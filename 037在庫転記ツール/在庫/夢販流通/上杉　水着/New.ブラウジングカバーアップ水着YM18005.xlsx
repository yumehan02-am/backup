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FFC3CC04-DB86-4D40-9398-B33D3FAD2FAF}" xr6:coauthVersionLast="47" xr6:coauthVersionMax="47" xr10:uidLastSave="{00000000-0000-0000-0000-000000000000}"/>
  <bookViews>
    <workbookView xWindow="12540" yWindow="960" windowWidth="16065" windowHeight="12450" xr2:uid="{00000000-000D-0000-FFFF-FFFF00000000}"/>
  </bookViews>
  <sheets>
    <sheet name="新ブラウジング" sheetId="2" r:id="rId1"/>
    <sheet name="Sheet2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97" i="2" l="1"/>
  <c r="K1497" i="2"/>
  <c r="AA1497" i="2" s="1"/>
  <c r="P1497" i="2"/>
  <c r="U1497" i="2"/>
  <c r="Z1497" i="2"/>
  <c r="F1498" i="2"/>
  <c r="K1498" i="2"/>
  <c r="P1498" i="2"/>
  <c r="U1498" i="2"/>
  <c r="Z1498" i="2"/>
  <c r="F1499" i="2"/>
  <c r="K1499" i="2"/>
  <c r="P1499" i="2"/>
  <c r="U1499" i="2"/>
  <c r="Z1499" i="2"/>
  <c r="AA1499" i="2"/>
  <c r="F1500" i="2"/>
  <c r="K1500" i="2"/>
  <c r="P1500" i="2"/>
  <c r="U1500" i="2"/>
  <c r="Z1500" i="2"/>
  <c r="AA1500" i="2"/>
  <c r="F1501" i="2"/>
  <c r="AA1501" i="2" s="1"/>
  <c r="K1501" i="2"/>
  <c r="P1501" i="2"/>
  <c r="U1501" i="2"/>
  <c r="Z1501" i="2"/>
  <c r="F1502" i="2"/>
  <c r="K1502" i="2"/>
  <c r="P1502" i="2"/>
  <c r="U1502" i="2"/>
  <c r="Z1502" i="2"/>
  <c r="AA1502" i="2"/>
  <c r="F1503" i="2"/>
  <c r="K1503" i="2"/>
  <c r="P1503" i="2"/>
  <c r="U1503" i="2"/>
  <c r="Z1503" i="2"/>
  <c r="AA1503" i="2"/>
  <c r="F1504" i="2"/>
  <c r="K1504" i="2"/>
  <c r="P1504" i="2"/>
  <c r="U1504" i="2"/>
  <c r="Z1504" i="2"/>
  <c r="AA1504" i="2"/>
  <c r="F1505" i="2"/>
  <c r="K1505" i="2"/>
  <c r="P1505" i="2"/>
  <c r="U1505" i="2"/>
  <c r="Z1505" i="2"/>
  <c r="AA1505" i="2"/>
  <c r="F1506" i="2"/>
  <c r="K1506" i="2"/>
  <c r="P1506" i="2"/>
  <c r="U1506" i="2"/>
  <c r="Z1506" i="2"/>
  <c r="AA1506" i="2"/>
  <c r="F1507" i="2"/>
  <c r="K1507" i="2"/>
  <c r="P1507" i="2"/>
  <c r="U1507" i="2"/>
  <c r="Z1507" i="2"/>
  <c r="AA1507" i="2"/>
  <c r="F1508" i="2"/>
  <c r="K1508" i="2"/>
  <c r="P1508" i="2"/>
  <c r="U1508" i="2"/>
  <c r="Z1508" i="2"/>
  <c r="AA1508" i="2"/>
  <c r="F1509" i="2"/>
  <c r="K1509" i="2"/>
  <c r="P1509" i="2"/>
  <c r="U1509" i="2"/>
  <c r="Z1509" i="2"/>
  <c r="AA1509" i="2"/>
  <c r="F1510" i="2"/>
  <c r="K1510" i="2"/>
  <c r="P1510" i="2"/>
  <c r="U1510" i="2"/>
  <c r="Z1510" i="2"/>
  <c r="AA1510" i="2"/>
  <c r="F1511" i="2"/>
  <c r="K1511" i="2"/>
  <c r="P1511" i="2"/>
  <c r="U1511" i="2"/>
  <c r="Z1511" i="2"/>
  <c r="AA1511" i="2"/>
  <c r="F1512" i="2"/>
  <c r="K1512" i="2"/>
  <c r="P1512" i="2"/>
  <c r="U1512" i="2"/>
  <c r="Z1512" i="2"/>
  <c r="AA1512" i="2"/>
  <c r="F1513" i="2"/>
  <c r="K1513" i="2"/>
  <c r="P1513" i="2"/>
  <c r="U1513" i="2"/>
  <c r="Z1513" i="2"/>
  <c r="AA1513" i="2"/>
  <c r="AH1518" i="2"/>
  <c r="AM1518" i="2"/>
  <c r="AR1518" i="2"/>
  <c r="AW1518" i="2"/>
  <c r="BB1518" i="2"/>
  <c r="BC1518" i="2"/>
  <c r="AH1519" i="2"/>
  <c r="AM1519" i="2"/>
  <c r="AR1519" i="2"/>
  <c r="AW1519" i="2"/>
  <c r="BB1519" i="2"/>
  <c r="BC1519" i="2"/>
  <c r="AH1494" i="2"/>
  <c r="AM1494" i="2"/>
  <c r="AR1494" i="2"/>
  <c r="AW1494" i="2"/>
  <c r="BB1494" i="2"/>
  <c r="BC1494" i="2"/>
  <c r="AH1495" i="2"/>
  <c r="AM1495" i="2"/>
  <c r="AR1495" i="2"/>
  <c r="AW1495" i="2"/>
  <c r="BB1495" i="2"/>
  <c r="BC1495" i="2"/>
  <c r="AH1496" i="2"/>
  <c r="AM1496" i="2"/>
  <c r="AR1496" i="2"/>
  <c r="AW1496" i="2"/>
  <c r="BB1496" i="2"/>
  <c r="BC1496" i="2"/>
  <c r="AH1497" i="2"/>
  <c r="AM1497" i="2"/>
  <c r="AR1497" i="2"/>
  <c r="AW1497" i="2"/>
  <c r="BB1497" i="2"/>
  <c r="BC1497" i="2"/>
  <c r="AH1498" i="2"/>
  <c r="AM1498" i="2"/>
  <c r="AR1498" i="2"/>
  <c r="AW1498" i="2"/>
  <c r="BB1498" i="2"/>
  <c r="BC1498" i="2"/>
  <c r="AH1499" i="2"/>
  <c r="AM1499" i="2"/>
  <c r="AR1499" i="2"/>
  <c r="AW1499" i="2"/>
  <c r="BB1499" i="2"/>
  <c r="BC1499" i="2"/>
  <c r="AH1500" i="2"/>
  <c r="AM1500" i="2"/>
  <c r="AR1500" i="2"/>
  <c r="AW1500" i="2"/>
  <c r="BB1500" i="2"/>
  <c r="BC1500" i="2"/>
  <c r="AH1501" i="2"/>
  <c r="AM1501" i="2"/>
  <c r="AR1501" i="2"/>
  <c r="AW1501" i="2"/>
  <c r="BB1501" i="2"/>
  <c r="BC1501" i="2"/>
  <c r="AH1502" i="2"/>
  <c r="AM1502" i="2"/>
  <c r="AR1502" i="2"/>
  <c r="AW1502" i="2"/>
  <c r="BB1502" i="2"/>
  <c r="BC1502" i="2"/>
  <c r="AH1503" i="2"/>
  <c r="AM1503" i="2"/>
  <c r="AR1503" i="2"/>
  <c r="AW1503" i="2"/>
  <c r="BB1503" i="2"/>
  <c r="BC1503" i="2"/>
  <c r="AH1504" i="2"/>
  <c r="AM1504" i="2"/>
  <c r="AR1504" i="2"/>
  <c r="AW1504" i="2"/>
  <c r="BB1504" i="2"/>
  <c r="BC1504" i="2"/>
  <c r="AH1505" i="2"/>
  <c r="AM1505" i="2"/>
  <c r="AR1505" i="2"/>
  <c r="AW1505" i="2"/>
  <c r="BB1505" i="2"/>
  <c r="BC1505" i="2"/>
  <c r="AH1506" i="2"/>
  <c r="AM1506" i="2"/>
  <c r="AR1506" i="2"/>
  <c r="AW1506" i="2"/>
  <c r="BB1506" i="2"/>
  <c r="BC1506" i="2"/>
  <c r="AH1507" i="2"/>
  <c r="AM1507" i="2"/>
  <c r="AR1507" i="2"/>
  <c r="AW1507" i="2"/>
  <c r="BB1507" i="2"/>
  <c r="BC1507" i="2"/>
  <c r="AH1508" i="2"/>
  <c r="AM1508" i="2"/>
  <c r="AR1508" i="2"/>
  <c r="AW1508" i="2"/>
  <c r="BB1508" i="2"/>
  <c r="BC1508" i="2"/>
  <c r="AH1509" i="2"/>
  <c r="AM1509" i="2"/>
  <c r="AR1509" i="2"/>
  <c r="AW1509" i="2"/>
  <c r="BB1509" i="2"/>
  <c r="BC1509" i="2"/>
  <c r="AH1510" i="2"/>
  <c r="AM1510" i="2"/>
  <c r="AR1510" i="2"/>
  <c r="AW1510" i="2"/>
  <c r="BB1510" i="2"/>
  <c r="BC1510" i="2"/>
  <c r="BI1520" i="2"/>
  <c r="BH1520" i="2"/>
  <c r="BG1520" i="2"/>
  <c r="BF1520" i="2"/>
  <c r="BJ1520" i="2" s="1"/>
  <c r="BA1520" i="2"/>
  <c r="AZ1520" i="2"/>
  <c r="AY1520" i="2"/>
  <c r="AX1520" i="2"/>
  <c r="BB1520" i="2" s="1"/>
  <c r="AU1520" i="2"/>
  <c r="AT1520" i="2"/>
  <c r="AQ1520" i="2"/>
  <c r="AP1520" i="2"/>
  <c r="AO1520" i="2"/>
  <c r="AN1520" i="2"/>
  <c r="AR1520" i="2" s="1"/>
  <c r="AL1520" i="2"/>
  <c r="AJ1520" i="2"/>
  <c r="AG1520" i="2"/>
  <c r="AF1520" i="2"/>
  <c r="AE1520" i="2"/>
  <c r="AD1520" i="2"/>
  <c r="AH1520" i="2" s="1"/>
  <c r="Y1520" i="2"/>
  <c r="X1520" i="2"/>
  <c r="W1520" i="2"/>
  <c r="V1520" i="2"/>
  <c r="Z1520" i="2" s="1"/>
  <c r="T1520" i="2"/>
  <c r="S1520" i="2"/>
  <c r="R1520" i="2"/>
  <c r="Q1520" i="2"/>
  <c r="O1520" i="2"/>
  <c r="N1520" i="2"/>
  <c r="M1520" i="2"/>
  <c r="L1520" i="2"/>
  <c r="P1520" i="2" s="1"/>
  <c r="J1520" i="2"/>
  <c r="I1520" i="2"/>
  <c r="H1520" i="2"/>
  <c r="G1520" i="2"/>
  <c r="E1520" i="2"/>
  <c r="D1520" i="2"/>
  <c r="C1520" i="2"/>
  <c r="B1520" i="2"/>
  <c r="F1520" i="2" s="1"/>
  <c r="BJ1519" i="2"/>
  <c r="AK1520" i="2"/>
  <c r="AI1520" i="2"/>
  <c r="Z1519" i="2"/>
  <c r="U1519" i="2"/>
  <c r="P1519" i="2"/>
  <c r="K1519" i="2"/>
  <c r="F1519" i="2"/>
  <c r="BJ1518" i="2"/>
  <c r="AV1520" i="2"/>
  <c r="AS1520" i="2"/>
  <c r="Z1518" i="2"/>
  <c r="U1518" i="2"/>
  <c r="P1518" i="2"/>
  <c r="K1518" i="2"/>
  <c r="AA1518" i="2" s="1"/>
  <c r="F1518" i="2"/>
  <c r="BJ1517" i="2"/>
  <c r="BB1517" i="2"/>
  <c r="AW1517" i="2"/>
  <c r="AR1517" i="2"/>
  <c r="AM1517" i="2"/>
  <c r="AH1517" i="2"/>
  <c r="BC1517" i="2" s="1"/>
  <c r="Z1517" i="2"/>
  <c r="U1517" i="2"/>
  <c r="P1517" i="2"/>
  <c r="K1517" i="2"/>
  <c r="F1517" i="2"/>
  <c r="AA1517" i="2" s="1"/>
  <c r="BJ1516" i="2"/>
  <c r="BB1516" i="2"/>
  <c r="AW1516" i="2"/>
  <c r="AR1516" i="2"/>
  <c r="AM1516" i="2"/>
  <c r="BC1516" i="2" s="1"/>
  <c r="AH1516" i="2"/>
  <c r="Z1516" i="2"/>
  <c r="U1516" i="2"/>
  <c r="P1516" i="2"/>
  <c r="K1516" i="2"/>
  <c r="AA1516" i="2" s="1"/>
  <c r="F1516" i="2"/>
  <c r="BJ1515" i="2"/>
  <c r="BB1515" i="2"/>
  <c r="AW1515" i="2"/>
  <c r="AR1515" i="2"/>
  <c r="AM1515" i="2"/>
  <c r="AH1515" i="2"/>
  <c r="BC1515" i="2" s="1"/>
  <c r="Z1515" i="2"/>
  <c r="U1515" i="2"/>
  <c r="P1515" i="2"/>
  <c r="K1515" i="2"/>
  <c r="F1515" i="2"/>
  <c r="AA1515" i="2" s="1"/>
  <c r="BJ1514" i="2"/>
  <c r="BB1514" i="2"/>
  <c r="AW1514" i="2"/>
  <c r="AR1514" i="2"/>
  <c r="AM1514" i="2"/>
  <c r="BC1514" i="2" s="1"/>
  <c r="AH1514" i="2"/>
  <c r="Z1514" i="2"/>
  <c r="U1514" i="2"/>
  <c r="P1514" i="2"/>
  <c r="K1514" i="2"/>
  <c r="AA1514" i="2" s="1"/>
  <c r="F1514" i="2"/>
  <c r="BJ1513" i="2"/>
  <c r="BB1513" i="2"/>
  <c r="AW1513" i="2"/>
  <c r="AR1513" i="2"/>
  <c r="AM1513" i="2"/>
  <c r="AH1513" i="2"/>
  <c r="BC1513" i="2" s="1"/>
  <c r="BJ1512" i="2"/>
  <c r="BB1512" i="2"/>
  <c r="AW1512" i="2"/>
  <c r="AR1512" i="2"/>
  <c r="AM1512" i="2"/>
  <c r="BC1512" i="2" s="1"/>
  <c r="AH1512" i="2"/>
  <c r="BJ1511" i="2"/>
  <c r="BB1511" i="2"/>
  <c r="AW1511" i="2"/>
  <c r="AR1511" i="2"/>
  <c r="AM1511" i="2"/>
  <c r="AH1511" i="2"/>
  <c r="BC1511" i="2" s="1"/>
  <c r="BJ1510" i="2"/>
  <c r="BJ1509" i="2"/>
  <c r="BJ1508" i="2"/>
  <c r="BJ1507" i="2"/>
  <c r="BJ1506" i="2"/>
  <c r="BJ1505" i="2"/>
  <c r="BJ1504" i="2"/>
  <c r="BJ1503" i="2"/>
  <c r="BJ1502" i="2"/>
  <c r="BJ1501" i="2"/>
  <c r="BJ1500" i="2"/>
  <c r="BJ1499" i="2"/>
  <c r="BJ1498" i="2"/>
  <c r="BJ1497" i="2"/>
  <c r="BJ1496" i="2"/>
  <c r="Z1496" i="2"/>
  <c r="U1496" i="2"/>
  <c r="P1496" i="2"/>
  <c r="K1496" i="2"/>
  <c r="F1496" i="2"/>
  <c r="BJ1495" i="2"/>
  <c r="Z1495" i="2"/>
  <c r="U1495" i="2"/>
  <c r="P1495" i="2"/>
  <c r="K1495" i="2"/>
  <c r="F1495" i="2"/>
  <c r="BJ1494" i="2"/>
  <c r="Z1494" i="2"/>
  <c r="U1494" i="2"/>
  <c r="P1494" i="2"/>
  <c r="K1494" i="2"/>
  <c r="F1494" i="2"/>
  <c r="AZ1493" i="2"/>
  <c r="AJ1493" i="2"/>
  <c r="AF1493" i="2"/>
  <c r="R1493" i="2"/>
  <c r="R1521" i="2" s="1"/>
  <c r="N1493" i="2"/>
  <c r="BJ1492" i="2"/>
  <c r="BB1492" i="2"/>
  <c r="AW1492" i="2"/>
  <c r="AR1492" i="2"/>
  <c r="AM1492" i="2"/>
  <c r="BC1492" i="2" s="1"/>
  <c r="AH1492" i="2"/>
  <c r="Z1492" i="2"/>
  <c r="U1492" i="2"/>
  <c r="P1492" i="2"/>
  <c r="K1492" i="2"/>
  <c r="F1492" i="2"/>
  <c r="BJ1491" i="2"/>
  <c r="BB1491" i="2"/>
  <c r="AW1491" i="2"/>
  <c r="AR1491" i="2"/>
  <c r="AM1491" i="2"/>
  <c r="AH1491" i="2"/>
  <c r="BC1491" i="2" s="1"/>
  <c r="Z1491" i="2"/>
  <c r="U1491" i="2"/>
  <c r="P1491" i="2"/>
  <c r="K1491" i="2"/>
  <c r="F1491" i="2"/>
  <c r="BJ1490" i="2"/>
  <c r="BB1490" i="2"/>
  <c r="AW1490" i="2"/>
  <c r="AR1490" i="2"/>
  <c r="AM1490" i="2"/>
  <c r="BC1490" i="2" s="1"/>
  <c r="AH1490" i="2"/>
  <c r="Z1490" i="2"/>
  <c r="U1490" i="2"/>
  <c r="P1490" i="2"/>
  <c r="K1490" i="2"/>
  <c r="F1490" i="2"/>
  <c r="BJ1489" i="2"/>
  <c r="BB1489" i="2"/>
  <c r="AW1489" i="2"/>
  <c r="AR1489" i="2"/>
  <c r="AM1489" i="2"/>
  <c r="AH1489" i="2"/>
  <c r="BC1489" i="2" s="1"/>
  <c r="Z1489" i="2"/>
  <c r="U1489" i="2"/>
  <c r="P1489" i="2"/>
  <c r="K1489" i="2"/>
  <c r="F1489" i="2"/>
  <c r="BJ1488" i="2"/>
  <c r="BB1488" i="2"/>
  <c r="AW1488" i="2"/>
  <c r="AR1488" i="2"/>
  <c r="AM1488" i="2"/>
  <c r="BC1488" i="2" s="1"/>
  <c r="AH1488" i="2"/>
  <c r="Z1488" i="2"/>
  <c r="U1488" i="2"/>
  <c r="P1488" i="2"/>
  <c r="K1488" i="2"/>
  <c r="F1488" i="2"/>
  <c r="BJ1487" i="2"/>
  <c r="BB1487" i="2"/>
  <c r="AW1487" i="2"/>
  <c r="AR1487" i="2"/>
  <c r="AM1487" i="2"/>
  <c r="AH1487" i="2"/>
  <c r="BC1487" i="2" s="1"/>
  <c r="Z1487" i="2"/>
  <c r="U1487" i="2"/>
  <c r="P1487" i="2"/>
  <c r="K1487" i="2"/>
  <c r="F1487" i="2"/>
  <c r="BJ1486" i="2"/>
  <c r="BB1486" i="2"/>
  <c r="AW1486" i="2"/>
  <c r="AR1486" i="2"/>
  <c r="AM1486" i="2"/>
  <c r="BC1486" i="2" s="1"/>
  <c r="AH1486" i="2"/>
  <c r="Z1486" i="2"/>
  <c r="U1486" i="2"/>
  <c r="P1486" i="2"/>
  <c r="K1486" i="2"/>
  <c r="F1486" i="2"/>
  <c r="BI1485" i="2"/>
  <c r="BI1493" i="2" s="1"/>
  <c r="BI1521" i="2" s="1"/>
  <c r="BG1485" i="2"/>
  <c r="BG1493" i="2" s="1"/>
  <c r="BG1521" i="2" s="1"/>
  <c r="BF1485" i="2"/>
  <c r="BF1493" i="2" s="1"/>
  <c r="BA1485" i="2"/>
  <c r="BA1493" i="2" s="1"/>
  <c r="BA1521" i="2" s="1"/>
  <c r="AZ1485" i="2"/>
  <c r="AY1485" i="2"/>
  <c r="AY1493" i="2" s="1"/>
  <c r="AY1521" i="2" s="1"/>
  <c r="AX1485" i="2"/>
  <c r="AX1493" i="2" s="1"/>
  <c r="AV1485" i="2"/>
  <c r="AV1493" i="2" s="1"/>
  <c r="AV1521" i="2" s="1"/>
  <c r="AU1485" i="2"/>
  <c r="AU1493" i="2" s="1"/>
  <c r="AU1521" i="2" s="1"/>
  <c r="AT1485" i="2"/>
  <c r="AT1493" i="2" s="1"/>
  <c r="AS1485" i="2"/>
  <c r="AS1493" i="2" s="1"/>
  <c r="AQ1485" i="2"/>
  <c r="AQ1493" i="2" s="1"/>
  <c r="AQ1521" i="2" s="1"/>
  <c r="AP1485" i="2"/>
  <c r="AP1493" i="2" s="1"/>
  <c r="AO1485" i="2"/>
  <c r="AO1493" i="2" s="1"/>
  <c r="AO1521" i="2" s="1"/>
  <c r="AN1485" i="2"/>
  <c r="AN1493" i="2" s="1"/>
  <c r="AL1485" i="2"/>
  <c r="AL1493" i="2" s="1"/>
  <c r="AL1521" i="2" s="1"/>
  <c r="AK1485" i="2"/>
  <c r="AK1493" i="2" s="1"/>
  <c r="AJ1485" i="2"/>
  <c r="AI1485" i="2"/>
  <c r="AI1493" i="2" s="1"/>
  <c r="AG1485" i="2"/>
  <c r="AG1493" i="2" s="1"/>
  <c r="AG1521" i="2" s="1"/>
  <c r="AF1485" i="2"/>
  <c r="AE1485" i="2"/>
  <c r="AE1493" i="2" s="1"/>
  <c r="AE1521" i="2" s="1"/>
  <c r="AD1485" i="2"/>
  <c r="AD1493" i="2" s="1"/>
  <c r="Y1485" i="2"/>
  <c r="Y1493" i="2" s="1"/>
  <c r="Y1521" i="2" s="1"/>
  <c r="X1485" i="2"/>
  <c r="X1493" i="2" s="1"/>
  <c r="W1485" i="2"/>
  <c r="W1493" i="2" s="1"/>
  <c r="W1521" i="2" s="1"/>
  <c r="V1485" i="2"/>
  <c r="V1493" i="2" s="1"/>
  <c r="T1485" i="2"/>
  <c r="T1493" i="2" s="1"/>
  <c r="T1521" i="2" s="1"/>
  <c r="S1485" i="2"/>
  <c r="S1493" i="2" s="1"/>
  <c r="R1485" i="2"/>
  <c r="Q1485" i="2"/>
  <c r="Q1493" i="2" s="1"/>
  <c r="O1485" i="2"/>
  <c r="O1493" i="2" s="1"/>
  <c r="O1521" i="2" s="1"/>
  <c r="N1485" i="2"/>
  <c r="M1485" i="2"/>
  <c r="M1493" i="2" s="1"/>
  <c r="M1521" i="2" s="1"/>
  <c r="L1485" i="2"/>
  <c r="L1493" i="2" s="1"/>
  <c r="J1485" i="2"/>
  <c r="J1493" i="2" s="1"/>
  <c r="J1521" i="2" s="1"/>
  <c r="I1485" i="2"/>
  <c r="I1493" i="2" s="1"/>
  <c r="H1485" i="2"/>
  <c r="H1493" i="2" s="1"/>
  <c r="H1521" i="2" s="1"/>
  <c r="G1485" i="2"/>
  <c r="G1493" i="2" s="1"/>
  <c r="E1485" i="2"/>
  <c r="E1493" i="2" s="1"/>
  <c r="E1521" i="2" s="1"/>
  <c r="D1485" i="2"/>
  <c r="D1493" i="2" s="1"/>
  <c r="C1485" i="2"/>
  <c r="C1493" i="2" s="1"/>
  <c r="C1521" i="2" s="1"/>
  <c r="B1485" i="2"/>
  <c r="B1493" i="2" s="1"/>
  <c r="AJ1476" i="2"/>
  <c r="AK1476" i="2"/>
  <c r="AT1475" i="2"/>
  <c r="AS1475" i="2"/>
  <c r="Z1447" i="2"/>
  <c r="U1447" i="2"/>
  <c r="P1447" i="2"/>
  <c r="K1447" i="2"/>
  <c r="F1447" i="2"/>
  <c r="AL1476" i="2"/>
  <c r="AV1475" i="2"/>
  <c r="AI1476" i="2"/>
  <c r="F1444" i="2"/>
  <c r="K1444" i="2"/>
  <c r="P1444" i="2"/>
  <c r="U1444" i="2"/>
  <c r="Z1444" i="2"/>
  <c r="AH1452" i="2"/>
  <c r="AM1452" i="2"/>
  <c r="AR1452" i="2"/>
  <c r="AW1452" i="2"/>
  <c r="BB1452" i="2"/>
  <c r="BC1452" i="2"/>
  <c r="BB1405" i="2"/>
  <c r="AW1405" i="2"/>
  <c r="AR1405" i="2"/>
  <c r="AM1405" i="2"/>
  <c r="AH1405" i="2"/>
  <c r="BC1405" i="2" s="1"/>
  <c r="AH1433" i="2"/>
  <c r="AM1433" i="2"/>
  <c r="AR1433" i="2"/>
  <c r="AW1433" i="2"/>
  <c r="BB1433" i="2"/>
  <c r="BC1433" i="2"/>
  <c r="BJ1443" i="2"/>
  <c r="BJ1444" i="2"/>
  <c r="BJ1451" i="2"/>
  <c r="BJ1452" i="2"/>
  <c r="BJ1453" i="2"/>
  <c r="BJ1454" i="2"/>
  <c r="AH1444" i="2"/>
  <c r="AM1444" i="2"/>
  <c r="AR1444" i="2"/>
  <c r="AW1444" i="2"/>
  <c r="BB1444" i="2"/>
  <c r="BC1444" i="2"/>
  <c r="AH1445" i="2"/>
  <c r="AM1445" i="2"/>
  <c r="AR1445" i="2"/>
  <c r="AW1445" i="2"/>
  <c r="BB1445" i="2"/>
  <c r="BC1445" i="2"/>
  <c r="AH1446" i="2"/>
  <c r="AM1446" i="2"/>
  <c r="AR1446" i="2"/>
  <c r="AW1446" i="2"/>
  <c r="BB1446" i="2"/>
  <c r="BC1446" i="2"/>
  <c r="AH1451" i="2"/>
  <c r="AM1451" i="2"/>
  <c r="AR1451" i="2"/>
  <c r="AW1451" i="2"/>
  <c r="BB1451" i="2"/>
  <c r="BC1451" i="2" s="1"/>
  <c r="AH1453" i="2"/>
  <c r="AM1453" i="2"/>
  <c r="AR1453" i="2"/>
  <c r="AW1453" i="2"/>
  <c r="BC1453" i="2" s="1"/>
  <c r="BB1453" i="2"/>
  <c r="AH1454" i="2"/>
  <c r="AM1454" i="2"/>
  <c r="AR1454" i="2"/>
  <c r="AW1454" i="2"/>
  <c r="BB1454" i="2"/>
  <c r="BC1454" i="2"/>
  <c r="AH1455" i="2"/>
  <c r="AM1455" i="2"/>
  <c r="AR1455" i="2"/>
  <c r="BC1455" i="2" s="1"/>
  <c r="AW1455" i="2"/>
  <c r="BB1455" i="2"/>
  <c r="AH1456" i="2"/>
  <c r="AM1456" i="2"/>
  <c r="AR1456" i="2"/>
  <c r="AW1456" i="2"/>
  <c r="BB1456" i="2"/>
  <c r="BC1456" i="2"/>
  <c r="AH1457" i="2"/>
  <c r="AM1457" i="2"/>
  <c r="AR1457" i="2"/>
  <c r="AW1457" i="2"/>
  <c r="BB1457" i="2"/>
  <c r="BC1457" i="2"/>
  <c r="AH1458" i="2"/>
  <c r="AM1458" i="2"/>
  <c r="AR1458" i="2"/>
  <c r="AW1458" i="2"/>
  <c r="BB1458" i="2"/>
  <c r="BC1458" i="2"/>
  <c r="AH1459" i="2"/>
  <c r="AM1459" i="2"/>
  <c r="AR1459" i="2"/>
  <c r="AW1459" i="2"/>
  <c r="BB1459" i="2"/>
  <c r="BC1459" i="2"/>
  <c r="AH1460" i="2"/>
  <c r="AM1460" i="2"/>
  <c r="AR1460" i="2"/>
  <c r="AW1460" i="2"/>
  <c r="BB1460" i="2"/>
  <c r="BC1460" i="2"/>
  <c r="AH1461" i="2"/>
  <c r="AM1461" i="2"/>
  <c r="AR1461" i="2"/>
  <c r="AW1461" i="2"/>
  <c r="BB1461" i="2"/>
  <c r="BC1461" i="2"/>
  <c r="AH1462" i="2"/>
  <c r="BC1462" i="2" s="1"/>
  <c r="AM1462" i="2"/>
  <c r="AR1462" i="2"/>
  <c r="AW1462" i="2"/>
  <c r="BB1462" i="2"/>
  <c r="AH1463" i="2"/>
  <c r="AM1463" i="2"/>
  <c r="AR1463" i="2"/>
  <c r="AW1463" i="2"/>
  <c r="BC1463" i="2" s="1"/>
  <c r="BB1463" i="2"/>
  <c r="AH1464" i="2"/>
  <c r="AM1464" i="2"/>
  <c r="AR1464" i="2"/>
  <c r="AW1464" i="2"/>
  <c r="BB1464" i="2"/>
  <c r="AH1465" i="2"/>
  <c r="AM1465" i="2"/>
  <c r="AR1465" i="2"/>
  <c r="AW1465" i="2"/>
  <c r="BB1465" i="2"/>
  <c r="BC1465" i="2"/>
  <c r="AH1466" i="2"/>
  <c r="AM1466" i="2"/>
  <c r="AR1466" i="2"/>
  <c r="AW1466" i="2"/>
  <c r="BB1466" i="2"/>
  <c r="BC1466" i="2"/>
  <c r="AH1467" i="2"/>
  <c r="AM1467" i="2"/>
  <c r="AR1467" i="2"/>
  <c r="AW1467" i="2"/>
  <c r="BB1467" i="2"/>
  <c r="BC1467" i="2"/>
  <c r="AH1468" i="2"/>
  <c r="AM1468" i="2"/>
  <c r="AR1468" i="2"/>
  <c r="AW1468" i="2"/>
  <c r="BB1468" i="2"/>
  <c r="BC1468" i="2"/>
  <c r="BI1477" i="2"/>
  <c r="BH1477" i="2"/>
  <c r="BG1477" i="2"/>
  <c r="BF1477" i="2"/>
  <c r="BJ1477" i="2" s="1"/>
  <c r="BA1477" i="2"/>
  <c r="AZ1477" i="2"/>
  <c r="AY1477" i="2"/>
  <c r="AX1477" i="2"/>
  <c r="AV1477" i="2"/>
  <c r="AU1477" i="2"/>
  <c r="AT1477" i="2"/>
  <c r="AS1477" i="2"/>
  <c r="AQ1477" i="2"/>
  <c r="AP1477" i="2"/>
  <c r="AO1477" i="2"/>
  <c r="AN1477" i="2"/>
  <c r="AL1477" i="2"/>
  <c r="AK1477" i="2"/>
  <c r="AJ1477" i="2"/>
  <c r="AI1477" i="2"/>
  <c r="AG1477" i="2"/>
  <c r="AF1477" i="2"/>
  <c r="AE1477" i="2"/>
  <c r="AD1477" i="2"/>
  <c r="Y1477" i="2"/>
  <c r="X1477" i="2"/>
  <c r="W1477" i="2"/>
  <c r="V1477" i="2"/>
  <c r="T1477" i="2"/>
  <c r="S1477" i="2"/>
  <c r="R1477" i="2"/>
  <c r="Q1477" i="2"/>
  <c r="O1477" i="2"/>
  <c r="N1477" i="2"/>
  <c r="M1477" i="2"/>
  <c r="L1477" i="2"/>
  <c r="J1477" i="2"/>
  <c r="I1477" i="2"/>
  <c r="H1477" i="2"/>
  <c r="G1477" i="2"/>
  <c r="E1477" i="2"/>
  <c r="D1477" i="2"/>
  <c r="C1477" i="2"/>
  <c r="B1477" i="2"/>
  <c r="BJ1476" i="2"/>
  <c r="BB1476" i="2"/>
  <c r="AW1476" i="2"/>
  <c r="AR1476" i="2"/>
  <c r="AM1476" i="2"/>
  <c r="BC1476" i="2" s="1"/>
  <c r="AH1476" i="2"/>
  <c r="Z1476" i="2"/>
  <c r="U1476" i="2"/>
  <c r="P1476" i="2"/>
  <c r="K1476" i="2"/>
  <c r="AA1476" i="2" s="1"/>
  <c r="F1476" i="2"/>
  <c r="BJ1475" i="2"/>
  <c r="BB1475" i="2"/>
  <c r="AW1475" i="2"/>
  <c r="AR1475" i="2"/>
  <c r="AM1475" i="2"/>
  <c r="AH1475" i="2"/>
  <c r="Z1475" i="2"/>
  <c r="U1475" i="2"/>
  <c r="P1475" i="2"/>
  <c r="K1475" i="2"/>
  <c r="F1475" i="2"/>
  <c r="AA1475" i="2" s="1"/>
  <c r="BJ1474" i="2"/>
  <c r="BB1474" i="2"/>
  <c r="AW1474" i="2"/>
  <c r="AR1474" i="2"/>
  <c r="AM1474" i="2"/>
  <c r="BC1474" i="2" s="1"/>
  <c r="AH1474" i="2"/>
  <c r="Z1474" i="2"/>
  <c r="U1474" i="2"/>
  <c r="P1474" i="2"/>
  <c r="K1474" i="2"/>
  <c r="F1474" i="2"/>
  <c r="BJ1473" i="2"/>
  <c r="BB1473" i="2"/>
  <c r="AW1473" i="2"/>
  <c r="AR1473" i="2"/>
  <c r="AM1473" i="2"/>
  <c r="AH1473" i="2"/>
  <c r="BC1473" i="2" s="1"/>
  <c r="Z1473" i="2"/>
  <c r="U1473" i="2"/>
  <c r="P1473" i="2"/>
  <c r="K1473" i="2"/>
  <c r="F1473" i="2"/>
  <c r="AA1473" i="2" s="1"/>
  <c r="BJ1472" i="2"/>
  <c r="BB1472" i="2"/>
  <c r="AW1472" i="2"/>
  <c r="AR1472" i="2"/>
  <c r="AM1472" i="2"/>
  <c r="BC1472" i="2" s="1"/>
  <c r="AH1472" i="2"/>
  <c r="Z1472" i="2"/>
  <c r="U1472" i="2"/>
  <c r="P1472" i="2"/>
  <c r="K1472" i="2"/>
  <c r="AA1472" i="2" s="1"/>
  <c r="F1472" i="2"/>
  <c r="BJ1471" i="2"/>
  <c r="BB1471" i="2"/>
  <c r="AW1471" i="2"/>
  <c r="AR1471" i="2"/>
  <c r="AM1471" i="2"/>
  <c r="AH1471" i="2"/>
  <c r="BC1471" i="2" s="1"/>
  <c r="Z1471" i="2"/>
  <c r="U1471" i="2"/>
  <c r="P1471" i="2"/>
  <c r="K1471" i="2"/>
  <c r="F1471" i="2"/>
  <c r="AA1471" i="2" s="1"/>
  <c r="BJ1470" i="2"/>
  <c r="BB1470" i="2"/>
  <c r="AW1470" i="2"/>
  <c r="AR1470" i="2"/>
  <c r="AM1470" i="2"/>
  <c r="BC1470" i="2" s="1"/>
  <c r="AH1470" i="2"/>
  <c r="Z1470" i="2"/>
  <c r="U1470" i="2"/>
  <c r="P1470" i="2"/>
  <c r="K1470" i="2"/>
  <c r="AA1470" i="2" s="1"/>
  <c r="F1470" i="2"/>
  <c r="BJ1469" i="2"/>
  <c r="BB1469" i="2"/>
  <c r="AW1469" i="2"/>
  <c r="AR1469" i="2"/>
  <c r="AM1469" i="2"/>
  <c r="AH1469" i="2"/>
  <c r="BC1469" i="2" s="1"/>
  <c r="Z1469" i="2"/>
  <c r="U1469" i="2"/>
  <c r="P1469" i="2"/>
  <c r="K1469" i="2"/>
  <c r="F1469" i="2"/>
  <c r="AA1469" i="2" s="1"/>
  <c r="BJ1468" i="2"/>
  <c r="Z1468" i="2"/>
  <c r="U1468" i="2"/>
  <c r="P1468" i="2"/>
  <c r="K1468" i="2"/>
  <c r="AA1468" i="2" s="1"/>
  <c r="F1468" i="2"/>
  <c r="BJ1467" i="2"/>
  <c r="Z1467" i="2"/>
  <c r="U1467" i="2"/>
  <c r="P1467" i="2"/>
  <c r="K1467" i="2"/>
  <c r="F1467" i="2"/>
  <c r="BJ1466" i="2"/>
  <c r="Z1466" i="2"/>
  <c r="U1466" i="2"/>
  <c r="P1466" i="2"/>
  <c r="K1466" i="2"/>
  <c r="F1466" i="2"/>
  <c r="BJ1465" i="2"/>
  <c r="Z1465" i="2"/>
  <c r="U1465" i="2"/>
  <c r="P1465" i="2"/>
  <c r="K1465" i="2"/>
  <c r="F1465" i="2"/>
  <c r="AA1465" i="2" s="1"/>
  <c r="BJ1464" i="2"/>
  <c r="Z1464" i="2"/>
  <c r="U1464" i="2"/>
  <c r="P1464" i="2"/>
  <c r="K1464" i="2"/>
  <c r="AA1464" i="2" s="1"/>
  <c r="F1464" i="2"/>
  <c r="BJ1463" i="2"/>
  <c r="Z1463" i="2"/>
  <c r="U1463" i="2"/>
  <c r="P1463" i="2"/>
  <c r="K1463" i="2"/>
  <c r="F1463" i="2"/>
  <c r="BJ1462" i="2"/>
  <c r="Z1462" i="2"/>
  <c r="U1462" i="2"/>
  <c r="P1462" i="2"/>
  <c r="K1462" i="2"/>
  <c r="F1462" i="2"/>
  <c r="BJ1461" i="2"/>
  <c r="Z1461" i="2"/>
  <c r="U1461" i="2"/>
  <c r="P1461" i="2"/>
  <c r="K1461" i="2"/>
  <c r="F1461" i="2"/>
  <c r="AA1461" i="2" s="1"/>
  <c r="BJ1460" i="2"/>
  <c r="Z1460" i="2"/>
  <c r="U1460" i="2"/>
  <c r="P1460" i="2"/>
  <c r="K1460" i="2"/>
  <c r="AA1460" i="2" s="1"/>
  <c r="F1460" i="2"/>
  <c r="BJ1459" i="2"/>
  <c r="Z1459" i="2"/>
  <c r="U1459" i="2"/>
  <c r="P1459" i="2"/>
  <c r="K1459" i="2"/>
  <c r="F1459" i="2"/>
  <c r="AA1459" i="2" s="1"/>
  <c r="BJ1458" i="2"/>
  <c r="Z1458" i="2"/>
  <c r="U1458" i="2"/>
  <c r="P1458" i="2"/>
  <c r="K1458" i="2"/>
  <c r="AA1458" i="2" s="1"/>
  <c r="F1458" i="2"/>
  <c r="BJ1457" i="2"/>
  <c r="Z1457" i="2"/>
  <c r="U1457" i="2"/>
  <c r="P1457" i="2"/>
  <c r="K1457" i="2"/>
  <c r="F1457" i="2"/>
  <c r="AA1457" i="2" s="1"/>
  <c r="BJ1456" i="2"/>
  <c r="Z1456" i="2"/>
  <c r="U1456" i="2"/>
  <c r="P1456" i="2"/>
  <c r="K1456" i="2"/>
  <c r="AA1456" i="2" s="1"/>
  <c r="F1456" i="2"/>
  <c r="BJ1455" i="2"/>
  <c r="Z1454" i="2"/>
  <c r="U1454" i="2"/>
  <c r="P1454" i="2"/>
  <c r="K1454" i="2"/>
  <c r="AA1454" i="2" s="1"/>
  <c r="F1454" i="2"/>
  <c r="Z1453" i="2"/>
  <c r="U1453" i="2"/>
  <c r="P1453" i="2"/>
  <c r="K1453" i="2"/>
  <c r="F1453" i="2"/>
  <c r="AA1453" i="2" s="1"/>
  <c r="Z1452" i="2"/>
  <c r="U1452" i="2"/>
  <c r="P1452" i="2"/>
  <c r="K1452" i="2"/>
  <c r="F1452" i="2"/>
  <c r="Z1451" i="2"/>
  <c r="U1451" i="2"/>
  <c r="P1451" i="2"/>
  <c r="K1451" i="2"/>
  <c r="F1451" i="2"/>
  <c r="AA1451" i="2" s="1"/>
  <c r="BJ1449" i="2"/>
  <c r="BB1449" i="2"/>
  <c r="AW1449" i="2"/>
  <c r="AR1449" i="2"/>
  <c r="AM1449" i="2"/>
  <c r="AH1449" i="2"/>
  <c r="BC1449" i="2" s="1"/>
  <c r="Z1449" i="2"/>
  <c r="U1449" i="2"/>
  <c r="P1449" i="2"/>
  <c r="K1449" i="2"/>
  <c r="F1449" i="2"/>
  <c r="BJ1448" i="2"/>
  <c r="BB1448" i="2"/>
  <c r="AW1448" i="2"/>
  <c r="AR1448" i="2"/>
  <c r="AM1448" i="2"/>
  <c r="BC1448" i="2" s="1"/>
  <c r="AH1448" i="2"/>
  <c r="Z1448" i="2"/>
  <c r="U1448" i="2"/>
  <c r="P1448" i="2"/>
  <c r="K1448" i="2"/>
  <c r="F1448" i="2"/>
  <c r="BJ1447" i="2"/>
  <c r="BB1447" i="2"/>
  <c r="AW1447" i="2"/>
  <c r="AR1447" i="2"/>
  <c r="AM1447" i="2"/>
  <c r="AH1447" i="2"/>
  <c r="BC1447" i="2" s="1"/>
  <c r="BJ1446" i="2"/>
  <c r="Z1446" i="2"/>
  <c r="U1446" i="2"/>
  <c r="P1446" i="2"/>
  <c r="K1446" i="2"/>
  <c r="F1446" i="2"/>
  <c r="BJ1445" i="2"/>
  <c r="Z1445" i="2"/>
  <c r="U1445" i="2"/>
  <c r="P1445" i="2"/>
  <c r="K1445" i="2"/>
  <c r="F1445" i="2"/>
  <c r="BB1443" i="2"/>
  <c r="AW1443" i="2"/>
  <c r="AR1443" i="2"/>
  <c r="AM1443" i="2"/>
  <c r="AH1443" i="2"/>
  <c r="BC1443" i="2" s="1"/>
  <c r="Z1443" i="2"/>
  <c r="U1443" i="2"/>
  <c r="P1443" i="2"/>
  <c r="K1443" i="2"/>
  <c r="F1443" i="2"/>
  <c r="BI1442" i="2"/>
  <c r="BI1450" i="2" s="1"/>
  <c r="BI1478" i="2" s="1"/>
  <c r="BG1442" i="2"/>
  <c r="BG1450" i="2" s="1"/>
  <c r="BG1478" i="2" s="1"/>
  <c r="BF1442" i="2"/>
  <c r="BF1450" i="2" s="1"/>
  <c r="Y1442" i="2"/>
  <c r="Y1450" i="2" s="1"/>
  <c r="Y1478" i="2" s="1"/>
  <c r="O1442" i="2"/>
  <c r="O1450" i="2" s="1"/>
  <c r="N1442" i="2"/>
  <c r="N1450" i="2" s="1"/>
  <c r="J1442" i="2"/>
  <c r="J1450" i="2" s="1"/>
  <c r="BB1424" i="2"/>
  <c r="AW1424" i="2"/>
  <c r="AR1424" i="2"/>
  <c r="AM1424" i="2"/>
  <c r="AH1424" i="2"/>
  <c r="BC1424" i="2" s="1"/>
  <c r="BB1401" i="2"/>
  <c r="AW1401" i="2"/>
  <c r="AR1401" i="2"/>
  <c r="AM1401" i="2"/>
  <c r="AH1401" i="2"/>
  <c r="BC1401" i="2" s="1"/>
  <c r="BB1417" i="2"/>
  <c r="AW1417" i="2"/>
  <c r="AR1417" i="2"/>
  <c r="AM1417" i="2"/>
  <c r="AH1417" i="2"/>
  <c r="BC1417" i="2" s="1"/>
  <c r="BB1416" i="2"/>
  <c r="AW1416" i="2"/>
  <c r="AR1416" i="2"/>
  <c r="AM1416" i="2"/>
  <c r="AH1416" i="2"/>
  <c r="BC1416" i="2" s="1"/>
  <c r="BB1412" i="2"/>
  <c r="AW1412" i="2"/>
  <c r="AR1412" i="2"/>
  <c r="AM1412" i="2"/>
  <c r="AH1412" i="2"/>
  <c r="BC1412" i="2" s="1"/>
  <c r="BB1411" i="2"/>
  <c r="AW1411" i="2"/>
  <c r="AR1411" i="2"/>
  <c r="AM1411" i="2"/>
  <c r="AH1411" i="2"/>
  <c r="BC1411" i="2" s="1"/>
  <c r="AH1388" i="2"/>
  <c r="AM1388" i="2"/>
  <c r="AR1388" i="2"/>
  <c r="AW1388" i="2"/>
  <c r="BB1388" i="2"/>
  <c r="BC1388" i="2"/>
  <c r="AH1389" i="2"/>
  <c r="AM1389" i="2"/>
  <c r="AR1389" i="2"/>
  <c r="AW1389" i="2"/>
  <c r="BB1389" i="2"/>
  <c r="BC1389" i="2"/>
  <c r="AH1390" i="2"/>
  <c r="AM1390" i="2"/>
  <c r="AR1390" i="2"/>
  <c r="AW1390" i="2"/>
  <c r="BB1390" i="2"/>
  <c r="BC1390" i="2"/>
  <c r="AH1431" i="2"/>
  <c r="AM1431" i="2"/>
  <c r="AR1431" i="2"/>
  <c r="AW1431" i="2"/>
  <c r="BB1431" i="2"/>
  <c r="BC1431" i="2"/>
  <c r="AH1432" i="2"/>
  <c r="AM1432" i="2"/>
  <c r="AR1432" i="2"/>
  <c r="AW1432" i="2"/>
  <c r="BB1432" i="2"/>
  <c r="BC1432" i="2"/>
  <c r="AH1408" i="2"/>
  <c r="AM1408" i="2"/>
  <c r="AR1408" i="2"/>
  <c r="AW1408" i="2"/>
  <c r="BB1408" i="2"/>
  <c r="BC1408" i="2"/>
  <c r="AH1409" i="2"/>
  <c r="AM1409" i="2"/>
  <c r="AR1409" i="2"/>
  <c r="AW1409" i="2"/>
  <c r="BB1409" i="2"/>
  <c r="BC1409" i="2"/>
  <c r="AH1410" i="2"/>
  <c r="AM1410" i="2"/>
  <c r="AR1410" i="2"/>
  <c r="AW1410" i="2"/>
  <c r="BB1410" i="2"/>
  <c r="BC1410" i="2"/>
  <c r="AH1413" i="2"/>
  <c r="AM1413" i="2"/>
  <c r="AR1413" i="2"/>
  <c r="AW1413" i="2"/>
  <c r="BB1413" i="2"/>
  <c r="BC1413" i="2"/>
  <c r="AH1414" i="2"/>
  <c r="AM1414" i="2"/>
  <c r="AR1414" i="2"/>
  <c r="AW1414" i="2"/>
  <c r="BB1414" i="2"/>
  <c r="BC1414" i="2"/>
  <c r="AH1415" i="2"/>
  <c r="AM1415" i="2"/>
  <c r="AR1415" i="2"/>
  <c r="AW1415" i="2"/>
  <c r="BB1415" i="2"/>
  <c r="BC1415" i="2"/>
  <c r="AH1418" i="2"/>
  <c r="AM1418" i="2"/>
  <c r="AR1418" i="2"/>
  <c r="AW1418" i="2"/>
  <c r="BB1418" i="2"/>
  <c r="BC1418" i="2"/>
  <c r="AH1419" i="2"/>
  <c r="AM1419" i="2"/>
  <c r="AR1419" i="2"/>
  <c r="AW1419" i="2"/>
  <c r="BB1419" i="2"/>
  <c r="BC1419" i="2"/>
  <c r="AH1420" i="2"/>
  <c r="AM1420" i="2"/>
  <c r="AR1420" i="2"/>
  <c r="AW1420" i="2"/>
  <c r="BB1420" i="2"/>
  <c r="BC1420" i="2"/>
  <c r="AH1421" i="2"/>
  <c r="AM1421" i="2"/>
  <c r="AR1421" i="2"/>
  <c r="AW1421" i="2"/>
  <c r="BB1421" i="2"/>
  <c r="BC1421" i="2"/>
  <c r="AH1422" i="2"/>
  <c r="AM1422" i="2"/>
  <c r="AR1422" i="2"/>
  <c r="AW1422" i="2"/>
  <c r="BB1422" i="2"/>
  <c r="BC1422" i="2"/>
  <c r="AH1423" i="2"/>
  <c r="AM1423" i="2"/>
  <c r="AR1423" i="2"/>
  <c r="AW1423" i="2"/>
  <c r="BB1423" i="2"/>
  <c r="BC1423" i="2"/>
  <c r="AH1425" i="2"/>
  <c r="AM1425" i="2"/>
  <c r="AR1425" i="2"/>
  <c r="AW1425" i="2"/>
  <c r="BB1425" i="2"/>
  <c r="BC1425" i="2"/>
  <c r="AH1426" i="2"/>
  <c r="AM1426" i="2"/>
  <c r="AR1426" i="2"/>
  <c r="AW1426" i="2"/>
  <c r="BB1426" i="2"/>
  <c r="BC1426" i="2"/>
  <c r="AH1427" i="2"/>
  <c r="AM1427" i="2"/>
  <c r="AR1427" i="2"/>
  <c r="AW1427" i="2"/>
  <c r="BB1427" i="2"/>
  <c r="BC1427" i="2"/>
  <c r="AH1428" i="2"/>
  <c r="AM1428" i="2"/>
  <c r="AR1428" i="2"/>
  <c r="AW1428" i="2"/>
  <c r="BB1428" i="2"/>
  <c r="BC1428" i="2"/>
  <c r="AH1429" i="2"/>
  <c r="AM1429" i="2"/>
  <c r="AR1429" i="2"/>
  <c r="AW1429" i="2"/>
  <c r="BB1429" i="2"/>
  <c r="BC1429" i="2"/>
  <c r="F1408" i="2"/>
  <c r="K1408" i="2"/>
  <c r="P1408" i="2"/>
  <c r="U1408" i="2"/>
  <c r="AA1408" i="2" s="1"/>
  <c r="Z1408" i="2"/>
  <c r="F1409" i="2"/>
  <c r="K1409" i="2"/>
  <c r="P1409" i="2"/>
  <c r="U1409" i="2"/>
  <c r="Z1409" i="2"/>
  <c r="F1410" i="2"/>
  <c r="K1410" i="2"/>
  <c r="P1410" i="2"/>
  <c r="U1410" i="2"/>
  <c r="Z1410" i="2"/>
  <c r="AA1410" i="2"/>
  <c r="F1411" i="2"/>
  <c r="K1411" i="2"/>
  <c r="P1411" i="2"/>
  <c r="U1411" i="2"/>
  <c r="Z1411" i="2"/>
  <c r="AA1411" i="2"/>
  <c r="F1412" i="2"/>
  <c r="K1412" i="2"/>
  <c r="P1412" i="2"/>
  <c r="U1412" i="2"/>
  <c r="Z1412" i="2"/>
  <c r="F1413" i="2"/>
  <c r="K1413" i="2"/>
  <c r="P1413" i="2"/>
  <c r="U1413" i="2"/>
  <c r="Z1413" i="2"/>
  <c r="F1414" i="2"/>
  <c r="K1414" i="2"/>
  <c r="AA1414" i="2" s="1"/>
  <c r="P1414" i="2"/>
  <c r="U1414" i="2"/>
  <c r="Z1414" i="2"/>
  <c r="F1415" i="2"/>
  <c r="K1415" i="2"/>
  <c r="P1415" i="2"/>
  <c r="U1415" i="2"/>
  <c r="Z1415" i="2"/>
  <c r="F1416" i="2"/>
  <c r="K1416" i="2"/>
  <c r="P1416" i="2"/>
  <c r="U1416" i="2"/>
  <c r="Z1416" i="2"/>
  <c r="AA1416" i="2"/>
  <c r="F1417" i="2"/>
  <c r="K1417" i="2"/>
  <c r="P1417" i="2"/>
  <c r="U1417" i="2"/>
  <c r="Z1417" i="2"/>
  <c r="F1418" i="2"/>
  <c r="K1418" i="2"/>
  <c r="P1418" i="2"/>
  <c r="AA1418" i="2" s="1"/>
  <c r="U1418" i="2"/>
  <c r="Z1418" i="2"/>
  <c r="BI1434" i="2"/>
  <c r="BH1434" i="2"/>
  <c r="BG1434" i="2"/>
  <c r="BF1434" i="2"/>
  <c r="BA1434" i="2"/>
  <c r="AZ1434" i="2"/>
  <c r="AY1434" i="2"/>
  <c r="AX1434" i="2"/>
  <c r="AV1434" i="2"/>
  <c r="AT1434" i="2"/>
  <c r="AQ1434" i="2"/>
  <c r="AP1434" i="2"/>
  <c r="AO1434" i="2"/>
  <c r="AN1434" i="2"/>
  <c r="AL1434" i="2"/>
  <c r="AK1434" i="2"/>
  <c r="AJ1434" i="2"/>
  <c r="AG1434" i="2"/>
  <c r="AF1434" i="2"/>
  <c r="AE1434" i="2"/>
  <c r="AD1434" i="2"/>
  <c r="Y1434" i="2"/>
  <c r="X1434" i="2"/>
  <c r="W1434" i="2"/>
  <c r="V1434" i="2"/>
  <c r="T1434" i="2"/>
  <c r="S1434" i="2"/>
  <c r="R1434" i="2"/>
  <c r="Q1434" i="2"/>
  <c r="O1434" i="2"/>
  <c r="N1434" i="2"/>
  <c r="M1434" i="2"/>
  <c r="L1434" i="2"/>
  <c r="J1434" i="2"/>
  <c r="I1434" i="2"/>
  <c r="H1434" i="2"/>
  <c r="G1434" i="2"/>
  <c r="E1434" i="2"/>
  <c r="D1434" i="2"/>
  <c r="C1434" i="2"/>
  <c r="B1434" i="2"/>
  <c r="BJ1433" i="2"/>
  <c r="AU1434" i="2"/>
  <c r="AS1434" i="2"/>
  <c r="AI1434" i="2"/>
  <c r="Z1433" i="2"/>
  <c r="U1433" i="2"/>
  <c r="P1433" i="2"/>
  <c r="K1433" i="2"/>
  <c r="AA1433" i="2" s="1"/>
  <c r="F1433" i="2"/>
  <c r="BJ1432" i="2"/>
  <c r="Z1432" i="2"/>
  <c r="U1432" i="2"/>
  <c r="P1432" i="2"/>
  <c r="K1432" i="2"/>
  <c r="F1432" i="2"/>
  <c r="AA1432" i="2" s="1"/>
  <c r="BJ1431" i="2"/>
  <c r="Z1431" i="2"/>
  <c r="U1431" i="2"/>
  <c r="P1431" i="2"/>
  <c r="K1431" i="2"/>
  <c r="F1431" i="2"/>
  <c r="BJ1430" i="2"/>
  <c r="BB1430" i="2"/>
  <c r="AW1430" i="2"/>
  <c r="AR1430" i="2"/>
  <c r="AM1430" i="2"/>
  <c r="AH1430" i="2"/>
  <c r="BC1430" i="2" s="1"/>
  <c r="Z1430" i="2"/>
  <c r="U1430" i="2"/>
  <c r="P1430" i="2"/>
  <c r="K1430" i="2"/>
  <c r="F1430" i="2"/>
  <c r="AA1430" i="2" s="1"/>
  <c r="BJ1429" i="2"/>
  <c r="Z1429" i="2"/>
  <c r="U1429" i="2"/>
  <c r="P1429" i="2"/>
  <c r="K1429" i="2"/>
  <c r="AA1429" i="2" s="1"/>
  <c r="F1429" i="2"/>
  <c r="BJ1428" i="2"/>
  <c r="Z1428" i="2"/>
  <c r="U1428" i="2"/>
  <c r="P1428" i="2"/>
  <c r="K1428" i="2"/>
  <c r="F1428" i="2"/>
  <c r="AA1428" i="2" s="1"/>
  <c r="BJ1427" i="2"/>
  <c r="Z1427" i="2"/>
  <c r="U1427" i="2"/>
  <c r="P1427" i="2"/>
  <c r="K1427" i="2"/>
  <c r="AA1427" i="2" s="1"/>
  <c r="F1427" i="2"/>
  <c r="BJ1426" i="2"/>
  <c r="Z1426" i="2"/>
  <c r="U1426" i="2"/>
  <c r="P1426" i="2"/>
  <c r="K1426" i="2"/>
  <c r="F1426" i="2"/>
  <c r="AA1426" i="2" s="1"/>
  <c r="BJ1425" i="2"/>
  <c r="Z1425" i="2"/>
  <c r="U1425" i="2"/>
  <c r="P1425" i="2"/>
  <c r="K1425" i="2"/>
  <c r="AA1425" i="2" s="1"/>
  <c r="F1425" i="2"/>
  <c r="BJ1424" i="2"/>
  <c r="Z1424" i="2"/>
  <c r="U1424" i="2"/>
  <c r="P1424" i="2"/>
  <c r="K1424" i="2"/>
  <c r="F1424" i="2"/>
  <c r="AA1424" i="2" s="1"/>
  <c r="BJ1423" i="2"/>
  <c r="Z1423" i="2"/>
  <c r="U1423" i="2"/>
  <c r="P1423" i="2"/>
  <c r="K1423" i="2"/>
  <c r="F1423" i="2"/>
  <c r="BJ1422" i="2"/>
  <c r="Z1422" i="2"/>
  <c r="U1422" i="2"/>
  <c r="P1422" i="2"/>
  <c r="K1422" i="2"/>
  <c r="F1422" i="2"/>
  <c r="BJ1421" i="2"/>
  <c r="Z1421" i="2"/>
  <c r="U1421" i="2"/>
  <c r="P1421" i="2"/>
  <c r="K1421" i="2"/>
  <c r="F1421" i="2"/>
  <c r="BJ1420" i="2"/>
  <c r="Z1420" i="2"/>
  <c r="U1420" i="2"/>
  <c r="P1420" i="2"/>
  <c r="K1420" i="2"/>
  <c r="F1420" i="2"/>
  <c r="AA1420" i="2" s="1"/>
  <c r="BJ1419" i="2"/>
  <c r="Z1419" i="2"/>
  <c r="U1419" i="2"/>
  <c r="P1419" i="2"/>
  <c r="K1419" i="2"/>
  <c r="AA1419" i="2" s="1"/>
  <c r="F1419" i="2"/>
  <c r="BJ1418" i="2"/>
  <c r="BJ1417" i="2"/>
  <c r="BJ1416" i="2"/>
  <c r="BJ1415" i="2"/>
  <c r="BJ1414" i="2"/>
  <c r="BJ1413" i="2"/>
  <c r="BJ1412" i="2"/>
  <c r="BJ1411" i="2"/>
  <c r="BJ1410" i="2"/>
  <c r="BJ1409" i="2"/>
  <c r="BJ1408" i="2"/>
  <c r="M1407" i="2"/>
  <c r="I1407" i="2"/>
  <c r="BJ1406" i="2"/>
  <c r="BB1406" i="2"/>
  <c r="AW1406" i="2"/>
  <c r="AR1406" i="2"/>
  <c r="AM1406" i="2"/>
  <c r="AH1406" i="2"/>
  <c r="BC1406" i="2" s="1"/>
  <c r="Z1406" i="2"/>
  <c r="U1406" i="2"/>
  <c r="P1406" i="2"/>
  <c r="K1406" i="2"/>
  <c r="F1406" i="2"/>
  <c r="AA1406" i="2" s="1"/>
  <c r="BJ1405" i="2"/>
  <c r="Z1405" i="2"/>
  <c r="U1405" i="2"/>
  <c r="P1405" i="2"/>
  <c r="K1405" i="2"/>
  <c r="F1405" i="2"/>
  <c r="BJ1404" i="2"/>
  <c r="BB1404" i="2"/>
  <c r="AW1404" i="2"/>
  <c r="AR1404" i="2"/>
  <c r="AM1404" i="2"/>
  <c r="AH1404" i="2"/>
  <c r="BC1404" i="2" s="1"/>
  <c r="Z1404" i="2"/>
  <c r="U1404" i="2"/>
  <c r="P1404" i="2"/>
  <c r="K1404" i="2"/>
  <c r="F1404" i="2"/>
  <c r="BJ1403" i="2"/>
  <c r="BB1403" i="2"/>
  <c r="AW1403" i="2"/>
  <c r="AR1403" i="2"/>
  <c r="AM1403" i="2"/>
  <c r="AH1403" i="2"/>
  <c r="Z1403" i="2"/>
  <c r="U1403" i="2"/>
  <c r="P1403" i="2"/>
  <c r="K1403" i="2"/>
  <c r="F1403" i="2"/>
  <c r="BJ1402" i="2"/>
  <c r="BB1402" i="2"/>
  <c r="AW1402" i="2"/>
  <c r="AR1402" i="2"/>
  <c r="AM1402" i="2"/>
  <c r="AH1402" i="2"/>
  <c r="BC1402" i="2" s="1"/>
  <c r="Z1402" i="2"/>
  <c r="U1402" i="2"/>
  <c r="P1402" i="2"/>
  <c r="K1402" i="2"/>
  <c r="F1402" i="2"/>
  <c r="BJ1401" i="2"/>
  <c r="Z1401" i="2"/>
  <c r="U1401" i="2"/>
  <c r="P1401" i="2"/>
  <c r="K1401" i="2"/>
  <c r="F1401" i="2"/>
  <c r="BJ1400" i="2"/>
  <c r="BB1400" i="2"/>
  <c r="AW1400" i="2"/>
  <c r="AR1400" i="2"/>
  <c r="AM1400" i="2"/>
  <c r="AH1400" i="2"/>
  <c r="BC1400" i="2" s="1"/>
  <c r="Z1400" i="2"/>
  <c r="U1400" i="2"/>
  <c r="P1400" i="2"/>
  <c r="K1400" i="2"/>
  <c r="F1400" i="2"/>
  <c r="BJ1399" i="2"/>
  <c r="BI1399" i="2"/>
  <c r="BI1407" i="2" s="1"/>
  <c r="BI1435" i="2" s="1"/>
  <c r="BH1399" i="2"/>
  <c r="BH1407" i="2" s="1"/>
  <c r="BG1399" i="2"/>
  <c r="BG1407" i="2" s="1"/>
  <c r="BG1435" i="2" s="1"/>
  <c r="BF1399" i="2"/>
  <c r="BF1407" i="2" s="1"/>
  <c r="Y1399" i="2"/>
  <c r="Y1407" i="2" s="1"/>
  <c r="Y1435" i="2" s="1"/>
  <c r="V1399" i="2"/>
  <c r="V1407" i="2" s="1"/>
  <c r="S1399" i="2"/>
  <c r="S1407" i="2" s="1"/>
  <c r="Q1399" i="2"/>
  <c r="Q1407" i="2" s="1"/>
  <c r="O1399" i="2"/>
  <c r="O1407" i="2" s="1"/>
  <c r="O1435" i="2" s="1"/>
  <c r="N1399" i="2"/>
  <c r="N1407" i="2" s="1"/>
  <c r="N1435" i="2" s="1"/>
  <c r="M1399" i="2"/>
  <c r="L1399" i="2"/>
  <c r="L1407" i="2" s="1"/>
  <c r="J1399" i="2"/>
  <c r="J1407" i="2" s="1"/>
  <c r="J1435" i="2" s="1"/>
  <c r="I1399" i="2"/>
  <c r="H1399" i="2"/>
  <c r="H1407" i="2" s="1"/>
  <c r="H1435" i="2" s="1"/>
  <c r="H1442" i="2" s="1"/>
  <c r="H1450" i="2" s="1"/>
  <c r="H1478" i="2" s="1"/>
  <c r="G1399" i="2"/>
  <c r="G1407" i="2" s="1"/>
  <c r="E1399" i="2"/>
  <c r="E1407" i="2" s="1"/>
  <c r="D1399" i="2"/>
  <c r="D1407" i="2" s="1"/>
  <c r="D1435" i="2" s="1"/>
  <c r="D1442" i="2" s="1"/>
  <c r="D1450" i="2" s="1"/>
  <c r="C1399" i="2"/>
  <c r="C1407" i="2" s="1"/>
  <c r="BB1382" i="2"/>
  <c r="AW1382" i="2"/>
  <c r="AR1382" i="2"/>
  <c r="AM1382" i="2"/>
  <c r="AH1382" i="2"/>
  <c r="BC1382" i="2" s="1"/>
  <c r="BB1379" i="2"/>
  <c r="AW1379" i="2"/>
  <c r="AR1379" i="2"/>
  <c r="AM1379" i="2"/>
  <c r="AH1379" i="2"/>
  <c r="BC1379" i="2" s="1"/>
  <c r="BB1376" i="2"/>
  <c r="AW1376" i="2"/>
  <c r="AR1376" i="2"/>
  <c r="AM1376" i="2"/>
  <c r="AH1376" i="2"/>
  <c r="BC1376" i="2" s="1"/>
  <c r="BB1370" i="2"/>
  <c r="AW1370" i="2"/>
  <c r="AR1370" i="2"/>
  <c r="AM1370" i="2"/>
  <c r="AH1370" i="2"/>
  <c r="BC1370" i="2" s="1"/>
  <c r="BB1368" i="2"/>
  <c r="AW1368" i="2"/>
  <c r="AR1368" i="2"/>
  <c r="AM1368" i="2"/>
  <c r="AH1368" i="2"/>
  <c r="BC1368" i="2" s="1"/>
  <c r="F1357" i="2"/>
  <c r="K1357" i="2"/>
  <c r="P1357" i="2"/>
  <c r="U1357" i="2"/>
  <c r="AA1357" i="2" s="1"/>
  <c r="Z1357" i="2"/>
  <c r="Z1320" i="2"/>
  <c r="U1320" i="2"/>
  <c r="P1320" i="2"/>
  <c r="K1320" i="2"/>
  <c r="F1320" i="2"/>
  <c r="AA1320" i="2" s="1"/>
  <c r="BB1346" i="2"/>
  <c r="AW1346" i="2"/>
  <c r="AR1346" i="2"/>
  <c r="AM1346" i="2"/>
  <c r="AH1346" i="2"/>
  <c r="BC1346" i="2" s="1"/>
  <c r="AH1345" i="2"/>
  <c r="AM1345" i="2"/>
  <c r="AR1345" i="2"/>
  <c r="AW1345" i="2"/>
  <c r="BB1345" i="2"/>
  <c r="BC1345" i="2"/>
  <c r="AH1347" i="2"/>
  <c r="AM1347" i="2"/>
  <c r="AR1347" i="2"/>
  <c r="AW1347" i="2"/>
  <c r="BB1347" i="2"/>
  <c r="BC1347" i="2"/>
  <c r="AH1365" i="2"/>
  <c r="AM1365" i="2"/>
  <c r="AR1365" i="2"/>
  <c r="AW1365" i="2"/>
  <c r="BB1365" i="2"/>
  <c r="BC1365" i="2"/>
  <c r="AH1366" i="2"/>
  <c r="AM1366" i="2"/>
  <c r="AR1366" i="2"/>
  <c r="AW1366" i="2"/>
  <c r="BB1366" i="2"/>
  <c r="BC1366" i="2"/>
  <c r="AH1367" i="2"/>
  <c r="AM1367" i="2"/>
  <c r="AR1367" i="2"/>
  <c r="AW1367" i="2"/>
  <c r="BB1367" i="2"/>
  <c r="BC1367" i="2"/>
  <c r="AH1369" i="2"/>
  <c r="AM1369" i="2"/>
  <c r="AR1369" i="2"/>
  <c r="AW1369" i="2"/>
  <c r="BB1369" i="2"/>
  <c r="BC1369" i="2"/>
  <c r="AH1371" i="2"/>
  <c r="AM1371" i="2"/>
  <c r="AR1371" i="2"/>
  <c r="AW1371" i="2"/>
  <c r="BB1371" i="2"/>
  <c r="BC1371" i="2"/>
  <c r="AH1372" i="2"/>
  <c r="AM1372" i="2"/>
  <c r="AR1372" i="2"/>
  <c r="AW1372" i="2"/>
  <c r="BB1372" i="2"/>
  <c r="AH1373" i="2"/>
  <c r="AM1373" i="2"/>
  <c r="AR1373" i="2"/>
  <c r="AW1373" i="2"/>
  <c r="BB1373" i="2"/>
  <c r="BC1373" i="2"/>
  <c r="AH1374" i="2"/>
  <c r="AM1374" i="2"/>
  <c r="AR1374" i="2"/>
  <c r="AW1374" i="2"/>
  <c r="BB1374" i="2"/>
  <c r="BC1374" i="2"/>
  <c r="AH1375" i="2"/>
  <c r="BC1375" i="2" s="1"/>
  <c r="AM1375" i="2"/>
  <c r="AR1375" i="2"/>
  <c r="AW1375" i="2"/>
  <c r="BB1375" i="2"/>
  <c r="AH1377" i="2"/>
  <c r="AM1377" i="2"/>
  <c r="AR1377" i="2"/>
  <c r="AW1377" i="2"/>
  <c r="BB1377" i="2"/>
  <c r="BC1377" i="2"/>
  <c r="AH1378" i="2"/>
  <c r="AM1378" i="2"/>
  <c r="AR1378" i="2"/>
  <c r="AW1378" i="2"/>
  <c r="BB1378" i="2"/>
  <c r="BC1378" i="2"/>
  <c r="AH1380" i="2"/>
  <c r="AM1380" i="2"/>
  <c r="AR1380" i="2"/>
  <c r="AW1380" i="2"/>
  <c r="BB1380" i="2"/>
  <c r="AH1381" i="2"/>
  <c r="AM1381" i="2"/>
  <c r="AR1381" i="2"/>
  <c r="AW1381" i="2"/>
  <c r="BC1381" i="2" s="1"/>
  <c r="BB1381" i="2"/>
  <c r="AH1383" i="2"/>
  <c r="AM1383" i="2"/>
  <c r="AR1383" i="2"/>
  <c r="AW1383" i="2"/>
  <c r="BB1383" i="2"/>
  <c r="AH1384" i="2"/>
  <c r="AM1384" i="2"/>
  <c r="AR1384" i="2"/>
  <c r="AW1384" i="2"/>
  <c r="BB1384" i="2"/>
  <c r="BC1384" i="2"/>
  <c r="AH1385" i="2"/>
  <c r="AM1385" i="2"/>
  <c r="AR1385" i="2"/>
  <c r="AW1385" i="2"/>
  <c r="BB1385" i="2"/>
  <c r="BC1385" i="2"/>
  <c r="AH1386" i="2"/>
  <c r="AM1386" i="2"/>
  <c r="AR1386" i="2"/>
  <c r="AW1386" i="2"/>
  <c r="BB1386" i="2"/>
  <c r="BC1386" i="2"/>
  <c r="F1365" i="2"/>
  <c r="K1365" i="2"/>
  <c r="AA1365" i="2" s="1"/>
  <c r="P1365" i="2"/>
  <c r="U1365" i="2"/>
  <c r="Z1365" i="2"/>
  <c r="F1366" i="2"/>
  <c r="K1366" i="2"/>
  <c r="P1366" i="2"/>
  <c r="U1366" i="2"/>
  <c r="AA1366" i="2" s="1"/>
  <c r="Z1366" i="2"/>
  <c r="F1367" i="2"/>
  <c r="K1367" i="2"/>
  <c r="P1367" i="2"/>
  <c r="U1367" i="2"/>
  <c r="AA1367" i="2" s="1"/>
  <c r="Z1367" i="2"/>
  <c r="F1368" i="2"/>
  <c r="K1368" i="2"/>
  <c r="P1368" i="2"/>
  <c r="U1368" i="2"/>
  <c r="Z1368" i="2"/>
  <c r="AA1368" i="2"/>
  <c r="F1369" i="2"/>
  <c r="K1369" i="2"/>
  <c r="P1369" i="2"/>
  <c r="U1369" i="2"/>
  <c r="Z1369" i="2"/>
  <c r="AA1369" i="2"/>
  <c r="F1370" i="2"/>
  <c r="K1370" i="2"/>
  <c r="P1370" i="2"/>
  <c r="U1370" i="2"/>
  <c r="Z1370" i="2"/>
  <c r="AA1370" i="2"/>
  <c r="F1371" i="2"/>
  <c r="AA1371" i="2" s="1"/>
  <c r="K1371" i="2"/>
  <c r="P1371" i="2"/>
  <c r="U1371" i="2"/>
  <c r="Z1371" i="2"/>
  <c r="F1372" i="2"/>
  <c r="K1372" i="2"/>
  <c r="AA1372" i="2" s="1"/>
  <c r="P1372" i="2"/>
  <c r="U1372" i="2"/>
  <c r="Z1372" i="2"/>
  <c r="F1373" i="2"/>
  <c r="K1373" i="2"/>
  <c r="P1373" i="2"/>
  <c r="AA1373" i="2" s="1"/>
  <c r="U1373" i="2"/>
  <c r="Z1373" i="2"/>
  <c r="F1374" i="2"/>
  <c r="K1374" i="2"/>
  <c r="P1374" i="2"/>
  <c r="U1374" i="2"/>
  <c r="AA1374" i="2" s="1"/>
  <c r="Z1374" i="2"/>
  <c r="F1375" i="2"/>
  <c r="AA1375" i="2" s="1"/>
  <c r="K1375" i="2"/>
  <c r="P1375" i="2"/>
  <c r="U1375" i="2"/>
  <c r="Z1375" i="2"/>
  <c r="F1376" i="2"/>
  <c r="K1376" i="2"/>
  <c r="P1376" i="2"/>
  <c r="U1376" i="2"/>
  <c r="AA1376" i="2" s="1"/>
  <c r="Z1376" i="2"/>
  <c r="F1377" i="2"/>
  <c r="K1377" i="2"/>
  <c r="P1377" i="2"/>
  <c r="U1377" i="2"/>
  <c r="Z1377" i="2"/>
  <c r="AA1377" i="2"/>
  <c r="F1378" i="2"/>
  <c r="K1378" i="2"/>
  <c r="P1378" i="2"/>
  <c r="U1378" i="2"/>
  <c r="Z1378" i="2"/>
  <c r="AA1378" i="2"/>
  <c r="F1379" i="2"/>
  <c r="K1379" i="2"/>
  <c r="P1379" i="2"/>
  <c r="U1379" i="2"/>
  <c r="Z1379" i="2"/>
  <c r="AA1379" i="2"/>
  <c r="F1380" i="2"/>
  <c r="K1380" i="2"/>
  <c r="P1380" i="2"/>
  <c r="U1380" i="2"/>
  <c r="Z1380" i="2"/>
  <c r="AA1380" i="2"/>
  <c r="F1358" i="2"/>
  <c r="K1358" i="2"/>
  <c r="P1358" i="2"/>
  <c r="U1358" i="2"/>
  <c r="Z1358" i="2"/>
  <c r="F1359" i="2"/>
  <c r="AA1359" i="2" s="1"/>
  <c r="K1359" i="2"/>
  <c r="P1359" i="2"/>
  <c r="U1359" i="2"/>
  <c r="Z1359" i="2"/>
  <c r="F1360" i="2"/>
  <c r="K1360" i="2"/>
  <c r="P1360" i="2"/>
  <c r="U1360" i="2"/>
  <c r="Z1360" i="2"/>
  <c r="F1361" i="2"/>
  <c r="K1361" i="2"/>
  <c r="P1361" i="2"/>
  <c r="U1361" i="2"/>
  <c r="Z1361" i="2"/>
  <c r="AA1361" i="2"/>
  <c r="BI1391" i="2"/>
  <c r="BH1391" i="2"/>
  <c r="BG1391" i="2"/>
  <c r="BF1391" i="2"/>
  <c r="BJ1391" i="2" s="1"/>
  <c r="BA1391" i="2"/>
  <c r="AZ1391" i="2"/>
  <c r="AY1391" i="2"/>
  <c r="AX1391" i="2"/>
  <c r="Y1391" i="2"/>
  <c r="X1391" i="2"/>
  <c r="W1391" i="2"/>
  <c r="V1391" i="2"/>
  <c r="Z1391" i="2" s="1"/>
  <c r="T1391" i="2"/>
  <c r="S1391" i="2"/>
  <c r="R1391" i="2"/>
  <c r="Q1391" i="2"/>
  <c r="O1391" i="2"/>
  <c r="N1391" i="2"/>
  <c r="M1391" i="2"/>
  <c r="L1391" i="2"/>
  <c r="J1391" i="2"/>
  <c r="I1391" i="2"/>
  <c r="H1391" i="2"/>
  <c r="G1391" i="2"/>
  <c r="E1391" i="2"/>
  <c r="D1391" i="2"/>
  <c r="C1391" i="2"/>
  <c r="B1391" i="2"/>
  <c r="BJ1390" i="2"/>
  <c r="Z1390" i="2"/>
  <c r="U1390" i="2"/>
  <c r="P1390" i="2"/>
  <c r="K1390" i="2"/>
  <c r="F1390" i="2"/>
  <c r="AA1390" i="2" s="1"/>
  <c r="BJ1389" i="2"/>
  <c r="Z1389" i="2"/>
  <c r="U1389" i="2"/>
  <c r="P1389" i="2"/>
  <c r="K1389" i="2"/>
  <c r="AA1389" i="2" s="1"/>
  <c r="F1389" i="2"/>
  <c r="BJ1388" i="2"/>
  <c r="AV1391" i="2"/>
  <c r="AT1391" i="2"/>
  <c r="AQ1391" i="2"/>
  <c r="AP1391" i="2"/>
  <c r="AO1391" i="2"/>
  <c r="AN1391" i="2"/>
  <c r="AL1391" i="2"/>
  <c r="AK1391" i="2"/>
  <c r="AJ1391" i="2"/>
  <c r="AI1391" i="2"/>
  <c r="AG1391" i="2"/>
  <c r="AF1391" i="2"/>
  <c r="AE1391" i="2"/>
  <c r="Z1388" i="2"/>
  <c r="U1388" i="2"/>
  <c r="P1388" i="2"/>
  <c r="K1388" i="2"/>
  <c r="F1388" i="2"/>
  <c r="AA1388" i="2" s="1"/>
  <c r="BJ1387" i="2"/>
  <c r="BB1387" i="2"/>
  <c r="AW1387" i="2"/>
  <c r="AR1387" i="2"/>
  <c r="AM1387" i="2"/>
  <c r="BC1387" i="2" s="1"/>
  <c r="AH1387" i="2"/>
  <c r="Z1387" i="2"/>
  <c r="U1387" i="2"/>
  <c r="P1387" i="2"/>
  <c r="K1387" i="2"/>
  <c r="AA1387" i="2" s="1"/>
  <c r="F1387" i="2"/>
  <c r="BJ1386" i="2"/>
  <c r="Z1386" i="2"/>
  <c r="U1386" i="2"/>
  <c r="P1386" i="2"/>
  <c r="K1386" i="2"/>
  <c r="F1386" i="2"/>
  <c r="AA1386" i="2" s="1"/>
  <c r="BJ1385" i="2"/>
  <c r="Z1385" i="2"/>
  <c r="U1385" i="2"/>
  <c r="P1385" i="2"/>
  <c r="K1385" i="2"/>
  <c r="AA1385" i="2" s="1"/>
  <c r="F1385" i="2"/>
  <c r="BJ1384" i="2"/>
  <c r="Z1384" i="2"/>
  <c r="U1384" i="2"/>
  <c r="P1384" i="2"/>
  <c r="K1384" i="2"/>
  <c r="F1384" i="2"/>
  <c r="AA1384" i="2" s="1"/>
  <c r="BJ1383" i="2"/>
  <c r="Z1383" i="2"/>
  <c r="U1383" i="2"/>
  <c r="P1383" i="2"/>
  <c r="K1383" i="2"/>
  <c r="AA1383" i="2" s="1"/>
  <c r="F1383" i="2"/>
  <c r="BJ1382" i="2"/>
  <c r="Z1382" i="2"/>
  <c r="U1382" i="2"/>
  <c r="P1382" i="2"/>
  <c r="K1382" i="2"/>
  <c r="F1382" i="2"/>
  <c r="AA1382" i="2" s="1"/>
  <c r="BJ1381" i="2"/>
  <c r="Z1381" i="2"/>
  <c r="U1381" i="2"/>
  <c r="P1381" i="2"/>
  <c r="K1381" i="2"/>
  <c r="AA1381" i="2" s="1"/>
  <c r="F1381" i="2"/>
  <c r="BJ1380" i="2"/>
  <c r="BJ1379" i="2"/>
  <c r="BJ1378" i="2"/>
  <c r="BJ1377" i="2"/>
  <c r="BJ1376" i="2"/>
  <c r="BJ1375" i="2"/>
  <c r="BJ1374" i="2"/>
  <c r="BJ1373" i="2"/>
  <c r="BJ1372" i="2"/>
  <c r="BJ1371" i="2"/>
  <c r="BJ1370" i="2"/>
  <c r="BJ1369" i="2"/>
  <c r="BJ1368" i="2"/>
  <c r="BJ1367" i="2"/>
  <c r="BJ1366" i="2"/>
  <c r="BJ1365" i="2"/>
  <c r="BF1364" i="2"/>
  <c r="BF1392" i="2" s="1"/>
  <c r="BJ1363" i="2"/>
  <c r="BB1363" i="2"/>
  <c r="AW1363" i="2"/>
  <c r="AR1363" i="2"/>
  <c r="AM1363" i="2"/>
  <c r="AH1363" i="2"/>
  <c r="BC1363" i="2" s="1"/>
  <c r="Z1363" i="2"/>
  <c r="U1363" i="2"/>
  <c r="P1363" i="2"/>
  <c r="K1363" i="2"/>
  <c r="F1363" i="2"/>
  <c r="AA1363" i="2" s="1"/>
  <c r="BJ1362" i="2"/>
  <c r="BB1362" i="2"/>
  <c r="AW1362" i="2"/>
  <c r="AR1362" i="2"/>
  <c r="AM1362" i="2"/>
  <c r="BC1362" i="2" s="1"/>
  <c r="AH1362" i="2"/>
  <c r="Z1362" i="2"/>
  <c r="U1362" i="2"/>
  <c r="P1362" i="2"/>
  <c r="K1362" i="2"/>
  <c r="F1362" i="2"/>
  <c r="BJ1361" i="2"/>
  <c r="BB1361" i="2"/>
  <c r="AW1361" i="2"/>
  <c r="AR1361" i="2"/>
  <c r="AM1361" i="2"/>
  <c r="AH1361" i="2"/>
  <c r="BC1361" i="2" s="1"/>
  <c r="BJ1360" i="2"/>
  <c r="BB1360" i="2"/>
  <c r="AW1360" i="2"/>
  <c r="AR1360" i="2"/>
  <c r="AM1360" i="2"/>
  <c r="BC1360" i="2" s="1"/>
  <c r="AH1360" i="2"/>
  <c r="BJ1359" i="2"/>
  <c r="BB1359" i="2"/>
  <c r="AW1359" i="2"/>
  <c r="AR1359" i="2"/>
  <c r="AM1359" i="2"/>
  <c r="AH1359" i="2"/>
  <c r="BC1359" i="2" s="1"/>
  <c r="BJ1358" i="2"/>
  <c r="BB1358" i="2"/>
  <c r="AW1358" i="2"/>
  <c r="AR1358" i="2"/>
  <c r="AM1358" i="2"/>
  <c r="BC1358" i="2" s="1"/>
  <c r="AH1358" i="2"/>
  <c r="BJ1357" i="2"/>
  <c r="BB1357" i="2"/>
  <c r="AW1357" i="2"/>
  <c r="AR1357" i="2"/>
  <c r="AM1357" i="2"/>
  <c r="AH1357" i="2"/>
  <c r="BC1357" i="2" s="1"/>
  <c r="BJ1356" i="2"/>
  <c r="BI1356" i="2"/>
  <c r="BI1364" i="2" s="1"/>
  <c r="BI1392" i="2" s="1"/>
  <c r="BH1356" i="2"/>
  <c r="BH1364" i="2" s="1"/>
  <c r="BH1392" i="2" s="1"/>
  <c r="BG1356" i="2"/>
  <c r="BG1364" i="2" s="1"/>
  <c r="BG1392" i="2" s="1"/>
  <c r="BF1356" i="2"/>
  <c r="BB1334" i="2"/>
  <c r="AW1334" i="2"/>
  <c r="AR1334" i="2"/>
  <c r="AM1334" i="2"/>
  <c r="AH1334" i="2"/>
  <c r="BC1334" i="2" s="1"/>
  <c r="Z1332" i="2"/>
  <c r="U1332" i="2"/>
  <c r="P1332" i="2"/>
  <c r="K1332" i="2"/>
  <c r="F1332" i="2"/>
  <c r="AA1332" i="2" s="1"/>
  <c r="BB1325" i="2"/>
  <c r="AW1325" i="2"/>
  <c r="AR1325" i="2"/>
  <c r="AM1325" i="2"/>
  <c r="AH1325" i="2"/>
  <c r="BC1325" i="2" s="1"/>
  <c r="BB1324" i="2"/>
  <c r="AW1324" i="2"/>
  <c r="AR1324" i="2"/>
  <c r="AM1324" i="2"/>
  <c r="AH1324" i="2"/>
  <c r="BC1324" i="2" s="1"/>
  <c r="BB1287" i="2"/>
  <c r="AW1287" i="2"/>
  <c r="AR1287" i="2"/>
  <c r="AM1287" i="2"/>
  <c r="AH1287" i="2"/>
  <c r="BC1287" i="2" s="1"/>
  <c r="BB1286" i="2"/>
  <c r="AW1286" i="2"/>
  <c r="AR1286" i="2"/>
  <c r="AM1286" i="2"/>
  <c r="AH1286" i="2"/>
  <c r="BC1286" i="2" s="1"/>
  <c r="F1314" i="2"/>
  <c r="K1314" i="2"/>
  <c r="P1314" i="2"/>
  <c r="U1314" i="2"/>
  <c r="Z1314" i="2"/>
  <c r="F1315" i="2"/>
  <c r="K1315" i="2"/>
  <c r="P1315" i="2"/>
  <c r="U1315" i="2"/>
  <c r="AA1315" i="2" s="1"/>
  <c r="Z1315" i="2"/>
  <c r="BB1275" i="2"/>
  <c r="AW1275" i="2"/>
  <c r="AR1275" i="2"/>
  <c r="AM1275" i="2"/>
  <c r="AH1275" i="2"/>
  <c r="BC1275" i="2" s="1"/>
  <c r="BB1274" i="2"/>
  <c r="AW1274" i="2"/>
  <c r="AR1274" i="2"/>
  <c r="AM1274" i="2"/>
  <c r="AH1274" i="2"/>
  <c r="BC1274" i="2" s="1"/>
  <c r="F1322" i="2"/>
  <c r="K1322" i="2"/>
  <c r="P1322" i="2"/>
  <c r="U1322" i="2"/>
  <c r="Z1322" i="2"/>
  <c r="AA1322" i="2"/>
  <c r="F1323" i="2"/>
  <c r="K1323" i="2"/>
  <c r="P1323" i="2"/>
  <c r="U1323" i="2"/>
  <c r="AA1323" i="2" s="1"/>
  <c r="Z1323" i="2"/>
  <c r="BB1285" i="2"/>
  <c r="AW1285" i="2"/>
  <c r="AR1285" i="2"/>
  <c r="AM1285" i="2"/>
  <c r="AH1285" i="2"/>
  <c r="BB1273" i="2"/>
  <c r="AW1273" i="2"/>
  <c r="AR1273" i="2"/>
  <c r="AM1273" i="2"/>
  <c r="AH1273" i="2"/>
  <c r="BC1273" i="2" s="1"/>
  <c r="Z1276" i="2"/>
  <c r="U1276" i="2"/>
  <c r="P1276" i="2"/>
  <c r="K1276" i="2"/>
  <c r="F1276" i="2"/>
  <c r="AA1276" i="2" s="1"/>
  <c r="BB1284" i="2"/>
  <c r="AW1284" i="2"/>
  <c r="AR1284" i="2"/>
  <c r="AM1284" i="2"/>
  <c r="AH1284" i="2"/>
  <c r="BC1284" i="2" s="1"/>
  <c r="AH1271" i="2"/>
  <c r="AM1271" i="2"/>
  <c r="AR1271" i="2"/>
  <c r="AW1271" i="2"/>
  <c r="BB1271" i="2"/>
  <c r="F1316" i="2"/>
  <c r="K1316" i="2"/>
  <c r="P1316" i="2"/>
  <c r="U1316" i="2"/>
  <c r="AA1316" i="2" s="1"/>
  <c r="Z1316" i="2"/>
  <c r="F1317" i="2"/>
  <c r="K1317" i="2"/>
  <c r="P1317" i="2"/>
  <c r="U1317" i="2"/>
  <c r="Z1317" i="2"/>
  <c r="F1318" i="2"/>
  <c r="AA1318" i="2" s="1"/>
  <c r="K1318" i="2"/>
  <c r="P1318" i="2"/>
  <c r="U1318" i="2"/>
  <c r="Z1318" i="2"/>
  <c r="F1319" i="2"/>
  <c r="K1319" i="2"/>
  <c r="P1319" i="2"/>
  <c r="U1319" i="2"/>
  <c r="Z1319" i="2"/>
  <c r="AA1319" i="2"/>
  <c r="AH1272" i="2"/>
  <c r="AM1272" i="2"/>
  <c r="AR1272" i="2"/>
  <c r="AW1272" i="2"/>
  <c r="BB1272" i="2"/>
  <c r="AH1300" i="2"/>
  <c r="BC1300" i="2" s="1"/>
  <c r="AM1300" i="2"/>
  <c r="AR1300" i="2"/>
  <c r="AW1300" i="2"/>
  <c r="BB1300" i="2"/>
  <c r="AH1301" i="2"/>
  <c r="BC1301" i="2" s="1"/>
  <c r="AM1301" i="2"/>
  <c r="AR1301" i="2"/>
  <c r="AW1301" i="2"/>
  <c r="BB1301" i="2"/>
  <c r="AH1302" i="2"/>
  <c r="BC1302" i="2" s="1"/>
  <c r="AM1302" i="2"/>
  <c r="AR1302" i="2"/>
  <c r="AW1302" i="2"/>
  <c r="BB1302" i="2"/>
  <c r="AH1303" i="2"/>
  <c r="BC1303" i="2" s="1"/>
  <c r="AM1303" i="2"/>
  <c r="AR1303" i="2"/>
  <c r="AW1303" i="2"/>
  <c r="BB1303" i="2"/>
  <c r="AH1304" i="2"/>
  <c r="BC1304" i="2" s="1"/>
  <c r="AM1304" i="2"/>
  <c r="AR1304" i="2"/>
  <c r="AW1304" i="2"/>
  <c r="BB1304" i="2"/>
  <c r="AH1322" i="2"/>
  <c r="AM1322" i="2"/>
  <c r="AR1322" i="2"/>
  <c r="AW1322" i="2"/>
  <c r="BB1322" i="2"/>
  <c r="BC1322" i="2"/>
  <c r="AH1323" i="2"/>
  <c r="AM1323" i="2"/>
  <c r="AR1323" i="2"/>
  <c r="AW1323" i="2"/>
  <c r="BB1323" i="2"/>
  <c r="BC1323" i="2"/>
  <c r="AH1326" i="2"/>
  <c r="AM1326" i="2"/>
  <c r="AR1326" i="2"/>
  <c r="AW1326" i="2"/>
  <c r="BB1326" i="2"/>
  <c r="BC1326" i="2"/>
  <c r="AH1327" i="2"/>
  <c r="AM1327" i="2"/>
  <c r="AR1327" i="2"/>
  <c r="AW1327" i="2"/>
  <c r="BC1327" i="2" s="1"/>
  <c r="BB1327" i="2"/>
  <c r="AH1328" i="2"/>
  <c r="AM1328" i="2"/>
  <c r="AR1328" i="2"/>
  <c r="AW1328" i="2"/>
  <c r="BB1328" i="2"/>
  <c r="BC1328" i="2"/>
  <c r="AH1329" i="2"/>
  <c r="AM1329" i="2"/>
  <c r="AR1329" i="2"/>
  <c r="AW1329" i="2"/>
  <c r="BB1329" i="2"/>
  <c r="BC1329" i="2"/>
  <c r="AH1314" i="2"/>
  <c r="AM1314" i="2"/>
  <c r="AR1314" i="2"/>
  <c r="AW1314" i="2"/>
  <c r="BB1314" i="2"/>
  <c r="BC1314" i="2"/>
  <c r="AH1315" i="2"/>
  <c r="AM1315" i="2"/>
  <c r="AR1315" i="2"/>
  <c r="AW1315" i="2"/>
  <c r="BB1315" i="2"/>
  <c r="BC1315" i="2"/>
  <c r="AH1316" i="2"/>
  <c r="AM1316" i="2"/>
  <c r="AR1316" i="2"/>
  <c r="AW1316" i="2"/>
  <c r="BB1316" i="2"/>
  <c r="BC1316" i="2"/>
  <c r="AH1317" i="2"/>
  <c r="AM1317" i="2"/>
  <c r="AR1317" i="2"/>
  <c r="AW1317" i="2"/>
  <c r="BB1317" i="2"/>
  <c r="BC1317" i="2"/>
  <c r="F1324" i="2"/>
  <c r="K1324" i="2"/>
  <c r="P1324" i="2"/>
  <c r="U1324" i="2"/>
  <c r="AA1324" i="2" s="1"/>
  <c r="Z1324" i="2"/>
  <c r="F1325" i="2"/>
  <c r="K1325" i="2"/>
  <c r="AA1325" i="2" s="1"/>
  <c r="P1325" i="2"/>
  <c r="U1325" i="2"/>
  <c r="Z1325" i="2"/>
  <c r="F1326" i="2"/>
  <c r="K1326" i="2"/>
  <c r="AA1326" i="2" s="1"/>
  <c r="P1326" i="2"/>
  <c r="U1326" i="2"/>
  <c r="Z1326" i="2"/>
  <c r="F1327" i="2"/>
  <c r="K1327" i="2"/>
  <c r="P1327" i="2"/>
  <c r="U1327" i="2"/>
  <c r="AA1327" i="2" s="1"/>
  <c r="Z1327" i="2"/>
  <c r="F1328" i="2"/>
  <c r="K1328" i="2"/>
  <c r="P1328" i="2"/>
  <c r="U1328" i="2"/>
  <c r="Z1328" i="2"/>
  <c r="AA1328" i="2"/>
  <c r="F1329" i="2"/>
  <c r="K1329" i="2"/>
  <c r="P1329" i="2"/>
  <c r="U1329" i="2"/>
  <c r="Z1329" i="2"/>
  <c r="AA1329" i="2"/>
  <c r="F1330" i="2"/>
  <c r="K1330" i="2"/>
  <c r="P1330" i="2"/>
  <c r="U1330" i="2"/>
  <c r="Z1330" i="2"/>
  <c r="AA1330" i="2"/>
  <c r="F1331" i="2"/>
  <c r="K1331" i="2"/>
  <c r="AA1331" i="2" s="1"/>
  <c r="P1331" i="2"/>
  <c r="U1331" i="2"/>
  <c r="Z1331" i="2"/>
  <c r="F1333" i="2"/>
  <c r="K1333" i="2"/>
  <c r="P1333" i="2"/>
  <c r="U1333" i="2"/>
  <c r="Z1333" i="2"/>
  <c r="AA1333" i="2"/>
  <c r="F1334" i="2"/>
  <c r="K1334" i="2"/>
  <c r="P1334" i="2"/>
  <c r="U1334" i="2"/>
  <c r="Z1334" i="2"/>
  <c r="AA1334" i="2"/>
  <c r="F1335" i="2"/>
  <c r="K1335" i="2"/>
  <c r="P1335" i="2"/>
  <c r="U1335" i="2"/>
  <c r="Z1335" i="2"/>
  <c r="AA1335" i="2"/>
  <c r="F1336" i="2"/>
  <c r="K1336" i="2"/>
  <c r="P1336" i="2"/>
  <c r="U1336" i="2"/>
  <c r="Z1336" i="2"/>
  <c r="AA1336" i="2"/>
  <c r="F1337" i="2"/>
  <c r="K1337" i="2"/>
  <c r="P1337" i="2"/>
  <c r="AA1337" i="2" s="1"/>
  <c r="U1337" i="2"/>
  <c r="Z1337" i="2"/>
  <c r="F1338" i="2"/>
  <c r="K1338" i="2"/>
  <c r="P1338" i="2"/>
  <c r="U1338" i="2"/>
  <c r="AA1338" i="2" s="1"/>
  <c r="Z1338" i="2"/>
  <c r="F1339" i="2"/>
  <c r="K1339" i="2"/>
  <c r="P1339" i="2"/>
  <c r="U1339" i="2"/>
  <c r="Z1339" i="2"/>
  <c r="AA1339" i="2"/>
  <c r="F1340" i="2"/>
  <c r="AA1340" i="2" s="1"/>
  <c r="K1340" i="2"/>
  <c r="P1340" i="2"/>
  <c r="U1340" i="2"/>
  <c r="Z1340" i="2"/>
  <c r="F1341" i="2"/>
  <c r="K1341" i="2"/>
  <c r="P1341" i="2"/>
  <c r="U1341" i="2"/>
  <c r="Z1341" i="2"/>
  <c r="BI1348" i="2"/>
  <c r="BH1348" i="2"/>
  <c r="BG1348" i="2"/>
  <c r="BF1348" i="2"/>
  <c r="BJ1348" i="2" s="1"/>
  <c r="BA1348" i="2"/>
  <c r="AZ1348" i="2"/>
  <c r="AY1348" i="2"/>
  <c r="AX1348" i="2"/>
  <c r="AV1348" i="2"/>
  <c r="AU1348" i="2"/>
  <c r="AT1348" i="2"/>
  <c r="AS1348" i="2"/>
  <c r="AQ1348" i="2"/>
  <c r="AP1348" i="2"/>
  <c r="AO1348" i="2"/>
  <c r="AN1348" i="2"/>
  <c r="AL1348" i="2"/>
  <c r="AK1348" i="2"/>
  <c r="AJ1348" i="2"/>
  <c r="AI1348" i="2"/>
  <c r="AG1348" i="2"/>
  <c r="AF1348" i="2"/>
  <c r="AE1348" i="2"/>
  <c r="AD1348" i="2"/>
  <c r="Y1348" i="2"/>
  <c r="X1348" i="2"/>
  <c r="W1348" i="2"/>
  <c r="V1348" i="2"/>
  <c r="T1348" i="2"/>
  <c r="S1348" i="2"/>
  <c r="R1348" i="2"/>
  <c r="Q1348" i="2"/>
  <c r="O1348" i="2"/>
  <c r="N1348" i="2"/>
  <c r="M1348" i="2"/>
  <c r="L1348" i="2"/>
  <c r="J1348" i="2"/>
  <c r="I1348" i="2"/>
  <c r="H1348" i="2"/>
  <c r="G1348" i="2"/>
  <c r="E1348" i="2"/>
  <c r="D1348" i="2"/>
  <c r="C1348" i="2"/>
  <c r="B1348" i="2"/>
  <c r="BJ1347" i="2"/>
  <c r="Z1347" i="2"/>
  <c r="U1347" i="2"/>
  <c r="P1347" i="2"/>
  <c r="K1347" i="2"/>
  <c r="F1347" i="2"/>
  <c r="AA1347" i="2" s="1"/>
  <c r="BJ1346" i="2"/>
  <c r="Z1346" i="2"/>
  <c r="U1346" i="2"/>
  <c r="P1346" i="2"/>
  <c r="AA1346" i="2" s="1"/>
  <c r="K1346" i="2"/>
  <c r="F1346" i="2"/>
  <c r="BJ1345" i="2"/>
  <c r="Z1345" i="2"/>
  <c r="U1345" i="2"/>
  <c r="P1345" i="2"/>
  <c r="K1345" i="2"/>
  <c r="F1345" i="2"/>
  <c r="AA1345" i="2" s="1"/>
  <c r="BJ1344" i="2"/>
  <c r="BB1344" i="2"/>
  <c r="AW1344" i="2"/>
  <c r="AR1344" i="2"/>
  <c r="AM1344" i="2"/>
  <c r="AH1344" i="2"/>
  <c r="Z1344" i="2"/>
  <c r="U1344" i="2"/>
  <c r="P1344" i="2"/>
  <c r="K1344" i="2"/>
  <c r="F1344" i="2"/>
  <c r="AA1344" i="2" s="1"/>
  <c r="BJ1343" i="2"/>
  <c r="BB1343" i="2"/>
  <c r="AW1343" i="2"/>
  <c r="BC1343" i="2" s="1"/>
  <c r="AR1343" i="2"/>
  <c r="AM1343" i="2"/>
  <c r="AH1343" i="2"/>
  <c r="AA1343" i="2"/>
  <c r="Z1343" i="2"/>
  <c r="U1343" i="2"/>
  <c r="P1343" i="2"/>
  <c r="K1343" i="2"/>
  <c r="F1343" i="2"/>
  <c r="BJ1342" i="2"/>
  <c r="BB1342" i="2"/>
  <c r="AW1342" i="2"/>
  <c r="AR1342" i="2"/>
  <c r="AM1342" i="2"/>
  <c r="AH1342" i="2"/>
  <c r="BC1342" i="2" s="1"/>
  <c r="Z1342" i="2"/>
  <c r="U1342" i="2"/>
  <c r="P1342" i="2"/>
  <c r="K1342" i="2"/>
  <c r="F1342" i="2"/>
  <c r="BJ1341" i="2"/>
  <c r="BB1341" i="2"/>
  <c r="AW1341" i="2"/>
  <c r="AR1341" i="2"/>
  <c r="AM1341" i="2"/>
  <c r="AH1341" i="2"/>
  <c r="BJ1340" i="2"/>
  <c r="BB1340" i="2"/>
  <c r="AW1340" i="2"/>
  <c r="AR1340" i="2"/>
  <c r="BC1340" i="2" s="1"/>
  <c r="AM1340" i="2"/>
  <c r="AH1340" i="2"/>
  <c r="BJ1339" i="2"/>
  <c r="BB1339" i="2"/>
  <c r="AW1339" i="2"/>
  <c r="AR1339" i="2"/>
  <c r="AM1339" i="2"/>
  <c r="AH1339" i="2"/>
  <c r="BC1339" i="2" s="1"/>
  <c r="BJ1338" i="2"/>
  <c r="BB1338" i="2"/>
  <c r="AW1338" i="2"/>
  <c r="AR1338" i="2"/>
  <c r="AM1338" i="2"/>
  <c r="AH1338" i="2"/>
  <c r="BC1338" i="2" s="1"/>
  <c r="BJ1337" i="2"/>
  <c r="BB1337" i="2"/>
  <c r="AW1337" i="2"/>
  <c r="AR1337" i="2"/>
  <c r="AM1337" i="2"/>
  <c r="BC1337" i="2" s="1"/>
  <c r="AH1337" i="2"/>
  <c r="BJ1336" i="2"/>
  <c r="BB1336" i="2"/>
  <c r="AW1336" i="2"/>
  <c r="AR1336" i="2"/>
  <c r="AM1336" i="2"/>
  <c r="AH1336" i="2"/>
  <c r="BC1336" i="2" s="1"/>
  <c r="BJ1335" i="2"/>
  <c r="BB1335" i="2"/>
  <c r="AW1335" i="2"/>
  <c r="AR1335" i="2"/>
  <c r="AM1335" i="2"/>
  <c r="AH1335" i="2"/>
  <c r="BC1335" i="2" s="1"/>
  <c r="BJ1334" i="2"/>
  <c r="BJ1333" i="2"/>
  <c r="BB1333" i="2"/>
  <c r="AW1333" i="2"/>
  <c r="AR1333" i="2"/>
  <c r="AM1333" i="2"/>
  <c r="AH1333" i="2"/>
  <c r="BJ1332" i="2"/>
  <c r="BB1332" i="2"/>
  <c r="AW1332" i="2"/>
  <c r="AR1332" i="2"/>
  <c r="AM1332" i="2"/>
  <c r="AH1332" i="2"/>
  <c r="BJ1331" i="2"/>
  <c r="BB1331" i="2"/>
  <c r="AW1331" i="2"/>
  <c r="AR1331" i="2"/>
  <c r="AM1331" i="2"/>
  <c r="BC1331" i="2" s="1"/>
  <c r="AH1331" i="2"/>
  <c r="BJ1330" i="2"/>
  <c r="BB1330" i="2"/>
  <c r="AW1330" i="2"/>
  <c r="AR1330" i="2"/>
  <c r="AM1330" i="2"/>
  <c r="AH1330" i="2"/>
  <c r="BJ1329" i="2"/>
  <c r="BJ1328" i="2"/>
  <c r="BJ1327" i="2"/>
  <c r="BJ1326" i="2"/>
  <c r="BJ1325" i="2"/>
  <c r="BJ1324" i="2"/>
  <c r="BJ1323" i="2"/>
  <c r="BJ1322" i="2"/>
  <c r="BG1321" i="2"/>
  <c r="BG1349" i="2" s="1"/>
  <c r="BJ1320" i="2"/>
  <c r="BB1320" i="2"/>
  <c r="AW1320" i="2"/>
  <c r="AR1320" i="2"/>
  <c r="AM1320" i="2"/>
  <c r="AH1320" i="2"/>
  <c r="BC1320" i="2" s="1"/>
  <c r="BJ1319" i="2"/>
  <c r="BB1319" i="2"/>
  <c r="AW1319" i="2"/>
  <c r="AR1319" i="2"/>
  <c r="AM1319" i="2"/>
  <c r="AH1319" i="2"/>
  <c r="BC1319" i="2" s="1"/>
  <c r="BJ1318" i="2"/>
  <c r="BB1318" i="2"/>
  <c r="AW1318" i="2"/>
  <c r="AR1318" i="2"/>
  <c r="BC1318" i="2" s="1"/>
  <c r="AM1318" i="2"/>
  <c r="AH1318" i="2"/>
  <c r="BJ1317" i="2"/>
  <c r="BJ1316" i="2"/>
  <c r="BJ1315" i="2"/>
  <c r="BJ1314" i="2"/>
  <c r="BJ1313" i="2"/>
  <c r="BI1313" i="2"/>
  <c r="BI1321" i="2" s="1"/>
  <c r="BI1349" i="2" s="1"/>
  <c r="BH1313" i="2"/>
  <c r="BH1321" i="2" s="1"/>
  <c r="BH1349" i="2" s="1"/>
  <c r="BG1313" i="2"/>
  <c r="BF1313" i="2"/>
  <c r="BF1321" i="2" s="1"/>
  <c r="BB1283" i="2"/>
  <c r="AW1283" i="2"/>
  <c r="AR1283" i="2"/>
  <c r="AM1283" i="2"/>
  <c r="AH1283" i="2"/>
  <c r="BC1283" i="2" s="1"/>
  <c r="BB1282" i="2"/>
  <c r="AW1282" i="2"/>
  <c r="AR1282" i="2"/>
  <c r="AM1282" i="2"/>
  <c r="AH1282" i="2"/>
  <c r="BC1282" i="2" s="1"/>
  <c r="BB1281" i="2"/>
  <c r="AW1281" i="2"/>
  <c r="AR1281" i="2"/>
  <c r="AM1281" i="2"/>
  <c r="AH1281" i="2"/>
  <c r="BC1281" i="2" s="1"/>
  <c r="BB1280" i="2"/>
  <c r="AW1280" i="2"/>
  <c r="AR1280" i="2"/>
  <c r="AM1280" i="2"/>
  <c r="AH1280" i="2"/>
  <c r="BC1280" i="2" s="1"/>
  <c r="BB1228" i="2"/>
  <c r="AW1228" i="2"/>
  <c r="AR1228" i="2"/>
  <c r="AM1228" i="2"/>
  <c r="AH1228" i="2"/>
  <c r="BC1228" i="2" s="1"/>
  <c r="BC1279" i="2"/>
  <c r="BB1279" i="2"/>
  <c r="AW1279" i="2"/>
  <c r="AR1279" i="2"/>
  <c r="AM1279" i="2"/>
  <c r="AH1279" i="2"/>
  <c r="BJ1279" i="2"/>
  <c r="BJ1280" i="2"/>
  <c r="BJ1281" i="2"/>
  <c r="BJ1282" i="2"/>
  <c r="BJ1271" i="2"/>
  <c r="BJ1272" i="2"/>
  <c r="BJ1273" i="2"/>
  <c r="BJ1274" i="2"/>
  <c r="AH1288" i="2"/>
  <c r="AM1288" i="2"/>
  <c r="AR1288" i="2"/>
  <c r="AW1288" i="2"/>
  <c r="BB1288" i="2"/>
  <c r="BC1288" i="2"/>
  <c r="AH1289" i="2"/>
  <c r="AM1289" i="2"/>
  <c r="AR1289" i="2"/>
  <c r="AW1289" i="2"/>
  <c r="BB1289" i="2"/>
  <c r="BC1289" i="2"/>
  <c r="AH1290" i="2"/>
  <c r="AM1290" i="2"/>
  <c r="AR1290" i="2"/>
  <c r="AW1290" i="2"/>
  <c r="BB1290" i="2"/>
  <c r="BC1290" i="2"/>
  <c r="AH1291" i="2"/>
  <c r="AM1291" i="2"/>
  <c r="AR1291" i="2"/>
  <c r="AW1291" i="2"/>
  <c r="BB1291" i="2"/>
  <c r="BC1291" i="2"/>
  <c r="AH1292" i="2"/>
  <c r="AM1292" i="2"/>
  <c r="AR1292" i="2"/>
  <c r="AW1292" i="2"/>
  <c r="BB1292" i="2"/>
  <c r="BC1292" i="2"/>
  <c r="AH1293" i="2"/>
  <c r="AM1293" i="2"/>
  <c r="AR1293" i="2"/>
  <c r="AW1293" i="2"/>
  <c r="BB1293" i="2"/>
  <c r="BC1293" i="2"/>
  <c r="AH1294" i="2"/>
  <c r="AM1294" i="2"/>
  <c r="AR1294" i="2"/>
  <c r="AW1294" i="2"/>
  <c r="BB1294" i="2"/>
  <c r="BC1294" i="2"/>
  <c r="AH1295" i="2"/>
  <c r="AM1295" i="2"/>
  <c r="AR1295" i="2"/>
  <c r="AW1295" i="2"/>
  <c r="BB1295" i="2"/>
  <c r="BC1295" i="2"/>
  <c r="AH1296" i="2"/>
  <c r="AM1296" i="2"/>
  <c r="AR1296" i="2"/>
  <c r="AW1296" i="2"/>
  <c r="BB1296" i="2"/>
  <c r="BC1296" i="2"/>
  <c r="AH1297" i="2"/>
  <c r="AM1297" i="2"/>
  <c r="AR1297" i="2"/>
  <c r="AW1297" i="2"/>
  <c r="BB1297" i="2"/>
  <c r="BC1297" i="2"/>
  <c r="AH1298" i="2"/>
  <c r="AM1298" i="2"/>
  <c r="AR1298" i="2"/>
  <c r="AW1298" i="2"/>
  <c r="BB1298" i="2"/>
  <c r="BC1298" i="2"/>
  <c r="Z1277" i="2"/>
  <c r="U1277" i="2"/>
  <c r="P1277" i="2"/>
  <c r="K1277" i="2"/>
  <c r="F1277" i="2"/>
  <c r="Z1275" i="2"/>
  <c r="U1275" i="2"/>
  <c r="P1275" i="2"/>
  <c r="K1275" i="2"/>
  <c r="F1275" i="2"/>
  <c r="Z1274" i="2"/>
  <c r="U1274" i="2"/>
  <c r="P1274" i="2"/>
  <c r="K1274" i="2"/>
  <c r="F1274" i="2"/>
  <c r="Z1273" i="2"/>
  <c r="U1273" i="2"/>
  <c r="P1273" i="2"/>
  <c r="K1273" i="2"/>
  <c r="F1273" i="2"/>
  <c r="Z1272" i="2"/>
  <c r="U1272" i="2"/>
  <c r="P1272" i="2"/>
  <c r="K1272" i="2"/>
  <c r="F1272" i="2"/>
  <c r="Z1271" i="2"/>
  <c r="U1271" i="2"/>
  <c r="P1271" i="2"/>
  <c r="K1271" i="2"/>
  <c r="F1271" i="2"/>
  <c r="F1279" i="2"/>
  <c r="K1279" i="2"/>
  <c r="P1279" i="2"/>
  <c r="U1279" i="2"/>
  <c r="Z1279" i="2"/>
  <c r="F1280" i="2"/>
  <c r="K1280" i="2"/>
  <c r="P1280" i="2"/>
  <c r="U1280" i="2"/>
  <c r="Z1280" i="2"/>
  <c r="AA1280" i="2"/>
  <c r="F1281" i="2"/>
  <c r="K1281" i="2"/>
  <c r="P1281" i="2"/>
  <c r="AA1281" i="2" s="1"/>
  <c r="U1281" i="2"/>
  <c r="Z1281" i="2"/>
  <c r="F1282" i="2"/>
  <c r="AA1282" i="2" s="1"/>
  <c r="K1282" i="2"/>
  <c r="P1282" i="2"/>
  <c r="U1282" i="2"/>
  <c r="Z1282" i="2"/>
  <c r="F1283" i="2"/>
  <c r="K1283" i="2"/>
  <c r="P1283" i="2"/>
  <c r="U1283" i="2"/>
  <c r="AA1283" i="2" s="1"/>
  <c r="Z1283" i="2"/>
  <c r="F1284" i="2"/>
  <c r="K1284" i="2"/>
  <c r="P1284" i="2"/>
  <c r="U1284" i="2"/>
  <c r="Z1284" i="2"/>
  <c r="F1285" i="2"/>
  <c r="K1285" i="2"/>
  <c r="P1285" i="2"/>
  <c r="U1285" i="2"/>
  <c r="Z1285" i="2"/>
  <c r="AA1285" i="2"/>
  <c r="F1286" i="2"/>
  <c r="K1286" i="2"/>
  <c r="P1286" i="2"/>
  <c r="U1286" i="2"/>
  <c r="AA1286" i="2" s="1"/>
  <c r="Z1286" i="2"/>
  <c r="F1287" i="2"/>
  <c r="K1287" i="2"/>
  <c r="AA1287" i="2" s="1"/>
  <c r="P1287" i="2"/>
  <c r="U1287" i="2"/>
  <c r="Z1287" i="2"/>
  <c r="F1288" i="2"/>
  <c r="K1288" i="2"/>
  <c r="P1288" i="2"/>
  <c r="U1288" i="2"/>
  <c r="AA1288" i="2" s="1"/>
  <c r="Z1288" i="2"/>
  <c r="F1289" i="2"/>
  <c r="K1289" i="2"/>
  <c r="P1289" i="2"/>
  <c r="U1289" i="2"/>
  <c r="Z1289" i="2"/>
  <c r="AA1289" i="2" s="1"/>
  <c r="F1290" i="2"/>
  <c r="K1290" i="2"/>
  <c r="P1290" i="2"/>
  <c r="U1290" i="2"/>
  <c r="Z1290" i="2"/>
  <c r="AA1290" i="2"/>
  <c r="F1291" i="2"/>
  <c r="K1291" i="2"/>
  <c r="AA1291" i="2" s="1"/>
  <c r="P1291" i="2"/>
  <c r="U1291" i="2"/>
  <c r="Z1291" i="2"/>
  <c r="F1292" i="2"/>
  <c r="K1292" i="2"/>
  <c r="P1292" i="2"/>
  <c r="U1292" i="2"/>
  <c r="Z1292" i="2"/>
  <c r="AA1292" i="2"/>
  <c r="F1293" i="2"/>
  <c r="K1293" i="2"/>
  <c r="P1293" i="2"/>
  <c r="U1293" i="2"/>
  <c r="Z1293" i="2"/>
  <c r="AA1293" i="2"/>
  <c r="F1294" i="2"/>
  <c r="K1294" i="2"/>
  <c r="P1294" i="2"/>
  <c r="U1294" i="2"/>
  <c r="Z1294" i="2"/>
  <c r="F1295" i="2"/>
  <c r="AA1295" i="2" s="1"/>
  <c r="K1295" i="2"/>
  <c r="P1295" i="2"/>
  <c r="U1295" i="2"/>
  <c r="Z1295" i="2"/>
  <c r="F1296" i="2"/>
  <c r="K1296" i="2"/>
  <c r="P1296" i="2"/>
  <c r="U1296" i="2"/>
  <c r="Z1296" i="2"/>
  <c r="F1297" i="2"/>
  <c r="K1297" i="2"/>
  <c r="P1297" i="2"/>
  <c r="U1297" i="2"/>
  <c r="Z1297" i="2"/>
  <c r="BI1305" i="2"/>
  <c r="BH1305" i="2"/>
  <c r="BG1305" i="2"/>
  <c r="BF1305" i="2"/>
  <c r="BA1305" i="2"/>
  <c r="AZ1305" i="2"/>
  <c r="AY1305" i="2"/>
  <c r="AX1305" i="2"/>
  <c r="AV1305" i="2"/>
  <c r="AU1305" i="2"/>
  <c r="AT1305" i="2"/>
  <c r="AS1305" i="2"/>
  <c r="AQ1305" i="2"/>
  <c r="AP1305" i="2"/>
  <c r="AO1305" i="2"/>
  <c r="AN1305" i="2"/>
  <c r="AL1305" i="2"/>
  <c r="AK1305" i="2"/>
  <c r="AJ1305" i="2"/>
  <c r="AI1305" i="2"/>
  <c r="AG1305" i="2"/>
  <c r="AF1305" i="2"/>
  <c r="AE1305" i="2"/>
  <c r="AD1305" i="2"/>
  <c r="Y1305" i="2"/>
  <c r="X1305" i="2"/>
  <c r="W1305" i="2"/>
  <c r="V1305" i="2"/>
  <c r="T1305" i="2"/>
  <c r="S1305" i="2"/>
  <c r="R1305" i="2"/>
  <c r="Q1305" i="2"/>
  <c r="O1305" i="2"/>
  <c r="N1305" i="2"/>
  <c r="M1305" i="2"/>
  <c r="L1305" i="2"/>
  <c r="J1305" i="2"/>
  <c r="I1305" i="2"/>
  <c r="H1305" i="2"/>
  <c r="G1305" i="2"/>
  <c r="E1305" i="2"/>
  <c r="D1305" i="2"/>
  <c r="C1305" i="2"/>
  <c r="B1305" i="2"/>
  <c r="BJ1304" i="2"/>
  <c r="Z1304" i="2"/>
  <c r="U1304" i="2"/>
  <c r="P1304" i="2"/>
  <c r="K1304" i="2"/>
  <c r="F1304" i="2"/>
  <c r="BJ1303" i="2"/>
  <c r="Z1303" i="2"/>
  <c r="U1303" i="2"/>
  <c r="P1303" i="2"/>
  <c r="K1303" i="2"/>
  <c r="F1303" i="2"/>
  <c r="AA1303" i="2" s="1"/>
  <c r="BJ1302" i="2"/>
  <c r="Z1302" i="2"/>
  <c r="U1302" i="2"/>
  <c r="P1302" i="2"/>
  <c r="K1302" i="2"/>
  <c r="F1302" i="2"/>
  <c r="AA1302" i="2" s="1"/>
  <c r="BJ1301" i="2"/>
  <c r="Z1301" i="2"/>
  <c r="AA1301" i="2" s="1"/>
  <c r="U1301" i="2"/>
  <c r="P1301" i="2"/>
  <c r="K1301" i="2"/>
  <c r="F1301" i="2"/>
  <c r="BJ1300" i="2"/>
  <c r="Z1300" i="2"/>
  <c r="AA1300" i="2" s="1"/>
  <c r="U1300" i="2"/>
  <c r="P1300" i="2"/>
  <c r="K1300" i="2"/>
  <c r="F1300" i="2"/>
  <c r="BJ1299" i="2"/>
  <c r="BB1299" i="2"/>
  <c r="AW1299" i="2"/>
  <c r="AR1299" i="2"/>
  <c r="AM1299" i="2"/>
  <c r="AH1299" i="2"/>
  <c r="BC1299" i="2" s="1"/>
  <c r="Z1299" i="2"/>
  <c r="U1299" i="2"/>
  <c r="P1299" i="2"/>
  <c r="K1299" i="2"/>
  <c r="F1299" i="2"/>
  <c r="BJ1298" i="2"/>
  <c r="Z1298" i="2"/>
  <c r="U1298" i="2"/>
  <c r="P1298" i="2"/>
  <c r="K1298" i="2"/>
  <c r="F1298" i="2"/>
  <c r="BJ1297" i="2"/>
  <c r="BJ1296" i="2"/>
  <c r="BJ1295" i="2"/>
  <c r="BJ1294" i="2"/>
  <c r="BJ1293" i="2"/>
  <c r="BJ1292" i="2"/>
  <c r="BJ1291" i="2"/>
  <c r="BJ1290" i="2"/>
  <c r="BJ1289" i="2"/>
  <c r="BJ1288" i="2"/>
  <c r="BJ1287" i="2"/>
  <c r="BJ1286" i="2"/>
  <c r="BJ1285" i="2"/>
  <c r="BJ1284" i="2"/>
  <c r="BJ1283" i="2"/>
  <c r="BI1278" i="2"/>
  <c r="BH1278" i="2"/>
  <c r="BH1306" i="2" s="1"/>
  <c r="BG1278" i="2"/>
  <c r="BG1306" i="2" s="1"/>
  <c r="Y1278" i="2"/>
  <c r="Y1306" i="2" s="1"/>
  <c r="Y1313" i="2" s="1"/>
  <c r="Y1321" i="2" s="1"/>
  <c r="T1278" i="2"/>
  <c r="S1278" i="2"/>
  <c r="O1278" i="2"/>
  <c r="N1278" i="2"/>
  <c r="M1278" i="2"/>
  <c r="M1306" i="2" s="1"/>
  <c r="M1313" i="2" s="1"/>
  <c r="M1321" i="2" s="1"/>
  <c r="I1278" i="2"/>
  <c r="H1278" i="2"/>
  <c r="G1278" i="2"/>
  <c r="C1278" i="2"/>
  <c r="B1278" i="2"/>
  <c r="BJ1277" i="2"/>
  <c r="BB1277" i="2"/>
  <c r="AW1277" i="2"/>
  <c r="AR1277" i="2"/>
  <c r="AM1277" i="2"/>
  <c r="AH1277" i="2"/>
  <c r="BC1277" i="2" s="1"/>
  <c r="BJ1276" i="2"/>
  <c r="BB1276" i="2"/>
  <c r="AW1276" i="2"/>
  <c r="AR1276" i="2"/>
  <c r="AM1276" i="2"/>
  <c r="AH1276" i="2"/>
  <c r="BC1276" i="2" s="1"/>
  <c r="BJ1275" i="2"/>
  <c r="BJ1270" i="2"/>
  <c r="BI1270" i="2"/>
  <c r="BH1270" i="2"/>
  <c r="BG1270" i="2"/>
  <c r="BF1270" i="2"/>
  <c r="BF1278" i="2" s="1"/>
  <c r="Y1270" i="2"/>
  <c r="X1270" i="2"/>
  <c r="X1278" i="2" s="1"/>
  <c r="W1270" i="2"/>
  <c r="W1278" i="2" s="1"/>
  <c r="V1270" i="2"/>
  <c r="Z1270" i="2" s="1"/>
  <c r="T1270" i="2"/>
  <c r="S1270" i="2"/>
  <c r="R1270" i="2"/>
  <c r="R1278" i="2" s="1"/>
  <c r="R1306" i="2" s="1"/>
  <c r="R1313" i="2" s="1"/>
  <c r="R1321" i="2" s="1"/>
  <c r="Q1270" i="2"/>
  <c r="U1270" i="2" s="1"/>
  <c r="O1270" i="2"/>
  <c r="N1270" i="2"/>
  <c r="M1270" i="2"/>
  <c r="L1270" i="2"/>
  <c r="P1270" i="2" s="1"/>
  <c r="K1270" i="2"/>
  <c r="J1270" i="2"/>
  <c r="J1278" i="2" s="1"/>
  <c r="I1270" i="2"/>
  <c r="H1270" i="2"/>
  <c r="G1270" i="2"/>
  <c r="E1270" i="2"/>
  <c r="E1278" i="2" s="1"/>
  <c r="D1270" i="2"/>
  <c r="D1278" i="2" s="1"/>
  <c r="C1270" i="2"/>
  <c r="B1270" i="2"/>
  <c r="BO1262" i="2"/>
  <c r="BO1263" i="2" s="1"/>
  <c r="BB1247" i="2"/>
  <c r="AW1247" i="2"/>
  <c r="AR1247" i="2"/>
  <c r="AM1247" i="2"/>
  <c r="AH1247" i="2"/>
  <c r="BC1247" i="2" s="1"/>
  <c r="BB1245" i="2"/>
  <c r="AW1245" i="2"/>
  <c r="AR1245" i="2"/>
  <c r="AM1245" i="2"/>
  <c r="AH1245" i="2"/>
  <c r="BC1245" i="2" s="1"/>
  <c r="AT1241" i="2"/>
  <c r="BB1238" i="2"/>
  <c r="AW1238" i="2"/>
  <c r="AR1238" i="2"/>
  <c r="AM1238" i="2"/>
  <c r="AH1238" i="2"/>
  <c r="BC1238" i="2" s="1"/>
  <c r="BQ1236" i="2"/>
  <c r="BB1212" i="2"/>
  <c r="AW1212" i="2"/>
  <c r="AR1212" i="2"/>
  <c r="AM1212" i="2"/>
  <c r="AH1212" i="2"/>
  <c r="BC1212" i="2" s="1"/>
  <c r="BB1211" i="2"/>
  <c r="AW1211" i="2"/>
  <c r="AR1211" i="2"/>
  <c r="AM1211" i="2"/>
  <c r="AH1211" i="2"/>
  <c r="BC1211" i="2" s="1"/>
  <c r="F1228" i="2"/>
  <c r="K1228" i="2"/>
  <c r="P1228" i="2"/>
  <c r="U1228" i="2"/>
  <c r="Z1228" i="2"/>
  <c r="BJ1236" i="2"/>
  <c r="BJ1237" i="2"/>
  <c r="BP1262" i="2"/>
  <c r="BN1262" i="2"/>
  <c r="BM1262" i="2"/>
  <c r="BI1262" i="2"/>
  <c r="BH1262" i="2"/>
  <c r="BG1262" i="2"/>
  <c r="BF1262" i="2"/>
  <c r="BQ1261" i="2"/>
  <c r="BJ1261" i="2"/>
  <c r="BQ1260" i="2"/>
  <c r="BJ1260" i="2"/>
  <c r="BQ1259" i="2"/>
  <c r="BJ1259" i="2"/>
  <c r="BQ1258" i="2"/>
  <c r="BJ1258" i="2"/>
  <c r="BQ1257" i="2"/>
  <c r="BJ1257" i="2"/>
  <c r="BQ1256" i="2"/>
  <c r="BJ1256" i="2"/>
  <c r="BQ1255" i="2"/>
  <c r="BJ1255" i="2"/>
  <c r="BQ1254" i="2"/>
  <c r="BJ1254" i="2"/>
  <c r="BQ1253" i="2"/>
  <c r="BJ1253" i="2"/>
  <c r="BQ1252" i="2"/>
  <c r="BJ1252" i="2"/>
  <c r="BQ1251" i="2"/>
  <c r="BJ1251" i="2"/>
  <c r="BQ1250" i="2"/>
  <c r="BJ1250" i="2"/>
  <c r="BQ1249" i="2"/>
  <c r="BJ1249" i="2"/>
  <c r="BQ1248" i="2"/>
  <c r="BJ1248" i="2"/>
  <c r="BQ1247" i="2"/>
  <c r="BJ1247" i="2"/>
  <c r="BQ1246" i="2"/>
  <c r="BJ1246" i="2"/>
  <c r="BQ1245" i="2"/>
  <c r="BJ1245" i="2"/>
  <c r="BQ1244" i="2"/>
  <c r="BJ1244" i="2"/>
  <c r="BQ1243" i="2"/>
  <c r="BJ1243" i="2"/>
  <c r="BQ1242" i="2"/>
  <c r="BJ1242" i="2"/>
  <c r="BQ1241" i="2"/>
  <c r="BJ1241" i="2"/>
  <c r="BQ1240" i="2"/>
  <c r="BJ1240" i="2"/>
  <c r="BQ1239" i="2"/>
  <c r="BJ1239" i="2"/>
  <c r="BQ1238" i="2"/>
  <c r="BJ1238" i="2"/>
  <c r="BQ1237" i="2"/>
  <c r="BO1235" i="2"/>
  <c r="BN1235" i="2"/>
  <c r="BI1235" i="2"/>
  <c r="BI1263" i="2" s="1"/>
  <c r="BQ1234" i="2"/>
  <c r="BJ1234" i="2"/>
  <c r="BQ1233" i="2"/>
  <c r="BJ1233" i="2"/>
  <c r="BQ1232" i="2"/>
  <c r="BJ1232" i="2"/>
  <c r="BQ1230" i="2"/>
  <c r="BJ1230" i="2"/>
  <c r="BQ1229" i="2"/>
  <c r="BJ1229" i="2"/>
  <c r="BQ1228" i="2"/>
  <c r="BJ1228" i="2"/>
  <c r="BQ1227" i="2"/>
  <c r="BP1227" i="2"/>
  <c r="BP1235" i="2" s="1"/>
  <c r="BP1263" i="2" s="1"/>
  <c r="BO1227" i="2"/>
  <c r="BN1227" i="2"/>
  <c r="BM1227" i="2"/>
  <c r="BM1235" i="2" s="1"/>
  <c r="BI1227" i="2"/>
  <c r="BG1227" i="2"/>
  <c r="BG1235" i="2" s="1"/>
  <c r="BG1263" i="2" s="1"/>
  <c r="BF1227" i="2"/>
  <c r="BF1235" i="2" s="1"/>
  <c r="AH1236" i="2"/>
  <c r="AM1236" i="2"/>
  <c r="AR1236" i="2"/>
  <c r="AW1236" i="2"/>
  <c r="BC1236" i="2" s="1"/>
  <c r="BB1236" i="2"/>
  <c r="AH1237" i="2"/>
  <c r="AM1237" i="2"/>
  <c r="AR1237" i="2"/>
  <c r="AW1237" i="2"/>
  <c r="BB1237" i="2"/>
  <c r="AH1239" i="2"/>
  <c r="AM1239" i="2"/>
  <c r="AR1239" i="2"/>
  <c r="AW1239" i="2"/>
  <c r="BB1239" i="2"/>
  <c r="BC1239" i="2" s="1"/>
  <c r="AH1240" i="2"/>
  <c r="AM1240" i="2"/>
  <c r="AR1240" i="2"/>
  <c r="AW1240" i="2"/>
  <c r="BC1240" i="2" s="1"/>
  <c r="BB1240" i="2"/>
  <c r="AH1241" i="2"/>
  <c r="AM1241" i="2"/>
  <c r="AR1241" i="2"/>
  <c r="AW1241" i="2"/>
  <c r="BB1241" i="2"/>
  <c r="AH1242" i="2"/>
  <c r="AM1242" i="2"/>
  <c r="AR1242" i="2"/>
  <c r="AW1242" i="2"/>
  <c r="BC1242" i="2" s="1"/>
  <c r="BB1242" i="2"/>
  <c r="AH1243" i="2"/>
  <c r="AM1243" i="2"/>
  <c r="AR1243" i="2"/>
  <c r="AW1243" i="2"/>
  <c r="BB1243" i="2"/>
  <c r="BC1243" i="2"/>
  <c r="AH1244" i="2"/>
  <c r="AM1244" i="2"/>
  <c r="AR1244" i="2"/>
  <c r="AW1244" i="2"/>
  <c r="BC1244" i="2" s="1"/>
  <c r="BB1244" i="2"/>
  <c r="AH1246" i="2"/>
  <c r="AM1246" i="2"/>
  <c r="AR1246" i="2"/>
  <c r="AW1246" i="2"/>
  <c r="BB1246" i="2"/>
  <c r="AH1248" i="2"/>
  <c r="AM1248" i="2"/>
  <c r="AR1248" i="2"/>
  <c r="AW1248" i="2"/>
  <c r="BB1248" i="2"/>
  <c r="AH1249" i="2"/>
  <c r="BC1249" i="2" s="1"/>
  <c r="AM1249" i="2"/>
  <c r="AR1249" i="2"/>
  <c r="AW1249" i="2"/>
  <c r="BB1249" i="2"/>
  <c r="AH1250" i="2"/>
  <c r="AM1250" i="2"/>
  <c r="AR1250" i="2"/>
  <c r="AW1250" i="2"/>
  <c r="BC1250" i="2" s="1"/>
  <c r="BB1250" i="2"/>
  <c r="AH1251" i="2"/>
  <c r="BC1251" i="2" s="1"/>
  <c r="AM1251" i="2"/>
  <c r="AR1251" i="2"/>
  <c r="AW1251" i="2"/>
  <c r="BB1251" i="2"/>
  <c r="AH1252" i="2"/>
  <c r="AM1252" i="2"/>
  <c r="AR1252" i="2"/>
  <c r="AW1252" i="2"/>
  <c r="BC1252" i="2" s="1"/>
  <c r="BB1252" i="2"/>
  <c r="AH1253" i="2"/>
  <c r="AM1253" i="2"/>
  <c r="AR1253" i="2"/>
  <c r="AW1253" i="2"/>
  <c r="BB1253" i="2"/>
  <c r="BC1253" i="2"/>
  <c r="AH1215" i="2"/>
  <c r="AM1215" i="2"/>
  <c r="AR1215" i="2"/>
  <c r="AW1215" i="2"/>
  <c r="BC1215" i="2" s="1"/>
  <c r="BB1215" i="2"/>
  <c r="AH1216" i="2"/>
  <c r="AM1216" i="2"/>
  <c r="AR1216" i="2"/>
  <c r="AW1216" i="2"/>
  <c r="BB1216" i="2"/>
  <c r="BC1216" i="2"/>
  <c r="AH1217" i="2"/>
  <c r="AM1217" i="2"/>
  <c r="AR1217" i="2"/>
  <c r="AW1217" i="2"/>
  <c r="BC1217" i="2" s="1"/>
  <c r="BB1217" i="2"/>
  <c r="AH1218" i="2"/>
  <c r="AM1218" i="2"/>
  <c r="AR1218" i="2"/>
  <c r="AW1218" i="2"/>
  <c r="BB1218" i="2"/>
  <c r="BC1218" i="2"/>
  <c r="AZ1262" i="2"/>
  <c r="AX1262" i="2"/>
  <c r="AU1262" i="2"/>
  <c r="AT1262" i="2"/>
  <c r="AS1262" i="2"/>
  <c r="AQ1262" i="2"/>
  <c r="AP1262" i="2"/>
  <c r="AO1262" i="2"/>
  <c r="AN1262" i="2"/>
  <c r="AK1262" i="2"/>
  <c r="AG1262" i="2"/>
  <c r="AF1262" i="2"/>
  <c r="AE1262" i="2"/>
  <c r="AD1262" i="2"/>
  <c r="BB1261" i="2"/>
  <c r="AW1261" i="2"/>
  <c r="AR1261" i="2"/>
  <c r="AL1262" i="2"/>
  <c r="AM1261" i="2"/>
  <c r="AH1261" i="2"/>
  <c r="BA1262" i="2"/>
  <c r="BB1260" i="2"/>
  <c r="AV1262" i="2"/>
  <c r="AW1260" i="2"/>
  <c r="AR1260" i="2"/>
  <c r="AJ1262" i="2"/>
  <c r="AM1260" i="2"/>
  <c r="AH1260" i="2"/>
  <c r="BB1259" i="2"/>
  <c r="AW1259" i="2"/>
  <c r="AR1259" i="2"/>
  <c r="AM1259" i="2"/>
  <c r="AH1259" i="2"/>
  <c r="BB1258" i="2"/>
  <c r="AW1258" i="2"/>
  <c r="AR1258" i="2"/>
  <c r="AM1258" i="2"/>
  <c r="AH1258" i="2"/>
  <c r="BB1257" i="2"/>
  <c r="AW1257" i="2"/>
  <c r="AR1257" i="2"/>
  <c r="AM1257" i="2"/>
  <c r="AH1257" i="2"/>
  <c r="BC1257" i="2" s="1"/>
  <c r="BB1256" i="2"/>
  <c r="AW1256" i="2"/>
  <c r="AR1256" i="2"/>
  <c r="AM1256" i="2"/>
  <c r="AH1256" i="2"/>
  <c r="BC1256" i="2" s="1"/>
  <c r="BB1255" i="2"/>
  <c r="AW1255" i="2"/>
  <c r="AR1255" i="2"/>
  <c r="AM1255" i="2"/>
  <c r="AH1255" i="2"/>
  <c r="BC1255" i="2" s="1"/>
  <c r="BB1254" i="2"/>
  <c r="AW1254" i="2"/>
  <c r="AR1254" i="2"/>
  <c r="AM1254" i="2"/>
  <c r="AH1254" i="2"/>
  <c r="BC1254" i="2" s="1"/>
  <c r="BB1234" i="2"/>
  <c r="AW1234" i="2"/>
  <c r="AR1234" i="2"/>
  <c r="AM1234" i="2"/>
  <c r="AH1234" i="2"/>
  <c r="BC1234" i="2" s="1"/>
  <c r="BB1233" i="2"/>
  <c r="AW1233" i="2"/>
  <c r="AR1233" i="2"/>
  <c r="AM1233" i="2"/>
  <c r="AH1233" i="2"/>
  <c r="BC1233" i="2" s="1"/>
  <c r="BB1232" i="2"/>
  <c r="AW1232" i="2"/>
  <c r="AR1232" i="2"/>
  <c r="AM1232" i="2"/>
  <c r="AH1232" i="2"/>
  <c r="BC1232" i="2" s="1"/>
  <c r="BB1231" i="2"/>
  <c r="AW1231" i="2"/>
  <c r="AR1231" i="2"/>
  <c r="AM1231" i="2"/>
  <c r="AH1231" i="2"/>
  <c r="BC1231" i="2" s="1"/>
  <c r="BB1230" i="2"/>
  <c r="AW1230" i="2"/>
  <c r="AR1230" i="2"/>
  <c r="AM1230" i="2"/>
  <c r="AH1230" i="2"/>
  <c r="BC1230" i="2" s="1"/>
  <c r="BB1229" i="2"/>
  <c r="AW1229" i="2"/>
  <c r="AR1229" i="2"/>
  <c r="AM1229" i="2"/>
  <c r="AH1229" i="2"/>
  <c r="BC1229" i="2" s="1"/>
  <c r="F1236" i="2"/>
  <c r="K1236" i="2"/>
  <c r="P1236" i="2"/>
  <c r="U1236" i="2"/>
  <c r="Z1236" i="2"/>
  <c r="F1237" i="2"/>
  <c r="K1237" i="2"/>
  <c r="P1237" i="2"/>
  <c r="U1237" i="2"/>
  <c r="AA1237" i="2" s="1"/>
  <c r="Z1237" i="2"/>
  <c r="F1238" i="2"/>
  <c r="K1238" i="2"/>
  <c r="P1238" i="2"/>
  <c r="U1238" i="2"/>
  <c r="Z1238" i="2"/>
  <c r="F1239" i="2"/>
  <c r="K1239" i="2"/>
  <c r="P1239" i="2"/>
  <c r="U1239" i="2"/>
  <c r="Z1239" i="2"/>
  <c r="F1240" i="2"/>
  <c r="K1240" i="2"/>
  <c r="P1240" i="2"/>
  <c r="U1240" i="2"/>
  <c r="Z1240" i="2"/>
  <c r="F1241" i="2"/>
  <c r="K1241" i="2"/>
  <c r="P1241" i="2"/>
  <c r="AA1241" i="2" s="1"/>
  <c r="U1241" i="2"/>
  <c r="Z1241" i="2"/>
  <c r="F1242" i="2"/>
  <c r="K1242" i="2"/>
  <c r="P1242" i="2"/>
  <c r="U1242" i="2"/>
  <c r="Z1242" i="2"/>
  <c r="F1243" i="2"/>
  <c r="K1243" i="2"/>
  <c r="AA1243" i="2" s="1"/>
  <c r="P1243" i="2"/>
  <c r="U1243" i="2"/>
  <c r="Z1243" i="2"/>
  <c r="F1244" i="2"/>
  <c r="K1244" i="2"/>
  <c r="P1244" i="2"/>
  <c r="U1244" i="2"/>
  <c r="AA1244" i="2" s="1"/>
  <c r="Z1244" i="2"/>
  <c r="F1245" i="2"/>
  <c r="K1245" i="2"/>
  <c r="P1245" i="2"/>
  <c r="U1245" i="2"/>
  <c r="Z1245" i="2"/>
  <c r="F1246" i="2"/>
  <c r="K1246" i="2"/>
  <c r="P1246" i="2"/>
  <c r="U1246" i="2"/>
  <c r="Z1246" i="2"/>
  <c r="F1247" i="2"/>
  <c r="K1247" i="2"/>
  <c r="P1247" i="2"/>
  <c r="U1247" i="2"/>
  <c r="Z1247" i="2"/>
  <c r="F1248" i="2"/>
  <c r="K1248" i="2"/>
  <c r="P1248" i="2"/>
  <c r="U1248" i="2"/>
  <c r="Z1248" i="2"/>
  <c r="F1249" i="2"/>
  <c r="K1249" i="2"/>
  <c r="P1249" i="2"/>
  <c r="AA1249" i="2" s="1"/>
  <c r="U1249" i="2"/>
  <c r="Z1249" i="2"/>
  <c r="F1250" i="2"/>
  <c r="K1250" i="2"/>
  <c r="P1250" i="2"/>
  <c r="U1250" i="2"/>
  <c r="Z1250" i="2"/>
  <c r="F1251" i="2"/>
  <c r="AA1251" i="2" s="1"/>
  <c r="K1251" i="2"/>
  <c r="P1251" i="2"/>
  <c r="U1251" i="2"/>
  <c r="Z1251" i="2"/>
  <c r="F1252" i="2"/>
  <c r="K1252" i="2"/>
  <c r="P1252" i="2"/>
  <c r="U1252" i="2"/>
  <c r="Z1252" i="2"/>
  <c r="F1253" i="2"/>
  <c r="K1253" i="2"/>
  <c r="AA1253" i="2" s="1"/>
  <c r="P1253" i="2"/>
  <c r="U1253" i="2"/>
  <c r="Z1253" i="2"/>
  <c r="F1254" i="2"/>
  <c r="K1254" i="2"/>
  <c r="P1254" i="2"/>
  <c r="U1254" i="2"/>
  <c r="AA1254" i="2" s="1"/>
  <c r="Z1254" i="2"/>
  <c r="F1255" i="2"/>
  <c r="K1255" i="2"/>
  <c r="P1255" i="2"/>
  <c r="U1255" i="2"/>
  <c r="Z1255" i="2"/>
  <c r="AA1255" i="2"/>
  <c r="F1256" i="2"/>
  <c r="K1256" i="2"/>
  <c r="P1256" i="2"/>
  <c r="U1256" i="2"/>
  <c r="AA1256" i="2" s="1"/>
  <c r="Z1256" i="2"/>
  <c r="F1257" i="2"/>
  <c r="K1257" i="2"/>
  <c r="P1257" i="2"/>
  <c r="U1257" i="2"/>
  <c r="Z1257" i="2"/>
  <c r="AA1257" i="2"/>
  <c r="Y1262" i="2"/>
  <c r="X1262" i="2"/>
  <c r="W1262" i="2"/>
  <c r="V1262" i="2"/>
  <c r="T1262" i="2"/>
  <c r="Q1262" i="2"/>
  <c r="O1262" i="2"/>
  <c r="N1262" i="2"/>
  <c r="M1262" i="2"/>
  <c r="L1262" i="2"/>
  <c r="J1262" i="2"/>
  <c r="I1262" i="2"/>
  <c r="H1262" i="2"/>
  <c r="G1262" i="2"/>
  <c r="E1262" i="2"/>
  <c r="D1262" i="2"/>
  <c r="C1262" i="2"/>
  <c r="B1262" i="2"/>
  <c r="Z1261" i="2"/>
  <c r="U1261" i="2"/>
  <c r="P1261" i="2"/>
  <c r="K1261" i="2"/>
  <c r="F1261" i="2"/>
  <c r="AA1261" i="2" s="1"/>
  <c r="Z1260" i="2"/>
  <c r="U1260" i="2"/>
  <c r="P1260" i="2"/>
  <c r="K1260" i="2"/>
  <c r="F1260" i="2"/>
  <c r="AA1260" i="2" s="1"/>
  <c r="Z1259" i="2"/>
  <c r="U1259" i="2"/>
  <c r="P1259" i="2"/>
  <c r="K1259" i="2"/>
  <c r="F1259" i="2"/>
  <c r="AA1259" i="2" s="1"/>
  <c r="Z1258" i="2"/>
  <c r="U1258" i="2"/>
  <c r="P1258" i="2"/>
  <c r="K1258" i="2"/>
  <c r="F1258" i="2"/>
  <c r="AA1258" i="2" s="1"/>
  <c r="R1262" i="2"/>
  <c r="S1262" i="2"/>
  <c r="Z1234" i="2"/>
  <c r="U1234" i="2"/>
  <c r="P1234" i="2"/>
  <c r="K1234" i="2"/>
  <c r="F1234" i="2"/>
  <c r="Z1233" i="2"/>
  <c r="U1233" i="2"/>
  <c r="P1233" i="2"/>
  <c r="K1233" i="2"/>
  <c r="F1233" i="2"/>
  <c r="Z1232" i="2"/>
  <c r="U1232" i="2"/>
  <c r="P1232" i="2"/>
  <c r="K1232" i="2"/>
  <c r="F1232" i="2"/>
  <c r="Z1231" i="2"/>
  <c r="U1231" i="2"/>
  <c r="P1231" i="2"/>
  <c r="K1231" i="2"/>
  <c r="F1231" i="2"/>
  <c r="Z1230" i="2"/>
  <c r="U1230" i="2"/>
  <c r="P1230" i="2"/>
  <c r="K1230" i="2"/>
  <c r="F1230" i="2"/>
  <c r="Z1229" i="2"/>
  <c r="U1229" i="2"/>
  <c r="P1229" i="2"/>
  <c r="K1229" i="2"/>
  <c r="F1229" i="2"/>
  <c r="W1227" i="2"/>
  <c r="W1235" i="2" s="1"/>
  <c r="S1227" i="2"/>
  <c r="S1235" i="2" s="1"/>
  <c r="O1227" i="2"/>
  <c r="O1235" i="2" s="1"/>
  <c r="M1227" i="2"/>
  <c r="M1235" i="2" s="1"/>
  <c r="L1227" i="2"/>
  <c r="L1235" i="2" s="1"/>
  <c r="I1227" i="2"/>
  <c r="I1235" i="2" s="1"/>
  <c r="H1227" i="2"/>
  <c r="H1235" i="2" s="1"/>
  <c r="E1227" i="2"/>
  <c r="E1235" i="2" s="1"/>
  <c r="D1227" i="2"/>
  <c r="D1235" i="2" s="1"/>
  <c r="C1227" i="2"/>
  <c r="C1235" i="2" s="1"/>
  <c r="R1214" i="2"/>
  <c r="U1214" i="2" s="1"/>
  <c r="BB1205" i="2"/>
  <c r="AW1205" i="2"/>
  <c r="AR1205" i="2"/>
  <c r="BC1205" i="2" s="1"/>
  <c r="AM1205" i="2"/>
  <c r="AH1205" i="2"/>
  <c r="BB1204" i="2"/>
  <c r="AW1204" i="2"/>
  <c r="AR1204" i="2"/>
  <c r="AM1204" i="2"/>
  <c r="AH1204" i="2"/>
  <c r="BC1204" i="2" s="1"/>
  <c r="BB1200" i="2"/>
  <c r="AW1200" i="2"/>
  <c r="AR1200" i="2"/>
  <c r="AM1200" i="2"/>
  <c r="AH1200" i="2"/>
  <c r="BC1200" i="2" s="1"/>
  <c r="AY1219" i="2"/>
  <c r="AY1221" i="2" s="1"/>
  <c r="BB1197" i="2"/>
  <c r="AW1197" i="2"/>
  <c r="AR1197" i="2"/>
  <c r="AM1197" i="2"/>
  <c r="AH1197" i="2"/>
  <c r="BB1193" i="2"/>
  <c r="AW1193" i="2"/>
  <c r="AR1193" i="2"/>
  <c r="AM1193" i="2"/>
  <c r="AH1193" i="2"/>
  <c r="S1194" i="2"/>
  <c r="U1194" i="2" s="1"/>
  <c r="AA1194" i="2" s="1"/>
  <c r="AH1194" i="2"/>
  <c r="AM1194" i="2"/>
  <c r="AR1194" i="2"/>
  <c r="AW1194" i="2"/>
  <c r="BB1194" i="2"/>
  <c r="BC1194" i="2"/>
  <c r="AH1195" i="2"/>
  <c r="AM1195" i="2"/>
  <c r="AR1195" i="2"/>
  <c r="AW1195" i="2"/>
  <c r="BB1195" i="2"/>
  <c r="BB1173" i="2"/>
  <c r="AW1173" i="2"/>
  <c r="AR1173" i="2"/>
  <c r="AM1173" i="2"/>
  <c r="AH1173" i="2"/>
  <c r="BC1173" i="2" s="1"/>
  <c r="BB1172" i="2"/>
  <c r="AW1172" i="2"/>
  <c r="AR1172" i="2"/>
  <c r="AM1172" i="2"/>
  <c r="AH1172" i="2"/>
  <c r="BC1172" i="2" s="1"/>
  <c r="BB1171" i="2"/>
  <c r="AW1171" i="2"/>
  <c r="AR1171" i="2"/>
  <c r="AM1171" i="2"/>
  <c r="AH1171" i="2"/>
  <c r="BC1171" i="2" s="1"/>
  <c r="AH1174" i="2"/>
  <c r="AM1174" i="2"/>
  <c r="AR1174" i="2"/>
  <c r="AW1174" i="2"/>
  <c r="BB1174" i="2"/>
  <c r="AH1175" i="2"/>
  <c r="AM1175" i="2"/>
  <c r="AR1175" i="2"/>
  <c r="AW1175" i="2"/>
  <c r="BB1175" i="2"/>
  <c r="BC1175" i="2"/>
  <c r="AX1219" i="2"/>
  <c r="AX1221" i="2" s="1"/>
  <c r="BQ1193" i="2"/>
  <c r="BB1168" i="2"/>
  <c r="AW1168" i="2"/>
  <c r="BC1168" i="2" s="1"/>
  <c r="AR1168" i="2"/>
  <c r="AM1168" i="2"/>
  <c r="AH1168" i="2"/>
  <c r="BJ1193" i="2"/>
  <c r="BJ1194" i="2"/>
  <c r="BJ1195" i="2"/>
  <c r="AH1213" i="2"/>
  <c r="AM1213" i="2"/>
  <c r="AR1213" i="2"/>
  <c r="AW1213" i="2"/>
  <c r="BB1213" i="2"/>
  <c r="BC1213" i="2"/>
  <c r="AH1214" i="2"/>
  <c r="AM1214" i="2"/>
  <c r="AR1214" i="2"/>
  <c r="AW1214" i="2"/>
  <c r="BB1214" i="2"/>
  <c r="BC1214" i="2"/>
  <c r="AH1196" i="2"/>
  <c r="AM1196" i="2"/>
  <c r="AR1196" i="2"/>
  <c r="AW1196" i="2"/>
  <c r="BB1196" i="2"/>
  <c r="AH1198" i="2"/>
  <c r="AM1198" i="2"/>
  <c r="AR1198" i="2"/>
  <c r="AW1198" i="2"/>
  <c r="BB1198" i="2"/>
  <c r="BC1198" i="2"/>
  <c r="AH1199" i="2"/>
  <c r="AM1199" i="2"/>
  <c r="AR1199" i="2"/>
  <c r="AW1199" i="2"/>
  <c r="BB1199" i="2"/>
  <c r="BC1199" i="2"/>
  <c r="AH1201" i="2"/>
  <c r="AM1201" i="2"/>
  <c r="AR1201" i="2"/>
  <c r="AW1201" i="2"/>
  <c r="BB1201" i="2"/>
  <c r="BC1201" i="2"/>
  <c r="AH1202" i="2"/>
  <c r="AM1202" i="2"/>
  <c r="AR1202" i="2"/>
  <c r="AW1202" i="2"/>
  <c r="BB1202" i="2"/>
  <c r="BC1202" i="2"/>
  <c r="AH1203" i="2"/>
  <c r="AM1203" i="2"/>
  <c r="AR1203" i="2"/>
  <c r="AW1203" i="2"/>
  <c r="BC1203" i="2" s="1"/>
  <c r="BB1203" i="2"/>
  <c r="AH1206" i="2"/>
  <c r="AM1206" i="2"/>
  <c r="AR1206" i="2"/>
  <c r="AW1206" i="2"/>
  <c r="BB1206" i="2"/>
  <c r="BC1206" i="2"/>
  <c r="AH1207" i="2"/>
  <c r="AM1207" i="2"/>
  <c r="AR1207" i="2"/>
  <c r="AW1207" i="2"/>
  <c r="BB1207" i="2"/>
  <c r="BC1207" i="2"/>
  <c r="AH1208" i="2"/>
  <c r="AM1208" i="2"/>
  <c r="AR1208" i="2"/>
  <c r="AW1208" i="2"/>
  <c r="BB1208" i="2"/>
  <c r="BC1208" i="2"/>
  <c r="AH1209" i="2"/>
  <c r="AM1209" i="2"/>
  <c r="AR1209" i="2"/>
  <c r="AW1209" i="2"/>
  <c r="BB1209" i="2"/>
  <c r="BC1209" i="2"/>
  <c r="AH1210" i="2"/>
  <c r="AM1210" i="2"/>
  <c r="AR1210" i="2"/>
  <c r="AW1210" i="2"/>
  <c r="BB1210" i="2"/>
  <c r="BC1210" i="2"/>
  <c r="B1192" i="2"/>
  <c r="F1185" i="2"/>
  <c r="Z1191" i="2"/>
  <c r="U1191" i="2"/>
  <c r="P1191" i="2"/>
  <c r="K1191" i="2"/>
  <c r="F1191" i="2"/>
  <c r="Z1190" i="2"/>
  <c r="U1190" i="2"/>
  <c r="P1190" i="2"/>
  <c r="K1190" i="2"/>
  <c r="F1190" i="2"/>
  <c r="Z1189" i="2"/>
  <c r="U1189" i="2"/>
  <c r="P1189" i="2"/>
  <c r="K1189" i="2"/>
  <c r="F1189" i="2"/>
  <c r="AA1189" i="2" s="1"/>
  <c r="Z1188" i="2"/>
  <c r="U1188" i="2"/>
  <c r="P1188" i="2"/>
  <c r="K1188" i="2"/>
  <c r="F1188" i="2"/>
  <c r="Z1187" i="2"/>
  <c r="U1187" i="2"/>
  <c r="P1187" i="2"/>
  <c r="K1187" i="2"/>
  <c r="F1187" i="2"/>
  <c r="Z1186" i="2"/>
  <c r="U1186" i="2"/>
  <c r="P1186" i="2"/>
  <c r="K1186" i="2"/>
  <c r="F1186" i="2"/>
  <c r="Z1185" i="2"/>
  <c r="U1185" i="2"/>
  <c r="P1185" i="2"/>
  <c r="K1185" i="2"/>
  <c r="F1193" i="2"/>
  <c r="K1193" i="2"/>
  <c r="P1193" i="2"/>
  <c r="U1193" i="2"/>
  <c r="Z1193" i="2"/>
  <c r="F1194" i="2"/>
  <c r="K1194" i="2"/>
  <c r="P1194" i="2"/>
  <c r="Z1194" i="2"/>
  <c r="F1195" i="2"/>
  <c r="K1195" i="2"/>
  <c r="P1195" i="2"/>
  <c r="U1195" i="2"/>
  <c r="Z1195" i="2"/>
  <c r="AA1195" i="2" s="1"/>
  <c r="F1196" i="2"/>
  <c r="K1196" i="2"/>
  <c r="P1196" i="2"/>
  <c r="U1196" i="2"/>
  <c r="Z1196" i="2"/>
  <c r="AA1196" i="2" s="1"/>
  <c r="F1197" i="2"/>
  <c r="K1197" i="2"/>
  <c r="AA1197" i="2" s="1"/>
  <c r="P1197" i="2"/>
  <c r="U1197" i="2"/>
  <c r="Z1197" i="2"/>
  <c r="F1198" i="2"/>
  <c r="K1198" i="2"/>
  <c r="P1198" i="2"/>
  <c r="U1198" i="2"/>
  <c r="Z1198" i="2"/>
  <c r="AA1198" i="2" s="1"/>
  <c r="F1199" i="2"/>
  <c r="K1199" i="2"/>
  <c r="P1199" i="2"/>
  <c r="U1199" i="2"/>
  <c r="Z1199" i="2"/>
  <c r="F1200" i="2"/>
  <c r="K1200" i="2"/>
  <c r="AA1200" i="2" s="1"/>
  <c r="P1200" i="2"/>
  <c r="U1200" i="2"/>
  <c r="Z1200" i="2"/>
  <c r="F1201" i="2"/>
  <c r="K1201" i="2"/>
  <c r="P1201" i="2"/>
  <c r="U1201" i="2"/>
  <c r="Z1201" i="2"/>
  <c r="F1202" i="2"/>
  <c r="K1202" i="2"/>
  <c r="P1202" i="2"/>
  <c r="U1202" i="2"/>
  <c r="Z1202" i="2"/>
  <c r="F1203" i="2"/>
  <c r="K1203" i="2"/>
  <c r="P1203" i="2"/>
  <c r="U1203" i="2"/>
  <c r="Z1203" i="2"/>
  <c r="F1204" i="2"/>
  <c r="K1204" i="2"/>
  <c r="P1204" i="2"/>
  <c r="U1204" i="2"/>
  <c r="Z1204" i="2"/>
  <c r="F1205" i="2"/>
  <c r="AA1205" i="2" s="1"/>
  <c r="K1205" i="2"/>
  <c r="P1205" i="2"/>
  <c r="U1205" i="2"/>
  <c r="Z1205" i="2"/>
  <c r="F1206" i="2"/>
  <c r="K1206" i="2"/>
  <c r="P1206" i="2"/>
  <c r="U1206" i="2"/>
  <c r="Z1206" i="2"/>
  <c r="F1207" i="2"/>
  <c r="K1207" i="2"/>
  <c r="P1207" i="2"/>
  <c r="U1207" i="2"/>
  <c r="Z1207" i="2"/>
  <c r="F1208" i="2"/>
  <c r="K1208" i="2"/>
  <c r="P1208" i="2"/>
  <c r="U1208" i="2"/>
  <c r="AA1208" i="2" s="1"/>
  <c r="Z1208" i="2"/>
  <c r="F1209" i="2"/>
  <c r="K1209" i="2"/>
  <c r="P1209" i="2"/>
  <c r="U1209" i="2"/>
  <c r="Z1209" i="2"/>
  <c r="F1210" i="2"/>
  <c r="K1210" i="2"/>
  <c r="P1210" i="2"/>
  <c r="U1210" i="2"/>
  <c r="Z1210" i="2"/>
  <c r="F1211" i="2"/>
  <c r="K1211" i="2"/>
  <c r="P1211" i="2"/>
  <c r="U1211" i="2"/>
  <c r="Z1211" i="2"/>
  <c r="F1212" i="2"/>
  <c r="K1212" i="2"/>
  <c r="P1212" i="2"/>
  <c r="U1212" i="2"/>
  <c r="Z1212" i="2"/>
  <c r="AA1212" i="2"/>
  <c r="F1213" i="2"/>
  <c r="AA1213" i="2" s="1"/>
  <c r="K1213" i="2"/>
  <c r="P1213" i="2"/>
  <c r="U1213" i="2"/>
  <c r="Z1213" i="2"/>
  <c r="F1214" i="2"/>
  <c r="K1214" i="2"/>
  <c r="P1214" i="2"/>
  <c r="Z1214" i="2"/>
  <c r="F1215" i="2"/>
  <c r="K1215" i="2"/>
  <c r="P1215" i="2"/>
  <c r="U1215" i="2"/>
  <c r="Z1215" i="2"/>
  <c r="F1216" i="2"/>
  <c r="K1216" i="2"/>
  <c r="P1216" i="2"/>
  <c r="U1216" i="2"/>
  <c r="Z1216" i="2"/>
  <c r="BP1219" i="2"/>
  <c r="BO1219" i="2"/>
  <c r="BN1219" i="2"/>
  <c r="BM1219" i="2"/>
  <c r="BI1219" i="2"/>
  <c r="BH1219" i="2"/>
  <c r="BG1219" i="2"/>
  <c r="BF1219" i="2"/>
  <c r="BA1219" i="2"/>
  <c r="BA1221" i="2" s="1"/>
  <c r="AU1219" i="2"/>
  <c r="AU1221" i="2" s="1"/>
  <c r="AS1219" i="2"/>
  <c r="AS1221" i="2" s="1"/>
  <c r="AQ1219" i="2"/>
  <c r="AQ1221" i="2" s="1"/>
  <c r="AP1219" i="2"/>
  <c r="AP1221" i="2" s="1"/>
  <c r="AO1219" i="2"/>
  <c r="AO1221" i="2" s="1"/>
  <c r="AN1219" i="2"/>
  <c r="AN1221" i="2" s="1"/>
  <c r="AL1219" i="2"/>
  <c r="AL1221" i="2" s="1"/>
  <c r="AK1219" i="2"/>
  <c r="AK1221" i="2" s="1"/>
  <c r="AG1219" i="2"/>
  <c r="AG1221" i="2" s="1"/>
  <c r="AF1219" i="2"/>
  <c r="AF1221" i="2" s="1"/>
  <c r="AE1219" i="2"/>
  <c r="AE1221" i="2" s="1"/>
  <c r="AD1219" i="2"/>
  <c r="AD1221" i="2" s="1"/>
  <c r="Y1219" i="2"/>
  <c r="X1219" i="2"/>
  <c r="W1219" i="2"/>
  <c r="V1219" i="2"/>
  <c r="T1219" i="2"/>
  <c r="S1219" i="2"/>
  <c r="Q1219" i="2"/>
  <c r="O1219" i="2"/>
  <c r="N1219" i="2"/>
  <c r="M1219" i="2"/>
  <c r="L1219" i="2"/>
  <c r="J1219" i="2"/>
  <c r="I1219" i="2"/>
  <c r="H1219" i="2"/>
  <c r="G1219" i="2"/>
  <c r="E1219" i="2"/>
  <c r="D1219" i="2"/>
  <c r="C1219" i="2"/>
  <c r="B1219" i="2"/>
  <c r="BQ1218" i="2"/>
  <c r="BJ1218" i="2"/>
  <c r="AV1219" i="2"/>
  <c r="AV1221" i="2" s="1"/>
  <c r="Z1218" i="2"/>
  <c r="U1218" i="2"/>
  <c r="P1218" i="2"/>
  <c r="K1218" i="2"/>
  <c r="F1218" i="2"/>
  <c r="BQ1217" i="2"/>
  <c r="BJ1217" i="2"/>
  <c r="AT1219" i="2"/>
  <c r="AT1221" i="2" s="1"/>
  <c r="AJ1219" i="2"/>
  <c r="AJ1221" i="2" s="1"/>
  <c r="AI1219" i="2"/>
  <c r="AI1221" i="2" s="1"/>
  <c r="Z1217" i="2"/>
  <c r="U1217" i="2"/>
  <c r="P1217" i="2"/>
  <c r="K1217" i="2"/>
  <c r="F1217" i="2"/>
  <c r="BQ1216" i="2"/>
  <c r="BJ1216" i="2"/>
  <c r="AZ1219" i="2"/>
  <c r="AZ1221" i="2" s="1"/>
  <c r="BQ1215" i="2"/>
  <c r="BJ1215" i="2"/>
  <c r="BQ1214" i="2"/>
  <c r="BJ1214" i="2"/>
  <c r="BQ1213" i="2"/>
  <c r="BJ1213" i="2"/>
  <c r="BQ1212" i="2"/>
  <c r="BJ1212" i="2"/>
  <c r="BQ1211" i="2"/>
  <c r="BJ1211" i="2"/>
  <c r="BQ1210" i="2"/>
  <c r="BJ1210" i="2"/>
  <c r="BQ1209" i="2"/>
  <c r="BJ1209" i="2"/>
  <c r="BQ1208" i="2"/>
  <c r="BJ1208" i="2"/>
  <c r="BQ1207" i="2"/>
  <c r="BJ1207" i="2"/>
  <c r="BQ1206" i="2"/>
  <c r="BJ1206" i="2"/>
  <c r="BQ1205" i="2"/>
  <c r="BJ1205" i="2"/>
  <c r="BQ1204" i="2"/>
  <c r="BJ1204" i="2"/>
  <c r="BQ1203" i="2"/>
  <c r="BJ1203" i="2"/>
  <c r="BQ1202" i="2"/>
  <c r="BJ1202" i="2"/>
  <c r="BQ1201" i="2"/>
  <c r="BJ1201" i="2"/>
  <c r="BQ1200" i="2"/>
  <c r="BJ1200" i="2"/>
  <c r="BQ1199" i="2"/>
  <c r="BJ1199" i="2"/>
  <c r="BQ1198" i="2"/>
  <c r="BJ1198" i="2"/>
  <c r="BQ1197" i="2"/>
  <c r="BJ1197" i="2"/>
  <c r="BQ1196" i="2"/>
  <c r="BJ1196" i="2"/>
  <c r="BQ1195" i="2"/>
  <c r="BQ1194" i="2"/>
  <c r="BO1192" i="2"/>
  <c r="BN1192" i="2"/>
  <c r="BG1192" i="2"/>
  <c r="BG1220" i="2" s="1"/>
  <c r="BF1192" i="2"/>
  <c r="Y1192" i="2"/>
  <c r="R1192" i="2"/>
  <c r="M1192" i="2"/>
  <c r="L1192" i="2"/>
  <c r="G1192" i="2"/>
  <c r="BQ1191" i="2"/>
  <c r="BJ1191" i="2"/>
  <c r="BB1191" i="2"/>
  <c r="AW1191" i="2"/>
  <c r="AR1191" i="2"/>
  <c r="AM1191" i="2"/>
  <c r="AH1191" i="2"/>
  <c r="BC1191" i="2" s="1"/>
  <c r="BQ1190" i="2"/>
  <c r="BJ1190" i="2"/>
  <c r="BB1190" i="2"/>
  <c r="AW1190" i="2"/>
  <c r="AR1190" i="2"/>
  <c r="BC1190" i="2" s="1"/>
  <c r="AM1190" i="2"/>
  <c r="AH1190" i="2"/>
  <c r="BQ1189" i="2"/>
  <c r="BJ1189" i="2"/>
  <c r="BB1189" i="2"/>
  <c r="BC1189" i="2" s="1"/>
  <c r="AW1189" i="2"/>
  <c r="AR1189" i="2"/>
  <c r="AM1189" i="2"/>
  <c r="AH1189" i="2"/>
  <c r="BB1188" i="2"/>
  <c r="BC1188" i="2" s="1"/>
  <c r="AW1188" i="2"/>
  <c r="AR1188" i="2"/>
  <c r="AM1188" i="2"/>
  <c r="AH1188" i="2"/>
  <c r="BQ1187" i="2"/>
  <c r="BJ1187" i="2"/>
  <c r="BB1187" i="2"/>
  <c r="AW1187" i="2"/>
  <c r="AR1187" i="2"/>
  <c r="AM1187" i="2"/>
  <c r="AH1187" i="2"/>
  <c r="BC1187" i="2" s="1"/>
  <c r="BQ1186" i="2"/>
  <c r="BJ1186" i="2"/>
  <c r="BB1186" i="2"/>
  <c r="AW1186" i="2"/>
  <c r="AR1186" i="2"/>
  <c r="BC1186" i="2" s="1"/>
  <c r="AM1186" i="2"/>
  <c r="AH1186" i="2"/>
  <c r="BQ1185" i="2"/>
  <c r="BJ1185" i="2"/>
  <c r="BB1185" i="2"/>
  <c r="BC1185" i="2" s="1"/>
  <c r="AW1185" i="2"/>
  <c r="AR1185" i="2"/>
  <c r="AM1185" i="2"/>
  <c r="AH1185" i="2"/>
  <c r="BQ1184" i="2"/>
  <c r="BP1184" i="2"/>
  <c r="BP1192" i="2" s="1"/>
  <c r="BP1220" i="2" s="1"/>
  <c r="BO1184" i="2"/>
  <c r="BN1184" i="2"/>
  <c r="BM1184" i="2"/>
  <c r="BM1192" i="2" s="1"/>
  <c r="BJ1184" i="2"/>
  <c r="BI1184" i="2"/>
  <c r="BI1192" i="2" s="1"/>
  <c r="BH1184" i="2"/>
  <c r="BH1192" i="2" s="1"/>
  <c r="BG1184" i="2"/>
  <c r="BF1184" i="2"/>
  <c r="Y1184" i="2"/>
  <c r="V1184" i="2"/>
  <c r="V1192" i="2" s="1"/>
  <c r="T1184" i="2"/>
  <c r="R1184" i="2"/>
  <c r="Q1184" i="2"/>
  <c r="Q1192" i="2" s="1"/>
  <c r="O1184" i="2"/>
  <c r="O1192" i="2" s="1"/>
  <c r="O1220" i="2" s="1"/>
  <c r="N1184" i="2"/>
  <c r="P1184" i="2" s="1"/>
  <c r="M1184" i="2"/>
  <c r="L1184" i="2"/>
  <c r="J1184" i="2"/>
  <c r="J1192" i="2" s="1"/>
  <c r="I1184" i="2"/>
  <c r="I1192" i="2" s="1"/>
  <c r="H1184" i="2"/>
  <c r="K1184" i="2" s="1"/>
  <c r="G1184" i="2"/>
  <c r="E1184" i="2"/>
  <c r="E1192" i="2" s="1"/>
  <c r="D1184" i="2"/>
  <c r="D1192" i="2" s="1"/>
  <c r="C1184" i="2"/>
  <c r="C1192" i="2" s="1"/>
  <c r="B1184" i="2"/>
  <c r="F1184" i="2" s="1"/>
  <c r="Z1147" i="2"/>
  <c r="AA1147" i="2" s="1"/>
  <c r="U1147" i="2"/>
  <c r="P1147" i="2"/>
  <c r="K1147" i="2"/>
  <c r="F1147" i="2"/>
  <c r="BB1161" i="2"/>
  <c r="AW1161" i="2"/>
  <c r="BC1161" i="2" s="1"/>
  <c r="AR1161" i="2"/>
  <c r="AM1161" i="2"/>
  <c r="AH1161" i="2"/>
  <c r="BB1158" i="2"/>
  <c r="AW1158" i="2"/>
  <c r="AR1158" i="2"/>
  <c r="BC1158" i="2" s="1"/>
  <c r="AM1158" i="2"/>
  <c r="AH1158" i="2"/>
  <c r="AA1498" i="2" l="1"/>
  <c r="AK1521" i="2"/>
  <c r="AP1521" i="2"/>
  <c r="AF1521" i="2"/>
  <c r="AZ1521" i="2"/>
  <c r="AM1520" i="2"/>
  <c r="AT1521" i="2"/>
  <c r="AJ1521" i="2"/>
  <c r="AW1520" i="2"/>
  <c r="AA1487" i="2"/>
  <c r="AA1489" i="2"/>
  <c r="AA1491" i="2"/>
  <c r="AA1486" i="2"/>
  <c r="AA1488" i="2"/>
  <c r="AA1490" i="2"/>
  <c r="AA1492" i="2"/>
  <c r="X1521" i="2"/>
  <c r="S1521" i="2"/>
  <c r="U1520" i="2"/>
  <c r="N1521" i="2"/>
  <c r="I1521" i="2"/>
  <c r="AA1495" i="2"/>
  <c r="K1520" i="2"/>
  <c r="AA1520" i="2" s="1"/>
  <c r="D1521" i="2"/>
  <c r="AA1494" i="2"/>
  <c r="AA1496" i="2"/>
  <c r="AA1519" i="2"/>
  <c r="B1521" i="2"/>
  <c r="F1521" i="2" s="1"/>
  <c r="F1493" i="2"/>
  <c r="L1521" i="2"/>
  <c r="P1493" i="2"/>
  <c r="V1521" i="2"/>
  <c r="Z1493" i="2"/>
  <c r="AD1521" i="2"/>
  <c r="AH1493" i="2"/>
  <c r="AN1521" i="2"/>
  <c r="AR1521" i="2" s="1"/>
  <c r="AR1493" i="2"/>
  <c r="AX1521" i="2"/>
  <c r="BB1521" i="2" s="1"/>
  <c r="BB1493" i="2"/>
  <c r="F1485" i="2"/>
  <c r="U1493" i="2"/>
  <c r="Q1521" i="2"/>
  <c r="Z1485" i="2"/>
  <c r="AM1493" i="2"/>
  <c r="AI1521" i="2"/>
  <c r="AM1521" i="2" s="1"/>
  <c r="AR1485" i="2"/>
  <c r="BF1521" i="2"/>
  <c r="BC1520" i="2"/>
  <c r="K1493" i="2"/>
  <c r="G1521" i="2"/>
  <c r="P1485" i="2"/>
  <c r="AH1485" i="2"/>
  <c r="AW1493" i="2"/>
  <c r="AS1521" i="2"/>
  <c r="AW1521" i="2" s="1"/>
  <c r="BB1485" i="2"/>
  <c r="K1485" i="2"/>
  <c r="U1485" i="2"/>
  <c r="AM1485" i="2"/>
  <c r="AW1485" i="2"/>
  <c r="J1478" i="2"/>
  <c r="AA1474" i="2"/>
  <c r="BC1464" i="2"/>
  <c r="AR1477" i="2"/>
  <c r="AA1467" i="2"/>
  <c r="AA1449" i="2"/>
  <c r="AA1466" i="2"/>
  <c r="AH1477" i="2"/>
  <c r="AA1463" i="2"/>
  <c r="AA1462" i="2"/>
  <c r="AA1447" i="2"/>
  <c r="Z1477" i="2"/>
  <c r="D1478" i="2"/>
  <c r="O1478" i="2"/>
  <c r="N1478" i="2"/>
  <c r="P1477" i="2"/>
  <c r="F1477" i="2"/>
  <c r="AA1412" i="2"/>
  <c r="AA1444" i="2"/>
  <c r="U1477" i="2"/>
  <c r="AA1452" i="2"/>
  <c r="BB1477" i="2"/>
  <c r="BC1475" i="2"/>
  <c r="AM1477" i="2"/>
  <c r="S1435" i="2"/>
  <c r="S1442" i="2" s="1"/>
  <c r="S1450" i="2" s="1"/>
  <c r="S1478" i="2" s="1"/>
  <c r="AA1431" i="2"/>
  <c r="AA1443" i="2"/>
  <c r="AA1445" i="2"/>
  <c r="AA1446" i="2"/>
  <c r="AA1448" i="2"/>
  <c r="BF1478" i="2"/>
  <c r="Q1450" i="2"/>
  <c r="K1477" i="2"/>
  <c r="AW1477" i="2"/>
  <c r="BC1403" i="2"/>
  <c r="AA1423" i="2"/>
  <c r="AA1422" i="2"/>
  <c r="E1435" i="2"/>
  <c r="E1442" i="2" s="1"/>
  <c r="E1450" i="2" s="1"/>
  <c r="E1478" i="2" s="1"/>
  <c r="AA1421" i="2"/>
  <c r="M1435" i="2"/>
  <c r="M1442" i="2" s="1"/>
  <c r="M1450" i="2" s="1"/>
  <c r="M1478" i="2" s="1"/>
  <c r="AA1417" i="2"/>
  <c r="C1435" i="2"/>
  <c r="C1442" i="2" s="1"/>
  <c r="C1450" i="2" s="1"/>
  <c r="C1478" i="2" s="1"/>
  <c r="AA1415" i="2"/>
  <c r="AA1413" i="2"/>
  <c r="BH1435" i="2"/>
  <c r="BH1442" i="2" s="1"/>
  <c r="BH1450" i="2" s="1"/>
  <c r="BH1478" i="2" s="1"/>
  <c r="BH1485" i="2" s="1"/>
  <c r="BH1493" i="2" s="1"/>
  <c r="BJ1434" i="2"/>
  <c r="I1435" i="2"/>
  <c r="I1442" i="2" s="1"/>
  <c r="I1450" i="2" s="1"/>
  <c r="I1478" i="2" s="1"/>
  <c r="K1434" i="2"/>
  <c r="AA1409" i="2"/>
  <c r="AR1434" i="2"/>
  <c r="BB1434" i="2"/>
  <c r="U1434" i="2"/>
  <c r="AM1434" i="2"/>
  <c r="AW1434" i="2"/>
  <c r="AH1434" i="2"/>
  <c r="F1434" i="2"/>
  <c r="P1434" i="2"/>
  <c r="Z1434" i="2"/>
  <c r="AA1400" i="2"/>
  <c r="AA1402" i="2"/>
  <c r="AA1404" i="2"/>
  <c r="AA1401" i="2"/>
  <c r="AA1403" i="2"/>
  <c r="AA1405" i="2"/>
  <c r="G1435" i="2"/>
  <c r="G1442" i="2" s="1"/>
  <c r="G1450" i="2" s="1"/>
  <c r="G1478" i="2" s="1"/>
  <c r="K1407" i="2"/>
  <c r="Q1435" i="2"/>
  <c r="Q1442" i="2" s="1"/>
  <c r="L1435" i="2"/>
  <c r="L1442" i="2" s="1"/>
  <c r="L1450" i="2" s="1"/>
  <c r="L1478" i="2" s="1"/>
  <c r="P1407" i="2"/>
  <c r="K1399" i="2"/>
  <c r="V1435" i="2"/>
  <c r="V1442" i="2" s="1"/>
  <c r="V1450" i="2" s="1"/>
  <c r="V1478" i="2" s="1"/>
  <c r="BF1435" i="2"/>
  <c r="BJ1407" i="2"/>
  <c r="P1399" i="2"/>
  <c r="BC1383" i="2"/>
  <c r="AA1362" i="2"/>
  <c r="BC1380" i="2"/>
  <c r="AA1360" i="2"/>
  <c r="P1391" i="2"/>
  <c r="BC1372" i="2"/>
  <c r="BB1391" i="2"/>
  <c r="AA1358" i="2"/>
  <c r="K1391" i="2"/>
  <c r="F1391" i="2"/>
  <c r="AA1341" i="2"/>
  <c r="AA1342" i="2"/>
  <c r="M1349" i="2"/>
  <c r="M1356" i="2" s="1"/>
  <c r="M1364" i="2" s="1"/>
  <c r="M1392" i="2" s="1"/>
  <c r="BC1344" i="2"/>
  <c r="AR1391" i="2"/>
  <c r="BJ1392" i="2"/>
  <c r="BJ1364" i="2"/>
  <c r="AM1391" i="2"/>
  <c r="AD1391" i="2"/>
  <c r="AH1391" i="2" s="1"/>
  <c r="AS1391" i="2"/>
  <c r="AU1391" i="2"/>
  <c r="U1391" i="2"/>
  <c r="BC1341" i="2"/>
  <c r="BC1333" i="2"/>
  <c r="BC1332" i="2"/>
  <c r="BC1330" i="2"/>
  <c r="AA1317" i="2"/>
  <c r="AA1304" i="2"/>
  <c r="AA1314" i="2"/>
  <c r="AH1348" i="2"/>
  <c r="AW1348" i="2"/>
  <c r="Y1349" i="2"/>
  <c r="Y1356" i="2" s="1"/>
  <c r="Y1364" i="2" s="1"/>
  <c r="Y1392" i="2" s="1"/>
  <c r="Z1348" i="2"/>
  <c r="AA1299" i="2"/>
  <c r="AA1297" i="2"/>
  <c r="BC1285" i="2"/>
  <c r="AA1298" i="2"/>
  <c r="AA1296" i="2"/>
  <c r="AA1275" i="2"/>
  <c r="BC1272" i="2"/>
  <c r="BC1271" i="2"/>
  <c r="AR1348" i="2"/>
  <c r="AM1348" i="2"/>
  <c r="BB1348" i="2"/>
  <c r="K1348" i="2"/>
  <c r="R1349" i="2"/>
  <c r="R1356" i="2" s="1"/>
  <c r="R1364" i="2" s="1"/>
  <c r="R1392" i="2" s="1"/>
  <c r="R1399" i="2" s="1"/>
  <c r="R1407" i="2" s="1"/>
  <c r="R1435" i="2" s="1"/>
  <c r="R1442" i="2" s="1"/>
  <c r="R1450" i="2" s="1"/>
  <c r="R1478" i="2" s="1"/>
  <c r="F1348" i="2"/>
  <c r="U1348" i="2"/>
  <c r="P1348" i="2"/>
  <c r="BJ1321" i="2"/>
  <c r="BF1349" i="2"/>
  <c r="BJ1349" i="2" s="1"/>
  <c r="AA1294" i="2"/>
  <c r="AA1274" i="2"/>
  <c r="AA1273" i="2"/>
  <c r="AA1277" i="2"/>
  <c r="S1306" i="2"/>
  <c r="S1313" i="2" s="1"/>
  <c r="S1321" i="2" s="1"/>
  <c r="S1349" i="2" s="1"/>
  <c r="S1356" i="2" s="1"/>
  <c r="S1364" i="2" s="1"/>
  <c r="S1392" i="2" s="1"/>
  <c r="T1306" i="2"/>
  <c r="T1313" i="2" s="1"/>
  <c r="T1321" i="2" s="1"/>
  <c r="T1349" i="2" s="1"/>
  <c r="T1356" i="2" s="1"/>
  <c r="T1364" i="2" s="1"/>
  <c r="T1392" i="2" s="1"/>
  <c r="T1399" i="2" s="1"/>
  <c r="T1407" i="2" s="1"/>
  <c r="T1435" i="2" s="1"/>
  <c r="T1442" i="2" s="1"/>
  <c r="T1450" i="2" s="1"/>
  <c r="T1478" i="2" s="1"/>
  <c r="J1306" i="2"/>
  <c r="J1313" i="2" s="1"/>
  <c r="J1321" i="2" s="1"/>
  <c r="J1349" i="2" s="1"/>
  <c r="J1356" i="2" s="1"/>
  <c r="J1364" i="2" s="1"/>
  <c r="J1392" i="2" s="1"/>
  <c r="E1306" i="2"/>
  <c r="E1313" i="2" s="1"/>
  <c r="E1321" i="2" s="1"/>
  <c r="E1349" i="2" s="1"/>
  <c r="E1356" i="2" s="1"/>
  <c r="E1364" i="2" s="1"/>
  <c r="E1392" i="2" s="1"/>
  <c r="I1306" i="2"/>
  <c r="I1313" i="2" s="1"/>
  <c r="I1321" i="2" s="1"/>
  <c r="I1349" i="2" s="1"/>
  <c r="I1356" i="2" s="1"/>
  <c r="I1364" i="2" s="1"/>
  <c r="I1392" i="2" s="1"/>
  <c r="D1306" i="2"/>
  <c r="D1313" i="2" s="1"/>
  <c r="D1321" i="2" s="1"/>
  <c r="D1349" i="2" s="1"/>
  <c r="D1356" i="2" s="1"/>
  <c r="D1364" i="2" s="1"/>
  <c r="D1392" i="2" s="1"/>
  <c r="H1306" i="2"/>
  <c r="H1313" i="2" s="1"/>
  <c r="H1321" i="2" s="1"/>
  <c r="H1349" i="2" s="1"/>
  <c r="H1356" i="2" s="1"/>
  <c r="H1364" i="2" s="1"/>
  <c r="H1392" i="2" s="1"/>
  <c r="AA1284" i="2"/>
  <c r="K1305" i="2"/>
  <c r="F1305" i="2"/>
  <c r="C1306" i="2"/>
  <c r="C1313" i="2" s="1"/>
  <c r="C1321" i="2" s="1"/>
  <c r="C1349" i="2" s="1"/>
  <c r="C1356" i="2" s="1"/>
  <c r="C1364" i="2" s="1"/>
  <c r="C1392" i="2" s="1"/>
  <c r="AA1272" i="2"/>
  <c r="AA1271" i="2"/>
  <c r="Z1305" i="2"/>
  <c r="AA1279" i="2"/>
  <c r="AH1305" i="2"/>
  <c r="AW1305" i="2"/>
  <c r="BJ1305" i="2"/>
  <c r="BI1306" i="2"/>
  <c r="AM1305" i="2"/>
  <c r="BB1305" i="2"/>
  <c r="AR1305" i="2"/>
  <c r="N1306" i="2"/>
  <c r="N1313" i="2" s="1"/>
  <c r="N1321" i="2" s="1"/>
  <c r="N1349" i="2" s="1"/>
  <c r="N1356" i="2" s="1"/>
  <c r="N1364" i="2" s="1"/>
  <c r="N1392" i="2" s="1"/>
  <c r="W1306" i="2"/>
  <c r="W1313" i="2" s="1"/>
  <c r="W1321" i="2" s="1"/>
  <c r="W1349" i="2" s="1"/>
  <c r="W1356" i="2" s="1"/>
  <c r="W1364" i="2" s="1"/>
  <c r="W1392" i="2" s="1"/>
  <c r="W1399" i="2" s="1"/>
  <c r="W1407" i="2" s="1"/>
  <c r="W1435" i="2" s="1"/>
  <c r="W1442" i="2" s="1"/>
  <c r="W1450" i="2" s="1"/>
  <c r="W1478" i="2" s="1"/>
  <c r="O1306" i="2"/>
  <c r="O1313" i="2" s="1"/>
  <c r="O1321" i="2" s="1"/>
  <c r="O1349" i="2" s="1"/>
  <c r="O1356" i="2" s="1"/>
  <c r="O1364" i="2" s="1"/>
  <c r="O1392" i="2" s="1"/>
  <c r="P1305" i="2"/>
  <c r="X1306" i="2"/>
  <c r="X1313" i="2" s="1"/>
  <c r="X1321" i="2" s="1"/>
  <c r="X1349" i="2" s="1"/>
  <c r="X1356" i="2" s="1"/>
  <c r="X1364" i="2" s="1"/>
  <c r="X1392" i="2" s="1"/>
  <c r="X1399" i="2" s="1"/>
  <c r="X1407" i="2" s="1"/>
  <c r="U1305" i="2"/>
  <c r="F1278" i="2"/>
  <c r="BJ1278" i="2"/>
  <c r="BF1306" i="2"/>
  <c r="K1278" i="2"/>
  <c r="V1278" i="2"/>
  <c r="G1306" i="2"/>
  <c r="G1313" i="2" s="1"/>
  <c r="F1270" i="2"/>
  <c r="AA1270" i="2" s="1"/>
  <c r="Q1278" i="2"/>
  <c r="B1306" i="2"/>
  <c r="B1313" i="2" s="1"/>
  <c r="B1321" i="2" s="1"/>
  <c r="B1349" i="2" s="1"/>
  <c r="B1356" i="2" s="1"/>
  <c r="B1364" i="2" s="1"/>
  <c r="B1392" i="2" s="1"/>
  <c r="B1399" i="2" s="1"/>
  <c r="B1407" i="2" s="1"/>
  <c r="F1407" i="2" s="1"/>
  <c r="L1278" i="2"/>
  <c r="AA1252" i="2"/>
  <c r="E1263" i="2"/>
  <c r="AA1250" i="2"/>
  <c r="BC1258" i="2"/>
  <c r="AA1248" i="2"/>
  <c r="BC1248" i="2"/>
  <c r="AA1247" i="2"/>
  <c r="H1263" i="2"/>
  <c r="AA1246" i="2"/>
  <c r="AA1245" i="2"/>
  <c r="BC1246" i="2"/>
  <c r="AA1232" i="2"/>
  <c r="AA1242" i="2"/>
  <c r="M1263" i="2"/>
  <c r="AA1240" i="2"/>
  <c r="BC1261" i="2"/>
  <c r="BC1241" i="2"/>
  <c r="O1263" i="2"/>
  <c r="AA1239" i="2"/>
  <c r="C1263" i="2"/>
  <c r="Z1262" i="2"/>
  <c r="AA1238" i="2"/>
  <c r="W1263" i="2"/>
  <c r="BC1237" i="2"/>
  <c r="BN1263" i="2"/>
  <c r="AA1236" i="2"/>
  <c r="AA1218" i="2"/>
  <c r="AA1217" i="2"/>
  <c r="AA1216" i="2"/>
  <c r="AA1228" i="2"/>
  <c r="AA1215" i="2"/>
  <c r="BQ1262" i="2"/>
  <c r="BJ1262" i="2"/>
  <c r="BF1263" i="2"/>
  <c r="BM1263" i="2"/>
  <c r="BQ1235" i="2"/>
  <c r="AH1262" i="2"/>
  <c r="BC1259" i="2"/>
  <c r="AR1262" i="2"/>
  <c r="BC1260" i="2"/>
  <c r="AW1262" i="2"/>
  <c r="AI1262" i="2"/>
  <c r="AM1262" i="2" s="1"/>
  <c r="AY1262" i="2"/>
  <c r="F1262" i="2"/>
  <c r="K1262" i="2"/>
  <c r="P1262" i="2"/>
  <c r="D1263" i="2"/>
  <c r="I1263" i="2"/>
  <c r="S1263" i="2"/>
  <c r="AA1229" i="2"/>
  <c r="AA1233" i="2"/>
  <c r="AA1230" i="2"/>
  <c r="AA1234" i="2"/>
  <c r="AA1231" i="2"/>
  <c r="G1263" i="2"/>
  <c r="U1262" i="2"/>
  <c r="L1263" i="2"/>
  <c r="R1219" i="2"/>
  <c r="R1220" i="2" s="1"/>
  <c r="R1227" i="2" s="1"/>
  <c r="R1235" i="2" s="1"/>
  <c r="R1263" i="2" s="1"/>
  <c r="AA1214" i="2"/>
  <c r="AA1191" i="2"/>
  <c r="AA1211" i="2"/>
  <c r="M1220" i="2"/>
  <c r="AA1210" i="2"/>
  <c r="AA1190" i="2"/>
  <c r="AA1209" i="2"/>
  <c r="AA1207" i="2"/>
  <c r="AA1206" i="2"/>
  <c r="AA1188" i="2"/>
  <c r="I1220" i="2"/>
  <c r="AA1204" i="2"/>
  <c r="AA1203" i="2"/>
  <c r="P1219" i="2"/>
  <c r="BC1197" i="2"/>
  <c r="AA1187" i="2"/>
  <c r="AA1202" i="2"/>
  <c r="AA1201" i="2"/>
  <c r="F1219" i="2"/>
  <c r="AA1199" i="2"/>
  <c r="BC1196" i="2"/>
  <c r="BC1195" i="2"/>
  <c r="BC1193" i="2"/>
  <c r="AA1186" i="2"/>
  <c r="BC1174" i="2"/>
  <c r="AR1219" i="2"/>
  <c r="AR1221" i="2" s="1"/>
  <c r="BN1220" i="2"/>
  <c r="BO1220" i="2"/>
  <c r="BQ1219" i="2"/>
  <c r="AA1193" i="2"/>
  <c r="AA1185" i="2"/>
  <c r="BH1220" i="2"/>
  <c r="BH1227" i="2" s="1"/>
  <c r="BH1235" i="2" s="1"/>
  <c r="BH1263" i="2" s="1"/>
  <c r="BI1220" i="2"/>
  <c r="BJ1219" i="2"/>
  <c r="AH1219" i="2"/>
  <c r="AH1221" i="2" s="1"/>
  <c r="AM1219" i="2"/>
  <c r="AM1221" i="2" s="1"/>
  <c r="C1220" i="2"/>
  <c r="J1220" i="2"/>
  <c r="J1227" i="2" s="1"/>
  <c r="J1235" i="2" s="1"/>
  <c r="J1263" i="2" s="1"/>
  <c r="K1219" i="2"/>
  <c r="D1220" i="2"/>
  <c r="Y1220" i="2"/>
  <c r="Y1227" i="2" s="1"/>
  <c r="Y1235" i="2" s="1"/>
  <c r="Y1263" i="2" s="1"/>
  <c r="E1220" i="2"/>
  <c r="Z1219" i="2"/>
  <c r="BJ1192" i="2"/>
  <c r="V1220" i="2"/>
  <c r="V1227" i="2" s="1"/>
  <c r="V1235" i="2" s="1"/>
  <c r="AW1219" i="2"/>
  <c r="AW1221" i="2" s="1"/>
  <c r="BQ1192" i="2"/>
  <c r="BM1220" i="2"/>
  <c r="Q1220" i="2"/>
  <c r="Q1227" i="2" s="1"/>
  <c r="Q1235" i="2" s="1"/>
  <c r="Q1263" i="2" s="1"/>
  <c r="BB1219" i="2"/>
  <c r="BB1221" i="2" s="1"/>
  <c r="H1192" i="2"/>
  <c r="H1220" i="2" s="1"/>
  <c r="N1192" i="2"/>
  <c r="N1220" i="2" s="1"/>
  <c r="N1227" i="2" s="1"/>
  <c r="N1235" i="2" s="1"/>
  <c r="P1235" i="2" s="1"/>
  <c r="T1192" i="2"/>
  <c r="T1220" i="2" s="1"/>
  <c r="T1227" i="2" s="1"/>
  <c r="T1235" i="2" s="1"/>
  <c r="T1263" i="2" s="1"/>
  <c r="L1220" i="2"/>
  <c r="BF1220" i="2"/>
  <c r="G1220" i="2"/>
  <c r="G1227" i="2" s="1"/>
  <c r="G1235" i="2" s="1"/>
  <c r="BB1155" i="2"/>
  <c r="AW1155" i="2"/>
  <c r="AR1155" i="2"/>
  <c r="AM1155" i="2"/>
  <c r="AH1155" i="2"/>
  <c r="BC1155" i="2" s="1"/>
  <c r="BB1132" i="2"/>
  <c r="AW1132" i="2"/>
  <c r="AR1132" i="2"/>
  <c r="AM1132" i="2"/>
  <c r="AH1132" i="2"/>
  <c r="BC1132" i="2" s="1"/>
  <c r="BC1131" i="2"/>
  <c r="BB1131" i="2"/>
  <c r="AW1131" i="2"/>
  <c r="AR1131" i="2"/>
  <c r="AM1131" i="2"/>
  <c r="AH1131" i="2"/>
  <c r="BB1130" i="2"/>
  <c r="AW1130" i="2"/>
  <c r="AR1130" i="2"/>
  <c r="AM1130" i="2"/>
  <c r="AH1130" i="2"/>
  <c r="BQ1108" i="2"/>
  <c r="BQ1150" i="2"/>
  <c r="BJ1150" i="2"/>
  <c r="BJ1151" i="2"/>
  <c r="BJ1152" i="2"/>
  <c r="BJ1142" i="2"/>
  <c r="BP1176" i="2"/>
  <c r="BO1176" i="2"/>
  <c r="BN1176" i="2"/>
  <c r="BM1176" i="2"/>
  <c r="BI1176" i="2"/>
  <c r="BH1176" i="2"/>
  <c r="BG1176" i="2"/>
  <c r="BF1176" i="2"/>
  <c r="BQ1175" i="2"/>
  <c r="BJ1175" i="2"/>
  <c r="BQ1174" i="2"/>
  <c r="BJ1174" i="2"/>
  <c r="BQ1173" i="2"/>
  <c r="BJ1173" i="2"/>
  <c r="BQ1172" i="2"/>
  <c r="BJ1172" i="2"/>
  <c r="BQ1171" i="2"/>
  <c r="BJ1171" i="2"/>
  <c r="BQ1170" i="2"/>
  <c r="BJ1170" i="2"/>
  <c r="BQ1169" i="2"/>
  <c r="BJ1169" i="2"/>
  <c r="BQ1168" i="2"/>
  <c r="BJ1168" i="2"/>
  <c r="BQ1167" i="2"/>
  <c r="BJ1167" i="2"/>
  <c r="BQ1166" i="2"/>
  <c r="BJ1166" i="2"/>
  <c r="BQ1165" i="2"/>
  <c r="BJ1165" i="2"/>
  <c r="BQ1164" i="2"/>
  <c r="BJ1164" i="2"/>
  <c r="BQ1163" i="2"/>
  <c r="BJ1163" i="2"/>
  <c r="BQ1162" i="2"/>
  <c r="BJ1162" i="2"/>
  <c r="BQ1161" i="2"/>
  <c r="BJ1161" i="2"/>
  <c r="BQ1160" i="2"/>
  <c r="BJ1160" i="2"/>
  <c r="BQ1159" i="2"/>
  <c r="BJ1159" i="2"/>
  <c r="BQ1158" i="2"/>
  <c r="BJ1158" i="2"/>
  <c r="BQ1157" i="2"/>
  <c r="BJ1157" i="2"/>
  <c r="BQ1156" i="2"/>
  <c r="BJ1156" i="2"/>
  <c r="BQ1155" i="2"/>
  <c r="BJ1155" i="2"/>
  <c r="BQ1154" i="2"/>
  <c r="BJ1154" i="2"/>
  <c r="BQ1153" i="2"/>
  <c r="BJ1153" i="2"/>
  <c r="BQ1152" i="2"/>
  <c r="BQ1151" i="2"/>
  <c r="BI1149" i="2"/>
  <c r="BI1177" i="2" s="1"/>
  <c r="BQ1148" i="2"/>
  <c r="BJ1148" i="2"/>
  <c r="BQ1147" i="2"/>
  <c r="BJ1147" i="2"/>
  <c r="BQ1146" i="2"/>
  <c r="BJ1146" i="2"/>
  <c r="BQ1144" i="2"/>
  <c r="BJ1144" i="2"/>
  <c r="BQ1143" i="2"/>
  <c r="BJ1143" i="2"/>
  <c r="BQ1142" i="2"/>
  <c r="BI1141" i="2"/>
  <c r="BG1141" i="2"/>
  <c r="BG1149" i="2" s="1"/>
  <c r="BF1141" i="2"/>
  <c r="BF1149" i="2" s="1"/>
  <c r="F1150" i="2"/>
  <c r="K1150" i="2"/>
  <c r="P1150" i="2"/>
  <c r="AA1150" i="2" s="1"/>
  <c r="U1150" i="2"/>
  <c r="Z1150" i="2"/>
  <c r="F1151" i="2"/>
  <c r="K1151" i="2"/>
  <c r="P1151" i="2"/>
  <c r="U1151" i="2"/>
  <c r="AA1151" i="2" s="1"/>
  <c r="Z1151" i="2"/>
  <c r="F1152" i="2"/>
  <c r="K1152" i="2"/>
  <c r="P1152" i="2"/>
  <c r="U1152" i="2"/>
  <c r="Z1152" i="2"/>
  <c r="F1153" i="2"/>
  <c r="K1153" i="2"/>
  <c r="P1153" i="2"/>
  <c r="U1153" i="2"/>
  <c r="Z1153" i="2"/>
  <c r="AA1153" i="2"/>
  <c r="F1154" i="2"/>
  <c r="K1154" i="2"/>
  <c r="P1154" i="2"/>
  <c r="U1154" i="2"/>
  <c r="Z1154" i="2"/>
  <c r="F1155" i="2"/>
  <c r="AA1155" i="2" s="1"/>
  <c r="K1155" i="2"/>
  <c r="P1155" i="2"/>
  <c r="U1155" i="2"/>
  <c r="Z1155" i="2"/>
  <c r="F1156" i="2"/>
  <c r="K1156" i="2"/>
  <c r="P1156" i="2"/>
  <c r="U1156" i="2"/>
  <c r="Z1156" i="2"/>
  <c r="F1157" i="2"/>
  <c r="K1157" i="2"/>
  <c r="P1157" i="2"/>
  <c r="U1157" i="2"/>
  <c r="Z1157" i="2"/>
  <c r="AA1157" i="2"/>
  <c r="F1158" i="2"/>
  <c r="K1158" i="2"/>
  <c r="P1158" i="2"/>
  <c r="AA1158" i="2" s="1"/>
  <c r="U1158" i="2"/>
  <c r="Z1158" i="2"/>
  <c r="F1159" i="2"/>
  <c r="AA1159" i="2" s="1"/>
  <c r="K1159" i="2"/>
  <c r="P1159" i="2"/>
  <c r="U1159" i="2"/>
  <c r="Z1159" i="2"/>
  <c r="F1160" i="2"/>
  <c r="K1160" i="2"/>
  <c r="P1160" i="2"/>
  <c r="AA1160" i="2" s="1"/>
  <c r="U1160" i="2"/>
  <c r="Z1160" i="2"/>
  <c r="F1161" i="2"/>
  <c r="AA1161" i="2" s="1"/>
  <c r="K1161" i="2"/>
  <c r="P1161" i="2"/>
  <c r="U1161" i="2"/>
  <c r="Z1161" i="2"/>
  <c r="F1162" i="2"/>
  <c r="K1162" i="2"/>
  <c r="P1162" i="2"/>
  <c r="U1162" i="2"/>
  <c r="Z1162" i="2"/>
  <c r="F1163" i="2"/>
  <c r="K1163" i="2"/>
  <c r="P1163" i="2"/>
  <c r="U1163" i="2"/>
  <c r="Z1163" i="2"/>
  <c r="F1164" i="2"/>
  <c r="K1164" i="2"/>
  <c r="P1164" i="2"/>
  <c r="U1164" i="2"/>
  <c r="Z1164" i="2"/>
  <c r="F1165" i="2"/>
  <c r="K1165" i="2"/>
  <c r="P1165" i="2"/>
  <c r="U1165" i="2"/>
  <c r="Z1165" i="2"/>
  <c r="AA1165" i="2"/>
  <c r="F1166" i="2"/>
  <c r="K1166" i="2"/>
  <c r="P1166" i="2"/>
  <c r="U1166" i="2"/>
  <c r="Z1166" i="2"/>
  <c r="F1167" i="2"/>
  <c r="K1167" i="2"/>
  <c r="P1167" i="2"/>
  <c r="U1167" i="2"/>
  <c r="Z1167" i="2"/>
  <c r="F1168" i="2"/>
  <c r="K1168" i="2"/>
  <c r="P1168" i="2"/>
  <c r="AA1168" i="2" s="1"/>
  <c r="U1168" i="2"/>
  <c r="Z1168" i="2"/>
  <c r="F1142" i="2"/>
  <c r="K1142" i="2"/>
  <c r="P1142" i="2"/>
  <c r="U1142" i="2"/>
  <c r="AA1142" i="2" s="1"/>
  <c r="Z1142" i="2"/>
  <c r="F1143" i="2"/>
  <c r="K1143" i="2"/>
  <c r="P1143" i="2"/>
  <c r="U1143" i="2"/>
  <c r="Z1143" i="2"/>
  <c r="F1144" i="2"/>
  <c r="K1144" i="2"/>
  <c r="P1144" i="2"/>
  <c r="U1144" i="2"/>
  <c r="AA1144" i="2" s="1"/>
  <c r="Z1144" i="2"/>
  <c r="F1145" i="2"/>
  <c r="K1145" i="2"/>
  <c r="P1145" i="2"/>
  <c r="U1145" i="2"/>
  <c r="Z1145" i="2"/>
  <c r="AA1145" i="2"/>
  <c r="F1146" i="2"/>
  <c r="K1146" i="2"/>
  <c r="P1146" i="2"/>
  <c r="U1146" i="2"/>
  <c r="Z1146" i="2"/>
  <c r="Y1176" i="2"/>
  <c r="X1176" i="2"/>
  <c r="W1176" i="2"/>
  <c r="V1176" i="2"/>
  <c r="T1176" i="2"/>
  <c r="S1176" i="2"/>
  <c r="R1176" i="2"/>
  <c r="Q1176" i="2"/>
  <c r="O1176" i="2"/>
  <c r="N1176" i="2"/>
  <c r="M1176" i="2"/>
  <c r="L1176" i="2"/>
  <c r="J1176" i="2"/>
  <c r="I1176" i="2"/>
  <c r="H1176" i="2"/>
  <c r="G1176" i="2"/>
  <c r="E1176" i="2"/>
  <c r="D1176" i="2"/>
  <c r="C1176" i="2"/>
  <c r="B1176" i="2"/>
  <c r="Z1175" i="2"/>
  <c r="U1175" i="2"/>
  <c r="P1175" i="2"/>
  <c r="K1175" i="2"/>
  <c r="F1175" i="2"/>
  <c r="AA1175" i="2" s="1"/>
  <c r="Z1174" i="2"/>
  <c r="U1174" i="2"/>
  <c r="P1174" i="2"/>
  <c r="K1174" i="2"/>
  <c r="F1174" i="2"/>
  <c r="AA1174" i="2" s="1"/>
  <c r="Z1173" i="2"/>
  <c r="U1173" i="2"/>
  <c r="P1173" i="2"/>
  <c r="K1173" i="2"/>
  <c r="F1173" i="2"/>
  <c r="AA1173" i="2" s="1"/>
  <c r="Z1172" i="2"/>
  <c r="U1172" i="2"/>
  <c r="P1172" i="2"/>
  <c r="K1172" i="2"/>
  <c r="F1172" i="2"/>
  <c r="Z1171" i="2"/>
  <c r="U1171" i="2"/>
  <c r="P1171" i="2"/>
  <c r="K1171" i="2"/>
  <c r="F1171" i="2"/>
  <c r="Z1170" i="2"/>
  <c r="U1170" i="2"/>
  <c r="P1170" i="2"/>
  <c r="K1170" i="2"/>
  <c r="F1170" i="2"/>
  <c r="AA1170" i="2" s="1"/>
  <c r="Z1169" i="2"/>
  <c r="U1169" i="2"/>
  <c r="P1169" i="2"/>
  <c r="K1169" i="2"/>
  <c r="F1169" i="2"/>
  <c r="Z1148" i="2"/>
  <c r="U1148" i="2"/>
  <c r="P1148" i="2"/>
  <c r="K1148" i="2"/>
  <c r="F1148" i="2"/>
  <c r="W1141" i="2"/>
  <c r="W1149" i="2" s="1"/>
  <c r="V1141" i="2"/>
  <c r="V1149" i="2" s="1"/>
  <c r="R1141" i="2"/>
  <c r="R1149" i="2" s="1"/>
  <c r="Q1141" i="2"/>
  <c r="Q1149" i="2" s="1"/>
  <c r="O1141" i="2"/>
  <c r="O1149" i="2" s="1"/>
  <c r="N1141" i="2"/>
  <c r="N1149" i="2" s="1"/>
  <c r="N1177" i="2" s="1"/>
  <c r="M1141" i="2"/>
  <c r="M1149" i="2" s="1"/>
  <c r="L1141" i="2"/>
  <c r="L1149" i="2" s="1"/>
  <c r="J1141" i="2"/>
  <c r="J1149" i="2" s="1"/>
  <c r="J1177" i="2" s="1"/>
  <c r="I1141" i="2"/>
  <c r="I1149" i="2" s="1"/>
  <c r="I1177" i="2" s="1"/>
  <c r="H1141" i="2"/>
  <c r="H1149" i="2" s="1"/>
  <c r="G1141" i="2"/>
  <c r="G1149" i="2" s="1"/>
  <c r="E1141" i="2"/>
  <c r="E1149" i="2" s="1"/>
  <c r="E1177" i="2" s="1"/>
  <c r="D1141" i="2"/>
  <c r="D1149" i="2" s="1"/>
  <c r="D1177" i="2" s="1"/>
  <c r="C1141" i="2"/>
  <c r="C1149" i="2" s="1"/>
  <c r="B1141" i="2"/>
  <c r="B1149" i="2" s="1"/>
  <c r="AH1150" i="2"/>
  <c r="BC1150" i="2" s="1"/>
  <c r="AM1150" i="2"/>
  <c r="AR1150" i="2"/>
  <c r="AW1150" i="2"/>
  <c r="BB1150" i="2"/>
  <c r="AH1151" i="2"/>
  <c r="AM1151" i="2"/>
  <c r="AR1151" i="2"/>
  <c r="AW1151" i="2"/>
  <c r="BB1151" i="2"/>
  <c r="BC1151" i="2"/>
  <c r="AH1152" i="2"/>
  <c r="BC1152" i="2" s="1"/>
  <c r="AM1152" i="2"/>
  <c r="AR1152" i="2"/>
  <c r="AW1152" i="2"/>
  <c r="BB1152" i="2"/>
  <c r="AH1153" i="2"/>
  <c r="AM1153" i="2"/>
  <c r="AR1153" i="2"/>
  <c r="AW1153" i="2"/>
  <c r="BB1153" i="2"/>
  <c r="BC1153" i="2"/>
  <c r="AH1154" i="2"/>
  <c r="AM1154" i="2"/>
  <c r="AR1154" i="2"/>
  <c r="AW1154" i="2"/>
  <c r="BB1154" i="2"/>
  <c r="AH1156" i="2"/>
  <c r="AM1156" i="2"/>
  <c r="AR1156" i="2"/>
  <c r="AW1156" i="2"/>
  <c r="BB1156" i="2"/>
  <c r="AH1157" i="2"/>
  <c r="AM1157" i="2"/>
  <c r="AR1157" i="2"/>
  <c r="AW1157" i="2"/>
  <c r="BB1157" i="2"/>
  <c r="BC1157" i="2"/>
  <c r="AH1159" i="2"/>
  <c r="AM1159" i="2"/>
  <c r="AR1159" i="2"/>
  <c r="AW1159" i="2"/>
  <c r="BB1159" i="2"/>
  <c r="AH1160" i="2"/>
  <c r="AM1160" i="2"/>
  <c r="AR1160" i="2"/>
  <c r="AW1160" i="2"/>
  <c r="BB1160" i="2"/>
  <c r="AH1162" i="2"/>
  <c r="AM1162" i="2"/>
  <c r="AR1162" i="2"/>
  <c r="AW1162" i="2"/>
  <c r="BB1162" i="2"/>
  <c r="AH1163" i="2"/>
  <c r="AM1163" i="2"/>
  <c r="AR1163" i="2"/>
  <c r="AW1163" i="2"/>
  <c r="BB1163" i="2"/>
  <c r="AH1164" i="2"/>
  <c r="AM1164" i="2"/>
  <c r="AR1164" i="2"/>
  <c r="AW1164" i="2"/>
  <c r="BB1164" i="2"/>
  <c r="AH1165" i="2"/>
  <c r="AM1165" i="2"/>
  <c r="AR1165" i="2"/>
  <c r="AW1165" i="2"/>
  <c r="BB1165" i="2"/>
  <c r="AH1166" i="2"/>
  <c r="BC1166" i="2" s="1"/>
  <c r="AM1166" i="2"/>
  <c r="AR1166" i="2"/>
  <c r="AW1166" i="2"/>
  <c r="BB1166" i="2"/>
  <c r="AH1167" i="2"/>
  <c r="AM1167" i="2"/>
  <c r="AR1167" i="2"/>
  <c r="AW1167" i="2"/>
  <c r="BB1167" i="2"/>
  <c r="BC1167" i="2"/>
  <c r="AH1169" i="2"/>
  <c r="AM1169" i="2"/>
  <c r="AR1169" i="2"/>
  <c r="AW1169" i="2"/>
  <c r="BB1169" i="2"/>
  <c r="BC1169" i="2"/>
  <c r="AH1170" i="2"/>
  <c r="AM1170" i="2"/>
  <c r="AR1170" i="2"/>
  <c r="AW1170" i="2"/>
  <c r="BB1170" i="2"/>
  <c r="AM1143" i="2"/>
  <c r="AR1143" i="2"/>
  <c r="BC1143" i="2" s="1"/>
  <c r="AW1143" i="2"/>
  <c r="BB1143" i="2"/>
  <c r="AX1176" i="2"/>
  <c r="AV1176" i="2"/>
  <c r="AU1176" i="2"/>
  <c r="AT1176" i="2"/>
  <c r="AS1176" i="2"/>
  <c r="AQ1176" i="2"/>
  <c r="AP1176" i="2"/>
  <c r="AO1176" i="2"/>
  <c r="AN1176" i="2"/>
  <c r="AK1176" i="2"/>
  <c r="AJ1176" i="2"/>
  <c r="AI1176" i="2"/>
  <c r="AG1176" i="2"/>
  <c r="AF1176" i="2"/>
  <c r="AE1176" i="2"/>
  <c r="AD1176" i="2"/>
  <c r="BA1176" i="2"/>
  <c r="AY1176" i="2"/>
  <c r="AL1176" i="2"/>
  <c r="AZ1176" i="2"/>
  <c r="BB1148" i="2"/>
  <c r="AW1148" i="2"/>
  <c r="AR1148" i="2"/>
  <c r="AM1148" i="2"/>
  <c r="AH1148" i="2"/>
  <c r="BC1148" i="2" s="1"/>
  <c r="BB1147" i="2"/>
  <c r="AW1147" i="2"/>
  <c r="AR1147" i="2"/>
  <c r="AM1147" i="2"/>
  <c r="BC1147" i="2" s="1"/>
  <c r="AH1147" i="2"/>
  <c r="BB1146" i="2"/>
  <c r="AW1146" i="2"/>
  <c r="AR1146" i="2"/>
  <c r="AM1146" i="2"/>
  <c r="AH1146" i="2"/>
  <c r="BC1146" i="2" s="1"/>
  <c r="BB1145" i="2"/>
  <c r="AW1145" i="2"/>
  <c r="AR1145" i="2"/>
  <c r="AM1145" i="2"/>
  <c r="BC1145" i="2" s="1"/>
  <c r="AH1145" i="2"/>
  <c r="BB1144" i="2"/>
  <c r="AW1144" i="2"/>
  <c r="AR1144" i="2"/>
  <c r="AM1144" i="2"/>
  <c r="AH1144" i="2"/>
  <c r="BC1144" i="2" s="1"/>
  <c r="AH1143" i="2"/>
  <c r="BB1142" i="2"/>
  <c r="AW1142" i="2"/>
  <c r="AR1142" i="2"/>
  <c r="AM1142" i="2"/>
  <c r="AH1142" i="2"/>
  <c r="BC1142" i="2" s="1"/>
  <c r="BB1124" i="2"/>
  <c r="AW1124" i="2"/>
  <c r="AR1124" i="2"/>
  <c r="AM1124" i="2"/>
  <c r="AH1124" i="2"/>
  <c r="BC1124" i="2" s="1"/>
  <c r="BB1118" i="2"/>
  <c r="AW1118" i="2"/>
  <c r="AR1118" i="2"/>
  <c r="BC1118" i="2" s="1"/>
  <c r="AM1118" i="2"/>
  <c r="AH1118" i="2"/>
  <c r="BB1108" i="2"/>
  <c r="AW1108" i="2"/>
  <c r="AR1108" i="2"/>
  <c r="AM1108" i="2"/>
  <c r="AH1108" i="2"/>
  <c r="BC1108" i="2" s="1"/>
  <c r="AH1058" i="2"/>
  <c r="AM1058" i="2"/>
  <c r="AR1058" i="2"/>
  <c r="AW1058" i="2"/>
  <c r="BB1058" i="2"/>
  <c r="BC1058" i="2"/>
  <c r="BB1100" i="2"/>
  <c r="AW1100" i="2"/>
  <c r="AR1100" i="2"/>
  <c r="AM1100" i="2"/>
  <c r="AH1100" i="2"/>
  <c r="BC1100" i="2" s="1"/>
  <c r="AH1068" i="2"/>
  <c r="AM1068" i="2"/>
  <c r="AR1068" i="2"/>
  <c r="AW1068" i="2"/>
  <c r="BB1068" i="2"/>
  <c r="BC1068" i="2"/>
  <c r="BB1107" i="2"/>
  <c r="AW1107" i="2"/>
  <c r="AR1107" i="2"/>
  <c r="AM1107" i="2"/>
  <c r="AH1107" i="2"/>
  <c r="BC1107" i="2" s="1"/>
  <c r="AH1087" i="2"/>
  <c r="AM1087" i="2"/>
  <c r="AR1087" i="2"/>
  <c r="AW1087" i="2"/>
  <c r="BB1087" i="2"/>
  <c r="BC1087" i="2"/>
  <c r="AH1088" i="2"/>
  <c r="AM1088" i="2"/>
  <c r="AR1088" i="2"/>
  <c r="AW1088" i="2"/>
  <c r="BB1088" i="2"/>
  <c r="BC1088" i="2"/>
  <c r="AH1089" i="2"/>
  <c r="AM1089" i="2"/>
  <c r="AR1089" i="2"/>
  <c r="AW1089" i="2"/>
  <c r="BB1089" i="2"/>
  <c r="BC1089" i="2"/>
  <c r="F1099" i="2"/>
  <c r="K1099" i="2"/>
  <c r="P1099" i="2"/>
  <c r="U1099" i="2"/>
  <c r="Z1099" i="2"/>
  <c r="F1100" i="2"/>
  <c r="K1100" i="2"/>
  <c r="P1100" i="2"/>
  <c r="U1100" i="2"/>
  <c r="AA1100" i="2" s="1"/>
  <c r="Z1100" i="2"/>
  <c r="F1101" i="2"/>
  <c r="K1101" i="2"/>
  <c r="P1101" i="2"/>
  <c r="U1101" i="2"/>
  <c r="AA1101" i="2" s="1"/>
  <c r="Z1101" i="2"/>
  <c r="F1102" i="2"/>
  <c r="K1102" i="2"/>
  <c r="P1102" i="2"/>
  <c r="U1102" i="2"/>
  <c r="Z1102" i="2"/>
  <c r="F1103" i="2"/>
  <c r="K1103" i="2"/>
  <c r="P1103" i="2"/>
  <c r="U1103" i="2"/>
  <c r="Z1103" i="2"/>
  <c r="BJ1107" i="2"/>
  <c r="BQ1107" i="2"/>
  <c r="BJ1108" i="2"/>
  <c r="BJ1109" i="2"/>
  <c r="BQ1109" i="2"/>
  <c r="AH1099" i="2"/>
  <c r="BC1099" i="2" s="1"/>
  <c r="AM1099" i="2"/>
  <c r="AR1099" i="2"/>
  <c r="AW1099" i="2"/>
  <c r="BB1099" i="2"/>
  <c r="AH1101" i="2"/>
  <c r="BC1101" i="2" s="1"/>
  <c r="AM1101" i="2"/>
  <c r="AR1101" i="2"/>
  <c r="AW1101" i="2"/>
  <c r="BB1101" i="2"/>
  <c r="AH1102" i="2"/>
  <c r="BC1102" i="2" s="1"/>
  <c r="AM1102" i="2"/>
  <c r="AR1102" i="2"/>
  <c r="AW1102" i="2"/>
  <c r="BB1102" i="2"/>
  <c r="AH1109" i="2"/>
  <c r="AM1109" i="2"/>
  <c r="AR1109" i="2"/>
  <c r="AW1109" i="2"/>
  <c r="BB1109" i="2"/>
  <c r="BC1109" i="2"/>
  <c r="AH1110" i="2"/>
  <c r="AM1110" i="2"/>
  <c r="AR1110" i="2"/>
  <c r="AW1110" i="2"/>
  <c r="BB1110" i="2"/>
  <c r="BC1110" i="2"/>
  <c r="AH1111" i="2"/>
  <c r="AM1111" i="2"/>
  <c r="AR1111" i="2"/>
  <c r="AW1111" i="2"/>
  <c r="BB1111" i="2"/>
  <c r="BC1111" i="2" s="1"/>
  <c r="AH1112" i="2"/>
  <c r="AM1112" i="2"/>
  <c r="AR1112" i="2"/>
  <c r="AW1112" i="2"/>
  <c r="BB1112" i="2"/>
  <c r="AH1113" i="2"/>
  <c r="AM1113" i="2"/>
  <c r="AR1113" i="2"/>
  <c r="AW1113" i="2"/>
  <c r="BC1113" i="2" s="1"/>
  <c r="BB1113" i="2"/>
  <c r="AH1114" i="2"/>
  <c r="AM1114" i="2"/>
  <c r="AR1114" i="2"/>
  <c r="AW1114" i="2"/>
  <c r="BB1114" i="2"/>
  <c r="BC1114" i="2"/>
  <c r="AH1115" i="2"/>
  <c r="AM1115" i="2"/>
  <c r="AR1115" i="2"/>
  <c r="AW1115" i="2"/>
  <c r="BB1115" i="2"/>
  <c r="BC1115" i="2" s="1"/>
  <c r="AH1116" i="2"/>
  <c r="AM1116" i="2"/>
  <c r="AR1116" i="2"/>
  <c r="AW1116" i="2"/>
  <c r="BB1116" i="2"/>
  <c r="BC1116" i="2" s="1"/>
  <c r="AH1117" i="2"/>
  <c r="AM1117" i="2"/>
  <c r="AR1117" i="2"/>
  <c r="AW1117" i="2"/>
  <c r="BB1117" i="2"/>
  <c r="BC1117" i="2"/>
  <c r="AH1120" i="2"/>
  <c r="AM1120" i="2"/>
  <c r="AR1120" i="2"/>
  <c r="BC1120" i="2" s="1"/>
  <c r="AW1120" i="2"/>
  <c r="BB1120" i="2"/>
  <c r="AH1121" i="2"/>
  <c r="AM1121" i="2"/>
  <c r="AR1121" i="2"/>
  <c r="AW1121" i="2"/>
  <c r="BB1121" i="2"/>
  <c r="AH1122" i="2"/>
  <c r="AM1122" i="2"/>
  <c r="AR1122" i="2"/>
  <c r="AW1122" i="2"/>
  <c r="BC1122" i="2" s="1"/>
  <c r="BB1122" i="2"/>
  <c r="AH1123" i="2"/>
  <c r="AM1123" i="2"/>
  <c r="AR1123" i="2"/>
  <c r="AW1123" i="2"/>
  <c r="BB1123" i="2"/>
  <c r="BC1123" i="2"/>
  <c r="AH1125" i="2"/>
  <c r="AM1125" i="2"/>
  <c r="AR1125" i="2"/>
  <c r="AW1125" i="2"/>
  <c r="BB1125" i="2"/>
  <c r="BC1125" i="2"/>
  <c r="AH1126" i="2"/>
  <c r="AM1126" i="2"/>
  <c r="AR1126" i="2"/>
  <c r="AW1126" i="2"/>
  <c r="BB1126" i="2"/>
  <c r="BC1126" i="2"/>
  <c r="AH1127" i="2"/>
  <c r="AM1127" i="2"/>
  <c r="AR1127" i="2"/>
  <c r="AW1127" i="2"/>
  <c r="BB1127" i="2"/>
  <c r="BC1127" i="2" s="1"/>
  <c r="AH1128" i="2"/>
  <c r="AM1128" i="2"/>
  <c r="AR1128" i="2"/>
  <c r="AW1128" i="2"/>
  <c r="BB1128" i="2"/>
  <c r="BC1128" i="2"/>
  <c r="AH1129" i="2"/>
  <c r="AM1129" i="2"/>
  <c r="AR1129" i="2"/>
  <c r="AW1129" i="2"/>
  <c r="BB1129" i="2"/>
  <c r="BC1129" i="2"/>
  <c r="F1107" i="2"/>
  <c r="K1107" i="2"/>
  <c r="P1107" i="2"/>
  <c r="U1107" i="2"/>
  <c r="AA1107" i="2" s="1"/>
  <c r="Z1107" i="2"/>
  <c r="F1108" i="2"/>
  <c r="AA1108" i="2" s="1"/>
  <c r="K1108" i="2"/>
  <c r="P1108" i="2"/>
  <c r="U1108" i="2"/>
  <c r="Z1108" i="2"/>
  <c r="F1109" i="2"/>
  <c r="K1109" i="2"/>
  <c r="P1109" i="2"/>
  <c r="U1109" i="2"/>
  <c r="AA1109" i="2" s="1"/>
  <c r="Z1109" i="2"/>
  <c r="F1110" i="2"/>
  <c r="K1110" i="2"/>
  <c r="P1110" i="2"/>
  <c r="U1110" i="2"/>
  <c r="Z1110" i="2"/>
  <c r="AA1110" i="2"/>
  <c r="F1111" i="2"/>
  <c r="K1111" i="2"/>
  <c r="P1111" i="2"/>
  <c r="U1111" i="2"/>
  <c r="AA1111" i="2" s="1"/>
  <c r="Z1111" i="2"/>
  <c r="F1112" i="2"/>
  <c r="K1112" i="2"/>
  <c r="P1112" i="2"/>
  <c r="U1112" i="2"/>
  <c r="Z1112" i="2"/>
  <c r="F1113" i="2"/>
  <c r="K1113" i="2"/>
  <c r="P1113" i="2"/>
  <c r="U1113" i="2"/>
  <c r="Z1113" i="2"/>
  <c r="AA1113" i="2"/>
  <c r="F1114" i="2"/>
  <c r="K1114" i="2"/>
  <c r="P1114" i="2"/>
  <c r="U1114" i="2"/>
  <c r="Z1114" i="2"/>
  <c r="AA1114" i="2"/>
  <c r="F1115" i="2"/>
  <c r="K1115" i="2"/>
  <c r="P1115" i="2"/>
  <c r="U1115" i="2"/>
  <c r="Z1115" i="2"/>
  <c r="AA1115" i="2"/>
  <c r="F1116" i="2"/>
  <c r="K1116" i="2"/>
  <c r="P1116" i="2"/>
  <c r="U1116" i="2"/>
  <c r="AA1116" i="2" s="1"/>
  <c r="Z1116" i="2"/>
  <c r="F1117" i="2"/>
  <c r="K1117" i="2"/>
  <c r="P1117" i="2"/>
  <c r="U1117" i="2"/>
  <c r="Z1117" i="2"/>
  <c r="AA1117" i="2"/>
  <c r="F1118" i="2"/>
  <c r="K1118" i="2"/>
  <c r="P1118" i="2"/>
  <c r="U1118" i="2"/>
  <c r="AA1118" i="2" s="1"/>
  <c r="Z1118" i="2"/>
  <c r="F1119" i="2"/>
  <c r="K1119" i="2"/>
  <c r="AA1119" i="2" s="1"/>
  <c r="P1119" i="2"/>
  <c r="U1119" i="2"/>
  <c r="Z1119" i="2"/>
  <c r="F1120" i="2"/>
  <c r="K1120" i="2"/>
  <c r="AA1120" i="2" s="1"/>
  <c r="P1120" i="2"/>
  <c r="U1120" i="2"/>
  <c r="Z1120" i="2"/>
  <c r="F1121" i="2"/>
  <c r="K1121" i="2"/>
  <c r="P1121" i="2"/>
  <c r="U1121" i="2"/>
  <c r="Z1121" i="2"/>
  <c r="AA1121" i="2"/>
  <c r="F1122" i="2"/>
  <c r="K1122" i="2"/>
  <c r="P1122" i="2"/>
  <c r="AA1122" i="2" s="1"/>
  <c r="U1122" i="2"/>
  <c r="Z1122" i="2"/>
  <c r="F1123" i="2"/>
  <c r="AA1123" i="2" s="1"/>
  <c r="K1123" i="2"/>
  <c r="P1123" i="2"/>
  <c r="U1123" i="2"/>
  <c r="Z1123" i="2"/>
  <c r="F1124" i="2"/>
  <c r="K1124" i="2"/>
  <c r="P1124" i="2"/>
  <c r="U1124" i="2"/>
  <c r="AA1124" i="2" s="1"/>
  <c r="Z1124" i="2"/>
  <c r="F1125" i="2"/>
  <c r="K1125" i="2"/>
  <c r="P1125" i="2"/>
  <c r="U1125" i="2"/>
  <c r="Z1125" i="2"/>
  <c r="AA1125" i="2"/>
  <c r="F1126" i="2"/>
  <c r="K1126" i="2"/>
  <c r="P1126" i="2"/>
  <c r="U1126" i="2"/>
  <c r="Z1126" i="2"/>
  <c r="F1127" i="2"/>
  <c r="K1127" i="2"/>
  <c r="P1127" i="2"/>
  <c r="U1127" i="2"/>
  <c r="AA1127" i="2" s="1"/>
  <c r="Z1127" i="2"/>
  <c r="F1128" i="2"/>
  <c r="K1128" i="2"/>
  <c r="P1128" i="2"/>
  <c r="U1128" i="2"/>
  <c r="Z1128" i="2"/>
  <c r="AA1128" i="2" s="1"/>
  <c r="F1129" i="2"/>
  <c r="K1129" i="2"/>
  <c r="P1129" i="2"/>
  <c r="U1129" i="2"/>
  <c r="Z1129" i="2"/>
  <c r="AA1129" i="2"/>
  <c r="F1130" i="2"/>
  <c r="K1130" i="2"/>
  <c r="P1130" i="2"/>
  <c r="U1130" i="2"/>
  <c r="AA1130" i="2" s="1"/>
  <c r="Z1130" i="2"/>
  <c r="BP1133" i="2"/>
  <c r="BO1133" i="2"/>
  <c r="BN1133" i="2"/>
  <c r="BM1133" i="2"/>
  <c r="BI1133" i="2"/>
  <c r="BH1133" i="2"/>
  <c r="BG1133" i="2"/>
  <c r="BF1133" i="2"/>
  <c r="BA1133" i="2"/>
  <c r="AZ1133" i="2"/>
  <c r="AY1133" i="2"/>
  <c r="AX1133" i="2"/>
  <c r="AV1133" i="2"/>
  <c r="AU1133" i="2"/>
  <c r="AT1133" i="2"/>
  <c r="AS1133" i="2"/>
  <c r="AQ1133" i="2"/>
  <c r="AP1133" i="2"/>
  <c r="AO1133" i="2"/>
  <c r="AN1133" i="2"/>
  <c r="AL1133" i="2"/>
  <c r="AK1133" i="2"/>
  <c r="AJ1133" i="2"/>
  <c r="AI1133" i="2"/>
  <c r="AG1133" i="2"/>
  <c r="AF1133" i="2"/>
  <c r="AE1133" i="2"/>
  <c r="AD1133" i="2"/>
  <c r="Y1133" i="2"/>
  <c r="X1133" i="2"/>
  <c r="W1133" i="2"/>
  <c r="V1133" i="2"/>
  <c r="T1133" i="2"/>
  <c r="S1133" i="2"/>
  <c r="R1133" i="2"/>
  <c r="Q1133" i="2"/>
  <c r="O1133" i="2"/>
  <c r="N1133" i="2"/>
  <c r="M1133" i="2"/>
  <c r="L1133" i="2"/>
  <c r="J1133" i="2"/>
  <c r="I1133" i="2"/>
  <c r="H1133" i="2"/>
  <c r="G1133" i="2"/>
  <c r="E1133" i="2"/>
  <c r="D1133" i="2"/>
  <c r="C1133" i="2"/>
  <c r="B1133" i="2"/>
  <c r="BQ1132" i="2"/>
  <c r="BJ1132" i="2"/>
  <c r="Z1132" i="2"/>
  <c r="U1132" i="2"/>
  <c r="P1132" i="2"/>
  <c r="K1132" i="2"/>
  <c r="F1132" i="2"/>
  <c r="BQ1131" i="2"/>
  <c r="BJ1131" i="2"/>
  <c r="Z1131" i="2"/>
  <c r="U1131" i="2"/>
  <c r="P1131" i="2"/>
  <c r="K1131" i="2"/>
  <c r="F1131" i="2"/>
  <c r="BQ1130" i="2"/>
  <c r="BJ1130" i="2"/>
  <c r="BQ1129" i="2"/>
  <c r="BJ1129" i="2"/>
  <c r="BQ1128" i="2"/>
  <c r="BJ1128" i="2"/>
  <c r="BQ1127" i="2"/>
  <c r="BJ1127" i="2"/>
  <c r="BQ1126" i="2"/>
  <c r="BJ1126" i="2"/>
  <c r="BQ1125" i="2"/>
  <c r="BJ1125" i="2"/>
  <c r="BQ1124" i="2"/>
  <c r="BJ1124" i="2"/>
  <c r="BQ1123" i="2"/>
  <c r="BJ1123" i="2"/>
  <c r="BQ1122" i="2"/>
  <c r="BJ1122" i="2"/>
  <c r="BQ1121" i="2"/>
  <c r="BJ1121" i="2"/>
  <c r="BQ1120" i="2"/>
  <c r="BJ1120" i="2"/>
  <c r="BQ1119" i="2"/>
  <c r="BJ1119" i="2"/>
  <c r="BB1119" i="2"/>
  <c r="AW1119" i="2"/>
  <c r="AR1119" i="2"/>
  <c r="AM1119" i="2"/>
  <c r="AH1119" i="2"/>
  <c r="BQ1118" i="2"/>
  <c r="BJ1118" i="2"/>
  <c r="BQ1117" i="2"/>
  <c r="BJ1117" i="2"/>
  <c r="BQ1116" i="2"/>
  <c r="BJ1116" i="2"/>
  <c r="BQ1115" i="2"/>
  <c r="BJ1115" i="2"/>
  <c r="BQ1114" i="2"/>
  <c r="BJ1114" i="2"/>
  <c r="BQ1113" i="2"/>
  <c r="BJ1113" i="2"/>
  <c r="BQ1112" i="2"/>
  <c r="BJ1112" i="2"/>
  <c r="BQ1111" i="2"/>
  <c r="BJ1111" i="2"/>
  <c r="BQ1110" i="2"/>
  <c r="BJ1110" i="2"/>
  <c r="BN1106" i="2"/>
  <c r="BN1134" i="2" s="1"/>
  <c r="BN1141" i="2" s="1"/>
  <c r="BN1149" i="2" s="1"/>
  <c r="BF1106" i="2"/>
  <c r="X1106" i="2"/>
  <c r="R1106" i="2"/>
  <c r="L1106" i="2"/>
  <c r="BQ1105" i="2"/>
  <c r="BJ1105" i="2"/>
  <c r="BB1105" i="2"/>
  <c r="AW1105" i="2"/>
  <c r="AR1105" i="2"/>
  <c r="AM1105" i="2"/>
  <c r="AH1105" i="2"/>
  <c r="BC1105" i="2" s="1"/>
  <c r="Z1105" i="2"/>
  <c r="U1105" i="2"/>
  <c r="P1105" i="2"/>
  <c r="K1105" i="2"/>
  <c r="F1105" i="2"/>
  <c r="BQ1104" i="2"/>
  <c r="BJ1104" i="2"/>
  <c r="BB1104" i="2"/>
  <c r="AW1104" i="2"/>
  <c r="AR1104" i="2"/>
  <c r="AM1104" i="2"/>
  <c r="AH1104" i="2"/>
  <c r="BC1104" i="2" s="1"/>
  <c r="Z1104" i="2"/>
  <c r="U1104" i="2"/>
  <c r="P1104" i="2"/>
  <c r="K1104" i="2"/>
  <c r="F1104" i="2"/>
  <c r="BQ1103" i="2"/>
  <c r="BJ1103" i="2"/>
  <c r="BB1103" i="2"/>
  <c r="AW1103" i="2"/>
  <c r="AR1103" i="2"/>
  <c r="AM1103" i="2"/>
  <c r="AH1103" i="2"/>
  <c r="BC1103" i="2" s="1"/>
  <c r="BQ1101" i="2"/>
  <c r="BJ1101" i="2"/>
  <c r="BQ1100" i="2"/>
  <c r="BJ1100" i="2"/>
  <c r="BQ1099" i="2"/>
  <c r="BJ1099" i="2"/>
  <c r="BQ1098" i="2"/>
  <c r="BP1098" i="2"/>
  <c r="BP1106" i="2" s="1"/>
  <c r="BO1098" i="2"/>
  <c r="BO1106" i="2" s="1"/>
  <c r="BN1098" i="2"/>
  <c r="BM1098" i="2"/>
  <c r="BM1106" i="2" s="1"/>
  <c r="BJ1098" i="2"/>
  <c r="BI1098" i="2"/>
  <c r="BI1106" i="2" s="1"/>
  <c r="BH1098" i="2"/>
  <c r="BH1106" i="2" s="1"/>
  <c r="BG1098" i="2"/>
  <c r="BG1106" i="2" s="1"/>
  <c r="BG1134" i="2" s="1"/>
  <c r="BF1098" i="2"/>
  <c r="Z1098" i="2"/>
  <c r="Y1098" i="2"/>
  <c r="Y1106" i="2" s="1"/>
  <c r="X1098" i="2"/>
  <c r="W1098" i="2"/>
  <c r="W1106" i="2" s="1"/>
  <c r="W1134" i="2" s="1"/>
  <c r="V1098" i="2"/>
  <c r="V1106" i="2" s="1"/>
  <c r="T1098" i="2"/>
  <c r="T1106" i="2" s="1"/>
  <c r="S1098" i="2"/>
  <c r="S1106" i="2" s="1"/>
  <c r="R1098" i="2"/>
  <c r="Q1098" i="2"/>
  <c r="Q1106" i="2" s="1"/>
  <c r="O1098" i="2"/>
  <c r="O1106" i="2" s="1"/>
  <c r="O1134" i="2" s="1"/>
  <c r="N1098" i="2"/>
  <c r="N1106" i="2" s="1"/>
  <c r="M1098" i="2"/>
  <c r="M1106" i="2" s="1"/>
  <c r="L1098" i="2"/>
  <c r="P1098" i="2" s="1"/>
  <c r="J1098" i="2"/>
  <c r="J1106" i="2" s="1"/>
  <c r="I1098" i="2"/>
  <c r="I1106" i="2" s="1"/>
  <c r="G1098" i="2"/>
  <c r="E1098" i="2"/>
  <c r="E1106" i="2" s="1"/>
  <c r="D1098" i="2"/>
  <c r="D1106" i="2" s="1"/>
  <c r="C1098" i="2"/>
  <c r="C1106" i="2" s="1"/>
  <c r="B1098" i="2"/>
  <c r="F1098" i="2" s="1"/>
  <c r="BB1067" i="2"/>
  <c r="AW1067" i="2"/>
  <c r="AR1067" i="2"/>
  <c r="AM1067" i="2"/>
  <c r="AH1067" i="2"/>
  <c r="BC1067" i="2" s="1"/>
  <c r="BB1066" i="2"/>
  <c r="AW1066" i="2"/>
  <c r="AR1066" i="2"/>
  <c r="AM1066" i="2"/>
  <c r="AH1066" i="2"/>
  <c r="BC1066" i="2" s="1"/>
  <c r="BB1027" i="2"/>
  <c r="AW1027" i="2"/>
  <c r="AR1027" i="2"/>
  <c r="AM1027" i="2"/>
  <c r="AH1027" i="2"/>
  <c r="BC1027" i="2" s="1"/>
  <c r="P1060" i="2"/>
  <c r="K1060" i="2"/>
  <c r="F1060" i="2"/>
  <c r="BB1094" i="2"/>
  <c r="AW1094" i="2"/>
  <c r="AR1094" i="2"/>
  <c r="BC1094" i="2" s="1"/>
  <c r="AM1094" i="2"/>
  <c r="AH1094" i="2"/>
  <c r="BQ1021" i="2"/>
  <c r="BJ1493" i="2" l="1"/>
  <c r="BH1521" i="2"/>
  <c r="Z1521" i="2"/>
  <c r="BJ1521" i="2"/>
  <c r="AH1521" i="2"/>
  <c r="U1521" i="2"/>
  <c r="P1521" i="2"/>
  <c r="K1521" i="2"/>
  <c r="BC1485" i="2"/>
  <c r="BC1493" i="2"/>
  <c r="AA1493" i="2"/>
  <c r="AA1485" i="2"/>
  <c r="BC1521" i="2"/>
  <c r="P1450" i="2"/>
  <c r="K1478" i="2"/>
  <c r="P1478" i="2"/>
  <c r="AA1477" i="2"/>
  <c r="BJ1450" i="2"/>
  <c r="BJ1478" i="2"/>
  <c r="BJ1485" i="2" s="1"/>
  <c r="BC1477" i="2"/>
  <c r="U1442" i="2"/>
  <c r="P1442" i="2"/>
  <c r="K1450" i="2"/>
  <c r="K1442" i="2"/>
  <c r="Q1478" i="2"/>
  <c r="U1450" i="2"/>
  <c r="K1435" i="2"/>
  <c r="P1435" i="2"/>
  <c r="Z1407" i="2"/>
  <c r="X1435" i="2"/>
  <c r="Z1399" i="2"/>
  <c r="U1399" i="2"/>
  <c r="AA1399" i="2" s="1"/>
  <c r="B1435" i="2"/>
  <c r="F1399" i="2"/>
  <c r="BJ1435" i="2"/>
  <c r="BJ1442" i="2" s="1"/>
  <c r="AA1434" i="2"/>
  <c r="BC1434" i="2"/>
  <c r="U1407" i="2"/>
  <c r="AA1407" i="2" s="1"/>
  <c r="U1435" i="2"/>
  <c r="AA1391" i="2"/>
  <c r="F1356" i="2"/>
  <c r="F1364" i="2"/>
  <c r="AW1391" i="2"/>
  <c r="BC1391" i="2" s="1"/>
  <c r="F1392" i="2"/>
  <c r="BC1348" i="2"/>
  <c r="F1313" i="2"/>
  <c r="F1349" i="2"/>
  <c r="F1321" i="2"/>
  <c r="G1321" i="2"/>
  <c r="K1313" i="2"/>
  <c r="AA1348" i="2"/>
  <c r="K1306" i="2"/>
  <c r="F1306" i="2"/>
  <c r="AA1305" i="2"/>
  <c r="BJ1306" i="2"/>
  <c r="BC1305" i="2"/>
  <c r="V1306" i="2"/>
  <c r="Z1278" i="2"/>
  <c r="Q1306" i="2"/>
  <c r="U1278" i="2"/>
  <c r="L1306" i="2"/>
  <c r="P1278" i="2"/>
  <c r="BJ1235" i="2"/>
  <c r="BQ1263" i="2"/>
  <c r="N1263" i="2"/>
  <c r="P1263" i="2" s="1"/>
  <c r="P1227" i="2"/>
  <c r="U1235" i="2"/>
  <c r="BJ1263" i="2"/>
  <c r="U1227" i="2"/>
  <c r="K1235" i="2"/>
  <c r="K1263" i="2"/>
  <c r="K1227" i="2"/>
  <c r="BB1262" i="2"/>
  <c r="BC1262" i="2" s="1"/>
  <c r="AA1262" i="2"/>
  <c r="U1263" i="2"/>
  <c r="V1263" i="2"/>
  <c r="U1219" i="2"/>
  <c r="AA1219" i="2" s="1"/>
  <c r="P1220" i="2"/>
  <c r="BQ1220" i="2"/>
  <c r="BC1219" i="2"/>
  <c r="BC1221" i="2" s="1"/>
  <c r="BC1170" i="2"/>
  <c r="BJ1220" i="2"/>
  <c r="BJ1227" i="2" s="1"/>
  <c r="K1220" i="2"/>
  <c r="B1220" i="2"/>
  <c r="F1192" i="2"/>
  <c r="K1192" i="2"/>
  <c r="P1192" i="2"/>
  <c r="BJ1176" i="2"/>
  <c r="AA1172" i="2"/>
  <c r="BC1165" i="2"/>
  <c r="AA1171" i="2"/>
  <c r="BC1164" i="2"/>
  <c r="AA1169" i="2"/>
  <c r="AA1167" i="2"/>
  <c r="AA1166" i="2"/>
  <c r="BC1163" i="2"/>
  <c r="BC1162" i="2"/>
  <c r="AA1164" i="2"/>
  <c r="AA1163" i="2"/>
  <c r="AA1162" i="2"/>
  <c r="BC1160" i="2"/>
  <c r="BC1159" i="2"/>
  <c r="O1177" i="2"/>
  <c r="BC1156" i="2"/>
  <c r="AA1146" i="2"/>
  <c r="BC1154" i="2"/>
  <c r="AA1156" i="2"/>
  <c r="AA1154" i="2"/>
  <c r="AA1143" i="2"/>
  <c r="AA1152" i="2"/>
  <c r="AA1132" i="2"/>
  <c r="BC1130" i="2"/>
  <c r="BP1134" i="2"/>
  <c r="BP1141" i="2" s="1"/>
  <c r="BP1149" i="2" s="1"/>
  <c r="BP1177" i="2" s="1"/>
  <c r="AA1126" i="2"/>
  <c r="X1134" i="2"/>
  <c r="X1141" i="2" s="1"/>
  <c r="X1149" i="2" s="1"/>
  <c r="X1177" i="2" s="1"/>
  <c r="X1184" i="2" s="1"/>
  <c r="BN1177" i="2"/>
  <c r="BQ1176" i="2"/>
  <c r="BG1177" i="2"/>
  <c r="BF1177" i="2"/>
  <c r="C1177" i="2"/>
  <c r="H1177" i="2"/>
  <c r="M1177" i="2"/>
  <c r="R1177" i="2"/>
  <c r="W1177" i="2"/>
  <c r="W1184" i="2" s="1"/>
  <c r="W1192" i="2" s="1"/>
  <c r="W1220" i="2" s="1"/>
  <c r="F1176" i="2"/>
  <c r="K1176" i="2"/>
  <c r="P1176" i="2"/>
  <c r="U1176" i="2"/>
  <c r="Z1176" i="2"/>
  <c r="AA1148" i="2"/>
  <c r="B1177" i="2"/>
  <c r="F1149" i="2"/>
  <c r="G1177" i="2"/>
  <c r="K1149" i="2"/>
  <c r="P1149" i="2"/>
  <c r="L1177" i="2"/>
  <c r="Q1177" i="2"/>
  <c r="V1177" i="2"/>
  <c r="P1141" i="2"/>
  <c r="F1141" i="2"/>
  <c r="K1141" i="2"/>
  <c r="AR1176" i="2"/>
  <c r="AW1176" i="2"/>
  <c r="AH1176" i="2"/>
  <c r="BB1176" i="2"/>
  <c r="AM1176" i="2"/>
  <c r="I1134" i="2"/>
  <c r="BC1121" i="2"/>
  <c r="BJ1133" i="2"/>
  <c r="BC1119" i="2"/>
  <c r="AA1103" i="2"/>
  <c r="BB1133" i="2"/>
  <c r="BC1112" i="2"/>
  <c r="AA1112" i="2"/>
  <c r="AA1102" i="2"/>
  <c r="BO1134" i="2"/>
  <c r="BO1141" i="2" s="1"/>
  <c r="BO1149" i="2" s="1"/>
  <c r="BO1177" i="2" s="1"/>
  <c r="BH1134" i="2"/>
  <c r="BH1141" i="2" s="1"/>
  <c r="BH1149" i="2" s="1"/>
  <c r="BH1177" i="2" s="1"/>
  <c r="S1134" i="2"/>
  <c r="S1141" i="2" s="1"/>
  <c r="S1149" i="2" s="1"/>
  <c r="S1177" i="2" s="1"/>
  <c r="S1184" i="2" s="1"/>
  <c r="AH1133" i="2"/>
  <c r="AW1133" i="2"/>
  <c r="AA1099" i="2"/>
  <c r="AA1105" i="2"/>
  <c r="AA1104" i="2"/>
  <c r="BQ1133" i="2"/>
  <c r="BI1134" i="2"/>
  <c r="AR1133" i="2"/>
  <c r="AM1133" i="2"/>
  <c r="P1133" i="2"/>
  <c r="J1134" i="2"/>
  <c r="Y1134" i="2"/>
  <c r="Y1141" i="2" s="1"/>
  <c r="Y1149" i="2" s="1"/>
  <c r="Y1177" i="2" s="1"/>
  <c r="Z1133" i="2"/>
  <c r="E1134" i="2"/>
  <c r="M1134" i="2"/>
  <c r="T1134" i="2"/>
  <c r="T1141" i="2" s="1"/>
  <c r="T1149" i="2" s="1"/>
  <c r="T1177" i="2" s="1"/>
  <c r="R1134" i="2"/>
  <c r="K1133" i="2"/>
  <c r="N1134" i="2"/>
  <c r="F1133" i="2"/>
  <c r="AA1131" i="2"/>
  <c r="U1133" i="2"/>
  <c r="C1134" i="2"/>
  <c r="D1134" i="2"/>
  <c r="U1106" i="2"/>
  <c r="Q1134" i="2"/>
  <c r="P1106" i="2"/>
  <c r="BJ1106" i="2"/>
  <c r="V1134" i="2"/>
  <c r="Z1106" i="2"/>
  <c r="BQ1106" i="2"/>
  <c r="BM1134" i="2"/>
  <c r="U1098" i="2"/>
  <c r="G1106" i="2"/>
  <c r="B1106" i="2"/>
  <c r="L1134" i="2"/>
  <c r="BF1134" i="2"/>
  <c r="BB1026" i="2"/>
  <c r="AW1026" i="2"/>
  <c r="BC1026" i="2" s="1"/>
  <c r="AR1026" i="2"/>
  <c r="AM1026" i="2"/>
  <c r="AH1026" i="2"/>
  <c r="BB1025" i="2"/>
  <c r="AW1025" i="2"/>
  <c r="AR1025" i="2"/>
  <c r="BC1025" i="2" s="1"/>
  <c r="AM1025" i="2"/>
  <c r="AH1025" i="2"/>
  <c r="BB1023" i="2"/>
  <c r="AW1023" i="2"/>
  <c r="AR1023" i="2"/>
  <c r="BC1023" i="2" s="1"/>
  <c r="AM1023" i="2"/>
  <c r="AH1023" i="2"/>
  <c r="BB1019" i="2"/>
  <c r="AW1019" i="2"/>
  <c r="AR1019" i="2"/>
  <c r="AM1019" i="2"/>
  <c r="AH1019" i="2"/>
  <c r="AG1018" i="2"/>
  <c r="AF1018" i="2"/>
  <c r="AE1018" i="2"/>
  <c r="AD1018" i="2"/>
  <c r="AM1093" i="2"/>
  <c r="AW1093" i="2"/>
  <c r="AA1521" i="2" l="1"/>
  <c r="U1478" i="2"/>
  <c r="Z1435" i="2"/>
  <c r="X1442" i="2"/>
  <c r="F1435" i="2"/>
  <c r="AA1435" i="2" s="1"/>
  <c r="B1442" i="2"/>
  <c r="P1306" i="2"/>
  <c r="L1313" i="2"/>
  <c r="K1321" i="2"/>
  <c r="G1349" i="2"/>
  <c r="U1306" i="2"/>
  <c r="Q1313" i="2"/>
  <c r="Z1306" i="2"/>
  <c r="V1313" i="2"/>
  <c r="AA1278" i="2"/>
  <c r="F1220" i="2"/>
  <c r="B1227" i="2"/>
  <c r="Z1184" i="2"/>
  <c r="X1192" i="2"/>
  <c r="S1192" i="2"/>
  <c r="U1184" i="2"/>
  <c r="AA1184" i="2" s="1"/>
  <c r="K1177" i="2"/>
  <c r="F1177" i="2"/>
  <c r="BQ1134" i="2"/>
  <c r="BQ1141" i="2" s="1"/>
  <c r="BM1141" i="2"/>
  <c r="BM1149" i="2" s="1"/>
  <c r="BJ1149" i="2"/>
  <c r="Z1177" i="2"/>
  <c r="Z1141" i="2"/>
  <c r="Z1149" i="2"/>
  <c r="U1141" i="2"/>
  <c r="AA1141" i="2" s="1"/>
  <c r="U1149" i="2"/>
  <c r="BJ1177" i="2"/>
  <c r="U1177" i="2"/>
  <c r="AA1176" i="2"/>
  <c r="P1177" i="2"/>
  <c r="BC1176" i="2"/>
  <c r="BC1133" i="2"/>
  <c r="U1134" i="2"/>
  <c r="BJ1134" i="2"/>
  <c r="BJ1141" i="2" s="1"/>
  <c r="AA1133" i="2"/>
  <c r="Z1134" i="2"/>
  <c r="P1134" i="2"/>
  <c r="B1134" i="2"/>
  <c r="F1134" i="2" s="1"/>
  <c r="F1106" i="2"/>
  <c r="G1134" i="2"/>
  <c r="BC1019" i="2"/>
  <c r="AH1056" i="2"/>
  <c r="AM1056" i="2"/>
  <c r="AR1056" i="2"/>
  <c r="AW1056" i="2"/>
  <c r="BB1056" i="2"/>
  <c r="AH1057" i="2"/>
  <c r="AM1057" i="2"/>
  <c r="AR1057" i="2"/>
  <c r="AW1057" i="2"/>
  <c r="BB1057" i="2"/>
  <c r="AH1059" i="2"/>
  <c r="AM1059" i="2"/>
  <c r="AR1059" i="2"/>
  <c r="AW1059" i="2"/>
  <c r="BB1059" i="2"/>
  <c r="AH1060" i="2"/>
  <c r="AM1060" i="2"/>
  <c r="AR1060" i="2"/>
  <c r="AW1060" i="2"/>
  <c r="BB1060" i="2"/>
  <c r="AH1064" i="2"/>
  <c r="AM1064" i="2"/>
  <c r="AR1064" i="2"/>
  <c r="AW1064" i="2"/>
  <c r="BB1064" i="2"/>
  <c r="AH1065" i="2"/>
  <c r="AM1065" i="2"/>
  <c r="AR1065" i="2"/>
  <c r="AW1065" i="2"/>
  <c r="BB1065" i="2"/>
  <c r="F1065" i="2"/>
  <c r="K1065" i="2"/>
  <c r="P1065" i="2"/>
  <c r="U1065" i="2"/>
  <c r="Z1065" i="2"/>
  <c r="F1066" i="2"/>
  <c r="K1066" i="2"/>
  <c r="P1066" i="2"/>
  <c r="U1066" i="2"/>
  <c r="Z1066" i="2"/>
  <c r="F1067" i="2"/>
  <c r="K1067" i="2"/>
  <c r="P1067" i="2"/>
  <c r="U1067" i="2"/>
  <c r="Z1067" i="2"/>
  <c r="F1068" i="2"/>
  <c r="K1068" i="2"/>
  <c r="P1068" i="2"/>
  <c r="U1068" i="2"/>
  <c r="Z1068" i="2"/>
  <c r="F1069" i="2"/>
  <c r="K1069" i="2"/>
  <c r="P1069" i="2"/>
  <c r="U1069" i="2"/>
  <c r="Z1069" i="2"/>
  <c r="F1070" i="2"/>
  <c r="K1070" i="2"/>
  <c r="P1070" i="2"/>
  <c r="U1070" i="2"/>
  <c r="Z1070" i="2"/>
  <c r="F1071" i="2"/>
  <c r="K1071" i="2"/>
  <c r="P1071" i="2"/>
  <c r="U1071" i="2"/>
  <c r="Z1071" i="2"/>
  <c r="F1072" i="2"/>
  <c r="K1072" i="2"/>
  <c r="P1072" i="2"/>
  <c r="U1072" i="2"/>
  <c r="Z1072" i="2"/>
  <c r="F1073" i="2"/>
  <c r="K1073" i="2"/>
  <c r="P1073" i="2"/>
  <c r="U1073" i="2"/>
  <c r="Z1073" i="2"/>
  <c r="F1074" i="2"/>
  <c r="K1074" i="2"/>
  <c r="P1074" i="2"/>
  <c r="U1074" i="2"/>
  <c r="Z1074" i="2"/>
  <c r="F1075" i="2"/>
  <c r="K1075" i="2"/>
  <c r="P1075" i="2"/>
  <c r="U1075" i="2"/>
  <c r="Z1075" i="2"/>
  <c r="F1076" i="2"/>
  <c r="K1076" i="2"/>
  <c r="P1076" i="2"/>
  <c r="U1076" i="2"/>
  <c r="Z1076" i="2"/>
  <c r="F1077" i="2"/>
  <c r="K1077" i="2"/>
  <c r="P1077" i="2"/>
  <c r="U1077" i="2"/>
  <c r="Z1077" i="2"/>
  <c r="F1078" i="2"/>
  <c r="K1078" i="2"/>
  <c r="P1078" i="2"/>
  <c r="U1078" i="2"/>
  <c r="Z1078" i="2"/>
  <c r="F1079" i="2"/>
  <c r="K1079" i="2"/>
  <c r="P1079" i="2"/>
  <c r="U1079" i="2"/>
  <c r="Z1079" i="2"/>
  <c r="F1080" i="2"/>
  <c r="K1080" i="2"/>
  <c r="P1080" i="2"/>
  <c r="U1080" i="2"/>
  <c r="Z1080" i="2"/>
  <c r="F1081" i="2"/>
  <c r="K1081" i="2"/>
  <c r="P1081" i="2"/>
  <c r="U1081" i="2"/>
  <c r="Z1081" i="2"/>
  <c r="F1082" i="2"/>
  <c r="K1082" i="2"/>
  <c r="P1082" i="2"/>
  <c r="U1082" i="2"/>
  <c r="Z1082" i="2"/>
  <c r="F1083" i="2"/>
  <c r="K1083" i="2"/>
  <c r="P1083" i="2"/>
  <c r="U1083" i="2"/>
  <c r="Z1083" i="2"/>
  <c r="F1084" i="2"/>
  <c r="K1084" i="2"/>
  <c r="P1084" i="2"/>
  <c r="U1084" i="2"/>
  <c r="Z1084" i="2"/>
  <c r="F1085" i="2"/>
  <c r="K1085" i="2"/>
  <c r="P1085" i="2"/>
  <c r="U1085" i="2"/>
  <c r="Z1085" i="2"/>
  <c r="BP1090" i="2"/>
  <c r="BO1090" i="2"/>
  <c r="BN1090" i="2"/>
  <c r="BM1090" i="2"/>
  <c r="BI1090" i="2"/>
  <c r="BH1090" i="2"/>
  <c r="BG1090" i="2"/>
  <c r="BF1090" i="2"/>
  <c r="BA1090" i="2"/>
  <c r="AZ1090" i="2"/>
  <c r="AY1090" i="2"/>
  <c r="AX1090" i="2"/>
  <c r="AV1090" i="2"/>
  <c r="AU1090" i="2"/>
  <c r="AT1090" i="2"/>
  <c r="AS1090" i="2"/>
  <c r="AQ1090" i="2"/>
  <c r="AP1090" i="2"/>
  <c r="AO1090" i="2"/>
  <c r="AN1090" i="2"/>
  <c r="AL1090" i="2"/>
  <c r="AK1090" i="2"/>
  <c r="AJ1090" i="2"/>
  <c r="AI1090" i="2"/>
  <c r="AG1090" i="2"/>
  <c r="AF1090" i="2"/>
  <c r="AE1090" i="2"/>
  <c r="AD1090" i="2"/>
  <c r="Y1090" i="2"/>
  <c r="X1090" i="2"/>
  <c r="W1090" i="2"/>
  <c r="V1090" i="2"/>
  <c r="T1090" i="2"/>
  <c r="S1090" i="2"/>
  <c r="R1090" i="2"/>
  <c r="Q1090" i="2"/>
  <c r="O1090" i="2"/>
  <c r="N1090" i="2"/>
  <c r="M1090" i="2"/>
  <c r="L1090" i="2"/>
  <c r="J1090" i="2"/>
  <c r="I1090" i="2"/>
  <c r="H1090" i="2"/>
  <c r="G1090" i="2"/>
  <c r="E1090" i="2"/>
  <c r="D1090" i="2"/>
  <c r="C1090" i="2"/>
  <c r="B1090" i="2"/>
  <c r="BQ1089" i="2"/>
  <c r="BJ1089" i="2"/>
  <c r="Z1089" i="2"/>
  <c r="U1089" i="2"/>
  <c r="P1089" i="2"/>
  <c r="K1089" i="2"/>
  <c r="F1089" i="2"/>
  <c r="BQ1088" i="2"/>
  <c r="BJ1088" i="2"/>
  <c r="Z1088" i="2"/>
  <c r="U1088" i="2"/>
  <c r="P1088" i="2"/>
  <c r="K1088" i="2"/>
  <c r="F1088" i="2"/>
  <c r="BQ1087" i="2"/>
  <c r="BJ1087" i="2"/>
  <c r="Z1087" i="2"/>
  <c r="U1087" i="2"/>
  <c r="P1087" i="2"/>
  <c r="K1087" i="2"/>
  <c r="F1087" i="2"/>
  <c r="BQ1086" i="2"/>
  <c r="BJ1086" i="2"/>
  <c r="BB1086" i="2"/>
  <c r="AW1086" i="2"/>
  <c r="AR1086" i="2"/>
  <c r="AM1086" i="2"/>
  <c r="AH1086" i="2"/>
  <c r="Z1086" i="2"/>
  <c r="U1086" i="2"/>
  <c r="P1086" i="2"/>
  <c r="K1086" i="2"/>
  <c r="F1086" i="2"/>
  <c r="BQ1085" i="2"/>
  <c r="BJ1085" i="2"/>
  <c r="BB1085" i="2"/>
  <c r="AW1085" i="2"/>
  <c r="AR1085" i="2"/>
  <c r="AM1085" i="2"/>
  <c r="AH1085" i="2"/>
  <c r="BQ1084" i="2"/>
  <c r="BJ1084" i="2"/>
  <c r="BB1084" i="2"/>
  <c r="BC1084" i="2" s="1"/>
  <c r="AW1084" i="2"/>
  <c r="AR1084" i="2"/>
  <c r="AM1084" i="2"/>
  <c r="AH1084" i="2"/>
  <c r="BQ1083" i="2"/>
  <c r="BJ1083" i="2"/>
  <c r="BB1083" i="2"/>
  <c r="AW1083" i="2"/>
  <c r="AR1083" i="2"/>
  <c r="AM1083" i="2"/>
  <c r="AH1083" i="2"/>
  <c r="BQ1082" i="2"/>
  <c r="BJ1082" i="2"/>
  <c r="BB1082" i="2"/>
  <c r="AW1082" i="2"/>
  <c r="AR1082" i="2"/>
  <c r="AM1082" i="2"/>
  <c r="AH1082" i="2"/>
  <c r="BQ1081" i="2"/>
  <c r="BJ1081" i="2"/>
  <c r="BB1081" i="2"/>
  <c r="AW1081" i="2"/>
  <c r="AR1081" i="2"/>
  <c r="AM1081" i="2"/>
  <c r="AH1081" i="2"/>
  <c r="BQ1080" i="2"/>
  <c r="BJ1080" i="2"/>
  <c r="BB1080" i="2"/>
  <c r="AW1080" i="2"/>
  <c r="AR1080" i="2"/>
  <c r="AM1080" i="2"/>
  <c r="AH1080" i="2"/>
  <c r="BQ1079" i="2"/>
  <c r="BJ1079" i="2"/>
  <c r="BB1079" i="2"/>
  <c r="AW1079" i="2"/>
  <c r="AR1079" i="2"/>
  <c r="AM1079" i="2"/>
  <c r="AH1079" i="2"/>
  <c r="BQ1078" i="2"/>
  <c r="BJ1078" i="2"/>
  <c r="BB1078" i="2"/>
  <c r="AW1078" i="2"/>
  <c r="AR1078" i="2"/>
  <c r="AM1078" i="2"/>
  <c r="AH1078" i="2"/>
  <c r="BQ1077" i="2"/>
  <c r="BJ1077" i="2"/>
  <c r="BB1077" i="2"/>
  <c r="AW1077" i="2"/>
  <c r="AR1077" i="2"/>
  <c r="AM1077" i="2"/>
  <c r="AH1077" i="2"/>
  <c r="BQ1076" i="2"/>
  <c r="BJ1076" i="2"/>
  <c r="BB1076" i="2"/>
  <c r="AW1076" i="2"/>
  <c r="AR1076" i="2"/>
  <c r="AM1076" i="2"/>
  <c r="AH1076" i="2"/>
  <c r="BQ1075" i="2"/>
  <c r="BJ1075" i="2"/>
  <c r="BB1075" i="2"/>
  <c r="AW1075" i="2"/>
  <c r="AR1075" i="2"/>
  <c r="AM1075" i="2"/>
  <c r="AH1075" i="2"/>
  <c r="BQ1074" i="2"/>
  <c r="BJ1074" i="2"/>
  <c r="BB1074" i="2"/>
  <c r="AW1074" i="2"/>
  <c r="AR1074" i="2"/>
  <c r="AM1074" i="2"/>
  <c r="AH1074" i="2"/>
  <c r="BQ1073" i="2"/>
  <c r="BJ1073" i="2"/>
  <c r="BB1073" i="2"/>
  <c r="AW1073" i="2"/>
  <c r="AR1073" i="2"/>
  <c r="AM1073" i="2"/>
  <c r="AH1073" i="2"/>
  <c r="BQ1072" i="2"/>
  <c r="BJ1072" i="2"/>
  <c r="BB1072" i="2"/>
  <c r="AW1072" i="2"/>
  <c r="AR1072" i="2"/>
  <c r="AM1072" i="2"/>
  <c r="AH1072" i="2"/>
  <c r="BQ1071" i="2"/>
  <c r="BJ1071" i="2"/>
  <c r="BB1071" i="2"/>
  <c r="AW1071" i="2"/>
  <c r="AR1071" i="2"/>
  <c r="AM1071" i="2"/>
  <c r="AH1071" i="2"/>
  <c r="BQ1070" i="2"/>
  <c r="BJ1070" i="2"/>
  <c r="BB1070" i="2"/>
  <c r="AW1070" i="2"/>
  <c r="AR1070" i="2"/>
  <c r="AM1070" i="2"/>
  <c r="AH1070" i="2"/>
  <c r="BQ1069" i="2"/>
  <c r="BJ1069" i="2"/>
  <c r="BB1069" i="2"/>
  <c r="AW1069" i="2"/>
  <c r="AR1069" i="2"/>
  <c r="AM1069" i="2"/>
  <c r="AH1069" i="2"/>
  <c r="BQ1068" i="2"/>
  <c r="BJ1068" i="2"/>
  <c r="BQ1067" i="2"/>
  <c r="BJ1067" i="2"/>
  <c r="BQ1066" i="2"/>
  <c r="BJ1066" i="2"/>
  <c r="BQ1065" i="2"/>
  <c r="BJ1065" i="2"/>
  <c r="BQ1064" i="2"/>
  <c r="BJ1064" i="2"/>
  <c r="Z1064" i="2"/>
  <c r="U1064" i="2"/>
  <c r="P1064" i="2"/>
  <c r="K1064" i="2"/>
  <c r="F1064" i="2"/>
  <c r="BQ1062" i="2"/>
  <c r="BJ1062" i="2"/>
  <c r="BB1062" i="2"/>
  <c r="AW1062" i="2"/>
  <c r="AR1062" i="2"/>
  <c r="AM1062" i="2"/>
  <c r="AH1062" i="2"/>
  <c r="Z1062" i="2"/>
  <c r="U1062" i="2"/>
  <c r="P1062" i="2"/>
  <c r="K1062" i="2"/>
  <c r="F1062" i="2"/>
  <c r="BQ1061" i="2"/>
  <c r="BJ1061" i="2"/>
  <c r="BB1061" i="2"/>
  <c r="AW1061" i="2"/>
  <c r="AR1061" i="2"/>
  <c r="AM1061" i="2"/>
  <c r="AH1061" i="2"/>
  <c r="Z1061" i="2"/>
  <c r="U1061" i="2"/>
  <c r="P1061" i="2"/>
  <c r="K1061" i="2"/>
  <c r="F1061" i="2"/>
  <c r="BQ1060" i="2"/>
  <c r="BJ1060" i="2"/>
  <c r="Z1060" i="2"/>
  <c r="U1060" i="2"/>
  <c r="Z1059" i="2"/>
  <c r="U1059" i="2"/>
  <c r="P1059" i="2"/>
  <c r="K1059" i="2"/>
  <c r="F1059" i="2"/>
  <c r="BQ1058" i="2"/>
  <c r="BJ1058" i="2"/>
  <c r="Z1058" i="2"/>
  <c r="U1058" i="2"/>
  <c r="P1058" i="2"/>
  <c r="K1058" i="2"/>
  <c r="F1058" i="2"/>
  <c r="BQ1057" i="2"/>
  <c r="BJ1057" i="2"/>
  <c r="Z1057" i="2"/>
  <c r="U1057" i="2"/>
  <c r="P1057" i="2"/>
  <c r="K1057" i="2"/>
  <c r="F1057" i="2"/>
  <c r="BQ1056" i="2"/>
  <c r="BJ1056" i="2"/>
  <c r="Z1056" i="2"/>
  <c r="U1056" i="2"/>
  <c r="P1056" i="2"/>
  <c r="K1056" i="2"/>
  <c r="F1056" i="2"/>
  <c r="X1450" i="2" l="1"/>
  <c r="Z1442" i="2"/>
  <c r="B1450" i="2"/>
  <c r="F1442" i="2"/>
  <c r="AA1442" i="2" s="1"/>
  <c r="K1349" i="2"/>
  <c r="G1356" i="2"/>
  <c r="AA1306" i="2"/>
  <c r="V1321" i="2"/>
  <c r="Z1313" i="2"/>
  <c r="L1321" i="2"/>
  <c r="P1313" i="2"/>
  <c r="Q1321" i="2"/>
  <c r="U1313" i="2"/>
  <c r="F1227" i="2"/>
  <c r="B1235" i="2"/>
  <c r="Z1192" i="2"/>
  <c r="X1220" i="2"/>
  <c r="S1220" i="2"/>
  <c r="U1220" i="2" s="1"/>
  <c r="U1192" i="2"/>
  <c r="AA1177" i="2"/>
  <c r="BM1177" i="2"/>
  <c r="BQ1177" i="2" s="1"/>
  <c r="BQ1149" i="2"/>
  <c r="AA1149" i="2"/>
  <c r="BC1072" i="2"/>
  <c r="BC1077" i="2"/>
  <c r="BC1078" i="2"/>
  <c r="BC1075" i="2"/>
  <c r="BJ1090" i="2"/>
  <c r="AA1068" i="2"/>
  <c r="BC1060" i="2"/>
  <c r="AA1087" i="2"/>
  <c r="BC1069" i="2"/>
  <c r="BC1081" i="2"/>
  <c r="AA1086" i="2"/>
  <c r="AA1080" i="2"/>
  <c r="AA1074" i="2"/>
  <c r="AH1090" i="2"/>
  <c r="AA1057" i="2"/>
  <c r="AA1062" i="2"/>
  <c r="AM1090" i="2"/>
  <c r="BC1085" i="2"/>
  <c r="BC1064" i="2"/>
  <c r="BC1074" i="2"/>
  <c r="BC1083" i="2"/>
  <c r="AA1089" i="2"/>
  <c r="AA1082" i="2"/>
  <c r="AA1076" i="2"/>
  <c r="AA1070" i="2"/>
  <c r="BC1065" i="2"/>
  <c r="BC1056" i="2"/>
  <c r="BC1073" i="2"/>
  <c r="BC1082" i="2"/>
  <c r="AA1083" i="2"/>
  <c r="AA1077" i="2"/>
  <c r="AA1071" i="2"/>
  <c r="AA1065" i="2"/>
  <c r="BC1057" i="2"/>
  <c r="BC1076" i="2"/>
  <c r="AA1081" i="2"/>
  <c r="AA1075" i="2"/>
  <c r="AA1069" i="2"/>
  <c r="BC1071" i="2"/>
  <c r="BC1080" i="2"/>
  <c r="AA1088" i="2"/>
  <c r="AA1084" i="2"/>
  <c r="AA1078" i="2"/>
  <c r="AA1072" i="2"/>
  <c r="AA1066" i="2"/>
  <c r="BC1061" i="2"/>
  <c r="AA1056" i="2"/>
  <c r="BC1062" i="2"/>
  <c r="BC1070" i="2"/>
  <c r="BC1079" i="2"/>
  <c r="BC1086" i="2"/>
  <c r="K1090" i="2"/>
  <c r="AR1090" i="2"/>
  <c r="BQ1090" i="2"/>
  <c r="AA1085" i="2"/>
  <c r="AA1079" i="2"/>
  <c r="AA1073" i="2"/>
  <c r="AA1067" i="2"/>
  <c r="BC1059" i="2"/>
  <c r="BB1090" i="2"/>
  <c r="AW1090" i="2"/>
  <c r="U1090" i="2"/>
  <c r="Z1090" i="2"/>
  <c r="P1090" i="2"/>
  <c r="AA1064" i="2"/>
  <c r="F1090" i="2"/>
  <c r="AA1060" i="2"/>
  <c r="AA1059" i="2"/>
  <c r="AA1058" i="2"/>
  <c r="AA1061" i="2"/>
  <c r="BB1022" i="2"/>
  <c r="AW1022" i="2"/>
  <c r="AR1022" i="2"/>
  <c r="AM1022" i="2"/>
  <c r="AH1022" i="2"/>
  <c r="BB1015" i="2"/>
  <c r="AW1015" i="2"/>
  <c r="AR1015" i="2"/>
  <c r="AM1015" i="2"/>
  <c r="AH1015" i="2"/>
  <c r="AH1014" i="2"/>
  <c r="AH1016" i="2"/>
  <c r="AH1017" i="2"/>
  <c r="AM1014" i="2"/>
  <c r="AM1016" i="2"/>
  <c r="AM1017" i="2"/>
  <c r="AR1014" i="2"/>
  <c r="AR1016" i="2"/>
  <c r="AR1017" i="2"/>
  <c r="BB1016" i="2"/>
  <c r="BB1017" i="2"/>
  <c r="AW1016" i="2"/>
  <c r="AW1017" i="2"/>
  <c r="AW1014" i="2"/>
  <c r="BB1014" i="2"/>
  <c r="BB1018" i="2"/>
  <c r="BB1013" i="2"/>
  <c r="AW1013" i="2"/>
  <c r="AR1013" i="2"/>
  <c r="AM1013" i="2"/>
  <c r="AH1013" i="2"/>
  <c r="BI1047" i="2"/>
  <c r="BB999" i="2"/>
  <c r="AW999" i="2"/>
  <c r="AR999" i="2"/>
  <c r="AM999" i="2"/>
  <c r="AH999" i="2"/>
  <c r="F1002" i="2"/>
  <c r="K1002" i="2"/>
  <c r="P1002" i="2"/>
  <c r="U1002" i="2"/>
  <c r="Z1002" i="2"/>
  <c r="Z1022" i="2"/>
  <c r="U1022" i="2"/>
  <c r="P1022" i="2"/>
  <c r="K1022" i="2"/>
  <c r="F1022" i="2"/>
  <c r="X1478" i="2" l="1"/>
  <c r="Z1450" i="2"/>
  <c r="B1478" i="2"/>
  <c r="F1450" i="2"/>
  <c r="G1364" i="2"/>
  <c r="K1356" i="2"/>
  <c r="V1349" i="2"/>
  <c r="Z1321" i="2"/>
  <c r="U1321" i="2"/>
  <c r="Q1349" i="2"/>
  <c r="AA1313" i="2"/>
  <c r="P1321" i="2"/>
  <c r="L1349" i="2"/>
  <c r="Z1220" i="2"/>
  <c r="X1227" i="2"/>
  <c r="B1263" i="2"/>
  <c r="F1263" i="2" s="1"/>
  <c r="F1235" i="2"/>
  <c r="AA1192" i="2"/>
  <c r="AA1220" i="2"/>
  <c r="BC1090" i="2"/>
  <c r="BC1022" i="2"/>
  <c r="AA1090" i="2"/>
  <c r="BC1015" i="2"/>
  <c r="BC1014" i="2"/>
  <c r="BC999" i="2"/>
  <c r="BC1013" i="2"/>
  <c r="AA1022" i="2"/>
  <c r="AA1002" i="2"/>
  <c r="BJ1013" i="2"/>
  <c r="BP1047" i="2"/>
  <c r="BO1047" i="2"/>
  <c r="BN1047" i="2"/>
  <c r="BM1047" i="2"/>
  <c r="BH1047" i="2"/>
  <c r="BG1047" i="2"/>
  <c r="BF1047" i="2"/>
  <c r="BQ1046" i="2"/>
  <c r="BJ1046" i="2"/>
  <c r="BQ1045" i="2"/>
  <c r="BJ1045" i="2"/>
  <c r="BQ1044" i="2"/>
  <c r="BJ1044" i="2"/>
  <c r="BQ1043" i="2"/>
  <c r="BJ1043" i="2"/>
  <c r="BQ1042" i="2"/>
  <c r="BJ1042" i="2"/>
  <c r="BQ1041" i="2"/>
  <c r="BJ1041" i="2"/>
  <c r="BQ1040" i="2"/>
  <c r="BJ1040" i="2"/>
  <c r="BQ1039" i="2"/>
  <c r="BJ1039" i="2"/>
  <c r="BQ1038" i="2"/>
  <c r="BJ1038" i="2"/>
  <c r="BQ1037" i="2"/>
  <c r="BJ1037" i="2"/>
  <c r="BQ1036" i="2"/>
  <c r="BJ1036" i="2"/>
  <c r="BQ1035" i="2"/>
  <c r="BJ1035" i="2"/>
  <c r="BQ1034" i="2"/>
  <c r="BJ1034" i="2"/>
  <c r="BQ1033" i="2"/>
  <c r="BJ1033" i="2"/>
  <c r="BQ1032" i="2"/>
  <c r="BJ1032" i="2"/>
  <c r="BQ1031" i="2"/>
  <c r="BJ1031" i="2"/>
  <c r="BQ1030" i="2"/>
  <c r="BJ1030" i="2"/>
  <c r="BQ1029" i="2"/>
  <c r="BJ1029" i="2"/>
  <c r="BQ1028" i="2"/>
  <c r="BJ1028" i="2"/>
  <c r="BQ1027" i="2"/>
  <c r="BJ1027" i="2"/>
  <c r="BQ1026" i="2"/>
  <c r="BJ1026" i="2"/>
  <c r="BQ1025" i="2"/>
  <c r="BJ1025" i="2"/>
  <c r="BQ1024" i="2"/>
  <c r="BJ1024" i="2"/>
  <c r="BQ1023" i="2"/>
  <c r="BJ1023" i="2"/>
  <c r="BQ1022" i="2"/>
  <c r="BJ1022" i="2"/>
  <c r="BJ1021" i="2"/>
  <c r="BQ1019" i="2"/>
  <c r="BJ1019" i="2"/>
  <c r="BQ1018" i="2"/>
  <c r="BJ1018" i="2"/>
  <c r="BQ1017" i="2"/>
  <c r="BJ1017" i="2"/>
  <c r="BQ1015" i="2"/>
  <c r="BJ1015" i="2"/>
  <c r="BQ1014" i="2"/>
  <c r="BJ1014" i="2"/>
  <c r="BQ1013" i="2"/>
  <c r="AH1044" i="2"/>
  <c r="AM1044" i="2"/>
  <c r="AR1044" i="2"/>
  <c r="AW1044" i="2"/>
  <c r="BB1044" i="2"/>
  <c r="AH1045" i="2"/>
  <c r="AM1045" i="2"/>
  <c r="AR1045" i="2"/>
  <c r="AW1045" i="2"/>
  <c r="BB1045" i="2"/>
  <c r="AH1046" i="2"/>
  <c r="AM1046" i="2"/>
  <c r="AR1046" i="2"/>
  <c r="AW1046" i="2"/>
  <c r="BB1046" i="2"/>
  <c r="AH1021" i="2"/>
  <c r="AM1021" i="2"/>
  <c r="AR1021" i="2"/>
  <c r="AW1021" i="2"/>
  <c r="BB1021" i="2"/>
  <c r="AH1024" i="2"/>
  <c r="AM1024" i="2"/>
  <c r="AR1024" i="2"/>
  <c r="AW1024" i="2"/>
  <c r="BB1024" i="2"/>
  <c r="AH1028" i="2"/>
  <c r="AM1028" i="2"/>
  <c r="AR1028" i="2"/>
  <c r="AW1028" i="2"/>
  <c r="BB1028" i="2"/>
  <c r="AH1029" i="2"/>
  <c r="AM1029" i="2"/>
  <c r="AR1029" i="2"/>
  <c r="AW1029" i="2"/>
  <c r="BB1029" i="2"/>
  <c r="AH1030" i="2"/>
  <c r="AM1030" i="2"/>
  <c r="AR1030" i="2"/>
  <c r="AW1030" i="2"/>
  <c r="BB1030" i="2"/>
  <c r="AH1031" i="2"/>
  <c r="AM1031" i="2"/>
  <c r="AR1031" i="2"/>
  <c r="AW1031" i="2"/>
  <c r="BB1031" i="2"/>
  <c r="AH1032" i="2"/>
  <c r="AM1032" i="2"/>
  <c r="AR1032" i="2"/>
  <c r="AW1032" i="2"/>
  <c r="BB1032" i="2"/>
  <c r="AH1033" i="2"/>
  <c r="AM1033" i="2"/>
  <c r="AR1033" i="2"/>
  <c r="AW1033" i="2"/>
  <c r="BB1033" i="2"/>
  <c r="AH1034" i="2"/>
  <c r="AM1034" i="2"/>
  <c r="AR1034" i="2"/>
  <c r="AW1034" i="2"/>
  <c r="BB1034" i="2"/>
  <c r="AH1035" i="2"/>
  <c r="AM1035" i="2"/>
  <c r="AR1035" i="2"/>
  <c r="AW1035" i="2"/>
  <c r="BB1035" i="2"/>
  <c r="AH1036" i="2"/>
  <c r="AM1036" i="2"/>
  <c r="AR1036" i="2"/>
  <c r="AW1036" i="2"/>
  <c r="BB1036" i="2"/>
  <c r="AH1037" i="2"/>
  <c r="AM1037" i="2"/>
  <c r="AR1037" i="2"/>
  <c r="AW1037" i="2"/>
  <c r="BB1037" i="2"/>
  <c r="AH1038" i="2"/>
  <c r="AM1038" i="2"/>
  <c r="AR1038" i="2"/>
  <c r="AW1038" i="2"/>
  <c r="BB1038" i="2"/>
  <c r="AH1039" i="2"/>
  <c r="AM1039" i="2"/>
  <c r="AR1039" i="2"/>
  <c r="AW1039" i="2"/>
  <c r="BB1039" i="2"/>
  <c r="BA1047" i="2"/>
  <c r="AZ1047" i="2"/>
  <c r="AY1047" i="2"/>
  <c r="AX1047" i="2"/>
  <c r="AV1047" i="2"/>
  <c r="AU1047" i="2"/>
  <c r="AT1047" i="2"/>
  <c r="AS1047" i="2"/>
  <c r="AQ1047" i="2"/>
  <c r="AP1047" i="2"/>
  <c r="AO1047" i="2"/>
  <c r="AN1047" i="2"/>
  <c r="AL1047" i="2"/>
  <c r="AK1047" i="2"/>
  <c r="AJ1047" i="2"/>
  <c r="AI1047" i="2"/>
  <c r="AG1047" i="2"/>
  <c r="AF1047" i="2"/>
  <c r="AE1047" i="2"/>
  <c r="AD1047" i="2"/>
  <c r="BB1043" i="2"/>
  <c r="AW1043" i="2"/>
  <c r="AR1043" i="2"/>
  <c r="AM1043" i="2"/>
  <c r="AH1043" i="2"/>
  <c r="BB1042" i="2"/>
  <c r="AW1042" i="2"/>
  <c r="AR1042" i="2"/>
  <c r="AM1042" i="2"/>
  <c r="AH1042" i="2"/>
  <c r="BB1041" i="2"/>
  <c r="AW1041" i="2"/>
  <c r="AR1041" i="2"/>
  <c r="AM1041" i="2"/>
  <c r="AH1041" i="2"/>
  <c r="BB1040" i="2"/>
  <c r="AW1040" i="2"/>
  <c r="AR1040" i="2"/>
  <c r="AM1040" i="2"/>
  <c r="AH1040" i="2"/>
  <c r="AW1018" i="2"/>
  <c r="AR1018" i="2"/>
  <c r="AM1018" i="2"/>
  <c r="AH1018" i="2"/>
  <c r="BC1016" i="2"/>
  <c r="F1021" i="2"/>
  <c r="K1021" i="2"/>
  <c r="P1021" i="2"/>
  <c r="U1021" i="2"/>
  <c r="Z1021" i="2"/>
  <c r="F1023" i="2"/>
  <c r="K1023" i="2"/>
  <c r="P1023" i="2"/>
  <c r="U1023" i="2"/>
  <c r="Z1023" i="2"/>
  <c r="F1024" i="2"/>
  <c r="K1024" i="2"/>
  <c r="P1024" i="2"/>
  <c r="U1024" i="2"/>
  <c r="Z1024" i="2"/>
  <c r="F1025" i="2"/>
  <c r="K1025" i="2"/>
  <c r="P1025" i="2"/>
  <c r="U1025" i="2"/>
  <c r="Z1025" i="2"/>
  <c r="F1026" i="2"/>
  <c r="K1026" i="2"/>
  <c r="P1026" i="2"/>
  <c r="U1026" i="2"/>
  <c r="Z1026" i="2"/>
  <c r="F1027" i="2"/>
  <c r="K1027" i="2"/>
  <c r="P1027" i="2"/>
  <c r="U1027" i="2"/>
  <c r="Z1027" i="2"/>
  <c r="F1028" i="2"/>
  <c r="K1028" i="2"/>
  <c r="P1028" i="2"/>
  <c r="U1028" i="2"/>
  <c r="Z1028" i="2"/>
  <c r="F1029" i="2"/>
  <c r="K1029" i="2"/>
  <c r="P1029" i="2"/>
  <c r="U1029" i="2"/>
  <c r="Z1029" i="2"/>
  <c r="F1030" i="2"/>
  <c r="K1030" i="2"/>
  <c r="P1030" i="2"/>
  <c r="U1030" i="2"/>
  <c r="Z1030" i="2"/>
  <c r="F1031" i="2"/>
  <c r="K1031" i="2"/>
  <c r="P1031" i="2"/>
  <c r="U1031" i="2"/>
  <c r="Z1031" i="2"/>
  <c r="F1032" i="2"/>
  <c r="K1032" i="2"/>
  <c r="P1032" i="2"/>
  <c r="U1032" i="2"/>
  <c r="Z1032" i="2"/>
  <c r="F1033" i="2"/>
  <c r="K1033" i="2"/>
  <c r="P1033" i="2"/>
  <c r="U1033" i="2"/>
  <c r="Z1033" i="2"/>
  <c r="F1034" i="2"/>
  <c r="K1034" i="2"/>
  <c r="P1034" i="2"/>
  <c r="U1034" i="2"/>
  <c r="Z1034" i="2"/>
  <c r="F1035" i="2"/>
  <c r="K1035" i="2"/>
  <c r="P1035" i="2"/>
  <c r="U1035" i="2"/>
  <c r="Z1035" i="2"/>
  <c r="F1036" i="2"/>
  <c r="K1036" i="2"/>
  <c r="P1036" i="2"/>
  <c r="U1036" i="2"/>
  <c r="Z1036" i="2"/>
  <c r="F1037" i="2"/>
  <c r="K1037" i="2"/>
  <c r="P1037" i="2"/>
  <c r="U1037" i="2"/>
  <c r="Z1037" i="2"/>
  <c r="F1038" i="2"/>
  <c r="K1038" i="2"/>
  <c r="P1038" i="2"/>
  <c r="U1038" i="2"/>
  <c r="Z1038" i="2"/>
  <c r="F1039" i="2"/>
  <c r="K1039" i="2"/>
  <c r="P1039" i="2"/>
  <c r="U1039" i="2"/>
  <c r="Z1039" i="2"/>
  <c r="F1040" i="2"/>
  <c r="K1040" i="2"/>
  <c r="P1040" i="2"/>
  <c r="U1040" i="2"/>
  <c r="Z1040" i="2"/>
  <c r="F1041" i="2"/>
  <c r="K1041" i="2"/>
  <c r="P1041" i="2"/>
  <c r="U1041" i="2"/>
  <c r="Z1041" i="2"/>
  <c r="F1042" i="2"/>
  <c r="K1042" i="2"/>
  <c r="P1042" i="2"/>
  <c r="U1042" i="2"/>
  <c r="Z1042" i="2"/>
  <c r="F1043" i="2"/>
  <c r="K1043" i="2"/>
  <c r="P1043" i="2"/>
  <c r="U1043" i="2"/>
  <c r="Z1043" i="2"/>
  <c r="F1014" i="2"/>
  <c r="K1014" i="2"/>
  <c r="P1014" i="2"/>
  <c r="U1014" i="2"/>
  <c r="Z1014" i="2"/>
  <c r="F1015" i="2"/>
  <c r="K1015" i="2"/>
  <c r="P1015" i="2"/>
  <c r="U1015" i="2"/>
  <c r="Z1015" i="2"/>
  <c r="F1016" i="2"/>
  <c r="K1016" i="2"/>
  <c r="P1016" i="2"/>
  <c r="U1016" i="2"/>
  <c r="Z1016" i="2"/>
  <c r="F1017" i="2"/>
  <c r="K1017" i="2"/>
  <c r="P1017" i="2"/>
  <c r="U1017" i="2"/>
  <c r="Z1017" i="2"/>
  <c r="F1018" i="2"/>
  <c r="K1018" i="2"/>
  <c r="P1018" i="2"/>
  <c r="U1018" i="2"/>
  <c r="Z1018" i="2"/>
  <c r="F1019" i="2"/>
  <c r="K1019" i="2"/>
  <c r="P1019" i="2"/>
  <c r="U1019" i="2"/>
  <c r="Z1019" i="2"/>
  <c r="F1013" i="2"/>
  <c r="K1013" i="2"/>
  <c r="P1013" i="2"/>
  <c r="U1013" i="2"/>
  <c r="Z1013" i="2"/>
  <c r="Y1047" i="2"/>
  <c r="X1047" i="2"/>
  <c r="W1047" i="2"/>
  <c r="T1047" i="2"/>
  <c r="R1047" i="2"/>
  <c r="Q1047" i="2"/>
  <c r="O1047" i="2"/>
  <c r="N1047" i="2"/>
  <c r="M1047" i="2"/>
  <c r="L1047" i="2"/>
  <c r="J1047" i="2"/>
  <c r="I1047" i="2"/>
  <c r="H1047" i="2"/>
  <c r="G1047" i="2"/>
  <c r="E1047" i="2"/>
  <c r="D1047" i="2"/>
  <c r="C1047" i="2"/>
  <c r="B1047" i="2"/>
  <c r="Z1046" i="2"/>
  <c r="U1046" i="2"/>
  <c r="P1046" i="2"/>
  <c r="K1046" i="2"/>
  <c r="F1046" i="2"/>
  <c r="Z1045" i="2"/>
  <c r="U1045" i="2"/>
  <c r="P1045" i="2"/>
  <c r="K1045" i="2"/>
  <c r="F1045" i="2"/>
  <c r="Z1044" i="2"/>
  <c r="U1044" i="2"/>
  <c r="P1044" i="2"/>
  <c r="K1044" i="2"/>
  <c r="F1044" i="2"/>
  <c r="AA1450" i="2" l="1"/>
  <c r="F1478" i="2"/>
  <c r="Z1478" i="2"/>
  <c r="AA1478" i="2" s="1"/>
  <c r="P1349" i="2"/>
  <c r="L1356" i="2"/>
  <c r="Z1349" i="2"/>
  <c r="V1356" i="2"/>
  <c r="K1364" i="2"/>
  <c r="G1392" i="2"/>
  <c r="K1392" i="2" s="1"/>
  <c r="U1349" i="2"/>
  <c r="AA1349" i="2" s="1"/>
  <c r="Q1356" i="2"/>
  <c r="AA1321" i="2"/>
  <c r="X1235" i="2"/>
  <c r="Z1227" i="2"/>
  <c r="AA1227" i="2" s="1"/>
  <c r="BC1017" i="2"/>
  <c r="BC1042" i="2"/>
  <c r="BC1035" i="2"/>
  <c r="BC1029" i="2"/>
  <c r="BQ1047" i="2"/>
  <c r="BC1041" i="2"/>
  <c r="AM1047" i="2"/>
  <c r="AA1032" i="2"/>
  <c r="BC1040" i="2"/>
  <c r="F1047" i="2"/>
  <c r="AA1014" i="2"/>
  <c r="AA1026" i="2"/>
  <c r="BC1043" i="2"/>
  <c r="AA1038" i="2"/>
  <c r="AA1015" i="2"/>
  <c r="AA1039" i="2"/>
  <c r="AA1033" i="2"/>
  <c r="AA1027" i="2"/>
  <c r="AA1021" i="2"/>
  <c r="BC1018" i="2"/>
  <c r="BC1036" i="2"/>
  <c r="BC1030" i="2"/>
  <c r="BC1024" i="2"/>
  <c r="BC1044" i="2"/>
  <c r="AA1016" i="2"/>
  <c r="AA1040" i="2"/>
  <c r="AA1034" i="2"/>
  <c r="AA1028" i="2"/>
  <c r="BC1037" i="2"/>
  <c r="BC1031" i="2"/>
  <c r="BC1045" i="2"/>
  <c r="AA1046" i="2"/>
  <c r="AA1017" i="2"/>
  <c r="AA1041" i="2"/>
  <c r="AA1035" i="2"/>
  <c r="AA1029" i="2"/>
  <c r="AA1023" i="2"/>
  <c r="BC1038" i="2"/>
  <c r="BC1032" i="2"/>
  <c r="BC1046" i="2"/>
  <c r="AA1045" i="2"/>
  <c r="AA1018" i="2"/>
  <c r="AA1042" i="2"/>
  <c r="AA1036" i="2"/>
  <c r="AA1030" i="2"/>
  <c r="AA1024" i="2"/>
  <c r="BC1039" i="2"/>
  <c r="BC1033" i="2"/>
  <c r="BC1021" i="2"/>
  <c r="AA1044" i="2"/>
  <c r="AA1019" i="2"/>
  <c r="AA1043" i="2"/>
  <c r="AA1037" i="2"/>
  <c r="AA1031" i="2"/>
  <c r="AA1025" i="2"/>
  <c r="BC1034" i="2"/>
  <c r="BC1028" i="2"/>
  <c r="BJ1047" i="2"/>
  <c r="AR1047" i="2"/>
  <c r="AH1047" i="2"/>
  <c r="BB1047" i="2"/>
  <c r="AW1047" i="2"/>
  <c r="P1047" i="2"/>
  <c r="K1047" i="2"/>
  <c r="AA1013" i="2"/>
  <c r="V1047" i="2"/>
  <c r="Z1047" i="2" s="1"/>
  <c r="S1047" i="2"/>
  <c r="U1047" i="2" s="1"/>
  <c r="BB997" i="2"/>
  <c r="AW997" i="2"/>
  <c r="AR997" i="2"/>
  <c r="AM997" i="2"/>
  <c r="AH997" i="2"/>
  <c r="BB995" i="2"/>
  <c r="AW995" i="2"/>
  <c r="AR995" i="2"/>
  <c r="AM995" i="2"/>
  <c r="AH995" i="2"/>
  <c r="Y994" i="2"/>
  <c r="BB986" i="2"/>
  <c r="AW986" i="2"/>
  <c r="AR986" i="2"/>
  <c r="AM986" i="2"/>
  <c r="AH986" i="2"/>
  <c r="F974" i="2"/>
  <c r="K974" i="2"/>
  <c r="P974" i="2"/>
  <c r="U974" i="2"/>
  <c r="Z974" i="2"/>
  <c r="H983" i="2"/>
  <c r="BJ979" i="2"/>
  <c r="BQ979" i="2"/>
  <c r="BJ980" i="2"/>
  <c r="BQ980" i="2"/>
  <c r="BJ981" i="2"/>
  <c r="BQ981" i="2"/>
  <c r="BJ982" i="2"/>
  <c r="BQ982" i="2"/>
  <c r="BJ983" i="2"/>
  <c r="BQ983" i="2"/>
  <c r="BJ984" i="2"/>
  <c r="BQ984" i="2"/>
  <c r="BJ985" i="2"/>
  <c r="BQ985" i="2"/>
  <c r="BJ986" i="2"/>
  <c r="BQ986" i="2"/>
  <c r="BJ987" i="2"/>
  <c r="BQ987" i="2"/>
  <c r="BJ971" i="2"/>
  <c r="BQ971" i="2"/>
  <c r="BJ972" i="2"/>
  <c r="BQ972" i="2"/>
  <c r="BJ973" i="2"/>
  <c r="BQ973" i="2"/>
  <c r="BJ975" i="2"/>
  <c r="BQ975" i="2"/>
  <c r="BJ976" i="2"/>
  <c r="BQ976" i="2"/>
  <c r="BJ977" i="2"/>
  <c r="BQ977" i="2"/>
  <c r="BJ988" i="2"/>
  <c r="BQ988" i="2"/>
  <c r="BJ989" i="2"/>
  <c r="BQ989" i="2"/>
  <c r="BJ990" i="2"/>
  <c r="BQ990" i="2"/>
  <c r="BJ991" i="2"/>
  <c r="BQ991" i="2"/>
  <c r="BJ992" i="2"/>
  <c r="BQ992" i="2"/>
  <c r="BJ993" i="2"/>
  <c r="BQ993" i="2"/>
  <c r="BJ994" i="2"/>
  <c r="BQ994" i="2"/>
  <c r="BJ995" i="2"/>
  <c r="BQ995" i="2"/>
  <c r="BJ996" i="2"/>
  <c r="BQ996" i="2"/>
  <c r="BJ997" i="2"/>
  <c r="BQ997" i="2"/>
  <c r="BJ998" i="2"/>
  <c r="BQ998" i="2"/>
  <c r="BJ999" i="2"/>
  <c r="BQ999" i="2"/>
  <c r="BJ1000" i="2"/>
  <c r="BQ1000" i="2"/>
  <c r="BJ1001" i="2"/>
  <c r="BQ1001" i="2"/>
  <c r="BJ1002" i="2"/>
  <c r="BQ1002" i="2"/>
  <c r="BJ1003" i="2"/>
  <c r="BQ1003" i="2"/>
  <c r="BJ1004" i="2"/>
  <c r="BQ1004" i="2"/>
  <c r="BF1005" i="2"/>
  <c r="BG1005" i="2"/>
  <c r="BH1005" i="2"/>
  <c r="BI1005" i="2"/>
  <c r="BM1005" i="2"/>
  <c r="BN1005" i="2"/>
  <c r="BO1005" i="2"/>
  <c r="BP1005" i="2"/>
  <c r="Y983" i="2"/>
  <c r="V983" i="2"/>
  <c r="S983" i="2"/>
  <c r="V1364" i="2" l="1"/>
  <c r="Z1356" i="2"/>
  <c r="L1364" i="2"/>
  <c r="P1356" i="2"/>
  <c r="Q1364" i="2"/>
  <c r="U1356" i="2"/>
  <c r="AA1356" i="2" s="1"/>
  <c r="X1263" i="2"/>
  <c r="Z1263" i="2" s="1"/>
  <c r="AA1263" i="2" s="1"/>
  <c r="Z1235" i="2"/>
  <c r="AA1235" i="2" s="1"/>
  <c r="AA1047" i="2"/>
  <c r="BC1047" i="2"/>
  <c r="BC997" i="2"/>
  <c r="BC995" i="2"/>
  <c r="BC986" i="2"/>
  <c r="AA974" i="2"/>
  <c r="BQ1005" i="2"/>
  <c r="BJ1005" i="2"/>
  <c r="AH918" i="2"/>
  <c r="AM918" i="2"/>
  <c r="AR918" i="2"/>
  <c r="AW918" i="2"/>
  <c r="BB918" i="2"/>
  <c r="AH919" i="2"/>
  <c r="AM919" i="2"/>
  <c r="AR919" i="2"/>
  <c r="AW919" i="2"/>
  <c r="BB919" i="2"/>
  <c r="AH920" i="2"/>
  <c r="AM920" i="2"/>
  <c r="AR920" i="2"/>
  <c r="AW920" i="2"/>
  <c r="BB920" i="2"/>
  <c r="BB1004" i="2"/>
  <c r="AW1004" i="2"/>
  <c r="AR1004" i="2"/>
  <c r="AR1003" i="2"/>
  <c r="BA1005" i="2"/>
  <c r="AX1005" i="2"/>
  <c r="AR1002" i="2"/>
  <c r="AH971" i="2"/>
  <c r="AM971" i="2"/>
  <c r="AR971" i="2"/>
  <c r="AW971" i="2"/>
  <c r="BB971" i="2"/>
  <c r="AH979" i="2"/>
  <c r="AM979" i="2"/>
  <c r="AR979" i="2"/>
  <c r="AW979" i="2"/>
  <c r="BB979" i="2"/>
  <c r="AH980" i="2"/>
  <c r="AM980" i="2"/>
  <c r="AR980" i="2"/>
  <c r="AW980" i="2"/>
  <c r="BB980" i="2"/>
  <c r="AH981" i="2"/>
  <c r="AM981" i="2"/>
  <c r="AR981" i="2"/>
  <c r="AW981" i="2"/>
  <c r="BB981" i="2"/>
  <c r="AH982" i="2"/>
  <c r="AM982" i="2"/>
  <c r="AR982" i="2"/>
  <c r="AW982" i="2"/>
  <c r="BB982" i="2"/>
  <c r="AH983" i="2"/>
  <c r="AM983" i="2"/>
  <c r="AR983" i="2"/>
  <c r="AW983" i="2"/>
  <c r="BB983" i="2"/>
  <c r="AH984" i="2"/>
  <c r="AM984" i="2"/>
  <c r="AR984" i="2"/>
  <c r="AW984" i="2"/>
  <c r="BB984" i="2"/>
  <c r="AH985" i="2"/>
  <c r="AM985" i="2"/>
  <c r="AR985" i="2"/>
  <c r="AW985" i="2"/>
  <c r="BB985" i="2"/>
  <c r="AH987" i="2"/>
  <c r="AM987" i="2"/>
  <c r="AR987" i="2"/>
  <c r="AW987" i="2"/>
  <c r="BB987" i="2"/>
  <c r="AH988" i="2"/>
  <c r="AM988" i="2"/>
  <c r="AR988" i="2"/>
  <c r="AW988" i="2"/>
  <c r="BB988" i="2"/>
  <c r="F979" i="2"/>
  <c r="K979" i="2"/>
  <c r="P979" i="2"/>
  <c r="U979" i="2"/>
  <c r="Z979" i="2"/>
  <c r="F980" i="2"/>
  <c r="K980" i="2"/>
  <c r="P980" i="2"/>
  <c r="U980" i="2"/>
  <c r="Z980" i="2"/>
  <c r="F981" i="2"/>
  <c r="K981" i="2"/>
  <c r="P981" i="2"/>
  <c r="U981" i="2"/>
  <c r="Z981" i="2"/>
  <c r="F982" i="2"/>
  <c r="K982" i="2"/>
  <c r="P982" i="2"/>
  <c r="U982" i="2"/>
  <c r="Z982" i="2"/>
  <c r="F983" i="2"/>
  <c r="K983" i="2"/>
  <c r="P983" i="2"/>
  <c r="U983" i="2"/>
  <c r="Z983" i="2"/>
  <c r="F984" i="2"/>
  <c r="K984" i="2"/>
  <c r="P984" i="2"/>
  <c r="U984" i="2"/>
  <c r="Z984" i="2"/>
  <c r="F985" i="2"/>
  <c r="K985" i="2"/>
  <c r="P985" i="2"/>
  <c r="U985" i="2"/>
  <c r="Z985" i="2"/>
  <c r="F986" i="2"/>
  <c r="K986" i="2"/>
  <c r="P986" i="2"/>
  <c r="U986" i="2"/>
  <c r="Z986" i="2"/>
  <c r="F987" i="2"/>
  <c r="K987" i="2"/>
  <c r="P987" i="2"/>
  <c r="U987" i="2"/>
  <c r="Z987" i="2"/>
  <c r="F988" i="2"/>
  <c r="K988" i="2"/>
  <c r="P988" i="2"/>
  <c r="U988" i="2"/>
  <c r="Z988" i="2"/>
  <c r="F989" i="2"/>
  <c r="K989" i="2"/>
  <c r="P989" i="2"/>
  <c r="U989" i="2"/>
  <c r="Z989" i="2"/>
  <c r="F990" i="2"/>
  <c r="K990" i="2"/>
  <c r="P990" i="2"/>
  <c r="U990" i="2"/>
  <c r="Z990" i="2"/>
  <c r="F991" i="2"/>
  <c r="K991" i="2"/>
  <c r="P991" i="2"/>
  <c r="U991" i="2"/>
  <c r="Z991" i="2"/>
  <c r="F992" i="2"/>
  <c r="K992" i="2"/>
  <c r="P992" i="2"/>
  <c r="U992" i="2"/>
  <c r="Z992" i="2"/>
  <c r="F993" i="2"/>
  <c r="K993" i="2"/>
  <c r="P993" i="2"/>
  <c r="U993" i="2"/>
  <c r="Z993" i="2"/>
  <c r="F994" i="2"/>
  <c r="K994" i="2"/>
  <c r="P994" i="2"/>
  <c r="U994" i="2"/>
  <c r="Z994" i="2"/>
  <c r="F995" i="2"/>
  <c r="K995" i="2"/>
  <c r="P995" i="2"/>
  <c r="U995" i="2"/>
  <c r="Z995" i="2"/>
  <c r="F996" i="2"/>
  <c r="K996" i="2"/>
  <c r="P996" i="2"/>
  <c r="U996" i="2"/>
  <c r="Z996" i="2"/>
  <c r="F997" i="2"/>
  <c r="K997" i="2"/>
  <c r="P997" i="2"/>
  <c r="U997" i="2"/>
  <c r="Z997" i="2"/>
  <c r="F998" i="2"/>
  <c r="K998" i="2"/>
  <c r="P998" i="2"/>
  <c r="U998" i="2"/>
  <c r="Z998" i="2"/>
  <c r="AQ1005" i="2"/>
  <c r="AP1005" i="2"/>
  <c r="AO1005" i="2"/>
  <c r="AN1005" i="2"/>
  <c r="Y1005" i="2"/>
  <c r="X1005" i="2"/>
  <c r="W1005" i="2"/>
  <c r="V1005" i="2"/>
  <c r="T1005" i="2"/>
  <c r="Q1005" i="2"/>
  <c r="O1005" i="2"/>
  <c r="N1005" i="2"/>
  <c r="M1005" i="2"/>
  <c r="L1005" i="2"/>
  <c r="J1005" i="2"/>
  <c r="I1005" i="2"/>
  <c r="H1005" i="2"/>
  <c r="G1005" i="2"/>
  <c r="E1005" i="2"/>
  <c r="D1005" i="2"/>
  <c r="C1005" i="2"/>
  <c r="B1005" i="2"/>
  <c r="Z1004" i="2"/>
  <c r="U1004" i="2"/>
  <c r="P1004" i="2"/>
  <c r="K1004" i="2"/>
  <c r="F1004" i="2"/>
  <c r="Z1003" i="2"/>
  <c r="U1003" i="2"/>
  <c r="P1003" i="2"/>
  <c r="K1003" i="2"/>
  <c r="F1003" i="2"/>
  <c r="BB1001" i="2"/>
  <c r="AW1001" i="2"/>
  <c r="AR1001" i="2"/>
  <c r="AM1001" i="2"/>
  <c r="AH1001" i="2"/>
  <c r="Z1001" i="2"/>
  <c r="U1001" i="2"/>
  <c r="P1001" i="2"/>
  <c r="K1001" i="2"/>
  <c r="F1001" i="2"/>
  <c r="BB1000" i="2"/>
  <c r="AW1000" i="2"/>
  <c r="AR1000" i="2"/>
  <c r="AM1000" i="2"/>
  <c r="AH1000" i="2"/>
  <c r="Z1000" i="2"/>
  <c r="U1000" i="2"/>
  <c r="P1000" i="2"/>
  <c r="K1000" i="2"/>
  <c r="F1000" i="2"/>
  <c r="Z999" i="2"/>
  <c r="U999" i="2"/>
  <c r="P999" i="2"/>
  <c r="K999" i="2"/>
  <c r="F999" i="2"/>
  <c r="BB998" i="2"/>
  <c r="AW998" i="2"/>
  <c r="AR998" i="2"/>
  <c r="AM998" i="2"/>
  <c r="AH998" i="2"/>
  <c r="BB996" i="2"/>
  <c r="AW996" i="2"/>
  <c r="AR996" i="2"/>
  <c r="AM996" i="2"/>
  <c r="AH996" i="2"/>
  <c r="BB994" i="2"/>
  <c r="AW994" i="2"/>
  <c r="AR994" i="2"/>
  <c r="AM994" i="2"/>
  <c r="AH994" i="2"/>
  <c r="BB993" i="2"/>
  <c r="AW993" i="2"/>
  <c r="AR993" i="2"/>
  <c r="AM993" i="2"/>
  <c r="AH993" i="2"/>
  <c r="BB992" i="2"/>
  <c r="AW992" i="2"/>
  <c r="AR992" i="2"/>
  <c r="AM992" i="2"/>
  <c r="AH992" i="2"/>
  <c r="BB991" i="2"/>
  <c r="AW991" i="2"/>
  <c r="AR991" i="2"/>
  <c r="AM991" i="2"/>
  <c r="AH991" i="2"/>
  <c r="BB990" i="2"/>
  <c r="AW990" i="2"/>
  <c r="AR990" i="2"/>
  <c r="AM990" i="2"/>
  <c r="AH990" i="2"/>
  <c r="BB989" i="2"/>
  <c r="AW989" i="2"/>
  <c r="AR989" i="2"/>
  <c r="AM989" i="2"/>
  <c r="AH989" i="2"/>
  <c r="S1005" i="2"/>
  <c r="BB977" i="2"/>
  <c r="AW977" i="2"/>
  <c r="AR977" i="2"/>
  <c r="AM977" i="2"/>
  <c r="AH977" i="2"/>
  <c r="Z977" i="2"/>
  <c r="U977" i="2"/>
  <c r="P977" i="2"/>
  <c r="K977" i="2"/>
  <c r="F977" i="2"/>
  <c r="BB976" i="2"/>
  <c r="AW976" i="2"/>
  <c r="AR976" i="2"/>
  <c r="AM976" i="2"/>
  <c r="AH976" i="2"/>
  <c r="Z976" i="2"/>
  <c r="U976" i="2"/>
  <c r="P976" i="2"/>
  <c r="K976" i="2"/>
  <c r="F976" i="2"/>
  <c r="BB975" i="2"/>
  <c r="AW975" i="2"/>
  <c r="AR975" i="2"/>
  <c r="AM975" i="2"/>
  <c r="AH975" i="2"/>
  <c r="Z975" i="2"/>
  <c r="U975" i="2"/>
  <c r="P975" i="2"/>
  <c r="K975" i="2"/>
  <c r="F975" i="2"/>
  <c r="BB974" i="2"/>
  <c r="AM974" i="2"/>
  <c r="AH974" i="2"/>
  <c r="BB973" i="2"/>
  <c r="AW973" i="2"/>
  <c r="AR973" i="2"/>
  <c r="AM973" i="2"/>
  <c r="AH973" i="2"/>
  <c r="Z973" i="2"/>
  <c r="U973" i="2"/>
  <c r="P973" i="2"/>
  <c r="K973" i="2"/>
  <c r="F973" i="2"/>
  <c r="BB972" i="2"/>
  <c r="AW972" i="2"/>
  <c r="AR972" i="2"/>
  <c r="AM972" i="2"/>
  <c r="AH972" i="2"/>
  <c r="Z972" i="2"/>
  <c r="U972" i="2"/>
  <c r="P972" i="2"/>
  <c r="K972" i="2"/>
  <c r="F972" i="2"/>
  <c r="Z971" i="2"/>
  <c r="U971" i="2"/>
  <c r="P971" i="2"/>
  <c r="K971" i="2"/>
  <c r="F971" i="2"/>
  <c r="L1392" i="2" l="1"/>
  <c r="P1392" i="2" s="1"/>
  <c r="P1364" i="2"/>
  <c r="V1392" i="2"/>
  <c r="Z1392" i="2" s="1"/>
  <c r="Z1364" i="2"/>
  <c r="Q1392" i="2"/>
  <c r="U1392" i="2" s="1"/>
  <c r="U1364" i="2"/>
  <c r="AE1005" i="2"/>
  <c r="AZ1005" i="2"/>
  <c r="AD1005" i="2"/>
  <c r="AK1005" i="2"/>
  <c r="AV1005" i="2"/>
  <c r="AA995" i="2"/>
  <c r="AA989" i="2"/>
  <c r="AA983" i="2"/>
  <c r="AA990" i="2"/>
  <c r="AG1005" i="2"/>
  <c r="AW1002" i="2"/>
  <c r="AM1003" i="2"/>
  <c r="AT1005" i="2"/>
  <c r="AH1004" i="2"/>
  <c r="AL1005" i="2"/>
  <c r="BC989" i="2"/>
  <c r="AA1000" i="2"/>
  <c r="AA1004" i="2"/>
  <c r="BC973" i="2"/>
  <c r="BC975" i="2"/>
  <c r="BC990" i="2"/>
  <c r="BC996" i="2"/>
  <c r="BC1000" i="2"/>
  <c r="F1005" i="2"/>
  <c r="AA998" i="2"/>
  <c r="AA986" i="2"/>
  <c r="AJ1005" i="2"/>
  <c r="BC974" i="2"/>
  <c r="AA993" i="2"/>
  <c r="AA987" i="2"/>
  <c r="AA981" i="2"/>
  <c r="AY1005" i="2"/>
  <c r="AA992" i="2"/>
  <c r="AA994" i="2"/>
  <c r="AA988" i="2"/>
  <c r="AA982" i="2"/>
  <c r="AF1005" i="2"/>
  <c r="AA996" i="2"/>
  <c r="AA984" i="2"/>
  <c r="BC988" i="2"/>
  <c r="AS1005" i="2"/>
  <c r="AA997" i="2"/>
  <c r="AA991" i="2"/>
  <c r="AA985" i="2"/>
  <c r="AM1002" i="2"/>
  <c r="AU1005" i="2"/>
  <c r="BC982" i="2"/>
  <c r="AA980" i="2"/>
  <c r="AA979" i="2"/>
  <c r="BC983" i="2"/>
  <c r="BC972" i="2"/>
  <c r="BC977" i="2"/>
  <c r="BC994" i="2"/>
  <c r="AA1003" i="2"/>
  <c r="P1005" i="2"/>
  <c r="Z1005" i="2"/>
  <c r="BC984" i="2"/>
  <c r="BC971" i="2"/>
  <c r="AH1003" i="2"/>
  <c r="BC993" i="2"/>
  <c r="AA999" i="2"/>
  <c r="BC985" i="2"/>
  <c r="AH1002" i="2"/>
  <c r="BB1003" i="2"/>
  <c r="BC919" i="2"/>
  <c r="BC976" i="2"/>
  <c r="BC992" i="2"/>
  <c r="BC998" i="2"/>
  <c r="BC1001" i="2"/>
  <c r="K1005" i="2"/>
  <c r="AI1005" i="2"/>
  <c r="BB1002" i="2"/>
  <c r="BC920" i="2"/>
  <c r="BC991" i="2"/>
  <c r="AA1001" i="2"/>
  <c r="BC987" i="2"/>
  <c r="AW1003" i="2"/>
  <c r="AM1004" i="2"/>
  <c r="BC918" i="2"/>
  <c r="BC981" i="2"/>
  <c r="BC980" i="2"/>
  <c r="BC979" i="2"/>
  <c r="AR1005" i="2"/>
  <c r="AA971" i="2"/>
  <c r="AA972" i="2"/>
  <c r="AA975" i="2"/>
  <c r="AA977" i="2"/>
  <c r="AA976" i="2"/>
  <c r="AA973" i="2"/>
  <c r="R1005" i="2"/>
  <c r="AA1364" i="2" l="1"/>
  <c r="AA1392" i="2"/>
  <c r="BB1005" i="2"/>
  <c r="BC1004" i="2"/>
  <c r="AW1005" i="2"/>
  <c r="AH1005" i="2"/>
  <c r="BC1002" i="2"/>
  <c r="AM1005" i="2"/>
  <c r="BC1003" i="2"/>
  <c r="U1005" i="2"/>
  <c r="AA1005" i="2" s="1"/>
  <c r="Z952" i="2"/>
  <c r="U952" i="2"/>
  <c r="P952" i="2"/>
  <c r="K952" i="2"/>
  <c r="F952" i="2"/>
  <c r="BC1005" i="2" l="1"/>
  <c r="AA952" i="2"/>
  <c r="Z949" i="2"/>
  <c r="Z950" i="2"/>
  <c r="Z951" i="2"/>
  <c r="Z953" i="2"/>
  <c r="Z954" i="2"/>
  <c r="U949" i="2"/>
  <c r="U950" i="2"/>
  <c r="U951" i="2"/>
  <c r="U953" i="2"/>
  <c r="U954" i="2"/>
  <c r="P948" i="2"/>
  <c r="P949" i="2"/>
  <c r="P950" i="2"/>
  <c r="P951" i="2"/>
  <c r="P953" i="2"/>
  <c r="K948" i="2"/>
  <c r="K949" i="2"/>
  <c r="K950" i="2"/>
  <c r="K951" i="2"/>
  <c r="K953" i="2"/>
  <c r="F949" i="2"/>
  <c r="F950" i="2"/>
  <c r="F951" i="2"/>
  <c r="F953" i="2"/>
  <c r="F954" i="2"/>
  <c r="F955" i="2"/>
  <c r="F956" i="2"/>
  <c r="BB944" i="2"/>
  <c r="AW944" i="2"/>
  <c r="AR944" i="2"/>
  <c r="AM944" i="2"/>
  <c r="AH944" i="2"/>
  <c r="AA951" i="2" l="1"/>
  <c r="BC944" i="2"/>
  <c r="BB939" i="2"/>
  <c r="AW939" i="2"/>
  <c r="AR939" i="2"/>
  <c r="AM939" i="2"/>
  <c r="AH939" i="2"/>
  <c r="BB915" i="2"/>
  <c r="AW915" i="2"/>
  <c r="AR915" i="2"/>
  <c r="AM915" i="2"/>
  <c r="AH915" i="2"/>
  <c r="R946" i="2"/>
  <c r="U946" i="2" s="1"/>
  <c r="BB913" i="2"/>
  <c r="AW913" i="2"/>
  <c r="AR913" i="2"/>
  <c r="AM913" i="2"/>
  <c r="AH913" i="2"/>
  <c r="S941" i="2"/>
  <c r="U941" i="2" s="1"/>
  <c r="BB909" i="2"/>
  <c r="AW909" i="2"/>
  <c r="AR909" i="2"/>
  <c r="AM909" i="2"/>
  <c r="AH909" i="2"/>
  <c r="T920" i="2"/>
  <c r="T921" i="2" s="1"/>
  <c r="BB908" i="2"/>
  <c r="AW908" i="2"/>
  <c r="AR908" i="2"/>
  <c r="AM908" i="2"/>
  <c r="AH908" i="2"/>
  <c r="BJ937" i="2"/>
  <c r="BQ937" i="2"/>
  <c r="BJ938" i="2"/>
  <c r="BQ938" i="2"/>
  <c r="BJ939" i="2"/>
  <c r="BQ939" i="2"/>
  <c r="BJ940" i="2"/>
  <c r="BQ940" i="2"/>
  <c r="BJ941" i="2"/>
  <c r="BQ941" i="2"/>
  <c r="BJ942" i="2"/>
  <c r="BQ942" i="2"/>
  <c r="BJ943" i="2"/>
  <c r="BQ943" i="2"/>
  <c r="BJ944" i="2"/>
  <c r="BQ944" i="2"/>
  <c r="BJ945" i="2"/>
  <c r="BQ945" i="2"/>
  <c r="BJ946" i="2"/>
  <c r="BQ946" i="2"/>
  <c r="AH937" i="2"/>
  <c r="AM937" i="2"/>
  <c r="AR937" i="2"/>
  <c r="AW937" i="2"/>
  <c r="BB937" i="2"/>
  <c r="AH938" i="2"/>
  <c r="AM938" i="2"/>
  <c r="AR938" i="2"/>
  <c r="AW938" i="2"/>
  <c r="BB938" i="2"/>
  <c r="AH940" i="2"/>
  <c r="AM940" i="2"/>
  <c r="AR940" i="2"/>
  <c r="AW940" i="2"/>
  <c r="BB940" i="2"/>
  <c r="AH941" i="2"/>
  <c r="AM941" i="2"/>
  <c r="AR941" i="2"/>
  <c r="AW941" i="2"/>
  <c r="BB941" i="2"/>
  <c r="AH942" i="2"/>
  <c r="AM942" i="2"/>
  <c r="AR942" i="2"/>
  <c r="AW942" i="2"/>
  <c r="BB942" i="2"/>
  <c r="AH943" i="2"/>
  <c r="AM943" i="2"/>
  <c r="AR943" i="2"/>
  <c r="AW943" i="2"/>
  <c r="BB943" i="2"/>
  <c r="AH945" i="2"/>
  <c r="AM945" i="2"/>
  <c r="AR945" i="2"/>
  <c r="AW945" i="2"/>
  <c r="BB945" i="2"/>
  <c r="AH946" i="2"/>
  <c r="AM946" i="2"/>
  <c r="AR946" i="2"/>
  <c r="AW946" i="2"/>
  <c r="BB946" i="2"/>
  <c r="AH947" i="2"/>
  <c r="AM947" i="2"/>
  <c r="AR947" i="2"/>
  <c r="AW947" i="2"/>
  <c r="BB947" i="2"/>
  <c r="AH948" i="2"/>
  <c r="AM948" i="2"/>
  <c r="AR948" i="2"/>
  <c r="AW948" i="2"/>
  <c r="BB948" i="2"/>
  <c r="AH949" i="2"/>
  <c r="AM949" i="2"/>
  <c r="AR949" i="2"/>
  <c r="AW949" i="2"/>
  <c r="BB949" i="2"/>
  <c r="AH950" i="2"/>
  <c r="AM950" i="2"/>
  <c r="AR950" i="2"/>
  <c r="AW950" i="2"/>
  <c r="BB950" i="2"/>
  <c r="AH951" i="2"/>
  <c r="AM951" i="2"/>
  <c r="AR951" i="2"/>
  <c r="AW951" i="2"/>
  <c r="BB951" i="2"/>
  <c r="AH952" i="2"/>
  <c r="AM952" i="2"/>
  <c r="AR952" i="2"/>
  <c r="AW952" i="2"/>
  <c r="BB952" i="2"/>
  <c r="AH955" i="2"/>
  <c r="AM955" i="2"/>
  <c r="AR955" i="2"/>
  <c r="AW955" i="2"/>
  <c r="BB955" i="2"/>
  <c r="AH956" i="2"/>
  <c r="AM956" i="2"/>
  <c r="AR956" i="2"/>
  <c r="AW956" i="2"/>
  <c r="BB956" i="2"/>
  <c r="AH957" i="2"/>
  <c r="AM957" i="2"/>
  <c r="AR957" i="2"/>
  <c r="AW957" i="2"/>
  <c r="BB957" i="2"/>
  <c r="AH958" i="2"/>
  <c r="AM958" i="2"/>
  <c r="AR958" i="2"/>
  <c r="AW958" i="2"/>
  <c r="BB958" i="2"/>
  <c r="AH959" i="2"/>
  <c r="AM959" i="2"/>
  <c r="AR959" i="2"/>
  <c r="AW959" i="2"/>
  <c r="BB959" i="2"/>
  <c r="AH960" i="2"/>
  <c r="AM960" i="2"/>
  <c r="AR960" i="2"/>
  <c r="AW960" i="2"/>
  <c r="BB960" i="2"/>
  <c r="AH961" i="2"/>
  <c r="AM961" i="2"/>
  <c r="AR961" i="2"/>
  <c r="AW961" i="2"/>
  <c r="BB961" i="2"/>
  <c r="AH962" i="2"/>
  <c r="AM962" i="2"/>
  <c r="AR962" i="2"/>
  <c r="AW962" i="2"/>
  <c r="BB962" i="2"/>
  <c r="F929" i="2"/>
  <c r="K929" i="2"/>
  <c r="P929" i="2"/>
  <c r="U929" i="2"/>
  <c r="Z929" i="2"/>
  <c r="F930" i="2"/>
  <c r="K930" i="2"/>
  <c r="P930" i="2"/>
  <c r="U930" i="2"/>
  <c r="Z930" i="2"/>
  <c r="F931" i="2"/>
  <c r="K931" i="2"/>
  <c r="P931" i="2"/>
  <c r="U931" i="2"/>
  <c r="Z931" i="2"/>
  <c r="F932" i="2"/>
  <c r="K932" i="2"/>
  <c r="P932" i="2"/>
  <c r="U932" i="2"/>
  <c r="Z932" i="2"/>
  <c r="F933" i="2"/>
  <c r="K933" i="2"/>
  <c r="P933" i="2"/>
  <c r="U933" i="2"/>
  <c r="Z933" i="2"/>
  <c r="F935" i="2"/>
  <c r="K935" i="2"/>
  <c r="P935" i="2"/>
  <c r="U935" i="2"/>
  <c r="Z935" i="2"/>
  <c r="F937" i="2"/>
  <c r="K937" i="2"/>
  <c r="P937" i="2"/>
  <c r="U937" i="2"/>
  <c r="Z937" i="2"/>
  <c r="F938" i="2"/>
  <c r="K938" i="2"/>
  <c r="P938" i="2"/>
  <c r="U938" i="2"/>
  <c r="Z938" i="2"/>
  <c r="F939" i="2"/>
  <c r="K939" i="2"/>
  <c r="P939" i="2"/>
  <c r="U939" i="2"/>
  <c r="Z939" i="2"/>
  <c r="F940" i="2"/>
  <c r="K940" i="2"/>
  <c r="P940" i="2"/>
  <c r="U940" i="2"/>
  <c r="Z940" i="2"/>
  <c r="F941" i="2"/>
  <c r="K941" i="2"/>
  <c r="P941" i="2"/>
  <c r="Z941" i="2"/>
  <c r="F942" i="2"/>
  <c r="K942" i="2"/>
  <c r="P942" i="2"/>
  <c r="U942" i="2"/>
  <c r="Z942" i="2"/>
  <c r="F943" i="2"/>
  <c r="K943" i="2"/>
  <c r="P943" i="2"/>
  <c r="U943" i="2"/>
  <c r="Z943" i="2"/>
  <c r="F944" i="2"/>
  <c r="K944" i="2"/>
  <c r="P944" i="2"/>
  <c r="U944" i="2"/>
  <c r="Z944" i="2"/>
  <c r="F945" i="2"/>
  <c r="K945" i="2"/>
  <c r="P945" i="2"/>
  <c r="U945" i="2"/>
  <c r="Z945" i="2"/>
  <c r="F946" i="2"/>
  <c r="K946" i="2"/>
  <c r="P946" i="2"/>
  <c r="Z946" i="2"/>
  <c r="F947" i="2"/>
  <c r="K947" i="2"/>
  <c r="P947" i="2"/>
  <c r="U947" i="2"/>
  <c r="Z947" i="2"/>
  <c r="F948" i="2"/>
  <c r="U948" i="2"/>
  <c r="Z948" i="2"/>
  <c r="K954" i="2"/>
  <c r="P954" i="2"/>
  <c r="K955" i="2"/>
  <c r="P955" i="2"/>
  <c r="U955" i="2"/>
  <c r="Z955" i="2"/>
  <c r="K956" i="2"/>
  <c r="P956" i="2"/>
  <c r="U956" i="2"/>
  <c r="Z956" i="2"/>
  <c r="F957" i="2"/>
  <c r="K957" i="2"/>
  <c r="P957" i="2"/>
  <c r="U957" i="2"/>
  <c r="Z957" i="2"/>
  <c r="F958" i="2"/>
  <c r="K958" i="2"/>
  <c r="P958" i="2"/>
  <c r="U958" i="2"/>
  <c r="Z958" i="2"/>
  <c r="F959" i="2"/>
  <c r="K959" i="2"/>
  <c r="P959" i="2"/>
  <c r="U959" i="2"/>
  <c r="Z959" i="2"/>
  <c r="F960" i="2"/>
  <c r="K960" i="2"/>
  <c r="P960" i="2"/>
  <c r="U960" i="2"/>
  <c r="Z960" i="2"/>
  <c r="BP963" i="2"/>
  <c r="BO963" i="2"/>
  <c r="BN963" i="2"/>
  <c r="BM963" i="2"/>
  <c r="BI963" i="2"/>
  <c r="BH963" i="2"/>
  <c r="BG963" i="2"/>
  <c r="BF963" i="2"/>
  <c r="AZ963" i="2"/>
  <c r="AY963" i="2"/>
  <c r="AX963" i="2"/>
  <c r="AT963" i="2"/>
  <c r="AS963" i="2"/>
  <c r="AQ963" i="2"/>
  <c r="AP963" i="2"/>
  <c r="AO963" i="2"/>
  <c r="AN963" i="2"/>
  <c r="Y963" i="2"/>
  <c r="X963" i="2"/>
  <c r="W963" i="2"/>
  <c r="V963" i="2"/>
  <c r="T963" i="2"/>
  <c r="Q963" i="2"/>
  <c r="O963" i="2"/>
  <c r="N963" i="2"/>
  <c r="M963" i="2"/>
  <c r="L963" i="2"/>
  <c r="J963" i="2"/>
  <c r="I963" i="2"/>
  <c r="H963" i="2"/>
  <c r="G963" i="2"/>
  <c r="E963" i="2"/>
  <c r="D963" i="2"/>
  <c r="C963" i="2"/>
  <c r="B963" i="2"/>
  <c r="BQ962" i="2"/>
  <c r="BJ962" i="2"/>
  <c r="Z962" i="2"/>
  <c r="U962" i="2"/>
  <c r="P962" i="2"/>
  <c r="K962" i="2"/>
  <c r="F962" i="2"/>
  <c r="BQ961" i="2"/>
  <c r="BJ961" i="2"/>
  <c r="Z961" i="2"/>
  <c r="U961" i="2"/>
  <c r="P961" i="2"/>
  <c r="K961" i="2"/>
  <c r="F961" i="2"/>
  <c r="BQ960" i="2"/>
  <c r="BJ960" i="2"/>
  <c r="BA963" i="2"/>
  <c r="AU963" i="2"/>
  <c r="AK963" i="2"/>
  <c r="AJ963" i="2"/>
  <c r="AI963" i="2"/>
  <c r="AG963" i="2"/>
  <c r="AE963" i="2"/>
  <c r="AD963" i="2"/>
  <c r="BQ959" i="2"/>
  <c r="BJ959" i="2"/>
  <c r="BQ958" i="2"/>
  <c r="BJ958" i="2"/>
  <c r="BQ957" i="2"/>
  <c r="BJ957" i="2"/>
  <c r="BQ956" i="2"/>
  <c r="BJ956" i="2"/>
  <c r="BQ955" i="2"/>
  <c r="BJ955" i="2"/>
  <c r="BQ954" i="2"/>
  <c r="BJ954" i="2"/>
  <c r="BB954" i="2"/>
  <c r="AW954" i="2"/>
  <c r="AR954" i="2"/>
  <c r="AM954" i="2"/>
  <c r="AH954" i="2"/>
  <c r="BQ953" i="2"/>
  <c r="BJ953" i="2"/>
  <c r="BB953" i="2"/>
  <c r="AW953" i="2"/>
  <c r="AR953" i="2"/>
  <c r="AM953" i="2"/>
  <c r="AH953" i="2"/>
  <c r="BQ952" i="2"/>
  <c r="BJ952" i="2"/>
  <c r="BQ951" i="2"/>
  <c r="BJ951" i="2"/>
  <c r="BQ950" i="2"/>
  <c r="BJ950" i="2"/>
  <c r="BQ949" i="2"/>
  <c r="BJ949" i="2"/>
  <c r="BQ948" i="2"/>
  <c r="BJ948" i="2"/>
  <c r="BQ947" i="2"/>
  <c r="BJ947" i="2"/>
  <c r="BQ935" i="2"/>
  <c r="BJ935" i="2"/>
  <c r="BB935" i="2"/>
  <c r="AW935" i="2"/>
  <c r="AR935" i="2"/>
  <c r="AM935" i="2"/>
  <c r="AH935" i="2"/>
  <c r="BQ934" i="2"/>
  <c r="BJ934" i="2"/>
  <c r="BB934" i="2"/>
  <c r="AW934" i="2"/>
  <c r="AR934" i="2"/>
  <c r="AM934" i="2"/>
  <c r="AH934" i="2"/>
  <c r="Z934" i="2"/>
  <c r="U934" i="2"/>
  <c r="P934" i="2"/>
  <c r="K934" i="2"/>
  <c r="F934" i="2"/>
  <c r="BQ933" i="2"/>
  <c r="BJ933" i="2"/>
  <c r="BB933" i="2"/>
  <c r="AW933" i="2"/>
  <c r="AR933" i="2"/>
  <c r="AM933" i="2"/>
  <c r="AH933" i="2"/>
  <c r="BB932" i="2"/>
  <c r="AM932" i="2"/>
  <c r="AH932" i="2"/>
  <c r="BQ931" i="2"/>
  <c r="BJ931" i="2"/>
  <c r="BB931" i="2"/>
  <c r="AW931" i="2"/>
  <c r="AR931" i="2"/>
  <c r="AM931" i="2"/>
  <c r="AH931" i="2"/>
  <c r="BQ930" i="2"/>
  <c r="BJ930" i="2"/>
  <c r="BB930" i="2"/>
  <c r="AW930" i="2"/>
  <c r="AR930" i="2"/>
  <c r="AM930" i="2"/>
  <c r="AH930" i="2"/>
  <c r="BQ929" i="2"/>
  <c r="BJ929" i="2"/>
  <c r="BB929" i="2"/>
  <c r="AW929" i="2"/>
  <c r="AR929" i="2"/>
  <c r="AM929" i="2"/>
  <c r="AH929" i="2"/>
  <c r="BB905" i="2"/>
  <c r="AW905" i="2"/>
  <c r="AR905" i="2"/>
  <c r="AM905" i="2"/>
  <c r="AH905" i="2"/>
  <c r="BB901" i="2"/>
  <c r="AW901" i="2"/>
  <c r="AR901" i="2"/>
  <c r="AM901" i="2"/>
  <c r="AH901" i="2"/>
  <c r="BB897" i="2"/>
  <c r="AW897" i="2"/>
  <c r="AR897" i="2"/>
  <c r="AM897" i="2"/>
  <c r="AH897" i="2"/>
  <c r="BB876" i="2"/>
  <c r="AW876" i="2"/>
  <c r="AR876" i="2"/>
  <c r="AM876" i="2"/>
  <c r="AH876" i="2"/>
  <c r="BJ895" i="2"/>
  <c r="AH877" i="2"/>
  <c r="AM877" i="2"/>
  <c r="AR877" i="2"/>
  <c r="AW877" i="2"/>
  <c r="BB877" i="2"/>
  <c r="AH878" i="2"/>
  <c r="AM878" i="2"/>
  <c r="AR878" i="2"/>
  <c r="AW878" i="2"/>
  <c r="BB878" i="2"/>
  <c r="AH895" i="2"/>
  <c r="AM895" i="2"/>
  <c r="AR895" i="2"/>
  <c r="AW895" i="2"/>
  <c r="BB895" i="2"/>
  <c r="AH896" i="2"/>
  <c r="AM896" i="2"/>
  <c r="AR896" i="2"/>
  <c r="AW896" i="2"/>
  <c r="BB896" i="2"/>
  <c r="AH898" i="2"/>
  <c r="AM898" i="2"/>
  <c r="AR898" i="2"/>
  <c r="AW898" i="2"/>
  <c r="BB898" i="2"/>
  <c r="AH899" i="2"/>
  <c r="AM899" i="2"/>
  <c r="AR899" i="2"/>
  <c r="AW899" i="2"/>
  <c r="BB899" i="2"/>
  <c r="AH900" i="2"/>
  <c r="AM900" i="2"/>
  <c r="AR900" i="2"/>
  <c r="AW900" i="2"/>
  <c r="BB900" i="2"/>
  <c r="AH902" i="2"/>
  <c r="AM902" i="2"/>
  <c r="AR902" i="2"/>
  <c r="AW902" i="2"/>
  <c r="BB902" i="2"/>
  <c r="AH903" i="2"/>
  <c r="AM903" i="2"/>
  <c r="AR903" i="2"/>
  <c r="AW903" i="2"/>
  <c r="BB903" i="2"/>
  <c r="AH904" i="2"/>
  <c r="AM904" i="2"/>
  <c r="AR904" i="2"/>
  <c r="AW904" i="2"/>
  <c r="BB904" i="2"/>
  <c r="AH906" i="2"/>
  <c r="AM906" i="2"/>
  <c r="AR906" i="2"/>
  <c r="AW906" i="2"/>
  <c r="BB906" i="2"/>
  <c r="AH907" i="2"/>
  <c r="AM907" i="2"/>
  <c r="AR907" i="2"/>
  <c r="AW907" i="2"/>
  <c r="BB907" i="2"/>
  <c r="AH910" i="2"/>
  <c r="AM910" i="2"/>
  <c r="AR910" i="2"/>
  <c r="AW910" i="2"/>
  <c r="BB910" i="2"/>
  <c r="AH911" i="2"/>
  <c r="AM911" i="2"/>
  <c r="AR911" i="2"/>
  <c r="AW911" i="2"/>
  <c r="BB911" i="2"/>
  <c r="AH912" i="2"/>
  <c r="AM912" i="2"/>
  <c r="AR912" i="2"/>
  <c r="AW912" i="2"/>
  <c r="BB912" i="2"/>
  <c r="AH914" i="2"/>
  <c r="AM914" i="2"/>
  <c r="AR914" i="2"/>
  <c r="AW914" i="2"/>
  <c r="BB914" i="2"/>
  <c r="AH916" i="2"/>
  <c r="AM916" i="2"/>
  <c r="AR916" i="2"/>
  <c r="AW916" i="2"/>
  <c r="BB916" i="2"/>
  <c r="F895" i="2"/>
  <c r="K895" i="2"/>
  <c r="P895" i="2"/>
  <c r="U895" i="2"/>
  <c r="Z895" i="2"/>
  <c r="F896" i="2"/>
  <c r="K896" i="2"/>
  <c r="P896" i="2"/>
  <c r="U896" i="2"/>
  <c r="Z896" i="2"/>
  <c r="F897" i="2"/>
  <c r="K897" i="2"/>
  <c r="P897" i="2"/>
  <c r="U897" i="2"/>
  <c r="Z897" i="2"/>
  <c r="F898" i="2"/>
  <c r="K898" i="2"/>
  <c r="P898" i="2"/>
  <c r="U898" i="2"/>
  <c r="Z898" i="2"/>
  <c r="F899" i="2"/>
  <c r="K899" i="2"/>
  <c r="P899" i="2"/>
  <c r="U899" i="2"/>
  <c r="Z899" i="2"/>
  <c r="F900" i="2"/>
  <c r="K900" i="2"/>
  <c r="P900" i="2"/>
  <c r="U900" i="2"/>
  <c r="Z900" i="2"/>
  <c r="F901" i="2"/>
  <c r="K901" i="2"/>
  <c r="P901" i="2"/>
  <c r="U901" i="2"/>
  <c r="Z901" i="2"/>
  <c r="F902" i="2"/>
  <c r="K902" i="2"/>
  <c r="P902" i="2"/>
  <c r="U902" i="2"/>
  <c r="Z902" i="2"/>
  <c r="F903" i="2"/>
  <c r="K903" i="2"/>
  <c r="P903" i="2"/>
  <c r="U903" i="2"/>
  <c r="Z903" i="2"/>
  <c r="F904" i="2"/>
  <c r="K904" i="2"/>
  <c r="P904" i="2"/>
  <c r="U904" i="2"/>
  <c r="Z904" i="2"/>
  <c r="F905" i="2"/>
  <c r="K905" i="2"/>
  <c r="P905" i="2"/>
  <c r="U905" i="2"/>
  <c r="Z905" i="2"/>
  <c r="F906" i="2"/>
  <c r="K906" i="2"/>
  <c r="P906" i="2"/>
  <c r="U906" i="2"/>
  <c r="Z906" i="2"/>
  <c r="F907" i="2"/>
  <c r="K907" i="2"/>
  <c r="P907" i="2"/>
  <c r="U907" i="2"/>
  <c r="Z907" i="2"/>
  <c r="F908" i="2"/>
  <c r="K908" i="2"/>
  <c r="P908" i="2"/>
  <c r="U908" i="2"/>
  <c r="Z908" i="2"/>
  <c r="F909" i="2"/>
  <c r="K909" i="2"/>
  <c r="P909" i="2"/>
  <c r="U909" i="2"/>
  <c r="Z909" i="2"/>
  <c r="F910" i="2"/>
  <c r="K910" i="2"/>
  <c r="P910" i="2"/>
  <c r="U910" i="2"/>
  <c r="Z910" i="2"/>
  <c r="F911" i="2"/>
  <c r="K911" i="2"/>
  <c r="P911" i="2"/>
  <c r="U911" i="2"/>
  <c r="Z911" i="2"/>
  <c r="F912" i="2"/>
  <c r="K912" i="2"/>
  <c r="P912" i="2"/>
  <c r="U912" i="2"/>
  <c r="Z912" i="2"/>
  <c r="F913" i="2"/>
  <c r="K913" i="2"/>
  <c r="P913" i="2"/>
  <c r="U913" i="2"/>
  <c r="Z913" i="2"/>
  <c r="F914" i="2"/>
  <c r="K914" i="2"/>
  <c r="P914" i="2"/>
  <c r="U914" i="2"/>
  <c r="Z914" i="2"/>
  <c r="F915" i="2"/>
  <c r="K915" i="2"/>
  <c r="P915" i="2"/>
  <c r="U915" i="2"/>
  <c r="Z915" i="2"/>
  <c r="F916" i="2"/>
  <c r="K916" i="2"/>
  <c r="P916" i="2"/>
  <c r="U916" i="2"/>
  <c r="Z916" i="2"/>
  <c r="F917" i="2"/>
  <c r="K917" i="2"/>
  <c r="P917" i="2"/>
  <c r="U917" i="2"/>
  <c r="Z917" i="2"/>
  <c r="BP921" i="2"/>
  <c r="BO921" i="2"/>
  <c r="BN921" i="2"/>
  <c r="BM921" i="2"/>
  <c r="BI921" i="2"/>
  <c r="BH921" i="2"/>
  <c r="BG921" i="2"/>
  <c r="BF921" i="2"/>
  <c r="AQ921" i="2"/>
  <c r="AP921" i="2"/>
  <c r="AO921" i="2"/>
  <c r="AN921" i="2"/>
  <c r="Y921" i="2"/>
  <c r="X921" i="2"/>
  <c r="V921" i="2"/>
  <c r="S921" i="2"/>
  <c r="R921" i="2"/>
  <c r="Q921" i="2"/>
  <c r="O921" i="2"/>
  <c r="N921" i="2"/>
  <c r="M921" i="2"/>
  <c r="L921" i="2"/>
  <c r="J921" i="2"/>
  <c r="I921" i="2"/>
  <c r="H921" i="2"/>
  <c r="G921" i="2"/>
  <c r="E921" i="2"/>
  <c r="D921" i="2"/>
  <c r="C921" i="2"/>
  <c r="B921" i="2"/>
  <c r="BQ920" i="2"/>
  <c r="BJ920" i="2"/>
  <c r="Z920" i="2"/>
  <c r="P920" i="2"/>
  <c r="K920" i="2"/>
  <c r="F920" i="2"/>
  <c r="BQ919" i="2"/>
  <c r="BJ919" i="2"/>
  <c r="Z919" i="2"/>
  <c r="U919" i="2"/>
  <c r="P919" i="2"/>
  <c r="K919" i="2"/>
  <c r="F919" i="2"/>
  <c r="BQ918" i="2"/>
  <c r="BJ918" i="2"/>
  <c r="BA921" i="2"/>
  <c r="AZ921" i="2"/>
  <c r="AY921" i="2"/>
  <c r="AX921" i="2"/>
  <c r="AV921" i="2"/>
  <c r="AU921" i="2"/>
  <c r="AT921" i="2"/>
  <c r="AS921" i="2"/>
  <c r="Z918" i="2"/>
  <c r="U918" i="2"/>
  <c r="P918" i="2"/>
  <c r="K918" i="2"/>
  <c r="F918" i="2"/>
  <c r="BQ917" i="2"/>
  <c r="BJ917" i="2"/>
  <c r="BB917" i="2"/>
  <c r="AW917" i="2"/>
  <c r="AR917" i="2"/>
  <c r="AM917" i="2"/>
  <c r="AH917" i="2"/>
  <c r="BQ916" i="2"/>
  <c r="BJ916" i="2"/>
  <c r="BQ915" i="2"/>
  <c r="BJ915" i="2"/>
  <c r="BQ914" i="2"/>
  <c r="BJ914" i="2"/>
  <c r="BQ913" i="2"/>
  <c r="BJ913" i="2"/>
  <c r="BQ912" i="2"/>
  <c r="BJ912" i="2"/>
  <c r="BQ911" i="2"/>
  <c r="BJ911" i="2"/>
  <c r="BQ910" i="2"/>
  <c r="BJ910" i="2"/>
  <c r="BQ909" i="2"/>
  <c r="BJ909" i="2"/>
  <c r="BQ908" i="2"/>
  <c r="BJ908" i="2"/>
  <c r="BQ907" i="2"/>
  <c r="BJ907" i="2"/>
  <c r="BQ906" i="2"/>
  <c r="BJ906" i="2"/>
  <c r="BQ905" i="2"/>
  <c r="BJ905" i="2"/>
  <c r="BQ904" i="2"/>
  <c r="BJ904" i="2"/>
  <c r="BQ903" i="2"/>
  <c r="BJ903" i="2"/>
  <c r="BQ902" i="2"/>
  <c r="BJ902" i="2"/>
  <c r="BQ901" i="2"/>
  <c r="BJ901" i="2"/>
  <c r="BQ900" i="2"/>
  <c r="BJ900" i="2"/>
  <c r="BQ899" i="2"/>
  <c r="BJ899" i="2"/>
  <c r="BQ898" i="2"/>
  <c r="BJ898" i="2"/>
  <c r="W921" i="2"/>
  <c r="BQ897" i="2"/>
  <c r="BJ897" i="2"/>
  <c r="BQ896" i="2"/>
  <c r="BJ896" i="2"/>
  <c r="BQ895" i="2"/>
  <c r="BQ893" i="2"/>
  <c r="BJ893" i="2"/>
  <c r="BB893" i="2"/>
  <c r="AW893" i="2"/>
  <c r="AR893" i="2"/>
  <c r="AM893" i="2"/>
  <c r="AH893" i="2"/>
  <c r="Z893" i="2"/>
  <c r="U893" i="2"/>
  <c r="P893" i="2"/>
  <c r="K893" i="2"/>
  <c r="F893" i="2"/>
  <c r="BQ892" i="2"/>
  <c r="BJ892" i="2"/>
  <c r="BB892" i="2"/>
  <c r="AW892" i="2"/>
  <c r="AR892" i="2"/>
  <c r="AM892" i="2"/>
  <c r="AH892" i="2"/>
  <c r="Z892" i="2"/>
  <c r="U892" i="2"/>
  <c r="P892" i="2"/>
  <c r="K892" i="2"/>
  <c r="F892" i="2"/>
  <c r="BQ891" i="2"/>
  <c r="BJ891" i="2"/>
  <c r="BB891" i="2"/>
  <c r="AW891" i="2"/>
  <c r="AR891" i="2"/>
  <c r="AM891" i="2"/>
  <c r="AH891" i="2"/>
  <c r="Z891" i="2"/>
  <c r="U891" i="2"/>
  <c r="P891" i="2"/>
  <c r="K891" i="2"/>
  <c r="F891" i="2"/>
  <c r="BB890" i="2"/>
  <c r="AM890" i="2"/>
  <c r="AH890" i="2"/>
  <c r="Z890" i="2"/>
  <c r="U890" i="2"/>
  <c r="P890" i="2"/>
  <c r="K890" i="2"/>
  <c r="F890" i="2"/>
  <c r="BQ889" i="2"/>
  <c r="BJ889" i="2"/>
  <c r="BB889" i="2"/>
  <c r="AW889" i="2"/>
  <c r="AR889" i="2"/>
  <c r="AM889" i="2"/>
  <c r="AH889" i="2"/>
  <c r="Z889" i="2"/>
  <c r="U889" i="2"/>
  <c r="P889" i="2"/>
  <c r="K889" i="2"/>
  <c r="F889" i="2"/>
  <c r="BQ888" i="2"/>
  <c r="BJ888" i="2"/>
  <c r="BB888" i="2"/>
  <c r="AW888" i="2"/>
  <c r="AR888" i="2"/>
  <c r="AM888" i="2"/>
  <c r="AH888" i="2"/>
  <c r="Z888" i="2"/>
  <c r="U888" i="2"/>
  <c r="P888" i="2"/>
  <c r="K888" i="2"/>
  <c r="F888" i="2"/>
  <c r="BQ887" i="2"/>
  <c r="BJ887" i="2"/>
  <c r="BB887" i="2"/>
  <c r="AW887" i="2"/>
  <c r="AR887" i="2"/>
  <c r="AM887" i="2"/>
  <c r="AH887" i="2"/>
  <c r="Z887" i="2"/>
  <c r="U887" i="2"/>
  <c r="P887" i="2"/>
  <c r="K887" i="2"/>
  <c r="F887" i="2"/>
  <c r="BC915" i="2" l="1"/>
  <c r="AJ921" i="2"/>
  <c r="AA955" i="2"/>
  <c r="BC939" i="2"/>
  <c r="AA949" i="2"/>
  <c r="R963" i="2"/>
  <c r="BC913" i="2"/>
  <c r="S963" i="2"/>
  <c r="AG921" i="2"/>
  <c r="BC957" i="2"/>
  <c r="BC949" i="2"/>
  <c r="BC943" i="2"/>
  <c r="BC937" i="2"/>
  <c r="AA943" i="2"/>
  <c r="AK921" i="2"/>
  <c r="AA944" i="2"/>
  <c r="AA938" i="2"/>
  <c r="BC950" i="2"/>
  <c r="AL921" i="2"/>
  <c r="BC931" i="2"/>
  <c r="P963" i="2"/>
  <c r="AA957" i="2"/>
  <c r="AA945" i="2"/>
  <c r="AA935" i="2"/>
  <c r="AA931" i="2"/>
  <c r="BC959" i="2"/>
  <c r="BC951" i="2"/>
  <c r="BC945" i="2"/>
  <c r="AD921" i="2"/>
  <c r="AA956" i="2"/>
  <c r="AA950" i="2"/>
  <c r="BC958" i="2"/>
  <c r="BC938" i="2"/>
  <c r="AE921" i="2"/>
  <c r="AF921" i="2"/>
  <c r="AA958" i="2"/>
  <c r="AA946" i="2"/>
  <c r="AA940" i="2"/>
  <c r="BC960" i="2"/>
  <c r="BC952" i="2"/>
  <c r="BC946" i="2"/>
  <c r="BC940" i="2"/>
  <c r="AA959" i="2"/>
  <c r="AA953" i="2"/>
  <c r="AA947" i="2"/>
  <c r="AA941" i="2"/>
  <c r="BC961" i="2"/>
  <c r="BC955" i="2"/>
  <c r="BC947" i="2"/>
  <c r="BC941" i="2"/>
  <c r="AI921" i="2"/>
  <c r="AA960" i="2"/>
  <c r="AA954" i="2"/>
  <c r="AA948" i="2"/>
  <c r="AA942" i="2"/>
  <c r="BC962" i="2"/>
  <c r="BC956" i="2"/>
  <c r="BC948" i="2"/>
  <c r="BC942" i="2"/>
  <c r="AA939" i="2"/>
  <c r="BC930" i="2"/>
  <c r="BC935" i="2"/>
  <c r="F963" i="2"/>
  <c r="AA932" i="2"/>
  <c r="U920" i="2"/>
  <c r="AA920" i="2" s="1"/>
  <c r="BC929" i="2"/>
  <c r="BC934" i="2"/>
  <c r="BC953" i="2"/>
  <c r="AA961" i="2"/>
  <c r="K963" i="2"/>
  <c r="AA933" i="2"/>
  <c r="AA934" i="2"/>
  <c r="AA962" i="2"/>
  <c r="BC909" i="2"/>
  <c r="BC905" i="2"/>
  <c r="BC933" i="2"/>
  <c r="BC932" i="2"/>
  <c r="BC954" i="2"/>
  <c r="AA930" i="2"/>
  <c r="AA937" i="2"/>
  <c r="AA929" i="2"/>
  <c r="BC908" i="2"/>
  <c r="BQ963" i="2"/>
  <c r="BJ963" i="2"/>
  <c r="AR963" i="2"/>
  <c r="BB963" i="2"/>
  <c r="Z963" i="2"/>
  <c r="AL963" i="2"/>
  <c r="AF963" i="2"/>
  <c r="AH963" i="2" s="1"/>
  <c r="AV963" i="2"/>
  <c r="BC901" i="2"/>
  <c r="BC897" i="2"/>
  <c r="BC876" i="2"/>
  <c r="AA911" i="2"/>
  <c r="AA899" i="2"/>
  <c r="BC903" i="2"/>
  <c r="BC917" i="2"/>
  <c r="BJ921" i="2"/>
  <c r="AA917" i="2"/>
  <c r="AA905" i="2"/>
  <c r="F921" i="2"/>
  <c r="AA912" i="2"/>
  <c r="AA887" i="2"/>
  <c r="AA888" i="2"/>
  <c r="AA889" i="2"/>
  <c r="P921" i="2"/>
  <c r="AA914" i="2"/>
  <c r="AA908" i="2"/>
  <c r="AA902" i="2"/>
  <c r="AA896" i="2"/>
  <c r="BC912" i="2"/>
  <c r="BC906" i="2"/>
  <c r="BC900" i="2"/>
  <c r="BC878" i="2"/>
  <c r="BC891" i="2"/>
  <c r="BC892" i="2"/>
  <c r="BC893" i="2"/>
  <c r="BQ921" i="2"/>
  <c r="AA915" i="2"/>
  <c r="AA909" i="2"/>
  <c r="AA903" i="2"/>
  <c r="AA897" i="2"/>
  <c r="BC907" i="2"/>
  <c r="BC895" i="2"/>
  <c r="AA892" i="2"/>
  <c r="AA893" i="2"/>
  <c r="K921" i="2"/>
  <c r="AA916" i="2"/>
  <c r="AA910" i="2"/>
  <c r="AA904" i="2"/>
  <c r="AA898" i="2"/>
  <c r="BC914" i="2"/>
  <c r="BC902" i="2"/>
  <c r="BC896" i="2"/>
  <c r="U921" i="2"/>
  <c r="AA906" i="2"/>
  <c r="AA900" i="2"/>
  <c r="BC916" i="2"/>
  <c r="BC910" i="2"/>
  <c r="BC904" i="2"/>
  <c r="BC898" i="2"/>
  <c r="AA918" i="2"/>
  <c r="AA919" i="2"/>
  <c r="BC887" i="2"/>
  <c r="BC888" i="2"/>
  <c r="BC889" i="2"/>
  <c r="BC890" i="2"/>
  <c r="AR921" i="2"/>
  <c r="AA913" i="2"/>
  <c r="AA907" i="2"/>
  <c r="AA901" i="2"/>
  <c r="AA895" i="2"/>
  <c r="BC911" i="2"/>
  <c r="BC899" i="2"/>
  <c r="BC877" i="2"/>
  <c r="AA890" i="2"/>
  <c r="AA891" i="2"/>
  <c r="AW921" i="2"/>
  <c r="BB921" i="2"/>
  <c r="Z921" i="2"/>
  <c r="AW963" i="2" l="1"/>
  <c r="U963" i="2"/>
  <c r="AA963" i="2" s="1"/>
  <c r="AH921" i="2"/>
  <c r="AM921" i="2"/>
  <c r="AM963" i="2"/>
  <c r="AA921" i="2"/>
  <c r="BC963" i="2" l="1"/>
  <c r="BC921" i="2"/>
  <c r="BB868" i="2"/>
  <c r="AW868" i="2"/>
  <c r="AR868" i="2"/>
  <c r="AM868" i="2"/>
  <c r="AH868" i="2"/>
  <c r="BB867" i="2"/>
  <c r="AW867" i="2"/>
  <c r="AR867" i="2"/>
  <c r="AM867" i="2"/>
  <c r="AH867" i="2"/>
  <c r="BC868" i="2" l="1"/>
  <c r="BC867" i="2"/>
  <c r="AH859" i="2" l="1"/>
  <c r="BB859" i="2"/>
  <c r="AW859" i="2"/>
  <c r="AR859" i="2"/>
  <c r="AM859" i="2"/>
  <c r="Z869" i="2"/>
  <c r="U869" i="2"/>
  <c r="P869" i="2"/>
  <c r="K869" i="2"/>
  <c r="F869" i="2"/>
  <c r="Z868" i="2"/>
  <c r="U868" i="2"/>
  <c r="P868" i="2"/>
  <c r="K868" i="2"/>
  <c r="F868" i="2"/>
  <c r="Z867" i="2"/>
  <c r="U867" i="2"/>
  <c r="P867" i="2"/>
  <c r="K867" i="2"/>
  <c r="F867" i="2"/>
  <c r="Z866" i="2"/>
  <c r="U866" i="2"/>
  <c r="P866" i="2"/>
  <c r="K866" i="2"/>
  <c r="F866" i="2"/>
  <c r="Z865" i="2"/>
  <c r="U865" i="2"/>
  <c r="P865" i="2"/>
  <c r="K865" i="2"/>
  <c r="F865" i="2"/>
  <c r="Z864" i="2"/>
  <c r="U864" i="2"/>
  <c r="P864" i="2"/>
  <c r="K864" i="2"/>
  <c r="F864" i="2"/>
  <c r="Z863" i="2"/>
  <c r="U863" i="2"/>
  <c r="P863" i="2"/>
  <c r="K863" i="2"/>
  <c r="F863" i="2"/>
  <c r="Z862" i="2"/>
  <c r="U862" i="2"/>
  <c r="P862" i="2"/>
  <c r="K862" i="2"/>
  <c r="F862" i="2"/>
  <c r="Z861" i="2"/>
  <c r="U861" i="2"/>
  <c r="P861" i="2"/>
  <c r="K861" i="2"/>
  <c r="F861" i="2"/>
  <c r="Z860" i="2"/>
  <c r="U860" i="2"/>
  <c r="P860" i="2"/>
  <c r="K860" i="2"/>
  <c r="F860" i="2"/>
  <c r="AA865" i="2" l="1"/>
  <c r="AA861" i="2"/>
  <c r="AA869" i="2"/>
  <c r="AA868" i="2"/>
  <c r="AA867" i="2"/>
  <c r="AA860" i="2"/>
  <c r="AA866" i="2"/>
  <c r="BC859" i="2"/>
  <c r="AA864" i="2"/>
  <c r="AA862" i="2"/>
  <c r="AA863" i="2"/>
  <c r="BB854" i="2"/>
  <c r="AW854" i="2"/>
  <c r="AR854" i="2"/>
  <c r="AM854" i="2"/>
  <c r="AH854" i="2"/>
  <c r="W856" i="2"/>
  <c r="AH834" i="2"/>
  <c r="AM834" i="2"/>
  <c r="AR834" i="2"/>
  <c r="AW834" i="2"/>
  <c r="BB834" i="2"/>
  <c r="AH835" i="2"/>
  <c r="AM835" i="2"/>
  <c r="AR835" i="2"/>
  <c r="AW835" i="2"/>
  <c r="BB835" i="2"/>
  <c r="AH836" i="2"/>
  <c r="AM836" i="2"/>
  <c r="AR836" i="2"/>
  <c r="AW836" i="2"/>
  <c r="BB836" i="2"/>
  <c r="BC854" i="2" l="1"/>
  <c r="BC834" i="2"/>
  <c r="BC836" i="2"/>
  <c r="BC835" i="2"/>
  <c r="AH846" i="2"/>
  <c r="AM846" i="2"/>
  <c r="AR846" i="2"/>
  <c r="AW846" i="2"/>
  <c r="BB846" i="2"/>
  <c r="BC846" i="2" l="1"/>
  <c r="BB817" i="2"/>
  <c r="AW817" i="2"/>
  <c r="AR817" i="2"/>
  <c r="AM817" i="2"/>
  <c r="AH817" i="2"/>
  <c r="AI808" i="2"/>
  <c r="AV808" i="2"/>
  <c r="AT808" i="2"/>
  <c r="BC817" i="2" l="1"/>
  <c r="AH818" i="2"/>
  <c r="AM818" i="2"/>
  <c r="AR818" i="2"/>
  <c r="AW818" i="2"/>
  <c r="BB818" i="2"/>
  <c r="BC818" i="2" l="1"/>
  <c r="AN763" i="2"/>
  <c r="AR763" i="2" s="1"/>
  <c r="AM763" i="2"/>
  <c r="AH763" i="2"/>
  <c r="L819" i="2"/>
  <c r="BB813" i="2" l="1"/>
  <c r="AW813" i="2"/>
  <c r="AR813" i="2"/>
  <c r="AM813" i="2"/>
  <c r="AH813" i="2"/>
  <c r="AH781" i="2"/>
  <c r="AM781" i="2"/>
  <c r="AR781" i="2"/>
  <c r="AW781" i="2"/>
  <c r="AX781" i="2" l="1"/>
  <c r="BC813" i="2"/>
  <c r="AW780" i="2" l="1"/>
  <c r="AR780" i="2"/>
  <c r="AM780" i="2"/>
  <c r="AH780" i="2"/>
  <c r="AW762" i="2"/>
  <c r="AW763" i="2"/>
  <c r="AR762" i="2"/>
  <c r="AM762" i="2"/>
  <c r="AH762" i="2"/>
  <c r="AH764" i="2"/>
  <c r="AM764" i="2"/>
  <c r="AR764" i="2"/>
  <c r="AW764" i="2"/>
  <c r="F803" i="2"/>
  <c r="K803" i="2"/>
  <c r="P803" i="2"/>
  <c r="U803" i="2"/>
  <c r="F804" i="2"/>
  <c r="K804" i="2"/>
  <c r="P804" i="2"/>
  <c r="U804" i="2"/>
  <c r="AX780" i="2" l="1"/>
  <c r="AX763" i="2"/>
  <c r="AX762" i="2"/>
  <c r="AX764" i="2"/>
  <c r="AW777" i="2"/>
  <c r="AR777" i="2"/>
  <c r="AM777" i="2"/>
  <c r="AH777" i="2"/>
  <c r="AH807" i="2"/>
  <c r="AM807" i="2"/>
  <c r="BB807" i="2"/>
  <c r="BB808" i="2"/>
  <c r="AW808" i="2"/>
  <c r="AR808" i="2"/>
  <c r="AM808" i="2"/>
  <c r="AH808" i="2"/>
  <c r="AH847" i="2"/>
  <c r="AM847" i="2"/>
  <c r="AR847" i="2"/>
  <c r="AW847" i="2"/>
  <c r="BB847" i="2"/>
  <c r="AX777" i="2" l="1"/>
  <c r="BC847" i="2"/>
  <c r="BC807" i="2"/>
  <c r="BC808" i="2"/>
  <c r="BB805" i="2"/>
  <c r="AW805" i="2"/>
  <c r="AR805" i="2"/>
  <c r="AM805" i="2"/>
  <c r="AH805" i="2"/>
  <c r="BC805" i="2" l="1"/>
  <c r="X810" i="2"/>
  <c r="W810" i="2"/>
  <c r="V810" i="2"/>
  <c r="BP879" i="2"/>
  <c r="BO879" i="2"/>
  <c r="BN879" i="2"/>
  <c r="BM879" i="2"/>
  <c r="BI879" i="2"/>
  <c r="BH879" i="2"/>
  <c r="BG879" i="2"/>
  <c r="BF879" i="2"/>
  <c r="BA879" i="2"/>
  <c r="AZ879" i="2"/>
  <c r="AY879" i="2"/>
  <c r="AX879" i="2"/>
  <c r="AV879" i="2"/>
  <c r="AU879" i="2"/>
  <c r="AT879" i="2"/>
  <c r="AS879" i="2"/>
  <c r="AQ879" i="2"/>
  <c r="AP879" i="2"/>
  <c r="AO879" i="2"/>
  <c r="AN879" i="2"/>
  <c r="AL879" i="2"/>
  <c r="AK879" i="2"/>
  <c r="AJ879" i="2"/>
  <c r="AI879" i="2"/>
  <c r="AG879" i="2"/>
  <c r="AF879" i="2"/>
  <c r="AE879" i="2"/>
  <c r="AD879" i="2"/>
  <c r="Y879" i="2"/>
  <c r="X879" i="2"/>
  <c r="W879" i="2"/>
  <c r="V879" i="2"/>
  <c r="T879" i="2"/>
  <c r="S879" i="2"/>
  <c r="R879" i="2"/>
  <c r="Q879" i="2"/>
  <c r="O879" i="2"/>
  <c r="N879" i="2"/>
  <c r="M879" i="2"/>
  <c r="L879" i="2"/>
  <c r="J879" i="2"/>
  <c r="I879" i="2"/>
  <c r="H879" i="2"/>
  <c r="G879" i="2"/>
  <c r="E879" i="2"/>
  <c r="D879" i="2"/>
  <c r="C879" i="2"/>
  <c r="B879" i="2"/>
  <c r="BQ878" i="2"/>
  <c r="BJ878" i="2"/>
  <c r="Z878" i="2"/>
  <c r="U878" i="2"/>
  <c r="P878" i="2"/>
  <c r="K878" i="2"/>
  <c r="F878" i="2"/>
  <c r="BQ877" i="2"/>
  <c r="BJ877" i="2"/>
  <c r="Z877" i="2"/>
  <c r="U877" i="2"/>
  <c r="P877" i="2"/>
  <c r="K877" i="2"/>
  <c r="F877" i="2"/>
  <c r="BQ876" i="2"/>
  <c r="BJ876" i="2"/>
  <c r="Z876" i="2"/>
  <c r="U876" i="2"/>
  <c r="P876" i="2"/>
  <c r="K876" i="2"/>
  <c r="F876" i="2"/>
  <c r="BQ875" i="2"/>
  <c r="BJ875" i="2"/>
  <c r="BB875" i="2"/>
  <c r="AW875" i="2"/>
  <c r="AR875" i="2"/>
  <c r="AM875" i="2"/>
  <c r="AH875" i="2"/>
  <c r="Z875" i="2"/>
  <c r="U875" i="2"/>
  <c r="P875" i="2"/>
  <c r="K875" i="2"/>
  <c r="F875" i="2"/>
  <c r="BQ874" i="2"/>
  <c r="BJ874" i="2"/>
  <c r="BB874" i="2"/>
  <c r="AW874" i="2"/>
  <c r="AR874" i="2"/>
  <c r="AM874" i="2"/>
  <c r="AH874" i="2"/>
  <c r="Z874" i="2"/>
  <c r="U874" i="2"/>
  <c r="P874" i="2"/>
  <c r="K874" i="2"/>
  <c r="F874" i="2"/>
  <c r="BQ873" i="2"/>
  <c r="BJ873" i="2"/>
  <c r="BB873" i="2"/>
  <c r="AW873" i="2"/>
  <c r="AR873" i="2"/>
  <c r="AM873" i="2"/>
  <c r="AH873" i="2"/>
  <c r="Z873" i="2"/>
  <c r="U873" i="2"/>
  <c r="P873" i="2"/>
  <c r="K873" i="2"/>
  <c r="F873" i="2"/>
  <c r="BQ872" i="2"/>
  <c r="BJ872" i="2"/>
  <c r="BB872" i="2"/>
  <c r="AW872" i="2"/>
  <c r="AR872" i="2"/>
  <c r="AM872" i="2"/>
  <c r="AH872" i="2"/>
  <c r="Z872" i="2"/>
  <c r="U872" i="2"/>
  <c r="P872" i="2"/>
  <c r="K872" i="2"/>
  <c r="F872" i="2"/>
  <c r="BQ871" i="2"/>
  <c r="BJ871" i="2"/>
  <c r="BB871" i="2"/>
  <c r="AW871" i="2"/>
  <c r="AR871" i="2"/>
  <c r="AM871" i="2"/>
  <c r="AH871" i="2"/>
  <c r="Z871" i="2"/>
  <c r="U871" i="2"/>
  <c r="P871" i="2"/>
  <c r="K871" i="2"/>
  <c r="F871" i="2"/>
  <c r="BQ870" i="2"/>
  <c r="BJ870" i="2"/>
  <c r="BB870" i="2"/>
  <c r="AW870" i="2"/>
  <c r="AR870" i="2"/>
  <c r="AM870" i="2"/>
  <c r="AH870" i="2"/>
  <c r="Z870" i="2"/>
  <c r="U870" i="2"/>
  <c r="P870" i="2"/>
  <c r="K870" i="2"/>
  <c r="F870" i="2"/>
  <c r="BQ869" i="2"/>
  <c r="BJ869" i="2"/>
  <c r="BB869" i="2"/>
  <c r="AW869" i="2"/>
  <c r="AR869" i="2"/>
  <c r="AM869" i="2"/>
  <c r="AH869" i="2"/>
  <c r="BQ868" i="2"/>
  <c r="BJ868" i="2"/>
  <c r="BQ867" i="2"/>
  <c r="BJ867" i="2"/>
  <c r="BQ866" i="2"/>
  <c r="BJ866" i="2"/>
  <c r="BB866" i="2"/>
  <c r="AW866" i="2"/>
  <c r="AR866" i="2"/>
  <c r="AM866" i="2"/>
  <c r="AH866" i="2"/>
  <c r="BQ865" i="2"/>
  <c r="BJ865" i="2"/>
  <c r="BB865" i="2"/>
  <c r="AW865" i="2"/>
  <c r="AR865" i="2"/>
  <c r="AM865" i="2"/>
  <c r="AH865" i="2"/>
  <c r="BQ864" i="2"/>
  <c r="BJ864" i="2"/>
  <c r="BB864" i="2"/>
  <c r="AW864" i="2"/>
  <c r="AR864" i="2"/>
  <c r="AM864" i="2"/>
  <c r="AH864" i="2"/>
  <c r="BQ863" i="2"/>
  <c r="BJ863" i="2"/>
  <c r="BB863" i="2"/>
  <c r="AW863" i="2"/>
  <c r="AR863" i="2"/>
  <c r="AM863" i="2"/>
  <c r="AH863" i="2"/>
  <c r="BQ862" i="2"/>
  <c r="BJ862" i="2"/>
  <c r="BB862" i="2"/>
  <c r="AW862" i="2"/>
  <c r="AR862" i="2"/>
  <c r="AM862" i="2"/>
  <c r="AH862" i="2"/>
  <c r="BQ861" i="2"/>
  <c r="BJ861" i="2"/>
  <c r="BB861" i="2"/>
  <c r="AW861" i="2"/>
  <c r="AR861" i="2"/>
  <c r="AM861" i="2"/>
  <c r="AH861" i="2"/>
  <c r="BQ860" i="2"/>
  <c r="BJ860" i="2"/>
  <c r="BB860" i="2"/>
  <c r="AW860" i="2"/>
  <c r="AR860" i="2"/>
  <c r="AM860" i="2"/>
  <c r="AH860" i="2"/>
  <c r="BQ859" i="2"/>
  <c r="BJ859" i="2"/>
  <c r="Z859" i="2"/>
  <c r="U859" i="2"/>
  <c r="P859" i="2"/>
  <c r="K859" i="2"/>
  <c r="F859" i="2"/>
  <c r="BQ858" i="2"/>
  <c r="BJ858" i="2"/>
  <c r="BB858" i="2"/>
  <c r="AW858" i="2"/>
  <c r="AR858" i="2"/>
  <c r="AM858" i="2"/>
  <c r="AH858" i="2"/>
  <c r="Z858" i="2"/>
  <c r="U858" i="2"/>
  <c r="P858" i="2"/>
  <c r="K858" i="2"/>
  <c r="F858" i="2"/>
  <c r="BQ857" i="2"/>
  <c r="BJ857" i="2"/>
  <c r="BB857" i="2"/>
  <c r="AW857" i="2"/>
  <c r="AR857" i="2"/>
  <c r="AM857" i="2"/>
  <c r="AH857" i="2"/>
  <c r="Z857" i="2"/>
  <c r="U857" i="2"/>
  <c r="P857" i="2"/>
  <c r="K857" i="2"/>
  <c r="F857" i="2"/>
  <c r="BQ856" i="2"/>
  <c r="BJ856" i="2"/>
  <c r="BB856" i="2"/>
  <c r="AW856" i="2"/>
  <c r="AR856" i="2"/>
  <c r="AM856" i="2"/>
  <c r="AH856" i="2"/>
  <c r="Z856" i="2"/>
  <c r="U856" i="2"/>
  <c r="P856" i="2"/>
  <c r="K856" i="2"/>
  <c r="F856" i="2"/>
  <c r="BQ855" i="2"/>
  <c r="BJ855" i="2"/>
  <c r="BB855" i="2"/>
  <c r="AW855" i="2"/>
  <c r="AR855" i="2"/>
  <c r="AM855" i="2"/>
  <c r="AH855" i="2"/>
  <c r="Z855" i="2"/>
  <c r="U855" i="2"/>
  <c r="P855" i="2"/>
  <c r="K855" i="2"/>
  <c r="F855" i="2"/>
  <c r="BQ854" i="2"/>
  <c r="BJ854" i="2"/>
  <c r="Z854" i="2"/>
  <c r="U854" i="2"/>
  <c r="P854" i="2"/>
  <c r="K854" i="2"/>
  <c r="F854" i="2"/>
  <c r="BQ853" i="2"/>
  <c r="BJ853" i="2"/>
  <c r="BB853" i="2"/>
  <c r="AW853" i="2"/>
  <c r="AR853" i="2"/>
  <c r="AM853" i="2"/>
  <c r="AH853" i="2"/>
  <c r="Z853" i="2"/>
  <c r="U853" i="2"/>
  <c r="P853" i="2"/>
  <c r="K853" i="2"/>
  <c r="F853" i="2"/>
  <c r="BQ851" i="2"/>
  <c r="BJ851" i="2"/>
  <c r="BB851" i="2"/>
  <c r="AW851" i="2"/>
  <c r="AR851" i="2"/>
  <c r="AM851" i="2"/>
  <c r="AH851" i="2"/>
  <c r="Z851" i="2"/>
  <c r="U851" i="2"/>
  <c r="P851" i="2"/>
  <c r="K851" i="2"/>
  <c r="F851" i="2"/>
  <c r="BQ850" i="2"/>
  <c r="BJ850" i="2"/>
  <c r="BB850" i="2"/>
  <c r="AW850" i="2"/>
  <c r="AR850" i="2"/>
  <c r="AM850" i="2"/>
  <c r="AH850" i="2"/>
  <c r="Z850" i="2"/>
  <c r="U850" i="2"/>
  <c r="P850" i="2"/>
  <c r="K850" i="2"/>
  <c r="F850" i="2"/>
  <c r="BQ849" i="2"/>
  <c r="BJ849" i="2"/>
  <c r="BB849" i="2"/>
  <c r="AW849" i="2"/>
  <c r="AR849" i="2"/>
  <c r="AM849" i="2"/>
  <c r="AH849" i="2"/>
  <c r="Z849" i="2"/>
  <c r="U849" i="2"/>
  <c r="P849" i="2"/>
  <c r="K849" i="2"/>
  <c r="F849" i="2"/>
  <c r="BB848" i="2"/>
  <c r="AM848" i="2"/>
  <c r="AH848" i="2"/>
  <c r="Z848" i="2"/>
  <c r="U848" i="2"/>
  <c r="P848" i="2"/>
  <c r="K848" i="2"/>
  <c r="F848" i="2"/>
  <c r="BQ847" i="2"/>
  <c r="BJ847" i="2"/>
  <c r="Z847" i="2"/>
  <c r="U847" i="2"/>
  <c r="P847" i="2"/>
  <c r="K847" i="2"/>
  <c r="F847" i="2"/>
  <c r="BQ846" i="2"/>
  <c r="BJ846" i="2"/>
  <c r="Z846" i="2"/>
  <c r="U846" i="2"/>
  <c r="P846" i="2"/>
  <c r="K846" i="2"/>
  <c r="F846" i="2"/>
  <c r="BQ845" i="2"/>
  <c r="BJ845" i="2"/>
  <c r="BB845" i="2"/>
  <c r="AW845" i="2"/>
  <c r="AR845" i="2"/>
  <c r="AM845" i="2"/>
  <c r="AH845" i="2"/>
  <c r="Z845" i="2"/>
  <c r="U845" i="2"/>
  <c r="P845" i="2"/>
  <c r="K845" i="2"/>
  <c r="F845" i="2"/>
  <c r="BB806" i="2"/>
  <c r="BA837" i="2"/>
  <c r="AZ837" i="2"/>
  <c r="AY837" i="2"/>
  <c r="AX837" i="2"/>
  <c r="BB833" i="2"/>
  <c r="BB832" i="2"/>
  <c r="BB831" i="2"/>
  <c r="BB830" i="2"/>
  <c r="BB829" i="2"/>
  <c r="BB828" i="2"/>
  <c r="BB827" i="2"/>
  <c r="BB826" i="2"/>
  <c r="BB825" i="2"/>
  <c r="BB824" i="2"/>
  <c r="BB823" i="2"/>
  <c r="BB822" i="2"/>
  <c r="BB821" i="2"/>
  <c r="BB820" i="2"/>
  <c r="BB819" i="2"/>
  <c r="BB816" i="2"/>
  <c r="BB815" i="2"/>
  <c r="BB814" i="2"/>
  <c r="BB812" i="2"/>
  <c r="BB811" i="2"/>
  <c r="BA810" i="2"/>
  <c r="AZ810" i="2"/>
  <c r="AY810" i="2"/>
  <c r="AX810" i="2"/>
  <c r="BB809" i="2"/>
  <c r="BB804" i="2"/>
  <c r="BB803" i="2"/>
  <c r="BB802" i="2"/>
  <c r="Y837" i="2"/>
  <c r="X837" i="2"/>
  <c r="W837" i="2"/>
  <c r="V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09" i="2"/>
  <c r="Z808" i="2"/>
  <c r="Z807" i="2"/>
  <c r="Z806" i="2"/>
  <c r="Z805" i="2"/>
  <c r="Z804" i="2"/>
  <c r="Z803" i="2"/>
  <c r="Y810" i="2"/>
  <c r="Z802" i="2"/>
  <c r="D765" i="2"/>
  <c r="AU770" i="2"/>
  <c r="AX838" i="2" l="1"/>
  <c r="AX844" i="2" s="1"/>
  <c r="AX852" i="2" s="1"/>
  <c r="AX880" i="2" s="1"/>
  <c r="AX886" i="2" s="1"/>
  <c r="Y838" i="2"/>
  <c r="Y844" i="2" s="1"/>
  <c r="Y852" i="2" s="1"/>
  <c r="Y880" i="2" s="1"/>
  <c r="Y886" i="2" s="1"/>
  <c r="Y894" i="2" s="1"/>
  <c r="Y922" i="2" s="1"/>
  <c r="Y928" i="2" s="1"/>
  <c r="Y936" i="2" s="1"/>
  <c r="Y964" i="2" s="1"/>
  <c r="Y970" i="2" s="1"/>
  <c r="Y978" i="2" s="1"/>
  <c r="Y1006" i="2" s="1"/>
  <c r="Y1012" i="2" s="1"/>
  <c r="Y1020" i="2" s="1"/>
  <c r="Y1048" i="2" s="1"/>
  <c r="Y1055" i="2" s="1"/>
  <c r="Y1063" i="2" s="1"/>
  <c r="Y1091" i="2" s="1"/>
  <c r="AR879" i="2"/>
  <c r="AH879" i="2"/>
  <c r="AA848" i="2"/>
  <c r="AA849" i="2"/>
  <c r="AA850" i="2"/>
  <c r="AA851" i="2"/>
  <c r="F879" i="2"/>
  <c r="Z879" i="2"/>
  <c r="AM879" i="2"/>
  <c r="BB879" i="2"/>
  <c r="U879" i="2"/>
  <c r="P879" i="2"/>
  <c r="AA846" i="2"/>
  <c r="AA847" i="2"/>
  <c r="BC848" i="2"/>
  <c r="BC845" i="2"/>
  <c r="BC853" i="2"/>
  <c r="BC855" i="2"/>
  <c r="BC856" i="2"/>
  <c r="BC857" i="2"/>
  <c r="BC858" i="2"/>
  <c r="BC860" i="2"/>
  <c r="BC861" i="2"/>
  <c r="BC862" i="2"/>
  <c r="BC863" i="2"/>
  <c r="BC864" i="2"/>
  <c r="BC865" i="2"/>
  <c r="BC866" i="2"/>
  <c r="BC869" i="2"/>
  <c r="BC870" i="2"/>
  <c r="BC871" i="2"/>
  <c r="BC872" i="2"/>
  <c r="BC873" i="2"/>
  <c r="BC874" i="2"/>
  <c r="BC875" i="2"/>
  <c r="AW879" i="2"/>
  <c r="BQ879" i="2"/>
  <c r="AA845" i="2"/>
  <c r="BC849" i="2"/>
  <c r="BC850" i="2"/>
  <c r="BC851" i="2"/>
  <c r="AA853" i="2"/>
  <c r="AA854" i="2"/>
  <c r="AA855" i="2"/>
  <c r="AA856" i="2"/>
  <c r="AA857" i="2"/>
  <c r="AA858" i="2"/>
  <c r="AA859" i="2"/>
  <c r="AA870" i="2"/>
  <c r="AA871" i="2"/>
  <c r="AA872" i="2"/>
  <c r="AA873" i="2"/>
  <c r="AA874" i="2"/>
  <c r="AA875" i="2"/>
  <c r="AA876" i="2"/>
  <c r="AA877" i="2"/>
  <c r="AA878" i="2"/>
  <c r="K879" i="2"/>
  <c r="BJ879" i="2"/>
  <c r="AY838" i="2"/>
  <c r="AY844" i="2" s="1"/>
  <c r="AY852" i="2" s="1"/>
  <c r="AY880" i="2" s="1"/>
  <c r="AY886" i="2" s="1"/>
  <c r="AY894" i="2" s="1"/>
  <c r="AY922" i="2" s="1"/>
  <c r="AY928" i="2" s="1"/>
  <c r="AY936" i="2" s="1"/>
  <c r="AY964" i="2" s="1"/>
  <c r="AY970" i="2" s="1"/>
  <c r="AY978" i="2" s="1"/>
  <c r="AY1006" i="2" s="1"/>
  <c r="AY1012" i="2" s="1"/>
  <c r="AZ838" i="2"/>
  <c r="AZ844" i="2" s="1"/>
  <c r="AZ852" i="2" s="1"/>
  <c r="AZ880" i="2" s="1"/>
  <c r="AZ886" i="2" s="1"/>
  <c r="AZ894" i="2" s="1"/>
  <c r="AZ922" i="2" s="1"/>
  <c r="AZ928" i="2" s="1"/>
  <c r="AZ936" i="2" s="1"/>
  <c r="AZ964" i="2" s="1"/>
  <c r="AZ970" i="2" s="1"/>
  <c r="AZ978" i="2" s="1"/>
  <c r="AZ1006" i="2" s="1"/>
  <c r="AZ1012" i="2" s="1"/>
  <c r="AZ1020" i="2" s="1"/>
  <c r="AZ1048" i="2" s="1"/>
  <c r="AZ1055" i="2" s="1"/>
  <c r="AZ1063" i="2" s="1"/>
  <c r="AZ1091" i="2" s="1"/>
  <c r="AZ1098" i="2" s="1"/>
  <c r="AZ1106" i="2" s="1"/>
  <c r="AZ1134" i="2" s="1"/>
  <c r="AZ1141" i="2" s="1"/>
  <c r="AZ1149" i="2" s="1"/>
  <c r="AZ1177" i="2" s="1"/>
  <c r="AZ1184" i="2" s="1"/>
  <c r="AZ1192" i="2" s="1"/>
  <c r="AZ1220" i="2" s="1"/>
  <c r="AZ1227" i="2" s="1"/>
  <c r="AZ1235" i="2" s="1"/>
  <c r="AZ1263" i="2" s="1"/>
  <c r="AZ1270" i="2" s="1"/>
  <c r="AZ1278" i="2" s="1"/>
  <c r="AZ1306" i="2" s="1"/>
  <c r="AZ1313" i="2" s="1"/>
  <c r="AZ1321" i="2" s="1"/>
  <c r="AZ1349" i="2" s="1"/>
  <c r="AZ1356" i="2" s="1"/>
  <c r="AZ1364" i="2" s="1"/>
  <c r="AZ1392" i="2" s="1"/>
  <c r="AZ1399" i="2" s="1"/>
  <c r="AZ1407" i="2" s="1"/>
  <c r="AZ1435" i="2" s="1"/>
  <c r="AZ1442" i="2" s="1"/>
  <c r="AZ1450" i="2" s="1"/>
  <c r="AZ1478" i="2" s="1"/>
  <c r="BA838" i="2"/>
  <c r="BA844" i="2" s="1"/>
  <c r="BA852" i="2" s="1"/>
  <c r="BA880" i="2" s="1"/>
  <c r="BA886" i="2" s="1"/>
  <c r="BA894" i="2" s="1"/>
  <c r="BA922" i="2" s="1"/>
  <c r="BA928" i="2" s="1"/>
  <c r="BA936" i="2" s="1"/>
  <c r="BA964" i="2" s="1"/>
  <c r="BA970" i="2" s="1"/>
  <c r="BA978" i="2" s="1"/>
  <c r="BA1006" i="2" s="1"/>
  <c r="BA1012" i="2" s="1"/>
  <c r="BA1020" i="2" s="1"/>
  <c r="BA1048" i="2" s="1"/>
  <c r="BA1055" i="2" s="1"/>
  <c r="BA1063" i="2" s="1"/>
  <c r="BA1091" i="2" s="1"/>
  <c r="BA1098" i="2" s="1"/>
  <c r="BA1106" i="2" s="1"/>
  <c r="BA1134" i="2" s="1"/>
  <c r="BA1141" i="2" s="1"/>
  <c r="BA1149" i="2" s="1"/>
  <c r="BA1177" i="2" s="1"/>
  <c r="BA1184" i="2" s="1"/>
  <c r="BA1192" i="2" s="1"/>
  <c r="BA1220" i="2" s="1"/>
  <c r="BA1227" i="2" s="1"/>
  <c r="BA1235" i="2" s="1"/>
  <c r="BA1263" i="2" s="1"/>
  <c r="BA1270" i="2" s="1"/>
  <c r="BA1278" i="2" s="1"/>
  <c r="BA1306" i="2" s="1"/>
  <c r="BA1313" i="2" s="1"/>
  <c r="BA1321" i="2" s="1"/>
  <c r="BA1349" i="2" s="1"/>
  <c r="BA1356" i="2" s="1"/>
  <c r="BA1364" i="2" s="1"/>
  <c r="BA1392" i="2" s="1"/>
  <c r="BA1399" i="2" s="1"/>
  <c r="BA1407" i="2" s="1"/>
  <c r="BA1435" i="2" s="1"/>
  <c r="BA1442" i="2" s="1"/>
  <c r="BA1450" i="2" s="1"/>
  <c r="BA1478" i="2" s="1"/>
  <c r="BB837" i="2"/>
  <c r="X838" i="2"/>
  <c r="X844" i="2" s="1"/>
  <c r="X852" i="2" s="1"/>
  <c r="X880" i="2" s="1"/>
  <c r="X886" i="2" s="1"/>
  <c r="X894" i="2" s="1"/>
  <c r="X922" i="2" s="1"/>
  <c r="X928" i="2" s="1"/>
  <c r="X936" i="2" s="1"/>
  <c r="X964" i="2" s="1"/>
  <c r="X970" i="2" s="1"/>
  <c r="X978" i="2" s="1"/>
  <c r="X1006" i="2" s="1"/>
  <c r="X1012" i="2" s="1"/>
  <c r="X1020" i="2" s="1"/>
  <c r="X1048" i="2" s="1"/>
  <c r="X1055" i="2" s="1"/>
  <c r="X1063" i="2" s="1"/>
  <c r="X1091" i="2" s="1"/>
  <c r="Z837" i="2"/>
  <c r="BB810" i="2"/>
  <c r="V838" i="2"/>
  <c r="V844" i="2" s="1"/>
  <c r="V852" i="2" s="1"/>
  <c r="V880" i="2" s="1"/>
  <c r="V886" i="2" s="1"/>
  <c r="W838" i="2"/>
  <c r="W844" i="2" s="1"/>
  <c r="W852" i="2" s="1"/>
  <c r="W880" i="2" s="1"/>
  <c r="W886" i="2" s="1"/>
  <c r="W894" i="2" s="1"/>
  <c r="W922" i="2" s="1"/>
  <c r="W928" i="2" s="1"/>
  <c r="AW772" i="2"/>
  <c r="AR772" i="2"/>
  <c r="AM772" i="2"/>
  <c r="AH772" i="2"/>
  <c r="AW771" i="2"/>
  <c r="AR771" i="2"/>
  <c r="AM771" i="2"/>
  <c r="AH771" i="2"/>
  <c r="F811" i="2"/>
  <c r="K811" i="2"/>
  <c r="P811" i="2"/>
  <c r="U811" i="2"/>
  <c r="F812" i="2"/>
  <c r="K812" i="2"/>
  <c r="P812" i="2"/>
  <c r="U812" i="2"/>
  <c r="F813" i="2"/>
  <c r="K813" i="2"/>
  <c r="P813" i="2"/>
  <c r="U813" i="2"/>
  <c r="F814" i="2"/>
  <c r="K814" i="2"/>
  <c r="P814" i="2"/>
  <c r="U814" i="2"/>
  <c r="BP837" i="2"/>
  <c r="BO837" i="2"/>
  <c r="BN837" i="2"/>
  <c r="BM837" i="2"/>
  <c r="BI837" i="2"/>
  <c r="BH837" i="2"/>
  <c r="BG837" i="2"/>
  <c r="BF837" i="2"/>
  <c r="AV837" i="2"/>
  <c r="AV1049" i="2" s="1"/>
  <c r="AU837" i="2"/>
  <c r="AU1049" i="2" s="1"/>
  <c r="AT837" i="2"/>
  <c r="AT1049" i="2" s="1"/>
  <c r="AS837" i="2"/>
  <c r="AS1049" i="2" s="1"/>
  <c r="AQ837" i="2"/>
  <c r="AP837" i="2"/>
  <c r="AO837" i="2"/>
  <c r="AN837" i="2"/>
  <c r="AL837" i="2"/>
  <c r="AL1049" i="2" s="1"/>
  <c r="AK837" i="2"/>
  <c r="AK1049" i="2" s="1"/>
  <c r="AJ837" i="2"/>
  <c r="AJ1049" i="2" s="1"/>
  <c r="AI837" i="2"/>
  <c r="AI1049" i="2" s="1"/>
  <c r="AG837" i="2"/>
  <c r="AF837" i="2"/>
  <c r="AE837" i="2"/>
  <c r="AD837" i="2"/>
  <c r="T837" i="2"/>
  <c r="S837" i="2"/>
  <c r="R837" i="2"/>
  <c r="Q837" i="2"/>
  <c r="O837" i="2"/>
  <c r="N837" i="2"/>
  <c r="M837" i="2"/>
  <c r="L837" i="2"/>
  <c r="J837" i="2"/>
  <c r="I837" i="2"/>
  <c r="H837" i="2"/>
  <c r="G837" i="2"/>
  <c r="E837" i="2"/>
  <c r="D837" i="2"/>
  <c r="C837" i="2"/>
  <c r="B837" i="2"/>
  <c r="BQ836" i="2"/>
  <c r="BJ836" i="2"/>
  <c r="U836" i="2"/>
  <c r="P836" i="2"/>
  <c r="K836" i="2"/>
  <c r="F836" i="2"/>
  <c r="BQ835" i="2"/>
  <c r="BJ835" i="2"/>
  <c r="U835" i="2"/>
  <c r="P835" i="2"/>
  <c r="K835" i="2"/>
  <c r="F835" i="2"/>
  <c r="BQ834" i="2"/>
  <c r="BJ834" i="2"/>
  <c r="U834" i="2"/>
  <c r="P834" i="2"/>
  <c r="K834" i="2"/>
  <c r="F834" i="2"/>
  <c r="BQ833" i="2"/>
  <c r="BJ833" i="2"/>
  <c r="AW833" i="2"/>
  <c r="AR833" i="2"/>
  <c r="AM833" i="2"/>
  <c r="AH833" i="2"/>
  <c r="U833" i="2"/>
  <c r="P833" i="2"/>
  <c r="K833" i="2"/>
  <c r="F833" i="2"/>
  <c r="BQ832" i="2"/>
  <c r="BJ832" i="2"/>
  <c r="AW832" i="2"/>
  <c r="AR832" i="2"/>
  <c r="AM832" i="2"/>
  <c r="AH832" i="2"/>
  <c r="U832" i="2"/>
  <c r="P832" i="2"/>
  <c r="K832" i="2"/>
  <c r="F832" i="2"/>
  <c r="BQ831" i="2"/>
  <c r="BJ831" i="2"/>
  <c r="AW831" i="2"/>
  <c r="AR831" i="2"/>
  <c r="AM831" i="2"/>
  <c r="AH831" i="2"/>
  <c r="U831" i="2"/>
  <c r="P831" i="2"/>
  <c r="K831" i="2"/>
  <c r="F831" i="2"/>
  <c r="BQ830" i="2"/>
  <c r="BJ830" i="2"/>
  <c r="AW830" i="2"/>
  <c r="AR830" i="2"/>
  <c r="AM830" i="2"/>
  <c r="AH830" i="2"/>
  <c r="U830" i="2"/>
  <c r="P830" i="2"/>
  <c r="K830" i="2"/>
  <c r="F830" i="2"/>
  <c r="BQ829" i="2"/>
  <c r="BJ829" i="2"/>
  <c r="AW829" i="2"/>
  <c r="AR829" i="2"/>
  <c r="AM829" i="2"/>
  <c r="AH829" i="2"/>
  <c r="U829" i="2"/>
  <c r="P829" i="2"/>
  <c r="K829" i="2"/>
  <c r="F829" i="2"/>
  <c r="BQ828" i="2"/>
  <c r="BJ828" i="2"/>
  <c r="AW828" i="2"/>
  <c r="AR828" i="2"/>
  <c r="AM828" i="2"/>
  <c r="AH828" i="2"/>
  <c r="U828" i="2"/>
  <c r="P828" i="2"/>
  <c r="K828" i="2"/>
  <c r="F828" i="2"/>
  <c r="BQ827" i="2"/>
  <c r="BJ827" i="2"/>
  <c r="AW827" i="2"/>
  <c r="AR827" i="2"/>
  <c r="AM827" i="2"/>
  <c r="AH827" i="2"/>
  <c r="U827" i="2"/>
  <c r="P827" i="2"/>
  <c r="K827" i="2"/>
  <c r="F827" i="2"/>
  <c r="BQ826" i="2"/>
  <c r="BJ826" i="2"/>
  <c r="AW826" i="2"/>
  <c r="AR826" i="2"/>
  <c r="AM826" i="2"/>
  <c r="AH826" i="2"/>
  <c r="U826" i="2"/>
  <c r="P826" i="2"/>
  <c r="K826" i="2"/>
  <c r="F826" i="2"/>
  <c r="BQ825" i="2"/>
  <c r="BJ825" i="2"/>
  <c r="AW825" i="2"/>
  <c r="AR825" i="2"/>
  <c r="AM825" i="2"/>
  <c r="AH825" i="2"/>
  <c r="U825" i="2"/>
  <c r="P825" i="2"/>
  <c r="K825" i="2"/>
  <c r="F825" i="2"/>
  <c r="BQ824" i="2"/>
  <c r="BJ824" i="2"/>
  <c r="AW824" i="2"/>
  <c r="AR824" i="2"/>
  <c r="AM824" i="2"/>
  <c r="AH824" i="2"/>
  <c r="U824" i="2"/>
  <c r="P824" i="2"/>
  <c r="K824" i="2"/>
  <c r="F824" i="2"/>
  <c r="BQ823" i="2"/>
  <c r="BJ823" i="2"/>
  <c r="AW823" i="2"/>
  <c r="AR823" i="2"/>
  <c r="AM823" i="2"/>
  <c r="AH823" i="2"/>
  <c r="U823" i="2"/>
  <c r="P823" i="2"/>
  <c r="K823" i="2"/>
  <c r="F823" i="2"/>
  <c r="BQ822" i="2"/>
  <c r="BJ822" i="2"/>
  <c r="AW822" i="2"/>
  <c r="AR822" i="2"/>
  <c r="AM822" i="2"/>
  <c r="AH822" i="2"/>
  <c r="U822" i="2"/>
  <c r="P822" i="2"/>
  <c r="K822" i="2"/>
  <c r="F822" i="2"/>
  <c r="BQ821" i="2"/>
  <c r="BJ821" i="2"/>
  <c r="AW821" i="2"/>
  <c r="AR821" i="2"/>
  <c r="AM821" i="2"/>
  <c r="AH821" i="2"/>
  <c r="U821" i="2"/>
  <c r="P821" i="2"/>
  <c r="K821" i="2"/>
  <c r="F821" i="2"/>
  <c r="BQ820" i="2"/>
  <c r="BJ820" i="2"/>
  <c r="AW820" i="2"/>
  <c r="AR820" i="2"/>
  <c r="AM820" i="2"/>
  <c r="AH820" i="2"/>
  <c r="U820" i="2"/>
  <c r="P820" i="2"/>
  <c r="K820" i="2"/>
  <c r="F820" i="2"/>
  <c r="BQ819" i="2"/>
  <c r="BJ819" i="2"/>
  <c r="AW819" i="2"/>
  <c r="AR819" i="2"/>
  <c r="AM819" i="2"/>
  <c r="AH819" i="2"/>
  <c r="U819" i="2"/>
  <c r="P819" i="2"/>
  <c r="K819" i="2"/>
  <c r="F819" i="2"/>
  <c r="BQ818" i="2"/>
  <c r="BJ818" i="2"/>
  <c r="U818" i="2"/>
  <c r="P818" i="2"/>
  <c r="K818" i="2"/>
  <c r="F818" i="2"/>
  <c r="BQ817" i="2"/>
  <c r="BJ817" i="2"/>
  <c r="U817" i="2"/>
  <c r="P817" i="2"/>
  <c r="K817" i="2"/>
  <c r="F817" i="2"/>
  <c r="BQ816" i="2"/>
  <c r="BJ816" i="2"/>
  <c r="AW816" i="2"/>
  <c r="AR816" i="2"/>
  <c r="AM816" i="2"/>
  <c r="AH816" i="2"/>
  <c r="U816" i="2"/>
  <c r="P816" i="2"/>
  <c r="K816" i="2"/>
  <c r="F816" i="2"/>
  <c r="BQ815" i="2"/>
  <c r="BJ815" i="2"/>
  <c r="AW815" i="2"/>
  <c r="AR815" i="2"/>
  <c r="AM815" i="2"/>
  <c r="AH815" i="2"/>
  <c r="U815" i="2"/>
  <c r="P815" i="2"/>
  <c r="K815" i="2"/>
  <c r="F815" i="2"/>
  <c r="BQ814" i="2"/>
  <c r="BJ814" i="2"/>
  <c r="AW814" i="2"/>
  <c r="AR814" i="2"/>
  <c r="AM814" i="2"/>
  <c r="AH814" i="2"/>
  <c r="BQ813" i="2"/>
  <c r="BJ813" i="2"/>
  <c r="BQ812" i="2"/>
  <c r="BJ812" i="2"/>
  <c r="AW812" i="2"/>
  <c r="AR812" i="2"/>
  <c r="AM812" i="2"/>
  <c r="AH812" i="2"/>
  <c r="BQ811" i="2"/>
  <c r="BJ811" i="2"/>
  <c r="AW811" i="2"/>
  <c r="AR811" i="2"/>
  <c r="AM811" i="2"/>
  <c r="AH811" i="2"/>
  <c r="BQ809" i="2"/>
  <c r="BJ809" i="2"/>
  <c r="AW809" i="2"/>
  <c r="AR809" i="2"/>
  <c r="AM809" i="2"/>
  <c r="AH809" i="2"/>
  <c r="U809" i="2"/>
  <c r="P809" i="2"/>
  <c r="K809" i="2"/>
  <c r="F809" i="2"/>
  <c r="BQ808" i="2"/>
  <c r="BJ808" i="2"/>
  <c r="U808" i="2"/>
  <c r="P808" i="2"/>
  <c r="K808" i="2"/>
  <c r="F808" i="2"/>
  <c r="BQ807" i="2"/>
  <c r="BJ807" i="2"/>
  <c r="U807" i="2"/>
  <c r="P807" i="2"/>
  <c r="K807" i="2"/>
  <c r="F807" i="2"/>
  <c r="AM806" i="2"/>
  <c r="AH806" i="2"/>
  <c r="U806" i="2"/>
  <c r="P806" i="2"/>
  <c r="K806" i="2"/>
  <c r="F806" i="2"/>
  <c r="BQ805" i="2"/>
  <c r="BJ805" i="2"/>
  <c r="U805" i="2"/>
  <c r="P805" i="2"/>
  <c r="K805" i="2"/>
  <c r="F805" i="2"/>
  <c r="BQ804" i="2"/>
  <c r="BJ804" i="2"/>
  <c r="AW804" i="2"/>
  <c r="AR804" i="2"/>
  <c r="AM804" i="2"/>
  <c r="AH804" i="2"/>
  <c r="BQ803" i="2"/>
  <c r="BJ803" i="2"/>
  <c r="AW803" i="2"/>
  <c r="AR803" i="2"/>
  <c r="AM803" i="2"/>
  <c r="AH803" i="2"/>
  <c r="AY1020" i="2" l="1"/>
  <c r="W936" i="2"/>
  <c r="V894" i="2"/>
  <c r="Z886" i="2"/>
  <c r="AX894" i="2"/>
  <c r="BB886" i="2"/>
  <c r="BC806" i="2"/>
  <c r="BC809" i="2"/>
  <c r="BC811" i="2"/>
  <c r="BC812" i="2"/>
  <c r="BC814" i="2"/>
  <c r="BC820" i="2"/>
  <c r="BC823" i="2"/>
  <c r="BC826" i="2"/>
  <c r="BC829" i="2"/>
  <c r="BC832" i="2"/>
  <c r="BC879" i="2"/>
  <c r="AA879" i="2"/>
  <c r="BC803" i="2"/>
  <c r="AA804" i="2"/>
  <c r="BC815" i="2"/>
  <c r="AA816" i="2"/>
  <c r="AA819" i="2"/>
  <c r="BC821" i="2"/>
  <c r="AA822" i="2"/>
  <c r="BC824" i="2"/>
  <c r="AA825" i="2"/>
  <c r="BC827" i="2"/>
  <c r="AA828" i="2"/>
  <c r="BC830" i="2"/>
  <c r="AA831" i="2"/>
  <c r="BC833" i="2"/>
  <c r="AA834" i="2"/>
  <c r="BC804" i="2"/>
  <c r="AA808" i="2"/>
  <c r="BC816" i="2"/>
  <c r="BC819" i="2"/>
  <c r="BC822" i="2"/>
  <c r="BC825" i="2"/>
  <c r="BC828" i="2"/>
  <c r="BC831" i="2"/>
  <c r="BB844" i="2"/>
  <c r="BB880" i="2"/>
  <c r="BB838" i="2"/>
  <c r="BB852" i="2"/>
  <c r="Z844" i="2"/>
  <c r="Z880" i="2"/>
  <c r="Z852" i="2"/>
  <c r="AA803" i="2"/>
  <c r="AA806" i="2"/>
  <c r="AA807" i="2"/>
  <c r="AA815" i="2"/>
  <c r="AA818" i="2"/>
  <c r="AA821" i="2"/>
  <c r="AA824" i="2"/>
  <c r="AA827" i="2"/>
  <c r="AA830" i="2"/>
  <c r="AA833" i="2"/>
  <c r="AA836" i="2"/>
  <c r="Z838" i="2"/>
  <c r="AA805" i="2"/>
  <c r="AA809" i="2"/>
  <c r="AA817" i="2"/>
  <c r="AA820" i="2"/>
  <c r="AA823" i="2"/>
  <c r="AA826" i="2"/>
  <c r="AA829" i="2"/>
  <c r="AA832" i="2"/>
  <c r="AA835" i="2"/>
  <c r="AA813" i="2"/>
  <c r="AA814" i="2"/>
  <c r="AA811" i="2"/>
  <c r="Z810" i="2"/>
  <c r="AA812" i="2"/>
  <c r="AX772" i="2"/>
  <c r="AX771" i="2"/>
  <c r="P837" i="2"/>
  <c r="AM837" i="2"/>
  <c r="AM1049" i="2" s="1"/>
  <c r="F837" i="2"/>
  <c r="K837" i="2"/>
  <c r="AH837" i="2"/>
  <c r="AW837" i="2"/>
  <c r="AW1049" i="2" s="1"/>
  <c r="BJ837" i="2"/>
  <c r="U837" i="2"/>
  <c r="AR837" i="2"/>
  <c r="BQ837" i="2"/>
  <c r="AR720" i="2"/>
  <c r="AM720" i="2"/>
  <c r="AH720" i="2"/>
  <c r="F736" i="2"/>
  <c r="K736" i="2"/>
  <c r="P736" i="2"/>
  <c r="U736" i="2"/>
  <c r="F737" i="2"/>
  <c r="K737" i="2"/>
  <c r="P737" i="2"/>
  <c r="U737" i="2"/>
  <c r="P735" i="2"/>
  <c r="K735" i="2"/>
  <c r="O730" i="2"/>
  <c r="AW727" i="2"/>
  <c r="AR727" i="2"/>
  <c r="AM727" i="2"/>
  <c r="AH727" i="2"/>
  <c r="AH728" i="2"/>
  <c r="AM728" i="2"/>
  <c r="AR728" i="2"/>
  <c r="AW728" i="2"/>
  <c r="AH729" i="2"/>
  <c r="AM729" i="2"/>
  <c r="AR729" i="2"/>
  <c r="AW729" i="2"/>
  <c r="AH730" i="2"/>
  <c r="AM730" i="2"/>
  <c r="AR730" i="2"/>
  <c r="AW730" i="2"/>
  <c r="AH731" i="2"/>
  <c r="AM731" i="2"/>
  <c r="AR731" i="2"/>
  <c r="AW731" i="2"/>
  <c r="AH732" i="2"/>
  <c r="AM732" i="2"/>
  <c r="AR732" i="2"/>
  <c r="AW732" i="2"/>
  <c r="AH733" i="2"/>
  <c r="AM733" i="2"/>
  <c r="AR733" i="2"/>
  <c r="AW733" i="2"/>
  <c r="AH734" i="2"/>
  <c r="AM734" i="2"/>
  <c r="AR734" i="2"/>
  <c r="AW734" i="2"/>
  <c r="AH735" i="2"/>
  <c r="AM735" i="2"/>
  <c r="AR735" i="2"/>
  <c r="AW735" i="2"/>
  <c r="AH736" i="2"/>
  <c r="AM736" i="2"/>
  <c r="AR736" i="2"/>
  <c r="AW736" i="2"/>
  <c r="AH737" i="2"/>
  <c r="AM737" i="2"/>
  <c r="AR737" i="2"/>
  <c r="AW737" i="2"/>
  <c r="AH738" i="2"/>
  <c r="AM738" i="2"/>
  <c r="AR738" i="2"/>
  <c r="AW738" i="2"/>
  <c r="AH739" i="2"/>
  <c r="AM739" i="2"/>
  <c r="AR739" i="2"/>
  <c r="AW739" i="2"/>
  <c r="AH740" i="2"/>
  <c r="AM740" i="2"/>
  <c r="AR740" i="2"/>
  <c r="AW740" i="2"/>
  <c r="AH741" i="2"/>
  <c r="AM741" i="2"/>
  <c r="AR741" i="2"/>
  <c r="AW741" i="2"/>
  <c r="AH742" i="2"/>
  <c r="AM742" i="2"/>
  <c r="AR742" i="2"/>
  <c r="AW742" i="2"/>
  <c r="AH743" i="2"/>
  <c r="AM743" i="2"/>
  <c r="AR743" i="2"/>
  <c r="AW743" i="2"/>
  <c r="AH744" i="2"/>
  <c r="AM744" i="2"/>
  <c r="AR744" i="2"/>
  <c r="AW744" i="2"/>
  <c r="AH745" i="2"/>
  <c r="AM745" i="2"/>
  <c r="AR745" i="2"/>
  <c r="AW745" i="2"/>
  <c r="AH746" i="2"/>
  <c r="AM746" i="2"/>
  <c r="AR746" i="2"/>
  <c r="AW746" i="2"/>
  <c r="AH747" i="2"/>
  <c r="AM747" i="2"/>
  <c r="AR747" i="2"/>
  <c r="AW747" i="2"/>
  <c r="AH748" i="2"/>
  <c r="AM748" i="2"/>
  <c r="AR748" i="2"/>
  <c r="AW748" i="2"/>
  <c r="AH749" i="2"/>
  <c r="AM749" i="2"/>
  <c r="AR749" i="2"/>
  <c r="AW749" i="2"/>
  <c r="BQ727" i="2"/>
  <c r="BP795" i="2"/>
  <c r="BO795" i="2"/>
  <c r="BN795" i="2"/>
  <c r="BM795" i="2"/>
  <c r="BI795" i="2"/>
  <c r="BH795" i="2"/>
  <c r="BG795" i="2"/>
  <c r="BF795" i="2"/>
  <c r="BQ794" i="2"/>
  <c r="BJ794" i="2"/>
  <c r="BQ793" i="2"/>
  <c r="BJ793" i="2"/>
  <c r="BQ792" i="2"/>
  <c r="BJ792" i="2"/>
  <c r="BQ791" i="2"/>
  <c r="BJ791" i="2"/>
  <c r="BQ790" i="2"/>
  <c r="BJ790" i="2"/>
  <c r="BQ789" i="2"/>
  <c r="BJ789" i="2"/>
  <c r="BQ788" i="2"/>
  <c r="BJ788" i="2"/>
  <c r="BQ787" i="2"/>
  <c r="BJ787" i="2"/>
  <c r="BQ786" i="2"/>
  <c r="BJ786" i="2"/>
  <c r="BQ785" i="2"/>
  <c r="BJ785" i="2"/>
  <c r="BQ784" i="2"/>
  <c r="BJ784" i="2"/>
  <c r="BQ783" i="2"/>
  <c r="BJ783" i="2"/>
  <c r="BQ782" i="2"/>
  <c r="BJ782" i="2"/>
  <c r="BQ781" i="2"/>
  <c r="BJ781" i="2"/>
  <c r="BQ780" i="2"/>
  <c r="BJ780" i="2"/>
  <c r="BQ779" i="2"/>
  <c r="BJ779" i="2"/>
  <c r="BQ778" i="2"/>
  <c r="BJ778" i="2"/>
  <c r="BQ777" i="2"/>
  <c r="BJ777" i="2"/>
  <c r="BQ776" i="2"/>
  <c r="BJ776" i="2"/>
  <c r="BQ775" i="2"/>
  <c r="BJ775" i="2"/>
  <c r="BQ774" i="2"/>
  <c r="BJ774" i="2"/>
  <c r="BQ773" i="2"/>
  <c r="BJ773" i="2"/>
  <c r="BQ772" i="2"/>
  <c r="BJ772" i="2"/>
  <c r="BQ771" i="2"/>
  <c r="BJ771" i="2"/>
  <c r="BQ770" i="2"/>
  <c r="BJ770" i="2"/>
  <c r="BQ769" i="2"/>
  <c r="BJ769" i="2"/>
  <c r="BQ767" i="2"/>
  <c r="BJ767" i="2"/>
  <c r="BQ766" i="2"/>
  <c r="BJ766" i="2"/>
  <c r="BQ765" i="2"/>
  <c r="BJ765" i="2"/>
  <c r="BQ763" i="2"/>
  <c r="BJ763" i="2"/>
  <c r="BQ762" i="2"/>
  <c r="BJ762" i="2"/>
  <c r="BQ761" i="2"/>
  <c r="BJ761" i="2"/>
  <c r="AM1051" i="2" l="1"/>
  <c r="AJ1051" i="2"/>
  <c r="AK1051" i="2"/>
  <c r="AI1051" i="2"/>
  <c r="AL1051" i="2"/>
  <c r="AW1051" i="2"/>
  <c r="AU1051" i="2"/>
  <c r="AV1051" i="2"/>
  <c r="AS1051" i="2"/>
  <c r="AT1051" i="2"/>
  <c r="AY1048" i="2"/>
  <c r="AY1055" i="2" s="1"/>
  <c r="AY1063" i="2" s="1"/>
  <c r="AY1091" i="2" s="1"/>
  <c r="AY1098" i="2" s="1"/>
  <c r="AY1106" i="2" s="1"/>
  <c r="AY1134" i="2" s="1"/>
  <c r="AY1141" i="2" s="1"/>
  <c r="AY1149" i="2" s="1"/>
  <c r="AY1177" i="2" s="1"/>
  <c r="AY1184" i="2" s="1"/>
  <c r="AY1192" i="2" s="1"/>
  <c r="AY1220" i="2" s="1"/>
  <c r="AY1227" i="2" s="1"/>
  <c r="AY1235" i="2" s="1"/>
  <c r="AY1263" i="2" s="1"/>
  <c r="AY1270" i="2" s="1"/>
  <c r="AY1278" i="2" s="1"/>
  <c r="AY1306" i="2" s="1"/>
  <c r="AY1313" i="2" s="1"/>
  <c r="AY1321" i="2" s="1"/>
  <c r="AY1349" i="2" s="1"/>
  <c r="AY1356" i="2" s="1"/>
  <c r="AY1364" i="2" s="1"/>
  <c r="AY1392" i="2" s="1"/>
  <c r="AY1399" i="2" s="1"/>
  <c r="AY1407" i="2" s="1"/>
  <c r="AY1435" i="2" s="1"/>
  <c r="AY1442" i="2" s="1"/>
  <c r="AY1450" i="2" s="1"/>
  <c r="AY1478" i="2" s="1"/>
  <c r="W964" i="2"/>
  <c r="W970" i="2" s="1"/>
  <c r="W978" i="2" s="1"/>
  <c r="W1006" i="2" s="1"/>
  <c r="W1012" i="2" s="1"/>
  <c r="W1020" i="2" s="1"/>
  <c r="W1048" i="2" s="1"/>
  <c r="W1055" i="2" s="1"/>
  <c r="W1063" i="2" s="1"/>
  <c r="W1091" i="2" s="1"/>
  <c r="V922" i="2"/>
  <c r="Z894" i="2"/>
  <c r="BB894" i="2"/>
  <c r="AX922" i="2"/>
  <c r="BC837" i="2"/>
  <c r="AA837" i="2"/>
  <c r="AX733" i="2"/>
  <c r="AX745" i="2"/>
  <c r="AX744" i="2"/>
  <c r="AX738" i="2"/>
  <c r="AX732" i="2"/>
  <c r="AX739" i="2"/>
  <c r="V737" i="2"/>
  <c r="AX742" i="2"/>
  <c r="AX748" i="2"/>
  <c r="AX741" i="2"/>
  <c r="AX737" i="2"/>
  <c r="AX734" i="2"/>
  <c r="AX730" i="2"/>
  <c r="AX749" i="2"/>
  <c r="AX746" i="2"/>
  <c r="AX735" i="2"/>
  <c r="AX731" i="2"/>
  <c r="AX728" i="2"/>
  <c r="AX747" i="2"/>
  <c r="AX743" i="2"/>
  <c r="AX740" i="2"/>
  <c r="AX736" i="2"/>
  <c r="AX729" i="2"/>
  <c r="V736" i="2"/>
  <c r="AX727" i="2"/>
  <c r="BQ795" i="2"/>
  <c r="BJ795" i="2"/>
  <c r="BQ686" i="2"/>
  <c r="Z922" i="2" l="1"/>
  <c r="V928" i="2"/>
  <c r="BB922" i="2"/>
  <c r="AX928" i="2"/>
  <c r="AW702" i="2"/>
  <c r="AR702" i="2"/>
  <c r="AM702" i="2"/>
  <c r="AH702" i="2"/>
  <c r="J710" i="2"/>
  <c r="H710" i="2"/>
  <c r="AW641" i="2"/>
  <c r="V936" i="2" l="1"/>
  <c r="Z928" i="2"/>
  <c r="AX936" i="2"/>
  <c r="BB928" i="2"/>
  <c r="AX702" i="2"/>
  <c r="BQ728" i="2"/>
  <c r="BQ729" i="2"/>
  <c r="BQ730" i="2"/>
  <c r="BQ731" i="2"/>
  <c r="BQ732" i="2"/>
  <c r="BP753" i="2"/>
  <c r="BO753" i="2"/>
  <c r="BN753" i="2"/>
  <c r="BM753" i="2"/>
  <c r="BI753" i="2"/>
  <c r="BG753" i="2"/>
  <c r="BF753" i="2"/>
  <c r="BQ752" i="2"/>
  <c r="BJ752" i="2"/>
  <c r="BQ751" i="2"/>
  <c r="BJ751" i="2"/>
  <c r="BQ750" i="2"/>
  <c r="BJ750" i="2"/>
  <c r="BQ749" i="2"/>
  <c r="BJ749" i="2"/>
  <c r="BQ748" i="2"/>
  <c r="BJ748" i="2"/>
  <c r="BQ747" i="2"/>
  <c r="BJ747" i="2"/>
  <c r="BQ746" i="2"/>
  <c r="BJ746" i="2"/>
  <c r="BQ745" i="2"/>
  <c r="BJ745" i="2"/>
  <c r="BQ744" i="2"/>
  <c r="BJ744" i="2"/>
  <c r="BQ743" i="2"/>
  <c r="BJ743" i="2"/>
  <c r="BQ742" i="2"/>
  <c r="BJ742" i="2"/>
  <c r="BQ741" i="2"/>
  <c r="BJ741" i="2"/>
  <c r="BQ740" i="2"/>
  <c r="BJ740" i="2"/>
  <c r="BQ739" i="2"/>
  <c r="BJ739" i="2"/>
  <c r="BQ738" i="2"/>
  <c r="BJ738" i="2"/>
  <c r="BQ737" i="2"/>
  <c r="BJ737" i="2"/>
  <c r="BQ736" i="2"/>
  <c r="BJ736" i="2"/>
  <c r="BQ735" i="2"/>
  <c r="BJ735" i="2"/>
  <c r="BQ734" i="2"/>
  <c r="BJ734" i="2"/>
  <c r="BQ733" i="2"/>
  <c r="BJ733" i="2"/>
  <c r="BH753" i="2"/>
  <c r="BJ731" i="2"/>
  <c r="BJ730" i="2"/>
  <c r="BJ729" i="2"/>
  <c r="BJ728" i="2"/>
  <c r="BJ727" i="2"/>
  <c r="BQ725" i="2"/>
  <c r="BJ725" i="2"/>
  <c r="BQ724" i="2"/>
  <c r="BJ724" i="2"/>
  <c r="BQ723" i="2"/>
  <c r="BJ723" i="2"/>
  <c r="BQ721" i="2"/>
  <c r="BJ721" i="2"/>
  <c r="BQ720" i="2"/>
  <c r="BJ720" i="2"/>
  <c r="BQ719" i="2"/>
  <c r="BJ719" i="2"/>
  <c r="BH690" i="2"/>
  <c r="AW798" i="2"/>
  <c r="AR798" i="2"/>
  <c r="AM798" i="2"/>
  <c r="AH798" i="2"/>
  <c r="AV795" i="2"/>
  <c r="AU795" i="2"/>
  <c r="AT795" i="2"/>
  <c r="AS795" i="2"/>
  <c r="AQ795" i="2"/>
  <c r="AP795" i="2"/>
  <c r="AO795" i="2"/>
  <c r="AN795" i="2"/>
  <c r="AL795" i="2"/>
  <c r="AK795" i="2"/>
  <c r="AJ795" i="2"/>
  <c r="AI795" i="2"/>
  <c r="AG795" i="2"/>
  <c r="AF795" i="2"/>
  <c r="AE795" i="2"/>
  <c r="AD795" i="2"/>
  <c r="T795" i="2"/>
  <c r="S795" i="2"/>
  <c r="R795" i="2"/>
  <c r="Q795" i="2"/>
  <c r="O795" i="2"/>
  <c r="N795" i="2"/>
  <c r="M795" i="2"/>
  <c r="L795" i="2"/>
  <c r="J795" i="2"/>
  <c r="I795" i="2"/>
  <c r="H795" i="2"/>
  <c r="G795" i="2"/>
  <c r="E795" i="2"/>
  <c r="D795" i="2"/>
  <c r="C795" i="2"/>
  <c r="B795" i="2"/>
  <c r="AW794" i="2"/>
  <c r="AR794" i="2"/>
  <c r="AM794" i="2"/>
  <c r="AH794" i="2"/>
  <c r="U794" i="2"/>
  <c r="P794" i="2"/>
  <c r="K794" i="2"/>
  <c r="F794" i="2"/>
  <c r="AW793" i="2"/>
  <c r="AR793" i="2"/>
  <c r="AM793" i="2"/>
  <c r="AH793" i="2"/>
  <c r="U793" i="2"/>
  <c r="P793" i="2"/>
  <c r="K793" i="2"/>
  <c r="F793" i="2"/>
  <c r="AW792" i="2"/>
  <c r="AR792" i="2"/>
  <c r="AM792" i="2"/>
  <c r="AH792" i="2"/>
  <c r="U792" i="2"/>
  <c r="P792" i="2"/>
  <c r="K792" i="2"/>
  <c r="F792" i="2"/>
  <c r="AW791" i="2"/>
  <c r="AR791" i="2"/>
  <c r="AM791" i="2"/>
  <c r="AH791" i="2"/>
  <c r="U791" i="2"/>
  <c r="P791" i="2"/>
  <c r="K791" i="2"/>
  <c r="F791" i="2"/>
  <c r="AW790" i="2"/>
  <c r="AR790" i="2"/>
  <c r="AM790" i="2"/>
  <c r="AH790" i="2"/>
  <c r="U790" i="2"/>
  <c r="P790" i="2"/>
  <c r="K790" i="2"/>
  <c r="F790" i="2"/>
  <c r="AW789" i="2"/>
  <c r="AR789" i="2"/>
  <c r="AM789" i="2"/>
  <c r="AH789" i="2"/>
  <c r="U789" i="2"/>
  <c r="P789" i="2"/>
  <c r="K789" i="2"/>
  <c r="F789" i="2"/>
  <c r="AW788" i="2"/>
  <c r="AR788" i="2"/>
  <c r="AM788" i="2"/>
  <c r="AH788" i="2"/>
  <c r="U788" i="2"/>
  <c r="P788" i="2"/>
  <c r="K788" i="2"/>
  <c r="F788" i="2"/>
  <c r="AW787" i="2"/>
  <c r="AR787" i="2"/>
  <c r="AM787" i="2"/>
  <c r="AH787" i="2"/>
  <c r="U787" i="2"/>
  <c r="P787" i="2"/>
  <c r="K787" i="2"/>
  <c r="F787" i="2"/>
  <c r="AW786" i="2"/>
  <c r="AR786" i="2"/>
  <c r="AM786" i="2"/>
  <c r="AH786" i="2"/>
  <c r="U786" i="2"/>
  <c r="P786" i="2"/>
  <c r="K786" i="2"/>
  <c r="F786" i="2"/>
  <c r="AW785" i="2"/>
  <c r="AR785" i="2"/>
  <c r="AM785" i="2"/>
  <c r="AH785" i="2"/>
  <c r="U785" i="2"/>
  <c r="P785" i="2"/>
  <c r="K785" i="2"/>
  <c r="F785" i="2"/>
  <c r="AW784" i="2"/>
  <c r="AR784" i="2"/>
  <c r="AM784" i="2"/>
  <c r="AH784" i="2"/>
  <c r="U784" i="2"/>
  <c r="P784" i="2"/>
  <c r="K784" i="2"/>
  <c r="F784" i="2"/>
  <c r="AW783" i="2"/>
  <c r="AR783" i="2"/>
  <c r="AM783" i="2"/>
  <c r="AH783" i="2"/>
  <c r="U783" i="2"/>
  <c r="P783" i="2"/>
  <c r="K783" i="2"/>
  <c r="F783" i="2"/>
  <c r="AW782" i="2"/>
  <c r="AR782" i="2"/>
  <c r="AM782" i="2"/>
  <c r="AH782" i="2"/>
  <c r="U782" i="2"/>
  <c r="P782" i="2"/>
  <c r="K782" i="2"/>
  <c r="F782" i="2"/>
  <c r="U781" i="2"/>
  <c r="P781" i="2"/>
  <c r="K781" i="2"/>
  <c r="F781" i="2"/>
  <c r="U780" i="2"/>
  <c r="P780" i="2"/>
  <c r="K780" i="2"/>
  <c r="F780" i="2"/>
  <c r="AW779" i="2"/>
  <c r="AR779" i="2"/>
  <c r="AM779" i="2"/>
  <c r="AH779" i="2"/>
  <c r="U779" i="2"/>
  <c r="P779" i="2"/>
  <c r="K779" i="2"/>
  <c r="F779" i="2"/>
  <c r="AW778" i="2"/>
  <c r="AR778" i="2"/>
  <c r="AM778" i="2"/>
  <c r="AH778" i="2"/>
  <c r="U778" i="2"/>
  <c r="P778" i="2"/>
  <c r="K778" i="2"/>
  <c r="F778" i="2"/>
  <c r="U777" i="2"/>
  <c r="P777" i="2"/>
  <c r="K777" i="2"/>
  <c r="F777" i="2"/>
  <c r="AW776" i="2"/>
  <c r="AR776" i="2"/>
  <c r="AM776" i="2"/>
  <c r="AH776" i="2"/>
  <c r="U776" i="2"/>
  <c r="P776" i="2"/>
  <c r="K776" i="2"/>
  <c r="F776" i="2"/>
  <c r="AW775" i="2"/>
  <c r="AR775" i="2"/>
  <c r="AM775" i="2"/>
  <c r="AH775" i="2"/>
  <c r="U775" i="2"/>
  <c r="P775" i="2"/>
  <c r="K775" i="2"/>
  <c r="F775" i="2"/>
  <c r="AW774" i="2"/>
  <c r="AR774" i="2"/>
  <c r="AM774" i="2"/>
  <c r="AH774" i="2"/>
  <c r="U774" i="2"/>
  <c r="P774" i="2"/>
  <c r="K774" i="2"/>
  <c r="F774" i="2"/>
  <c r="AW773" i="2"/>
  <c r="AR773" i="2"/>
  <c r="AM773" i="2"/>
  <c r="AH773" i="2"/>
  <c r="U773" i="2"/>
  <c r="P773" i="2"/>
  <c r="K773" i="2"/>
  <c r="F773" i="2"/>
  <c r="U772" i="2"/>
  <c r="P772" i="2"/>
  <c r="K772" i="2"/>
  <c r="F772" i="2"/>
  <c r="U771" i="2"/>
  <c r="P771" i="2"/>
  <c r="K771" i="2"/>
  <c r="F771" i="2"/>
  <c r="AW770" i="2"/>
  <c r="AR770" i="2"/>
  <c r="AM770" i="2"/>
  <c r="AH770" i="2"/>
  <c r="U770" i="2"/>
  <c r="P770" i="2"/>
  <c r="K770" i="2"/>
  <c r="F770" i="2"/>
  <c r="AW769" i="2"/>
  <c r="AR769" i="2"/>
  <c r="AM769" i="2"/>
  <c r="AH769" i="2"/>
  <c r="U769" i="2"/>
  <c r="P769" i="2"/>
  <c r="K769" i="2"/>
  <c r="F769" i="2"/>
  <c r="AW767" i="2"/>
  <c r="AR767" i="2"/>
  <c r="AM767" i="2"/>
  <c r="AH767" i="2"/>
  <c r="U767" i="2"/>
  <c r="P767" i="2"/>
  <c r="K767" i="2"/>
  <c r="F767" i="2"/>
  <c r="AW766" i="2"/>
  <c r="AR766" i="2"/>
  <c r="AM766" i="2"/>
  <c r="AH766" i="2"/>
  <c r="U766" i="2"/>
  <c r="P766" i="2"/>
  <c r="K766" i="2"/>
  <c r="F766" i="2"/>
  <c r="AW765" i="2"/>
  <c r="AR765" i="2"/>
  <c r="AM765" i="2"/>
  <c r="AH765" i="2"/>
  <c r="U765" i="2"/>
  <c r="P765" i="2"/>
  <c r="K765" i="2"/>
  <c r="F765" i="2"/>
  <c r="U764" i="2"/>
  <c r="P764" i="2"/>
  <c r="K764" i="2"/>
  <c r="F764" i="2"/>
  <c r="U763" i="2"/>
  <c r="P763" i="2"/>
  <c r="K763" i="2"/>
  <c r="F763" i="2"/>
  <c r="U762" i="2"/>
  <c r="P762" i="2"/>
  <c r="K762" i="2"/>
  <c r="F762" i="2"/>
  <c r="AW761" i="2"/>
  <c r="AR761" i="2"/>
  <c r="AM761" i="2"/>
  <c r="AH761" i="2"/>
  <c r="U761" i="2"/>
  <c r="P761" i="2"/>
  <c r="K761" i="2"/>
  <c r="F761" i="2"/>
  <c r="V964" i="2" l="1"/>
  <c r="Z936" i="2"/>
  <c r="BB936" i="2"/>
  <c r="AX964" i="2"/>
  <c r="AX773" i="2"/>
  <c r="AX776" i="2"/>
  <c r="AX779" i="2"/>
  <c r="AX782" i="2"/>
  <c r="AX775" i="2"/>
  <c r="AX766" i="2"/>
  <c r="AX788" i="2"/>
  <c r="BQ753" i="2"/>
  <c r="BJ753" i="2"/>
  <c r="BJ732" i="2"/>
  <c r="AX791" i="2"/>
  <c r="AX793" i="2"/>
  <c r="AX794" i="2"/>
  <c r="U795" i="2"/>
  <c r="V772" i="2"/>
  <c r="AX770" i="2"/>
  <c r="AX774" i="2"/>
  <c r="V790" i="2"/>
  <c r="AX786" i="2"/>
  <c r="AX789" i="2"/>
  <c r="AX792" i="2"/>
  <c r="V767" i="2"/>
  <c r="V780" i="2"/>
  <c r="AX785" i="2"/>
  <c r="AX761" i="2"/>
  <c r="V779" i="2"/>
  <c r="V783" i="2"/>
  <c r="V786" i="2"/>
  <c r="AR795" i="2"/>
  <c r="V763" i="2"/>
  <c r="V766" i="2"/>
  <c r="V775" i="2"/>
  <c r="AX778" i="2"/>
  <c r="V782" i="2"/>
  <c r="AX765" i="2"/>
  <c r="V778" i="2"/>
  <c r="V765" i="2"/>
  <c r="V770" i="2"/>
  <c r="V771" i="2"/>
  <c r="V781" i="2"/>
  <c r="AX784" i="2"/>
  <c r="V788" i="2"/>
  <c r="V789" i="2"/>
  <c r="K795" i="2"/>
  <c r="V793" i="2"/>
  <c r="V761" i="2"/>
  <c r="V762" i="2"/>
  <c r="AX769" i="2"/>
  <c r="V773" i="2"/>
  <c r="V774" i="2"/>
  <c r="V784" i="2"/>
  <c r="AX787" i="2"/>
  <c r="V791" i="2"/>
  <c r="V792" i="2"/>
  <c r="AM795" i="2"/>
  <c r="AW795" i="2"/>
  <c r="V785" i="2"/>
  <c r="P795" i="2"/>
  <c r="V764" i="2"/>
  <c r="AX767" i="2"/>
  <c r="V769" i="2"/>
  <c r="V776" i="2"/>
  <c r="V777" i="2"/>
  <c r="AX783" i="2"/>
  <c r="V787" i="2"/>
  <c r="AX790" i="2"/>
  <c r="V794" i="2"/>
  <c r="F795" i="2"/>
  <c r="AH795" i="2"/>
  <c r="R703" i="2"/>
  <c r="S701" i="2"/>
  <c r="O753" i="2"/>
  <c r="N753" i="2"/>
  <c r="M753" i="2"/>
  <c r="L753" i="2"/>
  <c r="I753" i="2"/>
  <c r="E753" i="2"/>
  <c r="D753" i="2"/>
  <c r="C753" i="2"/>
  <c r="B753" i="2"/>
  <c r="U752" i="2"/>
  <c r="P752" i="2"/>
  <c r="K752" i="2"/>
  <c r="F752" i="2"/>
  <c r="U751" i="2"/>
  <c r="P751" i="2"/>
  <c r="K751" i="2"/>
  <c r="F751" i="2"/>
  <c r="U750" i="2"/>
  <c r="P750" i="2"/>
  <c r="K750" i="2"/>
  <c r="F750" i="2"/>
  <c r="U749" i="2"/>
  <c r="P749" i="2"/>
  <c r="K749" i="2"/>
  <c r="F749" i="2"/>
  <c r="U748" i="2"/>
  <c r="P748" i="2"/>
  <c r="K748" i="2"/>
  <c r="F748" i="2"/>
  <c r="U747" i="2"/>
  <c r="P747" i="2"/>
  <c r="K747" i="2"/>
  <c r="F747" i="2"/>
  <c r="U746" i="2"/>
  <c r="P746" i="2"/>
  <c r="K746" i="2"/>
  <c r="F746" i="2"/>
  <c r="U745" i="2"/>
  <c r="P745" i="2"/>
  <c r="K745" i="2"/>
  <c r="F745" i="2"/>
  <c r="U744" i="2"/>
  <c r="P744" i="2"/>
  <c r="K744" i="2"/>
  <c r="F744" i="2"/>
  <c r="U743" i="2"/>
  <c r="P743" i="2"/>
  <c r="K743" i="2"/>
  <c r="F743" i="2"/>
  <c r="U742" i="2"/>
  <c r="P742" i="2"/>
  <c r="K742" i="2"/>
  <c r="F742" i="2"/>
  <c r="U741" i="2"/>
  <c r="P741" i="2"/>
  <c r="K741" i="2"/>
  <c r="F741" i="2"/>
  <c r="R753" i="2"/>
  <c r="P740" i="2"/>
  <c r="K740" i="2"/>
  <c r="F740" i="2"/>
  <c r="U739" i="2"/>
  <c r="P739" i="2"/>
  <c r="K739" i="2"/>
  <c r="F739" i="2"/>
  <c r="U738" i="2"/>
  <c r="P738" i="2"/>
  <c r="K738" i="2"/>
  <c r="F738" i="2"/>
  <c r="G753" i="2"/>
  <c r="U735" i="2"/>
  <c r="H753" i="2"/>
  <c r="F735" i="2"/>
  <c r="S753" i="2"/>
  <c r="P734" i="2"/>
  <c r="K734" i="2"/>
  <c r="F734" i="2"/>
  <c r="U733" i="2"/>
  <c r="P733" i="2"/>
  <c r="K733" i="2"/>
  <c r="F733" i="2"/>
  <c r="U732" i="2"/>
  <c r="P732" i="2"/>
  <c r="K732" i="2"/>
  <c r="F732" i="2"/>
  <c r="U731" i="2"/>
  <c r="P731" i="2"/>
  <c r="K731" i="2"/>
  <c r="F731" i="2"/>
  <c r="T753" i="2"/>
  <c r="P730" i="2"/>
  <c r="K730" i="2"/>
  <c r="F730" i="2"/>
  <c r="U729" i="2"/>
  <c r="P729" i="2"/>
  <c r="K729" i="2"/>
  <c r="F729" i="2"/>
  <c r="U728" i="2"/>
  <c r="P728" i="2"/>
  <c r="K728" i="2"/>
  <c r="F728" i="2"/>
  <c r="U727" i="2"/>
  <c r="P727" i="2"/>
  <c r="K727" i="2"/>
  <c r="F727" i="2"/>
  <c r="U725" i="2"/>
  <c r="P725" i="2"/>
  <c r="K725" i="2"/>
  <c r="F725" i="2"/>
  <c r="U724" i="2"/>
  <c r="P724" i="2"/>
  <c r="K724" i="2"/>
  <c r="F724" i="2"/>
  <c r="U723" i="2"/>
  <c r="P723" i="2"/>
  <c r="K723" i="2"/>
  <c r="F723" i="2"/>
  <c r="U722" i="2"/>
  <c r="P722" i="2"/>
  <c r="K722" i="2"/>
  <c r="F722" i="2"/>
  <c r="U721" i="2"/>
  <c r="P721" i="2"/>
  <c r="K721" i="2"/>
  <c r="F721" i="2"/>
  <c r="U720" i="2"/>
  <c r="P720" i="2"/>
  <c r="K720" i="2"/>
  <c r="F720" i="2"/>
  <c r="U719" i="2"/>
  <c r="P719" i="2"/>
  <c r="K719" i="2"/>
  <c r="F719" i="2"/>
  <c r="AV753" i="2"/>
  <c r="AU753" i="2"/>
  <c r="AQ753" i="2"/>
  <c r="AP753" i="2"/>
  <c r="AO753" i="2"/>
  <c r="AL753" i="2"/>
  <c r="AK753" i="2"/>
  <c r="AG753" i="2"/>
  <c r="AF753" i="2"/>
  <c r="AW752" i="2"/>
  <c r="AR752" i="2"/>
  <c r="AM752" i="2"/>
  <c r="AH752" i="2"/>
  <c r="AW751" i="2"/>
  <c r="AR751" i="2"/>
  <c r="AM751" i="2"/>
  <c r="AH751" i="2"/>
  <c r="AW750" i="2"/>
  <c r="AR750" i="2"/>
  <c r="AJ753" i="2"/>
  <c r="AE753" i="2"/>
  <c r="AN753" i="2"/>
  <c r="AW725" i="2"/>
  <c r="AR725" i="2"/>
  <c r="AM725" i="2"/>
  <c r="AH725" i="2"/>
  <c r="AW724" i="2"/>
  <c r="AR724" i="2"/>
  <c r="AM724" i="2"/>
  <c r="AH724" i="2"/>
  <c r="AW723" i="2"/>
  <c r="AR723" i="2"/>
  <c r="AM723" i="2"/>
  <c r="AH723" i="2"/>
  <c r="AM722" i="2"/>
  <c r="AH722" i="2"/>
  <c r="AW721" i="2"/>
  <c r="AR721" i="2"/>
  <c r="AM721" i="2"/>
  <c r="AH721" i="2"/>
  <c r="AW720" i="2"/>
  <c r="AW719" i="2"/>
  <c r="AR719" i="2"/>
  <c r="AM719" i="2"/>
  <c r="AH719" i="2"/>
  <c r="Z964" i="2" l="1"/>
  <c r="V970" i="2"/>
  <c r="BB964" i="2"/>
  <c r="AX970" i="2"/>
  <c r="V795" i="2"/>
  <c r="AX795" i="2"/>
  <c r="V744" i="2"/>
  <c r="AX722" i="2"/>
  <c r="V747" i="2"/>
  <c r="AX724" i="2"/>
  <c r="V750" i="2"/>
  <c r="V731" i="2"/>
  <c r="AX719" i="2"/>
  <c r="V752" i="2"/>
  <c r="AX723" i="2"/>
  <c r="V746" i="2"/>
  <c r="AX720" i="2"/>
  <c r="V725" i="2"/>
  <c r="AX725" i="2"/>
  <c r="V749" i="2"/>
  <c r="V751" i="2"/>
  <c r="V742" i="2"/>
  <c r="V748" i="2"/>
  <c r="AX721" i="2"/>
  <c r="V728" i="2"/>
  <c r="P753" i="2"/>
  <c r="V733" i="2"/>
  <c r="V729" i="2"/>
  <c r="V735" i="2"/>
  <c r="V745" i="2"/>
  <c r="V738" i="2"/>
  <c r="V743" i="2"/>
  <c r="V741" i="2"/>
  <c r="V727" i="2"/>
  <c r="F753" i="2"/>
  <c r="V732" i="2"/>
  <c r="V739" i="2"/>
  <c r="V724" i="2"/>
  <c r="V720" i="2"/>
  <c r="V723" i="2"/>
  <c r="V719" i="2"/>
  <c r="V722" i="2"/>
  <c r="V721" i="2"/>
  <c r="J753" i="2"/>
  <c r="K753" i="2" s="1"/>
  <c r="U734" i="2"/>
  <c r="V734" i="2" s="1"/>
  <c r="Q753" i="2"/>
  <c r="U753" i="2" s="1"/>
  <c r="U740" i="2"/>
  <c r="V740" i="2" s="1"/>
  <c r="U730" i="2"/>
  <c r="V730" i="2" s="1"/>
  <c r="AR753" i="2"/>
  <c r="AX751" i="2"/>
  <c r="AX752" i="2"/>
  <c r="AS753" i="2"/>
  <c r="AH750" i="2"/>
  <c r="AT753" i="2"/>
  <c r="AM750" i="2"/>
  <c r="AD753" i="2"/>
  <c r="AH753" i="2" s="1"/>
  <c r="AI753" i="2"/>
  <c r="AM753" i="2" s="1"/>
  <c r="J698" i="2"/>
  <c r="G698" i="2"/>
  <c r="R698" i="2"/>
  <c r="G695" i="2"/>
  <c r="P687" i="2"/>
  <c r="V978" i="2" l="1"/>
  <c r="Z970" i="2"/>
  <c r="AX978" i="2"/>
  <c r="BB970" i="2"/>
  <c r="V753" i="2"/>
  <c r="AX750" i="2"/>
  <c r="AW753" i="2"/>
  <c r="AX753" i="2" s="1"/>
  <c r="AW695" i="2"/>
  <c r="AR695" i="2"/>
  <c r="AM695" i="2"/>
  <c r="AH695" i="2"/>
  <c r="J694" i="2"/>
  <c r="Q693" i="2"/>
  <c r="BQ685" i="2"/>
  <c r="AW694" i="2"/>
  <c r="AR694" i="2"/>
  <c r="AM694" i="2"/>
  <c r="AH694" i="2"/>
  <c r="H693" i="2"/>
  <c r="S692" i="2"/>
  <c r="AW700" i="2"/>
  <c r="AR700" i="2"/>
  <c r="AM700" i="2"/>
  <c r="AH700" i="2"/>
  <c r="AW699" i="2"/>
  <c r="AR699" i="2"/>
  <c r="AM699" i="2"/>
  <c r="AH699" i="2"/>
  <c r="AW698" i="2"/>
  <c r="AR698" i="2"/>
  <c r="AM698" i="2"/>
  <c r="AH698" i="2"/>
  <c r="AW697" i="2"/>
  <c r="AR697" i="2"/>
  <c r="AM697" i="2"/>
  <c r="AH697" i="2"/>
  <c r="AW696" i="2"/>
  <c r="AR696" i="2"/>
  <c r="AM696" i="2"/>
  <c r="AH696" i="2"/>
  <c r="AW693" i="2"/>
  <c r="AR693" i="2"/>
  <c r="AM693" i="2"/>
  <c r="AH693" i="2"/>
  <c r="AW692" i="2"/>
  <c r="AR692" i="2"/>
  <c r="AM692" i="2"/>
  <c r="AH692" i="2"/>
  <c r="AW691" i="2"/>
  <c r="AR691" i="2"/>
  <c r="AM691" i="2"/>
  <c r="AH691" i="2"/>
  <c r="AW690" i="2"/>
  <c r="AR690" i="2"/>
  <c r="AM690" i="2"/>
  <c r="AH690" i="2"/>
  <c r="AW689" i="2"/>
  <c r="AR689" i="2"/>
  <c r="AM689" i="2"/>
  <c r="AH689" i="2"/>
  <c r="AW688" i="2"/>
  <c r="AR688" i="2"/>
  <c r="AM688" i="2"/>
  <c r="AH688" i="2"/>
  <c r="AW687" i="2"/>
  <c r="AR687" i="2"/>
  <c r="AM687" i="2"/>
  <c r="AH687" i="2"/>
  <c r="AW686" i="2"/>
  <c r="AR686" i="2"/>
  <c r="AM686" i="2"/>
  <c r="AH686" i="2"/>
  <c r="J690" i="2"/>
  <c r="U689" i="2"/>
  <c r="P689" i="2"/>
  <c r="K689" i="2"/>
  <c r="F689" i="2"/>
  <c r="V1006" i="2" l="1"/>
  <c r="Z978" i="2"/>
  <c r="AX1006" i="2"/>
  <c r="BB978" i="2"/>
  <c r="AX688" i="2"/>
  <c r="AX694" i="2"/>
  <c r="AX695" i="2"/>
  <c r="AX698" i="2"/>
  <c r="AX686" i="2"/>
  <c r="AX691" i="2"/>
  <c r="AX700" i="2"/>
  <c r="AX690" i="2"/>
  <c r="AX693" i="2"/>
  <c r="AX692" i="2"/>
  <c r="AX699" i="2"/>
  <c r="AX697" i="2"/>
  <c r="AX696" i="2"/>
  <c r="AX687" i="2"/>
  <c r="AX689" i="2"/>
  <c r="V689" i="2"/>
  <c r="T688" i="2"/>
  <c r="BJ678" i="2"/>
  <c r="BB1006" i="2" l="1"/>
  <c r="AX1012" i="2"/>
  <c r="Z1006" i="2"/>
  <c r="V1012" i="2"/>
  <c r="T661" i="2"/>
  <c r="I661" i="2"/>
  <c r="H661" i="2"/>
  <c r="H660" i="2"/>
  <c r="R660" i="2"/>
  <c r="N659" i="2"/>
  <c r="H659" i="2"/>
  <c r="AH663" i="2"/>
  <c r="AM663" i="2"/>
  <c r="AR663" i="2"/>
  <c r="AW663" i="2"/>
  <c r="AH664" i="2"/>
  <c r="AM664" i="2"/>
  <c r="AR664" i="2"/>
  <c r="AW664" i="2"/>
  <c r="AH665" i="2"/>
  <c r="AM665" i="2"/>
  <c r="AR665" i="2"/>
  <c r="AW665" i="2"/>
  <c r="AX1020" i="2" l="1"/>
  <c r="BB1012" i="2"/>
  <c r="V1020" i="2"/>
  <c r="Z1012" i="2"/>
  <c r="AX663" i="2"/>
  <c r="AX665" i="2"/>
  <c r="AX664" i="2"/>
  <c r="BP711" i="2"/>
  <c r="BO711" i="2"/>
  <c r="BN711" i="2"/>
  <c r="BM711" i="2"/>
  <c r="BI711" i="2"/>
  <c r="BH711" i="2"/>
  <c r="BG711" i="2"/>
  <c r="BF711" i="2"/>
  <c r="AV711" i="2"/>
  <c r="AU711" i="2"/>
  <c r="AQ711" i="2"/>
  <c r="AP711" i="2"/>
  <c r="AL711" i="2"/>
  <c r="AK711" i="2"/>
  <c r="AG711" i="2"/>
  <c r="AF711" i="2"/>
  <c r="Q711" i="2"/>
  <c r="O711" i="2"/>
  <c r="N711" i="2"/>
  <c r="M711" i="2"/>
  <c r="L711" i="2"/>
  <c r="J711" i="2"/>
  <c r="I711" i="2"/>
  <c r="E711" i="2"/>
  <c r="D711" i="2"/>
  <c r="C711" i="2"/>
  <c r="B711" i="2"/>
  <c r="BQ710" i="2"/>
  <c r="BJ710" i="2"/>
  <c r="AS710" i="2"/>
  <c r="AW710" i="2" s="1"/>
  <c r="AN710" i="2"/>
  <c r="AR710" i="2" s="1"/>
  <c r="AI710" i="2"/>
  <c r="AM710" i="2" s="1"/>
  <c r="AD710" i="2"/>
  <c r="AH710" i="2" s="1"/>
  <c r="U710" i="2"/>
  <c r="P710" i="2"/>
  <c r="K710" i="2"/>
  <c r="F710" i="2"/>
  <c r="BQ709" i="2"/>
  <c r="BJ709" i="2"/>
  <c r="AS709" i="2"/>
  <c r="AW709" i="2" s="1"/>
  <c r="AN709" i="2"/>
  <c r="AR709" i="2" s="1"/>
  <c r="AI709" i="2"/>
  <c r="AM709" i="2" s="1"/>
  <c r="AD709" i="2"/>
  <c r="AH709" i="2" s="1"/>
  <c r="U709" i="2"/>
  <c r="P709" i="2"/>
  <c r="K709" i="2"/>
  <c r="F709" i="2"/>
  <c r="BQ708" i="2"/>
  <c r="BJ708" i="2"/>
  <c r="AT708" i="2"/>
  <c r="AT711" i="2" s="1"/>
  <c r="AO708" i="2"/>
  <c r="AO711" i="2" s="1"/>
  <c r="AJ708" i="2"/>
  <c r="AJ711" i="2" s="1"/>
  <c r="AE708" i="2"/>
  <c r="AE711" i="2" s="1"/>
  <c r="U708" i="2"/>
  <c r="P708" i="2"/>
  <c r="K708" i="2"/>
  <c r="F708" i="2"/>
  <c r="BQ707" i="2"/>
  <c r="BJ707" i="2"/>
  <c r="AS707" i="2"/>
  <c r="AN707" i="2"/>
  <c r="AI707" i="2"/>
  <c r="AD707" i="2"/>
  <c r="U707" i="2"/>
  <c r="P707" i="2"/>
  <c r="K707" i="2"/>
  <c r="F707" i="2"/>
  <c r="BQ706" i="2"/>
  <c r="BJ706" i="2"/>
  <c r="AW706" i="2"/>
  <c r="AR706" i="2"/>
  <c r="AM706" i="2"/>
  <c r="AH706" i="2"/>
  <c r="U706" i="2"/>
  <c r="P706" i="2"/>
  <c r="K706" i="2"/>
  <c r="F706" i="2"/>
  <c r="BQ705" i="2"/>
  <c r="BJ705" i="2"/>
  <c r="AW705" i="2"/>
  <c r="AR705" i="2"/>
  <c r="AM705" i="2"/>
  <c r="AH705" i="2"/>
  <c r="U705" i="2"/>
  <c r="P705" i="2"/>
  <c r="K705" i="2"/>
  <c r="F705" i="2"/>
  <c r="BQ704" i="2"/>
  <c r="BJ704" i="2"/>
  <c r="AW704" i="2"/>
  <c r="AR704" i="2"/>
  <c r="AM704" i="2"/>
  <c r="AH704" i="2"/>
  <c r="U704" i="2"/>
  <c r="P704" i="2"/>
  <c r="K704" i="2"/>
  <c r="F704" i="2"/>
  <c r="BQ703" i="2"/>
  <c r="BJ703" i="2"/>
  <c r="AW703" i="2"/>
  <c r="AR703" i="2"/>
  <c r="AM703" i="2"/>
  <c r="AH703" i="2"/>
  <c r="U703" i="2"/>
  <c r="P703" i="2"/>
  <c r="K703" i="2"/>
  <c r="F703" i="2"/>
  <c r="BQ702" i="2"/>
  <c r="BJ702" i="2"/>
  <c r="U702" i="2"/>
  <c r="P702" i="2"/>
  <c r="K702" i="2"/>
  <c r="F702" i="2"/>
  <c r="BQ701" i="2"/>
  <c r="BJ701" i="2"/>
  <c r="AW701" i="2"/>
  <c r="AR701" i="2"/>
  <c r="AM701" i="2"/>
  <c r="AH701" i="2"/>
  <c r="U701" i="2"/>
  <c r="P701" i="2"/>
  <c r="K701" i="2"/>
  <c r="F701" i="2"/>
  <c r="BQ700" i="2"/>
  <c r="BJ700" i="2"/>
  <c r="U700" i="2"/>
  <c r="R711" i="2"/>
  <c r="P700" i="2"/>
  <c r="K700" i="2"/>
  <c r="F700" i="2"/>
  <c r="BQ699" i="2"/>
  <c r="BJ699" i="2"/>
  <c r="U699" i="2"/>
  <c r="P699" i="2"/>
  <c r="G711" i="2"/>
  <c r="F699" i="2"/>
  <c r="BQ698" i="2"/>
  <c r="BJ698" i="2"/>
  <c r="U698" i="2"/>
  <c r="P698" i="2"/>
  <c r="K698" i="2"/>
  <c r="F698" i="2"/>
  <c r="BQ697" i="2"/>
  <c r="BJ697" i="2"/>
  <c r="U697" i="2"/>
  <c r="P697" i="2"/>
  <c r="K697" i="2"/>
  <c r="F697" i="2"/>
  <c r="BQ696" i="2"/>
  <c r="BJ696" i="2"/>
  <c r="U696" i="2"/>
  <c r="P696" i="2"/>
  <c r="K696" i="2"/>
  <c r="F696" i="2"/>
  <c r="BQ695" i="2"/>
  <c r="BJ695" i="2"/>
  <c r="T711" i="2"/>
  <c r="S711" i="2"/>
  <c r="P695" i="2"/>
  <c r="K695" i="2"/>
  <c r="F695" i="2"/>
  <c r="BQ694" i="2"/>
  <c r="BJ694" i="2"/>
  <c r="U694" i="2"/>
  <c r="P694" i="2"/>
  <c r="K694" i="2"/>
  <c r="F694" i="2"/>
  <c r="BQ693" i="2"/>
  <c r="BJ693" i="2"/>
  <c r="U693" i="2"/>
  <c r="P693" i="2"/>
  <c r="K693" i="2"/>
  <c r="F693" i="2"/>
  <c r="BQ692" i="2"/>
  <c r="BJ692" i="2"/>
  <c r="U692" i="2"/>
  <c r="P692" i="2"/>
  <c r="K692" i="2"/>
  <c r="F692" i="2"/>
  <c r="BQ691" i="2"/>
  <c r="BJ691" i="2"/>
  <c r="U691" i="2"/>
  <c r="P691" i="2"/>
  <c r="K691" i="2"/>
  <c r="F691" i="2"/>
  <c r="BQ690" i="2"/>
  <c r="BJ690" i="2"/>
  <c r="U690" i="2"/>
  <c r="P690" i="2"/>
  <c r="K690" i="2"/>
  <c r="F690" i="2"/>
  <c r="BQ689" i="2"/>
  <c r="BJ689" i="2"/>
  <c r="BQ688" i="2"/>
  <c r="BJ688" i="2"/>
  <c r="U688" i="2"/>
  <c r="P688" i="2"/>
  <c r="K688" i="2"/>
  <c r="F688" i="2"/>
  <c r="BQ687" i="2"/>
  <c r="BJ687" i="2"/>
  <c r="U687" i="2"/>
  <c r="K687" i="2"/>
  <c r="F687" i="2"/>
  <c r="BJ686" i="2"/>
  <c r="U686" i="2"/>
  <c r="P686" i="2"/>
  <c r="K686" i="2"/>
  <c r="F686" i="2"/>
  <c r="BJ685" i="2"/>
  <c r="AW685" i="2"/>
  <c r="AR685" i="2"/>
  <c r="AM685" i="2"/>
  <c r="AH685" i="2"/>
  <c r="U685" i="2"/>
  <c r="P685" i="2"/>
  <c r="K685" i="2"/>
  <c r="F685" i="2"/>
  <c r="BQ683" i="2"/>
  <c r="BJ683" i="2"/>
  <c r="AW683" i="2"/>
  <c r="AR683" i="2"/>
  <c r="AM683" i="2"/>
  <c r="AH683" i="2"/>
  <c r="U683" i="2"/>
  <c r="P683" i="2"/>
  <c r="K683" i="2"/>
  <c r="F683" i="2"/>
  <c r="BQ682" i="2"/>
  <c r="BJ682" i="2"/>
  <c r="AW682" i="2"/>
  <c r="AR682" i="2"/>
  <c r="AM682" i="2"/>
  <c r="AH682" i="2"/>
  <c r="U682" i="2"/>
  <c r="P682" i="2"/>
  <c r="K682" i="2"/>
  <c r="F682" i="2"/>
  <c r="BQ681" i="2"/>
  <c r="BJ681" i="2"/>
  <c r="AW681" i="2"/>
  <c r="AR681" i="2"/>
  <c r="AM681" i="2"/>
  <c r="AH681" i="2"/>
  <c r="U681" i="2"/>
  <c r="P681" i="2"/>
  <c r="K681" i="2"/>
  <c r="F681" i="2"/>
  <c r="AM680" i="2"/>
  <c r="AH680" i="2"/>
  <c r="U680" i="2"/>
  <c r="P680" i="2"/>
  <c r="K680" i="2"/>
  <c r="F680" i="2"/>
  <c r="BQ679" i="2"/>
  <c r="BJ679" i="2"/>
  <c r="AW679" i="2"/>
  <c r="AR679" i="2"/>
  <c r="AM679" i="2"/>
  <c r="AH679" i="2"/>
  <c r="U679" i="2"/>
  <c r="P679" i="2"/>
  <c r="K679" i="2"/>
  <c r="F679" i="2"/>
  <c r="BQ678" i="2"/>
  <c r="AW678" i="2"/>
  <c r="AR678" i="2"/>
  <c r="AM678" i="2"/>
  <c r="AH678" i="2"/>
  <c r="U678" i="2"/>
  <c r="P678" i="2"/>
  <c r="K678" i="2"/>
  <c r="F678" i="2"/>
  <c r="BQ677" i="2"/>
  <c r="BJ677" i="2"/>
  <c r="AW677" i="2"/>
  <c r="AR677" i="2"/>
  <c r="AM677" i="2"/>
  <c r="AH677" i="2"/>
  <c r="U677" i="2"/>
  <c r="P677" i="2"/>
  <c r="K677" i="2"/>
  <c r="F677" i="2"/>
  <c r="Z1020" i="2" l="1"/>
  <c r="V1048" i="2"/>
  <c r="AX1048" i="2"/>
  <c r="BB1020" i="2"/>
  <c r="AD711" i="2"/>
  <c r="AX680" i="2"/>
  <c r="BQ711" i="2"/>
  <c r="V682" i="2"/>
  <c r="AX685" i="2"/>
  <c r="AX701" i="2"/>
  <c r="V705" i="2"/>
  <c r="F711" i="2"/>
  <c r="AI711" i="2"/>
  <c r="BJ711" i="2"/>
  <c r="AX677" i="2"/>
  <c r="AX681" i="2"/>
  <c r="V686" i="2"/>
  <c r="V702" i="2"/>
  <c r="AX704" i="2"/>
  <c r="V708" i="2"/>
  <c r="AX710" i="2"/>
  <c r="P711" i="2"/>
  <c r="AX679" i="2"/>
  <c r="V681" i="2"/>
  <c r="AX683" i="2"/>
  <c r="V685" i="2"/>
  <c r="V688" i="2"/>
  <c r="V694" i="2"/>
  <c r="V701" i="2"/>
  <c r="AX703" i="2"/>
  <c r="V704" i="2"/>
  <c r="AX706" i="2"/>
  <c r="V707" i="2"/>
  <c r="AN711" i="2"/>
  <c r="AX709" i="2"/>
  <c r="V710" i="2"/>
  <c r="AS711" i="2"/>
  <c r="AX678" i="2"/>
  <c r="AX682" i="2"/>
  <c r="V683" i="2"/>
  <c r="V693" i="2"/>
  <c r="V703" i="2"/>
  <c r="AX705" i="2"/>
  <c r="V706" i="2"/>
  <c r="V709" i="2"/>
  <c r="V677" i="2"/>
  <c r="V678" i="2"/>
  <c r="V679" i="2"/>
  <c r="V680" i="2"/>
  <c r="V690" i="2"/>
  <c r="V691" i="2"/>
  <c r="V692" i="2"/>
  <c r="V687" i="2"/>
  <c r="V696" i="2"/>
  <c r="V697" i="2"/>
  <c r="V698" i="2"/>
  <c r="V700" i="2"/>
  <c r="U711" i="2"/>
  <c r="U695" i="2"/>
  <c r="V695" i="2" s="1"/>
  <c r="AH707" i="2"/>
  <c r="AM707" i="2"/>
  <c r="AR707" i="2"/>
  <c r="AW707" i="2"/>
  <c r="AH708" i="2"/>
  <c r="AM708" i="2"/>
  <c r="AR708" i="2"/>
  <c r="AW708" i="2"/>
  <c r="H711" i="2"/>
  <c r="K699" i="2"/>
  <c r="V699" i="2" s="1"/>
  <c r="BQ644" i="2"/>
  <c r="AW658" i="2"/>
  <c r="AR658" i="2"/>
  <c r="AM658" i="2"/>
  <c r="AH658" i="2"/>
  <c r="R658" i="2"/>
  <c r="H658" i="2"/>
  <c r="BB1048" i="2" l="1"/>
  <c r="AX1055" i="2"/>
  <c r="Z1048" i="2"/>
  <c r="V1055" i="2"/>
  <c r="AW711" i="2"/>
  <c r="AR711" i="2"/>
  <c r="AH711" i="2"/>
  <c r="AM711" i="2"/>
  <c r="AX658" i="2"/>
  <c r="AX708" i="2"/>
  <c r="AX707" i="2"/>
  <c r="K711" i="2"/>
  <c r="V711" i="2" s="1"/>
  <c r="G657" i="2"/>
  <c r="AX1063" i="2" l="1"/>
  <c r="BB1055" i="2"/>
  <c r="V1063" i="2"/>
  <c r="Z1055" i="2"/>
  <c r="AX711" i="2"/>
  <c r="S653" i="2"/>
  <c r="T653" i="2"/>
  <c r="H653" i="2"/>
  <c r="Z1063" i="2" l="1"/>
  <c r="V1091" i="2"/>
  <c r="Z1091" i="2" s="1"/>
  <c r="AX1091" i="2"/>
  <c r="BB1063" i="2"/>
  <c r="H650" i="2"/>
  <c r="BB1091" i="2" l="1"/>
  <c r="AX1098" i="2"/>
  <c r="BP669" i="2"/>
  <c r="BO669" i="2"/>
  <c r="BN669" i="2"/>
  <c r="BM669" i="2"/>
  <c r="BI669" i="2"/>
  <c r="BH669" i="2"/>
  <c r="BG669" i="2"/>
  <c r="BF669" i="2"/>
  <c r="AT669" i="2"/>
  <c r="AQ669" i="2"/>
  <c r="AP669" i="2"/>
  <c r="AO669" i="2"/>
  <c r="AN669" i="2"/>
  <c r="AL669" i="2"/>
  <c r="AG669" i="2"/>
  <c r="AF669" i="2"/>
  <c r="T669" i="2"/>
  <c r="S669" i="2"/>
  <c r="Q669" i="2"/>
  <c r="O669" i="2"/>
  <c r="N669" i="2"/>
  <c r="M669" i="2"/>
  <c r="L669" i="2"/>
  <c r="J669" i="2"/>
  <c r="I669" i="2"/>
  <c r="H669" i="2"/>
  <c r="E669" i="2"/>
  <c r="D669" i="2"/>
  <c r="C669" i="2"/>
  <c r="B669" i="2"/>
  <c r="BQ668" i="2"/>
  <c r="BJ668" i="2"/>
  <c r="AW668" i="2"/>
  <c r="AR668" i="2"/>
  <c r="AM668" i="2"/>
  <c r="AH668" i="2"/>
  <c r="U668" i="2"/>
  <c r="P668" i="2"/>
  <c r="K668" i="2"/>
  <c r="F668" i="2"/>
  <c r="BQ667" i="2"/>
  <c r="BJ667" i="2"/>
  <c r="AW667" i="2"/>
  <c r="AR667" i="2"/>
  <c r="AM667" i="2"/>
  <c r="AH667" i="2"/>
  <c r="U667" i="2"/>
  <c r="P667" i="2"/>
  <c r="K667" i="2"/>
  <c r="F667" i="2"/>
  <c r="BQ666" i="2"/>
  <c r="BJ666" i="2"/>
  <c r="AV669" i="2"/>
  <c r="AU669" i="2"/>
  <c r="AS669" i="2"/>
  <c r="AR666" i="2"/>
  <c r="AK669" i="2"/>
  <c r="AJ669" i="2"/>
  <c r="AE669" i="2"/>
  <c r="U666" i="2"/>
  <c r="P666" i="2"/>
  <c r="K666" i="2"/>
  <c r="F666" i="2"/>
  <c r="BQ665" i="2"/>
  <c r="BJ665" i="2"/>
  <c r="U665" i="2"/>
  <c r="P665" i="2"/>
  <c r="K665" i="2"/>
  <c r="F665" i="2"/>
  <c r="BQ664" i="2"/>
  <c r="BJ664" i="2"/>
  <c r="U664" i="2"/>
  <c r="P664" i="2"/>
  <c r="K664" i="2"/>
  <c r="F664" i="2"/>
  <c r="BQ663" i="2"/>
  <c r="BJ663" i="2"/>
  <c r="U663" i="2"/>
  <c r="P663" i="2"/>
  <c r="K663" i="2"/>
  <c r="F663" i="2"/>
  <c r="BQ662" i="2"/>
  <c r="BJ662" i="2"/>
  <c r="AW662" i="2"/>
  <c r="AR662" i="2"/>
  <c r="AM662" i="2"/>
  <c r="AH662" i="2"/>
  <c r="U662" i="2"/>
  <c r="P662" i="2"/>
  <c r="K662" i="2"/>
  <c r="F662" i="2"/>
  <c r="BQ661" i="2"/>
  <c r="BJ661" i="2"/>
  <c r="AW661" i="2"/>
  <c r="AR661" i="2"/>
  <c r="AM661" i="2"/>
  <c r="AH661" i="2"/>
  <c r="U661" i="2"/>
  <c r="P661" i="2"/>
  <c r="K661" i="2"/>
  <c r="F661" i="2"/>
  <c r="BQ660" i="2"/>
  <c r="BJ660" i="2"/>
  <c r="AW660" i="2"/>
  <c r="AR660" i="2"/>
  <c r="AM660" i="2"/>
  <c r="AH660" i="2"/>
  <c r="U660" i="2"/>
  <c r="P660" i="2"/>
  <c r="K660" i="2"/>
  <c r="F660" i="2"/>
  <c r="BQ659" i="2"/>
  <c r="BJ659" i="2"/>
  <c r="AW659" i="2"/>
  <c r="AR659" i="2"/>
  <c r="AM659" i="2"/>
  <c r="AH659" i="2"/>
  <c r="U659" i="2"/>
  <c r="P659" i="2"/>
  <c r="K659" i="2"/>
  <c r="F659" i="2"/>
  <c r="BQ658" i="2"/>
  <c r="BJ658" i="2"/>
  <c r="U658" i="2"/>
  <c r="P658" i="2"/>
  <c r="K658" i="2"/>
  <c r="F658" i="2"/>
  <c r="BQ657" i="2"/>
  <c r="BJ657" i="2"/>
  <c r="AW657" i="2"/>
  <c r="AR657" i="2"/>
  <c r="AM657" i="2"/>
  <c r="AH657" i="2"/>
  <c r="U657" i="2"/>
  <c r="P657" i="2"/>
  <c r="K657" i="2"/>
  <c r="F657" i="2"/>
  <c r="BQ656" i="2"/>
  <c r="BJ656" i="2"/>
  <c r="AW656" i="2"/>
  <c r="AR656" i="2"/>
  <c r="AM656" i="2"/>
  <c r="AH656" i="2"/>
  <c r="U656" i="2"/>
  <c r="P656" i="2"/>
  <c r="K656" i="2"/>
  <c r="F656" i="2"/>
  <c r="BQ655" i="2"/>
  <c r="BJ655" i="2"/>
  <c r="AW655" i="2"/>
  <c r="AR655" i="2"/>
  <c r="AM655" i="2"/>
  <c r="AH655" i="2"/>
  <c r="U655" i="2"/>
  <c r="P655" i="2"/>
  <c r="K655" i="2"/>
  <c r="F655" i="2"/>
  <c r="BQ654" i="2"/>
  <c r="BJ654" i="2"/>
  <c r="AW654" i="2"/>
  <c r="AR654" i="2"/>
  <c r="AM654" i="2"/>
  <c r="AH654" i="2"/>
  <c r="U654" i="2"/>
  <c r="P654" i="2"/>
  <c r="K654" i="2"/>
  <c r="F654" i="2"/>
  <c r="BQ653" i="2"/>
  <c r="BJ653" i="2"/>
  <c r="AW653" i="2"/>
  <c r="AR653" i="2"/>
  <c r="AM653" i="2"/>
  <c r="AH653" i="2"/>
  <c r="U653" i="2"/>
  <c r="P653" i="2"/>
  <c r="K653" i="2"/>
  <c r="F653" i="2"/>
  <c r="BQ652" i="2"/>
  <c r="BJ652" i="2"/>
  <c r="AW652" i="2"/>
  <c r="AR652" i="2"/>
  <c r="AM652" i="2"/>
  <c r="AH652" i="2"/>
  <c r="U652" i="2"/>
  <c r="P652" i="2"/>
  <c r="K652" i="2"/>
  <c r="F652" i="2"/>
  <c r="BQ651" i="2"/>
  <c r="BJ651" i="2"/>
  <c r="AW651" i="2"/>
  <c r="AR651" i="2"/>
  <c r="AM651" i="2"/>
  <c r="AH651" i="2"/>
  <c r="U651" i="2"/>
  <c r="P651" i="2"/>
  <c r="K651" i="2"/>
  <c r="F651" i="2"/>
  <c r="BQ650" i="2"/>
  <c r="BJ650" i="2"/>
  <c r="AW650" i="2"/>
  <c r="AR650" i="2"/>
  <c r="AM650" i="2"/>
  <c r="AH650" i="2"/>
  <c r="U650" i="2"/>
  <c r="P650" i="2"/>
  <c r="K650" i="2"/>
  <c r="F650" i="2"/>
  <c r="BQ649" i="2"/>
  <c r="BJ649" i="2"/>
  <c r="AW649" i="2"/>
  <c r="AR649" i="2"/>
  <c r="AM649" i="2"/>
  <c r="AH649" i="2"/>
  <c r="U649" i="2"/>
  <c r="P649" i="2"/>
  <c r="K649" i="2"/>
  <c r="F649" i="2"/>
  <c r="BQ648" i="2"/>
  <c r="BJ648" i="2"/>
  <c r="AW648" i="2"/>
  <c r="AR648" i="2"/>
  <c r="AM648" i="2"/>
  <c r="AH648" i="2"/>
  <c r="U648" i="2"/>
  <c r="P648" i="2"/>
  <c r="K648" i="2"/>
  <c r="F648" i="2"/>
  <c r="BQ647" i="2"/>
  <c r="BJ647" i="2"/>
  <c r="AW647" i="2"/>
  <c r="AR647" i="2"/>
  <c r="AM647" i="2"/>
  <c r="AH647" i="2"/>
  <c r="U647" i="2"/>
  <c r="P647" i="2"/>
  <c r="K647" i="2"/>
  <c r="F647" i="2"/>
  <c r="BQ646" i="2"/>
  <c r="BJ646" i="2"/>
  <c r="AW646" i="2"/>
  <c r="AR646" i="2"/>
  <c r="AM646" i="2"/>
  <c r="AH646" i="2"/>
  <c r="U646" i="2"/>
  <c r="R669" i="2"/>
  <c r="P646" i="2"/>
  <c r="G669" i="2"/>
  <c r="F646" i="2"/>
  <c r="BQ645" i="2"/>
  <c r="BJ645" i="2"/>
  <c r="AW645" i="2"/>
  <c r="AR645" i="2"/>
  <c r="AM645" i="2"/>
  <c r="AH645" i="2"/>
  <c r="U645" i="2"/>
  <c r="P645" i="2"/>
  <c r="K645" i="2"/>
  <c r="F645" i="2"/>
  <c r="BJ644" i="2"/>
  <c r="AW644" i="2"/>
  <c r="AR644" i="2"/>
  <c r="AM644" i="2"/>
  <c r="AH644" i="2"/>
  <c r="U644" i="2"/>
  <c r="P644" i="2"/>
  <c r="K644" i="2"/>
  <c r="F644" i="2"/>
  <c r="BQ643" i="2"/>
  <c r="BJ643" i="2"/>
  <c r="AW643" i="2"/>
  <c r="AR643" i="2"/>
  <c r="AM643" i="2"/>
  <c r="AH643" i="2"/>
  <c r="U643" i="2"/>
  <c r="P643" i="2"/>
  <c r="K643" i="2"/>
  <c r="F643" i="2"/>
  <c r="BQ641" i="2"/>
  <c r="BJ641" i="2"/>
  <c r="AR641" i="2"/>
  <c r="AM641" i="2"/>
  <c r="AH641" i="2"/>
  <c r="U641" i="2"/>
  <c r="P641" i="2"/>
  <c r="K641" i="2"/>
  <c r="F641" i="2"/>
  <c r="BQ640" i="2"/>
  <c r="BJ640" i="2"/>
  <c r="AW640" i="2"/>
  <c r="AR640" i="2"/>
  <c r="AM640" i="2"/>
  <c r="AH640" i="2"/>
  <c r="U640" i="2"/>
  <c r="P640" i="2"/>
  <c r="K640" i="2"/>
  <c r="F640" i="2"/>
  <c r="BQ639" i="2"/>
  <c r="BJ639" i="2"/>
  <c r="AW639" i="2"/>
  <c r="AR639" i="2"/>
  <c r="AM639" i="2"/>
  <c r="AH639" i="2"/>
  <c r="U639" i="2"/>
  <c r="P639" i="2"/>
  <c r="K639" i="2"/>
  <c r="F639" i="2"/>
  <c r="AM638" i="2"/>
  <c r="AH638" i="2"/>
  <c r="U638" i="2"/>
  <c r="P638" i="2"/>
  <c r="K638" i="2"/>
  <c r="F638" i="2"/>
  <c r="BQ637" i="2"/>
  <c r="BJ637" i="2"/>
  <c r="AW637" i="2"/>
  <c r="AR637" i="2"/>
  <c r="AM637" i="2"/>
  <c r="AH637" i="2"/>
  <c r="U637" i="2"/>
  <c r="P637" i="2"/>
  <c r="K637" i="2"/>
  <c r="F637" i="2"/>
  <c r="BQ636" i="2"/>
  <c r="BJ636" i="2"/>
  <c r="AW636" i="2"/>
  <c r="AR636" i="2"/>
  <c r="AM636" i="2"/>
  <c r="AH636" i="2"/>
  <c r="U636" i="2"/>
  <c r="P636" i="2"/>
  <c r="K636" i="2"/>
  <c r="F636" i="2"/>
  <c r="BQ635" i="2"/>
  <c r="BJ635" i="2"/>
  <c r="AW635" i="2"/>
  <c r="AR635" i="2"/>
  <c r="AM635" i="2"/>
  <c r="AH635" i="2"/>
  <c r="U635" i="2"/>
  <c r="P635" i="2"/>
  <c r="K635" i="2"/>
  <c r="F635" i="2"/>
  <c r="BB1098" i="2" l="1"/>
  <c r="AX1106" i="2"/>
  <c r="AX641" i="2"/>
  <c r="AX636" i="2"/>
  <c r="AX640" i="2"/>
  <c r="AX668" i="2"/>
  <c r="F669" i="2"/>
  <c r="AX650" i="2"/>
  <c r="AX653" i="2"/>
  <c r="AX656" i="2"/>
  <c r="AX659" i="2"/>
  <c r="AX662" i="2"/>
  <c r="AD669" i="2"/>
  <c r="AM666" i="2"/>
  <c r="P669" i="2"/>
  <c r="AX635" i="2"/>
  <c r="AX638" i="2"/>
  <c r="AX639" i="2"/>
  <c r="AX667" i="2"/>
  <c r="BQ669" i="2"/>
  <c r="AX652" i="2"/>
  <c r="AX655" i="2"/>
  <c r="AX661" i="2"/>
  <c r="AX637" i="2"/>
  <c r="BJ669" i="2"/>
  <c r="K669" i="2"/>
  <c r="AX651" i="2"/>
  <c r="AH666" i="2"/>
  <c r="AR669" i="2"/>
  <c r="AX647" i="2"/>
  <c r="AX649" i="2"/>
  <c r="AX654" i="2"/>
  <c r="AX646" i="2"/>
  <c r="AX648" i="2"/>
  <c r="AX657" i="2"/>
  <c r="AX660" i="2"/>
  <c r="AX643" i="2"/>
  <c r="AX644" i="2"/>
  <c r="AX645" i="2"/>
  <c r="V635" i="2"/>
  <c r="V636" i="2"/>
  <c r="V637" i="2"/>
  <c r="V638" i="2"/>
  <c r="V639" i="2"/>
  <c r="V640" i="2"/>
  <c r="V641" i="2"/>
  <c r="V668" i="2"/>
  <c r="V643" i="2"/>
  <c r="V644" i="2"/>
  <c r="V645" i="2"/>
  <c r="V667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AW669" i="2"/>
  <c r="U669" i="2"/>
  <c r="AW666" i="2"/>
  <c r="AI669" i="2"/>
  <c r="K646" i="2"/>
  <c r="V646" i="2" s="1"/>
  <c r="AW618" i="2"/>
  <c r="AR618" i="2"/>
  <c r="AM618" i="2"/>
  <c r="AH618" i="2"/>
  <c r="AX1134" i="2" l="1"/>
  <c r="BB1106" i="2"/>
  <c r="AX618" i="2"/>
  <c r="AH669" i="2"/>
  <c r="AM669" i="2"/>
  <c r="AX666" i="2"/>
  <c r="V669" i="2"/>
  <c r="AH615" i="2"/>
  <c r="AM615" i="2"/>
  <c r="AR615" i="2"/>
  <c r="AW615" i="2"/>
  <c r="AH614" i="2"/>
  <c r="AM614" i="2"/>
  <c r="AR614" i="2"/>
  <c r="AW614" i="2"/>
  <c r="BB1134" i="2" l="1"/>
  <c r="AX1141" i="2"/>
  <c r="AX669" i="2"/>
  <c r="AX614" i="2"/>
  <c r="AX615" i="2"/>
  <c r="AW611" i="2"/>
  <c r="AR611" i="2"/>
  <c r="AM611" i="2"/>
  <c r="AH611" i="2"/>
  <c r="AW610" i="2"/>
  <c r="AR610" i="2"/>
  <c r="AM610" i="2"/>
  <c r="AH610" i="2"/>
  <c r="AW609" i="2"/>
  <c r="AR609" i="2"/>
  <c r="AM609" i="2"/>
  <c r="AH609" i="2"/>
  <c r="R604" i="2"/>
  <c r="AX1149" i="2" l="1"/>
  <c r="BB1141" i="2"/>
  <c r="AX609" i="2"/>
  <c r="AX611" i="2"/>
  <c r="AX610" i="2"/>
  <c r="AW603" i="2"/>
  <c r="AR603" i="2"/>
  <c r="AM603" i="2"/>
  <c r="AH603" i="2"/>
  <c r="G604" i="2"/>
  <c r="AX1177" i="2" l="1"/>
  <c r="BB1149" i="2"/>
  <c r="AX603" i="2"/>
  <c r="AW601" i="2"/>
  <c r="AR601" i="2"/>
  <c r="AM601" i="2"/>
  <c r="AH601" i="2"/>
  <c r="Q577" i="2"/>
  <c r="BB1177" i="2" l="1"/>
  <c r="AX1184" i="2"/>
  <c r="AX601" i="2"/>
  <c r="BP627" i="2"/>
  <c r="BO627" i="2"/>
  <c r="BN627" i="2"/>
  <c r="BM627" i="2"/>
  <c r="BQ626" i="2"/>
  <c r="BQ625" i="2"/>
  <c r="BQ624" i="2"/>
  <c r="BQ623" i="2"/>
  <c r="BQ622" i="2"/>
  <c r="BQ621" i="2"/>
  <c r="BQ620" i="2"/>
  <c r="BQ619" i="2"/>
  <c r="BQ618" i="2"/>
  <c r="BQ617" i="2"/>
  <c r="BQ616" i="2"/>
  <c r="BQ615" i="2"/>
  <c r="BQ614" i="2"/>
  <c r="BQ613" i="2"/>
  <c r="BQ612" i="2"/>
  <c r="BQ611" i="2"/>
  <c r="BQ610" i="2"/>
  <c r="BQ609" i="2"/>
  <c r="BQ608" i="2"/>
  <c r="BQ607" i="2"/>
  <c r="BQ606" i="2"/>
  <c r="BQ605" i="2"/>
  <c r="BQ604" i="2"/>
  <c r="BQ603" i="2"/>
  <c r="BQ602" i="2"/>
  <c r="BQ601" i="2"/>
  <c r="BQ599" i="2"/>
  <c r="BQ598" i="2"/>
  <c r="BQ597" i="2"/>
  <c r="BQ595" i="2"/>
  <c r="BQ594" i="2"/>
  <c r="BQ593" i="2"/>
  <c r="BI627" i="2"/>
  <c r="BH627" i="2"/>
  <c r="BG627" i="2"/>
  <c r="BF627" i="2"/>
  <c r="BJ626" i="2"/>
  <c r="BJ625" i="2"/>
  <c r="BJ624" i="2"/>
  <c r="BJ623" i="2"/>
  <c r="BJ622" i="2"/>
  <c r="BJ621" i="2"/>
  <c r="BJ620" i="2"/>
  <c r="BJ619" i="2"/>
  <c r="BJ618" i="2"/>
  <c r="BJ617" i="2"/>
  <c r="BJ616" i="2"/>
  <c r="BJ615" i="2"/>
  <c r="BJ614" i="2"/>
  <c r="BJ613" i="2"/>
  <c r="BJ612" i="2"/>
  <c r="BJ611" i="2"/>
  <c r="BJ610" i="2"/>
  <c r="BJ609" i="2"/>
  <c r="BJ608" i="2"/>
  <c r="BJ607" i="2"/>
  <c r="BJ606" i="2"/>
  <c r="BJ605" i="2"/>
  <c r="BJ604" i="2"/>
  <c r="BJ603" i="2"/>
  <c r="BJ602" i="2"/>
  <c r="BJ601" i="2"/>
  <c r="BJ599" i="2"/>
  <c r="BJ598" i="2"/>
  <c r="BJ597" i="2"/>
  <c r="BJ595" i="2"/>
  <c r="BJ594" i="2"/>
  <c r="BJ593" i="2"/>
  <c r="AG627" i="2"/>
  <c r="AF627" i="2"/>
  <c r="AE627" i="2"/>
  <c r="AW626" i="2"/>
  <c r="AR626" i="2"/>
  <c r="AM626" i="2"/>
  <c r="AH626" i="2"/>
  <c r="AW625" i="2"/>
  <c r="AR625" i="2"/>
  <c r="AM625" i="2"/>
  <c r="AH625" i="2"/>
  <c r="AR624" i="2"/>
  <c r="AH624" i="2"/>
  <c r="AV627" i="2"/>
  <c r="AT627" i="2"/>
  <c r="AQ627" i="2"/>
  <c r="AP627" i="2"/>
  <c r="AN627" i="2"/>
  <c r="AJ627" i="2"/>
  <c r="AH623" i="2"/>
  <c r="AW622" i="2"/>
  <c r="AR622" i="2"/>
  <c r="AM622" i="2"/>
  <c r="AH622" i="2"/>
  <c r="AW621" i="2"/>
  <c r="AR621" i="2"/>
  <c r="AM621" i="2"/>
  <c r="AH621" i="2"/>
  <c r="AW620" i="2"/>
  <c r="AR620" i="2"/>
  <c r="AM620" i="2"/>
  <c r="AH620" i="2"/>
  <c r="AW619" i="2"/>
  <c r="AR619" i="2"/>
  <c r="AM619" i="2"/>
  <c r="AH619" i="2"/>
  <c r="AW617" i="2"/>
  <c r="AR617" i="2"/>
  <c r="AM617" i="2"/>
  <c r="AH617" i="2"/>
  <c r="AW616" i="2"/>
  <c r="AR616" i="2"/>
  <c r="AM616" i="2"/>
  <c r="AH616" i="2"/>
  <c r="AW613" i="2"/>
  <c r="AR613" i="2"/>
  <c r="AM613" i="2"/>
  <c r="AH613" i="2"/>
  <c r="AW612" i="2"/>
  <c r="AR612" i="2"/>
  <c r="AM612" i="2"/>
  <c r="AH612" i="2"/>
  <c r="AW608" i="2"/>
  <c r="AR608" i="2"/>
  <c r="AM608" i="2"/>
  <c r="AH608" i="2"/>
  <c r="AW607" i="2"/>
  <c r="AR607" i="2"/>
  <c r="AM607" i="2"/>
  <c r="AH607" i="2"/>
  <c r="AW606" i="2"/>
  <c r="AR606" i="2"/>
  <c r="AM606" i="2"/>
  <c r="AH606" i="2"/>
  <c r="AW605" i="2"/>
  <c r="AR605" i="2"/>
  <c r="AM605" i="2"/>
  <c r="AH605" i="2"/>
  <c r="AW604" i="2"/>
  <c r="AR604" i="2"/>
  <c r="AM604" i="2"/>
  <c r="AH604" i="2"/>
  <c r="AW602" i="2"/>
  <c r="AR602" i="2"/>
  <c r="AM602" i="2"/>
  <c r="AH602" i="2"/>
  <c r="AW599" i="2"/>
  <c r="AR599" i="2"/>
  <c r="AM599" i="2"/>
  <c r="AH599" i="2"/>
  <c r="AW598" i="2"/>
  <c r="AR598" i="2"/>
  <c r="AM598" i="2"/>
  <c r="AH598" i="2"/>
  <c r="AW597" i="2"/>
  <c r="AR597" i="2"/>
  <c r="AM597" i="2"/>
  <c r="AH597" i="2"/>
  <c r="AM596" i="2"/>
  <c r="AH596" i="2"/>
  <c r="AW595" i="2"/>
  <c r="AR595" i="2"/>
  <c r="AM595" i="2"/>
  <c r="AH595" i="2"/>
  <c r="AW594" i="2"/>
  <c r="AR594" i="2"/>
  <c r="AM594" i="2"/>
  <c r="AH594" i="2"/>
  <c r="AW593" i="2"/>
  <c r="AR593" i="2"/>
  <c r="AM593" i="2"/>
  <c r="AH593" i="2"/>
  <c r="T627" i="2"/>
  <c r="R627" i="2"/>
  <c r="Q627" i="2"/>
  <c r="O627" i="2"/>
  <c r="N627" i="2"/>
  <c r="M627" i="2"/>
  <c r="L627" i="2"/>
  <c r="J627" i="2"/>
  <c r="I627" i="2"/>
  <c r="G627" i="2"/>
  <c r="E627" i="2"/>
  <c r="D627" i="2"/>
  <c r="C627" i="2"/>
  <c r="B627" i="2"/>
  <c r="U626" i="2"/>
  <c r="P626" i="2"/>
  <c r="K626" i="2"/>
  <c r="F626" i="2"/>
  <c r="U625" i="2"/>
  <c r="P625" i="2"/>
  <c r="K625" i="2"/>
  <c r="F625" i="2"/>
  <c r="U624" i="2"/>
  <c r="P624" i="2"/>
  <c r="K624" i="2"/>
  <c r="F624" i="2"/>
  <c r="U623" i="2"/>
  <c r="P623" i="2"/>
  <c r="K623" i="2"/>
  <c r="F623" i="2"/>
  <c r="U622" i="2"/>
  <c r="P622" i="2"/>
  <c r="K622" i="2"/>
  <c r="F622" i="2"/>
  <c r="U621" i="2"/>
  <c r="P621" i="2"/>
  <c r="K621" i="2"/>
  <c r="F621" i="2"/>
  <c r="U620" i="2"/>
  <c r="P620" i="2"/>
  <c r="K620" i="2"/>
  <c r="F620" i="2"/>
  <c r="U619" i="2"/>
  <c r="P619" i="2"/>
  <c r="K619" i="2"/>
  <c r="F619" i="2"/>
  <c r="U618" i="2"/>
  <c r="P618" i="2"/>
  <c r="K618" i="2"/>
  <c r="F618" i="2"/>
  <c r="U617" i="2"/>
  <c r="P617" i="2"/>
  <c r="K617" i="2"/>
  <c r="F617" i="2"/>
  <c r="U616" i="2"/>
  <c r="P616" i="2"/>
  <c r="K616" i="2"/>
  <c r="F616" i="2"/>
  <c r="U615" i="2"/>
  <c r="P615" i="2"/>
  <c r="K615" i="2"/>
  <c r="F615" i="2"/>
  <c r="U614" i="2"/>
  <c r="P614" i="2"/>
  <c r="K614" i="2"/>
  <c r="F614" i="2"/>
  <c r="U613" i="2"/>
  <c r="P613" i="2"/>
  <c r="K613" i="2"/>
  <c r="F613" i="2"/>
  <c r="U612" i="2"/>
  <c r="P612" i="2"/>
  <c r="K612" i="2"/>
  <c r="F612" i="2"/>
  <c r="U611" i="2"/>
  <c r="P611" i="2"/>
  <c r="K611" i="2"/>
  <c r="F611" i="2"/>
  <c r="U610" i="2"/>
  <c r="P610" i="2"/>
  <c r="K610" i="2"/>
  <c r="F610" i="2"/>
  <c r="U609" i="2"/>
  <c r="P609" i="2"/>
  <c r="K609" i="2"/>
  <c r="F609" i="2"/>
  <c r="U608" i="2"/>
  <c r="P608" i="2"/>
  <c r="K608" i="2"/>
  <c r="F608" i="2"/>
  <c r="U607" i="2"/>
  <c r="P607" i="2"/>
  <c r="K607" i="2"/>
  <c r="F607" i="2"/>
  <c r="S627" i="2"/>
  <c r="P606" i="2"/>
  <c r="K606" i="2"/>
  <c r="F606" i="2"/>
  <c r="U605" i="2"/>
  <c r="P605" i="2"/>
  <c r="K605" i="2"/>
  <c r="F605" i="2"/>
  <c r="U604" i="2"/>
  <c r="P604" i="2"/>
  <c r="K604" i="2"/>
  <c r="F604" i="2"/>
  <c r="U603" i="2"/>
  <c r="P603" i="2"/>
  <c r="K603" i="2"/>
  <c r="F603" i="2"/>
  <c r="U602" i="2"/>
  <c r="P602" i="2"/>
  <c r="K602" i="2"/>
  <c r="F602" i="2"/>
  <c r="U601" i="2"/>
  <c r="P601" i="2"/>
  <c r="K601" i="2"/>
  <c r="H627" i="2"/>
  <c r="F601" i="2"/>
  <c r="U599" i="2"/>
  <c r="P599" i="2"/>
  <c r="K599" i="2"/>
  <c r="F599" i="2"/>
  <c r="U598" i="2"/>
  <c r="P598" i="2"/>
  <c r="K598" i="2"/>
  <c r="F598" i="2"/>
  <c r="U597" i="2"/>
  <c r="P597" i="2"/>
  <c r="K597" i="2"/>
  <c r="F597" i="2"/>
  <c r="U596" i="2"/>
  <c r="P596" i="2"/>
  <c r="K596" i="2"/>
  <c r="F596" i="2"/>
  <c r="U595" i="2"/>
  <c r="P595" i="2"/>
  <c r="K595" i="2"/>
  <c r="F595" i="2"/>
  <c r="U594" i="2"/>
  <c r="P594" i="2"/>
  <c r="K594" i="2"/>
  <c r="F594" i="2"/>
  <c r="U593" i="2"/>
  <c r="P593" i="2"/>
  <c r="K593" i="2"/>
  <c r="F593" i="2"/>
  <c r="AX1192" i="2" l="1"/>
  <c r="BB1184" i="2"/>
  <c r="AK627" i="2"/>
  <c r="V626" i="2"/>
  <c r="AX593" i="2"/>
  <c r="AM624" i="2"/>
  <c r="AX625" i="2"/>
  <c r="V593" i="2"/>
  <c r="AX599" i="2"/>
  <c r="AL627" i="2"/>
  <c r="V599" i="2"/>
  <c r="AX597" i="2"/>
  <c r="AU627" i="2"/>
  <c r="V597" i="2"/>
  <c r="F627" i="2"/>
  <c r="V604" i="2"/>
  <c r="V607" i="2"/>
  <c r="AX596" i="2"/>
  <c r="AX598" i="2"/>
  <c r="AX608" i="2"/>
  <c r="AX617" i="2"/>
  <c r="AX620" i="2"/>
  <c r="AR623" i="2"/>
  <c r="BQ627" i="2"/>
  <c r="V616" i="2"/>
  <c r="V622" i="2"/>
  <c r="V625" i="2"/>
  <c r="AM623" i="2"/>
  <c r="AX626" i="2"/>
  <c r="V624" i="2"/>
  <c r="AX594" i="2"/>
  <c r="AW623" i="2"/>
  <c r="AS627" i="2"/>
  <c r="BJ627" i="2"/>
  <c r="AX613" i="2"/>
  <c r="AX619" i="2"/>
  <c r="AX604" i="2"/>
  <c r="AX607" i="2"/>
  <c r="AX622" i="2"/>
  <c r="AX621" i="2"/>
  <c r="AX602" i="2"/>
  <c r="AX605" i="2"/>
  <c r="AX616" i="2"/>
  <c r="AX606" i="2"/>
  <c r="AX612" i="2"/>
  <c r="AX595" i="2"/>
  <c r="AI627" i="2"/>
  <c r="AO627" i="2"/>
  <c r="AW624" i="2"/>
  <c r="AD627" i="2"/>
  <c r="V603" i="2"/>
  <c r="V618" i="2"/>
  <c r="V609" i="2"/>
  <c r="V617" i="2"/>
  <c r="V620" i="2"/>
  <c r="P627" i="2"/>
  <c r="V602" i="2"/>
  <c r="V611" i="2"/>
  <c r="V614" i="2"/>
  <c r="K627" i="2"/>
  <c r="V610" i="2"/>
  <c r="V613" i="2"/>
  <c r="V623" i="2"/>
  <c r="V612" i="2"/>
  <c r="V619" i="2"/>
  <c r="V605" i="2"/>
  <c r="V608" i="2"/>
  <c r="V615" i="2"/>
  <c r="V601" i="2"/>
  <c r="V621" i="2"/>
  <c r="V595" i="2"/>
  <c r="V598" i="2"/>
  <c r="V596" i="2"/>
  <c r="V594" i="2"/>
  <c r="U627" i="2"/>
  <c r="U606" i="2"/>
  <c r="V606" i="2" s="1"/>
  <c r="AW577" i="2"/>
  <c r="AR577" i="2"/>
  <c r="AM577" i="2"/>
  <c r="AH577" i="2"/>
  <c r="BB1192" i="2" l="1"/>
  <c r="AX1220" i="2"/>
  <c r="AH627" i="2"/>
  <c r="AR627" i="2"/>
  <c r="AX624" i="2"/>
  <c r="AW627" i="2"/>
  <c r="V627" i="2"/>
  <c r="AM627" i="2"/>
  <c r="AX623" i="2"/>
  <c r="AX577" i="2"/>
  <c r="AW575" i="2"/>
  <c r="AR575" i="2"/>
  <c r="AM575" i="2"/>
  <c r="AH575" i="2"/>
  <c r="BB1220" i="2" l="1"/>
  <c r="AX1227" i="2"/>
  <c r="AX627" i="2"/>
  <c r="AX575" i="2"/>
  <c r="H571" i="2"/>
  <c r="BB1227" i="2" l="1"/>
  <c r="AX1235" i="2"/>
  <c r="AW571" i="2"/>
  <c r="AR571" i="2"/>
  <c r="AM571" i="2"/>
  <c r="AH571" i="2"/>
  <c r="BB1235" i="2" l="1"/>
  <c r="AX1263" i="2"/>
  <c r="AX571" i="2"/>
  <c r="S564" i="2"/>
  <c r="BB1263" i="2" l="1"/>
  <c r="AX1270" i="2"/>
  <c r="H559" i="2"/>
  <c r="H585" i="2" s="1"/>
  <c r="AW559" i="2"/>
  <c r="AR559" i="2"/>
  <c r="AM559" i="2"/>
  <c r="AH559" i="2"/>
  <c r="R533" i="2"/>
  <c r="BP585" i="2"/>
  <c r="BO585" i="2"/>
  <c r="BN585" i="2"/>
  <c r="BM585" i="2"/>
  <c r="BI585" i="2"/>
  <c r="BH585" i="2"/>
  <c r="BG585" i="2"/>
  <c r="BF585" i="2"/>
  <c r="AQ585" i="2"/>
  <c r="AP585" i="2"/>
  <c r="AO585" i="2"/>
  <c r="AN585" i="2"/>
  <c r="AK585" i="2"/>
  <c r="AJ585" i="2"/>
  <c r="AI585" i="2"/>
  <c r="AG585" i="2"/>
  <c r="AF585" i="2"/>
  <c r="AE585" i="2"/>
  <c r="AD585" i="2"/>
  <c r="T585" i="2"/>
  <c r="S585" i="2"/>
  <c r="R585" i="2"/>
  <c r="Q585" i="2"/>
  <c r="O585" i="2"/>
  <c r="N585" i="2"/>
  <c r="M585" i="2"/>
  <c r="L585" i="2"/>
  <c r="J585" i="2"/>
  <c r="I585" i="2"/>
  <c r="G585" i="2"/>
  <c r="E585" i="2"/>
  <c r="D585" i="2"/>
  <c r="C585" i="2"/>
  <c r="B585" i="2"/>
  <c r="BQ584" i="2"/>
  <c r="BJ584" i="2"/>
  <c r="AW584" i="2"/>
  <c r="AR584" i="2"/>
  <c r="AM584" i="2"/>
  <c r="AH584" i="2"/>
  <c r="U584" i="2"/>
  <c r="P584" i="2"/>
  <c r="K584" i="2"/>
  <c r="F584" i="2"/>
  <c r="BQ583" i="2"/>
  <c r="BJ583" i="2"/>
  <c r="AW583" i="2"/>
  <c r="AR583" i="2"/>
  <c r="AM583" i="2"/>
  <c r="AH583" i="2"/>
  <c r="U583" i="2"/>
  <c r="P583" i="2"/>
  <c r="K583" i="2"/>
  <c r="F583" i="2"/>
  <c r="BQ582" i="2"/>
  <c r="BJ582" i="2"/>
  <c r="AV585" i="2"/>
  <c r="AU585" i="2"/>
  <c r="AS585" i="2"/>
  <c r="AR582" i="2"/>
  <c r="AL585" i="2"/>
  <c r="AH582" i="2"/>
  <c r="U582" i="2"/>
  <c r="P582" i="2"/>
  <c r="K582" i="2"/>
  <c r="F582" i="2"/>
  <c r="BQ581" i="2"/>
  <c r="BJ581" i="2"/>
  <c r="AT585" i="2"/>
  <c r="AR581" i="2"/>
  <c r="AM581" i="2"/>
  <c r="AH581" i="2"/>
  <c r="U581" i="2"/>
  <c r="P581" i="2"/>
  <c r="K581" i="2"/>
  <c r="F581" i="2"/>
  <c r="BQ580" i="2"/>
  <c r="BJ580" i="2"/>
  <c r="AW580" i="2"/>
  <c r="AR580" i="2"/>
  <c r="AM580" i="2"/>
  <c r="AH580" i="2"/>
  <c r="U580" i="2"/>
  <c r="P580" i="2"/>
  <c r="K580" i="2"/>
  <c r="F580" i="2"/>
  <c r="BQ579" i="2"/>
  <c r="BJ579" i="2"/>
  <c r="AW579" i="2"/>
  <c r="AR579" i="2"/>
  <c r="AM579" i="2"/>
  <c r="AH579" i="2"/>
  <c r="U579" i="2"/>
  <c r="P579" i="2"/>
  <c r="K579" i="2"/>
  <c r="F579" i="2"/>
  <c r="BQ578" i="2"/>
  <c r="BJ578" i="2"/>
  <c r="AW578" i="2"/>
  <c r="AR578" i="2"/>
  <c r="AM578" i="2"/>
  <c r="AH578" i="2"/>
  <c r="U578" i="2"/>
  <c r="P578" i="2"/>
  <c r="K578" i="2"/>
  <c r="F578" i="2"/>
  <c r="BQ577" i="2"/>
  <c r="BJ577" i="2"/>
  <c r="U577" i="2"/>
  <c r="P577" i="2"/>
  <c r="K577" i="2"/>
  <c r="F577" i="2"/>
  <c r="BQ576" i="2"/>
  <c r="BJ576" i="2"/>
  <c r="AW576" i="2"/>
  <c r="AR576" i="2"/>
  <c r="AM576" i="2"/>
  <c r="AH576" i="2"/>
  <c r="U576" i="2"/>
  <c r="P576" i="2"/>
  <c r="K576" i="2"/>
  <c r="F576" i="2"/>
  <c r="BQ575" i="2"/>
  <c r="BJ575" i="2"/>
  <c r="U575" i="2"/>
  <c r="P575" i="2"/>
  <c r="K575" i="2"/>
  <c r="F575" i="2"/>
  <c r="BQ574" i="2"/>
  <c r="BJ574" i="2"/>
  <c r="AW574" i="2"/>
  <c r="AR574" i="2"/>
  <c r="AM574" i="2"/>
  <c r="AH574" i="2"/>
  <c r="U574" i="2"/>
  <c r="P574" i="2"/>
  <c r="K574" i="2"/>
  <c r="F574" i="2"/>
  <c r="BQ573" i="2"/>
  <c r="BJ573" i="2"/>
  <c r="AW573" i="2"/>
  <c r="AR573" i="2"/>
  <c r="AM573" i="2"/>
  <c r="AH573" i="2"/>
  <c r="U573" i="2"/>
  <c r="P573" i="2"/>
  <c r="K573" i="2"/>
  <c r="F573" i="2"/>
  <c r="BQ572" i="2"/>
  <c r="BJ572" i="2"/>
  <c r="AW572" i="2"/>
  <c r="AR572" i="2"/>
  <c r="AM572" i="2"/>
  <c r="AH572" i="2"/>
  <c r="U572" i="2"/>
  <c r="P572" i="2"/>
  <c r="K572" i="2"/>
  <c r="F572" i="2"/>
  <c r="BQ571" i="2"/>
  <c r="BJ571" i="2"/>
  <c r="U571" i="2"/>
  <c r="P571" i="2"/>
  <c r="K571" i="2"/>
  <c r="F571" i="2"/>
  <c r="BQ570" i="2"/>
  <c r="BJ570" i="2"/>
  <c r="AW570" i="2"/>
  <c r="AR570" i="2"/>
  <c r="AM570" i="2"/>
  <c r="AH570" i="2"/>
  <c r="U570" i="2"/>
  <c r="P570" i="2"/>
  <c r="K570" i="2"/>
  <c r="F570" i="2"/>
  <c r="BQ569" i="2"/>
  <c r="BJ569" i="2"/>
  <c r="AW569" i="2"/>
  <c r="AR569" i="2"/>
  <c r="AM569" i="2"/>
  <c r="AH569" i="2"/>
  <c r="U569" i="2"/>
  <c r="P569" i="2"/>
  <c r="K569" i="2"/>
  <c r="F569" i="2"/>
  <c r="BQ568" i="2"/>
  <c r="BJ568" i="2"/>
  <c r="AW568" i="2"/>
  <c r="AR568" i="2"/>
  <c r="AM568" i="2"/>
  <c r="AH568" i="2"/>
  <c r="U568" i="2"/>
  <c r="P568" i="2"/>
  <c r="K568" i="2"/>
  <c r="F568" i="2"/>
  <c r="BQ567" i="2"/>
  <c r="BJ567" i="2"/>
  <c r="AW567" i="2"/>
  <c r="AR567" i="2"/>
  <c r="AM567" i="2"/>
  <c r="AH567" i="2"/>
  <c r="U567" i="2"/>
  <c r="P567" i="2"/>
  <c r="K567" i="2"/>
  <c r="F567" i="2"/>
  <c r="BQ566" i="2"/>
  <c r="BJ566" i="2"/>
  <c r="AW566" i="2"/>
  <c r="AR566" i="2"/>
  <c r="AM566" i="2"/>
  <c r="AH566" i="2"/>
  <c r="U566" i="2"/>
  <c r="P566" i="2"/>
  <c r="K566" i="2"/>
  <c r="F566" i="2"/>
  <c r="BQ565" i="2"/>
  <c r="BJ565" i="2"/>
  <c r="AW565" i="2"/>
  <c r="AR565" i="2"/>
  <c r="AM565" i="2"/>
  <c r="AH565" i="2"/>
  <c r="U565" i="2"/>
  <c r="P565" i="2"/>
  <c r="K565" i="2"/>
  <c r="F565" i="2"/>
  <c r="BQ564" i="2"/>
  <c r="BJ564" i="2"/>
  <c r="AW564" i="2"/>
  <c r="AR564" i="2"/>
  <c r="AM564" i="2"/>
  <c r="AH564" i="2"/>
  <c r="U564" i="2"/>
  <c r="P564" i="2"/>
  <c r="K564" i="2"/>
  <c r="F564" i="2"/>
  <c r="BQ563" i="2"/>
  <c r="BJ563" i="2"/>
  <c r="AW563" i="2"/>
  <c r="AR563" i="2"/>
  <c r="AM563" i="2"/>
  <c r="AH563" i="2"/>
  <c r="U563" i="2"/>
  <c r="P563" i="2"/>
  <c r="K563" i="2"/>
  <c r="F563" i="2"/>
  <c r="BQ562" i="2"/>
  <c r="BJ562" i="2"/>
  <c r="AW562" i="2"/>
  <c r="AR562" i="2"/>
  <c r="AM562" i="2"/>
  <c r="AH562" i="2"/>
  <c r="U562" i="2"/>
  <c r="P562" i="2"/>
  <c r="K562" i="2"/>
  <c r="F562" i="2"/>
  <c r="BQ561" i="2"/>
  <c r="BJ561" i="2"/>
  <c r="AW561" i="2"/>
  <c r="AR561" i="2"/>
  <c r="AM561" i="2"/>
  <c r="AH561" i="2"/>
  <c r="U561" i="2"/>
  <c r="P561" i="2"/>
  <c r="K561" i="2"/>
  <c r="F561" i="2"/>
  <c r="BQ560" i="2"/>
  <c r="BJ560" i="2"/>
  <c r="AW560" i="2"/>
  <c r="AR560" i="2"/>
  <c r="AM560" i="2"/>
  <c r="AH560" i="2"/>
  <c r="U560" i="2"/>
  <c r="P560" i="2"/>
  <c r="K560" i="2"/>
  <c r="F560" i="2"/>
  <c r="BQ559" i="2"/>
  <c r="BJ559" i="2"/>
  <c r="U559" i="2"/>
  <c r="P559" i="2"/>
  <c r="F559" i="2"/>
  <c r="BQ557" i="2"/>
  <c r="BJ557" i="2"/>
  <c r="AW557" i="2"/>
  <c r="AR557" i="2"/>
  <c r="AM557" i="2"/>
  <c r="AH557" i="2"/>
  <c r="U557" i="2"/>
  <c r="P557" i="2"/>
  <c r="K557" i="2"/>
  <c r="F557" i="2"/>
  <c r="BQ556" i="2"/>
  <c r="BJ556" i="2"/>
  <c r="AW556" i="2"/>
  <c r="AR556" i="2"/>
  <c r="AM556" i="2"/>
  <c r="AH556" i="2"/>
  <c r="U556" i="2"/>
  <c r="P556" i="2"/>
  <c r="K556" i="2"/>
  <c r="F556" i="2"/>
  <c r="BQ555" i="2"/>
  <c r="BJ555" i="2"/>
  <c r="AW555" i="2"/>
  <c r="AR555" i="2"/>
  <c r="AM555" i="2"/>
  <c r="AH555" i="2"/>
  <c r="U555" i="2"/>
  <c r="P555" i="2"/>
  <c r="K555" i="2"/>
  <c r="F555" i="2"/>
  <c r="AM554" i="2"/>
  <c r="AH554" i="2"/>
  <c r="U554" i="2"/>
  <c r="P554" i="2"/>
  <c r="K554" i="2"/>
  <c r="F554" i="2"/>
  <c r="BQ553" i="2"/>
  <c r="BJ553" i="2"/>
  <c r="AW553" i="2"/>
  <c r="AR553" i="2"/>
  <c r="AM553" i="2"/>
  <c r="AH553" i="2"/>
  <c r="U553" i="2"/>
  <c r="P553" i="2"/>
  <c r="K553" i="2"/>
  <c r="F553" i="2"/>
  <c r="BQ552" i="2"/>
  <c r="BJ552" i="2"/>
  <c r="AW552" i="2"/>
  <c r="AR552" i="2"/>
  <c r="AM552" i="2"/>
  <c r="AH552" i="2"/>
  <c r="U552" i="2"/>
  <c r="P552" i="2"/>
  <c r="K552" i="2"/>
  <c r="F552" i="2"/>
  <c r="BQ551" i="2"/>
  <c r="BJ551" i="2"/>
  <c r="AW551" i="2"/>
  <c r="AR551" i="2"/>
  <c r="AM551" i="2"/>
  <c r="AH551" i="2"/>
  <c r="U551" i="2"/>
  <c r="P551" i="2"/>
  <c r="K551" i="2"/>
  <c r="F551" i="2"/>
  <c r="BB1270" i="2" l="1"/>
  <c r="AX1278" i="2"/>
  <c r="AX559" i="2"/>
  <c r="AX570" i="2"/>
  <c r="V571" i="2"/>
  <c r="AX573" i="2"/>
  <c r="V574" i="2"/>
  <c r="V577" i="2"/>
  <c r="AX579" i="2"/>
  <c r="V580" i="2"/>
  <c r="AX583" i="2"/>
  <c r="V584" i="2"/>
  <c r="AX551" i="2"/>
  <c r="AX554" i="2"/>
  <c r="AX555" i="2"/>
  <c r="K559" i="2"/>
  <c r="V559" i="2" s="1"/>
  <c r="BJ585" i="2"/>
  <c r="AX553" i="2"/>
  <c r="AX568" i="2"/>
  <c r="V569" i="2"/>
  <c r="V572" i="2"/>
  <c r="V575" i="2"/>
  <c r="V578" i="2"/>
  <c r="AX580" i="2"/>
  <c r="V581" i="2"/>
  <c r="U585" i="2"/>
  <c r="AX557" i="2"/>
  <c r="V583" i="2"/>
  <c r="AX556" i="2"/>
  <c r="V557" i="2"/>
  <c r="V568" i="2"/>
  <c r="AX584" i="2"/>
  <c r="BQ585" i="2"/>
  <c r="V570" i="2"/>
  <c r="AX572" i="2"/>
  <c r="V573" i="2"/>
  <c r="V576" i="2"/>
  <c r="AX578" i="2"/>
  <c r="V579" i="2"/>
  <c r="V582" i="2"/>
  <c r="AH585" i="2"/>
  <c r="AX552" i="2"/>
  <c r="AX574" i="2"/>
  <c r="AX576" i="2"/>
  <c r="AR585" i="2"/>
  <c r="AX569" i="2"/>
  <c r="AX560" i="2"/>
  <c r="AX561" i="2"/>
  <c r="AX562" i="2"/>
  <c r="AX563" i="2"/>
  <c r="AX564" i="2"/>
  <c r="AX565" i="2"/>
  <c r="AX566" i="2"/>
  <c r="AX567" i="2"/>
  <c r="V551" i="2"/>
  <c r="V552" i="2"/>
  <c r="V553" i="2"/>
  <c r="V554" i="2"/>
  <c r="V555" i="2"/>
  <c r="V556" i="2"/>
  <c r="P585" i="2"/>
  <c r="V560" i="2"/>
  <c r="V561" i="2"/>
  <c r="V562" i="2"/>
  <c r="V563" i="2"/>
  <c r="V564" i="2"/>
  <c r="V565" i="2"/>
  <c r="V566" i="2"/>
  <c r="V567" i="2"/>
  <c r="F585" i="2"/>
  <c r="AW585" i="2"/>
  <c r="K585" i="2"/>
  <c r="AM585" i="2"/>
  <c r="AM582" i="2"/>
  <c r="AW582" i="2"/>
  <c r="AW581" i="2"/>
  <c r="AX581" i="2" s="1"/>
  <c r="AX1306" i="2" l="1"/>
  <c r="BB1278" i="2"/>
  <c r="AX582" i="2"/>
  <c r="AX585" i="2"/>
  <c r="V585" i="2"/>
  <c r="H526" i="2"/>
  <c r="AW529" i="2"/>
  <c r="AR529" i="2"/>
  <c r="AM529" i="2"/>
  <c r="AH529" i="2"/>
  <c r="BB1306" i="2" l="1"/>
  <c r="AX1313" i="2"/>
  <c r="AX529" i="2"/>
  <c r="AR479" i="2"/>
  <c r="AM479" i="2"/>
  <c r="AH479" i="2"/>
  <c r="G491" i="2"/>
  <c r="AW478" i="2"/>
  <c r="AR478" i="2"/>
  <c r="AM478" i="2"/>
  <c r="AH478" i="2"/>
  <c r="BP543" i="2"/>
  <c r="BO543" i="2"/>
  <c r="BN543" i="2"/>
  <c r="BM543" i="2"/>
  <c r="BQ542" i="2"/>
  <c r="BQ541" i="2"/>
  <c r="BQ540" i="2"/>
  <c r="BQ539" i="2"/>
  <c r="BQ538" i="2"/>
  <c r="BQ537" i="2"/>
  <c r="BQ536" i="2"/>
  <c r="BQ535" i="2"/>
  <c r="BQ534" i="2"/>
  <c r="BQ533" i="2"/>
  <c r="BQ532" i="2"/>
  <c r="BQ531" i="2"/>
  <c r="BQ530" i="2"/>
  <c r="BQ529" i="2"/>
  <c r="BQ528" i="2"/>
  <c r="BQ527" i="2"/>
  <c r="BQ526" i="2"/>
  <c r="BQ525" i="2"/>
  <c r="BQ524" i="2"/>
  <c r="BQ523" i="2"/>
  <c r="BQ522" i="2"/>
  <c r="BQ521" i="2"/>
  <c r="BQ520" i="2"/>
  <c r="BQ519" i="2"/>
  <c r="BQ518" i="2"/>
  <c r="BQ517" i="2"/>
  <c r="BQ515" i="2"/>
  <c r="BQ514" i="2"/>
  <c r="BQ513" i="2"/>
  <c r="BQ511" i="2"/>
  <c r="BQ510" i="2"/>
  <c r="BQ509" i="2"/>
  <c r="AW476" i="2"/>
  <c r="AR476" i="2"/>
  <c r="AM476" i="2"/>
  <c r="AH476" i="2"/>
  <c r="AW540" i="2"/>
  <c r="AR540" i="2"/>
  <c r="AM540" i="2"/>
  <c r="AH540" i="2"/>
  <c r="AW539" i="2"/>
  <c r="AR539" i="2"/>
  <c r="AM539" i="2"/>
  <c r="AH539" i="2"/>
  <c r="AW538" i="2"/>
  <c r="AR538" i="2"/>
  <c r="AM538" i="2"/>
  <c r="AH538" i="2"/>
  <c r="U475" i="2"/>
  <c r="O475" i="2"/>
  <c r="N475" i="2"/>
  <c r="L475" i="2"/>
  <c r="K475" i="2"/>
  <c r="F475" i="2"/>
  <c r="AX1321" i="2" l="1"/>
  <c r="BB1313" i="2"/>
  <c r="P475" i="2"/>
  <c r="V475" i="2" s="1"/>
  <c r="AX538" i="2"/>
  <c r="AX478" i="2"/>
  <c r="BQ543" i="2"/>
  <c r="AX476" i="2"/>
  <c r="AX540" i="2"/>
  <c r="AX539" i="2"/>
  <c r="AW428" i="2"/>
  <c r="AR428" i="2"/>
  <c r="AM428" i="2"/>
  <c r="AH428" i="2"/>
  <c r="BI543" i="2"/>
  <c r="BH543" i="2"/>
  <c r="BG543" i="2"/>
  <c r="BF543" i="2"/>
  <c r="BJ542" i="2"/>
  <c r="BJ541" i="2"/>
  <c r="BJ540" i="2"/>
  <c r="BJ539" i="2"/>
  <c r="BJ538" i="2"/>
  <c r="BJ537" i="2"/>
  <c r="BJ536" i="2"/>
  <c r="BJ535" i="2"/>
  <c r="BJ534" i="2"/>
  <c r="BJ533" i="2"/>
  <c r="BJ532" i="2"/>
  <c r="BJ531" i="2"/>
  <c r="BJ530" i="2"/>
  <c r="BJ529" i="2"/>
  <c r="BJ528" i="2"/>
  <c r="BJ527" i="2"/>
  <c r="BJ526" i="2"/>
  <c r="BJ525" i="2"/>
  <c r="BJ524" i="2"/>
  <c r="BJ523" i="2"/>
  <c r="BJ522" i="2"/>
  <c r="BJ521" i="2"/>
  <c r="BJ520" i="2"/>
  <c r="BJ519" i="2"/>
  <c r="BJ518" i="2"/>
  <c r="BJ517" i="2"/>
  <c r="BJ515" i="2"/>
  <c r="BJ514" i="2"/>
  <c r="BJ513" i="2"/>
  <c r="BJ511" i="2"/>
  <c r="BJ510" i="2"/>
  <c r="BJ509" i="2"/>
  <c r="AW437" i="2"/>
  <c r="AR437" i="2"/>
  <c r="AM437" i="2"/>
  <c r="AH437" i="2"/>
  <c r="AW427" i="2"/>
  <c r="AR427" i="2"/>
  <c r="AM427" i="2"/>
  <c r="AH427" i="2"/>
  <c r="AV543" i="2"/>
  <c r="AU543" i="2"/>
  <c r="AT543" i="2"/>
  <c r="AS543" i="2"/>
  <c r="AQ543" i="2"/>
  <c r="AP543" i="2"/>
  <c r="AO543" i="2"/>
  <c r="AN543" i="2"/>
  <c r="AL543" i="2"/>
  <c r="AK543" i="2"/>
  <c r="AJ543" i="2"/>
  <c r="AI543" i="2"/>
  <c r="AG543" i="2"/>
  <c r="AF543" i="2"/>
  <c r="AE543" i="2"/>
  <c r="AD543" i="2"/>
  <c r="T543" i="2"/>
  <c r="S543" i="2"/>
  <c r="R543" i="2"/>
  <c r="Q543" i="2"/>
  <c r="O543" i="2"/>
  <c r="N543" i="2"/>
  <c r="M543" i="2"/>
  <c r="L543" i="2"/>
  <c r="J543" i="2"/>
  <c r="I543" i="2"/>
  <c r="H543" i="2"/>
  <c r="G543" i="2"/>
  <c r="E543" i="2"/>
  <c r="D543" i="2"/>
  <c r="C543" i="2"/>
  <c r="B543" i="2"/>
  <c r="AW542" i="2"/>
  <c r="AR542" i="2"/>
  <c r="AM542" i="2"/>
  <c r="AH542" i="2"/>
  <c r="U542" i="2"/>
  <c r="P542" i="2"/>
  <c r="K542" i="2"/>
  <c r="F542" i="2"/>
  <c r="AW541" i="2"/>
  <c r="AR541" i="2"/>
  <c r="AM541" i="2"/>
  <c r="AH541" i="2"/>
  <c r="U541" i="2"/>
  <c r="P541" i="2"/>
  <c r="K541" i="2"/>
  <c r="F541" i="2"/>
  <c r="U540" i="2"/>
  <c r="P540" i="2"/>
  <c r="K540" i="2"/>
  <c r="F540" i="2"/>
  <c r="U539" i="2"/>
  <c r="P539" i="2"/>
  <c r="K539" i="2"/>
  <c r="F539" i="2"/>
  <c r="U538" i="2"/>
  <c r="P538" i="2"/>
  <c r="K538" i="2"/>
  <c r="F538" i="2"/>
  <c r="AW537" i="2"/>
  <c r="AR537" i="2"/>
  <c r="AM537" i="2"/>
  <c r="AH537" i="2"/>
  <c r="U537" i="2"/>
  <c r="P537" i="2"/>
  <c r="K537" i="2"/>
  <c r="F537" i="2"/>
  <c r="AW536" i="2"/>
  <c r="AR536" i="2"/>
  <c r="AM536" i="2"/>
  <c r="AH536" i="2"/>
  <c r="U536" i="2"/>
  <c r="P536" i="2"/>
  <c r="K536" i="2"/>
  <c r="F536" i="2"/>
  <c r="AW535" i="2"/>
  <c r="AR535" i="2"/>
  <c r="AM535" i="2"/>
  <c r="AH535" i="2"/>
  <c r="U535" i="2"/>
  <c r="P535" i="2"/>
  <c r="K535" i="2"/>
  <c r="F535" i="2"/>
  <c r="AW534" i="2"/>
  <c r="AR534" i="2"/>
  <c r="AM534" i="2"/>
  <c r="AH534" i="2"/>
  <c r="U534" i="2"/>
  <c r="P534" i="2"/>
  <c r="K534" i="2"/>
  <c r="F534" i="2"/>
  <c r="AW533" i="2"/>
  <c r="AR533" i="2"/>
  <c r="AM533" i="2"/>
  <c r="AH533" i="2"/>
  <c r="U533" i="2"/>
  <c r="P533" i="2"/>
  <c r="K533" i="2"/>
  <c r="F533" i="2"/>
  <c r="AW532" i="2"/>
  <c r="AR532" i="2"/>
  <c r="AM532" i="2"/>
  <c r="AH532" i="2"/>
  <c r="U532" i="2"/>
  <c r="P532" i="2"/>
  <c r="K532" i="2"/>
  <c r="F532" i="2"/>
  <c r="AW531" i="2"/>
  <c r="AR531" i="2"/>
  <c r="AM531" i="2"/>
  <c r="AH531" i="2"/>
  <c r="U531" i="2"/>
  <c r="P531" i="2"/>
  <c r="K531" i="2"/>
  <c r="F531" i="2"/>
  <c r="AW530" i="2"/>
  <c r="AR530" i="2"/>
  <c r="AM530" i="2"/>
  <c r="AH530" i="2"/>
  <c r="U530" i="2"/>
  <c r="P530" i="2"/>
  <c r="K530" i="2"/>
  <c r="F530" i="2"/>
  <c r="U529" i="2"/>
  <c r="P529" i="2"/>
  <c r="K529" i="2"/>
  <c r="F529" i="2"/>
  <c r="AW528" i="2"/>
  <c r="AR528" i="2"/>
  <c r="AM528" i="2"/>
  <c r="AH528" i="2"/>
  <c r="U528" i="2"/>
  <c r="P528" i="2"/>
  <c r="K528" i="2"/>
  <c r="F528" i="2"/>
  <c r="AW527" i="2"/>
  <c r="AR527" i="2"/>
  <c r="AM527" i="2"/>
  <c r="AH527" i="2"/>
  <c r="U527" i="2"/>
  <c r="P527" i="2"/>
  <c r="K527" i="2"/>
  <c r="F527" i="2"/>
  <c r="AW526" i="2"/>
  <c r="AR526" i="2"/>
  <c r="AM526" i="2"/>
  <c r="AH526" i="2"/>
  <c r="U526" i="2"/>
  <c r="P526" i="2"/>
  <c r="K526" i="2"/>
  <c r="F526" i="2"/>
  <c r="AW525" i="2"/>
  <c r="AR525" i="2"/>
  <c r="AM525" i="2"/>
  <c r="AH525" i="2"/>
  <c r="U525" i="2"/>
  <c r="P525" i="2"/>
  <c r="K525" i="2"/>
  <c r="F525" i="2"/>
  <c r="AW524" i="2"/>
  <c r="AR524" i="2"/>
  <c r="AM524" i="2"/>
  <c r="AH524" i="2"/>
  <c r="U524" i="2"/>
  <c r="P524" i="2"/>
  <c r="K524" i="2"/>
  <c r="F524" i="2"/>
  <c r="AW523" i="2"/>
  <c r="AR523" i="2"/>
  <c r="AM523" i="2"/>
  <c r="AH523" i="2"/>
  <c r="U523" i="2"/>
  <c r="P523" i="2"/>
  <c r="K523" i="2"/>
  <c r="F523" i="2"/>
  <c r="AW522" i="2"/>
  <c r="AR522" i="2"/>
  <c r="AM522" i="2"/>
  <c r="AH522" i="2"/>
  <c r="U522" i="2"/>
  <c r="P522" i="2"/>
  <c r="K522" i="2"/>
  <c r="F522" i="2"/>
  <c r="AW521" i="2"/>
  <c r="AR521" i="2"/>
  <c r="AM521" i="2"/>
  <c r="AH521" i="2"/>
  <c r="U521" i="2"/>
  <c r="P521" i="2"/>
  <c r="K521" i="2"/>
  <c r="F521" i="2"/>
  <c r="AW520" i="2"/>
  <c r="AR520" i="2"/>
  <c r="AM520" i="2"/>
  <c r="AH520" i="2"/>
  <c r="U520" i="2"/>
  <c r="P520" i="2"/>
  <c r="K520" i="2"/>
  <c r="F520" i="2"/>
  <c r="AW519" i="2"/>
  <c r="AR519" i="2"/>
  <c r="AM519" i="2"/>
  <c r="AH519" i="2"/>
  <c r="U519" i="2"/>
  <c r="P519" i="2"/>
  <c r="K519" i="2"/>
  <c r="F519" i="2"/>
  <c r="AW518" i="2"/>
  <c r="AR518" i="2"/>
  <c r="AM518" i="2"/>
  <c r="AH518" i="2"/>
  <c r="U518" i="2"/>
  <c r="P518" i="2"/>
  <c r="K518" i="2"/>
  <c r="F518" i="2"/>
  <c r="AW517" i="2"/>
  <c r="AR517" i="2"/>
  <c r="AM517" i="2"/>
  <c r="AH517" i="2"/>
  <c r="U517" i="2"/>
  <c r="P517" i="2"/>
  <c r="K517" i="2"/>
  <c r="F517" i="2"/>
  <c r="AW515" i="2"/>
  <c r="AR515" i="2"/>
  <c r="AM515" i="2"/>
  <c r="AH515" i="2"/>
  <c r="U515" i="2"/>
  <c r="P515" i="2"/>
  <c r="K515" i="2"/>
  <c r="F515" i="2"/>
  <c r="AW514" i="2"/>
  <c r="AR514" i="2"/>
  <c r="AM514" i="2"/>
  <c r="AH514" i="2"/>
  <c r="U514" i="2"/>
  <c r="P514" i="2"/>
  <c r="K514" i="2"/>
  <c r="F514" i="2"/>
  <c r="AW513" i="2"/>
  <c r="AR513" i="2"/>
  <c r="AM513" i="2"/>
  <c r="AH513" i="2"/>
  <c r="U513" i="2"/>
  <c r="P513" i="2"/>
  <c r="K513" i="2"/>
  <c r="F513" i="2"/>
  <c r="AM512" i="2"/>
  <c r="AH512" i="2"/>
  <c r="U512" i="2"/>
  <c r="P512" i="2"/>
  <c r="K512" i="2"/>
  <c r="F512" i="2"/>
  <c r="AW511" i="2"/>
  <c r="AR511" i="2"/>
  <c r="AM511" i="2"/>
  <c r="AH511" i="2"/>
  <c r="U511" i="2"/>
  <c r="P511" i="2"/>
  <c r="K511" i="2"/>
  <c r="F511" i="2"/>
  <c r="AW510" i="2"/>
  <c r="AR510" i="2"/>
  <c r="AM510" i="2"/>
  <c r="AH510" i="2"/>
  <c r="U510" i="2"/>
  <c r="P510" i="2"/>
  <c r="K510" i="2"/>
  <c r="F510" i="2"/>
  <c r="AW509" i="2"/>
  <c r="AR509" i="2"/>
  <c r="AM509" i="2"/>
  <c r="AH509" i="2"/>
  <c r="U509" i="2"/>
  <c r="P509" i="2"/>
  <c r="K509" i="2"/>
  <c r="F509" i="2"/>
  <c r="AV501" i="2"/>
  <c r="AU501" i="2"/>
  <c r="AT501" i="2"/>
  <c r="AS501" i="2"/>
  <c r="AQ501" i="2"/>
  <c r="AP501" i="2"/>
  <c r="AO501" i="2"/>
  <c r="AN501" i="2"/>
  <c r="AL501" i="2"/>
  <c r="AK501" i="2"/>
  <c r="AJ501" i="2"/>
  <c r="AI501" i="2"/>
  <c r="AG501" i="2"/>
  <c r="AF501" i="2"/>
  <c r="AE501" i="2"/>
  <c r="AD501" i="2"/>
  <c r="T501" i="2"/>
  <c r="S501" i="2"/>
  <c r="R501" i="2"/>
  <c r="Q501" i="2"/>
  <c r="O501" i="2"/>
  <c r="N501" i="2"/>
  <c r="M501" i="2"/>
  <c r="L501" i="2"/>
  <c r="J501" i="2"/>
  <c r="H501" i="2"/>
  <c r="C501" i="2"/>
  <c r="AW500" i="2"/>
  <c r="AR500" i="2"/>
  <c r="AM500" i="2"/>
  <c r="AH500" i="2"/>
  <c r="U500" i="2"/>
  <c r="P500" i="2"/>
  <c r="K500" i="2"/>
  <c r="F500" i="2"/>
  <c r="AW499" i="2"/>
  <c r="AR499" i="2"/>
  <c r="AM499" i="2"/>
  <c r="AH499" i="2"/>
  <c r="U499" i="2"/>
  <c r="P499" i="2"/>
  <c r="K499" i="2"/>
  <c r="F499" i="2"/>
  <c r="AW498" i="2"/>
  <c r="AR498" i="2"/>
  <c r="AM498" i="2"/>
  <c r="AH498" i="2"/>
  <c r="U498" i="2"/>
  <c r="P498" i="2"/>
  <c r="K498" i="2"/>
  <c r="F498" i="2"/>
  <c r="AW497" i="2"/>
  <c r="AR497" i="2"/>
  <c r="AM497" i="2"/>
  <c r="AH497" i="2"/>
  <c r="U497" i="2"/>
  <c r="P497" i="2"/>
  <c r="K497" i="2"/>
  <c r="F497" i="2"/>
  <c r="AW496" i="2"/>
  <c r="AR496" i="2"/>
  <c r="AM496" i="2"/>
  <c r="AH496" i="2"/>
  <c r="U496" i="2"/>
  <c r="P496" i="2"/>
  <c r="K496" i="2"/>
  <c r="F496" i="2"/>
  <c r="AW495" i="2"/>
  <c r="AR495" i="2"/>
  <c r="AM495" i="2"/>
  <c r="AH495" i="2"/>
  <c r="U495" i="2"/>
  <c r="P495" i="2"/>
  <c r="K495" i="2"/>
  <c r="F495" i="2"/>
  <c r="AW494" i="2"/>
  <c r="AR494" i="2"/>
  <c r="AM494" i="2"/>
  <c r="AH494" i="2"/>
  <c r="U494" i="2"/>
  <c r="P494" i="2"/>
  <c r="K494" i="2"/>
  <c r="F494" i="2"/>
  <c r="AW493" i="2"/>
  <c r="AR493" i="2"/>
  <c r="AM493" i="2"/>
  <c r="AH493" i="2"/>
  <c r="U493" i="2"/>
  <c r="P493" i="2"/>
  <c r="K493" i="2"/>
  <c r="F493" i="2"/>
  <c r="AW492" i="2"/>
  <c r="AR492" i="2"/>
  <c r="AM492" i="2"/>
  <c r="AH492" i="2"/>
  <c r="U492" i="2"/>
  <c r="P492" i="2"/>
  <c r="K492" i="2"/>
  <c r="F492" i="2"/>
  <c r="AW491" i="2"/>
  <c r="AR491" i="2"/>
  <c r="AM491" i="2"/>
  <c r="AH491" i="2"/>
  <c r="U491" i="2"/>
  <c r="P491" i="2"/>
  <c r="K491" i="2"/>
  <c r="F491" i="2"/>
  <c r="AW490" i="2"/>
  <c r="AR490" i="2"/>
  <c r="AM490" i="2"/>
  <c r="AH490" i="2"/>
  <c r="U490" i="2"/>
  <c r="P490" i="2"/>
  <c r="K490" i="2"/>
  <c r="F490" i="2"/>
  <c r="AW489" i="2"/>
  <c r="AR489" i="2"/>
  <c r="AM489" i="2"/>
  <c r="AH489" i="2"/>
  <c r="U489" i="2"/>
  <c r="P489" i="2"/>
  <c r="K489" i="2"/>
  <c r="F489" i="2"/>
  <c r="AW488" i="2"/>
  <c r="AR488" i="2"/>
  <c r="AM488" i="2"/>
  <c r="AH488" i="2"/>
  <c r="U488" i="2"/>
  <c r="P488" i="2"/>
  <c r="K488" i="2"/>
  <c r="F488" i="2"/>
  <c r="AW487" i="2"/>
  <c r="AR487" i="2"/>
  <c r="AM487" i="2"/>
  <c r="AH487" i="2"/>
  <c r="U487" i="2"/>
  <c r="P487" i="2"/>
  <c r="K487" i="2"/>
  <c r="F487" i="2"/>
  <c r="AW486" i="2"/>
  <c r="AR486" i="2"/>
  <c r="AM486" i="2"/>
  <c r="AH486" i="2"/>
  <c r="U486" i="2"/>
  <c r="P486" i="2"/>
  <c r="K486" i="2"/>
  <c r="F486" i="2"/>
  <c r="AW485" i="2"/>
  <c r="AR485" i="2"/>
  <c r="AM485" i="2"/>
  <c r="AH485" i="2"/>
  <c r="U485" i="2"/>
  <c r="P485" i="2"/>
  <c r="K485" i="2"/>
  <c r="F485" i="2"/>
  <c r="AW484" i="2"/>
  <c r="AR484" i="2"/>
  <c r="AM484" i="2"/>
  <c r="AH484" i="2"/>
  <c r="U484" i="2"/>
  <c r="P484" i="2"/>
  <c r="K484" i="2"/>
  <c r="F484" i="2"/>
  <c r="AW483" i="2"/>
  <c r="AR483" i="2"/>
  <c r="AM483" i="2"/>
  <c r="AH483" i="2"/>
  <c r="U483" i="2"/>
  <c r="P483" i="2"/>
  <c r="K483" i="2"/>
  <c r="F483" i="2"/>
  <c r="AW482" i="2"/>
  <c r="AR482" i="2"/>
  <c r="AM482" i="2"/>
  <c r="AH482" i="2"/>
  <c r="U482" i="2"/>
  <c r="P482" i="2"/>
  <c r="K482" i="2"/>
  <c r="F482" i="2"/>
  <c r="AW481" i="2"/>
  <c r="AR481" i="2"/>
  <c r="AM481" i="2"/>
  <c r="AH481" i="2"/>
  <c r="U481" i="2"/>
  <c r="P481" i="2"/>
  <c r="K481" i="2"/>
  <c r="F481" i="2"/>
  <c r="AW480" i="2"/>
  <c r="AR480" i="2"/>
  <c r="AM480" i="2"/>
  <c r="AH480" i="2"/>
  <c r="U480" i="2"/>
  <c r="P480" i="2"/>
  <c r="I501" i="2"/>
  <c r="G501" i="2"/>
  <c r="E501" i="2"/>
  <c r="D501" i="2"/>
  <c r="B501" i="2"/>
  <c r="AW479" i="2"/>
  <c r="U479" i="2"/>
  <c r="P479" i="2"/>
  <c r="K479" i="2"/>
  <c r="F479" i="2"/>
  <c r="U478" i="2"/>
  <c r="P478" i="2"/>
  <c r="K478" i="2"/>
  <c r="F478" i="2"/>
  <c r="AW477" i="2"/>
  <c r="AR477" i="2"/>
  <c r="AM477" i="2"/>
  <c r="AH477" i="2"/>
  <c r="U477" i="2"/>
  <c r="P477" i="2"/>
  <c r="K477" i="2"/>
  <c r="F477" i="2"/>
  <c r="U476" i="2"/>
  <c r="P476" i="2"/>
  <c r="K476" i="2"/>
  <c r="F476" i="2"/>
  <c r="AW475" i="2"/>
  <c r="AR475" i="2"/>
  <c r="AM475" i="2"/>
  <c r="AH475" i="2"/>
  <c r="AW473" i="2"/>
  <c r="AR473" i="2"/>
  <c r="AM473" i="2"/>
  <c r="AH473" i="2"/>
  <c r="U473" i="2"/>
  <c r="P473" i="2"/>
  <c r="K473" i="2"/>
  <c r="F473" i="2"/>
  <c r="AW472" i="2"/>
  <c r="AR472" i="2"/>
  <c r="AM472" i="2"/>
  <c r="AH472" i="2"/>
  <c r="U472" i="2"/>
  <c r="P472" i="2"/>
  <c r="K472" i="2"/>
  <c r="F472" i="2"/>
  <c r="AW471" i="2"/>
  <c r="AR471" i="2"/>
  <c r="AM471" i="2"/>
  <c r="AH471" i="2"/>
  <c r="U471" i="2"/>
  <c r="P471" i="2"/>
  <c r="K471" i="2"/>
  <c r="F471" i="2"/>
  <c r="AM470" i="2"/>
  <c r="AH470" i="2"/>
  <c r="U470" i="2"/>
  <c r="P470" i="2"/>
  <c r="K470" i="2"/>
  <c r="F470" i="2"/>
  <c r="AW469" i="2"/>
  <c r="AR469" i="2"/>
  <c r="AM469" i="2"/>
  <c r="AH469" i="2"/>
  <c r="U469" i="2"/>
  <c r="P469" i="2"/>
  <c r="K469" i="2"/>
  <c r="F469" i="2"/>
  <c r="AW468" i="2"/>
  <c r="AR468" i="2"/>
  <c r="AM468" i="2"/>
  <c r="AH468" i="2"/>
  <c r="U468" i="2"/>
  <c r="P468" i="2"/>
  <c r="K468" i="2"/>
  <c r="F468" i="2"/>
  <c r="AW467" i="2"/>
  <c r="AR467" i="2"/>
  <c r="AM467" i="2"/>
  <c r="AH467" i="2"/>
  <c r="U467" i="2"/>
  <c r="P467" i="2"/>
  <c r="K467" i="2"/>
  <c r="F467" i="2"/>
  <c r="BB1321" i="2" l="1"/>
  <c r="AX1349" i="2"/>
  <c r="AJ713" i="2"/>
  <c r="AQ713" i="2"/>
  <c r="AD713" i="2"/>
  <c r="AK713" i="2"/>
  <c r="AS713" i="2"/>
  <c r="AE713" i="2"/>
  <c r="AL713" i="2"/>
  <c r="AT713" i="2"/>
  <c r="AF713" i="2"/>
  <c r="AN713" i="2"/>
  <c r="AU713" i="2"/>
  <c r="AG713" i="2"/>
  <c r="AO713" i="2"/>
  <c r="AV713" i="2"/>
  <c r="AI713" i="2"/>
  <c r="AP713" i="2"/>
  <c r="AX428" i="2"/>
  <c r="BJ543" i="2"/>
  <c r="AX437" i="2"/>
  <c r="AX427" i="2"/>
  <c r="V510" i="2"/>
  <c r="AX511" i="2"/>
  <c r="V514" i="2"/>
  <c r="AX515" i="2"/>
  <c r="V518" i="2"/>
  <c r="AX519" i="2"/>
  <c r="V521" i="2"/>
  <c r="AX522" i="2"/>
  <c r="V524" i="2"/>
  <c r="AX525" i="2"/>
  <c r="V527" i="2"/>
  <c r="AX528" i="2"/>
  <c r="V530" i="2"/>
  <c r="AX531" i="2"/>
  <c r="V533" i="2"/>
  <c r="AX534" i="2"/>
  <c r="V536" i="2"/>
  <c r="AX537" i="2"/>
  <c r="V539" i="2"/>
  <c r="AH543" i="2"/>
  <c r="V467" i="2"/>
  <c r="V471" i="2"/>
  <c r="AX479" i="2"/>
  <c r="V542" i="2"/>
  <c r="V470" i="2"/>
  <c r="AX472" i="2"/>
  <c r="V478" i="2"/>
  <c r="K543" i="2"/>
  <c r="V509" i="2"/>
  <c r="V512" i="2"/>
  <c r="V513" i="2"/>
  <c r="AX514" i="2"/>
  <c r="V517" i="2"/>
  <c r="AX518" i="2"/>
  <c r="V520" i="2"/>
  <c r="AX521" i="2"/>
  <c r="V523" i="2"/>
  <c r="AX524" i="2"/>
  <c r="V526" i="2"/>
  <c r="AX527" i="2"/>
  <c r="V529" i="2"/>
  <c r="AX530" i="2"/>
  <c r="V532" i="2"/>
  <c r="AX533" i="2"/>
  <c r="V535" i="2"/>
  <c r="AX536" i="2"/>
  <c r="V538" i="2"/>
  <c r="V541" i="2"/>
  <c r="AX542" i="2"/>
  <c r="P543" i="2"/>
  <c r="AM543" i="2"/>
  <c r="AW543" i="2"/>
  <c r="V468" i="2"/>
  <c r="V472" i="2"/>
  <c r="AX473" i="2"/>
  <c r="V476" i="2"/>
  <c r="AX477" i="2"/>
  <c r="U501" i="2"/>
  <c r="AR501" i="2"/>
  <c r="AX512" i="2"/>
  <c r="K501" i="2"/>
  <c r="AX481" i="2"/>
  <c r="V483" i="2"/>
  <c r="AX484" i="2"/>
  <c r="V486" i="2"/>
  <c r="AX487" i="2"/>
  <c r="V489" i="2"/>
  <c r="AX490" i="2"/>
  <c r="V492" i="2"/>
  <c r="AX493" i="2"/>
  <c r="V495" i="2"/>
  <c r="AX496" i="2"/>
  <c r="V498" i="2"/>
  <c r="AX499" i="2"/>
  <c r="V481" i="2"/>
  <c r="AX482" i="2"/>
  <c r="V484" i="2"/>
  <c r="AX485" i="2"/>
  <c r="V487" i="2"/>
  <c r="AX488" i="2"/>
  <c r="V490" i="2"/>
  <c r="AX491" i="2"/>
  <c r="V493" i="2"/>
  <c r="AX494" i="2"/>
  <c r="V496" i="2"/>
  <c r="AX497" i="2"/>
  <c r="V499" i="2"/>
  <c r="AX500" i="2"/>
  <c r="V469" i="2"/>
  <c r="AX470" i="2"/>
  <c r="AX471" i="2"/>
  <c r="V473" i="2"/>
  <c r="V477" i="2"/>
  <c r="P501" i="2"/>
  <c r="AM501" i="2"/>
  <c r="AX509" i="2"/>
  <c r="V511" i="2"/>
  <c r="AX513" i="2"/>
  <c r="V515" i="2"/>
  <c r="AX517" i="2"/>
  <c r="V519" i="2"/>
  <c r="AX520" i="2"/>
  <c r="V522" i="2"/>
  <c r="AX523" i="2"/>
  <c r="V525" i="2"/>
  <c r="AX526" i="2"/>
  <c r="V528" i="2"/>
  <c r="V531" i="2"/>
  <c r="AX532" i="2"/>
  <c r="V534" i="2"/>
  <c r="AX535" i="2"/>
  <c r="V537" i="2"/>
  <c r="V540" i="2"/>
  <c r="AX541" i="2"/>
  <c r="F543" i="2"/>
  <c r="U543" i="2"/>
  <c r="AR543" i="2"/>
  <c r="AX480" i="2"/>
  <c r="V482" i="2"/>
  <c r="AX483" i="2"/>
  <c r="V485" i="2"/>
  <c r="AX486" i="2"/>
  <c r="V488" i="2"/>
  <c r="AX489" i="2"/>
  <c r="V491" i="2"/>
  <c r="AX492" i="2"/>
  <c r="V494" i="2"/>
  <c r="AX495" i="2"/>
  <c r="V497" i="2"/>
  <c r="AX498" i="2"/>
  <c r="V500" i="2"/>
  <c r="AX510" i="2"/>
  <c r="AX467" i="2"/>
  <c r="AX469" i="2"/>
  <c r="AW501" i="2"/>
  <c r="AX475" i="2"/>
  <c r="AH501" i="2"/>
  <c r="V479" i="2"/>
  <c r="F501" i="2"/>
  <c r="AX468" i="2"/>
  <c r="F480" i="2"/>
  <c r="K480" i="2"/>
  <c r="AW426" i="2"/>
  <c r="AR426" i="2"/>
  <c r="AK426" i="2"/>
  <c r="AI426" i="2"/>
  <c r="AG426" i="2"/>
  <c r="AF426" i="2"/>
  <c r="AD426" i="2"/>
  <c r="I438" i="2"/>
  <c r="G438" i="2"/>
  <c r="E438" i="2"/>
  <c r="D438" i="2"/>
  <c r="B438" i="2"/>
  <c r="AW425" i="2"/>
  <c r="AR425" i="2"/>
  <c r="AM425" i="2"/>
  <c r="AH425" i="2"/>
  <c r="BB1349" i="2" l="1"/>
  <c r="AX1356" i="2"/>
  <c r="AW713" i="2"/>
  <c r="AW714" i="2" s="1"/>
  <c r="AR713" i="2"/>
  <c r="AR714" i="2" s="1"/>
  <c r="AM713" i="2"/>
  <c r="AM714" i="2" s="1"/>
  <c r="AH713" i="2"/>
  <c r="AH714" i="2" s="1"/>
  <c r="AX543" i="2"/>
  <c r="AX425" i="2"/>
  <c r="V543" i="2"/>
  <c r="AH426" i="2"/>
  <c r="V501" i="2"/>
  <c r="AM426" i="2"/>
  <c r="AX501" i="2"/>
  <c r="V480" i="2"/>
  <c r="AU459" i="2"/>
  <c r="AR458" i="2"/>
  <c r="AH458" i="2"/>
  <c r="AW457" i="2"/>
  <c r="AR457" i="2"/>
  <c r="AM457" i="2"/>
  <c r="AH457" i="2"/>
  <c r="AW456" i="2"/>
  <c r="AR456" i="2"/>
  <c r="AM456" i="2"/>
  <c r="AH456" i="2"/>
  <c r="AW455" i="2"/>
  <c r="AR455" i="2"/>
  <c r="AM455" i="2"/>
  <c r="AH455" i="2"/>
  <c r="AW454" i="2"/>
  <c r="AR454" i="2"/>
  <c r="AL459" i="2"/>
  <c r="AM454" i="2"/>
  <c r="AH454" i="2"/>
  <c r="AW453" i="2"/>
  <c r="AR453" i="2"/>
  <c r="AM453" i="2"/>
  <c r="AH453" i="2"/>
  <c r="AD459" i="2"/>
  <c r="AE459" i="2"/>
  <c r="AF459" i="2"/>
  <c r="AG459" i="2"/>
  <c r="AK459" i="2"/>
  <c r="AN459" i="2"/>
  <c r="AO459" i="2"/>
  <c r="AP459" i="2"/>
  <c r="AQ459" i="2"/>
  <c r="AT459" i="2"/>
  <c r="AV459" i="2"/>
  <c r="AX1364" i="2" l="1"/>
  <c r="BB1356" i="2"/>
  <c r="AF714" i="2"/>
  <c r="AV714" i="2"/>
  <c r="AS714" i="2"/>
  <c r="AU714" i="2"/>
  <c r="AT714" i="2"/>
  <c r="AD714" i="2"/>
  <c r="AQ714" i="2"/>
  <c r="AK714" i="2"/>
  <c r="AN714" i="2"/>
  <c r="AL714" i="2"/>
  <c r="AJ714" i="2"/>
  <c r="AP714" i="2"/>
  <c r="AI714" i="2"/>
  <c r="AO714" i="2"/>
  <c r="AE714" i="2"/>
  <c r="AX713" i="2"/>
  <c r="AG714" i="2"/>
  <c r="AX426" i="2"/>
  <c r="AX457" i="2"/>
  <c r="AS459" i="2"/>
  <c r="AW459" i="2" s="1"/>
  <c r="AJ459" i="2"/>
  <c r="AX455" i="2"/>
  <c r="AM458" i="2"/>
  <c r="AX454" i="2"/>
  <c r="AX453" i="2"/>
  <c r="AX456" i="2"/>
  <c r="AW458" i="2"/>
  <c r="AR459" i="2"/>
  <c r="AI459" i="2"/>
  <c r="AH459" i="2"/>
  <c r="AW409" i="2"/>
  <c r="AR409" i="2"/>
  <c r="AM409" i="2"/>
  <c r="AH409" i="2"/>
  <c r="T459" i="2"/>
  <c r="S459" i="2"/>
  <c r="R459" i="2"/>
  <c r="Q459" i="2"/>
  <c r="O459" i="2"/>
  <c r="N459" i="2"/>
  <c r="M459" i="2"/>
  <c r="L459" i="2"/>
  <c r="J459" i="2"/>
  <c r="I459" i="2"/>
  <c r="H459" i="2"/>
  <c r="G459" i="2"/>
  <c r="E459" i="2"/>
  <c r="D459" i="2"/>
  <c r="C459" i="2"/>
  <c r="B459" i="2"/>
  <c r="U458" i="2"/>
  <c r="P458" i="2"/>
  <c r="K458" i="2"/>
  <c r="F458" i="2"/>
  <c r="U457" i="2"/>
  <c r="P457" i="2"/>
  <c r="K457" i="2"/>
  <c r="F457" i="2"/>
  <c r="U456" i="2"/>
  <c r="P456" i="2"/>
  <c r="K456" i="2"/>
  <c r="F456" i="2"/>
  <c r="U455" i="2"/>
  <c r="P455" i="2"/>
  <c r="K455" i="2"/>
  <c r="F455" i="2"/>
  <c r="U454" i="2"/>
  <c r="P454" i="2"/>
  <c r="K454" i="2"/>
  <c r="F454" i="2"/>
  <c r="U453" i="2"/>
  <c r="P453" i="2"/>
  <c r="K453" i="2"/>
  <c r="F453" i="2"/>
  <c r="AW452" i="2"/>
  <c r="AR452" i="2"/>
  <c r="AM452" i="2"/>
  <c r="AH452" i="2"/>
  <c r="U452" i="2"/>
  <c r="P452" i="2"/>
  <c r="K452" i="2"/>
  <c r="F452" i="2"/>
  <c r="AW451" i="2"/>
  <c r="AR451" i="2"/>
  <c r="AM451" i="2"/>
  <c r="AH451" i="2"/>
  <c r="U451" i="2"/>
  <c r="P451" i="2"/>
  <c r="K451" i="2"/>
  <c r="F451" i="2"/>
  <c r="AW450" i="2"/>
  <c r="AR450" i="2"/>
  <c r="AM450" i="2"/>
  <c r="AH450" i="2"/>
  <c r="U450" i="2"/>
  <c r="P450" i="2"/>
  <c r="K450" i="2"/>
  <c r="F450" i="2"/>
  <c r="AW449" i="2"/>
  <c r="AR449" i="2"/>
  <c r="AM449" i="2"/>
  <c r="AH449" i="2"/>
  <c r="U449" i="2"/>
  <c r="P449" i="2"/>
  <c r="K449" i="2"/>
  <c r="F449" i="2"/>
  <c r="AW448" i="2"/>
  <c r="AR448" i="2"/>
  <c r="AM448" i="2"/>
  <c r="AH448" i="2"/>
  <c r="U448" i="2"/>
  <c r="P448" i="2"/>
  <c r="K448" i="2"/>
  <c r="F448" i="2"/>
  <c r="AW447" i="2"/>
  <c r="AR447" i="2"/>
  <c r="AM447" i="2"/>
  <c r="AH447" i="2"/>
  <c r="U447" i="2"/>
  <c r="P447" i="2"/>
  <c r="K447" i="2"/>
  <c r="F447" i="2"/>
  <c r="AW446" i="2"/>
  <c r="AR446" i="2"/>
  <c r="AM446" i="2"/>
  <c r="AH446" i="2"/>
  <c r="U446" i="2"/>
  <c r="P446" i="2"/>
  <c r="K446" i="2"/>
  <c r="F446" i="2"/>
  <c r="AW445" i="2"/>
  <c r="AR445" i="2"/>
  <c r="AM445" i="2"/>
  <c r="AH445" i="2"/>
  <c r="U445" i="2"/>
  <c r="P445" i="2"/>
  <c r="K445" i="2"/>
  <c r="F445" i="2"/>
  <c r="AW444" i="2"/>
  <c r="AR444" i="2"/>
  <c r="AM444" i="2"/>
  <c r="AH444" i="2"/>
  <c r="U444" i="2"/>
  <c r="P444" i="2"/>
  <c r="K444" i="2"/>
  <c r="F444" i="2"/>
  <c r="AW443" i="2"/>
  <c r="AR443" i="2"/>
  <c r="AM443" i="2"/>
  <c r="AH443" i="2"/>
  <c r="U443" i="2"/>
  <c r="P443" i="2"/>
  <c r="K443" i="2"/>
  <c r="F443" i="2"/>
  <c r="AW442" i="2"/>
  <c r="AR442" i="2"/>
  <c r="AM442" i="2"/>
  <c r="AH442" i="2"/>
  <c r="U442" i="2"/>
  <c r="P442" i="2"/>
  <c r="K442" i="2"/>
  <c r="F442" i="2"/>
  <c r="AW441" i="2"/>
  <c r="AR441" i="2"/>
  <c r="AM441" i="2"/>
  <c r="AH441" i="2"/>
  <c r="U441" i="2"/>
  <c r="P441" i="2"/>
  <c r="K441" i="2"/>
  <c r="F441" i="2"/>
  <c r="AW440" i="2"/>
  <c r="AR440" i="2"/>
  <c r="AM440" i="2"/>
  <c r="AH440" i="2"/>
  <c r="U440" i="2"/>
  <c r="P440" i="2"/>
  <c r="K440" i="2"/>
  <c r="F440" i="2"/>
  <c r="AW439" i="2"/>
  <c r="AR439" i="2"/>
  <c r="AM439" i="2"/>
  <c r="AH439" i="2"/>
  <c r="U439" i="2"/>
  <c r="P439" i="2"/>
  <c r="K439" i="2"/>
  <c r="F439" i="2"/>
  <c r="AW438" i="2"/>
  <c r="AR438" i="2"/>
  <c r="AM438" i="2"/>
  <c r="AH438" i="2"/>
  <c r="U438" i="2"/>
  <c r="P438" i="2"/>
  <c r="K438" i="2"/>
  <c r="F438" i="2"/>
  <c r="U437" i="2"/>
  <c r="P437" i="2"/>
  <c r="K437" i="2"/>
  <c r="F437" i="2"/>
  <c r="AW436" i="2"/>
  <c r="AR436" i="2"/>
  <c r="AM436" i="2"/>
  <c r="AH436" i="2"/>
  <c r="U436" i="2"/>
  <c r="P436" i="2"/>
  <c r="K436" i="2"/>
  <c r="F436" i="2"/>
  <c r="AW435" i="2"/>
  <c r="AR435" i="2"/>
  <c r="AM435" i="2"/>
  <c r="AH435" i="2"/>
  <c r="U435" i="2"/>
  <c r="P435" i="2"/>
  <c r="K435" i="2"/>
  <c r="F435" i="2"/>
  <c r="AW434" i="2"/>
  <c r="AR434" i="2"/>
  <c r="AM434" i="2"/>
  <c r="AH434" i="2"/>
  <c r="U434" i="2"/>
  <c r="P434" i="2"/>
  <c r="K434" i="2"/>
  <c r="F434" i="2"/>
  <c r="AW433" i="2"/>
  <c r="AR433" i="2"/>
  <c r="AM433" i="2"/>
  <c r="AH433" i="2"/>
  <c r="U433" i="2"/>
  <c r="P433" i="2"/>
  <c r="K433" i="2"/>
  <c r="F433" i="2"/>
  <c r="AW431" i="2"/>
  <c r="AR431" i="2"/>
  <c r="AM431" i="2"/>
  <c r="AH431" i="2"/>
  <c r="U431" i="2"/>
  <c r="P431" i="2"/>
  <c r="K431" i="2"/>
  <c r="F431" i="2"/>
  <c r="AW430" i="2"/>
  <c r="AR430" i="2"/>
  <c r="AM430" i="2"/>
  <c r="AH430" i="2"/>
  <c r="U430" i="2"/>
  <c r="P430" i="2"/>
  <c r="K430" i="2"/>
  <c r="F430" i="2"/>
  <c r="AW429" i="2"/>
  <c r="AR429" i="2"/>
  <c r="AM429" i="2"/>
  <c r="AH429" i="2"/>
  <c r="U429" i="2"/>
  <c r="P429" i="2"/>
  <c r="K429" i="2"/>
  <c r="F429" i="2"/>
  <c r="U428" i="2"/>
  <c r="P428" i="2"/>
  <c r="K428" i="2"/>
  <c r="F428" i="2"/>
  <c r="U427" i="2"/>
  <c r="P427" i="2"/>
  <c r="K427" i="2"/>
  <c r="F427" i="2"/>
  <c r="U426" i="2"/>
  <c r="P426" i="2"/>
  <c r="K426" i="2"/>
  <c r="F426" i="2"/>
  <c r="U425" i="2"/>
  <c r="P425" i="2"/>
  <c r="K425" i="2"/>
  <c r="F425" i="2"/>
  <c r="AX1392" i="2" l="1"/>
  <c r="BB1364" i="2"/>
  <c r="AM459" i="2"/>
  <c r="AX458" i="2"/>
  <c r="V431" i="2"/>
  <c r="V458" i="2"/>
  <c r="V457" i="2"/>
  <c r="AX409" i="2"/>
  <c r="V425" i="2"/>
  <c r="AX431" i="2"/>
  <c r="V434" i="2"/>
  <c r="V440" i="2"/>
  <c r="P459" i="2"/>
  <c r="V426" i="2"/>
  <c r="V427" i="2"/>
  <c r="AX429" i="2"/>
  <c r="V438" i="2"/>
  <c r="V428" i="2"/>
  <c r="V429" i="2"/>
  <c r="AX430" i="2"/>
  <c r="V436" i="2"/>
  <c r="V442" i="2"/>
  <c r="U459" i="2"/>
  <c r="F459" i="2"/>
  <c r="AX433" i="2"/>
  <c r="AX434" i="2"/>
  <c r="AX435" i="2"/>
  <c r="AX436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V445" i="2"/>
  <c r="V447" i="2"/>
  <c r="V449" i="2"/>
  <c r="V451" i="2"/>
  <c r="V453" i="2"/>
  <c r="V456" i="2"/>
  <c r="V443" i="2"/>
  <c r="V433" i="2"/>
  <c r="V435" i="2"/>
  <c r="V437" i="2"/>
  <c r="V439" i="2"/>
  <c r="V441" i="2"/>
  <c r="V444" i="2"/>
  <c r="V446" i="2"/>
  <c r="V450" i="2"/>
  <c r="V452" i="2"/>
  <c r="V454" i="2"/>
  <c r="V455" i="2"/>
  <c r="K459" i="2"/>
  <c r="V448" i="2"/>
  <c r="V430" i="2"/>
  <c r="BB1392" i="2" l="1"/>
  <c r="AX1399" i="2"/>
  <c r="AX459" i="2"/>
  <c r="V459" i="2"/>
  <c r="AW383" i="2"/>
  <c r="AR383" i="2"/>
  <c r="AM383" i="2"/>
  <c r="AH383" i="2"/>
  <c r="G406" i="2"/>
  <c r="AX1407" i="2" l="1"/>
  <c r="BB1399" i="2"/>
  <c r="AX383" i="2"/>
  <c r="BB1407" i="2" l="1"/>
  <c r="AX1435" i="2"/>
  <c r="I401" i="2"/>
  <c r="BB1435" i="2" l="1"/>
  <c r="AX1442" i="2"/>
  <c r="C398" i="2"/>
  <c r="AX1450" i="2" l="1"/>
  <c r="BB1442" i="2"/>
  <c r="U395" i="2"/>
  <c r="P395" i="2"/>
  <c r="K395" i="2"/>
  <c r="F395" i="2"/>
  <c r="U394" i="2"/>
  <c r="P394" i="2"/>
  <c r="K394" i="2"/>
  <c r="F394" i="2"/>
  <c r="AX1478" i="2" l="1"/>
  <c r="BB1450" i="2"/>
  <c r="V394" i="2"/>
  <c r="V395" i="2"/>
  <c r="H392" i="2"/>
  <c r="J392" i="2"/>
  <c r="N358" i="2"/>
  <c r="H358" i="2"/>
  <c r="U346" i="2"/>
  <c r="AW374" i="2"/>
  <c r="AR374" i="2"/>
  <c r="AM374" i="2"/>
  <c r="AH374" i="2"/>
  <c r="BB1478" i="2" l="1"/>
  <c r="AX374" i="2"/>
  <c r="R358" i="2"/>
  <c r="AW391" i="2"/>
  <c r="AR391" i="2"/>
  <c r="AM391" i="2"/>
  <c r="AH391" i="2"/>
  <c r="AX391" i="2" l="1"/>
  <c r="Q356" i="2" l="1"/>
  <c r="AV417" i="2"/>
  <c r="AU417" i="2"/>
  <c r="AT417" i="2"/>
  <c r="AS417" i="2"/>
  <c r="AQ417" i="2"/>
  <c r="AP417" i="2"/>
  <c r="AO417" i="2"/>
  <c r="AN417" i="2"/>
  <c r="T417" i="2"/>
  <c r="S417" i="2"/>
  <c r="R417" i="2"/>
  <c r="Q417" i="2"/>
  <c r="O417" i="2"/>
  <c r="N417" i="2"/>
  <c r="M417" i="2"/>
  <c r="L417" i="2"/>
  <c r="J417" i="2"/>
  <c r="I417" i="2"/>
  <c r="G417" i="2"/>
  <c r="E417" i="2"/>
  <c r="D417" i="2"/>
  <c r="C417" i="2"/>
  <c r="B417" i="2"/>
  <c r="AW416" i="2"/>
  <c r="AR416" i="2"/>
  <c r="AM416" i="2"/>
  <c r="AH416" i="2"/>
  <c r="U416" i="2"/>
  <c r="P416" i="2"/>
  <c r="K416" i="2"/>
  <c r="F416" i="2"/>
  <c r="AW415" i="2"/>
  <c r="AR415" i="2"/>
  <c r="AM415" i="2"/>
  <c r="AH415" i="2"/>
  <c r="U415" i="2"/>
  <c r="P415" i="2"/>
  <c r="K415" i="2"/>
  <c r="F415" i="2"/>
  <c r="AW414" i="2"/>
  <c r="AR414" i="2"/>
  <c r="AH414" i="2"/>
  <c r="U414" i="2"/>
  <c r="P414" i="2"/>
  <c r="K414" i="2"/>
  <c r="F414" i="2"/>
  <c r="AW413" i="2"/>
  <c r="AR413" i="2"/>
  <c r="AH413" i="2"/>
  <c r="U413" i="2"/>
  <c r="P413" i="2"/>
  <c r="K413" i="2"/>
  <c r="F413" i="2"/>
  <c r="AW412" i="2"/>
  <c r="AR412" i="2"/>
  <c r="AG417" i="2"/>
  <c r="AF417" i="2"/>
  <c r="U412" i="2"/>
  <c r="P412" i="2"/>
  <c r="K412" i="2"/>
  <c r="F412" i="2"/>
  <c r="AW411" i="2"/>
  <c r="AR411" i="2"/>
  <c r="AM411" i="2"/>
  <c r="AH411" i="2"/>
  <c r="U411" i="2"/>
  <c r="P411" i="2"/>
  <c r="K411" i="2"/>
  <c r="F411" i="2"/>
  <c r="AW410" i="2"/>
  <c r="AR410" i="2"/>
  <c r="AM410" i="2"/>
  <c r="AH410" i="2"/>
  <c r="U410" i="2"/>
  <c r="P410" i="2"/>
  <c r="K410" i="2"/>
  <c r="F410" i="2"/>
  <c r="U409" i="2"/>
  <c r="P409" i="2"/>
  <c r="K409" i="2"/>
  <c r="F409" i="2"/>
  <c r="AW408" i="2"/>
  <c r="AR408" i="2"/>
  <c r="AM408" i="2"/>
  <c r="AH408" i="2"/>
  <c r="U408" i="2"/>
  <c r="P408" i="2"/>
  <c r="K408" i="2"/>
  <c r="F408" i="2"/>
  <c r="AW407" i="2"/>
  <c r="AR407" i="2"/>
  <c r="AM407" i="2"/>
  <c r="AH407" i="2"/>
  <c r="U407" i="2"/>
  <c r="P407" i="2"/>
  <c r="K407" i="2"/>
  <c r="F407" i="2"/>
  <c r="AW406" i="2"/>
  <c r="AR406" i="2"/>
  <c r="AM406" i="2"/>
  <c r="AH406" i="2"/>
  <c r="U406" i="2"/>
  <c r="P406" i="2"/>
  <c r="K406" i="2"/>
  <c r="F406" i="2"/>
  <c r="AW405" i="2"/>
  <c r="AR405" i="2"/>
  <c r="AM405" i="2"/>
  <c r="AH405" i="2"/>
  <c r="U405" i="2"/>
  <c r="P405" i="2"/>
  <c r="K405" i="2"/>
  <c r="F405" i="2"/>
  <c r="AW404" i="2"/>
  <c r="AR404" i="2"/>
  <c r="AM404" i="2"/>
  <c r="AH404" i="2"/>
  <c r="U404" i="2"/>
  <c r="P404" i="2"/>
  <c r="K404" i="2"/>
  <c r="F404" i="2"/>
  <c r="AW403" i="2"/>
  <c r="AR403" i="2"/>
  <c r="AM403" i="2"/>
  <c r="AH403" i="2"/>
  <c r="U403" i="2"/>
  <c r="P403" i="2"/>
  <c r="K403" i="2"/>
  <c r="F403" i="2"/>
  <c r="AW402" i="2"/>
  <c r="AR402" i="2"/>
  <c r="AM402" i="2"/>
  <c r="AH402" i="2"/>
  <c r="U402" i="2"/>
  <c r="P402" i="2"/>
  <c r="K402" i="2"/>
  <c r="F402" i="2"/>
  <c r="AW401" i="2"/>
  <c r="AR401" i="2"/>
  <c r="AM401" i="2"/>
  <c r="AH401" i="2"/>
  <c r="U401" i="2"/>
  <c r="P401" i="2"/>
  <c r="K401" i="2"/>
  <c r="F401" i="2"/>
  <c r="AW400" i="2"/>
  <c r="AR400" i="2"/>
  <c r="AM400" i="2"/>
  <c r="AH400" i="2"/>
  <c r="U400" i="2"/>
  <c r="P400" i="2"/>
  <c r="K400" i="2"/>
  <c r="F400" i="2"/>
  <c r="AW399" i="2"/>
  <c r="AR399" i="2"/>
  <c r="AM399" i="2"/>
  <c r="AH399" i="2"/>
  <c r="U399" i="2"/>
  <c r="P399" i="2"/>
  <c r="K399" i="2"/>
  <c r="F399" i="2"/>
  <c r="AW398" i="2"/>
  <c r="AR398" i="2"/>
  <c r="AM398" i="2"/>
  <c r="AH398" i="2"/>
  <c r="U398" i="2"/>
  <c r="P398" i="2"/>
  <c r="K398" i="2"/>
  <c r="F398" i="2"/>
  <c r="AW397" i="2"/>
  <c r="AR397" i="2"/>
  <c r="AM397" i="2"/>
  <c r="AH397" i="2"/>
  <c r="U397" i="2"/>
  <c r="P397" i="2"/>
  <c r="K397" i="2"/>
  <c r="F397" i="2"/>
  <c r="AW396" i="2"/>
  <c r="AR396" i="2"/>
  <c r="AM396" i="2"/>
  <c r="AH396" i="2"/>
  <c r="U396" i="2"/>
  <c r="P396" i="2"/>
  <c r="K396" i="2"/>
  <c r="F396" i="2"/>
  <c r="AW395" i="2"/>
  <c r="AR395" i="2"/>
  <c r="AM395" i="2"/>
  <c r="AH395" i="2"/>
  <c r="H417" i="2"/>
  <c r="AW394" i="2"/>
  <c r="AR394" i="2"/>
  <c r="AM394" i="2"/>
  <c r="AH394" i="2"/>
  <c r="AW393" i="2"/>
  <c r="AR393" i="2"/>
  <c r="AM393" i="2"/>
  <c r="AH393" i="2"/>
  <c r="U393" i="2"/>
  <c r="P393" i="2"/>
  <c r="K393" i="2"/>
  <c r="F393" i="2"/>
  <c r="AW392" i="2"/>
  <c r="AR392" i="2"/>
  <c r="AM392" i="2"/>
  <c r="AH392" i="2"/>
  <c r="U392" i="2"/>
  <c r="P392" i="2"/>
  <c r="K392" i="2"/>
  <c r="F392" i="2"/>
  <c r="U391" i="2"/>
  <c r="P391" i="2"/>
  <c r="K391" i="2"/>
  <c r="F391" i="2"/>
  <c r="AW389" i="2"/>
  <c r="AR389" i="2"/>
  <c r="AM389" i="2"/>
  <c r="AH389" i="2"/>
  <c r="U389" i="2"/>
  <c r="P389" i="2"/>
  <c r="K389" i="2"/>
  <c r="F389" i="2"/>
  <c r="AW388" i="2"/>
  <c r="AR388" i="2"/>
  <c r="AM388" i="2"/>
  <c r="AH388" i="2"/>
  <c r="U388" i="2"/>
  <c r="P388" i="2"/>
  <c r="K388" i="2"/>
  <c r="F388" i="2"/>
  <c r="AW387" i="2"/>
  <c r="AR387" i="2"/>
  <c r="AM387" i="2"/>
  <c r="AH387" i="2"/>
  <c r="U387" i="2"/>
  <c r="P387" i="2"/>
  <c r="K387" i="2"/>
  <c r="F387" i="2"/>
  <c r="AM386" i="2"/>
  <c r="AH386" i="2"/>
  <c r="U386" i="2"/>
  <c r="P386" i="2"/>
  <c r="K386" i="2"/>
  <c r="F386" i="2"/>
  <c r="AW385" i="2"/>
  <c r="AR385" i="2"/>
  <c r="AM385" i="2"/>
  <c r="AH385" i="2"/>
  <c r="U385" i="2"/>
  <c r="P385" i="2"/>
  <c r="K385" i="2"/>
  <c r="F385" i="2"/>
  <c r="AM384" i="2"/>
  <c r="AH384" i="2"/>
  <c r="U384" i="2"/>
  <c r="P384" i="2"/>
  <c r="K384" i="2"/>
  <c r="F384" i="2"/>
  <c r="U383" i="2"/>
  <c r="P383" i="2"/>
  <c r="K383" i="2"/>
  <c r="F383" i="2"/>
  <c r="AX415" i="2" l="1"/>
  <c r="F417" i="2"/>
  <c r="AX386" i="2"/>
  <c r="AE417" i="2"/>
  <c r="AJ417" i="2"/>
  <c r="AX387" i="2"/>
  <c r="V405" i="2"/>
  <c r="V408" i="2"/>
  <c r="V411" i="2"/>
  <c r="AD417" i="2"/>
  <c r="V384" i="2"/>
  <c r="V385" i="2"/>
  <c r="U417" i="2"/>
  <c r="AK417" i="2"/>
  <c r="AL417" i="2"/>
  <c r="P417" i="2"/>
  <c r="AW417" i="2"/>
  <c r="AX388" i="2"/>
  <c r="V403" i="2"/>
  <c r="V406" i="2"/>
  <c r="V412" i="2"/>
  <c r="V415" i="2"/>
  <c r="AX416" i="2"/>
  <c r="V414" i="2"/>
  <c r="V386" i="2"/>
  <c r="V409" i="2"/>
  <c r="AM414" i="2"/>
  <c r="AX414" i="2" s="1"/>
  <c r="V383" i="2"/>
  <c r="AX384" i="2"/>
  <c r="AX385" i="2"/>
  <c r="V388" i="2"/>
  <c r="AX389" i="2"/>
  <c r="V404" i="2"/>
  <c r="V407" i="2"/>
  <c r="V410" i="2"/>
  <c r="AX411" i="2"/>
  <c r="AM412" i="2"/>
  <c r="V413" i="2"/>
  <c r="AM413" i="2"/>
  <c r="AX413" i="2" s="1"/>
  <c r="V416" i="2"/>
  <c r="AX392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10" i="2"/>
  <c r="AX394" i="2"/>
  <c r="AX395" i="2"/>
  <c r="AR417" i="2"/>
  <c r="AX393" i="2"/>
  <c r="V402" i="2"/>
  <c r="V391" i="2"/>
  <c r="V392" i="2"/>
  <c r="V393" i="2"/>
  <c r="V396" i="2"/>
  <c r="V397" i="2"/>
  <c r="V398" i="2"/>
  <c r="V399" i="2"/>
  <c r="V400" i="2"/>
  <c r="V401" i="2"/>
  <c r="V389" i="2"/>
  <c r="V387" i="2"/>
  <c r="K417" i="2"/>
  <c r="AH412" i="2"/>
  <c r="AI417" i="2"/>
  <c r="AW366" i="2"/>
  <c r="AR366" i="2"/>
  <c r="AM366" i="2"/>
  <c r="AH366" i="2"/>
  <c r="AH417" i="2" l="1"/>
  <c r="V417" i="2"/>
  <c r="AX412" i="2"/>
  <c r="AX366" i="2"/>
  <c r="AM417" i="2"/>
  <c r="AW363" i="2"/>
  <c r="AR363" i="2"/>
  <c r="AM363" i="2"/>
  <c r="AH363" i="2"/>
  <c r="H353" i="2"/>
  <c r="AW360" i="2"/>
  <c r="AR360" i="2"/>
  <c r="AM360" i="2"/>
  <c r="AH360" i="2"/>
  <c r="AX417" i="2" l="1"/>
  <c r="AX360" i="2"/>
  <c r="AX363" i="2"/>
  <c r="U341" i="2" l="1"/>
  <c r="P341" i="2"/>
  <c r="K341" i="2"/>
  <c r="F341" i="2"/>
  <c r="AW350" i="2"/>
  <c r="AR350" i="2"/>
  <c r="AM350" i="2"/>
  <c r="AH350" i="2"/>
  <c r="Q319" i="2"/>
  <c r="AX350" i="2" l="1"/>
  <c r="V341" i="2"/>
  <c r="U311" i="2"/>
  <c r="P311" i="2"/>
  <c r="K311" i="2"/>
  <c r="F311" i="2"/>
  <c r="V311" i="2" l="1"/>
  <c r="T375" i="2"/>
  <c r="S375" i="2"/>
  <c r="R375" i="2"/>
  <c r="Q375" i="2"/>
  <c r="O375" i="2"/>
  <c r="N375" i="2"/>
  <c r="M375" i="2"/>
  <c r="L375" i="2"/>
  <c r="J375" i="2"/>
  <c r="I375" i="2"/>
  <c r="H375" i="2"/>
  <c r="G375" i="2"/>
  <c r="E375" i="2"/>
  <c r="D375" i="2"/>
  <c r="C375" i="2"/>
  <c r="B375" i="2"/>
  <c r="U374" i="2"/>
  <c r="P374" i="2"/>
  <c r="K374" i="2"/>
  <c r="F374" i="2"/>
  <c r="U373" i="2"/>
  <c r="P373" i="2"/>
  <c r="K373" i="2"/>
  <c r="F373" i="2"/>
  <c r="U372" i="2"/>
  <c r="P372" i="2"/>
  <c r="K372" i="2"/>
  <c r="F372" i="2"/>
  <c r="U371" i="2"/>
  <c r="P371" i="2"/>
  <c r="K371" i="2"/>
  <c r="F371" i="2"/>
  <c r="U370" i="2"/>
  <c r="P370" i="2"/>
  <c r="K370" i="2"/>
  <c r="F370" i="2"/>
  <c r="U369" i="2"/>
  <c r="P369" i="2"/>
  <c r="K369" i="2"/>
  <c r="F369" i="2"/>
  <c r="U368" i="2"/>
  <c r="P368" i="2"/>
  <c r="K368" i="2"/>
  <c r="F368" i="2"/>
  <c r="U367" i="2"/>
  <c r="P367" i="2"/>
  <c r="K367" i="2"/>
  <c r="F367" i="2"/>
  <c r="U366" i="2"/>
  <c r="P366" i="2"/>
  <c r="K366" i="2"/>
  <c r="F366" i="2"/>
  <c r="U365" i="2"/>
  <c r="P365" i="2"/>
  <c r="K365" i="2"/>
  <c r="F365" i="2"/>
  <c r="U364" i="2"/>
  <c r="P364" i="2"/>
  <c r="K364" i="2"/>
  <c r="F364" i="2"/>
  <c r="U363" i="2"/>
  <c r="P363" i="2"/>
  <c r="K363" i="2"/>
  <c r="F363" i="2"/>
  <c r="U362" i="2"/>
  <c r="P362" i="2"/>
  <c r="K362" i="2"/>
  <c r="F362" i="2"/>
  <c r="U361" i="2"/>
  <c r="P361" i="2"/>
  <c r="K361" i="2"/>
  <c r="F361" i="2"/>
  <c r="U360" i="2"/>
  <c r="P360" i="2"/>
  <c r="K360" i="2"/>
  <c r="F360" i="2"/>
  <c r="U359" i="2"/>
  <c r="P359" i="2"/>
  <c r="K359" i="2"/>
  <c r="F359" i="2"/>
  <c r="U358" i="2"/>
  <c r="P358" i="2"/>
  <c r="K358" i="2"/>
  <c r="F358" i="2"/>
  <c r="U357" i="2"/>
  <c r="P357" i="2"/>
  <c r="K357" i="2"/>
  <c r="F357" i="2"/>
  <c r="U356" i="2"/>
  <c r="P356" i="2"/>
  <c r="K356" i="2"/>
  <c r="F356" i="2"/>
  <c r="U355" i="2"/>
  <c r="P355" i="2"/>
  <c r="K355" i="2"/>
  <c r="F355" i="2"/>
  <c r="U354" i="2"/>
  <c r="P354" i="2"/>
  <c r="K354" i="2"/>
  <c r="F354" i="2"/>
  <c r="U353" i="2"/>
  <c r="P353" i="2"/>
  <c r="K353" i="2"/>
  <c r="F353" i="2"/>
  <c r="U352" i="2"/>
  <c r="P352" i="2"/>
  <c r="K352" i="2"/>
  <c r="F352" i="2"/>
  <c r="U351" i="2"/>
  <c r="P351" i="2"/>
  <c r="K351" i="2"/>
  <c r="F351" i="2"/>
  <c r="U350" i="2"/>
  <c r="P350" i="2"/>
  <c r="K350" i="2"/>
  <c r="F350" i="2"/>
  <c r="U349" i="2"/>
  <c r="P349" i="2"/>
  <c r="K349" i="2"/>
  <c r="F349" i="2"/>
  <c r="U347" i="2"/>
  <c r="P347" i="2"/>
  <c r="K347" i="2"/>
  <c r="F347" i="2"/>
  <c r="P346" i="2"/>
  <c r="K346" i="2"/>
  <c r="F346" i="2"/>
  <c r="U345" i="2"/>
  <c r="P345" i="2"/>
  <c r="K345" i="2"/>
  <c r="F345" i="2"/>
  <c r="U344" i="2"/>
  <c r="P344" i="2"/>
  <c r="K344" i="2"/>
  <c r="F344" i="2"/>
  <c r="U343" i="2"/>
  <c r="P343" i="2"/>
  <c r="K343" i="2"/>
  <c r="F343" i="2"/>
  <c r="U342" i="2"/>
  <c r="P342" i="2"/>
  <c r="K342" i="2"/>
  <c r="F342" i="2"/>
  <c r="AV375" i="2"/>
  <c r="AU375" i="2"/>
  <c r="AT375" i="2"/>
  <c r="AS375" i="2"/>
  <c r="AQ375" i="2"/>
  <c r="AP375" i="2"/>
  <c r="AO375" i="2"/>
  <c r="AN375" i="2"/>
  <c r="AW373" i="2"/>
  <c r="AR373" i="2"/>
  <c r="AM373" i="2"/>
  <c r="AH373" i="2"/>
  <c r="AW372" i="2"/>
  <c r="AR372" i="2"/>
  <c r="AH372" i="2"/>
  <c r="AW371" i="2"/>
  <c r="AR371" i="2"/>
  <c r="AW370" i="2"/>
  <c r="AR370" i="2"/>
  <c r="AG375" i="2"/>
  <c r="AF375" i="2"/>
  <c r="AW369" i="2"/>
  <c r="AR369" i="2"/>
  <c r="AM369" i="2"/>
  <c r="AH369" i="2"/>
  <c r="AW368" i="2"/>
  <c r="AR368" i="2"/>
  <c r="AM368" i="2"/>
  <c r="AH368" i="2"/>
  <c r="AW367" i="2"/>
  <c r="AR367" i="2"/>
  <c r="AM367" i="2"/>
  <c r="AH367" i="2"/>
  <c r="AW365" i="2"/>
  <c r="AR365" i="2"/>
  <c r="AM365" i="2"/>
  <c r="AH365" i="2"/>
  <c r="AW364" i="2"/>
  <c r="AR364" i="2"/>
  <c r="AM364" i="2"/>
  <c r="AH364" i="2"/>
  <c r="AW362" i="2"/>
  <c r="AR362" i="2"/>
  <c r="AM362" i="2"/>
  <c r="AH362" i="2"/>
  <c r="AW361" i="2"/>
  <c r="AR361" i="2"/>
  <c r="AM361" i="2"/>
  <c r="AH361" i="2"/>
  <c r="AW359" i="2"/>
  <c r="AR359" i="2"/>
  <c r="AM359" i="2"/>
  <c r="AH359" i="2"/>
  <c r="AW358" i="2"/>
  <c r="AR358" i="2"/>
  <c r="AM358" i="2"/>
  <c r="AH358" i="2"/>
  <c r="AW357" i="2"/>
  <c r="AR357" i="2"/>
  <c r="AM357" i="2"/>
  <c r="AH357" i="2"/>
  <c r="AW356" i="2"/>
  <c r="AR356" i="2"/>
  <c r="AM356" i="2"/>
  <c r="AH356" i="2"/>
  <c r="AW355" i="2"/>
  <c r="AR355" i="2"/>
  <c r="AM355" i="2"/>
  <c r="AH355" i="2"/>
  <c r="AW354" i="2"/>
  <c r="AR354" i="2"/>
  <c r="AM354" i="2"/>
  <c r="AH354" i="2"/>
  <c r="AW353" i="2"/>
  <c r="AR353" i="2"/>
  <c r="AM353" i="2"/>
  <c r="AH353" i="2"/>
  <c r="AW352" i="2"/>
  <c r="AR352" i="2"/>
  <c r="AM352" i="2"/>
  <c r="AH352" i="2"/>
  <c r="AW351" i="2"/>
  <c r="AR351" i="2"/>
  <c r="AM351" i="2"/>
  <c r="AH351" i="2"/>
  <c r="AW349" i="2"/>
  <c r="AR349" i="2"/>
  <c r="AM349" i="2"/>
  <c r="AH349" i="2"/>
  <c r="AW347" i="2"/>
  <c r="AR347" i="2"/>
  <c r="AM347" i="2"/>
  <c r="AH347" i="2"/>
  <c r="AW346" i="2"/>
  <c r="AR346" i="2"/>
  <c r="AM346" i="2"/>
  <c r="AH346" i="2"/>
  <c r="AW345" i="2"/>
  <c r="AR345" i="2"/>
  <c r="AM345" i="2"/>
  <c r="AH345" i="2"/>
  <c r="AM344" i="2"/>
  <c r="AH344" i="2"/>
  <c r="AW343" i="2"/>
  <c r="AR343" i="2"/>
  <c r="AM343" i="2"/>
  <c r="AH343" i="2"/>
  <c r="AM342" i="2"/>
  <c r="AH342" i="2"/>
  <c r="AW341" i="2"/>
  <c r="AR341" i="2"/>
  <c r="AM341" i="2"/>
  <c r="AH341" i="2"/>
  <c r="V345" i="2" l="1"/>
  <c r="V355" i="2"/>
  <c r="V358" i="2"/>
  <c r="V361" i="2"/>
  <c r="V364" i="2"/>
  <c r="V367" i="2"/>
  <c r="V370" i="2"/>
  <c r="AX347" i="2"/>
  <c r="AX344" i="2"/>
  <c r="AX342" i="2"/>
  <c r="AJ375" i="2"/>
  <c r="AD375" i="2"/>
  <c r="AK375" i="2"/>
  <c r="AI375" i="2"/>
  <c r="AX345" i="2"/>
  <c r="AX341" i="2"/>
  <c r="AX368" i="2"/>
  <c r="AE375" i="2"/>
  <c r="AX343" i="2"/>
  <c r="AX369" i="2"/>
  <c r="AX373" i="2"/>
  <c r="AM372" i="2"/>
  <c r="AX372" i="2" s="1"/>
  <c r="AL375" i="2"/>
  <c r="AX346" i="2"/>
  <c r="AH371" i="2"/>
  <c r="AM371" i="2"/>
  <c r="AM370" i="2"/>
  <c r="AR375" i="2"/>
  <c r="V344" i="2"/>
  <c r="V347" i="2"/>
  <c r="V354" i="2"/>
  <c r="V357" i="2"/>
  <c r="V360" i="2"/>
  <c r="V363" i="2"/>
  <c r="V366" i="2"/>
  <c r="V369" i="2"/>
  <c r="V372" i="2"/>
  <c r="U375" i="2"/>
  <c r="AH370" i="2"/>
  <c r="AW375" i="2"/>
  <c r="V343" i="2"/>
  <c r="V346" i="2"/>
  <c r="V356" i="2"/>
  <c r="V359" i="2"/>
  <c r="V362" i="2"/>
  <c r="V365" i="2"/>
  <c r="V368" i="2"/>
  <c r="V371" i="2"/>
  <c r="V374" i="2"/>
  <c r="AX349" i="2"/>
  <c r="V373" i="2"/>
  <c r="P375" i="2"/>
  <c r="V349" i="2"/>
  <c r="V350" i="2"/>
  <c r="V351" i="2"/>
  <c r="V352" i="2"/>
  <c r="V353" i="2"/>
  <c r="K375" i="2"/>
  <c r="F375" i="2"/>
  <c r="V342" i="2"/>
  <c r="AX351" i="2"/>
  <c r="AX352" i="2"/>
  <c r="AX353" i="2"/>
  <c r="AX354" i="2"/>
  <c r="AX355" i="2"/>
  <c r="AX356" i="2"/>
  <c r="AX357" i="2"/>
  <c r="AX358" i="2"/>
  <c r="AX359" i="2"/>
  <c r="AX361" i="2"/>
  <c r="AX362" i="2"/>
  <c r="AX364" i="2"/>
  <c r="AX365" i="2"/>
  <c r="AX367" i="2"/>
  <c r="AX370" i="2" l="1"/>
  <c r="AM375" i="2"/>
  <c r="AX371" i="2"/>
  <c r="AH375" i="2"/>
  <c r="V375" i="2"/>
  <c r="AX375" i="2" l="1"/>
  <c r="AW311" i="2"/>
  <c r="AR311" i="2"/>
  <c r="AM311" i="2"/>
  <c r="AH311" i="2"/>
  <c r="AX311" i="2" l="1"/>
  <c r="AW258" i="2" l="1"/>
  <c r="AR258" i="2"/>
  <c r="AM258" i="2"/>
  <c r="AH258" i="2"/>
  <c r="AW261" i="2"/>
  <c r="AR261" i="2"/>
  <c r="AM261" i="2"/>
  <c r="AH261" i="2"/>
  <c r="AW307" i="2"/>
  <c r="AR307" i="2"/>
  <c r="AM307" i="2"/>
  <c r="AH307" i="2"/>
  <c r="AX307" i="2" l="1"/>
  <c r="AX258" i="2"/>
  <c r="AX261" i="2"/>
  <c r="AW285" i="2"/>
  <c r="AR285" i="2"/>
  <c r="AM285" i="2"/>
  <c r="AH285" i="2"/>
  <c r="AV333" i="2"/>
  <c r="AU333" i="2"/>
  <c r="AT333" i="2"/>
  <c r="AS333" i="2"/>
  <c r="AQ333" i="2"/>
  <c r="AP333" i="2"/>
  <c r="AO333" i="2"/>
  <c r="AN333" i="2"/>
  <c r="T333" i="2"/>
  <c r="S333" i="2"/>
  <c r="R333" i="2"/>
  <c r="Q333" i="2"/>
  <c r="O333" i="2"/>
  <c r="N333" i="2"/>
  <c r="M333" i="2"/>
  <c r="L333" i="2"/>
  <c r="J333" i="2"/>
  <c r="I333" i="2"/>
  <c r="H333" i="2"/>
  <c r="G333" i="2"/>
  <c r="E333" i="2"/>
  <c r="D333" i="2"/>
  <c r="C333" i="2"/>
  <c r="B333" i="2"/>
  <c r="AW332" i="2"/>
  <c r="AR332" i="2"/>
  <c r="AM332" i="2"/>
  <c r="AH332" i="2"/>
  <c r="U332" i="2"/>
  <c r="P332" i="2"/>
  <c r="K332" i="2"/>
  <c r="F332" i="2"/>
  <c r="AW331" i="2"/>
  <c r="AR331" i="2"/>
  <c r="AM331" i="2"/>
  <c r="AH331" i="2"/>
  <c r="U331" i="2"/>
  <c r="P331" i="2"/>
  <c r="K331" i="2"/>
  <c r="F331" i="2"/>
  <c r="AW330" i="2"/>
  <c r="AR330" i="2"/>
  <c r="AH330" i="2"/>
  <c r="U330" i="2"/>
  <c r="P330" i="2"/>
  <c r="K330" i="2"/>
  <c r="F330" i="2"/>
  <c r="AW329" i="2"/>
  <c r="AR329" i="2"/>
  <c r="U329" i="2"/>
  <c r="P329" i="2"/>
  <c r="K329" i="2"/>
  <c r="F329" i="2"/>
  <c r="AW328" i="2"/>
  <c r="AR328" i="2"/>
  <c r="AG333" i="2"/>
  <c r="AF333" i="2"/>
  <c r="U328" i="2"/>
  <c r="P328" i="2"/>
  <c r="K328" i="2"/>
  <c r="F328" i="2"/>
  <c r="AW327" i="2"/>
  <c r="AR327" i="2"/>
  <c r="AM327" i="2"/>
  <c r="AH327" i="2"/>
  <c r="U327" i="2"/>
  <c r="P327" i="2"/>
  <c r="K327" i="2"/>
  <c r="F327" i="2"/>
  <c r="AW326" i="2"/>
  <c r="AR326" i="2"/>
  <c r="AM326" i="2"/>
  <c r="AH326" i="2"/>
  <c r="U326" i="2"/>
  <c r="P326" i="2"/>
  <c r="K326" i="2"/>
  <c r="F326" i="2"/>
  <c r="AW325" i="2"/>
  <c r="AR325" i="2"/>
  <c r="AM325" i="2"/>
  <c r="AH325" i="2"/>
  <c r="U325" i="2"/>
  <c r="P325" i="2"/>
  <c r="K325" i="2"/>
  <c r="F325" i="2"/>
  <c r="AW324" i="2"/>
  <c r="AR324" i="2"/>
  <c r="AM324" i="2"/>
  <c r="AH324" i="2"/>
  <c r="U324" i="2"/>
  <c r="P324" i="2"/>
  <c r="K324" i="2"/>
  <c r="F324" i="2"/>
  <c r="AW323" i="2"/>
  <c r="AR323" i="2"/>
  <c r="AM323" i="2"/>
  <c r="AH323" i="2"/>
  <c r="U323" i="2"/>
  <c r="P323" i="2"/>
  <c r="K323" i="2"/>
  <c r="F323" i="2"/>
  <c r="AW322" i="2"/>
  <c r="AR322" i="2"/>
  <c r="AM322" i="2"/>
  <c r="AH322" i="2"/>
  <c r="U322" i="2"/>
  <c r="P322" i="2"/>
  <c r="K322" i="2"/>
  <c r="F322" i="2"/>
  <c r="AW321" i="2"/>
  <c r="AR321" i="2"/>
  <c r="AM321" i="2"/>
  <c r="AH321" i="2"/>
  <c r="U321" i="2"/>
  <c r="P321" i="2"/>
  <c r="K321" i="2"/>
  <c r="F321" i="2"/>
  <c r="AW320" i="2"/>
  <c r="AR320" i="2"/>
  <c r="AM320" i="2"/>
  <c r="AH320" i="2"/>
  <c r="U320" i="2"/>
  <c r="P320" i="2"/>
  <c r="K320" i="2"/>
  <c r="F320" i="2"/>
  <c r="AW319" i="2"/>
  <c r="AR319" i="2"/>
  <c r="AM319" i="2"/>
  <c r="AH319" i="2"/>
  <c r="U319" i="2"/>
  <c r="P319" i="2"/>
  <c r="K319" i="2"/>
  <c r="F319" i="2"/>
  <c r="AW318" i="2"/>
  <c r="AR318" i="2"/>
  <c r="AM318" i="2"/>
  <c r="AH318" i="2"/>
  <c r="U318" i="2"/>
  <c r="P318" i="2"/>
  <c r="K318" i="2"/>
  <c r="F318" i="2"/>
  <c r="AW317" i="2"/>
  <c r="AR317" i="2"/>
  <c r="AM317" i="2"/>
  <c r="AH317" i="2"/>
  <c r="U317" i="2"/>
  <c r="P317" i="2"/>
  <c r="K317" i="2"/>
  <c r="F317" i="2"/>
  <c r="AW316" i="2"/>
  <c r="AR316" i="2"/>
  <c r="AM316" i="2"/>
  <c r="AH316" i="2"/>
  <c r="U316" i="2"/>
  <c r="P316" i="2"/>
  <c r="K316" i="2"/>
  <c r="F316" i="2"/>
  <c r="AW315" i="2"/>
  <c r="AR315" i="2"/>
  <c r="AM315" i="2"/>
  <c r="AH315" i="2"/>
  <c r="U315" i="2"/>
  <c r="P315" i="2"/>
  <c r="K315" i="2"/>
  <c r="F315" i="2"/>
  <c r="AW314" i="2"/>
  <c r="AR314" i="2"/>
  <c r="AM314" i="2"/>
  <c r="AH314" i="2"/>
  <c r="U314" i="2"/>
  <c r="P314" i="2"/>
  <c r="K314" i="2"/>
  <c r="F314" i="2"/>
  <c r="AW313" i="2"/>
  <c r="AR313" i="2"/>
  <c r="AM313" i="2"/>
  <c r="AH313" i="2"/>
  <c r="U313" i="2"/>
  <c r="P313" i="2"/>
  <c r="K313" i="2"/>
  <c r="F313" i="2"/>
  <c r="AW312" i="2"/>
  <c r="AR312" i="2"/>
  <c r="AM312" i="2"/>
  <c r="AH312" i="2"/>
  <c r="U312" i="2"/>
  <c r="P312" i="2"/>
  <c r="K312" i="2"/>
  <c r="F312" i="2"/>
  <c r="AW310" i="2"/>
  <c r="AR310" i="2"/>
  <c r="AM310" i="2"/>
  <c r="AH310" i="2"/>
  <c r="U310" i="2"/>
  <c r="P310" i="2"/>
  <c r="K310" i="2"/>
  <c r="F310" i="2"/>
  <c r="AW309" i="2"/>
  <c r="AR309" i="2"/>
  <c r="AM309" i="2"/>
  <c r="AH309" i="2"/>
  <c r="U309" i="2"/>
  <c r="P309" i="2"/>
  <c r="K309" i="2"/>
  <c r="F309" i="2"/>
  <c r="AW308" i="2"/>
  <c r="AR308" i="2"/>
  <c r="AM308" i="2"/>
  <c r="AH308" i="2"/>
  <c r="U308" i="2"/>
  <c r="P308" i="2"/>
  <c r="K308" i="2"/>
  <c r="F308" i="2"/>
  <c r="U307" i="2"/>
  <c r="P307" i="2"/>
  <c r="K307" i="2"/>
  <c r="F307" i="2"/>
  <c r="AW305" i="2"/>
  <c r="AR305" i="2"/>
  <c r="AM305" i="2"/>
  <c r="AH305" i="2"/>
  <c r="U305" i="2"/>
  <c r="P305" i="2"/>
  <c r="K305" i="2"/>
  <c r="F305" i="2"/>
  <c r="AW304" i="2"/>
  <c r="AR304" i="2"/>
  <c r="AM304" i="2"/>
  <c r="AH304" i="2"/>
  <c r="U304" i="2"/>
  <c r="P304" i="2"/>
  <c r="K304" i="2"/>
  <c r="F304" i="2"/>
  <c r="AW303" i="2"/>
  <c r="AR303" i="2"/>
  <c r="AM303" i="2"/>
  <c r="AH303" i="2"/>
  <c r="U303" i="2"/>
  <c r="P303" i="2"/>
  <c r="K303" i="2"/>
  <c r="F303" i="2"/>
  <c r="AM302" i="2"/>
  <c r="AH302" i="2"/>
  <c r="U302" i="2"/>
  <c r="P302" i="2"/>
  <c r="K302" i="2"/>
  <c r="F302" i="2"/>
  <c r="AW301" i="2"/>
  <c r="AR301" i="2"/>
  <c r="AM301" i="2"/>
  <c r="AH301" i="2"/>
  <c r="U301" i="2"/>
  <c r="P301" i="2"/>
  <c r="K301" i="2"/>
  <c r="F301" i="2"/>
  <c r="AM300" i="2"/>
  <c r="AH300" i="2"/>
  <c r="U300" i="2"/>
  <c r="P300" i="2"/>
  <c r="K300" i="2"/>
  <c r="F300" i="2"/>
  <c r="AW299" i="2"/>
  <c r="AR299" i="2"/>
  <c r="AM299" i="2"/>
  <c r="AH299" i="2"/>
  <c r="U299" i="2"/>
  <c r="P299" i="2"/>
  <c r="K299" i="2"/>
  <c r="F299" i="2"/>
  <c r="AM330" i="2" l="1"/>
  <c r="AX330" i="2" s="1"/>
  <c r="V332" i="2"/>
  <c r="V331" i="2"/>
  <c r="AD333" i="2"/>
  <c r="AL333" i="2"/>
  <c r="AR333" i="2"/>
  <c r="AX302" i="2"/>
  <c r="AJ333" i="2"/>
  <c r="AX285" i="2"/>
  <c r="V299" i="2"/>
  <c r="AX300" i="2"/>
  <c r="AX301" i="2"/>
  <c r="V304" i="2"/>
  <c r="AX305" i="2"/>
  <c r="V308" i="2"/>
  <c r="AX309" i="2"/>
  <c r="AX312" i="2"/>
  <c r="V314" i="2"/>
  <c r="AX315" i="2"/>
  <c r="V317" i="2"/>
  <c r="AX318" i="2"/>
  <c r="V320" i="2"/>
  <c r="AX321" i="2"/>
  <c r="V323" i="2"/>
  <c r="AX324" i="2"/>
  <c r="V326" i="2"/>
  <c r="AX327" i="2"/>
  <c r="AI333" i="2"/>
  <c r="V329" i="2"/>
  <c r="AM329" i="2"/>
  <c r="V330" i="2"/>
  <c r="AK333" i="2"/>
  <c r="V300" i="2"/>
  <c r="V301" i="2"/>
  <c r="AX303" i="2"/>
  <c r="V305" i="2"/>
  <c r="V309" i="2"/>
  <c r="AX310" i="2"/>
  <c r="V312" i="2"/>
  <c r="AX313" i="2"/>
  <c r="V315" i="2"/>
  <c r="AX316" i="2"/>
  <c r="V318" i="2"/>
  <c r="AX319" i="2"/>
  <c r="V321" i="2"/>
  <c r="AX322" i="2"/>
  <c r="V324" i="2"/>
  <c r="AX325" i="2"/>
  <c r="V327" i="2"/>
  <c r="AE333" i="2"/>
  <c r="AX331" i="2"/>
  <c r="AX299" i="2"/>
  <c r="V302" i="2"/>
  <c r="V303" i="2"/>
  <c r="AX304" i="2"/>
  <c r="V307" i="2"/>
  <c r="AX308" i="2"/>
  <c r="V313" i="2"/>
  <c r="AX314" i="2"/>
  <c r="V316" i="2"/>
  <c r="AX317" i="2"/>
  <c r="V319" i="2"/>
  <c r="AX320" i="2"/>
  <c r="V322" i="2"/>
  <c r="AX323" i="2"/>
  <c r="V325" i="2"/>
  <c r="AX326" i="2"/>
  <c r="V328" i="2"/>
  <c r="AH329" i="2"/>
  <c r="AX332" i="2"/>
  <c r="AW333" i="2"/>
  <c r="U333" i="2"/>
  <c r="P333" i="2"/>
  <c r="V310" i="2"/>
  <c r="K333" i="2"/>
  <c r="F333" i="2"/>
  <c r="AM328" i="2"/>
  <c r="AH328" i="2"/>
  <c r="AH333" i="2" l="1"/>
  <c r="AX329" i="2"/>
  <c r="AM333" i="2"/>
  <c r="AX328" i="2"/>
  <c r="V333" i="2"/>
  <c r="AX333" i="2" l="1"/>
  <c r="AW272" i="2"/>
  <c r="AR272" i="2"/>
  <c r="AM272" i="2"/>
  <c r="AH272" i="2"/>
  <c r="AX272" i="2" l="1"/>
  <c r="AW288" i="2"/>
  <c r="AR288" i="2"/>
  <c r="AH288" i="2"/>
  <c r="AW287" i="2"/>
  <c r="AR287" i="2"/>
  <c r="AW286" i="2"/>
  <c r="AR286" i="2"/>
  <c r="AM287" i="2" l="1"/>
  <c r="AM288" i="2"/>
  <c r="AX288" i="2" s="1"/>
  <c r="AH287" i="2"/>
  <c r="AM286" i="2"/>
  <c r="AH286" i="2"/>
  <c r="AW290" i="2"/>
  <c r="AR290" i="2"/>
  <c r="AM290" i="2"/>
  <c r="AH290" i="2"/>
  <c r="AW289" i="2"/>
  <c r="AR289" i="2"/>
  <c r="AM289" i="2"/>
  <c r="AH289" i="2"/>
  <c r="AH259" i="2"/>
  <c r="AH260" i="2"/>
  <c r="AM259" i="2"/>
  <c r="AM260" i="2"/>
  <c r="AV291" i="2"/>
  <c r="AU291" i="2"/>
  <c r="AT291" i="2"/>
  <c r="AS291" i="2"/>
  <c r="AQ291" i="2"/>
  <c r="AP291" i="2"/>
  <c r="AO291" i="2"/>
  <c r="AN291" i="2"/>
  <c r="T291" i="2"/>
  <c r="S291" i="2"/>
  <c r="R291" i="2"/>
  <c r="Q291" i="2"/>
  <c r="O291" i="2"/>
  <c r="N291" i="2"/>
  <c r="M291" i="2"/>
  <c r="L291" i="2"/>
  <c r="J291" i="2"/>
  <c r="I291" i="2"/>
  <c r="H291" i="2"/>
  <c r="G291" i="2"/>
  <c r="E291" i="2"/>
  <c r="D291" i="2"/>
  <c r="C291" i="2"/>
  <c r="B291" i="2"/>
  <c r="U290" i="2"/>
  <c r="P290" i="2"/>
  <c r="K290" i="2"/>
  <c r="F290" i="2"/>
  <c r="U289" i="2"/>
  <c r="P289" i="2"/>
  <c r="K289" i="2"/>
  <c r="F289" i="2"/>
  <c r="AL291" i="2"/>
  <c r="AK291" i="2"/>
  <c r="AJ291" i="2"/>
  <c r="AI291" i="2"/>
  <c r="AG291" i="2"/>
  <c r="AF291" i="2"/>
  <c r="AE291" i="2"/>
  <c r="AD291" i="2"/>
  <c r="U288" i="2"/>
  <c r="P288" i="2"/>
  <c r="K288" i="2"/>
  <c r="F288" i="2"/>
  <c r="U287" i="2"/>
  <c r="P287" i="2"/>
  <c r="K287" i="2"/>
  <c r="F287" i="2"/>
  <c r="U286" i="2"/>
  <c r="P286" i="2"/>
  <c r="K286" i="2"/>
  <c r="F286" i="2"/>
  <c r="U285" i="2"/>
  <c r="P285" i="2"/>
  <c r="K285" i="2"/>
  <c r="F285" i="2"/>
  <c r="AW284" i="2"/>
  <c r="AR284" i="2"/>
  <c r="AM284" i="2"/>
  <c r="AH284" i="2"/>
  <c r="U284" i="2"/>
  <c r="P284" i="2"/>
  <c r="K284" i="2"/>
  <c r="F284" i="2"/>
  <c r="AW283" i="2"/>
  <c r="AR283" i="2"/>
  <c r="AM283" i="2"/>
  <c r="AH283" i="2"/>
  <c r="U283" i="2"/>
  <c r="P283" i="2"/>
  <c r="K283" i="2"/>
  <c r="F283" i="2"/>
  <c r="AW282" i="2"/>
  <c r="AR282" i="2"/>
  <c r="AM282" i="2"/>
  <c r="AH282" i="2"/>
  <c r="U282" i="2"/>
  <c r="P282" i="2"/>
  <c r="K282" i="2"/>
  <c r="F282" i="2"/>
  <c r="AW281" i="2"/>
  <c r="AR281" i="2"/>
  <c r="AM281" i="2"/>
  <c r="AH281" i="2"/>
  <c r="U281" i="2"/>
  <c r="P281" i="2"/>
  <c r="K281" i="2"/>
  <c r="F281" i="2"/>
  <c r="AW280" i="2"/>
  <c r="AR280" i="2"/>
  <c r="AM280" i="2"/>
  <c r="AH280" i="2"/>
  <c r="U280" i="2"/>
  <c r="P280" i="2"/>
  <c r="K280" i="2"/>
  <c r="F280" i="2"/>
  <c r="AW279" i="2"/>
  <c r="AR279" i="2"/>
  <c r="AM279" i="2"/>
  <c r="AH279" i="2"/>
  <c r="U279" i="2"/>
  <c r="P279" i="2"/>
  <c r="K279" i="2"/>
  <c r="F279" i="2"/>
  <c r="AW278" i="2"/>
  <c r="AR278" i="2"/>
  <c r="AM278" i="2"/>
  <c r="AH278" i="2"/>
  <c r="U278" i="2"/>
  <c r="P278" i="2"/>
  <c r="K278" i="2"/>
  <c r="F278" i="2"/>
  <c r="AW277" i="2"/>
  <c r="AR277" i="2"/>
  <c r="AM277" i="2"/>
  <c r="AH277" i="2"/>
  <c r="U277" i="2"/>
  <c r="P277" i="2"/>
  <c r="K277" i="2"/>
  <c r="F277" i="2"/>
  <c r="AW276" i="2"/>
  <c r="AR276" i="2"/>
  <c r="AM276" i="2"/>
  <c r="AH276" i="2"/>
  <c r="U276" i="2"/>
  <c r="P276" i="2"/>
  <c r="K276" i="2"/>
  <c r="F276" i="2"/>
  <c r="AW275" i="2"/>
  <c r="AR275" i="2"/>
  <c r="AM275" i="2"/>
  <c r="AH275" i="2"/>
  <c r="U275" i="2"/>
  <c r="P275" i="2"/>
  <c r="K275" i="2"/>
  <c r="F275" i="2"/>
  <c r="AW274" i="2"/>
  <c r="AR274" i="2"/>
  <c r="AM274" i="2"/>
  <c r="AH274" i="2"/>
  <c r="U274" i="2"/>
  <c r="P274" i="2"/>
  <c r="K274" i="2"/>
  <c r="F274" i="2"/>
  <c r="AW273" i="2"/>
  <c r="AR273" i="2"/>
  <c r="AM273" i="2"/>
  <c r="AH273" i="2"/>
  <c r="U273" i="2"/>
  <c r="P273" i="2"/>
  <c r="K273" i="2"/>
  <c r="F273" i="2"/>
  <c r="U272" i="2"/>
  <c r="P272" i="2"/>
  <c r="K272" i="2"/>
  <c r="F272" i="2"/>
  <c r="AW271" i="2"/>
  <c r="AR271" i="2"/>
  <c r="AM271" i="2"/>
  <c r="AH271" i="2"/>
  <c r="U271" i="2"/>
  <c r="P271" i="2"/>
  <c r="K271" i="2"/>
  <c r="F271" i="2"/>
  <c r="AW270" i="2"/>
  <c r="AR270" i="2"/>
  <c r="AM270" i="2"/>
  <c r="AH270" i="2"/>
  <c r="U270" i="2"/>
  <c r="P270" i="2"/>
  <c r="K270" i="2"/>
  <c r="F270" i="2"/>
  <c r="AW269" i="2"/>
  <c r="AR269" i="2"/>
  <c r="AM269" i="2"/>
  <c r="AH269" i="2"/>
  <c r="U269" i="2"/>
  <c r="P269" i="2"/>
  <c r="K269" i="2"/>
  <c r="F269" i="2"/>
  <c r="AW268" i="2"/>
  <c r="AR268" i="2"/>
  <c r="AM268" i="2"/>
  <c r="AH268" i="2"/>
  <c r="U268" i="2"/>
  <c r="P268" i="2"/>
  <c r="K268" i="2"/>
  <c r="F268" i="2"/>
  <c r="AW267" i="2"/>
  <c r="AR267" i="2"/>
  <c r="AM267" i="2"/>
  <c r="AH267" i="2"/>
  <c r="U267" i="2"/>
  <c r="P267" i="2"/>
  <c r="K267" i="2"/>
  <c r="F267" i="2"/>
  <c r="AW266" i="2"/>
  <c r="AR266" i="2"/>
  <c r="AM266" i="2"/>
  <c r="AH266" i="2"/>
  <c r="U266" i="2"/>
  <c r="P266" i="2"/>
  <c r="K266" i="2"/>
  <c r="F266" i="2"/>
  <c r="AW265" i="2"/>
  <c r="AR265" i="2"/>
  <c r="AM265" i="2"/>
  <c r="AH265" i="2"/>
  <c r="U265" i="2"/>
  <c r="P265" i="2"/>
  <c r="K265" i="2"/>
  <c r="F265" i="2"/>
  <c r="AW263" i="2"/>
  <c r="AR263" i="2"/>
  <c r="AM263" i="2"/>
  <c r="AH263" i="2"/>
  <c r="U263" i="2"/>
  <c r="P263" i="2"/>
  <c r="K263" i="2"/>
  <c r="F263" i="2"/>
  <c r="AW262" i="2"/>
  <c r="AR262" i="2"/>
  <c r="AM262" i="2"/>
  <c r="AH262" i="2"/>
  <c r="U262" i="2"/>
  <c r="P262" i="2"/>
  <c r="K262" i="2"/>
  <c r="F262" i="2"/>
  <c r="U261" i="2"/>
  <c r="P261" i="2"/>
  <c r="K261" i="2"/>
  <c r="F261" i="2"/>
  <c r="U260" i="2"/>
  <c r="P260" i="2"/>
  <c r="K260" i="2"/>
  <c r="F260" i="2"/>
  <c r="AW259" i="2"/>
  <c r="AR259" i="2"/>
  <c r="U259" i="2"/>
  <c r="P259" i="2"/>
  <c r="K259" i="2"/>
  <c r="F259" i="2"/>
  <c r="U258" i="2"/>
  <c r="P258" i="2"/>
  <c r="K258" i="2"/>
  <c r="F258" i="2"/>
  <c r="AW257" i="2"/>
  <c r="AR257" i="2"/>
  <c r="AM257" i="2"/>
  <c r="AH257" i="2"/>
  <c r="U257" i="2"/>
  <c r="P257" i="2"/>
  <c r="K257" i="2"/>
  <c r="F257" i="2"/>
  <c r="AX286" i="2" l="1"/>
  <c r="AX287" i="2"/>
  <c r="V258" i="2"/>
  <c r="AX259" i="2"/>
  <c r="V263" i="2"/>
  <c r="AX265" i="2"/>
  <c r="V267" i="2"/>
  <c r="V270" i="2"/>
  <c r="AX271" i="2"/>
  <c r="V273" i="2"/>
  <c r="V276" i="2"/>
  <c r="AX277" i="2"/>
  <c r="V279" i="2"/>
  <c r="V282" i="2"/>
  <c r="AX283" i="2"/>
  <c r="V288" i="2"/>
  <c r="V290" i="2"/>
  <c r="AX263" i="2"/>
  <c r="V266" i="2"/>
  <c r="AX267" i="2"/>
  <c r="V269" i="2"/>
  <c r="V272" i="2"/>
  <c r="AX273" i="2"/>
  <c r="V275" i="2"/>
  <c r="AX279" i="2"/>
  <c r="V284" i="2"/>
  <c r="V287" i="2"/>
  <c r="V261" i="2"/>
  <c r="V257" i="2"/>
  <c r="V259" i="2"/>
  <c r="AX260" i="2"/>
  <c r="AX290" i="2"/>
  <c r="V265" i="2"/>
  <c r="V268" i="2"/>
  <c r="AX269" i="2"/>
  <c r="V271" i="2"/>
  <c r="V274" i="2"/>
  <c r="AX275" i="2"/>
  <c r="V277" i="2"/>
  <c r="V280" i="2"/>
  <c r="AX281" i="2"/>
  <c r="V286" i="2"/>
  <c r="AM291" i="2"/>
  <c r="V289" i="2"/>
  <c r="AR291" i="2"/>
  <c r="AX289" i="2"/>
  <c r="AW291" i="2"/>
  <c r="V285" i="2"/>
  <c r="V278" i="2"/>
  <c r="V281" i="2"/>
  <c r="P291" i="2"/>
  <c r="V283" i="2"/>
  <c r="K291" i="2"/>
  <c r="F291" i="2"/>
  <c r="V262" i="2"/>
  <c r="AX257" i="2"/>
  <c r="V260" i="2"/>
  <c r="AX262" i="2"/>
  <c r="AX266" i="2"/>
  <c r="AX268" i="2"/>
  <c r="AX270" i="2"/>
  <c r="AX274" i="2"/>
  <c r="AX276" i="2"/>
  <c r="AX278" i="2"/>
  <c r="AX280" i="2"/>
  <c r="AX282" i="2"/>
  <c r="AX284" i="2"/>
  <c r="AH291" i="2"/>
  <c r="U291" i="2"/>
  <c r="AX291" i="2" l="1"/>
  <c r="V291" i="2"/>
  <c r="AW248" i="2" l="1"/>
  <c r="AR248" i="2"/>
  <c r="AM248" i="2"/>
  <c r="AH248" i="2"/>
  <c r="T249" i="2"/>
  <c r="S249" i="2"/>
  <c r="R249" i="2"/>
  <c r="Q249" i="2"/>
  <c r="O249" i="2"/>
  <c r="N249" i="2"/>
  <c r="M249" i="2"/>
  <c r="L249" i="2"/>
  <c r="J249" i="2"/>
  <c r="I249" i="2"/>
  <c r="H249" i="2"/>
  <c r="G249" i="2"/>
  <c r="E249" i="2"/>
  <c r="D249" i="2"/>
  <c r="C249" i="2"/>
  <c r="B249" i="2"/>
  <c r="U248" i="2"/>
  <c r="P248" i="2"/>
  <c r="K248" i="2"/>
  <c r="F248" i="2"/>
  <c r="U247" i="2"/>
  <c r="P247" i="2"/>
  <c r="K247" i="2"/>
  <c r="F247" i="2"/>
  <c r="U246" i="2"/>
  <c r="P246" i="2"/>
  <c r="K246" i="2"/>
  <c r="F246" i="2"/>
  <c r="U245" i="2"/>
  <c r="P245" i="2"/>
  <c r="K245" i="2"/>
  <c r="F245" i="2"/>
  <c r="U244" i="2"/>
  <c r="P244" i="2"/>
  <c r="K244" i="2"/>
  <c r="F244" i="2"/>
  <c r="U243" i="2"/>
  <c r="P243" i="2"/>
  <c r="K243" i="2"/>
  <c r="F243" i="2"/>
  <c r="U242" i="2"/>
  <c r="P242" i="2"/>
  <c r="K242" i="2"/>
  <c r="F242" i="2"/>
  <c r="U241" i="2"/>
  <c r="P241" i="2"/>
  <c r="K241" i="2"/>
  <c r="F241" i="2"/>
  <c r="U240" i="2"/>
  <c r="P240" i="2"/>
  <c r="K240" i="2"/>
  <c r="F240" i="2"/>
  <c r="U239" i="2"/>
  <c r="P239" i="2"/>
  <c r="K239" i="2"/>
  <c r="F239" i="2"/>
  <c r="U238" i="2"/>
  <c r="P238" i="2"/>
  <c r="K238" i="2"/>
  <c r="F238" i="2"/>
  <c r="U237" i="2"/>
  <c r="P237" i="2"/>
  <c r="K237" i="2"/>
  <c r="F237" i="2"/>
  <c r="U236" i="2"/>
  <c r="P236" i="2"/>
  <c r="K236" i="2"/>
  <c r="F236" i="2"/>
  <c r="U235" i="2"/>
  <c r="P235" i="2"/>
  <c r="K235" i="2"/>
  <c r="F235" i="2"/>
  <c r="U234" i="2"/>
  <c r="P234" i="2"/>
  <c r="K234" i="2"/>
  <c r="F234" i="2"/>
  <c r="U233" i="2"/>
  <c r="P233" i="2"/>
  <c r="K233" i="2"/>
  <c r="F233" i="2"/>
  <c r="U232" i="2"/>
  <c r="P232" i="2"/>
  <c r="K232" i="2"/>
  <c r="F232" i="2"/>
  <c r="U231" i="2"/>
  <c r="P231" i="2"/>
  <c r="K231" i="2"/>
  <c r="F231" i="2"/>
  <c r="U230" i="2"/>
  <c r="P230" i="2"/>
  <c r="K230" i="2"/>
  <c r="F230" i="2"/>
  <c r="U229" i="2"/>
  <c r="P229" i="2"/>
  <c r="K229" i="2"/>
  <c r="F229" i="2"/>
  <c r="U228" i="2"/>
  <c r="P228" i="2"/>
  <c r="K228" i="2"/>
  <c r="F228" i="2"/>
  <c r="U227" i="2"/>
  <c r="P227" i="2"/>
  <c r="K227" i="2"/>
  <c r="F227" i="2"/>
  <c r="U226" i="2"/>
  <c r="P226" i="2"/>
  <c r="K226" i="2"/>
  <c r="F226" i="2"/>
  <c r="U225" i="2"/>
  <c r="P225" i="2"/>
  <c r="K225" i="2"/>
  <c r="F225" i="2"/>
  <c r="U224" i="2"/>
  <c r="P224" i="2"/>
  <c r="K224" i="2"/>
  <c r="F224" i="2"/>
  <c r="U223" i="2"/>
  <c r="P223" i="2"/>
  <c r="K223" i="2"/>
  <c r="F223" i="2"/>
  <c r="U221" i="2"/>
  <c r="P221" i="2"/>
  <c r="K221" i="2"/>
  <c r="F221" i="2"/>
  <c r="U220" i="2"/>
  <c r="P220" i="2"/>
  <c r="K220" i="2"/>
  <c r="F220" i="2"/>
  <c r="U219" i="2"/>
  <c r="P219" i="2"/>
  <c r="K219" i="2"/>
  <c r="F219" i="2"/>
  <c r="U218" i="2"/>
  <c r="P218" i="2"/>
  <c r="K218" i="2"/>
  <c r="F218" i="2"/>
  <c r="U217" i="2"/>
  <c r="P217" i="2"/>
  <c r="K217" i="2"/>
  <c r="F217" i="2"/>
  <c r="U216" i="2"/>
  <c r="P216" i="2"/>
  <c r="K216" i="2"/>
  <c r="F216" i="2"/>
  <c r="U215" i="2"/>
  <c r="P215" i="2"/>
  <c r="K215" i="2"/>
  <c r="F215" i="2"/>
  <c r="AW215" i="2"/>
  <c r="AR215" i="2"/>
  <c r="AM215" i="2"/>
  <c r="AH215" i="2"/>
  <c r="AV249" i="2"/>
  <c r="AU249" i="2"/>
  <c r="AT249" i="2"/>
  <c r="AS249" i="2"/>
  <c r="AQ249" i="2"/>
  <c r="AP249" i="2"/>
  <c r="AO249" i="2"/>
  <c r="AN249" i="2"/>
  <c r="AL249" i="2"/>
  <c r="AK249" i="2"/>
  <c r="AJ249" i="2"/>
  <c r="AI249" i="2"/>
  <c r="AG249" i="2"/>
  <c r="AF249" i="2"/>
  <c r="AE249" i="2"/>
  <c r="AD249" i="2"/>
  <c r="AW247" i="2"/>
  <c r="AR247" i="2"/>
  <c r="AM247" i="2"/>
  <c r="AH247" i="2"/>
  <c r="AW246" i="2"/>
  <c r="AR246" i="2"/>
  <c r="AM246" i="2"/>
  <c r="AH246" i="2"/>
  <c r="AW245" i="2"/>
  <c r="AR245" i="2"/>
  <c r="AM245" i="2"/>
  <c r="AH245" i="2"/>
  <c r="AW244" i="2"/>
  <c r="AR244" i="2"/>
  <c r="AM244" i="2"/>
  <c r="AH244" i="2"/>
  <c r="AW243" i="2"/>
  <c r="AR243" i="2"/>
  <c r="AM243" i="2"/>
  <c r="AH243" i="2"/>
  <c r="AW242" i="2"/>
  <c r="AR242" i="2"/>
  <c r="AM242" i="2"/>
  <c r="AH242" i="2"/>
  <c r="AW241" i="2"/>
  <c r="AR241" i="2"/>
  <c r="AM241" i="2"/>
  <c r="AH241" i="2"/>
  <c r="AW240" i="2"/>
  <c r="AR240" i="2"/>
  <c r="AM240" i="2"/>
  <c r="AH240" i="2"/>
  <c r="AW239" i="2"/>
  <c r="AR239" i="2"/>
  <c r="AM239" i="2"/>
  <c r="AH239" i="2"/>
  <c r="AW238" i="2"/>
  <c r="AR238" i="2"/>
  <c r="AM238" i="2"/>
  <c r="AH238" i="2"/>
  <c r="AW237" i="2"/>
  <c r="AR237" i="2"/>
  <c r="AM237" i="2"/>
  <c r="AH237" i="2"/>
  <c r="AW236" i="2"/>
  <c r="AR236" i="2"/>
  <c r="AM236" i="2"/>
  <c r="AH236" i="2"/>
  <c r="AW235" i="2"/>
  <c r="AR235" i="2"/>
  <c r="AM235" i="2"/>
  <c r="AH235" i="2"/>
  <c r="AW234" i="2"/>
  <c r="AR234" i="2"/>
  <c r="AM234" i="2"/>
  <c r="AH234" i="2"/>
  <c r="AW233" i="2"/>
  <c r="AR233" i="2"/>
  <c r="AM233" i="2"/>
  <c r="AH233" i="2"/>
  <c r="AW232" i="2"/>
  <c r="AR232" i="2"/>
  <c r="AM232" i="2"/>
  <c r="AH232" i="2"/>
  <c r="AW231" i="2"/>
  <c r="AR231" i="2"/>
  <c r="AM231" i="2"/>
  <c r="AH231" i="2"/>
  <c r="AW230" i="2"/>
  <c r="AR230" i="2"/>
  <c r="AM230" i="2"/>
  <c r="AH230" i="2"/>
  <c r="AW229" i="2"/>
  <c r="AR229" i="2"/>
  <c r="AM229" i="2"/>
  <c r="AH229" i="2"/>
  <c r="AW228" i="2"/>
  <c r="AR228" i="2"/>
  <c r="AM228" i="2"/>
  <c r="AH228" i="2"/>
  <c r="AW227" i="2"/>
  <c r="AR227" i="2"/>
  <c r="AM227" i="2"/>
  <c r="AH227" i="2"/>
  <c r="AW226" i="2"/>
  <c r="AR226" i="2"/>
  <c r="AM226" i="2"/>
  <c r="AH226" i="2"/>
  <c r="AW225" i="2"/>
  <c r="AR225" i="2"/>
  <c r="AM225" i="2"/>
  <c r="AH225" i="2"/>
  <c r="AW224" i="2"/>
  <c r="AR224" i="2"/>
  <c r="AM224" i="2"/>
  <c r="AH224" i="2"/>
  <c r="AW223" i="2"/>
  <c r="AR223" i="2"/>
  <c r="AM223" i="2"/>
  <c r="AH223" i="2"/>
  <c r="AW221" i="2"/>
  <c r="AR221" i="2"/>
  <c r="AM221" i="2"/>
  <c r="AH221" i="2"/>
  <c r="AW220" i="2"/>
  <c r="AR220" i="2"/>
  <c r="AM220" i="2"/>
  <c r="AH220" i="2"/>
  <c r="AW219" i="2"/>
  <c r="AR219" i="2"/>
  <c r="AM219" i="2"/>
  <c r="AH219" i="2"/>
  <c r="AW217" i="2"/>
  <c r="AR217" i="2"/>
  <c r="AM217" i="2"/>
  <c r="AH217" i="2"/>
  <c r="AH176" i="2"/>
  <c r="AM176" i="2"/>
  <c r="AR176" i="2"/>
  <c r="AW176" i="2"/>
  <c r="AM185" i="2"/>
  <c r="AV207" i="2"/>
  <c r="AU207" i="2"/>
  <c r="AT207" i="2"/>
  <c r="AS207" i="2"/>
  <c r="AQ207" i="2"/>
  <c r="AP207" i="2"/>
  <c r="AO207" i="2"/>
  <c r="AN207" i="2"/>
  <c r="AL207" i="2"/>
  <c r="AK207" i="2"/>
  <c r="AJ207" i="2"/>
  <c r="AI207" i="2"/>
  <c r="AG207" i="2"/>
  <c r="AF207" i="2"/>
  <c r="AE207" i="2"/>
  <c r="AD207" i="2"/>
  <c r="T207" i="2"/>
  <c r="S207" i="2"/>
  <c r="R207" i="2"/>
  <c r="Q207" i="2"/>
  <c r="O207" i="2"/>
  <c r="N207" i="2"/>
  <c r="M207" i="2"/>
  <c r="L207" i="2"/>
  <c r="J207" i="2"/>
  <c r="I207" i="2"/>
  <c r="H207" i="2"/>
  <c r="G207" i="2"/>
  <c r="E207" i="2"/>
  <c r="D207" i="2"/>
  <c r="C207" i="2"/>
  <c r="B207" i="2"/>
  <c r="AW206" i="2"/>
  <c r="AR206" i="2"/>
  <c r="AM206" i="2"/>
  <c r="AH206" i="2"/>
  <c r="U206" i="2"/>
  <c r="P206" i="2"/>
  <c r="K206" i="2"/>
  <c r="F206" i="2"/>
  <c r="AW205" i="2"/>
  <c r="AR205" i="2"/>
  <c r="AM205" i="2"/>
  <c r="AH205" i="2"/>
  <c r="U205" i="2"/>
  <c r="P205" i="2"/>
  <c r="K205" i="2"/>
  <c r="F205" i="2"/>
  <c r="AW204" i="2"/>
  <c r="AR204" i="2"/>
  <c r="AM204" i="2"/>
  <c r="AH204" i="2"/>
  <c r="U204" i="2"/>
  <c r="P204" i="2"/>
  <c r="K204" i="2"/>
  <c r="F204" i="2"/>
  <c r="AW203" i="2"/>
  <c r="AR203" i="2"/>
  <c r="AM203" i="2"/>
  <c r="AH203" i="2"/>
  <c r="U203" i="2"/>
  <c r="P203" i="2"/>
  <c r="K203" i="2"/>
  <c r="F203" i="2"/>
  <c r="AW202" i="2"/>
  <c r="AR202" i="2"/>
  <c r="AM202" i="2"/>
  <c r="AH202" i="2"/>
  <c r="U202" i="2"/>
  <c r="P202" i="2"/>
  <c r="K202" i="2"/>
  <c r="F202" i="2"/>
  <c r="AW201" i="2"/>
  <c r="AR201" i="2"/>
  <c r="AM201" i="2"/>
  <c r="AH201" i="2"/>
  <c r="U201" i="2"/>
  <c r="P201" i="2"/>
  <c r="K201" i="2"/>
  <c r="F201" i="2"/>
  <c r="AW200" i="2"/>
  <c r="AR200" i="2"/>
  <c r="AM200" i="2"/>
  <c r="AH200" i="2"/>
  <c r="U200" i="2"/>
  <c r="P200" i="2"/>
  <c r="K200" i="2"/>
  <c r="F200" i="2"/>
  <c r="AW199" i="2"/>
  <c r="AR199" i="2"/>
  <c r="AM199" i="2"/>
  <c r="AH199" i="2"/>
  <c r="U199" i="2"/>
  <c r="P199" i="2"/>
  <c r="K199" i="2"/>
  <c r="F199" i="2"/>
  <c r="AW198" i="2"/>
  <c r="AR198" i="2"/>
  <c r="AM198" i="2"/>
  <c r="AH198" i="2"/>
  <c r="U198" i="2"/>
  <c r="P198" i="2"/>
  <c r="K198" i="2"/>
  <c r="F198" i="2"/>
  <c r="AW197" i="2"/>
  <c r="AR197" i="2"/>
  <c r="AM197" i="2"/>
  <c r="AH197" i="2"/>
  <c r="U197" i="2"/>
  <c r="P197" i="2"/>
  <c r="K197" i="2"/>
  <c r="F197" i="2"/>
  <c r="AW196" i="2"/>
  <c r="AR196" i="2"/>
  <c r="AM196" i="2"/>
  <c r="AH196" i="2"/>
  <c r="U196" i="2"/>
  <c r="P196" i="2"/>
  <c r="K196" i="2"/>
  <c r="F196" i="2"/>
  <c r="AW195" i="2"/>
  <c r="AR195" i="2"/>
  <c r="AM195" i="2"/>
  <c r="AH195" i="2"/>
  <c r="U195" i="2"/>
  <c r="P195" i="2"/>
  <c r="K195" i="2"/>
  <c r="F195" i="2"/>
  <c r="AW194" i="2"/>
  <c r="AR194" i="2"/>
  <c r="AM194" i="2"/>
  <c r="AH194" i="2"/>
  <c r="U194" i="2"/>
  <c r="P194" i="2"/>
  <c r="K194" i="2"/>
  <c r="F194" i="2"/>
  <c r="AW193" i="2"/>
  <c r="AR193" i="2"/>
  <c r="AM193" i="2"/>
  <c r="AH193" i="2"/>
  <c r="U193" i="2"/>
  <c r="P193" i="2"/>
  <c r="K193" i="2"/>
  <c r="F193" i="2"/>
  <c r="AW192" i="2"/>
  <c r="AR192" i="2"/>
  <c r="AM192" i="2"/>
  <c r="AH192" i="2"/>
  <c r="U192" i="2"/>
  <c r="P192" i="2"/>
  <c r="K192" i="2"/>
  <c r="F192" i="2"/>
  <c r="AW191" i="2"/>
  <c r="AR191" i="2"/>
  <c r="AM191" i="2"/>
  <c r="AH191" i="2"/>
  <c r="U191" i="2"/>
  <c r="P191" i="2"/>
  <c r="K191" i="2"/>
  <c r="F191" i="2"/>
  <c r="AW190" i="2"/>
  <c r="AR190" i="2"/>
  <c r="AM190" i="2"/>
  <c r="AH190" i="2"/>
  <c r="U190" i="2"/>
  <c r="P190" i="2"/>
  <c r="K190" i="2"/>
  <c r="F190" i="2"/>
  <c r="AW189" i="2"/>
  <c r="AR189" i="2"/>
  <c r="AM189" i="2"/>
  <c r="AH189" i="2"/>
  <c r="U189" i="2"/>
  <c r="P189" i="2"/>
  <c r="K189" i="2"/>
  <c r="F189" i="2"/>
  <c r="AW188" i="2"/>
  <c r="AR188" i="2"/>
  <c r="AM188" i="2"/>
  <c r="AH188" i="2"/>
  <c r="U188" i="2"/>
  <c r="P188" i="2"/>
  <c r="K188" i="2"/>
  <c r="F188" i="2"/>
  <c r="AW187" i="2"/>
  <c r="AR187" i="2"/>
  <c r="AM187" i="2"/>
  <c r="AH187" i="2"/>
  <c r="U187" i="2"/>
  <c r="P187" i="2"/>
  <c r="K187" i="2"/>
  <c r="F187" i="2"/>
  <c r="AW186" i="2"/>
  <c r="AR186" i="2"/>
  <c r="AM186" i="2"/>
  <c r="AH186" i="2"/>
  <c r="U186" i="2"/>
  <c r="P186" i="2"/>
  <c r="K186" i="2"/>
  <c r="F186" i="2"/>
  <c r="AW185" i="2"/>
  <c r="AR185" i="2"/>
  <c r="AH185" i="2"/>
  <c r="U185" i="2"/>
  <c r="P185" i="2"/>
  <c r="K185" i="2"/>
  <c r="F185" i="2"/>
  <c r="AW184" i="2"/>
  <c r="AR184" i="2"/>
  <c r="AM184" i="2"/>
  <c r="AH184" i="2"/>
  <c r="U184" i="2"/>
  <c r="P184" i="2"/>
  <c r="K184" i="2"/>
  <c r="F184" i="2"/>
  <c r="AW183" i="2"/>
  <c r="AR183" i="2"/>
  <c r="AM183" i="2"/>
  <c r="AH183" i="2"/>
  <c r="U183" i="2"/>
  <c r="P183" i="2"/>
  <c r="K183" i="2"/>
  <c r="F183" i="2"/>
  <c r="AW182" i="2"/>
  <c r="AR182" i="2"/>
  <c r="AM182" i="2"/>
  <c r="AH182" i="2"/>
  <c r="U182" i="2"/>
  <c r="P182" i="2"/>
  <c r="K182" i="2"/>
  <c r="F182" i="2"/>
  <c r="AW181" i="2"/>
  <c r="AR181" i="2"/>
  <c r="AM181" i="2"/>
  <c r="AH181" i="2"/>
  <c r="U181" i="2"/>
  <c r="P181" i="2"/>
  <c r="K181" i="2"/>
  <c r="F181" i="2"/>
  <c r="AW179" i="2"/>
  <c r="AR179" i="2"/>
  <c r="AM179" i="2"/>
  <c r="AH179" i="2"/>
  <c r="U179" i="2"/>
  <c r="P179" i="2"/>
  <c r="K179" i="2"/>
  <c r="F179" i="2"/>
  <c r="AW178" i="2"/>
  <c r="AR178" i="2"/>
  <c r="AM178" i="2"/>
  <c r="AH178" i="2"/>
  <c r="U178" i="2"/>
  <c r="P178" i="2"/>
  <c r="K178" i="2"/>
  <c r="F178" i="2"/>
  <c r="AW177" i="2"/>
  <c r="AR177" i="2"/>
  <c r="AM177" i="2"/>
  <c r="AH177" i="2"/>
  <c r="U177" i="2"/>
  <c r="P177" i="2"/>
  <c r="K177" i="2"/>
  <c r="F177" i="2"/>
  <c r="U176" i="2"/>
  <c r="P176" i="2"/>
  <c r="K176" i="2"/>
  <c r="F176" i="2"/>
  <c r="AW175" i="2"/>
  <c r="AR175" i="2"/>
  <c r="AM175" i="2"/>
  <c r="AH175" i="2"/>
  <c r="U175" i="2"/>
  <c r="P175" i="2"/>
  <c r="K175" i="2"/>
  <c r="F175" i="2"/>
  <c r="AW174" i="2"/>
  <c r="AR174" i="2"/>
  <c r="AM174" i="2"/>
  <c r="AH174" i="2"/>
  <c r="U174" i="2"/>
  <c r="P174" i="2"/>
  <c r="K174" i="2"/>
  <c r="F174" i="2"/>
  <c r="U173" i="2"/>
  <c r="P173" i="2"/>
  <c r="K173" i="2"/>
  <c r="F173" i="2"/>
  <c r="AM153" i="2"/>
  <c r="AH153" i="2"/>
  <c r="T165" i="2"/>
  <c r="S165" i="2"/>
  <c r="R165" i="2"/>
  <c r="Q165" i="2"/>
  <c r="O165" i="2"/>
  <c r="N165" i="2"/>
  <c r="M165" i="2"/>
  <c r="L165" i="2"/>
  <c r="J165" i="2"/>
  <c r="I165" i="2"/>
  <c r="H165" i="2"/>
  <c r="G165" i="2"/>
  <c r="E165" i="2"/>
  <c r="D165" i="2"/>
  <c r="C165" i="2"/>
  <c r="B165" i="2"/>
  <c r="U164" i="2"/>
  <c r="P164" i="2"/>
  <c r="K164" i="2"/>
  <c r="F164" i="2"/>
  <c r="U163" i="2"/>
  <c r="P163" i="2"/>
  <c r="K163" i="2"/>
  <c r="F163" i="2"/>
  <c r="U162" i="2"/>
  <c r="P162" i="2"/>
  <c r="K162" i="2"/>
  <c r="F162" i="2"/>
  <c r="U161" i="2"/>
  <c r="P161" i="2"/>
  <c r="K161" i="2"/>
  <c r="F161" i="2"/>
  <c r="U160" i="2"/>
  <c r="P160" i="2"/>
  <c r="K160" i="2"/>
  <c r="F160" i="2"/>
  <c r="U159" i="2"/>
  <c r="P159" i="2"/>
  <c r="K159" i="2"/>
  <c r="F159" i="2"/>
  <c r="U158" i="2"/>
  <c r="P158" i="2"/>
  <c r="K158" i="2"/>
  <c r="F158" i="2"/>
  <c r="U157" i="2"/>
  <c r="P157" i="2"/>
  <c r="K157" i="2"/>
  <c r="F157" i="2"/>
  <c r="U156" i="2"/>
  <c r="P156" i="2"/>
  <c r="K156" i="2"/>
  <c r="F156" i="2"/>
  <c r="U155" i="2"/>
  <c r="P155" i="2"/>
  <c r="K155" i="2"/>
  <c r="F155" i="2"/>
  <c r="U154" i="2"/>
  <c r="P154" i="2"/>
  <c r="K154" i="2"/>
  <c r="F154" i="2"/>
  <c r="U153" i="2"/>
  <c r="P153" i="2"/>
  <c r="K153" i="2"/>
  <c r="F153" i="2"/>
  <c r="U152" i="2"/>
  <c r="P152" i="2"/>
  <c r="K152" i="2"/>
  <c r="F152" i="2"/>
  <c r="U151" i="2"/>
  <c r="P151" i="2"/>
  <c r="K151" i="2"/>
  <c r="F151" i="2"/>
  <c r="U150" i="2"/>
  <c r="P150" i="2"/>
  <c r="K150" i="2"/>
  <c r="F150" i="2"/>
  <c r="U149" i="2"/>
  <c r="P149" i="2"/>
  <c r="K149" i="2"/>
  <c r="F149" i="2"/>
  <c r="U148" i="2"/>
  <c r="P148" i="2"/>
  <c r="K148" i="2"/>
  <c r="F148" i="2"/>
  <c r="U147" i="2"/>
  <c r="P147" i="2"/>
  <c r="K147" i="2"/>
  <c r="F147" i="2"/>
  <c r="U146" i="2"/>
  <c r="P146" i="2"/>
  <c r="K146" i="2"/>
  <c r="F146" i="2"/>
  <c r="U145" i="2"/>
  <c r="P145" i="2"/>
  <c r="K145" i="2"/>
  <c r="F145" i="2"/>
  <c r="U144" i="2"/>
  <c r="P144" i="2"/>
  <c r="K144" i="2"/>
  <c r="F144" i="2"/>
  <c r="U143" i="2"/>
  <c r="P143" i="2"/>
  <c r="K143" i="2"/>
  <c r="F143" i="2"/>
  <c r="U142" i="2"/>
  <c r="P142" i="2"/>
  <c r="K142" i="2"/>
  <c r="F142" i="2"/>
  <c r="U141" i="2"/>
  <c r="P141" i="2"/>
  <c r="K141" i="2"/>
  <c r="F141" i="2"/>
  <c r="U140" i="2"/>
  <c r="P140" i="2"/>
  <c r="K140" i="2"/>
  <c r="F140" i="2"/>
  <c r="U139" i="2"/>
  <c r="P139" i="2"/>
  <c r="K139" i="2"/>
  <c r="F139" i="2"/>
  <c r="U137" i="2"/>
  <c r="P137" i="2"/>
  <c r="K137" i="2"/>
  <c r="F137" i="2"/>
  <c r="U136" i="2"/>
  <c r="P136" i="2"/>
  <c r="K136" i="2"/>
  <c r="F136" i="2"/>
  <c r="U135" i="2"/>
  <c r="P135" i="2"/>
  <c r="K135" i="2"/>
  <c r="F135" i="2"/>
  <c r="U134" i="2"/>
  <c r="P134" i="2"/>
  <c r="K134" i="2"/>
  <c r="F134" i="2"/>
  <c r="U133" i="2"/>
  <c r="P133" i="2"/>
  <c r="K133" i="2"/>
  <c r="F133" i="2"/>
  <c r="U132" i="2"/>
  <c r="P132" i="2"/>
  <c r="K132" i="2"/>
  <c r="F132" i="2"/>
  <c r="U131" i="2"/>
  <c r="P131" i="2"/>
  <c r="K131" i="2"/>
  <c r="F131" i="2"/>
  <c r="AH117" i="2"/>
  <c r="AM117" i="2"/>
  <c r="AR117" i="2"/>
  <c r="AW117" i="2"/>
  <c r="AH118" i="2"/>
  <c r="AM118" i="2"/>
  <c r="AR118" i="2"/>
  <c r="AW118" i="2"/>
  <c r="AH119" i="2"/>
  <c r="AM119" i="2"/>
  <c r="AR119" i="2"/>
  <c r="AW119" i="2"/>
  <c r="AH120" i="2"/>
  <c r="AM120" i="2"/>
  <c r="AR120" i="2"/>
  <c r="AW120" i="2"/>
  <c r="AH121" i="2"/>
  <c r="AM121" i="2"/>
  <c r="AR121" i="2"/>
  <c r="AW121" i="2"/>
  <c r="AH122" i="2"/>
  <c r="AM122" i="2"/>
  <c r="AR122" i="2"/>
  <c r="AW122" i="2"/>
  <c r="AV165" i="2"/>
  <c r="AU165" i="2"/>
  <c r="AT165" i="2"/>
  <c r="AS165" i="2"/>
  <c r="AQ165" i="2"/>
  <c r="AP165" i="2"/>
  <c r="AO165" i="2"/>
  <c r="AN165" i="2"/>
  <c r="AL165" i="2"/>
  <c r="AK165" i="2"/>
  <c r="AJ165" i="2"/>
  <c r="AI165" i="2"/>
  <c r="AG165" i="2"/>
  <c r="AF165" i="2"/>
  <c r="AE165" i="2"/>
  <c r="AD165" i="2"/>
  <c r="AW164" i="2"/>
  <c r="AR164" i="2"/>
  <c r="AM164" i="2"/>
  <c r="AH164" i="2"/>
  <c r="AW163" i="2"/>
  <c r="AR163" i="2"/>
  <c r="AM163" i="2"/>
  <c r="AH163" i="2"/>
  <c r="AW162" i="2"/>
  <c r="AR162" i="2"/>
  <c r="AM162" i="2"/>
  <c r="AH162" i="2"/>
  <c r="AW161" i="2"/>
  <c r="AR161" i="2"/>
  <c r="AM161" i="2"/>
  <c r="AH161" i="2"/>
  <c r="AW160" i="2"/>
  <c r="AR160" i="2"/>
  <c r="AM160" i="2"/>
  <c r="AH160" i="2"/>
  <c r="AW159" i="2"/>
  <c r="AR159" i="2"/>
  <c r="AM159" i="2"/>
  <c r="AH159" i="2"/>
  <c r="AW158" i="2"/>
  <c r="AR158" i="2"/>
  <c r="AM158" i="2"/>
  <c r="AH158" i="2"/>
  <c r="AW157" i="2"/>
  <c r="AR157" i="2"/>
  <c r="AM157" i="2"/>
  <c r="AH157" i="2"/>
  <c r="AW156" i="2"/>
  <c r="AR156" i="2"/>
  <c r="AM156" i="2"/>
  <c r="AH156" i="2"/>
  <c r="AW155" i="2"/>
  <c r="AR155" i="2"/>
  <c r="AM155" i="2"/>
  <c r="AH155" i="2"/>
  <c r="AW154" i="2"/>
  <c r="AR154" i="2"/>
  <c r="AM154" i="2"/>
  <c r="AH154" i="2"/>
  <c r="AW153" i="2"/>
  <c r="AR153" i="2"/>
  <c r="AW152" i="2"/>
  <c r="AR152" i="2"/>
  <c r="AM152" i="2"/>
  <c r="AH152" i="2"/>
  <c r="AW151" i="2"/>
  <c r="AR151" i="2"/>
  <c r="AM151" i="2"/>
  <c r="AH151" i="2"/>
  <c r="AW150" i="2"/>
  <c r="AR150" i="2"/>
  <c r="AM150" i="2"/>
  <c r="AH150" i="2"/>
  <c r="AW149" i="2"/>
  <c r="AR149" i="2"/>
  <c r="AM149" i="2"/>
  <c r="AH149" i="2"/>
  <c r="AW148" i="2"/>
  <c r="AR148" i="2"/>
  <c r="AM148" i="2"/>
  <c r="AH148" i="2"/>
  <c r="AW147" i="2"/>
  <c r="AR147" i="2"/>
  <c r="AM147" i="2"/>
  <c r="AH147" i="2"/>
  <c r="AW146" i="2"/>
  <c r="AR146" i="2"/>
  <c r="AM146" i="2"/>
  <c r="AH146" i="2"/>
  <c r="AW145" i="2"/>
  <c r="AR145" i="2"/>
  <c r="AM145" i="2"/>
  <c r="AH145" i="2"/>
  <c r="AW144" i="2"/>
  <c r="AR144" i="2"/>
  <c r="AM144" i="2"/>
  <c r="AH144" i="2"/>
  <c r="AW143" i="2"/>
  <c r="AR143" i="2"/>
  <c r="AM143" i="2"/>
  <c r="AH143" i="2"/>
  <c r="AW142" i="2"/>
  <c r="AR142" i="2"/>
  <c r="AM142" i="2"/>
  <c r="AH142" i="2"/>
  <c r="AW141" i="2"/>
  <c r="AR141" i="2"/>
  <c r="AM141" i="2"/>
  <c r="AH141" i="2"/>
  <c r="AW140" i="2"/>
  <c r="AR140" i="2"/>
  <c r="AM140" i="2"/>
  <c r="AH140" i="2"/>
  <c r="AW139" i="2"/>
  <c r="AR139" i="2"/>
  <c r="AM139" i="2"/>
  <c r="AH139" i="2"/>
  <c r="AW137" i="2"/>
  <c r="AR137" i="2"/>
  <c r="AM137" i="2"/>
  <c r="AH137" i="2"/>
  <c r="AW136" i="2"/>
  <c r="AR136" i="2"/>
  <c r="AM136" i="2"/>
  <c r="AH136" i="2"/>
  <c r="AW135" i="2"/>
  <c r="AR135" i="2"/>
  <c r="AM135" i="2"/>
  <c r="AH135" i="2"/>
  <c r="AW134" i="2"/>
  <c r="AR134" i="2"/>
  <c r="AM134" i="2"/>
  <c r="AH134" i="2"/>
  <c r="AW133" i="2"/>
  <c r="AR133" i="2"/>
  <c r="AM133" i="2"/>
  <c r="AH133" i="2"/>
  <c r="AW132" i="2"/>
  <c r="AR132" i="2"/>
  <c r="AM132" i="2"/>
  <c r="AH132" i="2"/>
  <c r="AW131" i="2"/>
  <c r="AR131" i="2"/>
  <c r="AM131" i="2"/>
  <c r="AH131" i="2"/>
  <c r="AW76" i="2"/>
  <c r="AR76" i="2"/>
  <c r="AM76" i="2"/>
  <c r="AH76" i="2"/>
  <c r="AV123" i="2"/>
  <c r="AU123" i="2"/>
  <c r="AT123" i="2"/>
  <c r="AS123" i="2"/>
  <c r="AQ123" i="2"/>
  <c r="AP123" i="2"/>
  <c r="AO123" i="2"/>
  <c r="AN123" i="2"/>
  <c r="AL123" i="2"/>
  <c r="AK123" i="2"/>
  <c r="AJ123" i="2"/>
  <c r="AI123" i="2"/>
  <c r="AG123" i="2"/>
  <c r="AF123" i="2"/>
  <c r="AE123" i="2"/>
  <c r="AD123" i="2"/>
  <c r="T123" i="2"/>
  <c r="S123" i="2"/>
  <c r="R123" i="2"/>
  <c r="Q123" i="2"/>
  <c r="O123" i="2"/>
  <c r="N123" i="2"/>
  <c r="M123" i="2"/>
  <c r="L123" i="2"/>
  <c r="J123" i="2"/>
  <c r="I123" i="2"/>
  <c r="H123" i="2"/>
  <c r="G123" i="2"/>
  <c r="E123" i="2"/>
  <c r="D123" i="2"/>
  <c r="C123" i="2"/>
  <c r="B123" i="2"/>
  <c r="U122" i="2"/>
  <c r="P122" i="2"/>
  <c r="K122" i="2"/>
  <c r="F122" i="2"/>
  <c r="U121" i="2"/>
  <c r="P121" i="2"/>
  <c r="K121" i="2"/>
  <c r="F121" i="2"/>
  <c r="U120" i="2"/>
  <c r="P120" i="2"/>
  <c r="K120" i="2"/>
  <c r="F120" i="2"/>
  <c r="U119" i="2"/>
  <c r="P119" i="2"/>
  <c r="K119" i="2"/>
  <c r="F119" i="2"/>
  <c r="U118" i="2"/>
  <c r="P118" i="2"/>
  <c r="K118" i="2"/>
  <c r="F118" i="2"/>
  <c r="U117" i="2"/>
  <c r="P117" i="2"/>
  <c r="K117" i="2"/>
  <c r="F117" i="2"/>
  <c r="AW116" i="2"/>
  <c r="AR116" i="2"/>
  <c r="AM116" i="2"/>
  <c r="AH116" i="2"/>
  <c r="U116" i="2"/>
  <c r="P116" i="2"/>
  <c r="K116" i="2"/>
  <c r="F116" i="2"/>
  <c r="AW115" i="2"/>
  <c r="AR115" i="2"/>
  <c r="AM115" i="2"/>
  <c r="AH115" i="2"/>
  <c r="U115" i="2"/>
  <c r="P115" i="2"/>
  <c r="K115" i="2"/>
  <c r="F115" i="2"/>
  <c r="AW114" i="2"/>
  <c r="AR114" i="2"/>
  <c r="AM114" i="2"/>
  <c r="AH114" i="2"/>
  <c r="U114" i="2"/>
  <c r="P114" i="2"/>
  <c r="K114" i="2"/>
  <c r="F114" i="2"/>
  <c r="AW113" i="2"/>
  <c r="AR113" i="2"/>
  <c r="AM113" i="2"/>
  <c r="AH113" i="2"/>
  <c r="U113" i="2"/>
  <c r="P113" i="2"/>
  <c r="K113" i="2"/>
  <c r="F113" i="2"/>
  <c r="AW112" i="2"/>
  <c r="AR112" i="2"/>
  <c r="AM112" i="2"/>
  <c r="AH112" i="2"/>
  <c r="U112" i="2"/>
  <c r="P112" i="2"/>
  <c r="K112" i="2"/>
  <c r="F112" i="2"/>
  <c r="AW111" i="2"/>
  <c r="AR111" i="2"/>
  <c r="AM111" i="2"/>
  <c r="AH111" i="2"/>
  <c r="U111" i="2"/>
  <c r="P111" i="2"/>
  <c r="K111" i="2"/>
  <c r="F111" i="2"/>
  <c r="AW110" i="2"/>
  <c r="AR110" i="2"/>
  <c r="AM110" i="2"/>
  <c r="AH110" i="2"/>
  <c r="U110" i="2"/>
  <c r="P110" i="2"/>
  <c r="K110" i="2"/>
  <c r="F110" i="2"/>
  <c r="AW109" i="2"/>
  <c r="AR109" i="2"/>
  <c r="AM109" i="2"/>
  <c r="AH109" i="2"/>
  <c r="U109" i="2"/>
  <c r="P109" i="2"/>
  <c r="K109" i="2"/>
  <c r="F109" i="2"/>
  <c r="AW108" i="2"/>
  <c r="AR108" i="2"/>
  <c r="AM108" i="2"/>
  <c r="AH108" i="2"/>
  <c r="U108" i="2"/>
  <c r="P108" i="2"/>
  <c r="K108" i="2"/>
  <c r="F108" i="2"/>
  <c r="AW107" i="2"/>
  <c r="AR107" i="2"/>
  <c r="AM107" i="2"/>
  <c r="AH107" i="2"/>
  <c r="U107" i="2"/>
  <c r="P107" i="2"/>
  <c r="K107" i="2"/>
  <c r="F107" i="2"/>
  <c r="AW106" i="2"/>
  <c r="AR106" i="2"/>
  <c r="AM106" i="2"/>
  <c r="AH106" i="2"/>
  <c r="U106" i="2"/>
  <c r="P106" i="2"/>
  <c r="K106" i="2"/>
  <c r="F106" i="2"/>
  <c r="AW105" i="2"/>
  <c r="AR105" i="2"/>
  <c r="AM105" i="2"/>
  <c r="AH105" i="2"/>
  <c r="U105" i="2"/>
  <c r="P105" i="2"/>
  <c r="K105" i="2"/>
  <c r="F105" i="2"/>
  <c r="AW104" i="2"/>
  <c r="AR104" i="2"/>
  <c r="AM104" i="2"/>
  <c r="AH104" i="2"/>
  <c r="U104" i="2"/>
  <c r="P104" i="2"/>
  <c r="K104" i="2"/>
  <c r="F104" i="2"/>
  <c r="AW103" i="2"/>
  <c r="AR103" i="2"/>
  <c r="AM103" i="2"/>
  <c r="AH103" i="2"/>
  <c r="U103" i="2"/>
  <c r="P103" i="2"/>
  <c r="K103" i="2"/>
  <c r="F103" i="2"/>
  <c r="AW102" i="2"/>
  <c r="AR102" i="2"/>
  <c r="AM102" i="2"/>
  <c r="AH102" i="2"/>
  <c r="U102" i="2"/>
  <c r="P102" i="2"/>
  <c r="K102" i="2"/>
  <c r="F102" i="2"/>
  <c r="AW101" i="2"/>
  <c r="AR101" i="2"/>
  <c r="AM101" i="2"/>
  <c r="AH101" i="2"/>
  <c r="U101" i="2"/>
  <c r="P101" i="2"/>
  <c r="K101" i="2"/>
  <c r="F101" i="2"/>
  <c r="AW100" i="2"/>
  <c r="AR100" i="2"/>
  <c r="AM100" i="2"/>
  <c r="AH100" i="2"/>
  <c r="U100" i="2"/>
  <c r="P100" i="2"/>
  <c r="K100" i="2"/>
  <c r="F100" i="2"/>
  <c r="AW99" i="2"/>
  <c r="AR99" i="2"/>
  <c r="AM99" i="2"/>
  <c r="AH99" i="2"/>
  <c r="U99" i="2"/>
  <c r="P99" i="2"/>
  <c r="K99" i="2"/>
  <c r="F99" i="2"/>
  <c r="AW98" i="2"/>
  <c r="AR98" i="2"/>
  <c r="AM98" i="2"/>
  <c r="AH98" i="2"/>
  <c r="U98" i="2"/>
  <c r="P98" i="2"/>
  <c r="K98" i="2"/>
  <c r="F98" i="2"/>
  <c r="AW97" i="2"/>
  <c r="AR97" i="2"/>
  <c r="AM97" i="2"/>
  <c r="AH97" i="2"/>
  <c r="U97" i="2"/>
  <c r="P97" i="2"/>
  <c r="K97" i="2"/>
  <c r="F97" i="2"/>
  <c r="AW95" i="2"/>
  <c r="AR95" i="2"/>
  <c r="AM95" i="2"/>
  <c r="AH95" i="2"/>
  <c r="U95" i="2"/>
  <c r="P95" i="2"/>
  <c r="K95" i="2"/>
  <c r="F95" i="2"/>
  <c r="AW94" i="2"/>
  <c r="AR94" i="2"/>
  <c r="AM94" i="2"/>
  <c r="AH94" i="2"/>
  <c r="U94" i="2"/>
  <c r="P94" i="2"/>
  <c r="K94" i="2"/>
  <c r="F94" i="2"/>
  <c r="AW93" i="2"/>
  <c r="AR93" i="2"/>
  <c r="AM93" i="2"/>
  <c r="AH93" i="2"/>
  <c r="U93" i="2"/>
  <c r="P93" i="2"/>
  <c r="K93" i="2"/>
  <c r="F93" i="2"/>
  <c r="AW92" i="2"/>
  <c r="AR92" i="2"/>
  <c r="AM92" i="2"/>
  <c r="AH92" i="2"/>
  <c r="U92" i="2"/>
  <c r="P92" i="2"/>
  <c r="K92" i="2"/>
  <c r="F92" i="2"/>
  <c r="AW91" i="2"/>
  <c r="AR91" i="2"/>
  <c r="AM91" i="2"/>
  <c r="AH91" i="2"/>
  <c r="U91" i="2"/>
  <c r="P91" i="2"/>
  <c r="K91" i="2"/>
  <c r="F91" i="2"/>
  <c r="AW90" i="2"/>
  <c r="AR90" i="2"/>
  <c r="AM90" i="2"/>
  <c r="AH90" i="2"/>
  <c r="U90" i="2"/>
  <c r="P90" i="2"/>
  <c r="K90" i="2"/>
  <c r="F90" i="2"/>
  <c r="AW89" i="2"/>
  <c r="AR89" i="2"/>
  <c r="AM89" i="2"/>
  <c r="AH89" i="2"/>
  <c r="U89" i="2"/>
  <c r="P89" i="2"/>
  <c r="K89" i="2"/>
  <c r="F89" i="2"/>
  <c r="AW78" i="2"/>
  <c r="AR78" i="2"/>
  <c r="AM78" i="2"/>
  <c r="AH78" i="2"/>
  <c r="AW77" i="2"/>
  <c r="AR77" i="2"/>
  <c r="AM77" i="2"/>
  <c r="AH77" i="2"/>
  <c r="AW75" i="2"/>
  <c r="AR75" i="2"/>
  <c r="AM75" i="2"/>
  <c r="AH75" i="2"/>
  <c r="AW74" i="2"/>
  <c r="AR74" i="2"/>
  <c r="AM74" i="2"/>
  <c r="AH74" i="2"/>
  <c r="AW73" i="2"/>
  <c r="AR73" i="2"/>
  <c r="AM73" i="2"/>
  <c r="AH73" i="2"/>
  <c r="AW72" i="2"/>
  <c r="AR72" i="2"/>
  <c r="AM72" i="2"/>
  <c r="AH72" i="2"/>
  <c r="AW27" i="2"/>
  <c r="AR27" i="2"/>
  <c r="AM27" i="2"/>
  <c r="AH27" i="2"/>
  <c r="AW26" i="2"/>
  <c r="AR26" i="2"/>
  <c r="AM26" i="2"/>
  <c r="AH26" i="2"/>
  <c r="AW28" i="2"/>
  <c r="AR28" i="2"/>
  <c r="AM28" i="2"/>
  <c r="AH28" i="2"/>
  <c r="AH37" i="2"/>
  <c r="AM37" i="2"/>
  <c r="AR37" i="2"/>
  <c r="AW37" i="2"/>
  <c r="AH38" i="2"/>
  <c r="AM38" i="2"/>
  <c r="AR38" i="2"/>
  <c r="AW38" i="2"/>
  <c r="AW24" i="2"/>
  <c r="AR24" i="2"/>
  <c r="AM24" i="2"/>
  <c r="AH24" i="2"/>
  <c r="AW23" i="2"/>
  <c r="AR23" i="2"/>
  <c r="AM23" i="2"/>
  <c r="AH23" i="2"/>
  <c r="AW34" i="2"/>
  <c r="AR34" i="2"/>
  <c r="AM34" i="2"/>
  <c r="AH34" i="2"/>
  <c r="AW33" i="2"/>
  <c r="AR33" i="2"/>
  <c r="AM33" i="2"/>
  <c r="AH33" i="2"/>
  <c r="AW80" i="2"/>
  <c r="AR80" i="2"/>
  <c r="AM80" i="2"/>
  <c r="AH80" i="2"/>
  <c r="AW79" i="2"/>
  <c r="AR79" i="2"/>
  <c r="AM79" i="2"/>
  <c r="AH79" i="2"/>
  <c r="AW49" i="2"/>
  <c r="AR49" i="2"/>
  <c r="AM49" i="2"/>
  <c r="AH49" i="2"/>
  <c r="AW48" i="2"/>
  <c r="AR48" i="2"/>
  <c r="AM48" i="2"/>
  <c r="AH48" i="2"/>
  <c r="AH410" i="1"/>
  <c r="AC410" i="1"/>
  <c r="X410" i="1"/>
  <c r="AG426" i="1"/>
  <c r="AF426" i="1"/>
  <c r="AE426" i="1"/>
  <c r="AD426" i="1"/>
  <c r="AB426" i="1"/>
  <c r="AA426" i="1"/>
  <c r="Z426" i="1"/>
  <c r="Y426" i="1"/>
  <c r="W426" i="1"/>
  <c r="V426" i="1"/>
  <c r="U426" i="1"/>
  <c r="T426" i="1"/>
  <c r="O426" i="1"/>
  <c r="N426" i="1"/>
  <c r="M426" i="1"/>
  <c r="L426" i="1"/>
  <c r="J426" i="1"/>
  <c r="I426" i="1"/>
  <c r="H426" i="1"/>
  <c r="G426" i="1"/>
  <c r="E426" i="1"/>
  <c r="D426" i="1"/>
  <c r="C426" i="1"/>
  <c r="B426" i="1"/>
  <c r="AH425" i="1"/>
  <c r="AC425" i="1"/>
  <c r="X425" i="1"/>
  <c r="P425" i="1"/>
  <c r="K425" i="1"/>
  <c r="F425" i="1"/>
  <c r="AH424" i="1"/>
  <c r="AC424" i="1"/>
  <c r="X424" i="1"/>
  <c r="P424" i="1"/>
  <c r="K424" i="1"/>
  <c r="F424" i="1"/>
  <c r="AH423" i="1"/>
  <c r="AC423" i="1"/>
  <c r="X423" i="1"/>
  <c r="P423" i="1"/>
  <c r="K423" i="1"/>
  <c r="F423" i="1"/>
  <c r="AH422" i="1"/>
  <c r="AC422" i="1"/>
  <c r="X422" i="1"/>
  <c r="P422" i="1"/>
  <c r="K422" i="1"/>
  <c r="F422" i="1"/>
  <c r="AH421" i="1"/>
  <c r="AC421" i="1"/>
  <c r="X421" i="1"/>
  <c r="P421" i="1"/>
  <c r="K421" i="1"/>
  <c r="F421" i="1"/>
  <c r="AH420" i="1"/>
  <c r="AC420" i="1"/>
  <c r="X420" i="1"/>
  <c r="P420" i="1"/>
  <c r="K420" i="1"/>
  <c r="F420" i="1"/>
  <c r="AH419" i="1"/>
  <c r="AC419" i="1"/>
  <c r="X419" i="1"/>
  <c r="P419" i="1"/>
  <c r="K419" i="1"/>
  <c r="F419" i="1"/>
  <c r="AH418" i="1"/>
  <c r="AC418" i="1"/>
  <c r="X418" i="1"/>
  <c r="P418" i="1"/>
  <c r="K418" i="1"/>
  <c r="F418" i="1"/>
  <c r="AH417" i="1"/>
  <c r="AC417" i="1"/>
  <c r="X417" i="1"/>
  <c r="P417" i="1"/>
  <c r="K417" i="1"/>
  <c r="F417" i="1"/>
  <c r="AH416" i="1"/>
  <c r="AC416" i="1"/>
  <c r="X416" i="1"/>
  <c r="P416" i="1"/>
  <c r="K416" i="1"/>
  <c r="F416" i="1"/>
  <c r="AH415" i="1"/>
  <c r="AC415" i="1"/>
  <c r="X415" i="1"/>
  <c r="P415" i="1"/>
  <c r="K415" i="1"/>
  <c r="F415" i="1"/>
  <c r="AH414" i="1"/>
  <c r="AC414" i="1"/>
  <c r="X414" i="1"/>
  <c r="P414" i="1"/>
  <c r="K414" i="1"/>
  <c r="F414" i="1"/>
  <c r="AH413" i="1"/>
  <c r="AC413" i="1"/>
  <c r="X413" i="1"/>
  <c r="P413" i="1"/>
  <c r="K413" i="1"/>
  <c r="F413" i="1"/>
  <c r="AH412" i="1"/>
  <c r="AC412" i="1"/>
  <c r="X412" i="1"/>
  <c r="P412" i="1"/>
  <c r="K412" i="1"/>
  <c r="F412" i="1"/>
  <c r="AH411" i="1"/>
  <c r="AC411" i="1"/>
  <c r="X411" i="1"/>
  <c r="P411" i="1"/>
  <c r="K411" i="1"/>
  <c r="F411" i="1"/>
  <c r="P410" i="1"/>
  <c r="K410" i="1"/>
  <c r="F410" i="1"/>
  <c r="AH409" i="1"/>
  <c r="AC409" i="1"/>
  <c r="X409" i="1"/>
  <c r="P409" i="1"/>
  <c r="K409" i="1"/>
  <c r="F409" i="1"/>
  <c r="AH408" i="1"/>
  <c r="AC408" i="1"/>
  <c r="X408" i="1"/>
  <c r="P408" i="1"/>
  <c r="K408" i="1"/>
  <c r="F408" i="1"/>
  <c r="AH407" i="1"/>
  <c r="AC407" i="1"/>
  <c r="X407" i="1"/>
  <c r="P407" i="1"/>
  <c r="K407" i="1"/>
  <c r="F407" i="1"/>
  <c r="AH406" i="1"/>
  <c r="AC406" i="1"/>
  <c r="X406" i="1"/>
  <c r="P406" i="1"/>
  <c r="K406" i="1"/>
  <c r="F406" i="1"/>
  <c r="AH405" i="1"/>
  <c r="AC405" i="1"/>
  <c r="X405" i="1"/>
  <c r="P405" i="1"/>
  <c r="K405" i="1"/>
  <c r="F405" i="1"/>
  <c r="AH404" i="1"/>
  <c r="AC404" i="1"/>
  <c r="X404" i="1"/>
  <c r="P404" i="1"/>
  <c r="K404" i="1"/>
  <c r="F404" i="1"/>
  <c r="AH403" i="1"/>
  <c r="AC403" i="1"/>
  <c r="X403" i="1"/>
  <c r="P403" i="1"/>
  <c r="K403" i="1"/>
  <c r="F403" i="1"/>
  <c r="AH402" i="1"/>
  <c r="AC402" i="1"/>
  <c r="X402" i="1"/>
  <c r="P402" i="1"/>
  <c r="K402" i="1"/>
  <c r="F402" i="1"/>
  <c r="AH401" i="1"/>
  <c r="AC401" i="1"/>
  <c r="X401" i="1"/>
  <c r="P401" i="1"/>
  <c r="K401" i="1"/>
  <c r="F401" i="1"/>
  <c r="AH400" i="1"/>
  <c r="AC400" i="1"/>
  <c r="X400" i="1"/>
  <c r="P400" i="1"/>
  <c r="K400" i="1"/>
  <c r="F400" i="1"/>
  <c r="AH398" i="1"/>
  <c r="AC398" i="1"/>
  <c r="X398" i="1"/>
  <c r="P398" i="1"/>
  <c r="K398" i="1"/>
  <c r="F398" i="1"/>
  <c r="AH397" i="1"/>
  <c r="AC397" i="1"/>
  <c r="X397" i="1"/>
  <c r="P397" i="1"/>
  <c r="K397" i="1"/>
  <c r="F397" i="1"/>
  <c r="AH396" i="1"/>
  <c r="AC396" i="1"/>
  <c r="X396" i="1"/>
  <c r="P396" i="1"/>
  <c r="K396" i="1"/>
  <c r="F396" i="1"/>
  <c r="AH395" i="1"/>
  <c r="AC395" i="1"/>
  <c r="X395" i="1"/>
  <c r="P395" i="1"/>
  <c r="K395" i="1"/>
  <c r="F395" i="1"/>
  <c r="AW8" i="2"/>
  <c r="AR8" i="2"/>
  <c r="AM8" i="2"/>
  <c r="AH8" i="2"/>
  <c r="AV81" i="2"/>
  <c r="AU81" i="2"/>
  <c r="AT81" i="2"/>
  <c r="AS81" i="2"/>
  <c r="AQ81" i="2"/>
  <c r="AP81" i="2"/>
  <c r="AO81" i="2"/>
  <c r="AN81" i="2"/>
  <c r="AL81" i="2"/>
  <c r="AK81" i="2"/>
  <c r="AJ81" i="2"/>
  <c r="AI81" i="2"/>
  <c r="AG81" i="2"/>
  <c r="AF81" i="2"/>
  <c r="AE81" i="2"/>
  <c r="AD81" i="2"/>
  <c r="T81" i="2"/>
  <c r="S81" i="2"/>
  <c r="R81" i="2"/>
  <c r="Q81" i="2"/>
  <c r="O81" i="2"/>
  <c r="N81" i="2"/>
  <c r="M81" i="2"/>
  <c r="L81" i="2"/>
  <c r="J81" i="2"/>
  <c r="I81" i="2"/>
  <c r="H81" i="2"/>
  <c r="G81" i="2"/>
  <c r="E81" i="2"/>
  <c r="D81" i="2"/>
  <c r="C81" i="2"/>
  <c r="B81" i="2"/>
  <c r="U80" i="2"/>
  <c r="P80" i="2"/>
  <c r="K80" i="2"/>
  <c r="F80" i="2"/>
  <c r="U79" i="2"/>
  <c r="P79" i="2"/>
  <c r="K79" i="2"/>
  <c r="F79" i="2"/>
  <c r="U78" i="2"/>
  <c r="P78" i="2"/>
  <c r="K78" i="2"/>
  <c r="F78" i="2"/>
  <c r="U77" i="2"/>
  <c r="P77" i="2"/>
  <c r="K77" i="2"/>
  <c r="F77" i="2"/>
  <c r="U76" i="2"/>
  <c r="P76" i="2"/>
  <c r="K76" i="2"/>
  <c r="F76" i="2"/>
  <c r="U75" i="2"/>
  <c r="P75" i="2"/>
  <c r="K75" i="2"/>
  <c r="F75" i="2"/>
  <c r="U74" i="2"/>
  <c r="P74" i="2"/>
  <c r="K74" i="2"/>
  <c r="F74" i="2"/>
  <c r="U73" i="2"/>
  <c r="P73" i="2"/>
  <c r="K73" i="2"/>
  <c r="F73" i="2"/>
  <c r="U72" i="2"/>
  <c r="P72" i="2"/>
  <c r="K72" i="2"/>
  <c r="F72" i="2"/>
  <c r="AW71" i="2"/>
  <c r="AR71" i="2"/>
  <c r="AM71" i="2"/>
  <c r="AH71" i="2"/>
  <c r="U71" i="2"/>
  <c r="P71" i="2"/>
  <c r="K71" i="2"/>
  <c r="F71" i="2"/>
  <c r="AW70" i="2"/>
  <c r="AR70" i="2"/>
  <c r="AM70" i="2"/>
  <c r="AH70" i="2"/>
  <c r="U70" i="2"/>
  <c r="P70" i="2"/>
  <c r="K70" i="2"/>
  <c r="F70" i="2"/>
  <c r="AW69" i="2"/>
  <c r="AR69" i="2"/>
  <c r="AM69" i="2"/>
  <c r="AH69" i="2"/>
  <c r="U69" i="2"/>
  <c r="P69" i="2"/>
  <c r="K69" i="2"/>
  <c r="F69" i="2"/>
  <c r="AW68" i="2"/>
  <c r="AR68" i="2"/>
  <c r="AM68" i="2"/>
  <c r="AH68" i="2"/>
  <c r="U68" i="2"/>
  <c r="P68" i="2"/>
  <c r="K68" i="2"/>
  <c r="F68" i="2"/>
  <c r="AW67" i="2"/>
  <c r="AR67" i="2"/>
  <c r="AM67" i="2"/>
  <c r="AH67" i="2"/>
  <c r="U67" i="2"/>
  <c r="P67" i="2"/>
  <c r="K67" i="2"/>
  <c r="F67" i="2"/>
  <c r="AW66" i="2"/>
  <c r="AR66" i="2"/>
  <c r="AM66" i="2"/>
  <c r="AH66" i="2"/>
  <c r="U66" i="2"/>
  <c r="P66" i="2"/>
  <c r="K66" i="2"/>
  <c r="F66" i="2"/>
  <c r="AW65" i="2"/>
  <c r="AR65" i="2"/>
  <c r="AM65" i="2"/>
  <c r="AH65" i="2"/>
  <c r="U65" i="2"/>
  <c r="P65" i="2"/>
  <c r="K65" i="2"/>
  <c r="F65" i="2"/>
  <c r="AW64" i="2"/>
  <c r="AR64" i="2"/>
  <c r="AM64" i="2"/>
  <c r="AH64" i="2"/>
  <c r="U64" i="2"/>
  <c r="P64" i="2"/>
  <c r="K64" i="2"/>
  <c r="F64" i="2"/>
  <c r="AW63" i="2"/>
  <c r="AR63" i="2"/>
  <c r="AM63" i="2"/>
  <c r="AH63" i="2"/>
  <c r="U63" i="2"/>
  <c r="P63" i="2"/>
  <c r="K63" i="2"/>
  <c r="F63" i="2"/>
  <c r="AW62" i="2"/>
  <c r="AR62" i="2"/>
  <c r="AM62" i="2"/>
  <c r="AH62" i="2"/>
  <c r="U62" i="2"/>
  <c r="P62" i="2"/>
  <c r="K62" i="2"/>
  <c r="F62" i="2"/>
  <c r="AW61" i="2"/>
  <c r="AR61" i="2"/>
  <c r="AM61" i="2"/>
  <c r="AH61" i="2"/>
  <c r="U61" i="2"/>
  <c r="P61" i="2"/>
  <c r="K61" i="2"/>
  <c r="F61" i="2"/>
  <c r="AW60" i="2"/>
  <c r="AR60" i="2"/>
  <c r="AM60" i="2"/>
  <c r="AH60" i="2"/>
  <c r="U60" i="2"/>
  <c r="P60" i="2"/>
  <c r="K60" i="2"/>
  <c r="F60" i="2"/>
  <c r="AW59" i="2"/>
  <c r="AR59" i="2"/>
  <c r="AM59" i="2"/>
  <c r="AH59" i="2"/>
  <c r="U59" i="2"/>
  <c r="P59" i="2"/>
  <c r="K59" i="2"/>
  <c r="F59" i="2"/>
  <c r="AW58" i="2"/>
  <c r="AR58" i="2"/>
  <c r="AM58" i="2"/>
  <c r="AH58" i="2"/>
  <c r="U58" i="2"/>
  <c r="P58" i="2"/>
  <c r="K58" i="2"/>
  <c r="F58" i="2"/>
  <c r="AW57" i="2"/>
  <c r="AR57" i="2"/>
  <c r="AM57" i="2"/>
  <c r="AH57" i="2"/>
  <c r="U57" i="2"/>
  <c r="P57" i="2"/>
  <c r="K57" i="2"/>
  <c r="F57" i="2"/>
  <c r="AW56" i="2"/>
  <c r="AR56" i="2"/>
  <c r="AM56" i="2"/>
  <c r="AH56" i="2"/>
  <c r="U56" i="2"/>
  <c r="P56" i="2"/>
  <c r="K56" i="2"/>
  <c r="F56" i="2"/>
  <c r="AW55" i="2"/>
  <c r="AR55" i="2"/>
  <c r="AM55" i="2"/>
  <c r="AH55" i="2"/>
  <c r="U55" i="2"/>
  <c r="P55" i="2"/>
  <c r="K55" i="2"/>
  <c r="F55" i="2"/>
  <c r="AW53" i="2"/>
  <c r="AR53" i="2"/>
  <c r="AM53" i="2"/>
  <c r="AH53" i="2"/>
  <c r="U53" i="2"/>
  <c r="P53" i="2"/>
  <c r="K53" i="2"/>
  <c r="F53" i="2"/>
  <c r="AW52" i="2"/>
  <c r="AR52" i="2"/>
  <c r="AM52" i="2"/>
  <c r="AH52" i="2"/>
  <c r="U52" i="2"/>
  <c r="P52" i="2"/>
  <c r="K52" i="2"/>
  <c r="F52" i="2"/>
  <c r="AW51" i="2"/>
  <c r="AR51" i="2"/>
  <c r="AM51" i="2"/>
  <c r="AH51" i="2"/>
  <c r="U51" i="2"/>
  <c r="P51" i="2"/>
  <c r="K51" i="2"/>
  <c r="F51" i="2"/>
  <c r="U50" i="2"/>
  <c r="P50" i="2"/>
  <c r="K50" i="2"/>
  <c r="F50" i="2"/>
  <c r="U49" i="2"/>
  <c r="P49" i="2"/>
  <c r="K49" i="2"/>
  <c r="F49" i="2"/>
  <c r="U48" i="2"/>
  <c r="P48" i="2"/>
  <c r="K48" i="2"/>
  <c r="F48" i="2"/>
  <c r="AW47" i="2"/>
  <c r="AR47" i="2"/>
  <c r="AM47" i="2"/>
  <c r="AH47" i="2"/>
  <c r="U47" i="2"/>
  <c r="P47" i="2"/>
  <c r="K47" i="2"/>
  <c r="F47" i="2"/>
  <c r="AV39" i="2"/>
  <c r="AU39" i="2"/>
  <c r="AT39" i="2"/>
  <c r="AS39" i="2"/>
  <c r="AQ39" i="2"/>
  <c r="AP39" i="2"/>
  <c r="AO39" i="2"/>
  <c r="AN39" i="2"/>
  <c r="AL39" i="2"/>
  <c r="AK39" i="2"/>
  <c r="AJ39" i="2"/>
  <c r="AI39" i="2"/>
  <c r="AG39" i="2"/>
  <c r="AF39" i="2"/>
  <c r="AE39" i="2"/>
  <c r="AD39" i="2"/>
  <c r="AW36" i="2"/>
  <c r="AR36" i="2"/>
  <c r="AM36" i="2"/>
  <c r="AH36" i="2"/>
  <c r="AW35" i="2"/>
  <c r="AR35" i="2"/>
  <c r="AM35" i="2"/>
  <c r="AH35" i="2"/>
  <c r="AW32" i="2"/>
  <c r="AR32" i="2"/>
  <c r="AM32" i="2"/>
  <c r="AH32" i="2"/>
  <c r="AW31" i="2"/>
  <c r="AR31" i="2"/>
  <c r="AM31" i="2"/>
  <c r="AH31" i="2"/>
  <c r="AW30" i="2"/>
  <c r="AR30" i="2"/>
  <c r="AM30" i="2"/>
  <c r="AH30" i="2"/>
  <c r="AW29" i="2"/>
  <c r="AR29" i="2"/>
  <c r="AM29" i="2"/>
  <c r="AH29" i="2"/>
  <c r="AW25" i="2"/>
  <c r="AR25" i="2"/>
  <c r="AM25" i="2"/>
  <c r="AH25" i="2"/>
  <c r="AW22" i="2"/>
  <c r="AR22" i="2"/>
  <c r="AM22" i="2"/>
  <c r="AH22" i="2"/>
  <c r="AW21" i="2"/>
  <c r="AR21" i="2"/>
  <c r="AM21" i="2"/>
  <c r="AH21" i="2"/>
  <c r="AW20" i="2"/>
  <c r="AR20" i="2"/>
  <c r="AM20" i="2"/>
  <c r="AH20" i="2"/>
  <c r="AW19" i="2"/>
  <c r="AR19" i="2"/>
  <c r="AM19" i="2"/>
  <c r="AH19" i="2"/>
  <c r="AW18" i="2"/>
  <c r="AR18" i="2"/>
  <c r="AM18" i="2"/>
  <c r="AH18" i="2"/>
  <c r="AW17" i="2"/>
  <c r="AR17" i="2"/>
  <c r="AM17" i="2"/>
  <c r="AH17" i="2"/>
  <c r="AW16" i="2"/>
  <c r="AR16" i="2"/>
  <c r="AM16" i="2"/>
  <c r="AH16" i="2"/>
  <c r="AW15" i="2"/>
  <c r="AR15" i="2"/>
  <c r="AM15" i="2"/>
  <c r="AH15" i="2"/>
  <c r="AW14" i="2"/>
  <c r="AR14" i="2"/>
  <c r="AM14" i="2"/>
  <c r="AH14" i="2"/>
  <c r="AW13" i="2"/>
  <c r="AR13" i="2"/>
  <c r="AM13" i="2"/>
  <c r="AH13" i="2"/>
  <c r="AV12" i="2"/>
  <c r="AU12" i="2"/>
  <c r="AT12" i="2"/>
  <c r="AT40" i="2" s="1"/>
  <c r="AT46" i="2" s="1"/>
  <c r="AT54" i="2" s="1"/>
  <c r="AS12" i="2"/>
  <c r="AQ12" i="2"/>
  <c r="AP12" i="2"/>
  <c r="AP40" i="2" s="1"/>
  <c r="AP46" i="2" s="1"/>
  <c r="AP54" i="2" s="1"/>
  <c r="AO12" i="2"/>
  <c r="AN12" i="2"/>
  <c r="AL12" i="2"/>
  <c r="AK12" i="2"/>
  <c r="AJ12" i="2"/>
  <c r="AI12" i="2"/>
  <c r="AG12" i="2"/>
  <c r="AF12" i="2"/>
  <c r="AE12" i="2"/>
  <c r="AD12" i="2"/>
  <c r="AD40" i="2" s="1"/>
  <c r="AW11" i="2"/>
  <c r="AR11" i="2"/>
  <c r="AM11" i="2"/>
  <c r="AH11" i="2"/>
  <c r="AW10" i="2"/>
  <c r="AR10" i="2"/>
  <c r="AM10" i="2"/>
  <c r="AH10" i="2"/>
  <c r="AW9" i="2"/>
  <c r="AR9" i="2"/>
  <c r="AM9" i="2"/>
  <c r="AH9" i="2"/>
  <c r="AW7" i="2"/>
  <c r="AR7" i="2"/>
  <c r="AM7" i="2"/>
  <c r="AH7" i="2"/>
  <c r="AW6" i="2"/>
  <c r="AR6" i="2"/>
  <c r="AM6" i="2"/>
  <c r="AH6" i="2"/>
  <c r="AW5" i="2"/>
  <c r="AR5" i="2"/>
  <c r="AM5" i="2"/>
  <c r="AH5" i="2"/>
  <c r="AW4" i="2"/>
  <c r="AR4" i="2"/>
  <c r="AM4" i="2"/>
  <c r="AH4" i="2"/>
  <c r="T39" i="2"/>
  <c r="S39" i="2"/>
  <c r="R39" i="2"/>
  <c r="Q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T12" i="2"/>
  <c r="S12" i="2"/>
  <c r="R12" i="2"/>
  <c r="Q12" i="2"/>
  <c r="U11" i="2"/>
  <c r="U10" i="2"/>
  <c r="U9" i="2"/>
  <c r="U8" i="2"/>
  <c r="U7" i="2"/>
  <c r="U6" i="2"/>
  <c r="U5" i="2"/>
  <c r="U4" i="2"/>
  <c r="O39" i="2"/>
  <c r="N39" i="2"/>
  <c r="M39" i="2"/>
  <c r="L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O12" i="2"/>
  <c r="N12" i="2"/>
  <c r="M12" i="2"/>
  <c r="L12" i="2"/>
  <c r="P11" i="2"/>
  <c r="P10" i="2"/>
  <c r="P9" i="2"/>
  <c r="P8" i="2"/>
  <c r="P7" i="2"/>
  <c r="P6" i="2"/>
  <c r="P5" i="2"/>
  <c r="P4" i="2"/>
  <c r="J39" i="2"/>
  <c r="I39" i="2"/>
  <c r="H39" i="2"/>
  <c r="G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J12" i="2"/>
  <c r="I12" i="2"/>
  <c r="H12" i="2"/>
  <c r="G12" i="2"/>
  <c r="K11" i="2"/>
  <c r="K10" i="2"/>
  <c r="K9" i="2"/>
  <c r="K8" i="2"/>
  <c r="K7" i="2"/>
  <c r="K6" i="2"/>
  <c r="K5" i="2"/>
  <c r="K4" i="2"/>
  <c r="F17" i="2"/>
  <c r="B39" i="2"/>
  <c r="C39" i="2"/>
  <c r="D39" i="2"/>
  <c r="E39" i="2"/>
  <c r="F14" i="2"/>
  <c r="F15" i="2"/>
  <c r="F1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B12" i="2"/>
  <c r="C12" i="2"/>
  <c r="D12" i="2"/>
  <c r="E12" i="2"/>
  <c r="F4" i="2"/>
  <c r="F5" i="2"/>
  <c r="F6" i="2"/>
  <c r="F7" i="2"/>
  <c r="F8" i="2"/>
  <c r="F9" i="2"/>
  <c r="F10" i="2"/>
  <c r="F11" i="2"/>
  <c r="AH386" i="1"/>
  <c r="AC386" i="1"/>
  <c r="X386" i="1"/>
  <c r="F356" i="1"/>
  <c r="AG387" i="1"/>
  <c r="AF387" i="1"/>
  <c r="AE387" i="1"/>
  <c r="AD387" i="1"/>
  <c r="AB387" i="1"/>
  <c r="AA387" i="1"/>
  <c r="Z387" i="1"/>
  <c r="Y387" i="1"/>
  <c r="W387" i="1"/>
  <c r="V387" i="1"/>
  <c r="U387" i="1"/>
  <c r="T387" i="1"/>
  <c r="O387" i="1"/>
  <c r="N387" i="1"/>
  <c r="M387" i="1"/>
  <c r="L387" i="1"/>
  <c r="J387" i="1"/>
  <c r="I387" i="1"/>
  <c r="H387" i="1"/>
  <c r="G387" i="1"/>
  <c r="E387" i="1"/>
  <c r="D387" i="1"/>
  <c r="C387" i="1"/>
  <c r="B387" i="1"/>
  <c r="P386" i="1"/>
  <c r="K386" i="1"/>
  <c r="F386" i="1"/>
  <c r="AH385" i="1"/>
  <c r="AC385" i="1"/>
  <c r="X385" i="1"/>
  <c r="P385" i="1"/>
  <c r="K385" i="1"/>
  <c r="F385" i="1"/>
  <c r="AH384" i="1"/>
  <c r="AC384" i="1"/>
  <c r="X384" i="1"/>
  <c r="P384" i="1"/>
  <c r="K384" i="1"/>
  <c r="F384" i="1"/>
  <c r="AH383" i="1"/>
  <c r="AC383" i="1"/>
  <c r="X383" i="1"/>
  <c r="P383" i="1"/>
  <c r="K383" i="1"/>
  <c r="F383" i="1"/>
  <c r="AH382" i="1"/>
  <c r="AC382" i="1"/>
  <c r="X382" i="1"/>
  <c r="P382" i="1"/>
  <c r="K382" i="1"/>
  <c r="F382" i="1"/>
  <c r="AH381" i="1"/>
  <c r="AC381" i="1"/>
  <c r="X381" i="1"/>
  <c r="P381" i="1"/>
  <c r="K381" i="1"/>
  <c r="F381" i="1"/>
  <c r="AH380" i="1"/>
  <c r="AC380" i="1"/>
  <c r="X380" i="1"/>
  <c r="P380" i="1"/>
  <c r="K380" i="1"/>
  <c r="F380" i="1"/>
  <c r="AH379" i="1"/>
  <c r="AC379" i="1"/>
  <c r="X379" i="1"/>
  <c r="P379" i="1"/>
  <c r="K379" i="1"/>
  <c r="F379" i="1"/>
  <c r="AH378" i="1"/>
  <c r="AC378" i="1"/>
  <c r="X378" i="1"/>
  <c r="P378" i="1"/>
  <c r="K378" i="1"/>
  <c r="F378" i="1"/>
  <c r="AH377" i="1"/>
  <c r="AC377" i="1"/>
  <c r="X377" i="1"/>
  <c r="P377" i="1"/>
  <c r="K377" i="1"/>
  <c r="F377" i="1"/>
  <c r="AH376" i="1"/>
  <c r="AC376" i="1"/>
  <c r="X376" i="1"/>
  <c r="P376" i="1"/>
  <c r="K376" i="1"/>
  <c r="F376" i="1"/>
  <c r="AH375" i="1"/>
  <c r="AC375" i="1"/>
  <c r="X375" i="1"/>
  <c r="P375" i="1"/>
  <c r="K375" i="1"/>
  <c r="F375" i="1"/>
  <c r="AH374" i="1"/>
  <c r="AC374" i="1"/>
  <c r="X374" i="1"/>
  <c r="P374" i="1"/>
  <c r="K374" i="1"/>
  <c r="F374" i="1"/>
  <c r="AH373" i="1"/>
  <c r="AC373" i="1"/>
  <c r="X373" i="1"/>
  <c r="P373" i="1"/>
  <c r="K373" i="1"/>
  <c r="F373" i="1"/>
  <c r="AH372" i="1"/>
  <c r="AC372" i="1"/>
  <c r="X372" i="1"/>
  <c r="P372" i="1"/>
  <c r="K372" i="1"/>
  <c r="F372" i="1"/>
  <c r="AH371" i="1"/>
  <c r="AC371" i="1"/>
  <c r="X371" i="1"/>
  <c r="P371" i="1"/>
  <c r="K371" i="1"/>
  <c r="F371" i="1"/>
  <c r="AH370" i="1"/>
  <c r="AC370" i="1"/>
  <c r="X370" i="1"/>
  <c r="P370" i="1"/>
  <c r="K370" i="1"/>
  <c r="F370" i="1"/>
  <c r="AH369" i="1"/>
  <c r="AC369" i="1"/>
  <c r="X369" i="1"/>
  <c r="P369" i="1"/>
  <c r="K369" i="1"/>
  <c r="F369" i="1"/>
  <c r="AH368" i="1"/>
  <c r="AC368" i="1"/>
  <c r="X368" i="1"/>
  <c r="P368" i="1"/>
  <c r="K368" i="1"/>
  <c r="F368" i="1"/>
  <c r="AH367" i="1"/>
  <c r="AC367" i="1"/>
  <c r="X367" i="1"/>
  <c r="P367" i="1"/>
  <c r="K367" i="1"/>
  <c r="F367" i="1"/>
  <c r="AH366" i="1"/>
  <c r="AC366" i="1"/>
  <c r="X366" i="1"/>
  <c r="P366" i="1"/>
  <c r="K366" i="1"/>
  <c r="F366" i="1"/>
  <c r="AH365" i="1"/>
  <c r="AC365" i="1"/>
  <c r="X365" i="1"/>
  <c r="P365" i="1"/>
  <c r="K365" i="1"/>
  <c r="F365" i="1"/>
  <c r="AH364" i="1"/>
  <c r="AC364" i="1"/>
  <c r="X364" i="1"/>
  <c r="P364" i="1"/>
  <c r="K364" i="1"/>
  <c r="F364" i="1"/>
  <c r="AH363" i="1"/>
  <c r="AC363" i="1"/>
  <c r="X363" i="1"/>
  <c r="P363" i="1"/>
  <c r="K363" i="1"/>
  <c r="F363" i="1"/>
  <c r="AH362" i="1"/>
  <c r="AC362" i="1"/>
  <c r="X362" i="1"/>
  <c r="P362" i="1"/>
  <c r="K362" i="1"/>
  <c r="F362" i="1"/>
  <c r="AH361" i="1"/>
  <c r="AC361" i="1"/>
  <c r="X361" i="1"/>
  <c r="P361" i="1"/>
  <c r="K361" i="1"/>
  <c r="F361" i="1"/>
  <c r="AH359" i="1"/>
  <c r="AC359" i="1"/>
  <c r="X359" i="1"/>
  <c r="P359" i="1"/>
  <c r="K359" i="1"/>
  <c r="F359" i="1"/>
  <c r="AH358" i="1"/>
  <c r="AC358" i="1"/>
  <c r="X358" i="1"/>
  <c r="P358" i="1"/>
  <c r="K358" i="1"/>
  <c r="F358" i="1"/>
  <c r="AH357" i="1"/>
  <c r="AC357" i="1"/>
  <c r="X357" i="1"/>
  <c r="P357" i="1"/>
  <c r="K357" i="1"/>
  <c r="F357" i="1"/>
  <c r="AH356" i="1"/>
  <c r="AC356" i="1"/>
  <c r="X356" i="1"/>
  <c r="P356" i="1"/>
  <c r="K356" i="1"/>
  <c r="P338" i="1"/>
  <c r="K338" i="1"/>
  <c r="F338" i="1"/>
  <c r="AH347" i="1"/>
  <c r="AC347" i="1"/>
  <c r="X347" i="1"/>
  <c r="AG348" i="1"/>
  <c r="AF348" i="1"/>
  <c r="AE348" i="1"/>
  <c r="AD348" i="1"/>
  <c r="AB348" i="1"/>
  <c r="AA348" i="1"/>
  <c r="Z348" i="1"/>
  <c r="Y348" i="1"/>
  <c r="W348" i="1"/>
  <c r="V348" i="1"/>
  <c r="U348" i="1"/>
  <c r="T348" i="1"/>
  <c r="O348" i="1"/>
  <c r="N348" i="1"/>
  <c r="M348" i="1"/>
  <c r="L348" i="1"/>
  <c r="J348" i="1"/>
  <c r="I348" i="1"/>
  <c r="H348" i="1"/>
  <c r="G348" i="1"/>
  <c r="E348" i="1"/>
  <c r="D348" i="1"/>
  <c r="C348" i="1"/>
  <c r="B348" i="1"/>
  <c r="P347" i="1"/>
  <c r="K347" i="1"/>
  <c r="F347" i="1"/>
  <c r="AH346" i="1"/>
  <c r="AC346" i="1"/>
  <c r="X346" i="1"/>
  <c r="P346" i="1"/>
  <c r="K346" i="1"/>
  <c r="F346" i="1"/>
  <c r="AH345" i="1"/>
  <c r="AC345" i="1"/>
  <c r="X345" i="1"/>
  <c r="P345" i="1"/>
  <c r="K345" i="1"/>
  <c r="F345" i="1"/>
  <c r="AH344" i="1"/>
  <c r="AC344" i="1"/>
  <c r="X344" i="1"/>
  <c r="P344" i="1"/>
  <c r="K344" i="1"/>
  <c r="F344" i="1"/>
  <c r="AH343" i="1"/>
  <c r="AC343" i="1"/>
  <c r="X343" i="1"/>
  <c r="P343" i="1"/>
  <c r="K343" i="1"/>
  <c r="F343" i="1"/>
  <c r="AH342" i="1"/>
  <c r="AC342" i="1"/>
  <c r="X342" i="1"/>
  <c r="P342" i="1"/>
  <c r="K342" i="1"/>
  <c r="F342" i="1"/>
  <c r="AH341" i="1"/>
  <c r="AC341" i="1"/>
  <c r="X341" i="1"/>
  <c r="P341" i="1"/>
  <c r="K341" i="1"/>
  <c r="F341" i="1"/>
  <c r="AH340" i="1"/>
  <c r="AC340" i="1"/>
  <c r="X340" i="1"/>
  <c r="P340" i="1"/>
  <c r="K340" i="1"/>
  <c r="F340" i="1"/>
  <c r="AH339" i="1"/>
  <c r="AC339" i="1"/>
  <c r="X339" i="1"/>
  <c r="P339" i="1"/>
  <c r="K339" i="1"/>
  <c r="F339" i="1"/>
  <c r="AH338" i="1"/>
  <c r="AC338" i="1"/>
  <c r="X338" i="1"/>
  <c r="AH337" i="1"/>
  <c r="AC337" i="1"/>
  <c r="X337" i="1"/>
  <c r="P337" i="1"/>
  <c r="K337" i="1"/>
  <c r="F337" i="1"/>
  <c r="AH336" i="1"/>
  <c r="AC336" i="1"/>
  <c r="X336" i="1"/>
  <c r="P336" i="1"/>
  <c r="K336" i="1"/>
  <c r="F336" i="1"/>
  <c r="AH335" i="1"/>
  <c r="AC335" i="1"/>
  <c r="X335" i="1"/>
  <c r="P335" i="1"/>
  <c r="K335" i="1"/>
  <c r="F335" i="1"/>
  <c r="AH334" i="1"/>
  <c r="AC334" i="1"/>
  <c r="X334" i="1"/>
  <c r="P334" i="1"/>
  <c r="K334" i="1"/>
  <c r="F334" i="1"/>
  <c r="AH333" i="1"/>
  <c r="AC333" i="1"/>
  <c r="X333" i="1"/>
  <c r="P333" i="1"/>
  <c r="K333" i="1"/>
  <c r="F333" i="1"/>
  <c r="AH332" i="1"/>
  <c r="AC332" i="1"/>
  <c r="X332" i="1"/>
  <c r="P332" i="1"/>
  <c r="K332" i="1"/>
  <c r="F332" i="1"/>
  <c r="AH331" i="1"/>
  <c r="AC331" i="1"/>
  <c r="X331" i="1"/>
  <c r="P331" i="1"/>
  <c r="K331" i="1"/>
  <c r="F331" i="1"/>
  <c r="AH330" i="1"/>
  <c r="AC330" i="1"/>
  <c r="X330" i="1"/>
  <c r="P330" i="1"/>
  <c r="K330" i="1"/>
  <c r="F330" i="1"/>
  <c r="AH329" i="1"/>
  <c r="AC329" i="1"/>
  <c r="X329" i="1"/>
  <c r="P329" i="1"/>
  <c r="K329" i="1"/>
  <c r="F329" i="1"/>
  <c r="AH328" i="1"/>
  <c r="AC328" i="1"/>
  <c r="X328" i="1"/>
  <c r="P328" i="1"/>
  <c r="K328" i="1"/>
  <c r="F328" i="1"/>
  <c r="AH327" i="1"/>
  <c r="AC327" i="1"/>
  <c r="X327" i="1"/>
  <c r="P327" i="1"/>
  <c r="K327" i="1"/>
  <c r="F327" i="1"/>
  <c r="AH326" i="1"/>
  <c r="AC326" i="1"/>
  <c r="X326" i="1"/>
  <c r="P326" i="1"/>
  <c r="K326" i="1"/>
  <c r="F326" i="1"/>
  <c r="AH325" i="1"/>
  <c r="AC325" i="1"/>
  <c r="X325" i="1"/>
  <c r="P325" i="1"/>
  <c r="K325" i="1"/>
  <c r="F325" i="1"/>
  <c r="AH324" i="1"/>
  <c r="AC324" i="1"/>
  <c r="X324" i="1"/>
  <c r="P324" i="1"/>
  <c r="K324" i="1"/>
  <c r="F324" i="1"/>
  <c r="AH323" i="1"/>
  <c r="AC323" i="1"/>
  <c r="X323" i="1"/>
  <c r="P323" i="1"/>
  <c r="K323" i="1"/>
  <c r="F323" i="1"/>
  <c r="AH322" i="1"/>
  <c r="AC322" i="1"/>
  <c r="X322" i="1"/>
  <c r="P322" i="1"/>
  <c r="K322" i="1"/>
  <c r="F322" i="1"/>
  <c r="AH320" i="1"/>
  <c r="AC320" i="1"/>
  <c r="X320" i="1"/>
  <c r="P320" i="1"/>
  <c r="K320" i="1"/>
  <c r="F320" i="1"/>
  <c r="AH319" i="1"/>
  <c r="AC319" i="1"/>
  <c r="X319" i="1"/>
  <c r="P319" i="1"/>
  <c r="K319" i="1"/>
  <c r="F319" i="1"/>
  <c r="AH318" i="1"/>
  <c r="AC318" i="1"/>
  <c r="X318" i="1"/>
  <c r="P318" i="1"/>
  <c r="K318" i="1"/>
  <c r="F318" i="1"/>
  <c r="AH317" i="1"/>
  <c r="AC317" i="1"/>
  <c r="X317" i="1"/>
  <c r="P317" i="1"/>
  <c r="K317" i="1"/>
  <c r="F317" i="1"/>
  <c r="AH293" i="1"/>
  <c r="AC293" i="1"/>
  <c r="X293" i="1"/>
  <c r="X263" i="1"/>
  <c r="AC263" i="1"/>
  <c r="AH263" i="1"/>
  <c r="X264" i="1"/>
  <c r="AC264" i="1"/>
  <c r="AH264" i="1"/>
  <c r="AG309" i="1"/>
  <c r="AF309" i="1"/>
  <c r="AE309" i="1"/>
  <c r="AD309" i="1"/>
  <c r="AB309" i="1"/>
  <c r="AA309" i="1"/>
  <c r="Z309" i="1"/>
  <c r="Y309" i="1"/>
  <c r="W309" i="1"/>
  <c r="V309" i="1"/>
  <c r="U309" i="1"/>
  <c r="T309" i="1"/>
  <c r="AH308" i="1"/>
  <c r="AC308" i="1"/>
  <c r="X308" i="1"/>
  <c r="AH307" i="1"/>
  <c r="AC307" i="1"/>
  <c r="X307" i="1"/>
  <c r="AH306" i="1"/>
  <c r="AC306" i="1"/>
  <c r="X306" i="1"/>
  <c r="AH305" i="1"/>
  <c r="AC305" i="1"/>
  <c r="X305" i="1"/>
  <c r="AH304" i="1"/>
  <c r="AC304" i="1"/>
  <c r="X304" i="1"/>
  <c r="AH303" i="1"/>
  <c r="AC303" i="1"/>
  <c r="X303" i="1"/>
  <c r="AH302" i="1"/>
  <c r="AC302" i="1"/>
  <c r="X302" i="1"/>
  <c r="AH301" i="1"/>
  <c r="AC301" i="1"/>
  <c r="X301" i="1"/>
  <c r="AH300" i="1"/>
  <c r="AC300" i="1"/>
  <c r="X300" i="1"/>
  <c r="AH299" i="1"/>
  <c r="AC299" i="1"/>
  <c r="X299" i="1"/>
  <c r="AH298" i="1"/>
  <c r="AC298" i="1"/>
  <c r="X298" i="1"/>
  <c r="AH297" i="1"/>
  <c r="AC297" i="1"/>
  <c r="X297" i="1"/>
  <c r="AH296" i="1"/>
  <c r="AC296" i="1"/>
  <c r="X296" i="1"/>
  <c r="AH295" i="1"/>
  <c r="AC295" i="1"/>
  <c r="X295" i="1"/>
  <c r="AH294" i="1"/>
  <c r="AC294" i="1"/>
  <c r="X294" i="1"/>
  <c r="AH292" i="1"/>
  <c r="AC292" i="1"/>
  <c r="X292" i="1"/>
  <c r="AH291" i="1"/>
  <c r="AC291" i="1"/>
  <c r="X291" i="1"/>
  <c r="AH290" i="1"/>
  <c r="AC290" i="1"/>
  <c r="X290" i="1"/>
  <c r="AH289" i="1"/>
  <c r="AC289" i="1"/>
  <c r="X289" i="1"/>
  <c r="AH288" i="1"/>
  <c r="AC288" i="1"/>
  <c r="X288" i="1"/>
  <c r="AH287" i="1"/>
  <c r="AC287" i="1"/>
  <c r="X287" i="1"/>
  <c r="AH286" i="1"/>
  <c r="AC286" i="1"/>
  <c r="X286" i="1"/>
  <c r="AH285" i="1"/>
  <c r="AC285" i="1"/>
  <c r="X285" i="1"/>
  <c r="AH284" i="1"/>
  <c r="AC284" i="1"/>
  <c r="X284" i="1"/>
  <c r="AH283" i="1"/>
  <c r="AC283" i="1"/>
  <c r="X283" i="1"/>
  <c r="AH281" i="1"/>
  <c r="AC281" i="1"/>
  <c r="X281" i="1"/>
  <c r="AH280" i="1"/>
  <c r="AC280" i="1"/>
  <c r="X280" i="1"/>
  <c r="AH279" i="1"/>
  <c r="AC279" i="1"/>
  <c r="X279" i="1"/>
  <c r="AH278" i="1"/>
  <c r="AC278" i="1"/>
  <c r="X278" i="1"/>
  <c r="O309" i="1"/>
  <c r="N309" i="1"/>
  <c r="M309" i="1"/>
  <c r="L309" i="1"/>
  <c r="J309" i="1"/>
  <c r="I309" i="1"/>
  <c r="H309" i="1"/>
  <c r="G309" i="1"/>
  <c r="E309" i="1"/>
  <c r="D309" i="1"/>
  <c r="C309" i="1"/>
  <c r="B309" i="1"/>
  <c r="P308" i="1"/>
  <c r="K308" i="1"/>
  <c r="F308" i="1"/>
  <c r="P307" i="1"/>
  <c r="K307" i="1"/>
  <c r="F307" i="1"/>
  <c r="P306" i="1"/>
  <c r="K306" i="1"/>
  <c r="F306" i="1"/>
  <c r="P305" i="1"/>
  <c r="K305" i="1"/>
  <c r="F305" i="1"/>
  <c r="P304" i="1"/>
  <c r="K304" i="1"/>
  <c r="F304" i="1"/>
  <c r="P303" i="1"/>
  <c r="K303" i="1"/>
  <c r="F303" i="1"/>
  <c r="P302" i="1"/>
  <c r="K302" i="1"/>
  <c r="F302" i="1"/>
  <c r="P301" i="1"/>
  <c r="K301" i="1"/>
  <c r="F301" i="1"/>
  <c r="P300" i="1"/>
  <c r="K300" i="1"/>
  <c r="F300" i="1"/>
  <c r="P299" i="1"/>
  <c r="K299" i="1"/>
  <c r="F299" i="1"/>
  <c r="P298" i="1"/>
  <c r="K298" i="1"/>
  <c r="F298" i="1"/>
  <c r="P297" i="1"/>
  <c r="K297" i="1"/>
  <c r="F297" i="1"/>
  <c r="P296" i="1"/>
  <c r="K296" i="1"/>
  <c r="F296" i="1"/>
  <c r="P295" i="1"/>
  <c r="K295" i="1"/>
  <c r="F295" i="1"/>
  <c r="P294" i="1"/>
  <c r="K294" i="1"/>
  <c r="F294" i="1"/>
  <c r="P293" i="1"/>
  <c r="K293" i="1"/>
  <c r="F293" i="1"/>
  <c r="P292" i="1"/>
  <c r="K292" i="1"/>
  <c r="F292" i="1"/>
  <c r="P291" i="1"/>
  <c r="K291" i="1"/>
  <c r="F291" i="1"/>
  <c r="P290" i="1"/>
  <c r="K290" i="1"/>
  <c r="F290" i="1"/>
  <c r="P289" i="1"/>
  <c r="K289" i="1"/>
  <c r="F289" i="1"/>
  <c r="P288" i="1"/>
  <c r="K288" i="1"/>
  <c r="F288" i="1"/>
  <c r="P287" i="1"/>
  <c r="K287" i="1"/>
  <c r="F287" i="1"/>
  <c r="P286" i="1"/>
  <c r="K286" i="1"/>
  <c r="F286" i="1"/>
  <c r="P285" i="1"/>
  <c r="K285" i="1"/>
  <c r="F285" i="1"/>
  <c r="P284" i="1"/>
  <c r="K284" i="1"/>
  <c r="F284" i="1"/>
  <c r="P283" i="1"/>
  <c r="K283" i="1"/>
  <c r="F283" i="1"/>
  <c r="P281" i="1"/>
  <c r="K281" i="1"/>
  <c r="F281" i="1"/>
  <c r="P280" i="1"/>
  <c r="K280" i="1"/>
  <c r="F280" i="1"/>
  <c r="P279" i="1"/>
  <c r="K279" i="1"/>
  <c r="F279" i="1"/>
  <c r="P278" i="1"/>
  <c r="K278" i="1"/>
  <c r="F278" i="1"/>
  <c r="AH262" i="1"/>
  <c r="AC262" i="1"/>
  <c r="X262" i="1"/>
  <c r="P241" i="1"/>
  <c r="X208" i="1"/>
  <c r="AC208" i="1"/>
  <c r="AH208" i="1"/>
  <c r="X209" i="1"/>
  <c r="AC209" i="1"/>
  <c r="AH209" i="1"/>
  <c r="X210" i="1"/>
  <c r="AC210" i="1"/>
  <c r="AH210" i="1"/>
  <c r="AH269" i="1"/>
  <c r="AC269" i="1"/>
  <c r="X269" i="1"/>
  <c r="AG270" i="1"/>
  <c r="AF270" i="1"/>
  <c r="AE270" i="1"/>
  <c r="AD270" i="1"/>
  <c r="AB270" i="1"/>
  <c r="AA270" i="1"/>
  <c r="Z270" i="1"/>
  <c r="Y270" i="1"/>
  <c r="W270" i="1"/>
  <c r="V270" i="1"/>
  <c r="U270" i="1"/>
  <c r="T270" i="1"/>
  <c r="O270" i="1"/>
  <c r="N270" i="1"/>
  <c r="M270" i="1"/>
  <c r="L270" i="1"/>
  <c r="J270" i="1"/>
  <c r="I270" i="1"/>
  <c r="H270" i="1"/>
  <c r="G270" i="1"/>
  <c r="E270" i="1"/>
  <c r="D270" i="1"/>
  <c r="C270" i="1"/>
  <c r="B270" i="1"/>
  <c r="P269" i="1"/>
  <c r="K269" i="1"/>
  <c r="F269" i="1"/>
  <c r="AH268" i="1"/>
  <c r="AC268" i="1"/>
  <c r="X268" i="1"/>
  <c r="P268" i="1"/>
  <c r="K268" i="1"/>
  <c r="F268" i="1"/>
  <c r="AH267" i="1"/>
  <c r="AC267" i="1"/>
  <c r="X267" i="1"/>
  <c r="P267" i="1"/>
  <c r="K267" i="1"/>
  <c r="F267" i="1"/>
  <c r="AH266" i="1"/>
  <c r="AC266" i="1"/>
  <c r="X266" i="1"/>
  <c r="P266" i="1"/>
  <c r="K266" i="1"/>
  <c r="F266" i="1"/>
  <c r="AH265" i="1"/>
  <c r="AC265" i="1"/>
  <c r="X265" i="1"/>
  <c r="P265" i="1"/>
  <c r="K265" i="1"/>
  <c r="F265" i="1"/>
  <c r="P264" i="1"/>
  <c r="K264" i="1"/>
  <c r="F264" i="1"/>
  <c r="P263" i="1"/>
  <c r="K263" i="1"/>
  <c r="F263" i="1"/>
  <c r="P262" i="1"/>
  <c r="K262" i="1"/>
  <c r="F262" i="1"/>
  <c r="AH261" i="1"/>
  <c r="AC261" i="1"/>
  <c r="X261" i="1"/>
  <c r="P261" i="1"/>
  <c r="K261" i="1"/>
  <c r="F261" i="1"/>
  <c r="AH260" i="1"/>
  <c r="AC260" i="1"/>
  <c r="X260" i="1"/>
  <c r="P260" i="1"/>
  <c r="K260" i="1"/>
  <c r="F260" i="1"/>
  <c r="AH259" i="1"/>
  <c r="AC259" i="1"/>
  <c r="X259" i="1"/>
  <c r="P259" i="1"/>
  <c r="K259" i="1"/>
  <c r="F259" i="1"/>
  <c r="AH258" i="1"/>
  <c r="AC258" i="1"/>
  <c r="X258" i="1"/>
  <c r="P258" i="1"/>
  <c r="K258" i="1"/>
  <c r="F258" i="1"/>
  <c r="AH257" i="1"/>
  <c r="AC257" i="1"/>
  <c r="X257" i="1"/>
  <c r="P257" i="1"/>
  <c r="K257" i="1"/>
  <c r="F257" i="1"/>
  <c r="AH256" i="1"/>
  <c r="AC256" i="1"/>
  <c r="X256" i="1"/>
  <c r="P256" i="1"/>
  <c r="K256" i="1"/>
  <c r="F256" i="1"/>
  <c r="AH255" i="1"/>
  <c r="AC255" i="1"/>
  <c r="X255" i="1"/>
  <c r="P255" i="1"/>
  <c r="K255" i="1"/>
  <c r="F255" i="1"/>
  <c r="AH254" i="1"/>
  <c r="AC254" i="1"/>
  <c r="X254" i="1"/>
  <c r="P254" i="1"/>
  <c r="K254" i="1"/>
  <c r="F254" i="1"/>
  <c r="AH253" i="1"/>
  <c r="AC253" i="1"/>
  <c r="X253" i="1"/>
  <c r="P253" i="1"/>
  <c r="K253" i="1"/>
  <c r="F253" i="1"/>
  <c r="AH252" i="1"/>
  <c r="AC252" i="1"/>
  <c r="X252" i="1"/>
  <c r="P252" i="1"/>
  <c r="K252" i="1"/>
  <c r="F252" i="1"/>
  <c r="AH251" i="1"/>
  <c r="AC251" i="1"/>
  <c r="X251" i="1"/>
  <c r="P251" i="1"/>
  <c r="K251" i="1"/>
  <c r="F251" i="1"/>
  <c r="AH250" i="1"/>
  <c r="AC250" i="1"/>
  <c r="X250" i="1"/>
  <c r="P250" i="1"/>
  <c r="K250" i="1"/>
  <c r="F250" i="1"/>
  <c r="AH249" i="1"/>
  <c r="AC249" i="1"/>
  <c r="X249" i="1"/>
  <c r="P249" i="1"/>
  <c r="K249" i="1"/>
  <c r="F249" i="1"/>
  <c r="AH248" i="1"/>
  <c r="AC248" i="1"/>
  <c r="X248" i="1"/>
  <c r="P248" i="1"/>
  <c r="K248" i="1"/>
  <c r="F248" i="1"/>
  <c r="AH247" i="1"/>
  <c r="AC247" i="1"/>
  <c r="X247" i="1"/>
  <c r="P247" i="1"/>
  <c r="K247" i="1"/>
  <c r="F247" i="1"/>
  <c r="AH246" i="1"/>
  <c r="AC246" i="1"/>
  <c r="X246" i="1"/>
  <c r="P246" i="1"/>
  <c r="K246" i="1"/>
  <c r="F246" i="1"/>
  <c r="AH245" i="1"/>
  <c r="AC245" i="1"/>
  <c r="X245" i="1"/>
  <c r="P245" i="1"/>
  <c r="K245" i="1"/>
  <c r="F245" i="1"/>
  <c r="AH244" i="1"/>
  <c r="AC244" i="1"/>
  <c r="X244" i="1"/>
  <c r="P244" i="1"/>
  <c r="K244" i="1"/>
  <c r="F244" i="1"/>
  <c r="AH242" i="1"/>
  <c r="AC242" i="1"/>
  <c r="X242" i="1"/>
  <c r="P242" i="1"/>
  <c r="K242" i="1"/>
  <c r="F242" i="1"/>
  <c r="AH241" i="1"/>
  <c r="AC241" i="1"/>
  <c r="X241" i="1"/>
  <c r="K241" i="1"/>
  <c r="F241" i="1"/>
  <c r="AH240" i="1"/>
  <c r="AC240" i="1"/>
  <c r="X240" i="1"/>
  <c r="P240" i="1"/>
  <c r="K240" i="1"/>
  <c r="F240" i="1"/>
  <c r="AH239" i="1"/>
  <c r="AC239" i="1"/>
  <c r="X239" i="1"/>
  <c r="P239" i="1"/>
  <c r="K239" i="1"/>
  <c r="F239" i="1"/>
  <c r="O231" i="1"/>
  <c r="N231" i="1"/>
  <c r="M231" i="1"/>
  <c r="L231" i="1"/>
  <c r="J231" i="1"/>
  <c r="I231" i="1"/>
  <c r="H231" i="1"/>
  <c r="G231" i="1"/>
  <c r="E231" i="1"/>
  <c r="D231" i="1"/>
  <c r="C231" i="1"/>
  <c r="B231" i="1"/>
  <c r="P230" i="1"/>
  <c r="K230" i="1"/>
  <c r="F230" i="1"/>
  <c r="P229" i="1"/>
  <c r="K229" i="1"/>
  <c r="F229" i="1"/>
  <c r="P228" i="1"/>
  <c r="K228" i="1"/>
  <c r="F228" i="1"/>
  <c r="P227" i="1"/>
  <c r="K227" i="1"/>
  <c r="F227" i="1"/>
  <c r="P226" i="1"/>
  <c r="K226" i="1"/>
  <c r="F226" i="1"/>
  <c r="P225" i="1"/>
  <c r="K225" i="1"/>
  <c r="F225" i="1"/>
  <c r="P224" i="1"/>
  <c r="K224" i="1"/>
  <c r="F224" i="1"/>
  <c r="P223" i="1"/>
  <c r="K223" i="1"/>
  <c r="F223" i="1"/>
  <c r="P222" i="1"/>
  <c r="K222" i="1"/>
  <c r="F222" i="1"/>
  <c r="P221" i="1"/>
  <c r="K221" i="1"/>
  <c r="F221" i="1"/>
  <c r="P220" i="1"/>
  <c r="K220" i="1"/>
  <c r="F220" i="1"/>
  <c r="P219" i="1"/>
  <c r="K219" i="1"/>
  <c r="F219" i="1"/>
  <c r="P218" i="1"/>
  <c r="K218" i="1"/>
  <c r="F218" i="1"/>
  <c r="P217" i="1"/>
  <c r="K217" i="1"/>
  <c r="F217" i="1"/>
  <c r="P216" i="1"/>
  <c r="K216" i="1"/>
  <c r="F216" i="1"/>
  <c r="P215" i="1"/>
  <c r="K215" i="1"/>
  <c r="F215" i="1"/>
  <c r="P214" i="1"/>
  <c r="K214" i="1"/>
  <c r="F214" i="1"/>
  <c r="P213" i="1"/>
  <c r="K213" i="1"/>
  <c r="F213" i="1"/>
  <c r="P212" i="1"/>
  <c r="K212" i="1"/>
  <c r="F212" i="1"/>
  <c r="P211" i="1"/>
  <c r="K211" i="1"/>
  <c r="F211" i="1"/>
  <c r="P210" i="1"/>
  <c r="K210" i="1"/>
  <c r="F210" i="1"/>
  <c r="P209" i="1"/>
  <c r="K209" i="1"/>
  <c r="F209" i="1"/>
  <c r="P208" i="1"/>
  <c r="K208" i="1"/>
  <c r="F208" i="1"/>
  <c r="P207" i="1"/>
  <c r="K207" i="1"/>
  <c r="F207" i="1"/>
  <c r="P206" i="1"/>
  <c r="K206" i="1"/>
  <c r="F206" i="1"/>
  <c r="P205" i="1"/>
  <c r="K205" i="1"/>
  <c r="F205" i="1"/>
  <c r="P203" i="1"/>
  <c r="K203" i="1"/>
  <c r="F203" i="1"/>
  <c r="P202" i="1"/>
  <c r="K202" i="1"/>
  <c r="F202" i="1"/>
  <c r="P201" i="1"/>
  <c r="K201" i="1"/>
  <c r="F201" i="1"/>
  <c r="P200" i="1"/>
  <c r="K200" i="1"/>
  <c r="F200" i="1"/>
  <c r="X203" i="1"/>
  <c r="X202" i="1"/>
  <c r="X201" i="1"/>
  <c r="X200" i="1"/>
  <c r="AG231" i="1"/>
  <c r="AF231" i="1"/>
  <c r="AE231" i="1"/>
  <c r="AD231" i="1"/>
  <c r="AB231" i="1"/>
  <c r="AA231" i="1"/>
  <c r="Z231" i="1"/>
  <c r="Y231" i="1"/>
  <c r="W231" i="1"/>
  <c r="V231" i="1"/>
  <c r="U231" i="1"/>
  <c r="T231" i="1"/>
  <c r="AH230" i="1"/>
  <c r="AC230" i="1"/>
  <c r="X230" i="1"/>
  <c r="AH229" i="1"/>
  <c r="AC229" i="1"/>
  <c r="X229" i="1"/>
  <c r="AH228" i="1"/>
  <c r="AC228" i="1"/>
  <c r="X228" i="1"/>
  <c r="AH227" i="1"/>
  <c r="AC227" i="1"/>
  <c r="X227" i="1"/>
  <c r="AH226" i="1"/>
  <c r="AC226" i="1"/>
  <c r="X226" i="1"/>
  <c r="AH225" i="1"/>
  <c r="AC225" i="1"/>
  <c r="X225" i="1"/>
  <c r="AH224" i="1"/>
  <c r="AC224" i="1"/>
  <c r="X224" i="1"/>
  <c r="AH223" i="1"/>
  <c r="AC223" i="1"/>
  <c r="X223" i="1"/>
  <c r="AH222" i="1"/>
  <c r="AC222" i="1"/>
  <c r="X222" i="1"/>
  <c r="AH221" i="1"/>
  <c r="AC221" i="1"/>
  <c r="X221" i="1"/>
  <c r="AH220" i="1"/>
  <c r="AC220" i="1"/>
  <c r="X220" i="1"/>
  <c r="AH219" i="1"/>
  <c r="AC219" i="1"/>
  <c r="X219" i="1"/>
  <c r="AH218" i="1"/>
  <c r="AC218" i="1"/>
  <c r="X218" i="1"/>
  <c r="AH217" i="1"/>
  <c r="AC217" i="1"/>
  <c r="X217" i="1"/>
  <c r="AH216" i="1"/>
  <c r="AC216" i="1"/>
  <c r="X216" i="1"/>
  <c r="AH215" i="1"/>
  <c r="AC215" i="1"/>
  <c r="X215" i="1"/>
  <c r="AH214" i="1"/>
  <c r="AC214" i="1"/>
  <c r="X214" i="1"/>
  <c r="AH213" i="1"/>
  <c r="AC213" i="1"/>
  <c r="X213" i="1"/>
  <c r="AH212" i="1"/>
  <c r="AC212" i="1"/>
  <c r="X212" i="1"/>
  <c r="AH211" i="1"/>
  <c r="AC211" i="1"/>
  <c r="X211" i="1"/>
  <c r="AH207" i="1"/>
  <c r="AC207" i="1"/>
  <c r="X207" i="1"/>
  <c r="AH206" i="1"/>
  <c r="AC206" i="1"/>
  <c r="X206" i="1"/>
  <c r="AH205" i="1"/>
  <c r="AC205" i="1"/>
  <c r="X205" i="1"/>
  <c r="AH203" i="1"/>
  <c r="AC203" i="1"/>
  <c r="AH202" i="1"/>
  <c r="AC202" i="1"/>
  <c r="AH201" i="1"/>
  <c r="AC201" i="1"/>
  <c r="AH200" i="1"/>
  <c r="AC200" i="1"/>
  <c r="P162" i="1"/>
  <c r="K162" i="1"/>
  <c r="F162" i="1"/>
  <c r="P161" i="1"/>
  <c r="K161" i="1"/>
  <c r="F161" i="1"/>
  <c r="P166" i="1"/>
  <c r="AC142" i="1"/>
  <c r="X142" i="1"/>
  <c r="AG192" i="1"/>
  <c r="AF192" i="1"/>
  <c r="AE192" i="1"/>
  <c r="AD192" i="1"/>
  <c r="AB192" i="1"/>
  <c r="AA192" i="1"/>
  <c r="Z192" i="1"/>
  <c r="Y192" i="1"/>
  <c r="W192" i="1"/>
  <c r="V192" i="1"/>
  <c r="U192" i="1"/>
  <c r="T192" i="1"/>
  <c r="AH191" i="1"/>
  <c r="AC191" i="1"/>
  <c r="X191" i="1"/>
  <c r="AH190" i="1"/>
  <c r="AC190" i="1"/>
  <c r="X190" i="1"/>
  <c r="AH189" i="1"/>
  <c r="AC189" i="1"/>
  <c r="X189" i="1"/>
  <c r="AH188" i="1"/>
  <c r="AC188" i="1"/>
  <c r="X188" i="1"/>
  <c r="AH187" i="1"/>
  <c r="AC187" i="1"/>
  <c r="X187" i="1"/>
  <c r="AH186" i="1"/>
  <c r="AC186" i="1"/>
  <c r="X186" i="1"/>
  <c r="AH185" i="1"/>
  <c r="AC185" i="1"/>
  <c r="X185" i="1"/>
  <c r="AH184" i="1"/>
  <c r="AC184" i="1"/>
  <c r="X184" i="1"/>
  <c r="AH183" i="1"/>
  <c r="AC183" i="1"/>
  <c r="X183" i="1"/>
  <c r="AH182" i="1"/>
  <c r="AC182" i="1"/>
  <c r="X182" i="1"/>
  <c r="AH181" i="1"/>
  <c r="AC181" i="1"/>
  <c r="X181" i="1"/>
  <c r="AH180" i="1"/>
  <c r="AC180" i="1"/>
  <c r="X180" i="1"/>
  <c r="AH179" i="1"/>
  <c r="AC179" i="1"/>
  <c r="X179" i="1"/>
  <c r="AH178" i="1"/>
  <c r="AC178" i="1"/>
  <c r="X178" i="1"/>
  <c r="AH177" i="1"/>
  <c r="AC177" i="1"/>
  <c r="X177" i="1"/>
  <c r="AH176" i="1"/>
  <c r="AC176" i="1"/>
  <c r="X176" i="1"/>
  <c r="AH175" i="1"/>
  <c r="AC175" i="1"/>
  <c r="X175" i="1"/>
  <c r="AH174" i="1"/>
  <c r="AC174" i="1"/>
  <c r="X174" i="1"/>
  <c r="AH173" i="1"/>
  <c r="AC173" i="1"/>
  <c r="X173" i="1"/>
  <c r="AH172" i="1"/>
  <c r="AC172" i="1"/>
  <c r="X172" i="1"/>
  <c r="AH171" i="1"/>
  <c r="AC171" i="1"/>
  <c r="X171" i="1"/>
  <c r="AH170" i="1"/>
  <c r="AC170" i="1"/>
  <c r="X170" i="1"/>
  <c r="AH169" i="1"/>
  <c r="AC169" i="1"/>
  <c r="X169" i="1"/>
  <c r="AH168" i="1"/>
  <c r="AC168" i="1"/>
  <c r="X168" i="1"/>
  <c r="AH167" i="1"/>
  <c r="AC167" i="1"/>
  <c r="X167" i="1"/>
  <c r="AH166" i="1"/>
  <c r="AC166" i="1"/>
  <c r="X166" i="1"/>
  <c r="AG165" i="1"/>
  <c r="AF165" i="1"/>
  <c r="AF193" i="1" s="1"/>
  <c r="AF199" i="1" s="1"/>
  <c r="AF204" i="1" s="1"/>
  <c r="AD165" i="1"/>
  <c r="AB165" i="1"/>
  <c r="T165" i="1"/>
  <c r="AH164" i="1"/>
  <c r="AC164" i="1"/>
  <c r="X164" i="1"/>
  <c r="AH163" i="1"/>
  <c r="AC163" i="1"/>
  <c r="X163" i="1"/>
  <c r="AH162" i="1"/>
  <c r="AC162" i="1"/>
  <c r="X162" i="1"/>
  <c r="AH161" i="1"/>
  <c r="AC161" i="1"/>
  <c r="X161" i="1"/>
  <c r="AE165" i="1"/>
  <c r="AA165" i="1"/>
  <c r="Z165" i="1"/>
  <c r="Y165" i="1"/>
  <c r="W165" i="1"/>
  <c r="V165" i="1"/>
  <c r="U165" i="1"/>
  <c r="O192" i="1"/>
  <c r="N192" i="1"/>
  <c r="M192" i="1"/>
  <c r="L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4" i="1"/>
  <c r="P163" i="1"/>
  <c r="O165" i="1"/>
  <c r="N165" i="1"/>
  <c r="M160" i="1"/>
  <c r="P160" i="1" s="1"/>
  <c r="Q160" i="1" s="1"/>
  <c r="L165" i="1"/>
  <c r="J192" i="1"/>
  <c r="I192" i="1"/>
  <c r="H192" i="1"/>
  <c r="G192" i="1"/>
  <c r="E192" i="1"/>
  <c r="D192" i="1"/>
  <c r="C192" i="1"/>
  <c r="B192" i="1"/>
  <c r="K191" i="1"/>
  <c r="F191" i="1"/>
  <c r="K190" i="1"/>
  <c r="F190" i="1"/>
  <c r="K189" i="1"/>
  <c r="F189" i="1"/>
  <c r="K188" i="1"/>
  <c r="F188" i="1"/>
  <c r="K187" i="1"/>
  <c r="F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80" i="1"/>
  <c r="F180" i="1"/>
  <c r="K179" i="1"/>
  <c r="F179" i="1"/>
  <c r="K178" i="1"/>
  <c r="F178" i="1"/>
  <c r="K177" i="1"/>
  <c r="F177" i="1"/>
  <c r="K176" i="1"/>
  <c r="F176" i="1"/>
  <c r="K175" i="1"/>
  <c r="F175" i="1"/>
  <c r="K174" i="1"/>
  <c r="F174" i="1"/>
  <c r="K173" i="1"/>
  <c r="F173" i="1"/>
  <c r="K172" i="1"/>
  <c r="F172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4" i="1"/>
  <c r="F164" i="1"/>
  <c r="K163" i="1"/>
  <c r="F163" i="1"/>
  <c r="J165" i="1"/>
  <c r="I165" i="1"/>
  <c r="H165" i="1"/>
  <c r="E165" i="1"/>
  <c r="D165" i="1"/>
  <c r="C165" i="1"/>
  <c r="B165" i="1"/>
  <c r="AB153" i="1"/>
  <c r="AA153" i="1"/>
  <c r="Z153" i="1"/>
  <c r="Y153" i="1"/>
  <c r="W153" i="1"/>
  <c r="V153" i="1"/>
  <c r="U153" i="1"/>
  <c r="T153" i="1"/>
  <c r="J153" i="1"/>
  <c r="I153" i="1"/>
  <c r="H153" i="1"/>
  <c r="G153" i="1"/>
  <c r="E153" i="1"/>
  <c r="D153" i="1"/>
  <c r="C153" i="1"/>
  <c r="B153" i="1"/>
  <c r="AC152" i="1"/>
  <c r="X152" i="1"/>
  <c r="K152" i="1"/>
  <c r="F152" i="1"/>
  <c r="AC151" i="1"/>
  <c r="X151" i="1"/>
  <c r="K151" i="1"/>
  <c r="F151" i="1"/>
  <c r="AC150" i="1"/>
  <c r="X150" i="1"/>
  <c r="K150" i="1"/>
  <c r="F150" i="1"/>
  <c r="AC149" i="1"/>
  <c r="X149" i="1"/>
  <c r="K149" i="1"/>
  <c r="F149" i="1"/>
  <c r="AC148" i="1"/>
  <c r="X148" i="1"/>
  <c r="K148" i="1"/>
  <c r="F148" i="1"/>
  <c r="AC147" i="1"/>
  <c r="X147" i="1"/>
  <c r="K147" i="1"/>
  <c r="F147" i="1"/>
  <c r="AC146" i="1"/>
  <c r="X146" i="1"/>
  <c r="K146" i="1"/>
  <c r="F146" i="1"/>
  <c r="AC145" i="1"/>
  <c r="X145" i="1"/>
  <c r="K145" i="1"/>
  <c r="F145" i="1"/>
  <c r="AC144" i="1"/>
  <c r="X144" i="1"/>
  <c r="K144" i="1"/>
  <c r="F144" i="1"/>
  <c r="AC143" i="1"/>
  <c r="X143" i="1"/>
  <c r="K143" i="1"/>
  <c r="F143" i="1"/>
  <c r="K142" i="1"/>
  <c r="F142" i="1"/>
  <c r="AC141" i="1"/>
  <c r="X141" i="1"/>
  <c r="K141" i="1"/>
  <c r="F141" i="1"/>
  <c r="AC140" i="1"/>
  <c r="X140" i="1"/>
  <c r="K140" i="1"/>
  <c r="F140" i="1"/>
  <c r="AC139" i="1"/>
  <c r="X139" i="1"/>
  <c r="K139" i="1"/>
  <c r="F139" i="1"/>
  <c r="AC138" i="1"/>
  <c r="X138" i="1"/>
  <c r="K138" i="1"/>
  <c r="F138" i="1"/>
  <c r="AC137" i="1"/>
  <c r="X137" i="1"/>
  <c r="K137" i="1"/>
  <c r="F137" i="1"/>
  <c r="AC136" i="1"/>
  <c r="X136" i="1"/>
  <c r="K136" i="1"/>
  <c r="F136" i="1"/>
  <c r="AC135" i="1"/>
  <c r="X135" i="1"/>
  <c r="K135" i="1"/>
  <c r="F135" i="1"/>
  <c r="AC134" i="1"/>
  <c r="X134" i="1"/>
  <c r="K134" i="1"/>
  <c r="F134" i="1"/>
  <c r="AC133" i="1"/>
  <c r="X133" i="1"/>
  <c r="K133" i="1"/>
  <c r="F133" i="1"/>
  <c r="AC132" i="1"/>
  <c r="X132" i="1"/>
  <c r="K132" i="1"/>
  <c r="F132" i="1"/>
  <c r="AC131" i="1"/>
  <c r="X131" i="1"/>
  <c r="K131" i="1"/>
  <c r="F131" i="1"/>
  <c r="AC130" i="1"/>
  <c r="X130" i="1"/>
  <c r="K130" i="1"/>
  <c r="F130" i="1"/>
  <c r="AC129" i="1"/>
  <c r="X129" i="1"/>
  <c r="K129" i="1"/>
  <c r="F129" i="1"/>
  <c r="AC128" i="1"/>
  <c r="X128" i="1"/>
  <c r="K128" i="1"/>
  <c r="F128" i="1"/>
  <c r="AC127" i="1"/>
  <c r="X127" i="1"/>
  <c r="K127" i="1"/>
  <c r="F127" i="1"/>
  <c r="AC125" i="1"/>
  <c r="X125" i="1"/>
  <c r="K125" i="1"/>
  <c r="F125" i="1"/>
  <c r="AC124" i="1"/>
  <c r="X124" i="1"/>
  <c r="K124" i="1"/>
  <c r="F124" i="1"/>
  <c r="AC123" i="1"/>
  <c r="X123" i="1"/>
  <c r="K123" i="1"/>
  <c r="F123" i="1"/>
  <c r="AC122" i="1"/>
  <c r="X122" i="1"/>
  <c r="K122" i="1"/>
  <c r="F122" i="1"/>
  <c r="X88" i="1"/>
  <c r="AB114" i="1"/>
  <c r="AA114" i="1"/>
  <c r="Z114" i="1"/>
  <c r="Y114" i="1"/>
  <c r="W114" i="1"/>
  <c r="V114" i="1"/>
  <c r="U114" i="1"/>
  <c r="T114" i="1"/>
  <c r="J114" i="1"/>
  <c r="I114" i="1"/>
  <c r="H114" i="1"/>
  <c r="G114" i="1"/>
  <c r="E114" i="1"/>
  <c r="D114" i="1"/>
  <c r="C114" i="1"/>
  <c r="B114" i="1"/>
  <c r="AC113" i="1"/>
  <c r="X113" i="1"/>
  <c r="K113" i="1"/>
  <c r="F113" i="1"/>
  <c r="AC112" i="1"/>
  <c r="X112" i="1"/>
  <c r="K112" i="1"/>
  <c r="F112" i="1"/>
  <c r="AC111" i="1"/>
  <c r="X111" i="1"/>
  <c r="K111" i="1"/>
  <c r="F111" i="1"/>
  <c r="AC110" i="1"/>
  <c r="X110" i="1"/>
  <c r="K110" i="1"/>
  <c r="F110" i="1"/>
  <c r="AC109" i="1"/>
  <c r="X109" i="1"/>
  <c r="K109" i="1"/>
  <c r="F109" i="1"/>
  <c r="AC108" i="1"/>
  <c r="X108" i="1"/>
  <c r="K108" i="1"/>
  <c r="F108" i="1"/>
  <c r="AC107" i="1"/>
  <c r="X107" i="1"/>
  <c r="K107" i="1"/>
  <c r="F107" i="1"/>
  <c r="AC106" i="1"/>
  <c r="X106" i="1"/>
  <c r="K106" i="1"/>
  <c r="F106" i="1"/>
  <c r="AC105" i="1"/>
  <c r="X105" i="1"/>
  <c r="K105" i="1"/>
  <c r="F105" i="1"/>
  <c r="AC104" i="1"/>
  <c r="X104" i="1"/>
  <c r="K104" i="1"/>
  <c r="F104" i="1"/>
  <c r="AC103" i="1"/>
  <c r="X103" i="1"/>
  <c r="K103" i="1"/>
  <c r="F103" i="1"/>
  <c r="AC102" i="1"/>
  <c r="X102" i="1"/>
  <c r="K102" i="1"/>
  <c r="F102" i="1"/>
  <c r="AC101" i="1"/>
  <c r="X101" i="1"/>
  <c r="K101" i="1"/>
  <c r="F101" i="1"/>
  <c r="AC100" i="1"/>
  <c r="X100" i="1"/>
  <c r="K100" i="1"/>
  <c r="F100" i="1"/>
  <c r="AC99" i="1"/>
  <c r="X99" i="1"/>
  <c r="K99" i="1"/>
  <c r="F99" i="1"/>
  <c r="AC98" i="1"/>
  <c r="X98" i="1"/>
  <c r="K98" i="1"/>
  <c r="F98" i="1"/>
  <c r="AC97" i="1"/>
  <c r="X97" i="1"/>
  <c r="K97" i="1"/>
  <c r="F97" i="1"/>
  <c r="AC96" i="1"/>
  <c r="X96" i="1"/>
  <c r="K96" i="1"/>
  <c r="F96" i="1"/>
  <c r="AC95" i="1"/>
  <c r="X95" i="1"/>
  <c r="K95" i="1"/>
  <c r="F95" i="1"/>
  <c r="AC94" i="1"/>
  <c r="X94" i="1"/>
  <c r="K94" i="1"/>
  <c r="F94" i="1"/>
  <c r="AC93" i="1"/>
  <c r="X93" i="1"/>
  <c r="K93" i="1"/>
  <c r="F93" i="1"/>
  <c r="AC92" i="1"/>
  <c r="X92" i="1"/>
  <c r="K92" i="1"/>
  <c r="F92" i="1"/>
  <c r="AC91" i="1"/>
  <c r="X91" i="1"/>
  <c r="K91" i="1"/>
  <c r="F91" i="1"/>
  <c r="AC90" i="1"/>
  <c r="X90" i="1"/>
  <c r="K90" i="1"/>
  <c r="F90" i="1"/>
  <c r="AC89" i="1"/>
  <c r="X89" i="1"/>
  <c r="K89" i="1"/>
  <c r="F89" i="1"/>
  <c r="AC88" i="1"/>
  <c r="K88" i="1"/>
  <c r="F88" i="1"/>
  <c r="AC86" i="1"/>
  <c r="X86" i="1"/>
  <c r="K86" i="1"/>
  <c r="F86" i="1"/>
  <c r="AC85" i="1"/>
  <c r="X85" i="1"/>
  <c r="K85" i="1"/>
  <c r="F85" i="1"/>
  <c r="AC84" i="1"/>
  <c r="X84" i="1"/>
  <c r="K84" i="1"/>
  <c r="F84" i="1"/>
  <c r="AC83" i="1"/>
  <c r="X83" i="1"/>
  <c r="K83" i="1"/>
  <c r="F83" i="1"/>
  <c r="K60" i="1"/>
  <c r="F60" i="1"/>
  <c r="K59" i="1"/>
  <c r="F59" i="1"/>
  <c r="K58" i="1"/>
  <c r="F58" i="1"/>
  <c r="AB75" i="1"/>
  <c r="AA75" i="1"/>
  <c r="Z75" i="1"/>
  <c r="Y75" i="1"/>
  <c r="W75" i="1"/>
  <c r="V75" i="1"/>
  <c r="U75" i="1"/>
  <c r="T75" i="1"/>
  <c r="AC74" i="1"/>
  <c r="X74" i="1"/>
  <c r="AC73" i="1"/>
  <c r="X73" i="1"/>
  <c r="AC72" i="1"/>
  <c r="X72" i="1"/>
  <c r="AC71" i="1"/>
  <c r="X71" i="1"/>
  <c r="AC70" i="1"/>
  <c r="X70" i="1"/>
  <c r="AC69" i="1"/>
  <c r="X69" i="1"/>
  <c r="AC68" i="1"/>
  <c r="X68" i="1"/>
  <c r="AC67" i="1"/>
  <c r="X67" i="1"/>
  <c r="AC66" i="1"/>
  <c r="X66" i="1"/>
  <c r="AC65" i="1"/>
  <c r="X65" i="1"/>
  <c r="AC64" i="1"/>
  <c r="X64" i="1"/>
  <c r="AC63" i="1"/>
  <c r="X63" i="1"/>
  <c r="AC62" i="1"/>
  <c r="X62" i="1"/>
  <c r="AC61" i="1"/>
  <c r="X61" i="1"/>
  <c r="AC60" i="1"/>
  <c r="X60" i="1"/>
  <c r="AC59" i="1"/>
  <c r="X59" i="1"/>
  <c r="AC58" i="1"/>
  <c r="X58" i="1"/>
  <c r="AC57" i="1"/>
  <c r="X57" i="1"/>
  <c r="AC56" i="1"/>
  <c r="X56" i="1"/>
  <c r="AC55" i="1"/>
  <c r="X55" i="1"/>
  <c r="AC54" i="1"/>
  <c r="X54" i="1"/>
  <c r="AC53" i="1"/>
  <c r="X53" i="1"/>
  <c r="AC52" i="1"/>
  <c r="X52" i="1"/>
  <c r="AC51" i="1"/>
  <c r="X51" i="1"/>
  <c r="AC50" i="1"/>
  <c r="X50" i="1"/>
  <c r="AC49" i="1"/>
  <c r="X49" i="1"/>
  <c r="AC47" i="1"/>
  <c r="X47" i="1"/>
  <c r="AC46" i="1"/>
  <c r="X46" i="1"/>
  <c r="AC45" i="1"/>
  <c r="X45" i="1"/>
  <c r="AC44" i="1"/>
  <c r="X44" i="1"/>
  <c r="J75" i="1"/>
  <c r="I75" i="1"/>
  <c r="H75" i="1"/>
  <c r="G75" i="1"/>
  <c r="E75" i="1"/>
  <c r="D75" i="1"/>
  <c r="C75" i="1"/>
  <c r="B75" i="1"/>
  <c r="K74" i="1"/>
  <c r="F74" i="1"/>
  <c r="K73" i="1"/>
  <c r="F73" i="1"/>
  <c r="K72" i="1"/>
  <c r="F72" i="1"/>
  <c r="K71" i="1"/>
  <c r="F71" i="1"/>
  <c r="K70" i="1"/>
  <c r="F70" i="1"/>
  <c r="K69" i="1"/>
  <c r="F69" i="1"/>
  <c r="K68" i="1"/>
  <c r="F68" i="1"/>
  <c r="K67" i="1"/>
  <c r="F67" i="1"/>
  <c r="K66" i="1"/>
  <c r="F66" i="1"/>
  <c r="K65" i="1"/>
  <c r="F65" i="1"/>
  <c r="K64" i="1"/>
  <c r="F64" i="1"/>
  <c r="K63" i="1"/>
  <c r="F63" i="1"/>
  <c r="K62" i="1"/>
  <c r="F62" i="1"/>
  <c r="K61" i="1"/>
  <c r="F61" i="1"/>
  <c r="K57" i="1"/>
  <c r="F57" i="1"/>
  <c r="K56" i="1"/>
  <c r="F56" i="1"/>
  <c r="K55" i="1"/>
  <c r="F55" i="1"/>
  <c r="K54" i="1"/>
  <c r="F54" i="1"/>
  <c r="K53" i="1"/>
  <c r="F53" i="1"/>
  <c r="K52" i="1"/>
  <c r="F52" i="1"/>
  <c r="K51" i="1"/>
  <c r="F51" i="1"/>
  <c r="K50" i="1"/>
  <c r="F50" i="1"/>
  <c r="K49" i="1"/>
  <c r="F49" i="1"/>
  <c r="K47" i="1"/>
  <c r="F47" i="1"/>
  <c r="K46" i="1"/>
  <c r="F46" i="1"/>
  <c r="K45" i="1"/>
  <c r="F45" i="1"/>
  <c r="K44" i="1"/>
  <c r="F44" i="1"/>
  <c r="AB36" i="1"/>
  <c r="AA36" i="1"/>
  <c r="Z36" i="1"/>
  <c r="Y36" i="1"/>
  <c r="W36" i="1"/>
  <c r="V36" i="1"/>
  <c r="U36" i="1"/>
  <c r="T36" i="1"/>
  <c r="J36" i="1"/>
  <c r="I36" i="1"/>
  <c r="H36" i="1"/>
  <c r="G36" i="1"/>
  <c r="E36" i="1"/>
  <c r="D36" i="1"/>
  <c r="C36" i="1"/>
  <c r="B36" i="1"/>
  <c r="AC35" i="1"/>
  <c r="X35" i="1"/>
  <c r="K35" i="1"/>
  <c r="F35" i="1"/>
  <c r="AC34" i="1"/>
  <c r="X34" i="1"/>
  <c r="K34" i="1"/>
  <c r="F34" i="1"/>
  <c r="AC33" i="1"/>
  <c r="X33" i="1"/>
  <c r="K33" i="1"/>
  <c r="F33" i="1"/>
  <c r="AC32" i="1"/>
  <c r="X32" i="1"/>
  <c r="K32" i="1"/>
  <c r="F32" i="1"/>
  <c r="AC31" i="1"/>
  <c r="X31" i="1"/>
  <c r="K31" i="1"/>
  <c r="F31" i="1"/>
  <c r="AC30" i="1"/>
  <c r="X30" i="1"/>
  <c r="K30" i="1"/>
  <c r="F30" i="1"/>
  <c r="AC29" i="1"/>
  <c r="X29" i="1"/>
  <c r="K29" i="1"/>
  <c r="F29" i="1"/>
  <c r="AC28" i="1"/>
  <c r="X28" i="1"/>
  <c r="K28" i="1"/>
  <c r="F28" i="1"/>
  <c r="AC27" i="1"/>
  <c r="X27" i="1"/>
  <c r="K27" i="1"/>
  <c r="F27" i="1"/>
  <c r="AC26" i="1"/>
  <c r="X26" i="1"/>
  <c r="K26" i="1"/>
  <c r="F26" i="1"/>
  <c r="AC25" i="1"/>
  <c r="X25" i="1"/>
  <c r="K25" i="1"/>
  <c r="F25" i="1"/>
  <c r="AC24" i="1"/>
  <c r="X24" i="1"/>
  <c r="K24" i="1"/>
  <c r="F24" i="1"/>
  <c r="AC23" i="1"/>
  <c r="X23" i="1"/>
  <c r="K23" i="1"/>
  <c r="F23" i="1"/>
  <c r="AC22" i="1"/>
  <c r="X22" i="1"/>
  <c r="K22" i="1"/>
  <c r="F22" i="1"/>
  <c r="AC21" i="1"/>
  <c r="X21" i="1"/>
  <c r="K21" i="1"/>
  <c r="F21" i="1"/>
  <c r="AC20" i="1"/>
  <c r="X20" i="1"/>
  <c r="K20" i="1"/>
  <c r="F20" i="1"/>
  <c r="AC19" i="1"/>
  <c r="X19" i="1"/>
  <c r="K19" i="1"/>
  <c r="F19" i="1"/>
  <c r="AC18" i="1"/>
  <c r="X18" i="1"/>
  <c r="K18" i="1"/>
  <c r="F18" i="1"/>
  <c r="AC17" i="1"/>
  <c r="X17" i="1"/>
  <c r="K17" i="1"/>
  <c r="F17" i="1"/>
  <c r="AC16" i="1"/>
  <c r="X16" i="1"/>
  <c r="K16" i="1"/>
  <c r="F16" i="1"/>
  <c r="AC15" i="1"/>
  <c r="X15" i="1"/>
  <c r="K15" i="1"/>
  <c r="F15" i="1"/>
  <c r="AC14" i="1"/>
  <c r="X14" i="1"/>
  <c r="K14" i="1"/>
  <c r="F14" i="1"/>
  <c r="AC13" i="1"/>
  <c r="X13" i="1"/>
  <c r="K13" i="1"/>
  <c r="F13" i="1"/>
  <c r="AC12" i="1"/>
  <c r="X12" i="1"/>
  <c r="K12" i="1"/>
  <c r="F12" i="1"/>
  <c r="AC11" i="1"/>
  <c r="X11" i="1"/>
  <c r="K11" i="1"/>
  <c r="F11" i="1"/>
  <c r="AC10" i="1"/>
  <c r="X10" i="1"/>
  <c r="K10" i="1"/>
  <c r="F10" i="1"/>
  <c r="AB9" i="1"/>
  <c r="AA9" i="1"/>
  <c r="AA37" i="1" s="1"/>
  <c r="AA43" i="1" s="1"/>
  <c r="AA48" i="1" s="1"/>
  <c r="Z9" i="1"/>
  <c r="Y9" i="1"/>
  <c r="Y37" i="1" s="1"/>
  <c r="Y43" i="1" s="1"/>
  <c r="W9" i="1"/>
  <c r="W37" i="1" s="1"/>
  <c r="W43" i="1" s="1"/>
  <c r="W48" i="1" s="1"/>
  <c r="V9" i="1"/>
  <c r="V37" i="1" s="1"/>
  <c r="V43" i="1" s="1"/>
  <c r="V48" i="1" s="1"/>
  <c r="U9" i="1"/>
  <c r="T9" i="1"/>
  <c r="J9" i="1"/>
  <c r="I9" i="1"/>
  <c r="I37" i="1" s="1"/>
  <c r="I43" i="1" s="1"/>
  <c r="H9" i="1"/>
  <c r="G9" i="1"/>
  <c r="E9" i="1"/>
  <c r="D9" i="1"/>
  <c r="C9" i="1"/>
  <c r="B9" i="1"/>
  <c r="B37" i="1" s="1"/>
  <c r="B43" i="1" s="1"/>
  <c r="B48" i="1" s="1"/>
  <c r="AC8" i="1"/>
  <c r="X8" i="1"/>
  <c r="K8" i="1"/>
  <c r="F8" i="1"/>
  <c r="AC7" i="1"/>
  <c r="X7" i="1"/>
  <c r="K7" i="1"/>
  <c r="F7" i="1"/>
  <c r="AC6" i="1"/>
  <c r="X6" i="1"/>
  <c r="K6" i="1"/>
  <c r="F6" i="1"/>
  <c r="AC5" i="1"/>
  <c r="X5" i="1"/>
  <c r="K5" i="1"/>
  <c r="F5" i="1"/>
  <c r="AC4" i="1"/>
  <c r="X4" i="1"/>
  <c r="K4" i="1"/>
  <c r="F4" i="1"/>
  <c r="AH160" i="1"/>
  <c r="AI160" i="1" s="1"/>
  <c r="G165" i="1"/>
  <c r="AG40" i="2" l="1"/>
  <c r="AG46" i="2" s="1"/>
  <c r="AG54" i="2" s="1"/>
  <c r="AI40" i="2"/>
  <c r="AI46" i="2" s="1"/>
  <c r="AI54" i="2" s="1"/>
  <c r="AS40" i="2"/>
  <c r="AS46" i="2" s="1"/>
  <c r="AS54" i="2" s="1"/>
  <c r="AS82" i="2" s="1"/>
  <c r="AS88" i="2" s="1"/>
  <c r="AS96" i="2" s="1"/>
  <c r="AS124" i="2" s="1"/>
  <c r="AS130" i="2" s="1"/>
  <c r="AK40" i="2"/>
  <c r="AK46" i="2" s="1"/>
  <c r="AK54" i="2" s="1"/>
  <c r="AK82" i="2" s="1"/>
  <c r="AK88" i="2" s="1"/>
  <c r="AK96" i="2" s="1"/>
  <c r="AK124" i="2" s="1"/>
  <c r="AK130" i="2" s="1"/>
  <c r="AK138" i="2" s="1"/>
  <c r="AK166" i="2" s="1"/>
  <c r="AK172" i="2" s="1"/>
  <c r="AK180" i="2" s="1"/>
  <c r="AK208" i="2" s="1"/>
  <c r="AK214" i="2" s="1"/>
  <c r="AK222" i="2" s="1"/>
  <c r="AK250" i="2" s="1"/>
  <c r="AK256" i="2" s="1"/>
  <c r="AK264" i="2" s="1"/>
  <c r="AK292" i="2" s="1"/>
  <c r="AK298" i="2" s="1"/>
  <c r="AK306" i="2" s="1"/>
  <c r="AK334" i="2" s="1"/>
  <c r="AK340" i="2" s="1"/>
  <c r="AK348" i="2" s="1"/>
  <c r="AK376" i="2" s="1"/>
  <c r="AK382" i="2" s="1"/>
  <c r="AK390" i="2" s="1"/>
  <c r="AK418" i="2" s="1"/>
  <c r="AK424" i="2" s="1"/>
  <c r="AK432" i="2" s="1"/>
  <c r="AK460" i="2" s="1"/>
  <c r="AK466" i="2" s="1"/>
  <c r="AK474" i="2" s="1"/>
  <c r="AK502" i="2" s="1"/>
  <c r="AK508" i="2" s="1"/>
  <c r="AK516" i="2" s="1"/>
  <c r="AK544" i="2" s="1"/>
  <c r="AK550" i="2" s="1"/>
  <c r="AK558" i="2" s="1"/>
  <c r="AK586" i="2" s="1"/>
  <c r="AK592" i="2" s="1"/>
  <c r="AK600" i="2" s="1"/>
  <c r="AK628" i="2" s="1"/>
  <c r="AK634" i="2" s="1"/>
  <c r="AK642" i="2" s="1"/>
  <c r="AK670" i="2" s="1"/>
  <c r="AK676" i="2" s="1"/>
  <c r="AK684" i="2" s="1"/>
  <c r="AK712" i="2" s="1"/>
  <c r="AK718" i="2" s="1"/>
  <c r="AK726" i="2" s="1"/>
  <c r="AK754" i="2" s="1"/>
  <c r="AK760" i="2" s="1"/>
  <c r="AK768" i="2" s="1"/>
  <c r="AK796" i="2" s="1"/>
  <c r="AK802" i="2" s="1"/>
  <c r="AK810" i="2" s="1"/>
  <c r="AK838" i="2" s="1"/>
  <c r="AE40" i="2"/>
  <c r="AE46" i="2" s="1"/>
  <c r="AE54" i="2" s="1"/>
  <c r="AE82" i="2" s="1"/>
  <c r="AE88" i="2" s="1"/>
  <c r="AE96" i="2" s="1"/>
  <c r="AE124" i="2" s="1"/>
  <c r="AJ461" i="2"/>
  <c r="AQ461" i="2"/>
  <c r="AD461" i="2"/>
  <c r="AK461" i="2"/>
  <c r="AS461" i="2"/>
  <c r="AE461" i="2"/>
  <c r="AL461" i="2"/>
  <c r="AT461" i="2"/>
  <c r="AF461" i="2"/>
  <c r="AN461" i="2"/>
  <c r="AU461" i="2"/>
  <c r="AG461" i="2"/>
  <c r="AO461" i="2"/>
  <c r="AV461" i="2"/>
  <c r="AI461" i="2"/>
  <c r="AP461" i="2"/>
  <c r="U37" i="1"/>
  <c r="U43" i="1" s="1"/>
  <c r="U48" i="1" s="1"/>
  <c r="AD122" i="1"/>
  <c r="AD129" i="1"/>
  <c r="AD138" i="1"/>
  <c r="AI401" i="1"/>
  <c r="AI403" i="1"/>
  <c r="AI405" i="1"/>
  <c r="AI407" i="1"/>
  <c r="Q414" i="1"/>
  <c r="Q424" i="1"/>
  <c r="V189" i="2"/>
  <c r="V195" i="2"/>
  <c r="AX196" i="2"/>
  <c r="V198" i="2"/>
  <c r="AX202" i="2"/>
  <c r="U207" i="2"/>
  <c r="T40" i="2"/>
  <c r="T46" i="2" s="1"/>
  <c r="T54" i="2" s="1"/>
  <c r="T82" i="2" s="1"/>
  <c r="T88" i="2" s="1"/>
  <c r="T96" i="2" s="1"/>
  <c r="T124" i="2" s="1"/>
  <c r="T130" i="2" s="1"/>
  <c r="T138" i="2" s="1"/>
  <c r="T166" i="2" s="1"/>
  <c r="T172" i="2" s="1"/>
  <c r="T180" i="2" s="1"/>
  <c r="T208" i="2" s="1"/>
  <c r="T214" i="2" s="1"/>
  <c r="T222" i="2" s="1"/>
  <c r="T250" i="2" s="1"/>
  <c r="T256" i="2" s="1"/>
  <c r="T264" i="2" s="1"/>
  <c r="T292" i="2" s="1"/>
  <c r="T298" i="2" s="1"/>
  <c r="T306" i="2" s="1"/>
  <c r="T334" i="2" s="1"/>
  <c r="T340" i="2" s="1"/>
  <c r="T348" i="2" s="1"/>
  <c r="T376" i="2" s="1"/>
  <c r="T382" i="2" s="1"/>
  <c r="T390" i="2" s="1"/>
  <c r="T418" i="2" s="1"/>
  <c r="T424" i="2" s="1"/>
  <c r="T432" i="2" s="1"/>
  <c r="T460" i="2" s="1"/>
  <c r="T466" i="2" s="1"/>
  <c r="T474" i="2" s="1"/>
  <c r="T502" i="2" s="1"/>
  <c r="T508" i="2" s="1"/>
  <c r="T516" i="2" s="1"/>
  <c r="T544" i="2" s="1"/>
  <c r="T550" i="2" s="1"/>
  <c r="T558" i="2" s="1"/>
  <c r="T586" i="2" s="1"/>
  <c r="T592" i="2" s="1"/>
  <c r="T600" i="2" s="1"/>
  <c r="T628" i="2" s="1"/>
  <c r="T634" i="2" s="1"/>
  <c r="T642" i="2" s="1"/>
  <c r="T670" i="2" s="1"/>
  <c r="T676" i="2" s="1"/>
  <c r="T684" i="2" s="1"/>
  <c r="T712" i="2" s="1"/>
  <c r="T718" i="2" s="1"/>
  <c r="T726" i="2" s="1"/>
  <c r="T754" i="2" s="1"/>
  <c r="T760" i="2" s="1"/>
  <c r="T768" i="2" s="1"/>
  <c r="T796" i="2" s="1"/>
  <c r="T802" i="2" s="1"/>
  <c r="T810" i="2" s="1"/>
  <c r="T838" i="2" s="1"/>
  <c r="T844" i="2" s="1"/>
  <c r="T852" i="2" s="1"/>
  <c r="T880" i="2" s="1"/>
  <c r="T886" i="2" s="1"/>
  <c r="T894" i="2" s="1"/>
  <c r="T922" i="2" s="1"/>
  <c r="T928" i="2" s="1"/>
  <c r="T936" i="2" s="1"/>
  <c r="T964" i="2" s="1"/>
  <c r="T970" i="2" s="1"/>
  <c r="T978" i="2" s="1"/>
  <c r="T1006" i="2" s="1"/>
  <c r="T1012" i="2" s="1"/>
  <c r="T1020" i="2" s="1"/>
  <c r="T1048" i="2" s="1"/>
  <c r="T1055" i="2" s="1"/>
  <c r="T1063" i="2" s="1"/>
  <c r="T1091" i="2" s="1"/>
  <c r="AI400" i="1"/>
  <c r="AI402" i="1"/>
  <c r="AI406" i="1"/>
  <c r="AI409" i="1"/>
  <c r="Q415" i="1"/>
  <c r="Q425" i="1"/>
  <c r="X426" i="1"/>
  <c r="V186" i="2"/>
  <c r="AX187" i="2"/>
  <c r="AX190" i="2"/>
  <c r="V192" i="2"/>
  <c r="AX193" i="2"/>
  <c r="AX199" i="2"/>
  <c r="V201" i="2"/>
  <c r="V204" i="2"/>
  <c r="AX205" i="2"/>
  <c r="F207" i="2"/>
  <c r="AR207" i="2"/>
  <c r="AD142" i="1"/>
  <c r="AD64" i="1"/>
  <c r="L14" i="1"/>
  <c r="Q202" i="1"/>
  <c r="Q207" i="1"/>
  <c r="Q211" i="1"/>
  <c r="Q240" i="1"/>
  <c r="AI290" i="1"/>
  <c r="AI337" i="1"/>
  <c r="B40" i="2"/>
  <c r="B46" i="2" s="1"/>
  <c r="L91" i="1"/>
  <c r="Q171" i="1"/>
  <c r="L99" i="1"/>
  <c r="L105" i="1"/>
  <c r="I193" i="1"/>
  <c r="I199" i="1" s="1"/>
  <c r="I204" i="1" s="1"/>
  <c r="I232" i="1" s="1"/>
  <c r="I238" i="1" s="1"/>
  <c r="I243" i="1" s="1"/>
  <c r="I271" i="1" s="1"/>
  <c r="I277" i="1" s="1"/>
  <c r="I282" i="1" s="1"/>
  <c r="I310" i="1" s="1"/>
  <c r="I316" i="1" s="1"/>
  <c r="I321" i="1" s="1"/>
  <c r="I349" i="1" s="1"/>
  <c r="I355" i="1" s="1"/>
  <c r="I360" i="1" s="1"/>
  <c r="I388" i="1" s="1"/>
  <c r="I394" i="1" s="1"/>
  <c r="I399" i="1" s="1"/>
  <c r="I427" i="1" s="1"/>
  <c r="V193" i="1"/>
  <c r="V199" i="1" s="1"/>
  <c r="V204" i="1" s="1"/>
  <c r="V232" i="1" s="1"/>
  <c r="V238" i="1" s="1"/>
  <c r="V243" i="1" s="1"/>
  <c r="V271" i="1" s="1"/>
  <c r="V277" i="1" s="1"/>
  <c r="V282" i="1" s="1"/>
  <c r="V310" i="1" s="1"/>
  <c r="V316" i="1" s="1"/>
  <c r="V321" i="1" s="1"/>
  <c r="V349" i="1" s="1"/>
  <c r="V355" i="1" s="1"/>
  <c r="V360" i="1" s="1"/>
  <c r="V388" i="1" s="1"/>
  <c r="V394" i="1" s="1"/>
  <c r="V399" i="1" s="1"/>
  <c r="V427" i="1" s="1"/>
  <c r="AI161" i="1"/>
  <c r="AI219" i="1"/>
  <c r="AD98" i="1"/>
  <c r="AD20" i="1"/>
  <c r="L25" i="1"/>
  <c r="L44" i="1"/>
  <c r="L63" i="1"/>
  <c r="L69" i="1"/>
  <c r="AD46" i="1"/>
  <c r="AD50" i="1"/>
  <c r="AD56" i="1"/>
  <c r="AD62" i="1"/>
  <c r="AD65" i="1"/>
  <c r="L59" i="1"/>
  <c r="L85" i="1"/>
  <c r="L123" i="1"/>
  <c r="AD124" i="1"/>
  <c r="L127" i="1"/>
  <c r="L130" i="1"/>
  <c r="AD131" i="1"/>
  <c r="L133" i="1"/>
  <c r="AD134" i="1"/>
  <c r="L139" i="1"/>
  <c r="AD140" i="1"/>
  <c r="L142" i="1"/>
  <c r="L144" i="1"/>
  <c r="AD145" i="1"/>
  <c r="L147" i="1"/>
  <c r="AD148" i="1"/>
  <c r="L150" i="1"/>
  <c r="AD151" i="1"/>
  <c r="O193" i="1"/>
  <c r="O199" i="1" s="1"/>
  <c r="O204" i="1" s="1"/>
  <c r="O232" i="1" s="1"/>
  <c r="O238" i="1" s="1"/>
  <c r="O243" i="1" s="1"/>
  <c r="O271" i="1" s="1"/>
  <c r="O277" i="1" s="1"/>
  <c r="O282" i="1" s="1"/>
  <c r="O310" i="1" s="1"/>
  <c r="O316" i="1" s="1"/>
  <c r="O321" i="1" s="1"/>
  <c r="O349" i="1" s="1"/>
  <c r="O355" i="1" s="1"/>
  <c r="O360" i="1" s="1"/>
  <c r="O388" i="1" s="1"/>
  <c r="O394" i="1" s="1"/>
  <c r="O399" i="1" s="1"/>
  <c r="O427" i="1" s="1"/>
  <c r="Z193" i="1"/>
  <c r="Z199" i="1" s="1"/>
  <c r="Z204" i="1" s="1"/>
  <c r="Z232" i="1" s="1"/>
  <c r="Z238" i="1" s="1"/>
  <c r="Z243" i="1" s="1"/>
  <c r="L15" i="1"/>
  <c r="AD22" i="1"/>
  <c r="AD34" i="1"/>
  <c r="L67" i="1"/>
  <c r="AD47" i="1"/>
  <c r="L132" i="1"/>
  <c r="L149" i="1"/>
  <c r="AI174" i="1"/>
  <c r="AI207" i="1"/>
  <c r="AI212" i="1"/>
  <c r="AI216" i="1"/>
  <c r="AH231" i="1"/>
  <c r="Q247" i="1"/>
  <c r="Q250" i="1"/>
  <c r="Q255" i="1"/>
  <c r="AI266" i="1"/>
  <c r="F270" i="1"/>
  <c r="AI209" i="1"/>
  <c r="T311" i="1"/>
  <c r="AI367" i="1"/>
  <c r="AI373" i="1"/>
  <c r="V8" i="2"/>
  <c r="AD15" i="1"/>
  <c r="L17" i="1"/>
  <c r="AI369" i="1"/>
  <c r="AI383" i="1"/>
  <c r="I40" i="2"/>
  <c r="I46" i="2" s="1"/>
  <c r="I54" i="2" s="1"/>
  <c r="I82" i="2" s="1"/>
  <c r="I88" i="2" s="1"/>
  <c r="I96" i="2" s="1"/>
  <c r="I124" i="2" s="1"/>
  <c r="I130" i="2" s="1"/>
  <c r="I138" i="2" s="1"/>
  <c r="I166" i="2" s="1"/>
  <c r="I172" i="2" s="1"/>
  <c r="I180" i="2" s="1"/>
  <c r="I208" i="2" s="1"/>
  <c r="I214" i="2" s="1"/>
  <c r="I222" i="2" s="1"/>
  <c r="I250" i="2" s="1"/>
  <c r="I256" i="2" s="1"/>
  <c r="I264" i="2" s="1"/>
  <c r="I292" i="2" s="1"/>
  <c r="I298" i="2" s="1"/>
  <c r="I306" i="2" s="1"/>
  <c r="I334" i="2" s="1"/>
  <c r="I340" i="2" s="1"/>
  <c r="I348" i="2" s="1"/>
  <c r="I376" i="2" s="1"/>
  <c r="I382" i="2" s="1"/>
  <c r="I390" i="2" s="1"/>
  <c r="I418" i="2" s="1"/>
  <c r="I424" i="2" s="1"/>
  <c r="I432" i="2" s="1"/>
  <c r="I460" i="2" s="1"/>
  <c r="I466" i="2" s="1"/>
  <c r="I474" i="2" s="1"/>
  <c r="I502" i="2" s="1"/>
  <c r="I508" i="2" s="1"/>
  <c r="I516" i="2" s="1"/>
  <c r="I544" i="2" s="1"/>
  <c r="I550" i="2" s="1"/>
  <c r="I558" i="2" s="1"/>
  <c r="I586" i="2" s="1"/>
  <c r="I592" i="2" s="1"/>
  <c r="I600" i="2" s="1"/>
  <c r="I628" i="2" s="1"/>
  <c r="I634" i="2" s="1"/>
  <c r="I642" i="2" s="1"/>
  <c r="I670" i="2" s="1"/>
  <c r="I676" i="2" s="1"/>
  <c r="I684" i="2" s="1"/>
  <c r="I712" i="2" s="1"/>
  <c r="I718" i="2" s="1"/>
  <c r="I726" i="2" s="1"/>
  <c r="I754" i="2" s="1"/>
  <c r="I760" i="2" s="1"/>
  <c r="I768" i="2" s="1"/>
  <c r="I796" i="2" s="1"/>
  <c r="I802" i="2" s="1"/>
  <c r="I810" i="2" s="1"/>
  <c r="I838" i="2" s="1"/>
  <c r="I844" i="2" s="1"/>
  <c r="I852" i="2" s="1"/>
  <c r="I880" i="2" s="1"/>
  <c r="I886" i="2" s="1"/>
  <c r="I894" i="2" s="1"/>
  <c r="I922" i="2" s="1"/>
  <c r="I928" i="2" s="1"/>
  <c r="I936" i="2" s="1"/>
  <c r="I964" i="2" s="1"/>
  <c r="I970" i="2" s="1"/>
  <c r="I978" i="2" s="1"/>
  <c r="I1006" i="2" s="1"/>
  <c r="I1012" i="2" s="1"/>
  <c r="I1020" i="2" s="1"/>
  <c r="I1048" i="2" s="1"/>
  <c r="I1055" i="2" s="1"/>
  <c r="I1063" i="2" s="1"/>
  <c r="I1091" i="2" s="1"/>
  <c r="AX14" i="2"/>
  <c r="V75" i="2"/>
  <c r="V78" i="2"/>
  <c r="Q398" i="1"/>
  <c r="V90" i="2"/>
  <c r="V100" i="2"/>
  <c r="V106" i="2"/>
  <c r="AX116" i="2"/>
  <c r="AX76" i="2"/>
  <c r="AX163" i="2"/>
  <c r="V190" i="2"/>
  <c r="AX227" i="2"/>
  <c r="AX236" i="2"/>
  <c r="V219" i="2"/>
  <c r="AI378" i="1"/>
  <c r="V18" i="2"/>
  <c r="AI203" i="1"/>
  <c r="Q210" i="1"/>
  <c r="Q214" i="1"/>
  <c r="AI294" i="1"/>
  <c r="AI308" i="1"/>
  <c r="Q320" i="1"/>
  <c r="Q322" i="1"/>
  <c r="Q324" i="1"/>
  <c r="Q329" i="1"/>
  <c r="AC9" i="1"/>
  <c r="AD13" i="1"/>
  <c r="L24" i="1"/>
  <c r="AD57" i="1"/>
  <c r="AD123" i="1"/>
  <c r="L129" i="1"/>
  <c r="AD130" i="1"/>
  <c r="AD144" i="1"/>
  <c r="AD150" i="1"/>
  <c r="AI170" i="1"/>
  <c r="AI176" i="1"/>
  <c r="AI205" i="1"/>
  <c r="AI214" i="1"/>
  <c r="AI220" i="1"/>
  <c r="AI224" i="1"/>
  <c r="Q248" i="1"/>
  <c r="Q253" i="1"/>
  <c r="Q254" i="1"/>
  <c r="AI265" i="1"/>
  <c r="AI268" i="1"/>
  <c r="P309" i="1"/>
  <c r="AI364" i="1"/>
  <c r="AI372" i="1"/>
  <c r="V36" i="2"/>
  <c r="AX7" i="2"/>
  <c r="Q203" i="1"/>
  <c r="Q216" i="1"/>
  <c r="AD92" i="1"/>
  <c r="L97" i="1"/>
  <c r="L109" i="1"/>
  <c r="AA193" i="1"/>
  <c r="AA199" i="1" s="1"/>
  <c r="AA204" i="1" s="1"/>
  <c r="Q222" i="1"/>
  <c r="Q334" i="1"/>
  <c r="F153" i="1"/>
  <c r="X348" i="1"/>
  <c r="V37" i="2"/>
  <c r="V20" i="2"/>
  <c r="V32" i="2"/>
  <c r="V38" i="2"/>
  <c r="AX17" i="2"/>
  <c r="AX20" i="2"/>
  <c r="AX32" i="2"/>
  <c r="AW39" i="2"/>
  <c r="V55" i="2"/>
  <c r="AX56" i="2"/>
  <c r="AX60" i="2"/>
  <c r="AX62" i="2"/>
  <c r="AX69" i="2"/>
  <c r="V71" i="2"/>
  <c r="P81" i="2"/>
  <c r="AM81" i="2"/>
  <c r="AX49" i="2"/>
  <c r="AX33" i="2"/>
  <c r="AX34" i="2"/>
  <c r="V89" i="2"/>
  <c r="V92" i="2"/>
  <c r="AX92" i="2"/>
  <c r="V94" i="2"/>
  <c r="V104" i="2"/>
  <c r="AX109" i="2"/>
  <c r="V117" i="2"/>
  <c r="AW123" i="2"/>
  <c r="AX134" i="2"/>
  <c r="AX139" i="2"/>
  <c r="AX142" i="2"/>
  <c r="AX145" i="2"/>
  <c r="AX156" i="2"/>
  <c r="AX159" i="2"/>
  <c r="AH165" i="2"/>
  <c r="AW165" i="2"/>
  <c r="V142" i="2"/>
  <c r="V145" i="2"/>
  <c r="V148" i="2"/>
  <c r="V152" i="2"/>
  <c r="K165" i="2"/>
  <c r="AX174" i="2"/>
  <c r="AX177" i="2"/>
  <c r="AX181" i="2"/>
  <c r="V183" i="2"/>
  <c r="AX184" i="2"/>
  <c r="AX192" i="2"/>
  <c r="AX195" i="2"/>
  <c r="AX201" i="2"/>
  <c r="AX204" i="2"/>
  <c r="K207" i="2"/>
  <c r="AW207" i="2"/>
  <c r="AX221" i="2"/>
  <c r="AX225" i="2"/>
  <c r="AX237" i="2"/>
  <c r="AX240" i="2"/>
  <c r="AX244" i="2"/>
  <c r="AX215" i="2"/>
  <c r="V217" i="2"/>
  <c r="V220" i="2"/>
  <c r="V221" i="2"/>
  <c r="V225" i="2"/>
  <c r="V228" i="2"/>
  <c r="V231" i="2"/>
  <c r="V242" i="2"/>
  <c r="V243" i="2"/>
  <c r="AD18" i="1"/>
  <c r="L23" i="1"/>
  <c r="AD24" i="1"/>
  <c r="L56" i="1"/>
  <c r="P270" i="1"/>
  <c r="V17" i="2"/>
  <c r="AI82" i="2"/>
  <c r="AI88" i="2" s="1"/>
  <c r="AI96" i="2" s="1"/>
  <c r="AI124" i="2" s="1"/>
  <c r="AI130" i="2" s="1"/>
  <c r="AI138" i="2" s="1"/>
  <c r="AI166" i="2" s="1"/>
  <c r="AI172" i="2" s="1"/>
  <c r="AI180" i="2" s="1"/>
  <c r="AI208" i="2" s="1"/>
  <c r="AI214" i="2" s="1"/>
  <c r="AI222" i="2" s="1"/>
  <c r="AI250" i="2" s="1"/>
  <c r="AI256" i="2" s="1"/>
  <c r="AP82" i="2"/>
  <c r="AP88" i="2" s="1"/>
  <c r="AP96" i="2" s="1"/>
  <c r="AP124" i="2" s="1"/>
  <c r="AP130" i="2" s="1"/>
  <c r="AP138" i="2" s="1"/>
  <c r="AP166" i="2" s="1"/>
  <c r="AP172" i="2" s="1"/>
  <c r="AP180" i="2" s="1"/>
  <c r="AP208" i="2" s="1"/>
  <c r="AP214" i="2" s="1"/>
  <c r="AP222" i="2" s="1"/>
  <c r="AP250" i="2" s="1"/>
  <c r="AP256" i="2" s="1"/>
  <c r="AP264" i="2" s="1"/>
  <c r="AP292" i="2" s="1"/>
  <c r="AP298" i="2" s="1"/>
  <c r="AP306" i="2" s="1"/>
  <c r="AP334" i="2" s="1"/>
  <c r="AP340" i="2" s="1"/>
  <c r="AP348" i="2" s="1"/>
  <c r="AP376" i="2" s="1"/>
  <c r="AP382" i="2" s="1"/>
  <c r="AP390" i="2" s="1"/>
  <c r="AP418" i="2" s="1"/>
  <c r="AP424" i="2" s="1"/>
  <c r="AP432" i="2" s="1"/>
  <c r="AP460" i="2" s="1"/>
  <c r="AP466" i="2" s="1"/>
  <c r="AP474" i="2" s="1"/>
  <c r="AP502" i="2" s="1"/>
  <c r="AX191" i="2"/>
  <c r="AX197" i="2"/>
  <c r="V202" i="2"/>
  <c r="AX206" i="2"/>
  <c r="Q173" i="1"/>
  <c r="Q191" i="1"/>
  <c r="K39" i="2"/>
  <c r="AX15" i="2"/>
  <c r="AX21" i="2"/>
  <c r="AX36" i="2"/>
  <c r="AR39" i="2"/>
  <c r="AX53" i="2"/>
  <c r="AX57" i="2"/>
  <c r="V61" i="2"/>
  <c r="V64" i="2"/>
  <c r="V67" i="2"/>
  <c r="AX68" i="2"/>
  <c r="V70" i="2"/>
  <c r="AX71" i="2"/>
  <c r="V74" i="2"/>
  <c r="K81" i="2"/>
  <c r="AH81" i="2"/>
  <c r="AW81" i="2"/>
  <c r="AX24" i="2"/>
  <c r="AX89" i="2"/>
  <c r="AX93" i="2"/>
  <c r="V95" i="2"/>
  <c r="V98" i="2"/>
  <c r="V102" i="2"/>
  <c r="F123" i="2"/>
  <c r="AH123" i="2"/>
  <c r="AR123" i="2"/>
  <c r="AX144" i="2"/>
  <c r="AX147" i="2"/>
  <c r="AX158" i="2"/>
  <c r="AX161" i="2"/>
  <c r="AR165" i="2"/>
  <c r="V133" i="2"/>
  <c r="V140" i="2"/>
  <c r="V146" i="2"/>
  <c r="V154" i="2"/>
  <c r="AX175" i="2"/>
  <c r="V179" i="2"/>
  <c r="AX183" i="2"/>
  <c r="AX189" i="2"/>
  <c r="AX198" i="2"/>
  <c r="AX226" i="2"/>
  <c r="AX231" i="2"/>
  <c r="AX238" i="2"/>
  <c r="AX243" i="2"/>
  <c r="V215" i="2"/>
  <c r="V218" i="2"/>
  <c r="V224" i="2"/>
  <c r="V227" i="2"/>
  <c r="V234" i="2"/>
  <c r="V245" i="2"/>
  <c r="N193" i="1"/>
  <c r="N199" i="1" s="1"/>
  <c r="N204" i="1" s="1"/>
  <c r="N232" i="1" s="1"/>
  <c r="N238" i="1" s="1"/>
  <c r="N243" i="1" s="1"/>
  <c r="N271" i="1" s="1"/>
  <c r="N277" i="1" s="1"/>
  <c r="N282" i="1" s="1"/>
  <c r="N310" i="1" s="1"/>
  <c r="N316" i="1" s="1"/>
  <c r="N321" i="1" s="1"/>
  <c r="N349" i="1" s="1"/>
  <c r="N355" i="1" s="1"/>
  <c r="N360" i="1" s="1"/>
  <c r="N388" i="1" s="1"/>
  <c r="N394" i="1" s="1"/>
  <c r="N399" i="1" s="1"/>
  <c r="N427" i="1" s="1"/>
  <c r="Q263" i="1"/>
  <c r="Q386" i="1"/>
  <c r="R40" i="2"/>
  <c r="R46" i="2" s="1"/>
  <c r="R54" i="2" s="1"/>
  <c r="R82" i="2" s="1"/>
  <c r="R88" i="2" s="1"/>
  <c r="R96" i="2" s="1"/>
  <c r="R124" i="2" s="1"/>
  <c r="R130" i="2" s="1"/>
  <c r="R138" i="2" s="1"/>
  <c r="R166" i="2" s="1"/>
  <c r="R172" i="2" s="1"/>
  <c r="R180" i="2" s="1"/>
  <c r="R208" i="2" s="1"/>
  <c r="R214" i="2" s="1"/>
  <c r="R222" i="2" s="1"/>
  <c r="R250" i="2" s="1"/>
  <c r="R256" i="2" s="1"/>
  <c r="R264" i="2" s="1"/>
  <c r="R292" i="2" s="1"/>
  <c r="R298" i="2" s="1"/>
  <c r="R306" i="2" s="1"/>
  <c r="R334" i="2" s="1"/>
  <c r="R340" i="2" s="1"/>
  <c r="R348" i="2" s="1"/>
  <c r="R376" i="2" s="1"/>
  <c r="R382" i="2" s="1"/>
  <c r="R390" i="2" s="1"/>
  <c r="R418" i="2" s="1"/>
  <c r="R424" i="2" s="1"/>
  <c r="R432" i="2" s="1"/>
  <c r="R460" i="2" s="1"/>
  <c r="R466" i="2" s="1"/>
  <c r="R474" i="2" s="1"/>
  <c r="R502" i="2" s="1"/>
  <c r="R508" i="2" s="1"/>
  <c r="R516" i="2" s="1"/>
  <c r="R544" i="2" s="1"/>
  <c r="R550" i="2" s="1"/>
  <c r="R558" i="2" s="1"/>
  <c r="R586" i="2" s="1"/>
  <c r="R592" i="2" s="1"/>
  <c r="R600" i="2" s="1"/>
  <c r="R628" i="2" s="1"/>
  <c r="R634" i="2" s="1"/>
  <c r="R642" i="2" s="1"/>
  <c r="R670" i="2" s="1"/>
  <c r="R676" i="2" s="1"/>
  <c r="R684" i="2" s="1"/>
  <c r="R712" i="2" s="1"/>
  <c r="R718" i="2" s="1"/>
  <c r="R726" i="2" s="1"/>
  <c r="R754" i="2" s="1"/>
  <c r="R760" i="2" s="1"/>
  <c r="R768" i="2" s="1"/>
  <c r="R796" i="2" s="1"/>
  <c r="R802" i="2" s="1"/>
  <c r="R810" i="2" s="1"/>
  <c r="R838" i="2" s="1"/>
  <c r="R844" i="2" s="1"/>
  <c r="AX30" i="2"/>
  <c r="U81" i="2"/>
  <c r="AR81" i="2"/>
  <c r="AI411" i="1"/>
  <c r="AI419" i="1"/>
  <c r="AI420" i="1"/>
  <c r="AX80" i="2"/>
  <c r="V93" i="2"/>
  <c r="AX133" i="2"/>
  <c r="AX154" i="2"/>
  <c r="AX160" i="2"/>
  <c r="V134" i="2"/>
  <c r="AX245" i="2"/>
  <c r="V226" i="2"/>
  <c r="V229" i="2"/>
  <c r="V236" i="2"/>
  <c r="AE311" i="1"/>
  <c r="AE350" i="1" s="1"/>
  <c r="AE389" i="1" s="1"/>
  <c r="V76" i="1"/>
  <c r="V82" i="1" s="1"/>
  <c r="V87" i="1" s="1"/>
  <c r="V115" i="1" s="1"/>
  <c r="V121" i="1" s="1"/>
  <c r="V126" i="1" s="1"/>
  <c r="V154" i="1" s="1"/>
  <c r="AD96" i="1"/>
  <c r="L110" i="1"/>
  <c r="AI169" i="1"/>
  <c r="AI171" i="1"/>
  <c r="AI181" i="1"/>
  <c r="AI200" i="1"/>
  <c r="AI211" i="1"/>
  <c r="AI217" i="1"/>
  <c r="AI223" i="1"/>
  <c r="AI225" i="1"/>
  <c r="AI227" i="1"/>
  <c r="AI229" i="1"/>
  <c r="X231" i="1"/>
  <c r="P231" i="1"/>
  <c r="AI245" i="1"/>
  <c r="AI258" i="1"/>
  <c r="AI260" i="1"/>
  <c r="AI261" i="1"/>
  <c r="Q265" i="1"/>
  <c r="Q377" i="1"/>
  <c r="Q385" i="1"/>
  <c r="L40" i="2"/>
  <c r="L46" i="2" s="1"/>
  <c r="L54" i="2" s="1"/>
  <c r="L82" i="2" s="1"/>
  <c r="L88" i="2" s="1"/>
  <c r="L96" i="2" s="1"/>
  <c r="L124" i="2" s="1"/>
  <c r="L130" i="2" s="1"/>
  <c r="L138" i="2" s="1"/>
  <c r="L166" i="2" s="1"/>
  <c r="L172" i="2" s="1"/>
  <c r="P39" i="2"/>
  <c r="U12" i="2"/>
  <c r="AX19" i="2"/>
  <c r="AX51" i="2"/>
  <c r="AX58" i="2"/>
  <c r="AX61" i="2"/>
  <c r="AX64" i="2"/>
  <c r="AX67" i="2"/>
  <c r="V69" i="2"/>
  <c r="V72" i="2"/>
  <c r="F81" i="2"/>
  <c r="Q396" i="1"/>
  <c r="Q400" i="1"/>
  <c r="Q403" i="1"/>
  <c r="Q404" i="1"/>
  <c r="Q405" i="1"/>
  <c r="Q406" i="1"/>
  <c r="Q409" i="1"/>
  <c r="Q410" i="1"/>
  <c r="AI413" i="1"/>
  <c r="AI425" i="1"/>
  <c r="AX23" i="2"/>
  <c r="AX37" i="2"/>
  <c r="AX74" i="2"/>
  <c r="AX91" i="2"/>
  <c r="V97" i="2"/>
  <c r="AX98" i="2"/>
  <c r="AX101" i="2"/>
  <c r="AX107" i="2"/>
  <c r="AX110" i="2"/>
  <c r="V112" i="2"/>
  <c r="AX113" i="2"/>
  <c r="V115" i="2"/>
  <c r="V122" i="2"/>
  <c r="P123" i="2"/>
  <c r="AM123" i="2"/>
  <c r="AX152" i="2"/>
  <c r="AX157" i="2"/>
  <c r="AM165" i="2"/>
  <c r="AX119" i="2"/>
  <c r="V144" i="2"/>
  <c r="V150" i="2"/>
  <c r="V156" i="2"/>
  <c r="V184" i="2"/>
  <c r="AX224" i="2"/>
  <c r="AX230" i="2"/>
  <c r="AX233" i="2"/>
  <c r="AX239" i="2"/>
  <c r="AX242" i="2"/>
  <c r="V223" i="2"/>
  <c r="V235" i="2"/>
  <c r="V238" i="2"/>
  <c r="V241" i="2"/>
  <c r="V247" i="2"/>
  <c r="AT82" i="2"/>
  <c r="AT88" i="2" s="1"/>
  <c r="AT96" i="2" s="1"/>
  <c r="W76" i="1"/>
  <c r="W82" i="1" s="1"/>
  <c r="W87" i="1" s="1"/>
  <c r="W115" i="1" s="1"/>
  <c r="W121" i="1" s="1"/>
  <c r="W126" i="1" s="1"/>
  <c r="W154" i="1" s="1"/>
  <c r="AA232" i="1"/>
  <c r="AA238" i="1" s="1"/>
  <c r="AA243" i="1" s="1"/>
  <c r="AA271" i="1" s="1"/>
  <c r="AA277" i="1" s="1"/>
  <c r="AA282" i="1" s="1"/>
  <c r="AA310" i="1" s="1"/>
  <c r="AA316" i="1" s="1"/>
  <c r="AA321" i="1" s="1"/>
  <c r="AA349" i="1" s="1"/>
  <c r="AA355" i="1" s="1"/>
  <c r="AA360" i="1" s="1"/>
  <c r="AA388" i="1" s="1"/>
  <c r="AA394" i="1" s="1"/>
  <c r="AA399" i="1" s="1"/>
  <c r="AA427" i="1" s="1"/>
  <c r="AX234" i="2"/>
  <c r="AX246" i="2"/>
  <c r="P387" i="1"/>
  <c r="V28" i="2"/>
  <c r="V15" i="2"/>
  <c r="AC348" i="1"/>
  <c r="V7" i="2"/>
  <c r="AH426" i="1"/>
  <c r="K249" i="2"/>
  <c r="AX232" i="2"/>
  <c r="AW249" i="2"/>
  <c r="V233" i="2"/>
  <c r="U249" i="2"/>
  <c r="K165" i="1"/>
  <c r="L68" i="1"/>
  <c r="Q172" i="1"/>
  <c r="Q175" i="1"/>
  <c r="Q279" i="1"/>
  <c r="Q290" i="1"/>
  <c r="AI303" i="1"/>
  <c r="AI318" i="1"/>
  <c r="AI325" i="1"/>
  <c r="AI331" i="1"/>
  <c r="V25" i="2"/>
  <c r="V5" i="2"/>
  <c r="AX38" i="2"/>
  <c r="V193" i="2"/>
  <c r="V196" i="2"/>
  <c r="V199" i="2"/>
  <c r="AX203" i="2"/>
  <c r="V205" i="2"/>
  <c r="P207" i="2"/>
  <c r="Y193" i="1"/>
  <c r="Y199" i="1" s="1"/>
  <c r="Y204" i="1" s="1"/>
  <c r="Y232" i="1" s="1"/>
  <c r="Y238" i="1" s="1"/>
  <c r="Y243" i="1" s="1"/>
  <c r="Y271" i="1" s="1"/>
  <c r="Y277" i="1" s="1"/>
  <c r="Y282" i="1" s="1"/>
  <c r="M40" i="2"/>
  <c r="M46" i="2" s="1"/>
  <c r="M54" i="2" s="1"/>
  <c r="AQ40" i="2"/>
  <c r="AQ46" i="2" s="1"/>
  <c r="AQ54" i="2" s="1"/>
  <c r="AQ82" i="2" s="1"/>
  <c r="AQ88" i="2" s="1"/>
  <c r="AQ96" i="2" s="1"/>
  <c r="AQ124" i="2" s="1"/>
  <c r="AQ130" i="2" s="1"/>
  <c r="AQ138" i="2" s="1"/>
  <c r="AQ166" i="2" s="1"/>
  <c r="AQ172" i="2" s="1"/>
  <c r="AQ180" i="2" s="1"/>
  <c r="AQ208" i="2" s="1"/>
  <c r="AQ214" i="2" s="1"/>
  <c r="AQ222" i="2" s="1"/>
  <c r="AQ250" i="2" s="1"/>
  <c r="AQ256" i="2" s="1"/>
  <c r="AQ264" i="2" s="1"/>
  <c r="AQ292" i="2" s="1"/>
  <c r="AQ298" i="2" s="1"/>
  <c r="AQ306" i="2" s="1"/>
  <c r="AQ334" i="2" s="1"/>
  <c r="AQ340" i="2" s="1"/>
  <c r="V244" i="2"/>
  <c r="L4" i="1"/>
  <c r="AD110" i="1"/>
  <c r="L6" i="1"/>
  <c r="AD6" i="1"/>
  <c r="Q229" i="1"/>
  <c r="AM12" i="2"/>
  <c r="AD8" i="1"/>
  <c r="L124" i="1"/>
  <c r="AD135" i="1"/>
  <c r="L137" i="1"/>
  <c r="L140" i="1"/>
  <c r="AD143" i="1"/>
  <c r="L145" i="1"/>
  <c r="AD152" i="1"/>
  <c r="AI301" i="1"/>
  <c r="AI293" i="1"/>
  <c r="AI320" i="1"/>
  <c r="AI322" i="1"/>
  <c r="AI323" i="1"/>
  <c r="AI324" i="1"/>
  <c r="AI326" i="1"/>
  <c r="AI327" i="1"/>
  <c r="AI330" i="1"/>
  <c r="AI333" i="1"/>
  <c r="AI335" i="1"/>
  <c r="Q339" i="1"/>
  <c r="Q341" i="1"/>
  <c r="Q343" i="1"/>
  <c r="Q344" i="1"/>
  <c r="Q345" i="1"/>
  <c r="Q346" i="1"/>
  <c r="K348" i="1"/>
  <c r="Q359" i="1"/>
  <c r="Q361" i="1"/>
  <c r="Q365" i="1"/>
  <c r="Q368" i="1"/>
  <c r="Q373" i="1"/>
  <c r="D37" i="1"/>
  <c r="D43" i="1" s="1"/>
  <c r="D48" i="1" s="1"/>
  <c r="D76" i="1" s="1"/>
  <c r="D82" i="1" s="1"/>
  <c r="D87" i="1" s="1"/>
  <c r="D115" i="1" s="1"/>
  <c r="D121" i="1" s="1"/>
  <c r="D126" i="1" s="1"/>
  <c r="D154" i="1" s="1"/>
  <c r="K12" i="2"/>
  <c r="V10" i="2"/>
  <c r="V29" i="2"/>
  <c r="AX194" i="2"/>
  <c r="AX200" i="2"/>
  <c r="AM207" i="2"/>
  <c r="Q215" i="1"/>
  <c r="AI386" i="1"/>
  <c r="V31" i="2"/>
  <c r="L13" i="1"/>
  <c r="L31" i="1"/>
  <c r="L34" i="1"/>
  <c r="L112" i="1"/>
  <c r="L193" i="1"/>
  <c r="L199" i="1" s="1"/>
  <c r="L204" i="1" s="1"/>
  <c r="L232" i="1" s="1"/>
  <c r="L238" i="1" s="1"/>
  <c r="L243" i="1" s="1"/>
  <c r="Q227" i="1"/>
  <c r="AI380" i="1"/>
  <c r="V9" i="2"/>
  <c r="F75" i="1"/>
  <c r="AD25" i="1"/>
  <c r="AD28" i="1"/>
  <c r="F36" i="1"/>
  <c r="AD69" i="1"/>
  <c r="Q177" i="1"/>
  <c r="Q183" i="1"/>
  <c r="AC309" i="1"/>
  <c r="AI263" i="1"/>
  <c r="Q318" i="1"/>
  <c r="Q323" i="1"/>
  <c r="Q331" i="1"/>
  <c r="Q332" i="1"/>
  <c r="Q333" i="1"/>
  <c r="Q335" i="1"/>
  <c r="AI339" i="1"/>
  <c r="AI340" i="1"/>
  <c r="AI343" i="1"/>
  <c r="AI344" i="1"/>
  <c r="F9" i="1"/>
  <c r="Q200" i="1"/>
  <c r="Q209" i="1"/>
  <c r="Q225" i="1"/>
  <c r="Q239" i="1"/>
  <c r="Q246" i="1"/>
  <c r="Q251" i="1"/>
  <c r="Q256" i="1"/>
  <c r="Q257" i="1"/>
  <c r="Q259" i="1"/>
  <c r="Q261" i="1"/>
  <c r="X114" i="1"/>
  <c r="AD88" i="1"/>
  <c r="AC153" i="1"/>
  <c r="Q167" i="1"/>
  <c r="Q176" i="1"/>
  <c r="Q182" i="1"/>
  <c r="Q188" i="1"/>
  <c r="G193" i="1"/>
  <c r="G199" i="1" s="1"/>
  <c r="G204" i="1" s="1"/>
  <c r="G232" i="1" s="1"/>
  <c r="G238" i="1" s="1"/>
  <c r="P348" i="1"/>
  <c r="AX28" i="2"/>
  <c r="V105" i="2"/>
  <c r="AX131" i="2"/>
  <c r="V188" i="2"/>
  <c r="V191" i="2"/>
  <c r="V194" i="2"/>
  <c r="V197" i="2"/>
  <c r="V200" i="2"/>
  <c r="V203" i="2"/>
  <c r="AH207" i="2"/>
  <c r="AF232" i="1"/>
  <c r="AF238" i="1" s="1"/>
  <c r="AF243" i="1" s="1"/>
  <c r="AF271" i="1" s="1"/>
  <c r="AF277" i="1" s="1"/>
  <c r="AF282" i="1" s="1"/>
  <c r="AF310" i="1" s="1"/>
  <c r="AF316" i="1" s="1"/>
  <c r="AF321" i="1" s="1"/>
  <c r="AF349" i="1" s="1"/>
  <c r="AF355" i="1" s="1"/>
  <c r="AF360" i="1" s="1"/>
  <c r="AF388" i="1" s="1"/>
  <c r="AF394" i="1" s="1"/>
  <c r="AF399" i="1" s="1"/>
  <c r="AF427" i="1" s="1"/>
  <c r="P12" i="2"/>
  <c r="AD91" i="1"/>
  <c r="L93" i="1"/>
  <c r="AD94" i="1"/>
  <c r="AD100" i="1"/>
  <c r="AD106" i="1"/>
  <c r="L108" i="1"/>
  <c r="L141" i="1"/>
  <c r="Q174" i="1"/>
  <c r="Q180" i="1"/>
  <c r="Q186" i="1"/>
  <c r="Q161" i="1"/>
  <c r="Q201" i="1"/>
  <c r="Q208" i="1"/>
  <c r="AO40" i="2"/>
  <c r="AO46" i="2" s="1"/>
  <c r="AO54" i="2" s="1"/>
  <c r="AO82" i="2" s="1"/>
  <c r="AO88" i="2" s="1"/>
  <c r="AO96" i="2" s="1"/>
  <c r="AO124" i="2" s="1"/>
  <c r="AO130" i="2" s="1"/>
  <c r="AO138" i="2" s="1"/>
  <c r="AO166" i="2" s="1"/>
  <c r="AO172" i="2" s="1"/>
  <c r="AO180" i="2" s="1"/>
  <c r="AO208" i="2" s="1"/>
  <c r="AO214" i="2" s="1"/>
  <c r="AO222" i="2" s="1"/>
  <c r="AO250" i="2" s="1"/>
  <c r="AO256" i="2" s="1"/>
  <c r="AO264" i="2" s="1"/>
  <c r="AO292" i="2" s="1"/>
  <c r="AO298" i="2" s="1"/>
  <c r="AO306" i="2" s="1"/>
  <c r="AO334" i="2" s="1"/>
  <c r="AO340" i="2" s="1"/>
  <c r="AO348" i="2" s="1"/>
  <c r="AO376" i="2" s="1"/>
  <c r="AO382" i="2" s="1"/>
  <c r="AO390" i="2" s="1"/>
  <c r="AO418" i="2" s="1"/>
  <c r="AO424" i="2" s="1"/>
  <c r="AO432" i="2" s="1"/>
  <c r="AO460" i="2" s="1"/>
  <c r="AO466" i="2" s="1"/>
  <c r="AO474" i="2" s="1"/>
  <c r="AO502" i="2" s="1"/>
  <c r="AR12" i="2"/>
  <c r="AH12" i="2"/>
  <c r="E37" i="1"/>
  <c r="E43" i="1" s="1"/>
  <c r="E48" i="1" s="1"/>
  <c r="E76" i="1" s="1"/>
  <c r="E82" i="1" s="1"/>
  <c r="E87" i="1" s="1"/>
  <c r="E115" i="1" s="1"/>
  <c r="E121" i="1" s="1"/>
  <c r="E126" i="1" s="1"/>
  <c r="E154" i="1" s="1"/>
  <c r="AN40" i="2"/>
  <c r="AN46" i="2" s="1"/>
  <c r="AN54" i="2" s="1"/>
  <c r="AN82" i="2" s="1"/>
  <c r="L10" i="1"/>
  <c r="AD11" i="1"/>
  <c r="AD14" i="1"/>
  <c r="L16" i="1"/>
  <c r="L19" i="1"/>
  <c r="L26" i="1"/>
  <c r="AD30" i="1"/>
  <c r="L35" i="1"/>
  <c r="L46" i="1"/>
  <c r="L53" i="1"/>
  <c r="AD67" i="1"/>
  <c r="L58" i="1"/>
  <c r="F114" i="1"/>
  <c r="AC114" i="1"/>
  <c r="C193" i="1"/>
  <c r="C199" i="1" s="1"/>
  <c r="C204" i="1" s="1"/>
  <c r="C232" i="1" s="1"/>
  <c r="C238" i="1" s="1"/>
  <c r="C243" i="1" s="1"/>
  <c r="C271" i="1" s="1"/>
  <c r="C277" i="1" s="1"/>
  <c r="C282" i="1" s="1"/>
  <c r="C310" i="1" s="1"/>
  <c r="C316" i="1" s="1"/>
  <c r="C321" i="1" s="1"/>
  <c r="C349" i="1" s="1"/>
  <c r="C355" i="1" s="1"/>
  <c r="C360" i="1" s="1"/>
  <c r="C388" i="1" s="1"/>
  <c r="C394" i="1" s="1"/>
  <c r="C399" i="1" s="1"/>
  <c r="C427" i="1" s="1"/>
  <c r="V311" i="1"/>
  <c r="Q230" i="1"/>
  <c r="K231" i="1"/>
  <c r="AI241" i="1"/>
  <c r="AI244" i="1"/>
  <c r="AI247" i="1"/>
  <c r="AI248" i="1"/>
  <c r="AI249" i="1"/>
  <c r="AI253" i="1"/>
  <c r="AI259" i="1"/>
  <c r="Q269" i="1"/>
  <c r="K270" i="1"/>
  <c r="Y311" i="1"/>
  <c r="AF311" i="1"/>
  <c r="AF350" i="1" s="1"/>
  <c r="AF389" i="1" s="1"/>
  <c r="AI210" i="1"/>
  <c r="AI208" i="1"/>
  <c r="Q278" i="1"/>
  <c r="Q280" i="1"/>
  <c r="Q285" i="1"/>
  <c r="Q293" i="1"/>
  <c r="Q295" i="1"/>
  <c r="Q299" i="1"/>
  <c r="Q301" i="1"/>
  <c r="Q303" i="1"/>
  <c r="AI285" i="1"/>
  <c r="AI296" i="1"/>
  <c r="AI298" i="1"/>
  <c r="AI302" i="1"/>
  <c r="AI304" i="1"/>
  <c r="W311" i="1"/>
  <c r="V14" i="2"/>
  <c r="Q421" i="1"/>
  <c r="Q423" i="1"/>
  <c r="AX228" i="2"/>
  <c r="AD4" i="1"/>
  <c r="Z37" i="1"/>
  <c r="Z43" i="1" s="1"/>
  <c r="Z48" i="1" s="1"/>
  <c r="Z76" i="1" s="1"/>
  <c r="Z82" i="1" s="1"/>
  <c r="Z87" i="1" s="1"/>
  <c r="Z115" i="1" s="1"/>
  <c r="Z121" i="1" s="1"/>
  <c r="Z126" i="1" s="1"/>
  <c r="Z154" i="1" s="1"/>
  <c r="L52" i="1"/>
  <c r="L61" i="1"/>
  <c r="L64" i="1"/>
  <c r="L70" i="1"/>
  <c r="AD54" i="1"/>
  <c r="AD60" i="1"/>
  <c r="AD68" i="1"/>
  <c r="AD84" i="1"/>
  <c r="L95" i="1"/>
  <c r="L98" i="1"/>
  <c r="AD99" i="1"/>
  <c r="AD102" i="1"/>
  <c r="AD108" i="1"/>
  <c r="AD125" i="1"/>
  <c r="L131" i="1"/>
  <c r="AD149" i="1"/>
  <c r="L151" i="1"/>
  <c r="Q184" i="1"/>
  <c r="Q190" i="1"/>
  <c r="U193" i="1"/>
  <c r="U199" i="1" s="1"/>
  <c r="U204" i="1" s="1"/>
  <c r="AI188" i="1"/>
  <c r="X192" i="1"/>
  <c r="Q212" i="1"/>
  <c r="Q224" i="1"/>
  <c r="Q381" i="1"/>
  <c r="K387" i="1"/>
  <c r="V11" i="2"/>
  <c r="V33" i="2"/>
  <c r="V6" i="2"/>
  <c r="U311" i="1"/>
  <c r="Q286" i="1"/>
  <c r="Q288" i="1"/>
  <c r="Q292" i="1"/>
  <c r="Q296" i="1"/>
  <c r="Q298" i="1"/>
  <c r="Q300" i="1"/>
  <c r="Q306" i="1"/>
  <c r="Q308" i="1"/>
  <c r="AI281" i="1"/>
  <c r="AI292" i="1"/>
  <c r="AI299" i="1"/>
  <c r="C40" i="2"/>
  <c r="C46" i="2" s="1"/>
  <c r="C54" i="2" s="1"/>
  <c r="C82" i="2" s="1"/>
  <c r="C88" i="2" s="1"/>
  <c r="C96" i="2" s="1"/>
  <c r="C124" i="2" s="1"/>
  <c r="C130" i="2" s="1"/>
  <c r="C138" i="2" s="1"/>
  <c r="C166" i="2" s="1"/>
  <c r="C172" i="2" s="1"/>
  <c r="C180" i="2" s="1"/>
  <c r="C208" i="2" s="1"/>
  <c r="C214" i="2" s="1"/>
  <c r="C222" i="2" s="1"/>
  <c r="C250" i="2" s="1"/>
  <c r="C256" i="2" s="1"/>
  <c r="C264" i="2" s="1"/>
  <c r="C292" i="2" s="1"/>
  <c r="C298" i="2" s="1"/>
  <c r="C306" i="2" s="1"/>
  <c r="C334" i="2" s="1"/>
  <c r="C340" i="2" s="1"/>
  <c r="C348" i="2" s="1"/>
  <c r="C376" i="2" s="1"/>
  <c r="C382" i="2" s="1"/>
  <c r="C390" i="2" s="1"/>
  <c r="C418" i="2" s="1"/>
  <c r="C424" i="2" s="1"/>
  <c r="C432" i="2" s="1"/>
  <c r="C460" i="2" s="1"/>
  <c r="C466" i="2" s="1"/>
  <c r="C474" i="2" s="1"/>
  <c r="C502" i="2" s="1"/>
  <c r="C508" i="2" s="1"/>
  <c r="C516" i="2" s="1"/>
  <c r="C544" i="2" s="1"/>
  <c r="C550" i="2" s="1"/>
  <c r="C558" i="2" s="1"/>
  <c r="C586" i="2" s="1"/>
  <c r="C592" i="2" s="1"/>
  <c r="H40" i="2"/>
  <c r="H46" i="2" s="1"/>
  <c r="H54" i="2" s="1"/>
  <c r="S40" i="2"/>
  <c r="S46" i="2" s="1"/>
  <c r="S54" i="2" s="1"/>
  <c r="S82" i="2" s="1"/>
  <c r="S88" i="2" s="1"/>
  <c r="S96" i="2" s="1"/>
  <c r="S124" i="2" s="1"/>
  <c r="S130" i="2" s="1"/>
  <c r="S138" i="2" s="1"/>
  <c r="S166" i="2" s="1"/>
  <c r="S172" i="2" s="1"/>
  <c r="S180" i="2" s="1"/>
  <c r="S208" i="2" s="1"/>
  <c r="S214" i="2" s="1"/>
  <c r="S222" i="2" s="1"/>
  <c r="S250" i="2" s="1"/>
  <c r="S256" i="2" s="1"/>
  <c r="S264" i="2" s="1"/>
  <c r="S292" i="2" s="1"/>
  <c r="S298" i="2" s="1"/>
  <c r="S306" i="2" s="1"/>
  <c r="S334" i="2" s="1"/>
  <c r="S340" i="2" s="1"/>
  <c r="S348" i="2" s="1"/>
  <c r="S376" i="2" s="1"/>
  <c r="S382" i="2" s="1"/>
  <c r="S390" i="2" s="1"/>
  <c r="S418" i="2" s="1"/>
  <c r="S424" i="2" s="1"/>
  <c r="S432" i="2" s="1"/>
  <c r="S460" i="2" s="1"/>
  <c r="S466" i="2" s="1"/>
  <c r="S474" i="2" s="1"/>
  <c r="S502" i="2" s="1"/>
  <c r="S508" i="2" s="1"/>
  <c r="S516" i="2" s="1"/>
  <c r="S544" i="2" s="1"/>
  <c r="S550" i="2" s="1"/>
  <c r="S558" i="2" s="1"/>
  <c r="S586" i="2" s="1"/>
  <c r="S592" i="2" s="1"/>
  <c r="S600" i="2" s="1"/>
  <c r="S628" i="2" s="1"/>
  <c r="S634" i="2" s="1"/>
  <c r="S642" i="2" s="1"/>
  <c r="S670" i="2" s="1"/>
  <c r="S676" i="2" s="1"/>
  <c r="S684" i="2" s="1"/>
  <c r="S712" i="2" s="1"/>
  <c r="S718" i="2" s="1"/>
  <c r="S726" i="2" s="1"/>
  <c r="S754" i="2" s="1"/>
  <c r="S760" i="2" s="1"/>
  <c r="S768" i="2" s="1"/>
  <c r="S796" i="2" s="1"/>
  <c r="S802" i="2" s="1"/>
  <c r="S810" i="2" s="1"/>
  <c r="S838" i="2" s="1"/>
  <c r="S844" i="2" s="1"/>
  <c r="S852" i="2" s="1"/>
  <c r="S880" i="2" s="1"/>
  <c r="S886" i="2" s="1"/>
  <c r="S894" i="2" s="1"/>
  <c r="S922" i="2" s="1"/>
  <c r="S928" i="2" s="1"/>
  <c r="S936" i="2" s="1"/>
  <c r="S964" i="2" s="1"/>
  <c r="S970" i="2" s="1"/>
  <c r="S978" i="2" s="1"/>
  <c r="S1006" i="2" s="1"/>
  <c r="S1012" i="2" s="1"/>
  <c r="S1020" i="2" s="1"/>
  <c r="S1048" i="2" s="1"/>
  <c r="S1055" i="2" s="1"/>
  <c r="S1063" i="2" s="1"/>
  <c r="S1091" i="2" s="1"/>
  <c r="AI422" i="1"/>
  <c r="V141" i="2"/>
  <c r="V147" i="2"/>
  <c r="V153" i="2"/>
  <c r="V159" i="2"/>
  <c r="F165" i="2"/>
  <c r="AX178" i="2"/>
  <c r="AX182" i="2"/>
  <c r="AX185" i="2"/>
  <c r="T37" i="1"/>
  <c r="T43" i="1" s="1"/>
  <c r="T48" i="1" s="1"/>
  <c r="T76" i="1" s="1"/>
  <c r="T82" i="1" s="1"/>
  <c r="AD10" i="1"/>
  <c r="L12" i="1"/>
  <c r="AD35" i="1"/>
  <c r="L57" i="1"/>
  <c r="K75" i="1"/>
  <c r="AD52" i="1"/>
  <c r="AD55" i="1"/>
  <c r="AD61" i="1"/>
  <c r="AD70" i="1"/>
  <c r="L84" i="1"/>
  <c r="AD85" i="1"/>
  <c r="L88" i="1"/>
  <c r="AD95" i="1"/>
  <c r="L103" i="1"/>
  <c r="AD104" i="1"/>
  <c r="L106" i="1"/>
  <c r="AD107" i="1"/>
  <c r="L122" i="1"/>
  <c r="Q168" i="1"/>
  <c r="AC165" i="1"/>
  <c r="AD193" i="1"/>
  <c r="AD199" i="1" s="1"/>
  <c r="AD204" i="1" s="1"/>
  <c r="AD232" i="1" s="1"/>
  <c r="AD238" i="1" s="1"/>
  <c r="AD243" i="1" s="1"/>
  <c r="AD271" i="1" s="1"/>
  <c r="AD277" i="1" s="1"/>
  <c r="AD282" i="1" s="1"/>
  <c r="AI167" i="1"/>
  <c r="AI173" i="1"/>
  <c r="AI175" i="1"/>
  <c r="AI183" i="1"/>
  <c r="Q217" i="1"/>
  <c r="AI376" i="1"/>
  <c r="AI377" i="1"/>
  <c r="AI379" i="1"/>
  <c r="AI381" i="1"/>
  <c r="AI384" i="1"/>
  <c r="D40" i="2"/>
  <c r="D46" i="2" s="1"/>
  <c r="D54" i="2" s="1"/>
  <c r="D82" i="2" s="1"/>
  <c r="D88" i="2" s="1"/>
  <c r="D96" i="2" s="1"/>
  <c r="D124" i="2" s="1"/>
  <c r="D130" i="2" s="1"/>
  <c r="D138" i="2" s="1"/>
  <c r="D166" i="2" s="1"/>
  <c r="D172" i="2" s="1"/>
  <c r="D180" i="2" s="1"/>
  <c r="D208" i="2" s="1"/>
  <c r="D214" i="2" s="1"/>
  <c r="D222" i="2" s="1"/>
  <c r="D250" i="2" s="1"/>
  <c r="D256" i="2" s="1"/>
  <c r="D264" i="2" s="1"/>
  <c r="D292" i="2" s="1"/>
  <c r="D298" i="2" s="1"/>
  <c r="D306" i="2" s="1"/>
  <c r="D334" i="2" s="1"/>
  <c r="D340" i="2" s="1"/>
  <c r="D348" i="2" s="1"/>
  <c r="D376" i="2" s="1"/>
  <c r="D382" i="2" s="1"/>
  <c r="D390" i="2" s="1"/>
  <c r="D418" i="2" s="1"/>
  <c r="D424" i="2" s="1"/>
  <c r="D432" i="2" s="1"/>
  <c r="D460" i="2" s="1"/>
  <c r="D466" i="2" s="1"/>
  <c r="D474" i="2" s="1"/>
  <c r="D502" i="2" s="1"/>
  <c r="D508" i="2" s="1"/>
  <c r="D516" i="2" s="1"/>
  <c r="D544" i="2" s="1"/>
  <c r="D550" i="2" s="1"/>
  <c r="D558" i="2" s="1"/>
  <c r="D586" i="2" s="1"/>
  <c r="D592" i="2" s="1"/>
  <c r="D600" i="2" s="1"/>
  <c r="D628" i="2" s="1"/>
  <c r="D634" i="2" s="1"/>
  <c r="D642" i="2" s="1"/>
  <c r="D670" i="2" s="1"/>
  <c r="D676" i="2" s="1"/>
  <c r="D684" i="2" s="1"/>
  <c r="D712" i="2" s="1"/>
  <c r="D718" i="2" s="1"/>
  <c r="V35" i="2"/>
  <c r="N40" i="2"/>
  <c r="N46" i="2" s="1"/>
  <c r="N54" i="2" s="1"/>
  <c r="N82" i="2" s="1"/>
  <c r="N88" i="2" s="1"/>
  <c r="N96" i="2" s="1"/>
  <c r="N124" i="2" s="1"/>
  <c r="N130" i="2" s="1"/>
  <c r="N138" i="2" s="1"/>
  <c r="N166" i="2" s="1"/>
  <c r="N172" i="2" s="1"/>
  <c r="N180" i="2" s="1"/>
  <c r="N208" i="2" s="1"/>
  <c r="N214" i="2" s="1"/>
  <c r="N222" i="2" s="1"/>
  <c r="N250" i="2" s="1"/>
  <c r="N256" i="2" s="1"/>
  <c r="N264" i="2" s="1"/>
  <c r="N292" i="2" s="1"/>
  <c r="N298" i="2" s="1"/>
  <c r="N306" i="2" s="1"/>
  <c r="N334" i="2" s="1"/>
  <c r="N340" i="2" s="1"/>
  <c r="N348" i="2" s="1"/>
  <c r="N376" i="2" s="1"/>
  <c r="N382" i="2" s="1"/>
  <c r="N390" i="2" s="1"/>
  <c r="N418" i="2" s="1"/>
  <c r="N424" i="2" s="1"/>
  <c r="N432" i="2" s="1"/>
  <c r="N460" i="2" s="1"/>
  <c r="N466" i="2" s="1"/>
  <c r="N474" i="2" s="1"/>
  <c r="Q417" i="1"/>
  <c r="AX102" i="2"/>
  <c r="AX108" i="2"/>
  <c r="AH249" i="2"/>
  <c r="X309" i="1"/>
  <c r="M165" i="1"/>
  <c r="L7" i="1"/>
  <c r="AH270" i="1"/>
  <c r="Q185" i="1"/>
  <c r="K192" i="1"/>
  <c r="G37" i="1"/>
  <c r="G43" i="1" s="1"/>
  <c r="G48" i="1" s="1"/>
  <c r="G76" i="1" s="1"/>
  <c r="G82" i="1" s="1"/>
  <c r="G87" i="1" s="1"/>
  <c r="AI374" i="1"/>
  <c r="V30" i="2"/>
  <c r="AC192" i="1"/>
  <c r="AB311" i="1"/>
  <c r="AX47" i="2"/>
  <c r="V73" i="2"/>
  <c r="AX153" i="2"/>
  <c r="V176" i="2"/>
  <c r="AD5" i="1"/>
  <c r="AD17" i="1"/>
  <c r="L22" i="1"/>
  <c r="AD33" i="1"/>
  <c r="L73" i="1"/>
  <c r="X75" i="1"/>
  <c r="L101" i="1"/>
  <c r="L107" i="1"/>
  <c r="AD141" i="1"/>
  <c r="J193" i="1"/>
  <c r="J199" i="1" s="1"/>
  <c r="J204" i="1" s="1"/>
  <c r="J232" i="1" s="1"/>
  <c r="J238" i="1" s="1"/>
  <c r="J243" i="1" s="1"/>
  <c r="J271" i="1" s="1"/>
  <c r="J277" i="1" s="1"/>
  <c r="J282" i="1" s="1"/>
  <c r="J310" i="1" s="1"/>
  <c r="J316" i="1" s="1"/>
  <c r="J321" i="1" s="1"/>
  <c r="J349" i="1" s="1"/>
  <c r="J355" i="1" s="1"/>
  <c r="J360" i="1" s="1"/>
  <c r="J388" i="1" s="1"/>
  <c r="J394" i="1" s="1"/>
  <c r="J399" i="1" s="1"/>
  <c r="J427" i="1" s="1"/>
  <c r="AI177" i="1"/>
  <c r="AG193" i="1"/>
  <c r="AG199" i="1" s="1"/>
  <c r="AG204" i="1" s="1"/>
  <c r="AG232" i="1" s="1"/>
  <c r="AG238" i="1" s="1"/>
  <c r="AG243" i="1" s="1"/>
  <c r="AG271" i="1" s="1"/>
  <c r="AG277" i="1" s="1"/>
  <c r="AG282" i="1" s="1"/>
  <c r="AG310" i="1" s="1"/>
  <c r="AG316" i="1" s="1"/>
  <c r="AG321" i="1" s="1"/>
  <c r="AG349" i="1" s="1"/>
  <c r="AG355" i="1" s="1"/>
  <c r="AG360" i="1" s="1"/>
  <c r="AG388" i="1" s="1"/>
  <c r="AG394" i="1" s="1"/>
  <c r="AG399" i="1" s="1"/>
  <c r="AG427" i="1" s="1"/>
  <c r="AI206" i="1"/>
  <c r="AI213" i="1"/>
  <c r="AI251" i="1"/>
  <c r="AI254" i="1"/>
  <c r="AI256" i="1"/>
  <c r="Q266" i="1"/>
  <c r="Q294" i="1"/>
  <c r="Q304" i="1"/>
  <c r="AI279" i="1"/>
  <c r="AI317" i="1"/>
  <c r="AI319" i="1"/>
  <c r="AI328" i="1"/>
  <c r="AI329" i="1"/>
  <c r="AI332" i="1"/>
  <c r="AI336" i="1"/>
  <c r="Q342" i="1"/>
  <c r="Q347" i="1"/>
  <c r="AI368" i="1"/>
  <c r="AI371" i="1"/>
  <c r="X387" i="1"/>
  <c r="E40" i="2"/>
  <c r="E46" i="2" s="1"/>
  <c r="E54" i="2" s="1"/>
  <c r="E82" i="2" s="1"/>
  <c r="E88" i="2" s="1"/>
  <c r="E96" i="2" s="1"/>
  <c r="E124" i="2" s="1"/>
  <c r="E130" i="2" s="1"/>
  <c r="E138" i="2" s="1"/>
  <c r="E166" i="2" s="1"/>
  <c r="E172" i="2" s="1"/>
  <c r="E180" i="2" s="1"/>
  <c r="E208" i="2" s="1"/>
  <c r="E214" i="2" s="1"/>
  <c r="E222" i="2" s="1"/>
  <c r="E250" i="2" s="1"/>
  <c r="E256" i="2" s="1"/>
  <c r="E264" i="2" s="1"/>
  <c r="E292" i="2" s="1"/>
  <c r="E298" i="2" s="1"/>
  <c r="E306" i="2" s="1"/>
  <c r="E334" i="2" s="1"/>
  <c r="E340" i="2" s="1"/>
  <c r="E348" i="2" s="1"/>
  <c r="E376" i="2" s="1"/>
  <c r="E382" i="2" s="1"/>
  <c r="E390" i="2" s="1"/>
  <c r="E418" i="2" s="1"/>
  <c r="E424" i="2" s="1"/>
  <c r="E432" i="2" s="1"/>
  <c r="E460" i="2" s="1"/>
  <c r="E466" i="2" s="1"/>
  <c r="E474" i="2" s="1"/>
  <c r="E502" i="2" s="1"/>
  <c r="E508" i="2" s="1"/>
  <c r="E516" i="2" s="1"/>
  <c r="E544" i="2" s="1"/>
  <c r="E550" i="2" s="1"/>
  <c r="E558" i="2" s="1"/>
  <c r="E586" i="2" s="1"/>
  <c r="E592" i="2" s="1"/>
  <c r="E600" i="2" s="1"/>
  <c r="E628" i="2" s="1"/>
  <c r="E634" i="2" s="1"/>
  <c r="E642" i="2" s="1"/>
  <c r="E670" i="2" s="1"/>
  <c r="E676" i="2" s="1"/>
  <c r="E684" i="2" s="1"/>
  <c r="E712" i="2" s="1"/>
  <c r="E718" i="2" s="1"/>
  <c r="E726" i="2" s="1"/>
  <c r="E754" i="2" s="1"/>
  <c r="E760" i="2" s="1"/>
  <c r="AX13" i="2"/>
  <c r="AX18" i="2"/>
  <c r="AX29" i="2"/>
  <c r="AH39" i="2"/>
  <c r="V53" i="2"/>
  <c r="V57" i="2"/>
  <c r="V63" i="2"/>
  <c r="Q401" i="1"/>
  <c r="Q402" i="1"/>
  <c r="Q408" i="1"/>
  <c r="AI423" i="1"/>
  <c r="AX78" i="2"/>
  <c r="AX104" i="2"/>
  <c r="AX143" i="2"/>
  <c r="AX149" i="2"/>
  <c r="V132" i="2"/>
  <c r="V139" i="2"/>
  <c r="V151" i="2"/>
  <c r="V157" i="2"/>
  <c r="V177" i="2"/>
  <c r="Q228" i="1"/>
  <c r="Q416" i="1"/>
  <c r="Q420" i="1"/>
  <c r="AR249" i="2"/>
  <c r="AD7" i="1"/>
  <c r="X36" i="1"/>
  <c r="L47" i="1"/>
  <c r="L60" i="1"/>
  <c r="L111" i="1"/>
  <c r="AD133" i="1"/>
  <c r="AD136" i="1"/>
  <c r="AB193" i="1"/>
  <c r="AB199" i="1" s="1"/>
  <c r="AB204" i="1" s="1"/>
  <c r="AB232" i="1" s="1"/>
  <c r="AB238" i="1" s="1"/>
  <c r="AB243" i="1" s="1"/>
  <c r="AB271" i="1" s="1"/>
  <c r="AB277" i="1" s="1"/>
  <c r="AB282" i="1" s="1"/>
  <c r="AB310" i="1" s="1"/>
  <c r="AB316" i="1" s="1"/>
  <c r="AB321" i="1" s="1"/>
  <c r="AB349" i="1" s="1"/>
  <c r="AB355" i="1" s="1"/>
  <c r="AB360" i="1" s="1"/>
  <c r="AB388" i="1" s="1"/>
  <c r="AB394" i="1" s="1"/>
  <c r="AB399" i="1" s="1"/>
  <c r="AB427" i="1" s="1"/>
  <c r="AI190" i="1"/>
  <c r="AC231" i="1"/>
  <c r="X270" i="1"/>
  <c r="AI269" i="1"/>
  <c r="Q291" i="1"/>
  <c r="AI289" i="1"/>
  <c r="Q317" i="1"/>
  <c r="Q325" i="1"/>
  <c r="Q337" i="1"/>
  <c r="AI345" i="1"/>
  <c r="AI346" i="1"/>
  <c r="AI347" i="1"/>
  <c r="Q357" i="1"/>
  <c r="Q362" i="1"/>
  <c r="Q366" i="1"/>
  <c r="Q374" i="1"/>
  <c r="Q375" i="1"/>
  <c r="Q378" i="1"/>
  <c r="Q382" i="1"/>
  <c r="V27" i="2"/>
  <c r="U39" i="2"/>
  <c r="AX4" i="2"/>
  <c r="AX10" i="2"/>
  <c r="AX11" i="2"/>
  <c r="V51" i="2"/>
  <c r="AX63" i="2"/>
  <c r="V68" i="2"/>
  <c r="V77" i="2"/>
  <c r="AI408" i="1"/>
  <c r="Q413" i="1"/>
  <c r="F426" i="1"/>
  <c r="AX48" i="2"/>
  <c r="AD12" i="1"/>
  <c r="AD26" i="1"/>
  <c r="AD32" i="1"/>
  <c r="AD45" i="1"/>
  <c r="AD72" i="1"/>
  <c r="AD83" i="1"/>
  <c r="AD89" i="1"/>
  <c r="L94" i="1"/>
  <c r="L100" i="1"/>
  <c r="L128" i="1"/>
  <c r="L134" i="1"/>
  <c r="L143" i="1"/>
  <c r="L146" i="1"/>
  <c r="AD147" i="1"/>
  <c r="W193" i="1"/>
  <c r="W199" i="1" s="1"/>
  <c r="W204" i="1" s="1"/>
  <c r="W232" i="1" s="1"/>
  <c r="W238" i="1" s="1"/>
  <c r="W243" i="1" s="1"/>
  <c r="W271" i="1" s="1"/>
  <c r="W277" i="1" s="1"/>
  <c r="W282" i="1" s="1"/>
  <c r="W310" i="1" s="1"/>
  <c r="W316" i="1" s="1"/>
  <c r="W321" i="1" s="1"/>
  <c r="W349" i="1" s="1"/>
  <c r="W355" i="1" s="1"/>
  <c r="W360" i="1" s="1"/>
  <c r="W388" i="1" s="1"/>
  <c r="W394" i="1" s="1"/>
  <c r="W399" i="1" s="1"/>
  <c r="W427" i="1" s="1"/>
  <c r="AI163" i="1"/>
  <c r="T193" i="1"/>
  <c r="T199" i="1" s="1"/>
  <c r="T204" i="1" s="1"/>
  <c r="T232" i="1" s="1"/>
  <c r="T238" i="1" s="1"/>
  <c r="T243" i="1" s="1"/>
  <c r="T271" i="1" s="1"/>
  <c r="T277" i="1" s="1"/>
  <c r="T282" i="1" s="1"/>
  <c r="T310" i="1" s="1"/>
  <c r="T316" i="1" s="1"/>
  <c r="AI172" i="1"/>
  <c r="AI180" i="1"/>
  <c r="AI218" i="1"/>
  <c r="AI240" i="1"/>
  <c r="Q281" i="1"/>
  <c r="Q284" i="1"/>
  <c r="Q302" i="1"/>
  <c r="AI288" i="1"/>
  <c r="AI297" i="1"/>
  <c r="AI305" i="1"/>
  <c r="AA311" i="1"/>
  <c r="AI264" i="1"/>
  <c r="AI358" i="1"/>
  <c r="AI362" i="1"/>
  <c r="AI363" i="1"/>
  <c r="Q380" i="1"/>
  <c r="Q383" i="1"/>
  <c r="Q384" i="1"/>
  <c r="AX6" i="2"/>
  <c r="AJ40" i="2"/>
  <c r="AJ46" i="2" s="1"/>
  <c r="AX16" i="2"/>
  <c r="AX22" i="2"/>
  <c r="AX35" i="2"/>
  <c r="V52" i="2"/>
  <c r="V59" i="2"/>
  <c r="V62" i="2"/>
  <c r="K426" i="1"/>
  <c r="AX95" i="2"/>
  <c r="AX105" i="2"/>
  <c r="AX111" i="2"/>
  <c r="V119" i="2"/>
  <c r="K123" i="2"/>
  <c r="AX121" i="2"/>
  <c r="V131" i="2"/>
  <c r="V137" i="2"/>
  <c r="V162" i="2"/>
  <c r="U165" i="2"/>
  <c r="V174" i="2"/>
  <c r="V216" i="2"/>
  <c r="AI412" i="1"/>
  <c r="AI410" i="1"/>
  <c r="AX106" i="2"/>
  <c r="V111" i="2"/>
  <c r="AX112" i="2"/>
  <c r="AX122" i="2"/>
  <c r="V175" i="2"/>
  <c r="AX219" i="2"/>
  <c r="L5" i="1"/>
  <c r="L8" i="1"/>
  <c r="AD21" i="1"/>
  <c r="L30" i="1"/>
  <c r="AD31" i="1"/>
  <c r="L45" i="1"/>
  <c r="L55" i="1"/>
  <c r="L72" i="1"/>
  <c r="AD59" i="1"/>
  <c r="AD74" i="1"/>
  <c r="L83" i="1"/>
  <c r="L90" i="1"/>
  <c r="AD97" i="1"/>
  <c r="L102" i="1"/>
  <c r="AD103" i="1"/>
  <c r="AD109" i="1"/>
  <c r="AD127" i="1"/>
  <c r="AD137" i="1"/>
  <c r="AD146" i="1"/>
  <c r="Q163" i="1"/>
  <c r="Q181" i="1"/>
  <c r="AI185" i="1"/>
  <c r="AI191" i="1"/>
  <c r="AI202" i="1"/>
  <c r="Q241" i="1"/>
  <c r="Q244" i="1"/>
  <c r="Q262" i="1"/>
  <c r="Q289" i="1"/>
  <c r="Q297" i="1"/>
  <c r="Q305" i="1"/>
  <c r="Q307" i="1"/>
  <c r="AI278" i="1"/>
  <c r="AI280" i="1"/>
  <c r="AI287" i="1"/>
  <c r="AI291" i="1"/>
  <c r="Q330" i="1"/>
  <c r="AI338" i="1"/>
  <c r="Q356" i="1"/>
  <c r="Q358" i="1"/>
  <c r="Q363" i="1"/>
  <c r="Q367" i="1"/>
  <c r="Q370" i="1"/>
  <c r="Q372" i="1"/>
  <c r="AI385" i="1"/>
  <c r="AH387" i="1"/>
  <c r="V34" i="2"/>
  <c r="J40" i="2"/>
  <c r="J46" i="2" s="1"/>
  <c r="J54" i="2" s="1"/>
  <c r="J82" i="2" s="1"/>
  <c r="J88" i="2" s="1"/>
  <c r="J96" i="2" s="1"/>
  <c r="J124" i="2" s="1"/>
  <c r="J130" i="2" s="1"/>
  <c r="J138" i="2" s="1"/>
  <c r="J166" i="2" s="1"/>
  <c r="J172" i="2" s="1"/>
  <c r="J180" i="2" s="1"/>
  <c r="J208" i="2" s="1"/>
  <c r="J214" i="2" s="1"/>
  <c r="J222" i="2" s="1"/>
  <c r="J250" i="2" s="1"/>
  <c r="J256" i="2" s="1"/>
  <c r="J264" i="2" s="1"/>
  <c r="J292" i="2" s="1"/>
  <c r="J298" i="2" s="1"/>
  <c r="J306" i="2" s="1"/>
  <c r="J334" i="2" s="1"/>
  <c r="J340" i="2" s="1"/>
  <c r="J348" i="2" s="1"/>
  <c r="J376" i="2" s="1"/>
  <c r="J382" i="2" s="1"/>
  <c r="J390" i="2" s="1"/>
  <c r="J418" i="2" s="1"/>
  <c r="J424" i="2" s="1"/>
  <c r="J432" i="2" s="1"/>
  <c r="J460" i="2" s="1"/>
  <c r="J466" i="2" s="1"/>
  <c r="J474" i="2" s="1"/>
  <c r="J502" i="2" s="1"/>
  <c r="J508" i="2" s="1"/>
  <c r="J516" i="2" s="1"/>
  <c r="J544" i="2" s="1"/>
  <c r="J550" i="2" s="1"/>
  <c r="J558" i="2" s="1"/>
  <c r="J586" i="2" s="1"/>
  <c r="J592" i="2" s="1"/>
  <c r="J600" i="2" s="1"/>
  <c r="J628" i="2" s="1"/>
  <c r="J634" i="2" s="1"/>
  <c r="J642" i="2" s="1"/>
  <c r="J670" i="2" s="1"/>
  <c r="J676" i="2" s="1"/>
  <c r="J684" i="2" s="1"/>
  <c r="J712" i="2" s="1"/>
  <c r="J718" i="2" s="1"/>
  <c r="J726" i="2" s="1"/>
  <c r="J754" i="2" s="1"/>
  <c r="J760" i="2" s="1"/>
  <c r="J768" i="2" s="1"/>
  <c r="J796" i="2" s="1"/>
  <c r="J802" i="2" s="1"/>
  <c r="J810" i="2" s="1"/>
  <c r="J838" i="2" s="1"/>
  <c r="J844" i="2" s="1"/>
  <c r="J852" i="2" s="1"/>
  <c r="J880" i="2" s="1"/>
  <c r="J886" i="2" s="1"/>
  <c r="J894" i="2" s="1"/>
  <c r="J922" i="2" s="1"/>
  <c r="J928" i="2" s="1"/>
  <c r="AU40" i="2"/>
  <c r="AU46" i="2" s="1"/>
  <c r="AU54" i="2" s="1"/>
  <c r="AU82" i="2" s="1"/>
  <c r="AU88" i="2" s="1"/>
  <c r="AU96" i="2" s="1"/>
  <c r="AU124" i="2" s="1"/>
  <c r="AU130" i="2" s="1"/>
  <c r="AU138" i="2" s="1"/>
  <c r="AU166" i="2" s="1"/>
  <c r="AU172" i="2" s="1"/>
  <c r="AU180" i="2" s="1"/>
  <c r="AU208" i="2" s="1"/>
  <c r="AU214" i="2" s="1"/>
  <c r="AU222" i="2" s="1"/>
  <c r="AU250" i="2" s="1"/>
  <c r="AU256" i="2" s="1"/>
  <c r="AU264" i="2" s="1"/>
  <c r="AU292" i="2" s="1"/>
  <c r="AU298" i="2" s="1"/>
  <c r="AU306" i="2" s="1"/>
  <c r="AU334" i="2" s="1"/>
  <c r="AU340" i="2" s="1"/>
  <c r="AU348" i="2" s="1"/>
  <c r="AU376" i="2" s="1"/>
  <c r="AU382" i="2" s="1"/>
  <c r="AU390" i="2" s="1"/>
  <c r="AU418" i="2" s="1"/>
  <c r="AU424" i="2" s="1"/>
  <c r="AU432" i="2" s="1"/>
  <c r="AU460" i="2" s="1"/>
  <c r="AU466" i="2" s="1"/>
  <c r="AU474" i="2" s="1"/>
  <c r="AU502" i="2" s="1"/>
  <c r="AU508" i="2" s="1"/>
  <c r="AU516" i="2" s="1"/>
  <c r="AU544" i="2" s="1"/>
  <c r="AU550" i="2" s="1"/>
  <c r="AU558" i="2" s="1"/>
  <c r="AU586" i="2" s="1"/>
  <c r="AU592" i="2" s="1"/>
  <c r="AU600" i="2" s="1"/>
  <c r="AU628" i="2" s="1"/>
  <c r="AU634" i="2" s="1"/>
  <c r="AU642" i="2" s="1"/>
  <c r="AU670" i="2" s="1"/>
  <c r="AU676" i="2" s="1"/>
  <c r="AU684" i="2" s="1"/>
  <c r="AU712" i="2" s="1"/>
  <c r="AU718" i="2" s="1"/>
  <c r="AU726" i="2" s="1"/>
  <c r="AU754" i="2" s="1"/>
  <c r="AU760" i="2" s="1"/>
  <c r="AU768" i="2" s="1"/>
  <c r="AU796" i="2" s="1"/>
  <c r="AU802" i="2" s="1"/>
  <c r="AU810" i="2" s="1"/>
  <c r="AU838" i="2" s="1"/>
  <c r="AL40" i="2"/>
  <c r="AL46" i="2" s="1"/>
  <c r="AL54" i="2" s="1"/>
  <c r="AL82" i="2" s="1"/>
  <c r="AL88" i="2" s="1"/>
  <c r="AL96" i="2" s="1"/>
  <c r="AL124" i="2" s="1"/>
  <c r="AL130" i="2" s="1"/>
  <c r="AL138" i="2" s="1"/>
  <c r="AL166" i="2" s="1"/>
  <c r="AL172" i="2" s="1"/>
  <c r="AL180" i="2" s="1"/>
  <c r="AL208" i="2" s="1"/>
  <c r="AL214" i="2" s="1"/>
  <c r="AL222" i="2" s="1"/>
  <c r="AL250" i="2" s="1"/>
  <c r="AL256" i="2" s="1"/>
  <c r="AL264" i="2" s="1"/>
  <c r="AL292" i="2" s="1"/>
  <c r="AL298" i="2" s="1"/>
  <c r="AL306" i="2" s="1"/>
  <c r="AL334" i="2" s="1"/>
  <c r="AL340" i="2" s="1"/>
  <c r="AL348" i="2" s="1"/>
  <c r="AL376" i="2" s="1"/>
  <c r="AL382" i="2" s="1"/>
  <c r="AL390" i="2" s="1"/>
  <c r="AL418" i="2" s="1"/>
  <c r="AL424" i="2" s="1"/>
  <c r="AL432" i="2" s="1"/>
  <c r="AL460" i="2" s="1"/>
  <c r="AL466" i="2" s="1"/>
  <c r="AL474" i="2" s="1"/>
  <c r="AL502" i="2" s="1"/>
  <c r="AL508" i="2" s="1"/>
  <c r="AL516" i="2" s="1"/>
  <c r="AL544" i="2" s="1"/>
  <c r="AL550" i="2" s="1"/>
  <c r="AL558" i="2" s="1"/>
  <c r="AL586" i="2" s="1"/>
  <c r="AL592" i="2" s="1"/>
  <c r="AL600" i="2" s="1"/>
  <c r="AL628" i="2" s="1"/>
  <c r="AL634" i="2" s="1"/>
  <c r="AL642" i="2" s="1"/>
  <c r="AL670" i="2" s="1"/>
  <c r="AL676" i="2" s="1"/>
  <c r="AL684" i="2" s="1"/>
  <c r="AL712" i="2" s="1"/>
  <c r="AL718" i="2" s="1"/>
  <c r="AL726" i="2" s="1"/>
  <c r="AL754" i="2" s="1"/>
  <c r="AL760" i="2" s="1"/>
  <c r="AL768" i="2" s="1"/>
  <c r="AL796" i="2" s="1"/>
  <c r="AL802" i="2" s="1"/>
  <c r="AL810" i="2" s="1"/>
  <c r="AL838" i="2" s="1"/>
  <c r="V49" i="2"/>
  <c r="AI396" i="1"/>
  <c r="Q411" i="1"/>
  <c r="AX79" i="2"/>
  <c r="AX97" i="2"/>
  <c r="AX100" i="2"/>
  <c r="AX103" i="2"/>
  <c r="V107" i="2"/>
  <c r="V116" i="2"/>
  <c r="AX150" i="2"/>
  <c r="V136" i="2"/>
  <c r="V143" i="2"/>
  <c r="V149" i="2"/>
  <c r="V155" i="2"/>
  <c r="X9" i="1"/>
  <c r="F12" i="2"/>
  <c r="K36" i="1"/>
  <c r="AW12" i="2"/>
  <c r="AD66" i="1"/>
  <c r="K114" i="1"/>
  <c r="AI284" i="1"/>
  <c r="AI300" i="1"/>
  <c r="AM39" i="2"/>
  <c r="V58" i="2"/>
  <c r="V60" i="2"/>
  <c r="V65" i="2"/>
  <c r="V66" i="2"/>
  <c r="Q412" i="1"/>
  <c r="AI418" i="1"/>
  <c r="K9" i="1"/>
  <c r="H37" i="1"/>
  <c r="H43" i="1" s="1"/>
  <c r="H48" i="1" s="1"/>
  <c r="H76" i="1" s="1"/>
  <c r="H82" i="1" s="1"/>
  <c r="H87" i="1" s="1"/>
  <c r="H115" i="1" s="1"/>
  <c r="H121" i="1" s="1"/>
  <c r="H126" i="1" s="1"/>
  <c r="H154" i="1" s="1"/>
  <c r="F165" i="1"/>
  <c r="D193" i="1"/>
  <c r="D199" i="1" s="1"/>
  <c r="D204" i="1" s="1"/>
  <c r="D232" i="1" s="1"/>
  <c r="D238" i="1" s="1"/>
  <c r="D243" i="1" s="1"/>
  <c r="D271" i="1" s="1"/>
  <c r="D277" i="1" s="1"/>
  <c r="D282" i="1" s="1"/>
  <c r="D310" i="1" s="1"/>
  <c r="D316" i="1" s="1"/>
  <c r="D321" i="1" s="1"/>
  <c r="D349" i="1" s="1"/>
  <c r="D355" i="1" s="1"/>
  <c r="D360" i="1" s="1"/>
  <c r="D388" i="1" s="1"/>
  <c r="D394" i="1" s="1"/>
  <c r="D399" i="1" s="1"/>
  <c r="D427" i="1" s="1"/>
  <c r="AC270" i="1"/>
  <c r="AI182" i="1"/>
  <c r="AI230" i="1"/>
  <c r="Q213" i="1"/>
  <c r="Q221" i="1"/>
  <c r="Q226" i="1"/>
  <c r="F231" i="1"/>
  <c r="AA76" i="1"/>
  <c r="AA82" i="1" s="1"/>
  <c r="AA87" i="1" s="1"/>
  <c r="AA115" i="1" s="1"/>
  <c r="AA121" i="1" s="1"/>
  <c r="AA126" i="1" s="1"/>
  <c r="AA154" i="1" s="1"/>
  <c r="P192" i="1"/>
  <c r="Q162" i="1"/>
  <c r="Q287" i="1"/>
  <c r="V19" i="2"/>
  <c r="V4" i="2"/>
  <c r="AX66" i="2"/>
  <c r="AX117" i="2"/>
  <c r="AD46" i="2"/>
  <c r="Z311" i="1"/>
  <c r="AI226" i="1"/>
  <c r="AV40" i="2"/>
  <c r="AV46" i="2" s="1"/>
  <c r="AV54" i="2" s="1"/>
  <c r="AV82" i="2" s="1"/>
  <c r="AV88" i="2" s="1"/>
  <c r="AV96" i="2" s="1"/>
  <c r="AV124" i="2" s="1"/>
  <c r="AV130" i="2" s="1"/>
  <c r="AV138" i="2" s="1"/>
  <c r="AV166" i="2" s="1"/>
  <c r="AV172" i="2" s="1"/>
  <c r="AV180" i="2" s="1"/>
  <c r="AV208" i="2" s="1"/>
  <c r="AV214" i="2" s="1"/>
  <c r="AV222" i="2" s="1"/>
  <c r="AV250" i="2" s="1"/>
  <c r="AV256" i="2" s="1"/>
  <c r="AV264" i="2" s="1"/>
  <c r="AV292" i="2" s="1"/>
  <c r="AV298" i="2" s="1"/>
  <c r="AV306" i="2" s="1"/>
  <c r="AV334" i="2" s="1"/>
  <c r="AV340" i="2" s="1"/>
  <c r="AV348" i="2" s="1"/>
  <c r="AV376" i="2" s="1"/>
  <c r="AV382" i="2" s="1"/>
  <c r="AV390" i="2" s="1"/>
  <c r="AV418" i="2" s="1"/>
  <c r="AV424" i="2" s="1"/>
  <c r="AV432" i="2" s="1"/>
  <c r="AV460" i="2" s="1"/>
  <c r="AV466" i="2" s="1"/>
  <c r="AV474" i="2" s="1"/>
  <c r="AV502" i="2" s="1"/>
  <c r="AV508" i="2" s="1"/>
  <c r="AV516" i="2" s="1"/>
  <c r="AV544" i="2" s="1"/>
  <c r="AV550" i="2" s="1"/>
  <c r="AV558" i="2" s="1"/>
  <c r="AV586" i="2" s="1"/>
  <c r="AV592" i="2" s="1"/>
  <c r="AV600" i="2" s="1"/>
  <c r="AV628" i="2" s="1"/>
  <c r="AV634" i="2" s="1"/>
  <c r="AV642" i="2" s="1"/>
  <c r="AV670" i="2" s="1"/>
  <c r="AV676" i="2" s="1"/>
  <c r="AV684" i="2" s="1"/>
  <c r="AV712" i="2" s="1"/>
  <c r="AV718" i="2" s="1"/>
  <c r="AV726" i="2" s="1"/>
  <c r="AV754" i="2" s="1"/>
  <c r="AV760" i="2" s="1"/>
  <c r="AH192" i="1"/>
  <c r="AD112" i="1"/>
  <c r="Q179" i="1"/>
  <c r="Q40" i="2"/>
  <c r="Q46" i="2" s="1"/>
  <c r="Q54" i="2" s="1"/>
  <c r="V113" i="2"/>
  <c r="V21" i="2"/>
  <c r="L18" i="1"/>
  <c r="L20" i="1"/>
  <c r="AD27" i="1"/>
  <c r="AD29" i="1"/>
  <c r="AC36" i="1"/>
  <c r="L54" i="1"/>
  <c r="AD49" i="1"/>
  <c r="AD53" i="1"/>
  <c r="AD63" i="1"/>
  <c r="AD90" i="1"/>
  <c r="AD101" i="1"/>
  <c r="AD105" i="1"/>
  <c r="L113" i="1"/>
  <c r="AD132" i="1"/>
  <c r="L136" i="1"/>
  <c r="L138" i="1"/>
  <c r="X153" i="1"/>
  <c r="Q187" i="1"/>
  <c r="AI162" i="1"/>
  <c r="AI242" i="1"/>
  <c r="AI252" i="1"/>
  <c r="Q267" i="1"/>
  <c r="K309" i="1"/>
  <c r="AI295" i="1"/>
  <c r="Q327" i="1"/>
  <c r="Q379" i="1"/>
  <c r="O40" i="2"/>
  <c r="O46" i="2" s="1"/>
  <c r="O54" i="2" s="1"/>
  <c r="O82" i="2" s="1"/>
  <c r="O88" i="2" s="1"/>
  <c r="O96" i="2" s="1"/>
  <c r="O124" i="2" s="1"/>
  <c r="O130" i="2" s="1"/>
  <c r="O138" i="2" s="1"/>
  <c r="O166" i="2" s="1"/>
  <c r="O172" i="2" s="1"/>
  <c r="O180" i="2" s="1"/>
  <c r="O208" i="2" s="1"/>
  <c r="O214" i="2" s="1"/>
  <c r="O222" i="2" s="1"/>
  <c r="O250" i="2" s="1"/>
  <c r="O256" i="2" s="1"/>
  <c r="O264" i="2" s="1"/>
  <c r="O292" i="2" s="1"/>
  <c r="O298" i="2" s="1"/>
  <c r="O306" i="2" s="1"/>
  <c r="O334" i="2" s="1"/>
  <c r="O340" i="2" s="1"/>
  <c r="O348" i="2" s="1"/>
  <c r="O376" i="2" s="1"/>
  <c r="O382" i="2" s="1"/>
  <c r="O390" i="2" s="1"/>
  <c r="O418" i="2" s="1"/>
  <c r="O424" i="2" s="1"/>
  <c r="O432" i="2" s="1"/>
  <c r="O460" i="2" s="1"/>
  <c r="O466" i="2" s="1"/>
  <c r="O474" i="2" s="1"/>
  <c r="AI397" i="1"/>
  <c r="AC426" i="1"/>
  <c r="AX26" i="2"/>
  <c r="AX137" i="2"/>
  <c r="AX146" i="2"/>
  <c r="AX155" i="2"/>
  <c r="V161" i="2"/>
  <c r="AX217" i="2"/>
  <c r="V230" i="2"/>
  <c r="V240" i="2"/>
  <c r="V248" i="2"/>
  <c r="V232" i="2"/>
  <c r="AD16" i="1"/>
  <c r="L28" i="1"/>
  <c r="L32" i="1"/>
  <c r="L51" i="1"/>
  <c r="L62" i="1"/>
  <c r="L65" i="1"/>
  <c r="L86" i="1"/>
  <c r="L89" i="1"/>
  <c r="L104" i="1"/>
  <c r="AD113" i="1"/>
  <c r="L148" i="1"/>
  <c r="L152" i="1"/>
  <c r="Q164" i="1"/>
  <c r="X165" i="1"/>
  <c r="AI221" i="1"/>
  <c r="Q206" i="1"/>
  <c r="Q219" i="1"/>
  <c r="Q245" i="1"/>
  <c r="AI255" i="1"/>
  <c r="Q258" i="1"/>
  <c r="AI306" i="1"/>
  <c r="AI342" i="1"/>
  <c r="AI356" i="1"/>
  <c r="AI357" i="1"/>
  <c r="AI361" i="1"/>
  <c r="Q364" i="1"/>
  <c r="AI366" i="1"/>
  <c r="Q369" i="1"/>
  <c r="AI370" i="1"/>
  <c r="AI375" i="1"/>
  <c r="V26" i="2"/>
  <c r="F39" i="2"/>
  <c r="V47" i="2"/>
  <c r="V48" i="2"/>
  <c r="V56" i="2"/>
  <c r="Q395" i="1"/>
  <c r="AI417" i="1"/>
  <c r="V163" i="2"/>
  <c r="P165" i="2"/>
  <c r="V206" i="2"/>
  <c r="J37" i="1"/>
  <c r="J43" i="1" s="1"/>
  <c r="J48" i="1" s="1"/>
  <c r="J76" i="1" s="1"/>
  <c r="J82" i="1" s="1"/>
  <c r="J87" i="1" s="1"/>
  <c r="J115" i="1" s="1"/>
  <c r="J121" i="1" s="1"/>
  <c r="J126" i="1" s="1"/>
  <c r="J154" i="1" s="1"/>
  <c r="AB37" i="1"/>
  <c r="AB43" i="1" s="1"/>
  <c r="AB48" i="1" s="1"/>
  <c r="AB76" i="1" s="1"/>
  <c r="AB82" i="1" s="1"/>
  <c r="AB87" i="1" s="1"/>
  <c r="AB115" i="1" s="1"/>
  <c r="AB121" i="1" s="1"/>
  <c r="AB126" i="1" s="1"/>
  <c r="AB154" i="1" s="1"/>
  <c r="L66" i="1"/>
  <c r="AD51" i="1"/>
  <c r="AD58" i="1"/>
  <c r="AD86" i="1"/>
  <c r="L135" i="1"/>
  <c r="Q170" i="1"/>
  <c r="AH165" i="1"/>
  <c r="AI168" i="1"/>
  <c r="AI184" i="1"/>
  <c r="AI186" i="1"/>
  <c r="AI189" i="1"/>
  <c r="Q166" i="1"/>
  <c r="AI228" i="1"/>
  <c r="AI246" i="1"/>
  <c r="Q249" i="1"/>
  <c r="AI267" i="1"/>
  <c r="Q283" i="1"/>
  <c r="Q326" i="1"/>
  <c r="Q340" i="1"/>
  <c r="V16" i="2"/>
  <c r="AF40" i="2"/>
  <c r="AF46" i="2" s="1"/>
  <c r="AF54" i="2" s="1"/>
  <c r="AF82" i="2" s="1"/>
  <c r="AF88" i="2" s="1"/>
  <c r="AF96" i="2" s="1"/>
  <c r="AF124" i="2" s="1"/>
  <c r="AF130" i="2" s="1"/>
  <c r="AF138" i="2" s="1"/>
  <c r="AF166" i="2" s="1"/>
  <c r="AF172" i="2" s="1"/>
  <c r="AF180" i="2" s="1"/>
  <c r="AF208" i="2" s="1"/>
  <c r="AF214" i="2" s="1"/>
  <c r="AF222" i="2" s="1"/>
  <c r="AF250" i="2" s="1"/>
  <c r="AF256" i="2" s="1"/>
  <c r="AF264" i="2" s="1"/>
  <c r="AF292" i="2" s="1"/>
  <c r="AF298" i="2" s="1"/>
  <c r="AF306" i="2" s="1"/>
  <c r="AF334" i="2" s="1"/>
  <c r="AF340" i="2" s="1"/>
  <c r="AF348" i="2" s="1"/>
  <c r="AF376" i="2" s="1"/>
  <c r="AF382" i="2" s="1"/>
  <c r="AF390" i="2" s="1"/>
  <c r="AF418" i="2" s="1"/>
  <c r="AF424" i="2" s="1"/>
  <c r="AF432" i="2" s="1"/>
  <c r="AF460" i="2" s="1"/>
  <c r="AF466" i="2" s="1"/>
  <c r="AF474" i="2" s="1"/>
  <c r="AF502" i="2" s="1"/>
  <c r="AF508" i="2" s="1"/>
  <c r="AF516" i="2" s="1"/>
  <c r="AF544" i="2" s="1"/>
  <c r="AF550" i="2" s="1"/>
  <c r="AF558" i="2" s="1"/>
  <c r="AF586" i="2" s="1"/>
  <c r="AF592" i="2" s="1"/>
  <c r="AF600" i="2" s="1"/>
  <c r="AF628" i="2" s="1"/>
  <c r="AF634" i="2" s="1"/>
  <c r="AF642" i="2" s="1"/>
  <c r="AF670" i="2" s="1"/>
  <c r="AF676" i="2" s="1"/>
  <c r="AF684" i="2" s="1"/>
  <c r="AF712" i="2" s="1"/>
  <c r="AF718" i="2" s="1"/>
  <c r="AF726" i="2" s="1"/>
  <c r="AF754" i="2" s="1"/>
  <c r="AF760" i="2" s="1"/>
  <c r="AF768" i="2" s="1"/>
  <c r="AF796" i="2" s="1"/>
  <c r="AF802" i="2" s="1"/>
  <c r="AF810" i="2" s="1"/>
  <c r="AF838" i="2" s="1"/>
  <c r="AX52" i="2"/>
  <c r="AX59" i="2"/>
  <c r="AX65" i="2"/>
  <c r="V76" i="2"/>
  <c r="V80" i="2"/>
  <c r="AI395" i="1"/>
  <c r="AI416" i="1"/>
  <c r="Q419" i="1"/>
  <c r="AI421" i="1"/>
  <c r="AX72" i="2"/>
  <c r="AX77" i="2"/>
  <c r="V101" i="2"/>
  <c r="AX115" i="2"/>
  <c r="V120" i="2"/>
  <c r="AX132" i="2"/>
  <c r="V135" i="2"/>
  <c r="V158" i="2"/>
  <c r="V160" i="2"/>
  <c r="V164" i="2"/>
  <c r="V178" i="2"/>
  <c r="V182" i="2"/>
  <c r="V185" i="2"/>
  <c r="V246" i="2"/>
  <c r="AI201" i="1"/>
  <c r="F309" i="1"/>
  <c r="AH348" i="1"/>
  <c r="AG82" i="2"/>
  <c r="AG88" i="2" s="1"/>
  <c r="AG96" i="2" s="1"/>
  <c r="AG124" i="2" s="1"/>
  <c r="AG130" i="2" s="1"/>
  <c r="AG138" i="2" s="1"/>
  <c r="AG166" i="2" s="1"/>
  <c r="AG172" i="2" s="1"/>
  <c r="AG180" i="2" s="1"/>
  <c r="AG208" i="2" s="1"/>
  <c r="AG214" i="2" s="1"/>
  <c r="AG222" i="2" s="1"/>
  <c r="AG250" i="2" s="1"/>
  <c r="AG256" i="2" s="1"/>
  <c r="AG264" i="2" s="1"/>
  <c r="AG292" i="2" s="1"/>
  <c r="AG298" i="2" s="1"/>
  <c r="AG306" i="2" s="1"/>
  <c r="AG334" i="2" s="1"/>
  <c r="AG340" i="2" s="1"/>
  <c r="AG348" i="2" s="1"/>
  <c r="AG376" i="2" s="1"/>
  <c r="AG382" i="2" s="1"/>
  <c r="AG390" i="2" s="1"/>
  <c r="AG418" i="2" s="1"/>
  <c r="AG424" i="2" s="1"/>
  <c r="AG432" i="2" s="1"/>
  <c r="AG460" i="2" s="1"/>
  <c r="AG466" i="2" s="1"/>
  <c r="AG474" i="2" s="1"/>
  <c r="AG502" i="2" s="1"/>
  <c r="AG508" i="2" s="1"/>
  <c r="AG516" i="2" s="1"/>
  <c r="AG544" i="2" s="1"/>
  <c r="AG550" i="2" s="1"/>
  <c r="AG558" i="2" s="1"/>
  <c r="AG586" i="2" s="1"/>
  <c r="AG592" i="2" s="1"/>
  <c r="AG600" i="2" s="1"/>
  <c r="AG628" i="2" s="1"/>
  <c r="AG634" i="2" s="1"/>
  <c r="AG642" i="2" s="1"/>
  <c r="AG670" i="2" s="1"/>
  <c r="AG676" i="2" s="1"/>
  <c r="AG684" i="2" s="1"/>
  <c r="AG712" i="2" s="1"/>
  <c r="AG718" i="2" s="1"/>
  <c r="AG726" i="2" s="1"/>
  <c r="AG754" i="2" s="1"/>
  <c r="AG760" i="2" s="1"/>
  <c r="AG768" i="2" s="1"/>
  <c r="AG796" i="2" s="1"/>
  <c r="AG802" i="2" s="1"/>
  <c r="AG810" i="2" s="1"/>
  <c r="AG838" i="2" s="1"/>
  <c r="AX31" i="2"/>
  <c r="AX73" i="2"/>
  <c r="V108" i="2"/>
  <c r="V109" i="2"/>
  <c r="AX164" i="2"/>
  <c r="F249" i="2"/>
  <c r="L21" i="1"/>
  <c r="Q189" i="1"/>
  <c r="AI164" i="1"/>
  <c r="AI179" i="1"/>
  <c r="AI187" i="1"/>
  <c r="AE193" i="1"/>
  <c r="AE199" i="1" s="1"/>
  <c r="AE204" i="1" s="1"/>
  <c r="AI222" i="1"/>
  <c r="Q220" i="1"/>
  <c r="AI239" i="1"/>
  <c r="Q252" i="1"/>
  <c r="AI262" i="1"/>
  <c r="AI307" i="1"/>
  <c r="AI334" i="1"/>
  <c r="AI341" i="1"/>
  <c r="AI359" i="1"/>
  <c r="Q371" i="1"/>
  <c r="AI382" i="1"/>
  <c r="F387" i="1"/>
  <c r="AC387" i="1"/>
  <c r="V23" i="2"/>
  <c r="G40" i="2"/>
  <c r="AX9" i="2"/>
  <c r="AX25" i="2"/>
  <c r="AX55" i="2"/>
  <c r="AX70" i="2"/>
  <c r="V79" i="2"/>
  <c r="Q397" i="1"/>
  <c r="AI404" i="1"/>
  <c r="AI415" i="1"/>
  <c r="Q418" i="1"/>
  <c r="AI424" i="1"/>
  <c r="AX90" i="2"/>
  <c r="V103" i="2"/>
  <c r="AX114" i="2"/>
  <c r="V118" i="2"/>
  <c r="AX135" i="2"/>
  <c r="AX140" i="2"/>
  <c r="AX148" i="2"/>
  <c r="AX151" i="2"/>
  <c r="AX120" i="2"/>
  <c r="V173" i="2"/>
  <c r="V181" i="2"/>
  <c r="V187" i="2"/>
  <c r="AX176" i="2"/>
  <c r="V237" i="2"/>
  <c r="V239" i="2"/>
  <c r="L11" i="1"/>
  <c r="AD19" i="1"/>
  <c r="AD23" i="1"/>
  <c r="L27" i="1"/>
  <c r="L29" i="1"/>
  <c r="L33" i="1"/>
  <c r="L49" i="1"/>
  <c r="L71" i="1"/>
  <c r="AD44" i="1"/>
  <c r="AC75" i="1"/>
  <c r="L92" i="1"/>
  <c r="AD93" i="1"/>
  <c r="L125" i="1"/>
  <c r="AD139" i="1"/>
  <c r="Q178" i="1"/>
  <c r="E193" i="1"/>
  <c r="E199" i="1" s="1"/>
  <c r="E204" i="1" s="1"/>
  <c r="E232" i="1" s="1"/>
  <c r="E238" i="1" s="1"/>
  <c r="E243" i="1" s="1"/>
  <c r="E271" i="1" s="1"/>
  <c r="E277" i="1" s="1"/>
  <c r="E282" i="1" s="1"/>
  <c r="E310" i="1" s="1"/>
  <c r="E316" i="1" s="1"/>
  <c r="E321" i="1" s="1"/>
  <c r="E349" i="1" s="1"/>
  <c r="E355" i="1" s="1"/>
  <c r="E360" i="1" s="1"/>
  <c r="E388" i="1" s="1"/>
  <c r="E394" i="1" s="1"/>
  <c r="E399" i="1" s="1"/>
  <c r="E427" i="1" s="1"/>
  <c r="Q218" i="1"/>
  <c r="Q223" i="1"/>
  <c r="Q260" i="1"/>
  <c r="Q268" i="1"/>
  <c r="AI283" i="1"/>
  <c r="AG311" i="1"/>
  <c r="AG350" i="1" s="1"/>
  <c r="AG389" i="1" s="1"/>
  <c r="Q319" i="1"/>
  <c r="Q328" i="1"/>
  <c r="Q336" i="1"/>
  <c r="Q338" i="1"/>
  <c r="V22" i="2"/>
  <c r="AX8" i="2"/>
  <c r="AI398" i="1"/>
  <c r="Q422" i="1"/>
  <c r="AX27" i="2"/>
  <c r="AX94" i="2"/>
  <c r="P249" i="2"/>
  <c r="V114" i="2"/>
  <c r="V121" i="2"/>
  <c r="AX179" i="2"/>
  <c r="AX186" i="2"/>
  <c r="AX188" i="2"/>
  <c r="AX223" i="2"/>
  <c r="AX229" i="2"/>
  <c r="AX235" i="2"/>
  <c r="AX241" i="2"/>
  <c r="AX247" i="2"/>
  <c r="AM249" i="2"/>
  <c r="AX248" i="2"/>
  <c r="Y48" i="1"/>
  <c r="B76" i="1"/>
  <c r="B82" i="1" s="1"/>
  <c r="I48" i="1"/>
  <c r="L50" i="1"/>
  <c r="AD71" i="1"/>
  <c r="C37" i="1"/>
  <c r="C43" i="1" s="1"/>
  <c r="C48" i="1" s="1"/>
  <c r="C76" i="1" s="1"/>
  <c r="C82" i="1" s="1"/>
  <c r="C87" i="1" s="1"/>
  <c r="C115" i="1" s="1"/>
  <c r="C121" i="1" s="1"/>
  <c r="C126" i="1" s="1"/>
  <c r="C154" i="1" s="1"/>
  <c r="AH309" i="1"/>
  <c r="AD311" i="1"/>
  <c r="L74" i="1"/>
  <c r="AD73" i="1"/>
  <c r="F348" i="1"/>
  <c r="Q264" i="1"/>
  <c r="AI286" i="1"/>
  <c r="V24" i="2"/>
  <c r="V91" i="2"/>
  <c r="AX136" i="2"/>
  <c r="L96" i="1"/>
  <c r="AD111" i="1"/>
  <c r="H193" i="1"/>
  <c r="H199" i="1" s="1"/>
  <c r="H204" i="1" s="1"/>
  <c r="H232" i="1" s="1"/>
  <c r="H238" i="1" s="1"/>
  <c r="H243" i="1" s="1"/>
  <c r="H271" i="1" s="1"/>
  <c r="H277" i="1" s="1"/>
  <c r="H282" i="1" s="1"/>
  <c r="H310" i="1" s="1"/>
  <c r="H316" i="1" s="1"/>
  <c r="H321" i="1" s="1"/>
  <c r="H349" i="1" s="1"/>
  <c r="H355" i="1" s="1"/>
  <c r="H360" i="1" s="1"/>
  <c r="H388" i="1" s="1"/>
  <c r="H394" i="1" s="1"/>
  <c r="H399" i="1" s="1"/>
  <c r="H427" i="1" s="1"/>
  <c r="AI166" i="1"/>
  <c r="AI178" i="1"/>
  <c r="AI215" i="1"/>
  <c r="Q205" i="1"/>
  <c r="AI250" i="1"/>
  <c r="AI365" i="1"/>
  <c r="Q376" i="1"/>
  <c r="P426" i="1"/>
  <c r="AX75" i="2"/>
  <c r="AX99" i="2"/>
  <c r="AX220" i="2"/>
  <c r="AD128" i="1"/>
  <c r="K153" i="1"/>
  <c r="Q169" i="1"/>
  <c r="Q242" i="1"/>
  <c r="AI257" i="1"/>
  <c r="AX5" i="2"/>
  <c r="V50" i="2"/>
  <c r="Q407" i="1"/>
  <c r="V99" i="2"/>
  <c r="V110" i="2"/>
  <c r="U123" i="2"/>
  <c r="AX162" i="2"/>
  <c r="F192" i="1"/>
  <c r="B193" i="1"/>
  <c r="B199" i="1" s="1"/>
  <c r="AI414" i="1"/>
  <c r="AX141" i="2"/>
  <c r="AX118" i="2"/>
  <c r="J936" i="2" l="1"/>
  <c r="R852" i="2"/>
  <c r="R880" i="2" s="1"/>
  <c r="R886" i="2" s="1"/>
  <c r="R894" i="2" s="1"/>
  <c r="R922" i="2" s="1"/>
  <c r="R928" i="2" s="1"/>
  <c r="R936" i="2" s="1"/>
  <c r="R964" i="2" s="1"/>
  <c r="R970" i="2" s="1"/>
  <c r="R978" i="2" s="1"/>
  <c r="R1006" i="2" s="1"/>
  <c r="R1012" i="2" s="1"/>
  <c r="R1020" i="2" s="1"/>
  <c r="R1048" i="2" s="1"/>
  <c r="R1055" i="2" s="1"/>
  <c r="AG844" i="2"/>
  <c r="AG852" i="2" s="1"/>
  <c r="AG880" i="2" s="1"/>
  <c r="AG886" i="2" s="1"/>
  <c r="AG894" i="2" s="1"/>
  <c r="AG922" i="2" s="1"/>
  <c r="AG928" i="2" s="1"/>
  <c r="AG936" i="2" s="1"/>
  <c r="AG964" i="2" s="1"/>
  <c r="AG970" i="2" s="1"/>
  <c r="AG978" i="2" s="1"/>
  <c r="AG1006" i="2" s="1"/>
  <c r="AG1012" i="2" s="1"/>
  <c r="AG1020" i="2" s="1"/>
  <c r="AG1048" i="2" s="1"/>
  <c r="AG1055" i="2" s="1"/>
  <c r="AG1063" i="2" s="1"/>
  <c r="AG1091" i="2" s="1"/>
  <c r="AG1098" i="2" s="1"/>
  <c r="AG1106" i="2" s="1"/>
  <c r="AG1134" i="2" s="1"/>
  <c r="AG1141" i="2" s="1"/>
  <c r="AG1149" i="2" s="1"/>
  <c r="AG1177" i="2" s="1"/>
  <c r="AG1184" i="2" s="1"/>
  <c r="AG1192" i="2" s="1"/>
  <c r="AG1220" i="2" s="1"/>
  <c r="AG1227" i="2" s="1"/>
  <c r="AG1235" i="2" s="1"/>
  <c r="AG1263" i="2" s="1"/>
  <c r="AG1270" i="2" s="1"/>
  <c r="AG1278" i="2" s="1"/>
  <c r="AG1306" i="2" s="1"/>
  <c r="AG1313" i="2" s="1"/>
  <c r="AG1321" i="2" s="1"/>
  <c r="AG1349" i="2" s="1"/>
  <c r="AG1356" i="2" s="1"/>
  <c r="AG1364" i="2" s="1"/>
  <c r="AG1392" i="2" s="1"/>
  <c r="AG1399" i="2" s="1"/>
  <c r="AG1407" i="2" s="1"/>
  <c r="AG1435" i="2" s="1"/>
  <c r="AG1442" i="2" s="1"/>
  <c r="AG1450" i="2" s="1"/>
  <c r="AG1478" i="2" s="1"/>
  <c r="AL844" i="2"/>
  <c r="AL852" i="2" s="1"/>
  <c r="AL880" i="2" s="1"/>
  <c r="AL886" i="2" s="1"/>
  <c r="AL894" i="2" s="1"/>
  <c r="AL922" i="2" s="1"/>
  <c r="AL928" i="2" s="1"/>
  <c r="AL936" i="2" s="1"/>
  <c r="AL964" i="2" s="1"/>
  <c r="AL970" i="2" s="1"/>
  <c r="AL978" i="2" s="1"/>
  <c r="AL1006" i="2" s="1"/>
  <c r="AL1012" i="2" s="1"/>
  <c r="AL1020" i="2" s="1"/>
  <c r="AL1048" i="2" s="1"/>
  <c r="AL1055" i="2" s="1"/>
  <c r="AL1063" i="2" s="1"/>
  <c r="AL1091" i="2" s="1"/>
  <c r="AL1098" i="2" s="1"/>
  <c r="AL1106" i="2" s="1"/>
  <c r="AL1134" i="2" s="1"/>
  <c r="AL1141" i="2" s="1"/>
  <c r="AL1149" i="2" s="1"/>
  <c r="AL1177" i="2" s="1"/>
  <c r="AL1184" i="2" s="1"/>
  <c r="AL1192" i="2" s="1"/>
  <c r="AL1220" i="2" s="1"/>
  <c r="AL1227" i="2" s="1"/>
  <c r="AL1235" i="2" s="1"/>
  <c r="AL1263" i="2" s="1"/>
  <c r="AL1270" i="2" s="1"/>
  <c r="AL1278" i="2" s="1"/>
  <c r="AL1306" i="2" s="1"/>
  <c r="AL1313" i="2" s="1"/>
  <c r="AL1321" i="2" s="1"/>
  <c r="AL1349" i="2" s="1"/>
  <c r="AL1356" i="2" s="1"/>
  <c r="AL1364" i="2" s="1"/>
  <c r="AL1392" i="2" s="1"/>
  <c r="AL1399" i="2" s="1"/>
  <c r="AL1407" i="2" s="1"/>
  <c r="AL1435" i="2" s="1"/>
  <c r="AL1442" i="2" s="1"/>
  <c r="AL1450" i="2" s="1"/>
  <c r="AL1478" i="2" s="1"/>
  <c r="AU844" i="2"/>
  <c r="AU852" i="2" s="1"/>
  <c r="AU880" i="2" s="1"/>
  <c r="AU886" i="2" s="1"/>
  <c r="AU894" i="2" s="1"/>
  <c r="AU922" i="2" s="1"/>
  <c r="AU928" i="2" s="1"/>
  <c r="AU936" i="2" s="1"/>
  <c r="AU964" i="2" s="1"/>
  <c r="AU970" i="2" s="1"/>
  <c r="AU978" i="2" s="1"/>
  <c r="AU1006" i="2" s="1"/>
  <c r="AU1012" i="2" s="1"/>
  <c r="AU1020" i="2" s="1"/>
  <c r="AU1048" i="2" s="1"/>
  <c r="AU1055" i="2" s="1"/>
  <c r="AU1063" i="2" s="1"/>
  <c r="AU1091" i="2" s="1"/>
  <c r="AU1098" i="2" s="1"/>
  <c r="AU1106" i="2" s="1"/>
  <c r="AU1134" i="2" s="1"/>
  <c r="AU1141" i="2" s="1"/>
  <c r="AU1149" i="2" s="1"/>
  <c r="AU1177" i="2" s="1"/>
  <c r="AU1184" i="2" s="1"/>
  <c r="AU1192" i="2" s="1"/>
  <c r="AU1220" i="2" s="1"/>
  <c r="AU1227" i="2" s="1"/>
  <c r="AU1235" i="2" s="1"/>
  <c r="AU1263" i="2" s="1"/>
  <c r="AU1270" i="2" s="1"/>
  <c r="AU1278" i="2" s="1"/>
  <c r="AU1306" i="2" s="1"/>
  <c r="AU1313" i="2" s="1"/>
  <c r="AU1321" i="2" s="1"/>
  <c r="AU1349" i="2" s="1"/>
  <c r="AU1356" i="2" s="1"/>
  <c r="AU1364" i="2" s="1"/>
  <c r="AU1392" i="2" s="1"/>
  <c r="AU1399" i="2" s="1"/>
  <c r="AU1407" i="2" s="1"/>
  <c r="AU1435" i="2" s="1"/>
  <c r="AU1442" i="2" s="1"/>
  <c r="AU1450" i="2" s="1"/>
  <c r="AU1478" i="2" s="1"/>
  <c r="AF844" i="2"/>
  <c r="AF852" i="2" s="1"/>
  <c r="AF880" i="2" s="1"/>
  <c r="AF886" i="2" s="1"/>
  <c r="AF894" i="2" s="1"/>
  <c r="AF922" i="2" s="1"/>
  <c r="AF928" i="2" s="1"/>
  <c r="AF936" i="2" s="1"/>
  <c r="AF964" i="2" s="1"/>
  <c r="AF970" i="2" s="1"/>
  <c r="AF978" i="2" s="1"/>
  <c r="AF1006" i="2" s="1"/>
  <c r="AF1012" i="2" s="1"/>
  <c r="AF1020" i="2" s="1"/>
  <c r="AF1048" i="2" s="1"/>
  <c r="AF1055" i="2" s="1"/>
  <c r="AF1063" i="2" s="1"/>
  <c r="AF1091" i="2" s="1"/>
  <c r="AF1098" i="2" s="1"/>
  <c r="AF1106" i="2" s="1"/>
  <c r="AF1134" i="2" s="1"/>
  <c r="AF1141" i="2" s="1"/>
  <c r="AF1149" i="2" s="1"/>
  <c r="AF1177" i="2" s="1"/>
  <c r="AF1184" i="2" s="1"/>
  <c r="AF1192" i="2" s="1"/>
  <c r="AF1220" i="2" s="1"/>
  <c r="AF1227" i="2" s="1"/>
  <c r="AF1235" i="2" s="1"/>
  <c r="AF1263" i="2" s="1"/>
  <c r="AF1270" i="2" s="1"/>
  <c r="AF1278" i="2" s="1"/>
  <c r="AF1306" i="2" s="1"/>
  <c r="AF1313" i="2" s="1"/>
  <c r="AF1321" i="2" s="1"/>
  <c r="AF1349" i="2" s="1"/>
  <c r="AF1356" i="2" s="1"/>
  <c r="AF1364" i="2" s="1"/>
  <c r="AF1392" i="2" s="1"/>
  <c r="AF1399" i="2" s="1"/>
  <c r="AF1407" i="2" s="1"/>
  <c r="AF1435" i="2" s="1"/>
  <c r="AF1442" i="2" s="1"/>
  <c r="AF1450" i="2" s="1"/>
  <c r="AF1478" i="2" s="1"/>
  <c r="AK844" i="2"/>
  <c r="AK852" i="2" s="1"/>
  <c r="AK880" i="2" s="1"/>
  <c r="AK886" i="2" s="1"/>
  <c r="AK894" i="2" s="1"/>
  <c r="AK922" i="2" s="1"/>
  <c r="AK928" i="2" s="1"/>
  <c r="AK936" i="2" s="1"/>
  <c r="AK964" i="2" s="1"/>
  <c r="AK970" i="2" s="1"/>
  <c r="AK978" i="2" s="1"/>
  <c r="AK1006" i="2" s="1"/>
  <c r="AK1012" i="2" s="1"/>
  <c r="AK1020" i="2" s="1"/>
  <c r="AK1048" i="2" s="1"/>
  <c r="AK1055" i="2" s="1"/>
  <c r="AK1063" i="2" s="1"/>
  <c r="AK1091" i="2" s="1"/>
  <c r="AK1098" i="2" s="1"/>
  <c r="AK1106" i="2" s="1"/>
  <c r="AK1134" i="2" s="1"/>
  <c r="AK1141" i="2" s="1"/>
  <c r="AK1149" i="2" s="1"/>
  <c r="AK1177" i="2" s="1"/>
  <c r="AK1184" i="2" s="1"/>
  <c r="AK1192" i="2" s="1"/>
  <c r="AK1220" i="2" s="1"/>
  <c r="AK1227" i="2" s="1"/>
  <c r="AK1235" i="2" s="1"/>
  <c r="AK1263" i="2" s="1"/>
  <c r="AK1270" i="2" s="1"/>
  <c r="AK1278" i="2" s="1"/>
  <c r="AK1306" i="2" s="1"/>
  <c r="AK1313" i="2" s="1"/>
  <c r="AK1321" i="2" s="1"/>
  <c r="AK1349" i="2" s="1"/>
  <c r="AK1356" i="2" s="1"/>
  <c r="AK1364" i="2" s="1"/>
  <c r="AK1392" i="2" s="1"/>
  <c r="AK1399" i="2" s="1"/>
  <c r="AK1407" i="2" s="1"/>
  <c r="AK1435" i="2" s="1"/>
  <c r="AK1442" i="2" s="1"/>
  <c r="AK1450" i="2" s="1"/>
  <c r="AK1478" i="2" s="1"/>
  <c r="E768" i="2"/>
  <c r="E796" i="2" s="1"/>
  <c r="E802" i="2" s="1"/>
  <c r="E810" i="2" s="1"/>
  <c r="E838" i="2" s="1"/>
  <c r="E844" i="2" s="1"/>
  <c r="E852" i="2" s="1"/>
  <c r="E880" i="2" s="1"/>
  <c r="E886" i="2" s="1"/>
  <c r="E894" i="2" s="1"/>
  <c r="E922" i="2" s="1"/>
  <c r="E928" i="2" s="1"/>
  <c r="E936" i="2" s="1"/>
  <c r="E964" i="2" s="1"/>
  <c r="E970" i="2" s="1"/>
  <c r="E978" i="2" s="1"/>
  <c r="E1006" i="2" s="1"/>
  <c r="E1012" i="2" s="1"/>
  <c r="E1020" i="2" s="1"/>
  <c r="E1048" i="2" s="1"/>
  <c r="E1055" i="2" s="1"/>
  <c r="E1063" i="2" s="1"/>
  <c r="E1091" i="2" s="1"/>
  <c r="AV768" i="2"/>
  <c r="AV796" i="2" s="1"/>
  <c r="AV802" i="2" s="1"/>
  <c r="AV810" i="2" s="1"/>
  <c r="AV838" i="2" s="1"/>
  <c r="D726" i="2"/>
  <c r="D754" i="2" s="1"/>
  <c r="D760" i="2" s="1"/>
  <c r="D768" i="2" s="1"/>
  <c r="D796" i="2" s="1"/>
  <c r="D802" i="2" s="1"/>
  <c r="D810" i="2" s="1"/>
  <c r="D838" i="2" s="1"/>
  <c r="D844" i="2" s="1"/>
  <c r="D852" i="2" s="1"/>
  <c r="D880" i="2" s="1"/>
  <c r="D886" i="2" s="1"/>
  <c r="D894" i="2" s="1"/>
  <c r="D922" i="2" s="1"/>
  <c r="D928" i="2" s="1"/>
  <c r="D936" i="2" s="1"/>
  <c r="D964" i="2" s="1"/>
  <c r="D970" i="2" s="1"/>
  <c r="D978" i="2" s="1"/>
  <c r="D1006" i="2" s="1"/>
  <c r="D1012" i="2" s="1"/>
  <c r="C600" i="2"/>
  <c r="C628" i="2" s="1"/>
  <c r="C634" i="2" s="1"/>
  <c r="C642" i="2" s="1"/>
  <c r="C670" i="2" s="1"/>
  <c r="C676" i="2" s="1"/>
  <c r="C684" i="2" s="1"/>
  <c r="C712" i="2" s="1"/>
  <c r="C718" i="2" s="1"/>
  <c r="C726" i="2" s="1"/>
  <c r="C754" i="2" s="1"/>
  <c r="C760" i="2" s="1"/>
  <c r="C768" i="2" s="1"/>
  <c r="C796" i="2" s="1"/>
  <c r="C802" i="2" s="1"/>
  <c r="C810" i="2" s="1"/>
  <c r="C838" i="2" s="1"/>
  <c r="C844" i="2" s="1"/>
  <c r="C852" i="2" s="1"/>
  <c r="C880" i="2" s="1"/>
  <c r="C886" i="2" s="1"/>
  <c r="C894" i="2" s="1"/>
  <c r="C922" i="2" s="1"/>
  <c r="C928" i="2" s="1"/>
  <c r="AP516" i="2"/>
  <c r="AP544" i="2" s="1"/>
  <c r="AP550" i="2" s="1"/>
  <c r="AP558" i="2" s="1"/>
  <c r="AP586" i="2" s="1"/>
  <c r="AP592" i="2" s="1"/>
  <c r="AP600" i="2" s="1"/>
  <c r="AP628" i="2" s="1"/>
  <c r="AP634" i="2" s="1"/>
  <c r="AP642" i="2" s="1"/>
  <c r="AP670" i="2" s="1"/>
  <c r="AP676" i="2" s="1"/>
  <c r="AP684" i="2" s="1"/>
  <c r="AP712" i="2" s="1"/>
  <c r="AP718" i="2" s="1"/>
  <c r="AP726" i="2" s="1"/>
  <c r="AP754" i="2" s="1"/>
  <c r="AP760" i="2" s="1"/>
  <c r="AP768" i="2" s="1"/>
  <c r="AP796" i="2" s="1"/>
  <c r="AP802" i="2" s="1"/>
  <c r="AP810" i="2" s="1"/>
  <c r="AP838" i="2" s="1"/>
  <c r="BO516" i="2"/>
  <c r="BO544" i="2" s="1"/>
  <c r="BO550" i="2" s="1"/>
  <c r="AO516" i="2"/>
  <c r="AO544" i="2" s="1"/>
  <c r="AO550" i="2" s="1"/>
  <c r="AO558" i="2" s="1"/>
  <c r="AO586" i="2" s="1"/>
  <c r="AO592" i="2" s="1"/>
  <c r="AO600" i="2" s="1"/>
  <c r="BN516" i="2"/>
  <c r="BN544" i="2" s="1"/>
  <c r="BN550" i="2" s="1"/>
  <c r="O516" i="2"/>
  <c r="O544" i="2" s="1"/>
  <c r="O550" i="2" s="1"/>
  <c r="O558" i="2" s="1"/>
  <c r="O586" i="2" s="1"/>
  <c r="O592" i="2" s="1"/>
  <c r="O600" i="2" s="1"/>
  <c r="O628" i="2" s="1"/>
  <c r="O634" i="2" s="1"/>
  <c r="O642" i="2" s="1"/>
  <c r="O670" i="2" s="1"/>
  <c r="O676" i="2" s="1"/>
  <c r="O684" i="2" s="1"/>
  <c r="O712" i="2" s="1"/>
  <c r="O718" i="2" s="1"/>
  <c r="O726" i="2" s="1"/>
  <c r="O754" i="2" s="1"/>
  <c r="O760" i="2" s="1"/>
  <c r="O768" i="2" s="1"/>
  <c r="O796" i="2" s="1"/>
  <c r="O802" i="2" s="1"/>
  <c r="O810" i="2" s="1"/>
  <c r="O838" i="2" s="1"/>
  <c r="O844" i="2" s="1"/>
  <c r="O852" i="2" s="1"/>
  <c r="O880" i="2" s="1"/>
  <c r="O886" i="2" s="1"/>
  <c r="O894" i="2" s="1"/>
  <c r="O922" i="2" s="1"/>
  <c r="O928" i="2" s="1"/>
  <c r="O936" i="2" s="1"/>
  <c r="O964" i="2" s="1"/>
  <c r="O970" i="2" s="1"/>
  <c r="O978" i="2" s="1"/>
  <c r="O1006" i="2" s="1"/>
  <c r="O1012" i="2" s="1"/>
  <c r="O1020" i="2" s="1"/>
  <c r="O1048" i="2" s="1"/>
  <c r="O1055" i="2" s="1"/>
  <c r="O502" i="2"/>
  <c r="BI516" i="2" s="1"/>
  <c r="BI544" i="2" s="1"/>
  <c r="BI550" i="2" s="1"/>
  <c r="N516" i="2"/>
  <c r="N544" i="2" s="1"/>
  <c r="N550" i="2" s="1"/>
  <c r="N558" i="2" s="1"/>
  <c r="N586" i="2" s="1"/>
  <c r="N592" i="2" s="1"/>
  <c r="N600" i="2" s="1"/>
  <c r="N628" i="2" s="1"/>
  <c r="N634" i="2" s="1"/>
  <c r="N642" i="2" s="1"/>
  <c r="N670" i="2" s="1"/>
  <c r="N676" i="2" s="1"/>
  <c r="N684" i="2" s="1"/>
  <c r="N712" i="2" s="1"/>
  <c r="N718" i="2" s="1"/>
  <c r="N726" i="2" s="1"/>
  <c r="N754" i="2" s="1"/>
  <c r="N760" i="2" s="1"/>
  <c r="N768" i="2" s="1"/>
  <c r="N796" i="2" s="1"/>
  <c r="N802" i="2" s="1"/>
  <c r="N810" i="2" s="1"/>
  <c r="N838" i="2" s="1"/>
  <c r="N844" i="2" s="1"/>
  <c r="N852" i="2" s="1"/>
  <c r="N880" i="2" s="1"/>
  <c r="N886" i="2" s="1"/>
  <c r="N894" i="2" s="1"/>
  <c r="N922" i="2" s="1"/>
  <c r="N928" i="2" s="1"/>
  <c r="N936" i="2" s="1"/>
  <c r="N964" i="2" s="1"/>
  <c r="N970" i="2" s="1"/>
  <c r="N978" i="2" s="1"/>
  <c r="N1006" i="2" s="1"/>
  <c r="N1012" i="2" s="1"/>
  <c r="N1020" i="2" s="1"/>
  <c r="N1048" i="2" s="1"/>
  <c r="N1055" i="2" s="1"/>
  <c r="N1063" i="2" s="1"/>
  <c r="N1091" i="2" s="1"/>
  <c r="N502" i="2"/>
  <c r="AM461" i="2"/>
  <c r="AM462" i="2" s="1"/>
  <c r="AR461" i="2"/>
  <c r="AH461" i="2"/>
  <c r="AF462" i="2" s="1"/>
  <c r="AW461" i="2"/>
  <c r="AU462" i="2" s="1"/>
  <c r="AQ348" i="2"/>
  <c r="L9" i="1"/>
  <c r="K193" i="1"/>
  <c r="AX81" i="2"/>
  <c r="Q270" i="1"/>
  <c r="AD153" i="1"/>
  <c r="V81" i="2"/>
  <c r="L153" i="1"/>
  <c r="AI264" i="2"/>
  <c r="AI231" i="1"/>
  <c r="AX207" i="2"/>
  <c r="F37" i="1"/>
  <c r="AI348" i="1"/>
  <c r="AX165" i="2"/>
  <c r="AX123" i="2"/>
  <c r="V207" i="2"/>
  <c r="L75" i="1"/>
  <c r="AD114" i="1"/>
  <c r="AI426" i="1"/>
  <c r="AI165" i="1"/>
  <c r="AR54" i="2"/>
  <c r="L114" i="1"/>
  <c r="X193" i="1"/>
  <c r="V165" i="2"/>
  <c r="AR46" i="2"/>
  <c r="Q387" i="1"/>
  <c r="AH193" i="1"/>
  <c r="Q348" i="1"/>
  <c r="AR40" i="2"/>
  <c r="AX39" i="2"/>
  <c r="AC193" i="1"/>
  <c r="AI387" i="1"/>
  <c r="AX12" i="2"/>
  <c r="Q426" i="1"/>
  <c r="U46" i="2"/>
  <c r="U40" i="2"/>
  <c r="Q231" i="1"/>
  <c r="K204" i="1"/>
  <c r="K232" i="1" s="1"/>
  <c r="V249" i="2"/>
  <c r="AW54" i="2"/>
  <c r="K37" i="1"/>
  <c r="AC199" i="1"/>
  <c r="X43" i="1"/>
  <c r="V12" i="2"/>
  <c r="F40" i="2"/>
  <c r="AX249" i="2"/>
  <c r="AD75" i="1"/>
  <c r="X199" i="1"/>
  <c r="P46" i="2"/>
  <c r="AC43" i="1"/>
  <c r="X311" i="1"/>
  <c r="AM40" i="2"/>
  <c r="V123" i="2"/>
  <c r="V39" i="2"/>
  <c r="AI192" i="1"/>
  <c r="P165" i="1"/>
  <c r="Q165" i="1" s="1"/>
  <c r="M193" i="1"/>
  <c r="M199" i="1" s="1"/>
  <c r="F193" i="1"/>
  <c r="G46" i="2"/>
  <c r="K40" i="2"/>
  <c r="AW40" i="2"/>
  <c r="K43" i="1"/>
  <c r="AW82" i="2"/>
  <c r="AD36" i="1"/>
  <c r="AC37" i="1"/>
  <c r="P40" i="2"/>
  <c r="AD9" i="1"/>
  <c r="X37" i="1"/>
  <c r="AH40" i="2"/>
  <c r="Q309" i="1"/>
  <c r="B54" i="2"/>
  <c r="F46" i="2"/>
  <c r="AH199" i="1"/>
  <c r="AC238" i="1"/>
  <c r="AC311" i="1"/>
  <c r="AI270" i="1"/>
  <c r="AC204" i="1"/>
  <c r="AC232" i="1" s="1"/>
  <c r="AW46" i="2"/>
  <c r="AW88" i="2"/>
  <c r="L36" i="1"/>
  <c r="AD54" i="2"/>
  <c r="AH46" i="2"/>
  <c r="I76" i="1"/>
  <c r="I82" i="1" s="1"/>
  <c r="K48" i="1"/>
  <c r="K76" i="1" s="1"/>
  <c r="F48" i="1"/>
  <c r="Y310" i="1"/>
  <c r="Y316" i="1" s="1"/>
  <c r="AJ54" i="2"/>
  <c r="AM46" i="2"/>
  <c r="H82" i="2"/>
  <c r="AD310" i="1"/>
  <c r="AD316" i="1" s="1"/>
  <c r="AT124" i="2"/>
  <c r="AW96" i="2"/>
  <c r="B204" i="1"/>
  <c r="F199" i="1"/>
  <c r="K199" i="1"/>
  <c r="Q82" i="2"/>
  <c r="U54" i="2"/>
  <c r="AE232" i="1"/>
  <c r="AE238" i="1" s="1"/>
  <c r="AH204" i="1"/>
  <c r="AH232" i="1" s="1"/>
  <c r="AS138" i="2"/>
  <c r="AC243" i="1"/>
  <c r="Z271" i="1"/>
  <c r="Z277" i="1" s="1"/>
  <c r="Y76" i="1"/>
  <c r="Y82" i="1" s="1"/>
  <c r="AC48" i="1"/>
  <c r="AC76" i="1" s="1"/>
  <c r="G243" i="1"/>
  <c r="K238" i="1"/>
  <c r="AD350" i="1"/>
  <c r="T87" i="1"/>
  <c r="F43" i="1"/>
  <c r="AE130" i="2"/>
  <c r="L180" i="2"/>
  <c r="AH311" i="1"/>
  <c r="AD312" i="1" s="1"/>
  <c r="AI309" i="1"/>
  <c r="Q192" i="1"/>
  <c r="P54" i="2"/>
  <c r="M82" i="2"/>
  <c r="X204" i="1"/>
  <c r="X232" i="1" s="1"/>
  <c r="U232" i="1"/>
  <c r="U238" i="1" s="1"/>
  <c r="G115" i="1"/>
  <c r="G121" i="1" s="1"/>
  <c r="F82" i="1"/>
  <c r="B87" i="1"/>
  <c r="L271" i="1"/>
  <c r="L277" i="1" s="1"/>
  <c r="T321" i="1"/>
  <c r="X48" i="1"/>
  <c r="U76" i="1"/>
  <c r="U82" i="1" s="1"/>
  <c r="U87" i="1" s="1"/>
  <c r="U115" i="1" s="1"/>
  <c r="U121" i="1" s="1"/>
  <c r="U126" i="1" s="1"/>
  <c r="U154" i="1" s="1"/>
  <c r="AR82" i="2"/>
  <c r="AN88" i="2"/>
  <c r="O1063" i="2" l="1"/>
  <c r="O1091" i="2" s="1"/>
  <c r="R1063" i="2"/>
  <c r="D1020" i="2"/>
  <c r="D1048" i="2" s="1"/>
  <c r="D1055" i="2" s="1"/>
  <c r="D1063" i="2" s="1"/>
  <c r="D1091" i="2" s="1"/>
  <c r="J964" i="2"/>
  <c r="J970" i="2" s="1"/>
  <c r="J978" i="2" s="1"/>
  <c r="J1006" i="2" s="1"/>
  <c r="J1012" i="2" s="1"/>
  <c r="J1020" i="2" s="1"/>
  <c r="J1048" i="2" s="1"/>
  <c r="J1055" i="2" s="1"/>
  <c r="J1063" i="2" s="1"/>
  <c r="J1091" i="2" s="1"/>
  <c r="C936" i="2"/>
  <c r="AV844" i="2"/>
  <c r="AV852" i="2" s="1"/>
  <c r="AV880" i="2" s="1"/>
  <c r="AV886" i="2" s="1"/>
  <c r="AV894" i="2" s="1"/>
  <c r="AV922" i="2" s="1"/>
  <c r="AV928" i="2" s="1"/>
  <c r="AV936" i="2" s="1"/>
  <c r="AV964" i="2" s="1"/>
  <c r="AV970" i="2" s="1"/>
  <c r="AV978" i="2" s="1"/>
  <c r="AV1006" i="2" s="1"/>
  <c r="AV1012" i="2" s="1"/>
  <c r="AV1020" i="2" s="1"/>
  <c r="AV1048" i="2" s="1"/>
  <c r="AV1055" i="2" s="1"/>
  <c r="AV1063" i="2" s="1"/>
  <c r="AV1091" i="2" s="1"/>
  <c r="AV1098" i="2" s="1"/>
  <c r="AV1106" i="2" s="1"/>
  <c r="AV1134" i="2" s="1"/>
  <c r="AV1141" i="2" s="1"/>
  <c r="AV1149" i="2" s="1"/>
  <c r="AV1177" i="2" s="1"/>
  <c r="AV1184" i="2" s="1"/>
  <c r="AV1192" i="2" s="1"/>
  <c r="AV1220" i="2" s="1"/>
  <c r="AV1227" i="2" s="1"/>
  <c r="AV1235" i="2" s="1"/>
  <c r="AV1263" i="2" s="1"/>
  <c r="AV1270" i="2" s="1"/>
  <c r="AV1278" i="2" s="1"/>
  <c r="AV1306" i="2" s="1"/>
  <c r="AV1313" i="2" s="1"/>
  <c r="AV1321" i="2" s="1"/>
  <c r="AV1349" i="2" s="1"/>
  <c r="AV1356" i="2" s="1"/>
  <c r="AV1364" i="2" s="1"/>
  <c r="AV1392" i="2" s="1"/>
  <c r="AV1399" i="2" s="1"/>
  <c r="AV1407" i="2" s="1"/>
  <c r="AV1435" i="2" s="1"/>
  <c r="AV1442" i="2" s="1"/>
  <c r="AV1450" i="2" s="1"/>
  <c r="AV1478" i="2" s="1"/>
  <c r="AP844" i="2"/>
  <c r="AP852" i="2" s="1"/>
  <c r="AP880" i="2" s="1"/>
  <c r="AP886" i="2" s="1"/>
  <c r="AP894" i="2" s="1"/>
  <c r="AP922" i="2" s="1"/>
  <c r="AP928" i="2" s="1"/>
  <c r="AP936" i="2" s="1"/>
  <c r="AP964" i="2" s="1"/>
  <c r="AP970" i="2" s="1"/>
  <c r="AP978" i="2" s="1"/>
  <c r="AP1006" i="2" s="1"/>
  <c r="AP1012" i="2" s="1"/>
  <c r="AP1020" i="2" s="1"/>
  <c r="AP1048" i="2" s="1"/>
  <c r="AP1055" i="2" s="1"/>
  <c r="AP1063" i="2" s="1"/>
  <c r="AP1091" i="2" s="1"/>
  <c r="AP1098" i="2" s="1"/>
  <c r="AP1106" i="2" s="1"/>
  <c r="AP1134" i="2" s="1"/>
  <c r="AP1141" i="2" s="1"/>
  <c r="AP1149" i="2" s="1"/>
  <c r="AP1177" i="2" s="1"/>
  <c r="AP1184" i="2" s="1"/>
  <c r="AP1192" i="2" s="1"/>
  <c r="AP1220" i="2" s="1"/>
  <c r="AP1227" i="2" s="1"/>
  <c r="AP1235" i="2" s="1"/>
  <c r="AP1263" i="2" s="1"/>
  <c r="AP1270" i="2" s="1"/>
  <c r="AP1278" i="2" s="1"/>
  <c r="AP1306" i="2" s="1"/>
  <c r="AP1313" i="2" s="1"/>
  <c r="AP1321" i="2" s="1"/>
  <c r="AP1349" i="2" s="1"/>
  <c r="AP1356" i="2" s="1"/>
  <c r="AP1364" i="2" s="1"/>
  <c r="AP1392" i="2" s="1"/>
  <c r="AP1399" i="2" s="1"/>
  <c r="AP1407" i="2" s="1"/>
  <c r="AP1435" i="2" s="1"/>
  <c r="AP1442" i="2" s="1"/>
  <c r="AP1450" i="2" s="1"/>
  <c r="AP1478" i="2" s="1"/>
  <c r="AO628" i="2"/>
  <c r="AO634" i="2" s="1"/>
  <c r="AO642" i="2" s="1"/>
  <c r="AO670" i="2" s="1"/>
  <c r="AO676" i="2" s="1"/>
  <c r="AO684" i="2" s="1"/>
  <c r="AO712" i="2" s="1"/>
  <c r="AO718" i="2" s="1"/>
  <c r="AO726" i="2" s="1"/>
  <c r="AO754" i="2" s="1"/>
  <c r="AO760" i="2" s="1"/>
  <c r="AO768" i="2" s="1"/>
  <c r="AO796" i="2" s="1"/>
  <c r="AO802" i="2" s="1"/>
  <c r="AO810" i="2" s="1"/>
  <c r="AO838" i="2" s="1"/>
  <c r="BI558" i="2"/>
  <c r="BI586" i="2" s="1"/>
  <c r="BI592" i="2" s="1"/>
  <c r="BI600" i="2" s="1"/>
  <c r="BI628" i="2" s="1"/>
  <c r="BI634" i="2" s="1"/>
  <c r="BI642" i="2" s="1"/>
  <c r="BI670" i="2" s="1"/>
  <c r="BI676" i="2" s="1"/>
  <c r="BI684" i="2" s="1"/>
  <c r="BI712" i="2" s="1"/>
  <c r="BI718" i="2" s="1"/>
  <c r="BI726" i="2" s="1"/>
  <c r="BI754" i="2" s="1"/>
  <c r="BI760" i="2" s="1"/>
  <c r="BI768" i="2" s="1"/>
  <c r="BI796" i="2" s="1"/>
  <c r="BI802" i="2" s="1"/>
  <c r="BI810" i="2" s="1"/>
  <c r="BN558" i="2"/>
  <c r="BN586" i="2" s="1"/>
  <c r="BN592" i="2" s="1"/>
  <c r="BN600" i="2" s="1"/>
  <c r="BN628" i="2" s="1"/>
  <c r="BN634" i="2" s="1"/>
  <c r="BN642" i="2" s="1"/>
  <c r="BN670" i="2" s="1"/>
  <c r="BN676" i="2" s="1"/>
  <c r="BN684" i="2" s="1"/>
  <c r="BN712" i="2" s="1"/>
  <c r="BN718" i="2" s="1"/>
  <c r="BN726" i="2" s="1"/>
  <c r="BN754" i="2" s="1"/>
  <c r="BN760" i="2" s="1"/>
  <c r="BN768" i="2" s="1"/>
  <c r="BN796" i="2" s="1"/>
  <c r="BN802" i="2" s="1"/>
  <c r="BN810" i="2" s="1"/>
  <c r="BN838" i="2" s="1"/>
  <c r="BN844" i="2" s="1"/>
  <c r="BN852" i="2" s="1"/>
  <c r="BN880" i="2" s="1"/>
  <c r="BN886" i="2" s="1"/>
  <c r="BN894" i="2" s="1"/>
  <c r="BN922" i="2" s="1"/>
  <c r="BN928" i="2" s="1"/>
  <c r="BN936" i="2" s="1"/>
  <c r="BN964" i="2" s="1"/>
  <c r="BN970" i="2" s="1"/>
  <c r="BN978" i="2" s="1"/>
  <c r="BN1006" i="2" s="1"/>
  <c r="BN1012" i="2" s="1"/>
  <c r="BN1020" i="2" s="1"/>
  <c r="BN1048" i="2" s="1"/>
  <c r="BN1055" i="2" s="1"/>
  <c r="BN1063" i="2" s="1"/>
  <c r="BN1091" i="2" s="1"/>
  <c r="BO558" i="2"/>
  <c r="BO586" i="2" s="1"/>
  <c r="BO592" i="2" s="1"/>
  <c r="BO600" i="2" s="1"/>
  <c r="BO628" i="2" s="1"/>
  <c r="BO634" i="2" s="1"/>
  <c r="BO642" i="2" s="1"/>
  <c r="BO670" i="2" s="1"/>
  <c r="BO676" i="2" s="1"/>
  <c r="BO684" i="2" s="1"/>
  <c r="BO712" i="2" s="1"/>
  <c r="BO718" i="2" s="1"/>
  <c r="BO726" i="2" s="1"/>
  <c r="BO754" i="2" s="1"/>
  <c r="BO760" i="2" s="1"/>
  <c r="BO768" i="2" s="1"/>
  <c r="BO796" i="2" s="1"/>
  <c r="BO802" i="2" s="1"/>
  <c r="BO810" i="2" s="1"/>
  <c r="BO838" i="2" s="1"/>
  <c r="BO844" i="2" s="1"/>
  <c r="BO852" i="2" s="1"/>
  <c r="BO880" i="2" s="1"/>
  <c r="BO886" i="2" s="1"/>
  <c r="BO894" i="2" s="1"/>
  <c r="BO922" i="2" s="1"/>
  <c r="BO928" i="2" s="1"/>
  <c r="BO936" i="2" s="1"/>
  <c r="BO964" i="2" s="1"/>
  <c r="BO970" i="2" s="1"/>
  <c r="BO978" i="2" s="1"/>
  <c r="BO1006" i="2" s="1"/>
  <c r="BO1012" i="2" s="1"/>
  <c r="BO1020" i="2" s="1"/>
  <c r="BO1048" i="2" s="1"/>
  <c r="BO1055" i="2" s="1"/>
  <c r="BO1063" i="2" s="1"/>
  <c r="BO1091" i="2" s="1"/>
  <c r="BH516" i="2"/>
  <c r="AT462" i="2"/>
  <c r="AK462" i="2"/>
  <c r="AI462" i="2"/>
  <c r="AJ462" i="2"/>
  <c r="AL462" i="2"/>
  <c r="AV462" i="2"/>
  <c r="AH462" i="2"/>
  <c r="AD462" i="2"/>
  <c r="AX461" i="2"/>
  <c r="AW462" i="2"/>
  <c r="AS462" i="2"/>
  <c r="AE462" i="2"/>
  <c r="AG462" i="2"/>
  <c r="AQ376" i="2"/>
  <c r="AQ382" i="2" s="1"/>
  <c r="AQ390" i="2" s="1"/>
  <c r="AQ418" i="2" s="1"/>
  <c r="AQ424" i="2" s="1"/>
  <c r="AQ432" i="2" s="1"/>
  <c r="AQ460" i="2" s="1"/>
  <c r="AQ466" i="2" s="1"/>
  <c r="AQ474" i="2" s="1"/>
  <c r="AQ502" i="2" s="1"/>
  <c r="L37" i="1"/>
  <c r="AI292" i="2"/>
  <c r="AI298" i="2" s="1"/>
  <c r="AI199" i="1"/>
  <c r="AI193" i="1"/>
  <c r="X82" i="1"/>
  <c r="AD37" i="1"/>
  <c r="AD43" i="1"/>
  <c r="AI204" i="1"/>
  <c r="V40" i="2"/>
  <c r="AX40" i="2"/>
  <c r="AI232" i="1"/>
  <c r="L43" i="1"/>
  <c r="M204" i="1"/>
  <c r="P199" i="1"/>
  <c r="Q199" i="1" s="1"/>
  <c r="X312" i="1"/>
  <c r="V312" i="1"/>
  <c r="T312" i="1"/>
  <c r="U312" i="1"/>
  <c r="W312" i="1"/>
  <c r="P193" i="1"/>
  <c r="Q193" i="1" s="1"/>
  <c r="AA312" i="1"/>
  <c r="AC312" i="1"/>
  <c r="Y312" i="1"/>
  <c r="AB312" i="1"/>
  <c r="Z312" i="1"/>
  <c r="AX46" i="2"/>
  <c r="AD82" i="2"/>
  <c r="AH54" i="2"/>
  <c r="G54" i="2"/>
  <c r="K46" i="2"/>
  <c r="V46" i="2" s="1"/>
  <c r="B82" i="2"/>
  <c r="F54" i="2"/>
  <c r="T349" i="1"/>
  <c r="T355" i="1" s="1"/>
  <c r="AD321" i="1"/>
  <c r="T115" i="1"/>
  <c r="T121" i="1" s="1"/>
  <c r="X87" i="1"/>
  <c r="AS166" i="2"/>
  <c r="AT130" i="2"/>
  <c r="AW124" i="2"/>
  <c r="H88" i="2"/>
  <c r="AN96" i="2"/>
  <c r="AR88" i="2"/>
  <c r="Y321" i="1"/>
  <c r="G126" i="1"/>
  <c r="L208" i="2"/>
  <c r="U243" i="1"/>
  <c r="X238" i="1"/>
  <c r="L282" i="1"/>
  <c r="AE138" i="2"/>
  <c r="AD389" i="1"/>
  <c r="Y87" i="1"/>
  <c r="AC82" i="1"/>
  <c r="B232" i="1"/>
  <c r="B238" i="1" s="1"/>
  <c r="F204" i="1"/>
  <c r="F76" i="1"/>
  <c r="L76" i="1" s="1"/>
  <c r="L48" i="1"/>
  <c r="P82" i="2"/>
  <c r="M88" i="2"/>
  <c r="AE243" i="1"/>
  <c r="AH238" i="1"/>
  <c r="AJ82" i="2"/>
  <c r="AM54" i="2"/>
  <c r="Q88" i="2"/>
  <c r="U82" i="2"/>
  <c r="F87" i="1"/>
  <c r="B115" i="1"/>
  <c r="B121" i="1" s="1"/>
  <c r="AF312" i="1"/>
  <c r="AG312" i="1"/>
  <c r="AH312" i="1"/>
  <c r="AH350" i="1"/>
  <c r="AD351" i="1" s="1"/>
  <c r="AE312" i="1"/>
  <c r="Z282" i="1"/>
  <c r="AC277" i="1"/>
  <c r="AD48" i="1"/>
  <c r="X76" i="1"/>
  <c r="AD76" i="1" s="1"/>
  <c r="G271" i="1"/>
  <c r="G277" i="1" s="1"/>
  <c r="K243" i="1"/>
  <c r="AC271" i="1"/>
  <c r="I87" i="1"/>
  <c r="K82" i="1"/>
  <c r="L82" i="1" s="1"/>
  <c r="R1091" i="2" l="1"/>
  <c r="C964" i="2"/>
  <c r="C970" i="2" s="1"/>
  <c r="C978" i="2" s="1"/>
  <c r="C1006" i="2" s="1"/>
  <c r="C1012" i="2" s="1"/>
  <c r="C1020" i="2" s="1"/>
  <c r="C1048" i="2" s="1"/>
  <c r="C1055" i="2" s="1"/>
  <c r="AO844" i="2"/>
  <c r="AO852" i="2" s="1"/>
  <c r="AO880" i="2" s="1"/>
  <c r="AO886" i="2" s="1"/>
  <c r="AO894" i="2" s="1"/>
  <c r="AO922" i="2" s="1"/>
  <c r="AO928" i="2" s="1"/>
  <c r="AO936" i="2" s="1"/>
  <c r="AO964" i="2" s="1"/>
  <c r="AO970" i="2" s="1"/>
  <c r="AO978" i="2" s="1"/>
  <c r="AO1006" i="2" s="1"/>
  <c r="AO1012" i="2" s="1"/>
  <c r="AO1020" i="2" s="1"/>
  <c r="AO1048" i="2" s="1"/>
  <c r="AO1055" i="2" s="1"/>
  <c r="BI838" i="2"/>
  <c r="BI844" i="2" s="1"/>
  <c r="BI852" i="2" s="1"/>
  <c r="BI880" i="2" s="1"/>
  <c r="BI886" i="2" s="1"/>
  <c r="BI894" i="2" s="1"/>
  <c r="BI922" i="2" s="1"/>
  <c r="BI928" i="2" s="1"/>
  <c r="BI936" i="2" s="1"/>
  <c r="BI964" i="2" s="1"/>
  <c r="BI970" i="2" s="1"/>
  <c r="BI978" i="2" s="1"/>
  <c r="BI1006" i="2" s="1"/>
  <c r="BI1012" i="2" s="1"/>
  <c r="BI1020" i="2" s="1"/>
  <c r="BI1048" i="2" s="1"/>
  <c r="BI1055" i="2" s="1"/>
  <c r="BI1063" i="2" s="1"/>
  <c r="BI1091" i="2" s="1"/>
  <c r="AQ516" i="2"/>
  <c r="AQ544" i="2" s="1"/>
  <c r="BP516" i="2"/>
  <c r="BP544" i="2" s="1"/>
  <c r="BP550" i="2" s="1"/>
  <c r="BH544" i="2"/>
  <c r="BH550" i="2" s="1"/>
  <c r="BH558" i="2" s="1"/>
  <c r="BH586" i="2" s="1"/>
  <c r="BH592" i="2" s="1"/>
  <c r="BH600" i="2" s="1"/>
  <c r="BH628" i="2" s="1"/>
  <c r="BH634" i="2" s="1"/>
  <c r="BH642" i="2" s="1"/>
  <c r="BH670" i="2" s="1"/>
  <c r="BH676" i="2" s="1"/>
  <c r="BH684" i="2" s="1"/>
  <c r="BH712" i="2" s="1"/>
  <c r="BH718" i="2" s="1"/>
  <c r="BH726" i="2" s="1"/>
  <c r="BH754" i="2" s="1"/>
  <c r="BH760" i="2" s="1"/>
  <c r="BH768" i="2" s="1"/>
  <c r="BH796" i="2" s="1"/>
  <c r="BH802" i="2" s="1"/>
  <c r="BH810" i="2" s="1"/>
  <c r="BH838" i="2" s="1"/>
  <c r="BH844" i="2" s="1"/>
  <c r="BH852" i="2" s="1"/>
  <c r="BH880" i="2" s="1"/>
  <c r="BH886" i="2" s="1"/>
  <c r="BH894" i="2" s="1"/>
  <c r="BH922" i="2" s="1"/>
  <c r="BH928" i="2" s="1"/>
  <c r="BH936" i="2" s="1"/>
  <c r="BH964" i="2" s="1"/>
  <c r="BH970" i="2" s="1"/>
  <c r="BH978" i="2" s="1"/>
  <c r="BH1006" i="2" s="1"/>
  <c r="BH1012" i="2" s="1"/>
  <c r="BH1020" i="2" s="1"/>
  <c r="BH1048" i="2" s="1"/>
  <c r="BH1055" i="2" s="1"/>
  <c r="BH1063" i="2" s="1"/>
  <c r="BH1091" i="2" s="1"/>
  <c r="AI306" i="2"/>
  <c r="AD82" i="1"/>
  <c r="AX54" i="2"/>
  <c r="M232" i="1"/>
  <c r="M238" i="1" s="1"/>
  <c r="P204" i="1"/>
  <c r="P232" i="1" s="1"/>
  <c r="AI238" i="1"/>
  <c r="AD88" i="2"/>
  <c r="AH82" i="2"/>
  <c r="F82" i="2"/>
  <c r="B88" i="2"/>
  <c r="G82" i="2"/>
  <c r="K54" i="2"/>
  <c r="V54" i="2" s="1"/>
  <c r="F232" i="1"/>
  <c r="B243" i="1"/>
  <c r="F238" i="1"/>
  <c r="AE166" i="2"/>
  <c r="H96" i="2"/>
  <c r="AJ88" i="2"/>
  <c r="AM82" i="2"/>
  <c r="M96" i="2"/>
  <c r="P88" i="2"/>
  <c r="L310" i="1"/>
  <c r="L316" i="1" s="1"/>
  <c r="Y349" i="1"/>
  <c r="Y355" i="1" s="1"/>
  <c r="AD349" i="1"/>
  <c r="AD355" i="1" s="1"/>
  <c r="F115" i="1"/>
  <c r="U88" i="2"/>
  <c r="Q96" i="2"/>
  <c r="AE271" i="1"/>
  <c r="AE277" i="1" s="1"/>
  <c r="AH243" i="1"/>
  <c r="X243" i="1"/>
  <c r="X271" i="1" s="1"/>
  <c r="U271" i="1"/>
  <c r="U277" i="1" s="1"/>
  <c r="X121" i="1"/>
  <c r="T126" i="1"/>
  <c r="K271" i="1"/>
  <c r="Z310" i="1"/>
  <c r="Z316" i="1" s="1"/>
  <c r="AC282" i="1"/>
  <c r="F121" i="1"/>
  <c r="B126" i="1"/>
  <c r="AC87" i="1"/>
  <c r="AC115" i="1" s="1"/>
  <c r="Y115" i="1"/>
  <c r="Y121" i="1" s="1"/>
  <c r="AT138" i="2"/>
  <c r="AW130" i="2"/>
  <c r="I115" i="1"/>
  <c r="I121" i="1" s="1"/>
  <c r="K87" i="1"/>
  <c r="K115" i="1" s="1"/>
  <c r="AH389" i="1"/>
  <c r="AH390" i="1" s="1"/>
  <c r="AH351" i="1"/>
  <c r="AF351" i="1"/>
  <c r="AG351" i="1"/>
  <c r="AE351" i="1"/>
  <c r="AE390" i="1"/>
  <c r="AF390" i="1"/>
  <c r="AG390" i="1"/>
  <c r="AD390" i="1"/>
  <c r="AR96" i="2"/>
  <c r="AN124" i="2"/>
  <c r="AS172" i="2"/>
  <c r="T360" i="1"/>
  <c r="G282" i="1"/>
  <c r="K277" i="1"/>
  <c r="L214" i="2"/>
  <c r="G154" i="1"/>
  <c r="X115" i="1"/>
  <c r="C1063" i="2" l="1"/>
  <c r="C1091" i="2" s="1"/>
  <c r="AO1063" i="2"/>
  <c r="BP558" i="2"/>
  <c r="BP586" i="2" s="1"/>
  <c r="BP592" i="2" s="1"/>
  <c r="BP600" i="2" s="1"/>
  <c r="BP628" i="2" s="1"/>
  <c r="BP634" i="2" s="1"/>
  <c r="BP642" i="2" s="1"/>
  <c r="BP670" i="2" s="1"/>
  <c r="BP676" i="2" s="1"/>
  <c r="BP684" i="2" s="1"/>
  <c r="BP712" i="2" s="1"/>
  <c r="BP718" i="2" s="1"/>
  <c r="BP726" i="2" s="1"/>
  <c r="BP754" i="2" s="1"/>
  <c r="BP760" i="2" s="1"/>
  <c r="BP768" i="2" s="1"/>
  <c r="BP796" i="2" s="1"/>
  <c r="BP802" i="2" s="1"/>
  <c r="BP810" i="2" s="1"/>
  <c r="BP838" i="2" s="1"/>
  <c r="BP844" i="2" s="1"/>
  <c r="BP852" i="2" s="1"/>
  <c r="BP880" i="2" s="1"/>
  <c r="BP886" i="2" s="1"/>
  <c r="BP894" i="2" s="1"/>
  <c r="BP922" i="2" s="1"/>
  <c r="BP928" i="2" s="1"/>
  <c r="BP936" i="2" s="1"/>
  <c r="BP964" i="2" s="1"/>
  <c r="BP970" i="2" s="1"/>
  <c r="BP978" i="2" s="1"/>
  <c r="BP1006" i="2" s="1"/>
  <c r="BP1012" i="2" s="1"/>
  <c r="BP1020" i="2" s="1"/>
  <c r="BP1048" i="2" s="1"/>
  <c r="BP1055" i="2" s="1"/>
  <c r="BP1063" i="2" s="1"/>
  <c r="BP1091" i="2" s="1"/>
  <c r="AQ550" i="2"/>
  <c r="AQ558" i="2" s="1"/>
  <c r="AQ586" i="2" s="1"/>
  <c r="AQ592" i="2" s="1"/>
  <c r="AI334" i="2"/>
  <c r="AI340" i="2" s="1"/>
  <c r="AX82" i="2"/>
  <c r="AD115" i="1"/>
  <c r="Q232" i="1"/>
  <c r="M243" i="1"/>
  <c r="P238" i="1"/>
  <c r="Q238" i="1" s="1"/>
  <c r="Q204" i="1"/>
  <c r="F88" i="2"/>
  <c r="B96" i="2"/>
  <c r="G88" i="2"/>
  <c r="K82" i="2"/>
  <c r="V82" i="2" s="1"/>
  <c r="AD96" i="2"/>
  <c r="AH88" i="2"/>
  <c r="AC310" i="1"/>
  <c r="AD360" i="1"/>
  <c r="M124" i="2"/>
  <c r="P96" i="2"/>
  <c r="Y126" i="1"/>
  <c r="AC121" i="1"/>
  <c r="AD121" i="1" s="1"/>
  <c r="U96" i="2"/>
  <c r="Q124" i="2"/>
  <c r="Y360" i="1"/>
  <c r="AJ96" i="2"/>
  <c r="AM88" i="2"/>
  <c r="AS180" i="2"/>
  <c r="U282" i="1"/>
  <c r="X277" i="1"/>
  <c r="L87" i="1"/>
  <c r="T388" i="1"/>
  <c r="T394" i="1" s="1"/>
  <c r="AT166" i="2"/>
  <c r="AW138" i="2"/>
  <c r="AE282" i="1"/>
  <c r="AH277" i="1"/>
  <c r="L222" i="2"/>
  <c r="B271" i="1"/>
  <c r="B277" i="1" s="1"/>
  <c r="F243" i="1"/>
  <c r="AD87" i="1"/>
  <c r="AR124" i="2"/>
  <c r="AN130" i="2"/>
  <c r="I126" i="1"/>
  <c r="K121" i="1"/>
  <c r="L121" i="1" s="1"/>
  <c r="B154" i="1"/>
  <c r="F126" i="1"/>
  <c r="L115" i="1"/>
  <c r="L321" i="1"/>
  <c r="H124" i="2"/>
  <c r="Z321" i="1"/>
  <c r="AC316" i="1"/>
  <c r="K282" i="1"/>
  <c r="G310" i="1"/>
  <c r="G316" i="1" s="1"/>
  <c r="T154" i="1"/>
  <c r="X126" i="1"/>
  <c r="AH271" i="1"/>
  <c r="AI271" i="1" s="1"/>
  <c r="AI243" i="1"/>
  <c r="AE172" i="2"/>
  <c r="AO1091" i="2" l="1"/>
  <c r="AO1098" i="2" s="1"/>
  <c r="AO1106" i="2" s="1"/>
  <c r="AO1134" i="2" s="1"/>
  <c r="AO1141" i="2" s="1"/>
  <c r="AO1149" i="2" s="1"/>
  <c r="AO1177" i="2" s="1"/>
  <c r="AO1184" i="2" s="1"/>
  <c r="AO1192" i="2" s="1"/>
  <c r="AO1220" i="2" s="1"/>
  <c r="AO1227" i="2" s="1"/>
  <c r="AO1235" i="2" s="1"/>
  <c r="AO1263" i="2" s="1"/>
  <c r="AO1270" i="2" s="1"/>
  <c r="AO1278" i="2" s="1"/>
  <c r="AO1306" i="2" s="1"/>
  <c r="AO1313" i="2" s="1"/>
  <c r="AO1321" i="2" s="1"/>
  <c r="AO1349" i="2" s="1"/>
  <c r="AO1356" i="2" s="1"/>
  <c r="AO1364" i="2" s="1"/>
  <c r="AO1392" i="2" s="1"/>
  <c r="AO1399" i="2" s="1"/>
  <c r="AO1407" i="2" s="1"/>
  <c r="AO1435" i="2" s="1"/>
  <c r="AO1442" i="2" s="1"/>
  <c r="AO1450" i="2" s="1"/>
  <c r="AO1478" i="2" s="1"/>
  <c r="AQ600" i="2"/>
  <c r="AI348" i="2"/>
  <c r="M271" i="1"/>
  <c r="M277" i="1" s="1"/>
  <c r="P243" i="1"/>
  <c r="P271" i="1" s="1"/>
  <c r="G96" i="2"/>
  <c r="K88" i="2"/>
  <c r="V88" i="2" s="1"/>
  <c r="AD124" i="2"/>
  <c r="AH96" i="2"/>
  <c r="AX88" i="2"/>
  <c r="B124" i="2"/>
  <c r="F96" i="2"/>
  <c r="AE310" i="1"/>
  <c r="AE316" i="1" s="1"/>
  <c r="AH282" i="1"/>
  <c r="G321" i="1"/>
  <c r="K316" i="1"/>
  <c r="U310" i="1"/>
  <c r="U316" i="1" s="1"/>
  <c r="X282" i="1"/>
  <c r="X310" i="1" s="1"/>
  <c r="K310" i="1"/>
  <c r="B282" i="1"/>
  <c r="F277" i="1"/>
  <c r="T399" i="1"/>
  <c r="AS208" i="2"/>
  <c r="M130" i="2"/>
  <c r="P124" i="2"/>
  <c r="AE180" i="2"/>
  <c r="AT172" i="2"/>
  <c r="AW166" i="2"/>
  <c r="AC126" i="1"/>
  <c r="AC154" i="1" s="1"/>
  <c r="Y154" i="1"/>
  <c r="H130" i="2"/>
  <c r="F271" i="1"/>
  <c r="I154" i="1"/>
  <c r="K126" i="1"/>
  <c r="K154" i="1" s="1"/>
  <c r="X154" i="1"/>
  <c r="Z349" i="1"/>
  <c r="Z355" i="1" s="1"/>
  <c r="AC321" i="1"/>
  <c r="L349" i="1"/>
  <c r="L355" i="1" s="1"/>
  <c r="AR130" i="2"/>
  <c r="AN138" i="2"/>
  <c r="AI277" i="1"/>
  <c r="Q130" i="2"/>
  <c r="U124" i="2"/>
  <c r="AD388" i="1"/>
  <c r="AD394" i="1" s="1"/>
  <c r="AM96" i="2"/>
  <c r="AJ124" i="2"/>
  <c r="F154" i="1"/>
  <c r="L250" i="2"/>
  <c r="L256" i="2" s="1"/>
  <c r="Y388" i="1"/>
  <c r="Y394" i="1" s="1"/>
  <c r="AQ628" i="2" l="1"/>
  <c r="AQ634" i="2" s="1"/>
  <c r="AQ642" i="2" s="1"/>
  <c r="AQ670" i="2" s="1"/>
  <c r="AQ676" i="2" s="1"/>
  <c r="AQ684" i="2" s="1"/>
  <c r="AQ712" i="2" s="1"/>
  <c r="AQ718" i="2" s="1"/>
  <c r="AQ726" i="2" s="1"/>
  <c r="AQ754" i="2" s="1"/>
  <c r="AQ760" i="2" s="1"/>
  <c r="AQ768" i="2" s="1"/>
  <c r="AQ796" i="2" s="1"/>
  <c r="AQ802" i="2" s="1"/>
  <c r="AQ810" i="2" s="1"/>
  <c r="AQ838" i="2" s="1"/>
  <c r="AI376" i="2"/>
  <c r="AI382" i="2" s="1"/>
  <c r="L264" i="2"/>
  <c r="M282" i="1"/>
  <c r="P277" i="1"/>
  <c r="Q277" i="1" s="1"/>
  <c r="Q271" i="1"/>
  <c r="L126" i="1"/>
  <c r="Q243" i="1"/>
  <c r="AD126" i="1"/>
  <c r="AX96" i="2"/>
  <c r="AD154" i="1"/>
  <c r="AD130" i="2"/>
  <c r="AH124" i="2"/>
  <c r="B130" i="2"/>
  <c r="F124" i="2"/>
  <c r="L154" i="1"/>
  <c r="G124" i="2"/>
  <c r="K96" i="2"/>
  <c r="V96" i="2" s="1"/>
  <c r="AD399" i="1"/>
  <c r="U321" i="1"/>
  <c r="X316" i="1"/>
  <c r="L360" i="1"/>
  <c r="H138" i="2"/>
  <c r="AE208" i="2"/>
  <c r="AS214" i="2"/>
  <c r="Y399" i="1"/>
  <c r="AH310" i="1"/>
  <c r="AI310" i="1" s="1"/>
  <c r="AI282" i="1"/>
  <c r="AR138" i="2"/>
  <c r="AN166" i="2"/>
  <c r="AT180" i="2"/>
  <c r="AW172" i="2"/>
  <c r="AJ130" i="2"/>
  <c r="AM124" i="2"/>
  <c r="Q138" i="2"/>
  <c r="U130" i="2"/>
  <c r="AC349" i="1"/>
  <c r="M138" i="2"/>
  <c r="P130" i="2"/>
  <c r="T427" i="1"/>
  <c r="G349" i="1"/>
  <c r="G355" i="1" s="1"/>
  <c r="K321" i="1"/>
  <c r="Z360" i="1"/>
  <c r="AC355" i="1"/>
  <c r="B310" i="1"/>
  <c r="B316" i="1" s="1"/>
  <c r="F282" i="1"/>
  <c r="AE321" i="1"/>
  <c r="AH316" i="1"/>
  <c r="AQ844" i="2" l="1"/>
  <c r="AQ852" i="2" s="1"/>
  <c r="AQ880" i="2" s="1"/>
  <c r="AQ886" i="2" s="1"/>
  <c r="AQ894" i="2" s="1"/>
  <c r="AQ922" i="2" s="1"/>
  <c r="AQ928" i="2" s="1"/>
  <c r="AQ936" i="2" s="1"/>
  <c r="AQ964" i="2" s="1"/>
  <c r="AQ970" i="2" s="1"/>
  <c r="AQ978" i="2" s="1"/>
  <c r="AQ1006" i="2" s="1"/>
  <c r="AQ1012" i="2" s="1"/>
  <c r="AQ1020" i="2" s="1"/>
  <c r="AQ1048" i="2" s="1"/>
  <c r="AQ1055" i="2" s="1"/>
  <c r="AQ1063" i="2" s="1"/>
  <c r="AQ1091" i="2" s="1"/>
  <c r="AQ1098" i="2" s="1"/>
  <c r="AQ1106" i="2" s="1"/>
  <c r="AQ1134" i="2" s="1"/>
  <c r="AQ1141" i="2" s="1"/>
  <c r="AQ1149" i="2" s="1"/>
  <c r="AQ1177" i="2" s="1"/>
  <c r="AQ1184" i="2" s="1"/>
  <c r="AQ1192" i="2" s="1"/>
  <c r="AQ1220" i="2" s="1"/>
  <c r="AQ1227" i="2" s="1"/>
  <c r="AQ1235" i="2" s="1"/>
  <c r="AQ1263" i="2" s="1"/>
  <c r="AQ1270" i="2" s="1"/>
  <c r="AI390" i="2"/>
  <c r="L292" i="2"/>
  <c r="L298" i="2" s="1"/>
  <c r="AI316" i="1"/>
  <c r="M310" i="1"/>
  <c r="M316" i="1" s="1"/>
  <c r="P282" i="1"/>
  <c r="P310" i="1" s="1"/>
  <c r="AX124" i="2"/>
  <c r="G130" i="2"/>
  <c r="K124" i="2"/>
  <c r="V124" i="2" s="1"/>
  <c r="B138" i="2"/>
  <c r="F130" i="2"/>
  <c r="AD138" i="2"/>
  <c r="AH130" i="2"/>
  <c r="AS222" i="2"/>
  <c r="Q166" i="2"/>
  <c r="U138" i="2"/>
  <c r="L388" i="1"/>
  <c r="L394" i="1" s="1"/>
  <c r="AE349" i="1"/>
  <c r="AE355" i="1" s="1"/>
  <c r="AH321" i="1"/>
  <c r="Z388" i="1"/>
  <c r="Z394" i="1" s="1"/>
  <c r="AC360" i="1"/>
  <c r="M166" i="2"/>
  <c r="P138" i="2"/>
  <c r="AJ138" i="2"/>
  <c r="AM130" i="2"/>
  <c r="AT208" i="2"/>
  <c r="AW180" i="2"/>
  <c r="Y427" i="1"/>
  <c r="AE214" i="2"/>
  <c r="U349" i="1"/>
  <c r="U355" i="1" s="1"/>
  <c r="X321" i="1"/>
  <c r="X349" i="1" s="1"/>
  <c r="F310" i="1"/>
  <c r="K349" i="1"/>
  <c r="AN172" i="2"/>
  <c r="AR166" i="2"/>
  <c r="AD427" i="1"/>
  <c r="F316" i="1"/>
  <c r="B321" i="1"/>
  <c r="K355" i="1"/>
  <c r="G360" i="1"/>
  <c r="H166" i="2"/>
  <c r="AQ1278" i="2" l="1"/>
  <c r="AQ1306" i="2" s="1"/>
  <c r="AQ1313" i="2" s="1"/>
  <c r="AQ1321" i="2" s="1"/>
  <c r="AQ1349" i="2" s="1"/>
  <c r="AQ1356" i="2" s="1"/>
  <c r="AQ1364" i="2" s="1"/>
  <c r="AQ1392" i="2" s="1"/>
  <c r="AQ1399" i="2" s="1"/>
  <c r="AQ1407" i="2" s="1"/>
  <c r="AQ1435" i="2" s="1"/>
  <c r="AQ1442" i="2" s="1"/>
  <c r="AQ1450" i="2" s="1"/>
  <c r="AQ1478" i="2" s="1"/>
  <c r="AI418" i="2"/>
  <c r="AI424" i="2" s="1"/>
  <c r="L306" i="2"/>
  <c r="Q310" i="1"/>
  <c r="Q282" i="1"/>
  <c r="M321" i="1"/>
  <c r="P316" i="1"/>
  <c r="Q316" i="1" s="1"/>
  <c r="AX130" i="2"/>
  <c r="F138" i="2"/>
  <c r="B166" i="2"/>
  <c r="AD166" i="2"/>
  <c r="AH138" i="2"/>
  <c r="G138" i="2"/>
  <c r="K130" i="2"/>
  <c r="V130" i="2" s="1"/>
  <c r="AR172" i="2"/>
  <c r="AN180" i="2"/>
  <c r="AT214" i="2"/>
  <c r="AW208" i="2"/>
  <c r="AH349" i="1"/>
  <c r="AI349" i="1" s="1"/>
  <c r="AI321" i="1"/>
  <c r="AC388" i="1"/>
  <c r="G388" i="1"/>
  <c r="G394" i="1" s="1"/>
  <c r="K360" i="1"/>
  <c r="AE222" i="2"/>
  <c r="AJ166" i="2"/>
  <c r="AM138" i="2"/>
  <c r="AE360" i="1"/>
  <c r="AH355" i="1"/>
  <c r="U166" i="2"/>
  <c r="Q172" i="2"/>
  <c r="U360" i="1"/>
  <c r="X355" i="1"/>
  <c r="H172" i="2"/>
  <c r="Z399" i="1"/>
  <c r="AC394" i="1"/>
  <c r="F321" i="1"/>
  <c r="B349" i="1"/>
  <c r="B355" i="1" s="1"/>
  <c r="M172" i="2"/>
  <c r="P166" i="2"/>
  <c r="L399" i="1"/>
  <c r="AS250" i="2"/>
  <c r="AS256" i="2" s="1"/>
  <c r="AI432" i="2" l="1"/>
  <c r="L334" i="2"/>
  <c r="L340" i="2" s="1"/>
  <c r="AS264" i="2"/>
  <c r="AI355" i="1"/>
  <c r="M349" i="1"/>
  <c r="M355" i="1" s="1"/>
  <c r="P321" i="1"/>
  <c r="P349" i="1" s="1"/>
  <c r="G166" i="2"/>
  <c r="K138" i="2"/>
  <c r="V138" i="2" s="1"/>
  <c r="AD172" i="2"/>
  <c r="AH166" i="2"/>
  <c r="F166" i="2"/>
  <c r="B172" i="2"/>
  <c r="AX138" i="2"/>
  <c r="AE388" i="1"/>
  <c r="AE394" i="1" s="1"/>
  <c r="AH360" i="1"/>
  <c r="G399" i="1"/>
  <c r="K394" i="1"/>
  <c r="L427" i="1"/>
  <c r="K388" i="1"/>
  <c r="H180" i="2"/>
  <c r="M180" i="2"/>
  <c r="P172" i="2"/>
  <c r="U388" i="1"/>
  <c r="U394" i="1" s="1"/>
  <c r="X360" i="1"/>
  <c r="X388" i="1" s="1"/>
  <c r="AJ172" i="2"/>
  <c r="AM166" i="2"/>
  <c r="AT222" i="2"/>
  <c r="AW214" i="2"/>
  <c r="AE250" i="2"/>
  <c r="AE256" i="2" s="1"/>
  <c r="AE264" i="2" s="1"/>
  <c r="AE292" i="2" s="1"/>
  <c r="AE298" i="2" s="1"/>
  <c r="AE306" i="2" s="1"/>
  <c r="AE334" i="2" s="1"/>
  <c r="AE340" i="2" s="1"/>
  <c r="AE348" i="2" s="1"/>
  <c r="AE376" i="2" s="1"/>
  <c r="AE382" i="2" s="1"/>
  <c r="AE390" i="2" s="1"/>
  <c r="AE418" i="2" s="1"/>
  <c r="AE424" i="2" s="1"/>
  <c r="AE432" i="2" s="1"/>
  <c r="AE460" i="2" s="1"/>
  <c r="AE466" i="2" s="1"/>
  <c r="AE474" i="2" s="1"/>
  <c r="AE502" i="2" s="1"/>
  <c r="AE508" i="2" s="1"/>
  <c r="AE516" i="2" s="1"/>
  <c r="AE544" i="2" s="1"/>
  <c r="AE550" i="2" s="1"/>
  <c r="AE558" i="2" s="1"/>
  <c r="AE586" i="2" s="1"/>
  <c r="AE592" i="2" s="1"/>
  <c r="AE600" i="2" s="1"/>
  <c r="AE628" i="2" s="1"/>
  <c r="AE634" i="2" s="1"/>
  <c r="AE642" i="2" s="1"/>
  <c r="AE670" i="2" s="1"/>
  <c r="AE676" i="2" s="1"/>
  <c r="AE684" i="2" s="1"/>
  <c r="AE712" i="2" s="1"/>
  <c r="AE718" i="2" s="1"/>
  <c r="AE726" i="2" s="1"/>
  <c r="AE754" i="2" s="1"/>
  <c r="AE760" i="2" s="1"/>
  <c r="AE768" i="2" s="1"/>
  <c r="AE796" i="2" s="1"/>
  <c r="AE802" i="2" s="1"/>
  <c r="AE810" i="2" s="1"/>
  <c r="AE838" i="2" s="1"/>
  <c r="F355" i="1"/>
  <c r="B360" i="1"/>
  <c r="F349" i="1"/>
  <c r="Z427" i="1"/>
  <c r="AC399" i="1"/>
  <c r="Q180" i="2"/>
  <c r="U172" i="2"/>
  <c r="AR180" i="2"/>
  <c r="AN208" i="2"/>
  <c r="AE844" i="2" l="1"/>
  <c r="AE852" i="2" s="1"/>
  <c r="AE880" i="2" s="1"/>
  <c r="AE886" i="2" s="1"/>
  <c r="AE894" i="2" s="1"/>
  <c r="AE922" i="2" s="1"/>
  <c r="AE928" i="2" s="1"/>
  <c r="AE936" i="2" s="1"/>
  <c r="AE964" i="2" s="1"/>
  <c r="AE970" i="2" s="1"/>
  <c r="AE978" i="2" s="1"/>
  <c r="AE1006" i="2" s="1"/>
  <c r="AE1012" i="2" s="1"/>
  <c r="AE1020" i="2" s="1"/>
  <c r="AE1048" i="2" s="1"/>
  <c r="AE1055" i="2" s="1"/>
  <c r="AE1063" i="2" s="1"/>
  <c r="AE1091" i="2" s="1"/>
  <c r="AE1098" i="2" s="1"/>
  <c r="AE1106" i="2" s="1"/>
  <c r="AE1134" i="2" s="1"/>
  <c r="AE1141" i="2" s="1"/>
  <c r="AE1149" i="2" s="1"/>
  <c r="AE1177" i="2" s="1"/>
  <c r="AE1184" i="2" s="1"/>
  <c r="AE1192" i="2" s="1"/>
  <c r="AE1220" i="2" s="1"/>
  <c r="AE1227" i="2" s="1"/>
  <c r="AE1235" i="2" s="1"/>
  <c r="AE1263" i="2" s="1"/>
  <c r="AE1270" i="2" s="1"/>
  <c r="AE1278" i="2" s="1"/>
  <c r="AE1306" i="2" s="1"/>
  <c r="AE1313" i="2" s="1"/>
  <c r="AE1321" i="2" s="1"/>
  <c r="AE1349" i="2" s="1"/>
  <c r="AE1356" i="2" s="1"/>
  <c r="AE1364" i="2" s="1"/>
  <c r="AE1392" i="2" s="1"/>
  <c r="AE1399" i="2" s="1"/>
  <c r="AE1407" i="2" s="1"/>
  <c r="AE1435" i="2" s="1"/>
  <c r="AE1442" i="2" s="1"/>
  <c r="AE1450" i="2" s="1"/>
  <c r="AE1478" i="2" s="1"/>
  <c r="AI460" i="2"/>
  <c r="AI466" i="2" s="1"/>
  <c r="L348" i="2"/>
  <c r="AS292" i="2"/>
  <c r="AS298" i="2" s="1"/>
  <c r="Q321" i="1"/>
  <c r="Q349" i="1"/>
  <c r="AX166" i="2"/>
  <c r="M360" i="1"/>
  <c r="P355" i="1"/>
  <c r="Q355" i="1" s="1"/>
  <c r="F172" i="2"/>
  <c r="B180" i="2"/>
  <c r="AD180" i="2"/>
  <c r="AH172" i="2"/>
  <c r="G172" i="2"/>
  <c r="K166" i="2"/>
  <c r="V166" i="2" s="1"/>
  <c r="AJ180" i="2"/>
  <c r="AM172" i="2"/>
  <c r="F360" i="1"/>
  <c r="B388" i="1"/>
  <c r="B394" i="1" s="1"/>
  <c r="U180" i="2"/>
  <c r="Q208" i="2"/>
  <c r="U399" i="1"/>
  <c r="X394" i="1"/>
  <c r="H208" i="2"/>
  <c r="G427" i="1"/>
  <c r="K399" i="1"/>
  <c r="M208" i="2"/>
  <c r="P180" i="2"/>
  <c r="AC427" i="1"/>
  <c r="AT250" i="2"/>
  <c r="AW222" i="2"/>
  <c r="AH388" i="1"/>
  <c r="AI388" i="1" s="1"/>
  <c r="AI360" i="1"/>
  <c r="AR208" i="2"/>
  <c r="AN214" i="2"/>
  <c r="AE399" i="1"/>
  <c r="AH394" i="1"/>
  <c r="AI474" i="2" l="1"/>
  <c r="L376" i="2"/>
  <c r="L382" i="2" s="1"/>
  <c r="AS306" i="2"/>
  <c r="AW250" i="2"/>
  <c r="AT256" i="2"/>
  <c r="M388" i="1"/>
  <c r="M394" i="1" s="1"/>
  <c r="P360" i="1"/>
  <c r="P388" i="1" s="1"/>
  <c r="G180" i="2"/>
  <c r="K172" i="2"/>
  <c r="V172" i="2" s="1"/>
  <c r="AD208" i="2"/>
  <c r="AH180" i="2"/>
  <c r="B208" i="2"/>
  <c r="F180" i="2"/>
  <c r="AX172" i="2"/>
  <c r="F394" i="1"/>
  <c r="B399" i="1"/>
  <c r="AE427" i="1"/>
  <c r="AH399" i="1"/>
  <c r="AR214" i="2"/>
  <c r="AN222" i="2"/>
  <c r="M214" i="2"/>
  <c r="P208" i="2"/>
  <c r="H214" i="2"/>
  <c r="F388" i="1"/>
  <c r="U427" i="1"/>
  <c r="X399" i="1"/>
  <c r="X427" i="1" s="1"/>
  <c r="AJ208" i="2"/>
  <c r="AM180" i="2"/>
  <c r="K427" i="1"/>
  <c r="AI394" i="1"/>
  <c r="U208" i="2"/>
  <c r="Q214" i="2"/>
  <c r="AI502" i="2" l="1"/>
  <c r="L390" i="2"/>
  <c r="AS334" i="2"/>
  <c r="AS340" i="2" s="1"/>
  <c r="Q360" i="1"/>
  <c r="AT264" i="2"/>
  <c r="AW256" i="2"/>
  <c r="Q388" i="1"/>
  <c r="AX180" i="2"/>
  <c r="M399" i="1"/>
  <c r="P394" i="1"/>
  <c r="Q394" i="1" s="1"/>
  <c r="B214" i="2"/>
  <c r="F208" i="2"/>
  <c r="AD214" i="2"/>
  <c r="AH208" i="2"/>
  <c r="G208" i="2"/>
  <c r="K180" i="2"/>
  <c r="V180" i="2" s="1"/>
  <c r="AH427" i="1"/>
  <c r="AI427" i="1" s="1"/>
  <c r="AI399" i="1"/>
  <c r="AR222" i="2"/>
  <c r="AN250" i="2"/>
  <c r="AM208" i="2"/>
  <c r="AJ214" i="2"/>
  <c r="B427" i="1"/>
  <c r="F399" i="1"/>
  <c r="U214" i="2"/>
  <c r="Q222" i="2"/>
  <c r="H222" i="2"/>
  <c r="M222" i="2"/>
  <c r="P214" i="2"/>
  <c r="AI508" i="2" l="1"/>
  <c r="L418" i="2"/>
  <c r="L424" i="2" s="1"/>
  <c r="AS348" i="2"/>
  <c r="AR250" i="2"/>
  <c r="AN256" i="2"/>
  <c r="AT292" i="2"/>
  <c r="AW264" i="2"/>
  <c r="AX208" i="2"/>
  <c r="M427" i="1"/>
  <c r="P399" i="1"/>
  <c r="P427" i="1" s="1"/>
  <c r="AD222" i="2"/>
  <c r="AH214" i="2"/>
  <c r="G214" i="2"/>
  <c r="K208" i="2"/>
  <c r="V208" i="2" s="1"/>
  <c r="F214" i="2"/>
  <c r="B222" i="2"/>
  <c r="AJ222" i="2"/>
  <c r="AM214" i="2"/>
  <c r="M250" i="2"/>
  <c r="P222" i="2"/>
  <c r="H250" i="2"/>
  <c r="H256" i="2" s="1"/>
  <c r="H264" i="2" s="1"/>
  <c r="H292" i="2" s="1"/>
  <c r="H298" i="2" s="1"/>
  <c r="H306" i="2" s="1"/>
  <c r="H334" i="2" s="1"/>
  <c r="H340" i="2" s="1"/>
  <c r="H348" i="2" s="1"/>
  <c r="H376" i="2" s="1"/>
  <c r="H382" i="2" s="1"/>
  <c r="H390" i="2" s="1"/>
  <c r="H418" i="2" s="1"/>
  <c r="H424" i="2" s="1"/>
  <c r="H432" i="2" s="1"/>
  <c r="H460" i="2" s="1"/>
  <c r="H466" i="2" s="1"/>
  <c r="H474" i="2" s="1"/>
  <c r="H502" i="2" s="1"/>
  <c r="H508" i="2" s="1"/>
  <c r="H516" i="2" s="1"/>
  <c r="H544" i="2" s="1"/>
  <c r="H550" i="2" s="1"/>
  <c r="H558" i="2" s="1"/>
  <c r="H586" i="2" s="1"/>
  <c r="H592" i="2" s="1"/>
  <c r="H600" i="2" s="1"/>
  <c r="H628" i="2" s="1"/>
  <c r="H634" i="2" s="1"/>
  <c r="H642" i="2" s="1"/>
  <c r="H670" i="2" s="1"/>
  <c r="H676" i="2" s="1"/>
  <c r="H684" i="2" s="1"/>
  <c r="H712" i="2" s="1"/>
  <c r="H718" i="2" s="1"/>
  <c r="H726" i="2" s="1"/>
  <c r="H754" i="2" s="1"/>
  <c r="H760" i="2" s="1"/>
  <c r="H768" i="2" s="1"/>
  <c r="H796" i="2" s="1"/>
  <c r="H802" i="2" s="1"/>
  <c r="H810" i="2" s="1"/>
  <c r="H838" i="2" s="1"/>
  <c r="H844" i="2" s="1"/>
  <c r="H852" i="2" s="1"/>
  <c r="H880" i="2" s="1"/>
  <c r="H886" i="2" s="1"/>
  <c r="H894" i="2" s="1"/>
  <c r="H922" i="2" s="1"/>
  <c r="H928" i="2" s="1"/>
  <c r="H936" i="2" s="1"/>
  <c r="H964" i="2" s="1"/>
  <c r="H970" i="2" s="1"/>
  <c r="H978" i="2" s="1"/>
  <c r="H1006" i="2" s="1"/>
  <c r="H1012" i="2" s="1"/>
  <c r="H1020" i="2" s="1"/>
  <c r="H1048" i="2" s="1"/>
  <c r="H1055" i="2" s="1"/>
  <c r="H1063" i="2" s="1"/>
  <c r="H1091" i="2" s="1"/>
  <c r="H1098" i="2" s="1"/>
  <c r="Q250" i="2"/>
  <c r="U222" i="2"/>
  <c r="F427" i="1"/>
  <c r="H1106" i="2" l="1"/>
  <c r="K1098" i="2"/>
  <c r="AA1098" i="2" s="1"/>
  <c r="AI516" i="2"/>
  <c r="L432" i="2"/>
  <c r="AS376" i="2"/>
  <c r="AS382" i="2" s="1"/>
  <c r="AW292" i="2"/>
  <c r="AT298" i="2"/>
  <c r="AX214" i="2"/>
  <c r="P250" i="2"/>
  <c r="M256" i="2"/>
  <c r="AN264" i="2"/>
  <c r="AR256" i="2"/>
  <c r="U250" i="2"/>
  <c r="Q256" i="2"/>
  <c r="Q399" i="1"/>
  <c r="Q427" i="1"/>
  <c r="F222" i="2"/>
  <c r="B250" i="2"/>
  <c r="G222" i="2"/>
  <c r="K214" i="2"/>
  <c r="V214" i="2" s="1"/>
  <c r="AD250" i="2"/>
  <c r="AH222" i="2"/>
  <c r="AJ250" i="2"/>
  <c r="AM222" i="2"/>
  <c r="H1134" i="2" l="1"/>
  <c r="K1134" i="2" s="1"/>
  <c r="AA1134" i="2" s="1"/>
  <c r="K1106" i="2"/>
  <c r="AA1106" i="2" s="1"/>
  <c r="AI544" i="2"/>
  <c r="AI550" i="2" s="1"/>
  <c r="L460" i="2"/>
  <c r="L466" i="2" s="1"/>
  <c r="AS390" i="2"/>
  <c r="AT306" i="2"/>
  <c r="AW298" i="2"/>
  <c r="Q264" i="2"/>
  <c r="U256" i="2"/>
  <c r="AR264" i="2"/>
  <c r="AN292" i="2"/>
  <c r="M264" i="2"/>
  <c r="P256" i="2"/>
  <c r="F250" i="2"/>
  <c r="B256" i="2"/>
  <c r="AH250" i="2"/>
  <c r="AD256" i="2"/>
  <c r="AM250" i="2"/>
  <c r="AJ256" i="2"/>
  <c r="G250" i="2"/>
  <c r="K222" i="2"/>
  <c r="V222" i="2" s="1"/>
  <c r="AX222" i="2"/>
  <c r="AI558" i="2" l="1"/>
  <c r="L474" i="2"/>
  <c r="AS418" i="2"/>
  <c r="AS424" i="2" s="1"/>
  <c r="AR292" i="2"/>
  <c r="AN298" i="2"/>
  <c r="AT334" i="2"/>
  <c r="AW306" i="2"/>
  <c r="AX250" i="2"/>
  <c r="AD264" i="2"/>
  <c r="AH256" i="2"/>
  <c r="M292" i="2"/>
  <c r="P264" i="2"/>
  <c r="K250" i="2"/>
  <c r="V250" i="2" s="1"/>
  <c r="G256" i="2"/>
  <c r="B264" i="2"/>
  <c r="F256" i="2"/>
  <c r="Q292" i="2"/>
  <c r="U264" i="2"/>
  <c r="AJ264" i="2"/>
  <c r="AM256" i="2"/>
  <c r="AI586" i="2" l="1"/>
  <c r="AI592" i="2" s="1"/>
  <c r="L502" i="2"/>
  <c r="AS432" i="2"/>
  <c r="AW334" i="2"/>
  <c r="AT340" i="2"/>
  <c r="U292" i="2"/>
  <c r="Q298" i="2"/>
  <c r="P292" i="2"/>
  <c r="M298" i="2"/>
  <c r="AN306" i="2"/>
  <c r="AR298" i="2"/>
  <c r="AX256" i="2"/>
  <c r="G264" i="2"/>
  <c r="K256" i="2"/>
  <c r="V256" i="2" s="1"/>
  <c r="F264" i="2"/>
  <c r="B292" i="2"/>
  <c r="AD292" i="2"/>
  <c r="AH264" i="2"/>
  <c r="AJ292" i="2"/>
  <c r="AM264" i="2"/>
  <c r="AI600" i="2" l="1"/>
  <c r="BF516" i="2"/>
  <c r="AS460" i="2"/>
  <c r="AS466" i="2" s="1"/>
  <c r="AT348" i="2"/>
  <c r="AW340" i="2"/>
  <c r="F292" i="2"/>
  <c r="B298" i="2"/>
  <c r="Q306" i="2"/>
  <c r="U298" i="2"/>
  <c r="AN334" i="2"/>
  <c r="AR306" i="2"/>
  <c r="M306" i="2"/>
  <c r="P298" i="2"/>
  <c r="AM292" i="2"/>
  <c r="AJ298" i="2"/>
  <c r="AH292" i="2"/>
  <c r="AD298" i="2"/>
  <c r="AX264" i="2"/>
  <c r="G292" i="2"/>
  <c r="K264" i="2"/>
  <c r="V264" i="2" s="1"/>
  <c r="AI628" i="2" l="1"/>
  <c r="AI634" i="2" s="1"/>
  <c r="BF544" i="2"/>
  <c r="BF550" i="2" s="1"/>
  <c r="AS474" i="2"/>
  <c r="L516" i="2"/>
  <c r="AX292" i="2"/>
  <c r="AR334" i="2"/>
  <c r="AN340" i="2"/>
  <c r="AT376" i="2"/>
  <c r="AW348" i="2"/>
  <c r="Q334" i="2"/>
  <c r="U306" i="2"/>
  <c r="B306" i="2"/>
  <c r="F298" i="2"/>
  <c r="K292" i="2"/>
  <c r="V292" i="2" s="1"/>
  <c r="G298" i="2"/>
  <c r="M334" i="2"/>
  <c r="P306" i="2"/>
  <c r="AJ306" i="2"/>
  <c r="AM298" i="2"/>
  <c r="AD306" i="2"/>
  <c r="AH298" i="2"/>
  <c r="AI642" i="2" l="1"/>
  <c r="L544" i="2"/>
  <c r="L550" i="2" s="1"/>
  <c r="AS502" i="2"/>
  <c r="AW376" i="2"/>
  <c r="AT382" i="2"/>
  <c r="AN348" i="2"/>
  <c r="AR340" i="2"/>
  <c r="P334" i="2"/>
  <c r="M340" i="2"/>
  <c r="U334" i="2"/>
  <c r="Q340" i="2"/>
  <c r="B334" i="2"/>
  <c r="F306" i="2"/>
  <c r="G306" i="2"/>
  <c r="K298" i="2"/>
  <c r="V298" i="2" s="1"/>
  <c r="AX298" i="2"/>
  <c r="AJ334" i="2"/>
  <c r="AM306" i="2"/>
  <c r="AD334" i="2"/>
  <c r="AH306" i="2"/>
  <c r="AI670" i="2" l="1"/>
  <c r="AI676" i="2" s="1"/>
  <c r="L558" i="2"/>
  <c r="BF558" i="2"/>
  <c r="AS508" i="2"/>
  <c r="AT390" i="2"/>
  <c r="AW382" i="2"/>
  <c r="AN376" i="2"/>
  <c r="AR348" i="2"/>
  <c r="Q348" i="2"/>
  <c r="U340" i="2"/>
  <c r="M348" i="2"/>
  <c r="P340" i="2"/>
  <c r="F334" i="2"/>
  <c r="B340" i="2"/>
  <c r="AM334" i="2"/>
  <c r="AJ340" i="2"/>
  <c r="AH334" i="2"/>
  <c r="AD340" i="2"/>
  <c r="AX306" i="2"/>
  <c r="G334" i="2"/>
  <c r="K306" i="2"/>
  <c r="V306" i="2" s="1"/>
  <c r="AI684" i="2" l="1"/>
  <c r="L586" i="2"/>
  <c r="L592" i="2" s="1"/>
  <c r="BF586" i="2"/>
  <c r="BF592" i="2" s="1"/>
  <c r="BF600" i="2" s="1"/>
  <c r="AS516" i="2"/>
  <c r="AT418" i="2"/>
  <c r="AW390" i="2"/>
  <c r="AR376" i="2"/>
  <c r="AN382" i="2"/>
  <c r="AX334" i="2"/>
  <c r="B348" i="2"/>
  <c r="F340" i="2"/>
  <c r="K334" i="2"/>
  <c r="V334" i="2" s="1"/>
  <c r="G340" i="2"/>
  <c r="M376" i="2"/>
  <c r="P348" i="2"/>
  <c r="Q376" i="2"/>
  <c r="U348" i="2"/>
  <c r="AJ348" i="2"/>
  <c r="AM340" i="2"/>
  <c r="AD348" i="2"/>
  <c r="AH340" i="2"/>
  <c r="AI712" i="2" l="1"/>
  <c r="AI718" i="2" s="1"/>
  <c r="L600" i="2"/>
  <c r="BF628" i="2"/>
  <c r="BF634" i="2" s="1"/>
  <c r="BF642" i="2" s="1"/>
  <c r="AS544" i="2"/>
  <c r="AS550" i="2" s="1"/>
  <c r="AW418" i="2"/>
  <c r="AT424" i="2"/>
  <c r="P376" i="2"/>
  <c r="M382" i="2"/>
  <c r="AN390" i="2"/>
  <c r="AR382" i="2"/>
  <c r="U376" i="2"/>
  <c r="Q382" i="2"/>
  <c r="AX340" i="2"/>
  <c r="G348" i="2"/>
  <c r="K340" i="2"/>
  <c r="V340" i="2" s="1"/>
  <c r="B376" i="2"/>
  <c r="F348" i="2"/>
  <c r="AJ376" i="2"/>
  <c r="AM348" i="2"/>
  <c r="AD376" i="2"/>
  <c r="AH348" i="2"/>
  <c r="AI726" i="2" l="1"/>
  <c r="BF670" i="2"/>
  <c r="BF676" i="2" s="1"/>
  <c r="BF684" i="2" s="1"/>
  <c r="L628" i="2"/>
  <c r="L634" i="2" s="1"/>
  <c r="AS558" i="2"/>
  <c r="AT432" i="2"/>
  <c r="AW424" i="2"/>
  <c r="Q390" i="2"/>
  <c r="U382" i="2"/>
  <c r="F376" i="2"/>
  <c r="B382" i="2"/>
  <c r="AN418" i="2"/>
  <c r="AR390" i="2"/>
  <c r="M390" i="2"/>
  <c r="P382" i="2"/>
  <c r="AM376" i="2"/>
  <c r="AJ382" i="2"/>
  <c r="AH376" i="2"/>
  <c r="AD382" i="2"/>
  <c r="AX348" i="2"/>
  <c r="G376" i="2"/>
  <c r="K348" i="2"/>
  <c r="V348" i="2" s="1"/>
  <c r="AI754" i="2" l="1"/>
  <c r="AI760" i="2" s="1"/>
  <c r="AI768" i="2" s="1"/>
  <c r="BF712" i="2"/>
  <c r="BF718" i="2" s="1"/>
  <c r="BF726" i="2" s="1"/>
  <c r="L642" i="2"/>
  <c r="AS586" i="2"/>
  <c r="AS592" i="2" s="1"/>
  <c r="AR418" i="2"/>
  <c r="AN424" i="2"/>
  <c r="AT460" i="2"/>
  <c r="AW432" i="2"/>
  <c r="AX376" i="2"/>
  <c r="B390" i="2"/>
  <c r="F382" i="2"/>
  <c r="K376" i="2"/>
  <c r="V376" i="2" s="1"/>
  <c r="G382" i="2"/>
  <c r="M418" i="2"/>
  <c r="P390" i="2"/>
  <c r="U390" i="2"/>
  <c r="Q418" i="2"/>
  <c r="AJ390" i="2"/>
  <c r="AM382" i="2"/>
  <c r="AD390" i="2"/>
  <c r="AH382" i="2"/>
  <c r="BF754" i="2" l="1"/>
  <c r="BF760" i="2" s="1"/>
  <c r="BF768" i="2" s="1"/>
  <c r="AI796" i="2"/>
  <c r="AI802" i="2" s="1"/>
  <c r="L670" i="2"/>
  <c r="L676" i="2" s="1"/>
  <c r="AS600" i="2"/>
  <c r="AW460" i="2"/>
  <c r="AT466" i="2"/>
  <c r="AN432" i="2"/>
  <c r="AR424" i="2"/>
  <c r="P418" i="2"/>
  <c r="M424" i="2"/>
  <c r="U418" i="2"/>
  <c r="Q424" i="2"/>
  <c r="B418" i="2"/>
  <c r="F390" i="2"/>
  <c r="G390" i="2"/>
  <c r="K382" i="2"/>
  <c r="V382" i="2" s="1"/>
  <c r="AX382" i="2"/>
  <c r="AJ418" i="2"/>
  <c r="AM390" i="2"/>
  <c r="AD418" i="2"/>
  <c r="AH390" i="2"/>
  <c r="AI810" i="2" l="1"/>
  <c r="BF796" i="2"/>
  <c r="BF802" i="2" s="1"/>
  <c r="BF810" i="2" s="1"/>
  <c r="L684" i="2"/>
  <c r="AS628" i="2"/>
  <c r="AS634" i="2" s="1"/>
  <c r="AT474" i="2"/>
  <c r="AW466" i="2"/>
  <c r="AM418" i="2"/>
  <c r="AJ424" i="2"/>
  <c r="M432" i="2"/>
  <c r="P424" i="2"/>
  <c r="Q432" i="2"/>
  <c r="U424" i="2"/>
  <c r="AH418" i="2"/>
  <c r="AD424" i="2"/>
  <c r="AD432" i="2" s="1"/>
  <c r="F418" i="2"/>
  <c r="B424" i="2"/>
  <c r="AN460" i="2"/>
  <c r="AR432" i="2"/>
  <c r="AX390" i="2"/>
  <c r="G418" i="2"/>
  <c r="K390" i="2"/>
  <c r="V390" i="2" s="1"/>
  <c r="BF838" i="2" l="1"/>
  <c r="BF844" i="2" s="1"/>
  <c r="BF852" i="2" s="1"/>
  <c r="AI838" i="2"/>
  <c r="L712" i="2"/>
  <c r="L718" i="2" s="1"/>
  <c r="AS642" i="2"/>
  <c r="AX418" i="2"/>
  <c r="AR460" i="2"/>
  <c r="AN466" i="2"/>
  <c r="AT502" i="2"/>
  <c r="AW474" i="2"/>
  <c r="Q460" i="2"/>
  <c r="U432" i="2"/>
  <c r="B432" i="2"/>
  <c r="F424" i="2"/>
  <c r="M460" i="2"/>
  <c r="P432" i="2"/>
  <c r="AH424" i="2"/>
  <c r="AJ432" i="2"/>
  <c r="AM424" i="2"/>
  <c r="K418" i="2"/>
  <c r="V418" i="2" s="1"/>
  <c r="G424" i="2"/>
  <c r="BF880" i="2" l="1"/>
  <c r="BF886" i="2" s="1"/>
  <c r="BF894" i="2" s="1"/>
  <c r="AI844" i="2"/>
  <c r="AI852" i="2" s="1"/>
  <c r="L726" i="2"/>
  <c r="AS670" i="2"/>
  <c r="AS676" i="2" s="1"/>
  <c r="U460" i="2"/>
  <c r="Q466" i="2"/>
  <c r="P460" i="2"/>
  <c r="M466" i="2"/>
  <c r="AN474" i="2"/>
  <c r="AR466" i="2"/>
  <c r="AT508" i="2"/>
  <c r="AW502" i="2"/>
  <c r="AJ460" i="2"/>
  <c r="AM432" i="2"/>
  <c r="G432" i="2"/>
  <c r="K424" i="2"/>
  <c r="V424" i="2" s="1"/>
  <c r="F432" i="2"/>
  <c r="B460" i="2"/>
  <c r="AX424" i="2"/>
  <c r="AH432" i="2"/>
  <c r="AD460" i="2"/>
  <c r="BF922" i="2" l="1"/>
  <c r="BF928" i="2" s="1"/>
  <c r="BF936" i="2" s="1"/>
  <c r="AI880" i="2"/>
  <c r="AI886" i="2" s="1"/>
  <c r="L754" i="2"/>
  <c r="L760" i="2" s="1"/>
  <c r="AS684" i="2"/>
  <c r="AN502" i="2"/>
  <c r="AR474" i="2"/>
  <c r="M474" i="2"/>
  <c r="M502" i="2" s="1"/>
  <c r="P466" i="2"/>
  <c r="Q474" i="2"/>
  <c r="U466" i="2"/>
  <c r="AH460" i="2"/>
  <c r="AD466" i="2"/>
  <c r="AM460" i="2"/>
  <c r="AJ466" i="2"/>
  <c r="F460" i="2"/>
  <c r="B466" i="2"/>
  <c r="AT516" i="2"/>
  <c r="AW508" i="2"/>
  <c r="AX432" i="2"/>
  <c r="G460" i="2"/>
  <c r="K432" i="2"/>
  <c r="V432" i="2" s="1"/>
  <c r="BF964" i="2" l="1"/>
  <c r="BF970" i="2" s="1"/>
  <c r="BF978" i="2" s="1"/>
  <c r="AI894" i="2"/>
  <c r="L768" i="2"/>
  <c r="AS712" i="2"/>
  <c r="AS718" i="2" s="1"/>
  <c r="AS726" i="2" s="1"/>
  <c r="AS754" i="2" s="1"/>
  <c r="AS760" i="2" s="1"/>
  <c r="BM516" i="2"/>
  <c r="BQ508" i="2"/>
  <c r="AX460" i="2"/>
  <c r="BG516" i="2"/>
  <c r="BJ508" i="2"/>
  <c r="Q502" i="2"/>
  <c r="U474" i="2"/>
  <c r="B474" i="2"/>
  <c r="F466" i="2"/>
  <c r="K460" i="2"/>
  <c r="V460" i="2" s="1"/>
  <c r="G466" i="2"/>
  <c r="P474" i="2"/>
  <c r="AD474" i="2"/>
  <c r="AH466" i="2"/>
  <c r="AJ474" i="2"/>
  <c r="AM466" i="2"/>
  <c r="AT544" i="2"/>
  <c r="AW516" i="2"/>
  <c r="AR502" i="2"/>
  <c r="BF1006" i="2" l="1"/>
  <c r="BF1012" i="2" s="1"/>
  <c r="BF1020" i="2" s="1"/>
  <c r="AI922" i="2"/>
  <c r="AI928" i="2" s="1"/>
  <c r="L796" i="2"/>
  <c r="L802" i="2" s="1"/>
  <c r="AS768" i="2"/>
  <c r="AW544" i="2"/>
  <c r="AT550" i="2"/>
  <c r="BQ516" i="2"/>
  <c r="BM544" i="2"/>
  <c r="BG544" i="2"/>
  <c r="BJ516" i="2"/>
  <c r="G474" i="2"/>
  <c r="K466" i="2"/>
  <c r="V466" i="2" s="1"/>
  <c r="AN516" i="2"/>
  <c r="AR508" i="2"/>
  <c r="AD502" i="2"/>
  <c r="AH474" i="2"/>
  <c r="AJ502" i="2"/>
  <c r="AM474" i="2"/>
  <c r="AX466" i="2"/>
  <c r="B502" i="2"/>
  <c r="F474" i="2"/>
  <c r="P502" i="2"/>
  <c r="U502" i="2"/>
  <c r="Q508" i="2"/>
  <c r="BF1048" i="2" l="1"/>
  <c r="BF1055" i="2" s="1"/>
  <c r="BF1063" i="2" s="1"/>
  <c r="AI936" i="2"/>
  <c r="L810" i="2"/>
  <c r="AS796" i="2"/>
  <c r="AS802" i="2" s="1"/>
  <c r="BQ544" i="2"/>
  <c r="BQ550" i="2" s="1"/>
  <c r="BM550" i="2"/>
  <c r="BJ544" i="2"/>
  <c r="BJ550" i="2" s="1"/>
  <c r="BG550" i="2"/>
  <c r="AT558" i="2"/>
  <c r="AW550" i="2"/>
  <c r="AD508" i="2"/>
  <c r="AH502" i="2"/>
  <c r="Q516" i="2"/>
  <c r="U508" i="2"/>
  <c r="AN544" i="2"/>
  <c r="AN550" i="2" s="1"/>
  <c r="AR516" i="2"/>
  <c r="AJ508" i="2"/>
  <c r="AM502" i="2"/>
  <c r="F502" i="2"/>
  <c r="B508" i="2"/>
  <c r="M516" i="2"/>
  <c r="P508" i="2"/>
  <c r="AX474" i="2"/>
  <c r="G502" i="2"/>
  <c r="K474" i="2"/>
  <c r="V474" i="2" s="1"/>
  <c r="BF1091" i="2" l="1"/>
  <c r="AI964" i="2"/>
  <c r="AI970" i="2" s="1"/>
  <c r="L838" i="2"/>
  <c r="L844" i="2" s="1"/>
  <c r="AS810" i="2"/>
  <c r="AN558" i="2"/>
  <c r="AR550" i="2"/>
  <c r="AT586" i="2"/>
  <c r="AW558" i="2"/>
  <c r="AR544" i="2"/>
  <c r="M544" i="2"/>
  <c r="M550" i="2" s="1"/>
  <c r="P516" i="2"/>
  <c r="K502" i="2"/>
  <c r="V502" i="2" s="1"/>
  <c r="G508" i="2"/>
  <c r="AX502" i="2"/>
  <c r="B516" i="2"/>
  <c r="F508" i="2"/>
  <c r="Q544" i="2"/>
  <c r="U516" i="2"/>
  <c r="AJ516" i="2"/>
  <c r="AM508" i="2"/>
  <c r="AD516" i="2"/>
  <c r="AH508" i="2"/>
  <c r="AI978" i="2" l="1"/>
  <c r="L852" i="2"/>
  <c r="AS838" i="2"/>
  <c r="AW586" i="2"/>
  <c r="AT592" i="2"/>
  <c r="M558" i="2"/>
  <c r="P550" i="2"/>
  <c r="AR558" i="2"/>
  <c r="AN586" i="2"/>
  <c r="U544" i="2"/>
  <c r="Q550" i="2"/>
  <c r="P544" i="2"/>
  <c r="BM558" i="2"/>
  <c r="K508" i="2"/>
  <c r="V508" i="2" s="1"/>
  <c r="G516" i="2"/>
  <c r="AX508" i="2"/>
  <c r="F516" i="2"/>
  <c r="B544" i="2"/>
  <c r="AJ544" i="2"/>
  <c r="AM516" i="2"/>
  <c r="AD544" i="2"/>
  <c r="AH516" i="2"/>
  <c r="AI1006" i="2" l="1"/>
  <c r="AI1012" i="2" s="1"/>
  <c r="L880" i="2"/>
  <c r="L886" i="2" s="1"/>
  <c r="AS844" i="2"/>
  <c r="AS852" i="2" s="1"/>
  <c r="AT600" i="2"/>
  <c r="AW592" i="2"/>
  <c r="AR586" i="2"/>
  <c r="AN592" i="2"/>
  <c r="M586" i="2"/>
  <c r="P558" i="2"/>
  <c r="F544" i="2"/>
  <c r="B550" i="2"/>
  <c r="Q558" i="2"/>
  <c r="U550" i="2"/>
  <c r="BG558" i="2"/>
  <c r="AH544" i="2"/>
  <c r="AD550" i="2"/>
  <c r="BM586" i="2"/>
  <c r="BQ558" i="2"/>
  <c r="AM544" i="2"/>
  <c r="AJ550" i="2"/>
  <c r="AX516" i="2"/>
  <c r="G544" i="2"/>
  <c r="K516" i="2"/>
  <c r="V516" i="2" s="1"/>
  <c r="AI1020" i="2" l="1"/>
  <c r="L894" i="2"/>
  <c r="AS880" i="2"/>
  <c r="AS886" i="2" s="1"/>
  <c r="P586" i="2"/>
  <c r="M592" i="2"/>
  <c r="BQ586" i="2"/>
  <c r="BQ592" i="2" s="1"/>
  <c r="BM592" i="2"/>
  <c r="BM600" i="2" s="1"/>
  <c r="AT628" i="2"/>
  <c r="AW600" i="2"/>
  <c r="AN600" i="2"/>
  <c r="AR592" i="2"/>
  <c r="Q586" i="2"/>
  <c r="U558" i="2"/>
  <c r="B558" i="2"/>
  <c r="F550" i="2"/>
  <c r="BG586" i="2"/>
  <c r="BJ558" i="2"/>
  <c r="K544" i="2"/>
  <c r="V544" i="2" s="1"/>
  <c r="G550" i="2"/>
  <c r="AX544" i="2"/>
  <c r="AD558" i="2"/>
  <c r="AH550" i="2"/>
  <c r="AJ558" i="2"/>
  <c r="AM550" i="2"/>
  <c r="AI1048" i="2" l="1"/>
  <c r="AI1055" i="2" s="1"/>
  <c r="L922" i="2"/>
  <c r="L928" i="2" s="1"/>
  <c r="L936" i="2" s="1"/>
  <c r="L964" i="2" s="1"/>
  <c r="L970" i="2" s="1"/>
  <c r="AS894" i="2"/>
  <c r="AW628" i="2"/>
  <c r="AT634" i="2"/>
  <c r="BQ600" i="2"/>
  <c r="BM628" i="2"/>
  <c r="BJ586" i="2"/>
  <c r="BJ592" i="2" s="1"/>
  <c r="BG592" i="2"/>
  <c r="BG600" i="2" s="1"/>
  <c r="U586" i="2"/>
  <c r="Q592" i="2"/>
  <c r="M600" i="2"/>
  <c r="P592" i="2"/>
  <c r="AN628" i="2"/>
  <c r="AR600" i="2"/>
  <c r="F558" i="2"/>
  <c r="B586" i="2"/>
  <c r="AX550" i="2"/>
  <c r="G558" i="2"/>
  <c r="K550" i="2"/>
  <c r="V550" i="2" s="1"/>
  <c r="AH558" i="2"/>
  <c r="AD586" i="2"/>
  <c r="AJ586" i="2"/>
  <c r="AM558" i="2"/>
  <c r="AI1063" i="2" l="1"/>
  <c r="L978" i="2"/>
  <c r="AS922" i="2"/>
  <c r="AS928" i="2" s="1"/>
  <c r="BQ628" i="2"/>
  <c r="BQ634" i="2" s="1"/>
  <c r="BM634" i="2"/>
  <c r="BM642" i="2" s="1"/>
  <c r="AT642" i="2"/>
  <c r="AW634" i="2"/>
  <c r="AR628" i="2"/>
  <c r="AN634" i="2"/>
  <c r="M628" i="2"/>
  <c r="P600" i="2"/>
  <c r="BG628" i="2"/>
  <c r="BJ600" i="2"/>
  <c r="Q600" i="2"/>
  <c r="U592" i="2"/>
  <c r="F586" i="2"/>
  <c r="B592" i="2"/>
  <c r="AM586" i="2"/>
  <c r="AJ592" i="2"/>
  <c r="AH586" i="2"/>
  <c r="AD592" i="2"/>
  <c r="AX558" i="2"/>
  <c r="G586" i="2"/>
  <c r="K558" i="2"/>
  <c r="V558" i="2" s="1"/>
  <c r="AI1091" i="2" l="1"/>
  <c r="AI1098" i="2" s="1"/>
  <c r="L1006" i="2"/>
  <c r="L1012" i="2" s="1"/>
  <c r="AS936" i="2"/>
  <c r="AX586" i="2"/>
  <c r="BM670" i="2"/>
  <c r="BQ642" i="2"/>
  <c r="BJ628" i="2"/>
  <c r="BJ634" i="2" s="1"/>
  <c r="BG634" i="2"/>
  <c r="BG642" i="2" s="1"/>
  <c r="P628" i="2"/>
  <c r="M634" i="2"/>
  <c r="AT670" i="2"/>
  <c r="AW642" i="2"/>
  <c r="AN642" i="2"/>
  <c r="AR634" i="2"/>
  <c r="U600" i="2"/>
  <c r="Q628" i="2"/>
  <c r="K586" i="2"/>
  <c r="V586" i="2" s="1"/>
  <c r="G592" i="2"/>
  <c r="B600" i="2"/>
  <c r="F592" i="2"/>
  <c r="AJ600" i="2"/>
  <c r="AM592" i="2"/>
  <c r="AD600" i="2"/>
  <c r="AH592" i="2"/>
  <c r="AI1106" i="2" l="1"/>
  <c r="L1020" i="2"/>
  <c r="AS964" i="2"/>
  <c r="AS970" i="2" s="1"/>
  <c r="BQ670" i="2"/>
  <c r="BQ676" i="2" s="1"/>
  <c r="BM676" i="2"/>
  <c r="BM684" i="2" s="1"/>
  <c r="AW670" i="2"/>
  <c r="AT676" i="2"/>
  <c r="M642" i="2"/>
  <c r="P634" i="2"/>
  <c r="BG670" i="2"/>
  <c r="BJ642" i="2"/>
  <c r="AX592" i="2"/>
  <c r="U628" i="2"/>
  <c r="Q634" i="2"/>
  <c r="AR642" i="2"/>
  <c r="AN670" i="2"/>
  <c r="B628" i="2"/>
  <c r="F600" i="2"/>
  <c r="K592" i="2"/>
  <c r="V592" i="2" s="1"/>
  <c r="G600" i="2"/>
  <c r="AJ628" i="2"/>
  <c r="AM600" i="2"/>
  <c r="AH600" i="2"/>
  <c r="AD628" i="2"/>
  <c r="AI1134" i="2" l="1"/>
  <c r="AI1141" i="2" s="1"/>
  <c r="L1048" i="2"/>
  <c r="L1055" i="2" s="1"/>
  <c r="AS978" i="2"/>
  <c r="BM712" i="2"/>
  <c r="BQ684" i="2"/>
  <c r="BJ670" i="2"/>
  <c r="BJ676" i="2" s="1"/>
  <c r="BG676" i="2"/>
  <c r="BG684" i="2" s="1"/>
  <c r="AT684" i="2"/>
  <c r="AW676" i="2"/>
  <c r="AR670" i="2"/>
  <c r="AN676" i="2"/>
  <c r="F628" i="2"/>
  <c r="B634" i="2"/>
  <c r="Q642" i="2"/>
  <c r="U634" i="2"/>
  <c r="M670" i="2"/>
  <c r="P642" i="2"/>
  <c r="AM628" i="2"/>
  <c r="AJ634" i="2"/>
  <c r="AH628" i="2"/>
  <c r="AD634" i="2"/>
  <c r="G628" i="2"/>
  <c r="K600" i="2"/>
  <c r="V600" i="2" s="1"/>
  <c r="AX600" i="2"/>
  <c r="AI1149" i="2" l="1"/>
  <c r="L1063" i="2"/>
  <c r="AS1006" i="2"/>
  <c r="AS1012" i="2" s="1"/>
  <c r="BQ712" i="2"/>
  <c r="BQ718" i="2" s="1"/>
  <c r="BM718" i="2"/>
  <c r="BM726" i="2" s="1"/>
  <c r="BG712" i="2"/>
  <c r="BJ684" i="2"/>
  <c r="P670" i="2"/>
  <c r="M676" i="2"/>
  <c r="AT712" i="2"/>
  <c r="AW684" i="2"/>
  <c r="AN684" i="2"/>
  <c r="AR676" i="2"/>
  <c r="AX628" i="2"/>
  <c r="B642" i="2"/>
  <c r="F634" i="2"/>
  <c r="K628" i="2"/>
  <c r="V628" i="2" s="1"/>
  <c r="G634" i="2"/>
  <c r="U642" i="2"/>
  <c r="Q670" i="2"/>
  <c r="AJ642" i="2"/>
  <c r="AM634" i="2"/>
  <c r="AD642" i="2"/>
  <c r="AH634" i="2"/>
  <c r="AI1177" i="2" l="1"/>
  <c r="AI1184" i="2" s="1"/>
  <c r="L1091" i="2"/>
  <c r="AS1020" i="2"/>
  <c r="BQ726" i="2"/>
  <c r="BM754" i="2"/>
  <c r="BJ712" i="2"/>
  <c r="BJ718" i="2" s="1"/>
  <c r="BG718" i="2"/>
  <c r="BG726" i="2" s="1"/>
  <c r="AW712" i="2"/>
  <c r="AT718" i="2"/>
  <c r="U670" i="2"/>
  <c r="Q676" i="2"/>
  <c r="M684" i="2"/>
  <c r="P676" i="2"/>
  <c r="AR684" i="2"/>
  <c r="AN712" i="2"/>
  <c r="AX634" i="2"/>
  <c r="G642" i="2"/>
  <c r="K634" i="2"/>
  <c r="V634" i="2" s="1"/>
  <c r="B670" i="2"/>
  <c r="F642" i="2"/>
  <c r="AJ670" i="2"/>
  <c r="AM642" i="2"/>
  <c r="AD670" i="2"/>
  <c r="AH642" i="2"/>
  <c r="AI1192" i="2" l="1"/>
  <c r="AS1048" i="2"/>
  <c r="AS1055" i="2" s="1"/>
  <c r="BQ754" i="2"/>
  <c r="BQ760" i="2" s="1"/>
  <c r="BM760" i="2"/>
  <c r="BM768" i="2" s="1"/>
  <c r="BG754" i="2"/>
  <c r="BJ726" i="2"/>
  <c r="AR712" i="2"/>
  <c r="AN718" i="2"/>
  <c r="AT726" i="2"/>
  <c r="AW718" i="2"/>
  <c r="M712" i="2"/>
  <c r="P684" i="2"/>
  <c r="Q684" i="2"/>
  <c r="U676" i="2"/>
  <c r="F670" i="2"/>
  <c r="B676" i="2"/>
  <c r="AM670" i="2"/>
  <c r="AJ676" i="2"/>
  <c r="AH670" i="2"/>
  <c r="AD676" i="2"/>
  <c r="AX642" i="2"/>
  <c r="K642" i="2"/>
  <c r="V642" i="2" s="1"/>
  <c r="G670" i="2"/>
  <c r="AI1220" i="2" l="1"/>
  <c r="AI1227" i="2" s="1"/>
  <c r="AS1063" i="2"/>
  <c r="BJ754" i="2"/>
  <c r="BJ760" i="2" s="1"/>
  <c r="BG760" i="2"/>
  <c r="BG768" i="2" s="1"/>
  <c r="BQ768" i="2"/>
  <c r="BM796" i="2"/>
  <c r="AN726" i="2"/>
  <c r="AR718" i="2"/>
  <c r="P712" i="2"/>
  <c r="M718" i="2"/>
  <c r="AW726" i="2"/>
  <c r="AT754" i="2"/>
  <c r="AT760" i="2" s="1"/>
  <c r="B684" i="2"/>
  <c r="F676" i="2"/>
  <c r="Q712" i="2"/>
  <c r="U684" i="2"/>
  <c r="K670" i="2"/>
  <c r="V670" i="2" s="1"/>
  <c r="G676" i="2"/>
  <c r="AX670" i="2"/>
  <c r="AJ684" i="2"/>
  <c r="AM676" i="2"/>
  <c r="AD684" i="2"/>
  <c r="AH676" i="2"/>
  <c r="AI1235" i="2" l="1"/>
  <c r="AS1091" i="2"/>
  <c r="AS1098" i="2" s="1"/>
  <c r="BQ796" i="2"/>
  <c r="BQ802" i="2" s="1"/>
  <c r="BM802" i="2"/>
  <c r="BM810" i="2" s="1"/>
  <c r="BG796" i="2"/>
  <c r="BJ768" i="2"/>
  <c r="AT768" i="2"/>
  <c r="AW760" i="2"/>
  <c r="M726" i="2"/>
  <c r="P718" i="2"/>
  <c r="U712" i="2"/>
  <c r="Q718" i="2"/>
  <c r="AR726" i="2"/>
  <c r="AN754" i="2"/>
  <c r="AN760" i="2" s="1"/>
  <c r="AW754" i="2"/>
  <c r="G684" i="2"/>
  <c r="K676" i="2"/>
  <c r="V676" i="2" s="1"/>
  <c r="B712" i="2"/>
  <c r="F684" i="2"/>
  <c r="AX676" i="2"/>
  <c r="AJ712" i="2"/>
  <c r="AM684" i="2"/>
  <c r="AD712" i="2"/>
  <c r="AH684" i="2"/>
  <c r="AI1263" i="2" l="1"/>
  <c r="AI1270" i="2" s="1"/>
  <c r="AS1106" i="2"/>
  <c r="BJ796" i="2"/>
  <c r="BJ802" i="2" s="1"/>
  <c r="BG802" i="2"/>
  <c r="BG810" i="2" s="1"/>
  <c r="BQ810" i="2"/>
  <c r="BM838" i="2"/>
  <c r="AX684" i="2"/>
  <c r="AN768" i="2"/>
  <c r="AR760" i="2"/>
  <c r="AT796" i="2"/>
  <c r="AT802" i="2" s="1"/>
  <c r="AW768" i="2"/>
  <c r="F712" i="2"/>
  <c r="B718" i="2"/>
  <c r="AH712" i="2"/>
  <c r="AD718" i="2"/>
  <c r="AR754" i="2"/>
  <c r="U718" i="2"/>
  <c r="Q726" i="2"/>
  <c r="M754" i="2"/>
  <c r="M760" i="2" s="1"/>
  <c r="P726" i="2"/>
  <c r="AM712" i="2"/>
  <c r="AJ718" i="2"/>
  <c r="G712" i="2"/>
  <c r="K684" i="2"/>
  <c r="V684" i="2" s="1"/>
  <c r="AI1278" i="2" l="1"/>
  <c r="AS1134" i="2"/>
  <c r="AS1141" i="2" s="1"/>
  <c r="BQ838" i="2"/>
  <c r="BQ844" i="2" s="1"/>
  <c r="BM844" i="2"/>
  <c r="BM852" i="2" s="1"/>
  <c r="BG838" i="2"/>
  <c r="BJ810" i="2"/>
  <c r="AT810" i="2"/>
  <c r="AW802" i="2"/>
  <c r="M768" i="2"/>
  <c r="P760" i="2"/>
  <c r="AR768" i="2"/>
  <c r="AN796" i="2"/>
  <c r="AW796" i="2"/>
  <c r="AX712" i="2"/>
  <c r="P754" i="2"/>
  <c r="K712" i="2"/>
  <c r="V712" i="2" s="1"/>
  <c r="G718" i="2"/>
  <c r="U726" i="2"/>
  <c r="Q754" i="2"/>
  <c r="Q760" i="2" s="1"/>
  <c r="B726" i="2"/>
  <c r="F718" i="2"/>
  <c r="AD726" i="2"/>
  <c r="AH718" i="2"/>
  <c r="AJ726" i="2"/>
  <c r="AM718" i="2"/>
  <c r="AI1306" i="2" l="1"/>
  <c r="AI1313" i="2" s="1"/>
  <c r="AS1149" i="2"/>
  <c r="BJ838" i="2"/>
  <c r="BJ844" i="2" s="1"/>
  <c r="BG844" i="2"/>
  <c r="BG852" i="2" s="1"/>
  <c r="BQ852" i="2"/>
  <c r="BM880" i="2"/>
  <c r="AT838" i="2"/>
  <c r="AW810" i="2"/>
  <c r="AR796" i="2"/>
  <c r="AR797" i="2" s="1"/>
  <c r="AN802" i="2"/>
  <c r="M796" i="2"/>
  <c r="P768" i="2"/>
  <c r="Q768" i="2"/>
  <c r="U760" i="2"/>
  <c r="AW797" i="2"/>
  <c r="AS797" i="2"/>
  <c r="AT797" i="2"/>
  <c r="AV797" i="2"/>
  <c r="AU797" i="2"/>
  <c r="U754" i="2"/>
  <c r="F726" i="2"/>
  <c r="B754" i="2"/>
  <c r="B760" i="2" s="1"/>
  <c r="AX718" i="2"/>
  <c r="AH726" i="2"/>
  <c r="AD754" i="2"/>
  <c r="AD760" i="2" s="1"/>
  <c r="G726" i="2"/>
  <c r="K718" i="2"/>
  <c r="V718" i="2" s="1"/>
  <c r="AJ754" i="2"/>
  <c r="AJ760" i="2" s="1"/>
  <c r="AM726" i="2"/>
  <c r="AI1321" i="2" l="1"/>
  <c r="AS1177" i="2"/>
  <c r="AS1184" i="2" s="1"/>
  <c r="AS1192" i="2" s="1"/>
  <c r="BQ880" i="2"/>
  <c r="BQ886" i="2" s="1"/>
  <c r="BM886" i="2"/>
  <c r="BM894" i="2" s="1"/>
  <c r="BG880" i="2"/>
  <c r="BJ852" i="2"/>
  <c r="AW838" i="2"/>
  <c r="AT844" i="2"/>
  <c r="AO797" i="2"/>
  <c r="AQ797" i="2"/>
  <c r="P796" i="2"/>
  <c r="M802" i="2"/>
  <c r="AP797" i="2"/>
  <c r="AN797" i="2"/>
  <c r="AN810" i="2"/>
  <c r="AR802" i="2"/>
  <c r="B768" i="2"/>
  <c r="F760" i="2"/>
  <c r="U768" i="2"/>
  <c r="Q796" i="2"/>
  <c r="AM760" i="2"/>
  <c r="AJ768" i="2"/>
  <c r="AD768" i="2"/>
  <c r="AH760" i="2"/>
  <c r="G754" i="2"/>
  <c r="G760" i="2" s="1"/>
  <c r="K726" i="2"/>
  <c r="V726" i="2" s="1"/>
  <c r="F754" i="2"/>
  <c r="AX726" i="2"/>
  <c r="AH754" i="2"/>
  <c r="AM754" i="2"/>
  <c r="AI1349" i="2" l="1"/>
  <c r="AI1356" i="2" s="1"/>
  <c r="AS1220" i="2"/>
  <c r="AS1227" i="2" s="1"/>
  <c r="BJ880" i="2"/>
  <c r="BJ886" i="2" s="1"/>
  <c r="BG886" i="2"/>
  <c r="BG894" i="2" s="1"/>
  <c r="BQ894" i="2"/>
  <c r="BM922" i="2"/>
  <c r="AW844" i="2"/>
  <c r="AT852" i="2"/>
  <c r="U796" i="2"/>
  <c r="Q802" i="2"/>
  <c r="M810" i="2"/>
  <c r="P802" i="2"/>
  <c r="AR810" i="2"/>
  <c r="AN838" i="2"/>
  <c r="G768" i="2"/>
  <c r="K760" i="2"/>
  <c r="V760" i="2" s="1"/>
  <c r="AX760" i="2"/>
  <c r="F768" i="2"/>
  <c r="B796" i="2"/>
  <c r="AJ796" i="2"/>
  <c r="AJ802" i="2" s="1"/>
  <c r="AM768" i="2"/>
  <c r="AH768" i="2"/>
  <c r="AD796" i="2"/>
  <c r="AD802" i="2" s="1"/>
  <c r="K754" i="2"/>
  <c r="V754" i="2" s="1"/>
  <c r="AX754" i="2"/>
  <c r="AI1364" i="2" l="1"/>
  <c r="AS1235" i="2"/>
  <c r="BQ922" i="2"/>
  <c r="BQ928" i="2" s="1"/>
  <c r="BM928" i="2"/>
  <c r="BM936" i="2" s="1"/>
  <c r="BG922" i="2"/>
  <c r="BJ894" i="2"/>
  <c r="AR838" i="2"/>
  <c r="AN844" i="2"/>
  <c r="AT880" i="2"/>
  <c r="AW852" i="2"/>
  <c r="F796" i="2"/>
  <c r="B802" i="2"/>
  <c r="Q810" i="2"/>
  <c r="U802" i="2"/>
  <c r="M838" i="2"/>
  <c r="P810" i="2"/>
  <c r="AJ810" i="2"/>
  <c r="AM802" i="2"/>
  <c r="AD810" i="2"/>
  <c r="AH802" i="2"/>
  <c r="G796" i="2"/>
  <c r="K768" i="2"/>
  <c r="V768" i="2" s="1"/>
  <c r="AM796" i="2"/>
  <c r="AX768" i="2"/>
  <c r="AH796" i="2"/>
  <c r="AI1392" i="2" l="1"/>
  <c r="AI1399" i="2" s="1"/>
  <c r="AS1263" i="2"/>
  <c r="AS1270" i="2" s="1"/>
  <c r="BJ922" i="2"/>
  <c r="BJ928" i="2" s="1"/>
  <c r="BG928" i="2"/>
  <c r="BG936" i="2" s="1"/>
  <c r="BM964" i="2"/>
  <c r="BQ936" i="2"/>
  <c r="AW880" i="2"/>
  <c r="AT886" i="2"/>
  <c r="P838" i="2"/>
  <c r="M844" i="2"/>
  <c r="BC802" i="2"/>
  <c r="AR844" i="2"/>
  <c r="AN852" i="2"/>
  <c r="K796" i="2"/>
  <c r="V796" i="2" s="1"/>
  <c r="G802" i="2"/>
  <c r="F802" i="2"/>
  <c r="B810" i="2"/>
  <c r="Q838" i="2"/>
  <c r="U810" i="2"/>
  <c r="AJ838" i="2"/>
  <c r="AM810" i="2"/>
  <c r="AD838" i="2"/>
  <c r="AH810" i="2"/>
  <c r="AK797" i="2"/>
  <c r="AL797" i="2"/>
  <c r="AM797" i="2"/>
  <c r="AI797" i="2"/>
  <c r="AJ797" i="2"/>
  <c r="AE797" i="2"/>
  <c r="AF797" i="2"/>
  <c r="AH797" i="2"/>
  <c r="AD797" i="2"/>
  <c r="AG797" i="2"/>
  <c r="AX796" i="2"/>
  <c r="AI1407" i="2" l="1"/>
  <c r="AS1278" i="2"/>
  <c r="BQ964" i="2"/>
  <c r="BQ970" i="2" s="1"/>
  <c r="BM970" i="2"/>
  <c r="BM978" i="2" s="1"/>
  <c r="BG964" i="2"/>
  <c r="BJ936" i="2"/>
  <c r="AT894" i="2"/>
  <c r="AW886" i="2"/>
  <c r="BC810" i="2"/>
  <c r="M852" i="2"/>
  <c r="P844" i="2"/>
  <c r="U838" i="2"/>
  <c r="Q844" i="2"/>
  <c r="AH838" i="2"/>
  <c r="AD844" i="2"/>
  <c r="AM838" i="2"/>
  <c r="AJ844" i="2"/>
  <c r="AN880" i="2"/>
  <c r="AR852" i="2"/>
  <c r="B838" i="2"/>
  <c r="F810" i="2"/>
  <c r="G810" i="2"/>
  <c r="K802" i="2"/>
  <c r="AA802" i="2" s="1"/>
  <c r="AI1435" i="2" l="1"/>
  <c r="AI1442" i="2" s="1"/>
  <c r="AS1306" i="2"/>
  <c r="AS1313" i="2" s="1"/>
  <c r="BJ964" i="2"/>
  <c r="BJ970" i="2" s="1"/>
  <c r="BG970" i="2"/>
  <c r="BG978" i="2" s="1"/>
  <c r="BQ978" i="2"/>
  <c r="BM1006" i="2"/>
  <c r="AR880" i="2"/>
  <c r="AN886" i="2"/>
  <c r="AT922" i="2"/>
  <c r="AW894" i="2"/>
  <c r="F838" i="2"/>
  <c r="B844" i="2"/>
  <c r="Q852" i="2"/>
  <c r="U844" i="2"/>
  <c r="M880" i="2"/>
  <c r="P852" i="2"/>
  <c r="AM844" i="2"/>
  <c r="AJ852" i="2"/>
  <c r="AD852" i="2"/>
  <c r="AH844" i="2"/>
  <c r="BC838" i="2"/>
  <c r="G838" i="2"/>
  <c r="K810" i="2"/>
  <c r="AA810" i="2" s="1"/>
  <c r="AI1450" i="2" l="1"/>
  <c r="AS1321" i="2"/>
  <c r="BQ1006" i="2"/>
  <c r="BQ1012" i="2" s="1"/>
  <c r="BM1012" i="2"/>
  <c r="BM1020" i="2" s="1"/>
  <c r="BG1006" i="2"/>
  <c r="BJ978" i="2"/>
  <c r="AW922" i="2"/>
  <c r="AT928" i="2"/>
  <c r="P880" i="2"/>
  <c r="M886" i="2"/>
  <c r="AN894" i="2"/>
  <c r="AR886" i="2"/>
  <c r="U852" i="2"/>
  <c r="Q880" i="2"/>
  <c r="B852" i="2"/>
  <c r="F844" i="2"/>
  <c r="K838" i="2"/>
  <c r="AA838" i="2" s="1"/>
  <c r="G844" i="2"/>
  <c r="BC844" i="2"/>
  <c r="AH852" i="2"/>
  <c r="AD880" i="2"/>
  <c r="AJ880" i="2"/>
  <c r="AM852" i="2"/>
  <c r="AI1478" i="2" l="1"/>
  <c r="AS1349" i="2"/>
  <c r="AS1356" i="2" s="1"/>
  <c r="BJ1006" i="2"/>
  <c r="BJ1012" i="2" s="1"/>
  <c r="BG1012" i="2"/>
  <c r="BG1020" i="2" s="1"/>
  <c r="BM1048" i="2"/>
  <c r="BQ1020" i="2"/>
  <c r="AT936" i="2"/>
  <c r="AW928" i="2"/>
  <c r="M894" i="2"/>
  <c r="P886" i="2"/>
  <c r="U880" i="2"/>
  <c r="Q886" i="2"/>
  <c r="AM880" i="2"/>
  <c r="AJ886" i="2"/>
  <c r="AH880" i="2"/>
  <c r="AD886" i="2"/>
  <c r="AR894" i="2"/>
  <c r="AN922" i="2"/>
  <c r="G852" i="2"/>
  <c r="K844" i="2"/>
  <c r="AA844" i="2" s="1"/>
  <c r="B880" i="2"/>
  <c r="F852" i="2"/>
  <c r="BC852" i="2"/>
  <c r="AS1364" i="2" l="1"/>
  <c r="BQ1048" i="2"/>
  <c r="BQ1055" i="2" s="1"/>
  <c r="BM1055" i="2"/>
  <c r="BM1063" i="2" s="1"/>
  <c r="BG1048" i="2"/>
  <c r="BJ1020" i="2"/>
  <c r="BC880" i="2"/>
  <c r="AR922" i="2"/>
  <c r="AN928" i="2"/>
  <c r="AT964" i="2"/>
  <c r="AW936" i="2"/>
  <c r="Q894" i="2"/>
  <c r="U886" i="2"/>
  <c r="F880" i="2"/>
  <c r="B886" i="2"/>
  <c r="M922" i="2"/>
  <c r="P894" i="2"/>
  <c r="AD894" i="2"/>
  <c r="AH886" i="2"/>
  <c r="AJ894" i="2"/>
  <c r="AM886" i="2"/>
  <c r="K852" i="2"/>
  <c r="AA852" i="2" s="1"/>
  <c r="G880" i="2"/>
  <c r="AS1392" i="2" l="1"/>
  <c r="AS1399" i="2" s="1"/>
  <c r="BJ1048" i="2"/>
  <c r="BJ1055" i="2" s="1"/>
  <c r="BG1055" i="2"/>
  <c r="BG1063" i="2" s="1"/>
  <c r="BM1091" i="2"/>
  <c r="BQ1091" i="2" s="1"/>
  <c r="BQ1063" i="2"/>
  <c r="AW964" i="2"/>
  <c r="AT970" i="2"/>
  <c r="AN936" i="2"/>
  <c r="AR928" i="2"/>
  <c r="P922" i="2"/>
  <c r="M928" i="2"/>
  <c r="BC886" i="2"/>
  <c r="K880" i="2"/>
  <c r="AA880" i="2" s="1"/>
  <c r="G886" i="2"/>
  <c r="B894" i="2"/>
  <c r="F886" i="2"/>
  <c r="Q922" i="2"/>
  <c r="U894" i="2"/>
  <c r="AJ922" i="2"/>
  <c r="AM894" i="2"/>
  <c r="AH894" i="2"/>
  <c r="AD922" i="2"/>
  <c r="AS1407" i="2" l="1"/>
  <c r="BG1091" i="2"/>
  <c r="BJ1091" i="2" s="1"/>
  <c r="BJ1063" i="2"/>
  <c r="AT978" i="2"/>
  <c r="AW970" i="2"/>
  <c r="AM922" i="2"/>
  <c r="AJ928" i="2"/>
  <c r="AH922" i="2"/>
  <c r="AD928" i="2"/>
  <c r="AN964" i="2"/>
  <c r="AR936" i="2"/>
  <c r="U922" i="2"/>
  <c r="Q928" i="2"/>
  <c r="M936" i="2"/>
  <c r="P928" i="2"/>
  <c r="BC894" i="2"/>
  <c r="B922" i="2"/>
  <c r="F894" i="2"/>
  <c r="G894" i="2"/>
  <c r="K886" i="2"/>
  <c r="AA886" i="2" s="1"/>
  <c r="AS1435" i="2" l="1"/>
  <c r="AS1442" i="2" s="1"/>
  <c r="AR964" i="2"/>
  <c r="AN970" i="2"/>
  <c r="AT1006" i="2"/>
  <c r="AW978" i="2"/>
  <c r="F922" i="2"/>
  <c r="B928" i="2"/>
  <c r="BC922" i="2"/>
  <c r="AD936" i="2"/>
  <c r="AH928" i="2"/>
  <c r="AJ936" i="2"/>
  <c r="AM928" i="2"/>
  <c r="U928" i="2"/>
  <c r="Q936" i="2"/>
  <c r="M964" i="2"/>
  <c r="P936" i="2"/>
  <c r="G922" i="2"/>
  <c r="K894" i="2"/>
  <c r="AA894" i="2" s="1"/>
  <c r="AS1450" i="2" l="1"/>
  <c r="AW1006" i="2"/>
  <c r="AT1012" i="2"/>
  <c r="P964" i="2"/>
  <c r="M970" i="2"/>
  <c r="AN978" i="2"/>
  <c r="AR970" i="2"/>
  <c r="K922" i="2"/>
  <c r="AA922" i="2" s="1"/>
  <c r="G928" i="2"/>
  <c r="B936" i="2"/>
  <c r="F928" i="2"/>
  <c r="AJ964" i="2"/>
  <c r="AM936" i="2"/>
  <c r="BC928" i="2"/>
  <c r="AH936" i="2"/>
  <c r="AD964" i="2"/>
  <c r="Q964" i="2"/>
  <c r="U936" i="2"/>
  <c r="AS1478" i="2" l="1"/>
  <c r="AT1020" i="2"/>
  <c r="AW1012" i="2"/>
  <c r="U964" i="2"/>
  <c r="Q970" i="2"/>
  <c r="M978" i="2"/>
  <c r="P970" i="2"/>
  <c r="AH964" i="2"/>
  <c r="AD970" i="2"/>
  <c r="AM964" i="2"/>
  <c r="AJ970" i="2"/>
  <c r="AN1006" i="2"/>
  <c r="AR978" i="2"/>
  <c r="BC936" i="2"/>
  <c r="B964" i="2"/>
  <c r="F936" i="2"/>
  <c r="G936" i="2"/>
  <c r="K928" i="2"/>
  <c r="AA928" i="2" s="1"/>
  <c r="AR1006" i="2" l="1"/>
  <c r="AN1012" i="2"/>
  <c r="AT1048" i="2"/>
  <c r="AW1020" i="2"/>
  <c r="BC964" i="2"/>
  <c r="Q978" i="2"/>
  <c r="U970" i="2"/>
  <c r="F964" i="2"/>
  <c r="B970" i="2"/>
  <c r="M1006" i="2"/>
  <c r="P978" i="2"/>
  <c r="AJ978" i="2"/>
  <c r="AM970" i="2"/>
  <c r="AD978" i="2"/>
  <c r="AH970" i="2"/>
  <c r="G964" i="2"/>
  <c r="K936" i="2"/>
  <c r="AA936" i="2" s="1"/>
  <c r="AW1048" i="2" l="1"/>
  <c r="AT1055" i="2"/>
  <c r="BC970" i="2"/>
  <c r="P1006" i="2"/>
  <c r="M1012" i="2"/>
  <c r="AN1020" i="2"/>
  <c r="AR1012" i="2"/>
  <c r="K964" i="2"/>
  <c r="AA964" i="2" s="1"/>
  <c r="G970" i="2"/>
  <c r="B978" i="2"/>
  <c r="F970" i="2"/>
  <c r="Q1006" i="2"/>
  <c r="U978" i="2"/>
  <c r="AD1006" i="2"/>
  <c r="AH978" i="2"/>
  <c r="AJ1006" i="2"/>
  <c r="AM978" i="2"/>
  <c r="AT1063" i="2" l="1"/>
  <c r="AW1055" i="2"/>
  <c r="U1006" i="2"/>
  <c r="Q1012" i="2"/>
  <c r="AH1006" i="2"/>
  <c r="AD1012" i="2"/>
  <c r="M1020" i="2"/>
  <c r="P1012" i="2"/>
  <c r="AN1048" i="2"/>
  <c r="AR1020" i="2"/>
  <c r="AM1006" i="2"/>
  <c r="BC1006" i="2" s="1"/>
  <c r="AJ1012" i="2"/>
  <c r="B1006" i="2"/>
  <c r="F978" i="2"/>
  <c r="G978" i="2"/>
  <c r="K970" i="2"/>
  <c r="AA970" i="2" s="1"/>
  <c r="BC978" i="2"/>
  <c r="AR1048" i="2" l="1"/>
  <c r="AN1055" i="2"/>
  <c r="AT1091" i="2"/>
  <c r="AT1098" i="2" s="1"/>
  <c r="AW1063" i="2"/>
  <c r="F1006" i="2"/>
  <c r="B1012" i="2"/>
  <c r="AD1020" i="2"/>
  <c r="AH1012" i="2"/>
  <c r="U1012" i="2"/>
  <c r="Q1020" i="2"/>
  <c r="M1048" i="2"/>
  <c r="P1020" i="2"/>
  <c r="AJ1020" i="2"/>
  <c r="AM1012" i="2"/>
  <c r="G1006" i="2"/>
  <c r="K978" i="2"/>
  <c r="AA978" i="2" s="1"/>
  <c r="AT1106" i="2" l="1"/>
  <c r="AW1098" i="2"/>
  <c r="P1048" i="2"/>
  <c r="M1055" i="2"/>
  <c r="AN1063" i="2"/>
  <c r="AR1055" i="2"/>
  <c r="AW1091" i="2"/>
  <c r="BC1012" i="2"/>
  <c r="AH1020" i="2"/>
  <c r="AD1048" i="2"/>
  <c r="B1020" i="2"/>
  <c r="F1012" i="2"/>
  <c r="U1020" i="2"/>
  <c r="Q1048" i="2"/>
  <c r="K1006" i="2"/>
  <c r="AA1006" i="2" s="1"/>
  <c r="G1012" i="2"/>
  <c r="AJ1048" i="2"/>
  <c r="AM1020" i="2"/>
  <c r="AT1134" i="2" l="1"/>
  <c r="AW1106" i="2"/>
  <c r="AW1092" i="2"/>
  <c r="AU1092" i="2"/>
  <c r="AV1092" i="2"/>
  <c r="AS1092" i="2"/>
  <c r="AT1092" i="2"/>
  <c r="AN1091" i="2"/>
  <c r="AR1063" i="2"/>
  <c r="AM1048" i="2"/>
  <c r="AJ1055" i="2"/>
  <c r="M1063" i="2"/>
  <c r="P1055" i="2"/>
  <c r="AH1048" i="2"/>
  <c r="AD1055" i="2"/>
  <c r="U1048" i="2"/>
  <c r="Q1055" i="2"/>
  <c r="B1048" i="2"/>
  <c r="F1020" i="2"/>
  <c r="G1020" i="2"/>
  <c r="K1012" i="2"/>
  <c r="AA1012" i="2" s="1"/>
  <c r="BC1020" i="2"/>
  <c r="AW1134" i="2" l="1"/>
  <c r="AT1141" i="2"/>
  <c r="AR1091" i="2"/>
  <c r="AN1098" i="2"/>
  <c r="BC1048" i="2"/>
  <c r="F1048" i="2"/>
  <c r="B1055" i="2"/>
  <c r="M1091" i="2"/>
  <c r="P1091" i="2" s="1"/>
  <c r="P1063" i="2"/>
  <c r="AJ1063" i="2"/>
  <c r="AM1055" i="2"/>
  <c r="AH1055" i="2"/>
  <c r="AD1063" i="2"/>
  <c r="Q1063" i="2"/>
  <c r="U1055" i="2"/>
  <c r="K1020" i="2"/>
  <c r="AA1020" i="2" s="1"/>
  <c r="G1048" i="2"/>
  <c r="AT1149" i="2" l="1"/>
  <c r="AW1141" i="2"/>
  <c r="AR1098" i="2"/>
  <c r="AN1106" i="2"/>
  <c r="BC1055" i="2"/>
  <c r="AJ1091" i="2"/>
  <c r="AJ1098" i="2" s="1"/>
  <c r="AM1063" i="2"/>
  <c r="Q1091" i="2"/>
  <c r="U1091" i="2" s="1"/>
  <c r="U1063" i="2"/>
  <c r="B1063" i="2"/>
  <c r="F1055" i="2"/>
  <c r="AH1063" i="2"/>
  <c r="AD1091" i="2"/>
  <c r="K1048" i="2"/>
  <c r="AA1048" i="2" s="1"/>
  <c r="G1055" i="2"/>
  <c r="AT1177" i="2" l="1"/>
  <c r="AW1149" i="2"/>
  <c r="AN1134" i="2"/>
  <c r="AR1106" i="2"/>
  <c r="AH1091" i="2"/>
  <c r="AD1098" i="2"/>
  <c r="AJ1106" i="2"/>
  <c r="AM1098" i="2"/>
  <c r="BC1063" i="2"/>
  <c r="G1063" i="2"/>
  <c r="K1055" i="2"/>
  <c r="AA1055" i="2" s="1"/>
  <c r="B1091" i="2"/>
  <c r="F1091" i="2" s="1"/>
  <c r="F1063" i="2"/>
  <c r="AM1091" i="2"/>
  <c r="BC1091" i="2" s="1"/>
  <c r="AW1177" i="2" l="1"/>
  <c r="AT1184" i="2"/>
  <c r="AR1134" i="2"/>
  <c r="AN1141" i="2"/>
  <c r="AJ1134" i="2"/>
  <c r="AM1106" i="2"/>
  <c r="AD1106" i="2"/>
  <c r="AH1098" i="2"/>
  <c r="BC1098" i="2" s="1"/>
  <c r="AK1092" i="2"/>
  <c r="AM1092" i="2"/>
  <c r="AL1092" i="2"/>
  <c r="AI1092" i="2"/>
  <c r="AJ1092" i="2"/>
  <c r="K1063" i="2"/>
  <c r="AA1063" i="2" s="1"/>
  <c r="G1091" i="2"/>
  <c r="K1091" i="2" s="1"/>
  <c r="AA1091" i="2" s="1"/>
  <c r="AW1184" i="2" l="1"/>
  <c r="AT1192" i="2"/>
  <c r="AM1134" i="2"/>
  <c r="AJ1141" i="2"/>
  <c r="AN1149" i="2"/>
  <c r="AR1141" i="2"/>
  <c r="AH1106" i="2"/>
  <c r="BC1106" i="2" s="1"/>
  <c r="AD1134" i="2"/>
  <c r="AT1220" i="2" l="1"/>
  <c r="AW1192" i="2"/>
  <c r="AR1149" i="2"/>
  <c r="AN1177" i="2"/>
  <c r="AJ1149" i="2"/>
  <c r="AM1141" i="2"/>
  <c r="AH1134" i="2"/>
  <c r="BC1134" i="2" s="1"/>
  <c r="AD1141" i="2"/>
  <c r="AW1220" i="2" l="1"/>
  <c r="AT1227" i="2"/>
  <c r="AR1177" i="2"/>
  <c r="AN1184" i="2"/>
  <c r="AJ1177" i="2"/>
  <c r="AM1149" i="2"/>
  <c r="AD1149" i="2"/>
  <c r="AH1141" i="2"/>
  <c r="BC1141" i="2" s="1"/>
  <c r="AT1235" i="2" l="1"/>
  <c r="AW1227" i="2"/>
  <c r="AM1177" i="2"/>
  <c r="AJ1184" i="2"/>
  <c r="AR1184" i="2"/>
  <c r="AN1192" i="2"/>
  <c r="AD1177" i="2"/>
  <c r="AH1149" i="2"/>
  <c r="BC1149" i="2" s="1"/>
  <c r="AT1263" i="2" l="1"/>
  <c r="AW1235" i="2"/>
  <c r="AJ1192" i="2"/>
  <c r="AM1184" i="2"/>
  <c r="AH1177" i="2"/>
  <c r="BC1177" i="2" s="1"/>
  <c r="AD1184" i="2"/>
  <c r="AR1192" i="2"/>
  <c r="AN1220" i="2"/>
  <c r="AW1263" i="2" l="1"/>
  <c r="AT1270" i="2"/>
  <c r="AR1220" i="2"/>
  <c r="AN1227" i="2"/>
  <c r="AD1192" i="2"/>
  <c r="AH1184" i="2"/>
  <c r="BC1184" i="2" s="1"/>
  <c r="AJ1220" i="2"/>
  <c r="AM1192" i="2"/>
  <c r="AT1278" i="2" l="1"/>
  <c r="AW1270" i="2"/>
  <c r="AN1235" i="2"/>
  <c r="AR1227" i="2"/>
  <c r="AM1220" i="2"/>
  <c r="AJ1227" i="2"/>
  <c r="AD1220" i="2"/>
  <c r="AH1192" i="2"/>
  <c r="BC1192" i="2" s="1"/>
  <c r="AT1306" i="2" l="1"/>
  <c r="AW1278" i="2"/>
  <c r="AJ1235" i="2"/>
  <c r="AM1227" i="2"/>
  <c r="AH1220" i="2"/>
  <c r="BC1220" i="2" s="1"/>
  <c r="AD1227" i="2"/>
  <c r="AR1235" i="2"/>
  <c r="AN1263" i="2"/>
  <c r="AW1306" i="2" l="1"/>
  <c r="AT1313" i="2"/>
  <c r="AR1263" i="2"/>
  <c r="AN1270" i="2"/>
  <c r="AD1235" i="2"/>
  <c r="AH1227" i="2"/>
  <c r="BC1227" i="2" s="1"/>
  <c r="AJ1263" i="2"/>
  <c r="AM1235" i="2"/>
  <c r="AT1321" i="2" l="1"/>
  <c r="AW1313" i="2"/>
  <c r="AM1263" i="2"/>
  <c r="AJ1270" i="2"/>
  <c r="AN1278" i="2"/>
  <c r="AR1270" i="2"/>
  <c r="AH1235" i="2"/>
  <c r="BC1235" i="2" s="1"/>
  <c r="AD1263" i="2"/>
  <c r="AT1349" i="2" l="1"/>
  <c r="AW1321" i="2"/>
  <c r="AH1263" i="2"/>
  <c r="BC1263" i="2" s="1"/>
  <c r="AD1270" i="2"/>
  <c r="AN1306" i="2"/>
  <c r="AR1278" i="2"/>
  <c r="AJ1278" i="2"/>
  <c r="AM1270" i="2"/>
  <c r="AW1349" i="2" l="1"/>
  <c r="AT1356" i="2"/>
  <c r="AR1306" i="2"/>
  <c r="AN1313" i="2"/>
  <c r="AJ1306" i="2"/>
  <c r="AM1278" i="2"/>
  <c r="AH1270" i="2"/>
  <c r="BC1270" i="2" s="1"/>
  <c r="AD1278" i="2"/>
  <c r="AT1364" i="2" l="1"/>
  <c r="AW1356" i="2"/>
  <c r="AM1306" i="2"/>
  <c r="AJ1313" i="2"/>
  <c r="AN1321" i="2"/>
  <c r="AR1313" i="2"/>
  <c r="AH1278" i="2"/>
  <c r="BC1278" i="2" s="1"/>
  <c r="AD1306" i="2"/>
  <c r="AT1392" i="2" l="1"/>
  <c r="AW1364" i="2"/>
  <c r="AJ1321" i="2"/>
  <c r="AM1313" i="2"/>
  <c r="AH1306" i="2"/>
  <c r="BC1306" i="2" s="1"/>
  <c r="AD1313" i="2"/>
  <c r="AR1321" i="2"/>
  <c r="AN1349" i="2"/>
  <c r="AW1392" i="2" l="1"/>
  <c r="AT1399" i="2"/>
  <c r="AR1349" i="2"/>
  <c r="AN1356" i="2"/>
  <c r="AD1321" i="2"/>
  <c r="AH1313" i="2"/>
  <c r="BC1313" i="2" s="1"/>
  <c r="AJ1349" i="2"/>
  <c r="AM1321" i="2"/>
  <c r="AT1407" i="2" l="1"/>
  <c r="AW1399" i="2"/>
  <c r="AR1356" i="2"/>
  <c r="AN1364" i="2"/>
  <c r="AM1349" i="2"/>
  <c r="AJ1356" i="2"/>
  <c r="AD1349" i="2"/>
  <c r="AH1321" i="2"/>
  <c r="BC1321" i="2" s="1"/>
  <c r="AT1435" i="2" l="1"/>
  <c r="AW1407" i="2"/>
  <c r="AJ1364" i="2"/>
  <c r="AM1356" i="2"/>
  <c r="AN1392" i="2"/>
  <c r="AR1364" i="2"/>
  <c r="AH1349" i="2"/>
  <c r="BC1349" i="2" s="1"/>
  <c r="AD1356" i="2"/>
  <c r="AW1435" i="2" l="1"/>
  <c r="AT1442" i="2"/>
  <c r="AR1392" i="2"/>
  <c r="AN1399" i="2"/>
  <c r="AD1364" i="2"/>
  <c r="AH1356" i="2"/>
  <c r="BC1356" i="2" s="1"/>
  <c r="AJ1392" i="2"/>
  <c r="AM1364" i="2"/>
  <c r="AT1450" i="2" l="1"/>
  <c r="AW1442" i="2"/>
  <c r="AN1407" i="2"/>
  <c r="AR1399" i="2"/>
  <c r="AM1392" i="2"/>
  <c r="AJ1399" i="2"/>
  <c r="AH1364" i="2"/>
  <c r="BC1364" i="2" s="1"/>
  <c r="AD1392" i="2"/>
  <c r="AT1478" i="2" l="1"/>
  <c r="AW1450" i="2"/>
  <c r="AH1392" i="2"/>
  <c r="BC1392" i="2" s="1"/>
  <c r="AD1399" i="2"/>
  <c r="AJ1407" i="2"/>
  <c r="AM1399" i="2"/>
  <c r="AN1435" i="2"/>
  <c r="AR1407" i="2"/>
  <c r="AW1478" i="2" l="1"/>
  <c r="AR1435" i="2"/>
  <c r="AN1442" i="2"/>
  <c r="AD1407" i="2"/>
  <c r="AH1399" i="2"/>
  <c r="BC1399" i="2" s="1"/>
  <c r="AJ1435" i="2"/>
  <c r="AM1407" i="2"/>
  <c r="AN1450" i="2" l="1"/>
  <c r="AR1442" i="2"/>
  <c r="AM1435" i="2"/>
  <c r="AJ1442" i="2"/>
  <c r="AD1435" i="2"/>
  <c r="AH1407" i="2"/>
  <c r="BC1407" i="2" s="1"/>
  <c r="AJ1450" i="2" l="1"/>
  <c r="AM1442" i="2"/>
  <c r="AH1435" i="2"/>
  <c r="BC1435" i="2" s="1"/>
  <c r="AD1442" i="2"/>
  <c r="AR1450" i="2"/>
  <c r="AN1478" i="2"/>
  <c r="AR1478" i="2" s="1"/>
  <c r="AD1450" i="2" l="1"/>
  <c r="AH1442" i="2"/>
  <c r="BC1442" i="2" s="1"/>
  <c r="AJ1478" i="2"/>
  <c r="AM1450" i="2"/>
  <c r="AM1478" i="2" l="1"/>
  <c r="AD1478" i="2"/>
  <c r="AH1478" i="2" s="1"/>
  <c r="AH1450" i="2"/>
  <c r="BC1450" i="2" s="1"/>
  <c r="BC1478" i="2" l="1"/>
</calcChain>
</file>

<file path=xl/sharedStrings.xml><?xml version="1.0" encoding="utf-8"?>
<sst xmlns="http://schemas.openxmlformats.org/spreadsheetml/2006/main" count="6490" uniqueCount="720">
  <si>
    <t>カラー</t>
    <phoneticPr fontId="3"/>
  </si>
  <si>
    <t>総合計</t>
    <rPh sb="0" eb="1">
      <t>ソウ</t>
    </rPh>
    <rPh sb="1" eb="3">
      <t>ゴウケイ</t>
    </rPh>
    <phoneticPr fontId="3"/>
  </si>
  <si>
    <t>サイズ</t>
    <phoneticPr fontId="3"/>
  </si>
  <si>
    <t>9M</t>
    <phoneticPr fontId="3"/>
  </si>
  <si>
    <t>11L</t>
    <phoneticPr fontId="3"/>
  </si>
  <si>
    <t>13L</t>
    <phoneticPr fontId="3"/>
  </si>
  <si>
    <t>15LL</t>
    <phoneticPr fontId="3"/>
  </si>
  <si>
    <t>計</t>
    <rPh sb="0" eb="1">
      <t>ケイ</t>
    </rPh>
    <phoneticPr fontId="3"/>
  </si>
  <si>
    <t>追加１</t>
    <rPh sb="0" eb="2">
      <t>ツイカ</t>
    </rPh>
    <phoneticPr fontId="3"/>
  </si>
  <si>
    <t>発注数</t>
    <rPh sb="0" eb="3">
      <t>ハッチュウスウ</t>
    </rPh>
    <phoneticPr fontId="3"/>
  </si>
  <si>
    <t>追加２</t>
    <rPh sb="0" eb="2">
      <t>ツイカ</t>
    </rPh>
    <phoneticPr fontId="3"/>
  </si>
  <si>
    <t>追加３</t>
    <rPh sb="0" eb="2">
      <t>ツイカ</t>
    </rPh>
    <phoneticPr fontId="3"/>
  </si>
  <si>
    <t>追加４</t>
    <rPh sb="0" eb="2">
      <t>ツイカ</t>
    </rPh>
    <phoneticPr fontId="3"/>
  </si>
  <si>
    <t>追加５</t>
    <rPh sb="0" eb="2">
      <t>ツイカ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</si>
  <si>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</si>
  <si>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</si>
  <si>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</si>
  <si>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杢ボーダー</t>
    <rPh sb="0" eb="1">
      <t>モク</t>
    </rPh>
    <phoneticPr fontId="3"/>
  </si>
  <si>
    <t>ボタニカル</t>
    <phoneticPr fontId="3"/>
  </si>
  <si>
    <t>YM18005ブラウジングカバーアップ（夢販在庫）</t>
    <rPh sb="20" eb="21">
      <t>ユメ</t>
    </rPh>
    <rPh sb="21" eb="22">
      <t>ハン</t>
    </rPh>
    <rPh sb="22" eb="24">
      <t>ザイコ</t>
    </rPh>
    <phoneticPr fontId="3"/>
  </si>
  <si>
    <t>YM18005ブラウジングカバーアップ(ゼクー在庫）</t>
    <rPh sb="23" eb="25">
      <t>ザイコ</t>
    </rPh>
    <phoneticPr fontId="3"/>
  </si>
  <si>
    <t>夢販</t>
    <rPh sb="0" eb="2">
      <t>ユメハン</t>
    </rPh>
    <phoneticPr fontId="2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</si>
  <si>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3"/>
  </si>
  <si>
    <t>ディノス事前搬入（カタログ）</t>
    <rPh sb="4" eb="6">
      <t>ジゼン</t>
    </rPh>
    <rPh sb="6" eb="8">
      <t>ハンニュウ</t>
    </rPh>
    <phoneticPr fontId="2"/>
  </si>
  <si>
    <t>ディノス事前搬入（WEB）</t>
    <rPh sb="4" eb="6">
      <t>ジゼン</t>
    </rPh>
    <rPh sb="6" eb="8">
      <t>ハンニュウ</t>
    </rPh>
    <phoneticPr fontId="2"/>
  </si>
  <si>
    <t>ディノス（３点セット）</t>
    <rPh sb="6" eb="7">
      <t>テン</t>
    </rPh>
    <phoneticPr fontId="2"/>
  </si>
  <si>
    <t>ディノス（上下）</t>
    <rPh sb="5" eb="7">
      <t>ジョウゲ</t>
    </rPh>
    <phoneticPr fontId="2"/>
  </si>
  <si>
    <t>下げ札なし分</t>
    <rPh sb="0" eb="1">
      <t>サ</t>
    </rPh>
    <rPh sb="2" eb="3">
      <t>フダ</t>
    </rPh>
    <rPh sb="5" eb="6">
      <t>ブン</t>
    </rPh>
    <phoneticPr fontId="3"/>
  </si>
  <si>
    <t>追加</t>
    <rPh sb="0" eb="2">
      <t>ツイカ</t>
    </rPh>
    <phoneticPr fontId="2"/>
  </si>
  <si>
    <t>ディノス返品</t>
    <rPh sb="4" eb="6">
      <t>ヘンピン</t>
    </rPh>
    <phoneticPr fontId="2"/>
  </si>
  <si>
    <t>在庫</t>
    <rPh sb="0" eb="2">
      <t>ザイコ</t>
    </rPh>
    <phoneticPr fontId="3"/>
  </si>
  <si>
    <t>ディノス18夏</t>
    <rPh sb="6" eb="7">
      <t>ナツ</t>
    </rPh>
    <phoneticPr fontId="2"/>
  </si>
  <si>
    <t>7/9～（限定数引き上げ）</t>
    <rPh sb="5" eb="7">
      <t>ゲンテイ</t>
    </rPh>
    <rPh sb="7" eb="8">
      <t>スウ</t>
    </rPh>
    <rPh sb="8" eb="9">
      <t>ヒ</t>
    </rPh>
    <rPh sb="10" eb="11">
      <t>ア</t>
    </rPh>
    <phoneticPr fontId="2"/>
  </si>
  <si>
    <t>持ち帰り</t>
    <rPh sb="0" eb="1">
      <t>モ</t>
    </rPh>
    <rPh sb="2" eb="3">
      <t>カエ</t>
    </rPh>
    <phoneticPr fontId="2"/>
  </si>
  <si>
    <t>K-PORT</t>
    <phoneticPr fontId="2"/>
  </si>
  <si>
    <t>ディノス返品</t>
    <rPh sb="4" eb="6">
      <t>ヘンピン</t>
    </rPh>
    <phoneticPr fontId="3"/>
  </si>
  <si>
    <t>K-PORT</t>
    <phoneticPr fontId="2"/>
  </si>
  <si>
    <t>YM18005ブラウジングカバーアップ（Ｋ-ＰＯＲＴ在庫）</t>
    <rPh sb="26" eb="28">
      <t>ザイコ</t>
    </rPh>
    <phoneticPr fontId="3"/>
  </si>
  <si>
    <t>アロハ</t>
    <phoneticPr fontId="3"/>
  </si>
  <si>
    <t>追加1</t>
    <rPh sb="0" eb="2">
      <t>ツイカ</t>
    </rPh>
    <phoneticPr fontId="2"/>
  </si>
  <si>
    <t>追加2</t>
    <rPh sb="0" eb="2">
      <t>ツイカ</t>
    </rPh>
    <phoneticPr fontId="2"/>
  </si>
  <si>
    <t>追加3</t>
    <rPh sb="0" eb="2">
      <t>ツイカ</t>
    </rPh>
    <phoneticPr fontId="2"/>
  </si>
  <si>
    <t>追加4</t>
    <rPh sb="0" eb="2">
      <t>ツイカ</t>
    </rPh>
    <phoneticPr fontId="2"/>
  </si>
  <si>
    <t>ディノス19年夏号</t>
    <rPh sb="6" eb="7">
      <t>ネン</t>
    </rPh>
    <rPh sb="7" eb="9">
      <t>ナツゴウ</t>
    </rPh>
    <phoneticPr fontId="2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</si>
  <si>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2"/>
  </si>
  <si>
    <t>ディノス事前搬入(WEB)</t>
    <rPh sb="4" eb="6">
      <t>ジゼン</t>
    </rPh>
    <rPh sb="6" eb="8">
      <t>ハンニュウ</t>
    </rPh>
    <phoneticPr fontId="2"/>
  </si>
  <si>
    <t>ディノス事前搬入(3点セット）</t>
    <rPh sb="4" eb="6">
      <t>ジゼン</t>
    </rPh>
    <rPh sb="6" eb="8">
      <t>ハンニュウ</t>
    </rPh>
    <rPh sb="10" eb="11">
      <t>テン</t>
    </rPh>
    <phoneticPr fontId="2"/>
  </si>
  <si>
    <t>ディノス（WEB)</t>
    <phoneticPr fontId="2"/>
  </si>
  <si>
    <t>ディノス19年盛夏号</t>
    <rPh sb="6" eb="7">
      <t>ネン</t>
    </rPh>
    <rPh sb="7" eb="9">
      <t>セイカ</t>
    </rPh>
    <rPh sb="9" eb="10">
      <t>ゴウ</t>
    </rPh>
    <phoneticPr fontId="2"/>
  </si>
  <si>
    <t>2/18～</t>
    <phoneticPr fontId="2"/>
  </si>
  <si>
    <t>ディノス返品再納品</t>
    <rPh sb="4" eb="6">
      <t>ヘンピン</t>
    </rPh>
    <rPh sb="6" eb="9">
      <t>サイノウヒン</t>
    </rPh>
    <phoneticPr fontId="2"/>
  </si>
  <si>
    <t>ネット</t>
    <phoneticPr fontId="2"/>
  </si>
  <si>
    <t>ディノス(3点セット）</t>
    <rPh sb="6" eb="7">
      <t>テン</t>
    </rPh>
    <phoneticPr fontId="2"/>
  </si>
  <si>
    <t>ディノス返品</t>
    <phoneticPr fontId="2"/>
  </si>
  <si>
    <t>かりん</t>
    <phoneticPr fontId="2"/>
  </si>
  <si>
    <t>ディノス（WEB)</t>
  </si>
  <si>
    <t>ネット</t>
    <phoneticPr fontId="2"/>
  </si>
  <si>
    <t>納前分</t>
    <rPh sb="0" eb="1">
      <t>ノウ</t>
    </rPh>
    <rPh sb="1" eb="2">
      <t>マエ</t>
    </rPh>
    <rPh sb="2" eb="3">
      <t>ブン</t>
    </rPh>
    <phoneticPr fontId="2"/>
  </si>
  <si>
    <t>KPORT移動</t>
    <rPh sb="5" eb="7">
      <t>イドウ</t>
    </rPh>
    <phoneticPr fontId="2"/>
  </si>
  <si>
    <t>夢販</t>
    <phoneticPr fontId="2"/>
  </si>
  <si>
    <t>かりん</t>
    <phoneticPr fontId="2"/>
  </si>
  <si>
    <t>夢販移動</t>
    <rPh sb="0" eb="2">
      <t>ユメハン</t>
    </rPh>
    <rPh sb="2" eb="4">
      <t>イドウ</t>
    </rPh>
    <phoneticPr fontId="2"/>
  </si>
  <si>
    <t>かりん返品</t>
    <rPh sb="3" eb="5">
      <t>ヘンピン</t>
    </rPh>
    <phoneticPr fontId="2"/>
  </si>
  <si>
    <t>ディノス</t>
    <phoneticPr fontId="2"/>
  </si>
  <si>
    <t>かりん</t>
    <phoneticPr fontId="2"/>
  </si>
  <si>
    <t>ネット</t>
    <phoneticPr fontId="2"/>
  </si>
  <si>
    <t>KPORT</t>
    <phoneticPr fontId="2"/>
  </si>
  <si>
    <t>くらし企画sample（棚橋さん）</t>
    <rPh sb="3" eb="5">
      <t>キカク</t>
    </rPh>
    <rPh sb="12" eb="14">
      <t>タナハシ</t>
    </rPh>
    <phoneticPr fontId="2"/>
  </si>
  <si>
    <t>かりん</t>
    <phoneticPr fontId="2"/>
  </si>
  <si>
    <t>かりん</t>
    <phoneticPr fontId="2"/>
  </si>
  <si>
    <t>ネット返品</t>
    <rPh sb="3" eb="5">
      <t>ヘンピン</t>
    </rPh>
    <phoneticPr fontId="2"/>
  </si>
  <si>
    <t>かりん</t>
    <phoneticPr fontId="2"/>
  </si>
  <si>
    <t>ディノス</t>
    <phoneticPr fontId="2"/>
  </si>
  <si>
    <t>YM18005ブラウジングカバーアップ（KPORT在庫）</t>
    <rPh sb="25" eb="27">
      <t>ザイコ</t>
    </rPh>
    <phoneticPr fontId="3"/>
  </si>
  <si>
    <t>かりん</t>
    <phoneticPr fontId="2"/>
  </si>
  <si>
    <t>ブラックリーフ柄</t>
    <rPh sb="7" eb="8">
      <t>ガラ</t>
    </rPh>
    <phoneticPr fontId="3"/>
  </si>
  <si>
    <t>3/1伝</t>
    <rPh sb="3" eb="4">
      <t>デン</t>
    </rPh>
    <phoneticPr fontId="10"/>
  </si>
  <si>
    <t>初回　3-1</t>
    <rPh sb="0" eb="2">
      <t>ショカイ</t>
    </rPh>
    <phoneticPr fontId="2"/>
  </si>
  <si>
    <t>追加　3-2</t>
    <rPh sb="0" eb="2">
      <t>ツイカ</t>
    </rPh>
    <phoneticPr fontId="2"/>
  </si>
  <si>
    <t>追加　3-3</t>
    <rPh sb="0" eb="2">
      <t>ツイカ</t>
    </rPh>
    <phoneticPr fontId="2"/>
  </si>
  <si>
    <t>ＫＰＯＲＴ</t>
    <phoneticPr fontId="2"/>
  </si>
  <si>
    <t>5/7～</t>
    <phoneticPr fontId="2"/>
  </si>
  <si>
    <t>かりん</t>
    <phoneticPr fontId="2"/>
  </si>
  <si>
    <t>日生協カタログ上下セット夏号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</si>
  <si>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</si>
  <si>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事前搬入2/24、3/12～12/28</t>
    <rPh sb="0" eb="4">
      <t>ジゼンハンニュウ</t>
    </rPh>
    <phoneticPr fontId="10"/>
  </si>
  <si>
    <t>在庫 11/18</t>
    <rPh sb="0" eb="2">
      <t>ザイコ</t>
    </rPh>
    <phoneticPr fontId="3"/>
  </si>
  <si>
    <t>初回2/25（1ケース）、3/6（30％）、随時</t>
    <rPh sb="0" eb="2">
      <t>ショカイ</t>
    </rPh>
    <rPh sb="22" eb="24">
      <t>ズイジ</t>
    </rPh>
    <phoneticPr fontId="10"/>
  </si>
  <si>
    <t>ディノス夏号撮影用sample</t>
    <rPh sb="4" eb="5">
      <t>ナツ</t>
    </rPh>
    <rPh sb="5" eb="6">
      <t>ゴウ</t>
    </rPh>
    <rPh sb="6" eb="9">
      <t>サツエイヨウ</t>
    </rPh>
    <phoneticPr fontId="2"/>
  </si>
  <si>
    <t>日生協カタログ上下セット盛夏号</t>
    <rPh sb="0" eb="3">
      <t>ニッセイキョウ</t>
    </rPh>
    <rPh sb="7" eb="9">
      <t>ジョウゲ</t>
    </rPh>
    <rPh sb="12" eb="14">
      <t>セイカ</t>
    </rPh>
    <rPh sb="14" eb="15">
      <t>ゴウ</t>
    </rPh>
    <phoneticPr fontId="10"/>
  </si>
  <si>
    <t>日生協パーカーセット3点盛夏号</t>
    <rPh sb="0" eb="3">
      <t>ニッセイキョウ</t>
    </rPh>
    <rPh sb="11" eb="12">
      <t>テン</t>
    </rPh>
    <rPh sb="12" eb="14">
      <t>セイカ</t>
    </rPh>
    <rPh sb="14" eb="15">
      <t>ゴウ</t>
    </rPh>
    <phoneticPr fontId="10"/>
  </si>
  <si>
    <t>くらし（日生協カタログ）仕様書点検</t>
    <rPh sb="4" eb="6">
      <t>ニッセイ</t>
    </rPh>
    <rPh sb="6" eb="7">
      <t>キョウ</t>
    </rPh>
    <rPh sb="12" eb="15">
      <t>シヨウショ</t>
    </rPh>
    <rPh sb="15" eb="17">
      <t>テンケン</t>
    </rPh>
    <phoneticPr fontId="2"/>
  </si>
  <si>
    <t>調整</t>
    <rPh sb="0" eb="2">
      <t>チョウセイ</t>
    </rPh>
    <phoneticPr fontId="2"/>
  </si>
  <si>
    <t xml:space="preserve">追加2-1 </t>
    <rPh sb="0" eb="2">
      <t>ツイカ</t>
    </rPh>
    <phoneticPr fontId="2"/>
  </si>
  <si>
    <t xml:space="preserve">追加2-2 </t>
    <rPh sb="0" eb="2">
      <t>ツイカ</t>
    </rPh>
    <phoneticPr fontId="2"/>
  </si>
  <si>
    <t>ディノス20夏号3点セット</t>
    <rPh sb="6" eb="7">
      <t>ナツ</t>
    </rPh>
    <rPh sb="7" eb="8">
      <t>ゴウ</t>
    </rPh>
    <rPh sb="9" eb="10">
      <t>テン</t>
    </rPh>
    <phoneticPr fontId="10"/>
  </si>
  <si>
    <t>ディノス20夏号ＷＥＢ分上下セット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</si>
  <si>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ディノス（３点セット）</t>
    <rPh sb="6" eb="7">
      <t>テン</t>
    </rPh>
    <phoneticPr fontId="10"/>
  </si>
  <si>
    <t>ネット</t>
    <phoneticPr fontId="10"/>
  </si>
  <si>
    <t>夢販</t>
    <rPh sb="0" eb="2">
      <t>ユメハン</t>
    </rPh>
    <phoneticPr fontId="10"/>
  </si>
  <si>
    <t>かりん</t>
    <phoneticPr fontId="10"/>
  </si>
  <si>
    <t>日生協カタログ上下セット夏号①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</si>
  <si>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日生協パーカーセット3点夏号①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</si>
  <si>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日生協カタログ上下セット夏号②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</si>
  <si>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日生協パーカーセット3点夏号②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</si>
  <si>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事前搬入3/11</t>
    <rPh sb="0" eb="4">
      <t>ジゼンハンニュウ</t>
    </rPh>
    <phoneticPr fontId="10"/>
  </si>
  <si>
    <t>初回4/20（1ケース）、5/1（30％）、随時</t>
    <rPh sb="0" eb="2">
      <t>ショカイ</t>
    </rPh>
    <rPh sb="22" eb="24">
      <t>ズイジ</t>
    </rPh>
    <phoneticPr fontId="10"/>
  </si>
  <si>
    <t>ディノス夏号撮影用sample返却</t>
    <rPh sb="4" eb="5">
      <t>ナツ</t>
    </rPh>
    <rPh sb="5" eb="6">
      <t>ゴウ</t>
    </rPh>
    <rPh sb="6" eb="9">
      <t>サツエイヨウ</t>
    </rPh>
    <rPh sb="15" eb="17">
      <t>ヘンキャク</t>
    </rPh>
    <phoneticPr fontId="2"/>
  </si>
  <si>
    <t>くらし返品</t>
    <rPh sb="3" eb="5">
      <t>ヘンピン</t>
    </rPh>
    <phoneticPr fontId="10"/>
  </si>
  <si>
    <t>ディノス返品</t>
    <rPh sb="4" eb="6">
      <t>ヘンピン</t>
    </rPh>
    <phoneticPr fontId="10"/>
  </si>
  <si>
    <t>日生協パーカーセット3点夏号③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</si>
  <si>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追加</t>
    <rPh sb="0" eb="2">
      <t>ツイカ</t>
    </rPh>
    <phoneticPr fontId="10"/>
  </si>
  <si>
    <t>日生協パーカーセット3点夏号④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</si>
  <si>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4/1伝</t>
    <rPh sb="3" eb="4">
      <t>デン</t>
    </rPh>
    <phoneticPr fontId="10"/>
  </si>
  <si>
    <t>日生協パーカーセット3点夏号⑤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</si>
  <si>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KPORT</t>
    <phoneticPr fontId="10"/>
  </si>
  <si>
    <t>日生協パーカーセット3点夏号⑥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</si>
  <si>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日生協カタログ上下セット夏号③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</si>
  <si>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ディノス20夏号ＷＥＢ分上下セット②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</si>
  <si>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ディノス20夏号ＷＥＢ分上下セット①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</si>
  <si>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ディノス20夏号3点セット①</t>
    <rPh sb="6" eb="7">
      <t>ナツ</t>
    </rPh>
    <rPh sb="7" eb="8">
      <t>ゴウ</t>
    </rPh>
    <rPh sb="9" eb="10">
      <t>テン</t>
    </rPh>
    <phoneticPr fontId="10"/>
  </si>
  <si>
    <t>ネット返品</t>
    <rPh sb="3" eb="5">
      <t>ヘンピン</t>
    </rPh>
    <phoneticPr fontId="10"/>
  </si>
  <si>
    <t>日生協カタログ上下セット夏号④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</si>
  <si>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日生協パーカーセット3点夏号⑦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</si>
  <si>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日生協カタログ上下セット秋号</t>
    <rPh sb="0" eb="3">
      <t>ニッセイキョウ</t>
    </rPh>
    <rPh sb="7" eb="9">
      <t>ジョウゲ</t>
    </rPh>
    <rPh sb="12" eb="13">
      <t>アキ</t>
    </rPh>
    <rPh sb="13" eb="14">
      <t>ゴウ</t>
    </rPh>
    <phoneticPr fontId="10"/>
  </si>
  <si>
    <t>日生協パーカーセット3点秋号</t>
    <rPh sb="0" eb="3">
      <t>ニッセイキョウ</t>
    </rPh>
    <rPh sb="11" eb="12">
      <t>テン</t>
    </rPh>
    <rPh sb="12" eb="13">
      <t>アキ</t>
    </rPh>
    <rPh sb="13" eb="14">
      <t>ゴウ</t>
    </rPh>
    <phoneticPr fontId="10"/>
  </si>
  <si>
    <t>初回7/19（1ケース）、8/1（30％）、随時</t>
    <rPh sb="0" eb="2">
      <t>ショカイ</t>
    </rPh>
    <rPh sb="22" eb="24">
      <t>ズイジ</t>
    </rPh>
    <phoneticPr fontId="10"/>
  </si>
  <si>
    <t>かりん</t>
    <phoneticPr fontId="10"/>
  </si>
  <si>
    <t>日生協パーカーセット3点夏号⑧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</si>
  <si>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日生協カタログ上下セット夏号⑤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</si>
  <si>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ディノス20夏号3点セット②</t>
    <rPh sb="6" eb="7">
      <t>ナツ</t>
    </rPh>
    <rPh sb="7" eb="8">
      <t>ゴウ</t>
    </rPh>
    <rPh sb="9" eb="10">
      <t>テン</t>
    </rPh>
    <phoneticPr fontId="10"/>
  </si>
  <si>
    <t>日生協カタログ上下セット夏号⑥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</si>
  <si>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5/7伝</t>
    <rPh sb="3" eb="4">
      <t>デン</t>
    </rPh>
    <phoneticPr fontId="10"/>
  </si>
  <si>
    <t>日生協パーカーセット3点夏号⑨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</si>
  <si>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日生協カタログ上下セット夏号⑦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</si>
  <si>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納前分</t>
    <rPh sb="0" eb="2">
      <t>ノウマエ</t>
    </rPh>
    <rPh sb="2" eb="3">
      <t>ブン</t>
    </rPh>
    <phoneticPr fontId="2"/>
  </si>
  <si>
    <t>日生協パーカーセット3点夏号⑩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</si>
  <si>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日生協カタログ上下セット夏号⑧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</si>
  <si>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KPORT</t>
    <phoneticPr fontId="10"/>
  </si>
  <si>
    <t>上杉</t>
    <rPh sb="0" eb="2">
      <t>ウエスギ</t>
    </rPh>
    <phoneticPr fontId="2"/>
  </si>
  <si>
    <t>日生協パーカーセット3点夏号⑪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</si>
  <si>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日生協カタログ上下セット夏号⑨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</si>
  <si>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日生協パーカーセット3点夏号⑫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</si>
  <si>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日生協カタログ上下セット夏号⑩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</si>
  <si>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ディノス20夏号ＷＥＢ分上下セット③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</si>
  <si>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数6/1伝</t>
    <rPh sb="0" eb="1">
      <t>スウ</t>
    </rPh>
    <rPh sb="4" eb="5">
      <t>デン</t>
    </rPh>
    <phoneticPr fontId="10"/>
  </si>
  <si>
    <t>ディノス20夏号ＷＥＢ分上下セット④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</si>
  <si>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ディノス20夏号3点セット③</t>
    <rPh sb="6" eb="7">
      <t>ナツ</t>
    </rPh>
    <rPh sb="7" eb="8">
      <t>ゴウ</t>
    </rPh>
    <rPh sb="9" eb="10">
      <t>テン</t>
    </rPh>
    <phoneticPr fontId="10"/>
  </si>
  <si>
    <t>ディノス20夏号3点セット④</t>
    <rPh sb="6" eb="7">
      <t>ナツ</t>
    </rPh>
    <rPh sb="7" eb="8">
      <t>ゴウ</t>
    </rPh>
    <rPh sb="9" eb="10">
      <t>テン</t>
    </rPh>
    <phoneticPr fontId="10"/>
  </si>
  <si>
    <t>くらし返品</t>
    <rPh sb="3" eb="5">
      <t>ヘンピン</t>
    </rPh>
    <phoneticPr fontId="2"/>
  </si>
  <si>
    <t>日生協カタログ上下セット夏号⑪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</si>
  <si>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日生協パーカーセット3点夏号⑬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</si>
  <si>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日生協カタログ上下セット夏号⑫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</si>
  <si>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ディノス20夏号3点セット⑤</t>
    <rPh sb="6" eb="7">
      <t>ナツ</t>
    </rPh>
    <rPh sb="7" eb="8">
      <t>ゴウ</t>
    </rPh>
    <rPh sb="9" eb="10">
      <t>テン</t>
    </rPh>
    <phoneticPr fontId="10"/>
  </si>
  <si>
    <t>日生協カタログ上下セット夏号⑬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</si>
  <si>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日生協パーカーセット3点夏号⑮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</si>
  <si>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日生協パーカーセット3点夏号⑭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</si>
  <si>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ディノス20夏号ＷＥＢ分上下セット⑤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</si>
  <si>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ディノス20夏号ＷＥＢ分上下セット⑥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</si>
  <si>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ディノス20夏号3点セット⑥</t>
    <rPh sb="6" eb="7">
      <t>ナツ</t>
    </rPh>
    <rPh sb="7" eb="8">
      <t>ゴウ</t>
    </rPh>
    <rPh sb="9" eb="10">
      <t>テン</t>
    </rPh>
    <phoneticPr fontId="10"/>
  </si>
  <si>
    <t>ディノス20夏号ＷＥＢ分上下セット⑦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</si>
  <si>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日生協カタログ上下セット夏号⑭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</si>
  <si>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日生協パーカーセット3点夏号⑯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</si>
  <si>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ディノス20夏号ＷＥＢ分上下セット⑧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</si>
  <si>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ディノス20夏号ＷＥＢ分上下セット⑨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</si>
  <si>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日生協カタログ上下セット夏号⑮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</si>
  <si>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ディノス20夏号3点セット⑦</t>
    <rPh sb="6" eb="7">
      <t>ナツ</t>
    </rPh>
    <rPh sb="7" eb="8">
      <t>ゴウ</t>
    </rPh>
    <rPh sb="9" eb="10">
      <t>テン</t>
    </rPh>
    <phoneticPr fontId="10"/>
  </si>
  <si>
    <t>KPORT</t>
    <phoneticPr fontId="10"/>
  </si>
  <si>
    <t>日生協カタログ上下セット夏号⑯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</si>
  <si>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日生協パーカーセット3点夏号⑰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</si>
  <si>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日生協カタログ上下セット夏号⑰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</si>
  <si>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ディノス20夏号ＷＥＢ分上下セット⑩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</si>
  <si>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かりん</t>
    <phoneticPr fontId="10"/>
  </si>
  <si>
    <t>日生協パーカーセット3点夏号⑱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</si>
  <si>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ディノス20夏号ＷＥＢ分上下セット⑪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</si>
  <si>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ディノス20夏号3点セット⑧</t>
    <rPh sb="6" eb="7">
      <t>ナツ</t>
    </rPh>
    <rPh sb="7" eb="8">
      <t>ゴウ</t>
    </rPh>
    <rPh sb="9" eb="10">
      <t>テン</t>
    </rPh>
    <phoneticPr fontId="10"/>
  </si>
  <si>
    <t>ディノス20夏号3点セット⑨</t>
    <rPh sb="6" eb="7">
      <t>ナツ</t>
    </rPh>
    <rPh sb="7" eb="8">
      <t>ゴウ</t>
    </rPh>
    <rPh sb="9" eb="10">
      <t>テン</t>
    </rPh>
    <phoneticPr fontId="10"/>
  </si>
  <si>
    <t>ネット</t>
  </si>
  <si>
    <t>かりん</t>
  </si>
  <si>
    <t>日生協カタログ上下セット夏号⑱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</si>
  <si>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ディノス20夏号ＷＥＢ分上下セット⑫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</si>
  <si>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ディノス20夏号3点セット⑩</t>
    <rPh sb="6" eb="7">
      <t>ナツ</t>
    </rPh>
    <rPh sb="7" eb="8">
      <t>ゴウ</t>
    </rPh>
    <rPh sb="9" eb="10">
      <t>テン</t>
    </rPh>
    <phoneticPr fontId="10"/>
  </si>
  <si>
    <t>ディノス20夏号3点セット⑪</t>
    <rPh sb="6" eb="7">
      <t>ナツ</t>
    </rPh>
    <rPh sb="7" eb="8">
      <t>ゴウ</t>
    </rPh>
    <rPh sb="9" eb="10">
      <t>テン</t>
    </rPh>
    <phoneticPr fontId="10"/>
  </si>
  <si>
    <t>ネット</t>
    <phoneticPr fontId="10"/>
  </si>
  <si>
    <t>在庫確認</t>
    <rPh sb="0" eb="2">
      <t>ザイコ</t>
    </rPh>
    <rPh sb="2" eb="4">
      <t>カクニン</t>
    </rPh>
    <phoneticPr fontId="2"/>
  </si>
  <si>
    <t>日生協パーカーセット3点夏号⑲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</si>
  <si>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ディノス20夏号3点セット⑫</t>
    <rPh sb="6" eb="7">
      <t>ナツ</t>
    </rPh>
    <rPh sb="7" eb="8">
      <t>ゴウ</t>
    </rPh>
    <rPh sb="9" eb="10">
      <t>テン</t>
    </rPh>
    <phoneticPr fontId="10"/>
  </si>
  <si>
    <t>ディノス20夏号ＷＥＢ分上下セット⑬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</si>
  <si>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ディノス20夏号3点セット⑬</t>
    <rPh sb="6" eb="7">
      <t>ナツ</t>
    </rPh>
    <rPh sb="7" eb="8">
      <t>ゴウ</t>
    </rPh>
    <rPh sb="9" eb="10">
      <t>テン</t>
    </rPh>
    <phoneticPr fontId="10"/>
  </si>
  <si>
    <t>ディノス20夏号ＷＥＢ分上下セット⑭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</si>
  <si>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日生協カタログ上下セット夏号⑲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</si>
  <si>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ディノス20夏号ＷＥＢ分上下セット⑮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</si>
  <si>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ディノス20夏号3点セット⑭</t>
    <rPh sb="6" eb="7">
      <t>ナツ</t>
    </rPh>
    <rPh sb="7" eb="8">
      <t>ゴウ</t>
    </rPh>
    <rPh sb="9" eb="10">
      <t>テン</t>
    </rPh>
    <phoneticPr fontId="10"/>
  </si>
  <si>
    <t>ディノス20夏号3点セット⑮</t>
    <rPh sb="6" eb="7">
      <t>ナツ</t>
    </rPh>
    <rPh sb="7" eb="8">
      <t>ゴウ</t>
    </rPh>
    <rPh sb="9" eb="10">
      <t>テン</t>
    </rPh>
    <phoneticPr fontId="10"/>
  </si>
  <si>
    <t>ディノス20夏号ＷＥＢ分上下セット⑯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</si>
  <si>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KPORT</t>
    <phoneticPr fontId="10"/>
  </si>
  <si>
    <t>日生協カタログ上下セット夏号⑳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</si>
  <si>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ディノス20夏号ＷＥＢ分上下セット⑰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</si>
  <si>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ディノス20夏号3点セット⑯</t>
    <rPh sb="6" eb="7">
      <t>ナツ</t>
    </rPh>
    <rPh sb="7" eb="8">
      <t>ゴウ</t>
    </rPh>
    <rPh sb="9" eb="10">
      <t>テン</t>
    </rPh>
    <phoneticPr fontId="10"/>
  </si>
  <si>
    <t>ディノス20夏号ＷＥＢ分上下セット⑱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</si>
  <si>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ディノス20夏号ＷＥＢ分上下セット⑲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</si>
  <si>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ディノス20夏号ＷＥＢ分上下セット⑳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</si>
  <si>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ディノス20夏号ＷＥＢ分上下セット㉑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</si>
  <si>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日生協パーカーセット3点夏号⑳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</si>
  <si>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日生協カタログ上下セット夏号㉑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</si>
  <si>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ディノス20夏号ＷＥＢ分上下セット㉒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</si>
  <si>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ディノス20夏号ＷＥＢ分上下セット㉓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</si>
  <si>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ディノス20夏号ＷＥＢ分上下セット㉔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</si>
  <si>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日生協カタログ上下セット夏号㉒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</si>
  <si>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日生協カタログ上下セット夏号㉓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</si>
  <si>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ディノス20夏号3点セット⑰</t>
    <rPh sb="6" eb="7">
      <t>ナツ</t>
    </rPh>
    <rPh sb="7" eb="8">
      <t>ゴウ</t>
    </rPh>
    <rPh sb="9" eb="10">
      <t>テン</t>
    </rPh>
    <phoneticPr fontId="10"/>
  </si>
  <si>
    <t>日生協カタログ上下セット夏号㉔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</si>
  <si>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ディノス20夏号3点セット⑱</t>
    <rPh sb="6" eb="7">
      <t>ナツ</t>
    </rPh>
    <rPh sb="7" eb="8">
      <t>ゴウ</t>
    </rPh>
    <rPh sb="9" eb="10">
      <t>テン</t>
    </rPh>
    <phoneticPr fontId="10"/>
  </si>
  <si>
    <t>日生協パーカーセット3点夏号㉑</t>
    <rPh sb="0" eb="3">
      <t>ニッセイキョウ</t>
    </rPh>
    <rPh sb="11" eb="12">
      <t>テン</t>
    </rPh>
    <rPh sb="12" eb="13">
      <t>ナツ</t>
    </rPh>
    <rPh sb="13" eb="14">
      <t>ゴウ</t>
    </rPh>
    <phoneticPr fontId="10"/>
  </si>
  <si>
    <t>KPORT</t>
    <phoneticPr fontId="10"/>
  </si>
  <si>
    <t>ディノス20夏号3点セット⑲</t>
    <rPh sb="6" eb="7">
      <t>ナツ</t>
    </rPh>
    <rPh sb="7" eb="8">
      <t>ゴウ</t>
    </rPh>
    <rPh sb="9" eb="10">
      <t>テン</t>
    </rPh>
    <phoneticPr fontId="10"/>
  </si>
  <si>
    <t>日生協カタログ上下セット夏号㉕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</si>
  <si>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ディノス20夏号ＷＥＢ分上下セット㉕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</si>
  <si>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日生協カタログ上下セット夏号㉖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</si>
  <si>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日生協カタログ上下セット夏号㉗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</si>
  <si>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ディノス20夏号ＷＥＢ分上下セット㉖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</si>
  <si>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日生協カタログ上下セット夏号㉘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</si>
  <si>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ディノス20夏号ＷＥＢ分上下セット㉗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</si>
  <si>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在庫調整</t>
    <rPh sb="0" eb="2">
      <t>ザイコ</t>
    </rPh>
    <rPh sb="2" eb="4">
      <t>チョウセイ</t>
    </rPh>
    <phoneticPr fontId="2"/>
  </si>
  <si>
    <t>KPORT</t>
    <phoneticPr fontId="10"/>
  </si>
  <si>
    <t>ディノス21d夏号3点セット</t>
    <rPh sb="7" eb="8">
      <t>ナツ</t>
    </rPh>
    <rPh sb="8" eb="9">
      <t>ゴウ</t>
    </rPh>
    <rPh sb="10" eb="11">
      <t>テン</t>
    </rPh>
    <phoneticPr fontId="10"/>
  </si>
  <si>
    <t>事前3/8～10、4/1～12/31</t>
    <rPh sb="0" eb="2">
      <t>ジゼン</t>
    </rPh>
    <phoneticPr fontId="10"/>
  </si>
  <si>
    <t>ディノス20夏号ＷＥＢ分上下セット㉘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</si>
  <si>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初回2/24（1ケース）、3/5（30％）、随時</t>
    <rPh sb="0" eb="2">
      <t>ショカイ</t>
    </rPh>
    <rPh sb="22" eb="24">
      <t>ズイジ</t>
    </rPh>
    <phoneticPr fontId="10"/>
  </si>
  <si>
    <t>日生協カタログ上下セット夏号㉙</t>
    <rPh sb="0" eb="3">
      <t>ニッセイキョウ</t>
    </rPh>
    <rPh sb="7" eb="9">
      <t>ジョウゲ</t>
    </rPh>
    <rPh sb="12" eb="13">
      <t>ナツ</t>
    </rPh>
    <rPh sb="13" eb="14">
      <t>ゴウ</t>
    </rPh>
    <phoneticPr fontId="10"/>
  </si>
  <si>
    <t>ディノス20夏号ＷＥＢ分上下セット㉙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</si>
  <si>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ディノス20夏号ＷＥＢ分上下セット㉚</t>
    <rPh sb="6" eb="7">
      <t>ナツ</t>
    </rPh>
    <rPh sb="7" eb="8">
      <t>ゴウ</t>
    </rPh>
    <rPh sb="11" eb="12">
      <t>ブン</t>
    </rPh>
    <rPh sb="12" eb="14">
      <t>ジョウゲ</t>
    </rPh>
    <phoneticPr fontId="10"/>
  </si>
  <si>
    <t>日生協カタログ21初夏号（トリオラ）①</t>
    <rPh sb="0" eb="3">
      <t>ニッセイキョウ</t>
    </rPh>
    <rPh sb="9" eb="11">
      <t>ショカ</t>
    </rPh>
    <rPh sb="11" eb="12">
      <t>ゴウ</t>
    </rPh>
    <phoneticPr fontId="10"/>
  </si>
  <si>
    <t>日生協カタログ21初夏号（トリオラ）②</t>
    <rPh sb="0" eb="3">
      <t>ニッセイキョウ</t>
    </rPh>
    <rPh sb="9" eb="11">
      <t>ショカ</t>
    </rPh>
    <rPh sb="11" eb="12">
      <t>ゴウ</t>
    </rPh>
    <phoneticPr fontId="10"/>
  </si>
  <si>
    <t>初回4/17（1ケース）、5/3（30％）、随時</t>
    <rPh sb="0" eb="2">
      <t>ショカイ</t>
    </rPh>
    <rPh sb="22" eb="24">
      <t>ズイジ</t>
    </rPh>
    <phoneticPr fontId="10"/>
  </si>
  <si>
    <t>日生協カタログ21盛夏（くらしと生協）2点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</si>
  <si>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日生協カタログ21盛夏（くらしと生協）3点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</si>
  <si>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日生協カタログ21初夏（トリオラ）2点</t>
    <rPh sb="0" eb="3">
      <t>ニッセイキョウ</t>
    </rPh>
    <rPh sb="9" eb="11">
      <t>ショカ</t>
    </rPh>
    <rPh sb="18" eb="19">
      <t>テン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</si>
  <si>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</si>
  <si>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</si>
  <si>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日生協カタログ21盛夏（くらしと生協）2点①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</si>
  <si>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日生協カタログ21盛夏（くらしと生協）3点①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</si>
  <si>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日生協カタログ21盛夏（くらしと生協）2点②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</si>
  <si>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ディノス21d夏号3点セット①</t>
    <rPh sb="7" eb="8">
      <t>ナツ</t>
    </rPh>
    <rPh sb="8" eb="9">
      <t>ゴウ</t>
    </rPh>
    <rPh sb="10" eb="11">
      <t>テン</t>
    </rPh>
    <phoneticPr fontId="10"/>
  </si>
  <si>
    <t>ネット</t>
    <phoneticPr fontId="10"/>
  </si>
  <si>
    <t>ディノス21d夏号3点セット②</t>
    <rPh sb="7" eb="8">
      <t>ナツ</t>
    </rPh>
    <rPh sb="8" eb="9">
      <t>ゴウ</t>
    </rPh>
    <rPh sb="10" eb="11">
      <t>テン</t>
    </rPh>
    <phoneticPr fontId="10"/>
  </si>
  <si>
    <t>日生協カタログ21初夏号（トリオラ）③</t>
    <rPh sb="0" eb="3">
      <t>ニッセイキョウ</t>
    </rPh>
    <rPh sb="9" eb="11">
      <t>ショカ</t>
    </rPh>
    <rPh sb="11" eb="12">
      <t>ゴウ</t>
    </rPh>
    <phoneticPr fontId="10"/>
  </si>
  <si>
    <t>ディノス21d夏号3点セット③</t>
    <rPh sb="7" eb="8">
      <t>ナツ</t>
    </rPh>
    <rPh sb="8" eb="9">
      <t>ゴウ</t>
    </rPh>
    <rPh sb="10" eb="11">
      <t>テン</t>
    </rPh>
    <phoneticPr fontId="10"/>
  </si>
  <si>
    <t>ディノス21d夏号3点セット④</t>
    <rPh sb="7" eb="8">
      <t>ナツ</t>
    </rPh>
    <rPh sb="8" eb="9">
      <t>ゴウ</t>
    </rPh>
    <rPh sb="10" eb="11">
      <t>テン</t>
    </rPh>
    <phoneticPr fontId="10"/>
  </si>
  <si>
    <t>ディノス21d夏号3点セット⑤</t>
    <rPh sb="7" eb="8">
      <t>ナツ</t>
    </rPh>
    <rPh sb="8" eb="9">
      <t>ゴウ</t>
    </rPh>
    <rPh sb="10" eb="11">
      <t>テン</t>
    </rPh>
    <phoneticPr fontId="10"/>
  </si>
  <si>
    <t>夢販</t>
    <rPh sb="0" eb="2">
      <t>ユメハン</t>
    </rPh>
    <phoneticPr fontId="10"/>
  </si>
  <si>
    <t>日生協カタログ21初夏号（トリオラ）④</t>
    <rPh sb="0" eb="3">
      <t>ニッセイキョウ</t>
    </rPh>
    <rPh sb="9" eb="11">
      <t>ショカ</t>
    </rPh>
    <rPh sb="11" eb="12">
      <t>ゴウ</t>
    </rPh>
    <phoneticPr fontId="10"/>
  </si>
  <si>
    <t>ディノス21d夏号3点セット⑥</t>
    <rPh sb="7" eb="8">
      <t>ナツ</t>
    </rPh>
    <rPh sb="8" eb="9">
      <t>ゴウ</t>
    </rPh>
    <rPh sb="10" eb="11">
      <t>テン</t>
    </rPh>
    <phoneticPr fontId="10"/>
  </si>
  <si>
    <t>ディノス21d夏号3点セット⑦</t>
    <rPh sb="7" eb="8">
      <t>ナツ</t>
    </rPh>
    <rPh sb="8" eb="9">
      <t>ゴウ</t>
    </rPh>
    <rPh sb="10" eb="11">
      <t>テン</t>
    </rPh>
    <phoneticPr fontId="10"/>
  </si>
  <si>
    <t>日生協カタログ21初夏号（トリオラ）⑤</t>
    <rPh sb="0" eb="3">
      <t>ニッセイキョウ</t>
    </rPh>
    <rPh sb="9" eb="11">
      <t>ショカ</t>
    </rPh>
    <rPh sb="11" eb="12">
      <t>ゴウ</t>
    </rPh>
    <phoneticPr fontId="10"/>
  </si>
  <si>
    <t>ディノス21d夏号3点セット⑧</t>
    <rPh sb="7" eb="8">
      <t>ナツ</t>
    </rPh>
    <rPh sb="8" eb="9">
      <t>ゴウ</t>
    </rPh>
    <rPh sb="10" eb="11">
      <t>テン</t>
    </rPh>
    <phoneticPr fontId="10"/>
  </si>
  <si>
    <t>日生協カタログ21初夏号（トリオラ）⑥</t>
    <rPh sb="0" eb="3">
      <t>ニッセイキョウ</t>
    </rPh>
    <rPh sb="9" eb="11">
      <t>ショカ</t>
    </rPh>
    <rPh sb="11" eb="12">
      <t>ゴウ</t>
    </rPh>
    <phoneticPr fontId="10"/>
  </si>
  <si>
    <t>KPORT</t>
    <phoneticPr fontId="10"/>
  </si>
  <si>
    <t>日生協カタログ21初夏号（トリオラ）⑦</t>
    <rPh sb="0" eb="3">
      <t>ニッセイキョウ</t>
    </rPh>
    <rPh sb="9" eb="11">
      <t>ショカ</t>
    </rPh>
    <rPh sb="11" eb="12">
      <t>ゴウ</t>
    </rPh>
    <phoneticPr fontId="10"/>
  </si>
  <si>
    <t>日生協カタログ21初夏号（トリオラ）⑧</t>
    <rPh sb="0" eb="3">
      <t>ニッセイキョウ</t>
    </rPh>
    <rPh sb="9" eb="11">
      <t>ショカ</t>
    </rPh>
    <rPh sb="11" eb="12">
      <t>ゴウ</t>
    </rPh>
    <phoneticPr fontId="10"/>
  </si>
  <si>
    <t>ディノス21d夏号3点セット⑨</t>
    <rPh sb="7" eb="8">
      <t>ナツ</t>
    </rPh>
    <rPh sb="8" eb="9">
      <t>ゴウ</t>
    </rPh>
    <rPh sb="10" eb="11">
      <t>テン</t>
    </rPh>
    <phoneticPr fontId="10"/>
  </si>
  <si>
    <t>日生協カタログ21盛夏（くらしと生協）3点②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</si>
  <si>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日生協カタログ21盛夏（くらしと生協）2点③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</si>
  <si>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ディノス21d夏号3点セット⑩</t>
    <rPh sb="7" eb="8">
      <t>ナツ</t>
    </rPh>
    <rPh sb="8" eb="9">
      <t>ゴウ</t>
    </rPh>
    <rPh sb="10" eb="11">
      <t>テン</t>
    </rPh>
    <phoneticPr fontId="10"/>
  </si>
  <si>
    <t>日生協カタログ21盛夏（くらしと生協）3点③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</si>
  <si>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ディノス21d夏号3点セット⑪</t>
    <rPh sb="7" eb="8">
      <t>ナツ</t>
    </rPh>
    <rPh sb="8" eb="9">
      <t>ゴウ</t>
    </rPh>
    <rPh sb="10" eb="11">
      <t>テン</t>
    </rPh>
    <phoneticPr fontId="10"/>
  </si>
  <si>
    <t>日生協カタログ21盛夏（くらしと生協）2点④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</si>
  <si>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ディノス21d夏号3点セット⑫</t>
    <rPh sb="7" eb="8">
      <t>ナツ</t>
    </rPh>
    <rPh sb="8" eb="9">
      <t>ゴウ</t>
    </rPh>
    <rPh sb="10" eb="11">
      <t>テン</t>
    </rPh>
    <phoneticPr fontId="10"/>
  </si>
  <si>
    <t>日生協カタログ21盛夏（くらしと生協）3点④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</si>
  <si>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ディノス21d夏号3点セット⑬</t>
    <rPh sb="7" eb="8">
      <t>ナツ</t>
    </rPh>
    <rPh sb="8" eb="9">
      <t>ゴウ</t>
    </rPh>
    <rPh sb="10" eb="11">
      <t>テン</t>
    </rPh>
    <phoneticPr fontId="10"/>
  </si>
  <si>
    <t>ディノス21d夏号3点セット⑭</t>
    <rPh sb="7" eb="8">
      <t>ナツ</t>
    </rPh>
    <rPh sb="8" eb="9">
      <t>ゴウ</t>
    </rPh>
    <rPh sb="10" eb="11">
      <t>テン</t>
    </rPh>
    <phoneticPr fontId="10"/>
  </si>
  <si>
    <t>日生協カタログ21盛夏（くらしと生協）3点⑤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</si>
  <si>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日生協カタログ21盛夏（くらしと生協）2点⑤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</si>
  <si>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ディノス21d夏号3点セット⑮</t>
    <rPh sb="7" eb="8">
      <t>ナツ</t>
    </rPh>
    <rPh sb="8" eb="9">
      <t>ゴウ</t>
    </rPh>
    <rPh sb="10" eb="11">
      <t>テン</t>
    </rPh>
    <phoneticPr fontId="10"/>
  </si>
  <si>
    <t>ディノス21d夏号3点セット⑯</t>
    <rPh sb="7" eb="8">
      <t>ナツ</t>
    </rPh>
    <rPh sb="8" eb="9">
      <t>ゴウ</t>
    </rPh>
    <rPh sb="10" eb="11">
      <t>テン</t>
    </rPh>
    <phoneticPr fontId="10"/>
  </si>
  <si>
    <t>夢販</t>
    <rPh sb="0" eb="2">
      <t>ユメハン</t>
    </rPh>
    <phoneticPr fontId="10"/>
  </si>
  <si>
    <t>ディノス21d夏号3点セット⑰</t>
    <rPh sb="7" eb="8">
      <t>ナツ</t>
    </rPh>
    <rPh sb="8" eb="9">
      <t>ゴウ</t>
    </rPh>
    <rPh sb="10" eb="11">
      <t>テン</t>
    </rPh>
    <phoneticPr fontId="10"/>
  </si>
  <si>
    <t>ディノス21d夏号3点セット⑱</t>
    <rPh sb="7" eb="8">
      <t>ナツ</t>
    </rPh>
    <rPh sb="8" eb="9">
      <t>ゴウ</t>
    </rPh>
    <rPh sb="10" eb="11">
      <t>テン</t>
    </rPh>
    <phoneticPr fontId="10"/>
  </si>
  <si>
    <t>日生協カタログ21盛夏（くらしと生協）2点⑥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</si>
  <si>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ディノス21d夏号3点セット⑲</t>
    <rPh sb="7" eb="8">
      <t>ナツ</t>
    </rPh>
    <rPh sb="8" eb="9">
      <t>ゴウ</t>
    </rPh>
    <rPh sb="10" eb="11">
      <t>テン</t>
    </rPh>
    <phoneticPr fontId="10"/>
  </si>
  <si>
    <t>ディノス21d夏号3点セット⑳</t>
    <rPh sb="7" eb="8">
      <t>ナツ</t>
    </rPh>
    <rPh sb="8" eb="9">
      <t>ゴウ</t>
    </rPh>
    <rPh sb="10" eb="11">
      <t>テン</t>
    </rPh>
    <phoneticPr fontId="10"/>
  </si>
  <si>
    <t>かりん返品</t>
    <rPh sb="3" eb="5">
      <t>ヘンピン</t>
    </rPh>
    <phoneticPr fontId="10"/>
  </si>
  <si>
    <t>日生協カタログ21盛夏（くらしと生協）2点⑦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</si>
  <si>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ディノス21d夏号3点セット㉑</t>
    <rPh sb="7" eb="8">
      <t>ナツ</t>
    </rPh>
    <rPh sb="8" eb="9">
      <t>ゴウ</t>
    </rPh>
    <rPh sb="10" eb="11">
      <t>テン</t>
    </rPh>
    <phoneticPr fontId="10"/>
  </si>
  <si>
    <t>ネット</t>
    <phoneticPr fontId="10"/>
  </si>
  <si>
    <t>日生協カタログ21盛夏（くらしと生協）3点⑥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</si>
  <si>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日生協カタログ21盛夏（くらしと生協）2点⑧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</si>
  <si>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</si>
  <si>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</si>
  <si>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ディノス21d夏号3点セット㉒</t>
    <rPh sb="7" eb="8">
      <t>ナツ</t>
    </rPh>
    <rPh sb="8" eb="9">
      <t>ゴウ</t>
    </rPh>
    <rPh sb="10" eb="11">
      <t>テン</t>
    </rPh>
    <phoneticPr fontId="10"/>
  </si>
  <si>
    <t>日生協カタログ21盛夏（くらしと生協）2点⑨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</si>
  <si>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ディノス21d夏号3点セット㉓</t>
    <rPh sb="7" eb="8">
      <t>ナツ</t>
    </rPh>
    <rPh sb="8" eb="9">
      <t>ゴウ</t>
    </rPh>
    <rPh sb="10" eb="11">
      <t>テン</t>
    </rPh>
    <phoneticPr fontId="10"/>
  </si>
  <si>
    <t>かりん</t>
    <phoneticPr fontId="10"/>
  </si>
  <si>
    <t>ディノス21d夏号3点セット㉔</t>
    <rPh sb="7" eb="8">
      <t>ナツ</t>
    </rPh>
    <rPh sb="8" eb="9">
      <t>ゴウ</t>
    </rPh>
    <rPh sb="10" eb="11">
      <t>テン</t>
    </rPh>
    <phoneticPr fontId="10"/>
  </si>
  <si>
    <t>日生協カタログ21盛夏（くらしと生協）2点⑩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</si>
  <si>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ディノス21d夏号3点セット㉕</t>
    <rPh sb="7" eb="8">
      <t>ナツ</t>
    </rPh>
    <rPh sb="8" eb="9">
      <t>ゴウ</t>
    </rPh>
    <rPh sb="10" eb="11">
      <t>テン</t>
    </rPh>
    <phoneticPr fontId="10"/>
  </si>
  <si>
    <t>ディノス21d夏号3点セット㉖</t>
    <rPh sb="7" eb="8">
      <t>ナツ</t>
    </rPh>
    <rPh sb="8" eb="9">
      <t>ゴウ</t>
    </rPh>
    <rPh sb="10" eb="11">
      <t>テン</t>
    </rPh>
    <phoneticPr fontId="10"/>
  </si>
  <si>
    <t>終売</t>
    <rPh sb="0" eb="2">
      <t>シュウバイ</t>
    </rPh>
    <phoneticPr fontId="10"/>
  </si>
  <si>
    <t>ディノス21d夏号3点セット㉗</t>
    <rPh sb="7" eb="8">
      <t>ナツ</t>
    </rPh>
    <rPh sb="8" eb="9">
      <t>ゴウ</t>
    </rPh>
    <rPh sb="10" eb="11">
      <t>テン</t>
    </rPh>
    <phoneticPr fontId="10"/>
  </si>
  <si>
    <t>日生協カタログ21盛夏（くらしと生協）3点⑦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</si>
  <si>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ディノス21d夏号3点セット㉘</t>
    <rPh sb="7" eb="8">
      <t>ナツ</t>
    </rPh>
    <rPh sb="8" eb="9">
      <t>ゴウ</t>
    </rPh>
    <rPh sb="10" eb="11">
      <t>テン</t>
    </rPh>
    <phoneticPr fontId="10"/>
  </si>
  <si>
    <t>ネット</t>
    <phoneticPr fontId="10"/>
  </si>
  <si>
    <t>夢販</t>
    <rPh sb="0" eb="2">
      <t>ユメハン</t>
    </rPh>
    <phoneticPr fontId="10"/>
  </si>
  <si>
    <t>日生協カタログ21盛夏（くらしと生協）3点⑧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</si>
  <si>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日生協カタログ21盛夏（くらしと生協）2点⑪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</si>
  <si>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ディノス21d夏号3点セット㉙</t>
    <rPh sb="7" eb="8">
      <t>ナツ</t>
    </rPh>
    <rPh sb="8" eb="9">
      <t>ゴウ</t>
    </rPh>
    <rPh sb="10" eb="11">
      <t>テン</t>
    </rPh>
    <phoneticPr fontId="10"/>
  </si>
  <si>
    <t>ディノス21d夏号3点セット㉚</t>
    <rPh sb="7" eb="8">
      <t>ナツ</t>
    </rPh>
    <rPh sb="8" eb="9">
      <t>ゴウ</t>
    </rPh>
    <rPh sb="10" eb="11">
      <t>テン</t>
    </rPh>
    <phoneticPr fontId="10"/>
  </si>
  <si>
    <t>ディノス21d夏号3点セット㉛</t>
    <rPh sb="7" eb="8">
      <t>ナツ</t>
    </rPh>
    <rPh sb="8" eb="9">
      <t>ゴウ</t>
    </rPh>
    <rPh sb="10" eb="11">
      <t>テン</t>
    </rPh>
    <phoneticPr fontId="10"/>
  </si>
  <si>
    <t>ディノス21d夏号3点セット㉜</t>
    <rPh sb="7" eb="8">
      <t>ナツ</t>
    </rPh>
    <rPh sb="8" eb="9">
      <t>ゴウ</t>
    </rPh>
    <rPh sb="10" eb="11">
      <t>テン</t>
    </rPh>
    <phoneticPr fontId="10"/>
  </si>
  <si>
    <t>ディノス21d夏号3点セット㉝</t>
    <rPh sb="7" eb="8">
      <t>ナツ</t>
    </rPh>
    <rPh sb="8" eb="9">
      <t>ゴウ</t>
    </rPh>
    <rPh sb="10" eb="11">
      <t>テン</t>
    </rPh>
    <phoneticPr fontId="10"/>
  </si>
  <si>
    <t>K-PORT</t>
    <phoneticPr fontId="10"/>
  </si>
  <si>
    <t>夢販</t>
    <rPh sb="0" eb="2">
      <t>ユメハン</t>
    </rPh>
    <phoneticPr fontId="10"/>
  </si>
  <si>
    <t>ディノス21d夏号3点セット㉞</t>
    <rPh sb="7" eb="8">
      <t>ナツ</t>
    </rPh>
    <rPh sb="8" eb="9">
      <t>ゴウ</t>
    </rPh>
    <rPh sb="10" eb="11">
      <t>テン</t>
    </rPh>
    <phoneticPr fontId="10"/>
  </si>
  <si>
    <t>ディノス21d夏号3点セット㉟</t>
    <rPh sb="7" eb="8">
      <t>ナツ</t>
    </rPh>
    <rPh sb="8" eb="9">
      <t>ゴウ</t>
    </rPh>
    <rPh sb="10" eb="11">
      <t>テン</t>
    </rPh>
    <phoneticPr fontId="10"/>
  </si>
  <si>
    <t>ネット交換</t>
    <rPh sb="3" eb="5">
      <t>コウカン</t>
    </rPh>
    <phoneticPr fontId="10"/>
  </si>
  <si>
    <t>夢販</t>
    <rPh sb="0" eb="2">
      <t>ユメハン</t>
    </rPh>
    <phoneticPr fontId="10"/>
  </si>
  <si>
    <t>日生協カタログ21盛夏（くらしと生協）2点⑫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</si>
  <si>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かりん</t>
    <phoneticPr fontId="10"/>
  </si>
  <si>
    <t>ディノス21d夏号3点セット㊱</t>
    <rPh sb="7" eb="8">
      <t>ナツ</t>
    </rPh>
    <rPh sb="8" eb="9">
      <t>ゴウ</t>
    </rPh>
    <rPh sb="10" eb="11">
      <t>テン</t>
    </rPh>
    <phoneticPr fontId="10"/>
  </si>
  <si>
    <t>日生協カタログ21盛夏（くらしと生協）2点⑬</t>
    <rPh sb="0" eb="3">
      <t>ニッセイキョウ</t>
    </rPh>
    <rPh sb="9" eb="11">
      <t>セイカ</t>
    </rPh>
    <rPh sb="16" eb="18">
      <t>セイキョウ</t>
    </rPh>
    <rPh sb="20" eb="21">
      <t>テン</t>
    </rPh>
    <phoneticPr fontId="10"/>
  </si>
  <si>
    <t>ホワイトリーフ柄</t>
    <rPh sb="7" eb="8">
      <t>ガラ</t>
    </rPh>
    <phoneticPr fontId="3"/>
  </si>
  <si>
    <t>ディノスsample</t>
    <phoneticPr fontId="10"/>
  </si>
  <si>
    <t>→以降アロハ右端に移動</t>
    <rPh sb="1" eb="3">
      <t>イコウ</t>
    </rPh>
    <rPh sb="6" eb="8">
      <t>ミギハシ</t>
    </rPh>
    <rPh sb="9" eb="11">
      <t>イドウ</t>
    </rPh>
    <phoneticPr fontId="10"/>
  </si>
  <si>
    <t>↓以下、ホワイトリーフ注意</t>
    <rPh sb="1" eb="3">
      <t>イカ</t>
    </rPh>
    <rPh sb="11" eb="13">
      <t>チュウイ</t>
    </rPh>
    <phoneticPr fontId="10"/>
  </si>
  <si>
    <t>かりん</t>
    <phoneticPr fontId="10"/>
  </si>
  <si>
    <t>千趣会NET</t>
    <rPh sb="0" eb="3">
      <t>センシュカイ</t>
    </rPh>
    <phoneticPr fontId="10"/>
  </si>
  <si>
    <t>ディノス撮影用sample</t>
    <rPh sb="4" eb="7">
      <t>サツエイヨウ</t>
    </rPh>
    <phoneticPr fontId="10"/>
  </si>
  <si>
    <t>くらしサンプル返却</t>
    <rPh sb="7" eb="9">
      <t>ヘンキャク</t>
    </rPh>
    <phoneticPr fontId="10"/>
  </si>
  <si>
    <t>くらし返品</t>
    <rPh sb="3" eb="5">
      <t>ヘンピン</t>
    </rPh>
    <phoneticPr fontId="10"/>
  </si>
  <si>
    <t>ディノス22夏/2点セット</t>
    <rPh sb="6" eb="7">
      <t>ナツ</t>
    </rPh>
    <rPh sb="9" eb="10">
      <t>テン</t>
    </rPh>
    <phoneticPr fontId="10"/>
  </si>
  <si>
    <t>ディノス22夏/3点セット</t>
    <rPh sb="6" eb="7">
      <t>ナツ</t>
    </rPh>
    <rPh sb="9" eb="10">
      <t>テン</t>
    </rPh>
    <phoneticPr fontId="10"/>
  </si>
  <si>
    <t>再生</t>
    <rPh sb="0" eb="2">
      <t>サイセイ</t>
    </rPh>
    <phoneticPr fontId="10"/>
  </si>
  <si>
    <t>ディノス22盛夏/2点セット</t>
    <rPh sb="6" eb="8">
      <t>セイカ</t>
    </rPh>
    <rPh sb="10" eb="11">
      <t>テン</t>
    </rPh>
    <phoneticPr fontId="10"/>
  </si>
  <si>
    <t>ディノス22盛夏/3点セット</t>
    <rPh sb="6" eb="8">
      <t>セイカ</t>
    </rPh>
    <rPh sb="10" eb="11">
      <t>テン</t>
    </rPh>
    <phoneticPr fontId="10"/>
  </si>
  <si>
    <t>5月下旬～</t>
    <rPh sb="1" eb="2">
      <t>ガツ</t>
    </rPh>
    <rPh sb="2" eb="4">
      <t>ゲジュン</t>
    </rPh>
    <phoneticPr fontId="10"/>
  </si>
  <si>
    <t>3月下旬～</t>
    <rPh sb="1" eb="4">
      <t>ガツゲジュン</t>
    </rPh>
    <phoneticPr fontId="10"/>
  </si>
  <si>
    <t>ディノス事前搬入2点セット</t>
    <rPh sb="4" eb="8">
      <t>ジゼンハンニュウ</t>
    </rPh>
    <rPh sb="9" eb="10">
      <t>テン</t>
    </rPh>
    <phoneticPr fontId="10"/>
  </si>
  <si>
    <t>ディノス事前搬入3点セット</t>
    <rPh sb="4" eb="8">
      <t>ジゼンハンニュウ</t>
    </rPh>
    <rPh sb="9" eb="10">
      <t>テン</t>
    </rPh>
    <phoneticPr fontId="10"/>
  </si>
  <si>
    <t>夢販</t>
    <rPh sb="0" eb="2">
      <t>ユメハン</t>
    </rPh>
    <phoneticPr fontId="10"/>
  </si>
  <si>
    <t>ディノス3点セット</t>
    <rPh sb="5" eb="6">
      <t>テン</t>
    </rPh>
    <phoneticPr fontId="10"/>
  </si>
  <si>
    <t>かりん</t>
    <phoneticPr fontId="10"/>
  </si>
  <si>
    <t>ディノス3点セット①</t>
    <rPh sb="5" eb="6">
      <t>テン</t>
    </rPh>
    <phoneticPr fontId="10"/>
  </si>
  <si>
    <t>ディノス3点セット②</t>
    <rPh sb="5" eb="6">
      <t>テン</t>
    </rPh>
    <phoneticPr fontId="10"/>
  </si>
  <si>
    <t>ディノス3点セット③</t>
    <rPh sb="5" eb="6">
      <t>テン</t>
    </rPh>
    <phoneticPr fontId="10"/>
  </si>
  <si>
    <t>伝6/1</t>
    <rPh sb="0" eb="1">
      <t>デン</t>
    </rPh>
    <phoneticPr fontId="10"/>
  </si>
  <si>
    <t>ディノス3点セット④</t>
    <rPh sb="5" eb="6">
      <t>テン</t>
    </rPh>
    <phoneticPr fontId="10"/>
  </si>
  <si>
    <t>夢販</t>
    <rPh sb="0" eb="2">
      <t>ユメハン</t>
    </rPh>
    <phoneticPr fontId="10"/>
  </si>
  <si>
    <t>ディノス3点セット⑤</t>
    <rPh sb="5" eb="6">
      <t>テン</t>
    </rPh>
    <phoneticPr fontId="10"/>
  </si>
  <si>
    <t>ディノス3点セット⑥</t>
    <rPh sb="5" eb="6">
      <t>テン</t>
    </rPh>
    <phoneticPr fontId="10"/>
  </si>
  <si>
    <t>ディノス上下セット①</t>
    <rPh sb="4" eb="6">
      <t>ジョウゲ</t>
    </rPh>
    <phoneticPr fontId="10"/>
  </si>
  <si>
    <t>ディノス3点セット⑦</t>
    <rPh sb="5" eb="6">
      <t>テン</t>
    </rPh>
    <phoneticPr fontId="10"/>
  </si>
  <si>
    <t>ディノス3点セット⑧</t>
    <rPh sb="5" eb="6">
      <t>テン</t>
    </rPh>
    <phoneticPr fontId="10"/>
  </si>
  <si>
    <t>ディノス3点セット⑨</t>
    <rPh sb="5" eb="6">
      <t>テン</t>
    </rPh>
    <phoneticPr fontId="10"/>
  </si>
  <si>
    <t>2022/4/12数でん</t>
    <rPh sb="9" eb="10">
      <t>スウ</t>
    </rPh>
    <phoneticPr fontId="10"/>
  </si>
  <si>
    <t>ディノス上下セット②</t>
    <rPh sb="4" eb="6">
      <t>ジョウゲ</t>
    </rPh>
    <phoneticPr fontId="10"/>
  </si>
  <si>
    <t>ディノス3点セット⑩</t>
    <rPh sb="5" eb="6">
      <t>テン</t>
    </rPh>
    <phoneticPr fontId="10"/>
  </si>
  <si>
    <t>夢販</t>
    <rPh sb="0" eb="2">
      <t>ユメハン</t>
    </rPh>
    <phoneticPr fontId="10"/>
  </si>
  <si>
    <t>ディノス上下セット③</t>
    <rPh sb="4" eb="6">
      <t>ジョウゲ</t>
    </rPh>
    <phoneticPr fontId="10"/>
  </si>
  <si>
    <t>ディノス3点セット⑪</t>
    <rPh sb="5" eb="6">
      <t>テン</t>
    </rPh>
    <phoneticPr fontId="10"/>
  </si>
  <si>
    <t>かりん</t>
    <phoneticPr fontId="10"/>
  </si>
  <si>
    <t>ネット</t>
    <phoneticPr fontId="10"/>
  </si>
  <si>
    <t>ディノス上下セット④</t>
    <rPh sb="4" eb="6">
      <t>ジョウゲ</t>
    </rPh>
    <phoneticPr fontId="10"/>
  </si>
  <si>
    <t>ディノス3点セット⑫</t>
    <rPh sb="5" eb="6">
      <t>テン</t>
    </rPh>
    <phoneticPr fontId="10"/>
  </si>
  <si>
    <t>夢販</t>
    <rPh sb="0" eb="2">
      <t>ユメハン</t>
    </rPh>
    <phoneticPr fontId="10"/>
  </si>
  <si>
    <t>ディノス3点セット⑬</t>
    <rPh sb="5" eb="6">
      <t>テン</t>
    </rPh>
    <phoneticPr fontId="10"/>
  </si>
  <si>
    <t>ディノス3点セット⑭</t>
    <rPh sb="5" eb="6">
      <t>テン</t>
    </rPh>
    <phoneticPr fontId="10"/>
  </si>
  <si>
    <t>千趣会上下セット①</t>
    <rPh sb="0" eb="3">
      <t>センシュカイ</t>
    </rPh>
    <rPh sb="3" eb="5">
      <t>ジョウゲ</t>
    </rPh>
    <phoneticPr fontId="10"/>
  </si>
  <si>
    <t>千趣会3点セット①</t>
    <rPh sb="0" eb="3">
      <t>センシュカイ</t>
    </rPh>
    <rPh sb="4" eb="5">
      <t>テン</t>
    </rPh>
    <phoneticPr fontId="10"/>
  </si>
  <si>
    <t>かりん</t>
    <phoneticPr fontId="10"/>
  </si>
  <si>
    <t>夢販</t>
    <rPh sb="0" eb="2">
      <t>ユメハン</t>
    </rPh>
    <phoneticPr fontId="10"/>
  </si>
  <si>
    <t>ディノス上下セット⑤</t>
    <rPh sb="4" eb="6">
      <t>ジョウゲ</t>
    </rPh>
    <phoneticPr fontId="10"/>
  </si>
  <si>
    <t>ディノス3点セット⑮</t>
    <rPh sb="5" eb="6">
      <t>テン</t>
    </rPh>
    <phoneticPr fontId="10"/>
  </si>
  <si>
    <t>ディノス上下セット⑥</t>
    <rPh sb="4" eb="6">
      <t>ジョウゲ</t>
    </rPh>
    <phoneticPr fontId="10"/>
  </si>
  <si>
    <t>ディノス3点セット⑯</t>
    <rPh sb="5" eb="6">
      <t>テン</t>
    </rPh>
    <phoneticPr fontId="10"/>
  </si>
  <si>
    <t>ディノス3点セット⑰</t>
    <rPh sb="5" eb="6">
      <t>テン</t>
    </rPh>
    <phoneticPr fontId="10"/>
  </si>
  <si>
    <t>ディノス3点セット⑱</t>
    <rPh sb="5" eb="6">
      <t>テン</t>
    </rPh>
    <phoneticPr fontId="10"/>
  </si>
  <si>
    <t>ディノス3点セット⑲</t>
    <rPh sb="5" eb="6">
      <t>テン</t>
    </rPh>
    <phoneticPr fontId="10"/>
  </si>
  <si>
    <t>ディノス3点セット⑳</t>
    <rPh sb="5" eb="6">
      <t>テン</t>
    </rPh>
    <phoneticPr fontId="10"/>
  </si>
  <si>
    <t>ディノス3点セット㉑</t>
    <rPh sb="5" eb="6">
      <t>テン</t>
    </rPh>
    <phoneticPr fontId="10"/>
  </si>
  <si>
    <t>夢販</t>
    <rPh sb="0" eb="2">
      <t>ユメハン</t>
    </rPh>
    <phoneticPr fontId="10"/>
  </si>
  <si>
    <t>ディノス3点セット㉒</t>
    <rPh sb="5" eb="6">
      <t>テン</t>
    </rPh>
    <phoneticPr fontId="10"/>
  </si>
  <si>
    <t>ディノス上下セット⑦</t>
    <rPh sb="4" eb="6">
      <t>ジョウゲ</t>
    </rPh>
    <phoneticPr fontId="10"/>
  </si>
  <si>
    <t>ディノス3点セット㉓</t>
    <rPh sb="5" eb="6">
      <t>テン</t>
    </rPh>
    <phoneticPr fontId="10"/>
  </si>
  <si>
    <t>ディノス上下セット⑧</t>
    <rPh sb="4" eb="6">
      <t>ジョウゲ</t>
    </rPh>
    <phoneticPr fontId="10"/>
  </si>
  <si>
    <t>ディノス上下セット⑨</t>
    <rPh sb="4" eb="6">
      <t>ジョウゲ</t>
    </rPh>
    <phoneticPr fontId="10"/>
  </si>
  <si>
    <t>ディノス上下セット⑩</t>
    <rPh sb="4" eb="6">
      <t>ジョウゲ</t>
    </rPh>
    <phoneticPr fontId="10"/>
  </si>
  <si>
    <t>夢販</t>
    <rPh sb="0" eb="2">
      <t>ユメハン</t>
    </rPh>
    <phoneticPr fontId="10"/>
  </si>
  <si>
    <t>かりん</t>
    <phoneticPr fontId="10"/>
  </si>
  <si>
    <t>ディノス上下セット⑪</t>
    <rPh sb="4" eb="6">
      <t>ジョウゲ</t>
    </rPh>
    <phoneticPr fontId="10"/>
  </si>
  <si>
    <t>ディノス3点セット㉔</t>
    <rPh sb="5" eb="6">
      <t>テン</t>
    </rPh>
    <phoneticPr fontId="10"/>
  </si>
  <si>
    <t>千趣会上下セット②</t>
    <rPh sb="0" eb="3">
      <t>センシュカイ</t>
    </rPh>
    <rPh sb="3" eb="5">
      <t>ジョウゲ</t>
    </rPh>
    <phoneticPr fontId="10"/>
  </si>
  <si>
    <t>ディノス3点セット㉕</t>
    <rPh sb="5" eb="6">
      <t>テン</t>
    </rPh>
    <phoneticPr fontId="10"/>
  </si>
  <si>
    <t>千趣会返品</t>
    <rPh sb="0" eb="3">
      <t>センシュカイ</t>
    </rPh>
    <rPh sb="3" eb="5">
      <t>ヘンピン</t>
    </rPh>
    <phoneticPr fontId="10"/>
  </si>
  <si>
    <t>ディノス上下セット⑫</t>
    <rPh sb="4" eb="6">
      <t>ジョウゲ</t>
    </rPh>
    <phoneticPr fontId="10"/>
  </si>
  <si>
    <t>ディノス3点セット㉖</t>
    <rPh sb="5" eb="6">
      <t>テン</t>
    </rPh>
    <phoneticPr fontId="10"/>
  </si>
  <si>
    <t>ネット</t>
    <phoneticPr fontId="10"/>
  </si>
  <si>
    <t>ディノス上下セット⑬</t>
    <rPh sb="4" eb="6">
      <t>ジョウゲ</t>
    </rPh>
    <phoneticPr fontId="10"/>
  </si>
  <si>
    <t>千趣会上下セット③</t>
    <rPh sb="0" eb="3">
      <t>センシュカイ</t>
    </rPh>
    <rPh sb="3" eb="5">
      <t>ジョウゲ</t>
    </rPh>
    <phoneticPr fontId="10"/>
  </si>
  <si>
    <t>千趣会3点セット②</t>
    <rPh sb="0" eb="3">
      <t>センシュカイ</t>
    </rPh>
    <rPh sb="4" eb="5">
      <t>テン</t>
    </rPh>
    <phoneticPr fontId="10"/>
  </si>
  <si>
    <t>ディノス上下セット⑭</t>
    <rPh sb="4" eb="6">
      <t>ジョウゲ</t>
    </rPh>
    <phoneticPr fontId="10"/>
  </si>
  <si>
    <t>ディノス3点セット㉗</t>
    <rPh sb="5" eb="6">
      <t>テン</t>
    </rPh>
    <phoneticPr fontId="10"/>
  </si>
  <si>
    <t>ディノス上下セット⑮</t>
    <rPh sb="4" eb="6">
      <t>ジョウゲ</t>
    </rPh>
    <phoneticPr fontId="10"/>
  </si>
  <si>
    <t>かりん</t>
    <phoneticPr fontId="10"/>
  </si>
  <si>
    <t>2022/4/12数伝</t>
    <rPh sb="9" eb="10">
      <t>スウ</t>
    </rPh>
    <rPh sb="10" eb="11">
      <t>デン</t>
    </rPh>
    <phoneticPr fontId="10"/>
  </si>
  <si>
    <t>夢販</t>
    <rPh sb="0" eb="2">
      <t>ユメハン</t>
    </rPh>
    <phoneticPr fontId="10"/>
  </si>
  <si>
    <t>ディノス上下セット⑯</t>
    <rPh sb="4" eb="6">
      <t>ジョウゲ</t>
    </rPh>
    <phoneticPr fontId="10"/>
  </si>
  <si>
    <t>ディノス上下セット⑰</t>
    <rPh sb="4" eb="6">
      <t>ジョウゲ</t>
    </rPh>
    <phoneticPr fontId="10"/>
  </si>
  <si>
    <t>ディノス3点セット㉘</t>
    <rPh sb="5" eb="6">
      <t>テン</t>
    </rPh>
    <phoneticPr fontId="10"/>
  </si>
  <si>
    <t>ディノス上下セット⑱</t>
    <rPh sb="4" eb="6">
      <t>ジョウゲ</t>
    </rPh>
    <phoneticPr fontId="10"/>
  </si>
  <si>
    <t>ディノス3点セット㉙</t>
    <rPh sb="5" eb="6">
      <t>テン</t>
    </rPh>
    <phoneticPr fontId="10"/>
  </si>
  <si>
    <t>夢販</t>
    <rPh sb="0" eb="2">
      <t>ユメハン</t>
    </rPh>
    <phoneticPr fontId="10"/>
  </si>
  <si>
    <t>千趣会上下セット④</t>
    <rPh sb="0" eb="3">
      <t>センシュカイ</t>
    </rPh>
    <rPh sb="3" eb="5">
      <t>ジョウゲ</t>
    </rPh>
    <phoneticPr fontId="10"/>
  </si>
  <si>
    <t>ディノス上下セット⑲</t>
    <rPh sb="4" eb="6">
      <t>ジョウゲ</t>
    </rPh>
    <phoneticPr fontId="10"/>
  </si>
  <si>
    <t>ディノス3点セット㉚</t>
    <rPh sb="5" eb="6">
      <t>テン</t>
    </rPh>
    <phoneticPr fontId="10"/>
  </si>
  <si>
    <t>ディノス上下セット⑳</t>
    <rPh sb="4" eb="6">
      <t>ジョウゲ</t>
    </rPh>
    <phoneticPr fontId="10"/>
  </si>
  <si>
    <t>ディノス3点セット㉛</t>
    <rPh sb="5" eb="6">
      <t>テン</t>
    </rPh>
    <phoneticPr fontId="10"/>
  </si>
  <si>
    <t>ディノス3点セット㉜</t>
    <rPh sb="5" eb="6">
      <t>テン</t>
    </rPh>
    <phoneticPr fontId="10"/>
  </si>
  <si>
    <t>ディノス3点セット㉝</t>
    <rPh sb="5" eb="6">
      <t>テン</t>
    </rPh>
    <phoneticPr fontId="10"/>
  </si>
  <si>
    <t>ディノス上下セット㉑</t>
    <rPh sb="4" eb="6">
      <t>ジョウゲ</t>
    </rPh>
    <phoneticPr fontId="10"/>
  </si>
  <si>
    <t>ディノス3点セット㉞</t>
    <rPh sb="5" eb="6">
      <t>テン</t>
    </rPh>
    <phoneticPr fontId="10"/>
  </si>
  <si>
    <t>千趣会誤送分</t>
    <rPh sb="0" eb="3">
      <t>センシュカイ</t>
    </rPh>
    <rPh sb="3" eb="6">
      <t>ゴソウブン</t>
    </rPh>
    <phoneticPr fontId="10"/>
  </si>
  <si>
    <t>夢販</t>
    <rPh sb="0" eb="2">
      <t>ユメハン</t>
    </rPh>
    <phoneticPr fontId="10"/>
  </si>
  <si>
    <t>千趣会上下セット⑤</t>
    <rPh sb="0" eb="3">
      <t>センシュカイ</t>
    </rPh>
    <rPh sb="3" eb="5">
      <t>ジョウゲ</t>
    </rPh>
    <phoneticPr fontId="10"/>
  </si>
  <si>
    <t>ディノス上下セット㉒</t>
    <rPh sb="4" eb="6">
      <t>ジョウゲ</t>
    </rPh>
    <phoneticPr fontId="10"/>
  </si>
  <si>
    <t>ディノス3点セット㉟</t>
    <rPh sb="5" eb="6">
      <t>テン</t>
    </rPh>
    <phoneticPr fontId="10"/>
  </si>
  <si>
    <t>ディノス上下セット㉓</t>
    <rPh sb="4" eb="6">
      <t>ジョウゲ</t>
    </rPh>
    <phoneticPr fontId="10"/>
  </si>
  <si>
    <t>ディノス上下セット㉔</t>
    <rPh sb="4" eb="6">
      <t>ジョウゲ</t>
    </rPh>
    <phoneticPr fontId="10"/>
  </si>
  <si>
    <t>ディノス3点セット㊱</t>
    <rPh sb="5" eb="6">
      <t>テン</t>
    </rPh>
    <phoneticPr fontId="10"/>
  </si>
  <si>
    <t>追加調整7/26</t>
    <rPh sb="0" eb="2">
      <t>ツイカ</t>
    </rPh>
    <rPh sb="2" eb="4">
      <t>チョウセイ</t>
    </rPh>
    <phoneticPr fontId="2"/>
  </si>
  <si>
    <t>千趣会上下セット⑥</t>
    <rPh sb="0" eb="3">
      <t>センシュカイ</t>
    </rPh>
    <rPh sb="3" eb="5">
      <t>ジョウゲ</t>
    </rPh>
    <phoneticPr fontId="10"/>
  </si>
  <si>
    <t>ディノス上下セット㉕</t>
    <rPh sb="4" eb="6">
      <t>ジョウゲ</t>
    </rPh>
    <phoneticPr fontId="10"/>
  </si>
  <si>
    <t>夢販</t>
    <rPh sb="0" eb="2">
      <t>ユメハン</t>
    </rPh>
    <phoneticPr fontId="10"/>
  </si>
  <si>
    <t>ディノス3点セット㊲</t>
    <rPh sb="5" eb="6">
      <t>テン</t>
    </rPh>
    <phoneticPr fontId="10"/>
  </si>
  <si>
    <t>ディノス3点セット㊳</t>
    <rPh sb="5" eb="6">
      <t>テン</t>
    </rPh>
    <phoneticPr fontId="10"/>
  </si>
  <si>
    <t>千趣会上下セット⑦</t>
    <rPh sb="0" eb="3">
      <t>センシュカイ</t>
    </rPh>
    <rPh sb="3" eb="5">
      <t>ジョウゲ</t>
    </rPh>
    <phoneticPr fontId="10"/>
  </si>
  <si>
    <t>千趣会再納品</t>
    <rPh sb="0" eb="3">
      <t>センシュカイ</t>
    </rPh>
    <rPh sb="3" eb="6">
      <t>サイノウヒン</t>
    </rPh>
    <phoneticPr fontId="10"/>
  </si>
  <si>
    <t>在庫確認</t>
    <rPh sb="0" eb="4">
      <t>ザイコカクニン</t>
    </rPh>
    <phoneticPr fontId="2"/>
  </si>
  <si>
    <t>追加</t>
    <rPh sb="0" eb="2">
      <t>ツイカ</t>
    </rPh>
    <phoneticPr fontId="10"/>
  </si>
  <si>
    <t>ディノス上下セット㉖</t>
    <rPh sb="4" eb="6">
      <t>ジョウゲ</t>
    </rPh>
    <phoneticPr fontId="10"/>
  </si>
  <si>
    <t>追加</t>
    <rPh sb="0" eb="2">
      <t>ツイカ</t>
    </rPh>
    <phoneticPr fontId="10"/>
  </si>
  <si>
    <t>千趣会上下セット⑧</t>
    <rPh sb="0" eb="3">
      <t>センシュカイ</t>
    </rPh>
    <rPh sb="3" eb="5">
      <t>ジョウゲ</t>
    </rPh>
    <phoneticPr fontId="10"/>
  </si>
  <si>
    <t>ディノス上下セット㉗</t>
    <rPh sb="4" eb="6">
      <t>ジョウゲ</t>
    </rPh>
    <phoneticPr fontId="10"/>
  </si>
  <si>
    <t>夢販</t>
    <rPh sb="0" eb="1">
      <t>ユメ</t>
    </rPh>
    <rPh sb="1" eb="2">
      <t>ハン</t>
    </rPh>
    <phoneticPr fontId="10"/>
  </si>
  <si>
    <t>かりん</t>
    <phoneticPr fontId="10"/>
  </si>
  <si>
    <t>ディノス上下セット㉘</t>
    <rPh sb="4" eb="6">
      <t>ジョウゲ</t>
    </rPh>
    <phoneticPr fontId="10"/>
  </si>
  <si>
    <t>ディノス上下セット㉙</t>
    <rPh sb="4" eb="6">
      <t>ジョウゲ</t>
    </rPh>
    <phoneticPr fontId="10"/>
  </si>
  <si>
    <t>千趣会上下セット⑨</t>
    <rPh sb="0" eb="3">
      <t>センシュカイ</t>
    </rPh>
    <rPh sb="3" eb="5">
      <t>ジョウゲ</t>
    </rPh>
    <phoneticPr fontId="10"/>
  </si>
  <si>
    <t>KPORT</t>
    <phoneticPr fontId="10"/>
  </si>
  <si>
    <t>棚卸</t>
    <rPh sb="0" eb="2">
      <t>タナオロシ</t>
    </rPh>
    <phoneticPr fontId="2"/>
  </si>
  <si>
    <t>棚卸</t>
    <rPh sb="0" eb="2">
      <t>タナオロシ</t>
    </rPh>
    <phoneticPr fontId="10"/>
  </si>
  <si>
    <t>千趣会上下セット⑩</t>
    <rPh sb="0" eb="3">
      <t>センシュカイ</t>
    </rPh>
    <rPh sb="3" eb="5">
      <t>ジョウゲ</t>
    </rPh>
    <phoneticPr fontId="10"/>
  </si>
  <si>
    <t>上杉　小山さん</t>
    <rPh sb="0" eb="2">
      <t>ウエスギ</t>
    </rPh>
    <rPh sb="3" eb="5">
      <t>コヤマ</t>
    </rPh>
    <phoneticPr fontId="10"/>
  </si>
  <si>
    <t>夢販</t>
    <rPh sb="0" eb="2">
      <t>ユメハン</t>
    </rPh>
    <phoneticPr fontId="10"/>
  </si>
  <si>
    <t>ディノス上下セット㉚</t>
    <rPh sb="4" eb="6">
      <t>ジョウゲ</t>
    </rPh>
    <phoneticPr fontId="10"/>
  </si>
  <si>
    <t>KPORT</t>
    <phoneticPr fontId="10"/>
  </si>
  <si>
    <t>ディノス上下セット㉛</t>
    <rPh sb="4" eb="6">
      <t>ジョウゲ</t>
    </rPh>
    <phoneticPr fontId="10"/>
  </si>
  <si>
    <t>抽象花柄</t>
    <rPh sb="0" eb="2">
      <t>チュウショウ</t>
    </rPh>
    <rPh sb="2" eb="4">
      <t>ハナガラ</t>
    </rPh>
    <phoneticPr fontId="3"/>
  </si>
  <si>
    <t>かりん</t>
    <phoneticPr fontId="10"/>
  </si>
  <si>
    <t>すこやかびと冊子夏号</t>
    <rPh sb="6" eb="8">
      <t>サッシ</t>
    </rPh>
    <rPh sb="8" eb="10">
      <t>ナツゴウ</t>
    </rPh>
    <phoneticPr fontId="10"/>
  </si>
  <si>
    <t>23夏ディノス3点セット</t>
    <rPh sb="2" eb="3">
      <t>ナツ</t>
    </rPh>
    <rPh sb="8" eb="9">
      <t>テン</t>
    </rPh>
    <phoneticPr fontId="10"/>
  </si>
  <si>
    <t>23夏ディノス上下セット</t>
    <rPh sb="2" eb="3">
      <t>ナツ</t>
    </rPh>
    <rPh sb="7" eb="9">
      <t>ジョウゲ</t>
    </rPh>
    <phoneticPr fontId="10"/>
  </si>
  <si>
    <t>千趣会上下セット⑪</t>
    <rPh sb="0" eb="3">
      <t>センシュカイ</t>
    </rPh>
    <rPh sb="3" eb="5">
      <t>ジョウゲ</t>
    </rPh>
    <phoneticPr fontId="10"/>
  </si>
  <si>
    <t>千趣会上下セット⑫</t>
    <rPh sb="0" eb="3">
      <t>センシュカイ</t>
    </rPh>
    <rPh sb="3" eb="5">
      <t>ジョウゲ</t>
    </rPh>
    <phoneticPr fontId="10"/>
  </si>
  <si>
    <t>千趣会返品</t>
    <rPh sb="0" eb="5">
      <t>センシュカイヘンピン</t>
    </rPh>
    <phoneticPr fontId="2"/>
  </si>
  <si>
    <t>ディノス上下セット㉜</t>
    <rPh sb="4" eb="6">
      <t>ジョウゲ</t>
    </rPh>
    <phoneticPr fontId="10"/>
  </si>
  <si>
    <t>3/6～</t>
    <phoneticPr fontId="10"/>
  </si>
  <si>
    <t>3/27～9/16(3週間前に計画数の30％納品)</t>
    <rPh sb="11" eb="14">
      <t>シュウカンマエ</t>
    </rPh>
    <rPh sb="15" eb="18">
      <t>ケイカクスウ</t>
    </rPh>
    <rPh sb="22" eb="24">
      <t>ノウヒン</t>
    </rPh>
    <phoneticPr fontId="10"/>
  </si>
  <si>
    <t>伝票3月</t>
    <rPh sb="0" eb="2">
      <t>デンピョウ</t>
    </rPh>
    <rPh sb="3" eb="4">
      <t>ガツ</t>
    </rPh>
    <phoneticPr fontId="10"/>
  </si>
  <si>
    <t>伝票5月</t>
    <rPh sb="0" eb="2">
      <t>デンピョウ</t>
    </rPh>
    <rPh sb="3" eb="4">
      <t>ガツ</t>
    </rPh>
    <phoneticPr fontId="10"/>
  </si>
  <si>
    <t>23夏ディノス上下セット（事前搬入）①</t>
    <rPh sb="2" eb="3">
      <t>ナツ</t>
    </rPh>
    <rPh sb="7" eb="9">
      <t>ジョウゲ</t>
    </rPh>
    <rPh sb="13" eb="17">
      <t>ジゼンハンニュウ</t>
    </rPh>
    <phoneticPr fontId="10"/>
  </si>
  <si>
    <t>23夏ディノス3点セット（事前搬入）①</t>
    <rPh sb="2" eb="3">
      <t>ナツ</t>
    </rPh>
    <rPh sb="8" eb="9">
      <t>テン</t>
    </rPh>
    <rPh sb="13" eb="17">
      <t>ジゼンハンニュウ</t>
    </rPh>
    <phoneticPr fontId="10"/>
  </si>
  <si>
    <t>すこやかびと冊子夏号①</t>
    <rPh sb="6" eb="8">
      <t>サッシ</t>
    </rPh>
    <rPh sb="8" eb="10">
      <t>ナツゴウ</t>
    </rPh>
    <phoneticPr fontId="10"/>
  </si>
  <si>
    <t>上杉</t>
    <rPh sb="0" eb="2">
      <t>ウエスギ</t>
    </rPh>
    <phoneticPr fontId="10"/>
  </si>
  <si>
    <t>千趣会上下①</t>
    <rPh sb="0" eb="3">
      <t>センシュカイ</t>
    </rPh>
    <rPh sb="3" eb="5">
      <t>ジョウゲ</t>
    </rPh>
    <phoneticPr fontId="10"/>
  </si>
  <si>
    <t>千趣会3点セット①</t>
    <rPh sb="0" eb="3">
      <t>センシュカイ</t>
    </rPh>
    <rPh sb="4" eb="5">
      <t>テン</t>
    </rPh>
    <phoneticPr fontId="10"/>
  </si>
  <si>
    <t>2023/3/6数伝</t>
    <rPh sb="8" eb="9">
      <t>スウ</t>
    </rPh>
    <rPh sb="9" eb="10">
      <t>デン</t>
    </rPh>
    <phoneticPr fontId="10"/>
  </si>
  <si>
    <t>かりん</t>
    <phoneticPr fontId="10"/>
  </si>
  <si>
    <t>すこやかびと冊子夏号②</t>
    <rPh sb="6" eb="8">
      <t>サッシ</t>
    </rPh>
    <rPh sb="8" eb="10">
      <t>ナツゴウ</t>
    </rPh>
    <phoneticPr fontId="10"/>
  </si>
  <si>
    <t>千趣会上下②</t>
    <rPh sb="0" eb="3">
      <t>センシュカイ</t>
    </rPh>
    <rPh sb="3" eb="5">
      <t>ジョウゲ</t>
    </rPh>
    <phoneticPr fontId="10"/>
  </si>
  <si>
    <t>すこやかびと冊子夏号③</t>
    <rPh sb="6" eb="8">
      <t>サッシ</t>
    </rPh>
    <rPh sb="8" eb="10">
      <t>ナツゴウ</t>
    </rPh>
    <phoneticPr fontId="10"/>
  </si>
  <si>
    <t>すこやかびと冊子夏号④</t>
    <rPh sb="6" eb="8">
      <t>サッシ</t>
    </rPh>
    <rPh sb="8" eb="10">
      <t>ナツゴウ</t>
    </rPh>
    <phoneticPr fontId="10"/>
  </si>
  <si>
    <t>ネット</t>
    <phoneticPr fontId="10"/>
  </si>
  <si>
    <t>千趣会上下③</t>
    <rPh sb="0" eb="3">
      <t>センシュカイ</t>
    </rPh>
    <rPh sb="3" eb="5">
      <t>ジョウゲ</t>
    </rPh>
    <phoneticPr fontId="10"/>
  </si>
  <si>
    <t>千趣会3点セット③</t>
    <rPh sb="0" eb="3">
      <t>センシュカイ</t>
    </rPh>
    <rPh sb="4" eb="5">
      <t>テン</t>
    </rPh>
    <phoneticPr fontId="10"/>
  </si>
  <si>
    <t>23夏ディノス3点セット②</t>
    <rPh sb="2" eb="3">
      <t>ナツ</t>
    </rPh>
    <rPh sb="8" eb="9">
      <t>テン</t>
    </rPh>
    <phoneticPr fontId="10"/>
  </si>
  <si>
    <t>かりん</t>
    <phoneticPr fontId="10"/>
  </si>
  <si>
    <t>すこやかびと冊子夏号⑤</t>
    <rPh sb="6" eb="8">
      <t>サッシ</t>
    </rPh>
    <rPh sb="8" eb="10">
      <t>ナツゴウ</t>
    </rPh>
    <phoneticPr fontId="10"/>
  </si>
  <si>
    <t>千趣会上下④</t>
    <rPh sb="0" eb="3">
      <t>センシュカイ</t>
    </rPh>
    <rPh sb="3" eb="5">
      <t>ジョウゲ</t>
    </rPh>
    <phoneticPr fontId="10"/>
  </si>
  <si>
    <t>くらし返品予定</t>
    <rPh sb="3" eb="5">
      <t>ヘンピン</t>
    </rPh>
    <rPh sb="5" eb="7">
      <t>ヨテイ</t>
    </rPh>
    <phoneticPr fontId="10"/>
  </si>
  <si>
    <t>すこやかびと冊子夏号⑥</t>
    <rPh sb="6" eb="8">
      <t>サッシ</t>
    </rPh>
    <rPh sb="8" eb="10">
      <t>ナツゴウ</t>
    </rPh>
    <phoneticPr fontId="10"/>
  </si>
  <si>
    <t>23夏ディノス3点セット③</t>
    <rPh sb="2" eb="3">
      <t>ナツ</t>
    </rPh>
    <rPh sb="8" eb="9">
      <t>テン</t>
    </rPh>
    <phoneticPr fontId="10"/>
  </si>
  <si>
    <t>千趣会上下⑤</t>
    <rPh sb="0" eb="3">
      <t>センシュカイ</t>
    </rPh>
    <rPh sb="3" eb="5">
      <t>ジョウゲ</t>
    </rPh>
    <phoneticPr fontId="10"/>
  </si>
  <si>
    <t>千趣会3点セット④</t>
    <rPh sb="0" eb="3">
      <t>センシュカイ</t>
    </rPh>
    <rPh sb="4" eb="5">
      <t>テン</t>
    </rPh>
    <phoneticPr fontId="10"/>
  </si>
  <si>
    <t>すこやかびと冊子夏号⑦</t>
    <rPh sb="6" eb="8">
      <t>サッシ</t>
    </rPh>
    <rPh sb="8" eb="10">
      <t>ナツゴウ</t>
    </rPh>
    <phoneticPr fontId="10"/>
  </si>
  <si>
    <t>千趣会3点セット⑤</t>
    <rPh sb="0" eb="3">
      <t>センシュカイ</t>
    </rPh>
    <rPh sb="4" eb="5">
      <t>テン</t>
    </rPh>
    <phoneticPr fontId="10"/>
  </si>
  <si>
    <t>23夏ディノス3点セット④</t>
    <rPh sb="2" eb="3">
      <t>ナツ</t>
    </rPh>
    <rPh sb="8" eb="9">
      <t>テン</t>
    </rPh>
    <phoneticPr fontId="10"/>
  </si>
  <si>
    <t>23夏ディノス3点セット⑤</t>
    <rPh sb="2" eb="3">
      <t>ナツ</t>
    </rPh>
    <rPh sb="8" eb="9">
      <t>テン</t>
    </rPh>
    <phoneticPr fontId="10"/>
  </si>
  <si>
    <t>23夏ディノス3点セット⑥</t>
    <rPh sb="2" eb="3">
      <t>ナツ</t>
    </rPh>
    <rPh sb="8" eb="9">
      <t>テン</t>
    </rPh>
    <phoneticPr fontId="10"/>
  </si>
  <si>
    <t>すこやかびと冊子夏号⑧</t>
    <rPh sb="6" eb="8">
      <t>サッシ</t>
    </rPh>
    <rPh sb="8" eb="10">
      <t>ナツゴウ</t>
    </rPh>
    <phoneticPr fontId="10"/>
  </si>
  <si>
    <t>千趣会上下⑥</t>
    <rPh sb="0" eb="3">
      <t>センシュカイ</t>
    </rPh>
    <rPh sb="3" eb="5">
      <t>ジョウゲ</t>
    </rPh>
    <phoneticPr fontId="10"/>
  </si>
  <si>
    <t>23夏ディノス3点セット⑦</t>
    <rPh sb="2" eb="3">
      <t>ナツ</t>
    </rPh>
    <rPh sb="8" eb="9">
      <t>テン</t>
    </rPh>
    <phoneticPr fontId="10"/>
  </si>
  <si>
    <t>すこやかびと冊子夏号⑨</t>
    <rPh sb="6" eb="8">
      <t>サッシ</t>
    </rPh>
    <rPh sb="8" eb="10">
      <t>ナツゴウ</t>
    </rPh>
    <phoneticPr fontId="10"/>
  </si>
  <si>
    <t>かりん</t>
    <phoneticPr fontId="10"/>
  </si>
  <si>
    <t>すこやかびと冊子夏号⑩</t>
    <rPh sb="6" eb="8">
      <t>サッシ</t>
    </rPh>
    <rPh sb="8" eb="10">
      <t>ナツゴウ</t>
    </rPh>
    <phoneticPr fontId="10"/>
  </si>
  <si>
    <t>千趣会上下⑦</t>
    <rPh sb="0" eb="3">
      <t>センシュカイ</t>
    </rPh>
    <rPh sb="3" eb="5">
      <t>ジョウゲ</t>
    </rPh>
    <phoneticPr fontId="10"/>
  </si>
  <si>
    <t>かりん</t>
    <phoneticPr fontId="10"/>
  </si>
  <si>
    <t>すこやかびと冊子夏号⑪</t>
    <rPh sb="6" eb="8">
      <t>サッシ</t>
    </rPh>
    <rPh sb="8" eb="9">
      <t>ナツ</t>
    </rPh>
    <rPh sb="9" eb="10">
      <t>ゴウ</t>
    </rPh>
    <phoneticPr fontId="10"/>
  </si>
  <si>
    <t>千趣会上下⑧</t>
    <rPh sb="0" eb="3">
      <t>センシュカイ</t>
    </rPh>
    <rPh sb="3" eb="5">
      <t>ジョウゲ</t>
    </rPh>
    <phoneticPr fontId="10"/>
  </si>
  <si>
    <t>すこやかびと冊子夏号⑫</t>
    <rPh sb="6" eb="8">
      <t>サッシ</t>
    </rPh>
    <rPh sb="8" eb="9">
      <t>ナツ</t>
    </rPh>
    <rPh sb="9" eb="10">
      <t>ゴウ</t>
    </rPh>
    <phoneticPr fontId="10"/>
  </si>
  <si>
    <t>すこやかびと冊子夏号⑬</t>
    <rPh sb="6" eb="8">
      <t>サッシ</t>
    </rPh>
    <rPh sb="8" eb="9">
      <t>ナツ</t>
    </rPh>
    <rPh sb="9" eb="10">
      <t>ゴウ</t>
    </rPh>
    <phoneticPr fontId="10"/>
  </si>
  <si>
    <t>千趣会上下⑨</t>
    <rPh sb="0" eb="3">
      <t>センシュカイ</t>
    </rPh>
    <rPh sb="3" eb="5">
      <t>ジョウゲ</t>
    </rPh>
    <phoneticPr fontId="10"/>
  </si>
  <si>
    <t>千趣会3点セット⑥</t>
    <rPh sb="0" eb="3">
      <t>センシュカイ</t>
    </rPh>
    <rPh sb="4" eb="5">
      <t>テン</t>
    </rPh>
    <phoneticPr fontId="10"/>
  </si>
  <si>
    <t>千趣会上下⑩</t>
    <rPh sb="0" eb="3">
      <t>センシュカイ</t>
    </rPh>
    <rPh sb="3" eb="5">
      <t>ジョウゲ</t>
    </rPh>
    <phoneticPr fontId="10"/>
  </si>
  <si>
    <t>千趣会3点セット⑦</t>
    <rPh sb="0" eb="3">
      <t>センシュカイ</t>
    </rPh>
    <rPh sb="4" eb="5">
      <t>テン</t>
    </rPh>
    <phoneticPr fontId="10"/>
  </si>
  <si>
    <t>千趣会上下⑪</t>
    <rPh sb="0" eb="3">
      <t>センシュカイ</t>
    </rPh>
    <rPh sb="3" eb="5">
      <t>ジョウゲ</t>
    </rPh>
    <phoneticPr fontId="10"/>
  </si>
  <si>
    <t>千趣会3点セット⑧</t>
    <rPh sb="0" eb="3">
      <t>センシュカイ</t>
    </rPh>
    <rPh sb="4" eb="5">
      <t>テン</t>
    </rPh>
    <phoneticPr fontId="10"/>
  </si>
  <si>
    <t>ネット</t>
    <phoneticPr fontId="10"/>
  </si>
  <si>
    <t>追加</t>
    <rPh sb="0" eb="2">
      <t>ツイカ</t>
    </rPh>
    <phoneticPr fontId="10"/>
  </si>
  <si>
    <t>すこやかびと冊子夏号⑭</t>
    <rPh sb="6" eb="8">
      <t>サッシ</t>
    </rPh>
    <rPh sb="8" eb="9">
      <t>ナツ</t>
    </rPh>
    <rPh sb="9" eb="10">
      <t>ゴウ</t>
    </rPh>
    <phoneticPr fontId="10"/>
  </si>
  <si>
    <t>千趣会上下⑫</t>
    <rPh sb="0" eb="3">
      <t>センシュカイ</t>
    </rPh>
    <rPh sb="3" eb="5">
      <t>ジョウゲ</t>
    </rPh>
    <phoneticPr fontId="10"/>
  </si>
  <si>
    <t>千趣会3点セット⑨</t>
    <rPh sb="0" eb="3">
      <t>センシュカイ</t>
    </rPh>
    <rPh sb="4" eb="5">
      <t>テン</t>
    </rPh>
    <phoneticPr fontId="10"/>
  </si>
  <si>
    <t>すこやかびと冊子夏号⑮</t>
    <rPh sb="6" eb="8">
      <t>サッシ</t>
    </rPh>
    <rPh sb="8" eb="9">
      <t>ナツ</t>
    </rPh>
    <rPh sb="9" eb="10">
      <t>ゴウ</t>
    </rPh>
    <phoneticPr fontId="10"/>
  </si>
  <si>
    <t>千趣会上下⑬</t>
    <rPh sb="0" eb="3">
      <t>センシュカイ</t>
    </rPh>
    <rPh sb="3" eb="5">
      <t>ジョウゲ</t>
    </rPh>
    <phoneticPr fontId="10"/>
  </si>
  <si>
    <t>千趣会3点セット⑩</t>
    <rPh sb="0" eb="3">
      <t>センシュカイ</t>
    </rPh>
    <rPh sb="4" eb="5">
      <t>テン</t>
    </rPh>
    <phoneticPr fontId="10"/>
  </si>
  <si>
    <t>すこやかびと冊子夏号⑯</t>
    <rPh sb="6" eb="8">
      <t>サッシ</t>
    </rPh>
    <rPh sb="8" eb="9">
      <t>ナツ</t>
    </rPh>
    <rPh sb="9" eb="10">
      <t>ゴウ</t>
    </rPh>
    <phoneticPr fontId="10"/>
  </si>
  <si>
    <t>23夏ディノス3点セット⑧</t>
    <rPh sb="2" eb="3">
      <t>ナツ</t>
    </rPh>
    <rPh sb="8" eb="9">
      <t>テン</t>
    </rPh>
    <phoneticPr fontId="10"/>
  </si>
  <si>
    <t>千趣会上下⑭</t>
    <rPh sb="0" eb="3">
      <t>センシュカイ</t>
    </rPh>
    <rPh sb="3" eb="5">
      <t>ジョウゲ</t>
    </rPh>
    <phoneticPr fontId="10"/>
  </si>
  <si>
    <t>千趣会3点セット⑪</t>
    <rPh sb="0" eb="3">
      <t>センシュカイ</t>
    </rPh>
    <rPh sb="4" eb="5">
      <t>テン</t>
    </rPh>
    <phoneticPr fontId="10"/>
  </si>
  <si>
    <t>ネット</t>
    <phoneticPr fontId="10"/>
  </si>
  <si>
    <t>23夏ディノス3点セット⑨</t>
    <rPh sb="2" eb="3">
      <t>ナツ</t>
    </rPh>
    <rPh sb="8" eb="9">
      <t>テン</t>
    </rPh>
    <phoneticPr fontId="10"/>
  </si>
  <si>
    <t>すこやかびと冊子夏号⑰</t>
    <rPh sb="6" eb="8">
      <t>サッシ</t>
    </rPh>
    <rPh sb="8" eb="9">
      <t>ナツ</t>
    </rPh>
    <rPh sb="9" eb="10">
      <t>ゴウ</t>
    </rPh>
    <phoneticPr fontId="10"/>
  </si>
  <si>
    <t>夢販</t>
    <rPh sb="0" eb="2">
      <t>ユメハン</t>
    </rPh>
    <phoneticPr fontId="10"/>
  </si>
  <si>
    <t>千趣会上下⑮</t>
    <rPh sb="0" eb="3">
      <t>センシュカイ</t>
    </rPh>
    <rPh sb="3" eb="5">
      <t>ジョウゲ</t>
    </rPh>
    <phoneticPr fontId="10"/>
  </si>
  <si>
    <t>千趣会3点セット⑫</t>
    <rPh sb="0" eb="3">
      <t>センシュカイ</t>
    </rPh>
    <rPh sb="4" eb="5">
      <t>テン</t>
    </rPh>
    <phoneticPr fontId="10"/>
  </si>
  <si>
    <t>23夏ディノス3点セット⑩</t>
    <rPh sb="2" eb="3">
      <t>ナツ</t>
    </rPh>
    <rPh sb="8" eb="9">
      <t>テン</t>
    </rPh>
    <phoneticPr fontId="10"/>
  </si>
  <si>
    <t>すこやかびと冊子夏号⑱</t>
    <rPh sb="6" eb="8">
      <t>サッシ</t>
    </rPh>
    <rPh sb="8" eb="9">
      <t>ナツ</t>
    </rPh>
    <rPh sb="9" eb="10">
      <t>ゴウ</t>
    </rPh>
    <phoneticPr fontId="10"/>
  </si>
  <si>
    <t>かりん</t>
    <phoneticPr fontId="10"/>
  </si>
  <si>
    <t>ネット</t>
    <phoneticPr fontId="10"/>
  </si>
  <si>
    <t>千趣会上下⑯</t>
    <rPh sb="0" eb="3">
      <t>センシュカイ</t>
    </rPh>
    <rPh sb="3" eb="5">
      <t>ジョウゲ</t>
    </rPh>
    <phoneticPr fontId="10"/>
  </si>
  <si>
    <t>千趣会3点セット⑬</t>
    <rPh sb="0" eb="3">
      <t>センシュカイ</t>
    </rPh>
    <rPh sb="4" eb="5">
      <t>テン</t>
    </rPh>
    <phoneticPr fontId="10"/>
  </si>
  <si>
    <t>すこやかびと冊子夏号⑲</t>
    <rPh sb="6" eb="8">
      <t>サッシ</t>
    </rPh>
    <rPh sb="8" eb="9">
      <t>ナツ</t>
    </rPh>
    <rPh sb="9" eb="10">
      <t>ゴウ</t>
    </rPh>
    <phoneticPr fontId="10"/>
  </si>
  <si>
    <t>23夏ディノス3点セット⑪</t>
    <rPh sb="2" eb="3">
      <t>ナツ</t>
    </rPh>
    <rPh sb="8" eb="9">
      <t>テン</t>
    </rPh>
    <phoneticPr fontId="10"/>
  </si>
  <si>
    <t>すこやかびと冊子夏号⑳</t>
    <rPh sb="6" eb="8">
      <t>サッシ</t>
    </rPh>
    <rPh sb="8" eb="9">
      <t>ナツ</t>
    </rPh>
    <rPh sb="9" eb="10">
      <t>ゴウ</t>
    </rPh>
    <phoneticPr fontId="10"/>
  </si>
  <si>
    <t>千趣会上下⑰</t>
    <rPh sb="0" eb="3">
      <t>センシュカイ</t>
    </rPh>
    <rPh sb="3" eb="5">
      <t>ジョウゲ</t>
    </rPh>
    <phoneticPr fontId="10"/>
  </si>
  <si>
    <t>千趣会3点セット⑭</t>
    <rPh sb="0" eb="3">
      <t>センシュカイ</t>
    </rPh>
    <rPh sb="4" eb="5">
      <t>テン</t>
    </rPh>
    <phoneticPr fontId="10"/>
  </si>
  <si>
    <t>すこやかびと冊子夏号㉑</t>
    <rPh sb="6" eb="8">
      <t>サッシ</t>
    </rPh>
    <rPh sb="8" eb="9">
      <t>ナツ</t>
    </rPh>
    <rPh sb="9" eb="10">
      <t>ゴウ</t>
    </rPh>
    <phoneticPr fontId="10"/>
  </si>
  <si>
    <t>すこやかびと冊子夏号㉒</t>
    <rPh sb="6" eb="8">
      <t>サッシ</t>
    </rPh>
    <rPh sb="8" eb="9">
      <t>ナツ</t>
    </rPh>
    <rPh sb="9" eb="10">
      <t>ゴウ</t>
    </rPh>
    <phoneticPr fontId="10"/>
  </si>
  <si>
    <t>在庫確認</t>
    <rPh sb="0" eb="4">
      <t>ザイコカクニン</t>
    </rPh>
    <phoneticPr fontId="10"/>
  </si>
  <si>
    <t>すこやかびと冊子夏号㉓</t>
    <rPh sb="6" eb="8">
      <t>サッシ</t>
    </rPh>
    <rPh sb="8" eb="9">
      <t>ナツ</t>
    </rPh>
    <rPh sb="9" eb="10">
      <t>ゴウ</t>
    </rPh>
    <phoneticPr fontId="10"/>
  </si>
  <si>
    <t>追加</t>
    <rPh sb="0" eb="2">
      <t>ツイカ</t>
    </rPh>
    <phoneticPr fontId="10"/>
  </si>
  <si>
    <t>23夏ディノス3点セット⑫</t>
    <rPh sb="2" eb="3">
      <t>ナツ</t>
    </rPh>
    <rPh sb="8" eb="9">
      <t>テン</t>
    </rPh>
    <phoneticPr fontId="10"/>
  </si>
  <si>
    <t>23夏ディノス3点セット⑬</t>
    <rPh sb="2" eb="3">
      <t>ナツ</t>
    </rPh>
    <rPh sb="8" eb="9">
      <t>テン</t>
    </rPh>
    <phoneticPr fontId="10"/>
  </si>
  <si>
    <t>すこやかびと冊子夏号㉔</t>
    <rPh sb="6" eb="8">
      <t>サッシ</t>
    </rPh>
    <rPh sb="8" eb="9">
      <t>ナツ</t>
    </rPh>
    <rPh sb="9" eb="10">
      <t>ゴウ</t>
    </rPh>
    <phoneticPr fontId="10"/>
  </si>
  <si>
    <t>K-PORT</t>
    <phoneticPr fontId="10"/>
  </si>
  <si>
    <t>千趣会返品</t>
    <rPh sb="0" eb="3">
      <t>センシュカイ</t>
    </rPh>
    <rPh sb="3" eb="5">
      <t>ヘンピン</t>
    </rPh>
    <phoneticPr fontId="2"/>
  </si>
  <si>
    <t>ディノス返品</t>
    <rPh sb="4" eb="6">
      <t>ヘンピン</t>
    </rPh>
    <phoneticPr fontId="10"/>
  </si>
  <si>
    <t>くらし返品</t>
    <rPh sb="3" eb="5">
      <t>ヘンピン</t>
    </rPh>
    <phoneticPr fontId="10"/>
  </si>
  <si>
    <t>K-PORT</t>
    <phoneticPr fontId="10"/>
  </si>
  <si>
    <t>23夏ディノス2点セットWEB</t>
    <phoneticPr fontId="10"/>
  </si>
  <si>
    <t>23夏ディノス3点セットWEB</t>
    <phoneticPr fontId="10"/>
  </si>
  <si>
    <t>23夏ディノス3点セット⑭</t>
    <rPh sb="2" eb="3">
      <t>ナツ</t>
    </rPh>
    <rPh sb="8" eb="9">
      <t>テン</t>
    </rPh>
    <phoneticPr fontId="10"/>
  </si>
  <si>
    <t>千趣会WEB（24SS)上下セット①</t>
    <rPh sb="0" eb="3">
      <t>センシュカイ</t>
    </rPh>
    <rPh sb="12" eb="14">
      <t>ジョウゲ</t>
    </rPh>
    <phoneticPr fontId="10"/>
  </si>
  <si>
    <t>千趣会WEB（24SS)3点セット①</t>
    <rPh sb="0" eb="3">
      <t>センシュカイ</t>
    </rPh>
    <rPh sb="13" eb="14">
      <t>テン</t>
    </rPh>
    <phoneticPr fontId="10"/>
  </si>
  <si>
    <t>ゆめはん</t>
    <phoneticPr fontId="10"/>
  </si>
  <si>
    <t>ネット</t>
    <phoneticPr fontId="10"/>
  </si>
  <si>
    <t>夢販</t>
    <rPh sb="0" eb="2">
      <t>ユメハン</t>
    </rPh>
    <phoneticPr fontId="10"/>
  </si>
  <si>
    <t>２０２３年ゆめはん実績</t>
    <rPh sb="4" eb="5">
      <t>ネン</t>
    </rPh>
    <rPh sb="9" eb="11">
      <t>ジッセキ</t>
    </rPh>
    <phoneticPr fontId="10"/>
  </si>
  <si>
    <t>ディノスsample返却</t>
    <rPh sb="10" eb="12">
      <t>ヘンキャク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</si>
  <si>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</si>
  <si>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</si>
  <si>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かりん</t>
    <phoneticPr fontId="10"/>
  </si>
  <si>
    <t>かりん</t>
    <phoneticPr fontId="10"/>
  </si>
  <si>
    <t>千趣会WEB（24SS)上下セット②</t>
    <rPh sb="0" eb="3">
      <t>センシュカイ</t>
    </rPh>
    <rPh sb="12" eb="14">
      <t>ジョウゲ</t>
    </rPh>
    <phoneticPr fontId="10"/>
  </si>
  <si>
    <t>千趣会WEB（24SS)3点セット②</t>
    <rPh sb="0" eb="3">
      <t>センシュカイ</t>
    </rPh>
    <rPh sb="13" eb="14">
      <t>テン</t>
    </rPh>
    <phoneticPr fontId="10"/>
  </si>
  <si>
    <t>夢販</t>
    <rPh sb="0" eb="2">
      <t>ユメハン</t>
    </rPh>
    <phoneticPr fontId="10"/>
  </si>
  <si>
    <t>千趣会WEB（24SS)上下セット③</t>
    <rPh sb="0" eb="3">
      <t>センシュカイ</t>
    </rPh>
    <rPh sb="12" eb="14">
      <t>ジョウゲ</t>
    </rPh>
    <phoneticPr fontId="10"/>
  </si>
  <si>
    <t>千趣会WEB（24SS)3点セット③</t>
    <rPh sb="0" eb="3">
      <t>センシュカイ</t>
    </rPh>
    <rPh sb="13" eb="14">
      <t>テン</t>
    </rPh>
    <phoneticPr fontId="10"/>
  </si>
  <si>
    <t>千趣会WEB（24SS)3点セット④</t>
    <rPh sb="0" eb="3">
      <t>センシュカイ</t>
    </rPh>
    <rPh sb="13" eb="14">
      <t>テン</t>
    </rPh>
    <phoneticPr fontId="10"/>
  </si>
  <si>
    <t>千趣会WEB（24SS)3点セット⑤</t>
    <rPh sb="0" eb="3">
      <t>センシュカイ</t>
    </rPh>
    <rPh sb="13" eb="14">
      <t>テン</t>
    </rPh>
    <phoneticPr fontId="10"/>
  </si>
  <si>
    <t>千趣会WEB（24SS)上下セット④</t>
    <rPh sb="0" eb="3">
      <t>センシュカイ</t>
    </rPh>
    <rPh sb="12" eb="14">
      <t>ジョウゲ</t>
    </rPh>
    <phoneticPr fontId="10"/>
  </si>
  <si>
    <t>千趣会WEB（24SS)3点セット⑥</t>
    <rPh sb="0" eb="3">
      <t>センシュカイ</t>
    </rPh>
    <rPh sb="13" eb="14">
      <t>テン</t>
    </rPh>
    <phoneticPr fontId="10"/>
  </si>
  <si>
    <t>千趣会WEB（24SS)上下セット⑤</t>
    <rPh sb="0" eb="3">
      <t>センシュカイ</t>
    </rPh>
    <rPh sb="12" eb="14">
      <t>ジョウゲ</t>
    </rPh>
    <phoneticPr fontId="10"/>
  </si>
  <si>
    <t>千趣会WEB（24SS)3点セット⑦</t>
    <rPh sb="0" eb="3">
      <t>センシュカイ</t>
    </rPh>
    <rPh sb="13" eb="14">
      <t>テン</t>
    </rPh>
    <phoneticPr fontId="10"/>
  </si>
  <si>
    <t>千趣会WEB（24SS)上下セット⑥</t>
    <rPh sb="0" eb="3">
      <t>センシュカイ</t>
    </rPh>
    <rPh sb="12" eb="14">
      <t>ジョウゲ</t>
    </rPh>
    <phoneticPr fontId="10"/>
  </si>
  <si>
    <t>千趣会WEB（24SS)3点セット⑧</t>
    <rPh sb="0" eb="3">
      <t>センシュカイ</t>
    </rPh>
    <rPh sb="13" eb="14">
      <t>テン</t>
    </rPh>
    <phoneticPr fontId="10"/>
  </si>
  <si>
    <t>追加</t>
    <rPh sb="0" eb="2">
      <t>ツイカ</t>
    </rPh>
    <phoneticPr fontId="10"/>
  </si>
  <si>
    <t>千趣会WEB（24SS)上下セット⑦</t>
    <rPh sb="0" eb="3">
      <t>センシュカイ</t>
    </rPh>
    <rPh sb="12" eb="14">
      <t>ジョウゲ</t>
    </rPh>
    <phoneticPr fontId="10"/>
  </si>
  <si>
    <t>千趣会WEB（24SS)3点セット⑨</t>
    <rPh sb="0" eb="3">
      <t>センシュカイ</t>
    </rPh>
    <rPh sb="13" eb="14">
      <t>テン</t>
    </rPh>
    <phoneticPr fontId="10"/>
  </si>
  <si>
    <t>ディノスハッピーサマーチラシ7月</t>
    <rPh sb="15" eb="16">
      <t>ガツ</t>
    </rPh>
    <phoneticPr fontId="10"/>
  </si>
  <si>
    <t>千趣会WEB（24SS)上下セット⑧</t>
    <rPh sb="0" eb="3">
      <t>センシュカイ</t>
    </rPh>
    <rPh sb="12" eb="14">
      <t>ジョウゲ</t>
    </rPh>
    <phoneticPr fontId="10"/>
  </si>
  <si>
    <t>千趣会WEB（24SS)3点セット⑩</t>
    <rPh sb="0" eb="3">
      <t>センシュカイ</t>
    </rPh>
    <rPh sb="13" eb="14">
      <t>テン</t>
    </rPh>
    <phoneticPr fontId="10"/>
  </si>
  <si>
    <t>千趣会WEB（24SS)上下セット⑨</t>
    <rPh sb="0" eb="3">
      <t>センシュカイ</t>
    </rPh>
    <rPh sb="12" eb="14">
      <t>ジョウゲ</t>
    </rPh>
    <phoneticPr fontId="10"/>
  </si>
  <si>
    <t>千趣会WEB（24SS)上下セット⑩</t>
    <rPh sb="0" eb="3">
      <t>センシュカイ</t>
    </rPh>
    <rPh sb="12" eb="14">
      <t>ジョウゲ</t>
    </rPh>
    <phoneticPr fontId="10"/>
  </si>
  <si>
    <t>千趣会WEB（24SS)3点セット⑪</t>
    <rPh sb="0" eb="3">
      <t>センシュカイ</t>
    </rPh>
    <rPh sb="13" eb="14">
      <t>テン</t>
    </rPh>
    <phoneticPr fontId="10"/>
  </si>
  <si>
    <t>千趣会WEB（24SS)上下セット⑪</t>
    <rPh sb="0" eb="3">
      <t>センシュカイ</t>
    </rPh>
    <rPh sb="12" eb="14">
      <t>ジョウゲ</t>
    </rPh>
    <phoneticPr fontId="10"/>
  </si>
  <si>
    <t>千趣会WEB（24SS)3点セット⑫　</t>
    <rPh sb="0" eb="3">
      <t>センシュカイ</t>
    </rPh>
    <rPh sb="13" eb="14">
      <t>テン</t>
    </rPh>
    <phoneticPr fontId="10"/>
  </si>
  <si>
    <t>ネット</t>
    <phoneticPr fontId="10"/>
  </si>
  <si>
    <t>千趣会WEB（24SS)上下セット⑫</t>
    <rPh sb="0" eb="3">
      <t>センシュカイ</t>
    </rPh>
    <rPh sb="12" eb="14">
      <t>ジョウゲ</t>
    </rPh>
    <phoneticPr fontId="10"/>
  </si>
  <si>
    <t>千趣会WEB（24SS)3点セット⑬　</t>
    <rPh sb="0" eb="3">
      <t>センシュカイ</t>
    </rPh>
    <rPh sb="13" eb="14">
      <t>テン</t>
    </rPh>
    <phoneticPr fontId="10"/>
  </si>
  <si>
    <t>夢販</t>
    <rPh sb="0" eb="2">
      <t>ユメハン</t>
    </rPh>
    <phoneticPr fontId="10"/>
  </si>
  <si>
    <t>千趣会WEB（24SS)上下セット⑬</t>
    <rPh sb="0" eb="3">
      <t>センシュカイ</t>
    </rPh>
    <rPh sb="12" eb="14">
      <t>ジョウゲ</t>
    </rPh>
    <phoneticPr fontId="10"/>
  </si>
  <si>
    <t>千趣会WEB（24SS)3点セット⑭　</t>
    <rPh sb="0" eb="3">
      <t>センシュカイ</t>
    </rPh>
    <rPh sb="13" eb="14">
      <t>テン</t>
    </rPh>
    <phoneticPr fontId="10"/>
  </si>
  <si>
    <t>千趣会WEB（24SS)上下セット⑭</t>
    <rPh sb="0" eb="3">
      <t>センシュカイ</t>
    </rPh>
    <rPh sb="12" eb="14">
      <t>ジョウゲ</t>
    </rPh>
    <phoneticPr fontId="10"/>
  </si>
  <si>
    <t>千趣会WEB（24SS)3点セット⑮　</t>
    <rPh sb="0" eb="3">
      <t>センシュカイ</t>
    </rPh>
    <rPh sb="13" eb="14">
      <t>テン</t>
    </rPh>
    <phoneticPr fontId="10"/>
  </si>
  <si>
    <t>かりん</t>
    <phoneticPr fontId="10"/>
  </si>
  <si>
    <t>千趣会WEB（24SS)上下セット⑮</t>
    <rPh sb="0" eb="3">
      <t>センシュカイ</t>
    </rPh>
    <rPh sb="12" eb="14">
      <t>ジョウゲ</t>
    </rPh>
    <phoneticPr fontId="10"/>
  </si>
  <si>
    <t>千趣会WEB（24SS)3点セット⑯　</t>
    <rPh sb="0" eb="3">
      <t>センシュカイ</t>
    </rPh>
    <rPh sb="13" eb="14">
      <t>テン</t>
    </rPh>
    <phoneticPr fontId="10"/>
  </si>
  <si>
    <t>千趣会WEB（24SS)上下セット⑯</t>
    <rPh sb="0" eb="3">
      <t>センシュカイ</t>
    </rPh>
    <rPh sb="12" eb="14">
      <t>ジョウゲ</t>
    </rPh>
    <phoneticPr fontId="10"/>
  </si>
  <si>
    <t>千趣会WEB（24SS)3点セット⑰　</t>
    <rPh sb="0" eb="3">
      <t>センシュカイ</t>
    </rPh>
    <rPh sb="13" eb="14">
      <t>テン</t>
    </rPh>
    <phoneticPr fontId="10"/>
  </si>
  <si>
    <t>2024年３月～７月</t>
    <rPh sb="4" eb="5">
      <t>ネン</t>
    </rPh>
    <rPh sb="6" eb="7">
      <t>ガツ</t>
    </rPh>
    <rPh sb="9" eb="10">
      <t>ガツ</t>
    </rPh>
    <phoneticPr fontId="10"/>
  </si>
  <si>
    <t>ディノス撮影用sample返却</t>
    <rPh sb="4" eb="7">
      <t>サツエイヨウ</t>
    </rPh>
    <rPh sb="13" eb="15">
      <t>ヘンキャク</t>
    </rPh>
    <phoneticPr fontId="10"/>
  </si>
  <si>
    <t>千趣会WEB（24SS)上下セット⑰</t>
    <rPh sb="0" eb="3">
      <t>センシュカイ</t>
    </rPh>
    <rPh sb="12" eb="14">
      <t>ジョウゲ</t>
    </rPh>
    <phoneticPr fontId="10"/>
  </si>
  <si>
    <t>千趣会WEB（24SS)3点セット⑱　</t>
    <rPh sb="0" eb="3">
      <t>センシュカイ</t>
    </rPh>
    <rPh sb="13" eb="14">
      <t>テン</t>
    </rPh>
    <phoneticPr fontId="10"/>
  </si>
  <si>
    <t>千趣会WEB（24SS)上下セット⑱</t>
    <rPh sb="0" eb="3">
      <t>センシュカイ</t>
    </rPh>
    <rPh sb="12" eb="14">
      <t>ジョウゲ</t>
    </rPh>
    <phoneticPr fontId="10"/>
  </si>
  <si>
    <t>千趣会WEB（24SS)3点セット⑲　</t>
    <rPh sb="0" eb="3">
      <t>センシュカイ</t>
    </rPh>
    <rPh sb="13" eb="14">
      <t>テン</t>
    </rPh>
    <phoneticPr fontId="10"/>
  </si>
  <si>
    <t>かりん</t>
    <phoneticPr fontId="10"/>
  </si>
  <si>
    <t>千趣会WEB（24SS)上下セット⑲</t>
    <rPh sb="0" eb="3">
      <t>センシュカイ</t>
    </rPh>
    <rPh sb="12" eb="14">
      <t>ジョウゲ</t>
    </rPh>
    <phoneticPr fontId="10"/>
  </si>
  <si>
    <t>千趣会WEB（24SS)3点セット⑳　</t>
    <rPh sb="0" eb="3">
      <t>センシュカイ</t>
    </rPh>
    <rPh sb="13" eb="14">
      <t>テン</t>
    </rPh>
    <phoneticPr fontId="10"/>
  </si>
  <si>
    <t>千趣会WEB（24SS)上下セット⑳</t>
    <rPh sb="0" eb="3">
      <t>センシュカイ</t>
    </rPh>
    <rPh sb="12" eb="14">
      <t>ジョウゲ</t>
    </rPh>
    <phoneticPr fontId="10"/>
  </si>
  <si>
    <t>千趣会WEB（24SS)3点セット㉑　</t>
    <rPh sb="0" eb="3">
      <t>センシュカイ</t>
    </rPh>
    <rPh sb="13" eb="14">
      <t>テン</t>
    </rPh>
    <phoneticPr fontId="10"/>
  </si>
  <si>
    <t>在庫確認</t>
    <rPh sb="0" eb="4">
      <t>ザイコカクニン</t>
    </rPh>
    <phoneticPr fontId="3"/>
  </si>
  <si>
    <t>千趣会WEB（24SS)3点セット㉒　</t>
    <rPh sb="0" eb="3">
      <t>センシュカイ</t>
    </rPh>
    <rPh sb="13" eb="14">
      <t>テン</t>
    </rPh>
    <phoneticPr fontId="10"/>
  </si>
  <si>
    <t>２０２５年千趣会</t>
    <rPh sb="4" eb="5">
      <t>ネン</t>
    </rPh>
    <rPh sb="5" eb="8">
      <t>センシュカイ</t>
    </rPh>
    <phoneticPr fontId="10"/>
  </si>
  <si>
    <t>K-PORT</t>
    <phoneticPr fontId="10"/>
  </si>
  <si>
    <t>追加</t>
    <rPh sb="0" eb="2">
      <t>ツイカ</t>
    </rPh>
    <phoneticPr fontId="10"/>
  </si>
  <si>
    <t>千趣会返品  ﾊﾟｰｶｰｾｯﾄ</t>
    <phoneticPr fontId="10"/>
  </si>
  <si>
    <t>千趣会返品 単品</t>
    <phoneticPr fontId="10"/>
  </si>
  <si>
    <t>夢販</t>
  </si>
  <si>
    <t>夢販移動</t>
    <rPh sb="0" eb="2">
      <t>ユメハン</t>
    </rPh>
    <rPh sb="2" eb="4">
      <t>イドウ</t>
    </rPh>
    <phoneticPr fontId="10"/>
  </si>
  <si>
    <t>ディノス返品 単品</t>
  </si>
  <si>
    <t>ディノス返品 ﾊﾟｰｶｰｾｯﾄ</t>
  </si>
  <si>
    <t>２０２５年ディノス夏号</t>
    <rPh sb="4" eb="5">
      <t>ネン</t>
    </rPh>
    <rPh sb="9" eb="11">
      <t>ナツゴウ</t>
    </rPh>
    <phoneticPr fontId="10"/>
  </si>
  <si>
    <t>事前3/10、受注4/1～</t>
    <rPh sb="0" eb="2">
      <t>ジゼン</t>
    </rPh>
    <rPh sb="7" eb="9">
      <t>ジュチュウ</t>
    </rPh>
    <phoneticPr fontId="10"/>
  </si>
  <si>
    <t>２０２５年ディノス夏号上下セット①</t>
    <rPh sb="4" eb="5">
      <t>ネン</t>
    </rPh>
    <rPh sb="9" eb="11">
      <t>ナツゴウ</t>
    </rPh>
    <rPh sb="11" eb="13">
      <t>ジョウゲ</t>
    </rPh>
    <phoneticPr fontId="10"/>
  </si>
  <si>
    <t>２０２５年ディノス夏号パーカーセット①</t>
    <rPh sb="4" eb="5">
      <t>ネン</t>
    </rPh>
    <rPh sb="9" eb="11">
      <t>ナツゴウ</t>
    </rPh>
    <phoneticPr fontId="10"/>
  </si>
  <si>
    <t>4/9～</t>
    <phoneticPr fontId="10"/>
  </si>
  <si>
    <t>２０２５年千趣会上下セット①</t>
    <rPh sb="4" eb="5">
      <t>ネン</t>
    </rPh>
    <rPh sb="5" eb="8">
      <t>センシュカイ</t>
    </rPh>
    <rPh sb="8" eb="10">
      <t>ジョウゲ</t>
    </rPh>
    <phoneticPr fontId="10"/>
  </si>
  <si>
    <t>２０２５年千趣会3点セット①</t>
    <rPh sb="4" eb="5">
      <t>ネン</t>
    </rPh>
    <rPh sb="5" eb="8">
      <t>センシュカイ</t>
    </rPh>
    <rPh sb="9" eb="10">
      <t>テン</t>
    </rPh>
    <phoneticPr fontId="10"/>
  </si>
  <si>
    <t>２０２５年ディノス夏号上下セット②</t>
    <rPh sb="4" eb="5">
      <t>ネン</t>
    </rPh>
    <rPh sb="9" eb="11">
      <t>ナツゴウ</t>
    </rPh>
    <rPh sb="11" eb="13">
      <t>ジョウゲ</t>
    </rPh>
    <phoneticPr fontId="10"/>
  </si>
  <si>
    <t>２０２５年ディノス夏号上下セット③</t>
    <rPh sb="4" eb="5">
      <t>ネン</t>
    </rPh>
    <rPh sb="9" eb="11">
      <t>ナツゴウ</t>
    </rPh>
    <rPh sb="11" eb="13">
      <t>ジョウゲ</t>
    </rPh>
    <phoneticPr fontId="10"/>
  </si>
  <si>
    <t>２０２５年ディノス夏号パーカーセット②</t>
    <rPh sb="4" eb="5">
      <t>ネン</t>
    </rPh>
    <rPh sb="9" eb="11">
      <t>ナツゴウ</t>
    </rPh>
    <phoneticPr fontId="10"/>
  </si>
  <si>
    <t>２０２５年ディノス夏号上下セット④</t>
    <rPh sb="4" eb="5">
      <t>ネン</t>
    </rPh>
    <rPh sb="9" eb="11">
      <t>ナツゴウ</t>
    </rPh>
    <rPh sb="11" eb="13">
      <t>ジョウゲ</t>
    </rPh>
    <phoneticPr fontId="10"/>
  </si>
  <si>
    <t>２０２５年ディノス夏号上下セット⑤</t>
    <rPh sb="4" eb="5">
      <t>ネン</t>
    </rPh>
    <rPh sb="9" eb="11">
      <t>ナツゴウ</t>
    </rPh>
    <rPh sb="11" eb="13">
      <t>ジョウゲ</t>
    </rPh>
    <phoneticPr fontId="10"/>
  </si>
  <si>
    <t>２０２５年ディノス夏号パーカーセット③</t>
    <rPh sb="4" eb="5">
      <t>ネン</t>
    </rPh>
    <rPh sb="9" eb="11">
      <t>ナツゴウ</t>
    </rPh>
    <phoneticPr fontId="10"/>
  </si>
  <si>
    <t>２０２５年千趣会3点セット②</t>
    <rPh sb="4" eb="5">
      <t>ネン</t>
    </rPh>
    <rPh sb="5" eb="8">
      <t>センシュカイ</t>
    </rPh>
    <rPh sb="9" eb="10">
      <t>テン</t>
    </rPh>
    <phoneticPr fontId="10"/>
  </si>
  <si>
    <t>２０２５年千趣会3点セット③</t>
    <rPh sb="4" eb="5">
      <t>ネン</t>
    </rPh>
    <rPh sb="5" eb="8">
      <t>センシュカイ</t>
    </rPh>
    <rPh sb="9" eb="10">
      <t>テン</t>
    </rPh>
    <phoneticPr fontId="10"/>
  </si>
  <si>
    <t>かりん</t>
    <phoneticPr fontId="10"/>
  </si>
  <si>
    <t>２０２５年ディノス盛夏号パーカーセット①</t>
    <rPh sb="4" eb="5">
      <t>ネン</t>
    </rPh>
    <rPh sb="9" eb="12">
      <t>セイカゴウ</t>
    </rPh>
    <phoneticPr fontId="10"/>
  </si>
  <si>
    <t>２０２５年ディノス盛夏号上下セット①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</si>
  <si>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２０２５年ディノス盛夏号パーカーセット②</t>
    <rPh sb="4" eb="5">
      <t>ネン</t>
    </rPh>
    <rPh sb="9" eb="12">
      <t>セイカゴウ</t>
    </rPh>
    <phoneticPr fontId="10"/>
  </si>
  <si>
    <t>２０２５年千趣会上下セット②</t>
    <rPh sb="4" eb="5">
      <t>ネン</t>
    </rPh>
    <rPh sb="5" eb="8">
      <t>センシュカイ</t>
    </rPh>
    <rPh sb="8" eb="10">
      <t>ジョウゲ</t>
    </rPh>
    <phoneticPr fontId="10"/>
  </si>
  <si>
    <t>２０２５年ディノス盛夏号パーカーセット③</t>
    <rPh sb="4" eb="5">
      <t>ネン</t>
    </rPh>
    <rPh sb="9" eb="12">
      <t>セイカゴウ</t>
    </rPh>
    <phoneticPr fontId="10"/>
  </si>
  <si>
    <t>２０２５年ディノス盛夏号上下セット②</t>
    <rPh sb="4" eb="5">
      <t>ネン</t>
    </rPh>
    <rPh sb="9" eb="12">
      <t>セイカゴウ</t>
    </rPh>
    <rPh sb="12" eb="14">
      <t>ジョウゲ</t>
    </rPh>
    <phoneticPr fontId="10"/>
  </si>
  <si>
    <t>２０２５年ディノス盛夏号上下セット③</t>
    <rPh sb="4" eb="5">
      <t>ネン</t>
    </rPh>
    <rPh sb="9" eb="12">
      <t>セイカゴウ</t>
    </rPh>
    <rPh sb="12" eb="14">
      <t>ジョウゲ</t>
    </rPh>
    <phoneticPr fontId="10"/>
  </si>
  <si>
    <t>２０２５年千趣会上下セット③</t>
    <rPh sb="4" eb="5">
      <t>ネン</t>
    </rPh>
    <rPh sb="5" eb="8">
      <t>センシュカイ</t>
    </rPh>
    <rPh sb="8" eb="10">
      <t>ジョウゲ</t>
    </rPh>
    <phoneticPr fontId="10"/>
  </si>
  <si>
    <t>２０２５年千趣会3点セット④</t>
    <rPh sb="4" eb="5">
      <t>ネン</t>
    </rPh>
    <rPh sb="5" eb="8">
      <t>センシュカイ</t>
    </rPh>
    <rPh sb="9" eb="10">
      <t>テン</t>
    </rPh>
    <phoneticPr fontId="10"/>
  </si>
  <si>
    <t>２０２５年ディノス盛夏号パーカーセット④</t>
    <rPh sb="4" eb="5">
      <t>ネン</t>
    </rPh>
    <rPh sb="9" eb="12">
      <t>セイカゴウ</t>
    </rPh>
    <phoneticPr fontId="10"/>
  </si>
  <si>
    <t>２０２５年ディノス盛夏号パーカーセット⑤</t>
    <rPh sb="4" eb="5">
      <t>ネン</t>
    </rPh>
    <rPh sb="9" eb="12">
      <t>セイカゴウ</t>
    </rPh>
    <phoneticPr fontId="10"/>
  </si>
  <si>
    <t>２０２５年ディノス盛夏号上下セット④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</si>
  <si>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２０２５年ディノス盛夏号パーカーセット⑥</t>
    <rPh sb="4" eb="5">
      <t>ネン</t>
    </rPh>
    <rPh sb="9" eb="12">
      <t>セイカゴウ</t>
    </rPh>
    <phoneticPr fontId="10"/>
  </si>
  <si>
    <t>２０２５年ディノス盛夏号上下セット⑤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</si>
  <si>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２０２５年ディノス盛夏号パーカーセット⑦</t>
    <rPh sb="4" eb="5">
      <t>ネン</t>
    </rPh>
    <rPh sb="9" eb="12">
      <t>セイカゴウ</t>
    </rPh>
    <phoneticPr fontId="10"/>
  </si>
  <si>
    <t>２０２５年ディノス盛夏号上下セット⑥</t>
    <rPh sb="4" eb="5">
      <t>ネン</t>
    </rPh>
    <rPh sb="9" eb="12">
      <t>セイカゴウ</t>
    </rPh>
    <rPh sb="12" eb="14">
      <t>ジョウゲ</t>
    </rPh>
    <phoneticPr fontId="10"/>
  </si>
  <si>
    <t>２０２５年千趣会上下セット④</t>
    <rPh sb="4" eb="5">
      <t>ネン</t>
    </rPh>
    <rPh sb="5" eb="8">
      <t>センシュカイ</t>
    </rPh>
    <rPh sb="8" eb="10">
      <t>ジョウゲ</t>
    </rPh>
    <phoneticPr fontId="10"/>
  </si>
  <si>
    <t>２０２５年ディノス盛夏号パーカーセット⑧</t>
    <rPh sb="4" eb="5">
      <t>ネン</t>
    </rPh>
    <rPh sb="9" eb="12">
      <t>セイカゴウ</t>
    </rPh>
    <phoneticPr fontId="10"/>
  </si>
  <si>
    <t>２０２５年ディノス盛夏号パーカーセット⑨</t>
    <rPh sb="4" eb="5">
      <t>ネン</t>
    </rPh>
    <rPh sb="9" eb="12">
      <t>セイカゴウ</t>
    </rPh>
    <phoneticPr fontId="10"/>
  </si>
  <si>
    <t>２０２５年千趣会上下セット⑤</t>
    <rPh sb="4" eb="5">
      <t>ネン</t>
    </rPh>
    <rPh sb="5" eb="8">
      <t>センシュカイ</t>
    </rPh>
    <rPh sb="8" eb="10">
      <t>ジョウゲ</t>
    </rPh>
    <phoneticPr fontId="10"/>
  </si>
  <si>
    <t>２０２５年ディノス盛夏号上下セット⑦</t>
    <rPh sb="4" eb="5">
      <t>ネン</t>
    </rPh>
    <rPh sb="9" eb="12">
      <t>セイカゴウ</t>
    </rPh>
    <rPh sb="12" eb="14">
      <t>ジョウゲ</t>
    </rPh>
    <phoneticPr fontId="10"/>
  </si>
  <si>
    <t>２０２５年ディノス盛夏号上下セット⑧</t>
    <rPh sb="4" eb="5">
      <t>ネン</t>
    </rPh>
    <rPh sb="9" eb="12">
      <t>セイカゴウ</t>
    </rPh>
    <rPh sb="12" eb="14">
      <t>ジョウゲ</t>
    </rPh>
    <phoneticPr fontId="10"/>
  </si>
  <si>
    <t>２０２５年千趣会上下セット⑥</t>
    <rPh sb="4" eb="5">
      <t>ネン</t>
    </rPh>
    <rPh sb="5" eb="8">
      <t>センシュカイ</t>
    </rPh>
    <rPh sb="8" eb="10">
      <t>ジョウゲ</t>
    </rPh>
    <phoneticPr fontId="10"/>
  </si>
  <si>
    <t>２０２５年千趣会3点セット⑤</t>
    <rPh sb="4" eb="5">
      <t>ネン</t>
    </rPh>
    <rPh sb="5" eb="8">
      <t>センシュカイ</t>
    </rPh>
    <rPh sb="9" eb="10">
      <t>テン</t>
    </rPh>
    <phoneticPr fontId="10"/>
  </si>
  <si>
    <t>２０２５年千趣会上下セット⑦</t>
    <rPh sb="4" eb="5">
      <t>ネン</t>
    </rPh>
    <rPh sb="5" eb="8">
      <t>センシュカイ</t>
    </rPh>
    <rPh sb="8" eb="10">
      <t>ジョウゲ</t>
    </rPh>
    <phoneticPr fontId="10"/>
  </si>
  <si>
    <t>２０２５年千趣会3点セット⑧</t>
    <rPh sb="4" eb="5">
      <t>ネン</t>
    </rPh>
    <rPh sb="5" eb="8">
      <t>センシュカイ</t>
    </rPh>
    <rPh sb="9" eb="10">
      <t>テン</t>
    </rPh>
    <phoneticPr fontId="10"/>
  </si>
  <si>
    <t>２０２５年ディノス盛夏号上下セット⑨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</si>
  <si>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２０２５年ディノス盛夏号パーカーセット⑩</t>
    <rPh sb="4" eb="5">
      <t>ネン</t>
    </rPh>
    <rPh sb="9" eb="12">
      <t>セイカゴウ</t>
    </rPh>
    <phoneticPr fontId="10"/>
  </si>
  <si>
    <t>２０２５年ディノス盛夏号上下セット⑩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</si>
  <si>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２０２５年ディノス盛夏号パーカーセット⑪</t>
    <rPh sb="4" eb="5">
      <t>ネン</t>
    </rPh>
    <rPh sb="9" eb="12">
      <t>セイカゴウ</t>
    </rPh>
    <phoneticPr fontId="10"/>
  </si>
  <si>
    <t>3/26数伝</t>
    <rPh sb="4" eb="5">
      <t>スウ</t>
    </rPh>
    <rPh sb="5" eb="6">
      <t>デン</t>
    </rPh>
    <phoneticPr fontId="10"/>
  </si>
  <si>
    <t>２０２５年ディノス盛夏号上下セット⑪</t>
    <rPh sb="4" eb="5">
      <t>ネン</t>
    </rPh>
    <rPh sb="9" eb="12">
      <t>セイカゴウ</t>
    </rPh>
    <rPh sb="12" eb="14">
      <t>ジョウゲ</t>
    </rPh>
    <phoneticPr fontId="10"/>
  </si>
  <si>
    <t>かりん</t>
    <phoneticPr fontId="10"/>
  </si>
  <si>
    <t>ネット</t>
    <phoneticPr fontId="10"/>
  </si>
  <si>
    <t>２０２５年ディノス盛夏号上下セット⑫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</si>
  <si>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２０２５年ディノス盛夏号パーカーセット⑫</t>
    <rPh sb="4" eb="5">
      <t>ネン</t>
    </rPh>
    <rPh sb="9" eb="12">
      <t>セイカゴウ</t>
    </rPh>
    <phoneticPr fontId="10"/>
  </si>
  <si>
    <t>２０２５年ディノス盛夏号上下セット⑬</t>
    <rPh sb="4" eb="5">
      <t>ネン</t>
    </rPh>
    <rPh sb="9" eb="12">
      <t>セイカゴウ</t>
    </rPh>
    <rPh sb="12" eb="14">
      <t>ジョウゲ</t>
    </rPh>
    <phoneticPr fontId="10"/>
  </si>
  <si>
    <t>２０２５年ディノス盛夏号パーカーセット⑬</t>
    <rPh sb="4" eb="5">
      <t>ネン</t>
    </rPh>
    <rPh sb="9" eb="12">
      <t>セイカゴウ</t>
    </rPh>
    <phoneticPr fontId="10"/>
  </si>
  <si>
    <t>２０２５年ディノス盛夏号パーカーセット⑭</t>
    <rPh sb="4" eb="5">
      <t>ネン</t>
    </rPh>
    <rPh sb="9" eb="12">
      <t>セイカゴウ</t>
    </rPh>
    <phoneticPr fontId="10"/>
  </si>
  <si>
    <t>２０２５年ディノス盛夏号パーカーセット⑮</t>
    <rPh sb="4" eb="5">
      <t>ネン</t>
    </rPh>
    <rPh sb="9" eb="12">
      <t>セイカゴウ</t>
    </rPh>
    <phoneticPr fontId="10"/>
  </si>
  <si>
    <t>２０２５年ディノス盛夏号上下セット⑭</t>
    <rPh sb="4" eb="5">
      <t>ネン</t>
    </rPh>
    <rPh sb="9" eb="12">
      <t>セイカゴウ</t>
    </rPh>
    <rPh sb="12" eb="14">
      <t>ジョウゲ</t>
    </rPh>
    <phoneticPr fontId="10"/>
  </si>
  <si>
    <t>２０２５年ディノス盛夏号上下セット⑮</t>
    <rPh sb="4" eb="5">
      <t>ネン</t>
    </rPh>
    <rPh sb="9" eb="12">
      <t>セイカゴウ</t>
    </rPh>
    <rPh sb="12" eb="14">
      <t>ジョウゲ</t>
    </rPh>
    <phoneticPr fontId="10"/>
  </si>
  <si>
    <t>２０２５年ディノス盛夏号上下セット⑯</t>
    <rPh sb="4" eb="5">
      <t>ネン</t>
    </rPh>
    <rPh sb="9" eb="12">
      <t>セイカゴウ</t>
    </rPh>
    <rPh sb="12" eb="14">
      <t>ジョウゲ</t>
    </rPh>
    <phoneticPr fontId="10"/>
  </si>
  <si>
    <t>KPORT</t>
    <phoneticPr fontId="10"/>
  </si>
  <si>
    <t>夢販移動</t>
    <rPh sb="0" eb="4">
      <t>ユメハンイドウ</t>
    </rPh>
    <phoneticPr fontId="2"/>
  </si>
  <si>
    <t>ネット返品交換</t>
    <rPh sb="3" eb="5">
      <t>ヘンピン</t>
    </rPh>
    <rPh sb="5" eb="7">
      <t>コウカン</t>
    </rPh>
    <phoneticPr fontId="10"/>
  </si>
  <si>
    <t>ディノスsample</t>
    <phoneticPr fontId="2"/>
  </si>
  <si>
    <t>かりん</t>
    <phoneticPr fontId="10"/>
  </si>
  <si>
    <t>ディノス返品</t>
    <rPh sb="4" eb="6">
      <t>ヘンピン</t>
    </rPh>
    <phoneticPr fontId="10"/>
  </si>
  <si>
    <t>２０２５年ディノス盛夏号パーカーセット⑯</t>
    <rPh sb="4" eb="5">
      <t>ネン</t>
    </rPh>
    <rPh sb="9" eb="12">
      <t>セイカゴウ</t>
    </rPh>
    <phoneticPr fontId="10"/>
  </si>
  <si>
    <t>KPORT</t>
    <phoneticPr fontId="10"/>
  </si>
  <si>
    <t>ディノス26年夏号（紙面）確保分</t>
    <rPh sb="6" eb="7">
      <t>ネン</t>
    </rPh>
    <rPh sb="7" eb="9">
      <t>ナツゴウ</t>
    </rPh>
    <rPh sb="10" eb="12">
      <t>シメン</t>
    </rPh>
    <rPh sb="13" eb="15">
      <t>カクホ</t>
    </rPh>
    <rPh sb="15" eb="16">
      <t>ブン</t>
    </rPh>
    <phoneticPr fontId="10"/>
  </si>
  <si>
    <t>ディノス26年夏号（WEB）</t>
    <rPh sb="6" eb="7">
      <t>ネン</t>
    </rPh>
    <rPh sb="7" eb="9">
      <t>ナツゴウ</t>
    </rPh>
    <phoneticPr fontId="10"/>
  </si>
  <si>
    <t>事前搬入3/6、受注期間3/30～10/31</t>
    <rPh sb="0" eb="4">
      <t>ジゼンハンニュウ</t>
    </rPh>
    <rPh sb="8" eb="17">
      <t>ジュチュウキカン3/30カラ</t>
    </rPh>
    <phoneticPr fontId="10"/>
  </si>
  <si>
    <t>かりん</t>
    <phoneticPr fontId="10"/>
  </si>
  <si>
    <t>ゆめはん</t>
    <phoneticPr fontId="10"/>
  </si>
  <si>
    <t>夢販</t>
    <rPh sb="0" eb="2">
      <t>y</t>
    </rPh>
    <phoneticPr fontId="10"/>
  </si>
  <si>
    <t>杢ボタニカル</t>
    <phoneticPr fontId="3"/>
  </si>
  <si>
    <t>ディノス26年夏号①</t>
    <rPh sb="6" eb="7">
      <t>ネン</t>
    </rPh>
    <rPh sb="7" eb="9">
      <t>ナツゴウ</t>
    </rPh>
    <phoneticPr fontId="10"/>
  </si>
  <si>
    <t>ディノス26年夏号②</t>
    <rPh sb="6" eb="7">
      <t>ネン</t>
    </rPh>
    <rPh sb="7" eb="9">
      <t>ナツゴウ</t>
    </rPh>
    <phoneticPr fontId="10"/>
  </si>
  <si>
    <t>ディノス26年夏号上下③</t>
    <rPh sb="6" eb="7">
      <t>ネン</t>
    </rPh>
    <rPh sb="7" eb="9">
      <t>ナツゴウ</t>
    </rPh>
    <rPh sb="9" eb="11">
      <t>ジョウゲ</t>
    </rPh>
    <phoneticPr fontId="10"/>
  </si>
  <si>
    <t>ディノス26年夏号3点セット③</t>
    <rPh sb="6" eb="7">
      <t>ネン</t>
    </rPh>
    <rPh sb="7" eb="9">
      <t>ナツゴウ</t>
    </rPh>
    <rPh sb="10" eb="11">
      <t>テン</t>
    </rPh>
    <phoneticPr fontId="10"/>
  </si>
  <si>
    <t>ディノスsample返却</t>
    <rPh sb="10" eb="12">
      <t>ヘンキャク</t>
    </rPh>
    <phoneticPr fontId="2"/>
  </si>
  <si>
    <t>ネット</t>
    <phoneticPr fontId="10"/>
  </si>
  <si>
    <t>ディノス26年夏号3点セット④</t>
    <rPh sb="6" eb="7">
      <t>ネン</t>
    </rPh>
    <rPh sb="7" eb="9">
      <t>ナツゴウ</t>
    </rPh>
    <rPh sb="10" eb="11">
      <t>テン</t>
    </rPh>
    <phoneticPr fontId="10"/>
  </si>
  <si>
    <t>ディノス26年夏号3点セット⑤</t>
    <rPh sb="6" eb="7">
      <t>ネン</t>
    </rPh>
    <rPh sb="7" eb="9">
      <t>ナツゴウ</t>
    </rPh>
    <rPh sb="10" eb="11">
      <t>テン</t>
    </rPh>
    <phoneticPr fontId="10"/>
  </si>
  <si>
    <t>ディノス26年夏号3点セット⑥</t>
    <rPh sb="6" eb="7">
      <t>ネン</t>
    </rPh>
    <rPh sb="7" eb="9">
      <t>ナツゴウ</t>
    </rPh>
    <rPh sb="10" eb="11">
      <t>テン</t>
    </rPh>
    <phoneticPr fontId="10"/>
  </si>
  <si>
    <t>在庫調節</t>
    <rPh sb="0" eb="4">
      <t>ザイコチョウセツ</t>
    </rPh>
    <phoneticPr fontId="10"/>
  </si>
  <si>
    <t>ディノス26年夏号3点セット⑦</t>
    <rPh sb="6" eb="7">
      <t>ネン</t>
    </rPh>
    <rPh sb="7" eb="9">
      <t>ナツゴウ</t>
    </rPh>
    <rPh sb="10" eb="11">
      <t>テン</t>
    </rPh>
    <phoneticPr fontId="10"/>
  </si>
  <si>
    <t>ディノス26年夏号3点セット⑧</t>
    <rPh sb="6" eb="7">
      <t>ネン</t>
    </rPh>
    <rPh sb="7" eb="9">
      <t>ナツゴウ</t>
    </rPh>
    <rPh sb="10" eb="11">
      <t>テン</t>
    </rPh>
    <phoneticPr fontId="10"/>
  </si>
  <si>
    <t>ディノス26年夏号3点セット⑨</t>
    <rPh sb="6" eb="7">
      <t>ネン</t>
    </rPh>
    <rPh sb="7" eb="9">
      <t>ナツゴウ</t>
    </rPh>
    <rPh sb="10" eb="11">
      <t>テン</t>
    </rPh>
    <phoneticPr fontId="10"/>
  </si>
  <si>
    <t>ネット</t>
    <phoneticPr fontId="10"/>
  </si>
  <si>
    <t>ゆめはん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</si>
</sst>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27" x14ac:knownFonts="1"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56" fontId="0" fillId="0" borderId="0" xfId="0" applyNumberFormat="1" applyAlignment="1"/>
    <xf numFmtId="0" fontId="0" fillId="0" borderId="10" xfId="0" applyBorder="1" applyAlignment="1"/>
    <xf numFmtId="0" fontId="0" fillId="0" borderId="11" xfId="0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9" xfId="0" applyFont="1" applyBorder="1" applyAlignment="1"/>
    <xf numFmtId="0" fontId="8" fillId="0" borderId="9" xfId="0" applyFont="1" applyBorder="1" applyAlignment="1"/>
    <xf numFmtId="0" fontId="0" fillId="0" borderId="12" xfId="0" applyBorder="1" applyAlignment="1"/>
    <xf numFmtId="0" fontId="8" fillId="0" borderId="12" xfId="0" applyFont="1" applyBorder="1" applyAlignment="1"/>
    <xf numFmtId="0" fontId="0" fillId="0" borderId="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8" fillId="0" borderId="2" xfId="0" applyFont="1" applyBorder="1" applyAlignment="1"/>
    <xf numFmtId="0" fontId="5" fillId="0" borderId="9" xfId="0" applyFont="1" applyBorder="1" applyAlignment="1">
      <alignment horizontal="center" vertical="center"/>
    </xf>
    <xf numFmtId="0" fontId="0" fillId="0" borderId="15" xfId="0" applyBorder="1" applyAlignment="1"/>
    <xf numFmtId="0" fontId="5" fillId="0" borderId="15" xfId="0" applyFont="1" applyBorder="1" applyAlignment="1">
      <alignment horizontal="center" vertical="center"/>
    </xf>
    <xf numFmtId="0" fontId="7" fillId="0" borderId="15" xfId="0" applyFont="1" applyBorder="1" applyAlignment="1"/>
    <xf numFmtId="0" fontId="0" fillId="0" borderId="16" xfId="0" applyBorder="1" applyAlignment="1"/>
    <xf numFmtId="0" fontId="0" fillId="0" borderId="17" xfId="0" applyBorder="1" applyAlignment="1"/>
    <xf numFmtId="0" fontId="7" fillId="0" borderId="16" xfId="0" applyFont="1" applyBorder="1" applyAlignment="1"/>
    <xf numFmtId="0" fontId="7" fillId="0" borderId="17" xfId="0" applyFont="1" applyBorder="1" applyAlignment="1"/>
    <xf numFmtId="0" fontId="8" fillId="0" borderId="0" xfId="0" applyFont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/>
    <xf numFmtId="0" fontId="8" fillId="0" borderId="13" xfId="0" applyFont="1" applyBorder="1" applyAlignment="1"/>
    <xf numFmtId="0" fontId="8" fillId="0" borderId="21" xfId="0" applyFont="1" applyBorder="1" applyAlignment="1"/>
    <xf numFmtId="0" fontId="9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15" fillId="0" borderId="2" xfId="0" applyFont="1" applyBorder="1" applyAlignment="1"/>
    <xf numFmtId="0" fontId="16" fillId="0" borderId="22" xfId="0" applyFont="1" applyBorder="1" applyAlignment="1"/>
    <xf numFmtId="0" fontId="16" fillId="0" borderId="23" xfId="0" applyFont="1" applyBorder="1" applyAlignment="1"/>
    <xf numFmtId="0" fontId="16" fillId="0" borderId="24" xfId="0" applyFont="1" applyBorder="1" applyAlignment="1"/>
    <xf numFmtId="0" fontId="16" fillId="0" borderId="9" xfId="0" applyFont="1" applyBorder="1" applyAlignment="1"/>
    <xf numFmtId="56" fontId="16" fillId="0" borderId="0" xfId="0" applyNumberFormat="1" applyFont="1" applyAlignment="1"/>
    <xf numFmtId="0" fontId="16" fillId="0" borderId="7" xfId="0" applyFont="1" applyBorder="1" applyAlignment="1"/>
    <xf numFmtId="0" fontId="16" fillId="0" borderId="8" xfId="0" applyFont="1" applyBorder="1" applyAlignment="1"/>
    <xf numFmtId="0" fontId="6" fillId="0" borderId="9" xfId="0" applyFont="1" applyBorder="1" applyAlignment="1">
      <alignment horizontal="center" vertical="center"/>
    </xf>
    <xf numFmtId="0" fontId="16" fillId="0" borderId="10" xfId="0" applyFont="1" applyBorder="1" applyAlignment="1"/>
    <xf numFmtId="0" fontId="16" fillId="0" borderId="11" xfId="0" applyFont="1" applyBorder="1" applyAlignment="1"/>
    <xf numFmtId="0" fontId="16" fillId="0" borderId="15" xfId="0" applyFont="1" applyBorder="1" applyAlignment="1"/>
    <xf numFmtId="0" fontId="5" fillId="0" borderId="25" xfId="0" applyFont="1" applyBorder="1" applyAlignment="1">
      <alignment horizontal="center" vertical="center"/>
    </xf>
    <xf numFmtId="0" fontId="7" fillId="0" borderId="7" xfId="0" applyFont="1" applyBorder="1" applyAlignment="1"/>
    <xf numFmtId="0" fontId="7" fillId="0" borderId="8" xfId="0" applyFont="1" applyBorder="1" applyAlignment="1"/>
    <xf numFmtId="0" fontId="7" fillId="0" borderId="24" xfId="0" applyFont="1" applyBorder="1" applyAlignment="1"/>
    <xf numFmtId="56" fontId="7" fillId="0" borderId="0" xfId="0" applyNumberFormat="1" applyFont="1" applyAlignment="1"/>
    <xf numFmtId="0" fontId="16" fillId="0" borderId="16" xfId="0" applyFont="1" applyBorder="1" applyAlignment="1"/>
    <xf numFmtId="0" fontId="16" fillId="0" borderId="17" xfId="0" applyFont="1" applyBorder="1" applyAlignment="1"/>
    <xf numFmtId="0" fontId="16" fillId="0" borderId="12" xfId="0" applyFont="1" applyBorder="1" applyAlignment="1"/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4" fillId="0" borderId="7" xfId="0" applyFont="1" applyBorder="1" applyAlignment="1"/>
    <xf numFmtId="0" fontId="14" fillId="0" borderId="8" xfId="0" applyFont="1" applyBorder="1" applyAlignment="1"/>
    <xf numFmtId="0" fontId="14" fillId="0" borderId="24" xfId="0" applyFont="1" applyBorder="1" applyAlignment="1"/>
    <xf numFmtId="0" fontId="14" fillId="0" borderId="9" xfId="0" applyFont="1" applyBorder="1" applyAlignment="1"/>
    <xf numFmtId="0" fontId="5" fillId="0" borderId="26" xfId="0" applyFont="1" applyBorder="1" applyAlignment="1">
      <alignment horizontal="center" vertical="center"/>
    </xf>
    <xf numFmtId="0" fontId="16" fillId="0" borderId="0" xfId="0" applyFont="1" applyAlignment="1"/>
    <xf numFmtId="56" fontId="14" fillId="0" borderId="0" xfId="0" applyNumberFormat="1" applyFont="1" applyAlignment="1"/>
    <xf numFmtId="0" fontId="14" fillId="0" borderId="27" xfId="0" applyFont="1" applyBorder="1" applyAlignment="1"/>
    <xf numFmtId="0" fontId="14" fillId="0" borderId="2" xfId="0" applyFont="1" applyBorder="1" applyAlignment="1"/>
    <xf numFmtId="0" fontId="16" fillId="0" borderId="27" xfId="0" applyFont="1" applyBorder="1" applyAlignment="1"/>
    <xf numFmtId="0" fontId="16" fillId="0" borderId="28" xfId="0" applyFont="1" applyBorder="1" applyAlignment="1"/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2" borderId="0" xfId="0" applyFont="1" applyFill="1" applyAlignment="1"/>
    <xf numFmtId="0" fontId="0" fillId="2" borderId="0" xfId="0" applyFill="1" applyAlignment="1"/>
    <xf numFmtId="0" fontId="0" fillId="2" borderId="1" xfId="0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/>
    <xf numFmtId="0" fontId="14" fillId="2" borderId="8" xfId="0" applyFont="1" applyFill="1" applyBorder="1" applyAlignment="1"/>
    <xf numFmtId="0" fontId="14" fillId="2" borderId="24" xfId="0" applyFont="1" applyFill="1" applyBorder="1" applyAlignment="1"/>
    <xf numFmtId="0" fontId="14" fillId="2" borderId="9" xfId="0" applyFont="1" applyFill="1" applyBorder="1" applyAlignment="1"/>
    <xf numFmtId="0" fontId="5" fillId="2" borderId="6" xfId="0" applyFont="1" applyFill="1" applyBorder="1" applyAlignment="1">
      <alignment horizontal="center" vertical="center"/>
    </xf>
    <xf numFmtId="0" fontId="16" fillId="2" borderId="10" xfId="0" applyFont="1" applyFill="1" applyBorder="1" applyAlignment="1"/>
    <xf numFmtId="0" fontId="16" fillId="2" borderId="11" xfId="0" applyFont="1" applyFill="1" applyBorder="1" applyAlignment="1"/>
    <xf numFmtId="0" fontId="16" fillId="2" borderId="9" xfId="0" applyFont="1" applyFill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2" borderId="9" xfId="0" applyFill="1" applyBorder="1" applyAlignment="1"/>
    <xf numFmtId="0" fontId="16" fillId="2" borderId="12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15" fillId="2" borderId="2" xfId="0" applyFont="1" applyFill="1" applyBorder="1" applyAlignment="1"/>
    <xf numFmtId="0" fontId="6" fillId="2" borderId="9" xfId="0" applyFont="1" applyFill="1" applyBorder="1" applyAlignment="1">
      <alignment horizontal="center" vertical="center"/>
    </xf>
    <xf numFmtId="0" fontId="16" fillId="2" borderId="22" xfId="0" applyFont="1" applyFill="1" applyBorder="1" applyAlignment="1"/>
    <xf numFmtId="0" fontId="16" fillId="2" borderId="23" xfId="0" applyFont="1" applyFill="1" applyBorder="1" applyAlignment="1"/>
    <xf numFmtId="0" fontId="16" fillId="2" borderId="24" xfId="0" applyFont="1" applyFill="1" applyBorder="1" applyAlignment="1"/>
    <xf numFmtId="0" fontId="16" fillId="2" borderId="15" xfId="0" applyFont="1" applyFill="1" applyBorder="1" applyAlignment="1"/>
    <xf numFmtId="0" fontId="7" fillId="2" borderId="10" xfId="0" applyFont="1" applyFill="1" applyBorder="1" applyAlignment="1"/>
    <xf numFmtId="0" fontId="7" fillId="2" borderId="11" xfId="0" applyFont="1" applyFill="1" applyBorder="1" applyAlignment="1"/>
    <xf numFmtId="0" fontId="7" fillId="2" borderId="15" xfId="0" applyFont="1" applyFill="1" applyBorder="1" applyAlignment="1"/>
    <xf numFmtId="0" fontId="16" fillId="2" borderId="16" xfId="0" applyFont="1" applyFill="1" applyBorder="1" applyAlignment="1"/>
    <xf numFmtId="0" fontId="16" fillId="2" borderId="17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16" xfId="0" applyFont="1" applyFill="1" applyBorder="1" applyAlignment="1"/>
    <xf numFmtId="0" fontId="15" fillId="2" borderId="17" xfId="0" applyFont="1" applyFill="1" applyBorder="1" applyAlignment="1"/>
    <xf numFmtId="0" fontId="15" fillId="2" borderId="15" xfId="0" applyFont="1" applyFill="1" applyBorder="1" applyAlignment="1"/>
    <xf numFmtId="0" fontId="14" fillId="2" borderId="12" xfId="0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0" fillId="2" borderId="18" xfId="0" applyFill="1" applyBorder="1" applyAlignment="1"/>
    <xf numFmtId="0" fontId="0" fillId="2" borderId="19" xfId="0" applyFill="1" applyBorder="1" applyAlignment="1"/>
    <xf numFmtId="0" fontId="0" fillId="2" borderId="20" xfId="0" applyFill="1" applyBorder="1" applyAlignment="1"/>
    <xf numFmtId="0" fontId="8" fillId="2" borderId="2" xfId="0" applyFont="1" applyFill="1" applyBorder="1" applyAlignment="1"/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/>
    <xf numFmtId="0" fontId="8" fillId="2" borderId="13" xfId="0" applyFont="1" applyFill="1" applyBorder="1" applyAlignment="1"/>
    <xf numFmtId="0" fontId="8" fillId="2" borderId="21" xfId="0" applyFont="1" applyFill="1" applyBorder="1" applyAlignment="1"/>
    <xf numFmtId="0" fontId="7" fillId="2" borderId="26" xfId="0" applyFont="1" applyFill="1" applyBorder="1" applyAlignment="1">
      <alignment horizontal="center" vertical="center"/>
    </xf>
    <xf numFmtId="0" fontId="7" fillId="2" borderId="16" xfId="0" applyFont="1" applyFill="1" applyBorder="1" applyAlignment="1"/>
    <xf numFmtId="0" fontId="7" fillId="2" borderId="17" xfId="0" applyFont="1" applyFill="1" applyBorder="1" applyAlignment="1"/>
    <xf numFmtId="0" fontId="0" fillId="2" borderId="12" xfId="0" applyFill="1" applyBorder="1" applyAlignment="1"/>
    <xf numFmtId="0" fontId="14" fillId="0" borderId="22" xfId="0" applyFont="1" applyBorder="1" applyAlignment="1"/>
    <xf numFmtId="0" fontId="14" fillId="0" borderId="23" xfId="0" applyFont="1" applyBorder="1" applyAlignment="1"/>
    <xf numFmtId="0" fontId="0" fillId="0" borderId="2" xfId="0" applyBorder="1" applyAlignment="1"/>
    <xf numFmtId="0" fontId="14" fillId="0" borderId="15" xfId="0" applyFont="1" applyBorder="1" applyAlignment="1"/>
    <xf numFmtId="0" fontId="6" fillId="0" borderId="25" xfId="0" applyFont="1" applyBorder="1" applyAlignment="1">
      <alignment horizontal="center" vertical="center"/>
    </xf>
    <xf numFmtId="0" fontId="14" fillId="0" borderId="29" xfId="0" applyFont="1" applyBorder="1" applyAlignment="1"/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6" fillId="0" borderId="32" xfId="0" applyFont="1" applyBorder="1" applyAlignment="1"/>
    <xf numFmtId="0" fontId="14" fillId="0" borderId="33" xfId="0" applyFont="1" applyBorder="1" applyAlignment="1"/>
    <xf numFmtId="0" fontId="14" fillId="0" borderId="34" xfId="0" applyFont="1" applyBorder="1" applyAlignment="1"/>
    <xf numFmtId="0" fontId="16" fillId="0" borderId="35" xfId="0" applyFont="1" applyBorder="1" applyAlignment="1"/>
    <xf numFmtId="0" fontId="16" fillId="0" borderId="36" xfId="0" applyFont="1" applyBorder="1" applyAlignment="1"/>
    <xf numFmtId="0" fontId="16" fillId="0" borderId="37" xfId="0" applyFont="1" applyBorder="1" applyAlignment="1"/>
    <xf numFmtId="0" fontId="16" fillId="0" borderId="38" xfId="0" applyFont="1" applyBorder="1" applyAlignment="1"/>
    <xf numFmtId="0" fontId="18" fillId="0" borderId="9" xfId="0" applyFont="1" applyBorder="1" applyAlignment="1">
      <alignment horizontal="center" vertical="center"/>
    </xf>
    <xf numFmtId="0" fontId="16" fillId="0" borderId="2" xfId="0" applyFont="1" applyBorder="1" applyAlignment="1"/>
    <xf numFmtId="0" fontId="16" fillId="0" borderId="39" xfId="0" applyFont="1" applyBorder="1" applyAlignment="1"/>
    <xf numFmtId="0" fontId="14" fillId="0" borderId="26" xfId="0" applyFont="1" applyBorder="1" applyAlignment="1"/>
    <xf numFmtId="0" fontId="16" fillId="0" borderId="40" xfId="0" applyFont="1" applyBorder="1" applyAlignment="1"/>
    <xf numFmtId="0" fontId="14" fillId="0" borderId="41" xfId="0" applyFont="1" applyBorder="1" applyAlignment="1"/>
    <xf numFmtId="0" fontId="16" fillId="0" borderId="42" xfId="0" applyFont="1" applyBorder="1" applyAlignment="1"/>
    <xf numFmtId="0" fontId="16" fillId="0" borderId="43" xfId="0" applyFont="1" applyBorder="1" applyAlignment="1"/>
    <xf numFmtId="0" fontId="16" fillId="0" borderId="44" xfId="0" applyFont="1" applyBorder="1" applyAlignment="1"/>
    <xf numFmtId="0" fontId="16" fillId="0" borderId="45" xfId="0" applyFont="1" applyBorder="1" applyAlignment="1"/>
    <xf numFmtId="0" fontId="16" fillId="0" borderId="26" xfId="0" applyFont="1" applyBorder="1" applyAlignment="1"/>
    <xf numFmtId="0" fontId="8" fillId="0" borderId="46" xfId="0" applyFont="1" applyBorder="1" applyAlignment="1"/>
    <xf numFmtId="0" fontId="17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4" fillId="0" borderId="47" xfId="0" applyFont="1" applyBorder="1" applyAlignment="1"/>
    <xf numFmtId="0" fontId="16" fillId="0" borderId="25" xfId="0" applyFont="1" applyBorder="1" applyAlignment="1"/>
    <xf numFmtId="0" fontId="16" fillId="0" borderId="6" xfId="0" applyFont="1" applyBorder="1" applyAlignment="1"/>
    <xf numFmtId="0" fontId="8" fillId="0" borderId="5" xfId="0" applyFont="1" applyBorder="1" applyAlignment="1"/>
    <xf numFmtId="0" fontId="7" fillId="0" borderId="6" xfId="0" applyFont="1" applyBorder="1" applyAlignment="1"/>
    <xf numFmtId="0" fontId="16" fillId="0" borderId="48" xfId="0" applyFont="1" applyBorder="1" applyAlignment="1"/>
    <xf numFmtId="0" fontId="16" fillId="0" borderId="47" xfId="0" applyFont="1" applyBorder="1" applyAlignment="1"/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/>
    <xf numFmtId="0" fontId="14" fillId="0" borderId="13" xfId="0" applyFont="1" applyBorder="1" applyAlignment="1"/>
    <xf numFmtId="0" fontId="14" fillId="0" borderId="49" xfId="0" applyFont="1" applyBorder="1" applyAlignment="1"/>
    <xf numFmtId="0" fontId="1" fillId="3" borderId="0" xfId="0" applyFont="1" applyFill="1" applyAlignment="1"/>
    <xf numFmtId="0" fontId="0" fillId="3" borderId="0" xfId="0" applyFill="1" applyAlignment="1"/>
    <xf numFmtId="0" fontId="1" fillId="4" borderId="0" xfId="0" applyFont="1" applyFill="1" applyAlignment="1"/>
    <xf numFmtId="0" fontId="0" fillId="4" borderId="0" xfId="0" applyFill="1" applyAlignment="1"/>
    <xf numFmtId="176" fontId="14" fillId="0" borderId="0" xfId="0" applyNumberFormat="1" applyFont="1" applyAlignment="1"/>
    <xf numFmtId="176" fontId="19" fillId="0" borderId="0" xfId="0" applyNumberFormat="1" applyFont="1" applyAlignment="1"/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11" fillId="0" borderId="2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" fillId="5" borderId="0" xfId="0" applyFont="1" applyFill="1" applyAlignment="1"/>
    <xf numFmtId="0" fontId="0" fillId="5" borderId="0" xfId="0" applyFill="1" applyAlignment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4" fillId="5" borderId="22" xfId="0" applyFont="1" applyFill="1" applyBorder="1" applyAlignment="1"/>
    <xf numFmtId="0" fontId="14" fillId="5" borderId="33" xfId="0" applyFont="1" applyFill="1" applyBorder="1" applyAlignment="1"/>
    <xf numFmtId="0" fontId="14" fillId="5" borderId="34" xfId="0" applyFont="1" applyFill="1" applyBorder="1" applyAlignment="1"/>
    <xf numFmtId="0" fontId="14" fillId="5" borderId="29" xfId="0" applyFont="1" applyFill="1" applyBorder="1" applyAlignment="1"/>
    <xf numFmtId="0" fontId="14" fillId="5" borderId="9" xfId="0" applyFont="1" applyFill="1" applyBorder="1" applyAlignment="1"/>
    <xf numFmtId="0" fontId="6" fillId="5" borderId="25" xfId="0" applyFont="1" applyFill="1" applyBorder="1" applyAlignment="1">
      <alignment horizontal="center" vertical="center"/>
    </xf>
    <xf numFmtId="0" fontId="16" fillId="5" borderId="10" xfId="0" applyFont="1" applyFill="1" applyBorder="1" applyAlignment="1"/>
    <xf numFmtId="0" fontId="16" fillId="5" borderId="32" xfId="0" applyFont="1" applyFill="1" applyBorder="1" applyAlignment="1"/>
    <xf numFmtId="0" fontId="16" fillId="5" borderId="35" xfId="0" applyFont="1" applyFill="1" applyBorder="1" applyAlignment="1"/>
    <xf numFmtId="0" fontId="16" fillId="5" borderId="9" xfId="0" applyFont="1" applyFill="1" applyBorder="1" applyAlignment="1"/>
    <xf numFmtId="0" fontId="16" fillId="5" borderId="11" xfId="0" applyFont="1" applyFill="1" applyBorder="1" applyAlignment="1"/>
    <xf numFmtId="56" fontId="16" fillId="5" borderId="0" xfId="0" applyNumberFormat="1" applyFont="1" applyFill="1" applyAlignment="1"/>
    <xf numFmtId="56" fontId="0" fillId="5" borderId="0" xfId="0" applyNumberFormat="1" applyFill="1" applyAlignment="1"/>
    <xf numFmtId="0" fontId="16" fillId="5" borderId="36" xfId="0" applyFont="1" applyFill="1" applyBorder="1" applyAlignment="1"/>
    <xf numFmtId="0" fontId="16" fillId="5" borderId="37" xfId="0" applyFont="1" applyFill="1" applyBorder="1" applyAlignment="1"/>
    <xf numFmtId="0" fontId="16" fillId="5" borderId="38" xfId="0" applyFont="1" applyFill="1" applyBorder="1" applyAlignment="1"/>
    <xf numFmtId="0" fontId="16" fillId="5" borderId="27" xfId="0" applyFont="1" applyFill="1" applyBorder="1" applyAlignment="1"/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/>
    <xf numFmtId="0" fontId="0" fillId="5" borderId="13" xfId="0" applyFill="1" applyBorder="1" applyAlignment="1"/>
    <xf numFmtId="0" fontId="0" fillId="5" borderId="14" xfId="0" applyFill="1" applyBorder="1" applyAlignment="1"/>
    <xf numFmtId="0" fontId="14" fillId="5" borderId="2" xfId="0" applyFont="1" applyFill="1" applyBorder="1" applyAlignment="1"/>
    <xf numFmtId="0" fontId="6" fillId="5" borderId="9" xfId="0" applyFont="1" applyFill="1" applyBorder="1" applyAlignment="1">
      <alignment horizontal="center" vertical="center"/>
    </xf>
    <xf numFmtId="0" fontId="16" fillId="5" borderId="22" xfId="0" applyFont="1" applyFill="1" applyBorder="1" applyAlignment="1"/>
    <xf numFmtId="0" fontId="16" fillId="5" borderId="23" xfId="0" applyFont="1" applyFill="1" applyBorder="1" applyAlignment="1"/>
    <xf numFmtId="0" fontId="16" fillId="5" borderId="24" xfId="0" applyFont="1" applyFill="1" applyBorder="1" applyAlignment="1"/>
    <xf numFmtId="0" fontId="16" fillId="5" borderId="15" xfId="0" applyFont="1" applyFill="1" applyBorder="1" applyAlignment="1"/>
    <xf numFmtId="0" fontId="7" fillId="5" borderId="10" xfId="0" applyFont="1" applyFill="1" applyBorder="1" applyAlignment="1"/>
    <xf numFmtId="0" fontId="7" fillId="5" borderId="11" xfId="0" applyFont="1" applyFill="1" applyBorder="1" applyAlignment="1"/>
    <xf numFmtId="0" fontId="7" fillId="5" borderId="15" xfId="0" applyFont="1" applyFill="1" applyBorder="1" applyAlignment="1"/>
    <xf numFmtId="0" fontId="11" fillId="5" borderId="25" xfId="0" applyFont="1" applyFill="1" applyBorder="1" applyAlignment="1">
      <alignment horizontal="center" vertical="center"/>
    </xf>
    <xf numFmtId="0" fontId="16" fillId="5" borderId="16" xfId="0" applyFont="1" applyFill="1" applyBorder="1" applyAlignment="1"/>
    <xf numFmtId="0" fontId="16" fillId="5" borderId="17" xfId="0" applyFont="1" applyFill="1" applyBorder="1" applyAlignment="1"/>
    <xf numFmtId="0" fontId="7" fillId="5" borderId="16" xfId="0" applyFont="1" applyFill="1" applyBorder="1" applyAlignment="1"/>
    <xf numFmtId="0" fontId="7" fillId="5" borderId="17" xfId="0" applyFont="1" applyFill="1" applyBorder="1" applyAlignment="1"/>
    <xf numFmtId="0" fontId="7" fillId="5" borderId="26" xfId="0" applyFont="1" applyFill="1" applyBorder="1" applyAlignment="1">
      <alignment horizontal="center" vertical="center"/>
    </xf>
    <xf numFmtId="0" fontId="16" fillId="5" borderId="0" xfId="0" applyFont="1" applyFill="1" applyAlignment="1"/>
    <xf numFmtId="0" fontId="16" fillId="5" borderId="12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0" fontId="0" fillId="5" borderId="18" xfId="0" applyFill="1" applyBorder="1" applyAlignment="1"/>
    <xf numFmtId="0" fontId="0" fillId="5" borderId="19" xfId="0" applyFill="1" applyBorder="1" applyAlignment="1"/>
    <xf numFmtId="0" fontId="0" fillId="5" borderId="20" xfId="0" applyFill="1" applyBorder="1" applyAlignment="1"/>
    <xf numFmtId="0" fontId="16" fillId="5" borderId="28" xfId="0" applyFont="1" applyFill="1" applyBorder="1" applyAlignment="1"/>
    <xf numFmtId="0" fontId="16" fillId="5" borderId="2" xfId="0" applyFont="1" applyFill="1" applyBorder="1" applyAlignment="1"/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/>
    <xf numFmtId="0" fontId="8" fillId="5" borderId="13" xfId="0" applyFont="1" applyFill="1" applyBorder="1" applyAlignment="1"/>
    <xf numFmtId="0" fontId="8" fillId="5" borderId="21" xfId="0" applyFont="1" applyFill="1" applyBorder="1" applyAlignment="1"/>
    <xf numFmtId="0" fontId="13" fillId="0" borderId="9" xfId="0" applyFont="1" applyBorder="1" applyAlignment="1">
      <alignment horizontal="center" vertical="center"/>
    </xf>
    <xf numFmtId="0" fontId="20" fillId="0" borderId="11" xfId="0" applyFont="1" applyBorder="1" applyAlignment="1"/>
    <xf numFmtId="0" fontId="20" fillId="0" borderId="32" xfId="0" applyFont="1" applyBorder="1" applyAlignment="1"/>
    <xf numFmtId="0" fontId="20" fillId="0" borderId="44" xfId="0" applyFont="1" applyBorder="1" applyAlignment="1"/>
    <xf numFmtId="0" fontId="20" fillId="0" borderId="15" xfId="0" applyFont="1" applyBorder="1" applyAlignment="1"/>
    <xf numFmtId="0" fontId="20" fillId="0" borderId="6" xfId="0" applyFont="1" applyBorder="1" applyAlignment="1"/>
    <xf numFmtId="0" fontId="21" fillId="0" borderId="9" xfId="0" applyFont="1" applyBorder="1" applyAlignment="1">
      <alignment horizontal="center" vertical="center"/>
    </xf>
    <xf numFmtId="0" fontId="19" fillId="0" borderId="11" xfId="0" applyFont="1" applyBorder="1" applyAlignment="1"/>
    <xf numFmtId="0" fontId="19" fillId="0" borderId="42" xfId="0" applyFont="1" applyBorder="1" applyAlignment="1"/>
    <xf numFmtId="0" fontId="19" fillId="0" borderId="9" xfId="0" applyFont="1" applyBorder="1" applyAlignment="1"/>
    <xf numFmtId="0" fontId="19" fillId="0" borderId="25" xfId="0" applyFont="1" applyBorder="1" applyAlignment="1"/>
    <xf numFmtId="0" fontId="19" fillId="0" borderId="15" xfId="0" applyFont="1" applyBorder="1" applyAlignment="1"/>
    <xf numFmtId="0" fontId="6" fillId="0" borderId="15" xfId="0" applyFont="1" applyBorder="1" applyAlignment="1">
      <alignment horizontal="center" vertical="center"/>
    </xf>
    <xf numFmtId="0" fontId="19" fillId="0" borderId="6" xfId="0" applyFont="1" applyBorder="1" applyAlignment="1"/>
    <xf numFmtId="0" fontId="6" fillId="0" borderId="9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7" fillId="0" borderId="24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/>
    </xf>
    <xf numFmtId="0" fontId="22" fillId="0" borderId="21" xfId="0" applyFont="1" applyBorder="1" applyAlignment="1"/>
    <xf numFmtId="0" fontId="22" fillId="0" borderId="13" xfId="0" applyFont="1" applyBorder="1" applyAlignment="1"/>
    <xf numFmtId="0" fontId="22" fillId="0" borderId="3" xfId="0" applyFont="1" applyBorder="1" applyAlignment="1"/>
    <xf numFmtId="0" fontId="16" fillId="6" borderId="16" xfId="0" applyFont="1" applyFill="1" applyBorder="1" applyAlignment="1"/>
    <xf numFmtId="0" fontId="16" fillId="6" borderId="17" xfId="0" applyFont="1" applyFill="1" applyBorder="1" applyAlignment="1"/>
    <xf numFmtId="0" fontId="16" fillId="6" borderId="15" xfId="0" applyFont="1" applyFill="1" applyBorder="1" applyAlignment="1"/>
    <xf numFmtId="0" fontId="16" fillId="6" borderId="6" xfId="0" applyFont="1" applyFill="1" applyBorder="1" applyAlignment="1"/>
    <xf numFmtId="0" fontId="17" fillId="0" borderId="2" xfId="0" applyFont="1" applyBorder="1" applyAlignment="1">
      <alignment horizontal="center" vertical="center"/>
    </xf>
    <xf numFmtId="0" fontId="14" fillId="0" borderId="4" xfId="0" applyFont="1" applyBorder="1" applyAlignment="1"/>
    <xf numFmtId="0" fontId="14" fillId="0" borderId="5" xfId="0" applyFont="1" applyBorder="1" applyAlignment="1"/>
    <xf numFmtId="0" fontId="17" fillId="0" borderId="2" xfId="0" applyFont="1" applyBorder="1" applyAlignment="1">
      <alignment horizontal="center" vertical="center" shrinkToFit="1"/>
    </xf>
    <xf numFmtId="177" fontId="19" fillId="0" borderId="0" xfId="0" applyNumberFormat="1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left" vertical="center"/>
    </xf>
    <xf numFmtId="56" fontId="16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center" vertical="center" shrinkToFit="1"/>
    </xf>
    <xf numFmtId="0" fontId="0" fillId="6" borderId="19" xfId="0" applyFill="1" applyBorder="1" applyAlignment="1"/>
    <xf numFmtId="0" fontId="8" fillId="6" borderId="13" xfId="0" applyFont="1" applyFill="1" applyBorder="1" applyAlignment="1"/>
    <xf numFmtId="56" fontId="0" fillId="0" borderId="0" xfId="0" applyNumberFormat="1">
      <alignment vertical="center"/>
    </xf>
    <xf numFmtId="0" fontId="14" fillId="6" borderId="4" xfId="0" applyFont="1" applyFill="1" applyBorder="1" applyAlignment="1"/>
    <xf numFmtId="56" fontId="16" fillId="0" borderId="0" xfId="0" applyNumberFormat="1" applyFont="1">
      <alignment vertical="center"/>
    </xf>
    <xf numFmtId="0" fontId="18" fillId="0" borderId="28" xfId="0" applyFont="1" applyBorder="1" applyAlignment="1">
      <alignment horizontal="center" vertical="center" shrinkToFit="1"/>
    </xf>
    <xf numFmtId="0" fontId="14" fillId="0" borderId="17" xfId="0" applyFont="1" applyBorder="1" applyAlignment="1"/>
    <xf numFmtId="0" fontId="14" fillId="0" borderId="40" xfId="0" applyFont="1" applyBorder="1" applyAlignment="1"/>
    <xf numFmtId="0" fontId="14" fillId="0" borderId="45" xfId="0" applyFont="1" applyBorder="1" applyAlignment="1"/>
    <xf numFmtId="0" fontId="14" fillId="0" borderId="48" xfId="0" applyFont="1" applyBorder="1" applyAlignment="1"/>
    <xf numFmtId="0" fontId="0" fillId="6" borderId="18" xfId="0" applyFill="1" applyBorder="1" applyAlignment="1"/>
    <xf numFmtId="0" fontId="8" fillId="6" borderId="3" xfId="0" applyFont="1" applyFill="1" applyBorder="1" applyAlignment="1"/>
    <xf numFmtId="177" fontId="14" fillId="0" borderId="0" xfId="0" applyNumberFormat="1" applyFont="1">
      <alignment vertical="center"/>
    </xf>
    <xf numFmtId="177" fontId="16" fillId="0" borderId="0" xfId="0" applyNumberFormat="1" applyFont="1">
      <alignment vertical="center"/>
    </xf>
    <xf numFmtId="0" fontId="0" fillId="6" borderId="20" xfId="0" applyFill="1" applyBorder="1" applyAlignment="1"/>
    <xf numFmtId="0" fontId="8" fillId="6" borderId="21" xfId="0" applyFont="1" applyFill="1" applyBorder="1" applyAlignment="1"/>
    <xf numFmtId="0" fontId="21" fillId="0" borderId="9" xfId="0" applyFont="1" applyBorder="1" applyAlignment="1">
      <alignment horizontal="center" vertical="center" shrinkToFit="1"/>
    </xf>
    <xf numFmtId="0" fontId="19" fillId="0" borderId="32" xfId="0" applyFont="1" applyBorder="1" applyAlignment="1"/>
    <xf numFmtId="0" fontId="19" fillId="0" borderId="44" xfId="0" applyFont="1" applyBorder="1" applyAlignment="1"/>
    <xf numFmtId="56" fontId="19" fillId="0" borderId="0" xfId="0" applyNumberFormat="1" applyFont="1">
      <alignment vertical="center"/>
    </xf>
    <xf numFmtId="0" fontId="0" fillId="0" borderId="31" xfId="0" applyBorder="1" applyAlignment="1"/>
    <xf numFmtId="0" fontId="8" fillId="0" borderId="4" xfId="0" applyFont="1" applyBorder="1" applyAlignment="1"/>
    <xf numFmtId="0" fontId="14" fillId="0" borderId="3" xfId="0" applyFont="1" applyBorder="1" applyAlignment="1"/>
    <xf numFmtId="0" fontId="0" fillId="0" borderId="0" xfId="0" applyAlignment="1">
      <alignment horizontal="left" vertical="center" shrinkToFit="1"/>
    </xf>
    <xf numFmtId="0" fontId="0" fillId="0" borderId="0" xfId="0" applyAlignment="1">
      <alignment vertical="center" shrinkToFit="1"/>
    </xf>
    <xf numFmtId="56" fontId="14" fillId="0" borderId="0" xfId="0" applyNumberFormat="1" applyFont="1" applyAlignment="1">
      <alignment horizontal="left" vertical="center" shrinkToFit="1"/>
    </xf>
    <xf numFmtId="56" fontId="0" fillId="0" borderId="0" xfId="0" applyNumberFormat="1" applyAlignment="1">
      <alignment horizontal="left" vertical="center" shrinkToFit="1"/>
    </xf>
    <xf numFmtId="56" fontId="16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left" vertical="center" shrinkToFit="1"/>
    </xf>
    <xf numFmtId="56" fontId="19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4" fillId="0" borderId="0" xfId="0" applyFont="1" applyAlignment="1">
      <alignment horizontal="left" vertical="center" shrinkToFit="1"/>
    </xf>
    <xf numFmtId="56" fontId="20" fillId="0" borderId="0" xfId="0" applyNumberFormat="1" applyFont="1" applyAlignment="1">
      <alignment horizontal="left" vertical="center" shrinkToFit="1"/>
    </xf>
    <xf numFmtId="0" fontId="16" fillId="0" borderId="50" xfId="0" applyFont="1" applyBorder="1" applyAlignment="1"/>
    <xf numFmtId="0" fontId="16" fillId="0" borderId="51" xfId="0" applyFont="1" applyBorder="1" applyAlignment="1"/>
    <xf numFmtId="56" fontId="23" fillId="0" borderId="0" xfId="0" applyNumberFormat="1" applyFont="1" applyAlignment="1">
      <alignment horizontal="left" vertical="center" shrinkToFit="1"/>
    </xf>
    <xf numFmtId="0" fontId="24" fillId="0" borderId="9" xfId="0" applyFont="1" applyBorder="1" applyAlignment="1">
      <alignment horizontal="center" vertical="center" shrinkToFit="1"/>
    </xf>
    <xf numFmtId="0" fontId="16" fillId="6" borderId="10" xfId="0" applyFont="1" applyFill="1" applyBorder="1" applyAlignment="1"/>
    <xf numFmtId="0" fontId="16" fillId="6" borderId="11" xfId="0" applyFont="1" applyFill="1" applyBorder="1" applyAlignment="1"/>
    <xf numFmtId="0" fontId="7" fillId="6" borderId="17" xfId="0" applyFont="1" applyFill="1" applyBorder="1" applyAlignment="1"/>
    <xf numFmtId="0" fontId="14" fillId="0" borderId="0" xfId="0" applyFont="1">
      <alignment vertical="center"/>
    </xf>
    <xf numFmtId="177" fontId="0" fillId="0" borderId="0" xfId="0" applyNumberFormat="1">
      <alignment vertical="center"/>
    </xf>
    <xf numFmtId="0" fontId="16" fillId="4" borderId="11" xfId="0" applyFont="1" applyFill="1" applyBorder="1" applyAlignment="1"/>
    <xf numFmtId="0" fontId="16" fillId="4" borderId="10" xfId="0" applyFont="1" applyFill="1" applyBorder="1" applyAlignment="1"/>
    <xf numFmtId="0" fontId="14" fillId="0" borderId="11" xfId="0" applyFont="1" applyBorder="1" applyAlignment="1"/>
    <xf numFmtId="0" fontId="14" fillId="0" borderId="10" xfId="0" applyFont="1" applyBorder="1" applyAlignment="1"/>
    <xf numFmtId="0" fontId="14" fillId="4" borderId="10" xfId="0" applyFont="1" applyFill="1" applyBorder="1" applyAlignment="1"/>
    <xf numFmtId="0" fontId="14" fillId="4" borderId="11" xfId="0" applyFont="1" applyFill="1" applyBorder="1" applyAlignment="1"/>
    <xf numFmtId="0" fontId="14" fillId="0" borderId="0" xfId="0" applyFont="1" applyAlignment="1">
      <alignment horizontal="left" vertical="center"/>
    </xf>
    <xf numFmtId="0" fontId="25" fillId="0" borderId="9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/>
    </xf>
    <xf numFmtId="56" fontId="14" fillId="0" borderId="0" xfId="0" applyNumberFormat="1" applyFont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521"/>
  <sheetViews>
    <sheetView tabSelected="1" topLeftCell="A1481" zoomScale="90" zoomScaleNormal="90" workbookViewId="0">
      <selection activeCell="A1501" sqref="A1501"/>
    </sheetView>
  </sheetViews>
  <sheetFormatPr defaultRowHeight="13.5" x14ac:dyDescent="0.15"/>
  <cols>
    <col min="1" max="1" width="22.875" customWidth="1"/>
    <col min="2" max="26" width="5.75" customWidth="1"/>
    <col min="27" max="27" width="9.75" customWidth="1"/>
    <col min="28" max="28" width="9.25" style="297" bestFit="1" customWidth="1"/>
    <col min="29" max="29" width="40.25" customWidth="1"/>
    <col min="30" max="54" width="6.375" customWidth="1"/>
    <col min="56" max="56" width="11.625" style="297" customWidth="1"/>
    <col min="57" max="57" width="24.625" bestFit="1" customWidth="1"/>
    <col min="58" max="61" width="5.375" customWidth="1"/>
    <col min="63" max="63" width="9.25" bestFit="1" customWidth="1"/>
    <col min="64" max="64" width="13.25" customWidth="1"/>
    <col min="65" max="68" width="5.875" customWidth="1"/>
  </cols>
  <sheetData>
    <row r="1" spans="1:52" ht="19.5" thickBot="1" x14ac:dyDescent="0.25">
      <c r="A1" s="185" t="s">
        <v>19</v>
      </c>
      <c r="B1" s="186"/>
      <c r="C1" s="186"/>
      <c r="D1" s="186"/>
      <c r="E1" s="186"/>
      <c r="F1" s="18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25"/>
      <c r="X1" s="326"/>
      <c r="Y1" s="326"/>
      <c r="Z1" s="326"/>
      <c r="AC1" s="187" t="s">
        <v>73</v>
      </c>
      <c r="AD1" s="188"/>
      <c r="AE1" s="188"/>
      <c r="AF1" s="188"/>
      <c r="AG1" s="188"/>
      <c r="AH1" s="188"/>
      <c r="AI1" s="188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97"/>
    </row>
    <row r="2" spans="1:52" ht="14.25" thickBot="1" x14ac:dyDescent="0.2">
      <c r="A2" s="3" t="s">
        <v>0</v>
      </c>
      <c r="B2" s="371" t="s">
        <v>17</v>
      </c>
      <c r="C2" s="372"/>
      <c r="D2" s="372"/>
      <c r="E2" s="372"/>
      <c r="F2" s="373"/>
      <c r="G2" s="371" t="s">
        <v>18</v>
      </c>
      <c r="H2" s="372"/>
      <c r="I2" s="372"/>
      <c r="J2" s="372"/>
      <c r="K2" s="373"/>
      <c r="L2" s="371" t="s">
        <v>38</v>
      </c>
      <c r="M2" s="372"/>
      <c r="N2" s="372"/>
      <c r="O2" s="372"/>
      <c r="P2" s="373"/>
      <c r="Q2" s="371" t="s">
        <v>75</v>
      </c>
      <c r="R2" s="372"/>
      <c r="S2" s="372"/>
      <c r="T2" s="372"/>
      <c r="U2" s="373"/>
      <c r="V2" s="360" t="s">
        <v>1</v>
      </c>
      <c r="W2" s="325"/>
      <c r="X2" s="326"/>
      <c r="Y2" s="326"/>
      <c r="Z2" s="326"/>
      <c r="AC2" s="3" t="s">
        <v>0</v>
      </c>
      <c r="AD2" s="371" t="s">
        <v>17</v>
      </c>
      <c r="AE2" s="372"/>
      <c r="AF2" s="372"/>
      <c r="AG2" s="372"/>
      <c r="AH2" s="373"/>
      <c r="AI2" s="371" t="s">
        <v>18</v>
      </c>
      <c r="AJ2" s="372"/>
      <c r="AK2" s="372"/>
      <c r="AL2" s="372"/>
      <c r="AM2" s="373"/>
      <c r="AN2" s="371" t="s">
        <v>38</v>
      </c>
      <c r="AO2" s="372"/>
      <c r="AP2" s="372"/>
      <c r="AQ2" s="372"/>
      <c r="AR2" s="373"/>
      <c r="AS2" s="371" t="s">
        <v>75</v>
      </c>
      <c r="AT2" s="372"/>
      <c r="AU2" s="372"/>
      <c r="AV2" s="372"/>
      <c r="AW2" s="373"/>
      <c r="AX2" s="360" t="s">
        <v>1</v>
      </c>
      <c r="AY2" s="325"/>
      <c r="AZ2" s="326"/>
    </row>
    <row r="3" spans="1:52" ht="14.25" thickBot="1" x14ac:dyDescent="0.2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  <c r="F3" s="5" t="s">
        <v>7</v>
      </c>
      <c r="G3" s="6" t="s">
        <v>3</v>
      </c>
      <c r="H3" s="7" t="s">
        <v>4</v>
      </c>
      <c r="I3" s="7" t="s">
        <v>5</v>
      </c>
      <c r="J3" s="8" t="s">
        <v>6</v>
      </c>
      <c r="K3" s="5" t="s">
        <v>7</v>
      </c>
      <c r="L3" s="6" t="s">
        <v>3</v>
      </c>
      <c r="M3" s="7" t="s">
        <v>4</v>
      </c>
      <c r="N3" s="7" t="s">
        <v>5</v>
      </c>
      <c r="O3" s="8" t="s">
        <v>6</v>
      </c>
      <c r="P3" s="5" t="s">
        <v>7</v>
      </c>
      <c r="Q3" s="6" t="s">
        <v>3</v>
      </c>
      <c r="R3" s="7" t="s">
        <v>4</v>
      </c>
      <c r="S3" s="7" t="s">
        <v>5</v>
      </c>
      <c r="T3" s="8" t="s">
        <v>6</v>
      </c>
      <c r="U3" s="5" t="s">
        <v>7</v>
      </c>
      <c r="V3" s="361"/>
      <c r="W3" s="325"/>
      <c r="X3" s="326"/>
      <c r="Y3" s="326"/>
      <c r="Z3" s="326"/>
      <c r="AC3" s="5" t="s">
        <v>2</v>
      </c>
      <c r="AD3" s="6" t="s">
        <v>3</v>
      </c>
      <c r="AE3" s="7" t="s">
        <v>4</v>
      </c>
      <c r="AF3" s="7" t="s">
        <v>5</v>
      </c>
      <c r="AG3" s="8" t="s">
        <v>6</v>
      </c>
      <c r="AH3" s="5" t="s">
        <v>7</v>
      </c>
      <c r="AI3" s="6" t="s">
        <v>3</v>
      </c>
      <c r="AJ3" s="7" t="s">
        <v>4</v>
      </c>
      <c r="AK3" s="7" t="s">
        <v>5</v>
      </c>
      <c r="AL3" s="8" t="s">
        <v>6</v>
      </c>
      <c r="AM3" s="5" t="s">
        <v>7</v>
      </c>
      <c r="AN3" s="6" t="s">
        <v>3</v>
      </c>
      <c r="AO3" s="7" t="s">
        <v>4</v>
      </c>
      <c r="AP3" s="7" t="s">
        <v>5</v>
      </c>
      <c r="AQ3" s="8" t="s">
        <v>6</v>
      </c>
      <c r="AR3" s="5" t="s">
        <v>7</v>
      </c>
      <c r="AS3" s="6" t="s">
        <v>3</v>
      </c>
      <c r="AT3" s="7" t="s">
        <v>4</v>
      </c>
      <c r="AU3" s="7" t="s">
        <v>5</v>
      </c>
      <c r="AV3" s="8" t="s">
        <v>6</v>
      </c>
      <c r="AW3" s="5" t="s">
        <v>7</v>
      </c>
      <c r="AX3" s="361"/>
      <c r="AY3" s="325"/>
      <c r="AZ3" s="326"/>
    </row>
    <row r="4" spans="1:52" ht="14.25" x14ac:dyDescent="0.15">
      <c r="A4" s="172" t="s">
        <v>30</v>
      </c>
      <c r="B4" s="70">
        <v>0</v>
      </c>
      <c r="C4" s="70">
        <v>0</v>
      </c>
      <c r="D4" s="70">
        <v>1</v>
      </c>
      <c r="E4" s="165">
        <v>2</v>
      </c>
      <c r="F4" s="71">
        <f t="shared" ref="F4:F40" si="0">SUM(B4:E4)</f>
        <v>3</v>
      </c>
      <c r="G4" s="70">
        <v>0</v>
      </c>
      <c r="H4" s="70">
        <v>0</v>
      </c>
      <c r="I4" s="70">
        <v>9</v>
      </c>
      <c r="J4" s="165">
        <v>6</v>
      </c>
      <c r="K4" s="71">
        <f t="shared" ref="K4:K40" si="1">SUM(G4:J4)</f>
        <v>15</v>
      </c>
      <c r="L4" s="70">
        <v>5</v>
      </c>
      <c r="M4" s="70">
        <v>0</v>
      </c>
      <c r="N4" s="70">
        <v>3</v>
      </c>
      <c r="O4" s="165">
        <v>3</v>
      </c>
      <c r="P4" s="71">
        <f t="shared" ref="P4:P40" si="2">SUM(L4:O4)</f>
        <v>11</v>
      </c>
      <c r="Q4" s="70">
        <v>0</v>
      </c>
      <c r="R4" s="70">
        <v>0</v>
      </c>
      <c r="S4" s="70">
        <v>0</v>
      </c>
      <c r="T4" s="165">
        <v>0</v>
      </c>
      <c r="U4" s="174">
        <f t="shared" ref="U4:U40" si="3">SUM(Q4:T4)</f>
        <v>0</v>
      </c>
      <c r="V4" s="71">
        <f t="shared" ref="V4:V12" si="4">F4+K4+P4+U4</f>
        <v>29</v>
      </c>
      <c r="W4" s="327">
        <v>43848</v>
      </c>
      <c r="X4" s="326"/>
      <c r="Y4" s="326"/>
      <c r="Z4" s="326"/>
      <c r="AC4" s="172" t="s">
        <v>86</v>
      </c>
      <c r="AD4" s="70">
        <v>0</v>
      </c>
      <c r="AE4" s="70">
        <v>0</v>
      </c>
      <c r="AF4" s="70">
        <v>0</v>
      </c>
      <c r="AG4" s="165">
        <v>0</v>
      </c>
      <c r="AH4" s="71">
        <f t="shared" ref="AH4:AH40" si="5">SUM(AD4:AG4)</f>
        <v>0</v>
      </c>
      <c r="AI4" s="70">
        <v>0</v>
      </c>
      <c r="AJ4" s="70">
        <v>0</v>
      </c>
      <c r="AK4" s="70">
        <v>0</v>
      </c>
      <c r="AL4" s="165">
        <v>6</v>
      </c>
      <c r="AM4" s="71">
        <f t="shared" ref="AM4:AM40" si="6">SUM(AI4:AL4)</f>
        <v>6</v>
      </c>
      <c r="AN4" s="70">
        <v>39</v>
      </c>
      <c r="AO4" s="70">
        <v>0</v>
      </c>
      <c r="AP4" s="70">
        <v>65</v>
      </c>
      <c r="AQ4" s="165">
        <v>34</v>
      </c>
      <c r="AR4" s="71">
        <f t="shared" ref="AR4:AR40" si="7">SUM(AN4:AQ4)</f>
        <v>138</v>
      </c>
      <c r="AS4" s="70">
        <v>0</v>
      </c>
      <c r="AT4" s="70">
        <v>0</v>
      </c>
      <c r="AU4" s="70">
        <v>0</v>
      </c>
      <c r="AV4" s="165">
        <v>0</v>
      </c>
      <c r="AW4" s="174">
        <f t="shared" ref="AW4:AW40" si="8">SUM(AS4:AV4)</f>
        <v>0</v>
      </c>
      <c r="AX4" s="71">
        <f t="shared" ref="AX4:AX40" si="9">AH4+AM4+AR4+AW4</f>
        <v>144</v>
      </c>
      <c r="AY4" s="327">
        <v>43848</v>
      </c>
      <c r="AZ4" s="326"/>
    </row>
    <row r="5" spans="1:52" x14ac:dyDescent="0.15">
      <c r="A5" s="53" t="s">
        <v>57</v>
      </c>
      <c r="B5" s="55">
        <v>1</v>
      </c>
      <c r="C5" s="55"/>
      <c r="D5" s="55">
        <v>1</v>
      </c>
      <c r="E5" s="166"/>
      <c r="F5" s="49">
        <f t="shared" si="0"/>
        <v>2</v>
      </c>
      <c r="G5" s="55"/>
      <c r="H5" s="55">
        <v>1</v>
      </c>
      <c r="I5" s="55"/>
      <c r="J5" s="166"/>
      <c r="K5" s="49">
        <f t="shared" si="1"/>
        <v>1</v>
      </c>
      <c r="L5" s="55"/>
      <c r="M5" s="55"/>
      <c r="N5" s="55"/>
      <c r="O5" s="166"/>
      <c r="P5" s="49">
        <f t="shared" si="2"/>
        <v>0</v>
      </c>
      <c r="Q5" s="55"/>
      <c r="R5" s="55"/>
      <c r="S5" s="55"/>
      <c r="T5" s="166"/>
      <c r="U5" s="175">
        <f t="shared" si="3"/>
        <v>0</v>
      </c>
      <c r="V5" s="147">
        <f t="shared" si="4"/>
        <v>3</v>
      </c>
      <c r="W5" s="328">
        <v>43852</v>
      </c>
      <c r="X5" s="326"/>
      <c r="Y5" s="326"/>
      <c r="Z5" s="326"/>
      <c r="AC5" s="53" t="s">
        <v>77</v>
      </c>
      <c r="AD5" s="55">
        <v>50</v>
      </c>
      <c r="AE5" s="55">
        <v>50</v>
      </c>
      <c r="AF5" s="55">
        <v>50</v>
      </c>
      <c r="AG5" s="166">
        <v>50</v>
      </c>
      <c r="AH5" s="49">
        <f t="shared" si="5"/>
        <v>200</v>
      </c>
      <c r="AI5" s="55">
        <v>50</v>
      </c>
      <c r="AJ5" s="55">
        <v>50</v>
      </c>
      <c r="AK5" s="55">
        <v>50</v>
      </c>
      <c r="AL5" s="166">
        <v>50</v>
      </c>
      <c r="AM5" s="49">
        <f t="shared" si="6"/>
        <v>200</v>
      </c>
      <c r="AN5" s="55"/>
      <c r="AO5" s="55"/>
      <c r="AP5" s="55"/>
      <c r="AQ5" s="166"/>
      <c r="AR5" s="49">
        <f t="shared" si="7"/>
        <v>0</v>
      </c>
      <c r="AS5" s="55">
        <v>25</v>
      </c>
      <c r="AT5" s="55">
        <v>25</v>
      </c>
      <c r="AU5" s="55">
        <v>25</v>
      </c>
      <c r="AV5" s="166">
        <v>25</v>
      </c>
      <c r="AW5" s="175">
        <f t="shared" si="8"/>
        <v>100</v>
      </c>
      <c r="AX5" s="56">
        <f t="shared" si="9"/>
        <v>500</v>
      </c>
      <c r="AY5" s="329">
        <v>43857</v>
      </c>
      <c r="AZ5" s="332" t="s">
        <v>76</v>
      </c>
    </row>
    <row r="6" spans="1:52" x14ac:dyDescent="0.15">
      <c r="A6" s="53" t="s">
        <v>28</v>
      </c>
      <c r="B6" s="55"/>
      <c r="C6" s="55">
        <v>2</v>
      </c>
      <c r="D6" s="55"/>
      <c r="E6" s="166"/>
      <c r="F6" s="49">
        <f t="shared" si="0"/>
        <v>2</v>
      </c>
      <c r="G6" s="55">
        <v>2</v>
      </c>
      <c r="H6" s="55"/>
      <c r="I6" s="55"/>
      <c r="J6" s="166"/>
      <c r="K6" s="49">
        <f t="shared" si="1"/>
        <v>2</v>
      </c>
      <c r="L6" s="55"/>
      <c r="M6" s="55"/>
      <c r="N6" s="55"/>
      <c r="O6" s="166"/>
      <c r="P6" s="49">
        <f t="shared" si="2"/>
        <v>0</v>
      </c>
      <c r="Q6" s="55"/>
      <c r="R6" s="55"/>
      <c r="S6" s="55"/>
      <c r="T6" s="166"/>
      <c r="U6" s="175">
        <f t="shared" si="3"/>
        <v>0</v>
      </c>
      <c r="V6" s="56">
        <f t="shared" si="4"/>
        <v>4</v>
      </c>
      <c r="W6" s="329">
        <v>43859</v>
      </c>
      <c r="X6" s="326"/>
      <c r="Y6" s="326"/>
      <c r="Z6" s="326"/>
      <c r="AC6" s="53" t="s">
        <v>78</v>
      </c>
      <c r="AD6" s="55">
        <v>50</v>
      </c>
      <c r="AE6" s="55">
        <v>100</v>
      </c>
      <c r="AF6" s="55">
        <v>50</v>
      </c>
      <c r="AG6" s="166">
        <v>50</v>
      </c>
      <c r="AH6" s="49">
        <f t="shared" si="5"/>
        <v>250</v>
      </c>
      <c r="AI6" s="55">
        <v>100</v>
      </c>
      <c r="AJ6" s="55">
        <v>100</v>
      </c>
      <c r="AK6" s="55">
        <v>100</v>
      </c>
      <c r="AL6" s="166">
        <v>100</v>
      </c>
      <c r="AM6" s="49">
        <f t="shared" si="6"/>
        <v>400</v>
      </c>
      <c r="AN6" s="55"/>
      <c r="AO6" s="55"/>
      <c r="AP6" s="55"/>
      <c r="AQ6" s="166"/>
      <c r="AR6" s="49">
        <f t="shared" si="7"/>
        <v>0</v>
      </c>
      <c r="AS6" s="55">
        <v>50</v>
      </c>
      <c r="AT6" s="55">
        <v>50</v>
      </c>
      <c r="AU6" s="55">
        <v>50</v>
      </c>
      <c r="AV6" s="166">
        <v>50</v>
      </c>
      <c r="AW6" s="175">
        <f t="shared" si="8"/>
        <v>200</v>
      </c>
      <c r="AX6" s="56">
        <f t="shared" si="9"/>
        <v>850</v>
      </c>
      <c r="AY6" s="329">
        <v>43857</v>
      </c>
      <c r="AZ6" s="326" t="s">
        <v>113</v>
      </c>
    </row>
    <row r="7" spans="1:52" x14ac:dyDescent="0.15">
      <c r="A7" s="53" t="s">
        <v>28</v>
      </c>
      <c r="B7" s="55"/>
      <c r="C7" s="55"/>
      <c r="D7" s="55"/>
      <c r="E7" s="166"/>
      <c r="F7" s="49">
        <f t="shared" si="0"/>
        <v>0</v>
      </c>
      <c r="G7" s="55"/>
      <c r="H7" s="55">
        <v>2</v>
      </c>
      <c r="I7" s="55"/>
      <c r="J7" s="166"/>
      <c r="K7" s="49">
        <f t="shared" si="1"/>
        <v>2</v>
      </c>
      <c r="L7" s="55"/>
      <c r="M7" s="55"/>
      <c r="N7" s="55"/>
      <c r="O7" s="166"/>
      <c r="P7" s="49">
        <f t="shared" si="2"/>
        <v>0</v>
      </c>
      <c r="Q7" s="55"/>
      <c r="R7" s="55"/>
      <c r="S7" s="55"/>
      <c r="T7" s="166"/>
      <c r="U7" s="175">
        <f t="shared" si="3"/>
        <v>0</v>
      </c>
      <c r="V7" s="56">
        <f t="shared" si="4"/>
        <v>2</v>
      </c>
      <c r="W7" s="329">
        <v>43871</v>
      </c>
      <c r="X7" s="326"/>
      <c r="Y7" s="326"/>
      <c r="Z7" s="326"/>
      <c r="AC7" s="53" t="s">
        <v>79</v>
      </c>
      <c r="AD7" s="55">
        <v>99</v>
      </c>
      <c r="AE7" s="55">
        <v>99</v>
      </c>
      <c r="AF7" s="55">
        <v>50</v>
      </c>
      <c r="AG7" s="166">
        <v>50</v>
      </c>
      <c r="AH7" s="49">
        <f t="shared" si="5"/>
        <v>298</v>
      </c>
      <c r="AI7" s="55">
        <v>150</v>
      </c>
      <c r="AJ7" s="55">
        <v>250</v>
      </c>
      <c r="AK7" s="55">
        <v>99</v>
      </c>
      <c r="AL7" s="166">
        <v>100</v>
      </c>
      <c r="AM7" s="49">
        <f t="shared" si="6"/>
        <v>599</v>
      </c>
      <c r="AN7" s="55"/>
      <c r="AO7" s="55"/>
      <c r="AP7" s="55"/>
      <c r="AQ7" s="166"/>
      <c r="AR7" s="49">
        <f t="shared" si="7"/>
        <v>0</v>
      </c>
      <c r="AS7" s="55">
        <v>99</v>
      </c>
      <c r="AT7" s="55">
        <v>150</v>
      </c>
      <c r="AU7" s="55">
        <v>75</v>
      </c>
      <c r="AV7" s="166">
        <v>75</v>
      </c>
      <c r="AW7" s="175">
        <f t="shared" si="8"/>
        <v>399</v>
      </c>
      <c r="AX7" s="56">
        <f t="shared" si="9"/>
        <v>1296</v>
      </c>
      <c r="AY7" s="329">
        <v>43857</v>
      </c>
      <c r="AZ7" s="326" t="s">
        <v>132</v>
      </c>
    </row>
    <row r="8" spans="1:52" x14ac:dyDescent="0.15">
      <c r="A8" s="53" t="s">
        <v>28</v>
      </c>
      <c r="B8" s="63">
        <v>2</v>
      </c>
      <c r="C8" s="63"/>
      <c r="D8" s="63">
        <v>2</v>
      </c>
      <c r="E8" s="167"/>
      <c r="F8" s="64">
        <f t="shared" si="0"/>
        <v>4</v>
      </c>
      <c r="G8" s="63"/>
      <c r="H8" s="63">
        <v>2</v>
      </c>
      <c r="I8" s="63"/>
      <c r="J8" s="167"/>
      <c r="K8" s="64">
        <f t="shared" si="1"/>
        <v>2</v>
      </c>
      <c r="L8" s="63"/>
      <c r="M8" s="63"/>
      <c r="N8" s="63"/>
      <c r="O8" s="167"/>
      <c r="P8" s="64">
        <f t="shared" si="2"/>
        <v>0</v>
      </c>
      <c r="Q8" s="63"/>
      <c r="R8" s="63"/>
      <c r="S8" s="63"/>
      <c r="T8" s="167"/>
      <c r="U8" s="162">
        <f t="shared" si="3"/>
        <v>0</v>
      </c>
      <c r="V8" s="56">
        <f t="shared" si="4"/>
        <v>6</v>
      </c>
      <c r="W8" s="329">
        <v>43874</v>
      </c>
      <c r="X8" s="326"/>
      <c r="Y8" s="326"/>
      <c r="Z8" s="326"/>
      <c r="AC8" s="53" t="s">
        <v>21</v>
      </c>
      <c r="AD8" s="55"/>
      <c r="AE8" s="55"/>
      <c r="AF8" s="55"/>
      <c r="AG8" s="166"/>
      <c r="AH8" s="49">
        <f>SUM(AD8:AG8)</f>
        <v>0</v>
      </c>
      <c r="AI8" s="55"/>
      <c r="AJ8" s="55"/>
      <c r="AK8" s="55"/>
      <c r="AL8" s="166"/>
      <c r="AM8" s="49">
        <f>SUM(AI8:AL8)</f>
        <v>0</v>
      </c>
      <c r="AN8" s="55"/>
      <c r="AO8" s="55"/>
      <c r="AP8" s="55"/>
      <c r="AQ8" s="166"/>
      <c r="AR8" s="49">
        <f>SUM(AN8:AQ8)</f>
        <v>0</v>
      </c>
      <c r="AS8" s="55"/>
      <c r="AT8" s="55">
        <v>1</v>
      </c>
      <c r="AU8" s="55">
        <v>2</v>
      </c>
      <c r="AV8" s="166">
        <v>4</v>
      </c>
      <c r="AW8" s="175">
        <f>SUM(AS8:AV8)</f>
        <v>7</v>
      </c>
      <c r="AX8" s="56">
        <f t="shared" si="9"/>
        <v>7</v>
      </c>
      <c r="AY8" s="329">
        <v>43925</v>
      </c>
      <c r="AZ8" s="332"/>
    </row>
    <row r="9" spans="1:52" x14ac:dyDescent="0.15">
      <c r="A9" s="53" t="s">
        <v>29</v>
      </c>
      <c r="B9" s="55"/>
      <c r="C9" s="153"/>
      <c r="D9" s="153"/>
      <c r="E9" s="168"/>
      <c r="F9" s="56">
        <f t="shared" si="0"/>
        <v>0</v>
      </c>
      <c r="G9" s="55"/>
      <c r="H9" s="153"/>
      <c r="I9" s="153"/>
      <c r="J9" s="168"/>
      <c r="K9" s="56">
        <f t="shared" si="1"/>
        <v>0</v>
      </c>
      <c r="L9" s="55"/>
      <c r="M9" s="153"/>
      <c r="N9" s="153"/>
      <c r="O9" s="168">
        <v>1</v>
      </c>
      <c r="P9" s="56">
        <f t="shared" si="2"/>
        <v>1</v>
      </c>
      <c r="Q9" s="55"/>
      <c r="R9" s="153"/>
      <c r="S9" s="153"/>
      <c r="T9" s="168"/>
      <c r="U9" s="176">
        <f t="shared" si="3"/>
        <v>0</v>
      </c>
      <c r="V9" s="147">
        <f t="shared" si="4"/>
        <v>1</v>
      </c>
      <c r="W9" s="328">
        <v>43881</v>
      </c>
      <c r="X9" s="326"/>
      <c r="Y9" s="326"/>
      <c r="Z9" s="326"/>
      <c r="AC9" s="53" t="s">
        <v>28</v>
      </c>
      <c r="AD9" s="55"/>
      <c r="AE9" s="153"/>
      <c r="AF9" s="153"/>
      <c r="AG9" s="168"/>
      <c r="AH9" s="56">
        <f t="shared" si="5"/>
        <v>0</v>
      </c>
      <c r="AI9" s="55"/>
      <c r="AJ9" s="153"/>
      <c r="AK9" s="153"/>
      <c r="AL9" s="168"/>
      <c r="AM9" s="56">
        <f t="shared" si="6"/>
        <v>0</v>
      </c>
      <c r="AN9" s="55"/>
      <c r="AO9" s="153"/>
      <c r="AP9" s="153"/>
      <c r="AQ9" s="168"/>
      <c r="AR9" s="56">
        <f t="shared" si="7"/>
        <v>0</v>
      </c>
      <c r="AS9" s="55"/>
      <c r="AT9" s="153"/>
      <c r="AU9" s="153"/>
      <c r="AV9" s="168"/>
      <c r="AW9" s="176">
        <f t="shared" si="8"/>
        <v>0</v>
      </c>
      <c r="AX9" s="56">
        <f t="shared" si="9"/>
        <v>0</v>
      </c>
      <c r="AY9" s="329"/>
      <c r="AZ9" s="326"/>
    </row>
    <row r="10" spans="1:52" x14ac:dyDescent="0.15">
      <c r="A10" s="53" t="s">
        <v>107</v>
      </c>
      <c r="B10" s="55">
        <v>1</v>
      </c>
      <c r="C10" s="153"/>
      <c r="D10" s="153"/>
      <c r="E10" s="168"/>
      <c r="F10" s="56">
        <f t="shared" si="0"/>
        <v>1</v>
      </c>
      <c r="G10" s="55"/>
      <c r="H10" s="153"/>
      <c r="I10" s="153"/>
      <c r="J10" s="168"/>
      <c r="K10" s="56">
        <f t="shared" si="1"/>
        <v>0</v>
      </c>
      <c r="L10" s="55"/>
      <c r="M10" s="153"/>
      <c r="N10" s="153"/>
      <c r="O10" s="168"/>
      <c r="P10" s="56">
        <f t="shared" si="2"/>
        <v>0</v>
      </c>
      <c r="Q10" s="55"/>
      <c r="R10" s="153"/>
      <c r="S10" s="153"/>
      <c r="T10" s="168"/>
      <c r="U10" s="176">
        <f t="shared" si="3"/>
        <v>0</v>
      </c>
      <c r="V10" s="56">
        <f t="shared" si="4"/>
        <v>1</v>
      </c>
      <c r="W10" s="329">
        <v>43895</v>
      </c>
      <c r="X10" s="326"/>
      <c r="Y10" s="326"/>
      <c r="Z10" s="326"/>
      <c r="AC10" s="53" t="s">
        <v>28</v>
      </c>
      <c r="AD10" s="55"/>
      <c r="AE10" s="153"/>
      <c r="AF10" s="153"/>
      <c r="AG10" s="168"/>
      <c r="AH10" s="56">
        <f t="shared" si="5"/>
        <v>0</v>
      </c>
      <c r="AI10" s="55"/>
      <c r="AJ10" s="153"/>
      <c r="AK10" s="153"/>
      <c r="AL10" s="168"/>
      <c r="AM10" s="56">
        <f t="shared" si="6"/>
        <v>0</v>
      </c>
      <c r="AN10" s="55"/>
      <c r="AO10" s="153"/>
      <c r="AP10" s="153"/>
      <c r="AQ10" s="168"/>
      <c r="AR10" s="56">
        <f t="shared" si="7"/>
        <v>0</v>
      </c>
      <c r="AS10" s="55"/>
      <c r="AT10" s="153"/>
      <c r="AU10" s="153"/>
      <c r="AV10" s="168"/>
      <c r="AW10" s="176">
        <f t="shared" si="8"/>
        <v>0</v>
      </c>
      <c r="AX10" s="56">
        <f t="shared" si="9"/>
        <v>0</v>
      </c>
      <c r="AY10" s="329"/>
      <c r="AZ10" s="326"/>
    </row>
    <row r="11" spans="1:52" ht="14.25" thickBot="1" x14ac:dyDescent="0.2">
      <c r="A11" s="173" t="s">
        <v>28</v>
      </c>
      <c r="B11" s="63"/>
      <c r="C11" s="164"/>
      <c r="D11" s="164"/>
      <c r="E11" s="169"/>
      <c r="F11" s="170">
        <f t="shared" si="0"/>
        <v>0</v>
      </c>
      <c r="G11" s="63"/>
      <c r="H11" s="164">
        <v>2</v>
      </c>
      <c r="I11" s="164"/>
      <c r="J11" s="169"/>
      <c r="K11" s="170">
        <f t="shared" si="1"/>
        <v>2</v>
      </c>
      <c r="L11" s="63"/>
      <c r="M11" s="164"/>
      <c r="N11" s="164"/>
      <c r="O11" s="169"/>
      <c r="P11" s="170">
        <f t="shared" si="2"/>
        <v>0</v>
      </c>
      <c r="Q11" s="63"/>
      <c r="R11" s="164"/>
      <c r="S11" s="164"/>
      <c r="T11" s="169"/>
      <c r="U11" s="179">
        <f t="shared" si="3"/>
        <v>0</v>
      </c>
      <c r="V11" s="170">
        <f t="shared" si="4"/>
        <v>2</v>
      </c>
      <c r="W11" s="329">
        <v>43896</v>
      </c>
      <c r="X11" s="326"/>
      <c r="Y11" s="326"/>
      <c r="Z11" s="326"/>
      <c r="AC11" s="53" t="s">
        <v>28</v>
      </c>
      <c r="AD11" s="63"/>
      <c r="AE11" s="164"/>
      <c r="AF11" s="164"/>
      <c r="AG11" s="169"/>
      <c r="AH11" s="170">
        <f t="shared" si="5"/>
        <v>0</v>
      </c>
      <c r="AI11" s="63"/>
      <c r="AJ11" s="164"/>
      <c r="AK11" s="164"/>
      <c r="AL11" s="169"/>
      <c r="AM11" s="170">
        <f t="shared" si="6"/>
        <v>0</v>
      </c>
      <c r="AN11" s="63"/>
      <c r="AO11" s="164"/>
      <c r="AP11" s="164"/>
      <c r="AQ11" s="169"/>
      <c r="AR11" s="170">
        <f t="shared" si="7"/>
        <v>0</v>
      </c>
      <c r="AS11" s="63"/>
      <c r="AT11" s="164"/>
      <c r="AU11" s="164"/>
      <c r="AV11" s="169"/>
      <c r="AW11" s="179">
        <f t="shared" si="8"/>
        <v>0</v>
      </c>
      <c r="AX11" s="163">
        <f t="shared" si="9"/>
        <v>0</v>
      </c>
      <c r="AY11" s="325"/>
      <c r="AZ11" s="326"/>
    </row>
    <row r="12" spans="1:52" ht="15" thickBot="1" x14ac:dyDescent="0.2">
      <c r="A12" s="181" t="s">
        <v>14</v>
      </c>
      <c r="B12" s="182">
        <f>SUM(B4:B11)</f>
        <v>4</v>
      </c>
      <c r="C12" s="183">
        <f>SUM(C4:C11)</f>
        <v>2</v>
      </c>
      <c r="D12" s="183">
        <f>SUM(D4:D11)</f>
        <v>4</v>
      </c>
      <c r="E12" s="184">
        <f>SUM(E4:E11)</f>
        <v>2</v>
      </c>
      <c r="F12" s="77">
        <f t="shared" si="0"/>
        <v>12</v>
      </c>
      <c r="G12" s="182">
        <f>SUM(G4:G11)</f>
        <v>2</v>
      </c>
      <c r="H12" s="183">
        <f>SUM(H4:H11)</f>
        <v>7</v>
      </c>
      <c r="I12" s="183">
        <f>SUM(I4:I11)</f>
        <v>9</v>
      </c>
      <c r="J12" s="184">
        <f>SUM(J4:J11)</f>
        <v>6</v>
      </c>
      <c r="K12" s="77">
        <f t="shared" si="1"/>
        <v>24</v>
      </c>
      <c r="L12" s="182">
        <f>SUM(L4:L11)</f>
        <v>5</v>
      </c>
      <c r="M12" s="183">
        <f>SUM(M4:M11)</f>
        <v>0</v>
      </c>
      <c r="N12" s="183">
        <f>SUM(N4:N11)</f>
        <v>3</v>
      </c>
      <c r="O12" s="184">
        <f>SUM(O4:O11)</f>
        <v>4</v>
      </c>
      <c r="P12" s="77">
        <f t="shared" si="2"/>
        <v>12</v>
      </c>
      <c r="Q12" s="182">
        <f>SUM(Q4:Q11)</f>
        <v>0</v>
      </c>
      <c r="R12" s="183">
        <f>SUM(R4:R11)</f>
        <v>0</v>
      </c>
      <c r="S12" s="183">
        <f>SUM(S4:S11)</f>
        <v>0</v>
      </c>
      <c r="T12" s="184">
        <f>SUM(T4:T11)</f>
        <v>0</v>
      </c>
      <c r="U12" s="182">
        <f t="shared" si="3"/>
        <v>0</v>
      </c>
      <c r="V12" s="77">
        <f t="shared" si="4"/>
        <v>48</v>
      </c>
      <c r="W12" s="325"/>
      <c r="X12" s="326"/>
      <c r="Y12" s="326"/>
      <c r="Z12" s="326"/>
      <c r="AC12" s="181" t="s">
        <v>14</v>
      </c>
      <c r="AD12" s="182">
        <f>SUM(AD4:AD11)</f>
        <v>199</v>
      </c>
      <c r="AE12" s="183">
        <f>SUM(AE4:AE11)</f>
        <v>249</v>
      </c>
      <c r="AF12" s="183">
        <f>SUM(AF4:AF11)</f>
        <v>150</v>
      </c>
      <c r="AG12" s="184">
        <f>SUM(AG4:AG11)</f>
        <v>150</v>
      </c>
      <c r="AH12" s="77">
        <f t="shared" si="5"/>
        <v>748</v>
      </c>
      <c r="AI12" s="182">
        <f>SUM(AI4:AI11)</f>
        <v>300</v>
      </c>
      <c r="AJ12" s="183">
        <f>SUM(AJ4:AJ11)</f>
        <v>400</v>
      </c>
      <c r="AK12" s="183">
        <f>SUM(AK4:AK11)</f>
        <v>249</v>
      </c>
      <c r="AL12" s="184">
        <f>SUM(AL4:AL11)</f>
        <v>256</v>
      </c>
      <c r="AM12" s="77">
        <f t="shared" si="6"/>
        <v>1205</v>
      </c>
      <c r="AN12" s="182">
        <f>SUM(AN4:AN11)</f>
        <v>39</v>
      </c>
      <c r="AO12" s="183">
        <f>SUM(AO4:AO11)</f>
        <v>0</v>
      </c>
      <c r="AP12" s="183">
        <f>SUM(AP4:AP11)</f>
        <v>65</v>
      </c>
      <c r="AQ12" s="184">
        <f>SUM(AQ4:AQ11)</f>
        <v>34</v>
      </c>
      <c r="AR12" s="77">
        <f t="shared" si="7"/>
        <v>138</v>
      </c>
      <c r="AS12" s="182">
        <f>SUM(AS4:AS11)</f>
        <v>174</v>
      </c>
      <c r="AT12" s="183">
        <f>SUM(AT4:AT11)</f>
        <v>226</v>
      </c>
      <c r="AU12" s="183">
        <f>SUM(AU4:AU11)</f>
        <v>152</v>
      </c>
      <c r="AV12" s="184">
        <f>SUM(AV4:AV11)</f>
        <v>154</v>
      </c>
      <c r="AW12" s="182">
        <f t="shared" si="8"/>
        <v>706</v>
      </c>
      <c r="AX12" s="77">
        <f t="shared" si="9"/>
        <v>2797</v>
      </c>
      <c r="AY12" s="325"/>
      <c r="AZ12" s="326"/>
    </row>
    <row r="13" spans="1:52" x14ac:dyDescent="0.15">
      <c r="A13" s="53" t="s">
        <v>97</v>
      </c>
      <c r="B13" s="46"/>
      <c r="C13" s="47"/>
      <c r="D13" s="47"/>
      <c r="E13" s="47"/>
      <c r="F13" s="48">
        <v>0</v>
      </c>
      <c r="G13" s="46"/>
      <c r="H13" s="47"/>
      <c r="I13" s="47">
        <v>3</v>
      </c>
      <c r="J13" s="47"/>
      <c r="K13" s="48">
        <v>3</v>
      </c>
      <c r="L13" s="46"/>
      <c r="M13" s="47"/>
      <c r="N13" s="47"/>
      <c r="O13" s="47"/>
      <c r="P13" s="48">
        <v>0</v>
      </c>
      <c r="Q13" s="46"/>
      <c r="R13" s="47"/>
      <c r="S13" s="47"/>
      <c r="T13" s="47"/>
      <c r="U13" s="180">
        <v>0</v>
      </c>
      <c r="V13" s="49">
        <v>3</v>
      </c>
      <c r="W13" s="329">
        <v>43858</v>
      </c>
      <c r="X13" s="326"/>
      <c r="Y13" s="326"/>
      <c r="Z13" s="326"/>
      <c r="AC13" s="65" t="s">
        <v>97</v>
      </c>
      <c r="AD13" s="46"/>
      <c r="AE13" s="47"/>
      <c r="AF13" s="47"/>
      <c r="AG13" s="47"/>
      <c r="AH13" s="48">
        <f t="shared" si="5"/>
        <v>0</v>
      </c>
      <c r="AI13" s="46"/>
      <c r="AJ13" s="47"/>
      <c r="AK13" s="47"/>
      <c r="AL13" s="47"/>
      <c r="AM13" s="48">
        <f t="shared" si="6"/>
        <v>0</v>
      </c>
      <c r="AN13" s="46">
        <v>2</v>
      </c>
      <c r="AO13" s="47"/>
      <c r="AP13" s="47"/>
      <c r="AQ13" s="47"/>
      <c r="AR13" s="48">
        <f t="shared" si="7"/>
        <v>2</v>
      </c>
      <c r="AS13" s="46"/>
      <c r="AT13" s="47"/>
      <c r="AU13" s="47"/>
      <c r="AV13" s="47"/>
      <c r="AW13" s="180">
        <f t="shared" si="8"/>
        <v>0</v>
      </c>
      <c r="AX13" s="49">
        <f t="shared" si="9"/>
        <v>2</v>
      </c>
      <c r="AY13" s="329">
        <v>43858</v>
      </c>
      <c r="AZ13" s="326"/>
    </row>
    <row r="14" spans="1:52" x14ac:dyDescent="0.15">
      <c r="A14" s="53" t="s">
        <v>98</v>
      </c>
      <c r="B14" s="54"/>
      <c r="C14" s="55"/>
      <c r="D14" s="55"/>
      <c r="E14" s="55"/>
      <c r="F14" s="56">
        <f t="shared" si="0"/>
        <v>0</v>
      </c>
      <c r="G14" s="54"/>
      <c r="H14" s="55"/>
      <c r="I14" s="55"/>
      <c r="J14" s="55">
        <v>1</v>
      </c>
      <c r="K14" s="56">
        <f t="shared" si="1"/>
        <v>1</v>
      </c>
      <c r="L14" s="54"/>
      <c r="M14" s="55"/>
      <c r="N14" s="55"/>
      <c r="O14" s="55"/>
      <c r="P14" s="56">
        <f t="shared" si="2"/>
        <v>0</v>
      </c>
      <c r="Q14" s="54"/>
      <c r="R14" s="55"/>
      <c r="S14" s="55"/>
      <c r="T14" s="55"/>
      <c r="U14" s="176">
        <f t="shared" si="3"/>
        <v>0</v>
      </c>
      <c r="V14" s="56">
        <f t="shared" ref="V14:V40" si="10">F14+K14+P14+U14</f>
        <v>1</v>
      </c>
      <c r="W14" s="329">
        <v>43857</v>
      </c>
      <c r="X14" s="326"/>
      <c r="Y14" s="326"/>
      <c r="Z14" s="326"/>
      <c r="AC14" s="65" t="s">
        <v>99</v>
      </c>
      <c r="AD14" s="54"/>
      <c r="AE14" s="55">
        <v>2</v>
      </c>
      <c r="AF14" s="55"/>
      <c r="AG14" s="55"/>
      <c r="AH14" s="56">
        <f t="shared" si="5"/>
        <v>2</v>
      </c>
      <c r="AI14" s="54">
        <v>2</v>
      </c>
      <c r="AJ14" s="55"/>
      <c r="AK14" s="55"/>
      <c r="AL14" s="55"/>
      <c r="AM14" s="56">
        <f t="shared" si="6"/>
        <v>2</v>
      </c>
      <c r="AN14" s="54"/>
      <c r="AO14" s="55"/>
      <c r="AP14" s="55"/>
      <c r="AQ14" s="55"/>
      <c r="AR14" s="56">
        <f t="shared" si="7"/>
        <v>0</v>
      </c>
      <c r="AS14" s="54"/>
      <c r="AT14" s="55"/>
      <c r="AU14" s="55"/>
      <c r="AV14" s="55"/>
      <c r="AW14" s="176">
        <f t="shared" si="8"/>
        <v>0</v>
      </c>
      <c r="AX14" s="56">
        <f t="shared" si="9"/>
        <v>4</v>
      </c>
      <c r="AY14" s="329">
        <v>43859</v>
      </c>
      <c r="AZ14" s="326"/>
    </row>
    <row r="15" spans="1:52" x14ac:dyDescent="0.15">
      <c r="A15" s="53" t="s">
        <v>100</v>
      </c>
      <c r="B15" s="54"/>
      <c r="C15" s="55"/>
      <c r="D15" s="55"/>
      <c r="E15" s="55"/>
      <c r="F15" s="56">
        <f t="shared" si="0"/>
        <v>0</v>
      </c>
      <c r="G15" s="54"/>
      <c r="H15" s="55">
        <v>1</v>
      </c>
      <c r="I15" s="55"/>
      <c r="J15" s="55"/>
      <c r="K15" s="56">
        <f t="shared" si="1"/>
        <v>1</v>
      </c>
      <c r="L15" s="54"/>
      <c r="M15" s="55"/>
      <c r="N15" s="55"/>
      <c r="O15" s="55"/>
      <c r="P15" s="56">
        <f t="shared" si="2"/>
        <v>0</v>
      </c>
      <c r="Q15" s="54"/>
      <c r="R15" s="55"/>
      <c r="S15" s="55"/>
      <c r="T15" s="55"/>
      <c r="U15" s="176">
        <f t="shared" si="3"/>
        <v>0</v>
      </c>
      <c r="V15" s="56">
        <f t="shared" si="10"/>
        <v>1</v>
      </c>
      <c r="W15" s="329">
        <v>43869</v>
      </c>
      <c r="X15" s="326"/>
      <c r="Y15" s="326"/>
      <c r="Z15" s="326"/>
      <c r="AC15" s="65" t="s">
        <v>97</v>
      </c>
      <c r="AD15" s="54"/>
      <c r="AE15" s="55"/>
      <c r="AF15" s="55"/>
      <c r="AG15" s="55">
        <v>3</v>
      </c>
      <c r="AH15" s="56">
        <f t="shared" si="5"/>
        <v>3</v>
      </c>
      <c r="AI15" s="54"/>
      <c r="AJ15" s="55"/>
      <c r="AK15" s="55"/>
      <c r="AL15" s="55"/>
      <c r="AM15" s="56">
        <f t="shared" si="6"/>
        <v>0</v>
      </c>
      <c r="AN15" s="54"/>
      <c r="AO15" s="55"/>
      <c r="AP15" s="55"/>
      <c r="AQ15" s="55">
        <v>5</v>
      </c>
      <c r="AR15" s="56">
        <f t="shared" si="7"/>
        <v>5</v>
      </c>
      <c r="AS15" s="54"/>
      <c r="AT15" s="55"/>
      <c r="AU15" s="55"/>
      <c r="AV15" s="55"/>
      <c r="AW15" s="176">
        <f t="shared" si="8"/>
        <v>0</v>
      </c>
      <c r="AX15" s="56">
        <f t="shared" si="9"/>
        <v>8</v>
      </c>
      <c r="AY15" s="329">
        <v>43871</v>
      </c>
      <c r="AZ15" s="326"/>
    </row>
    <row r="16" spans="1:52" x14ac:dyDescent="0.15">
      <c r="A16" s="53" t="s">
        <v>100</v>
      </c>
      <c r="B16" s="54"/>
      <c r="C16" s="55"/>
      <c r="D16" s="55"/>
      <c r="E16" s="55"/>
      <c r="F16" s="56">
        <f t="shared" si="0"/>
        <v>0</v>
      </c>
      <c r="G16" s="54"/>
      <c r="H16" s="55">
        <v>1</v>
      </c>
      <c r="I16" s="55"/>
      <c r="J16" s="55"/>
      <c r="K16" s="56">
        <f t="shared" si="1"/>
        <v>1</v>
      </c>
      <c r="L16" s="54"/>
      <c r="M16" s="55"/>
      <c r="N16" s="55"/>
      <c r="O16" s="55"/>
      <c r="P16" s="56">
        <f t="shared" si="2"/>
        <v>0</v>
      </c>
      <c r="Q16" s="54"/>
      <c r="R16" s="55"/>
      <c r="S16" s="55"/>
      <c r="T16" s="55"/>
      <c r="U16" s="176">
        <f t="shared" si="3"/>
        <v>0</v>
      </c>
      <c r="V16" s="56">
        <f t="shared" si="10"/>
        <v>1</v>
      </c>
      <c r="W16" s="329">
        <v>43874</v>
      </c>
      <c r="X16" s="326"/>
      <c r="Y16" s="326"/>
      <c r="Z16" s="326"/>
      <c r="AC16" s="65" t="s">
        <v>99</v>
      </c>
      <c r="AD16" s="54"/>
      <c r="AE16" s="55"/>
      <c r="AF16" s="55"/>
      <c r="AG16" s="55"/>
      <c r="AH16" s="56">
        <f t="shared" si="5"/>
        <v>0</v>
      </c>
      <c r="AI16" s="54"/>
      <c r="AJ16" s="55">
        <v>2</v>
      </c>
      <c r="AK16" s="55"/>
      <c r="AL16" s="55"/>
      <c r="AM16" s="56">
        <f t="shared" si="6"/>
        <v>2</v>
      </c>
      <c r="AN16" s="54"/>
      <c r="AO16" s="55"/>
      <c r="AP16" s="55"/>
      <c r="AQ16" s="55"/>
      <c r="AR16" s="56">
        <f t="shared" si="7"/>
        <v>0</v>
      </c>
      <c r="AS16" s="54"/>
      <c r="AT16" s="55"/>
      <c r="AU16" s="55"/>
      <c r="AV16" s="55"/>
      <c r="AW16" s="176">
        <f t="shared" si="8"/>
        <v>0</v>
      </c>
      <c r="AX16" s="56">
        <f t="shared" si="9"/>
        <v>2</v>
      </c>
      <c r="AY16" s="329">
        <v>43871</v>
      </c>
      <c r="AZ16" s="326"/>
    </row>
    <row r="17" spans="1:52" x14ac:dyDescent="0.15">
      <c r="A17" s="53" t="s">
        <v>98</v>
      </c>
      <c r="B17" s="54"/>
      <c r="C17" s="55"/>
      <c r="D17" s="55"/>
      <c r="E17" s="55"/>
      <c r="F17" s="56">
        <f t="shared" si="0"/>
        <v>0</v>
      </c>
      <c r="G17" s="54"/>
      <c r="H17" s="55"/>
      <c r="I17" s="55">
        <v>1</v>
      </c>
      <c r="J17" s="55">
        <v>1</v>
      </c>
      <c r="K17" s="56">
        <f t="shared" si="1"/>
        <v>2</v>
      </c>
      <c r="L17" s="54"/>
      <c r="M17" s="55"/>
      <c r="N17" s="55"/>
      <c r="O17" s="55"/>
      <c r="P17" s="56">
        <f t="shared" si="2"/>
        <v>0</v>
      </c>
      <c r="Q17" s="54"/>
      <c r="R17" s="55"/>
      <c r="S17" s="55"/>
      <c r="T17" s="55"/>
      <c r="U17" s="176">
        <f t="shared" si="3"/>
        <v>0</v>
      </c>
      <c r="V17" s="56">
        <f t="shared" si="10"/>
        <v>2</v>
      </c>
      <c r="W17" s="329">
        <v>43873</v>
      </c>
      <c r="X17" s="326"/>
      <c r="Y17" s="326"/>
      <c r="Z17" s="326"/>
      <c r="AC17" s="65" t="s">
        <v>101</v>
      </c>
      <c r="AD17" s="54">
        <v>5</v>
      </c>
      <c r="AE17" s="55">
        <v>5</v>
      </c>
      <c r="AF17" s="55">
        <v>5</v>
      </c>
      <c r="AG17" s="55">
        <v>5</v>
      </c>
      <c r="AH17" s="56">
        <f t="shared" si="5"/>
        <v>20</v>
      </c>
      <c r="AI17" s="54">
        <v>5</v>
      </c>
      <c r="AJ17" s="55">
        <v>5</v>
      </c>
      <c r="AK17" s="55">
        <v>5</v>
      </c>
      <c r="AL17" s="55">
        <v>5</v>
      </c>
      <c r="AM17" s="56">
        <f t="shared" si="6"/>
        <v>20</v>
      </c>
      <c r="AN17" s="54"/>
      <c r="AO17" s="55"/>
      <c r="AP17" s="55"/>
      <c r="AQ17" s="55"/>
      <c r="AR17" s="56">
        <f t="shared" si="7"/>
        <v>0</v>
      </c>
      <c r="AS17" s="54"/>
      <c r="AT17" s="55"/>
      <c r="AU17" s="55"/>
      <c r="AV17" s="55"/>
      <c r="AW17" s="176">
        <f t="shared" si="8"/>
        <v>0</v>
      </c>
      <c r="AX17" s="56">
        <f t="shared" si="9"/>
        <v>40</v>
      </c>
      <c r="AY17" s="329">
        <v>43880</v>
      </c>
      <c r="AZ17" s="326"/>
    </row>
    <row r="18" spans="1:52" x14ac:dyDescent="0.15">
      <c r="A18" s="53" t="s">
        <v>100</v>
      </c>
      <c r="B18" s="54"/>
      <c r="C18" s="55"/>
      <c r="D18" s="55"/>
      <c r="E18" s="55"/>
      <c r="F18" s="56">
        <f t="shared" si="0"/>
        <v>0</v>
      </c>
      <c r="G18" s="54"/>
      <c r="H18" s="55">
        <v>1</v>
      </c>
      <c r="I18" s="55"/>
      <c r="J18" s="55"/>
      <c r="K18" s="56">
        <f t="shared" si="1"/>
        <v>1</v>
      </c>
      <c r="L18" s="54"/>
      <c r="M18" s="55"/>
      <c r="N18" s="55"/>
      <c r="O18" s="55"/>
      <c r="P18" s="56">
        <f t="shared" si="2"/>
        <v>0</v>
      </c>
      <c r="Q18" s="54"/>
      <c r="R18" s="55"/>
      <c r="S18" s="55"/>
      <c r="T18" s="55"/>
      <c r="U18" s="176">
        <f t="shared" si="3"/>
        <v>0</v>
      </c>
      <c r="V18" s="56">
        <f t="shared" si="10"/>
        <v>1</v>
      </c>
      <c r="W18" s="329">
        <v>43887</v>
      </c>
      <c r="X18" s="326"/>
      <c r="Y18" s="326"/>
      <c r="Z18" s="326"/>
      <c r="AC18" s="65" t="s">
        <v>102</v>
      </c>
      <c r="AD18" s="54">
        <v>5</v>
      </c>
      <c r="AE18" s="55">
        <v>5</v>
      </c>
      <c r="AF18" s="55">
        <v>5</v>
      </c>
      <c r="AG18" s="55">
        <v>5</v>
      </c>
      <c r="AH18" s="56">
        <f t="shared" si="5"/>
        <v>20</v>
      </c>
      <c r="AI18" s="54">
        <v>5</v>
      </c>
      <c r="AJ18" s="55">
        <v>5</v>
      </c>
      <c r="AK18" s="55">
        <v>5</v>
      </c>
      <c r="AL18" s="55">
        <v>5</v>
      </c>
      <c r="AM18" s="56">
        <f t="shared" si="6"/>
        <v>20</v>
      </c>
      <c r="AN18" s="54"/>
      <c r="AO18" s="55"/>
      <c r="AP18" s="55"/>
      <c r="AQ18" s="55"/>
      <c r="AR18" s="56">
        <f t="shared" si="7"/>
        <v>0</v>
      </c>
      <c r="AS18" s="54"/>
      <c r="AT18" s="55"/>
      <c r="AU18" s="55"/>
      <c r="AV18" s="55"/>
      <c r="AW18" s="176">
        <f t="shared" si="8"/>
        <v>0</v>
      </c>
      <c r="AX18" s="56">
        <f t="shared" si="9"/>
        <v>40</v>
      </c>
      <c r="AY18" s="329">
        <v>43880</v>
      </c>
      <c r="AZ18" s="326"/>
    </row>
    <row r="19" spans="1:52" x14ac:dyDescent="0.15">
      <c r="A19" s="53" t="s">
        <v>100</v>
      </c>
      <c r="B19" s="54"/>
      <c r="C19" s="55"/>
      <c r="D19" s="55"/>
      <c r="E19" s="55"/>
      <c r="F19" s="56">
        <f t="shared" si="0"/>
        <v>0</v>
      </c>
      <c r="G19" s="54"/>
      <c r="H19" s="55">
        <v>1</v>
      </c>
      <c r="I19" s="55"/>
      <c r="J19" s="55"/>
      <c r="K19" s="56">
        <f t="shared" si="1"/>
        <v>1</v>
      </c>
      <c r="L19" s="54"/>
      <c r="M19" s="55"/>
      <c r="N19" s="55"/>
      <c r="O19" s="55"/>
      <c r="P19" s="56">
        <f t="shared" si="2"/>
        <v>0</v>
      </c>
      <c r="Q19" s="54"/>
      <c r="R19" s="55"/>
      <c r="S19" s="55"/>
      <c r="T19" s="55"/>
      <c r="U19" s="176">
        <f t="shared" si="3"/>
        <v>0</v>
      </c>
      <c r="V19" s="56">
        <f t="shared" si="10"/>
        <v>1</v>
      </c>
      <c r="W19" s="329">
        <v>43896</v>
      </c>
      <c r="X19" s="326"/>
      <c r="Y19" s="326"/>
      <c r="Z19" s="326"/>
      <c r="AC19" s="65" t="s">
        <v>103</v>
      </c>
      <c r="AD19" s="54">
        <v>5</v>
      </c>
      <c r="AE19" s="55">
        <v>11</v>
      </c>
      <c r="AF19" s="55">
        <v>8</v>
      </c>
      <c r="AG19" s="55">
        <v>3</v>
      </c>
      <c r="AH19" s="56">
        <f t="shared" si="5"/>
        <v>27</v>
      </c>
      <c r="AI19" s="54">
        <v>10</v>
      </c>
      <c r="AJ19" s="55">
        <v>18</v>
      </c>
      <c r="AK19" s="55">
        <v>15</v>
      </c>
      <c r="AL19" s="55">
        <v>8</v>
      </c>
      <c r="AM19" s="56">
        <f t="shared" si="6"/>
        <v>51</v>
      </c>
      <c r="AN19" s="54"/>
      <c r="AO19" s="55"/>
      <c r="AP19" s="55"/>
      <c r="AQ19" s="55"/>
      <c r="AR19" s="56">
        <f t="shared" si="7"/>
        <v>0</v>
      </c>
      <c r="AS19" s="54"/>
      <c r="AT19" s="55"/>
      <c r="AU19" s="55"/>
      <c r="AV19" s="55"/>
      <c r="AW19" s="176">
        <f t="shared" si="8"/>
        <v>0</v>
      </c>
      <c r="AX19" s="56">
        <f t="shared" si="9"/>
        <v>78</v>
      </c>
      <c r="AY19" s="329">
        <v>43908</v>
      </c>
      <c r="AZ19" s="326"/>
    </row>
    <row r="20" spans="1:52" x14ac:dyDescent="0.15">
      <c r="A20" s="53" t="s">
        <v>98</v>
      </c>
      <c r="B20" s="54"/>
      <c r="C20" s="55"/>
      <c r="D20" s="55"/>
      <c r="E20" s="55"/>
      <c r="F20" s="56">
        <f t="shared" si="0"/>
        <v>0</v>
      </c>
      <c r="G20" s="54"/>
      <c r="H20" s="55"/>
      <c r="I20" s="55"/>
      <c r="J20" s="55">
        <v>1</v>
      </c>
      <c r="K20" s="56">
        <f t="shared" si="1"/>
        <v>1</v>
      </c>
      <c r="L20" s="54"/>
      <c r="M20" s="55"/>
      <c r="N20" s="55"/>
      <c r="O20" s="55"/>
      <c r="P20" s="56">
        <f t="shared" si="2"/>
        <v>0</v>
      </c>
      <c r="Q20" s="54"/>
      <c r="R20" s="55"/>
      <c r="S20" s="55"/>
      <c r="T20" s="55"/>
      <c r="U20" s="176">
        <f t="shared" si="3"/>
        <v>0</v>
      </c>
      <c r="V20" s="147">
        <f t="shared" si="10"/>
        <v>1</v>
      </c>
      <c r="W20" s="328">
        <v>43896</v>
      </c>
      <c r="X20" s="326"/>
      <c r="Y20" s="326"/>
      <c r="Z20" s="326"/>
      <c r="AC20" s="65" t="s">
        <v>104</v>
      </c>
      <c r="AD20" s="54"/>
      <c r="AE20" s="55">
        <v>3</v>
      </c>
      <c r="AF20" s="55">
        <v>2</v>
      </c>
      <c r="AG20" s="55"/>
      <c r="AH20" s="56">
        <f t="shared" si="5"/>
        <v>5</v>
      </c>
      <c r="AI20" s="54">
        <v>3</v>
      </c>
      <c r="AJ20" s="55">
        <v>8</v>
      </c>
      <c r="AK20" s="55">
        <v>6</v>
      </c>
      <c r="AL20" s="55">
        <v>2</v>
      </c>
      <c r="AM20" s="56">
        <f t="shared" si="6"/>
        <v>19</v>
      </c>
      <c r="AN20" s="54"/>
      <c r="AO20" s="55"/>
      <c r="AP20" s="55"/>
      <c r="AQ20" s="55"/>
      <c r="AR20" s="56">
        <f t="shared" si="7"/>
        <v>0</v>
      </c>
      <c r="AS20" s="54"/>
      <c r="AT20" s="55"/>
      <c r="AU20" s="55"/>
      <c r="AV20" s="55"/>
      <c r="AW20" s="176">
        <f t="shared" si="8"/>
        <v>0</v>
      </c>
      <c r="AX20" s="56">
        <f t="shared" si="9"/>
        <v>24</v>
      </c>
      <c r="AY20" s="329">
        <v>43908</v>
      </c>
      <c r="AZ20" s="326"/>
    </row>
    <row r="21" spans="1:52" x14ac:dyDescent="0.15">
      <c r="A21" s="53" t="s">
        <v>108</v>
      </c>
      <c r="B21" s="17"/>
      <c r="C21" s="18"/>
      <c r="D21" s="18"/>
      <c r="E21" s="18"/>
      <c r="F21" s="30">
        <f t="shared" si="0"/>
        <v>0</v>
      </c>
      <c r="G21" s="17"/>
      <c r="H21" s="18"/>
      <c r="I21" s="18">
        <v>-1</v>
      </c>
      <c r="J21" s="18"/>
      <c r="K21" s="30">
        <f t="shared" si="1"/>
        <v>-1</v>
      </c>
      <c r="L21" s="17"/>
      <c r="M21" s="18"/>
      <c r="N21" s="18"/>
      <c r="O21" s="18"/>
      <c r="P21" s="30">
        <f t="shared" si="2"/>
        <v>0</v>
      </c>
      <c r="Q21" s="17"/>
      <c r="R21" s="18"/>
      <c r="S21" s="18"/>
      <c r="T21" s="18"/>
      <c r="U21" s="178">
        <f t="shared" si="3"/>
        <v>0</v>
      </c>
      <c r="V21" s="147">
        <f t="shared" si="10"/>
        <v>-1</v>
      </c>
      <c r="W21" s="328">
        <v>43900</v>
      </c>
      <c r="X21" s="326"/>
      <c r="Y21" s="326"/>
      <c r="Z21" s="326"/>
      <c r="AC21" s="65" t="s">
        <v>99</v>
      </c>
      <c r="AD21" s="17">
        <v>2</v>
      </c>
      <c r="AE21" s="18"/>
      <c r="AF21" s="18">
        <v>2</v>
      </c>
      <c r="AG21" s="18"/>
      <c r="AH21" s="30">
        <f t="shared" si="5"/>
        <v>4</v>
      </c>
      <c r="AI21" s="17"/>
      <c r="AJ21" s="18">
        <v>2</v>
      </c>
      <c r="AK21" s="18"/>
      <c r="AL21" s="18"/>
      <c r="AM21" s="30">
        <f t="shared" si="6"/>
        <v>2</v>
      </c>
      <c r="AN21" s="17"/>
      <c r="AO21" s="18"/>
      <c r="AP21" s="18"/>
      <c r="AQ21" s="18"/>
      <c r="AR21" s="30">
        <f t="shared" si="7"/>
        <v>0</v>
      </c>
      <c r="AS21" s="17"/>
      <c r="AT21" s="18"/>
      <c r="AU21" s="18"/>
      <c r="AV21" s="18"/>
      <c r="AW21" s="178">
        <f t="shared" si="8"/>
        <v>0</v>
      </c>
      <c r="AX21" s="56">
        <f t="shared" si="9"/>
        <v>6</v>
      </c>
      <c r="AY21" s="329">
        <v>43874</v>
      </c>
      <c r="AZ21" s="326"/>
    </row>
    <row r="22" spans="1:52" x14ac:dyDescent="0.15">
      <c r="A22" s="53" t="s">
        <v>100</v>
      </c>
      <c r="B22" s="54"/>
      <c r="C22" s="55"/>
      <c r="D22" s="55"/>
      <c r="E22" s="55"/>
      <c r="F22" s="56">
        <f t="shared" si="0"/>
        <v>0</v>
      </c>
      <c r="G22" s="54"/>
      <c r="H22" s="55">
        <v>1</v>
      </c>
      <c r="I22" s="55"/>
      <c r="J22" s="55"/>
      <c r="K22" s="56">
        <f t="shared" si="1"/>
        <v>1</v>
      </c>
      <c r="L22" s="54"/>
      <c r="M22" s="55"/>
      <c r="N22" s="55">
        <v>1</v>
      </c>
      <c r="O22" s="55"/>
      <c r="P22" s="56">
        <f t="shared" si="2"/>
        <v>1</v>
      </c>
      <c r="Q22" s="54"/>
      <c r="R22" s="55"/>
      <c r="S22" s="55"/>
      <c r="T22" s="55"/>
      <c r="U22" s="176">
        <f t="shared" si="3"/>
        <v>0</v>
      </c>
      <c r="V22" s="56">
        <f t="shared" si="10"/>
        <v>2</v>
      </c>
      <c r="W22" s="329">
        <v>43907</v>
      </c>
      <c r="X22" s="326"/>
      <c r="Y22" s="326"/>
      <c r="Z22" s="326"/>
      <c r="AC22" s="65" t="s">
        <v>97</v>
      </c>
      <c r="AD22" s="54"/>
      <c r="AE22" s="55"/>
      <c r="AF22" s="55"/>
      <c r="AG22" s="55"/>
      <c r="AH22" s="56">
        <f t="shared" si="5"/>
        <v>0</v>
      </c>
      <c r="AI22" s="54"/>
      <c r="AJ22" s="55"/>
      <c r="AK22" s="55"/>
      <c r="AL22" s="55"/>
      <c r="AM22" s="56">
        <f t="shared" si="6"/>
        <v>0</v>
      </c>
      <c r="AN22" s="54">
        <v>3</v>
      </c>
      <c r="AO22" s="55"/>
      <c r="AP22" s="55"/>
      <c r="AQ22" s="55"/>
      <c r="AR22" s="56">
        <f t="shared" si="7"/>
        <v>3</v>
      </c>
      <c r="AS22" s="54"/>
      <c r="AT22" s="55"/>
      <c r="AU22" s="55"/>
      <c r="AV22" s="55"/>
      <c r="AW22" s="176">
        <f t="shared" si="8"/>
        <v>0</v>
      </c>
      <c r="AX22" s="56">
        <f t="shared" si="9"/>
        <v>3</v>
      </c>
      <c r="AY22" s="329">
        <v>43879</v>
      </c>
      <c r="AZ22" s="326"/>
    </row>
    <row r="23" spans="1:52" x14ac:dyDescent="0.15">
      <c r="A23" s="53" t="s">
        <v>100</v>
      </c>
      <c r="B23" s="54"/>
      <c r="C23" s="55"/>
      <c r="D23" s="55"/>
      <c r="E23" s="55"/>
      <c r="F23" s="56">
        <f t="shared" si="0"/>
        <v>0</v>
      </c>
      <c r="G23" s="54"/>
      <c r="H23" s="55">
        <v>1</v>
      </c>
      <c r="I23" s="55"/>
      <c r="J23" s="55"/>
      <c r="K23" s="56">
        <f t="shared" si="1"/>
        <v>1</v>
      </c>
      <c r="L23" s="54"/>
      <c r="M23" s="55"/>
      <c r="N23" s="55"/>
      <c r="O23" s="55"/>
      <c r="P23" s="56">
        <f t="shared" si="2"/>
        <v>0</v>
      </c>
      <c r="Q23" s="54"/>
      <c r="R23" s="55"/>
      <c r="S23" s="55"/>
      <c r="T23" s="55"/>
      <c r="U23" s="176">
        <f t="shared" si="3"/>
        <v>0</v>
      </c>
      <c r="V23" s="56">
        <f t="shared" si="10"/>
        <v>1</v>
      </c>
      <c r="W23" s="329">
        <v>43913</v>
      </c>
      <c r="X23" s="326"/>
      <c r="Y23" s="326"/>
      <c r="Z23" s="326"/>
      <c r="AC23" s="67" t="s">
        <v>119</v>
      </c>
      <c r="AD23" s="54">
        <v>5</v>
      </c>
      <c r="AE23" s="55">
        <v>5</v>
      </c>
      <c r="AF23" s="55">
        <v>5</v>
      </c>
      <c r="AG23" s="55">
        <v>5</v>
      </c>
      <c r="AH23" s="56">
        <f>SUM(AD23:AG23)</f>
        <v>20</v>
      </c>
      <c r="AI23" s="54">
        <v>5</v>
      </c>
      <c r="AJ23" s="55">
        <v>5</v>
      </c>
      <c r="AK23" s="55">
        <v>5</v>
      </c>
      <c r="AL23" s="55">
        <v>5</v>
      </c>
      <c r="AM23" s="56">
        <f>SUM(AI23:AL23)</f>
        <v>20</v>
      </c>
      <c r="AN23" s="54">
        <v>5</v>
      </c>
      <c r="AO23" s="55"/>
      <c r="AP23" s="55">
        <v>5</v>
      </c>
      <c r="AQ23" s="55">
        <v>5</v>
      </c>
      <c r="AR23" s="56">
        <f>SUM(AN23:AQ23)</f>
        <v>15</v>
      </c>
      <c r="AS23" s="54">
        <v>5</v>
      </c>
      <c r="AT23" s="55">
        <v>5</v>
      </c>
      <c r="AU23" s="55">
        <v>5</v>
      </c>
      <c r="AV23" s="55">
        <v>5</v>
      </c>
      <c r="AW23" s="176">
        <f>SUM(AS23:AV23)</f>
        <v>20</v>
      </c>
      <c r="AX23" s="56">
        <f t="shared" si="9"/>
        <v>75</v>
      </c>
      <c r="AY23" s="329" t="s">
        <v>105</v>
      </c>
      <c r="AZ23" s="326"/>
    </row>
    <row r="24" spans="1:52" x14ac:dyDescent="0.15">
      <c r="A24" s="53" t="s">
        <v>109</v>
      </c>
      <c r="B24" s="54"/>
      <c r="C24" s="55"/>
      <c r="D24" s="55"/>
      <c r="E24" s="55">
        <v>-1</v>
      </c>
      <c r="F24" s="56">
        <f t="shared" si="0"/>
        <v>-1</v>
      </c>
      <c r="G24" s="54"/>
      <c r="H24" s="55"/>
      <c r="I24" s="55"/>
      <c r="J24" s="55"/>
      <c r="K24" s="56">
        <f t="shared" si="1"/>
        <v>0</v>
      </c>
      <c r="L24" s="54"/>
      <c r="M24" s="55"/>
      <c r="N24" s="55"/>
      <c r="O24" s="55"/>
      <c r="P24" s="56">
        <f t="shared" si="2"/>
        <v>0</v>
      </c>
      <c r="Q24" s="54"/>
      <c r="R24" s="55">
        <v>-1</v>
      </c>
      <c r="S24" s="55">
        <v>-2</v>
      </c>
      <c r="T24" s="55">
        <v>-4</v>
      </c>
      <c r="U24" s="176">
        <f t="shared" si="3"/>
        <v>-7</v>
      </c>
      <c r="V24" s="56">
        <f t="shared" si="10"/>
        <v>-8</v>
      </c>
      <c r="W24" s="329">
        <v>43913</v>
      </c>
      <c r="X24" s="326"/>
      <c r="Y24" s="326"/>
      <c r="Z24" s="326"/>
      <c r="AC24" s="66" t="s">
        <v>120</v>
      </c>
      <c r="AD24" s="33">
        <v>10</v>
      </c>
      <c r="AE24" s="34">
        <v>15</v>
      </c>
      <c r="AF24" s="34">
        <v>10</v>
      </c>
      <c r="AG24" s="34">
        <v>10</v>
      </c>
      <c r="AH24" s="30">
        <f>SUM(AD24:AG24)</f>
        <v>45</v>
      </c>
      <c r="AI24" s="33">
        <v>15</v>
      </c>
      <c r="AJ24" s="34">
        <v>20</v>
      </c>
      <c r="AK24" s="34">
        <v>15</v>
      </c>
      <c r="AL24" s="34">
        <v>15</v>
      </c>
      <c r="AM24" s="30">
        <f>SUM(AI24:AL24)</f>
        <v>65</v>
      </c>
      <c r="AN24" s="33">
        <v>10</v>
      </c>
      <c r="AO24" s="34"/>
      <c r="AP24" s="34">
        <v>10</v>
      </c>
      <c r="AQ24" s="34">
        <v>10</v>
      </c>
      <c r="AR24" s="30">
        <f>SUM(AN24:AQ24)</f>
        <v>30</v>
      </c>
      <c r="AS24" s="33">
        <v>15</v>
      </c>
      <c r="AT24" s="34">
        <v>30</v>
      </c>
      <c r="AU24" s="34">
        <v>20</v>
      </c>
      <c r="AV24" s="34">
        <v>25</v>
      </c>
      <c r="AW24" s="178">
        <f>SUM(AS24:AV24)</f>
        <v>90</v>
      </c>
      <c r="AX24" s="170">
        <f t="shared" si="9"/>
        <v>230</v>
      </c>
      <c r="AY24" s="329" t="s">
        <v>105</v>
      </c>
      <c r="AZ24" s="326"/>
    </row>
    <row r="25" spans="1:52" x14ac:dyDescent="0.15">
      <c r="A25" s="53" t="s">
        <v>100</v>
      </c>
      <c r="B25" s="54"/>
      <c r="C25" s="55"/>
      <c r="D25" s="55"/>
      <c r="E25" s="55"/>
      <c r="F25" s="56">
        <f t="shared" si="0"/>
        <v>0</v>
      </c>
      <c r="G25" s="54"/>
      <c r="H25" s="55">
        <v>1</v>
      </c>
      <c r="I25" s="55"/>
      <c r="J25" s="55"/>
      <c r="K25" s="56">
        <f t="shared" si="1"/>
        <v>1</v>
      </c>
      <c r="L25" s="54"/>
      <c r="M25" s="55"/>
      <c r="N25" s="55"/>
      <c r="O25" s="55"/>
      <c r="P25" s="56">
        <f t="shared" si="2"/>
        <v>0</v>
      </c>
      <c r="Q25" s="54"/>
      <c r="R25" s="55"/>
      <c r="S25" s="55"/>
      <c r="T25" s="55"/>
      <c r="U25" s="176">
        <f t="shared" si="3"/>
        <v>0</v>
      </c>
      <c r="V25" s="56">
        <f t="shared" si="10"/>
        <v>1</v>
      </c>
      <c r="W25" s="329">
        <v>43914</v>
      </c>
      <c r="X25" s="326"/>
      <c r="Y25" s="326"/>
      <c r="Z25" s="326"/>
      <c r="AC25" s="65" t="s">
        <v>99</v>
      </c>
      <c r="AD25" s="54"/>
      <c r="AE25" s="55"/>
      <c r="AF25" s="55"/>
      <c r="AG25" s="55"/>
      <c r="AH25" s="56">
        <f t="shared" si="5"/>
        <v>0</v>
      </c>
      <c r="AI25" s="54"/>
      <c r="AJ25" s="55">
        <v>2</v>
      </c>
      <c r="AK25" s="55"/>
      <c r="AL25" s="55"/>
      <c r="AM25" s="56">
        <f t="shared" si="6"/>
        <v>2</v>
      </c>
      <c r="AN25" s="54"/>
      <c r="AO25" s="55"/>
      <c r="AP25" s="55"/>
      <c r="AQ25" s="55"/>
      <c r="AR25" s="56">
        <f t="shared" si="7"/>
        <v>0</v>
      </c>
      <c r="AS25" s="54"/>
      <c r="AT25" s="55"/>
      <c r="AU25" s="55"/>
      <c r="AV25" s="55"/>
      <c r="AW25" s="176">
        <f t="shared" si="8"/>
        <v>0</v>
      </c>
      <c r="AX25" s="56">
        <f t="shared" si="9"/>
        <v>2</v>
      </c>
      <c r="AY25" s="329">
        <v>43896</v>
      </c>
      <c r="AZ25" s="332"/>
    </row>
    <row r="26" spans="1:52" x14ac:dyDescent="0.15">
      <c r="A26" s="53" t="s">
        <v>111</v>
      </c>
      <c r="B26" s="54"/>
      <c r="C26" s="55"/>
      <c r="D26" s="55"/>
      <c r="E26" s="55"/>
      <c r="F26" s="56">
        <f t="shared" si="0"/>
        <v>0</v>
      </c>
      <c r="G26" s="54"/>
      <c r="H26" s="55">
        <v>-3</v>
      </c>
      <c r="I26" s="55"/>
      <c r="J26" s="55"/>
      <c r="K26" s="56">
        <f t="shared" si="1"/>
        <v>-3</v>
      </c>
      <c r="L26" s="54"/>
      <c r="M26" s="55"/>
      <c r="N26" s="55"/>
      <c r="O26" s="55"/>
      <c r="P26" s="56">
        <f t="shared" si="2"/>
        <v>0</v>
      </c>
      <c r="Q26" s="54"/>
      <c r="R26" s="55"/>
      <c r="S26" s="55"/>
      <c r="T26" s="55"/>
      <c r="U26" s="176">
        <f t="shared" si="3"/>
        <v>0</v>
      </c>
      <c r="V26" s="56">
        <f t="shared" si="10"/>
        <v>-3</v>
      </c>
      <c r="W26" s="329">
        <v>43914</v>
      </c>
      <c r="X26" s="326"/>
      <c r="Y26" s="326"/>
      <c r="Z26" s="326"/>
      <c r="AC26" s="65" t="s">
        <v>99</v>
      </c>
      <c r="AD26" s="54"/>
      <c r="AE26" s="55"/>
      <c r="AF26" s="55"/>
      <c r="AG26" s="55"/>
      <c r="AH26" s="56">
        <f>SUM(AD26:AG26)</f>
        <v>0</v>
      </c>
      <c r="AI26" s="54"/>
      <c r="AJ26" s="55">
        <v>3</v>
      </c>
      <c r="AK26" s="55"/>
      <c r="AL26" s="55"/>
      <c r="AM26" s="56">
        <f>SUM(AI26:AL26)</f>
        <v>3</v>
      </c>
      <c r="AN26" s="54"/>
      <c r="AO26" s="55"/>
      <c r="AP26" s="55"/>
      <c r="AQ26" s="55"/>
      <c r="AR26" s="56">
        <f>SUM(AN26:AQ26)</f>
        <v>0</v>
      </c>
      <c r="AS26" s="54"/>
      <c r="AT26" s="55"/>
      <c r="AU26" s="55"/>
      <c r="AV26" s="55"/>
      <c r="AW26" s="176">
        <f>SUM(AS26:AV26)</f>
        <v>0</v>
      </c>
      <c r="AX26" s="56">
        <f t="shared" si="9"/>
        <v>3</v>
      </c>
      <c r="AY26" s="329">
        <v>43914</v>
      </c>
      <c r="AZ26" s="326"/>
    </row>
    <row r="27" spans="1:52" x14ac:dyDescent="0.15">
      <c r="A27" s="53" t="s">
        <v>98</v>
      </c>
      <c r="B27" s="54"/>
      <c r="C27" s="55"/>
      <c r="D27" s="55"/>
      <c r="E27" s="55">
        <v>1</v>
      </c>
      <c r="F27" s="56">
        <f t="shared" si="0"/>
        <v>1</v>
      </c>
      <c r="G27" s="54"/>
      <c r="H27" s="55"/>
      <c r="I27" s="55"/>
      <c r="J27" s="55"/>
      <c r="K27" s="56">
        <f t="shared" si="1"/>
        <v>0</v>
      </c>
      <c r="L27" s="54"/>
      <c r="M27" s="55"/>
      <c r="N27" s="55"/>
      <c r="O27" s="55"/>
      <c r="P27" s="56">
        <f t="shared" si="2"/>
        <v>0</v>
      </c>
      <c r="Q27" s="54"/>
      <c r="R27" s="55"/>
      <c r="S27" s="55"/>
      <c r="T27" s="55"/>
      <c r="U27" s="176">
        <f t="shared" si="3"/>
        <v>0</v>
      </c>
      <c r="V27" s="147">
        <f t="shared" si="10"/>
        <v>1</v>
      </c>
      <c r="W27" s="328">
        <v>43916</v>
      </c>
      <c r="X27" s="326"/>
      <c r="Y27" s="326"/>
      <c r="Z27" s="326"/>
      <c r="AC27" s="65" t="s">
        <v>110</v>
      </c>
      <c r="AD27" s="54"/>
      <c r="AE27" s="55"/>
      <c r="AF27" s="55"/>
      <c r="AG27" s="55"/>
      <c r="AH27" s="56">
        <f>SUM(AD27:AG27)</f>
        <v>0</v>
      </c>
      <c r="AI27" s="54"/>
      <c r="AJ27" s="55"/>
      <c r="AK27" s="55">
        <v>3</v>
      </c>
      <c r="AL27" s="55"/>
      <c r="AM27" s="56">
        <f>SUM(AI27:AL27)</f>
        <v>3</v>
      </c>
      <c r="AN27" s="54"/>
      <c r="AO27" s="55"/>
      <c r="AP27" s="55"/>
      <c r="AQ27" s="55"/>
      <c r="AR27" s="56">
        <f>SUM(AN27:AQ27)</f>
        <v>0</v>
      </c>
      <c r="AS27" s="54"/>
      <c r="AT27" s="55"/>
      <c r="AU27" s="55"/>
      <c r="AV27" s="55"/>
      <c r="AW27" s="176">
        <f>SUM(AS27:AV27)</f>
        <v>0</v>
      </c>
      <c r="AX27" s="56">
        <f t="shared" si="9"/>
        <v>3</v>
      </c>
      <c r="AY27" s="329">
        <v>43929</v>
      </c>
      <c r="AZ27" s="326"/>
    </row>
    <row r="28" spans="1:52" x14ac:dyDescent="0.15">
      <c r="A28" s="53" t="s">
        <v>115</v>
      </c>
      <c r="B28" s="54"/>
      <c r="C28" s="55"/>
      <c r="D28" s="55"/>
      <c r="E28" s="55"/>
      <c r="F28" s="56">
        <f t="shared" si="0"/>
        <v>0</v>
      </c>
      <c r="G28" s="54"/>
      <c r="H28" s="55"/>
      <c r="I28" s="55"/>
      <c r="J28" s="55"/>
      <c r="K28" s="56">
        <f t="shared" si="1"/>
        <v>0</v>
      </c>
      <c r="L28" s="54"/>
      <c r="M28" s="55"/>
      <c r="N28" s="55"/>
      <c r="O28" s="55"/>
      <c r="P28" s="56">
        <f t="shared" si="2"/>
        <v>0</v>
      </c>
      <c r="Q28" s="54"/>
      <c r="R28" s="55">
        <v>1</v>
      </c>
      <c r="S28" s="55">
        <v>2</v>
      </c>
      <c r="T28" s="55">
        <v>4</v>
      </c>
      <c r="U28" s="176">
        <f t="shared" si="3"/>
        <v>7</v>
      </c>
      <c r="V28" s="147">
        <f t="shared" si="10"/>
        <v>7</v>
      </c>
      <c r="W28" s="328">
        <v>43925</v>
      </c>
      <c r="X28" s="326"/>
      <c r="Y28" s="326"/>
      <c r="Z28" s="326"/>
      <c r="AC28" s="65" t="s">
        <v>112</v>
      </c>
      <c r="AD28" s="54">
        <v>5</v>
      </c>
      <c r="AE28" s="55"/>
      <c r="AF28" s="55"/>
      <c r="AG28" s="55"/>
      <c r="AH28" s="56">
        <f>SUM(AD28:AG28)</f>
        <v>5</v>
      </c>
      <c r="AI28" s="54"/>
      <c r="AJ28" s="55"/>
      <c r="AK28" s="55"/>
      <c r="AL28" s="55"/>
      <c r="AM28" s="56">
        <f>SUM(AI28:AL28)</f>
        <v>0</v>
      </c>
      <c r="AN28" s="54"/>
      <c r="AO28" s="55"/>
      <c r="AP28" s="55"/>
      <c r="AQ28" s="55"/>
      <c r="AR28" s="56">
        <f>SUM(AN28:AQ28)</f>
        <v>0</v>
      </c>
      <c r="AS28" s="54"/>
      <c r="AT28" s="55"/>
      <c r="AU28" s="55"/>
      <c r="AV28" s="55"/>
      <c r="AW28" s="176">
        <f>SUM(AS28:AV28)</f>
        <v>0</v>
      </c>
      <c r="AX28" s="56">
        <f t="shared" si="9"/>
        <v>5</v>
      </c>
      <c r="AY28" s="329">
        <v>43931</v>
      </c>
      <c r="AZ28" s="326"/>
    </row>
    <row r="29" spans="1:52" x14ac:dyDescent="0.15">
      <c r="A29" s="53" t="s">
        <v>98</v>
      </c>
      <c r="B29" s="54"/>
      <c r="C29" s="55"/>
      <c r="D29" s="55"/>
      <c r="E29" s="55"/>
      <c r="F29" s="56">
        <f t="shared" si="0"/>
        <v>0</v>
      </c>
      <c r="G29" s="54"/>
      <c r="H29" s="55"/>
      <c r="I29" s="55"/>
      <c r="J29" s="55">
        <v>1</v>
      </c>
      <c r="K29" s="56">
        <f t="shared" si="1"/>
        <v>1</v>
      </c>
      <c r="L29" s="54"/>
      <c r="M29" s="55"/>
      <c r="N29" s="55"/>
      <c r="O29" s="55"/>
      <c r="P29" s="56">
        <f t="shared" si="2"/>
        <v>0</v>
      </c>
      <c r="Q29" s="54"/>
      <c r="R29" s="55"/>
      <c r="S29" s="55"/>
      <c r="T29" s="55"/>
      <c r="U29" s="176">
        <f t="shared" si="3"/>
        <v>0</v>
      </c>
      <c r="V29" s="147">
        <f t="shared" si="10"/>
        <v>1</v>
      </c>
      <c r="W29" s="328">
        <v>43932</v>
      </c>
      <c r="X29" s="326"/>
      <c r="Y29" s="326"/>
      <c r="Z29" s="326"/>
      <c r="AC29" s="65" t="s">
        <v>114</v>
      </c>
      <c r="AD29" s="54"/>
      <c r="AE29" s="55"/>
      <c r="AF29" s="55"/>
      <c r="AG29" s="55"/>
      <c r="AH29" s="56">
        <f t="shared" si="5"/>
        <v>0</v>
      </c>
      <c r="AI29" s="54">
        <v>2</v>
      </c>
      <c r="AJ29" s="55"/>
      <c r="AK29" s="55"/>
      <c r="AL29" s="55">
        <v>2</v>
      </c>
      <c r="AM29" s="56">
        <f t="shared" si="6"/>
        <v>4</v>
      </c>
      <c r="AN29" s="54"/>
      <c r="AO29" s="55"/>
      <c r="AP29" s="55"/>
      <c r="AQ29" s="55"/>
      <c r="AR29" s="56">
        <f t="shared" si="7"/>
        <v>0</v>
      </c>
      <c r="AS29" s="54"/>
      <c r="AT29" s="55"/>
      <c r="AU29" s="55"/>
      <c r="AV29" s="55"/>
      <c r="AW29" s="176">
        <f t="shared" si="8"/>
        <v>0</v>
      </c>
      <c r="AX29" s="56">
        <f t="shared" si="9"/>
        <v>4</v>
      </c>
      <c r="AY29" s="329">
        <v>43934</v>
      </c>
      <c r="AZ29" s="326"/>
    </row>
    <row r="30" spans="1:52" x14ac:dyDescent="0.15">
      <c r="A30" s="53" t="s">
        <v>121</v>
      </c>
      <c r="B30" s="54"/>
      <c r="C30" s="55"/>
      <c r="D30" s="55"/>
      <c r="E30" s="55"/>
      <c r="F30" s="56">
        <f t="shared" si="0"/>
        <v>0</v>
      </c>
      <c r="G30" s="54"/>
      <c r="H30" s="55"/>
      <c r="I30" s="55"/>
      <c r="J30" s="55">
        <v>-1</v>
      </c>
      <c r="K30" s="56">
        <f t="shared" si="1"/>
        <v>-1</v>
      </c>
      <c r="L30" s="54"/>
      <c r="M30" s="55"/>
      <c r="N30" s="55"/>
      <c r="O30" s="55"/>
      <c r="P30" s="56">
        <f t="shared" si="2"/>
        <v>0</v>
      </c>
      <c r="Q30" s="54"/>
      <c r="R30" s="55"/>
      <c r="S30" s="55"/>
      <c r="T30" s="55"/>
      <c r="U30" s="176">
        <f t="shared" si="3"/>
        <v>0</v>
      </c>
      <c r="V30" s="147">
        <f t="shared" si="10"/>
        <v>-1</v>
      </c>
      <c r="W30" s="328">
        <v>43937</v>
      </c>
      <c r="X30" s="326"/>
      <c r="Y30" s="326"/>
      <c r="Z30" s="326"/>
      <c r="AC30" s="65" t="s">
        <v>116</v>
      </c>
      <c r="AD30" s="54">
        <v>5</v>
      </c>
      <c r="AE30" s="55">
        <v>1</v>
      </c>
      <c r="AF30" s="55">
        <v>1</v>
      </c>
      <c r="AG30" s="55">
        <v>2</v>
      </c>
      <c r="AH30" s="56">
        <f t="shared" si="5"/>
        <v>9</v>
      </c>
      <c r="AI30" s="54">
        <v>10</v>
      </c>
      <c r="AJ30" s="55">
        <v>10</v>
      </c>
      <c r="AK30" s="55"/>
      <c r="AL30" s="55">
        <v>20</v>
      </c>
      <c r="AM30" s="56">
        <f t="shared" si="6"/>
        <v>40</v>
      </c>
      <c r="AN30" s="54"/>
      <c r="AO30" s="55"/>
      <c r="AP30" s="55"/>
      <c r="AQ30" s="55"/>
      <c r="AR30" s="56">
        <f t="shared" si="7"/>
        <v>0</v>
      </c>
      <c r="AS30" s="54"/>
      <c r="AT30" s="55"/>
      <c r="AU30" s="55"/>
      <c r="AV30" s="55"/>
      <c r="AW30" s="176">
        <f t="shared" si="8"/>
        <v>0</v>
      </c>
      <c r="AX30" s="56">
        <f t="shared" si="9"/>
        <v>49</v>
      </c>
      <c r="AY30" s="329">
        <v>43941</v>
      </c>
      <c r="AZ30" s="326"/>
    </row>
    <row r="31" spans="1:52" x14ac:dyDescent="0.15">
      <c r="A31" s="53" t="s">
        <v>98</v>
      </c>
      <c r="B31" s="54"/>
      <c r="C31" s="55"/>
      <c r="D31" s="55"/>
      <c r="E31" s="55"/>
      <c r="F31" s="56">
        <f t="shared" si="0"/>
        <v>0</v>
      </c>
      <c r="G31" s="54"/>
      <c r="H31" s="55"/>
      <c r="I31" s="55"/>
      <c r="J31" s="55">
        <v>1</v>
      </c>
      <c r="K31" s="56">
        <f t="shared" si="1"/>
        <v>1</v>
      </c>
      <c r="L31" s="54"/>
      <c r="M31" s="55"/>
      <c r="N31" s="55"/>
      <c r="O31" s="55"/>
      <c r="P31" s="56">
        <f t="shared" si="2"/>
        <v>0</v>
      </c>
      <c r="Q31" s="54"/>
      <c r="R31" s="55"/>
      <c r="S31" s="55"/>
      <c r="T31" s="55"/>
      <c r="U31" s="176">
        <f t="shared" si="3"/>
        <v>0</v>
      </c>
      <c r="V31" s="147">
        <f t="shared" si="10"/>
        <v>1</v>
      </c>
      <c r="W31" s="328">
        <v>43941</v>
      </c>
      <c r="X31" s="326"/>
      <c r="Y31" s="326"/>
      <c r="Z31" s="326"/>
      <c r="AC31" s="65" t="s">
        <v>117</v>
      </c>
      <c r="AD31" s="54"/>
      <c r="AE31" s="55">
        <v>2</v>
      </c>
      <c r="AF31" s="55"/>
      <c r="AG31" s="55"/>
      <c r="AH31" s="56">
        <f t="shared" si="5"/>
        <v>2</v>
      </c>
      <c r="AI31" s="54">
        <v>6</v>
      </c>
      <c r="AJ31" s="55">
        <v>24</v>
      </c>
      <c r="AK31" s="55">
        <v>8</v>
      </c>
      <c r="AL31" s="55">
        <v>10</v>
      </c>
      <c r="AM31" s="56">
        <f t="shared" si="6"/>
        <v>48</v>
      </c>
      <c r="AN31" s="54"/>
      <c r="AO31" s="55"/>
      <c r="AP31" s="55"/>
      <c r="AQ31" s="55"/>
      <c r="AR31" s="56">
        <f t="shared" si="7"/>
        <v>0</v>
      </c>
      <c r="AS31" s="54"/>
      <c r="AT31" s="55"/>
      <c r="AU31" s="55"/>
      <c r="AV31" s="55"/>
      <c r="AW31" s="176">
        <f t="shared" si="8"/>
        <v>0</v>
      </c>
      <c r="AX31" s="56">
        <f t="shared" si="9"/>
        <v>50</v>
      </c>
      <c r="AY31" s="329">
        <v>43941</v>
      </c>
      <c r="AZ31" s="326"/>
    </row>
    <row r="32" spans="1:52" x14ac:dyDescent="0.15">
      <c r="A32" s="53" t="s">
        <v>127</v>
      </c>
      <c r="B32" s="17"/>
      <c r="C32" s="18">
        <v>1</v>
      </c>
      <c r="D32" s="18"/>
      <c r="E32" s="18"/>
      <c r="F32" s="30">
        <f t="shared" si="0"/>
        <v>1</v>
      </c>
      <c r="G32" s="17"/>
      <c r="H32" s="18"/>
      <c r="I32" s="18"/>
      <c r="J32" s="18"/>
      <c r="K32" s="30">
        <f t="shared" si="1"/>
        <v>0</v>
      </c>
      <c r="L32" s="17"/>
      <c r="M32" s="18"/>
      <c r="N32" s="18"/>
      <c r="O32" s="18"/>
      <c r="P32" s="30">
        <f t="shared" si="2"/>
        <v>0</v>
      </c>
      <c r="Q32" s="17"/>
      <c r="R32" s="18"/>
      <c r="S32" s="18"/>
      <c r="T32" s="18"/>
      <c r="U32" s="178">
        <f t="shared" si="3"/>
        <v>0</v>
      </c>
      <c r="V32" s="56">
        <f t="shared" si="10"/>
        <v>1</v>
      </c>
      <c r="W32" s="329">
        <v>43945</v>
      </c>
      <c r="X32" s="326"/>
      <c r="Y32" s="326"/>
      <c r="Z32" s="326"/>
      <c r="AC32" s="66" t="s">
        <v>118</v>
      </c>
      <c r="AD32" s="17"/>
      <c r="AE32" s="18">
        <v>3</v>
      </c>
      <c r="AF32" s="18"/>
      <c r="AG32" s="18"/>
      <c r="AH32" s="30">
        <f t="shared" si="5"/>
        <v>3</v>
      </c>
      <c r="AI32" s="17"/>
      <c r="AJ32" s="18"/>
      <c r="AK32" s="18"/>
      <c r="AL32" s="18"/>
      <c r="AM32" s="30">
        <f t="shared" si="6"/>
        <v>0</v>
      </c>
      <c r="AN32" s="17"/>
      <c r="AO32" s="18"/>
      <c r="AP32" s="18"/>
      <c r="AQ32" s="18"/>
      <c r="AR32" s="30">
        <f t="shared" si="7"/>
        <v>0</v>
      </c>
      <c r="AS32" s="17"/>
      <c r="AT32" s="18"/>
      <c r="AU32" s="18"/>
      <c r="AV32" s="18"/>
      <c r="AW32" s="178">
        <f t="shared" si="8"/>
        <v>0</v>
      </c>
      <c r="AX32" s="56">
        <f t="shared" si="9"/>
        <v>3</v>
      </c>
      <c r="AY32" s="329">
        <v>43942</v>
      </c>
      <c r="AZ32" s="332"/>
    </row>
    <row r="33" spans="1:52" x14ac:dyDescent="0.15">
      <c r="A33" s="53" t="s">
        <v>98</v>
      </c>
      <c r="B33" s="54"/>
      <c r="C33" s="55"/>
      <c r="D33" s="55"/>
      <c r="E33" s="55"/>
      <c r="F33" s="56">
        <f t="shared" si="0"/>
        <v>0</v>
      </c>
      <c r="G33" s="54"/>
      <c r="H33" s="55">
        <v>1</v>
      </c>
      <c r="I33" s="55"/>
      <c r="J33" s="55"/>
      <c r="K33" s="56">
        <f t="shared" si="1"/>
        <v>1</v>
      </c>
      <c r="L33" s="54"/>
      <c r="M33" s="55"/>
      <c r="N33" s="55"/>
      <c r="O33" s="55"/>
      <c r="P33" s="56">
        <f t="shared" si="2"/>
        <v>0</v>
      </c>
      <c r="Q33" s="54"/>
      <c r="R33" s="55"/>
      <c r="S33" s="55"/>
      <c r="T33" s="55"/>
      <c r="U33" s="176">
        <f t="shared" si="3"/>
        <v>0</v>
      </c>
      <c r="V33" s="147">
        <f t="shared" si="10"/>
        <v>1</v>
      </c>
      <c r="W33" s="328">
        <v>43945</v>
      </c>
      <c r="X33" s="326"/>
      <c r="Y33" s="326"/>
      <c r="Z33" s="326"/>
      <c r="AC33" s="65" t="s">
        <v>122</v>
      </c>
      <c r="AD33" s="54"/>
      <c r="AE33" s="55">
        <v>1</v>
      </c>
      <c r="AF33" s="55"/>
      <c r="AG33" s="55"/>
      <c r="AH33" s="56">
        <f>SUM(AD33:AG33)</f>
        <v>1</v>
      </c>
      <c r="AI33" s="54"/>
      <c r="AJ33" s="55"/>
      <c r="AK33" s="55">
        <v>1</v>
      </c>
      <c r="AL33" s="55"/>
      <c r="AM33" s="56">
        <f>SUM(AI33:AL33)</f>
        <v>1</v>
      </c>
      <c r="AN33" s="54"/>
      <c r="AO33" s="55"/>
      <c r="AP33" s="55"/>
      <c r="AQ33" s="55"/>
      <c r="AR33" s="56">
        <f>SUM(AN33:AQ33)</f>
        <v>0</v>
      </c>
      <c r="AS33" s="54"/>
      <c r="AT33" s="55"/>
      <c r="AU33" s="55"/>
      <c r="AV33" s="55"/>
      <c r="AW33" s="176">
        <f>SUM(AS33:AV33)</f>
        <v>0</v>
      </c>
      <c r="AX33" s="56">
        <f t="shared" si="9"/>
        <v>2</v>
      </c>
      <c r="AY33" s="329">
        <v>43953</v>
      </c>
      <c r="AZ33" s="326"/>
    </row>
    <row r="34" spans="1:52" x14ac:dyDescent="0.15">
      <c r="A34" s="53" t="s">
        <v>121</v>
      </c>
      <c r="B34" s="62"/>
      <c r="C34" s="63"/>
      <c r="D34" s="63"/>
      <c r="E34" s="63"/>
      <c r="F34" s="56">
        <f t="shared" si="0"/>
        <v>0</v>
      </c>
      <c r="G34" s="62"/>
      <c r="H34" s="63"/>
      <c r="I34" s="63"/>
      <c r="J34" s="63">
        <v>-1</v>
      </c>
      <c r="K34" s="56">
        <f t="shared" si="1"/>
        <v>-1</v>
      </c>
      <c r="L34" s="62"/>
      <c r="M34" s="63"/>
      <c r="N34" s="63"/>
      <c r="O34" s="63"/>
      <c r="P34" s="56">
        <f t="shared" si="2"/>
        <v>0</v>
      </c>
      <c r="Q34" s="62"/>
      <c r="R34" s="63"/>
      <c r="S34" s="63"/>
      <c r="T34" s="63"/>
      <c r="U34" s="176">
        <f t="shared" si="3"/>
        <v>0</v>
      </c>
      <c r="V34" s="147">
        <f t="shared" si="10"/>
        <v>-1</v>
      </c>
      <c r="W34" s="328">
        <v>43945</v>
      </c>
      <c r="X34" s="326"/>
      <c r="Y34" s="326"/>
      <c r="Z34" s="326"/>
      <c r="AC34" s="65" t="s">
        <v>123</v>
      </c>
      <c r="AD34" s="33"/>
      <c r="AE34" s="34"/>
      <c r="AF34" s="34"/>
      <c r="AG34" s="34"/>
      <c r="AH34" s="30">
        <f>SUM(AD34:AG34)</f>
        <v>0</v>
      </c>
      <c r="AI34" s="33"/>
      <c r="AJ34" s="34">
        <v>1</v>
      </c>
      <c r="AK34" s="34"/>
      <c r="AL34" s="34"/>
      <c r="AM34" s="30">
        <f>SUM(AI34:AL34)</f>
        <v>1</v>
      </c>
      <c r="AN34" s="33"/>
      <c r="AO34" s="34"/>
      <c r="AP34" s="34"/>
      <c r="AQ34" s="34"/>
      <c r="AR34" s="30">
        <f>SUM(AN34:AQ34)</f>
        <v>0</v>
      </c>
      <c r="AS34" s="33"/>
      <c r="AT34" s="34"/>
      <c r="AU34" s="34"/>
      <c r="AV34" s="34"/>
      <c r="AW34" s="178">
        <f>SUM(AS34:AV34)</f>
        <v>0</v>
      </c>
      <c r="AX34" s="170">
        <f t="shared" si="9"/>
        <v>1</v>
      </c>
      <c r="AY34" s="329">
        <v>43953</v>
      </c>
      <c r="AZ34" s="326"/>
    </row>
    <row r="35" spans="1:52" x14ac:dyDescent="0.15">
      <c r="A35" s="53" t="s">
        <v>100</v>
      </c>
      <c r="B35" s="54"/>
      <c r="C35" s="55"/>
      <c r="D35" s="55"/>
      <c r="E35" s="55"/>
      <c r="F35" s="56">
        <f t="shared" si="0"/>
        <v>0</v>
      </c>
      <c r="G35" s="54">
        <v>1</v>
      </c>
      <c r="H35" s="55"/>
      <c r="I35" s="55"/>
      <c r="J35" s="55"/>
      <c r="K35" s="56">
        <f t="shared" si="1"/>
        <v>1</v>
      </c>
      <c r="L35" s="54"/>
      <c r="M35" s="55"/>
      <c r="N35" s="55"/>
      <c r="O35" s="55"/>
      <c r="P35" s="56">
        <f t="shared" si="2"/>
        <v>0</v>
      </c>
      <c r="Q35" s="54"/>
      <c r="R35" s="55"/>
      <c r="S35" s="55"/>
      <c r="T35" s="55"/>
      <c r="U35" s="176">
        <f t="shared" si="3"/>
        <v>0</v>
      </c>
      <c r="V35" s="56">
        <f t="shared" si="10"/>
        <v>1</v>
      </c>
      <c r="W35" s="329">
        <v>43952</v>
      </c>
      <c r="X35" s="326"/>
      <c r="Y35" s="326"/>
      <c r="Z35" s="326"/>
      <c r="AC35" s="65" t="s">
        <v>128</v>
      </c>
      <c r="AD35" s="54">
        <v>1</v>
      </c>
      <c r="AE35" s="55"/>
      <c r="AF35" s="55"/>
      <c r="AG35" s="55"/>
      <c r="AH35" s="56">
        <f t="shared" si="5"/>
        <v>1</v>
      </c>
      <c r="AI35" s="54"/>
      <c r="AJ35" s="55">
        <v>5</v>
      </c>
      <c r="AK35" s="55"/>
      <c r="AL35" s="55"/>
      <c r="AM35" s="56">
        <f t="shared" si="6"/>
        <v>5</v>
      </c>
      <c r="AN35" s="54"/>
      <c r="AO35" s="55"/>
      <c r="AP35" s="55"/>
      <c r="AQ35" s="55"/>
      <c r="AR35" s="56">
        <f t="shared" si="7"/>
        <v>0</v>
      </c>
      <c r="AS35" s="54"/>
      <c r="AT35" s="55"/>
      <c r="AU35" s="55"/>
      <c r="AV35" s="55"/>
      <c r="AW35" s="176">
        <f t="shared" si="8"/>
        <v>0</v>
      </c>
      <c r="AX35" s="56">
        <f t="shared" si="9"/>
        <v>6</v>
      </c>
      <c r="AY35" s="329">
        <v>43953</v>
      </c>
      <c r="AZ35" s="326"/>
    </row>
    <row r="36" spans="1:52" x14ac:dyDescent="0.15">
      <c r="A36" s="53" t="s">
        <v>100</v>
      </c>
      <c r="B36" s="54"/>
      <c r="C36" s="55">
        <v>1</v>
      </c>
      <c r="D36" s="55"/>
      <c r="E36" s="55"/>
      <c r="F36" s="56">
        <f t="shared" si="0"/>
        <v>1</v>
      </c>
      <c r="G36" s="54"/>
      <c r="H36" s="55"/>
      <c r="I36" s="55"/>
      <c r="J36" s="55"/>
      <c r="K36" s="56">
        <f t="shared" si="1"/>
        <v>0</v>
      </c>
      <c r="L36" s="54"/>
      <c r="M36" s="55"/>
      <c r="N36" s="55"/>
      <c r="O36" s="55"/>
      <c r="P36" s="56">
        <f t="shared" si="2"/>
        <v>0</v>
      </c>
      <c r="Q36" s="54"/>
      <c r="R36" s="55"/>
      <c r="S36" s="55"/>
      <c r="T36" s="55"/>
      <c r="U36" s="176">
        <f t="shared" si="3"/>
        <v>0</v>
      </c>
      <c r="V36" s="56">
        <f t="shared" si="10"/>
        <v>1</v>
      </c>
      <c r="W36" s="329">
        <v>43953</v>
      </c>
      <c r="X36" s="326"/>
      <c r="Y36" s="326"/>
      <c r="Z36" s="326"/>
      <c r="AC36" s="65" t="s">
        <v>129</v>
      </c>
      <c r="AD36" s="54"/>
      <c r="AE36" s="55"/>
      <c r="AF36" s="55"/>
      <c r="AG36" s="55"/>
      <c r="AH36" s="56">
        <f t="shared" si="5"/>
        <v>0</v>
      </c>
      <c r="AI36" s="54"/>
      <c r="AJ36" s="55"/>
      <c r="AK36" s="55"/>
      <c r="AL36" s="55">
        <v>7</v>
      </c>
      <c r="AM36" s="56">
        <f t="shared" si="6"/>
        <v>7</v>
      </c>
      <c r="AN36" s="54"/>
      <c r="AO36" s="55"/>
      <c r="AP36" s="55"/>
      <c r="AQ36" s="55"/>
      <c r="AR36" s="56">
        <f t="shared" si="7"/>
        <v>0</v>
      </c>
      <c r="AS36" s="54"/>
      <c r="AT36" s="55"/>
      <c r="AU36" s="55"/>
      <c r="AV36" s="55"/>
      <c r="AW36" s="176">
        <f t="shared" si="8"/>
        <v>0</v>
      </c>
      <c r="AX36" s="56">
        <f t="shared" si="9"/>
        <v>7</v>
      </c>
      <c r="AY36" s="329">
        <v>43953</v>
      </c>
      <c r="AZ36" s="326"/>
    </row>
    <row r="37" spans="1:52" x14ac:dyDescent="0.15">
      <c r="A37" s="193"/>
      <c r="B37" s="54"/>
      <c r="C37" s="55"/>
      <c r="D37" s="55"/>
      <c r="E37" s="55"/>
      <c r="F37" s="56">
        <f t="shared" si="0"/>
        <v>0</v>
      </c>
      <c r="G37" s="54"/>
      <c r="H37" s="55"/>
      <c r="I37" s="55"/>
      <c r="J37" s="55"/>
      <c r="K37" s="56">
        <f t="shared" si="1"/>
        <v>0</v>
      </c>
      <c r="L37" s="54"/>
      <c r="M37" s="55"/>
      <c r="N37" s="55"/>
      <c r="O37" s="55"/>
      <c r="P37" s="56">
        <f t="shared" si="2"/>
        <v>0</v>
      </c>
      <c r="Q37" s="54"/>
      <c r="R37" s="55"/>
      <c r="S37" s="55"/>
      <c r="T37" s="55"/>
      <c r="U37" s="176">
        <f t="shared" si="3"/>
        <v>0</v>
      </c>
      <c r="V37" s="147">
        <f t="shared" si="10"/>
        <v>0</v>
      </c>
      <c r="W37" s="329"/>
      <c r="X37" s="326"/>
      <c r="Y37" s="326"/>
      <c r="Z37" s="326"/>
      <c r="AC37" s="66" t="s">
        <v>130</v>
      </c>
      <c r="AD37" s="54"/>
      <c r="AE37" s="55"/>
      <c r="AF37" s="55"/>
      <c r="AG37" s="55"/>
      <c r="AH37" s="56">
        <f>SUM(AD37:AG37)</f>
        <v>0</v>
      </c>
      <c r="AI37" s="54"/>
      <c r="AJ37" s="55"/>
      <c r="AK37" s="55"/>
      <c r="AL37" s="55"/>
      <c r="AM37" s="56">
        <f>SUM(AI37:AL37)</f>
        <v>0</v>
      </c>
      <c r="AN37" s="54"/>
      <c r="AO37" s="55"/>
      <c r="AP37" s="55"/>
      <c r="AQ37" s="55"/>
      <c r="AR37" s="56">
        <f>SUM(AN37:AQ37)</f>
        <v>0</v>
      </c>
      <c r="AS37" s="54"/>
      <c r="AT37" s="55">
        <v>10</v>
      </c>
      <c r="AU37" s="55"/>
      <c r="AV37" s="55"/>
      <c r="AW37" s="176">
        <f>SUM(AS37:AV37)</f>
        <v>10</v>
      </c>
      <c r="AX37" s="56">
        <f t="shared" si="9"/>
        <v>10</v>
      </c>
      <c r="AY37" s="329">
        <v>43952</v>
      </c>
      <c r="AZ37" s="326"/>
    </row>
    <row r="38" spans="1:52" ht="14.25" thickBot="1" x14ac:dyDescent="0.2">
      <c r="A38" s="194"/>
      <c r="B38" s="33"/>
      <c r="C38" s="34"/>
      <c r="D38" s="34"/>
      <c r="E38" s="34"/>
      <c r="F38" s="30">
        <f t="shared" si="0"/>
        <v>0</v>
      </c>
      <c r="G38" s="33"/>
      <c r="H38" s="34"/>
      <c r="I38" s="34"/>
      <c r="J38" s="34"/>
      <c r="K38" s="30">
        <f t="shared" si="1"/>
        <v>0</v>
      </c>
      <c r="L38" s="33"/>
      <c r="M38" s="34"/>
      <c r="N38" s="34"/>
      <c r="O38" s="34"/>
      <c r="P38" s="30">
        <f t="shared" si="2"/>
        <v>0</v>
      </c>
      <c r="Q38" s="33"/>
      <c r="R38" s="34"/>
      <c r="S38" s="34"/>
      <c r="T38" s="34"/>
      <c r="U38" s="178">
        <f t="shared" si="3"/>
        <v>0</v>
      </c>
      <c r="V38" s="163">
        <f t="shared" si="10"/>
        <v>0</v>
      </c>
      <c r="W38" s="329"/>
      <c r="X38" s="326"/>
      <c r="Y38" s="326"/>
      <c r="Z38" s="326"/>
      <c r="AC38" s="65"/>
      <c r="AD38" s="54"/>
      <c r="AE38" s="55"/>
      <c r="AF38" s="55"/>
      <c r="AG38" s="55"/>
      <c r="AH38" s="56">
        <f>SUM(AD38:AG38)</f>
        <v>0</v>
      </c>
      <c r="AI38" s="54"/>
      <c r="AJ38" s="55"/>
      <c r="AK38" s="55"/>
      <c r="AL38" s="55"/>
      <c r="AM38" s="56">
        <f>SUM(AI38:AL38)</f>
        <v>0</v>
      </c>
      <c r="AN38" s="54"/>
      <c r="AO38" s="55"/>
      <c r="AP38" s="55"/>
      <c r="AQ38" s="55"/>
      <c r="AR38" s="56">
        <f>SUM(AN38:AQ38)</f>
        <v>0</v>
      </c>
      <c r="AS38" s="54"/>
      <c r="AT38" s="55"/>
      <c r="AU38" s="55"/>
      <c r="AV38" s="55"/>
      <c r="AW38" s="176">
        <f>SUM(AS38:AV38)</f>
        <v>0</v>
      </c>
      <c r="AX38" s="147">
        <f t="shared" si="9"/>
        <v>0</v>
      </c>
      <c r="AY38" s="333"/>
      <c r="AZ38" s="326"/>
    </row>
    <row r="39" spans="1:52" ht="15" thickBot="1" x14ac:dyDescent="0.2">
      <c r="A39" s="9" t="s">
        <v>15</v>
      </c>
      <c r="B39" s="36">
        <f>SUM(B13:B38)</f>
        <v>0</v>
      </c>
      <c r="C39" s="37">
        <f>SUM(C13:C38)</f>
        <v>2</v>
      </c>
      <c r="D39" s="37">
        <f>SUM(D13:D38)</f>
        <v>0</v>
      </c>
      <c r="E39" s="38">
        <f>SUM(E13:E38)</f>
        <v>0</v>
      </c>
      <c r="F39" s="25">
        <f t="shared" si="0"/>
        <v>2</v>
      </c>
      <c r="G39" s="36">
        <f>SUM(G13:G38)</f>
        <v>1</v>
      </c>
      <c r="H39" s="37">
        <f>SUM(H13:H38)</f>
        <v>5</v>
      </c>
      <c r="I39" s="37">
        <f>SUM(I13:I38)</f>
        <v>3</v>
      </c>
      <c r="J39" s="38">
        <f>SUM(J13:J38)</f>
        <v>3</v>
      </c>
      <c r="K39" s="25">
        <f t="shared" si="1"/>
        <v>12</v>
      </c>
      <c r="L39" s="36">
        <f>SUM(L13:L38)</f>
        <v>0</v>
      </c>
      <c r="M39" s="37">
        <f>SUM(M13:M38)</f>
        <v>0</v>
      </c>
      <c r="N39" s="37">
        <f>SUM(N13:N38)</f>
        <v>1</v>
      </c>
      <c r="O39" s="38">
        <f>SUM(O13:O38)</f>
        <v>0</v>
      </c>
      <c r="P39" s="25">
        <f t="shared" si="2"/>
        <v>1</v>
      </c>
      <c r="Q39" s="36">
        <f>SUM(Q13:Q38)</f>
        <v>0</v>
      </c>
      <c r="R39" s="37">
        <f>SUM(R13:R38)</f>
        <v>0</v>
      </c>
      <c r="S39" s="37">
        <f>SUM(S13:S38)</f>
        <v>0</v>
      </c>
      <c r="T39" s="38">
        <f>SUM(T13:T38)</f>
        <v>0</v>
      </c>
      <c r="U39" s="36">
        <f t="shared" si="3"/>
        <v>0</v>
      </c>
      <c r="V39" s="77">
        <f t="shared" si="10"/>
        <v>15</v>
      </c>
      <c r="W39" s="325"/>
      <c r="X39" s="326"/>
      <c r="Y39" s="326"/>
      <c r="Z39" s="326"/>
      <c r="AC39" s="9" t="s">
        <v>15</v>
      </c>
      <c r="AD39" s="36">
        <f>SUM(AD13:AD38)</f>
        <v>43</v>
      </c>
      <c r="AE39" s="37">
        <f>SUM(AE13:AE38)</f>
        <v>53</v>
      </c>
      <c r="AF39" s="37">
        <f>SUM(AF13:AF38)</f>
        <v>38</v>
      </c>
      <c r="AG39" s="38">
        <f>SUM(AG13:AG38)</f>
        <v>33</v>
      </c>
      <c r="AH39" s="25">
        <f t="shared" si="5"/>
        <v>167</v>
      </c>
      <c r="AI39" s="36">
        <f>SUM(AI13:AI38)</f>
        <v>63</v>
      </c>
      <c r="AJ39" s="37">
        <f>SUM(AJ13:AJ38)</f>
        <v>110</v>
      </c>
      <c r="AK39" s="37">
        <f>SUM(AK13:AK38)</f>
        <v>63</v>
      </c>
      <c r="AL39" s="38">
        <f>SUM(AL13:AL38)</f>
        <v>79</v>
      </c>
      <c r="AM39" s="25">
        <f t="shared" si="6"/>
        <v>315</v>
      </c>
      <c r="AN39" s="36">
        <f>SUM(AN13:AN38)</f>
        <v>20</v>
      </c>
      <c r="AO39" s="37">
        <f>SUM(AO13:AO38)</f>
        <v>0</v>
      </c>
      <c r="AP39" s="37">
        <f>SUM(AP13:AP38)</f>
        <v>15</v>
      </c>
      <c r="AQ39" s="38">
        <f>SUM(AQ13:AQ38)</f>
        <v>20</v>
      </c>
      <c r="AR39" s="25">
        <f t="shared" si="7"/>
        <v>55</v>
      </c>
      <c r="AS39" s="36">
        <f>SUM(AS13:AS38)</f>
        <v>20</v>
      </c>
      <c r="AT39" s="37">
        <f>SUM(AT13:AT38)</f>
        <v>45</v>
      </c>
      <c r="AU39" s="37">
        <f>SUM(AU13:AU38)</f>
        <v>25</v>
      </c>
      <c r="AV39" s="38">
        <f>SUM(AV13:AV38)</f>
        <v>30</v>
      </c>
      <c r="AW39" s="36">
        <f t="shared" si="8"/>
        <v>120</v>
      </c>
      <c r="AX39" s="77">
        <f t="shared" si="9"/>
        <v>657</v>
      </c>
      <c r="AY39" s="325"/>
      <c r="AZ39" s="326"/>
    </row>
    <row r="40" spans="1:52" ht="14.25" thickBot="1" x14ac:dyDescent="0.2">
      <c r="A40" s="39" t="s">
        <v>16</v>
      </c>
      <c r="B40" s="40">
        <f>B12-B39</f>
        <v>4</v>
      </c>
      <c r="C40" s="41">
        <f>C12-C39</f>
        <v>0</v>
      </c>
      <c r="D40" s="41">
        <f>D12-D39</f>
        <v>4</v>
      </c>
      <c r="E40" s="42">
        <f>E12-E39</f>
        <v>2</v>
      </c>
      <c r="F40" s="171">
        <f t="shared" si="0"/>
        <v>10</v>
      </c>
      <c r="G40" s="40">
        <f>G12-G39</f>
        <v>1</v>
      </c>
      <c r="H40" s="41">
        <f>H12-H39</f>
        <v>2</v>
      </c>
      <c r="I40" s="41">
        <f>I12-I39</f>
        <v>6</v>
      </c>
      <c r="J40" s="42">
        <f>J12-J39</f>
        <v>3</v>
      </c>
      <c r="K40" s="171">
        <f t="shared" si="1"/>
        <v>12</v>
      </c>
      <c r="L40" s="40">
        <f>L12-L39</f>
        <v>5</v>
      </c>
      <c r="M40" s="41">
        <f>M12-M39</f>
        <v>0</v>
      </c>
      <c r="N40" s="41">
        <f>N12-N39</f>
        <v>2</v>
      </c>
      <c r="O40" s="42">
        <f>O12-O39</f>
        <v>4</v>
      </c>
      <c r="P40" s="171">
        <f t="shared" si="2"/>
        <v>11</v>
      </c>
      <c r="Q40" s="40">
        <f>Q12-Q39</f>
        <v>0</v>
      </c>
      <c r="R40" s="41">
        <f>R12-R39</f>
        <v>0</v>
      </c>
      <c r="S40" s="41">
        <f>S12-S39</f>
        <v>0</v>
      </c>
      <c r="T40" s="42">
        <f>T12-T39</f>
        <v>0</v>
      </c>
      <c r="U40" s="177">
        <f t="shared" si="3"/>
        <v>0</v>
      </c>
      <c r="V40" s="77">
        <f t="shared" si="10"/>
        <v>33</v>
      </c>
      <c r="W40" s="325"/>
      <c r="X40" s="326"/>
      <c r="Y40" s="326"/>
      <c r="Z40" s="326"/>
      <c r="AC40" s="39" t="s">
        <v>16</v>
      </c>
      <c r="AD40" s="40">
        <f>AD12-AD39</f>
        <v>156</v>
      </c>
      <c r="AE40" s="41">
        <f>AE12-AE39</f>
        <v>196</v>
      </c>
      <c r="AF40" s="41">
        <f>AF12-AF39</f>
        <v>112</v>
      </c>
      <c r="AG40" s="42">
        <f>AG12-AG39</f>
        <v>117</v>
      </c>
      <c r="AH40" s="171">
        <f t="shared" si="5"/>
        <v>581</v>
      </c>
      <c r="AI40" s="40">
        <f>AI12-AI39</f>
        <v>237</v>
      </c>
      <c r="AJ40" s="41">
        <f>AJ12-AJ39</f>
        <v>290</v>
      </c>
      <c r="AK40" s="41">
        <f>AK12-AK39</f>
        <v>186</v>
      </c>
      <c r="AL40" s="42">
        <f>AL12-AL39</f>
        <v>177</v>
      </c>
      <c r="AM40" s="171">
        <f t="shared" si="6"/>
        <v>890</v>
      </c>
      <c r="AN40" s="40">
        <f>AN12-AN39</f>
        <v>19</v>
      </c>
      <c r="AO40" s="41">
        <f>AO12-AO39</f>
        <v>0</v>
      </c>
      <c r="AP40" s="41">
        <f>AP12-AP39</f>
        <v>50</v>
      </c>
      <c r="AQ40" s="42">
        <f>AQ12-AQ39</f>
        <v>14</v>
      </c>
      <c r="AR40" s="171">
        <f t="shared" si="7"/>
        <v>83</v>
      </c>
      <c r="AS40" s="40">
        <f>AS12-AS39</f>
        <v>154</v>
      </c>
      <c r="AT40" s="41">
        <f>AT12-AT39</f>
        <v>181</v>
      </c>
      <c r="AU40" s="41">
        <f>AU12-AU39</f>
        <v>127</v>
      </c>
      <c r="AV40" s="42">
        <f>AV12-AV39</f>
        <v>124</v>
      </c>
      <c r="AW40" s="177">
        <f t="shared" si="8"/>
        <v>586</v>
      </c>
      <c r="AX40" s="77">
        <f t="shared" si="9"/>
        <v>2140</v>
      </c>
      <c r="AY40" s="325"/>
      <c r="AZ40" s="326"/>
    </row>
    <row r="41" spans="1:52" x14ac:dyDescent="0.15">
      <c r="W41" s="325"/>
      <c r="X41" s="326"/>
      <c r="Y41" s="326"/>
      <c r="Z41" s="326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Y41" s="325"/>
      <c r="AZ41" s="326"/>
    </row>
    <row r="42" spans="1:52" x14ac:dyDescent="0.15">
      <c r="W42" s="325"/>
      <c r="X42" s="326"/>
      <c r="Y42" s="326"/>
      <c r="Z42" s="326"/>
      <c r="AY42" s="325"/>
      <c r="AZ42" s="326"/>
    </row>
    <row r="43" spans="1:52" ht="19.5" thickBot="1" x14ac:dyDescent="0.25">
      <c r="A43" s="185" t="s">
        <v>19</v>
      </c>
      <c r="B43" s="186"/>
      <c r="C43" s="186"/>
      <c r="D43" s="186"/>
      <c r="E43" s="186"/>
      <c r="F43" s="18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25"/>
      <c r="X43" s="326"/>
      <c r="Y43" s="326"/>
      <c r="Z43" s="326"/>
      <c r="AC43" s="187" t="s">
        <v>73</v>
      </c>
      <c r="AD43" s="188"/>
      <c r="AE43" s="188"/>
      <c r="AF43" s="188"/>
      <c r="AG43" s="188"/>
      <c r="AH43" s="188"/>
      <c r="AI43" s="188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325"/>
      <c r="AZ43" s="326"/>
    </row>
    <row r="44" spans="1:52" ht="14.25" thickBot="1" x14ac:dyDescent="0.2">
      <c r="A44" s="3" t="s">
        <v>0</v>
      </c>
      <c r="B44" s="371" t="s">
        <v>17</v>
      </c>
      <c r="C44" s="372"/>
      <c r="D44" s="372"/>
      <c r="E44" s="372"/>
      <c r="F44" s="373"/>
      <c r="G44" s="371" t="s">
        <v>18</v>
      </c>
      <c r="H44" s="372"/>
      <c r="I44" s="372"/>
      <c r="J44" s="372"/>
      <c r="K44" s="373"/>
      <c r="L44" s="371" t="s">
        <v>38</v>
      </c>
      <c r="M44" s="372"/>
      <c r="N44" s="372"/>
      <c r="O44" s="372"/>
      <c r="P44" s="373"/>
      <c r="Q44" s="371" t="s">
        <v>75</v>
      </c>
      <c r="R44" s="372"/>
      <c r="S44" s="372"/>
      <c r="T44" s="372"/>
      <c r="U44" s="373"/>
      <c r="V44" s="360" t="s">
        <v>1</v>
      </c>
      <c r="W44" s="325"/>
      <c r="X44" s="326"/>
      <c r="Y44" s="326"/>
      <c r="Z44" s="326"/>
      <c r="AC44" s="3" t="s">
        <v>0</v>
      </c>
      <c r="AD44" s="371" t="s">
        <v>17</v>
      </c>
      <c r="AE44" s="372"/>
      <c r="AF44" s="372"/>
      <c r="AG44" s="372"/>
      <c r="AH44" s="373"/>
      <c r="AI44" s="371" t="s">
        <v>18</v>
      </c>
      <c r="AJ44" s="372"/>
      <c r="AK44" s="372"/>
      <c r="AL44" s="372"/>
      <c r="AM44" s="373"/>
      <c r="AN44" s="371" t="s">
        <v>38</v>
      </c>
      <c r="AO44" s="372"/>
      <c r="AP44" s="372"/>
      <c r="AQ44" s="372"/>
      <c r="AR44" s="373"/>
      <c r="AS44" s="371" t="s">
        <v>75</v>
      </c>
      <c r="AT44" s="372"/>
      <c r="AU44" s="372"/>
      <c r="AV44" s="372"/>
      <c r="AW44" s="373"/>
      <c r="AX44" s="360" t="s">
        <v>1</v>
      </c>
      <c r="AY44" s="325"/>
      <c r="AZ44" s="326"/>
    </row>
    <row r="45" spans="1:52" ht="14.25" thickBot="1" x14ac:dyDescent="0.2">
      <c r="A45" s="5" t="s">
        <v>2</v>
      </c>
      <c r="B45" s="6" t="s">
        <v>3</v>
      </c>
      <c r="C45" s="7" t="s">
        <v>4</v>
      </c>
      <c r="D45" s="7" t="s">
        <v>5</v>
      </c>
      <c r="E45" s="8" t="s">
        <v>6</v>
      </c>
      <c r="F45" s="5" t="s">
        <v>7</v>
      </c>
      <c r="G45" s="6" t="s">
        <v>3</v>
      </c>
      <c r="H45" s="7" t="s">
        <v>4</v>
      </c>
      <c r="I45" s="7" t="s">
        <v>5</v>
      </c>
      <c r="J45" s="8" t="s">
        <v>6</v>
      </c>
      <c r="K45" s="5" t="s">
        <v>7</v>
      </c>
      <c r="L45" s="6" t="s">
        <v>3</v>
      </c>
      <c r="M45" s="7" t="s">
        <v>4</v>
      </c>
      <c r="N45" s="7" t="s">
        <v>5</v>
      </c>
      <c r="O45" s="8" t="s">
        <v>6</v>
      </c>
      <c r="P45" s="5" t="s">
        <v>7</v>
      </c>
      <c r="Q45" s="6" t="s">
        <v>3</v>
      </c>
      <c r="R45" s="7" t="s">
        <v>4</v>
      </c>
      <c r="S45" s="7" t="s">
        <v>5</v>
      </c>
      <c r="T45" s="8" t="s">
        <v>6</v>
      </c>
      <c r="U45" s="5" t="s">
        <v>7</v>
      </c>
      <c r="V45" s="361"/>
      <c r="W45" s="325"/>
      <c r="X45" s="326"/>
      <c r="Y45" s="326"/>
      <c r="Z45" s="326"/>
      <c r="AC45" s="5" t="s">
        <v>2</v>
      </c>
      <c r="AD45" s="6" t="s">
        <v>3</v>
      </c>
      <c r="AE45" s="7" t="s">
        <v>4</v>
      </c>
      <c r="AF45" s="7" t="s">
        <v>5</v>
      </c>
      <c r="AG45" s="8" t="s">
        <v>6</v>
      </c>
      <c r="AH45" s="5" t="s">
        <v>7</v>
      </c>
      <c r="AI45" s="6" t="s">
        <v>3</v>
      </c>
      <c r="AJ45" s="7" t="s">
        <v>4</v>
      </c>
      <c r="AK45" s="7" t="s">
        <v>5</v>
      </c>
      <c r="AL45" s="8" t="s">
        <v>6</v>
      </c>
      <c r="AM45" s="5" t="s">
        <v>7</v>
      </c>
      <c r="AN45" s="6" t="s">
        <v>3</v>
      </c>
      <c r="AO45" s="7" t="s">
        <v>4</v>
      </c>
      <c r="AP45" s="7" t="s">
        <v>5</v>
      </c>
      <c r="AQ45" s="8" t="s">
        <v>6</v>
      </c>
      <c r="AR45" s="5" t="s">
        <v>7</v>
      </c>
      <c r="AS45" s="6" t="s">
        <v>3</v>
      </c>
      <c r="AT45" s="7" t="s">
        <v>4</v>
      </c>
      <c r="AU45" s="7" t="s">
        <v>5</v>
      </c>
      <c r="AV45" s="8" t="s">
        <v>6</v>
      </c>
      <c r="AW45" s="5" t="s">
        <v>7</v>
      </c>
      <c r="AX45" s="361"/>
      <c r="AY45" s="325"/>
      <c r="AZ45" s="326"/>
    </row>
    <row r="46" spans="1:52" ht="14.25" x14ac:dyDescent="0.15">
      <c r="A46" s="172" t="s">
        <v>30</v>
      </c>
      <c r="B46" s="70">
        <f>B40</f>
        <v>4</v>
      </c>
      <c r="C46" s="70">
        <f>C40</f>
        <v>0</v>
      </c>
      <c r="D46" s="70">
        <f>D40</f>
        <v>4</v>
      </c>
      <c r="E46" s="165">
        <f>E40</f>
        <v>2</v>
      </c>
      <c r="F46" s="71">
        <f t="shared" ref="F46:F82" si="11">SUM(B46:E46)</f>
        <v>10</v>
      </c>
      <c r="G46" s="70">
        <f>G40</f>
        <v>1</v>
      </c>
      <c r="H46" s="70">
        <f>H40</f>
        <v>2</v>
      </c>
      <c r="I46" s="70">
        <f>I40</f>
        <v>6</v>
      </c>
      <c r="J46" s="165">
        <f>J40</f>
        <v>3</v>
      </c>
      <c r="K46" s="71">
        <f t="shared" ref="K46:K82" si="12">SUM(G46:J46)</f>
        <v>12</v>
      </c>
      <c r="L46" s="70">
        <f>L40</f>
        <v>5</v>
      </c>
      <c r="M46" s="70">
        <f>M40</f>
        <v>0</v>
      </c>
      <c r="N46" s="70">
        <f>N40</f>
        <v>2</v>
      </c>
      <c r="O46" s="165">
        <f>O40</f>
        <v>4</v>
      </c>
      <c r="P46" s="71">
        <f t="shared" ref="P46:P82" si="13">SUM(L46:O46)</f>
        <v>11</v>
      </c>
      <c r="Q46" s="70">
        <f>Q40</f>
        <v>0</v>
      </c>
      <c r="R46" s="70">
        <f>R40</f>
        <v>0</v>
      </c>
      <c r="S46" s="70">
        <f>S40</f>
        <v>0</v>
      </c>
      <c r="T46" s="165">
        <f>T40</f>
        <v>0</v>
      </c>
      <c r="U46" s="174">
        <f t="shared" ref="U46:U82" si="14">SUM(Q46:T46)</f>
        <v>0</v>
      </c>
      <c r="V46" s="71">
        <f t="shared" ref="V46:V82" si="15">F46+K46+P46+U46</f>
        <v>33</v>
      </c>
      <c r="W46" s="325"/>
      <c r="X46" s="326"/>
      <c r="Y46" s="326"/>
      <c r="Z46" s="326"/>
      <c r="AC46" s="172" t="s">
        <v>30</v>
      </c>
      <c r="AD46" s="70">
        <f>AD40</f>
        <v>156</v>
      </c>
      <c r="AE46" s="70">
        <f>AE40</f>
        <v>196</v>
      </c>
      <c r="AF46" s="70">
        <f>AF40</f>
        <v>112</v>
      </c>
      <c r="AG46" s="165">
        <f>AG40</f>
        <v>117</v>
      </c>
      <c r="AH46" s="71">
        <f t="shared" ref="AH46:AH82" si="16">SUM(AD46:AG46)</f>
        <v>581</v>
      </c>
      <c r="AI46" s="70">
        <f>AI40</f>
        <v>237</v>
      </c>
      <c r="AJ46" s="70">
        <f>AJ40</f>
        <v>290</v>
      </c>
      <c r="AK46" s="70">
        <f>AK40</f>
        <v>186</v>
      </c>
      <c r="AL46" s="165">
        <f>AL40</f>
        <v>177</v>
      </c>
      <c r="AM46" s="71">
        <f t="shared" ref="AM46:AM82" si="17">SUM(AI46:AL46)</f>
        <v>890</v>
      </c>
      <c r="AN46" s="70">
        <f>AN40</f>
        <v>19</v>
      </c>
      <c r="AO46" s="70">
        <f>AO40</f>
        <v>0</v>
      </c>
      <c r="AP46" s="70">
        <f>AP40</f>
        <v>50</v>
      </c>
      <c r="AQ46" s="165">
        <f>AQ40</f>
        <v>14</v>
      </c>
      <c r="AR46" s="71">
        <f t="shared" ref="AR46:AR82" si="18">SUM(AN46:AQ46)</f>
        <v>83</v>
      </c>
      <c r="AS46" s="70">
        <f>AS40</f>
        <v>154</v>
      </c>
      <c r="AT46" s="70">
        <f>AT40</f>
        <v>181</v>
      </c>
      <c r="AU46" s="70">
        <f>AU40</f>
        <v>127</v>
      </c>
      <c r="AV46" s="165">
        <f>AV40</f>
        <v>124</v>
      </c>
      <c r="AW46" s="174">
        <f t="shared" ref="AW46:AW82" si="19">SUM(AS46:AV46)</f>
        <v>586</v>
      </c>
      <c r="AX46" s="71">
        <f>AH46+AM46+AR46+AW46</f>
        <v>2140</v>
      </c>
      <c r="AY46" s="325"/>
      <c r="AZ46" s="326"/>
    </row>
    <row r="47" spans="1:52" x14ac:dyDescent="0.15">
      <c r="A47" s="53" t="s">
        <v>28</v>
      </c>
      <c r="B47" s="55"/>
      <c r="C47" s="55">
        <v>3</v>
      </c>
      <c r="D47" s="55"/>
      <c r="E47" s="166"/>
      <c r="F47" s="49">
        <f t="shared" si="11"/>
        <v>3</v>
      </c>
      <c r="G47" s="55"/>
      <c r="H47" s="55"/>
      <c r="I47" s="55"/>
      <c r="J47" s="166"/>
      <c r="K47" s="49">
        <f t="shared" si="12"/>
        <v>0</v>
      </c>
      <c r="L47" s="55"/>
      <c r="M47" s="55"/>
      <c r="N47" s="55"/>
      <c r="O47" s="166"/>
      <c r="P47" s="49">
        <f t="shared" si="13"/>
        <v>0</v>
      </c>
      <c r="Q47" s="55"/>
      <c r="R47" s="55"/>
      <c r="S47" s="55"/>
      <c r="T47" s="166"/>
      <c r="U47" s="175">
        <f t="shared" si="14"/>
        <v>0</v>
      </c>
      <c r="V47" s="147">
        <f t="shared" si="15"/>
        <v>3</v>
      </c>
      <c r="W47" s="328">
        <v>43952</v>
      </c>
      <c r="X47" s="326"/>
      <c r="Y47" s="326"/>
      <c r="Z47" s="326"/>
      <c r="AC47" s="53" t="s">
        <v>21</v>
      </c>
      <c r="AD47" s="55">
        <v>1</v>
      </c>
      <c r="AE47" s="55"/>
      <c r="AF47" s="55">
        <v>1</v>
      </c>
      <c r="AG47" s="166"/>
      <c r="AH47" s="49">
        <f t="shared" si="16"/>
        <v>2</v>
      </c>
      <c r="AI47" s="55"/>
      <c r="AJ47" s="55"/>
      <c r="AK47" s="55"/>
      <c r="AL47" s="166"/>
      <c r="AM47" s="49">
        <f t="shared" si="17"/>
        <v>0</v>
      </c>
      <c r="AN47" s="55"/>
      <c r="AO47" s="55"/>
      <c r="AP47" s="55"/>
      <c r="AQ47" s="166"/>
      <c r="AR47" s="49">
        <f t="shared" si="18"/>
        <v>0</v>
      </c>
      <c r="AS47" s="55"/>
      <c r="AT47" s="55"/>
      <c r="AU47" s="55"/>
      <c r="AV47" s="166"/>
      <c r="AW47" s="175">
        <f t="shared" si="19"/>
        <v>0</v>
      </c>
      <c r="AX47" s="147">
        <f>AH47+AM47+AR47+AW47</f>
        <v>2</v>
      </c>
      <c r="AY47" s="328">
        <v>43967</v>
      </c>
      <c r="AZ47" s="326"/>
    </row>
    <row r="48" spans="1:52" x14ac:dyDescent="0.15">
      <c r="A48" s="53" t="s">
        <v>28</v>
      </c>
      <c r="B48" s="55"/>
      <c r="C48" s="55"/>
      <c r="D48" s="55"/>
      <c r="E48" s="166"/>
      <c r="F48" s="49">
        <f t="shared" si="11"/>
        <v>0</v>
      </c>
      <c r="G48" s="55">
        <v>3</v>
      </c>
      <c r="H48" s="55"/>
      <c r="I48" s="55"/>
      <c r="J48" s="166"/>
      <c r="K48" s="49">
        <f t="shared" si="12"/>
        <v>3</v>
      </c>
      <c r="L48" s="55"/>
      <c r="M48" s="55"/>
      <c r="N48" s="55"/>
      <c r="O48" s="166"/>
      <c r="P48" s="49">
        <f t="shared" si="13"/>
        <v>0</v>
      </c>
      <c r="Q48" s="55"/>
      <c r="R48" s="55"/>
      <c r="S48" s="55"/>
      <c r="T48" s="166"/>
      <c r="U48" s="175">
        <f t="shared" si="14"/>
        <v>0</v>
      </c>
      <c r="V48" s="56">
        <f t="shared" si="15"/>
        <v>3</v>
      </c>
      <c r="W48" s="329">
        <v>43959</v>
      </c>
      <c r="X48" s="326"/>
      <c r="Y48" s="326"/>
      <c r="Z48" s="326"/>
      <c r="AC48" s="254" t="s">
        <v>93</v>
      </c>
      <c r="AD48" s="255">
        <v>50</v>
      </c>
      <c r="AE48" s="256">
        <v>80</v>
      </c>
      <c r="AF48" s="256">
        <v>90</v>
      </c>
      <c r="AG48" s="257">
        <v>50</v>
      </c>
      <c r="AH48" s="258">
        <f t="shared" si="16"/>
        <v>270</v>
      </c>
      <c r="AI48" s="255">
        <v>50</v>
      </c>
      <c r="AJ48" s="256">
        <v>75</v>
      </c>
      <c r="AK48" s="256">
        <v>110</v>
      </c>
      <c r="AL48" s="257">
        <v>50</v>
      </c>
      <c r="AM48" s="258">
        <f t="shared" si="17"/>
        <v>285</v>
      </c>
      <c r="AN48" s="255"/>
      <c r="AO48" s="256"/>
      <c r="AP48" s="256"/>
      <c r="AQ48" s="257"/>
      <c r="AR48" s="258">
        <f t="shared" si="18"/>
        <v>0</v>
      </c>
      <c r="AS48" s="255"/>
      <c r="AT48" s="256"/>
      <c r="AU48" s="256"/>
      <c r="AV48" s="257"/>
      <c r="AW48" s="259">
        <f t="shared" si="19"/>
        <v>0</v>
      </c>
      <c r="AX48" s="258">
        <f>AH48+AM48+AR48+AW48</f>
        <v>555</v>
      </c>
      <c r="AY48" s="334">
        <v>43952</v>
      </c>
      <c r="AZ48" s="332" t="s">
        <v>145</v>
      </c>
    </row>
    <row r="49" spans="1:52" x14ac:dyDescent="0.15">
      <c r="A49" s="53" t="s">
        <v>135</v>
      </c>
      <c r="B49" s="55">
        <v>1</v>
      </c>
      <c r="C49" s="55"/>
      <c r="D49" s="55">
        <v>1</v>
      </c>
      <c r="E49" s="166"/>
      <c r="F49" s="49">
        <f t="shared" si="11"/>
        <v>2</v>
      </c>
      <c r="G49" s="55"/>
      <c r="H49" s="55">
        <v>1</v>
      </c>
      <c r="I49" s="55"/>
      <c r="J49" s="166">
        <v>1</v>
      </c>
      <c r="K49" s="49">
        <f t="shared" si="12"/>
        <v>2</v>
      </c>
      <c r="L49" s="55"/>
      <c r="M49" s="55"/>
      <c r="N49" s="55"/>
      <c r="O49" s="166"/>
      <c r="P49" s="49">
        <f t="shared" si="13"/>
        <v>0</v>
      </c>
      <c r="Q49" s="55"/>
      <c r="R49" s="55"/>
      <c r="S49" s="55"/>
      <c r="T49" s="166"/>
      <c r="U49" s="175">
        <f t="shared" si="14"/>
        <v>0</v>
      </c>
      <c r="V49" s="56">
        <f t="shared" si="15"/>
        <v>4</v>
      </c>
      <c r="W49" s="328">
        <v>43966</v>
      </c>
      <c r="X49" s="326"/>
      <c r="Y49" s="326"/>
      <c r="Z49" s="326"/>
      <c r="AC49" s="254" t="s">
        <v>94</v>
      </c>
      <c r="AD49" s="255">
        <v>50</v>
      </c>
      <c r="AE49" s="256">
        <v>80</v>
      </c>
      <c r="AF49" s="256">
        <v>89</v>
      </c>
      <c r="AG49" s="257">
        <v>48</v>
      </c>
      <c r="AH49" s="258">
        <f t="shared" si="16"/>
        <v>267</v>
      </c>
      <c r="AI49" s="255">
        <v>49</v>
      </c>
      <c r="AJ49" s="256">
        <v>72</v>
      </c>
      <c r="AK49" s="256">
        <v>109</v>
      </c>
      <c r="AL49" s="257">
        <v>48</v>
      </c>
      <c r="AM49" s="258">
        <f t="shared" si="17"/>
        <v>278</v>
      </c>
      <c r="AN49" s="255"/>
      <c r="AO49" s="256"/>
      <c r="AP49" s="256"/>
      <c r="AQ49" s="257"/>
      <c r="AR49" s="258">
        <f t="shared" si="18"/>
        <v>0</v>
      </c>
      <c r="AS49" s="255"/>
      <c r="AT49" s="256"/>
      <c r="AU49" s="256"/>
      <c r="AV49" s="257"/>
      <c r="AW49" s="259">
        <f t="shared" si="19"/>
        <v>0</v>
      </c>
      <c r="AX49" s="258">
        <f>AH49+AM49+AR49+AW49</f>
        <v>545</v>
      </c>
      <c r="AY49" s="334">
        <v>43983</v>
      </c>
      <c r="AZ49" s="332" t="s">
        <v>145</v>
      </c>
    </row>
    <row r="50" spans="1:52" x14ac:dyDescent="0.15">
      <c r="A50" s="53" t="s">
        <v>139</v>
      </c>
      <c r="B50" s="63"/>
      <c r="C50" s="63"/>
      <c r="D50" s="63"/>
      <c r="E50" s="167"/>
      <c r="F50" s="64">
        <f t="shared" si="11"/>
        <v>0</v>
      </c>
      <c r="G50" s="63"/>
      <c r="H50" s="63">
        <v>2</v>
      </c>
      <c r="I50" s="63"/>
      <c r="J50" s="167"/>
      <c r="K50" s="64">
        <f t="shared" si="12"/>
        <v>2</v>
      </c>
      <c r="L50" s="63"/>
      <c r="M50" s="63"/>
      <c r="N50" s="63"/>
      <c r="O50" s="167"/>
      <c r="P50" s="64">
        <f t="shared" si="13"/>
        <v>0</v>
      </c>
      <c r="Q50" s="63"/>
      <c r="R50" s="63"/>
      <c r="S50" s="63"/>
      <c r="T50" s="167"/>
      <c r="U50" s="162">
        <f t="shared" si="14"/>
        <v>0</v>
      </c>
      <c r="V50" s="147">
        <f t="shared" si="15"/>
        <v>2</v>
      </c>
      <c r="W50" s="328">
        <v>43972</v>
      </c>
      <c r="X50" s="326"/>
      <c r="Y50" s="326"/>
      <c r="Z50" s="326"/>
      <c r="AC50" s="53" t="s">
        <v>21</v>
      </c>
      <c r="AD50" s="63">
        <v>1</v>
      </c>
      <c r="AE50" s="63"/>
      <c r="AF50" s="63">
        <v>1</v>
      </c>
      <c r="AG50" s="167"/>
      <c r="AH50" s="64">
        <v>2</v>
      </c>
      <c r="AI50" s="63">
        <v>1</v>
      </c>
      <c r="AJ50" s="63">
        <v>2</v>
      </c>
      <c r="AK50" s="63">
        <v>3</v>
      </c>
      <c r="AL50" s="167">
        <v>6</v>
      </c>
      <c r="AM50" s="64">
        <v>12</v>
      </c>
      <c r="AN50" s="63"/>
      <c r="AO50" s="63"/>
      <c r="AP50" s="63"/>
      <c r="AQ50" s="167"/>
      <c r="AR50" s="64">
        <v>0</v>
      </c>
      <c r="AS50" s="63"/>
      <c r="AT50" s="63">
        <v>1</v>
      </c>
      <c r="AU50" s="63">
        <v>1</v>
      </c>
      <c r="AV50" s="167"/>
      <c r="AW50" s="162">
        <v>2</v>
      </c>
      <c r="AX50" s="147">
        <v>16</v>
      </c>
      <c r="AY50" s="328">
        <v>44002</v>
      </c>
      <c r="AZ50" s="326"/>
    </row>
    <row r="51" spans="1:52" x14ac:dyDescent="0.15">
      <c r="A51" s="53" t="s">
        <v>149</v>
      </c>
      <c r="B51" s="55"/>
      <c r="C51" s="153"/>
      <c r="D51" s="153"/>
      <c r="E51" s="168"/>
      <c r="F51" s="56">
        <f t="shared" si="11"/>
        <v>0</v>
      </c>
      <c r="G51" s="55"/>
      <c r="H51" s="153"/>
      <c r="I51" s="153"/>
      <c r="J51" s="168">
        <v>1</v>
      </c>
      <c r="K51" s="56">
        <f t="shared" si="12"/>
        <v>1</v>
      </c>
      <c r="L51" s="55"/>
      <c r="M51" s="153"/>
      <c r="N51" s="153"/>
      <c r="O51" s="168"/>
      <c r="P51" s="56">
        <f t="shared" si="13"/>
        <v>0</v>
      </c>
      <c r="Q51" s="55"/>
      <c r="R51" s="153"/>
      <c r="S51" s="153"/>
      <c r="T51" s="168"/>
      <c r="U51" s="176">
        <f t="shared" si="14"/>
        <v>0</v>
      </c>
      <c r="V51" s="147">
        <f t="shared" si="15"/>
        <v>1</v>
      </c>
      <c r="W51" s="328">
        <v>43987</v>
      </c>
      <c r="X51" s="326"/>
      <c r="Y51" s="326"/>
      <c r="Z51" s="326"/>
      <c r="AC51" s="53" t="s">
        <v>28</v>
      </c>
      <c r="AD51" s="55"/>
      <c r="AE51" s="153"/>
      <c r="AF51" s="153"/>
      <c r="AG51" s="168"/>
      <c r="AH51" s="56">
        <f t="shared" si="16"/>
        <v>0</v>
      </c>
      <c r="AI51" s="55"/>
      <c r="AJ51" s="153"/>
      <c r="AK51" s="153"/>
      <c r="AL51" s="168"/>
      <c r="AM51" s="56">
        <f t="shared" si="17"/>
        <v>0</v>
      </c>
      <c r="AN51" s="55"/>
      <c r="AO51" s="153"/>
      <c r="AP51" s="153"/>
      <c r="AQ51" s="168"/>
      <c r="AR51" s="56">
        <f t="shared" si="18"/>
        <v>0</v>
      </c>
      <c r="AS51" s="55"/>
      <c r="AT51" s="153"/>
      <c r="AU51" s="153"/>
      <c r="AV51" s="168"/>
      <c r="AW51" s="176">
        <f t="shared" si="19"/>
        <v>0</v>
      </c>
      <c r="AX51" s="147">
        <f t="shared" ref="AX51:AX82" si="20">AH51+AM51+AR51+AW51</f>
        <v>0</v>
      </c>
      <c r="AY51" s="325"/>
      <c r="AZ51" s="326"/>
    </row>
    <row r="52" spans="1:52" x14ac:dyDescent="0.15">
      <c r="A52" s="53" t="s">
        <v>29</v>
      </c>
      <c r="B52" s="55"/>
      <c r="C52" s="153"/>
      <c r="D52" s="153"/>
      <c r="E52" s="168"/>
      <c r="F52" s="56">
        <f t="shared" si="11"/>
        <v>0</v>
      </c>
      <c r="G52" s="55"/>
      <c r="H52" s="153"/>
      <c r="I52" s="153"/>
      <c r="J52" s="168"/>
      <c r="K52" s="56">
        <f t="shared" si="12"/>
        <v>0</v>
      </c>
      <c r="L52" s="55"/>
      <c r="M52" s="153"/>
      <c r="N52" s="153"/>
      <c r="O52" s="168"/>
      <c r="P52" s="56">
        <f t="shared" si="13"/>
        <v>0</v>
      </c>
      <c r="Q52" s="55"/>
      <c r="R52" s="153">
        <v>1</v>
      </c>
      <c r="S52" s="153">
        <v>1</v>
      </c>
      <c r="T52" s="168"/>
      <c r="U52" s="176">
        <f t="shared" si="14"/>
        <v>2</v>
      </c>
      <c r="V52" s="147">
        <f t="shared" si="15"/>
        <v>2</v>
      </c>
      <c r="W52" s="328">
        <v>43994</v>
      </c>
      <c r="X52" s="326"/>
      <c r="Y52" s="326"/>
      <c r="Z52" s="326"/>
      <c r="AC52" s="53" t="s">
        <v>28</v>
      </c>
      <c r="AD52" s="55"/>
      <c r="AE52" s="153"/>
      <c r="AF52" s="153"/>
      <c r="AG52" s="168"/>
      <c r="AH52" s="56">
        <f t="shared" si="16"/>
        <v>0</v>
      </c>
      <c r="AI52" s="55"/>
      <c r="AJ52" s="153"/>
      <c r="AK52" s="153"/>
      <c r="AL52" s="168"/>
      <c r="AM52" s="56">
        <f t="shared" si="17"/>
        <v>0</v>
      </c>
      <c r="AN52" s="55"/>
      <c r="AO52" s="153"/>
      <c r="AP52" s="153"/>
      <c r="AQ52" s="168"/>
      <c r="AR52" s="56">
        <f t="shared" si="18"/>
        <v>0</v>
      </c>
      <c r="AS52" s="55"/>
      <c r="AT52" s="153"/>
      <c r="AU52" s="153"/>
      <c r="AV52" s="168"/>
      <c r="AW52" s="176">
        <f t="shared" si="19"/>
        <v>0</v>
      </c>
      <c r="AX52" s="147">
        <f t="shared" si="20"/>
        <v>0</v>
      </c>
      <c r="AY52" s="325"/>
      <c r="AZ52" s="326"/>
    </row>
    <row r="53" spans="1:52" ht="14.25" thickBot="1" x14ac:dyDescent="0.2">
      <c r="A53" s="53" t="s">
        <v>149</v>
      </c>
      <c r="B53" s="63">
        <v>1</v>
      </c>
      <c r="C53" s="164"/>
      <c r="D53" s="164">
        <v>1</v>
      </c>
      <c r="E53" s="169"/>
      <c r="F53" s="170">
        <f t="shared" si="11"/>
        <v>2</v>
      </c>
      <c r="G53" s="63">
        <v>1</v>
      </c>
      <c r="H53" s="164">
        <v>2</v>
      </c>
      <c r="I53" s="164">
        <v>3</v>
      </c>
      <c r="J53" s="169">
        <v>4</v>
      </c>
      <c r="K53" s="170">
        <f t="shared" si="12"/>
        <v>10</v>
      </c>
      <c r="L53" s="63"/>
      <c r="M53" s="164"/>
      <c r="N53" s="164"/>
      <c r="O53" s="169"/>
      <c r="P53" s="170">
        <f t="shared" si="13"/>
        <v>0</v>
      </c>
      <c r="Q53" s="63"/>
      <c r="R53" s="164"/>
      <c r="S53" s="164"/>
      <c r="T53" s="169"/>
      <c r="U53" s="179">
        <f t="shared" si="14"/>
        <v>0</v>
      </c>
      <c r="V53" s="163">
        <f t="shared" si="15"/>
        <v>12</v>
      </c>
      <c r="W53" s="328">
        <v>43999</v>
      </c>
      <c r="X53" s="326"/>
      <c r="Y53" s="326"/>
      <c r="Z53" s="326"/>
      <c r="AC53" s="173" t="s">
        <v>28</v>
      </c>
      <c r="AD53" s="63"/>
      <c r="AE53" s="164"/>
      <c r="AF53" s="164"/>
      <c r="AG53" s="169"/>
      <c r="AH53" s="170">
        <f t="shared" si="16"/>
        <v>0</v>
      </c>
      <c r="AI53" s="63"/>
      <c r="AJ53" s="164"/>
      <c r="AK53" s="164"/>
      <c r="AL53" s="169"/>
      <c r="AM53" s="170">
        <f t="shared" si="17"/>
        <v>0</v>
      </c>
      <c r="AN53" s="63"/>
      <c r="AO53" s="164"/>
      <c r="AP53" s="164"/>
      <c r="AQ53" s="169"/>
      <c r="AR53" s="170">
        <f t="shared" si="18"/>
        <v>0</v>
      </c>
      <c r="AS53" s="63"/>
      <c r="AT53" s="164"/>
      <c r="AU53" s="164"/>
      <c r="AV53" s="169"/>
      <c r="AW53" s="179">
        <f t="shared" si="19"/>
        <v>0</v>
      </c>
      <c r="AX53" s="163">
        <f t="shared" si="20"/>
        <v>0</v>
      </c>
      <c r="AY53" s="325"/>
      <c r="AZ53" s="326"/>
    </row>
    <row r="54" spans="1:52" ht="15" thickBot="1" x14ac:dyDescent="0.2">
      <c r="A54" s="181" t="s">
        <v>14</v>
      </c>
      <c r="B54" s="182">
        <f>SUM(B46:B53)</f>
        <v>6</v>
      </c>
      <c r="C54" s="183">
        <f>SUM(C46:C53)</f>
        <v>3</v>
      </c>
      <c r="D54" s="183">
        <f>SUM(D46:D53)</f>
        <v>6</v>
      </c>
      <c r="E54" s="184">
        <f>SUM(E46:E53)</f>
        <v>2</v>
      </c>
      <c r="F54" s="77">
        <f t="shared" si="11"/>
        <v>17</v>
      </c>
      <c r="G54" s="182">
        <f>SUM(G46:G53)</f>
        <v>5</v>
      </c>
      <c r="H54" s="183">
        <f>SUM(H46:H53)</f>
        <v>7</v>
      </c>
      <c r="I54" s="183">
        <f>SUM(I46:I53)</f>
        <v>9</v>
      </c>
      <c r="J54" s="184">
        <f>SUM(J46:J53)</f>
        <v>9</v>
      </c>
      <c r="K54" s="77">
        <f t="shared" si="12"/>
        <v>30</v>
      </c>
      <c r="L54" s="182">
        <f>SUM(L46:L53)</f>
        <v>5</v>
      </c>
      <c r="M54" s="183">
        <f>SUM(M46:M53)</f>
        <v>0</v>
      </c>
      <c r="N54" s="183">
        <f>SUM(N46:N53)</f>
        <v>2</v>
      </c>
      <c r="O54" s="184">
        <f>SUM(O46:O53)</f>
        <v>4</v>
      </c>
      <c r="P54" s="77">
        <f t="shared" si="13"/>
        <v>11</v>
      </c>
      <c r="Q54" s="182">
        <f>SUM(Q46:Q53)</f>
        <v>0</v>
      </c>
      <c r="R54" s="183">
        <f>SUM(R46:R53)</f>
        <v>1</v>
      </c>
      <c r="S54" s="183">
        <f>SUM(S46:S53)</f>
        <v>1</v>
      </c>
      <c r="T54" s="184">
        <f>SUM(T46:T53)</f>
        <v>0</v>
      </c>
      <c r="U54" s="182">
        <f t="shared" si="14"/>
        <v>2</v>
      </c>
      <c r="V54" s="77">
        <f t="shared" si="15"/>
        <v>60</v>
      </c>
      <c r="W54" s="325"/>
      <c r="X54" s="326"/>
      <c r="Y54" s="326"/>
      <c r="Z54" s="326"/>
      <c r="AC54" s="181" t="s">
        <v>14</v>
      </c>
      <c r="AD54" s="182">
        <f>SUM(AD46:AD53)</f>
        <v>258</v>
      </c>
      <c r="AE54" s="183">
        <f>SUM(AE46:AE53)</f>
        <v>356</v>
      </c>
      <c r="AF54" s="183">
        <f>SUM(AF46:AF53)</f>
        <v>293</v>
      </c>
      <c r="AG54" s="184">
        <f>SUM(AG46:AG53)</f>
        <v>215</v>
      </c>
      <c r="AH54" s="77">
        <f t="shared" si="16"/>
        <v>1122</v>
      </c>
      <c r="AI54" s="182">
        <f>SUM(AI46:AI53)</f>
        <v>337</v>
      </c>
      <c r="AJ54" s="183">
        <f>SUM(AJ46:AJ53)</f>
        <v>439</v>
      </c>
      <c r="AK54" s="183">
        <f>SUM(AK46:AK53)</f>
        <v>408</v>
      </c>
      <c r="AL54" s="184">
        <f>SUM(AL46:AL53)</f>
        <v>281</v>
      </c>
      <c r="AM54" s="77">
        <f t="shared" si="17"/>
        <v>1465</v>
      </c>
      <c r="AN54" s="182">
        <f>SUM(AN46:AN53)</f>
        <v>19</v>
      </c>
      <c r="AO54" s="183">
        <f>SUM(AO46:AO53)</f>
        <v>0</v>
      </c>
      <c r="AP54" s="183">
        <f>SUM(AP46:AP53)</f>
        <v>50</v>
      </c>
      <c r="AQ54" s="184">
        <f>SUM(AQ46:AQ53)</f>
        <v>14</v>
      </c>
      <c r="AR54" s="77">
        <f t="shared" si="18"/>
        <v>83</v>
      </c>
      <c r="AS54" s="182">
        <f>SUM(AS46:AS53)</f>
        <v>154</v>
      </c>
      <c r="AT54" s="183">
        <f>SUM(AT46:AT53)</f>
        <v>182</v>
      </c>
      <c r="AU54" s="183">
        <f>SUM(AU46:AU53)</f>
        <v>128</v>
      </c>
      <c r="AV54" s="184">
        <f>SUM(AV46:AV53)</f>
        <v>124</v>
      </c>
      <c r="AW54" s="182">
        <f t="shared" si="19"/>
        <v>588</v>
      </c>
      <c r="AX54" s="77">
        <f t="shared" si="20"/>
        <v>3258</v>
      </c>
      <c r="AY54" s="325"/>
      <c r="AZ54" s="326"/>
    </row>
    <row r="55" spans="1:52" x14ac:dyDescent="0.15">
      <c r="A55" s="53" t="s">
        <v>100</v>
      </c>
      <c r="B55" s="46"/>
      <c r="C55" s="47">
        <v>1</v>
      </c>
      <c r="D55" s="47"/>
      <c r="E55" s="47"/>
      <c r="F55" s="48">
        <f t="shared" si="11"/>
        <v>1</v>
      </c>
      <c r="G55" s="46"/>
      <c r="H55" s="47"/>
      <c r="I55" s="47"/>
      <c r="J55" s="47"/>
      <c r="K55" s="48">
        <f t="shared" si="12"/>
        <v>0</v>
      </c>
      <c r="L55" s="46"/>
      <c r="M55" s="47"/>
      <c r="N55" s="47"/>
      <c r="O55" s="47"/>
      <c r="P55" s="48">
        <f t="shared" si="13"/>
        <v>0</v>
      </c>
      <c r="Q55" s="46"/>
      <c r="R55" s="47"/>
      <c r="S55" s="47"/>
      <c r="T55" s="47"/>
      <c r="U55" s="180">
        <f t="shared" si="14"/>
        <v>0</v>
      </c>
      <c r="V55" s="49">
        <f t="shared" si="15"/>
        <v>1</v>
      </c>
      <c r="W55" s="329">
        <v>43971</v>
      </c>
      <c r="X55" s="326"/>
      <c r="Y55" s="326"/>
      <c r="Z55" s="326"/>
      <c r="AC55" s="65" t="s">
        <v>99</v>
      </c>
      <c r="AD55" s="46"/>
      <c r="AE55" s="47">
        <v>3</v>
      </c>
      <c r="AF55" s="47"/>
      <c r="AG55" s="47"/>
      <c r="AH55" s="48">
        <f t="shared" si="16"/>
        <v>3</v>
      </c>
      <c r="AI55" s="46"/>
      <c r="AJ55" s="47"/>
      <c r="AK55" s="47"/>
      <c r="AL55" s="47"/>
      <c r="AM55" s="48">
        <f t="shared" si="17"/>
        <v>0</v>
      </c>
      <c r="AN55" s="46"/>
      <c r="AO55" s="47"/>
      <c r="AP55" s="47"/>
      <c r="AQ55" s="47"/>
      <c r="AR55" s="48">
        <f t="shared" si="18"/>
        <v>0</v>
      </c>
      <c r="AS55" s="46"/>
      <c r="AT55" s="47"/>
      <c r="AU55" s="47"/>
      <c r="AV55" s="47"/>
      <c r="AW55" s="180">
        <f t="shared" si="19"/>
        <v>0</v>
      </c>
      <c r="AX55" s="72">
        <f t="shared" si="20"/>
        <v>3</v>
      </c>
      <c r="AY55" s="328">
        <v>43952</v>
      </c>
      <c r="AZ55" s="326"/>
    </row>
    <row r="56" spans="1:52" x14ac:dyDescent="0.15">
      <c r="A56" s="53" t="s">
        <v>138</v>
      </c>
      <c r="B56" s="54">
        <v>1</v>
      </c>
      <c r="C56" s="55"/>
      <c r="D56" s="55">
        <v>1</v>
      </c>
      <c r="E56" s="55"/>
      <c r="F56" s="56">
        <f t="shared" si="11"/>
        <v>2</v>
      </c>
      <c r="G56" s="54"/>
      <c r="H56" s="55"/>
      <c r="I56" s="55"/>
      <c r="J56" s="55"/>
      <c r="K56" s="56">
        <f t="shared" si="12"/>
        <v>0</v>
      </c>
      <c r="L56" s="54"/>
      <c r="M56" s="55"/>
      <c r="N56" s="55"/>
      <c r="O56" s="55"/>
      <c r="P56" s="56">
        <f t="shared" si="13"/>
        <v>0</v>
      </c>
      <c r="Q56" s="54"/>
      <c r="R56" s="55"/>
      <c r="S56" s="55"/>
      <c r="T56" s="55"/>
      <c r="U56" s="176">
        <f t="shared" si="14"/>
        <v>0</v>
      </c>
      <c r="V56" s="147">
        <f t="shared" si="15"/>
        <v>2</v>
      </c>
      <c r="W56" s="328">
        <v>43967</v>
      </c>
      <c r="X56" s="326"/>
      <c r="Y56" s="326"/>
      <c r="Z56" s="326"/>
      <c r="AC56" s="65" t="s">
        <v>99</v>
      </c>
      <c r="AD56" s="54"/>
      <c r="AE56" s="55"/>
      <c r="AF56" s="55"/>
      <c r="AG56" s="55"/>
      <c r="AH56" s="56">
        <f t="shared" si="16"/>
        <v>0</v>
      </c>
      <c r="AI56" s="54">
        <v>3</v>
      </c>
      <c r="AJ56" s="55"/>
      <c r="AK56" s="55"/>
      <c r="AL56" s="55"/>
      <c r="AM56" s="56">
        <f t="shared" si="17"/>
        <v>3</v>
      </c>
      <c r="AN56" s="54"/>
      <c r="AO56" s="55"/>
      <c r="AP56" s="55"/>
      <c r="AQ56" s="55"/>
      <c r="AR56" s="56">
        <f t="shared" si="18"/>
        <v>0</v>
      </c>
      <c r="AS56" s="54"/>
      <c r="AT56" s="55"/>
      <c r="AU56" s="55"/>
      <c r="AV56" s="55"/>
      <c r="AW56" s="176">
        <f t="shared" si="19"/>
        <v>0</v>
      </c>
      <c r="AX56" s="56">
        <f t="shared" si="20"/>
        <v>3</v>
      </c>
      <c r="AY56" s="329">
        <v>43959</v>
      </c>
      <c r="AZ56" s="326"/>
    </row>
    <row r="57" spans="1:52" x14ac:dyDescent="0.15">
      <c r="A57" s="53" t="s">
        <v>98</v>
      </c>
      <c r="B57" s="54"/>
      <c r="C57" s="55"/>
      <c r="D57" s="55"/>
      <c r="E57" s="55"/>
      <c r="F57" s="56">
        <f t="shared" si="11"/>
        <v>0</v>
      </c>
      <c r="G57" s="54">
        <v>1</v>
      </c>
      <c r="H57" s="55"/>
      <c r="I57" s="55"/>
      <c r="J57" s="55"/>
      <c r="K57" s="56">
        <f t="shared" si="12"/>
        <v>1</v>
      </c>
      <c r="L57" s="54"/>
      <c r="M57" s="55"/>
      <c r="N57" s="55"/>
      <c r="O57" s="55"/>
      <c r="P57" s="56">
        <f t="shared" si="13"/>
        <v>0</v>
      </c>
      <c r="Q57" s="54"/>
      <c r="R57" s="55"/>
      <c r="S57" s="55"/>
      <c r="T57" s="55"/>
      <c r="U57" s="176">
        <f t="shared" si="14"/>
        <v>0</v>
      </c>
      <c r="V57" s="147">
        <f t="shared" si="15"/>
        <v>1</v>
      </c>
      <c r="W57" s="328">
        <v>43984</v>
      </c>
      <c r="X57" s="326"/>
      <c r="Y57" s="326"/>
      <c r="Z57" s="326"/>
      <c r="AC57" s="65" t="s">
        <v>131</v>
      </c>
      <c r="AD57" s="54">
        <v>5</v>
      </c>
      <c r="AE57" s="55"/>
      <c r="AF57" s="55"/>
      <c r="AG57" s="55"/>
      <c r="AH57" s="56">
        <f t="shared" si="16"/>
        <v>5</v>
      </c>
      <c r="AI57" s="54"/>
      <c r="AJ57" s="55"/>
      <c r="AK57" s="55"/>
      <c r="AL57" s="55"/>
      <c r="AM57" s="56">
        <f t="shared" si="17"/>
        <v>0</v>
      </c>
      <c r="AN57" s="54"/>
      <c r="AO57" s="55"/>
      <c r="AP57" s="55"/>
      <c r="AQ57" s="55"/>
      <c r="AR57" s="56">
        <f t="shared" si="18"/>
        <v>0</v>
      </c>
      <c r="AS57" s="54"/>
      <c r="AT57" s="55"/>
      <c r="AU57" s="55"/>
      <c r="AV57" s="55"/>
      <c r="AW57" s="176">
        <f t="shared" si="19"/>
        <v>0</v>
      </c>
      <c r="AX57" s="56">
        <f t="shared" si="20"/>
        <v>5</v>
      </c>
      <c r="AY57" s="329">
        <v>43966</v>
      </c>
      <c r="AZ57" s="326"/>
    </row>
    <row r="58" spans="1:52" x14ac:dyDescent="0.15">
      <c r="A58" s="53" t="s">
        <v>100</v>
      </c>
      <c r="B58" s="54"/>
      <c r="C58" s="55"/>
      <c r="D58" s="55"/>
      <c r="E58" s="55"/>
      <c r="F58" s="56">
        <f t="shared" si="11"/>
        <v>0</v>
      </c>
      <c r="G58" s="54">
        <v>1</v>
      </c>
      <c r="H58" s="55"/>
      <c r="I58" s="55"/>
      <c r="J58" s="55"/>
      <c r="K58" s="56">
        <f t="shared" si="12"/>
        <v>1</v>
      </c>
      <c r="L58" s="54"/>
      <c r="M58" s="55"/>
      <c r="N58" s="55"/>
      <c r="O58" s="55"/>
      <c r="P58" s="56">
        <f t="shared" si="13"/>
        <v>0</v>
      </c>
      <c r="Q58" s="54"/>
      <c r="R58" s="55"/>
      <c r="S58" s="55"/>
      <c r="T58" s="55"/>
      <c r="U58" s="176">
        <f t="shared" si="14"/>
        <v>0</v>
      </c>
      <c r="V58" s="56">
        <f t="shared" si="15"/>
        <v>1</v>
      </c>
      <c r="W58" s="329">
        <v>43988</v>
      </c>
      <c r="X58" s="326"/>
      <c r="Y58" s="326"/>
      <c r="Z58" s="326"/>
      <c r="AC58" s="65" t="s">
        <v>133</v>
      </c>
      <c r="AD58" s="54">
        <v>2</v>
      </c>
      <c r="AE58" s="55"/>
      <c r="AF58" s="55"/>
      <c r="AG58" s="55"/>
      <c r="AH58" s="56">
        <f t="shared" si="16"/>
        <v>2</v>
      </c>
      <c r="AI58" s="54"/>
      <c r="AJ58" s="55"/>
      <c r="AK58" s="55"/>
      <c r="AL58" s="55"/>
      <c r="AM58" s="56">
        <f t="shared" si="17"/>
        <v>0</v>
      </c>
      <c r="AN58" s="54"/>
      <c r="AO58" s="55"/>
      <c r="AP58" s="55"/>
      <c r="AQ58" s="55"/>
      <c r="AR58" s="56">
        <f t="shared" si="18"/>
        <v>0</v>
      </c>
      <c r="AS58" s="54"/>
      <c r="AT58" s="55"/>
      <c r="AU58" s="55"/>
      <c r="AV58" s="55"/>
      <c r="AW58" s="176">
        <f t="shared" si="19"/>
        <v>0</v>
      </c>
      <c r="AX58" s="56">
        <f t="shared" si="20"/>
        <v>2</v>
      </c>
      <c r="AY58" s="329">
        <v>43969</v>
      </c>
      <c r="AZ58" s="326"/>
    </row>
    <row r="59" spans="1:52" x14ac:dyDescent="0.15">
      <c r="A59" s="53" t="s">
        <v>100</v>
      </c>
      <c r="B59" s="54"/>
      <c r="C59" s="55"/>
      <c r="D59" s="55"/>
      <c r="E59" s="55"/>
      <c r="F59" s="56">
        <f t="shared" si="11"/>
        <v>0</v>
      </c>
      <c r="G59" s="54"/>
      <c r="H59" s="55">
        <v>1</v>
      </c>
      <c r="I59" s="55"/>
      <c r="J59" s="55"/>
      <c r="K59" s="56">
        <f t="shared" si="12"/>
        <v>1</v>
      </c>
      <c r="L59" s="54"/>
      <c r="M59" s="55"/>
      <c r="N59" s="55"/>
      <c r="O59" s="55"/>
      <c r="P59" s="56">
        <f t="shared" si="13"/>
        <v>0</v>
      </c>
      <c r="Q59" s="54"/>
      <c r="R59" s="55"/>
      <c r="S59" s="55"/>
      <c r="T59" s="55"/>
      <c r="U59" s="176">
        <f t="shared" si="14"/>
        <v>0</v>
      </c>
      <c r="V59" s="56">
        <f t="shared" si="15"/>
        <v>1</v>
      </c>
      <c r="W59" s="329">
        <v>43995</v>
      </c>
      <c r="X59" s="326"/>
      <c r="Y59" s="326"/>
      <c r="Z59" s="326"/>
      <c r="AC59" s="65" t="s">
        <v>134</v>
      </c>
      <c r="AD59" s="54"/>
      <c r="AE59" s="55">
        <v>4</v>
      </c>
      <c r="AF59" s="55"/>
      <c r="AG59" s="55"/>
      <c r="AH59" s="56">
        <f t="shared" si="16"/>
        <v>4</v>
      </c>
      <c r="AI59" s="54">
        <v>6</v>
      </c>
      <c r="AJ59" s="55"/>
      <c r="AK59" s="55">
        <v>4</v>
      </c>
      <c r="AL59" s="55"/>
      <c r="AM59" s="56">
        <f t="shared" si="17"/>
        <v>10</v>
      </c>
      <c r="AN59" s="54"/>
      <c r="AO59" s="55"/>
      <c r="AP59" s="55"/>
      <c r="AQ59" s="55"/>
      <c r="AR59" s="56">
        <f t="shared" si="18"/>
        <v>0</v>
      </c>
      <c r="AS59" s="54"/>
      <c r="AT59" s="55"/>
      <c r="AU59" s="55"/>
      <c r="AV59" s="55"/>
      <c r="AW59" s="176">
        <f t="shared" si="19"/>
        <v>0</v>
      </c>
      <c r="AX59" s="56">
        <f t="shared" si="20"/>
        <v>14</v>
      </c>
      <c r="AY59" s="329">
        <v>43969</v>
      </c>
      <c r="AZ59" s="326"/>
    </row>
    <row r="60" spans="1:52" x14ac:dyDescent="0.15">
      <c r="A60" s="53" t="s">
        <v>98</v>
      </c>
      <c r="B60" s="54"/>
      <c r="C60" s="55"/>
      <c r="D60" s="55"/>
      <c r="E60" s="55"/>
      <c r="F60" s="56">
        <f t="shared" si="11"/>
        <v>0</v>
      </c>
      <c r="G60" s="54"/>
      <c r="H60" s="55"/>
      <c r="I60" s="55"/>
      <c r="J60" s="55"/>
      <c r="K60" s="56">
        <f t="shared" si="12"/>
        <v>0</v>
      </c>
      <c r="L60" s="54"/>
      <c r="M60" s="55"/>
      <c r="N60" s="55"/>
      <c r="O60" s="55">
        <v>1</v>
      </c>
      <c r="P60" s="56">
        <f t="shared" si="13"/>
        <v>1</v>
      </c>
      <c r="Q60" s="54"/>
      <c r="R60" s="55"/>
      <c r="S60" s="55"/>
      <c r="T60" s="55"/>
      <c r="U60" s="176">
        <f t="shared" si="14"/>
        <v>0</v>
      </c>
      <c r="V60" s="147">
        <f t="shared" si="15"/>
        <v>1</v>
      </c>
      <c r="W60" s="328">
        <v>43997</v>
      </c>
      <c r="X60" s="326"/>
      <c r="Y60" s="326"/>
      <c r="Z60" s="326"/>
      <c r="AC60" s="65" t="s">
        <v>136</v>
      </c>
      <c r="AD60" s="54">
        <v>2</v>
      </c>
      <c r="AE60" s="55">
        <v>1</v>
      </c>
      <c r="AF60" s="55"/>
      <c r="AG60" s="55">
        <v>3</v>
      </c>
      <c r="AH60" s="56">
        <f t="shared" si="16"/>
        <v>6</v>
      </c>
      <c r="AI60" s="54"/>
      <c r="AJ60" s="55"/>
      <c r="AK60" s="55"/>
      <c r="AL60" s="55"/>
      <c r="AM60" s="56">
        <f t="shared" si="17"/>
        <v>0</v>
      </c>
      <c r="AN60" s="54"/>
      <c r="AO60" s="55"/>
      <c r="AP60" s="55"/>
      <c r="AQ60" s="55"/>
      <c r="AR60" s="56">
        <f t="shared" si="18"/>
        <v>0</v>
      </c>
      <c r="AS60" s="54"/>
      <c r="AT60" s="55"/>
      <c r="AU60" s="55"/>
      <c r="AV60" s="55"/>
      <c r="AW60" s="176">
        <f t="shared" si="19"/>
        <v>0</v>
      </c>
      <c r="AX60" s="56">
        <f t="shared" si="20"/>
        <v>6</v>
      </c>
      <c r="AY60" s="329">
        <v>43980</v>
      </c>
      <c r="AZ60" s="326"/>
    </row>
    <row r="61" spans="1:52" x14ac:dyDescent="0.15">
      <c r="A61" s="53" t="s">
        <v>115</v>
      </c>
      <c r="B61" s="54">
        <v>1</v>
      </c>
      <c r="C61" s="55"/>
      <c r="D61" s="55">
        <v>1</v>
      </c>
      <c r="E61" s="55"/>
      <c r="F61" s="56">
        <f t="shared" si="11"/>
        <v>2</v>
      </c>
      <c r="G61" s="54">
        <v>1</v>
      </c>
      <c r="H61" s="55">
        <v>2</v>
      </c>
      <c r="I61" s="55">
        <v>3</v>
      </c>
      <c r="J61" s="55">
        <v>6</v>
      </c>
      <c r="K61" s="56">
        <f t="shared" si="12"/>
        <v>12</v>
      </c>
      <c r="L61" s="54"/>
      <c r="M61" s="55"/>
      <c r="N61" s="55"/>
      <c r="O61" s="55"/>
      <c r="P61" s="56">
        <f t="shared" si="13"/>
        <v>0</v>
      </c>
      <c r="Q61" s="54"/>
      <c r="R61" s="55">
        <v>1</v>
      </c>
      <c r="S61" s="55">
        <v>1</v>
      </c>
      <c r="T61" s="55"/>
      <c r="U61" s="176">
        <f t="shared" si="14"/>
        <v>2</v>
      </c>
      <c r="V61" s="56">
        <f t="shared" si="15"/>
        <v>16</v>
      </c>
      <c r="W61" s="329">
        <v>44002</v>
      </c>
      <c r="X61" s="326"/>
      <c r="Y61" s="326"/>
      <c r="Z61" s="326"/>
      <c r="AC61" s="65" t="s">
        <v>137</v>
      </c>
      <c r="AD61" s="54">
        <v>1</v>
      </c>
      <c r="AE61" s="55"/>
      <c r="AF61" s="55"/>
      <c r="AG61" s="55"/>
      <c r="AH61" s="56">
        <f t="shared" si="16"/>
        <v>1</v>
      </c>
      <c r="AI61" s="54">
        <v>3</v>
      </c>
      <c r="AJ61" s="55">
        <v>7</v>
      </c>
      <c r="AK61" s="55"/>
      <c r="AL61" s="55"/>
      <c r="AM61" s="56">
        <f t="shared" si="17"/>
        <v>10</v>
      </c>
      <c r="AN61" s="54"/>
      <c r="AO61" s="55"/>
      <c r="AP61" s="55"/>
      <c r="AQ61" s="55"/>
      <c r="AR61" s="56">
        <f t="shared" si="18"/>
        <v>0</v>
      </c>
      <c r="AS61" s="54"/>
      <c r="AT61" s="55"/>
      <c r="AU61" s="55"/>
      <c r="AV61" s="55"/>
      <c r="AW61" s="176">
        <f t="shared" si="19"/>
        <v>0</v>
      </c>
      <c r="AX61" s="56">
        <f t="shared" si="20"/>
        <v>11</v>
      </c>
      <c r="AY61" s="329">
        <v>43980</v>
      </c>
      <c r="AZ61" s="326"/>
    </row>
    <row r="62" spans="1:52" x14ac:dyDescent="0.15">
      <c r="A62" s="53" t="s">
        <v>100</v>
      </c>
      <c r="B62" s="54"/>
      <c r="C62" s="55"/>
      <c r="D62" s="55"/>
      <c r="E62" s="55"/>
      <c r="F62" s="56">
        <f t="shared" si="11"/>
        <v>0</v>
      </c>
      <c r="G62" s="54">
        <v>2</v>
      </c>
      <c r="H62" s="55"/>
      <c r="I62" s="55"/>
      <c r="J62" s="55"/>
      <c r="K62" s="56">
        <f t="shared" si="12"/>
        <v>2</v>
      </c>
      <c r="L62" s="54"/>
      <c r="M62" s="55"/>
      <c r="N62" s="55"/>
      <c r="O62" s="55"/>
      <c r="P62" s="56">
        <f t="shared" si="13"/>
        <v>0</v>
      </c>
      <c r="Q62" s="54"/>
      <c r="R62" s="55"/>
      <c r="S62" s="55"/>
      <c r="T62" s="55"/>
      <c r="U62" s="176">
        <f t="shared" si="14"/>
        <v>0</v>
      </c>
      <c r="V62" s="56">
        <f t="shared" si="15"/>
        <v>2</v>
      </c>
      <c r="W62" s="329">
        <v>44005</v>
      </c>
      <c r="X62" s="326"/>
      <c r="Y62" s="326"/>
      <c r="Z62" s="326"/>
      <c r="AC62" s="65" t="s">
        <v>140</v>
      </c>
      <c r="AD62" s="54"/>
      <c r="AE62" s="55">
        <v>3</v>
      </c>
      <c r="AF62" s="55"/>
      <c r="AG62" s="55"/>
      <c r="AH62" s="56">
        <f t="shared" si="16"/>
        <v>3</v>
      </c>
      <c r="AI62" s="54">
        <v>5</v>
      </c>
      <c r="AJ62" s="55">
        <v>8</v>
      </c>
      <c r="AK62" s="55">
        <v>8</v>
      </c>
      <c r="AL62" s="55">
        <v>8</v>
      </c>
      <c r="AM62" s="56">
        <f t="shared" si="17"/>
        <v>29</v>
      </c>
      <c r="AN62" s="54"/>
      <c r="AO62" s="55"/>
      <c r="AP62" s="55"/>
      <c r="AQ62" s="55"/>
      <c r="AR62" s="56">
        <f t="shared" si="18"/>
        <v>0</v>
      </c>
      <c r="AS62" s="54"/>
      <c r="AT62" s="55"/>
      <c r="AU62" s="55"/>
      <c r="AV62" s="55"/>
      <c r="AW62" s="176">
        <f t="shared" si="19"/>
        <v>0</v>
      </c>
      <c r="AX62" s="56">
        <f t="shared" si="20"/>
        <v>32</v>
      </c>
      <c r="AY62" s="329">
        <v>43985</v>
      </c>
      <c r="AZ62" s="326"/>
    </row>
    <row r="63" spans="1:52" x14ac:dyDescent="0.15">
      <c r="A63" s="53" t="s">
        <v>98</v>
      </c>
      <c r="B63" s="17"/>
      <c r="C63" s="18"/>
      <c r="D63" s="18"/>
      <c r="E63" s="18"/>
      <c r="F63" s="30">
        <f t="shared" si="11"/>
        <v>0</v>
      </c>
      <c r="G63" s="17"/>
      <c r="H63" s="18"/>
      <c r="I63" s="18"/>
      <c r="J63" s="18">
        <v>1</v>
      </c>
      <c r="K63" s="30">
        <f t="shared" si="12"/>
        <v>1</v>
      </c>
      <c r="L63" s="17"/>
      <c r="M63" s="18"/>
      <c r="N63" s="18"/>
      <c r="O63" s="18"/>
      <c r="P63" s="30">
        <f t="shared" si="13"/>
        <v>0</v>
      </c>
      <c r="Q63" s="17"/>
      <c r="R63" s="18"/>
      <c r="S63" s="18"/>
      <c r="T63" s="18"/>
      <c r="U63" s="178">
        <f t="shared" si="14"/>
        <v>0</v>
      </c>
      <c r="V63" s="147">
        <f t="shared" si="15"/>
        <v>1</v>
      </c>
      <c r="W63" s="328">
        <v>44004</v>
      </c>
      <c r="X63" s="326"/>
      <c r="Y63" s="326"/>
      <c r="Z63" s="326"/>
      <c r="AC63" s="65" t="s">
        <v>141</v>
      </c>
      <c r="AD63" s="17">
        <v>2</v>
      </c>
      <c r="AE63" s="18">
        <v>5</v>
      </c>
      <c r="AF63" s="18"/>
      <c r="AG63" s="18"/>
      <c r="AH63" s="30">
        <f t="shared" si="16"/>
        <v>7</v>
      </c>
      <c r="AI63" s="17">
        <v>6</v>
      </c>
      <c r="AJ63" s="18">
        <v>11</v>
      </c>
      <c r="AK63" s="18">
        <v>3</v>
      </c>
      <c r="AL63" s="18">
        <v>3</v>
      </c>
      <c r="AM63" s="30">
        <f t="shared" si="17"/>
        <v>23</v>
      </c>
      <c r="AN63" s="17"/>
      <c r="AO63" s="18"/>
      <c r="AP63" s="18"/>
      <c r="AQ63" s="18"/>
      <c r="AR63" s="30">
        <f t="shared" si="18"/>
        <v>0</v>
      </c>
      <c r="AS63" s="17"/>
      <c r="AT63" s="18"/>
      <c r="AU63" s="18"/>
      <c r="AV63" s="18"/>
      <c r="AW63" s="178">
        <f t="shared" si="19"/>
        <v>0</v>
      </c>
      <c r="AX63" s="56">
        <f t="shared" si="20"/>
        <v>30</v>
      </c>
      <c r="AY63" s="329">
        <v>43985</v>
      </c>
      <c r="AZ63" s="326"/>
    </row>
    <row r="64" spans="1:52" x14ac:dyDescent="0.15">
      <c r="A64" s="53" t="s">
        <v>111</v>
      </c>
      <c r="B64" s="54"/>
      <c r="C64" s="55"/>
      <c r="D64" s="55"/>
      <c r="E64" s="55"/>
      <c r="F64" s="56">
        <f t="shared" si="11"/>
        <v>0</v>
      </c>
      <c r="G64" s="54">
        <v>-3</v>
      </c>
      <c r="H64" s="55"/>
      <c r="I64" s="55"/>
      <c r="J64" s="55"/>
      <c r="K64" s="56">
        <f t="shared" si="12"/>
        <v>-3</v>
      </c>
      <c r="L64" s="54"/>
      <c r="M64" s="55"/>
      <c r="N64" s="55"/>
      <c r="O64" s="55"/>
      <c r="P64" s="56">
        <f t="shared" si="13"/>
        <v>0</v>
      </c>
      <c r="Q64" s="54"/>
      <c r="R64" s="55"/>
      <c r="S64" s="55"/>
      <c r="T64" s="55"/>
      <c r="U64" s="176">
        <f t="shared" si="14"/>
        <v>0</v>
      </c>
      <c r="V64" s="147">
        <f t="shared" si="15"/>
        <v>-3</v>
      </c>
      <c r="W64" s="328">
        <v>44004</v>
      </c>
      <c r="X64" s="326"/>
      <c r="Y64" s="326"/>
      <c r="Z64" s="326"/>
      <c r="AC64" s="65" t="s">
        <v>142</v>
      </c>
      <c r="AD64" s="54">
        <v>1</v>
      </c>
      <c r="AE64" s="55"/>
      <c r="AF64" s="55">
        <v>1</v>
      </c>
      <c r="AG64" s="55"/>
      <c r="AH64" s="56">
        <f t="shared" si="16"/>
        <v>2</v>
      </c>
      <c r="AI64" s="54">
        <v>2</v>
      </c>
      <c r="AJ64" s="55">
        <v>1</v>
      </c>
      <c r="AK64" s="55"/>
      <c r="AL64" s="55">
        <v>5</v>
      </c>
      <c r="AM64" s="56">
        <f t="shared" si="17"/>
        <v>8</v>
      </c>
      <c r="AN64" s="54"/>
      <c r="AO64" s="55"/>
      <c r="AP64" s="55"/>
      <c r="AQ64" s="55"/>
      <c r="AR64" s="56">
        <f t="shared" si="18"/>
        <v>0</v>
      </c>
      <c r="AS64" s="54"/>
      <c r="AT64" s="55"/>
      <c r="AU64" s="55"/>
      <c r="AV64" s="55"/>
      <c r="AW64" s="176">
        <f t="shared" si="19"/>
        <v>0</v>
      </c>
      <c r="AX64" s="56">
        <f t="shared" si="20"/>
        <v>10</v>
      </c>
      <c r="AY64" s="329">
        <v>43993</v>
      </c>
      <c r="AZ64" s="326"/>
    </row>
    <row r="65" spans="1:52" x14ac:dyDescent="0.15">
      <c r="A65" s="53" t="s">
        <v>29</v>
      </c>
      <c r="B65" s="54"/>
      <c r="C65" s="55"/>
      <c r="D65" s="55"/>
      <c r="E65" s="55"/>
      <c r="F65" s="56">
        <f t="shared" si="11"/>
        <v>0</v>
      </c>
      <c r="G65" s="54"/>
      <c r="H65" s="55"/>
      <c r="I65" s="55"/>
      <c r="J65" s="55">
        <v>-1</v>
      </c>
      <c r="K65" s="56">
        <f t="shared" si="12"/>
        <v>-1</v>
      </c>
      <c r="L65" s="54"/>
      <c r="M65" s="55"/>
      <c r="N65" s="55"/>
      <c r="O65" s="55"/>
      <c r="P65" s="56">
        <f t="shared" si="13"/>
        <v>0</v>
      </c>
      <c r="Q65" s="54"/>
      <c r="R65" s="55">
        <v>-1</v>
      </c>
      <c r="S65" s="55"/>
      <c r="T65" s="55"/>
      <c r="U65" s="176">
        <f t="shared" si="14"/>
        <v>-1</v>
      </c>
      <c r="V65" s="147">
        <f t="shared" si="15"/>
        <v>-2</v>
      </c>
      <c r="W65" s="328">
        <v>44006</v>
      </c>
      <c r="X65" s="326"/>
      <c r="Y65" s="326"/>
      <c r="Z65" s="326"/>
      <c r="AC65" s="65" t="s">
        <v>143</v>
      </c>
      <c r="AD65" s="54"/>
      <c r="AE65" s="55"/>
      <c r="AF65" s="55">
        <v>2</v>
      </c>
      <c r="AG65" s="55"/>
      <c r="AH65" s="56">
        <f t="shared" si="16"/>
        <v>2</v>
      </c>
      <c r="AI65" s="54">
        <v>2</v>
      </c>
      <c r="AJ65" s="55"/>
      <c r="AK65" s="55">
        <v>3</v>
      </c>
      <c r="AL65" s="55"/>
      <c r="AM65" s="56">
        <f t="shared" si="17"/>
        <v>5</v>
      </c>
      <c r="AN65" s="54"/>
      <c r="AO65" s="55"/>
      <c r="AP65" s="55"/>
      <c r="AQ65" s="55"/>
      <c r="AR65" s="56">
        <f t="shared" si="18"/>
        <v>0</v>
      </c>
      <c r="AS65" s="54"/>
      <c r="AT65" s="55"/>
      <c r="AU65" s="55"/>
      <c r="AV65" s="55"/>
      <c r="AW65" s="176">
        <f t="shared" si="19"/>
        <v>0</v>
      </c>
      <c r="AX65" s="56">
        <f t="shared" si="20"/>
        <v>7</v>
      </c>
      <c r="AY65" s="329">
        <v>43993</v>
      </c>
      <c r="AZ65" s="326"/>
    </row>
    <row r="66" spans="1:52" x14ac:dyDescent="0.15">
      <c r="A66" s="53"/>
      <c r="B66" s="54"/>
      <c r="C66" s="55"/>
      <c r="D66" s="55"/>
      <c r="E66" s="55"/>
      <c r="F66" s="56">
        <f t="shared" si="11"/>
        <v>0</v>
      </c>
      <c r="G66" s="54"/>
      <c r="H66" s="55"/>
      <c r="I66" s="55"/>
      <c r="J66" s="55"/>
      <c r="K66" s="56">
        <f t="shared" si="12"/>
        <v>0</v>
      </c>
      <c r="L66" s="54"/>
      <c r="M66" s="55"/>
      <c r="N66" s="55"/>
      <c r="O66" s="55"/>
      <c r="P66" s="56">
        <f t="shared" si="13"/>
        <v>0</v>
      </c>
      <c r="Q66" s="54"/>
      <c r="R66" s="55"/>
      <c r="S66" s="55"/>
      <c r="T66" s="55"/>
      <c r="U66" s="176">
        <f t="shared" si="14"/>
        <v>0</v>
      </c>
      <c r="V66" s="147">
        <f t="shared" si="15"/>
        <v>0</v>
      </c>
      <c r="W66" s="325"/>
      <c r="X66" s="326"/>
      <c r="Y66" s="326"/>
      <c r="Z66" s="326"/>
      <c r="AC66" s="66" t="s">
        <v>144</v>
      </c>
      <c r="AD66" s="54"/>
      <c r="AE66" s="55"/>
      <c r="AF66" s="55"/>
      <c r="AG66" s="55"/>
      <c r="AH66" s="56">
        <f t="shared" si="16"/>
        <v>0</v>
      </c>
      <c r="AI66" s="54"/>
      <c r="AJ66" s="55"/>
      <c r="AK66" s="55"/>
      <c r="AL66" s="55"/>
      <c r="AM66" s="56">
        <f t="shared" si="17"/>
        <v>0</v>
      </c>
      <c r="AN66" s="54"/>
      <c r="AO66" s="55"/>
      <c r="AP66" s="55"/>
      <c r="AQ66" s="55"/>
      <c r="AR66" s="56">
        <f t="shared" si="18"/>
        <v>0</v>
      </c>
      <c r="AS66" s="54"/>
      <c r="AT66" s="55"/>
      <c r="AU66" s="55">
        <v>3</v>
      </c>
      <c r="AV66" s="55"/>
      <c r="AW66" s="176">
        <f t="shared" si="19"/>
        <v>3</v>
      </c>
      <c r="AX66" s="56">
        <f t="shared" si="20"/>
        <v>3</v>
      </c>
      <c r="AY66" s="329">
        <v>43991</v>
      </c>
      <c r="AZ66" s="326"/>
    </row>
    <row r="67" spans="1:52" x14ac:dyDescent="0.15">
      <c r="A67" s="53"/>
      <c r="B67" s="54"/>
      <c r="C67" s="55"/>
      <c r="D67" s="55"/>
      <c r="E67" s="55"/>
      <c r="F67" s="56">
        <f t="shared" si="11"/>
        <v>0</v>
      </c>
      <c r="G67" s="54"/>
      <c r="H67" s="55"/>
      <c r="I67" s="55"/>
      <c r="J67" s="55"/>
      <c r="K67" s="56">
        <f t="shared" si="12"/>
        <v>0</v>
      </c>
      <c r="L67" s="54"/>
      <c r="M67" s="55"/>
      <c r="N67" s="55"/>
      <c r="O67" s="55"/>
      <c r="P67" s="56">
        <f t="shared" si="13"/>
        <v>0</v>
      </c>
      <c r="Q67" s="54"/>
      <c r="R67" s="55"/>
      <c r="S67" s="55"/>
      <c r="T67" s="55"/>
      <c r="U67" s="176">
        <f t="shared" si="14"/>
        <v>0</v>
      </c>
      <c r="V67" s="147">
        <f t="shared" si="15"/>
        <v>0</v>
      </c>
      <c r="W67" s="325"/>
      <c r="X67" s="326"/>
      <c r="Y67" s="326"/>
      <c r="Z67" s="326"/>
      <c r="AC67" s="66" t="s">
        <v>146</v>
      </c>
      <c r="AD67" s="54"/>
      <c r="AE67" s="55"/>
      <c r="AF67" s="55"/>
      <c r="AG67" s="55"/>
      <c r="AH67" s="56">
        <f t="shared" si="16"/>
        <v>0</v>
      </c>
      <c r="AI67" s="54"/>
      <c r="AJ67" s="55"/>
      <c r="AK67" s="55"/>
      <c r="AL67" s="55"/>
      <c r="AM67" s="56">
        <f t="shared" si="17"/>
        <v>0</v>
      </c>
      <c r="AN67" s="54"/>
      <c r="AO67" s="55"/>
      <c r="AP67" s="55"/>
      <c r="AQ67" s="55"/>
      <c r="AR67" s="56">
        <f t="shared" si="18"/>
        <v>0</v>
      </c>
      <c r="AS67" s="54"/>
      <c r="AT67" s="55">
        <v>3</v>
      </c>
      <c r="AU67" s="55"/>
      <c r="AV67" s="55"/>
      <c r="AW67" s="176">
        <f t="shared" si="19"/>
        <v>3</v>
      </c>
      <c r="AX67" s="56">
        <f t="shared" si="20"/>
        <v>3</v>
      </c>
      <c r="AY67" s="329">
        <v>43998</v>
      </c>
      <c r="AZ67" s="326"/>
    </row>
    <row r="68" spans="1:52" x14ac:dyDescent="0.15">
      <c r="A68" s="53"/>
      <c r="B68" s="54"/>
      <c r="C68" s="55"/>
      <c r="D68" s="55"/>
      <c r="E68" s="55"/>
      <c r="F68" s="56">
        <f t="shared" si="11"/>
        <v>0</v>
      </c>
      <c r="G68" s="54"/>
      <c r="H68" s="55"/>
      <c r="I68" s="55"/>
      <c r="J68" s="55"/>
      <c r="K68" s="56">
        <f t="shared" si="12"/>
        <v>0</v>
      </c>
      <c r="L68" s="54"/>
      <c r="M68" s="55"/>
      <c r="N68" s="55"/>
      <c r="O68" s="55"/>
      <c r="P68" s="56">
        <f t="shared" si="13"/>
        <v>0</v>
      </c>
      <c r="Q68" s="54"/>
      <c r="R68" s="55"/>
      <c r="S68" s="55"/>
      <c r="T68" s="55"/>
      <c r="U68" s="176">
        <f t="shared" si="14"/>
        <v>0</v>
      </c>
      <c r="V68" s="147">
        <f t="shared" si="15"/>
        <v>0</v>
      </c>
      <c r="W68" s="325"/>
      <c r="X68" s="326"/>
      <c r="Y68" s="326"/>
      <c r="Z68" s="326"/>
      <c r="AC68" s="66" t="s">
        <v>147</v>
      </c>
      <c r="AD68" s="54"/>
      <c r="AE68" s="55"/>
      <c r="AF68" s="55"/>
      <c r="AG68" s="55"/>
      <c r="AH68" s="56">
        <f t="shared" si="16"/>
        <v>0</v>
      </c>
      <c r="AI68" s="54"/>
      <c r="AJ68" s="55"/>
      <c r="AK68" s="55"/>
      <c r="AL68" s="55"/>
      <c r="AM68" s="56">
        <f t="shared" si="17"/>
        <v>0</v>
      </c>
      <c r="AN68" s="54"/>
      <c r="AO68" s="55"/>
      <c r="AP68" s="55"/>
      <c r="AQ68" s="55"/>
      <c r="AR68" s="56">
        <f t="shared" si="18"/>
        <v>0</v>
      </c>
      <c r="AS68" s="54"/>
      <c r="AT68" s="55">
        <v>3</v>
      </c>
      <c r="AU68" s="55">
        <v>3</v>
      </c>
      <c r="AV68" s="55"/>
      <c r="AW68" s="176">
        <f t="shared" si="19"/>
        <v>6</v>
      </c>
      <c r="AX68" s="56">
        <f t="shared" si="20"/>
        <v>6</v>
      </c>
      <c r="AY68" s="329">
        <v>43998</v>
      </c>
      <c r="AZ68" s="326"/>
    </row>
    <row r="69" spans="1:52" x14ac:dyDescent="0.15">
      <c r="A69" s="53"/>
      <c r="B69" s="54"/>
      <c r="C69" s="55"/>
      <c r="D69" s="55"/>
      <c r="E69" s="55"/>
      <c r="F69" s="56">
        <f t="shared" si="11"/>
        <v>0</v>
      </c>
      <c r="G69" s="54"/>
      <c r="H69" s="55"/>
      <c r="I69" s="55"/>
      <c r="J69" s="55"/>
      <c r="K69" s="56">
        <f t="shared" si="12"/>
        <v>0</v>
      </c>
      <c r="L69" s="54"/>
      <c r="M69" s="55"/>
      <c r="N69" s="55"/>
      <c r="O69" s="55"/>
      <c r="P69" s="56">
        <f t="shared" si="13"/>
        <v>0</v>
      </c>
      <c r="Q69" s="54"/>
      <c r="R69" s="55"/>
      <c r="S69" s="55"/>
      <c r="T69" s="55"/>
      <c r="U69" s="176">
        <f t="shared" si="14"/>
        <v>0</v>
      </c>
      <c r="V69" s="147">
        <f t="shared" si="15"/>
        <v>0</v>
      </c>
      <c r="W69" s="325"/>
      <c r="X69" s="326"/>
      <c r="Y69" s="326"/>
      <c r="Z69" s="326"/>
      <c r="AC69" s="66" t="s">
        <v>148</v>
      </c>
      <c r="AD69" s="54"/>
      <c r="AE69" s="55"/>
      <c r="AF69" s="55"/>
      <c r="AG69" s="55"/>
      <c r="AH69" s="56">
        <f t="shared" si="16"/>
        <v>0</v>
      </c>
      <c r="AI69" s="54"/>
      <c r="AJ69" s="55"/>
      <c r="AK69" s="55"/>
      <c r="AL69" s="55"/>
      <c r="AM69" s="56">
        <f t="shared" si="17"/>
        <v>0</v>
      </c>
      <c r="AN69" s="54"/>
      <c r="AO69" s="55"/>
      <c r="AP69" s="55"/>
      <c r="AQ69" s="55"/>
      <c r="AR69" s="56">
        <f t="shared" si="18"/>
        <v>0</v>
      </c>
      <c r="AS69" s="54"/>
      <c r="AT69" s="55">
        <v>10</v>
      </c>
      <c r="AU69" s="55"/>
      <c r="AV69" s="55"/>
      <c r="AW69" s="176">
        <f t="shared" si="19"/>
        <v>10</v>
      </c>
      <c r="AX69" s="56">
        <f t="shared" si="20"/>
        <v>10</v>
      </c>
      <c r="AY69" s="329">
        <v>43999</v>
      </c>
      <c r="AZ69" s="326"/>
    </row>
    <row r="70" spans="1:52" x14ac:dyDescent="0.15">
      <c r="A70" s="53"/>
      <c r="B70" s="54"/>
      <c r="C70" s="55"/>
      <c r="D70" s="55"/>
      <c r="E70" s="55"/>
      <c r="F70" s="56">
        <f t="shared" si="11"/>
        <v>0</v>
      </c>
      <c r="G70" s="54"/>
      <c r="H70" s="55"/>
      <c r="I70" s="55"/>
      <c r="J70" s="55"/>
      <c r="K70" s="56">
        <f t="shared" si="12"/>
        <v>0</v>
      </c>
      <c r="L70" s="54"/>
      <c r="M70" s="55"/>
      <c r="N70" s="55"/>
      <c r="O70" s="55"/>
      <c r="P70" s="56">
        <f t="shared" si="13"/>
        <v>0</v>
      </c>
      <c r="Q70" s="54"/>
      <c r="R70" s="55"/>
      <c r="S70" s="55"/>
      <c r="T70" s="55"/>
      <c r="U70" s="176">
        <f t="shared" si="14"/>
        <v>0</v>
      </c>
      <c r="V70" s="147">
        <f t="shared" si="15"/>
        <v>0</v>
      </c>
      <c r="W70" s="325"/>
      <c r="X70" s="326"/>
      <c r="Y70" s="326"/>
      <c r="Z70" s="326"/>
      <c r="AC70" s="65" t="s">
        <v>150</v>
      </c>
      <c r="AD70" s="54"/>
      <c r="AE70" s="55"/>
      <c r="AF70" s="55"/>
      <c r="AG70" s="55"/>
      <c r="AH70" s="56">
        <f t="shared" si="16"/>
        <v>0</v>
      </c>
      <c r="AI70" s="54"/>
      <c r="AJ70" s="55"/>
      <c r="AK70" s="55"/>
      <c r="AL70" s="55">
        <v>5</v>
      </c>
      <c r="AM70" s="56">
        <f t="shared" si="17"/>
        <v>5</v>
      </c>
      <c r="AN70" s="54"/>
      <c r="AO70" s="55"/>
      <c r="AP70" s="55"/>
      <c r="AQ70" s="55"/>
      <c r="AR70" s="56">
        <f t="shared" si="18"/>
        <v>0</v>
      </c>
      <c r="AS70" s="54"/>
      <c r="AT70" s="55"/>
      <c r="AU70" s="55"/>
      <c r="AV70" s="55"/>
      <c r="AW70" s="176">
        <f t="shared" si="19"/>
        <v>0</v>
      </c>
      <c r="AX70" s="56">
        <f t="shared" si="20"/>
        <v>5</v>
      </c>
      <c r="AY70" s="329">
        <v>44001</v>
      </c>
      <c r="AZ70" s="326"/>
    </row>
    <row r="71" spans="1:52" x14ac:dyDescent="0.15">
      <c r="A71" s="53"/>
      <c r="B71" s="54"/>
      <c r="C71" s="55"/>
      <c r="D71" s="55"/>
      <c r="E71" s="55"/>
      <c r="F71" s="56">
        <f t="shared" si="11"/>
        <v>0</v>
      </c>
      <c r="G71" s="54"/>
      <c r="H71" s="55"/>
      <c r="I71" s="55"/>
      <c r="J71" s="55"/>
      <c r="K71" s="56">
        <f t="shared" si="12"/>
        <v>0</v>
      </c>
      <c r="L71" s="54"/>
      <c r="M71" s="55"/>
      <c r="N71" s="55"/>
      <c r="O71" s="55"/>
      <c r="P71" s="56">
        <f t="shared" si="13"/>
        <v>0</v>
      </c>
      <c r="Q71" s="54"/>
      <c r="R71" s="55"/>
      <c r="S71" s="55"/>
      <c r="T71" s="55"/>
      <c r="U71" s="176">
        <f t="shared" si="14"/>
        <v>0</v>
      </c>
      <c r="V71" s="147">
        <f t="shared" si="15"/>
        <v>0</v>
      </c>
      <c r="W71" s="325"/>
      <c r="X71" s="326"/>
      <c r="Y71" s="326"/>
      <c r="Z71" s="326"/>
      <c r="AC71" s="65" t="s">
        <v>151</v>
      </c>
      <c r="AD71" s="54"/>
      <c r="AE71" s="55"/>
      <c r="AF71" s="55">
        <v>3</v>
      </c>
      <c r="AG71" s="55"/>
      <c r="AH71" s="56">
        <f t="shared" si="16"/>
        <v>3</v>
      </c>
      <c r="AI71" s="54"/>
      <c r="AJ71" s="55"/>
      <c r="AK71" s="55">
        <v>5</v>
      </c>
      <c r="AL71" s="55">
        <v>1</v>
      </c>
      <c r="AM71" s="56">
        <f t="shared" si="17"/>
        <v>6</v>
      </c>
      <c r="AN71" s="54"/>
      <c r="AO71" s="55"/>
      <c r="AP71" s="55"/>
      <c r="AQ71" s="55"/>
      <c r="AR71" s="56">
        <f t="shared" si="18"/>
        <v>0</v>
      </c>
      <c r="AS71" s="54"/>
      <c r="AT71" s="55"/>
      <c r="AU71" s="55"/>
      <c r="AV71" s="55"/>
      <c r="AW71" s="176">
        <f t="shared" si="19"/>
        <v>0</v>
      </c>
      <c r="AX71" s="56">
        <f t="shared" si="20"/>
        <v>9</v>
      </c>
      <c r="AY71" s="329">
        <v>44002</v>
      </c>
      <c r="AZ71" s="326"/>
    </row>
    <row r="72" spans="1:52" x14ac:dyDescent="0.15">
      <c r="A72" s="53"/>
      <c r="B72" s="54"/>
      <c r="C72" s="55"/>
      <c r="D72" s="55"/>
      <c r="E72" s="55"/>
      <c r="F72" s="56">
        <f t="shared" si="11"/>
        <v>0</v>
      </c>
      <c r="G72" s="54"/>
      <c r="H72" s="55"/>
      <c r="I72" s="55"/>
      <c r="J72" s="55"/>
      <c r="K72" s="56">
        <f t="shared" si="12"/>
        <v>0</v>
      </c>
      <c r="L72" s="54"/>
      <c r="M72" s="55"/>
      <c r="N72" s="55"/>
      <c r="O72" s="55"/>
      <c r="P72" s="56">
        <f t="shared" si="13"/>
        <v>0</v>
      </c>
      <c r="Q72" s="54"/>
      <c r="R72" s="55"/>
      <c r="S72" s="55"/>
      <c r="T72" s="55"/>
      <c r="U72" s="176">
        <f t="shared" si="14"/>
        <v>0</v>
      </c>
      <c r="V72" s="147">
        <f t="shared" si="15"/>
        <v>0</v>
      </c>
      <c r="W72" s="325"/>
      <c r="X72" s="326"/>
      <c r="Y72" s="326"/>
      <c r="Z72" s="326"/>
      <c r="AC72" s="65" t="s">
        <v>152</v>
      </c>
      <c r="AD72" s="54">
        <v>2</v>
      </c>
      <c r="AE72" s="55"/>
      <c r="AF72" s="55">
        <v>2</v>
      </c>
      <c r="AG72" s="55"/>
      <c r="AH72" s="56">
        <f t="shared" ref="AH72:AH78" si="21">SUM(AD72:AG72)</f>
        <v>4</v>
      </c>
      <c r="AI72" s="54">
        <v>2</v>
      </c>
      <c r="AJ72" s="55"/>
      <c r="AK72" s="55"/>
      <c r="AL72" s="55">
        <v>3</v>
      </c>
      <c r="AM72" s="56">
        <f t="shared" ref="AM72:AM78" si="22">SUM(AI72:AL72)</f>
        <v>5</v>
      </c>
      <c r="AN72" s="54"/>
      <c r="AO72" s="55"/>
      <c r="AP72" s="55"/>
      <c r="AQ72" s="55"/>
      <c r="AR72" s="56">
        <f t="shared" ref="AR72:AR78" si="23">SUM(AN72:AQ72)</f>
        <v>0</v>
      </c>
      <c r="AS72" s="54"/>
      <c r="AT72" s="55"/>
      <c r="AU72" s="55"/>
      <c r="AV72" s="55"/>
      <c r="AW72" s="176">
        <f t="shared" ref="AW72:AW78" si="24">SUM(AS72:AV72)</f>
        <v>0</v>
      </c>
      <c r="AX72" s="56">
        <f t="shared" si="20"/>
        <v>9</v>
      </c>
      <c r="AY72" s="329">
        <v>44002</v>
      </c>
      <c r="AZ72" s="326"/>
    </row>
    <row r="73" spans="1:52" x14ac:dyDescent="0.15">
      <c r="A73" s="53"/>
      <c r="B73" s="54"/>
      <c r="C73" s="55"/>
      <c r="D73" s="55"/>
      <c r="E73" s="55"/>
      <c r="F73" s="56">
        <f t="shared" si="11"/>
        <v>0</v>
      </c>
      <c r="G73" s="54"/>
      <c r="H73" s="55"/>
      <c r="I73" s="55"/>
      <c r="J73" s="55"/>
      <c r="K73" s="56">
        <f t="shared" si="12"/>
        <v>0</v>
      </c>
      <c r="L73" s="54"/>
      <c r="M73" s="55"/>
      <c r="N73" s="55"/>
      <c r="O73" s="55"/>
      <c r="P73" s="56">
        <f t="shared" si="13"/>
        <v>0</v>
      </c>
      <c r="Q73" s="54"/>
      <c r="R73" s="55"/>
      <c r="S73" s="55"/>
      <c r="T73" s="55"/>
      <c r="U73" s="176">
        <f t="shared" si="14"/>
        <v>0</v>
      </c>
      <c r="V73" s="147">
        <f t="shared" si="15"/>
        <v>0</v>
      </c>
      <c r="W73" s="325"/>
      <c r="X73" s="326"/>
      <c r="Y73" s="326"/>
      <c r="Z73" s="326"/>
      <c r="AC73" s="66" t="s">
        <v>153</v>
      </c>
      <c r="AD73" s="54"/>
      <c r="AE73" s="55"/>
      <c r="AF73" s="55"/>
      <c r="AG73" s="55"/>
      <c r="AH73" s="56">
        <f t="shared" si="21"/>
        <v>0</v>
      </c>
      <c r="AI73" s="54"/>
      <c r="AJ73" s="55"/>
      <c r="AK73" s="55"/>
      <c r="AL73" s="55"/>
      <c r="AM73" s="56">
        <f t="shared" si="22"/>
        <v>0</v>
      </c>
      <c r="AN73" s="54"/>
      <c r="AO73" s="55"/>
      <c r="AP73" s="55"/>
      <c r="AQ73" s="55"/>
      <c r="AR73" s="56">
        <f t="shared" si="23"/>
        <v>0</v>
      </c>
      <c r="AS73" s="54"/>
      <c r="AT73" s="55"/>
      <c r="AU73" s="55">
        <v>10</v>
      </c>
      <c r="AV73" s="55"/>
      <c r="AW73" s="176">
        <f t="shared" si="24"/>
        <v>10</v>
      </c>
      <c r="AX73" s="56">
        <f t="shared" si="20"/>
        <v>10</v>
      </c>
      <c r="AY73" s="329">
        <v>44007</v>
      </c>
      <c r="AZ73" s="326"/>
    </row>
    <row r="74" spans="1:52" x14ac:dyDescent="0.15">
      <c r="A74" s="53"/>
      <c r="B74" s="17"/>
      <c r="C74" s="18"/>
      <c r="D74" s="18"/>
      <c r="E74" s="18"/>
      <c r="F74" s="30">
        <f t="shared" si="11"/>
        <v>0</v>
      </c>
      <c r="G74" s="17"/>
      <c r="H74" s="18"/>
      <c r="I74" s="18"/>
      <c r="J74" s="18"/>
      <c r="K74" s="30">
        <f t="shared" si="12"/>
        <v>0</v>
      </c>
      <c r="L74" s="17"/>
      <c r="M74" s="18"/>
      <c r="N74" s="18"/>
      <c r="O74" s="18"/>
      <c r="P74" s="30">
        <f t="shared" si="13"/>
        <v>0</v>
      </c>
      <c r="Q74" s="17"/>
      <c r="R74" s="18"/>
      <c r="S74" s="18"/>
      <c r="T74" s="18"/>
      <c r="U74" s="178">
        <f t="shared" si="14"/>
        <v>0</v>
      </c>
      <c r="V74" s="147">
        <f t="shared" si="15"/>
        <v>0</v>
      </c>
      <c r="W74" s="325"/>
      <c r="X74" s="326"/>
      <c r="Y74" s="326"/>
      <c r="Z74" s="326"/>
      <c r="AC74" s="65" t="s">
        <v>156</v>
      </c>
      <c r="AD74" s="54"/>
      <c r="AE74" s="55">
        <v>4</v>
      </c>
      <c r="AF74" s="55"/>
      <c r="AG74" s="55"/>
      <c r="AH74" s="56">
        <f t="shared" si="21"/>
        <v>4</v>
      </c>
      <c r="AI74" s="54"/>
      <c r="AJ74" s="55"/>
      <c r="AK74" s="55"/>
      <c r="AL74" s="55"/>
      <c r="AM74" s="56">
        <f t="shared" si="22"/>
        <v>0</v>
      </c>
      <c r="AN74" s="54"/>
      <c r="AO74" s="55"/>
      <c r="AP74" s="55"/>
      <c r="AQ74" s="55"/>
      <c r="AR74" s="56">
        <f t="shared" si="23"/>
        <v>0</v>
      </c>
      <c r="AS74" s="54"/>
      <c r="AT74" s="55"/>
      <c r="AU74" s="55"/>
      <c r="AV74" s="55"/>
      <c r="AW74" s="176">
        <f t="shared" si="24"/>
        <v>0</v>
      </c>
      <c r="AX74" s="56">
        <f t="shared" si="20"/>
        <v>4</v>
      </c>
      <c r="AY74" s="329">
        <v>44008</v>
      </c>
      <c r="AZ74" s="326"/>
    </row>
    <row r="75" spans="1:52" x14ac:dyDescent="0.15">
      <c r="A75" s="53"/>
      <c r="B75" s="54"/>
      <c r="C75" s="55"/>
      <c r="D75" s="55"/>
      <c r="E75" s="55"/>
      <c r="F75" s="56">
        <f t="shared" si="11"/>
        <v>0</v>
      </c>
      <c r="G75" s="54"/>
      <c r="H75" s="55"/>
      <c r="I75" s="55"/>
      <c r="J75" s="55"/>
      <c r="K75" s="56">
        <f t="shared" si="12"/>
        <v>0</v>
      </c>
      <c r="L75" s="54"/>
      <c r="M75" s="55"/>
      <c r="N75" s="55"/>
      <c r="O75" s="55"/>
      <c r="P75" s="56">
        <f t="shared" si="13"/>
        <v>0</v>
      </c>
      <c r="Q75" s="54"/>
      <c r="R75" s="55"/>
      <c r="S75" s="55"/>
      <c r="T75" s="55"/>
      <c r="U75" s="176">
        <f t="shared" si="14"/>
        <v>0</v>
      </c>
      <c r="V75" s="147">
        <f t="shared" si="15"/>
        <v>0</v>
      </c>
      <c r="W75" s="325"/>
      <c r="X75" s="326"/>
      <c r="Y75" s="326"/>
      <c r="Z75" s="326"/>
      <c r="AC75" s="65" t="s">
        <v>154</v>
      </c>
      <c r="AD75" s="54">
        <v>3</v>
      </c>
      <c r="AE75" s="55"/>
      <c r="AF75" s="55"/>
      <c r="AG75" s="55"/>
      <c r="AH75" s="56">
        <f t="shared" si="21"/>
        <v>3</v>
      </c>
      <c r="AI75" s="54">
        <v>5</v>
      </c>
      <c r="AJ75" s="55"/>
      <c r="AK75" s="55">
        <v>3</v>
      </c>
      <c r="AL75" s="55">
        <v>7</v>
      </c>
      <c r="AM75" s="56">
        <f t="shared" si="22"/>
        <v>15</v>
      </c>
      <c r="AN75" s="54"/>
      <c r="AO75" s="55"/>
      <c r="AP75" s="55"/>
      <c r="AQ75" s="55"/>
      <c r="AR75" s="56">
        <f t="shared" si="23"/>
        <v>0</v>
      </c>
      <c r="AS75" s="54"/>
      <c r="AT75" s="55"/>
      <c r="AU75" s="55"/>
      <c r="AV75" s="55"/>
      <c r="AW75" s="176">
        <f t="shared" si="24"/>
        <v>0</v>
      </c>
      <c r="AX75" s="56">
        <f t="shared" si="20"/>
        <v>18</v>
      </c>
      <c r="AY75" s="329">
        <v>44011</v>
      </c>
      <c r="AZ75" s="326"/>
    </row>
    <row r="76" spans="1:52" x14ac:dyDescent="0.15">
      <c r="A76" s="53"/>
      <c r="B76" s="62"/>
      <c r="C76" s="63"/>
      <c r="D76" s="63"/>
      <c r="E76" s="63"/>
      <c r="F76" s="56">
        <f t="shared" si="11"/>
        <v>0</v>
      </c>
      <c r="G76" s="62"/>
      <c r="H76" s="63"/>
      <c r="I76" s="63"/>
      <c r="J76" s="63"/>
      <c r="K76" s="56">
        <f t="shared" si="12"/>
        <v>0</v>
      </c>
      <c r="L76" s="62"/>
      <c r="M76" s="63"/>
      <c r="N76" s="63"/>
      <c r="O76" s="63"/>
      <c r="P76" s="56">
        <f t="shared" si="13"/>
        <v>0</v>
      </c>
      <c r="Q76" s="62"/>
      <c r="R76" s="63"/>
      <c r="S76" s="63"/>
      <c r="T76" s="63"/>
      <c r="U76" s="176">
        <f t="shared" si="14"/>
        <v>0</v>
      </c>
      <c r="V76" s="147">
        <f t="shared" si="15"/>
        <v>0</v>
      </c>
      <c r="W76" s="325"/>
      <c r="X76" s="326"/>
      <c r="Y76" s="326"/>
      <c r="Z76" s="326"/>
      <c r="AC76" s="65" t="s">
        <v>155</v>
      </c>
      <c r="AD76" s="54"/>
      <c r="AE76" s="55">
        <v>3</v>
      </c>
      <c r="AF76" s="55"/>
      <c r="AG76" s="55">
        <v>3</v>
      </c>
      <c r="AH76" s="56">
        <f>SUM(AD76:AG76)</f>
        <v>6</v>
      </c>
      <c r="AI76" s="54"/>
      <c r="AJ76" s="55">
        <v>1</v>
      </c>
      <c r="AK76" s="55">
        <v>2</v>
      </c>
      <c r="AL76" s="55">
        <v>5</v>
      </c>
      <c r="AM76" s="56">
        <f>SUM(AI76:AL76)</f>
        <v>8</v>
      </c>
      <c r="AN76" s="54"/>
      <c r="AO76" s="55"/>
      <c r="AP76" s="55"/>
      <c r="AQ76" s="55"/>
      <c r="AR76" s="56">
        <f>SUM(AN76:AQ76)</f>
        <v>0</v>
      </c>
      <c r="AS76" s="54"/>
      <c r="AT76" s="55"/>
      <c r="AU76" s="55"/>
      <c r="AV76" s="55"/>
      <c r="AW76" s="176">
        <f>SUM(AS76:AV76)</f>
        <v>0</v>
      </c>
      <c r="AX76" s="56">
        <f t="shared" si="20"/>
        <v>14</v>
      </c>
      <c r="AY76" s="329">
        <v>44011</v>
      </c>
      <c r="AZ76" s="326"/>
    </row>
    <row r="77" spans="1:52" x14ac:dyDescent="0.15">
      <c r="A77" s="53"/>
      <c r="B77" s="54"/>
      <c r="C77" s="55"/>
      <c r="D77" s="55"/>
      <c r="E77" s="55"/>
      <c r="F77" s="56">
        <f t="shared" si="11"/>
        <v>0</v>
      </c>
      <c r="G77" s="54"/>
      <c r="H77" s="55"/>
      <c r="I77" s="55"/>
      <c r="J77" s="55"/>
      <c r="K77" s="56">
        <f t="shared" si="12"/>
        <v>0</v>
      </c>
      <c r="L77" s="54"/>
      <c r="M77" s="55"/>
      <c r="N77" s="55"/>
      <c r="O77" s="55"/>
      <c r="P77" s="56">
        <f t="shared" si="13"/>
        <v>0</v>
      </c>
      <c r="Q77" s="54"/>
      <c r="R77" s="55"/>
      <c r="S77" s="55"/>
      <c r="T77" s="55"/>
      <c r="U77" s="176">
        <f t="shared" si="14"/>
        <v>0</v>
      </c>
      <c r="V77" s="147">
        <f t="shared" si="15"/>
        <v>0</v>
      </c>
      <c r="W77" s="325"/>
      <c r="X77" s="326"/>
      <c r="Y77" s="326"/>
      <c r="Z77" s="326"/>
      <c r="AC77" s="65" t="s">
        <v>99</v>
      </c>
      <c r="AD77" s="54"/>
      <c r="AE77" s="55"/>
      <c r="AF77" s="55"/>
      <c r="AG77" s="55"/>
      <c r="AH77" s="56">
        <f t="shared" si="21"/>
        <v>0</v>
      </c>
      <c r="AI77" s="54">
        <v>3</v>
      </c>
      <c r="AJ77" s="55"/>
      <c r="AK77" s="55"/>
      <c r="AL77" s="55"/>
      <c r="AM77" s="56">
        <f t="shared" si="22"/>
        <v>3</v>
      </c>
      <c r="AN77" s="54"/>
      <c r="AO77" s="55"/>
      <c r="AP77" s="55"/>
      <c r="AQ77" s="55"/>
      <c r="AR77" s="56">
        <f t="shared" si="23"/>
        <v>0</v>
      </c>
      <c r="AS77" s="54"/>
      <c r="AT77" s="55"/>
      <c r="AU77" s="55"/>
      <c r="AV77" s="55"/>
      <c r="AW77" s="176">
        <f t="shared" si="24"/>
        <v>0</v>
      </c>
      <c r="AX77" s="56">
        <f t="shared" si="20"/>
        <v>3</v>
      </c>
      <c r="AY77" s="329">
        <v>44004</v>
      </c>
      <c r="AZ77" s="326"/>
    </row>
    <row r="78" spans="1:52" x14ac:dyDescent="0.15">
      <c r="A78" s="53"/>
      <c r="B78" s="54"/>
      <c r="C78" s="55"/>
      <c r="D78" s="55"/>
      <c r="E78" s="55"/>
      <c r="F78" s="56">
        <f t="shared" si="11"/>
        <v>0</v>
      </c>
      <c r="G78" s="54"/>
      <c r="H78" s="55"/>
      <c r="I78" s="55"/>
      <c r="J78" s="55"/>
      <c r="K78" s="56">
        <f t="shared" si="12"/>
        <v>0</v>
      </c>
      <c r="L78" s="54"/>
      <c r="M78" s="55"/>
      <c r="N78" s="55"/>
      <c r="O78" s="55"/>
      <c r="P78" s="56">
        <f t="shared" si="13"/>
        <v>0</v>
      </c>
      <c r="Q78" s="54"/>
      <c r="R78" s="55"/>
      <c r="S78" s="55"/>
      <c r="T78" s="55"/>
      <c r="U78" s="176">
        <f t="shared" si="14"/>
        <v>0</v>
      </c>
      <c r="V78" s="147">
        <f t="shared" si="15"/>
        <v>0</v>
      </c>
      <c r="W78" s="325"/>
      <c r="X78" s="326"/>
      <c r="Y78" s="326"/>
      <c r="Z78" s="326"/>
      <c r="AC78" s="66" t="s">
        <v>157</v>
      </c>
      <c r="AD78" s="62"/>
      <c r="AE78" s="63"/>
      <c r="AF78" s="63"/>
      <c r="AG78" s="63"/>
      <c r="AH78" s="56">
        <f t="shared" si="21"/>
        <v>0</v>
      </c>
      <c r="AI78" s="62">
        <v>5</v>
      </c>
      <c r="AJ78" s="63"/>
      <c r="AK78" s="63"/>
      <c r="AL78" s="63"/>
      <c r="AM78" s="56">
        <f t="shared" si="22"/>
        <v>5</v>
      </c>
      <c r="AN78" s="62"/>
      <c r="AO78" s="63"/>
      <c r="AP78" s="63"/>
      <c r="AQ78" s="63"/>
      <c r="AR78" s="56">
        <f t="shared" si="23"/>
        <v>0</v>
      </c>
      <c r="AS78" s="62"/>
      <c r="AT78" s="63"/>
      <c r="AU78" s="63">
        <v>3</v>
      </c>
      <c r="AV78" s="63"/>
      <c r="AW78" s="176">
        <f t="shared" si="24"/>
        <v>3</v>
      </c>
      <c r="AX78" s="56">
        <f t="shared" si="20"/>
        <v>8</v>
      </c>
      <c r="AY78" s="329">
        <v>44012</v>
      </c>
      <c r="AZ78" s="326"/>
    </row>
    <row r="79" spans="1:52" x14ac:dyDescent="0.15">
      <c r="A79" s="65"/>
      <c r="B79" s="54"/>
      <c r="C79" s="55"/>
      <c r="D79" s="55"/>
      <c r="E79" s="55"/>
      <c r="F79" s="56">
        <f t="shared" si="11"/>
        <v>0</v>
      </c>
      <c r="G79" s="54"/>
      <c r="H79" s="55"/>
      <c r="I79" s="55"/>
      <c r="J79" s="55"/>
      <c r="K79" s="56">
        <f t="shared" si="12"/>
        <v>0</v>
      </c>
      <c r="L79" s="54"/>
      <c r="M79" s="55"/>
      <c r="N79" s="55"/>
      <c r="O79" s="55"/>
      <c r="P79" s="56">
        <f t="shared" si="13"/>
        <v>0</v>
      </c>
      <c r="Q79" s="54"/>
      <c r="R79" s="55"/>
      <c r="S79" s="55"/>
      <c r="T79" s="55"/>
      <c r="U79" s="176">
        <f t="shared" si="14"/>
        <v>0</v>
      </c>
      <c r="V79" s="147">
        <f t="shared" si="15"/>
        <v>0</v>
      </c>
      <c r="W79" s="325"/>
      <c r="X79" s="326"/>
      <c r="Y79" s="326"/>
      <c r="Z79" s="326"/>
      <c r="AC79" s="66" t="s">
        <v>158</v>
      </c>
      <c r="AD79" s="54"/>
      <c r="AE79" s="55"/>
      <c r="AF79" s="55"/>
      <c r="AG79" s="55">
        <v>3</v>
      </c>
      <c r="AH79" s="56">
        <f t="shared" si="16"/>
        <v>3</v>
      </c>
      <c r="AI79" s="54"/>
      <c r="AJ79" s="55"/>
      <c r="AK79" s="55"/>
      <c r="AL79" s="55"/>
      <c r="AM79" s="56">
        <f t="shared" si="17"/>
        <v>0</v>
      </c>
      <c r="AN79" s="54"/>
      <c r="AO79" s="55"/>
      <c r="AP79" s="55"/>
      <c r="AQ79" s="55"/>
      <c r="AR79" s="56">
        <f t="shared" si="18"/>
        <v>0</v>
      </c>
      <c r="AS79" s="54"/>
      <c r="AT79" s="55"/>
      <c r="AU79" s="55"/>
      <c r="AV79" s="55"/>
      <c r="AW79" s="176">
        <f t="shared" si="19"/>
        <v>0</v>
      </c>
      <c r="AX79" s="56">
        <f t="shared" si="20"/>
        <v>3</v>
      </c>
      <c r="AY79" s="329">
        <v>44013</v>
      </c>
      <c r="AZ79" s="326"/>
    </row>
    <row r="80" spans="1:52" ht="14.25" thickBot="1" x14ac:dyDescent="0.2">
      <c r="A80" s="67"/>
      <c r="B80" s="33"/>
      <c r="C80" s="34"/>
      <c r="D80" s="34"/>
      <c r="E80" s="34"/>
      <c r="F80" s="30">
        <f t="shared" si="11"/>
        <v>0</v>
      </c>
      <c r="G80" s="33"/>
      <c r="H80" s="34"/>
      <c r="I80" s="34"/>
      <c r="J80" s="34"/>
      <c r="K80" s="30">
        <f t="shared" si="12"/>
        <v>0</v>
      </c>
      <c r="L80" s="33"/>
      <c r="M80" s="34"/>
      <c r="N80" s="34"/>
      <c r="O80" s="34"/>
      <c r="P80" s="30">
        <f t="shared" si="13"/>
        <v>0</v>
      </c>
      <c r="Q80" s="33"/>
      <c r="R80" s="34"/>
      <c r="S80" s="34"/>
      <c r="T80" s="34"/>
      <c r="U80" s="178">
        <f t="shared" si="14"/>
        <v>0</v>
      </c>
      <c r="V80" s="163">
        <f t="shared" si="15"/>
        <v>0</v>
      </c>
      <c r="W80" s="325"/>
      <c r="X80" s="326"/>
      <c r="Y80" s="326"/>
      <c r="Z80" s="326"/>
      <c r="AC80" s="66" t="s">
        <v>159</v>
      </c>
      <c r="AD80" s="62"/>
      <c r="AE80" s="63"/>
      <c r="AF80" s="63"/>
      <c r="AG80" s="63"/>
      <c r="AH80" s="56">
        <f t="shared" si="16"/>
        <v>0</v>
      </c>
      <c r="AI80" s="62"/>
      <c r="AJ80" s="63"/>
      <c r="AK80" s="63"/>
      <c r="AL80" s="63"/>
      <c r="AM80" s="56">
        <f t="shared" si="17"/>
        <v>0</v>
      </c>
      <c r="AN80" s="62"/>
      <c r="AO80" s="63"/>
      <c r="AP80" s="63"/>
      <c r="AQ80" s="63"/>
      <c r="AR80" s="56">
        <f t="shared" si="18"/>
        <v>0</v>
      </c>
      <c r="AS80" s="62"/>
      <c r="AT80" s="63"/>
      <c r="AU80" s="63"/>
      <c r="AV80" s="63">
        <v>10</v>
      </c>
      <c r="AW80" s="176">
        <f t="shared" si="19"/>
        <v>10</v>
      </c>
      <c r="AX80" s="56">
        <f t="shared" si="20"/>
        <v>10</v>
      </c>
      <c r="AY80" s="329">
        <v>44014</v>
      </c>
      <c r="AZ80" s="326"/>
    </row>
    <row r="81" spans="1:52" ht="15" thickBot="1" x14ac:dyDescent="0.2">
      <c r="A81" s="9" t="s">
        <v>15</v>
      </c>
      <c r="B81" s="36">
        <f>SUM(B55:B80)</f>
        <v>2</v>
      </c>
      <c r="C81" s="37">
        <f>SUM(C55:C80)</f>
        <v>1</v>
      </c>
      <c r="D81" s="37">
        <f>SUM(D55:D80)</f>
        <v>2</v>
      </c>
      <c r="E81" s="38">
        <f>SUM(E55:E80)</f>
        <v>0</v>
      </c>
      <c r="F81" s="25">
        <f t="shared" si="11"/>
        <v>5</v>
      </c>
      <c r="G81" s="36">
        <f>SUM(G55:G80)</f>
        <v>2</v>
      </c>
      <c r="H81" s="37">
        <f>SUM(H55:H80)</f>
        <v>3</v>
      </c>
      <c r="I81" s="37">
        <f>SUM(I55:I80)</f>
        <v>3</v>
      </c>
      <c r="J81" s="38">
        <f>SUM(J55:J80)</f>
        <v>6</v>
      </c>
      <c r="K81" s="25">
        <f t="shared" si="12"/>
        <v>14</v>
      </c>
      <c r="L81" s="36">
        <f>SUM(L55:L80)</f>
        <v>0</v>
      </c>
      <c r="M81" s="37">
        <f>SUM(M55:M80)</f>
        <v>0</v>
      </c>
      <c r="N81" s="37">
        <f>SUM(N55:N80)</f>
        <v>0</v>
      </c>
      <c r="O81" s="38">
        <f>SUM(O55:O80)</f>
        <v>1</v>
      </c>
      <c r="P81" s="25">
        <f t="shared" si="13"/>
        <v>1</v>
      </c>
      <c r="Q81" s="36">
        <f>SUM(Q55:Q80)</f>
        <v>0</v>
      </c>
      <c r="R81" s="37">
        <f>SUM(R55:R80)</f>
        <v>0</v>
      </c>
      <c r="S81" s="37">
        <f>SUM(S55:S80)</f>
        <v>1</v>
      </c>
      <c r="T81" s="38">
        <f>SUM(T55:T80)</f>
        <v>0</v>
      </c>
      <c r="U81" s="36">
        <f t="shared" si="14"/>
        <v>1</v>
      </c>
      <c r="V81" s="77">
        <f t="shared" si="15"/>
        <v>21</v>
      </c>
      <c r="W81" s="325"/>
      <c r="X81" s="326"/>
      <c r="Y81" s="326"/>
      <c r="Z81" s="326"/>
      <c r="AC81" s="9" t="s">
        <v>15</v>
      </c>
      <c r="AD81" s="36">
        <f>SUM(AD55:AD80)</f>
        <v>18</v>
      </c>
      <c r="AE81" s="37">
        <f>SUM(AE55:AE80)</f>
        <v>23</v>
      </c>
      <c r="AF81" s="37">
        <f>SUM(AF55:AF80)</f>
        <v>8</v>
      </c>
      <c r="AG81" s="38">
        <f>SUM(AG55:AG80)</f>
        <v>9</v>
      </c>
      <c r="AH81" s="25">
        <f t="shared" si="16"/>
        <v>58</v>
      </c>
      <c r="AI81" s="36">
        <f>SUM(AI55:AI80)</f>
        <v>42</v>
      </c>
      <c r="AJ81" s="37">
        <f>SUM(AJ55:AJ80)</f>
        <v>28</v>
      </c>
      <c r="AK81" s="37">
        <f>SUM(AK55:AK80)</f>
        <v>28</v>
      </c>
      <c r="AL81" s="38">
        <f>SUM(AL55:AL80)</f>
        <v>37</v>
      </c>
      <c r="AM81" s="25">
        <f t="shared" si="17"/>
        <v>135</v>
      </c>
      <c r="AN81" s="36">
        <f>SUM(AN55:AN80)</f>
        <v>0</v>
      </c>
      <c r="AO81" s="37">
        <f>SUM(AO55:AO80)</f>
        <v>0</v>
      </c>
      <c r="AP81" s="37">
        <f>SUM(AP55:AP80)</f>
        <v>0</v>
      </c>
      <c r="AQ81" s="38">
        <f>SUM(AQ55:AQ80)</f>
        <v>0</v>
      </c>
      <c r="AR81" s="25">
        <f t="shared" si="18"/>
        <v>0</v>
      </c>
      <c r="AS81" s="36">
        <f>SUM(AS55:AS80)</f>
        <v>0</v>
      </c>
      <c r="AT81" s="37">
        <f>SUM(AT55:AT80)</f>
        <v>16</v>
      </c>
      <c r="AU81" s="37">
        <f>SUM(AU55:AU80)</f>
        <v>19</v>
      </c>
      <c r="AV81" s="38">
        <f>SUM(AV55:AV80)</f>
        <v>10</v>
      </c>
      <c r="AW81" s="36">
        <f t="shared" si="19"/>
        <v>45</v>
      </c>
      <c r="AX81" s="77">
        <f t="shared" si="20"/>
        <v>238</v>
      </c>
      <c r="AY81" s="325"/>
      <c r="AZ81" s="326"/>
    </row>
    <row r="82" spans="1:52" ht="14.25" thickBot="1" x14ac:dyDescent="0.2">
      <c r="A82" s="39" t="s">
        <v>16</v>
      </c>
      <c r="B82" s="40">
        <f>B54-B81</f>
        <v>4</v>
      </c>
      <c r="C82" s="41">
        <f>C54-C81</f>
        <v>2</v>
      </c>
      <c r="D82" s="41">
        <f>D54-D81</f>
        <v>4</v>
      </c>
      <c r="E82" s="42">
        <f>E54-E81</f>
        <v>2</v>
      </c>
      <c r="F82" s="171">
        <f t="shared" si="11"/>
        <v>12</v>
      </c>
      <c r="G82" s="40">
        <f>G54-G81</f>
        <v>3</v>
      </c>
      <c r="H82" s="41">
        <f>H54-H81</f>
        <v>4</v>
      </c>
      <c r="I82" s="41">
        <f>I54-I81</f>
        <v>6</v>
      </c>
      <c r="J82" s="42">
        <f>J54-J81</f>
        <v>3</v>
      </c>
      <c r="K82" s="171">
        <f t="shared" si="12"/>
        <v>16</v>
      </c>
      <c r="L82" s="40">
        <f>L54-L81</f>
        <v>5</v>
      </c>
      <c r="M82" s="41">
        <f>M54-M81</f>
        <v>0</v>
      </c>
      <c r="N82" s="41">
        <f>N54-N81</f>
        <v>2</v>
      </c>
      <c r="O82" s="42">
        <f>O54-O81</f>
        <v>3</v>
      </c>
      <c r="P82" s="171">
        <f t="shared" si="13"/>
        <v>10</v>
      </c>
      <c r="Q82" s="40">
        <f>Q54-Q81</f>
        <v>0</v>
      </c>
      <c r="R82" s="41">
        <f>R54-R81</f>
        <v>1</v>
      </c>
      <c r="S82" s="41">
        <f>S54-S81</f>
        <v>0</v>
      </c>
      <c r="T82" s="42">
        <f>T54-T81</f>
        <v>0</v>
      </c>
      <c r="U82" s="177">
        <f t="shared" si="14"/>
        <v>1</v>
      </c>
      <c r="V82" s="77">
        <f t="shared" si="15"/>
        <v>39</v>
      </c>
      <c r="W82" s="325"/>
      <c r="X82" s="326"/>
      <c r="Y82" s="326"/>
      <c r="Z82" s="326"/>
      <c r="AC82" s="39" t="s">
        <v>16</v>
      </c>
      <c r="AD82" s="40">
        <f>AD54-AD81</f>
        <v>240</v>
      </c>
      <c r="AE82" s="41">
        <f>AE54-AE81</f>
        <v>333</v>
      </c>
      <c r="AF82" s="41">
        <f>AF54-AF81</f>
        <v>285</v>
      </c>
      <c r="AG82" s="42">
        <f>AG54-AG81</f>
        <v>206</v>
      </c>
      <c r="AH82" s="171">
        <f t="shared" si="16"/>
        <v>1064</v>
      </c>
      <c r="AI82" s="40">
        <f>AI54-AI81</f>
        <v>295</v>
      </c>
      <c r="AJ82" s="41">
        <f>AJ54-AJ81</f>
        <v>411</v>
      </c>
      <c r="AK82" s="41">
        <f>AK54-AK81</f>
        <v>380</v>
      </c>
      <c r="AL82" s="42">
        <f>AL54-AL81</f>
        <v>244</v>
      </c>
      <c r="AM82" s="171">
        <f t="shared" si="17"/>
        <v>1330</v>
      </c>
      <c r="AN82" s="40">
        <f>AN54-AN81</f>
        <v>19</v>
      </c>
      <c r="AO82" s="41">
        <f>AO54-AO81</f>
        <v>0</v>
      </c>
      <c r="AP82" s="41">
        <f>AP54-AP81</f>
        <v>50</v>
      </c>
      <c r="AQ82" s="42">
        <f>AQ54-AQ81</f>
        <v>14</v>
      </c>
      <c r="AR82" s="171">
        <f t="shared" si="18"/>
        <v>83</v>
      </c>
      <c r="AS82" s="40">
        <f>AS54-AS81</f>
        <v>154</v>
      </c>
      <c r="AT82" s="41">
        <f>AT54-AT81</f>
        <v>166</v>
      </c>
      <c r="AU82" s="41">
        <f>AU54-AU81</f>
        <v>109</v>
      </c>
      <c r="AV82" s="42">
        <f>AV54-AV81</f>
        <v>114</v>
      </c>
      <c r="AW82" s="177">
        <f t="shared" si="19"/>
        <v>543</v>
      </c>
      <c r="AX82" s="77">
        <f t="shared" si="20"/>
        <v>3020</v>
      </c>
      <c r="AY82" s="325"/>
      <c r="AZ82" s="326"/>
    </row>
    <row r="83" spans="1:52" x14ac:dyDescent="0.15">
      <c r="W83" s="325"/>
      <c r="X83" s="326"/>
      <c r="Y83" s="326"/>
      <c r="Z83" s="326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Y83" s="325"/>
      <c r="AZ83" s="326"/>
    </row>
    <row r="84" spans="1:52" x14ac:dyDescent="0.15">
      <c r="W84" s="325"/>
      <c r="X84" s="326"/>
      <c r="Y84" s="326"/>
      <c r="Z84" s="326"/>
      <c r="AY84" s="325"/>
      <c r="AZ84" s="326"/>
    </row>
    <row r="85" spans="1:52" ht="19.5" thickBot="1" x14ac:dyDescent="0.25">
      <c r="A85" s="185" t="s">
        <v>19</v>
      </c>
      <c r="B85" s="186"/>
      <c r="C85" s="186"/>
      <c r="D85" s="186"/>
      <c r="E85" s="186"/>
      <c r="F85" s="18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25"/>
      <c r="X85" s="326"/>
      <c r="Y85" s="326"/>
      <c r="Z85" s="326"/>
      <c r="AC85" s="187" t="s">
        <v>73</v>
      </c>
      <c r="AD85" s="188"/>
      <c r="AE85" s="188"/>
      <c r="AF85" s="188"/>
      <c r="AG85" s="188"/>
      <c r="AH85" s="188"/>
      <c r="AI85" s="188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325"/>
      <c r="AZ85" s="326"/>
    </row>
    <row r="86" spans="1:52" ht="14.25" thickBot="1" x14ac:dyDescent="0.2">
      <c r="A86" s="3" t="s">
        <v>0</v>
      </c>
      <c r="B86" s="371" t="s">
        <v>17</v>
      </c>
      <c r="C86" s="372"/>
      <c r="D86" s="372"/>
      <c r="E86" s="372"/>
      <c r="F86" s="373"/>
      <c r="G86" s="371" t="s">
        <v>18</v>
      </c>
      <c r="H86" s="372"/>
      <c r="I86" s="372"/>
      <c r="J86" s="372"/>
      <c r="K86" s="373"/>
      <c r="L86" s="371" t="s">
        <v>38</v>
      </c>
      <c r="M86" s="372"/>
      <c r="N86" s="372"/>
      <c r="O86" s="372"/>
      <c r="P86" s="373"/>
      <c r="Q86" s="371" t="s">
        <v>75</v>
      </c>
      <c r="R86" s="372"/>
      <c r="S86" s="372"/>
      <c r="T86" s="372"/>
      <c r="U86" s="373"/>
      <c r="V86" s="360" t="s">
        <v>1</v>
      </c>
      <c r="W86" s="325"/>
      <c r="X86" s="326"/>
      <c r="Y86" s="326"/>
      <c r="Z86" s="326"/>
      <c r="AC86" s="3" t="s">
        <v>0</v>
      </c>
      <c r="AD86" s="371" t="s">
        <v>17</v>
      </c>
      <c r="AE86" s="372"/>
      <c r="AF86" s="372"/>
      <c r="AG86" s="372"/>
      <c r="AH86" s="373"/>
      <c r="AI86" s="371" t="s">
        <v>18</v>
      </c>
      <c r="AJ86" s="372"/>
      <c r="AK86" s="372"/>
      <c r="AL86" s="372"/>
      <c r="AM86" s="373"/>
      <c r="AN86" s="371" t="s">
        <v>38</v>
      </c>
      <c r="AO86" s="372"/>
      <c r="AP86" s="372"/>
      <c r="AQ86" s="372"/>
      <c r="AR86" s="373"/>
      <c r="AS86" s="371" t="s">
        <v>75</v>
      </c>
      <c r="AT86" s="372"/>
      <c r="AU86" s="372"/>
      <c r="AV86" s="372"/>
      <c r="AW86" s="373"/>
      <c r="AX86" s="360" t="s">
        <v>1</v>
      </c>
      <c r="AY86" s="325"/>
      <c r="AZ86" s="326"/>
    </row>
    <row r="87" spans="1:52" ht="14.25" thickBot="1" x14ac:dyDescent="0.2">
      <c r="A87" s="5" t="s">
        <v>2</v>
      </c>
      <c r="B87" s="6" t="s">
        <v>3</v>
      </c>
      <c r="C87" s="7" t="s">
        <v>4</v>
      </c>
      <c r="D87" s="7" t="s">
        <v>5</v>
      </c>
      <c r="E87" s="8" t="s">
        <v>6</v>
      </c>
      <c r="F87" s="5" t="s">
        <v>7</v>
      </c>
      <c r="G87" s="6" t="s">
        <v>3</v>
      </c>
      <c r="H87" s="7" t="s">
        <v>4</v>
      </c>
      <c r="I87" s="7" t="s">
        <v>5</v>
      </c>
      <c r="J87" s="8" t="s">
        <v>6</v>
      </c>
      <c r="K87" s="5" t="s">
        <v>7</v>
      </c>
      <c r="L87" s="6" t="s">
        <v>3</v>
      </c>
      <c r="M87" s="7" t="s">
        <v>4</v>
      </c>
      <c r="N87" s="7" t="s">
        <v>5</v>
      </c>
      <c r="O87" s="8" t="s">
        <v>6</v>
      </c>
      <c r="P87" s="5" t="s">
        <v>7</v>
      </c>
      <c r="Q87" s="6" t="s">
        <v>3</v>
      </c>
      <c r="R87" s="7" t="s">
        <v>4</v>
      </c>
      <c r="S87" s="7" t="s">
        <v>5</v>
      </c>
      <c r="T87" s="8" t="s">
        <v>6</v>
      </c>
      <c r="U87" s="5" t="s">
        <v>7</v>
      </c>
      <c r="V87" s="361"/>
      <c r="W87" s="325"/>
      <c r="X87" s="326"/>
      <c r="Y87" s="326"/>
      <c r="Z87" s="326"/>
      <c r="AC87" s="5" t="s">
        <v>2</v>
      </c>
      <c r="AD87" s="6" t="s">
        <v>3</v>
      </c>
      <c r="AE87" s="7" t="s">
        <v>4</v>
      </c>
      <c r="AF87" s="7" t="s">
        <v>5</v>
      </c>
      <c r="AG87" s="8" t="s">
        <v>6</v>
      </c>
      <c r="AH87" s="5" t="s">
        <v>7</v>
      </c>
      <c r="AI87" s="6" t="s">
        <v>3</v>
      </c>
      <c r="AJ87" s="7" t="s">
        <v>4</v>
      </c>
      <c r="AK87" s="7" t="s">
        <v>5</v>
      </c>
      <c r="AL87" s="8" t="s">
        <v>6</v>
      </c>
      <c r="AM87" s="5" t="s">
        <v>7</v>
      </c>
      <c r="AN87" s="6" t="s">
        <v>3</v>
      </c>
      <c r="AO87" s="7" t="s">
        <v>4</v>
      </c>
      <c r="AP87" s="7" t="s">
        <v>5</v>
      </c>
      <c r="AQ87" s="8" t="s">
        <v>6</v>
      </c>
      <c r="AR87" s="5" t="s">
        <v>7</v>
      </c>
      <c r="AS87" s="6" t="s">
        <v>3</v>
      </c>
      <c r="AT87" s="7" t="s">
        <v>4</v>
      </c>
      <c r="AU87" s="7" t="s">
        <v>5</v>
      </c>
      <c r="AV87" s="8" t="s">
        <v>6</v>
      </c>
      <c r="AW87" s="5" t="s">
        <v>7</v>
      </c>
      <c r="AX87" s="361"/>
      <c r="AY87" s="325"/>
      <c r="AZ87" s="326"/>
    </row>
    <row r="88" spans="1:52" ht="14.25" x14ac:dyDescent="0.15">
      <c r="A88" s="172" t="s">
        <v>30</v>
      </c>
      <c r="B88" s="70">
        <f>B82</f>
        <v>4</v>
      </c>
      <c r="C88" s="70">
        <f>C82</f>
        <v>2</v>
      </c>
      <c r="D88" s="70">
        <f>D82</f>
        <v>4</v>
      </c>
      <c r="E88" s="165">
        <f>E82</f>
        <v>2</v>
      </c>
      <c r="F88" s="71">
        <f t="shared" ref="F88:F124" si="25">SUM(B88:E88)</f>
        <v>12</v>
      </c>
      <c r="G88" s="70">
        <f>G82</f>
        <v>3</v>
      </c>
      <c r="H88" s="70">
        <f>H82</f>
        <v>4</v>
      </c>
      <c r="I88" s="70">
        <f>I82</f>
        <v>6</v>
      </c>
      <c r="J88" s="165">
        <f>J82</f>
        <v>3</v>
      </c>
      <c r="K88" s="71">
        <f t="shared" ref="K88:K124" si="26">SUM(G88:J88)</f>
        <v>16</v>
      </c>
      <c r="L88" s="70">
        <f>L82</f>
        <v>5</v>
      </c>
      <c r="M88" s="70">
        <f>M82</f>
        <v>0</v>
      </c>
      <c r="N88" s="70">
        <f>N82</f>
        <v>2</v>
      </c>
      <c r="O88" s="165">
        <f>O82</f>
        <v>3</v>
      </c>
      <c r="P88" s="71">
        <f t="shared" ref="P88:P124" si="27">SUM(L88:O88)</f>
        <v>10</v>
      </c>
      <c r="Q88" s="70">
        <f>Q82</f>
        <v>0</v>
      </c>
      <c r="R88" s="70">
        <f>R82</f>
        <v>1</v>
      </c>
      <c r="S88" s="70">
        <f>S82</f>
        <v>0</v>
      </c>
      <c r="T88" s="165">
        <f>T82</f>
        <v>0</v>
      </c>
      <c r="U88" s="174">
        <f t="shared" ref="U88:U124" si="28">SUM(Q88:T88)</f>
        <v>1</v>
      </c>
      <c r="V88" s="71">
        <f t="shared" ref="V88:V124" si="29">F88+K88+P88+U88</f>
        <v>39</v>
      </c>
      <c r="W88" s="325"/>
      <c r="X88" s="326"/>
      <c r="Y88" s="326"/>
      <c r="Z88" s="326"/>
      <c r="AC88" s="172" t="s">
        <v>30</v>
      </c>
      <c r="AD88" s="70">
        <f>AD82</f>
        <v>240</v>
      </c>
      <c r="AE88" s="70">
        <f>AE82</f>
        <v>333</v>
      </c>
      <c r="AF88" s="70">
        <f>AF82</f>
        <v>285</v>
      </c>
      <c r="AG88" s="165">
        <f>AG82</f>
        <v>206</v>
      </c>
      <c r="AH88" s="71">
        <f t="shared" ref="AH88:AH124" si="30">SUM(AD88:AG88)</f>
        <v>1064</v>
      </c>
      <c r="AI88" s="70">
        <f>AI82</f>
        <v>295</v>
      </c>
      <c r="AJ88" s="70">
        <f>AJ82</f>
        <v>411</v>
      </c>
      <c r="AK88" s="70">
        <f>AK82</f>
        <v>380</v>
      </c>
      <c r="AL88" s="165">
        <f>AL82</f>
        <v>244</v>
      </c>
      <c r="AM88" s="71">
        <f t="shared" ref="AM88:AM124" si="31">SUM(AI88:AL88)</f>
        <v>1330</v>
      </c>
      <c r="AN88" s="70">
        <f>AN82</f>
        <v>19</v>
      </c>
      <c r="AO88" s="70">
        <f>AO82</f>
        <v>0</v>
      </c>
      <c r="AP88" s="70">
        <f>AP82</f>
        <v>50</v>
      </c>
      <c r="AQ88" s="165">
        <f>AQ82</f>
        <v>14</v>
      </c>
      <c r="AR88" s="71">
        <f t="shared" ref="AR88:AR124" si="32">SUM(AN88:AQ88)</f>
        <v>83</v>
      </c>
      <c r="AS88" s="70">
        <f>AS82</f>
        <v>154</v>
      </c>
      <c r="AT88" s="70">
        <f>AT82</f>
        <v>166</v>
      </c>
      <c r="AU88" s="70">
        <f>AU82</f>
        <v>109</v>
      </c>
      <c r="AV88" s="165">
        <f>AV82</f>
        <v>114</v>
      </c>
      <c r="AW88" s="174">
        <f t="shared" ref="AW88:AW124" si="33">SUM(AS88:AV88)</f>
        <v>543</v>
      </c>
      <c r="AX88" s="71">
        <f t="shared" ref="AX88:AX124" si="34">AH88+AM88+AR88+AW88</f>
        <v>3020</v>
      </c>
      <c r="AY88" s="325"/>
      <c r="AZ88" s="326"/>
    </row>
    <row r="89" spans="1:52" x14ac:dyDescent="0.15">
      <c r="A89" s="53" t="s">
        <v>70</v>
      </c>
      <c r="B89" s="55"/>
      <c r="C89" s="55"/>
      <c r="D89" s="55"/>
      <c r="E89" s="166"/>
      <c r="F89" s="49">
        <f t="shared" si="25"/>
        <v>0</v>
      </c>
      <c r="G89" s="55"/>
      <c r="H89" s="55">
        <v>1</v>
      </c>
      <c r="I89" s="55"/>
      <c r="J89" s="166"/>
      <c r="K89" s="49">
        <f t="shared" si="26"/>
        <v>1</v>
      </c>
      <c r="L89" s="55"/>
      <c r="M89" s="55"/>
      <c r="N89" s="55"/>
      <c r="O89" s="166"/>
      <c r="P89" s="49">
        <f t="shared" si="27"/>
        <v>0</v>
      </c>
      <c r="Q89" s="55"/>
      <c r="R89" s="55"/>
      <c r="S89" s="55"/>
      <c r="T89" s="166"/>
      <c r="U89" s="175">
        <f t="shared" si="28"/>
        <v>0</v>
      </c>
      <c r="V89" s="56">
        <f t="shared" si="29"/>
        <v>1</v>
      </c>
      <c r="W89" s="329">
        <v>44013</v>
      </c>
      <c r="X89" s="326"/>
      <c r="Y89" s="326"/>
      <c r="Z89" s="326"/>
      <c r="AC89" s="53" t="s">
        <v>21</v>
      </c>
      <c r="AD89" s="55"/>
      <c r="AE89" s="55"/>
      <c r="AF89" s="55"/>
      <c r="AG89" s="166"/>
      <c r="AH89" s="49">
        <f t="shared" si="30"/>
        <v>0</v>
      </c>
      <c r="AI89" s="55"/>
      <c r="AJ89" s="55"/>
      <c r="AK89" s="55"/>
      <c r="AL89" s="166">
        <v>1</v>
      </c>
      <c r="AM89" s="49">
        <f t="shared" si="31"/>
        <v>1</v>
      </c>
      <c r="AN89" s="55"/>
      <c r="AO89" s="55"/>
      <c r="AP89" s="55"/>
      <c r="AQ89" s="166"/>
      <c r="AR89" s="49">
        <f t="shared" si="32"/>
        <v>0</v>
      </c>
      <c r="AS89" s="55"/>
      <c r="AT89" s="55">
        <v>1</v>
      </c>
      <c r="AU89" s="55"/>
      <c r="AV89" s="166"/>
      <c r="AW89" s="175">
        <f t="shared" si="33"/>
        <v>1</v>
      </c>
      <c r="AX89" s="147">
        <f t="shared" si="34"/>
        <v>2</v>
      </c>
      <c r="AY89" s="328">
        <v>44016</v>
      </c>
      <c r="AZ89" s="326"/>
    </row>
    <row r="90" spans="1:52" x14ac:dyDescent="0.15">
      <c r="A90" s="53" t="s">
        <v>28</v>
      </c>
      <c r="B90" s="55"/>
      <c r="C90" s="55"/>
      <c r="D90" s="55"/>
      <c r="E90" s="166"/>
      <c r="F90" s="49">
        <f t="shared" si="25"/>
        <v>0</v>
      </c>
      <c r="G90" s="55"/>
      <c r="H90" s="55">
        <v>3</v>
      </c>
      <c r="I90" s="55"/>
      <c r="J90" s="166">
        <v>3</v>
      </c>
      <c r="K90" s="49">
        <f t="shared" si="26"/>
        <v>6</v>
      </c>
      <c r="L90" s="55"/>
      <c r="M90" s="55"/>
      <c r="N90" s="55"/>
      <c r="O90" s="166"/>
      <c r="P90" s="49">
        <f t="shared" si="27"/>
        <v>0</v>
      </c>
      <c r="Q90" s="55"/>
      <c r="R90" s="55"/>
      <c r="S90" s="55"/>
      <c r="T90" s="166"/>
      <c r="U90" s="175">
        <f t="shared" si="28"/>
        <v>0</v>
      </c>
      <c r="V90" s="56">
        <f t="shared" si="29"/>
        <v>6</v>
      </c>
      <c r="W90" s="329">
        <v>44025</v>
      </c>
      <c r="X90" s="326"/>
      <c r="Y90" s="326"/>
      <c r="Z90" s="326"/>
      <c r="AC90" s="53" t="s">
        <v>21</v>
      </c>
      <c r="AD90" s="55"/>
      <c r="AE90" s="153">
        <v>1</v>
      </c>
      <c r="AF90" s="153">
        <v>1</v>
      </c>
      <c r="AG90" s="168"/>
      <c r="AH90" s="56">
        <f t="shared" si="30"/>
        <v>2</v>
      </c>
      <c r="AI90" s="55">
        <v>3</v>
      </c>
      <c r="AJ90" s="153">
        <v>4</v>
      </c>
      <c r="AK90" s="153">
        <v>1</v>
      </c>
      <c r="AL90" s="168">
        <v>2</v>
      </c>
      <c r="AM90" s="56">
        <f t="shared" si="31"/>
        <v>10</v>
      </c>
      <c r="AN90" s="55"/>
      <c r="AO90" s="153"/>
      <c r="AP90" s="153"/>
      <c r="AQ90" s="168"/>
      <c r="AR90" s="56">
        <f t="shared" si="32"/>
        <v>0</v>
      </c>
      <c r="AS90" s="55"/>
      <c r="AT90" s="153"/>
      <c r="AU90" s="153"/>
      <c r="AV90" s="168"/>
      <c r="AW90" s="176">
        <f t="shared" si="33"/>
        <v>0</v>
      </c>
      <c r="AX90" s="56">
        <f t="shared" si="34"/>
        <v>12</v>
      </c>
      <c r="AY90" s="329">
        <v>44029</v>
      </c>
      <c r="AZ90" s="326"/>
    </row>
    <row r="91" spans="1:52" x14ac:dyDescent="0.15">
      <c r="A91" s="53" t="s">
        <v>29</v>
      </c>
      <c r="B91" s="55"/>
      <c r="C91" s="55"/>
      <c r="D91" s="55"/>
      <c r="E91" s="166"/>
      <c r="F91" s="49">
        <f t="shared" si="25"/>
        <v>0</v>
      </c>
      <c r="G91" s="55"/>
      <c r="H91" s="55">
        <v>2</v>
      </c>
      <c r="I91" s="55"/>
      <c r="J91" s="166"/>
      <c r="K91" s="49">
        <f t="shared" si="26"/>
        <v>2</v>
      </c>
      <c r="L91" s="55"/>
      <c r="M91" s="55"/>
      <c r="N91" s="55"/>
      <c r="O91" s="166"/>
      <c r="P91" s="49">
        <f t="shared" si="27"/>
        <v>0</v>
      </c>
      <c r="Q91" s="55"/>
      <c r="R91" s="55"/>
      <c r="S91" s="55"/>
      <c r="T91" s="166"/>
      <c r="U91" s="175">
        <f t="shared" si="28"/>
        <v>0</v>
      </c>
      <c r="V91" s="56">
        <f t="shared" si="29"/>
        <v>2</v>
      </c>
      <c r="W91" s="328">
        <v>44027</v>
      </c>
      <c r="X91" s="326"/>
      <c r="Y91" s="326"/>
      <c r="Z91" s="326"/>
      <c r="AC91" s="53" t="s">
        <v>28</v>
      </c>
      <c r="AD91" s="55"/>
      <c r="AE91" s="153"/>
      <c r="AF91" s="153"/>
      <c r="AG91" s="168"/>
      <c r="AH91" s="56">
        <f t="shared" si="30"/>
        <v>0</v>
      </c>
      <c r="AI91" s="55"/>
      <c r="AJ91" s="153"/>
      <c r="AK91" s="153"/>
      <c r="AL91" s="168"/>
      <c r="AM91" s="56">
        <f t="shared" si="31"/>
        <v>0</v>
      </c>
      <c r="AN91" s="55"/>
      <c r="AO91" s="153"/>
      <c r="AP91" s="153"/>
      <c r="AQ91" s="168"/>
      <c r="AR91" s="56">
        <f t="shared" si="32"/>
        <v>0</v>
      </c>
      <c r="AS91" s="55"/>
      <c r="AT91" s="153"/>
      <c r="AU91" s="153"/>
      <c r="AV91" s="168"/>
      <c r="AW91" s="176">
        <f t="shared" si="33"/>
        <v>0</v>
      </c>
      <c r="AX91" s="56">
        <f t="shared" si="34"/>
        <v>0</v>
      </c>
      <c r="AY91" s="329"/>
      <c r="AZ91" s="326"/>
    </row>
    <row r="92" spans="1:52" x14ac:dyDescent="0.15">
      <c r="A92" s="53" t="s">
        <v>149</v>
      </c>
      <c r="B92" s="63"/>
      <c r="C92" s="63">
        <v>1</v>
      </c>
      <c r="D92" s="63">
        <v>1</v>
      </c>
      <c r="E92" s="167"/>
      <c r="F92" s="64">
        <f t="shared" si="25"/>
        <v>2</v>
      </c>
      <c r="G92" s="63">
        <v>3</v>
      </c>
      <c r="H92" s="63">
        <v>4</v>
      </c>
      <c r="I92" s="63">
        <v>1</v>
      </c>
      <c r="J92" s="167">
        <v>2</v>
      </c>
      <c r="K92" s="64">
        <f t="shared" si="26"/>
        <v>10</v>
      </c>
      <c r="L92" s="63"/>
      <c r="M92" s="63"/>
      <c r="N92" s="63"/>
      <c r="O92" s="167"/>
      <c r="P92" s="64">
        <f t="shared" si="27"/>
        <v>0</v>
      </c>
      <c r="Q92" s="63"/>
      <c r="R92" s="63"/>
      <c r="S92" s="63"/>
      <c r="T92" s="167"/>
      <c r="U92" s="162">
        <f t="shared" si="28"/>
        <v>0</v>
      </c>
      <c r="V92" s="147">
        <f t="shared" si="29"/>
        <v>12</v>
      </c>
      <c r="W92" s="328">
        <v>44027</v>
      </c>
      <c r="X92" s="326"/>
      <c r="Y92" s="326"/>
      <c r="Z92" s="326"/>
      <c r="AC92" s="53" t="s">
        <v>28</v>
      </c>
      <c r="AD92" s="63"/>
      <c r="AE92" s="63"/>
      <c r="AF92" s="63"/>
      <c r="AG92" s="167"/>
      <c r="AH92" s="64">
        <f t="shared" si="30"/>
        <v>0</v>
      </c>
      <c r="AI92" s="63"/>
      <c r="AJ92" s="63"/>
      <c r="AK92" s="63"/>
      <c r="AL92" s="167"/>
      <c r="AM92" s="64">
        <f t="shared" si="31"/>
        <v>0</v>
      </c>
      <c r="AN92" s="63"/>
      <c r="AO92" s="63"/>
      <c r="AP92" s="63"/>
      <c r="AQ92" s="167"/>
      <c r="AR92" s="64">
        <f t="shared" si="32"/>
        <v>0</v>
      </c>
      <c r="AS92" s="63"/>
      <c r="AT92" s="63"/>
      <c r="AU92" s="63"/>
      <c r="AV92" s="167"/>
      <c r="AW92" s="162">
        <f t="shared" si="33"/>
        <v>0</v>
      </c>
      <c r="AX92" s="147">
        <f t="shared" si="34"/>
        <v>0</v>
      </c>
      <c r="AY92" s="325"/>
      <c r="AZ92" s="326"/>
    </row>
    <row r="93" spans="1:52" x14ac:dyDescent="0.15">
      <c r="A93" s="53" t="s">
        <v>28</v>
      </c>
      <c r="B93" s="55"/>
      <c r="C93" s="153"/>
      <c r="D93" s="153">
        <v>1</v>
      </c>
      <c r="E93" s="168"/>
      <c r="F93" s="56">
        <f t="shared" si="25"/>
        <v>1</v>
      </c>
      <c r="G93" s="55"/>
      <c r="H93" s="153"/>
      <c r="I93" s="153"/>
      <c r="J93" s="168"/>
      <c r="K93" s="56">
        <f t="shared" si="26"/>
        <v>0</v>
      </c>
      <c r="L93" s="55"/>
      <c r="M93" s="153"/>
      <c r="N93" s="153"/>
      <c r="O93" s="168"/>
      <c r="P93" s="56">
        <f t="shared" si="27"/>
        <v>0</v>
      </c>
      <c r="Q93" s="55"/>
      <c r="R93" s="153"/>
      <c r="S93" s="153"/>
      <c r="T93" s="168"/>
      <c r="U93" s="176">
        <f t="shared" si="28"/>
        <v>0</v>
      </c>
      <c r="V93" s="147">
        <f t="shared" si="29"/>
        <v>1</v>
      </c>
      <c r="W93" s="328"/>
      <c r="X93" s="326"/>
      <c r="Y93" s="326"/>
      <c r="Z93" s="326"/>
      <c r="AC93" s="53" t="s">
        <v>28</v>
      </c>
      <c r="AD93" s="55"/>
      <c r="AE93" s="153"/>
      <c r="AF93" s="153"/>
      <c r="AG93" s="168"/>
      <c r="AH93" s="56">
        <f t="shared" si="30"/>
        <v>0</v>
      </c>
      <c r="AI93" s="55"/>
      <c r="AJ93" s="153"/>
      <c r="AK93" s="153"/>
      <c r="AL93" s="168"/>
      <c r="AM93" s="56">
        <f t="shared" si="31"/>
        <v>0</v>
      </c>
      <c r="AN93" s="55"/>
      <c r="AO93" s="153"/>
      <c r="AP93" s="153"/>
      <c r="AQ93" s="168"/>
      <c r="AR93" s="56">
        <f t="shared" si="32"/>
        <v>0</v>
      </c>
      <c r="AS93" s="55"/>
      <c r="AT93" s="153"/>
      <c r="AU93" s="153"/>
      <c r="AV93" s="168"/>
      <c r="AW93" s="176">
        <f t="shared" si="33"/>
        <v>0</v>
      </c>
      <c r="AX93" s="147">
        <f t="shared" si="34"/>
        <v>0</v>
      </c>
      <c r="AY93" s="325"/>
      <c r="AZ93" s="326"/>
    </row>
    <row r="94" spans="1:52" x14ac:dyDescent="0.15">
      <c r="A94" s="53" t="s">
        <v>28</v>
      </c>
      <c r="B94" s="55"/>
      <c r="C94" s="153"/>
      <c r="D94" s="153"/>
      <c r="E94" s="168"/>
      <c r="F94" s="56">
        <f t="shared" si="25"/>
        <v>0</v>
      </c>
      <c r="G94" s="55"/>
      <c r="H94" s="153"/>
      <c r="I94" s="153"/>
      <c r="J94" s="168"/>
      <c r="K94" s="56">
        <f t="shared" si="26"/>
        <v>0</v>
      </c>
      <c r="L94" s="55"/>
      <c r="M94" s="153"/>
      <c r="N94" s="153"/>
      <c r="O94" s="168"/>
      <c r="P94" s="56">
        <f t="shared" si="27"/>
        <v>0</v>
      </c>
      <c r="Q94" s="55"/>
      <c r="R94" s="153"/>
      <c r="S94" s="153"/>
      <c r="T94" s="168"/>
      <c r="U94" s="176">
        <f t="shared" si="28"/>
        <v>0</v>
      </c>
      <c r="V94" s="147">
        <f t="shared" si="29"/>
        <v>0</v>
      </c>
      <c r="W94" s="328"/>
      <c r="X94" s="326"/>
      <c r="Y94" s="326"/>
      <c r="Z94" s="326"/>
      <c r="AC94" s="53" t="s">
        <v>28</v>
      </c>
      <c r="AD94" s="55"/>
      <c r="AE94" s="153"/>
      <c r="AF94" s="153"/>
      <c r="AG94" s="168"/>
      <c r="AH94" s="56">
        <f t="shared" si="30"/>
        <v>0</v>
      </c>
      <c r="AI94" s="55"/>
      <c r="AJ94" s="153"/>
      <c r="AK94" s="153"/>
      <c r="AL94" s="168"/>
      <c r="AM94" s="56">
        <f t="shared" si="31"/>
        <v>0</v>
      </c>
      <c r="AN94" s="55"/>
      <c r="AO94" s="153"/>
      <c r="AP94" s="153"/>
      <c r="AQ94" s="168"/>
      <c r="AR94" s="56">
        <f t="shared" si="32"/>
        <v>0</v>
      </c>
      <c r="AS94" s="55"/>
      <c r="AT94" s="153"/>
      <c r="AU94" s="153"/>
      <c r="AV94" s="168"/>
      <c r="AW94" s="176">
        <f t="shared" si="33"/>
        <v>0</v>
      </c>
      <c r="AX94" s="147">
        <f t="shared" si="34"/>
        <v>0</v>
      </c>
      <c r="AY94" s="325"/>
      <c r="AZ94" s="326"/>
    </row>
    <row r="95" spans="1:52" ht="14.25" thickBot="1" x14ac:dyDescent="0.2">
      <c r="A95" s="173" t="s">
        <v>28</v>
      </c>
      <c r="B95" s="63"/>
      <c r="C95" s="164"/>
      <c r="D95" s="164"/>
      <c r="E95" s="169"/>
      <c r="F95" s="170">
        <f t="shared" si="25"/>
        <v>0</v>
      </c>
      <c r="G95" s="63"/>
      <c r="H95" s="164"/>
      <c r="I95" s="164"/>
      <c r="J95" s="169"/>
      <c r="K95" s="170">
        <f t="shared" si="26"/>
        <v>0</v>
      </c>
      <c r="L95" s="63"/>
      <c r="M95" s="164"/>
      <c r="N95" s="164"/>
      <c r="O95" s="169"/>
      <c r="P95" s="170">
        <f t="shared" si="27"/>
        <v>0</v>
      </c>
      <c r="Q95" s="63"/>
      <c r="R95" s="164"/>
      <c r="S95" s="164"/>
      <c r="T95" s="169"/>
      <c r="U95" s="179">
        <f t="shared" si="28"/>
        <v>0</v>
      </c>
      <c r="V95" s="163">
        <f t="shared" si="29"/>
        <v>0</v>
      </c>
      <c r="W95" s="325"/>
      <c r="X95" s="326"/>
      <c r="Y95" s="326"/>
      <c r="Z95" s="326"/>
      <c r="AC95" s="173" t="s">
        <v>28</v>
      </c>
      <c r="AD95" s="63"/>
      <c r="AE95" s="164"/>
      <c r="AF95" s="164"/>
      <c r="AG95" s="169"/>
      <c r="AH95" s="170">
        <f t="shared" si="30"/>
        <v>0</v>
      </c>
      <c r="AI95" s="63"/>
      <c r="AJ95" s="164"/>
      <c r="AK95" s="164"/>
      <c r="AL95" s="169"/>
      <c r="AM95" s="170">
        <f t="shared" si="31"/>
        <v>0</v>
      </c>
      <c r="AN95" s="63"/>
      <c r="AO95" s="164"/>
      <c r="AP95" s="164"/>
      <c r="AQ95" s="169"/>
      <c r="AR95" s="170">
        <f t="shared" si="32"/>
        <v>0</v>
      </c>
      <c r="AS95" s="63"/>
      <c r="AT95" s="164"/>
      <c r="AU95" s="164"/>
      <c r="AV95" s="169"/>
      <c r="AW95" s="179">
        <f t="shared" si="33"/>
        <v>0</v>
      </c>
      <c r="AX95" s="163">
        <f t="shared" si="34"/>
        <v>0</v>
      </c>
      <c r="AY95" s="325"/>
      <c r="AZ95" s="326"/>
    </row>
    <row r="96" spans="1:52" ht="15" thickBot="1" x14ac:dyDescent="0.2">
      <c r="A96" s="181" t="s">
        <v>14</v>
      </c>
      <c r="B96" s="182">
        <f>SUM(B88:B95)</f>
        <v>4</v>
      </c>
      <c r="C96" s="183">
        <f>SUM(C88:C95)</f>
        <v>3</v>
      </c>
      <c r="D96" s="183">
        <f>SUM(D88:D95)</f>
        <v>6</v>
      </c>
      <c r="E96" s="184">
        <f>SUM(E88:E95)</f>
        <v>2</v>
      </c>
      <c r="F96" s="77">
        <f t="shared" si="25"/>
        <v>15</v>
      </c>
      <c r="G96" s="182">
        <f>SUM(G88:G95)</f>
        <v>6</v>
      </c>
      <c r="H96" s="183">
        <f>SUM(H88:H95)</f>
        <v>14</v>
      </c>
      <c r="I96" s="183">
        <f>SUM(I88:I95)</f>
        <v>7</v>
      </c>
      <c r="J96" s="184">
        <f>SUM(J88:J95)</f>
        <v>8</v>
      </c>
      <c r="K96" s="77">
        <f t="shared" si="26"/>
        <v>35</v>
      </c>
      <c r="L96" s="182">
        <f>SUM(L88:L95)</f>
        <v>5</v>
      </c>
      <c r="M96" s="183">
        <f>SUM(M88:M95)</f>
        <v>0</v>
      </c>
      <c r="N96" s="183">
        <f>SUM(N88:N95)</f>
        <v>2</v>
      </c>
      <c r="O96" s="184">
        <f>SUM(O88:O95)</f>
        <v>3</v>
      </c>
      <c r="P96" s="77">
        <f t="shared" si="27"/>
        <v>10</v>
      </c>
      <c r="Q96" s="182">
        <f>SUM(Q88:Q95)</f>
        <v>0</v>
      </c>
      <c r="R96" s="183">
        <f>SUM(R88:R95)</f>
        <v>1</v>
      </c>
      <c r="S96" s="183">
        <f>SUM(S88:S95)</f>
        <v>0</v>
      </c>
      <c r="T96" s="184">
        <f>SUM(T88:T95)</f>
        <v>0</v>
      </c>
      <c r="U96" s="182">
        <f t="shared" si="28"/>
        <v>1</v>
      </c>
      <c r="V96" s="77">
        <f t="shared" si="29"/>
        <v>61</v>
      </c>
      <c r="W96" s="325"/>
      <c r="X96" s="326"/>
      <c r="Y96" s="326"/>
      <c r="Z96" s="326"/>
      <c r="AC96" s="181" t="s">
        <v>14</v>
      </c>
      <c r="AD96" s="182">
        <f>SUM(AD88:AD95)</f>
        <v>240</v>
      </c>
      <c r="AE96" s="183">
        <f>SUM(AE88:AE95)</f>
        <v>334</v>
      </c>
      <c r="AF96" s="183">
        <f>SUM(AF88:AF95)</f>
        <v>286</v>
      </c>
      <c r="AG96" s="184">
        <f>SUM(AG88:AG95)</f>
        <v>206</v>
      </c>
      <c r="AH96" s="77">
        <f t="shared" si="30"/>
        <v>1066</v>
      </c>
      <c r="AI96" s="182">
        <f>SUM(AI88:AI95)</f>
        <v>298</v>
      </c>
      <c r="AJ96" s="183">
        <f>SUM(AJ88:AJ95)</f>
        <v>415</v>
      </c>
      <c r="AK96" s="183">
        <f>SUM(AK88:AK95)</f>
        <v>381</v>
      </c>
      <c r="AL96" s="184">
        <f>SUM(AL88:AL95)</f>
        <v>247</v>
      </c>
      <c r="AM96" s="77">
        <f t="shared" si="31"/>
        <v>1341</v>
      </c>
      <c r="AN96" s="182">
        <f>SUM(AN88:AN95)</f>
        <v>19</v>
      </c>
      <c r="AO96" s="183">
        <f>SUM(AO88:AO95)</f>
        <v>0</v>
      </c>
      <c r="AP96" s="183">
        <f>SUM(AP88:AP95)</f>
        <v>50</v>
      </c>
      <c r="AQ96" s="184">
        <f>SUM(AQ88:AQ95)</f>
        <v>14</v>
      </c>
      <c r="AR96" s="77">
        <f t="shared" si="32"/>
        <v>83</v>
      </c>
      <c r="AS96" s="182">
        <f>SUM(AS88:AS95)</f>
        <v>154</v>
      </c>
      <c r="AT96" s="183">
        <f>SUM(AT88:AT95)</f>
        <v>167</v>
      </c>
      <c r="AU96" s="183">
        <f>SUM(AU88:AU95)</f>
        <v>109</v>
      </c>
      <c r="AV96" s="184">
        <f>SUM(AV88:AV95)</f>
        <v>114</v>
      </c>
      <c r="AW96" s="182">
        <f t="shared" si="33"/>
        <v>544</v>
      </c>
      <c r="AX96" s="77">
        <f t="shared" si="34"/>
        <v>3034</v>
      </c>
      <c r="AY96" s="325"/>
      <c r="AZ96" s="326"/>
    </row>
    <row r="97" spans="1:52" x14ac:dyDescent="0.15">
      <c r="A97" s="53" t="s">
        <v>98</v>
      </c>
      <c r="B97" s="46"/>
      <c r="C97" s="47"/>
      <c r="D97" s="47"/>
      <c r="E97" s="47"/>
      <c r="F97" s="48">
        <f t="shared" si="25"/>
        <v>0</v>
      </c>
      <c r="G97" s="46"/>
      <c r="H97" s="47">
        <v>1</v>
      </c>
      <c r="I97" s="47"/>
      <c r="J97" s="47"/>
      <c r="K97" s="48">
        <f t="shared" si="26"/>
        <v>1</v>
      </c>
      <c r="L97" s="46">
        <v>1</v>
      </c>
      <c r="M97" s="47"/>
      <c r="N97" s="47"/>
      <c r="O97" s="47">
        <v>1</v>
      </c>
      <c r="P97" s="48">
        <f t="shared" si="27"/>
        <v>2</v>
      </c>
      <c r="Q97" s="46"/>
      <c r="R97" s="47"/>
      <c r="S97" s="47"/>
      <c r="T97" s="47"/>
      <c r="U97" s="180">
        <f t="shared" si="28"/>
        <v>0</v>
      </c>
      <c r="V97" s="49">
        <f t="shared" si="29"/>
        <v>3</v>
      </c>
      <c r="W97" s="329">
        <v>44011</v>
      </c>
      <c r="X97" s="326"/>
      <c r="Y97" s="326"/>
      <c r="Z97" s="326"/>
      <c r="AC97" s="66" t="s">
        <v>160</v>
      </c>
      <c r="AD97" s="46"/>
      <c r="AE97" s="47"/>
      <c r="AF97" s="47"/>
      <c r="AG97" s="47"/>
      <c r="AH97" s="48">
        <f t="shared" si="30"/>
        <v>0</v>
      </c>
      <c r="AI97" s="46"/>
      <c r="AJ97" s="47"/>
      <c r="AK97" s="47"/>
      <c r="AL97" s="47"/>
      <c r="AM97" s="48">
        <f t="shared" si="31"/>
        <v>0</v>
      </c>
      <c r="AN97" s="46"/>
      <c r="AO97" s="47"/>
      <c r="AP97" s="47"/>
      <c r="AQ97" s="47"/>
      <c r="AR97" s="48">
        <f t="shared" si="32"/>
        <v>0</v>
      </c>
      <c r="AS97" s="46"/>
      <c r="AT97" s="47"/>
      <c r="AU97" s="47"/>
      <c r="AV97" s="47">
        <v>5</v>
      </c>
      <c r="AW97" s="180">
        <f t="shared" si="33"/>
        <v>5</v>
      </c>
      <c r="AX97" s="49">
        <f t="shared" si="34"/>
        <v>5</v>
      </c>
      <c r="AY97" s="329">
        <v>44013</v>
      </c>
      <c r="AZ97" s="326"/>
    </row>
    <row r="98" spans="1:52" x14ac:dyDescent="0.15">
      <c r="A98" s="53" t="s">
        <v>98</v>
      </c>
      <c r="B98" s="54"/>
      <c r="C98" s="55"/>
      <c r="D98" s="55"/>
      <c r="E98" s="55"/>
      <c r="F98" s="56">
        <f t="shared" si="25"/>
        <v>0</v>
      </c>
      <c r="G98" s="54"/>
      <c r="H98" s="55">
        <v>1</v>
      </c>
      <c r="I98" s="55"/>
      <c r="J98" s="55"/>
      <c r="K98" s="56">
        <f t="shared" si="26"/>
        <v>1</v>
      </c>
      <c r="L98" s="54"/>
      <c r="M98" s="55"/>
      <c r="N98" s="55"/>
      <c r="O98" s="55"/>
      <c r="P98" s="56">
        <f t="shared" si="27"/>
        <v>0</v>
      </c>
      <c r="Q98" s="54"/>
      <c r="R98" s="55"/>
      <c r="S98" s="55"/>
      <c r="T98" s="55"/>
      <c r="U98" s="176">
        <f t="shared" si="28"/>
        <v>0</v>
      </c>
      <c r="V98" s="147">
        <f t="shared" si="29"/>
        <v>1</v>
      </c>
      <c r="W98" s="328">
        <v>44012</v>
      </c>
      <c r="X98" s="326"/>
      <c r="Y98" s="326"/>
      <c r="Z98" s="326"/>
      <c r="AC98" s="65" t="s">
        <v>161</v>
      </c>
      <c r="AD98" s="54">
        <v>6</v>
      </c>
      <c r="AE98" s="55"/>
      <c r="AF98" s="55">
        <v>2</v>
      </c>
      <c r="AG98" s="55"/>
      <c r="AH98" s="56">
        <f t="shared" si="30"/>
        <v>8</v>
      </c>
      <c r="AI98" s="54"/>
      <c r="AJ98" s="55">
        <v>7</v>
      </c>
      <c r="AK98" s="55"/>
      <c r="AL98" s="55">
        <v>3</v>
      </c>
      <c r="AM98" s="56">
        <f t="shared" si="31"/>
        <v>10</v>
      </c>
      <c r="AN98" s="54"/>
      <c r="AO98" s="55"/>
      <c r="AP98" s="55"/>
      <c r="AQ98" s="55"/>
      <c r="AR98" s="56">
        <f t="shared" si="32"/>
        <v>0</v>
      </c>
      <c r="AS98" s="54"/>
      <c r="AT98" s="55"/>
      <c r="AU98" s="55"/>
      <c r="AV98" s="55"/>
      <c r="AW98" s="176">
        <f t="shared" si="33"/>
        <v>0</v>
      </c>
      <c r="AX98" s="56">
        <f t="shared" si="34"/>
        <v>18</v>
      </c>
      <c r="AY98" s="329">
        <v>44016</v>
      </c>
      <c r="AZ98" s="326"/>
    </row>
    <row r="99" spans="1:52" x14ac:dyDescent="0.15">
      <c r="A99" s="53" t="s">
        <v>100</v>
      </c>
      <c r="B99" s="54"/>
      <c r="C99" s="55"/>
      <c r="D99" s="55"/>
      <c r="E99" s="55"/>
      <c r="F99" s="56">
        <f t="shared" si="25"/>
        <v>0</v>
      </c>
      <c r="G99" s="54"/>
      <c r="H99" s="55"/>
      <c r="I99" s="55">
        <v>1</v>
      </c>
      <c r="J99" s="55"/>
      <c r="K99" s="56">
        <f t="shared" si="26"/>
        <v>1</v>
      </c>
      <c r="L99" s="54">
        <v>1</v>
      </c>
      <c r="M99" s="55"/>
      <c r="N99" s="55"/>
      <c r="O99" s="55"/>
      <c r="P99" s="56">
        <f t="shared" si="27"/>
        <v>1</v>
      </c>
      <c r="Q99" s="54"/>
      <c r="R99" s="55"/>
      <c r="S99" s="55"/>
      <c r="T99" s="55"/>
      <c r="U99" s="176">
        <f t="shared" si="28"/>
        <v>0</v>
      </c>
      <c r="V99" s="56">
        <f t="shared" si="29"/>
        <v>2</v>
      </c>
      <c r="W99" s="329">
        <v>44015</v>
      </c>
      <c r="X99" s="326"/>
      <c r="Y99" s="326"/>
      <c r="Z99" s="326"/>
      <c r="AC99" s="65" t="s">
        <v>162</v>
      </c>
      <c r="AD99" s="54"/>
      <c r="AE99" s="55">
        <v>2</v>
      </c>
      <c r="AF99" s="55"/>
      <c r="AG99" s="55"/>
      <c r="AH99" s="56">
        <f t="shared" si="30"/>
        <v>2</v>
      </c>
      <c r="AI99" s="54"/>
      <c r="AJ99" s="55">
        <v>5</v>
      </c>
      <c r="AK99" s="55">
        <v>1</v>
      </c>
      <c r="AL99" s="55"/>
      <c r="AM99" s="56">
        <f t="shared" si="31"/>
        <v>6</v>
      </c>
      <c r="AN99" s="54"/>
      <c r="AO99" s="55"/>
      <c r="AP99" s="55"/>
      <c r="AQ99" s="55"/>
      <c r="AR99" s="56">
        <f t="shared" si="32"/>
        <v>0</v>
      </c>
      <c r="AS99" s="54"/>
      <c r="AT99" s="55"/>
      <c r="AU99" s="55"/>
      <c r="AV99" s="55"/>
      <c r="AW99" s="176">
        <f t="shared" si="33"/>
        <v>0</v>
      </c>
      <c r="AX99" s="56">
        <f t="shared" si="34"/>
        <v>8</v>
      </c>
      <c r="AY99" s="329">
        <v>44016</v>
      </c>
      <c r="AZ99" s="326"/>
    </row>
    <row r="100" spans="1:52" x14ac:dyDescent="0.15">
      <c r="A100" s="53" t="s">
        <v>167</v>
      </c>
      <c r="B100" s="54"/>
      <c r="C100" s="55"/>
      <c r="D100" s="55"/>
      <c r="E100" s="55"/>
      <c r="F100" s="56">
        <f t="shared" si="25"/>
        <v>0</v>
      </c>
      <c r="G100" s="54"/>
      <c r="H100" s="55"/>
      <c r="I100" s="55"/>
      <c r="J100" s="55">
        <v>1</v>
      </c>
      <c r="K100" s="56">
        <f t="shared" si="26"/>
        <v>1</v>
      </c>
      <c r="L100" s="54"/>
      <c r="M100" s="55"/>
      <c r="N100" s="55"/>
      <c r="O100" s="55"/>
      <c r="P100" s="56">
        <f t="shared" si="27"/>
        <v>0</v>
      </c>
      <c r="Q100" s="54"/>
      <c r="R100" s="55">
        <v>1</v>
      </c>
      <c r="S100" s="55"/>
      <c r="T100" s="55"/>
      <c r="U100" s="176">
        <f t="shared" si="28"/>
        <v>1</v>
      </c>
      <c r="V100" s="56">
        <f t="shared" si="29"/>
        <v>2</v>
      </c>
      <c r="W100" s="329">
        <v>44016</v>
      </c>
      <c r="X100" s="326"/>
      <c r="Y100" s="326"/>
      <c r="Z100" s="326"/>
      <c r="AC100" s="66" t="s">
        <v>163</v>
      </c>
      <c r="AD100" s="54"/>
      <c r="AE100" s="55"/>
      <c r="AF100" s="55"/>
      <c r="AG100" s="55"/>
      <c r="AH100" s="56">
        <f t="shared" si="30"/>
        <v>0</v>
      </c>
      <c r="AI100" s="54"/>
      <c r="AJ100" s="55"/>
      <c r="AK100" s="55"/>
      <c r="AL100" s="55"/>
      <c r="AM100" s="56">
        <f t="shared" si="31"/>
        <v>0</v>
      </c>
      <c r="AN100" s="54"/>
      <c r="AO100" s="55"/>
      <c r="AP100" s="55"/>
      <c r="AQ100" s="55"/>
      <c r="AR100" s="56">
        <f t="shared" si="32"/>
        <v>0</v>
      </c>
      <c r="AS100" s="54">
        <v>3</v>
      </c>
      <c r="AT100" s="55"/>
      <c r="AU100" s="55"/>
      <c r="AV100" s="55"/>
      <c r="AW100" s="176">
        <f t="shared" si="33"/>
        <v>3</v>
      </c>
      <c r="AX100" s="56">
        <f t="shared" si="34"/>
        <v>3</v>
      </c>
      <c r="AY100" s="329">
        <v>44020</v>
      </c>
      <c r="AZ100" s="326"/>
    </row>
    <row r="101" spans="1:52" x14ac:dyDescent="0.15">
      <c r="A101" s="53" t="s">
        <v>100</v>
      </c>
      <c r="B101" s="54"/>
      <c r="C101" s="55"/>
      <c r="D101" s="55"/>
      <c r="E101" s="55"/>
      <c r="F101" s="56">
        <f t="shared" si="25"/>
        <v>0</v>
      </c>
      <c r="G101" s="54"/>
      <c r="H101" s="55"/>
      <c r="I101" s="55"/>
      <c r="J101" s="55">
        <v>1</v>
      </c>
      <c r="K101" s="56">
        <f t="shared" si="26"/>
        <v>1</v>
      </c>
      <c r="L101" s="54"/>
      <c r="M101" s="55"/>
      <c r="N101" s="55">
        <v>1</v>
      </c>
      <c r="O101" s="55"/>
      <c r="P101" s="56">
        <f t="shared" si="27"/>
        <v>1</v>
      </c>
      <c r="Q101" s="54"/>
      <c r="R101" s="55"/>
      <c r="S101" s="55"/>
      <c r="T101" s="55"/>
      <c r="U101" s="176">
        <f t="shared" si="28"/>
        <v>0</v>
      </c>
      <c r="V101" s="56">
        <f t="shared" si="29"/>
        <v>2</v>
      </c>
      <c r="W101" s="329">
        <v>44019</v>
      </c>
      <c r="X101" s="326"/>
      <c r="Y101" s="326"/>
      <c r="Z101" s="326"/>
      <c r="AC101" s="66" t="s">
        <v>164</v>
      </c>
      <c r="AD101" s="54"/>
      <c r="AE101" s="55"/>
      <c r="AF101" s="55"/>
      <c r="AG101" s="55"/>
      <c r="AH101" s="56">
        <f t="shared" si="30"/>
        <v>0</v>
      </c>
      <c r="AI101" s="54"/>
      <c r="AJ101" s="55"/>
      <c r="AK101" s="55"/>
      <c r="AL101" s="55"/>
      <c r="AM101" s="56">
        <f t="shared" si="31"/>
        <v>0</v>
      </c>
      <c r="AN101" s="54"/>
      <c r="AO101" s="55"/>
      <c r="AP101" s="55"/>
      <c r="AQ101" s="55"/>
      <c r="AR101" s="56">
        <f t="shared" si="32"/>
        <v>0</v>
      </c>
      <c r="AS101" s="54"/>
      <c r="AT101" s="55"/>
      <c r="AU101" s="55">
        <v>3</v>
      </c>
      <c r="AV101" s="55"/>
      <c r="AW101" s="176">
        <f t="shared" si="33"/>
        <v>3</v>
      </c>
      <c r="AX101" s="56">
        <f t="shared" si="34"/>
        <v>3</v>
      </c>
      <c r="AY101" s="329">
        <v>44021</v>
      </c>
      <c r="AZ101" s="326"/>
    </row>
    <row r="102" spans="1:52" x14ac:dyDescent="0.15">
      <c r="A102" s="53" t="s">
        <v>100</v>
      </c>
      <c r="B102" s="54"/>
      <c r="C102" s="55"/>
      <c r="D102" s="55"/>
      <c r="E102" s="55"/>
      <c r="F102" s="56">
        <f t="shared" si="25"/>
        <v>0</v>
      </c>
      <c r="G102" s="54"/>
      <c r="H102" s="55">
        <v>1</v>
      </c>
      <c r="I102" s="55"/>
      <c r="J102" s="55"/>
      <c r="K102" s="56">
        <f t="shared" si="26"/>
        <v>1</v>
      </c>
      <c r="L102" s="54"/>
      <c r="M102" s="55"/>
      <c r="N102" s="55"/>
      <c r="O102" s="55"/>
      <c r="P102" s="56">
        <f t="shared" si="27"/>
        <v>0</v>
      </c>
      <c r="Q102" s="54"/>
      <c r="R102" s="55"/>
      <c r="S102" s="55"/>
      <c r="T102" s="55"/>
      <c r="U102" s="176">
        <f t="shared" si="28"/>
        <v>0</v>
      </c>
      <c r="V102" s="56">
        <f t="shared" si="29"/>
        <v>1</v>
      </c>
      <c r="W102" s="329">
        <v>44020</v>
      </c>
      <c r="X102" s="326"/>
      <c r="Y102" s="326"/>
      <c r="Z102" s="326"/>
      <c r="AC102" s="65" t="s">
        <v>165</v>
      </c>
      <c r="AD102" s="54"/>
      <c r="AE102" s="55"/>
      <c r="AF102" s="55"/>
      <c r="AG102" s="55">
        <v>3</v>
      </c>
      <c r="AH102" s="56">
        <f t="shared" si="30"/>
        <v>3</v>
      </c>
      <c r="AI102" s="54"/>
      <c r="AJ102" s="55"/>
      <c r="AK102" s="55"/>
      <c r="AL102" s="55"/>
      <c r="AM102" s="56">
        <f t="shared" si="31"/>
        <v>0</v>
      </c>
      <c r="AN102" s="54"/>
      <c r="AO102" s="55"/>
      <c r="AP102" s="55"/>
      <c r="AQ102" s="55"/>
      <c r="AR102" s="56">
        <f t="shared" si="32"/>
        <v>0</v>
      </c>
      <c r="AS102" s="54"/>
      <c r="AT102" s="55"/>
      <c r="AU102" s="55"/>
      <c r="AV102" s="55"/>
      <c r="AW102" s="176">
        <f t="shared" si="33"/>
        <v>0</v>
      </c>
      <c r="AX102" s="56">
        <f t="shared" si="34"/>
        <v>3</v>
      </c>
      <c r="AY102" s="329">
        <v>44022</v>
      </c>
      <c r="AZ102" s="326"/>
    </row>
    <row r="103" spans="1:52" x14ac:dyDescent="0.15">
      <c r="A103" s="53" t="s">
        <v>100</v>
      </c>
      <c r="B103" s="54"/>
      <c r="C103" s="55"/>
      <c r="D103" s="55"/>
      <c r="E103" s="55"/>
      <c r="F103" s="56">
        <f t="shared" si="25"/>
        <v>0</v>
      </c>
      <c r="G103" s="54"/>
      <c r="H103" s="55">
        <v>1</v>
      </c>
      <c r="I103" s="55"/>
      <c r="J103" s="55"/>
      <c r="K103" s="56">
        <f t="shared" si="26"/>
        <v>1</v>
      </c>
      <c r="L103" s="54"/>
      <c r="M103" s="55"/>
      <c r="N103" s="55"/>
      <c r="O103" s="55"/>
      <c r="P103" s="56">
        <f t="shared" si="27"/>
        <v>0</v>
      </c>
      <c r="Q103" s="54"/>
      <c r="R103" s="55"/>
      <c r="S103" s="55"/>
      <c r="T103" s="55"/>
      <c r="U103" s="176">
        <f t="shared" si="28"/>
        <v>0</v>
      </c>
      <c r="V103" s="56">
        <f t="shared" si="29"/>
        <v>1</v>
      </c>
      <c r="W103" s="329">
        <v>44023</v>
      </c>
      <c r="X103" s="326"/>
      <c r="Y103" s="326"/>
      <c r="Z103" s="326"/>
      <c r="AC103" s="65" t="s">
        <v>166</v>
      </c>
      <c r="AD103" s="54"/>
      <c r="AE103" s="55"/>
      <c r="AF103" s="55"/>
      <c r="AG103" s="55"/>
      <c r="AH103" s="56">
        <f t="shared" si="30"/>
        <v>0</v>
      </c>
      <c r="AI103" s="54"/>
      <c r="AJ103" s="55"/>
      <c r="AK103" s="55"/>
      <c r="AL103" s="55"/>
      <c r="AM103" s="56">
        <f t="shared" si="31"/>
        <v>0</v>
      </c>
      <c r="AN103" s="54"/>
      <c r="AO103" s="55"/>
      <c r="AP103" s="55"/>
      <c r="AQ103" s="55"/>
      <c r="AR103" s="56">
        <f t="shared" si="32"/>
        <v>0</v>
      </c>
      <c r="AS103" s="54">
        <v>10</v>
      </c>
      <c r="AT103" s="55"/>
      <c r="AU103" s="55"/>
      <c r="AV103" s="55"/>
      <c r="AW103" s="176">
        <f t="shared" si="33"/>
        <v>10</v>
      </c>
      <c r="AX103" s="56">
        <f t="shared" si="34"/>
        <v>10</v>
      </c>
      <c r="AY103" s="329">
        <v>44021</v>
      </c>
      <c r="AZ103" s="326"/>
    </row>
    <row r="104" spans="1:52" x14ac:dyDescent="0.15">
      <c r="A104" s="53" t="s">
        <v>100</v>
      </c>
      <c r="B104" s="54"/>
      <c r="C104" s="55"/>
      <c r="D104" s="55"/>
      <c r="E104" s="55"/>
      <c r="F104" s="56">
        <f t="shared" si="25"/>
        <v>0</v>
      </c>
      <c r="G104" s="54"/>
      <c r="H104" s="55"/>
      <c r="I104" s="55"/>
      <c r="J104" s="55">
        <v>1</v>
      </c>
      <c r="K104" s="56">
        <f t="shared" si="26"/>
        <v>1</v>
      </c>
      <c r="L104" s="54"/>
      <c r="M104" s="55"/>
      <c r="N104" s="55"/>
      <c r="O104" s="55">
        <v>1</v>
      </c>
      <c r="P104" s="56">
        <f t="shared" si="27"/>
        <v>1</v>
      </c>
      <c r="Q104" s="54"/>
      <c r="R104" s="55"/>
      <c r="S104" s="55"/>
      <c r="T104" s="55"/>
      <c r="U104" s="176">
        <f t="shared" si="28"/>
        <v>0</v>
      </c>
      <c r="V104" s="56">
        <f t="shared" si="29"/>
        <v>2</v>
      </c>
      <c r="W104" s="329">
        <v>44026</v>
      </c>
      <c r="X104" s="326"/>
      <c r="Y104" s="326"/>
      <c r="Z104" s="326"/>
      <c r="AC104" s="65" t="s">
        <v>169</v>
      </c>
      <c r="AD104" s="54">
        <v>3</v>
      </c>
      <c r="AE104" s="55"/>
      <c r="AF104" s="55"/>
      <c r="AG104" s="55">
        <v>4</v>
      </c>
      <c r="AH104" s="56">
        <f t="shared" si="30"/>
        <v>7</v>
      </c>
      <c r="AI104" s="54"/>
      <c r="AJ104" s="55">
        <v>4</v>
      </c>
      <c r="AK104" s="55">
        <v>2</v>
      </c>
      <c r="AL104" s="55"/>
      <c r="AM104" s="56">
        <f t="shared" si="31"/>
        <v>6</v>
      </c>
      <c r="AN104" s="54"/>
      <c r="AO104" s="55"/>
      <c r="AP104" s="55"/>
      <c r="AQ104" s="55"/>
      <c r="AR104" s="56">
        <f t="shared" si="32"/>
        <v>0</v>
      </c>
      <c r="AS104" s="54"/>
      <c r="AT104" s="55"/>
      <c r="AU104" s="55"/>
      <c r="AV104" s="55"/>
      <c r="AW104" s="176">
        <f t="shared" si="33"/>
        <v>0</v>
      </c>
      <c r="AX104" s="56">
        <f t="shared" si="34"/>
        <v>13</v>
      </c>
      <c r="AY104" s="329">
        <v>44023</v>
      </c>
      <c r="AZ104" s="326"/>
    </row>
    <row r="105" spans="1:52" x14ac:dyDescent="0.15">
      <c r="A105" s="53" t="s">
        <v>98</v>
      </c>
      <c r="B105" s="17"/>
      <c r="C105" s="18"/>
      <c r="D105" s="18"/>
      <c r="E105" s="18"/>
      <c r="F105" s="30">
        <f t="shared" si="25"/>
        <v>0</v>
      </c>
      <c r="G105" s="17"/>
      <c r="H105" s="18"/>
      <c r="I105" s="18"/>
      <c r="J105" s="18">
        <v>1</v>
      </c>
      <c r="K105" s="30">
        <f t="shared" si="26"/>
        <v>1</v>
      </c>
      <c r="L105" s="17"/>
      <c r="M105" s="18"/>
      <c r="N105" s="18">
        <v>1</v>
      </c>
      <c r="O105" s="18"/>
      <c r="P105" s="30">
        <f t="shared" si="27"/>
        <v>1</v>
      </c>
      <c r="Q105" s="17"/>
      <c r="R105" s="18"/>
      <c r="S105" s="18"/>
      <c r="T105" s="18"/>
      <c r="U105" s="178">
        <f t="shared" si="28"/>
        <v>0</v>
      </c>
      <c r="V105" s="56">
        <f t="shared" si="29"/>
        <v>2</v>
      </c>
      <c r="W105" s="328">
        <v>44025</v>
      </c>
      <c r="X105" s="326"/>
      <c r="Y105" s="326"/>
      <c r="Z105" s="326"/>
      <c r="AC105" s="65" t="s">
        <v>168</v>
      </c>
      <c r="AD105" s="17"/>
      <c r="AE105" s="18"/>
      <c r="AF105" s="18">
        <v>7</v>
      </c>
      <c r="AG105" s="18"/>
      <c r="AH105" s="30">
        <f t="shared" si="30"/>
        <v>7</v>
      </c>
      <c r="AI105" s="17">
        <v>3</v>
      </c>
      <c r="AJ105" s="18">
        <v>5</v>
      </c>
      <c r="AK105" s="18">
        <v>5</v>
      </c>
      <c r="AL105" s="18">
        <v>6</v>
      </c>
      <c r="AM105" s="30">
        <f t="shared" si="31"/>
        <v>19</v>
      </c>
      <c r="AN105" s="17"/>
      <c r="AO105" s="18"/>
      <c r="AP105" s="18"/>
      <c r="AQ105" s="18"/>
      <c r="AR105" s="30">
        <f t="shared" si="32"/>
        <v>0</v>
      </c>
      <c r="AS105" s="17"/>
      <c r="AT105" s="18"/>
      <c r="AU105" s="18"/>
      <c r="AV105" s="18"/>
      <c r="AW105" s="178">
        <f t="shared" si="33"/>
        <v>0</v>
      </c>
      <c r="AX105" s="56">
        <f t="shared" si="34"/>
        <v>26</v>
      </c>
      <c r="AY105" s="329">
        <v>44023</v>
      </c>
      <c r="AZ105" s="326"/>
    </row>
    <row r="106" spans="1:52" x14ac:dyDescent="0.15">
      <c r="A106" s="53" t="s">
        <v>100</v>
      </c>
      <c r="B106" s="54"/>
      <c r="C106" s="55"/>
      <c r="D106" s="55"/>
      <c r="E106" s="55"/>
      <c r="F106" s="56">
        <f t="shared" si="25"/>
        <v>0</v>
      </c>
      <c r="G106" s="54"/>
      <c r="H106" s="55">
        <v>2</v>
      </c>
      <c r="I106" s="55"/>
      <c r="J106" s="55"/>
      <c r="K106" s="56">
        <f t="shared" si="26"/>
        <v>2</v>
      </c>
      <c r="L106" s="54"/>
      <c r="M106" s="55"/>
      <c r="N106" s="55"/>
      <c r="O106" s="55"/>
      <c r="P106" s="56">
        <f t="shared" si="27"/>
        <v>0</v>
      </c>
      <c r="Q106" s="54"/>
      <c r="R106" s="55"/>
      <c r="S106" s="55"/>
      <c r="T106" s="55"/>
      <c r="U106" s="176">
        <f t="shared" si="28"/>
        <v>0</v>
      </c>
      <c r="V106" s="56">
        <f t="shared" si="29"/>
        <v>2</v>
      </c>
      <c r="W106" s="329">
        <v>44027</v>
      </c>
      <c r="X106" s="326"/>
      <c r="Y106" s="326"/>
      <c r="Z106" s="326"/>
      <c r="AC106" s="65" t="s">
        <v>99</v>
      </c>
      <c r="AD106" s="54"/>
      <c r="AE106" s="55"/>
      <c r="AF106" s="55"/>
      <c r="AG106" s="55"/>
      <c r="AH106" s="56">
        <f t="shared" si="30"/>
        <v>0</v>
      </c>
      <c r="AI106" s="54"/>
      <c r="AJ106" s="55">
        <v>3</v>
      </c>
      <c r="AK106" s="55"/>
      <c r="AL106" s="55">
        <v>3</v>
      </c>
      <c r="AM106" s="56">
        <f t="shared" si="31"/>
        <v>6</v>
      </c>
      <c r="AN106" s="54"/>
      <c r="AO106" s="55"/>
      <c r="AP106" s="55"/>
      <c r="AQ106" s="55"/>
      <c r="AR106" s="56">
        <f t="shared" si="32"/>
        <v>0</v>
      </c>
      <c r="AS106" s="54"/>
      <c r="AT106" s="55"/>
      <c r="AU106" s="55"/>
      <c r="AV106" s="55"/>
      <c r="AW106" s="176">
        <f t="shared" si="33"/>
        <v>0</v>
      </c>
      <c r="AX106" s="56">
        <f t="shared" si="34"/>
        <v>6</v>
      </c>
      <c r="AY106" s="329">
        <v>44025</v>
      </c>
      <c r="AZ106" s="326"/>
    </row>
    <row r="107" spans="1:52" x14ac:dyDescent="0.15">
      <c r="A107" s="53" t="s">
        <v>172</v>
      </c>
      <c r="B107" s="54"/>
      <c r="C107" s="55"/>
      <c r="D107" s="55"/>
      <c r="E107" s="55"/>
      <c r="F107" s="56">
        <f t="shared" si="25"/>
        <v>0</v>
      </c>
      <c r="G107" s="54"/>
      <c r="H107" s="55"/>
      <c r="I107" s="55"/>
      <c r="J107" s="55">
        <v>1</v>
      </c>
      <c r="K107" s="56">
        <f t="shared" si="26"/>
        <v>1</v>
      </c>
      <c r="L107" s="54"/>
      <c r="M107" s="55"/>
      <c r="N107" s="55"/>
      <c r="O107" s="55"/>
      <c r="P107" s="56">
        <f t="shared" si="27"/>
        <v>0</v>
      </c>
      <c r="Q107" s="54"/>
      <c r="R107" s="55"/>
      <c r="S107" s="55"/>
      <c r="T107" s="55"/>
      <c r="U107" s="176">
        <f t="shared" si="28"/>
        <v>0</v>
      </c>
      <c r="V107" s="56">
        <f t="shared" si="29"/>
        <v>1</v>
      </c>
      <c r="W107" s="329">
        <v>44029</v>
      </c>
      <c r="X107" s="326"/>
      <c r="Y107" s="326"/>
      <c r="Z107" s="326"/>
      <c r="AC107" s="65" t="s">
        <v>170</v>
      </c>
      <c r="AD107" s="54"/>
      <c r="AE107" s="55"/>
      <c r="AF107" s="55"/>
      <c r="AG107" s="55"/>
      <c r="AH107" s="56">
        <f t="shared" si="30"/>
        <v>0</v>
      </c>
      <c r="AI107" s="54">
        <v>2</v>
      </c>
      <c r="AJ107" s="55">
        <v>2</v>
      </c>
      <c r="AK107" s="55"/>
      <c r="AL107" s="55">
        <v>1</v>
      </c>
      <c r="AM107" s="56">
        <f t="shared" si="31"/>
        <v>5</v>
      </c>
      <c r="AN107" s="54"/>
      <c r="AO107" s="55"/>
      <c r="AP107" s="55"/>
      <c r="AQ107" s="55"/>
      <c r="AR107" s="56">
        <f t="shared" si="32"/>
        <v>0</v>
      </c>
      <c r="AS107" s="54"/>
      <c r="AT107" s="55"/>
      <c r="AU107" s="55"/>
      <c r="AV107" s="55"/>
      <c r="AW107" s="176">
        <f t="shared" si="33"/>
        <v>0</v>
      </c>
      <c r="AX107" s="56">
        <f t="shared" si="34"/>
        <v>5</v>
      </c>
      <c r="AY107" s="329">
        <v>44032</v>
      </c>
      <c r="AZ107" s="326"/>
    </row>
    <row r="108" spans="1:52" x14ac:dyDescent="0.15">
      <c r="A108" s="53" t="s">
        <v>115</v>
      </c>
      <c r="B108" s="54"/>
      <c r="C108" s="55">
        <v>1</v>
      </c>
      <c r="D108" s="55">
        <v>1</v>
      </c>
      <c r="E108" s="55"/>
      <c r="F108" s="56">
        <f t="shared" si="25"/>
        <v>2</v>
      </c>
      <c r="G108" s="54">
        <v>3</v>
      </c>
      <c r="H108" s="55">
        <v>4</v>
      </c>
      <c r="I108" s="55">
        <v>1</v>
      </c>
      <c r="J108" s="55">
        <v>2</v>
      </c>
      <c r="K108" s="56">
        <f t="shared" si="26"/>
        <v>10</v>
      </c>
      <c r="L108" s="54"/>
      <c r="M108" s="55"/>
      <c r="N108" s="55"/>
      <c r="O108" s="55"/>
      <c r="P108" s="56">
        <f t="shared" si="27"/>
        <v>0</v>
      </c>
      <c r="Q108" s="54"/>
      <c r="R108" s="55"/>
      <c r="S108" s="55"/>
      <c r="T108" s="55"/>
      <c r="U108" s="176">
        <f t="shared" si="28"/>
        <v>0</v>
      </c>
      <c r="V108" s="147">
        <f t="shared" si="29"/>
        <v>12</v>
      </c>
      <c r="W108" s="328">
        <v>44029</v>
      </c>
      <c r="X108" s="326"/>
      <c r="Y108" s="326"/>
      <c r="Z108" s="326"/>
      <c r="AC108" s="66" t="s">
        <v>171</v>
      </c>
      <c r="AD108" s="54"/>
      <c r="AE108" s="55"/>
      <c r="AF108" s="55"/>
      <c r="AG108" s="55"/>
      <c r="AH108" s="56">
        <f t="shared" si="30"/>
        <v>0</v>
      </c>
      <c r="AI108" s="54"/>
      <c r="AJ108" s="55"/>
      <c r="AK108" s="55"/>
      <c r="AL108" s="55"/>
      <c r="AM108" s="56">
        <f t="shared" si="31"/>
        <v>0</v>
      </c>
      <c r="AN108" s="54"/>
      <c r="AO108" s="55"/>
      <c r="AP108" s="55"/>
      <c r="AQ108" s="55"/>
      <c r="AR108" s="56">
        <f t="shared" si="32"/>
        <v>0</v>
      </c>
      <c r="AS108" s="54"/>
      <c r="AT108" s="55">
        <v>2</v>
      </c>
      <c r="AU108" s="55"/>
      <c r="AV108" s="55"/>
      <c r="AW108" s="176">
        <f t="shared" si="33"/>
        <v>2</v>
      </c>
      <c r="AX108" s="56">
        <f t="shared" si="34"/>
        <v>2</v>
      </c>
      <c r="AY108" s="329">
        <v>44033</v>
      </c>
      <c r="AZ108" s="326"/>
    </row>
    <row r="109" spans="1:52" x14ac:dyDescent="0.15">
      <c r="A109" s="53" t="s">
        <v>177</v>
      </c>
      <c r="B109" s="54">
        <v>1</v>
      </c>
      <c r="C109" s="55"/>
      <c r="D109" s="55"/>
      <c r="E109" s="55"/>
      <c r="F109" s="56">
        <f t="shared" si="25"/>
        <v>1</v>
      </c>
      <c r="G109" s="54"/>
      <c r="H109" s="55"/>
      <c r="I109" s="55"/>
      <c r="J109" s="55"/>
      <c r="K109" s="56">
        <f t="shared" si="26"/>
        <v>0</v>
      </c>
      <c r="L109" s="54"/>
      <c r="M109" s="55"/>
      <c r="N109" s="55"/>
      <c r="O109" s="55"/>
      <c r="P109" s="56">
        <f t="shared" si="27"/>
        <v>0</v>
      </c>
      <c r="Q109" s="54"/>
      <c r="R109" s="55"/>
      <c r="S109" s="55"/>
      <c r="T109" s="55"/>
      <c r="U109" s="176">
        <f t="shared" si="28"/>
        <v>0</v>
      </c>
      <c r="V109" s="147">
        <f t="shared" si="29"/>
        <v>1</v>
      </c>
      <c r="W109" s="328">
        <v>44033</v>
      </c>
      <c r="X109" s="326"/>
      <c r="Y109" s="326"/>
      <c r="Z109" s="326"/>
      <c r="AC109" s="65" t="s">
        <v>173</v>
      </c>
      <c r="AD109" s="54">
        <v>2</v>
      </c>
      <c r="AE109" s="55"/>
      <c r="AF109" s="55"/>
      <c r="AG109" s="55"/>
      <c r="AH109" s="56">
        <f t="shared" si="30"/>
        <v>2</v>
      </c>
      <c r="AI109" s="54"/>
      <c r="AJ109" s="55"/>
      <c r="AK109" s="55"/>
      <c r="AL109" s="55"/>
      <c r="AM109" s="56">
        <f t="shared" si="31"/>
        <v>0</v>
      </c>
      <c r="AN109" s="54"/>
      <c r="AO109" s="55"/>
      <c r="AP109" s="55"/>
      <c r="AQ109" s="55"/>
      <c r="AR109" s="56">
        <f t="shared" si="32"/>
        <v>0</v>
      </c>
      <c r="AS109" s="54"/>
      <c r="AT109" s="55"/>
      <c r="AU109" s="55"/>
      <c r="AV109" s="55"/>
      <c r="AW109" s="176">
        <f t="shared" si="33"/>
        <v>0</v>
      </c>
      <c r="AX109" s="56">
        <f t="shared" si="34"/>
        <v>2</v>
      </c>
      <c r="AY109" s="329">
        <v>44035</v>
      </c>
      <c r="AZ109" s="326"/>
    </row>
    <row r="110" spans="1:52" x14ac:dyDescent="0.15">
      <c r="A110" s="53" t="s">
        <v>178</v>
      </c>
      <c r="B110" s="54"/>
      <c r="C110" s="55">
        <v>1</v>
      </c>
      <c r="D110" s="55"/>
      <c r="E110" s="55"/>
      <c r="F110" s="56">
        <f t="shared" si="25"/>
        <v>1</v>
      </c>
      <c r="G110" s="54">
        <v>1</v>
      </c>
      <c r="H110" s="55"/>
      <c r="I110" s="55"/>
      <c r="J110" s="55"/>
      <c r="K110" s="56">
        <f t="shared" si="26"/>
        <v>1</v>
      </c>
      <c r="L110" s="54"/>
      <c r="M110" s="55"/>
      <c r="N110" s="55"/>
      <c r="O110" s="55">
        <v>1</v>
      </c>
      <c r="P110" s="56">
        <f t="shared" si="27"/>
        <v>1</v>
      </c>
      <c r="Q110" s="54"/>
      <c r="R110" s="55"/>
      <c r="S110" s="55"/>
      <c r="T110" s="55"/>
      <c r="U110" s="176">
        <f t="shared" si="28"/>
        <v>0</v>
      </c>
      <c r="V110" s="56">
        <f t="shared" si="29"/>
        <v>3</v>
      </c>
      <c r="W110" s="329">
        <v>44040</v>
      </c>
      <c r="X110" s="326"/>
      <c r="Y110" s="326"/>
      <c r="Z110" s="326"/>
      <c r="AC110" s="66" t="s">
        <v>174</v>
      </c>
      <c r="AD110" s="54"/>
      <c r="AE110" s="55"/>
      <c r="AF110" s="55"/>
      <c r="AG110" s="55"/>
      <c r="AH110" s="56">
        <f t="shared" si="30"/>
        <v>0</v>
      </c>
      <c r="AI110" s="54"/>
      <c r="AJ110" s="55"/>
      <c r="AK110" s="55"/>
      <c r="AL110" s="55"/>
      <c r="AM110" s="56">
        <f t="shared" si="31"/>
        <v>0</v>
      </c>
      <c r="AN110" s="54"/>
      <c r="AO110" s="55"/>
      <c r="AP110" s="55"/>
      <c r="AQ110" s="55"/>
      <c r="AR110" s="56">
        <f t="shared" si="32"/>
        <v>0</v>
      </c>
      <c r="AS110" s="54"/>
      <c r="AT110" s="55"/>
      <c r="AU110" s="55">
        <v>2</v>
      </c>
      <c r="AV110" s="55">
        <v>5</v>
      </c>
      <c r="AW110" s="176">
        <f t="shared" si="33"/>
        <v>7</v>
      </c>
      <c r="AX110" s="56">
        <f t="shared" si="34"/>
        <v>7</v>
      </c>
      <c r="AY110" s="329">
        <v>44034</v>
      </c>
      <c r="AZ110" s="326"/>
    </row>
    <row r="111" spans="1:52" x14ac:dyDescent="0.15">
      <c r="A111" s="53"/>
      <c r="B111" s="54"/>
      <c r="C111" s="55"/>
      <c r="D111" s="55"/>
      <c r="E111" s="55"/>
      <c r="F111" s="56">
        <f t="shared" si="25"/>
        <v>0</v>
      </c>
      <c r="G111" s="54"/>
      <c r="H111" s="55"/>
      <c r="I111" s="55"/>
      <c r="J111" s="55"/>
      <c r="K111" s="56">
        <f t="shared" si="26"/>
        <v>0</v>
      </c>
      <c r="L111" s="54"/>
      <c r="M111" s="55"/>
      <c r="N111" s="55"/>
      <c r="O111" s="55"/>
      <c r="P111" s="56">
        <f t="shared" si="27"/>
        <v>0</v>
      </c>
      <c r="Q111" s="54"/>
      <c r="R111" s="55"/>
      <c r="S111" s="55"/>
      <c r="T111" s="55"/>
      <c r="U111" s="176">
        <f t="shared" si="28"/>
        <v>0</v>
      </c>
      <c r="V111" s="147">
        <f t="shared" si="29"/>
        <v>0</v>
      </c>
      <c r="W111" s="325"/>
      <c r="X111" s="326"/>
      <c r="Y111" s="326"/>
      <c r="Z111" s="326"/>
      <c r="AC111" s="65" t="s">
        <v>175</v>
      </c>
      <c r="AD111" s="54"/>
      <c r="AE111" s="55"/>
      <c r="AF111" s="55"/>
      <c r="AG111" s="55"/>
      <c r="AH111" s="56">
        <f t="shared" si="30"/>
        <v>0</v>
      </c>
      <c r="AI111" s="54"/>
      <c r="AJ111" s="55">
        <v>2</v>
      </c>
      <c r="AK111" s="55"/>
      <c r="AL111" s="55"/>
      <c r="AM111" s="56">
        <f t="shared" si="31"/>
        <v>2</v>
      </c>
      <c r="AN111" s="54"/>
      <c r="AO111" s="55"/>
      <c r="AP111" s="55"/>
      <c r="AQ111" s="55"/>
      <c r="AR111" s="56">
        <f t="shared" si="32"/>
        <v>0</v>
      </c>
      <c r="AS111" s="54"/>
      <c r="AT111" s="55"/>
      <c r="AU111" s="55"/>
      <c r="AV111" s="55"/>
      <c r="AW111" s="176">
        <f t="shared" si="33"/>
        <v>0</v>
      </c>
      <c r="AX111" s="56">
        <f t="shared" si="34"/>
        <v>2</v>
      </c>
      <c r="AY111" s="329">
        <v>44034</v>
      </c>
      <c r="AZ111" s="326"/>
    </row>
    <row r="112" spans="1:52" x14ac:dyDescent="0.15">
      <c r="A112" s="53"/>
      <c r="B112" s="54"/>
      <c r="C112" s="55"/>
      <c r="D112" s="55"/>
      <c r="E112" s="55"/>
      <c r="F112" s="56">
        <f t="shared" si="25"/>
        <v>0</v>
      </c>
      <c r="G112" s="54"/>
      <c r="H112" s="55"/>
      <c r="I112" s="55"/>
      <c r="J112" s="55"/>
      <c r="K112" s="56">
        <f t="shared" si="26"/>
        <v>0</v>
      </c>
      <c r="L112" s="54"/>
      <c r="M112" s="55"/>
      <c r="N112" s="55"/>
      <c r="O112" s="55"/>
      <c r="P112" s="56">
        <f t="shared" si="27"/>
        <v>0</v>
      </c>
      <c r="Q112" s="54"/>
      <c r="R112" s="55"/>
      <c r="S112" s="55"/>
      <c r="T112" s="55"/>
      <c r="U112" s="176">
        <f t="shared" si="28"/>
        <v>0</v>
      </c>
      <c r="V112" s="147">
        <f t="shared" si="29"/>
        <v>0</v>
      </c>
      <c r="W112" s="325"/>
      <c r="X112" s="326"/>
      <c r="Y112" s="326"/>
      <c r="Z112" s="326"/>
      <c r="AC112" s="65" t="s">
        <v>176</v>
      </c>
      <c r="AD112" s="54"/>
      <c r="AE112" s="55"/>
      <c r="AF112" s="55"/>
      <c r="AG112" s="55"/>
      <c r="AH112" s="56">
        <f t="shared" si="30"/>
        <v>0</v>
      </c>
      <c r="AI112" s="54"/>
      <c r="AJ112" s="55"/>
      <c r="AK112" s="55"/>
      <c r="AL112" s="55"/>
      <c r="AM112" s="56">
        <f t="shared" si="31"/>
        <v>0</v>
      </c>
      <c r="AN112" s="54"/>
      <c r="AO112" s="55"/>
      <c r="AP112" s="55"/>
      <c r="AQ112" s="55"/>
      <c r="AR112" s="56">
        <f t="shared" si="32"/>
        <v>0</v>
      </c>
      <c r="AS112" s="54"/>
      <c r="AT112" s="55"/>
      <c r="AU112" s="55">
        <v>3</v>
      </c>
      <c r="AV112" s="55"/>
      <c r="AW112" s="176">
        <f t="shared" si="33"/>
        <v>3</v>
      </c>
      <c r="AX112" s="56">
        <f t="shared" si="34"/>
        <v>3</v>
      </c>
      <c r="AY112" s="329">
        <v>44040</v>
      </c>
      <c r="AZ112" s="326"/>
    </row>
    <row r="113" spans="1:52" x14ac:dyDescent="0.15">
      <c r="A113" s="53"/>
      <c r="B113" s="54"/>
      <c r="C113" s="55"/>
      <c r="D113" s="55"/>
      <c r="E113" s="55"/>
      <c r="F113" s="56">
        <f t="shared" si="25"/>
        <v>0</v>
      </c>
      <c r="G113" s="54"/>
      <c r="H113" s="55"/>
      <c r="I113" s="55"/>
      <c r="J113" s="55"/>
      <c r="K113" s="56">
        <f t="shared" si="26"/>
        <v>0</v>
      </c>
      <c r="L113" s="54"/>
      <c r="M113" s="55"/>
      <c r="N113" s="55"/>
      <c r="O113" s="55"/>
      <c r="P113" s="56">
        <f t="shared" si="27"/>
        <v>0</v>
      </c>
      <c r="Q113" s="54"/>
      <c r="R113" s="55"/>
      <c r="S113" s="55"/>
      <c r="T113" s="55"/>
      <c r="U113" s="176">
        <f t="shared" si="28"/>
        <v>0</v>
      </c>
      <c r="V113" s="147">
        <f t="shared" si="29"/>
        <v>0</v>
      </c>
      <c r="W113" s="325"/>
      <c r="X113" s="326"/>
      <c r="Y113" s="326"/>
      <c r="Z113" s="326"/>
      <c r="AC113" s="65" t="s">
        <v>179</v>
      </c>
      <c r="AD113" s="54"/>
      <c r="AE113" s="55">
        <v>2</v>
      </c>
      <c r="AF113" s="55"/>
      <c r="AG113" s="55"/>
      <c r="AH113" s="56">
        <f t="shared" si="30"/>
        <v>2</v>
      </c>
      <c r="AI113" s="54">
        <v>13</v>
      </c>
      <c r="AJ113" s="55">
        <v>14</v>
      </c>
      <c r="AK113" s="55">
        <v>3</v>
      </c>
      <c r="AL113" s="55">
        <v>6</v>
      </c>
      <c r="AM113" s="56">
        <f t="shared" si="31"/>
        <v>36</v>
      </c>
      <c r="AN113" s="54"/>
      <c r="AO113" s="55"/>
      <c r="AP113" s="55"/>
      <c r="AQ113" s="55"/>
      <c r="AR113" s="56">
        <f t="shared" si="32"/>
        <v>0</v>
      </c>
      <c r="AS113" s="54"/>
      <c r="AT113" s="55"/>
      <c r="AU113" s="55"/>
      <c r="AV113" s="55"/>
      <c r="AW113" s="176">
        <f t="shared" si="33"/>
        <v>0</v>
      </c>
      <c r="AX113" s="56">
        <f t="shared" si="34"/>
        <v>38</v>
      </c>
      <c r="AY113" s="329">
        <v>44048</v>
      </c>
      <c r="AZ113" s="326"/>
    </row>
    <row r="114" spans="1:52" x14ac:dyDescent="0.15">
      <c r="A114" s="53"/>
      <c r="B114" s="54"/>
      <c r="C114" s="55"/>
      <c r="D114" s="55"/>
      <c r="E114" s="55"/>
      <c r="F114" s="56">
        <f t="shared" si="25"/>
        <v>0</v>
      </c>
      <c r="G114" s="54"/>
      <c r="H114" s="55"/>
      <c r="I114" s="55"/>
      <c r="J114" s="55"/>
      <c r="K114" s="56">
        <f t="shared" si="26"/>
        <v>0</v>
      </c>
      <c r="L114" s="54"/>
      <c r="M114" s="55"/>
      <c r="N114" s="55"/>
      <c r="O114" s="55"/>
      <c r="P114" s="56">
        <f t="shared" si="27"/>
        <v>0</v>
      </c>
      <c r="Q114" s="54"/>
      <c r="R114" s="55"/>
      <c r="S114" s="55"/>
      <c r="T114" s="55"/>
      <c r="U114" s="176">
        <f t="shared" si="28"/>
        <v>0</v>
      </c>
      <c r="V114" s="147">
        <f t="shared" si="29"/>
        <v>0</v>
      </c>
      <c r="W114" s="325"/>
      <c r="X114" s="326"/>
      <c r="Y114" s="326"/>
      <c r="Z114" s="326"/>
      <c r="AC114" s="65" t="s">
        <v>180</v>
      </c>
      <c r="AD114" s="54"/>
      <c r="AE114" s="55"/>
      <c r="AF114" s="55"/>
      <c r="AG114" s="55"/>
      <c r="AH114" s="56">
        <f t="shared" si="30"/>
        <v>0</v>
      </c>
      <c r="AI114" s="54"/>
      <c r="AJ114" s="55">
        <v>3</v>
      </c>
      <c r="AK114" s="55"/>
      <c r="AL114" s="55"/>
      <c r="AM114" s="56">
        <f t="shared" si="31"/>
        <v>3</v>
      </c>
      <c r="AN114" s="54"/>
      <c r="AO114" s="55"/>
      <c r="AP114" s="55"/>
      <c r="AQ114" s="55"/>
      <c r="AR114" s="56">
        <f t="shared" si="32"/>
        <v>0</v>
      </c>
      <c r="AS114" s="54"/>
      <c r="AT114" s="55"/>
      <c r="AU114" s="55"/>
      <c r="AV114" s="55"/>
      <c r="AW114" s="176">
        <f t="shared" si="33"/>
        <v>0</v>
      </c>
      <c r="AX114" s="56">
        <f t="shared" si="34"/>
        <v>3</v>
      </c>
      <c r="AY114" s="329">
        <v>44042</v>
      </c>
      <c r="AZ114" s="332"/>
    </row>
    <row r="115" spans="1:52" x14ac:dyDescent="0.15">
      <c r="A115" s="53"/>
      <c r="B115" s="54"/>
      <c r="C115" s="55"/>
      <c r="D115" s="55"/>
      <c r="E115" s="55"/>
      <c r="F115" s="56">
        <f t="shared" si="25"/>
        <v>0</v>
      </c>
      <c r="G115" s="54"/>
      <c r="H115" s="55"/>
      <c r="I115" s="55"/>
      <c r="J115" s="55"/>
      <c r="K115" s="56">
        <f t="shared" si="26"/>
        <v>0</v>
      </c>
      <c r="L115" s="54"/>
      <c r="M115" s="55"/>
      <c r="N115" s="55"/>
      <c r="O115" s="55"/>
      <c r="P115" s="56">
        <f t="shared" si="27"/>
        <v>0</v>
      </c>
      <c r="Q115" s="54"/>
      <c r="R115" s="55"/>
      <c r="S115" s="55"/>
      <c r="T115" s="55"/>
      <c r="U115" s="176">
        <f t="shared" si="28"/>
        <v>0</v>
      </c>
      <c r="V115" s="147">
        <f t="shared" si="29"/>
        <v>0</v>
      </c>
      <c r="W115" s="325"/>
      <c r="X115" s="326"/>
      <c r="Y115" s="326"/>
      <c r="Z115" s="326"/>
      <c r="AC115" s="65" t="s">
        <v>181</v>
      </c>
      <c r="AD115" s="54"/>
      <c r="AE115" s="55"/>
      <c r="AF115" s="55"/>
      <c r="AG115" s="55"/>
      <c r="AH115" s="56">
        <f t="shared" si="30"/>
        <v>0</v>
      </c>
      <c r="AI115" s="54"/>
      <c r="AJ115" s="55"/>
      <c r="AK115" s="55"/>
      <c r="AL115" s="55"/>
      <c r="AM115" s="56">
        <f t="shared" si="31"/>
        <v>0</v>
      </c>
      <c r="AN115" s="54"/>
      <c r="AO115" s="55"/>
      <c r="AP115" s="55"/>
      <c r="AQ115" s="55"/>
      <c r="AR115" s="56">
        <f t="shared" si="32"/>
        <v>0</v>
      </c>
      <c r="AS115" s="54"/>
      <c r="AT115" s="55">
        <v>5</v>
      </c>
      <c r="AU115" s="55"/>
      <c r="AV115" s="55"/>
      <c r="AW115" s="176">
        <f t="shared" si="33"/>
        <v>5</v>
      </c>
      <c r="AX115" s="56">
        <f t="shared" si="34"/>
        <v>5</v>
      </c>
      <c r="AY115" s="329">
        <v>44047</v>
      </c>
      <c r="AZ115" s="332"/>
    </row>
    <row r="116" spans="1:52" x14ac:dyDescent="0.15">
      <c r="A116" s="53"/>
      <c r="B116" s="17"/>
      <c r="C116" s="18"/>
      <c r="D116" s="18"/>
      <c r="E116" s="18"/>
      <c r="F116" s="30">
        <f t="shared" si="25"/>
        <v>0</v>
      </c>
      <c r="G116" s="17"/>
      <c r="H116" s="18"/>
      <c r="I116" s="18"/>
      <c r="J116" s="18"/>
      <c r="K116" s="30">
        <f t="shared" si="26"/>
        <v>0</v>
      </c>
      <c r="L116" s="17"/>
      <c r="M116" s="18"/>
      <c r="N116" s="18"/>
      <c r="O116" s="18"/>
      <c r="P116" s="30">
        <f t="shared" si="27"/>
        <v>0</v>
      </c>
      <c r="Q116" s="17"/>
      <c r="R116" s="18"/>
      <c r="S116" s="18"/>
      <c r="T116" s="18"/>
      <c r="U116" s="178">
        <f t="shared" si="28"/>
        <v>0</v>
      </c>
      <c r="V116" s="147">
        <f t="shared" si="29"/>
        <v>0</v>
      </c>
      <c r="W116" s="325"/>
      <c r="X116" s="326"/>
      <c r="Y116" s="326"/>
      <c r="Z116" s="326"/>
      <c r="AC116" s="65"/>
      <c r="AD116" s="54"/>
      <c r="AE116" s="55"/>
      <c r="AF116" s="55"/>
      <c r="AG116" s="55"/>
      <c r="AH116" s="56">
        <f t="shared" si="30"/>
        <v>0</v>
      </c>
      <c r="AI116" s="54"/>
      <c r="AJ116" s="55"/>
      <c r="AK116" s="55"/>
      <c r="AL116" s="55"/>
      <c r="AM116" s="56">
        <f t="shared" si="31"/>
        <v>0</v>
      </c>
      <c r="AN116" s="54"/>
      <c r="AO116" s="55"/>
      <c r="AP116" s="55"/>
      <c r="AQ116" s="55"/>
      <c r="AR116" s="56">
        <f t="shared" si="32"/>
        <v>0</v>
      </c>
      <c r="AS116" s="54"/>
      <c r="AT116" s="55"/>
      <c r="AU116" s="55"/>
      <c r="AV116" s="55"/>
      <c r="AW116" s="176">
        <f t="shared" si="33"/>
        <v>0</v>
      </c>
      <c r="AX116" s="56">
        <f t="shared" si="34"/>
        <v>0</v>
      </c>
      <c r="AY116" s="330"/>
      <c r="AZ116" s="332"/>
    </row>
    <row r="117" spans="1:52" x14ac:dyDescent="0.15">
      <c r="A117" s="53"/>
      <c r="B117" s="54"/>
      <c r="C117" s="55"/>
      <c r="D117" s="55"/>
      <c r="E117" s="55"/>
      <c r="F117" s="56">
        <f t="shared" si="25"/>
        <v>0</v>
      </c>
      <c r="G117" s="54"/>
      <c r="H117" s="55"/>
      <c r="I117" s="55"/>
      <c r="J117" s="55"/>
      <c r="K117" s="56">
        <f t="shared" si="26"/>
        <v>0</v>
      </c>
      <c r="L117" s="54"/>
      <c r="M117" s="55"/>
      <c r="N117" s="55"/>
      <c r="O117" s="55"/>
      <c r="P117" s="56">
        <f t="shared" si="27"/>
        <v>0</v>
      </c>
      <c r="Q117" s="54"/>
      <c r="R117" s="55"/>
      <c r="S117" s="55"/>
      <c r="T117" s="55"/>
      <c r="U117" s="176">
        <f t="shared" si="28"/>
        <v>0</v>
      </c>
      <c r="V117" s="147">
        <f t="shared" si="29"/>
        <v>0</v>
      </c>
      <c r="W117" s="325"/>
      <c r="X117" s="326"/>
      <c r="Y117" s="326"/>
      <c r="Z117" s="326"/>
      <c r="AC117" s="65" t="s">
        <v>83</v>
      </c>
      <c r="AD117" s="54"/>
      <c r="AE117" s="55"/>
      <c r="AF117" s="55"/>
      <c r="AG117" s="55"/>
      <c r="AH117" s="56">
        <f t="shared" ref="AH117:AH122" si="35">SUM(AD117:AG117)</f>
        <v>0</v>
      </c>
      <c r="AI117" s="54"/>
      <c r="AJ117" s="55"/>
      <c r="AK117" s="55"/>
      <c r="AL117" s="55"/>
      <c r="AM117" s="56">
        <f t="shared" ref="AM117:AM122" si="36">SUM(AI117:AL117)</f>
        <v>0</v>
      </c>
      <c r="AN117" s="54"/>
      <c r="AO117" s="55"/>
      <c r="AP117" s="55"/>
      <c r="AQ117" s="55"/>
      <c r="AR117" s="56">
        <f t="shared" ref="AR117:AR122" si="37">SUM(AN117:AQ117)</f>
        <v>0</v>
      </c>
      <c r="AS117" s="54"/>
      <c r="AT117" s="55"/>
      <c r="AU117" s="55"/>
      <c r="AV117" s="55"/>
      <c r="AW117" s="176">
        <f t="shared" ref="AW117:AW122" si="38">SUM(AS117:AV117)</f>
        <v>0</v>
      </c>
      <c r="AX117" s="56">
        <f t="shared" si="34"/>
        <v>0</v>
      </c>
      <c r="AY117" s="330" t="s">
        <v>87</v>
      </c>
      <c r="AZ117" s="332"/>
    </row>
    <row r="118" spans="1:52" x14ac:dyDescent="0.15">
      <c r="A118" s="53"/>
      <c r="B118" s="62"/>
      <c r="C118" s="63"/>
      <c r="D118" s="63"/>
      <c r="E118" s="63"/>
      <c r="F118" s="56">
        <f t="shared" si="25"/>
        <v>0</v>
      </c>
      <c r="G118" s="62"/>
      <c r="H118" s="63"/>
      <c r="I118" s="63"/>
      <c r="J118" s="63"/>
      <c r="K118" s="56">
        <f t="shared" si="26"/>
        <v>0</v>
      </c>
      <c r="L118" s="62"/>
      <c r="M118" s="63"/>
      <c r="N118" s="63"/>
      <c r="O118" s="63"/>
      <c r="P118" s="56">
        <f t="shared" si="27"/>
        <v>0</v>
      </c>
      <c r="Q118" s="62"/>
      <c r="R118" s="63"/>
      <c r="S118" s="63"/>
      <c r="T118" s="63"/>
      <c r="U118" s="176">
        <f t="shared" si="28"/>
        <v>0</v>
      </c>
      <c r="V118" s="147">
        <f t="shared" si="29"/>
        <v>0</v>
      </c>
      <c r="W118" s="325"/>
      <c r="X118" s="326"/>
      <c r="Y118" s="326"/>
      <c r="Z118" s="326"/>
      <c r="AC118" s="65" t="s">
        <v>84</v>
      </c>
      <c r="AD118" s="54"/>
      <c r="AE118" s="55"/>
      <c r="AF118" s="55"/>
      <c r="AG118" s="55"/>
      <c r="AH118" s="56">
        <f t="shared" si="35"/>
        <v>0</v>
      </c>
      <c r="AI118" s="54"/>
      <c r="AJ118" s="55"/>
      <c r="AK118" s="55"/>
      <c r="AL118" s="55"/>
      <c r="AM118" s="56">
        <f t="shared" si="36"/>
        <v>0</v>
      </c>
      <c r="AN118" s="54"/>
      <c r="AO118" s="55"/>
      <c r="AP118" s="55"/>
      <c r="AQ118" s="55"/>
      <c r="AR118" s="56">
        <f t="shared" si="37"/>
        <v>0</v>
      </c>
      <c r="AS118" s="54"/>
      <c r="AT118" s="55"/>
      <c r="AU118" s="55"/>
      <c r="AV118" s="55"/>
      <c r="AW118" s="176">
        <f t="shared" si="38"/>
        <v>0</v>
      </c>
      <c r="AX118" s="56">
        <f t="shared" si="34"/>
        <v>0</v>
      </c>
      <c r="AY118" s="330" t="s">
        <v>87</v>
      </c>
      <c r="AZ118" s="332"/>
    </row>
    <row r="119" spans="1:52" x14ac:dyDescent="0.15">
      <c r="A119" s="53"/>
      <c r="B119" s="54"/>
      <c r="C119" s="55"/>
      <c r="D119" s="55"/>
      <c r="E119" s="55"/>
      <c r="F119" s="56">
        <f t="shared" si="25"/>
        <v>0</v>
      </c>
      <c r="G119" s="54"/>
      <c r="H119" s="55"/>
      <c r="I119" s="55"/>
      <c r="J119" s="55"/>
      <c r="K119" s="56">
        <f t="shared" si="26"/>
        <v>0</v>
      </c>
      <c r="L119" s="54"/>
      <c r="M119" s="55"/>
      <c r="N119" s="55"/>
      <c r="O119" s="55"/>
      <c r="P119" s="56">
        <f t="shared" si="27"/>
        <v>0</v>
      </c>
      <c r="Q119" s="54"/>
      <c r="R119" s="55"/>
      <c r="S119" s="55"/>
      <c r="T119" s="55"/>
      <c r="U119" s="176">
        <f t="shared" si="28"/>
        <v>0</v>
      </c>
      <c r="V119" s="147">
        <f t="shared" si="29"/>
        <v>0</v>
      </c>
      <c r="W119" s="325"/>
      <c r="X119" s="326"/>
      <c r="Y119" s="326"/>
      <c r="Z119" s="326"/>
      <c r="AC119" s="67" t="s">
        <v>96</v>
      </c>
      <c r="AD119" s="54"/>
      <c r="AE119" s="55"/>
      <c r="AF119" s="55"/>
      <c r="AG119" s="55"/>
      <c r="AH119" s="56">
        <f t="shared" si="35"/>
        <v>0</v>
      </c>
      <c r="AI119" s="54"/>
      <c r="AJ119" s="55"/>
      <c r="AK119" s="55"/>
      <c r="AL119" s="55"/>
      <c r="AM119" s="56">
        <f t="shared" si="36"/>
        <v>0</v>
      </c>
      <c r="AN119" s="54"/>
      <c r="AO119" s="55"/>
      <c r="AP119" s="55"/>
      <c r="AQ119" s="55"/>
      <c r="AR119" s="56">
        <f t="shared" si="37"/>
        <v>0</v>
      </c>
      <c r="AS119" s="54"/>
      <c r="AT119" s="55"/>
      <c r="AU119" s="55"/>
      <c r="AV119" s="55"/>
      <c r="AW119" s="176">
        <f t="shared" si="38"/>
        <v>0</v>
      </c>
      <c r="AX119" s="56">
        <f t="shared" si="34"/>
        <v>0</v>
      </c>
      <c r="AY119" s="330" t="s">
        <v>85</v>
      </c>
      <c r="AZ119" s="332"/>
    </row>
    <row r="120" spans="1:52" x14ac:dyDescent="0.15">
      <c r="A120" s="53"/>
      <c r="B120" s="54"/>
      <c r="C120" s="55"/>
      <c r="D120" s="55"/>
      <c r="E120" s="55"/>
      <c r="F120" s="56">
        <f t="shared" si="25"/>
        <v>0</v>
      </c>
      <c r="G120" s="54"/>
      <c r="H120" s="55"/>
      <c r="I120" s="55"/>
      <c r="J120" s="55"/>
      <c r="K120" s="56">
        <f t="shared" si="26"/>
        <v>0</v>
      </c>
      <c r="L120" s="54"/>
      <c r="M120" s="55"/>
      <c r="N120" s="55"/>
      <c r="O120" s="55"/>
      <c r="P120" s="56">
        <f t="shared" si="27"/>
        <v>0</v>
      </c>
      <c r="Q120" s="54"/>
      <c r="R120" s="55"/>
      <c r="S120" s="55"/>
      <c r="T120" s="55"/>
      <c r="U120" s="176">
        <f t="shared" si="28"/>
        <v>0</v>
      </c>
      <c r="V120" s="147">
        <f t="shared" si="29"/>
        <v>0</v>
      </c>
      <c r="W120" s="325"/>
      <c r="X120" s="326"/>
      <c r="Y120" s="326"/>
      <c r="Z120" s="326"/>
      <c r="AC120" s="66" t="s">
        <v>95</v>
      </c>
      <c r="AD120" s="33"/>
      <c r="AE120" s="34"/>
      <c r="AF120" s="34"/>
      <c r="AG120" s="34"/>
      <c r="AH120" s="30">
        <f t="shared" si="35"/>
        <v>0</v>
      </c>
      <c r="AI120" s="33"/>
      <c r="AJ120" s="34"/>
      <c r="AK120" s="34"/>
      <c r="AL120" s="34"/>
      <c r="AM120" s="30">
        <f t="shared" si="36"/>
        <v>0</v>
      </c>
      <c r="AN120" s="33"/>
      <c r="AO120" s="34"/>
      <c r="AP120" s="34"/>
      <c r="AQ120" s="34"/>
      <c r="AR120" s="30">
        <f t="shared" si="37"/>
        <v>0</v>
      </c>
      <c r="AS120" s="33"/>
      <c r="AT120" s="34"/>
      <c r="AU120" s="34"/>
      <c r="AV120" s="34"/>
      <c r="AW120" s="178">
        <f t="shared" si="38"/>
        <v>0</v>
      </c>
      <c r="AX120" s="170">
        <f t="shared" si="34"/>
        <v>0</v>
      </c>
      <c r="AY120" s="330" t="s">
        <v>85</v>
      </c>
      <c r="AZ120" s="332"/>
    </row>
    <row r="121" spans="1:52" x14ac:dyDescent="0.15">
      <c r="A121" s="65"/>
      <c r="B121" s="54"/>
      <c r="C121" s="55"/>
      <c r="D121" s="55"/>
      <c r="E121" s="55"/>
      <c r="F121" s="56">
        <f t="shared" si="25"/>
        <v>0</v>
      </c>
      <c r="G121" s="54"/>
      <c r="H121" s="55"/>
      <c r="I121" s="55"/>
      <c r="J121" s="55"/>
      <c r="K121" s="56">
        <f t="shared" si="26"/>
        <v>0</v>
      </c>
      <c r="L121" s="54"/>
      <c r="M121" s="55"/>
      <c r="N121" s="55"/>
      <c r="O121" s="55"/>
      <c r="P121" s="56">
        <f t="shared" si="27"/>
        <v>0</v>
      </c>
      <c r="Q121" s="54"/>
      <c r="R121" s="55"/>
      <c r="S121" s="55"/>
      <c r="T121" s="55"/>
      <c r="U121" s="176">
        <f t="shared" si="28"/>
        <v>0</v>
      </c>
      <c r="V121" s="147">
        <f t="shared" si="29"/>
        <v>0</v>
      </c>
      <c r="W121" s="325"/>
      <c r="X121" s="326"/>
      <c r="Y121" s="326"/>
      <c r="Z121" s="326"/>
      <c r="AC121" s="65" t="s">
        <v>89</v>
      </c>
      <c r="AD121" s="54"/>
      <c r="AE121" s="55"/>
      <c r="AF121" s="55"/>
      <c r="AG121" s="55"/>
      <c r="AH121" s="56">
        <f t="shared" si="35"/>
        <v>0</v>
      </c>
      <c r="AI121" s="54"/>
      <c r="AJ121" s="55"/>
      <c r="AK121" s="55"/>
      <c r="AL121" s="55"/>
      <c r="AM121" s="56">
        <f t="shared" si="36"/>
        <v>0</v>
      </c>
      <c r="AN121" s="54"/>
      <c r="AO121" s="55"/>
      <c r="AP121" s="55"/>
      <c r="AQ121" s="55"/>
      <c r="AR121" s="56">
        <f t="shared" si="37"/>
        <v>0</v>
      </c>
      <c r="AS121" s="54"/>
      <c r="AT121" s="55"/>
      <c r="AU121" s="55"/>
      <c r="AV121" s="55"/>
      <c r="AW121" s="176">
        <f t="shared" si="38"/>
        <v>0</v>
      </c>
      <c r="AX121" s="56">
        <f t="shared" si="34"/>
        <v>0</v>
      </c>
      <c r="AY121" s="330" t="s">
        <v>106</v>
      </c>
      <c r="AZ121" s="332"/>
    </row>
    <row r="122" spans="1:52" ht="14.25" thickBot="1" x14ac:dyDescent="0.2">
      <c r="A122" s="67"/>
      <c r="B122" s="33"/>
      <c r="C122" s="34"/>
      <c r="D122" s="34"/>
      <c r="E122" s="34"/>
      <c r="F122" s="30">
        <f t="shared" si="25"/>
        <v>0</v>
      </c>
      <c r="G122" s="33"/>
      <c r="H122" s="34"/>
      <c r="I122" s="34"/>
      <c r="J122" s="34"/>
      <c r="K122" s="30">
        <f t="shared" si="26"/>
        <v>0</v>
      </c>
      <c r="L122" s="33"/>
      <c r="M122" s="34"/>
      <c r="N122" s="34"/>
      <c r="O122" s="34"/>
      <c r="P122" s="30">
        <f t="shared" si="27"/>
        <v>0</v>
      </c>
      <c r="Q122" s="33"/>
      <c r="R122" s="34"/>
      <c r="S122" s="34"/>
      <c r="T122" s="34"/>
      <c r="U122" s="178">
        <f t="shared" si="28"/>
        <v>0</v>
      </c>
      <c r="V122" s="163">
        <f t="shared" si="29"/>
        <v>0</v>
      </c>
      <c r="W122" s="325"/>
      <c r="X122" s="326"/>
      <c r="Y122" s="326"/>
      <c r="Z122" s="326"/>
      <c r="AC122" s="65" t="s">
        <v>90</v>
      </c>
      <c r="AD122" s="62"/>
      <c r="AE122" s="63"/>
      <c r="AF122" s="63"/>
      <c r="AG122" s="63"/>
      <c r="AH122" s="56">
        <f t="shared" si="35"/>
        <v>0</v>
      </c>
      <c r="AI122" s="62"/>
      <c r="AJ122" s="63"/>
      <c r="AK122" s="63"/>
      <c r="AL122" s="63"/>
      <c r="AM122" s="56">
        <f t="shared" si="36"/>
        <v>0</v>
      </c>
      <c r="AN122" s="62"/>
      <c r="AO122" s="63"/>
      <c r="AP122" s="63"/>
      <c r="AQ122" s="63"/>
      <c r="AR122" s="56">
        <f t="shared" si="37"/>
        <v>0</v>
      </c>
      <c r="AS122" s="62"/>
      <c r="AT122" s="63"/>
      <c r="AU122" s="63"/>
      <c r="AV122" s="63"/>
      <c r="AW122" s="176">
        <f t="shared" si="38"/>
        <v>0</v>
      </c>
      <c r="AX122" s="56">
        <f t="shared" si="34"/>
        <v>0</v>
      </c>
      <c r="AY122" s="330" t="s">
        <v>106</v>
      </c>
      <c r="AZ122" s="332"/>
    </row>
    <row r="123" spans="1:52" ht="15" thickBot="1" x14ac:dyDescent="0.2">
      <c r="A123" s="9" t="s">
        <v>15</v>
      </c>
      <c r="B123" s="36">
        <f>SUM(B97:B122)</f>
        <v>1</v>
      </c>
      <c r="C123" s="37">
        <f>SUM(C97:C122)</f>
        <v>2</v>
      </c>
      <c r="D123" s="37">
        <f>SUM(D97:D122)</f>
        <v>1</v>
      </c>
      <c r="E123" s="38">
        <f>SUM(E97:E122)</f>
        <v>0</v>
      </c>
      <c r="F123" s="25">
        <f t="shared" si="25"/>
        <v>4</v>
      </c>
      <c r="G123" s="36">
        <f>SUM(G97:G122)</f>
        <v>4</v>
      </c>
      <c r="H123" s="37">
        <f>SUM(H97:H122)</f>
        <v>10</v>
      </c>
      <c r="I123" s="37">
        <f>SUM(I97:I122)</f>
        <v>2</v>
      </c>
      <c r="J123" s="38">
        <f>SUM(J97:J122)</f>
        <v>7</v>
      </c>
      <c r="K123" s="25">
        <f t="shared" si="26"/>
        <v>23</v>
      </c>
      <c r="L123" s="36">
        <f>SUM(L97:L122)</f>
        <v>2</v>
      </c>
      <c r="M123" s="37">
        <f>SUM(M97:M122)</f>
        <v>0</v>
      </c>
      <c r="N123" s="37">
        <f>SUM(N97:N122)</f>
        <v>2</v>
      </c>
      <c r="O123" s="38">
        <f>SUM(O97:O122)</f>
        <v>3</v>
      </c>
      <c r="P123" s="25">
        <f t="shared" si="27"/>
        <v>7</v>
      </c>
      <c r="Q123" s="36">
        <f>SUM(Q97:Q122)</f>
        <v>0</v>
      </c>
      <c r="R123" s="37">
        <f>SUM(R97:R122)</f>
        <v>1</v>
      </c>
      <c r="S123" s="37">
        <f>SUM(S97:S122)</f>
        <v>0</v>
      </c>
      <c r="T123" s="38">
        <f>SUM(T97:T122)</f>
        <v>0</v>
      </c>
      <c r="U123" s="36">
        <f t="shared" si="28"/>
        <v>1</v>
      </c>
      <c r="V123" s="77">
        <f t="shared" si="29"/>
        <v>35</v>
      </c>
      <c r="W123" s="325"/>
      <c r="X123" s="326"/>
      <c r="Y123" s="326"/>
      <c r="Z123" s="326"/>
      <c r="AC123" s="9" t="s">
        <v>15</v>
      </c>
      <c r="AD123" s="36">
        <f>SUM(AD97:AD122)</f>
        <v>11</v>
      </c>
      <c r="AE123" s="37">
        <f>SUM(AE97:AE122)</f>
        <v>4</v>
      </c>
      <c r="AF123" s="37">
        <f>SUM(AF97:AF122)</f>
        <v>9</v>
      </c>
      <c r="AG123" s="38">
        <f>SUM(AG97:AG122)</f>
        <v>7</v>
      </c>
      <c r="AH123" s="25">
        <f t="shared" si="30"/>
        <v>31</v>
      </c>
      <c r="AI123" s="36">
        <f>SUM(AI97:AI122)</f>
        <v>18</v>
      </c>
      <c r="AJ123" s="37">
        <f>SUM(AJ97:AJ122)</f>
        <v>45</v>
      </c>
      <c r="AK123" s="37">
        <f>SUM(AK97:AK122)</f>
        <v>11</v>
      </c>
      <c r="AL123" s="38">
        <f>SUM(AL97:AL122)</f>
        <v>19</v>
      </c>
      <c r="AM123" s="25">
        <f t="shared" si="31"/>
        <v>93</v>
      </c>
      <c r="AN123" s="36">
        <f>SUM(AN97:AN122)</f>
        <v>0</v>
      </c>
      <c r="AO123" s="37">
        <f>SUM(AO97:AO122)</f>
        <v>0</v>
      </c>
      <c r="AP123" s="37">
        <f>SUM(AP97:AP122)</f>
        <v>0</v>
      </c>
      <c r="AQ123" s="38">
        <f>SUM(AQ97:AQ122)</f>
        <v>0</v>
      </c>
      <c r="AR123" s="25">
        <f t="shared" si="32"/>
        <v>0</v>
      </c>
      <c r="AS123" s="36">
        <f>SUM(AS97:AS122)</f>
        <v>13</v>
      </c>
      <c r="AT123" s="37">
        <f>SUM(AT97:AT122)</f>
        <v>7</v>
      </c>
      <c r="AU123" s="37">
        <f>SUM(AU97:AU122)</f>
        <v>8</v>
      </c>
      <c r="AV123" s="38">
        <f>SUM(AV97:AV122)</f>
        <v>10</v>
      </c>
      <c r="AW123" s="36">
        <f t="shared" si="33"/>
        <v>38</v>
      </c>
      <c r="AX123" s="77">
        <f t="shared" si="34"/>
        <v>162</v>
      </c>
      <c r="AY123" s="325"/>
      <c r="AZ123" s="326"/>
    </row>
    <row r="124" spans="1:52" ht="14.25" thickBot="1" x14ac:dyDescent="0.2">
      <c r="A124" s="39" t="s">
        <v>16</v>
      </c>
      <c r="B124" s="40">
        <f>B96-B123</f>
        <v>3</v>
      </c>
      <c r="C124" s="41">
        <f>C96-C123</f>
        <v>1</v>
      </c>
      <c r="D124" s="41">
        <f>D96-D123</f>
        <v>5</v>
      </c>
      <c r="E124" s="42">
        <f>E96-E123</f>
        <v>2</v>
      </c>
      <c r="F124" s="171">
        <f t="shared" si="25"/>
        <v>11</v>
      </c>
      <c r="G124" s="40">
        <f>G96-G123</f>
        <v>2</v>
      </c>
      <c r="H124" s="41">
        <f>H96-H123</f>
        <v>4</v>
      </c>
      <c r="I124" s="41">
        <f>I96-I123</f>
        <v>5</v>
      </c>
      <c r="J124" s="42">
        <f>J96-J123</f>
        <v>1</v>
      </c>
      <c r="K124" s="171">
        <f t="shared" si="26"/>
        <v>12</v>
      </c>
      <c r="L124" s="40">
        <f>L96-L123</f>
        <v>3</v>
      </c>
      <c r="M124" s="41">
        <f>M96-M123</f>
        <v>0</v>
      </c>
      <c r="N124" s="41">
        <f>N96-N123</f>
        <v>0</v>
      </c>
      <c r="O124" s="42">
        <f>O96-O123</f>
        <v>0</v>
      </c>
      <c r="P124" s="171">
        <f t="shared" si="27"/>
        <v>3</v>
      </c>
      <c r="Q124" s="40">
        <f>Q96-Q123</f>
        <v>0</v>
      </c>
      <c r="R124" s="41">
        <f>R96-R123</f>
        <v>0</v>
      </c>
      <c r="S124" s="41">
        <f>S96-S123</f>
        <v>0</v>
      </c>
      <c r="T124" s="42">
        <f>T96-T123</f>
        <v>0</v>
      </c>
      <c r="U124" s="177">
        <f t="shared" si="28"/>
        <v>0</v>
      </c>
      <c r="V124" s="77">
        <f t="shared" si="29"/>
        <v>26</v>
      </c>
      <c r="W124" s="325"/>
      <c r="X124" s="326"/>
      <c r="Y124" s="326"/>
      <c r="Z124" s="326"/>
      <c r="AC124" s="39" t="s">
        <v>16</v>
      </c>
      <c r="AD124" s="40">
        <f>AD96-AD123</f>
        <v>229</v>
      </c>
      <c r="AE124" s="41">
        <f>AE96-AE123</f>
        <v>330</v>
      </c>
      <c r="AF124" s="41">
        <f>AF96-AF123</f>
        <v>277</v>
      </c>
      <c r="AG124" s="42">
        <f>AG96-AG123</f>
        <v>199</v>
      </c>
      <c r="AH124" s="171">
        <f t="shared" si="30"/>
        <v>1035</v>
      </c>
      <c r="AI124" s="40">
        <f>AI96-AI123</f>
        <v>280</v>
      </c>
      <c r="AJ124" s="41">
        <f>AJ96-AJ123</f>
        <v>370</v>
      </c>
      <c r="AK124" s="41">
        <f>AK96-AK123</f>
        <v>370</v>
      </c>
      <c r="AL124" s="42">
        <f>AL96-AL123</f>
        <v>228</v>
      </c>
      <c r="AM124" s="171">
        <f t="shared" si="31"/>
        <v>1248</v>
      </c>
      <c r="AN124" s="40">
        <f>AN96-AN123</f>
        <v>19</v>
      </c>
      <c r="AO124" s="41">
        <f>AO96-AO123</f>
        <v>0</v>
      </c>
      <c r="AP124" s="41">
        <f>AP96-AP123</f>
        <v>50</v>
      </c>
      <c r="AQ124" s="42">
        <f>AQ96-AQ123</f>
        <v>14</v>
      </c>
      <c r="AR124" s="171">
        <f t="shared" si="32"/>
        <v>83</v>
      </c>
      <c r="AS124" s="40">
        <f>AS96-AS123</f>
        <v>141</v>
      </c>
      <c r="AT124" s="41">
        <f>AT96-AT123</f>
        <v>160</v>
      </c>
      <c r="AU124" s="41">
        <f>AU96-AU123</f>
        <v>101</v>
      </c>
      <c r="AV124" s="42">
        <f>AV96-AV123</f>
        <v>104</v>
      </c>
      <c r="AW124" s="177">
        <f t="shared" si="33"/>
        <v>506</v>
      </c>
      <c r="AX124" s="77">
        <f t="shared" si="34"/>
        <v>2872</v>
      </c>
      <c r="AY124" s="325"/>
      <c r="AZ124" s="326"/>
    </row>
    <row r="125" spans="1:52" x14ac:dyDescent="0.15">
      <c r="W125" s="325"/>
      <c r="X125" s="326"/>
      <c r="Y125" s="326"/>
      <c r="Z125" s="326"/>
      <c r="AY125" s="325"/>
      <c r="AZ125" s="326"/>
    </row>
    <row r="126" spans="1:52" x14ac:dyDescent="0.15">
      <c r="W126" s="325"/>
      <c r="X126" s="326"/>
      <c r="Y126" s="326"/>
      <c r="Z126" s="326"/>
      <c r="AY126" s="325"/>
      <c r="AZ126" s="326"/>
    </row>
    <row r="127" spans="1:52" ht="19.5" thickBot="1" x14ac:dyDescent="0.25">
      <c r="A127" s="185" t="s">
        <v>19</v>
      </c>
      <c r="B127" s="186"/>
      <c r="C127" s="186"/>
      <c r="D127" s="186"/>
      <c r="E127" s="186"/>
      <c r="F127" s="18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25"/>
      <c r="X127" s="326"/>
      <c r="Y127" s="326"/>
      <c r="Z127" s="326"/>
      <c r="AC127" s="187" t="s">
        <v>73</v>
      </c>
      <c r="AD127" s="188"/>
      <c r="AE127" s="188"/>
      <c r="AF127" s="188"/>
      <c r="AG127" s="188"/>
      <c r="AH127" s="188"/>
      <c r="AI127" s="188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325"/>
      <c r="AZ127" s="326"/>
    </row>
    <row r="128" spans="1:52" ht="14.25" thickBot="1" x14ac:dyDescent="0.2">
      <c r="A128" s="3" t="s">
        <v>0</v>
      </c>
      <c r="B128" s="371" t="s">
        <v>17</v>
      </c>
      <c r="C128" s="372"/>
      <c r="D128" s="372"/>
      <c r="E128" s="372"/>
      <c r="F128" s="373"/>
      <c r="G128" s="371" t="s">
        <v>18</v>
      </c>
      <c r="H128" s="372"/>
      <c r="I128" s="372"/>
      <c r="J128" s="372"/>
      <c r="K128" s="373"/>
      <c r="L128" s="371" t="s">
        <v>38</v>
      </c>
      <c r="M128" s="372"/>
      <c r="N128" s="372"/>
      <c r="O128" s="372"/>
      <c r="P128" s="373"/>
      <c r="Q128" s="371" t="s">
        <v>75</v>
      </c>
      <c r="R128" s="372"/>
      <c r="S128" s="372"/>
      <c r="T128" s="372"/>
      <c r="U128" s="373"/>
      <c r="V128" s="360" t="s">
        <v>1</v>
      </c>
      <c r="W128" s="325"/>
      <c r="X128" s="326"/>
      <c r="Y128" s="326"/>
      <c r="Z128" s="326"/>
      <c r="AC128" s="3" t="s">
        <v>0</v>
      </c>
      <c r="AD128" s="371" t="s">
        <v>17</v>
      </c>
      <c r="AE128" s="372"/>
      <c r="AF128" s="372"/>
      <c r="AG128" s="372"/>
      <c r="AH128" s="373"/>
      <c r="AI128" s="371" t="s">
        <v>18</v>
      </c>
      <c r="AJ128" s="372"/>
      <c r="AK128" s="372"/>
      <c r="AL128" s="372"/>
      <c r="AM128" s="373"/>
      <c r="AN128" s="371" t="s">
        <v>38</v>
      </c>
      <c r="AO128" s="372"/>
      <c r="AP128" s="372"/>
      <c r="AQ128" s="372"/>
      <c r="AR128" s="373"/>
      <c r="AS128" s="371" t="s">
        <v>75</v>
      </c>
      <c r="AT128" s="372"/>
      <c r="AU128" s="372"/>
      <c r="AV128" s="372"/>
      <c r="AW128" s="373"/>
      <c r="AX128" s="360" t="s">
        <v>1</v>
      </c>
      <c r="AY128" s="325"/>
      <c r="AZ128" s="326"/>
    </row>
    <row r="129" spans="1:52" ht="14.25" thickBot="1" x14ac:dyDescent="0.2">
      <c r="A129" s="5" t="s">
        <v>2</v>
      </c>
      <c r="B129" s="6" t="s">
        <v>3</v>
      </c>
      <c r="C129" s="7" t="s">
        <v>4</v>
      </c>
      <c r="D129" s="7" t="s">
        <v>5</v>
      </c>
      <c r="E129" s="8" t="s">
        <v>6</v>
      </c>
      <c r="F129" s="5" t="s">
        <v>7</v>
      </c>
      <c r="G129" s="6" t="s">
        <v>3</v>
      </c>
      <c r="H129" s="7" t="s">
        <v>4</v>
      </c>
      <c r="I129" s="7" t="s">
        <v>5</v>
      </c>
      <c r="J129" s="8" t="s">
        <v>6</v>
      </c>
      <c r="K129" s="5" t="s">
        <v>7</v>
      </c>
      <c r="L129" s="6" t="s">
        <v>3</v>
      </c>
      <c r="M129" s="7" t="s">
        <v>4</v>
      </c>
      <c r="N129" s="7" t="s">
        <v>5</v>
      </c>
      <c r="O129" s="8" t="s">
        <v>6</v>
      </c>
      <c r="P129" s="5" t="s">
        <v>7</v>
      </c>
      <c r="Q129" s="6" t="s">
        <v>3</v>
      </c>
      <c r="R129" s="7" t="s">
        <v>4</v>
      </c>
      <c r="S129" s="7" t="s">
        <v>5</v>
      </c>
      <c r="T129" s="8" t="s">
        <v>6</v>
      </c>
      <c r="U129" s="5" t="s">
        <v>7</v>
      </c>
      <c r="V129" s="361"/>
      <c r="W129" s="325"/>
      <c r="X129" s="326"/>
      <c r="Y129" s="326"/>
      <c r="Z129" s="326"/>
      <c r="AC129" s="5" t="s">
        <v>2</v>
      </c>
      <c r="AD129" s="6" t="s">
        <v>3</v>
      </c>
      <c r="AE129" s="7" t="s">
        <v>4</v>
      </c>
      <c r="AF129" s="7" t="s">
        <v>5</v>
      </c>
      <c r="AG129" s="8" t="s">
        <v>6</v>
      </c>
      <c r="AH129" s="5" t="s">
        <v>7</v>
      </c>
      <c r="AI129" s="6" t="s">
        <v>3</v>
      </c>
      <c r="AJ129" s="7" t="s">
        <v>4</v>
      </c>
      <c r="AK129" s="7" t="s">
        <v>5</v>
      </c>
      <c r="AL129" s="8" t="s">
        <v>6</v>
      </c>
      <c r="AM129" s="5" t="s">
        <v>7</v>
      </c>
      <c r="AN129" s="6" t="s">
        <v>3</v>
      </c>
      <c r="AO129" s="7" t="s">
        <v>4</v>
      </c>
      <c r="AP129" s="7" t="s">
        <v>5</v>
      </c>
      <c r="AQ129" s="8" t="s">
        <v>6</v>
      </c>
      <c r="AR129" s="5" t="s">
        <v>7</v>
      </c>
      <c r="AS129" s="6" t="s">
        <v>3</v>
      </c>
      <c r="AT129" s="7" t="s">
        <v>4</v>
      </c>
      <c r="AU129" s="7" t="s">
        <v>5</v>
      </c>
      <c r="AV129" s="8" t="s">
        <v>6</v>
      </c>
      <c r="AW129" s="5" t="s">
        <v>7</v>
      </c>
      <c r="AX129" s="361"/>
      <c r="AY129" s="325"/>
      <c r="AZ129" s="326"/>
    </row>
    <row r="130" spans="1:52" ht="14.25" x14ac:dyDescent="0.15">
      <c r="A130" s="172" t="s">
        <v>30</v>
      </c>
      <c r="B130" s="70">
        <f>B124</f>
        <v>3</v>
      </c>
      <c r="C130" s="70">
        <f>C124</f>
        <v>1</v>
      </c>
      <c r="D130" s="70">
        <f>D124</f>
        <v>5</v>
      </c>
      <c r="E130" s="165">
        <f>E124</f>
        <v>2</v>
      </c>
      <c r="F130" s="71">
        <f t="shared" ref="F130:F166" si="39">SUM(B130:E130)</f>
        <v>11</v>
      </c>
      <c r="G130" s="70">
        <f>G124</f>
        <v>2</v>
      </c>
      <c r="H130" s="70">
        <f>H124</f>
        <v>4</v>
      </c>
      <c r="I130" s="70">
        <f>I124</f>
        <v>5</v>
      </c>
      <c r="J130" s="165">
        <f>J124</f>
        <v>1</v>
      </c>
      <c r="K130" s="71">
        <f t="shared" ref="K130:K166" si="40">SUM(G130:J130)</f>
        <v>12</v>
      </c>
      <c r="L130" s="70">
        <f>L124</f>
        <v>3</v>
      </c>
      <c r="M130" s="70">
        <f>M124</f>
        <v>0</v>
      </c>
      <c r="N130" s="70">
        <f>N124</f>
        <v>0</v>
      </c>
      <c r="O130" s="165">
        <f>O124</f>
        <v>0</v>
      </c>
      <c r="P130" s="71">
        <f t="shared" ref="P130:P166" si="41">SUM(L130:O130)</f>
        <v>3</v>
      </c>
      <c r="Q130" s="70">
        <f>Q124</f>
        <v>0</v>
      </c>
      <c r="R130" s="70">
        <f>R124</f>
        <v>0</v>
      </c>
      <c r="S130" s="70">
        <f>S124</f>
        <v>0</v>
      </c>
      <c r="T130" s="165">
        <f>T124</f>
        <v>0</v>
      </c>
      <c r="U130" s="174">
        <f t="shared" ref="U130:U166" si="42">SUM(Q130:T130)</f>
        <v>0</v>
      </c>
      <c r="V130" s="71">
        <f t="shared" ref="V130:V166" si="43">F130+K130+P130+U130</f>
        <v>26</v>
      </c>
      <c r="W130" s="325"/>
      <c r="X130" s="326"/>
      <c r="Y130" s="326"/>
      <c r="Z130" s="326"/>
      <c r="AC130" s="172" t="s">
        <v>30</v>
      </c>
      <c r="AD130" s="70">
        <f>AD124</f>
        <v>229</v>
      </c>
      <c r="AE130" s="70">
        <f>AE124</f>
        <v>330</v>
      </c>
      <c r="AF130" s="70">
        <f>AF124</f>
        <v>277</v>
      </c>
      <c r="AG130" s="165">
        <f>AG124</f>
        <v>199</v>
      </c>
      <c r="AH130" s="71">
        <f t="shared" ref="AH130:AH166" si="44">SUM(AD130:AG130)</f>
        <v>1035</v>
      </c>
      <c r="AI130" s="70">
        <f>AI124</f>
        <v>280</v>
      </c>
      <c r="AJ130" s="70">
        <f>AJ124</f>
        <v>370</v>
      </c>
      <c r="AK130" s="70">
        <f>AK124</f>
        <v>370</v>
      </c>
      <c r="AL130" s="165">
        <f>AL124</f>
        <v>228</v>
      </c>
      <c r="AM130" s="71">
        <f t="shared" ref="AM130:AM166" si="45">SUM(AI130:AL130)</f>
        <v>1248</v>
      </c>
      <c r="AN130" s="70">
        <f>AN124</f>
        <v>19</v>
      </c>
      <c r="AO130" s="70">
        <f>AO124</f>
        <v>0</v>
      </c>
      <c r="AP130" s="70">
        <f>AP124</f>
        <v>50</v>
      </c>
      <c r="AQ130" s="165">
        <f>AQ124</f>
        <v>14</v>
      </c>
      <c r="AR130" s="71">
        <f t="shared" ref="AR130:AR166" si="46">SUM(AN130:AQ130)</f>
        <v>83</v>
      </c>
      <c r="AS130" s="70">
        <f>AS124</f>
        <v>141</v>
      </c>
      <c r="AT130" s="70">
        <f>AT124</f>
        <v>160</v>
      </c>
      <c r="AU130" s="70">
        <f>AU124</f>
        <v>101</v>
      </c>
      <c r="AV130" s="165">
        <f>AV124</f>
        <v>104</v>
      </c>
      <c r="AW130" s="174">
        <f t="shared" ref="AW130:AW166" si="47">SUM(AS130:AV130)</f>
        <v>506</v>
      </c>
      <c r="AX130" s="71">
        <f t="shared" ref="AX130:AX166" si="48">AH130+AM130+AR130+AW130</f>
        <v>2872</v>
      </c>
      <c r="AY130" s="325"/>
      <c r="AZ130" s="326"/>
    </row>
    <row r="131" spans="1:52" x14ac:dyDescent="0.15">
      <c r="A131" s="53" t="s">
        <v>28</v>
      </c>
      <c r="B131" s="55"/>
      <c r="C131" s="55">
        <v>2</v>
      </c>
      <c r="D131" s="55"/>
      <c r="E131" s="166"/>
      <c r="F131" s="49">
        <f t="shared" si="39"/>
        <v>2</v>
      </c>
      <c r="G131" s="55"/>
      <c r="H131" s="55">
        <v>2</v>
      </c>
      <c r="I131" s="55"/>
      <c r="J131" s="166">
        <v>2</v>
      </c>
      <c r="K131" s="49">
        <f t="shared" si="40"/>
        <v>4</v>
      </c>
      <c r="L131" s="55"/>
      <c r="M131" s="55"/>
      <c r="N131" s="55">
        <v>2</v>
      </c>
      <c r="O131" s="166"/>
      <c r="P131" s="49">
        <f t="shared" si="41"/>
        <v>2</v>
      </c>
      <c r="Q131" s="55"/>
      <c r="R131" s="55"/>
      <c r="S131" s="55"/>
      <c r="T131" s="166"/>
      <c r="U131" s="175">
        <f t="shared" si="42"/>
        <v>0</v>
      </c>
      <c r="V131" s="56">
        <f t="shared" si="43"/>
        <v>8</v>
      </c>
      <c r="W131" s="329">
        <v>44044</v>
      </c>
      <c r="X131" s="326"/>
      <c r="Y131" s="326"/>
      <c r="Z131" s="326"/>
      <c r="AC131" s="260" t="s">
        <v>184</v>
      </c>
      <c r="AD131" s="261">
        <v>5</v>
      </c>
      <c r="AE131" s="261"/>
      <c r="AF131" s="261"/>
      <c r="AG131" s="262"/>
      <c r="AH131" s="263">
        <f t="shared" si="44"/>
        <v>5</v>
      </c>
      <c r="AI131" s="261">
        <v>-5</v>
      </c>
      <c r="AJ131" s="261"/>
      <c r="AK131" s="261"/>
      <c r="AL131" s="262">
        <v>-1</v>
      </c>
      <c r="AM131" s="263">
        <f t="shared" si="45"/>
        <v>-6</v>
      </c>
      <c r="AN131" s="261"/>
      <c r="AO131" s="261"/>
      <c r="AP131" s="261"/>
      <c r="AQ131" s="262"/>
      <c r="AR131" s="263">
        <f t="shared" si="46"/>
        <v>0</v>
      </c>
      <c r="AS131" s="261"/>
      <c r="AT131" s="261"/>
      <c r="AU131" s="261"/>
      <c r="AV131" s="262"/>
      <c r="AW131" s="264">
        <f t="shared" si="47"/>
        <v>0</v>
      </c>
      <c r="AX131" s="265">
        <f t="shared" si="48"/>
        <v>-1</v>
      </c>
      <c r="AY131" s="331">
        <v>44044</v>
      </c>
      <c r="AZ131" s="326"/>
    </row>
    <row r="132" spans="1:52" x14ac:dyDescent="0.15">
      <c r="A132" s="53" t="s">
        <v>28</v>
      </c>
      <c r="B132" s="55"/>
      <c r="C132" s="55"/>
      <c r="D132" s="55"/>
      <c r="E132" s="166"/>
      <c r="F132" s="49">
        <f t="shared" si="39"/>
        <v>0</v>
      </c>
      <c r="G132" s="55">
        <v>2</v>
      </c>
      <c r="H132" s="55">
        <v>2</v>
      </c>
      <c r="I132" s="55"/>
      <c r="J132" s="166"/>
      <c r="K132" s="49">
        <f t="shared" si="40"/>
        <v>4</v>
      </c>
      <c r="L132" s="55"/>
      <c r="M132" s="55"/>
      <c r="N132" s="55"/>
      <c r="O132" s="166"/>
      <c r="P132" s="49">
        <f t="shared" si="41"/>
        <v>0</v>
      </c>
      <c r="Q132" s="55"/>
      <c r="R132" s="55"/>
      <c r="S132" s="55"/>
      <c r="T132" s="166"/>
      <c r="U132" s="175">
        <f t="shared" si="42"/>
        <v>0</v>
      </c>
      <c r="V132" s="56">
        <f t="shared" si="43"/>
        <v>4</v>
      </c>
      <c r="W132" s="329">
        <v>44047</v>
      </c>
      <c r="X132" s="326"/>
      <c r="Y132" s="326"/>
      <c r="Z132" s="326"/>
      <c r="AC132" s="53" t="s">
        <v>21</v>
      </c>
      <c r="AD132" s="55"/>
      <c r="AE132" s="153"/>
      <c r="AF132" s="153"/>
      <c r="AG132" s="168"/>
      <c r="AH132" s="56">
        <f t="shared" si="44"/>
        <v>0</v>
      </c>
      <c r="AI132" s="55"/>
      <c r="AJ132" s="153"/>
      <c r="AK132" s="153"/>
      <c r="AL132" s="168"/>
      <c r="AM132" s="56">
        <f t="shared" si="45"/>
        <v>0</v>
      </c>
      <c r="AN132" s="55"/>
      <c r="AO132" s="153"/>
      <c r="AP132" s="153"/>
      <c r="AQ132" s="168"/>
      <c r="AR132" s="56">
        <f t="shared" si="46"/>
        <v>0</v>
      </c>
      <c r="AS132" s="55"/>
      <c r="AT132" s="153"/>
      <c r="AU132" s="153">
        <v>1</v>
      </c>
      <c r="AV132" s="168"/>
      <c r="AW132" s="176">
        <f t="shared" si="47"/>
        <v>1</v>
      </c>
      <c r="AX132" s="56">
        <f t="shared" si="48"/>
        <v>1</v>
      </c>
      <c r="AY132" s="329">
        <v>44055</v>
      </c>
      <c r="AZ132" s="326"/>
    </row>
    <row r="133" spans="1:52" x14ac:dyDescent="0.15">
      <c r="A133" s="53" t="s">
        <v>29</v>
      </c>
      <c r="B133" s="55"/>
      <c r="C133" s="55"/>
      <c r="D133" s="55"/>
      <c r="E133" s="166"/>
      <c r="F133" s="49">
        <f t="shared" si="39"/>
        <v>0</v>
      </c>
      <c r="G133" s="55"/>
      <c r="H133" s="55"/>
      <c r="I133" s="55"/>
      <c r="J133" s="166"/>
      <c r="K133" s="49">
        <f t="shared" si="40"/>
        <v>0</v>
      </c>
      <c r="L133" s="55"/>
      <c r="M133" s="55"/>
      <c r="N133" s="55"/>
      <c r="O133" s="166"/>
      <c r="P133" s="49">
        <f t="shared" si="41"/>
        <v>0</v>
      </c>
      <c r="Q133" s="55"/>
      <c r="R133" s="55"/>
      <c r="S133" s="55">
        <v>1</v>
      </c>
      <c r="T133" s="166"/>
      <c r="U133" s="175">
        <f t="shared" si="42"/>
        <v>1</v>
      </c>
      <c r="V133" s="56">
        <f t="shared" si="43"/>
        <v>1</v>
      </c>
      <c r="W133" s="328">
        <v>44054</v>
      </c>
      <c r="X133" s="326"/>
      <c r="Y133" s="326"/>
      <c r="Z133" s="326"/>
      <c r="AC133" s="53" t="s">
        <v>21</v>
      </c>
      <c r="AD133" s="55">
        <v>1</v>
      </c>
      <c r="AE133" s="153">
        <v>1</v>
      </c>
      <c r="AF133" s="153">
        <v>2</v>
      </c>
      <c r="AG133" s="168">
        <v>1</v>
      </c>
      <c r="AH133" s="56">
        <f t="shared" si="44"/>
        <v>5</v>
      </c>
      <c r="AI133" s="55"/>
      <c r="AJ133" s="153">
        <v>1</v>
      </c>
      <c r="AK133" s="153">
        <v>3</v>
      </c>
      <c r="AL133" s="168">
        <v>1</v>
      </c>
      <c r="AM133" s="56">
        <f t="shared" si="45"/>
        <v>5</v>
      </c>
      <c r="AN133" s="55"/>
      <c r="AO133" s="153"/>
      <c r="AP133" s="153"/>
      <c r="AQ133" s="168"/>
      <c r="AR133" s="56">
        <f t="shared" si="46"/>
        <v>0</v>
      </c>
      <c r="AS133" s="55"/>
      <c r="AT133" s="153"/>
      <c r="AU133" s="153"/>
      <c r="AV133" s="168"/>
      <c r="AW133" s="176">
        <f t="shared" si="47"/>
        <v>0</v>
      </c>
      <c r="AX133" s="56">
        <f t="shared" si="48"/>
        <v>10</v>
      </c>
      <c r="AY133" s="329">
        <v>44065</v>
      </c>
      <c r="AZ133" s="326"/>
    </row>
    <row r="134" spans="1:52" x14ac:dyDescent="0.15">
      <c r="A134" s="53" t="s">
        <v>28</v>
      </c>
      <c r="B134" s="63"/>
      <c r="C134" s="63"/>
      <c r="D134" s="63"/>
      <c r="E134" s="167"/>
      <c r="F134" s="64">
        <f t="shared" si="39"/>
        <v>0</v>
      </c>
      <c r="G134" s="63">
        <v>2</v>
      </c>
      <c r="H134" s="63"/>
      <c r="I134" s="63"/>
      <c r="J134" s="167"/>
      <c r="K134" s="64">
        <f t="shared" si="40"/>
        <v>2</v>
      </c>
      <c r="L134" s="63"/>
      <c r="M134" s="63"/>
      <c r="N134" s="63"/>
      <c r="O134" s="167"/>
      <c r="P134" s="64">
        <f t="shared" si="41"/>
        <v>0</v>
      </c>
      <c r="Q134" s="63"/>
      <c r="R134" s="63"/>
      <c r="S134" s="63"/>
      <c r="T134" s="167"/>
      <c r="U134" s="162">
        <f t="shared" si="42"/>
        <v>0</v>
      </c>
      <c r="V134" s="56">
        <f t="shared" si="43"/>
        <v>2</v>
      </c>
      <c r="W134" s="329">
        <v>44055</v>
      </c>
      <c r="X134" s="326"/>
      <c r="Y134" s="326"/>
      <c r="Z134" s="326"/>
      <c r="AC134" s="53" t="s">
        <v>21</v>
      </c>
      <c r="AD134" s="63"/>
      <c r="AE134" s="63"/>
      <c r="AF134" s="63"/>
      <c r="AG134" s="167"/>
      <c r="AH134" s="64">
        <f t="shared" si="44"/>
        <v>0</v>
      </c>
      <c r="AI134" s="63"/>
      <c r="AJ134" s="63"/>
      <c r="AK134" s="63"/>
      <c r="AL134" s="167"/>
      <c r="AM134" s="64">
        <f t="shared" si="45"/>
        <v>0</v>
      </c>
      <c r="AN134" s="63"/>
      <c r="AO134" s="63"/>
      <c r="AP134" s="63"/>
      <c r="AQ134" s="167"/>
      <c r="AR134" s="64">
        <f t="shared" si="46"/>
        <v>0</v>
      </c>
      <c r="AS134" s="63"/>
      <c r="AT134" s="63">
        <v>2</v>
      </c>
      <c r="AU134" s="63"/>
      <c r="AV134" s="167"/>
      <c r="AW134" s="162">
        <f t="shared" si="47"/>
        <v>2</v>
      </c>
      <c r="AX134" s="56">
        <f t="shared" si="48"/>
        <v>2</v>
      </c>
      <c r="AY134" s="329">
        <v>44072</v>
      </c>
      <c r="AZ134" s="326"/>
    </row>
    <row r="135" spans="1:52" x14ac:dyDescent="0.15">
      <c r="A135" s="53" t="s">
        <v>28</v>
      </c>
      <c r="B135" s="55"/>
      <c r="C135" s="153"/>
      <c r="D135" s="153"/>
      <c r="E135" s="168"/>
      <c r="F135" s="56">
        <f t="shared" si="39"/>
        <v>0</v>
      </c>
      <c r="G135" s="55"/>
      <c r="H135" s="153">
        <v>3</v>
      </c>
      <c r="I135" s="153"/>
      <c r="J135" s="168"/>
      <c r="K135" s="56">
        <f t="shared" si="40"/>
        <v>3</v>
      </c>
      <c r="L135" s="55"/>
      <c r="M135" s="153"/>
      <c r="N135" s="153">
        <v>2</v>
      </c>
      <c r="O135" s="168">
        <v>3</v>
      </c>
      <c r="P135" s="56">
        <f t="shared" si="41"/>
        <v>5</v>
      </c>
      <c r="Q135" s="55"/>
      <c r="R135" s="153"/>
      <c r="S135" s="153"/>
      <c r="T135" s="168"/>
      <c r="U135" s="176">
        <f t="shared" si="42"/>
        <v>0</v>
      </c>
      <c r="V135" s="56">
        <f t="shared" si="43"/>
        <v>8</v>
      </c>
      <c r="W135" s="329">
        <v>44061</v>
      </c>
      <c r="X135" s="326"/>
      <c r="Y135" s="326"/>
      <c r="Z135" s="326"/>
      <c r="AC135" s="53" t="s">
        <v>28</v>
      </c>
      <c r="AD135" s="55"/>
      <c r="AE135" s="153"/>
      <c r="AF135" s="153"/>
      <c r="AG135" s="168"/>
      <c r="AH135" s="56">
        <f t="shared" si="44"/>
        <v>0</v>
      </c>
      <c r="AI135" s="55"/>
      <c r="AJ135" s="153"/>
      <c r="AK135" s="153"/>
      <c r="AL135" s="168"/>
      <c r="AM135" s="56">
        <f t="shared" si="45"/>
        <v>0</v>
      </c>
      <c r="AN135" s="55"/>
      <c r="AO135" s="153"/>
      <c r="AP135" s="153"/>
      <c r="AQ135" s="168"/>
      <c r="AR135" s="56">
        <f t="shared" si="46"/>
        <v>0</v>
      </c>
      <c r="AS135" s="55"/>
      <c r="AT135" s="153"/>
      <c r="AU135" s="153"/>
      <c r="AV135" s="168"/>
      <c r="AW135" s="176">
        <f t="shared" si="47"/>
        <v>0</v>
      </c>
      <c r="AX135" s="56">
        <f t="shared" si="48"/>
        <v>0</v>
      </c>
      <c r="AY135" s="330"/>
      <c r="AZ135" s="326"/>
    </row>
    <row r="136" spans="1:52" x14ac:dyDescent="0.15">
      <c r="A136" s="53" t="s">
        <v>149</v>
      </c>
      <c r="B136" s="55">
        <v>1</v>
      </c>
      <c r="C136" s="153">
        <v>1</v>
      </c>
      <c r="D136" s="153">
        <v>2</v>
      </c>
      <c r="E136" s="168">
        <v>1</v>
      </c>
      <c r="F136" s="56">
        <f t="shared" si="39"/>
        <v>5</v>
      </c>
      <c r="G136" s="55"/>
      <c r="H136" s="153">
        <v>1</v>
      </c>
      <c r="I136" s="153">
        <v>3</v>
      </c>
      <c r="J136" s="168">
        <v>1</v>
      </c>
      <c r="K136" s="56">
        <f t="shared" si="40"/>
        <v>5</v>
      </c>
      <c r="L136" s="55"/>
      <c r="M136" s="153"/>
      <c r="N136" s="153"/>
      <c r="O136" s="168"/>
      <c r="P136" s="56">
        <f t="shared" si="41"/>
        <v>0</v>
      </c>
      <c r="Q136" s="55"/>
      <c r="R136" s="153"/>
      <c r="S136" s="153"/>
      <c r="T136" s="168"/>
      <c r="U136" s="176">
        <f t="shared" si="42"/>
        <v>0</v>
      </c>
      <c r="V136" s="56">
        <f t="shared" si="43"/>
        <v>10</v>
      </c>
      <c r="W136" s="329">
        <v>44061</v>
      </c>
      <c r="X136" s="326"/>
      <c r="Y136" s="326"/>
      <c r="Z136" s="326"/>
      <c r="AC136" s="53" t="s">
        <v>28</v>
      </c>
      <c r="AD136" s="55"/>
      <c r="AE136" s="153"/>
      <c r="AF136" s="153"/>
      <c r="AG136" s="168"/>
      <c r="AH136" s="56">
        <f t="shared" si="44"/>
        <v>0</v>
      </c>
      <c r="AI136" s="55"/>
      <c r="AJ136" s="153"/>
      <c r="AK136" s="153"/>
      <c r="AL136" s="168"/>
      <c r="AM136" s="56">
        <f t="shared" si="45"/>
        <v>0</v>
      </c>
      <c r="AN136" s="55"/>
      <c r="AO136" s="153"/>
      <c r="AP136" s="153"/>
      <c r="AQ136" s="168"/>
      <c r="AR136" s="56">
        <f t="shared" si="46"/>
        <v>0</v>
      </c>
      <c r="AS136" s="55"/>
      <c r="AT136" s="153"/>
      <c r="AU136" s="153"/>
      <c r="AV136" s="168"/>
      <c r="AW136" s="176">
        <f t="shared" si="47"/>
        <v>0</v>
      </c>
      <c r="AX136" s="56">
        <f t="shared" si="48"/>
        <v>0</v>
      </c>
      <c r="AY136" s="330"/>
      <c r="AZ136" s="326"/>
    </row>
    <row r="137" spans="1:52" ht="14.25" thickBot="1" x14ac:dyDescent="0.2">
      <c r="A137" s="53" t="s">
        <v>29</v>
      </c>
      <c r="B137" s="63"/>
      <c r="C137" s="164">
        <v>1</v>
      </c>
      <c r="D137" s="164"/>
      <c r="E137" s="169"/>
      <c r="F137" s="170">
        <f t="shared" si="39"/>
        <v>1</v>
      </c>
      <c r="G137" s="63">
        <v>1</v>
      </c>
      <c r="H137" s="164"/>
      <c r="I137" s="164"/>
      <c r="J137" s="169"/>
      <c r="K137" s="170">
        <f t="shared" si="40"/>
        <v>1</v>
      </c>
      <c r="L137" s="63"/>
      <c r="M137" s="164"/>
      <c r="N137" s="164"/>
      <c r="O137" s="169"/>
      <c r="P137" s="170">
        <f t="shared" si="41"/>
        <v>0</v>
      </c>
      <c r="Q137" s="63"/>
      <c r="R137" s="164">
        <v>2</v>
      </c>
      <c r="S137" s="164"/>
      <c r="T137" s="169"/>
      <c r="U137" s="179">
        <f t="shared" si="42"/>
        <v>2</v>
      </c>
      <c r="V137" s="170">
        <f t="shared" si="43"/>
        <v>4</v>
      </c>
      <c r="W137" s="330"/>
      <c r="X137" s="326"/>
      <c r="Y137" s="326"/>
      <c r="Z137" s="326"/>
      <c r="AC137" s="173" t="s">
        <v>28</v>
      </c>
      <c r="AD137" s="63"/>
      <c r="AE137" s="164"/>
      <c r="AF137" s="164"/>
      <c r="AG137" s="169"/>
      <c r="AH137" s="170">
        <f t="shared" si="44"/>
        <v>0</v>
      </c>
      <c r="AI137" s="63"/>
      <c r="AJ137" s="164"/>
      <c r="AK137" s="164"/>
      <c r="AL137" s="169"/>
      <c r="AM137" s="170">
        <f t="shared" si="45"/>
        <v>0</v>
      </c>
      <c r="AN137" s="63"/>
      <c r="AO137" s="164"/>
      <c r="AP137" s="164"/>
      <c r="AQ137" s="169"/>
      <c r="AR137" s="170">
        <f t="shared" si="46"/>
        <v>0</v>
      </c>
      <c r="AS137" s="63"/>
      <c r="AT137" s="164"/>
      <c r="AU137" s="164"/>
      <c r="AV137" s="169"/>
      <c r="AW137" s="179">
        <f t="shared" si="47"/>
        <v>0</v>
      </c>
      <c r="AX137" s="170">
        <f t="shared" si="48"/>
        <v>0</v>
      </c>
      <c r="AY137" s="330"/>
      <c r="AZ137" s="326"/>
    </row>
    <row r="138" spans="1:52" ht="15" thickBot="1" x14ac:dyDescent="0.2">
      <c r="A138" s="181" t="s">
        <v>14</v>
      </c>
      <c r="B138" s="182">
        <f>SUM(B130:B137)</f>
        <v>4</v>
      </c>
      <c r="C138" s="183">
        <f>SUM(C130:C137)</f>
        <v>5</v>
      </c>
      <c r="D138" s="183">
        <f>SUM(D130:D137)</f>
        <v>7</v>
      </c>
      <c r="E138" s="184">
        <f>SUM(E130:E137)</f>
        <v>3</v>
      </c>
      <c r="F138" s="77">
        <f t="shared" si="39"/>
        <v>19</v>
      </c>
      <c r="G138" s="182">
        <f>SUM(G130:G137)</f>
        <v>7</v>
      </c>
      <c r="H138" s="183">
        <f>SUM(H130:H137)</f>
        <v>12</v>
      </c>
      <c r="I138" s="183">
        <f>SUM(I130:I137)</f>
        <v>8</v>
      </c>
      <c r="J138" s="184">
        <f>SUM(J130:J137)</f>
        <v>4</v>
      </c>
      <c r="K138" s="77">
        <f t="shared" si="40"/>
        <v>31</v>
      </c>
      <c r="L138" s="182">
        <f>SUM(L130:L137)</f>
        <v>3</v>
      </c>
      <c r="M138" s="183">
        <f>SUM(M130:M137)</f>
        <v>0</v>
      </c>
      <c r="N138" s="183">
        <f>SUM(N130:N137)</f>
        <v>4</v>
      </c>
      <c r="O138" s="184">
        <f>SUM(O130:O137)</f>
        <v>3</v>
      </c>
      <c r="P138" s="77">
        <f t="shared" si="41"/>
        <v>10</v>
      </c>
      <c r="Q138" s="182">
        <f>SUM(Q130:Q137)</f>
        <v>0</v>
      </c>
      <c r="R138" s="183">
        <f>SUM(R130:R137)</f>
        <v>2</v>
      </c>
      <c r="S138" s="183">
        <f>SUM(S130:S137)</f>
        <v>1</v>
      </c>
      <c r="T138" s="184">
        <f>SUM(T130:T137)</f>
        <v>0</v>
      </c>
      <c r="U138" s="182">
        <f t="shared" si="42"/>
        <v>3</v>
      </c>
      <c r="V138" s="77">
        <f t="shared" si="43"/>
        <v>63</v>
      </c>
      <c r="W138" s="325"/>
      <c r="X138" s="326"/>
      <c r="Y138" s="326"/>
      <c r="Z138" s="326"/>
      <c r="AC138" s="181" t="s">
        <v>14</v>
      </c>
      <c r="AD138" s="182">
        <f>SUM(AD130:AD137)</f>
        <v>235</v>
      </c>
      <c r="AE138" s="183">
        <f>SUM(AE130:AE137)</f>
        <v>331</v>
      </c>
      <c r="AF138" s="183">
        <f>SUM(AF130:AF137)</f>
        <v>279</v>
      </c>
      <c r="AG138" s="184">
        <f>SUM(AG130:AG137)</f>
        <v>200</v>
      </c>
      <c r="AH138" s="77">
        <f t="shared" si="44"/>
        <v>1045</v>
      </c>
      <c r="AI138" s="182">
        <f>SUM(AI130:AI137)</f>
        <v>275</v>
      </c>
      <c r="AJ138" s="183">
        <f>SUM(AJ130:AJ137)</f>
        <v>371</v>
      </c>
      <c r="AK138" s="183">
        <f>SUM(AK130:AK137)</f>
        <v>373</v>
      </c>
      <c r="AL138" s="184">
        <f>SUM(AL130:AL137)</f>
        <v>228</v>
      </c>
      <c r="AM138" s="77">
        <f t="shared" si="45"/>
        <v>1247</v>
      </c>
      <c r="AN138" s="182">
        <f>SUM(AN130:AN137)</f>
        <v>19</v>
      </c>
      <c r="AO138" s="183">
        <f>SUM(AO130:AO137)</f>
        <v>0</v>
      </c>
      <c r="AP138" s="183">
        <f>SUM(AP130:AP137)</f>
        <v>50</v>
      </c>
      <c r="AQ138" s="184">
        <f>SUM(AQ130:AQ137)</f>
        <v>14</v>
      </c>
      <c r="AR138" s="77">
        <f t="shared" si="46"/>
        <v>83</v>
      </c>
      <c r="AS138" s="182">
        <f>SUM(AS130:AS137)</f>
        <v>141</v>
      </c>
      <c r="AT138" s="183">
        <f>SUM(AT130:AT137)</f>
        <v>162</v>
      </c>
      <c r="AU138" s="183">
        <f>SUM(AU130:AU137)</f>
        <v>102</v>
      </c>
      <c r="AV138" s="184">
        <f>SUM(AV130:AV137)</f>
        <v>104</v>
      </c>
      <c r="AW138" s="182">
        <f t="shared" si="47"/>
        <v>509</v>
      </c>
      <c r="AX138" s="77">
        <f t="shared" si="48"/>
        <v>2884</v>
      </c>
      <c r="AY138" s="325"/>
      <c r="AZ138" s="326"/>
    </row>
    <row r="139" spans="1:52" x14ac:dyDescent="0.15">
      <c r="A139" s="53" t="s">
        <v>178</v>
      </c>
      <c r="B139" s="46"/>
      <c r="C139" s="47"/>
      <c r="D139" s="47"/>
      <c r="E139" s="47"/>
      <c r="F139" s="48">
        <f t="shared" si="39"/>
        <v>0</v>
      </c>
      <c r="G139" s="46"/>
      <c r="H139" s="47">
        <v>2</v>
      </c>
      <c r="I139" s="47"/>
      <c r="J139" s="47"/>
      <c r="K139" s="48">
        <f t="shared" si="40"/>
        <v>2</v>
      </c>
      <c r="L139" s="46"/>
      <c r="M139" s="47"/>
      <c r="N139" s="47"/>
      <c r="O139" s="47"/>
      <c r="P139" s="48">
        <f t="shared" si="41"/>
        <v>0</v>
      </c>
      <c r="Q139" s="46"/>
      <c r="R139" s="47"/>
      <c r="S139" s="47"/>
      <c r="T139" s="47"/>
      <c r="U139" s="180">
        <f t="shared" si="42"/>
        <v>0</v>
      </c>
      <c r="V139" s="49">
        <f t="shared" si="43"/>
        <v>2</v>
      </c>
      <c r="W139" s="329">
        <v>44044</v>
      </c>
      <c r="X139" s="326"/>
      <c r="Y139" s="326"/>
      <c r="Z139" s="326"/>
      <c r="AC139" s="66" t="s">
        <v>182</v>
      </c>
      <c r="AD139" s="46"/>
      <c r="AE139" s="47"/>
      <c r="AF139" s="47"/>
      <c r="AG139" s="47"/>
      <c r="AH139" s="48">
        <f t="shared" si="44"/>
        <v>0</v>
      </c>
      <c r="AI139" s="46"/>
      <c r="AJ139" s="47">
        <v>3</v>
      </c>
      <c r="AK139" s="47"/>
      <c r="AL139" s="47"/>
      <c r="AM139" s="48">
        <f t="shared" si="45"/>
        <v>3</v>
      </c>
      <c r="AN139" s="46"/>
      <c r="AO139" s="47"/>
      <c r="AP139" s="47"/>
      <c r="AQ139" s="47"/>
      <c r="AR139" s="48">
        <f t="shared" si="46"/>
        <v>0</v>
      </c>
      <c r="AS139" s="46"/>
      <c r="AT139" s="47"/>
      <c r="AU139" s="47"/>
      <c r="AV139" s="47"/>
      <c r="AW139" s="180">
        <f t="shared" si="47"/>
        <v>0</v>
      </c>
      <c r="AX139" s="49">
        <f t="shared" si="48"/>
        <v>3</v>
      </c>
      <c r="AY139" s="329">
        <v>44049</v>
      </c>
      <c r="AZ139" s="326"/>
    </row>
    <row r="140" spans="1:52" x14ac:dyDescent="0.15">
      <c r="A140" s="53" t="s">
        <v>183</v>
      </c>
      <c r="B140" s="54"/>
      <c r="C140" s="55"/>
      <c r="D140" s="55"/>
      <c r="E140" s="55"/>
      <c r="F140" s="56">
        <f t="shared" si="39"/>
        <v>0</v>
      </c>
      <c r="G140" s="54"/>
      <c r="H140" s="55">
        <v>1</v>
      </c>
      <c r="I140" s="55"/>
      <c r="J140" s="55"/>
      <c r="K140" s="56">
        <f t="shared" si="40"/>
        <v>1</v>
      </c>
      <c r="L140" s="54"/>
      <c r="M140" s="55"/>
      <c r="N140" s="55"/>
      <c r="O140" s="55"/>
      <c r="P140" s="56">
        <f t="shared" si="41"/>
        <v>0</v>
      </c>
      <c r="Q140" s="54"/>
      <c r="R140" s="55"/>
      <c r="S140" s="55"/>
      <c r="T140" s="55"/>
      <c r="U140" s="176">
        <f t="shared" si="42"/>
        <v>0</v>
      </c>
      <c r="V140" s="56">
        <f t="shared" si="43"/>
        <v>1</v>
      </c>
      <c r="W140" s="328">
        <v>44043</v>
      </c>
      <c r="X140" s="326"/>
      <c r="Y140" s="326"/>
      <c r="Z140" s="326"/>
      <c r="AC140" s="65" t="s">
        <v>99</v>
      </c>
      <c r="AD140" s="54"/>
      <c r="AE140" s="55">
        <v>2</v>
      </c>
      <c r="AF140" s="55"/>
      <c r="AG140" s="55"/>
      <c r="AH140" s="56">
        <f t="shared" si="44"/>
        <v>2</v>
      </c>
      <c r="AI140" s="54"/>
      <c r="AJ140" s="55">
        <v>2</v>
      </c>
      <c r="AK140" s="55"/>
      <c r="AL140" s="55">
        <v>2</v>
      </c>
      <c r="AM140" s="56">
        <f t="shared" si="45"/>
        <v>4</v>
      </c>
      <c r="AN140" s="54"/>
      <c r="AO140" s="55"/>
      <c r="AP140" s="55">
        <v>2</v>
      </c>
      <c r="AQ140" s="55"/>
      <c r="AR140" s="56">
        <f t="shared" si="46"/>
        <v>2</v>
      </c>
      <c r="AS140" s="54"/>
      <c r="AT140" s="55"/>
      <c r="AU140" s="55"/>
      <c r="AV140" s="55"/>
      <c r="AW140" s="176">
        <f t="shared" si="47"/>
        <v>0</v>
      </c>
      <c r="AX140" s="56">
        <f t="shared" si="48"/>
        <v>8</v>
      </c>
      <c r="AY140" s="329">
        <v>44044</v>
      </c>
      <c r="AZ140" s="332"/>
    </row>
    <row r="141" spans="1:52" x14ac:dyDescent="0.15">
      <c r="A141" s="53" t="s">
        <v>178</v>
      </c>
      <c r="B141" s="54"/>
      <c r="C141" s="55"/>
      <c r="D141" s="55"/>
      <c r="E141" s="55"/>
      <c r="F141" s="56">
        <f t="shared" si="39"/>
        <v>0</v>
      </c>
      <c r="G141" s="54"/>
      <c r="H141" s="55">
        <v>1</v>
      </c>
      <c r="I141" s="55">
        <v>1</v>
      </c>
      <c r="J141" s="55"/>
      <c r="K141" s="56">
        <f t="shared" si="40"/>
        <v>2</v>
      </c>
      <c r="L141" s="54">
        <v>1</v>
      </c>
      <c r="M141" s="55"/>
      <c r="N141" s="55"/>
      <c r="O141" s="55"/>
      <c r="P141" s="56">
        <f t="shared" si="41"/>
        <v>1</v>
      </c>
      <c r="Q141" s="54"/>
      <c r="R141" s="55"/>
      <c r="S141" s="55"/>
      <c r="T141" s="55"/>
      <c r="U141" s="176">
        <f t="shared" si="42"/>
        <v>0</v>
      </c>
      <c r="V141" s="56">
        <f t="shared" si="43"/>
        <v>3</v>
      </c>
      <c r="W141" s="329">
        <v>44047</v>
      </c>
      <c r="X141" s="326"/>
      <c r="Y141" s="326"/>
      <c r="Z141" s="326"/>
      <c r="AC141" s="65" t="s">
        <v>185</v>
      </c>
      <c r="AD141" s="54"/>
      <c r="AE141" s="55"/>
      <c r="AF141" s="55"/>
      <c r="AG141" s="55"/>
      <c r="AH141" s="56">
        <f t="shared" si="44"/>
        <v>0</v>
      </c>
      <c r="AI141" s="54">
        <v>2</v>
      </c>
      <c r="AJ141" s="55"/>
      <c r="AK141" s="55"/>
      <c r="AL141" s="55"/>
      <c r="AM141" s="56">
        <f t="shared" si="45"/>
        <v>2</v>
      </c>
      <c r="AN141" s="54"/>
      <c r="AO141" s="55"/>
      <c r="AP141" s="55"/>
      <c r="AQ141" s="55"/>
      <c r="AR141" s="56">
        <f t="shared" si="46"/>
        <v>0</v>
      </c>
      <c r="AS141" s="54"/>
      <c r="AT141" s="55"/>
      <c r="AU141" s="55"/>
      <c r="AV141" s="55"/>
      <c r="AW141" s="176">
        <f t="shared" si="47"/>
        <v>0</v>
      </c>
      <c r="AX141" s="56">
        <f t="shared" si="48"/>
        <v>2</v>
      </c>
      <c r="AY141" s="329">
        <v>44050</v>
      </c>
      <c r="AZ141" s="326"/>
    </row>
    <row r="142" spans="1:52" x14ac:dyDescent="0.15">
      <c r="A142" s="53" t="s">
        <v>98</v>
      </c>
      <c r="B142" s="54"/>
      <c r="C142" s="55"/>
      <c r="D142" s="55"/>
      <c r="E142" s="55"/>
      <c r="F142" s="56">
        <f t="shared" si="39"/>
        <v>0</v>
      </c>
      <c r="G142" s="54">
        <v>1</v>
      </c>
      <c r="H142" s="55"/>
      <c r="I142" s="55"/>
      <c r="J142" s="55"/>
      <c r="K142" s="56">
        <f t="shared" si="40"/>
        <v>1</v>
      </c>
      <c r="L142" s="54"/>
      <c r="M142" s="55"/>
      <c r="N142" s="55"/>
      <c r="O142" s="55"/>
      <c r="P142" s="56">
        <f t="shared" si="41"/>
        <v>0</v>
      </c>
      <c r="Q142" s="54"/>
      <c r="R142" s="55"/>
      <c r="S142" s="55"/>
      <c r="T142" s="55"/>
      <c r="U142" s="176">
        <f t="shared" si="42"/>
        <v>0</v>
      </c>
      <c r="V142" s="56">
        <f t="shared" si="43"/>
        <v>1</v>
      </c>
      <c r="W142" s="328">
        <v>44046</v>
      </c>
      <c r="X142" s="326"/>
      <c r="Y142" s="326"/>
      <c r="Z142" s="326"/>
      <c r="AC142" s="66" t="s">
        <v>186</v>
      </c>
      <c r="AD142" s="54"/>
      <c r="AE142" s="55"/>
      <c r="AF142" s="55"/>
      <c r="AG142" s="55"/>
      <c r="AH142" s="56">
        <f t="shared" si="44"/>
        <v>0</v>
      </c>
      <c r="AI142" s="54"/>
      <c r="AJ142" s="55"/>
      <c r="AK142" s="55"/>
      <c r="AL142" s="55"/>
      <c r="AM142" s="56">
        <f t="shared" si="45"/>
        <v>0</v>
      </c>
      <c r="AN142" s="54"/>
      <c r="AO142" s="55"/>
      <c r="AP142" s="55"/>
      <c r="AQ142" s="55"/>
      <c r="AR142" s="56">
        <f t="shared" si="46"/>
        <v>0</v>
      </c>
      <c r="AS142" s="54">
        <v>3</v>
      </c>
      <c r="AT142" s="55"/>
      <c r="AU142" s="55"/>
      <c r="AV142" s="55"/>
      <c r="AW142" s="176">
        <f t="shared" si="47"/>
        <v>3</v>
      </c>
      <c r="AX142" s="56">
        <f t="shared" si="48"/>
        <v>3</v>
      </c>
      <c r="AY142" s="329">
        <v>44050</v>
      </c>
      <c r="AZ142" s="326"/>
    </row>
    <row r="143" spans="1:52" x14ac:dyDescent="0.15">
      <c r="A143" s="53" t="s">
        <v>178</v>
      </c>
      <c r="B143" s="54"/>
      <c r="C143" s="55"/>
      <c r="D143" s="55"/>
      <c r="E143" s="55"/>
      <c r="F143" s="56">
        <f t="shared" si="39"/>
        <v>0</v>
      </c>
      <c r="G143" s="54"/>
      <c r="H143" s="55"/>
      <c r="I143" s="55">
        <v>1</v>
      </c>
      <c r="J143" s="55"/>
      <c r="K143" s="56">
        <f t="shared" si="40"/>
        <v>1</v>
      </c>
      <c r="L143" s="54"/>
      <c r="M143" s="55"/>
      <c r="N143" s="55"/>
      <c r="O143" s="55"/>
      <c r="P143" s="56">
        <f t="shared" si="41"/>
        <v>0</v>
      </c>
      <c r="Q143" s="54"/>
      <c r="R143" s="55"/>
      <c r="S143" s="55"/>
      <c r="T143" s="55"/>
      <c r="U143" s="176">
        <f t="shared" si="42"/>
        <v>0</v>
      </c>
      <c r="V143" s="56">
        <f t="shared" si="43"/>
        <v>1</v>
      </c>
      <c r="W143" s="329">
        <v>44049</v>
      </c>
      <c r="X143" s="326"/>
      <c r="Y143" s="326"/>
      <c r="Z143" s="326"/>
      <c r="AC143" s="66" t="s">
        <v>99</v>
      </c>
      <c r="AD143" s="54"/>
      <c r="AE143" s="55"/>
      <c r="AF143" s="55"/>
      <c r="AG143" s="55"/>
      <c r="AH143" s="56">
        <f t="shared" si="44"/>
        <v>0</v>
      </c>
      <c r="AI143" s="54">
        <v>2</v>
      </c>
      <c r="AJ143" s="55">
        <v>2</v>
      </c>
      <c r="AK143" s="55"/>
      <c r="AL143" s="55"/>
      <c r="AM143" s="56">
        <f t="shared" si="45"/>
        <v>4</v>
      </c>
      <c r="AN143" s="54"/>
      <c r="AO143" s="55"/>
      <c r="AP143" s="55"/>
      <c r="AQ143" s="55"/>
      <c r="AR143" s="56">
        <f t="shared" si="46"/>
        <v>0</v>
      </c>
      <c r="AS143" s="54"/>
      <c r="AT143" s="55"/>
      <c r="AU143" s="55"/>
      <c r="AV143" s="55"/>
      <c r="AW143" s="176">
        <f t="shared" si="47"/>
        <v>0</v>
      </c>
      <c r="AX143" s="56">
        <f t="shared" si="48"/>
        <v>4</v>
      </c>
      <c r="AY143" s="329">
        <v>44047</v>
      </c>
      <c r="AZ143" s="326"/>
    </row>
    <row r="144" spans="1:52" x14ac:dyDescent="0.15">
      <c r="A144" s="53" t="s">
        <v>177</v>
      </c>
      <c r="B144" s="54"/>
      <c r="C144" s="55"/>
      <c r="D144" s="55"/>
      <c r="E144" s="55"/>
      <c r="F144" s="56">
        <f t="shared" si="39"/>
        <v>0</v>
      </c>
      <c r="G144" s="54"/>
      <c r="H144" s="55"/>
      <c r="I144" s="55">
        <v>1</v>
      </c>
      <c r="J144" s="55"/>
      <c r="K144" s="56">
        <f t="shared" si="40"/>
        <v>1</v>
      </c>
      <c r="L144" s="54"/>
      <c r="M144" s="55"/>
      <c r="N144" s="55"/>
      <c r="O144" s="55"/>
      <c r="P144" s="56">
        <f t="shared" si="41"/>
        <v>0</v>
      </c>
      <c r="Q144" s="54"/>
      <c r="R144" s="55"/>
      <c r="S144" s="55"/>
      <c r="T144" s="55"/>
      <c r="U144" s="176">
        <f t="shared" si="42"/>
        <v>0</v>
      </c>
      <c r="V144" s="56">
        <f t="shared" si="43"/>
        <v>1</v>
      </c>
      <c r="W144" s="328">
        <v>44048</v>
      </c>
      <c r="X144" s="326"/>
      <c r="Y144" s="326"/>
      <c r="Z144" s="326"/>
      <c r="AC144" s="65" t="s">
        <v>187</v>
      </c>
      <c r="AD144" s="54"/>
      <c r="AE144" s="55"/>
      <c r="AF144" s="55"/>
      <c r="AG144" s="55"/>
      <c r="AH144" s="56">
        <f t="shared" si="44"/>
        <v>0</v>
      </c>
      <c r="AI144" s="54"/>
      <c r="AJ144" s="55"/>
      <c r="AK144" s="55"/>
      <c r="AL144" s="55"/>
      <c r="AM144" s="56">
        <f t="shared" si="45"/>
        <v>0</v>
      </c>
      <c r="AN144" s="54"/>
      <c r="AO144" s="55"/>
      <c r="AP144" s="55"/>
      <c r="AQ144" s="55"/>
      <c r="AR144" s="56">
        <f t="shared" si="46"/>
        <v>0</v>
      </c>
      <c r="AS144" s="54"/>
      <c r="AT144" s="55">
        <v>3</v>
      </c>
      <c r="AU144" s="55"/>
      <c r="AV144" s="55"/>
      <c r="AW144" s="176">
        <f t="shared" si="47"/>
        <v>3</v>
      </c>
      <c r="AX144" s="56">
        <f t="shared" si="48"/>
        <v>3</v>
      </c>
      <c r="AY144" s="329">
        <v>44049</v>
      </c>
      <c r="AZ144" s="326"/>
    </row>
    <row r="145" spans="1:52" x14ac:dyDescent="0.15">
      <c r="A145" s="53" t="s">
        <v>178</v>
      </c>
      <c r="B145" s="54"/>
      <c r="C145" s="55"/>
      <c r="D145" s="55"/>
      <c r="E145" s="55"/>
      <c r="F145" s="56">
        <f t="shared" si="39"/>
        <v>0</v>
      </c>
      <c r="G145" s="54">
        <v>1</v>
      </c>
      <c r="H145" s="55"/>
      <c r="I145" s="55"/>
      <c r="J145" s="55"/>
      <c r="K145" s="56">
        <f t="shared" si="40"/>
        <v>1</v>
      </c>
      <c r="L145" s="54"/>
      <c r="M145" s="55"/>
      <c r="N145" s="55"/>
      <c r="O145" s="55"/>
      <c r="P145" s="56">
        <f t="shared" si="41"/>
        <v>0</v>
      </c>
      <c r="Q145" s="54"/>
      <c r="R145" s="55"/>
      <c r="S145" s="55"/>
      <c r="T145" s="55"/>
      <c r="U145" s="176">
        <f t="shared" si="42"/>
        <v>0</v>
      </c>
      <c r="V145" s="56">
        <f t="shared" si="43"/>
        <v>1</v>
      </c>
      <c r="W145" s="329">
        <v>44050</v>
      </c>
      <c r="X145" s="326"/>
      <c r="Y145" s="326"/>
      <c r="Z145" s="326"/>
      <c r="AC145" s="66" t="s">
        <v>188</v>
      </c>
      <c r="AD145" s="54"/>
      <c r="AE145" s="55"/>
      <c r="AF145" s="55"/>
      <c r="AG145" s="55"/>
      <c r="AH145" s="56">
        <f t="shared" si="44"/>
        <v>0</v>
      </c>
      <c r="AI145" s="54"/>
      <c r="AJ145" s="55"/>
      <c r="AK145" s="55"/>
      <c r="AL145" s="55"/>
      <c r="AM145" s="56">
        <f t="shared" si="45"/>
        <v>0</v>
      </c>
      <c r="AN145" s="54"/>
      <c r="AO145" s="55"/>
      <c r="AP145" s="55"/>
      <c r="AQ145" s="55"/>
      <c r="AR145" s="56">
        <f t="shared" si="46"/>
        <v>0</v>
      </c>
      <c r="AS145" s="54"/>
      <c r="AT145" s="55">
        <v>5</v>
      </c>
      <c r="AU145" s="55">
        <v>8</v>
      </c>
      <c r="AV145" s="55"/>
      <c r="AW145" s="176">
        <f t="shared" si="47"/>
        <v>13</v>
      </c>
      <c r="AX145" s="56">
        <f t="shared" si="48"/>
        <v>13</v>
      </c>
      <c r="AY145" s="329">
        <v>44049</v>
      </c>
      <c r="AZ145" s="326"/>
    </row>
    <row r="146" spans="1:52" x14ac:dyDescent="0.15">
      <c r="A146" s="53" t="s">
        <v>177</v>
      </c>
      <c r="B146" s="54"/>
      <c r="C146" s="55"/>
      <c r="D146" s="55"/>
      <c r="E146" s="55"/>
      <c r="F146" s="56">
        <f t="shared" si="39"/>
        <v>0</v>
      </c>
      <c r="G146" s="54">
        <v>1</v>
      </c>
      <c r="H146" s="55"/>
      <c r="I146" s="55"/>
      <c r="J146" s="55"/>
      <c r="K146" s="56">
        <f t="shared" si="40"/>
        <v>1</v>
      </c>
      <c r="L146" s="54"/>
      <c r="M146" s="55"/>
      <c r="N146" s="55"/>
      <c r="O146" s="55"/>
      <c r="P146" s="56">
        <f t="shared" si="41"/>
        <v>0</v>
      </c>
      <c r="Q146" s="54"/>
      <c r="R146" s="55"/>
      <c r="S146" s="55"/>
      <c r="T146" s="55"/>
      <c r="U146" s="176">
        <f t="shared" si="42"/>
        <v>0</v>
      </c>
      <c r="V146" s="56">
        <f t="shared" si="43"/>
        <v>1</v>
      </c>
      <c r="W146" s="328">
        <v>44050</v>
      </c>
      <c r="X146" s="326"/>
      <c r="Y146" s="326"/>
      <c r="Z146" s="326"/>
      <c r="AC146" s="65" t="s">
        <v>189</v>
      </c>
      <c r="AD146" s="54"/>
      <c r="AE146" s="55"/>
      <c r="AF146" s="55"/>
      <c r="AG146" s="55"/>
      <c r="AH146" s="56">
        <f t="shared" si="44"/>
        <v>0</v>
      </c>
      <c r="AI146" s="54"/>
      <c r="AJ146" s="55"/>
      <c r="AK146" s="55"/>
      <c r="AL146" s="55"/>
      <c r="AM146" s="56">
        <f t="shared" si="45"/>
        <v>0</v>
      </c>
      <c r="AN146" s="54"/>
      <c r="AO146" s="55"/>
      <c r="AP146" s="55"/>
      <c r="AQ146" s="55"/>
      <c r="AR146" s="56">
        <f t="shared" si="46"/>
        <v>0</v>
      </c>
      <c r="AS146" s="54"/>
      <c r="AT146" s="55"/>
      <c r="AU146" s="55">
        <v>2</v>
      </c>
      <c r="AV146" s="55">
        <v>3</v>
      </c>
      <c r="AW146" s="176">
        <f t="shared" si="47"/>
        <v>5</v>
      </c>
      <c r="AX146" s="56">
        <f t="shared" si="48"/>
        <v>5</v>
      </c>
      <c r="AY146" s="329">
        <v>44050</v>
      </c>
      <c r="AZ146" s="326"/>
    </row>
    <row r="147" spans="1:52" x14ac:dyDescent="0.15">
      <c r="A147" s="53" t="s">
        <v>178</v>
      </c>
      <c r="B147" s="17"/>
      <c r="C147" s="18"/>
      <c r="D147" s="18"/>
      <c r="E147" s="18"/>
      <c r="F147" s="30">
        <f t="shared" si="39"/>
        <v>0</v>
      </c>
      <c r="G147" s="17"/>
      <c r="H147" s="18">
        <v>1</v>
      </c>
      <c r="I147" s="18"/>
      <c r="J147" s="18"/>
      <c r="K147" s="30">
        <f t="shared" si="40"/>
        <v>1</v>
      </c>
      <c r="L147" s="17"/>
      <c r="M147" s="18"/>
      <c r="N147" s="18"/>
      <c r="O147" s="18"/>
      <c r="P147" s="30">
        <f t="shared" si="41"/>
        <v>0</v>
      </c>
      <c r="Q147" s="17"/>
      <c r="R147" s="18"/>
      <c r="S147" s="18"/>
      <c r="T147" s="18"/>
      <c r="U147" s="178">
        <f t="shared" si="42"/>
        <v>0</v>
      </c>
      <c r="V147" s="56">
        <f t="shared" si="43"/>
        <v>1</v>
      </c>
      <c r="W147" s="329">
        <v>44055</v>
      </c>
      <c r="X147" s="326"/>
      <c r="Y147" s="326"/>
      <c r="Z147" s="326"/>
      <c r="AC147" s="65" t="s">
        <v>190</v>
      </c>
      <c r="AD147" s="17"/>
      <c r="AE147" s="18"/>
      <c r="AF147" s="18"/>
      <c r="AG147" s="18"/>
      <c r="AH147" s="30">
        <f t="shared" si="44"/>
        <v>0</v>
      </c>
      <c r="AI147" s="17"/>
      <c r="AJ147" s="18"/>
      <c r="AK147" s="18">
        <v>5</v>
      </c>
      <c r="AL147" s="18"/>
      <c r="AM147" s="30">
        <f t="shared" si="45"/>
        <v>5</v>
      </c>
      <c r="AN147" s="17"/>
      <c r="AO147" s="18"/>
      <c r="AP147" s="18"/>
      <c r="AQ147" s="18"/>
      <c r="AR147" s="30">
        <f t="shared" si="46"/>
        <v>0</v>
      </c>
      <c r="AS147" s="17"/>
      <c r="AT147" s="18"/>
      <c r="AU147" s="18"/>
      <c r="AV147" s="18"/>
      <c r="AW147" s="178">
        <f t="shared" si="47"/>
        <v>0</v>
      </c>
      <c r="AX147" s="56">
        <f t="shared" si="48"/>
        <v>5</v>
      </c>
      <c r="AY147" s="329">
        <v>44063</v>
      </c>
      <c r="AZ147" s="326"/>
    </row>
    <row r="148" spans="1:52" x14ac:dyDescent="0.15">
      <c r="A148" s="53" t="s">
        <v>177</v>
      </c>
      <c r="B148" s="54"/>
      <c r="C148" s="55"/>
      <c r="D148" s="55"/>
      <c r="E148" s="55"/>
      <c r="F148" s="56">
        <f t="shared" si="39"/>
        <v>0</v>
      </c>
      <c r="G148" s="54"/>
      <c r="H148" s="55"/>
      <c r="I148" s="55"/>
      <c r="J148" s="55"/>
      <c r="K148" s="56">
        <f t="shared" si="40"/>
        <v>0</v>
      </c>
      <c r="L148" s="54"/>
      <c r="M148" s="55"/>
      <c r="N148" s="55">
        <v>1</v>
      </c>
      <c r="O148" s="55"/>
      <c r="P148" s="56">
        <f t="shared" si="41"/>
        <v>1</v>
      </c>
      <c r="Q148" s="54"/>
      <c r="R148" s="55"/>
      <c r="S148" s="55"/>
      <c r="T148" s="55"/>
      <c r="U148" s="176">
        <f t="shared" si="42"/>
        <v>0</v>
      </c>
      <c r="V148" s="56">
        <f t="shared" si="43"/>
        <v>1</v>
      </c>
      <c r="W148" s="329">
        <v>44054</v>
      </c>
      <c r="X148" s="326"/>
      <c r="Y148" s="326"/>
      <c r="Z148" s="326"/>
      <c r="AC148" s="65" t="s">
        <v>191</v>
      </c>
      <c r="AD148" s="54"/>
      <c r="AE148" s="55"/>
      <c r="AF148" s="55"/>
      <c r="AG148" s="55"/>
      <c r="AH148" s="56">
        <f t="shared" si="44"/>
        <v>0</v>
      </c>
      <c r="AI148" s="54">
        <v>5</v>
      </c>
      <c r="AJ148" s="55"/>
      <c r="AK148" s="55"/>
      <c r="AL148" s="55"/>
      <c r="AM148" s="56">
        <f t="shared" si="45"/>
        <v>5</v>
      </c>
      <c r="AN148" s="54"/>
      <c r="AO148" s="55"/>
      <c r="AP148" s="55"/>
      <c r="AQ148" s="55"/>
      <c r="AR148" s="56">
        <f t="shared" si="46"/>
        <v>0</v>
      </c>
      <c r="AS148" s="54"/>
      <c r="AT148" s="55"/>
      <c r="AU148" s="55"/>
      <c r="AV148" s="55"/>
      <c r="AW148" s="176">
        <f t="shared" si="47"/>
        <v>0</v>
      </c>
      <c r="AX148" s="56">
        <f t="shared" si="48"/>
        <v>5</v>
      </c>
      <c r="AY148" s="329">
        <v>44056</v>
      </c>
      <c r="AZ148" s="326"/>
    </row>
    <row r="149" spans="1:52" x14ac:dyDescent="0.15">
      <c r="A149" s="53" t="s">
        <v>195</v>
      </c>
      <c r="B149" s="54"/>
      <c r="C149" s="55"/>
      <c r="D149" s="55"/>
      <c r="E149" s="55"/>
      <c r="F149" s="56">
        <f t="shared" si="39"/>
        <v>0</v>
      </c>
      <c r="G149" s="54"/>
      <c r="H149" s="55"/>
      <c r="I149" s="55"/>
      <c r="J149" s="55"/>
      <c r="K149" s="56">
        <f t="shared" si="40"/>
        <v>0</v>
      </c>
      <c r="L149" s="54"/>
      <c r="M149" s="55"/>
      <c r="N149" s="55"/>
      <c r="O149" s="55"/>
      <c r="P149" s="56">
        <f t="shared" si="41"/>
        <v>0</v>
      </c>
      <c r="Q149" s="54"/>
      <c r="R149" s="55"/>
      <c r="S149" s="55">
        <v>1</v>
      </c>
      <c r="T149" s="55"/>
      <c r="U149" s="176">
        <f t="shared" si="42"/>
        <v>1</v>
      </c>
      <c r="V149" s="56">
        <f t="shared" si="43"/>
        <v>1</v>
      </c>
      <c r="W149" s="329">
        <v>44055</v>
      </c>
      <c r="X149" s="326"/>
      <c r="Y149" s="326"/>
      <c r="Z149" s="326"/>
      <c r="AC149" s="65" t="s">
        <v>192</v>
      </c>
      <c r="AD149" s="54"/>
      <c r="AE149" s="55"/>
      <c r="AF149" s="55"/>
      <c r="AG149" s="55"/>
      <c r="AH149" s="56">
        <f t="shared" si="44"/>
        <v>0</v>
      </c>
      <c r="AI149" s="54"/>
      <c r="AJ149" s="55">
        <v>10</v>
      </c>
      <c r="AK149" s="55"/>
      <c r="AL149" s="55"/>
      <c r="AM149" s="56">
        <f t="shared" si="45"/>
        <v>10</v>
      </c>
      <c r="AN149" s="54"/>
      <c r="AO149" s="55"/>
      <c r="AP149" s="55"/>
      <c r="AQ149" s="55"/>
      <c r="AR149" s="56">
        <f t="shared" si="46"/>
        <v>0</v>
      </c>
      <c r="AS149" s="54"/>
      <c r="AT149" s="55"/>
      <c r="AU149" s="55"/>
      <c r="AV149" s="55"/>
      <c r="AW149" s="176">
        <f t="shared" si="47"/>
        <v>0</v>
      </c>
      <c r="AX149" s="56">
        <f t="shared" si="48"/>
        <v>10</v>
      </c>
      <c r="AY149" s="329">
        <v>44056</v>
      </c>
      <c r="AZ149" s="326"/>
    </row>
    <row r="150" spans="1:52" x14ac:dyDescent="0.15">
      <c r="A150" s="53" t="s">
        <v>100</v>
      </c>
      <c r="B150" s="54"/>
      <c r="C150" s="55"/>
      <c r="D150" s="55"/>
      <c r="E150" s="55"/>
      <c r="F150" s="56">
        <f t="shared" si="39"/>
        <v>0</v>
      </c>
      <c r="G150" s="54"/>
      <c r="H150" s="55">
        <v>1</v>
      </c>
      <c r="I150" s="55"/>
      <c r="J150" s="55"/>
      <c r="K150" s="56">
        <f t="shared" si="40"/>
        <v>1</v>
      </c>
      <c r="L150" s="54"/>
      <c r="M150" s="55"/>
      <c r="N150" s="55">
        <v>1</v>
      </c>
      <c r="O150" s="55"/>
      <c r="P150" s="56">
        <f t="shared" si="41"/>
        <v>1</v>
      </c>
      <c r="Q150" s="54"/>
      <c r="R150" s="55"/>
      <c r="S150" s="55"/>
      <c r="T150" s="55"/>
      <c r="U150" s="176">
        <f t="shared" si="42"/>
        <v>0</v>
      </c>
      <c r="V150" s="56">
        <f t="shared" si="43"/>
        <v>2</v>
      </c>
      <c r="W150" s="329">
        <v>44056</v>
      </c>
      <c r="X150" s="326"/>
      <c r="Y150" s="326"/>
      <c r="Z150" s="326"/>
      <c r="AC150" s="65" t="s">
        <v>193</v>
      </c>
      <c r="AD150" s="54"/>
      <c r="AE150" s="55"/>
      <c r="AF150" s="55"/>
      <c r="AG150" s="55"/>
      <c r="AH150" s="56">
        <f t="shared" si="44"/>
        <v>0</v>
      </c>
      <c r="AI150" s="54"/>
      <c r="AJ150" s="55"/>
      <c r="AK150" s="55"/>
      <c r="AL150" s="55"/>
      <c r="AM150" s="56">
        <f t="shared" si="45"/>
        <v>0</v>
      </c>
      <c r="AN150" s="54"/>
      <c r="AO150" s="55"/>
      <c r="AP150" s="55"/>
      <c r="AQ150" s="55"/>
      <c r="AR150" s="56">
        <f t="shared" si="46"/>
        <v>0</v>
      </c>
      <c r="AS150" s="54">
        <v>5</v>
      </c>
      <c r="AT150" s="55">
        <v>5</v>
      </c>
      <c r="AU150" s="55"/>
      <c r="AV150" s="55">
        <v>5</v>
      </c>
      <c r="AW150" s="176">
        <f t="shared" si="47"/>
        <v>15</v>
      </c>
      <c r="AX150" s="56">
        <f t="shared" si="48"/>
        <v>15</v>
      </c>
      <c r="AY150" s="329">
        <v>44057</v>
      </c>
      <c r="AZ150" s="326"/>
    </row>
    <row r="151" spans="1:52" x14ac:dyDescent="0.15">
      <c r="A151" s="53" t="s">
        <v>177</v>
      </c>
      <c r="B151" s="54"/>
      <c r="C151" s="55">
        <v>1</v>
      </c>
      <c r="D151" s="55"/>
      <c r="E151" s="55"/>
      <c r="F151" s="56">
        <f t="shared" si="39"/>
        <v>1</v>
      </c>
      <c r="G151" s="54"/>
      <c r="H151" s="55"/>
      <c r="I151" s="55"/>
      <c r="J151" s="55"/>
      <c r="K151" s="56">
        <f t="shared" si="40"/>
        <v>0</v>
      </c>
      <c r="L151" s="54"/>
      <c r="M151" s="55"/>
      <c r="N151" s="55"/>
      <c r="O151" s="55"/>
      <c r="P151" s="56">
        <f t="shared" si="41"/>
        <v>0</v>
      </c>
      <c r="Q151" s="54"/>
      <c r="R151" s="55"/>
      <c r="S151" s="55"/>
      <c r="T151" s="55"/>
      <c r="U151" s="176">
        <f t="shared" si="42"/>
        <v>0</v>
      </c>
      <c r="V151" s="56">
        <f t="shared" si="43"/>
        <v>1</v>
      </c>
      <c r="W151" s="329">
        <v>44055</v>
      </c>
      <c r="X151" s="326"/>
      <c r="Y151" s="326"/>
      <c r="Z151" s="326"/>
      <c r="AC151" s="65" t="s">
        <v>99</v>
      </c>
      <c r="AD151" s="54"/>
      <c r="AE151" s="55"/>
      <c r="AF151" s="55"/>
      <c r="AG151" s="55"/>
      <c r="AH151" s="56">
        <f t="shared" si="44"/>
        <v>0</v>
      </c>
      <c r="AI151" s="54">
        <v>2</v>
      </c>
      <c r="AJ151" s="55"/>
      <c r="AK151" s="55"/>
      <c r="AL151" s="55"/>
      <c r="AM151" s="56">
        <f t="shared" si="45"/>
        <v>2</v>
      </c>
      <c r="AN151" s="54"/>
      <c r="AO151" s="55"/>
      <c r="AP151" s="55"/>
      <c r="AQ151" s="55"/>
      <c r="AR151" s="56">
        <f t="shared" si="46"/>
        <v>0</v>
      </c>
      <c r="AS151" s="54"/>
      <c r="AT151" s="55"/>
      <c r="AU151" s="55"/>
      <c r="AV151" s="55"/>
      <c r="AW151" s="176">
        <f t="shared" si="47"/>
        <v>0</v>
      </c>
      <c r="AX151" s="56">
        <f t="shared" si="48"/>
        <v>2</v>
      </c>
      <c r="AY151" s="329">
        <v>44055</v>
      </c>
      <c r="AZ151" s="332"/>
    </row>
    <row r="152" spans="1:52" x14ac:dyDescent="0.15">
      <c r="A152" s="53" t="s">
        <v>178</v>
      </c>
      <c r="B152" s="54"/>
      <c r="C152" s="55"/>
      <c r="D152" s="55"/>
      <c r="E152" s="55"/>
      <c r="F152" s="56">
        <f t="shared" si="39"/>
        <v>0</v>
      </c>
      <c r="G152" s="54"/>
      <c r="H152" s="55">
        <v>1</v>
      </c>
      <c r="I152" s="55"/>
      <c r="J152" s="55"/>
      <c r="K152" s="56">
        <f t="shared" si="40"/>
        <v>1</v>
      </c>
      <c r="L152" s="54"/>
      <c r="M152" s="55"/>
      <c r="N152" s="55"/>
      <c r="O152" s="55"/>
      <c r="P152" s="56">
        <f t="shared" si="41"/>
        <v>0</v>
      </c>
      <c r="Q152" s="54"/>
      <c r="R152" s="55"/>
      <c r="S152" s="55"/>
      <c r="T152" s="55"/>
      <c r="U152" s="176">
        <f t="shared" si="42"/>
        <v>0</v>
      </c>
      <c r="V152" s="56">
        <f t="shared" si="43"/>
        <v>1</v>
      </c>
      <c r="W152" s="329">
        <v>44061</v>
      </c>
      <c r="X152" s="326"/>
      <c r="Y152" s="326"/>
      <c r="Z152" s="326"/>
      <c r="AC152" s="65" t="s">
        <v>194</v>
      </c>
      <c r="AD152" s="54">
        <v>3</v>
      </c>
      <c r="AE152" s="55"/>
      <c r="AF152" s="55"/>
      <c r="AG152" s="55"/>
      <c r="AH152" s="56">
        <f t="shared" si="44"/>
        <v>3</v>
      </c>
      <c r="AI152" s="54"/>
      <c r="AJ152" s="55"/>
      <c r="AK152" s="55"/>
      <c r="AL152" s="55"/>
      <c r="AM152" s="56">
        <f t="shared" si="45"/>
        <v>0</v>
      </c>
      <c r="AN152" s="54"/>
      <c r="AO152" s="55"/>
      <c r="AP152" s="55"/>
      <c r="AQ152" s="55"/>
      <c r="AR152" s="56">
        <f t="shared" si="46"/>
        <v>0</v>
      </c>
      <c r="AS152" s="54">
        <v>3</v>
      </c>
      <c r="AT152" s="55"/>
      <c r="AU152" s="55"/>
      <c r="AV152" s="55"/>
      <c r="AW152" s="176">
        <f t="shared" si="47"/>
        <v>3</v>
      </c>
      <c r="AX152" s="56">
        <f t="shared" si="48"/>
        <v>6</v>
      </c>
      <c r="AY152" s="329">
        <v>44063</v>
      </c>
      <c r="AZ152" s="332"/>
    </row>
    <row r="153" spans="1:52" x14ac:dyDescent="0.15">
      <c r="A153" s="53" t="s">
        <v>178</v>
      </c>
      <c r="B153" s="54"/>
      <c r="C153" s="55"/>
      <c r="D153" s="55"/>
      <c r="E153" s="55"/>
      <c r="F153" s="56">
        <f t="shared" si="39"/>
        <v>0</v>
      </c>
      <c r="G153" s="54"/>
      <c r="H153" s="55"/>
      <c r="I153" s="55"/>
      <c r="J153" s="55"/>
      <c r="K153" s="56">
        <f t="shared" si="40"/>
        <v>0</v>
      </c>
      <c r="L153" s="54"/>
      <c r="M153" s="55"/>
      <c r="N153" s="55"/>
      <c r="O153" s="55">
        <v>1</v>
      </c>
      <c r="P153" s="56">
        <f t="shared" si="41"/>
        <v>1</v>
      </c>
      <c r="Q153" s="54"/>
      <c r="R153" s="55"/>
      <c r="S153" s="55"/>
      <c r="T153" s="55"/>
      <c r="U153" s="176">
        <f t="shared" si="42"/>
        <v>0</v>
      </c>
      <c r="V153" s="56">
        <f t="shared" si="43"/>
        <v>1</v>
      </c>
      <c r="W153" s="329">
        <v>44062</v>
      </c>
      <c r="X153" s="326"/>
      <c r="Y153" s="326"/>
      <c r="Z153" s="326"/>
      <c r="AC153" s="65" t="s">
        <v>99</v>
      </c>
      <c r="AD153" s="54"/>
      <c r="AE153" s="55"/>
      <c r="AF153" s="55"/>
      <c r="AG153" s="55"/>
      <c r="AH153" s="56">
        <f>SUM(AD153:AG153)</f>
        <v>0</v>
      </c>
      <c r="AI153" s="54"/>
      <c r="AJ153" s="55">
        <v>3</v>
      </c>
      <c r="AK153" s="55"/>
      <c r="AL153" s="55"/>
      <c r="AM153" s="56">
        <f>SUM(AI153:AL153)</f>
        <v>3</v>
      </c>
      <c r="AN153" s="54"/>
      <c r="AO153" s="55"/>
      <c r="AP153" s="55">
        <v>2</v>
      </c>
      <c r="AQ153" s="55">
        <v>3</v>
      </c>
      <c r="AR153" s="56">
        <f t="shared" si="46"/>
        <v>5</v>
      </c>
      <c r="AS153" s="54"/>
      <c r="AT153" s="55"/>
      <c r="AU153" s="55"/>
      <c r="AV153" s="55"/>
      <c r="AW153" s="176">
        <f t="shared" si="47"/>
        <v>0</v>
      </c>
      <c r="AX153" s="56">
        <f t="shared" si="48"/>
        <v>8</v>
      </c>
      <c r="AY153" s="329">
        <v>44061</v>
      </c>
      <c r="AZ153" s="332"/>
    </row>
    <row r="154" spans="1:52" x14ac:dyDescent="0.15">
      <c r="A154" s="53" t="s">
        <v>177</v>
      </c>
      <c r="B154" s="54"/>
      <c r="C154" s="55"/>
      <c r="D154" s="55"/>
      <c r="E154" s="55"/>
      <c r="F154" s="56">
        <f t="shared" si="39"/>
        <v>0</v>
      </c>
      <c r="G154" s="54"/>
      <c r="H154" s="55">
        <v>1</v>
      </c>
      <c r="I154" s="55"/>
      <c r="J154" s="55"/>
      <c r="K154" s="56">
        <f t="shared" si="40"/>
        <v>1</v>
      </c>
      <c r="L154" s="54"/>
      <c r="M154" s="55"/>
      <c r="N154" s="55"/>
      <c r="O154" s="55"/>
      <c r="P154" s="56">
        <f t="shared" si="41"/>
        <v>0</v>
      </c>
      <c r="Q154" s="54"/>
      <c r="R154" s="55"/>
      <c r="S154" s="55"/>
      <c r="T154" s="55"/>
      <c r="U154" s="176">
        <f t="shared" si="42"/>
        <v>0</v>
      </c>
      <c r="V154" s="56">
        <f t="shared" si="43"/>
        <v>1</v>
      </c>
      <c r="W154" s="329">
        <v>44061</v>
      </c>
      <c r="X154" s="326"/>
      <c r="Y154" s="326"/>
      <c r="Z154" s="326"/>
      <c r="AC154" s="65" t="s">
        <v>196</v>
      </c>
      <c r="AD154" s="54">
        <v>4</v>
      </c>
      <c r="AE154" s="55">
        <v>5</v>
      </c>
      <c r="AF154" s="55">
        <v>1</v>
      </c>
      <c r="AG154" s="55"/>
      <c r="AH154" s="56">
        <f t="shared" si="44"/>
        <v>10</v>
      </c>
      <c r="AI154" s="54">
        <v>9</v>
      </c>
      <c r="AJ154" s="55">
        <v>15</v>
      </c>
      <c r="AK154" s="55">
        <v>7</v>
      </c>
      <c r="AL154" s="55">
        <v>10</v>
      </c>
      <c r="AM154" s="56">
        <f t="shared" si="45"/>
        <v>41</v>
      </c>
      <c r="AN154" s="54"/>
      <c r="AO154" s="55"/>
      <c r="AP154" s="55"/>
      <c r="AQ154" s="55"/>
      <c r="AR154" s="56">
        <f t="shared" si="46"/>
        <v>0</v>
      </c>
      <c r="AS154" s="54"/>
      <c r="AT154" s="55"/>
      <c r="AU154" s="55"/>
      <c r="AV154" s="55"/>
      <c r="AW154" s="176">
        <f t="shared" si="47"/>
        <v>0</v>
      </c>
      <c r="AX154" s="56">
        <f t="shared" si="48"/>
        <v>51</v>
      </c>
      <c r="AY154" s="329">
        <v>44067</v>
      </c>
      <c r="AZ154" s="332"/>
    </row>
    <row r="155" spans="1:52" x14ac:dyDescent="0.15">
      <c r="A155" s="53" t="s">
        <v>177</v>
      </c>
      <c r="B155" s="54">
        <v>1</v>
      </c>
      <c r="C155" s="55"/>
      <c r="D155" s="55"/>
      <c r="E155" s="55"/>
      <c r="F155" s="56">
        <f t="shared" si="39"/>
        <v>1</v>
      </c>
      <c r="G155" s="54"/>
      <c r="H155" s="55">
        <v>1</v>
      </c>
      <c r="I155" s="55"/>
      <c r="J155" s="55"/>
      <c r="K155" s="56">
        <f t="shared" si="40"/>
        <v>1</v>
      </c>
      <c r="L155" s="54"/>
      <c r="M155" s="55"/>
      <c r="N155" s="55"/>
      <c r="O155" s="55"/>
      <c r="P155" s="56">
        <f t="shared" si="41"/>
        <v>0</v>
      </c>
      <c r="Q155" s="54"/>
      <c r="R155" s="55"/>
      <c r="S155" s="55"/>
      <c r="T155" s="55"/>
      <c r="U155" s="176">
        <f t="shared" si="42"/>
        <v>0</v>
      </c>
      <c r="V155" s="56">
        <f t="shared" si="43"/>
        <v>2</v>
      </c>
      <c r="W155" s="328">
        <v>44062</v>
      </c>
      <c r="X155" s="326"/>
      <c r="Y155" s="326"/>
      <c r="Z155" s="326"/>
      <c r="AC155" s="65" t="s">
        <v>197</v>
      </c>
      <c r="AD155" s="54"/>
      <c r="AE155" s="55"/>
      <c r="AF155" s="55"/>
      <c r="AG155" s="55"/>
      <c r="AH155" s="56">
        <f t="shared" si="44"/>
        <v>0</v>
      </c>
      <c r="AI155" s="54"/>
      <c r="AJ155" s="55"/>
      <c r="AK155" s="55"/>
      <c r="AL155" s="55"/>
      <c r="AM155" s="56">
        <f t="shared" si="45"/>
        <v>0</v>
      </c>
      <c r="AN155" s="54"/>
      <c r="AO155" s="55"/>
      <c r="AP155" s="55"/>
      <c r="AQ155" s="55"/>
      <c r="AR155" s="56">
        <f t="shared" si="46"/>
        <v>0</v>
      </c>
      <c r="AS155" s="54"/>
      <c r="AT155" s="55">
        <v>3</v>
      </c>
      <c r="AU155" s="55"/>
      <c r="AV155" s="55">
        <v>2</v>
      </c>
      <c r="AW155" s="176">
        <f t="shared" si="47"/>
        <v>5</v>
      </c>
      <c r="AX155" s="56">
        <f t="shared" si="48"/>
        <v>5</v>
      </c>
      <c r="AY155" s="329">
        <v>44067</v>
      </c>
      <c r="AZ155" s="332"/>
    </row>
    <row r="156" spans="1:52" x14ac:dyDescent="0.15">
      <c r="A156" s="53" t="s">
        <v>177</v>
      </c>
      <c r="B156" s="54"/>
      <c r="C156" s="55"/>
      <c r="D156" s="55"/>
      <c r="E156" s="55"/>
      <c r="F156" s="56">
        <f t="shared" si="39"/>
        <v>0</v>
      </c>
      <c r="G156" s="54">
        <v>1</v>
      </c>
      <c r="H156" s="55"/>
      <c r="I156" s="55"/>
      <c r="J156" s="55"/>
      <c r="K156" s="56">
        <f t="shared" si="40"/>
        <v>1</v>
      </c>
      <c r="L156" s="54"/>
      <c r="M156" s="55"/>
      <c r="N156" s="55"/>
      <c r="O156" s="55"/>
      <c r="P156" s="56">
        <f t="shared" si="41"/>
        <v>0</v>
      </c>
      <c r="Q156" s="54"/>
      <c r="R156" s="55"/>
      <c r="S156" s="55"/>
      <c r="T156" s="55"/>
      <c r="U156" s="176">
        <f t="shared" si="42"/>
        <v>0</v>
      </c>
      <c r="V156" s="56">
        <f t="shared" si="43"/>
        <v>1</v>
      </c>
      <c r="W156" s="328">
        <v>44063</v>
      </c>
      <c r="X156" s="326"/>
      <c r="Y156" s="326"/>
      <c r="Z156" s="326"/>
      <c r="AC156" s="65" t="s">
        <v>198</v>
      </c>
      <c r="AD156" s="54"/>
      <c r="AE156" s="55"/>
      <c r="AF156" s="55"/>
      <c r="AG156" s="55"/>
      <c r="AH156" s="56">
        <f t="shared" si="44"/>
        <v>0</v>
      </c>
      <c r="AI156" s="54">
        <v>2</v>
      </c>
      <c r="AJ156" s="55"/>
      <c r="AK156" s="55"/>
      <c r="AL156" s="55"/>
      <c r="AM156" s="56">
        <f t="shared" si="45"/>
        <v>2</v>
      </c>
      <c r="AN156" s="54"/>
      <c r="AO156" s="55"/>
      <c r="AP156" s="55"/>
      <c r="AQ156" s="55"/>
      <c r="AR156" s="56">
        <f t="shared" si="46"/>
        <v>0</v>
      </c>
      <c r="AS156" s="54"/>
      <c r="AT156" s="55"/>
      <c r="AU156" s="55"/>
      <c r="AV156" s="55"/>
      <c r="AW156" s="176">
        <f t="shared" si="47"/>
        <v>0</v>
      </c>
      <c r="AX156" s="56">
        <f t="shared" si="48"/>
        <v>2</v>
      </c>
      <c r="AY156" s="329">
        <v>44067</v>
      </c>
      <c r="AZ156" s="332"/>
    </row>
    <row r="157" spans="1:52" x14ac:dyDescent="0.15">
      <c r="A157" s="53" t="s">
        <v>115</v>
      </c>
      <c r="B157" s="54">
        <v>1</v>
      </c>
      <c r="C157" s="55">
        <v>1</v>
      </c>
      <c r="D157" s="55">
        <v>2</v>
      </c>
      <c r="E157" s="55">
        <v>1</v>
      </c>
      <c r="F157" s="56">
        <f t="shared" si="39"/>
        <v>5</v>
      </c>
      <c r="G157" s="54"/>
      <c r="H157" s="55">
        <v>1</v>
      </c>
      <c r="I157" s="55">
        <v>3</v>
      </c>
      <c r="J157" s="55">
        <v>1</v>
      </c>
      <c r="K157" s="56">
        <f t="shared" si="40"/>
        <v>5</v>
      </c>
      <c r="L157" s="54"/>
      <c r="M157" s="55"/>
      <c r="N157" s="55"/>
      <c r="O157" s="55"/>
      <c r="P157" s="56">
        <f t="shared" si="41"/>
        <v>0</v>
      </c>
      <c r="Q157" s="54"/>
      <c r="R157" s="55"/>
      <c r="S157" s="55"/>
      <c r="T157" s="55"/>
      <c r="U157" s="176">
        <f t="shared" si="42"/>
        <v>0</v>
      </c>
      <c r="V157" s="56">
        <f t="shared" si="43"/>
        <v>10</v>
      </c>
      <c r="W157" s="329">
        <v>44065</v>
      </c>
      <c r="X157" s="326"/>
      <c r="Y157" s="326"/>
      <c r="Z157" s="326"/>
      <c r="AC157" s="65" t="s">
        <v>199</v>
      </c>
      <c r="AD157" s="54"/>
      <c r="AE157" s="55"/>
      <c r="AF157" s="55"/>
      <c r="AG157" s="55"/>
      <c r="AH157" s="56">
        <f t="shared" si="44"/>
        <v>0</v>
      </c>
      <c r="AI157" s="54"/>
      <c r="AJ157" s="55">
        <v>2</v>
      </c>
      <c r="AK157" s="55"/>
      <c r="AL157" s="55"/>
      <c r="AM157" s="56">
        <f t="shared" si="45"/>
        <v>2</v>
      </c>
      <c r="AN157" s="54"/>
      <c r="AO157" s="55"/>
      <c r="AP157" s="55"/>
      <c r="AQ157" s="55"/>
      <c r="AR157" s="56">
        <f t="shared" si="46"/>
        <v>0</v>
      </c>
      <c r="AS157" s="54"/>
      <c r="AT157" s="55"/>
      <c r="AU157" s="55"/>
      <c r="AV157" s="55"/>
      <c r="AW157" s="176">
        <f t="shared" si="47"/>
        <v>0</v>
      </c>
      <c r="AX157" s="56">
        <f t="shared" si="48"/>
        <v>2</v>
      </c>
      <c r="AY157" s="329">
        <v>44068</v>
      </c>
      <c r="AZ157" s="332"/>
    </row>
    <row r="158" spans="1:52" x14ac:dyDescent="0.15">
      <c r="A158" s="53" t="s">
        <v>178</v>
      </c>
      <c r="B158" s="17"/>
      <c r="C158" s="18"/>
      <c r="D158" s="18"/>
      <c r="E158" s="18"/>
      <c r="F158" s="30">
        <f t="shared" si="39"/>
        <v>0</v>
      </c>
      <c r="G158" s="17">
        <v>1</v>
      </c>
      <c r="H158" s="18">
        <v>1</v>
      </c>
      <c r="I158" s="18"/>
      <c r="J158" s="18"/>
      <c r="K158" s="30">
        <f t="shared" si="40"/>
        <v>2</v>
      </c>
      <c r="L158" s="17"/>
      <c r="M158" s="18"/>
      <c r="N158" s="18"/>
      <c r="O158" s="18"/>
      <c r="P158" s="30">
        <f t="shared" si="41"/>
        <v>0</v>
      </c>
      <c r="Q158" s="17"/>
      <c r="R158" s="18"/>
      <c r="S158" s="18"/>
      <c r="T158" s="18"/>
      <c r="U158" s="178">
        <f t="shared" si="42"/>
        <v>0</v>
      </c>
      <c r="V158" s="56">
        <f t="shared" si="43"/>
        <v>2</v>
      </c>
      <c r="W158" s="329">
        <v>44068</v>
      </c>
      <c r="X158" s="326"/>
      <c r="Y158" s="326"/>
      <c r="Z158" s="326"/>
      <c r="AC158" s="65" t="s">
        <v>200</v>
      </c>
      <c r="AD158" s="54"/>
      <c r="AE158" s="55"/>
      <c r="AF158" s="55"/>
      <c r="AG158" s="55"/>
      <c r="AH158" s="56">
        <f t="shared" si="44"/>
        <v>0</v>
      </c>
      <c r="AI158" s="54"/>
      <c r="AJ158" s="55">
        <v>3</v>
      </c>
      <c r="AK158" s="55"/>
      <c r="AL158" s="55"/>
      <c r="AM158" s="56">
        <f t="shared" si="45"/>
        <v>3</v>
      </c>
      <c r="AN158" s="54"/>
      <c r="AO158" s="55"/>
      <c r="AP158" s="55"/>
      <c r="AQ158" s="55"/>
      <c r="AR158" s="56">
        <f t="shared" si="46"/>
        <v>0</v>
      </c>
      <c r="AS158" s="54"/>
      <c r="AT158" s="55"/>
      <c r="AU158" s="55"/>
      <c r="AV158" s="55"/>
      <c r="AW158" s="176">
        <f t="shared" si="47"/>
        <v>0</v>
      </c>
      <c r="AX158" s="56">
        <f t="shared" si="48"/>
        <v>3</v>
      </c>
      <c r="AY158" s="329">
        <v>44071</v>
      </c>
      <c r="AZ158" s="332"/>
    </row>
    <row r="159" spans="1:52" x14ac:dyDescent="0.15">
      <c r="A159" s="53" t="s">
        <v>178</v>
      </c>
      <c r="B159" s="54"/>
      <c r="C159" s="55"/>
      <c r="D159" s="55"/>
      <c r="E159" s="55"/>
      <c r="F159" s="56">
        <f t="shared" si="39"/>
        <v>0</v>
      </c>
      <c r="G159" s="54"/>
      <c r="H159" s="55">
        <v>1</v>
      </c>
      <c r="I159" s="55"/>
      <c r="J159" s="55"/>
      <c r="K159" s="56">
        <f t="shared" si="40"/>
        <v>1</v>
      </c>
      <c r="L159" s="54"/>
      <c r="M159" s="55"/>
      <c r="N159" s="55"/>
      <c r="O159" s="55"/>
      <c r="P159" s="56">
        <f t="shared" si="41"/>
        <v>0</v>
      </c>
      <c r="Q159" s="54"/>
      <c r="R159" s="55"/>
      <c r="S159" s="55"/>
      <c r="T159" s="55"/>
      <c r="U159" s="176">
        <f t="shared" si="42"/>
        <v>0</v>
      </c>
      <c r="V159" s="56">
        <f t="shared" si="43"/>
        <v>1</v>
      </c>
      <c r="W159" s="329">
        <v>44069</v>
      </c>
      <c r="X159" s="326"/>
      <c r="Y159" s="326"/>
      <c r="Z159" s="326"/>
      <c r="AC159" s="65" t="s">
        <v>201</v>
      </c>
      <c r="AD159" s="54">
        <v>3</v>
      </c>
      <c r="AE159" s="55">
        <v>12</v>
      </c>
      <c r="AF159" s="55">
        <v>7</v>
      </c>
      <c r="AG159" s="55">
        <v>2</v>
      </c>
      <c r="AH159" s="56">
        <f t="shared" si="44"/>
        <v>24</v>
      </c>
      <c r="AI159" s="54">
        <v>17</v>
      </c>
      <c r="AJ159" s="55">
        <v>15</v>
      </c>
      <c r="AK159" s="55">
        <v>11</v>
      </c>
      <c r="AL159" s="55">
        <v>8</v>
      </c>
      <c r="AM159" s="56">
        <f t="shared" si="45"/>
        <v>51</v>
      </c>
      <c r="AN159" s="54"/>
      <c r="AO159" s="55"/>
      <c r="AP159" s="55"/>
      <c r="AQ159" s="55"/>
      <c r="AR159" s="56">
        <f t="shared" si="46"/>
        <v>0</v>
      </c>
      <c r="AS159" s="54"/>
      <c r="AT159" s="55"/>
      <c r="AU159" s="55"/>
      <c r="AV159" s="55"/>
      <c r="AW159" s="176">
        <f t="shared" si="47"/>
        <v>0</v>
      </c>
      <c r="AX159" s="56">
        <f t="shared" si="48"/>
        <v>75</v>
      </c>
      <c r="AY159" s="329">
        <v>44078</v>
      </c>
      <c r="AZ159" s="332"/>
    </row>
    <row r="160" spans="1:52" x14ac:dyDescent="0.15">
      <c r="A160" s="53" t="s">
        <v>177</v>
      </c>
      <c r="B160" s="62"/>
      <c r="C160" s="63"/>
      <c r="D160" s="63">
        <v>1</v>
      </c>
      <c r="E160" s="63"/>
      <c r="F160" s="56">
        <f t="shared" si="39"/>
        <v>1</v>
      </c>
      <c r="G160" s="62"/>
      <c r="H160" s="63"/>
      <c r="I160" s="63"/>
      <c r="J160" s="63"/>
      <c r="K160" s="56">
        <f t="shared" si="40"/>
        <v>0</v>
      </c>
      <c r="L160" s="62"/>
      <c r="M160" s="63"/>
      <c r="N160" s="63"/>
      <c r="O160" s="63"/>
      <c r="P160" s="56">
        <f t="shared" si="41"/>
        <v>0</v>
      </c>
      <c r="Q160" s="62"/>
      <c r="R160" s="63"/>
      <c r="S160" s="63"/>
      <c r="T160" s="63"/>
      <c r="U160" s="176">
        <f t="shared" si="42"/>
        <v>0</v>
      </c>
      <c r="V160" s="56">
        <f t="shared" si="43"/>
        <v>1</v>
      </c>
      <c r="W160" s="329">
        <v>44068</v>
      </c>
      <c r="X160" s="326"/>
      <c r="Y160" s="326"/>
      <c r="Z160" s="326"/>
      <c r="AC160" s="66" t="s">
        <v>99</v>
      </c>
      <c r="AD160" s="33"/>
      <c r="AE160" s="34"/>
      <c r="AF160" s="34"/>
      <c r="AG160" s="34"/>
      <c r="AH160" s="30">
        <f t="shared" si="44"/>
        <v>0</v>
      </c>
      <c r="AI160" s="33"/>
      <c r="AJ160" s="34">
        <v>5</v>
      </c>
      <c r="AK160" s="34"/>
      <c r="AL160" s="34"/>
      <c r="AM160" s="30">
        <f t="shared" si="45"/>
        <v>5</v>
      </c>
      <c r="AN160" s="33"/>
      <c r="AO160" s="34"/>
      <c r="AP160" s="34"/>
      <c r="AQ160" s="34"/>
      <c r="AR160" s="30">
        <f t="shared" si="46"/>
        <v>0</v>
      </c>
      <c r="AS160" s="33"/>
      <c r="AT160" s="34"/>
      <c r="AU160" s="34"/>
      <c r="AV160" s="34"/>
      <c r="AW160" s="178">
        <f t="shared" si="47"/>
        <v>0</v>
      </c>
      <c r="AX160" s="170">
        <f t="shared" si="48"/>
        <v>5</v>
      </c>
      <c r="AY160" s="329">
        <v>44069</v>
      </c>
      <c r="AZ160" s="332"/>
    </row>
    <row r="161" spans="1:52" x14ac:dyDescent="0.15">
      <c r="A161" s="53" t="s">
        <v>111</v>
      </c>
      <c r="B161" s="54"/>
      <c r="C161" s="55"/>
      <c r="D161" s="55"/>
      <c r="E161" s="55"/>
      <c r="F161" s="56">
        <f t="shared" si="39"/>
        <v>0</v>
      </c>
      <c r="G161" s="54"/>
      <c r="H161" s="55">
        <v>-5</v>
      </c>
      <c r="I161" s="55"/>
      <c r="J161" s="55"/>
      <c r="K161" s="56">
        <f t="shared" si="40"/>
        <v>-5</v>
      </c>
      <c r="L161" s="54"/>
      <c r="M161" s="55"/>
      <c r="N161" s="55"/>
      <c r="O161" s="55"/>
      <c r="P161" s="56">
        <f t="shared" si="41"/>
        <v>0</v>
      </c>
      <c r="Q161" s="54"/>
      <c r="R161" s="55"/>
      <c r="S161" s="55"/>
      <c r="T161" s="55"/>
      <c r="U161" s="176">
        <f t="shared" si="42"/>
        <v>0</v>
      </c>
      <c r="V161" s="56">
        <f t="shared" si="43"/>
        <v>-5</v>
      </c>
      <c r="W161" s="329">
        <v>44069</v>
      </c>
      <c r="X161" s="326"/>
      <c r="Y161" s="326"/>
      <c r="Z161" s="326"/>
      <c r="AC161" s="65" t="s">
        <v>202</v>
      </c>
      <c r="AD161" s="54"/>
      <c r="AE161" s="55">
        <v>3</v>
      </c>
      <c r="AF161" s="55"/>
      <c r="AG161" s="55"/>
      <c r="AH161" s="56">
        <f t="shared" si="44"/>
        <v>3</v>
      </c>
      <c r="AI161" s="54"/>
      <c r="AJ161" s="55"/>
      <c r="AK161" s="55"/>
      <c r="AL161" s="55"/>
      <c r="AM161" s="56">
        <f t="shared" si="45"/>
        <v>0</v>
      </c>
      <c r="AN161" s="54"/>
      <c r="AO161" s="55"/>
      <c r="AP161" s="55"/>
      <c r="AQ161" s="55"/>
      <c r="AR161" s="56">
        <f t="shared" si="46"/>
        <v>0</v>
      </c>
      <c r="AS161" s="54"/>
      <c r="AT161" s="55"/>
      <c r="AU161" s="55"/>
      <c r="AV161" s="55"/>
      <c r="AW161" s="176">
        <f t="shared" si="47"/>
        <v>0</v>
      </c>
      <c r="AX161" s="56">
        <f t="shared" si="48"/>
        <v>3</v>
      </c>
      <c r="AY161" s="329">
        <v>44076</v>
      </c>
      <c r="AZ161" s="332"/>
    </row>
    <row r="162" spans="1:52" x14ac:dyDescent="0.15">
      <c r="A162" s="53" t="s">
        <v>177</v>
      </c>
      <c r="B162" s="54"/>
      <c r="C162" s="55"/>
      <c r="D162" s="55"/>
      <c r="E162" s="55"/>
      <c r="F162" s="56">
        <f t="shared" si="39"/>
        <v>0</v>
      </c>
      <c r="G162" s="54">
        <v>1</v>
      </c>
      <c r="H162" s="55"/>
      <c r="I162" s="55"/>
      <c r="J162" s="55"/>
      <c r="K162" s="56">
        <f t="shared" si="40"/>
        <v>1</v>
      </c>
      <c r="L162" s="54"/>
      <c r="M162" s="55"/>
      <c r="N162" s="55"/>
      <c r="O162" s="55"/>
      <c r="P162" s="56">
        <f t="shared" si="41"/>
        <v>0</v>
      </c>
      <c r="Q162" s="54"/>
      <c r="R162" s="55"/>
      <c r="S162" s="55"/>
      <c r="T162" s="55"/>
      <c r="U162" s="176">
        <f t="shared" si="42"/>
        <v>0</v>
      </c>
      <c r="V162" s="56">
        <f t="shared" si="43"/>
        <v>1</v>
      </c>
      <c r="W162" s="328">
        <v>44071</v>
      </c>
      <c r="X162" s="326"/>
      <c r="Y162" s="326"/>
      <c r="Z162" s="326"/>
      <c r="AC162" s="65" t="s">
        <v>203</v>
      </c>
      <c r="AD162" s="62"/>
      <c r="AE162" s="63"/>
      <c r="AF162" s="63"/>
      <c r="AG162" s="63"/>
      <c r="AH162" s="56">
        <f t="shared" si="44"/>
        <v>0</v>
      </c>
      <c r="AI162" s="62">
        <v>2</v>
      </c>
      <c r="AJ162" s="63"/>
      <c r="AK162" s="63"/>
      <c r="AL162" s="63"/>
      <c r="AM162" s="56">
        <f t="shared" si="45"/>
        <v>2</v>
      </c>
      <c r="AN162" s="62"/>
      <c r="AO162" s="63"/>
      <c r="AP162" s="63"/>
      <c r="AQ162" s="63"/>
      <c r="AR162" s="56">
        <f t="shared" si="46"/>
        <v>0</v>
      </c>
      <c r="AS162" s="62"/>
      <c r="AT162" s="63"/>
      <c r="AU162" s="63"/>
      <c r="AV162" s="63"/>
      <c r="AW162" s="176">
        <f t="shared" si="47"/>
        <v>0</v>
      </c>
      <c r="AX162" s="56">
        <f t="shared" si="48"/>
        <v>2</v>
      </c>
      <c r="AY162" s="329">
        <v>44078</v>
      </c>
      <c r="AZ162" s="332"/>
    </row>
    <row r="163" spans="1:52" x14ac:dyDescent="0.15">
      <c r="A163" s="65" t="s">
        <v>115</v>
      </c>
      <c r="B163" s="54"/>
      <c r="C163" s="55"/>
      <c r="D163" s="55"/>
      <c r="E163" s="55"/>
      <c r="F163" s="56">
        <f t="shared" si="39"/>
        <v>0</v>
      </c>
      <c r="G163" s="54"/>
      <c r="H163" s="55"/>
      <c r="I163" s="55"/>
      <c r="J163" s="55"/>
      <c r="K163" s="56">
        <f t="shared" si="40"/>
        <v>0</v>
      </c>
      <c r="L163" s="54"/>
      <c r="M163" s="55"/>
      <c r="N163" s="55"/>
      <c r="O163" s="55"/>
      <c r="P163" s="56">
        <f t="shared" si="41"/>
        <v>0</v>
      </c>
      <c r="Q163" s="54"/>
      <c r="R163" s="55">
        <v>2</v>
      </c>
      <c r="S163" s="55"/>
      <c r="T163" s="55"/>
      <c r="U163" s="176">
        <f t="shared" si="42"/>
        <v>2</v>
      </c>
      <c r="V163" s="56">
        <f t="shared" si="43"/>
        <v>2</v>
      </c>
      <c r="W163" s="328">
        <v>44072</v>
      </c>
      <c r="X163" s="326"/>
      <c r="Y163" s="326"/>
      <c r="Z163" s="326"/>
      <c r="AC163" s="65" t="s">
        <v>204</v>
      </c>
      <c r="AD163" s="54">
        <v>1</v>
      </c>
      <c r="AE163" s="55">
        <v>4</v>
      </c>
      <c r="AF163" s="55">
        <v>1</v>
      </c>
      <c r="AG163" s="55">
        <v>5</v>
      </c>
      <c r="AH163" s="56">
        <f t="shared" si="44"/>
        <v>11</v>
      </c>
      <c r="AI163" s="54">
        <v>12</v>
      </c>
      <c r="AJ163" s="55">
        <v>9</v>
      </c>
      <c r="AK163" s="55">
        <v>12</v>
      </c>
      <c r="AL163" s="55">
        <v>7</v>
      </c>
      <c r="AM163" s="56">
        <f t="shared" si="45"/>
        <v>40</v>
      </c>
      <c r="AN163" s="54"/>
      <c r="AO163" s="55"/>
      <c r="AP163" s="55"/>
      <c r="AQ163" s="55"/>
      <c r="AR163" s="56">
        <f t="shared" si="46"/>
        <v>0</v>
      </c>
      <c r="AS163" s="54"/>
      <c r="AT163" s="55"/>
      <c r="AU163" s="55"/>
      <c r="AV163" s="55"/>
      <c r="AW163" s="176">
        <f t="shared" si="47"/>
        <v>0</v>
      </c>
      <c r="AX163" s="56">
        <f t="shared" si="48"/>
        <v>51</v>
      </c>
      <c r="AY163" s="329">
        <v>44082</v>
      </c>
      <c r="AZ163" s="326"/>
    </row>
    <row r="164" spans="1:52" ht="14.25" thickBot="1" x14ac:dyDescent="0.2">
      <c r="A164" s="67"/>
      <c r="B164" s="33"/>
      <c r="C164" s="34"/>
      <c r="D164" s="34"/>
      <c r="E164" s="34"/>
      <c r="F164" s="30">
        <f t="shared" si="39"/>
        <v>0</v>
      </c>
      <c r="G164" s="33"/>
      <c r="H164" s="34"/>
      <c r="I164" s="34"/>
      <c r="J164" s="34"/>
      <c r="K164" s="30">
        <f t="shared" si="40"/>
        <v>0</v>
      </c>
      <c r="L164" s="33"/>
      <c r="M164" s="34"/>
      <c r="N164" s="34"/>
      <c r="O164" s="34"/>
      <c r="P164" s="30">
        <f t="shared" si="41"/>
        <v>0</v>
      </c>
      <c r="Q164" s="33"/>
      <c r="R164" s="34"/>
      <c r="S164" s="34"/>
      <c r="T164" s="34"/>
      <c r="U164" s="178">
        <f t="shared" si="42"/>
        <v>0</v>
      </c>
      <c r="V164" s="163">
        <f t="shared" si="43"/>
        <v>0</v>
      </c>
      <c r="W164" s="325"/>
      <c r="X164" s="326"/>
      <c r="Y164" s="326"/>
      <c r="Z164" s="326"/>
      <c r="AC164" s="65"/>
      <c r="AD164" s="62"/>
      <c r="AE164" s="63"/>
      <c r="AF164" s="63"/>
      <c r="AG164" s="63"/>
      <c r="AH164" s="56">
        <f t="shared" si="44"/>
        <v>0</v>
      </c>
      <c r="AI164" s="62"/>
      <c r="AJ164" s="63"/>
      <c r="AK164" s="63"/>
      <c r="AL164" s="63"/>
      <c r="AM164" s="56">
        <f t="shared" si="45"/>
        <v>0</v>
      </c>
      <c r="AN164" s="62"/>
      <c r="AO164" s="63"/>
      <c r="AP164" s="63"/>
      <c r="AQ164" s="63"/>
      <c r="AR164" s="56">
        <f t="shared" si="46"/>
        <v>0</v>
      </c>
      <c r="AS164" s="62"/>
      <c r="AT164" s="63"/>
      <c r="AU164" s="63"/>
      <c r="AV164" s="63"/>
      <c r="AW164" s="176">
        <f t="shared" si="47"/>
        <v>0</v>
      </c>
      <c r="AX164" s="56">
        <f t="shared" si="48"/>
        <v>0</v>
      </c>
      <c r="AY164" s="330"/>
      <c r="AZ164" s="326"/>
    </row>
    <row r="165" spans="1:52" ht="15" thickBot="1" x14ac:dyDescent="0.2">
      <c r="A165" s="9" t="s">
        <v>15</v>
      </c>
      <c r="B165" s="36">
        <f>SUM(B139:B164)</f>
        <v>2</v>
      </c>
      <c r="C165" s="37">
        <f>SUM(C139:C164)</f>
        <v>2</v>
      </c>
      <c r="D165" s="37">
        <f>SUM(D139:D164)</f>
        <v>3</v>
      </c>
      <c r="E165" s="38">
        <f>SUM(E139:E164)</f>
        <v>1</v>
      </c>
      <c r="F165" s="25">
        <f t="shared" si="39"/>
        <v>8</v>
      </c>
      <c r="G165" s="36">
        <f>SUM(G139:G164)</f>
        <v>6</v>
      </c>
      <c r="H165" s="37">
        <f>SUM(H139:H164)</f>
        <v>7</v>
      </c>
      <c r="I165" s="37">
        <f>SUM(I139:I164)</f>
        <v>6</v>
      </c>
      <c r="J165" s="38">
        <f>SUM(J139:J164)</f>
        <v>1</v>
      </c>
      <c r="K165" s="25">
        <f t="shared" si="40"/>
        <v>20</v>
      </c>
      <c r="L165" s="36">
        <f>SUM(L139:L164)</f>
        <v>1</v>
      </c>
      <c r="M165" s="37">
        <f>SUM(M139:M164)</f>
        <v>0</v>
      </c>
      <c r="N165" s="37">
        <f>SUM(N139:N164)</f>
        <v>2</v>
      </c>
      <c r="O165" s="38">
        <f>SUM(O139:O164)</f>
        <v>1</v>
      </c>
      <c r="P165" s="25">
        <f t="shared" si="41"/>
        <v>4</v>
      </c>
      <c r="Q165" s="36">
        <f>SUM(Q139:Q164)</f>
        <v>0</v>
      </c>
      <c r="R165" s="37">
        <f>SUM(R139:R164)</f>
        <v>2</v>
      </c>
      <c r="S165" s="37">
        <f>SUM(S139:S164)</f>
        <v>1</v>
      </c>
      <c r="T165" s="38">
        <f>SUM(T139:T164)</f>
        <v>0</v>
      </c>
      <c r="U165" s="36">
        <f t="shared" si="42"/>
        <v>3</v>
      </c>
      <c r="V165" s="77">
        <f t="shared" si="43"/>
        <v>35</v>
      </c>
      <c r="W165" s="325"/>
      <c r="X165" s="326"/>
      <c r="Y165" s="326"/>
      <c r="Z165" s="326"/>
      <c r="AC165" s="9" t="s">
        <v>15</v>
      </c>
      <c r="AD165" s="36">
        <f>SUM(AD139:AD164)</f>
        <v>11</v>
      </c>
      <c r="AE165" s="37">
        <f>SUM(AE139:AE164)</f>
        <v>26</v>
      </c>
      <c r="AF165" s="37">
        <f>SUM(AF139:AF164)</f>
        <v>9</v>
      </c>
      <c r="AG165" s="38">
        <f>SUM(AG139:AG164)</f>
        <v>7</v>
      </c>
      <c r="AH165" s="25">
        <f t="shared" si="44"/>
        <v>53</v>
      </c>
      <c r="AI165" s="36">
        <f>SUM(AI139:AI164)</f>
        <v>53</v>
      </c>
      <c r="AJ165" s="37">
        <f>SUM(AJ139:AJ164)</f>
        <v>69</v>
      </c>
      <c r="AK165" s="37">
        <f>SUM(AK139:AK164)</f>
        <v>35</v>
      </c>
      <c r="AL165" s="38">
        <f>SUM(AL139:AL164)</f>
        <v>27</v>
      </c>
      <c r="AM165" s="25">
        <f t="shared" si="45"/>
        <v>184</v>
      </c>
      <c r="AN165" s="36">
        <f>SUM(AN139:AN164)</f>
        <v>0</v>
      </c>
      <c r="AO165" s="37">
        <f>SUM(AO139:AO164)</f>
        <v>0</v>
      </c>
      <c r="AP165" s="37">
        <f>SUM(AP139:AP164)</f>
        <v>4</v>
      </c>
      <c r="AQ165" s="38">
        <f>SUM(AQ139:AQ164)</f>
        <v>3</v>
      </c>
      <c r="AR165" s="25">
        <f t="shared" si="46"/>
        <v>7</v>
      </c>
      <c r="AS165" s="36">
        <f>SUM(AS139:AS164)</f>
        <v>11</v>
      </c>
      <c r="AT165" s="37">
        <f>SUM(AT139:AT164)</f>
        <v>16</v>
      </c>
      <c r="AU165" s="37">
        <f>SUM(AU139:AU164)</f>
        <v>10</v>
      </c>
      <c r="AV165" s="38">
        <f>SUM(AV139:AV164)</f>
        <v>10</v>
      </c>
      <c r="AW165" s="36">
        <f t="shared" si="47"/>
        <v>47</v>
      </c>
      <c r="AX165" s="77">
        <f t="shared" si="48"/>
        <v>291</v>
      </c>
      <c r="AY165" s="325"/>
      <c r="AZ165" s="326"/>
    </row>
    <row r="166" spans="1:52" ht="14.25" thickBot="1" x14ac:dyDescent="0.2">
      <c r="A166" s="39" t="s">
        <v>16</v>
      </c>
      <c r="B166" s="40">
        <f>B138-B165</f>
        <v>2</v>
      </c>
      <c r="C166" s="41">
        <f>C138-C165</f>
        <v>3</v>
      </c>
      <c r="D166" s="41">
        <f>D138-D165</f>
        <v>4</v>
      </c>
      <c r="E166" s="42">
        <f>E138-E165</f>
        <v>2</v>
      </c>
      <c r="F166" s="171">
        <f t="shared" si="39"/>
        <v>11</v>
      </c>
      <c r="G166" s="40">
        <f>G138-G165</f>
        <v>1</v>
      </c>
      <c r="H166" s="41">
        <f>H138-H165</f>
        <v>5</v>
      </c>
      <c r="I166" s="41">
        <f>I138-I165</f>
        <v>2</v>
      </c>
      <c r="J166" s="42">
        <f>J138-J165</f>
        <v>3</v>
      </c>
      <c r="K166" s="171">
        <f t="shared" si="40"/>
        <v>11</v>
      </c>
      <c r="L166" s="40">
        <f>L138-L165</f>
        <v>2</v>
      </c>
      <c r="M166" s="41">
        <f>M138-M165</f>
        <v>0</v>
      </c>
      <c r="N166" s="41">
        <f>N138-N165</f>
        <v>2</v>
      </c>
      <c r="O166" s="42">
        <f>O138-O165</f>
        <v>2</v>
      </c>
      <c r="P166" s="171">
        <f t="shared" si="41"/>
        <v>6</v>
      </c>
      <c r="Q166" s="40">
        <f>Q138-Q165</f>
        <v>0</v>
      </c>
      <c r="R166" s="41">
        <f>R138-R165</f>
        <v>0</v>
      </c>
      <c r="S166" s="41">
        <f>S138-S165</f>
        <v>0</v>
      </c>
      <c r="T166" s="42">
        <f>T138-T165</f>
        <v>0</v>
      </c>
      <c r="U166" s="177">
        <f t="shared" si="42"/>
        <v>0</v>
      </c>
      <c r="V166" s="77">
        <f t="shared" si="43"/>
        <v>28</v>
      </c>
      <c r="W166" s="325"/>
      <c r="X166" s="326"/>
      <c r="Y166" s="326"/>
      <c r="Z166" s="326"/>
      <c r="AC166" s="39" t="s">
        <v>16</v>
      </c>
      <c r="AD166" s="40">
        <f>AD138-AD165</f>
        <v>224</v>
      </c>
      <c r="AE166" s="41">
        <f>AE138-AE165</f>
        <v>305</v>
      </c>
      <c r="AF166" s="41">
        <f>AF138-AF165</f>
        <v>270</v>
      </c>
      <c r="AG166" s="42">
        <f>AG138-AG165</f>
        <v>193</v>
      </c>
      <c r="AH166" s="171">
        <f t="shared" si="44"/>
        <v>992</v>
      </c>
      <c r="AI166" s="40">
        <f>AI138-AI165</f>
        <v>222</v>
      </c>
      <c r="AJ166" s="41">
        <f>AJ138-AJ165</f>
        <v>302</v>
      </c>
      <c r="AK166" s="41">
        <f>AK138-AK165</f>
        <v>338</v>
      </c>
      <c r="AL166" s="42">
        <f>AL138-AL165</f>
        <v>201</v>
      </c>
      <c r="AM166" s="171">
        <f t="shared" si="45"/>
        <v>1063</v>
      </c>
      <c r="AN166" s="40">
        <f>AN138-AN165</f>
        <v>19</v>
      </c>
      <c r="AO166" s="41">
        <f>AO138-AO165</f>
        <v>0</v>
      </c>
      <c r="AP166" s="41">
        <f>AP138-AP165</f>
        <v>46</v>
      </c>
      <c r="AQ166" s="42">
        <f>AQ138-AQ165</f>
        <v>11</v>
      </c>
      <c r="AR166" s="171">
        <f t="shared" si="46"/>
        <v>76</v>
      </c>
      <c r="AS166" s="40">
        <f>AS138-AS165</f>
        <v>130</v>
      </c>
      <c r="AT166" s="41">
        <f>AT138-AT165</f>
        <v>146</v>
      </c>
      <c r="AU166" s="41">
        <f>AU138-AU165</f>
        <v>92</v>
      </c>
      <c r="AV166" s="42">
        <f>AV138-AV165</f>
        <v>94</v>
      </c>
      <c r="AW166" s="177">
        <f t="shared" si="47"/>
        <v>462</v>
      </c>
      <c r="AX166" s="77">
        <f t="shared" si="48"/>
        <v>2593</v>
      </c>
      <c r="AY166" s="325"/>
      <c r="AZ166" s="326"/>
    </row>
    <row r="167" spans="1:52" x14ac:dyDescent="0.15">
      <c r="W167" s="325"/>
      <c r="X167" s="326"/>
      <c r="Y167" s="326"/>
      <c r="Z167" s="326"/>
      <c r="AY167" s="325"/>
      <c r="AZ167" s="326"/>
    </row>
    <row r="168" spans="1:52" x14ac:dyDescent="0.15">
      <c r="W168" s="325"/>
      <c r="X168" s="326"/>
      <c r="Y168" s="326"/>
      <c r="Z168" s="326"/>
      <c r="AY168" s="325"/>
      <c r="AZ168" s="326"/>
    </row>
    <row r="169" spans="1:52" ht="19.5" thickBot="1" x14ac:dyDescent="0.25">
      <c r="A169" s="185" t="s">
        <v>19</v>
      </c>
      <c r="B169" s="186"/>
      <c r="C169" s="186"/>
      <c r="D169" s="186"/>
      <c r="E169" s="186"/>
      <c r="F169" s="18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25"/>
      <c r="X169" s="326"/>
      <c r="Y169" s="326"/>
      <c r="Z169" s="326"/>
      <c r="AC169" s="187" t="s">
        <v>73</v>
      </c>
      <c r="AD169" s="188"/>
      <c r="AE169" s="188"/>
      <c r="AF169" s="188"/>
      <c r="AG169" s="188"/>
      <c r="AH169" s="188"/>
      <c r="AI169" s="188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325"/>
      <c r="AZ169" s="326"/>
    </row>
    <row r="170" spans="1:52" ht="14.25" thickBot="1" x14ac:dyDescent="0.2">
      <c r="A170" s="3" t="s">
        <v>0</v>
      </c>
      <c r="B170" s="371" t="s">
        <v>17</v>
      </c>
      <c r="C170" s="372"/>
      <c r="D170" s="372"/>
      <c r="E170" s="372"/>
      <c r="F170" s="373"/>
      <c r="G170" s="371" t="s">
        <v>18</v>
      </c>
      <c r="H170" s="372"/>
      <c r="I170" s="372"/>
      <c r="J170" s="372"/>
      <c r="K170" s="373"/>
      <c r="L170" s="371" t="s">
        <v>38</v>
      </c>
      <c r="M170" s="372"/>
      <c r="N170" s="372"/>
      <c r="O170" s="372"/>
      <c r="P170" s="373"/>
      <c r="Q170" s="371" t="s">
        <v>75</v>
      </c>
      <c r="R170" s="372"/>
      <c r="S170" s="372"/>
      <c r="T170" s="372"/>
      <c r="U170" s="373"/>
      <c r="V170" s="360" t="s">
        <v>1</v>
      </c>
      <c r="W170" s="325"/>
      <c r="X170" s="326"/>
      <c r="Y170" s="326"/>
      <c r="Z170" s="326"/>
      <c r="AC170" s="3" t="s">
        <v>0</v>
      </c>
      <c r="AD170" s="371" t="s">
        <v>17</v>
      </c>
      <c r="AE170" s="372"/>
      <c r="AF170" s="372"/>
      <c r="AG170" s="372"/>
      <c r="AH170" s="373"/>
      <c r="AI170" s="371" t="s">
        <v>18</v>
      </c>
      <c r="AJ170" s="372"/>
      <c r="AK170" s="372"/>
      <c r="AL170" s="372"/>
      <c r="AM170" s="373"/>
      <c r="AN170" s="371" t="s">
        <v>38</v>
      </c>
      <c r="AO170" s="372"/>
      <c r="AP170" s="372"/>
      <c r="AQ170" s="372"/>
      <c r="AR170" s="373"/>
      <c r="AS170" s="371" t="s">
        <v>75</v>
      </c>
      <c r="AT170" s="372"/>
      <c r="AU170" s="372"/>
      <c r="AV170" s="372"/>
      <c r="AW170" s="373"/>
      <c r="AX170" s="360" t="s">
        <v>1</v>
      </c>
      <c r="AY170" s="325"/>
      <c r="AZ170" s="326"/>
    </row>
    <row r="171" spans="1:52" ht="14.25" thickBot="1" x14ac:dyDescent="0.2">
      <c r="A171" s="5" t="s">
        <v>2</v>
      </c>
      <c r="B171" s="6" t="s">
        <v>3</v>
      </c>
      <c r="C171" s="7" t="s">
        <v>4</v>
      </c>
      <c r="D171" s="7" t="s">
        <v>5</v>
      </c>
      <c r="E171" s="8" t="s">
        <v>6</v>
      </c>
      <c r="F171" s="5" t="s">
        <v>7</v>
      </c>
      <c r="G171" s="6" t="s">
        <v>3</v>
      </c>
      <c r="H171" s="7" t="s">
        <v>4</v>
      </c>
      <c r="I171" s="7" t="s">
        <v>5</v>
      </c>
      <c r="J171" s="8" t="s">
        <v>6</v>
      </c>
      <c r="K171" s="5" t="s">
        <v>7</v>
      </c>
      <c r="L171" s="6" t="s">
        <v>3</v>
      </c>
      <c r="M171" s="7" t="s">
        <v>4</v>
      </c>
      <c r="N171" s="7" t="s">
        <v>5</v>
      </c>
      <c r="O171" s="8" t="s">
        <v>6</v>
      </c>
      <c r="P171" s="5" t="s">
        <v>7</v>
      </c>
      <c r="Q171" s="6" t="s">
        <v>3</v>
      </c>
      <c r="R171" s="7" t="s">
        <v>4</v>
      </c>
      <c r="S171" s="7" t="s">
        <v>5</v>
      </c>
      <c r="T171" s="8" t="s">
        <v>6</v>
      </c>
      <c r="U171" s="5" t="s">
        <v>7</v>
      </c>
      <c r="V171" s="361"/>
      <c r="W171" s="325"/>
      <c r="X171" s="326"/>
      <c r="Y171" s="326"/>
      <c r="Z171" s="326"/>
      <c r="AC171" s="5" t="s">
        <v>2</v>
      </c>
      <c r="AD171" s="6" t="s">
        <v>3</v>
      </c>
      <c r="AE171" s="7" t="s">
        <v>4</v>
      </c>
      <c r="AF171" s="7" t="s">
        <v>5</v>
      </c>
      <c r="AG171" s="8" t="s">
        <v>6</v>
      </c>
      <c r="AH171" s="5" t="s">
        <v>7</v>
      </c>
      <c r="AI171" s="6" t="s">
        <v>3</v>
      </c>
      <c r="AJ171" s="7" t="s">
        <v>4</v>
      </c>
      <c r="AK171" s="7" t="s">
        <v>5</v>
      </c>
      <c r="AL171" s="8" t="s">
        <v>6</v>
      </c>
      <c r="AM171" s="5" t="s">
        <v>7</v>
      </c>
      <c r="AN171" s="6" t="s">
        <v>3</v>
      </c>
      <c r="AO171" s="7" t="s">
        <v>4</v>
      </c>
      <c r="AP171" s="7" t="s">
        <v>5</v>
      </c>
      <c r="AQ171" s="8" t="s">
        <v>6</v>
      </c>
      <c r="AR171" s="5" t="s">
        <v>7</v>
      </c>
      <c r="AS171" s="6" t="s">
        <v>3</v>
      </c>
      <c r="AT171" s="7" t="s">
        <v>4</v>
      </c>
      <c r="AU171" s="7" t="s">
        <v>5</v>
      </c>
      <c r="AV171" s="8" t="s">
        <v>6</v>
      </c>
      <c r="AW171" s="5" t="s">
        <v>7</v>
      </c>
      <c r="AX171" s="361"/>
      <c r="AY171" s="325"/>
      <c r="AZ171" s="326"/>
    </row>
    <row r="172" spans="1:52" ht="14.25" x14ac:dyDescent="0.15">
      <c r="A172" s="172" t="s">
        <v>30</v>
      </c>
      <c r="B172" s="70">
        <f>B166</f>
        <v>2</v>
      </c>
      <c r="C172" s="70">
        <f>C166</f>
        <v>3</v>
      </c>
      <c r="D172" s="70">
        <f>D166</f>
        <v>4</v>
      </c>
      <c r="E172" s="165">
        <f>E166</f>
        <v>2</v>
      </c>
      <c r="F172" s="71">
        <f t="shared" ref="F172:F208" si="49">SUM(B172:E172)</f>
        <v>11</v>
      </c>
      <c r="G172" s="70">
        <f>G166</f>
        <v>1</v>
      </c>
      <c r="H172" s="70">
        <f>H166</f>
        <v>5</v>
      </c>
      <c r="I172" s="70">
        <f>I166</f>
        <v>2</v>
      </c>
      <c r="J172" s="165">
        <f>J166</f>
        <v>3</v>
      </c>
      <c r="K172" s="71">
        <f t="shared" ref="K172:K208" si="50">SUM(G172:J172)</f>
        <v>11</v>
      </c>
      <c r="L172" s="70">
        <f>L166</f>
        <v>2</v>
      </c>
      <c r="M172" s="70">
        <f>M166</f>
        <v>0</v>
      </c>
      <c r="N172" s="70">
        <f>N166</f>
        <v>2</v>
      </c>
      <c r="O172" s="165">
        <f>O166</f>
        <v>2</v>
      </c>
      <c r="P172" s="71">
        <f t="shared" ref="P172:P208" si="51">SUM(L172:O172)</f>
        <v>6</v>
      </c>
      <c r="Q172" s="70">
        <f>Q166</f>
        <v>0</v>
      </c>
      <c r="R172" s="70">
        <f>R166</f>
        <v>0</v>
      </c>
      <c r="S172" s="70">
        <f>S166</f>
        <v>0</v>
      </c>
      <c r="T172" s="165">
        <f>T166</f>
        <v>0</v>
      </c>
      <c r="U172" s="174">
        <f t="shared" ref="U172:U208" si="52">SUM(Q172:T172)</f>
        <v>0</v>
      </c>
      <c r="V172" s="71">
        <f t="shared" ref="V172:V208" si="53">F172+K172+P172+U172</f>
        <v>28</v>
      </c>
      <c r="W172" s="325"/>
      <c r="X172" s="326"/>
      <c r="Y172" s="326"/>
      <c r="Z172" s="326"/>
      <c r="AC172" s="172" t="s">
        <v>30</v>
      </c>
      <c r="AD172" s="70">
        <f>AD166</f>
        <v>224</v>
      </c>
      <c r="AE172" s="70">
        <f>AE166</f>
        <v>305</v>
      </c>
      <c r="AF172" s="70">
        <f>AF166</f>
        <v>270</v>
      </c>
      <c r="AG172" s="165">
        <f>AG166</f>
        <v>193</v>
      </c>
      <c r="AH172" s="71">
        <f t="shared" ref="AH172:AH194" si="54">SUM(AD172:AG172)</f>
        <v>992</v>
      </c>
      <c r="AI172" s="70">
        <f>AI166</f>
        <v>222</v>
      </c>
      <c r="AJ172" s="70">
        <f>AJ166</f>
        <v>302</v>
      </c>
      <c r="AK172" s="70">
        <f>AK166</f>
        <v>338</v>
      </c>
      <c r="AL172" s="165">
        <f>AL166</f>
        <v>201</v>
      </c>
      <c r="AM172" s="71">
        <f t="shared" ref="AM172:AM194" si="55">SUM(AI172:AL172)</f>
        <v>1063</v>
      </c>
      <c r="AN172" s="70">
        <f>AN166</f>
        <v>19</v>
      </c>
      <c r="AO172" s="70">
        <f>AO166</f>
        <v>0</v>
      </c>
      <c r="AP172" s="70">
        <f>AP166</f>
        <v>46</v>
      </c>
      <c r="AQ172" s="165">
        <f>AQ166</f>
        <v>11</v>
      </c>
      <c r="AR172" s="71">
        <f t="shared" ref="AR172:AR208" si="56">SUM(AN172:AQ172)</f>
        <v>76</v>
      </c>
      <c r="AS172" s="70">
        <f>AS166</f>
        <v>130</v>
      </c>
      <c r="AT172" s="70">
        <f>AT166</f>
        <v>146</v>
      </c>
      <c r="AU172" s="70">
        <f>AU166</f>
        <v>92</v>
      </c>
      <c r="AV172" s="165">
        <f>AV166</f>
        <v>94</v>
      </c>
      <c r="AW172" s="174">
        <f t="shared" ref="AW172:AW208" si="57">SUM(AS172:AV172)</f>
        <v>462</v>
      </c>
      <c r="AX172" s="71">
        <f>AH172+AM172+AR172+AW172</f>
        <v>2593</v>
      </c>
      <c r="AY172" s="325"/>
      <c r="AZ172" s="326"/>
    </row>
    <row r="173" spans="1:52" x14ac:dyDescent="0.15">
      <c r="A173" s="53" t="s">
        <v>28</v>
      </c>
      <c r="B173" s="55"/>
      <c r="C173" s="55"/>
      <c r="D173" s="55"/>
      <c r="E173" s="166"/>
      <c r="F173" s="49">
        <f t="shared" si="49"/>
        <v>0</v>
      </c>
      <c r="G173" s="55">
        <v>3</v>
      </c>
      <c r="H173" s="55"/>
      <c r="I173" s="55"/>
      <c r="J173" s="166"/>
      <c r="K173" s="49">
        <f t="shared" si="50"/>
        <v>3</v>
      </c>
      <c r="L173" s="55"/>
      <c r="M173" s="55"/>
      <c r="N173" s="55"/>
      <c r="O173" s="166"/>
      <c r="P173" s="49">
        <f t="shared" si="51"/>
        <v>0</v>
      </c>
      <c r="Q173" s="55"/>
      <c r="R173" s="55"/>
      <c r="S173" s="55"/>
      <c r="T173" s="166"/>
      <c r="U173" s="175">
        <f t="shared" si="52"/>
        <v>0</v>
      </c>
      <c r="V173" s="56">
        <f t="shared" si="53"/>
        <v>3</v>
      </c>
      <c r="W173" s="329">
        <v>44075</v>
      </c>
      <c r="X173" s="326"/>
      <c r="Y173" s="326"/>
      <c r="Z173" s="326"/>
      <c r="AC173" s="53" t="s">
        <v>21</v>
      </c>
      <c r="AD173" s="55"/>
      <c r="AE173" s="55"/>
      <c r="AF173" s="55">
        <v>1</v>
      </c>
      <c r="AG173" s="166">
        <v>1</v>
      </c>
      <c r="AH173" s="49">
        <v>2</v>
      </c>
      <c r="AI173" s="55"/>
      <c r="AJ173" s="55"/>
      <c r="AK173" s="55">
        <v>1</v>
      </c>
      <c r="AL173" s="166">
        <v>2</v>
      </c>
      <c r="AM173" s="49">
        <v>3</v>
      </c>
      <c r="AN173" s="55"/>
      <c r="AO173" s="55"/>
      <c r="AP173" s="55"/>
      <c r="AQ173" s="166">
        <v>1</v>
      </c>
      <c r="AR173" s="49">
        <v>1</v>
      </c>
      <c r="AS173" s="55"/>
      <c r="AT173" s="55">
        <v>2</v>
      </c>
      <c r="AU173" s="55"/>
      <c r="AV173" s="166"/>
      <c r="AW173" s="175">
        <v>2</v>
      </c>
      <c r="AX173" s="56">
        <v>8</v>
      </c>
      <c r="AY173" s="329">
        <v>44100</v>
      </c>
      <c r="AZ173" s="326"/>
    </row>
    <row r="174" spans="1:52" x14ac:dyDescent="0.15">
      <c r="A174" s="53" t="s">
        <v>149</v>
      </c>
      <c r="B174" s="55"/>
      <c r="C174" s="55"/>
      <c r="D174" s="55">
        <v>1</v>
      </c>
      <c r="E174" s="166">
        <v>1</v>
      </c>
      <c r="F174" s="49">
        <f t="shared" si="49"/>
        <v>2</v>
      </c>
      <c r="G174" s="55"/>
      <c r="H174" s="55"/>
      <c r="I174" s="55">
        <v>1</v>
      </c>
      <c r="J174" s="166">
        <v>2</v>
      </c>
      <c r="K174" s="49">
        <f t="shared" si="50"/>
        <v>3</v>
      </c>
      <c r="L174" s="55"/>
      <c r="M174" s="55"/>
      <c r="N174" s="55"/>
      <c r="O174" s="166"/>
      <c r="P174" s="49">
        <f t="shared" si="51"/>
        <v>0</v>
      </c>
      <c r="Q174" s="55"/>
      <c r="R174" s="55"/>
      <c r="S174" s="55"/>
      <c r="T174" s="166"/>
      <c r="U174" s="175">
        <f t="shared" si="52"/>
        <v>0</v>
      </c>
      <c r="V174" s="56">
        <f t="shared" si="53"/>
        <v>5</v>
      </c>
      <c r="W174" s="329">
        <v>44091</v>
      </c>
      <c r="X174" s="326"/>
      <c r="Y174" s="326"/>
      <c r="Z174" s="326"/>
      <c r="AC174" s="53" t="s">
        <v>21</v>
      </c>
      <c r="AD174" s="55"/>
      <c r="AE174" s="153"/>
      <c r="AF174" s="153">
        <v>1</v>
      </c>
      <c r="AG174" s="168"/>
      <c r="AH174" s="56">
        <f t="shared" si="54"/>
        <v>1</v>
      </c>
      <c r="AI174" s="55"/>
      <c r="AJ174" s="153"/>
      <c r="AK174" s="153"/>
      <c r="AL174" s="168"/>
      <c r="AM174" s="56">
        <f t="shared" si="55"/>
        <v>0</v>
      </c>
      <c r="AN174" s="55"/>
      <c r="AO174" s="153"/>
      <c r="AP174" s="153"/>
      <c r="AQ174" s="168"/>
      <c r="AR174" s="56">
        <f t="shared" si="56"/>
        <v>0</v>
      </c>
      <c r="AS174" s="55"/>
      <c r="AT174" s="153">
        <v>1</v>
      </c>
      <c r="AU174" s="153"/>
      <c r="AV174" s="168"/>
      <c r="AW174" s="176">
        <f t="shared" si="57"/>
        <v>1</v>
      </c>
      <c r="AX174" s="56">
        <f t="shared" ref="AX174:AX208" si="58">AH174+AM174+AR174+AW174</f>
        <v>2</v>
      </c>
      <c r="AY174" s="329">
        <v>44121</v>
      </c>
      <c r="AZ174" s="326"/>
    </row>
    <row r="175" spans="1:52" x14ac:dyDescent="0.15">
      <c r="A175" s="53" t="s">
        <v>29</v>
      </c>
      <c r="B175" s="55"/>
      <c r="C175" s="55"/>
      <c r="D175" s="55"/>
      <c r="E175" s="166"/>
      <c r="F175" s="49">
        <f t="shared" si="49"/>
        <v>0</v>
      </c>
      <c r="G175" s="55"/>
      <c r="H175" s="55"/>
      <c r="I175" s="55"/>
      <c r="J175" s="166"/>
      <c r="K175" s="49">
        <f t="shared" si="50"/>
        <v>0</v>
      </c>
      <c r="L175" s="55"/>
      <c r="M175" s="55"/>
      <c r="N175" s="55"/>
      <c r="O175" s="166">
        <v>1</v>
      </c>
      <c r="P175" s="49">
        <f t="shared" si="51"/>
        <v>1</v>
      </c>
      <c r="Q175" s="55"/>
      <c r="R175" s="55">
        <v>2</v>
      </c>
      <c r="S175" s="55"/>
      <c r="T175" s="166"/>
      <c r="U175" s="175">
        <f t="shared" si="52"/>
        <v>2</v>
      </c>
      <c r="V175" s="56">
        <f t="shared" si="53"/>
        <v>3</v>
      </c>
      <c r="W175" s="328">
        <v>44091</v>
      </c>
      <c r="X175" s="326"/>
      <c r="Y175" s="326"/>
      <c r="Z175" s="326"/>
      <c r="AC175" s="53" t="s">
        <v>21</v>
      </c>
      <c r="AD175" s="55"/>
      <c r="AE175" s="153">
        <v>1</v>
      </c>
      <c r="AF175" s="153">
        <v>1</v>
      </c>
      <c r="AG175" s="168"/>
      <c r="AH175" s="56">
        <f t="shared" si="54"/>
        <v>2</v>
      </c>
      <c r="AI175" s="55">
        <v>2</v>
      </c>
      <c r="AJ175" s="153"/>
      <c r="AK175" s="153">
        <v>2</v>
      </c>
      <c r="AL175" s="168">
        <v>3</v>
      </c>
      <c r="AM175" s="56">
        <f t="shared" si="55"/>
        <v>7</v>
      </c>
      <c r="AN175" s="55"/>
      <c r="AO175" s="153"/>
      <c r="AP175" s="153"/>
      <c r="AQ175" s="168"/>
      <c r="AR175" s="56">
        <f t="shared" si="56"/>
        <v>0</v>
      </c>
      <c r="AS175" s="55"/>
      <c r="AT175" s="153"/>
      <c r="AU175" s="153"/>
      <c r="AV175" s="168"/>
      <c r="AW175" s="176">
        <f t="shared" si="57"/>
        <v>0</v>
      </c>
      <c r="AX175" s="56">
        <f t="shared" si="58"/>
        <v>9</v>
      </c>
      <c r="AY175" s="329">
        <v>44124</v>
      </c>
      <c r="AZ175" s="326"/>
    </row>
    <row r="176" spans="1:52" x14ac:dyDescent="0.15">
      <c r="A176" s="53" t="s">
        <v>28</v>
      </c>
      <c r="B176" s="63"/>
      <c r="C176" s="63"/>
      <c r="D176" s="63"/>
      <c r="E176" s="167"/>
      <c r="F176" s="64">
        <f t="shared" si="49"/>
        <v>0</v>
      </c>
      <c r="G176" s="63"/>
      <c r="H176" s="63"/>
      <c r="I176" s="63">
        <v>3</v>
      </c>
      <c r="J176" s="167"/>
      <c r="K176" s="64">
        <f t="shared" si="50"/>
        <v>3</v>
      </c>
      <c r="L176" s="63"/>
      <c r="M176" s="63"/>
      <c r="N176" s="63"/>
      <c r="O176" s="167"/>
      <c r="P176" s="64">
        <f t="shared" si="51"/>
        <v>0</v>
      </c>
      <c r="Q176" s="63"/>
      <c r="R176" s="63"/>
      <c r="S176" s="63"/>
      <c r="T176" s="167"/>
      <c r="U176" s="162">
        <f t="shared" si="52"/>
        <v>0</v>
      </c>
      <c r="V176" s="56">
        <f t="shared" si="53"/>
        <v>3</v>
      </c>
      <c r="W176" s="329">
        <v>44103</v>
      </c>
      <c r="X176" s="326"/>
      <c r="Y176" s="326"/>
      <c r="Z176" s="326"/>
      <c r="AC176" s="53" t="s">
        <v>28</v>
      </c>
      <c r="AD176" s="63"/>
      <c r="AE176" s="63"/>
      <c r="AF176" s="63"/>
      <c r="AG176" s="167"/>
      <c r="AH176" s="64">
        <f t="shared" si="54"/>
        <v>0</v>
      </c>
      <c r="AI176" s="63"/>
      <c r="AJ176" s="63"/>
      <c r="AK176" s="63"/>
      <c r="AL176" s="167"/>
      <c r="AM176" s="64">
        <f t="shared" si="55"/>
        <v>0</v>
      </c>
      <c r="AN176" s="63"/>
      <c r="AO176" s="63"/>
      <c r="AP176" s="63"/>
      <c r="AQ176" s="167"/>
      <c r="AR176" s="64">
        <f t="shared" si="56"/>
        <v>0</v>
      </c>
      <c r="AS176" s="63"/>
      <c r="AT176" s="63"/>
      <c r="AU176" s="63"/>
      <c r="AV176" s="167"/>
      <c r="AW176" s="162">
        <f t="shared" si="57"/>
        <v>0</v>
      </c>
      <c r="AX176" s="56">
        <f t="shared" si="58"/>
        <v>0</v>
      </c>
      <c r="AY176" s="330"/>
      <c r="AZ176" s="326"/>
    </row>
    <row r="177" spans="1:52" x14ac:dyDescent="0.15">
      <c r="A177" s="53" t="s">
        <v>28</v>
      </c>
      <c r="B177" s="55"/>
      <c r="C177" s="153"/>
      <c r="D177" s="153">
        <v>2</v>
      </c>
      <c r="E177" s="168"/>
      <c r="F177" s="56">
        <f t="shared" si="49"/>
        <v>2</v>
      </c>
      <c r="G177" s="55"/>
      <c r="H177" s="153">
        <v>2</v>
      </c>
      <c r="I177" s="153"/>
      <c r="J177" s="168"/>
      <c r="K177" s="56">
        <f t="shared" si="50"/>
        <v>2</v>
      </c>
      <c r="L177" s="55"/>
      <c r="M177" s="153"/>
      <c r="N177" s="153"/>
      <c r="O177" s="168"/>
      <c r="P177" s="56">
        <f t="shared" si="51"/>
        <v>0</v>
      </c>
      <c r="Q177" s="55"/>
      <c r="R177" s="153"/>
      <c r="S177" s="153"/>
      <c r="T177" s="168"/>
      <c r="U177" s="176">
        <f t="shared" si="52"/>
        <v>0</v>
      </c>
      <c r="V177" s="56">
        <f t="shared" si="53"/>
        <v>4</v>
      </c>
      <c r="W177" s="329">
        <v>44107</v>
      </c>
      <c r="X177" s="326"/>
      <c r="Y177" s="326"/>
      <c r="Z177" s="326"/>
      <c r="AC177" s="53" t="s">
        <v>28</v>
      </c>
      <c r="AD177" s="55"/>
      <c r="AE177" s="153"/>
      <c r="AF177" s="153"/>
      <c r="AG177" s="168"/>
      <c r="AH177" s="56">
        <f t="shared" si="54"/>
        <v>0</v>
      </c>
      <c r="AI177" s="55"/>
      <c r="AJ177" s="153"/>
      <c r="AK177" s="153"/>
      <c r="AL177" s="168"/>
      <c r="AM177" s="56">
        <f t="shared" si="55"/>
        <v>0</v>
      </c>
      <c r="AN177" s="55"/>
      <c r="AO177" s="153"/>
      <c r="AP177" s="153"/>
      <c r="AQ177" s="168"/>
      <c r="AR177" s="56">
        <f t="shared" si="56"/>
        <v>0</v>
      </c>
      <c r="AS177" s="55"/>
      <c r="AT177" s="153"/>
      <c r="AU177" s="153"/>
      <c r="AV177" s="168"/>
      <c r="AW177" s="176">
        <f t="shared" si="57"/>
        <v>0</v>
      </c>
      <c r="AX177" s="56">
        <f t="shared" si="58"/>
        <v>0</v>
      </c>
      <c r="AY177" s="330"/>
      <c r="AZ177" s="326"/>
    </row>
    <row r="178" spans="1:52" x14ac:dyDescent="0.15">
      <c r="A178" s="53" t="s">
        <v>149</v>
      </c>
      <c r="B178" s="55"/>
      <c r="C178" s="153">
        <v>1</v>
      </c>
      <c r="D178" s="153">
        <v>1</v>
      </c>
      <c r="E178" s="168"/>
      <c r="F178" s="56">
        <f t="shared" si="49"/>
        <v>2</v>
      </c>
      <c r="G178" s="55">
        <v>5</v>
      </c>
      <c r="H178" s="153">
        <v>3</v>
      </c>
      <c r="I178" s="153">
        <v>2</v>
      </c>
      <c r="J178" s="168">
        <v>3</v>
      </c>
      <c r="K178" s="56">
        <f t="shared" si="50"/>
        <v>13</v>
      </c>
      <c r="L178" s="55"/>
      <c r="M178" s="153"/>
      <c r="N178" s="153"/>
      <c r="O178" s="168"/>
      <c r="P178" s="56">
        <f t="shared" si="51"/>
        <v>0</v>
      </c>
      <c r="Q178" s="55"/>
      <c r="R178" s="153"/>
      <c r="S178" s="153"/>
      <c r="T178" s="168"/>
      <c r="U178" s="176">
        <f t="shared" si="52"/>
        <v>0</v>
      </c>
      <c r="V178" s="56">
        <f t="shared" si="53"/>
        <v>15</v>
      </c>
      <c r="W178" s="329">
        <v>44124</v>
      </c>
      <c r="X178" s="326"/>
      <c r="Y178" s="326"/>
      <c r="Z178" s="326"/>
      <c r="AC178" s="53" t="s">
        <v>28</v>
      </c>
      <c r="AD178" s="55"/>
      <c r="AE178" s="153"/>
      <c r="AF178" s="153"/>
      <c r="AG178" s="168"/>
      <c r="AH178" s="56">
        <f t="shared" si="54"/>
        <v>0</v>
      </c>
      <c r="AI178" s="55"/>
      <c r="AJ178" s="153"/>
      <c r="AK178" s="153"/>
      <c r="AL178" s="168"/>
      <c r="AM178" s="56">
        <f t="shared" si="55"/>
        <v>0</v>
      </c>
      <c r="AN178" s="55"/>
      <c r="AO178" s="153"/>
      <c r="AP178" s="153"/>
      <c r="AQ178" s="168"/>
      <c r="AR178" s="56">
        <f t="shared" si="56"/>
        <v>0</v>
      </c>
      <c r="AS178" s="55"/>
      <c r="AT178" s="153"/>
      <c r="AU178" s="153"/>
      <c r="AV178" s="168"/>
      <c r="AW178" s="176">
        <f t="shared" si="57"/>
        <v>0</v>
      </c>
      <c r="AX178" s="56">
        <f t="shared" si="58"/>
        <v>0</v>
      </c>
      <c r="AY178" s="330"/>
      <c r="AZ178" s="326"/>
    </row>
    <row r="179" spans="1:52" ht="14.25" thickBot="1" x14ac:dyDescent="0.2">
      <c r="A179" s="53" t="s">
        <v>29</v>
      </c>
      <c r="B179" s="63"/>
      <c r="C179" s="164"/>
      <c r="D179" s="164">
        <v>1</v>
      </c>
      <c r="E179" s="169"/>
      <c r="F179" s="170">
        <f t="shared" si="49"/>
        <v>1</v>
      </c>
      <c r="G179" s="63"/>
      <c r="H179" s="164"/>
      <c r="I179" s="164"/>
      <c r="J179" s="169"/>
      <c r="K179" s="170">
        <f t="shared" si="50"/>
        <v>0</v>
      </c>
      <c r="L179" s="63"/>
      <c r="M179" s="164"/>
      <c r="N179" s="164"/>
      <c r="O179" s="169"/>
      <c r="P179" s="170">
        <f t="shared" si="51"/>
        <v>0</v>
      </c>
      <c r="Q179" s="63"/>
      <c r="R179" s="164">
        <v>1</v>
      </c>
      <c r="S179" s="164"/>
      <c r="T179" s="169"/>
      <c r="U179" s="179">
        <f t="shared" si="52"/>
        <v>1</v>
      </c>
      <c r="V179" s="170">
        <f t="shared" si="53"/>
        <v>2</v>
      </c>
      <c r="W179" s="329">
        <v>44120</v>
      </c>
      <c r="X179" s="326"/>
      <c r="Y179" s="326"/>
      <c r="Z179" s="326"/>
      <c r="AC179" s="173" t="s">
        <v>28</v>
      </c>
      <c r="AD179" s="63"/>
      <c r="AE179" s="164"/>
      <c r="AF179" s="164"/>
      <c r="AG179" s="169"/>
      <c r="AH179" s="170">
        <f t="shared" si="54"/>
        <v>0</v>
      </c>
      <c r="AI179" s="63"/>
      <c r="AJ179" s="164"/>
      <c r="AK179" s="164"/>
      <c r="AL179" s="169"/>
      <c r="AM179" s="170">
        <f t="shared" si="55"/>
        <v>0</v>
      </c>
      <c r="AN179" s="63"/>
      <c r="AO179" s="164"/>
      <c r="AP179" s="164"/>
      <c r="AQ179" s="169"/>
      <c r="AR179" s="170">
        <f t="shared" si="56"/>
        <v>0</v>
      </c>
      <c r="AS179" s="63"/>
      <c r="AT179" s="164"/>
      <c r="AU179" s="164"/>
      <c r="AV179" s="169"/>
      <c r="AW179" s="179">
        <f t="shared" si="57"/>
        <v>0</v>
      </c>
      <c r="AX179" s="170">
        <f t="shared" si="58"/>
        <v>0</v>
      </c>
      <c r="AY179" s="330"/>
      <c r="AZ179" s="326"/>
    </row>
    <row r="180" spans="1:52" ht="15" thickBot="1" x14ac:dyDescent="0.2">
      <c r="A180" s="181" t="s">
        <v>14</v>
      </c>
      <c r="B180" s="182">
        <f>SUM(B172:B179)</f>
        <v>2</v>
      </c>
      <c r="C180" s="183">
        <f>SUM(C172:C179)</f>
        <v>4</v>
      </c>
      <c r="D180" s="183">
        <f>SUM(D172:D179)</f>
        <v>9</v>
      </c>
      <c r="E180" s="184">
        <f>SUM(E172:E179)</f>
        <v>3</v>
      </c>
      <c r="F180" s="77">
        <f t="shared" si="49"/>
        <v>18</v>
      </c>
      <c r="G180" s="182">
        <f>SUM(G172:G179)</f>
        <v>9</v>
      </c>
      <c r="H180" s="183">
        <f>SUM(H172:H179)</f>
        <v>10</v>
      </c>
      <c r="I180" s="183">
        <f>SUM(I172:I179)</f>
        <v>8</v>
      </c>
      <c r="J180" s="184">
        <f>SUM(J172:J179)</f>
        <v>8</v>
      </c>
      <c r="K180" s="77">
        <f t="shared" si="50"/>
        <v>35</v>
      </c>
      <c r="L180" s="182">
        <f>SUM(L172:L179)</f>
        <v>2</v>
      </c>
      <c r="M180" s="183">
        <f>SUM(M172:M179)</f>
        <v>0</v>
      </c>
      <c r="N180" s="183">
        <f>SUM(N172:N179)</f>
        <v>2</v>
      </c>
      <c r="O180" s="184">
        <f>SUM(O172:O179)</f>
        <v>3</v>
      </c>
      <c r="P180" s="77">
        <f t="shared" si="51"/>
        <v>7</v>
      </c>
      <c r="Q180" s="182">
        <f>SUM(Q172:Q179)</f>
        <v>0</v>
      </c>
      <c r="R180" s="183">
        <f>SUM(R172:R179)</f>
        <v>3</v>
      </c>
      <c r="S180" s="183">
        <f>SUM(S172:S179)</f>
        <v>0</v>
      </c>
      <c r="T180" s="184">
        <f>SUM(T172:T179)</f>
        <v>0</v>
      </c>
      <c r="U180" s="182">
        <f t="shared" si="52"/>
        <v>3</v>
      </c>
      <c r="V180" s="77">
        <f t="shared" si="53"/>
        <v>63</v>
      </c>
      <c r="W180" s="325"/>
      <c r="X180" s="326"/>
      <c r="Y180" s="326"/>
      <c r="Z180" s="326"/>
      <c r="AC180" s="181" t="s">
        <v>14</v>
      </c>
      <c r="AD180" s="182">
        <f>SUM(AD172:AD179)</f>
        <v>224</v>
      </c>
      <c r="AE180" s="183">
        <f>SUM(AE172:AE179)</f>
        <v>306</v>
      </c>
      <c r="AF180" s="183">
        <f>SUM(AF172:AF179)</f>
        <v>273</v>
      </c>
      <c r="AG180" s="184">
        <f>SUM(AG172:AG179)</f>
        <v>194</v>
      </c>
      <c r="AH180" s="77">
        <f t="shared" si="54"/>
        <v>997</v>
      </c>
      <c r="AI180" s="182">
        <f>SUM(AI172:AI179)</f>
        <v>224</v>
      </c>
      <c r="AJ180" s="183">
        <f>SUM(AJ172:AJ179)</f>
        <v>302</v>
      </c>
      <c r="AK180" s="183">
        <f>SUM(AK172:AK179)</f>
        <v>341</v>
      </c>
      <c r="AL180" s="184">
        <f>SUM(AL172:AL179)</f>
        <v>206</v>
      </c>
      <c r="AM180" s="77">
        <f t="shared" si="55"/>
        <v>1073</v>
      </c>
      <c r="AN180" s="182">
        <f>SUM(AN172:AN179)</f>
        <v>19</v>
      </c>
      <c r="AO180" s="183">
        <f>SUM(AO172:AO179)</f>
        <v>0</v>
      </c>
      <c r="AP180" s="183">
        <f>SUM(AP172:AP179)</f>
        <v>46</v>
      </c>
      <c r="AQ180" s="184">
        <f>SUM(AQ172:AQ179)</f>
        <v>12</v>
      </c>
      <c r="AR180" s="77">
        <f t="shared" si="56"/>
        <v>77</v>
      </c>
      <c r="AS180" s="182">
        <f>SUM(AS172:AS179)</f>
        <v>130</v>
      </c>
      <c r="AT180" s="183">
        <f>SUM(AT172:AT179)</f>
        <v>149</v>
      </c>
      <c r="AU180" s="183">
        <f>SUM(AU172:AU179)</f>
        <v>92</v>
      </c>
      <c r="AV180" s="184">
        <f>SUM(AV172:AV179)</f>
        <v>94</v>
      </c>
      <c r="AW180" s="182">
        <f t="shared" si="57"/>
        <v>465</v>
      </c>
      <c r="AX180" s="77">
        <f t="shared" si="58"/>
        <v>2612</v>
      </c>
      <c r="AY180" s="325"/>
      <c r="AZ180" s="326"/>
    </row>
    <row r="181" spans="1:52" x14ac:dyDescent="0.15">
      <c r="A181" s="53" t="s">
        <v>178</v>
      </c>
      <c r="B181" s="46"/>
      <c r="C181" s="47"/>
      <c r="D181" s="47"/>
      <c r="E181" s="47"/>
      <c r="F181" s="48">
        <f t="shared" si="49"/>
        <v>0</v>
      </c>
      <c r="G181" s="46">
        <v>1</v>
      </c>
      <c r="H181" s="47"/>
      <c r="I181" s="47"/>
      <c r="J181" s="47"/>
      <c r="K181" s="48">
        <f t="shared" si="50"/>
        <v>1</v>
      </c>
      <c r="L181" s="46"/>
      <c r="M181" s="47"/>
      <c r="N181" s="47"/>
      <c r="O181" s="47">
        <v>1</v>
      </c>
      <c r="P181" s="48">
        <f t="shared" si="51"/>
        <v>1</v>
      </c>
      <c r="Q181" s="46"/>
      <c r="R181" s="47"/>
      <c r="S181" s="47"/>
      <c r="T181" s="47"/>
      <c r="U181" s="180">
        <f t="shared" si="52"/>
        <v>0</v>
      </c>
      <c r="V181" s="49">
        <f t="shared" si="53"/>
        <v>2</v>
      </c>
      <c r="W181" s="329">
        <v>44075</v>
      </c>
      <c r="X181" s="326"/>
      <c r="Y181" s="326"/>
      <c r="Z181" s="326"/>
      <c r="AC181" s="66" t="s">
        <v>99</v>
      </c>
      <c r="AD181" s="46"/>
      <c r="AE181" s="47"/>
      <c r="AF181" s="47"/>
      <c r="AG181" s="47"/>
      <c r="AH181" s="48">
        <f t="shared" si="54"/>
        <v>0</v>
      </c>
      <c r="AI181" s="46">
        <v>3</v>
      </c>
      <c r="AJ181" s="47"/>
      <c r="AK181" s="47"/>
      <c r="AL181" s="47"/>
      <c r="AM181" s="48">
        <f t="shared" si="55"/>
        <v>3</v>
      </c>
      <c r="AN181" s="46"/>
      <c r="AO181" s="47"/>
      <c r="AP181" s="47"/>
      <c r="AQ181" s="47"/>
      <c r="AR181" s="48">
        <f t="shared" si="56"/>
        <v>0</v>
      </c>
      <c r="AS181" s="46"/>
      <c r="AT181" s="47"/>
      <c r="AU181" s="47"/>
      <c r="AV181" s="47"/>
      <c r="AW181" s="180">
        <f t="shared" si="57"/>
        <v>0</v>
      </c>
      <c r="AX181" s="49">
        <f t="shared" si="58"/>
        <v>3</v>
      </c>
      <c r="AY181" s="329">
        <v>44075</v>
      </c>
      <c r="AZ181" s="326"/>
    </row>
    <row r="182" spans="1:52" x14ac:dyDescent="0.15">
      <c r="A182" s="53" t="s">
        <v>178</v>
      </c>
      <c r="B182" s="54"/>
      <c r="C182" s="55"/>
      <c r="D182" s="55"/>
      <c r="E182" s="55"/>
      <c r="F182" s="56">
        <f t="shared" si="49"/>
        <v>0</v>
      </c>
      <c r="G182" s="54"/>
      <c r="H182" s="55">
        <v>1</v>
      </c>
      <c r="I182" s="55"/>
      <c r="J182" s="55"/>
      <c r="K182" s="56">
        <f t="shared" si="50"/>
        <v>1</v>
      </c>
      <c r="L182" s="54"/>
      <c r="M182" s="55"/>
      <c r="N182" s="55"/>
      <c r="O182" s="55"/>
      <c r="P182" s="56">
        <f t="shared" si="51"/>
        <v>0</v>
      </c>
      <c r="Q182" s="54"/>
      <c r="R182" s="55"/>
      <c r="S182" s="55"/>
      <c r="T182" s="55"/>
      <c r="U182" s="176">
        <f t="shared" si="52"/>
        <v>0</v>
      </c>
      <c r="V182" s="56">
        <f t="shared" si="53"/>
        <v>1</v>
      </c>
      <c r="W182" s="329">
        <v>44079</v>
      </c>
      <c r="X182" s="326"/>
      <c r="Y182" s="326"/>
      <c r="Z182" s="326"/>
      <c r="AC182" s="53" t="s">
        <v>205</v>
      </c>
      <c r="AD182" s="54"/>
      <c r="AE182" s="55"/>
      <c r="AF182" s="55"/>
      <c r="AG182" s="55"/>
      <c r="AH182" s="56">
        <f t="shared" si="54"/>
        <v>0</v>
      </c>
      <c r="AI182" s="54"/>
      <c r="AJ182" s="55"/>
      <c r="AK182" s="55"/>
      <c r="AL182" s="55"/>
      <c r="AM182" s="56">
        <f t="shared" si="55"/>
        <v>0</v>
      </c>
      <c r="AN182" s="54"/>
      <c r="AO182" s="55"/>
      <c r="AP182" s="55"/>
      <c r="AQ182" s="55"/>
      <c r="AR182" s="56">
        <f t="shared" si="56"/>
        <v>0</v>
      </c>
      <c r="AS182" s="54"/>
      <c r="AT182" s="55">
        <v>3</v>
      </c>
      <c r="AU182" s="55"/>
      <c r="AV182" s="55"/>
      <c r="AW182" s="176">
        <f t="shared" si="57"/>
        <v>3</v>
      </c>
      <c r="AX182" s="56">
        <f t="shared" si="58"/>
        <v>3</v>
      </c>
      <c r="AY182" s="329">
        <v>44082</v>
      </c>
      <c r="AZ182" s="326"/>
    </row>
    <row r="183" spans="1:52" x14ac:dyDescent="0.15">
      <c r="A183" s="53" t="s">
        <v>178</v>
      </c>
      <c r="B183" s="54"/>
      <c r="C183" s="55"/>
      <c r="D183" s="55"/>
      <c r="E183" s="55"/>
      <c r="F183" s="56">
        <f t="shared" si="49"/>
        <v>0</v>
      </c>
      <c r="G183" s="54"/>
      <c r="H183" s="55">
        <v>1</v>
      </c>
      <c r="I183" s="55"/>
      <c r="J183" s="55"/>
      <c r="K183" s="56">
        <f t="shared" si="50"/>
        <v>1</v>
      </c>
      <c r="L183" s="54"/>
      <c r="M183" s="55"/>
      <c r="N183" s="55"/>
      <c r="O183" s="55"/>
      <c r="P183" s="56">
        <f t="shared" si="51"/>
        <v>0</v>
      </c>
      <c r="Q183" s="54"/>
      <c r="R183" s="55"/>
      <c r="S183" s="55"/>
      <c r="T183" s="55"/>
      <c r="U183" s="176">
        <f t="shared" si="52"/>
        <v>0</v>
      </c>
      <c r="V183" s="56">
        <f t="shared" si="53"/>
        <v>1</v>
      </c>
      <c r="W183" s="329">
        <v>44082</v>
      </c>
      <c r="X183" s="326"/>
      <c r="Y183" s="326"/>
      <c r="Z183" s="326"/>
      <c r="AC183" s="53" t="s">
        <v>206</v>
      </c>
      <c r="AD183" s="54"/>
      <c r="AE183" s="55"/>
      <c r="AF183" s="55"/>
      <c r="AG183" s="55"/>
      <c r="AH183" s="56">
        <f t="shared" si="54"/>
        <v>0</v>
      </c>
      <c r="AI183" s="54"/>
      <c r="AJ183" s="55"/>
      <c r="AK183" s="55"/>
      <c r="AL183" s="55"/>
      <c r="AM183" s="56">
        <f t="shared" si="55"/>
        <v>0</v>
      </c>
      <c r="AN183" s="54"/>
      <c r="AO183" s="55"/>
      <c r="AP183" s="55"/>
      <c r="AQ183" s="55"/>
      <c r="AR183" s="56">
        <f t="shared" si="56"/>
        <v>0</v>
      </c>
      <c r="AS183" s="54"/>
      <c r="AT183" s="55"/>
      <c r="AU183" s="55"/>
      <c r="AV183" s="55">
        <v>3</v>
      </c>
      <c r="AW183" s="176">
        <f t="shared" si="57"/>
        <v>3</v>
      </c>
      <c r="AX183" s="56">
        <f t="shared" si="58"/>
        <v>3</v>
      </c>
      <c r="AY183" s="329">
        <v>44082</v>
      </c>
      <c r="AZ183" s="326"/>
    </row>
    <row r="184" spans="1:52" x14ac:dyDescent="0.15">
      <c r="A184" s="53" t="s">
        <v>177</v>
      </c>
      <c r="B184" s="54"/>
      <c r="C184" s="55">
        <v>1</v>
      </c>
      <c r="D184" s="55"/>
      <c r="E184" s="55"/>
      <c r="F184" s="56">
        <f t="shared" si="49"/>
        <v>1</v>
      </c>
      <c r="G184" s="54"/>
      <c r="H184" s="55"/>
      <c r="I184" s="55"/>
      <c r="J184" s="55"/>
      <c r="K184" s="56">
        <f t="shared" si="50"/>
        <v>0</v>
      </c>
      <c r="L184" s="54"/>
      <c r="M184" s="55"/>
      <c r="N184" s="55"/>
      <c r="O184" s="55"/>
      <c r="P184" s="56">
        <f t="shared" si="51"/>
        <v>0</v>
      </c>
      <c r="Q184" s="54"/>
      <c r="R184" s="55"/>
      <c r="S184" s="55"/>
      <c r="T184" s="55"/>
      <c r="U184" s="176">
        <f t="shared" si="52"/>
        <v>0</v>
      </c>
      <c r="V184" s="56">
        <f t="shared" si="53"/>
        <v>1</v>
      </c>
      <c r="W184" s="328">
        <v>44081</v>
      </c>
      <c r="X184" s="326"/>
      <c r="Y184" s="326"/>
      <c r="Z184" s="326"/>
      <c r="AC184" s="266" t="s">
        <v>207</v>
      </c>
      <c r="AD184" s="54"/>
      <c r="AE184" s="55"/>
      <c r="AF184" s="55"/>
      <c r="AG184" s="55"/>
      <c r="AH184" s="56">
        <f t="shared" si="54"/>
        <v>0</v>
      </c>
      <c r="AI184" s="54"/>
      <c r="AJ184" s="55"/>
      <c r="AK184" s="55"/>
      <c r="AL184" s="55"/>
      <c r="AM184" s="56">
        <f t="shared" si="55"/>
        <v>0</v>
      </c>
      <c r="AN184" s="54"/>
      <c r="AO184" s="55"/>
      <c r="AP184" s="55"/>
      <c r="AQ184" s="55"/>
      <c r="AR184" s="56">
        <f t="shared" si="56"/>
        <v>0</v>
      </c>
      <c r="AS184" s="54"/>
      <c r="AT184" s="55"/>
      <c r="AU184" s="55">
        <v>2</v>
      </c>
      <c r="AV184" s="55"/>
      <c r="AW184" s="176">
        <f t="shared" si="57"/>
        <v>2</v>
      </c>
      <c r="AX184" s="56">
        <f t="shared" si="58"/>
        <v>2</v>
      </c>
      <c r="AY184" s="329">
        <v>44082</v>
      </c>
      <c r="AZ184" s="326"/>
    </row>
    <row r="185" spans="1:52" x14ac:dyDescent="0.15">
      <c r="A185" s="53" t="s">
        <v>177</v>
      </c>
      <c r="B185" s="54"/>
      <c r="C185" s="55"/>
      <c r="D185" s="55"/>
      <c r="E185" s="55"/>
      <c r="F185" s="56">
        <f t="shared" si="49"/>
        <v>0</v>
      </c>
      <c r="G185" s="54"/>
      <c r="H185" s="55"/>
      <c r="I185" s="55">
        <v>1</v>
      </c>
      <c r="J185" s="55"/>
      <c r="K185" s="56">
        <f t="shared" si="50"/>
        <v>1</v>
      </c>
      <c r="L185" s="54"/>
      <c r="M185" s="55"/>
      <c r="N185" s="55"/>
      <c r="O185" s="55"/>
      <c r="P185" s="56">
        <f t="shared" si="51"/>
        <v>0</v>
      </c>
      <c r="Q185" s="54"/>
      <c r="R185" s="55"/>
      <c r="S185" s="55"/>
      <c r="T185" s="55"/>
      <c r="U185" s="176">
        <f t="shared" si="52"/>
        <v>0</v>
      </c>
      <c r="V185" s="56">
        <f t="shared" si="53"/>
        <v>1</v>
      </c>
      <c r="W185" s="329">
        <v>44085</v>
      </c>
      <c r="X185" s="326"/>
      <c r="Y185" s="326"/>
      <c r="Z185" s="326"/>
      <c r="AC185" s="66" t="s">
        <v>208</v>
      </c>
      <c r="AD185" s="54">
        <v>1</v>
      </c>
      <c r="AE185" s="55"/>
      <c r="AF185" s="55"/>
      <c r="AG185" s="55"/>
      <c r="AH185" s="56">
        <f t="shared" si="54"/>
        <v>1</v>
      </c>
      <c r="AI185" s="54">
        <v>3</v>
      </c>
      <c r="AJ185" s="55">
        <v>30</v>
      </c>
      <c r="AK185" s="55">
        <v>15</v>
      </c>
      <c r="AL185" s="55">
        <v>37</v>
      </c>
      <c r="AM185" s="56">
        <f t="shared" si="55"/>
        <v>85</v>
      </c>
      <c r="AN185" s="54"/>
      <c r="AO185" s="55"/>
      <c r="AP185" s="55"/>
      <c r="AQ185" s="55"/>
      <c r="AR185" s="56">
        <f t="shared" si="56"/>
        <v>0</v>
      </c>
      <c r="AS185" s="54"/>
      <c r="AT185" s="55"/>
      <c r="AU185" s="55"/>
      <c r="AV185" s="55"/>
      <c r="AW185" s="176">
        <f t="shared" si="57"/>
        <v>0</v>
      </c>
      <c r="AX185" s="56">
        <f t="shared" si="58"/>
        <v>86</v>
      </c>
      <c r="AY185" s="329">
        <v>44086</v>
      </c>
      <c r="AZ185" s="326"/>
    </row>
    <row r="186" spans="1:52" x14ac:dyDescent="0.15">
      <c r="A186" s="53" t="s">
        <v>178</v>
      </c>
      <c r="B186" s="54"/>
      <c r="C186" s="55"/>
      <c r="D186" s="55">
        <v>1</v>
      </c>
      <c r="E186" s="55"/>
      <c r="F186" s="56">
        <f t="shared" si="49"/>
        <v>1</v>
      </c>
      <c r="G186" s="54"/>
      <c r="H186" s="55"/>
      <c r="I186" s="55"/>
      <c r="J186" s="55"/>
      <c r="K186" s="56">
        <f t="shared" si="50"/>
        <v>0</v>
      </c>
      <c r="L186" s="54"/>
      <c r="M186" s="55"/>
      <c r="N186" s="55"/>
      <c r="O186" s="55"/>
      <c r="P186" s="56">
        <f t="shared" si="51"/>
        <v>0</v>
      </c>
      <c r="Q186" s="54"/>
      <c r="R186" s="55"/>
      <c r="S186" s="55"/>
      <c r="T186" s="55"/>
      <c r="U186" s="176">
        <f t="shared" si="52"/>
        <v>0</v>
      </c>
      <c r="V186" s="56">
        <f t="shared" si="53"/>
        <v>1</v>
      </c>
      <c r="W186" s="329">
        <v>44091</v>
      </c>
      <c r="X186" s="326"/>
      <c r="Y186" s="326"/>
      <c r="Z186" s="326"/>
      <c r="AC186" s="65" t="s">
        <v>209</v>
      </c>
      <c r="AD186" s="54"/>
      <c r="AE186" s="55">
        <v>1</v>
      </c>
      <c r="AF186" s="55"/>
      <c r="AG186" s="55"/>
      <c r="AH186" s="56">
        <f t="shared" si="54"/>
        <v>1</v>
      </c>
      <c r="AI186" s="54"/>
      <c r="AJ186" s="55"/>
      <c r="AK186" s="55"/>
      <c r="AL186" s="55"/>
      <c r="AM186" s="56">
        <f t="shared" si="55"/>
        <v>0</v>
      </c>
      <c r="AN186" s="54"/>
      <c r="AO186" s="55"/>
      <c r="AP186" s="55"/>
      <c r="AQ186" s="55"/>
      <c r="AR186" s="56">
        <f t="shared" si="56"/>
        <v>0</v>
      </c>
      <c r="AS186" s="54"/>
      <c r="AT186" s="55"/>
      <c r="AU186" s="55"/>
      <c r="AV186" s="55"/>
      <c r="AW186" s="176">
        <f t="shared" si="57"/>
        <v>0</v>
      </c>
      <c r="AX186" s="56">
        <f t="shared" si="58"/>
        <v>1</v>
      </c>
      <c r="AY186" s="329">
        <v>44097</v>
      </c>
      <c r="AZ186" s="326"/>
    </row>
    <row r="187" spans="1:52" x14ac:dyDescent="0.15">
      <c r="A187" s="53" t="s">
        <v>177</v>
      </c>
      <c r="B187" s="54"/>
      <c r="C187" s="55"/>
      <c r="D187" s="55">
        <v>1</v>
      </c>
      <c r="E187" s="55"/>
      <c r="F187" s="56">
        <f t="shared" si="49"/>
        <v>1</v>
      </c>
      <c r="G187" s="54"/>
      <c r="H187" s="55"/>
      <c r="I187" s="55"/>
      <c r="J187" s="55"/>
      <c r="K187" s="56">
        <f t="shared" si="50"/>
        <v>0</v>
      </c>
      <c r="L187" s="54"/>
      <c r="M187" s="55"/>
      <c r="N187" s="55"/>
      <c r="O187" s="55"/>
      <c r="P187" s="56">
        <f t="shared" si="51"/>
        <v>0</v>
      </c>
      <c r="Q187" s="54"/>
      <c r="R187" s="55"/>
      <c r="S187" s="55"/>
      <c r="T187" s="55"/>
      <c r="U187" s="176">
        <f t="shared" si="52"/>
        <v>0</v>
      </c>
      <c r="V187" s="56">
        <f t="shared" si="53"/>
        <v>1</v>
      </c>
      <c r="W187" s="329">
        <v>44090</v>
      </c>
      <c r="X187" s="326"/>
      <c r="Y187" s="326"/>
      <c r="Z187" s="326"/>
      <c r="AC187" s="66" t="s">
        <v>210</v>
      </c>
      <c r="AD187" s="54"/>
      <c r="AE187" s="55"/>
      <c r="AF187" s="55"/>
      <c r="AG187" s="55"/>
      <c r="AH187" s="56">
        <f t="shared" si="54"/>
        <v>0</v>
      </c>
      <c r="AI187" s="54">
        <v>2</v>
      </c>
      <c r="AJ187" s="55"/>
      <c r="AK187" s="55"/>
      <c r="AL187" s="55"/>
      <c r="AM187" s="56">
        <f t="shared" si="55"/>
        <v>2</v>
      </c>
      <c r="AN187" s="54"/>
      <c r="AO187" s="55"/>
      <c r="AP187" s="55"/>
      <c r="AQ187" s="55"/>
      <c r="AR187" s="56">
        <f t="shared" si="56"/>
        <v>0</v>
      </c>
      <c r="AS187" s="54">
        <v>2</v>
      </c>
      <c r="AT187" s="55"/>
      <c r="AU187" s="55">
        <v>2</v>
      </c>
      <c r="AV187" s="55"/>
      <c r="AW187" s="176">
        <f t="shared" si="57"/>
        <v>4</v>
      </c>
      <c r="AX187" s="56">
        <f t="shared" si="58"/>
        <v>6</v>
      </c>
      <c r="AY187" s="329">
        <v>44098</v>
      </c>
      <c r="AZ187" s="326"/>
    </row>
    <row r="188" spans="1:52" x14ac:dyDescent="0.15">
      <c r="A188" s="53" t="s">
        <v>178</v>
      </c>
      <c r="B188" s="54"/>
      <c r="C188" s="55"/>
      <c r="D188" s="55"/>
      <c r="E188" s="55"/>
      <c r="F188" s="56">
        <f t="shared" si="49"/>
        <v>0</v>
      </c>
      <c r="G188" s="54"/>
      <c r="H188" s="55"/>
      <c r="I188" s="55">
        <v>1</v>
      </c>
      <c r="J188" s="55"/>
      <c r="K188" s="56">
        <f t="shared" si="50"/>
        <v>1</v>
      </c>
      <c r="L188" s="54"/>
      <c r="M188" s="55"/>
      <c r="N188" s="55"/>
      <c r="O188" s="55"/>
      <c r="P188" s="56">
        <f t="shared" si="51"/>
        <v>0</v>
      </c>
      <c r="Q188" s="54"/>
      <c r="R188" s="55"/>
      <c r="S188" s="55"/>
      <c r="T188" s="55"/>
      <c r="U188" s="176">
        <f t="shared" si="52"/>
        <v>0</v>
      </c>
      <c r="V188" s="56">
        <f t="shared" si="53"/>
        <v>1</v>
      </c>
      <c r="W188" s="329">
        <v>44098</v>
      </c>
      <c r="X188" s="326"/>
      <c r="Y188" s="326"/>
      <c r="Z188" s="326"/>
      <c r="AC188" s="65" t="s">
        <v>211</v>
      </c>
      <c r="AD188" s="54">
        <v>1</v>
      </c>
      <c r="AE188" s="55"/>
      <c r="AF188" s="55">
        <v>3</v>
      </c>
      <c r="AG188" s="55">
        <v>3</v>
      </c>
      <c r="AH188" s="56">
        <f t="shared" si="54"/>
        <v>7</v>
      </c>
      <c r="AI188" s="54">
        <v>3</v>
      </c>
      <c r="AJ188" s="55"/>
      <c r="AK188" s="55">
        <v>16</v>
      </c>
      <c r="AL188" s="55">
        <v>4</v>
      </c>
      <c r="AM188" s="56">
        <f t="shared" si="55"/>
        <v>23</v>
      </c>
      <c r="AN188" s="54"/>
      <c r="AO188" s="55"/>
      <c r="AP188" s="55"/>
      <c r="AQ188" s="55"/>
      <c r="AR188" s="56">
        <f t="shared" si="56"/>
        <v>0</v>
      </c>
      <c r="AS188" s="54"/>
      <c r="AT188" s="55"/>
      <c r="AU188" s="55"/>
      <c r="AV188" s="55"/>
      <c r="AW188" s="176">
        <f t="shared" si="57"/>
        <v>0</v>
      </c>
      <c r="AX188" s="56">
        <f t="shared" si="58"/>
        <v>30</v>
      </c>
      <c r="AY188" s="329">
        <v>44103</v>
      </c>
      <c r="AZ188" s="326"/>
    </row>
    <row r="189" spans="1:52" x14ac:dyDescent="0.15">
      <c r="A189" s="53" t="s">
        <v>214</v>
      </c>
      <c r="B189" s="17"/>
      <c r="C189" s="18"/>
      <c r="D189" s="18">
        <v>1</v>
      </c>
      <c r="E189" s="18">
        <v>1</v>
      </c>
      <c r="F189" s="30">
        <f t="shared" si="49"/>
        <v>2</v>
      </c>
      <c r="G189" s="17"/>
      <c r="H189" s="18"/>
      <c r="I189" s="18">
        <v>1</v>
      </c>
      <c r="J189" s="18">
        <v>2</v>
      </c>
      <c r="K189" s="30">
        <f t="shared" si="50"/>
        <v>3</v>
      </c>
      <c r="L189" s="17"/>
      <c r="M189" s="18"/>
      <c r="N189" s="18"/>
      <c r="O189" s="18">
        <v>1</v>
      </c>
      <c r="P189" s="30">
        <f t="shared" si="51"/>
        <v>1</v>
      </c>
      <c r="Q189" s="17"/>
      <c r="R189" s="18">
        <v>2</v>
      </c>
      <c r="S189" s="18"/>
      <c r="T189" s="18"/>
      <c r="U189" s="178">
        <f t="shared" si="52"/>
        <v>2</v>
      </c>
      <c r="V189" s="56">
        <f t="shared" si="53"/>
        <v>8</v>
      </c>
      <c r="W189" s="329">
        <v>44100</v>
      </c>
      <c r="X189" s="326"/>
      <c r="Y189" s="326"/>
      <c r="Z189" s="326"/>
      <c r="AC189" s="65" t="s">
        <v>212</v>
      </c>
      <c r="AD189" s="17"/>
      <c r="AE189" s="18"/>
      <c r="AF189" s="18"/>
      <c r="AG189" s="18"/>
      <c r="AH189" s="30">
        <f t="shared" si="54"/>
        <v>0</v>
      </c>
      <c r="AI189" s="17"/>
      <c r="AJ189" s="18"/>
      <c r="AK189" s="18"/>
      <c r="AL189" s="18"/>
      <c r="AM189" s="30">
        <f t="shared" si="55"/>
        <v>0</v>
      </c>
      <c r="AN189" s="17"/>
      <c r="AO189" s="18"/>
      <c r="AP189" s="18"/>
      <c r="AQ189" s="18"/>
      <c r="AR189" s="30">
        <f t="shared" si="56"/>
        <v>0</v>
      </c>
      <c r="AS189" s="17"/>
      <c r="AT189" s="18"/>
      <c r="AU189" s="18"/>
      <c r="AV189" s="18">
        <v>3</v>
      </c>
      <c r="AW189" s="178">
        <f t="shared" si="57"/>
        <v>3</v>
      </c>
      <c r="AX189" s="56">
        <f t="shared" si="58"/>
        <v>3</v>
      </c>
      <c r="AY189" s="329">
        <v>44099</v>
      </c>
      <c r="AZ189" s="326"/>
    </row>
    <row r="190" spans="1:52" x14ac:dyDescent="0.15">
      <c r="A190" s="53" t="s">
        <v>178</v>
      </c>
      <c r="B190" s="54"/>
      <c r="C190" s="55"/>
      <c r="D190" s="55"/>
      <c r="E190" s="55"/>
      <c r="F190" s="56">
        <f t="shared" si="49"/>
        <v>0</v>
      </c>
      <c r="G190" s="54"/>
      <c r="H190" s="55">
        <v>1</v>
      </c>
      <c r="I190" s="55"/>
      <c r="J190" s="55"/>
      <c r="K190" s="56">
        <f t="shared" si="50"/>
        <v>1</v>
      </c>
      <c r="L190" s="54"/>
      <c r="M190" s="55"/>
      <c r="N190" s="55"/>
      <c r="O190" s="55"/>
      <c r="P190" s="56">
        <f t="shared" si="51"/>
        <v>0</v>
      </c>
      <c r="Q190" s="54"/>
      <c r="R190" s="55"/>
      <c r="S190" s="55"/>
      <c r="T190" s="55"/>
      <c r="U190" s="176">
        <f t="shared" si="52"/>
        <v>0</v>
      </c>
      <c r="V190" s="56">
        <f t="shared" si="53"/>
        <v>1</v>
      </c>
      <c r="W190" s="329">
        <v>44103</v>
      </c>
      <c r="X190" s="326"/>
      <c r="Y190" s="326"/>
      <c r="Z190" s="326"/>
      <c r="AC190" s="65" t="s">
        <v>213</v>
      </c>
      <c r="AD190" s="54"/>
      <c r="AE190" s="55"/>
      <c r="AF190" s="55"/>
      <c r="AG190" s="55"/>
      <c r="AH190" s="56">
        <f t="shared" si="54"/>
        <v>0</v>
      </c>
      <c r="AI190" s="54"/>
      <c r="AJ190" s="55">
        <v>1</v>
      </c>
      <c r="AK190" s="55"/>
      <c r="AL190" s="55"/>
      <c r="AM190" s="56">
        <f t="shared" si="55"/>
        <v>1</v>
      </c>
      <c r="AN190" s="54"/>
      <c r="AO190" s="55"/>
      <c r="AP190" s="55"/>
      <c r="AQ190" s="55"/>
      <c r="AR190" s="56">
        <f t="shared" si="56"/>
        <v>0</v>
      </c>
      <c r="AS190" s="54"/>
      <c r="AT190" s="55"/>
      <c r="AU190" s="55"/>
      <c r="AV190" s="55"/>
      <c r="AW190" s="176">
        <f t="shared" si="57"/>
        <v>0</v>
      </c>
      <c r="AX190" s="56">
        <f t="shared" si="58"/>
        <v>1</v>
      </c>
      <c r="AY190" s="329">
        <v>44106</v>
      </c>
      <c r="AZ190" s="326"/>
    </row>
    <row r="191" spans="1:52" x14ac:dyDescent="0.15">
      <c r="A191" s="53" t="s">
        <v>178</v>
      </c>
      <c r="B191" s="54"/>
      <c r="C191" s="55"/>
      <c r="D191" s="55"/>
      <c r="E191" s="55"/>
      <c r="F191" s="56">
        <f t="shared" si="49"/>
        <v>0</v>
      </c>
      <c r="G191" s="54"/>
      <c r="H191" s="55">
        <v>1</v>
      </c>
      <c r="I191" s="55"/>
      <c r="J191" s="55"/>
      <c r="K191" s="56">
        <f t="shared" si="50"/>
        <v>1</v>
      </c>
      <c r="L191" s="54"/>
      <c r="M191" s="55"/>
      <c r="N191" s="55"/>
      <c r="O191" s="55"/>
      <c r="P191" s="56">
        <f t="shared" si="51"/>
        <v>0</v>
      </c>
      <c r="Q191" s="54"/>
      <c r="R191" s="55"/>
      <c r="S191" s="55"/>
      <c r="T191" s="55"/>
      <c r="U191" s="176">
        <f t="shared" si="52"/>
        <v>0</v>
      </c>
      <c r="V191" s="56">
        <f t="shared" si="53"/>
        <v>1</v>
      </c>
      <c r="W191" s="329">
        <v>44106</v>
      </c>
      <c r="X191" s="326"/>
      <c r="Y191" s="326"/>
      <c r="Z191" s="326"/>
      <c r="AC191" s="65" t="s">
        <v>99</v>
      </c>
      <c r="AD191" s="54"/>
      <c r="AE191" s="55"/>
      <c r="AF191" s="55"/>
      <c r="AG191" s="55"/>
      <c r="AH191" s="56">
        <f t="shared" si="54"/>
        <v>0</v>
      </c>
      <c r="AI191" s="54"/>
      <c r="AJ191" s="55"/>
      <c r="AK191" s="55">
        <v>3</v>
      </c>
      <c r="AL191" s="55"/>
      <c r="AM191" s="56">
        <f t="shared" si="55"/>
        <v>3</v>
      </c>
      <c r="AN191" s="54"/>
      <c r="AO191" s="55"/>
      <c r="AP191" s="55"/>
      <c r="AQ191" s="55"/>
      <c r="AR191" s="56">
        <f t="shared" si="56"/>
        <v>0</v>
      </c>
      <c r="AS191" s="54"/>
      <c r="AT191" s="55"/>
      <c r="AU191" s="55"/>
      <c r="AV191" s="55"/>
      <c r="AW191" s="176">
        <f t="shared" si="57"/>
        <v>0</v>
      </c>
      <c r="AX191" s="56">
        <f t="shared" si="58"/>
        <v>3</v>
      </c>
      <c r="AY191" s="329">
        <v>44103</v>
      </c>
      <c r="AZ191" s="326"/>
    </row>
    <row r="192" spans="1:52" x14ac:dyDescent="0.15">
      <c r="A192" s="53" t="s">
        <v>177</v>
      </c>
      <c r="B192" s="54"/>
      <c r="C192" s="55"/>
      <c r="D192" s="55"/>
      <c r="E192" s="55"/>
      <c r="F192" s="56">
        <f t="shared" si="49"/>
        <v>0</v>
      </c>
      <c r="G192" s="54"/>
      <c r="H192" s="55"/>
      <c r="I192" s="55"/>
      <c r="J192" s="55"/>
      <c r="K192" s="56">
        <f t="shared" si="50"/>
        <v>0</v>
      </c>
      <c r="L192" s="54">
        <v>1</v>
      </c>
      <c r="M192" s="55"/>
      <c r="N192" s="55"/>
      <c r="O192" s="55"/>
      <c r="P192" s="56">
        <f t="shared" si="51"/>
        <v>1</v>
      </c>
      <c r="Q192" s="54"/>
      <c r="R192" s="55"/>
      <c r="S192" s="55"/>
      <c r="T192" s="55"/>
      <c r="U192" s="176">
        <f t="shared" si="52"/>
        <v>0</v>
      </c>
      <c r="V192" s="56">
        <f t="shared" si="53"/>
        <v>1</v>
      </c>
      <c r="W192" s="329">
        <v>44105</v>
      </c>
      <c r="X192" s="326"/>
      <c r="Y192" s="326"/>
      <c r="Z192" s="326"/>
      <c r="AC192" s="65" t="s">
        <v>215</v>
      </c>
      <c r="AD192" s="54"/>
      <c r="AE192" s="55"/>
      <c r="AF192" s="55"/>
      <c r="AG192" s="55"/>
      <c r="AH192" s="56">
        <f t="shared" si="54"/>
        <v>0</v>
      </c>
      <c r="AI192" s="54"/>
      <c r="AJ192" s="55"/>
      <c r="AK192" s="55"/>
      <c r="AL192" s="55"/>
      <c r="AM192" s="56">
        <f t="shared" si="55"/>
        <v>0</v>
      </c>
      <c r="AN192" s="54"/>
      <c r="AO192" s="55"/>
      <c r="AP192" s="55"/>
      <c r="AQ192" s="55"/>
      <c r="AR192" s="56">
        <f t="shared" si="56"/>
        <v>0</v>
      </c>
      <c r="AS192" s="54"/>
      <c r="AT192" s="55">
        <v>3</v>
      </c>
      <c r="AU192" s="55"/>
      <c r="AV192" s="55"/>
      <c r="AW192" s="176">
        <f t="shared" si="57"/>
        <v>3</v>
      </c>
      <c r="AX192" s="56">
        <f t="shared" si="58"/>
        <v>3</v>
      </c>
      <c r="AY192" s="329">
        <v>44110</v>
      </c>
      <c r="AZ192" s="326"/>
    </row>
    <row r="193" spans="1:52" x14ac:dyDescent="0.15">
      <c r="A193" s="53" t="s">
        <v>177</v>
      </c>
      <c r="B193" s="54"/>
      <c r="C193" s="55"/>
      <c r="D193" s="55">
        <v>1</v>
      </c>
      <c r="E193" s="55"/>
      <c r="F193" s="56">
        <f t="shared" si="49"/>
        <v>1</v>
      </c>
      <c r="G193" s="54"/>
      <c r="H193" s="55"/>
      <c r="I193" s="55"/>
      <c r="J193" s="55"/>
      <c r="K193" s="56">
        <f t="shared" si="50"/>
        <v>0</v>
      </c>
      <c r="L193" s="54"/>
      <c r="M193" s="55"/>
      <c r="N193" s="55"/>
      <c r="O193" s="55"/>
      <c r="P193" s="56">
        <f t="shared" si="51"/>
        <v>0</v>
      </c>
      <c r="Q193" s="54"/>
      <c r="R193" s="55"/>
      <c r="S193" s="55"/>
      <c r="T193" s="55"/>
      <c r="U193" s="176">
        <f t="shared" si="52"/>
        <v>0</v>
      </c>
      <c r="V193" s="56">
        <f t="shared" si="53"/>
        <v>1</v>
      </c>
      <c r="W193" s="329">
        <v>44106</v>
      </c>
      <c r="X193" s="326"/>
      <c r="Y193" s="326"/>
      <c r="Z193" s="326"/>
      <c r="AC193" s="65" t="s">
        <v>99</v>
      </c>
      <c r="AD193" s="54"/>
      <c r="AE193" s="55"/>
      <c r="AF193" s="55">
        <v>2</v>
      </c>
      <c r="AG193" s="55"/>
      <c r="AH193" s="56">
        <f t="shared" si="54"/>
        <v>2</v>
      </c>
      <c r="AI193" s="54"/>
      <c r="AJ193" s="55">
        <v>2</v>
      </c>
      <c r="AK193" s="55"/>
      <c r="AL193" s="55"/>
      <c r="AM193" s="56">
        <f t="shared" si="55"/>
        <v>2</v>
      </c>
      <c r="AN193" s="54"/>
      <c r="AO193" s="55"/>
      <c r="AP193" s="55"/>
      <c r="AQ193" s="55"/>
      <c r="AR193" s="56">
        <f t="shared" si="56"/>
        <v>0</v>
      </c>
      <c r="AS193" s="54"/>
      <c r="AT193" s="55"/>
      <c r="AU193" s="55"/>
      <c r="AV193" s="55"/>
      <c r="AW193" s="176">
        <f t="shared" si="57"/>
        <v>0</v>
      </c>
      <c r="AX193" s="56">
        <f t="shared" si="58"/>
        <v>4</v>
      </c>
      <c r="AY193" s="329">
        <v>44107</v>
      </c>
      <c r="AZ193" s="326"/>
    </row>
    <row r="194" spans="1:52" x14ac:dyDescent="0.15">
      <c r="A194" s="53" t="s">
        <v>178</v>
      </c>
      <c r="B194" s="54"/>
      <c r="C194" s="55"/>
      <c r="D194" s="55"/>
      <c r="E194" s="55"/>
      <c r="F194" s="56">
        <f t="shared" si="49"/>
        <v>0</v>
      </c>
      <c r="G194" s="54">
        <v>1</v>
      </c>
      <c r="H194" s="55"/>
      <c r="I194" s="55"/>
      <c r="J194" s="55"/>
      <c r="K194" s="56">
        <f t="shared" si="50"/>
        <v>1</v>
      </c>
      <c r="L194" s="54"/>
      <c r="M194" s="55"/>
      <c r="N194" s="55"/>
      <c r="O194" s="55"/>
      <c r="P194" s="56">
        <f t="shared" si="51"/>
        <v>0</v>
      </c>
      <c r="Q194" s="54"/>
      <c r="R194" s="55"/>
      <c r="S194" s="55"/>
      <c r="T194" s="55"/>
      <c r="U194" s="176">
        <f t="shared" si="52"/>
        <v>0</v>
      </c>
      <c r="V194" s="56">
        <f t="shared" si="53"/>
        <v>1</v>
      </c>
      <c r="W194" s="329">
        <v>44110</v>
      </c>
      <c r="X194" s="326"/>
      <c r="Y194" s="326"/>
      <c r="Z194" s="326"/>
      <c r="AC194" s="65" t="s">
        <v>216</v>
      </c>
      <c r="AD194" s="54"/>
      <c r="AE194" s="55"/>
      <c r="AF194" s="55"/>
      <c r="AG194" s="55"/>
      <c r="AH194" s="56">
        <f t="shared" si="54"/>
        <v>0</v>
      </c>
      <c r="AI194" s="54"/>
      <c r="AJ194" s="55"/>
      <c r="AK194" s="55">
        <v>8</v>
      </c>
      <c r="AL194" s="55">
        <v>3</v>
      </c>
      <c r="AM194" s="56">
        <f t="shared" si="55"/>
        <v>11</v>
      </c>
      <c r="AN194" s="54"/>
      <c r="AO194" s="55"/>
      <c r="AP194" s="55"/>
      <c r="AQ194" s="55"/>
      <c r="AR194" s="56">
        <f t="shared" si="56"/>
        <v>0</v>
      </c>
      <c r="AS194" s="54"/>
      <c r="AT194" s="55"/>
      <c r="AU194" s="55"/>
      <c r="AV194" s="55"/>
      <c r="AW194" s="176">
        <f t="shared" si="57"/>
        <v>0</v>
      </c>
      <c r="AX194" s="56">
        <f t="shared" si="58"/>
        <v>11</v>
      </c>
      <c r="AY194" s="329">
        <v>44114</v>
      </c>
      <c r="AZ194" s="326"/>
    </row>
    <row r="195" spans="1:52" x14ac:dyDescent="0.15">
      <c r="A195" s="53" t="s">
        <v>178</v>
      </c>
      <c r="B195" s="54"/>
      <c r="C195" s="55"/>
      <c r="D195" s="55"/>
      <c r="E195" s="55"/>
      <c r="F195" s="56">
        <f t="shared" si="49"/>
        <v>0</v>
      </c>
      <c r="G195" s="54">
        <v>1</v>
      </c>
      <c r="H195" s="55"/>
      <c r="I195" s="55"/>
      <c r="J195" s="55"/>
      <c r="K195" s="56">
        <f t="shared" si="50"/>
        <v>1</v>
      </c>
      <c r="L195" s="54"/>
      <c r="M195" s="55"/>
      <c r="N195" s="55"/>
      <c r="O195" s="55"/>
      <c r="P195" s="56">
        <f t="shared" si="51"/>
        <v>0</v>
      </c>
      <c r="Q195" s="54"/>
      <c r="R195" s="55"/>
      <c r="S195" s="55"/>
      <c r="T195" s="55"/>
      <c r="U195" s="176">
        <f t="shared" si="52"/>
        <v>0</v>
      </c>
      <c r="V195" s="56">
        <f t="shared" si="53"/>
        <v>1</v>
      </c>
      <c r="W195" s="329">
        <v>44117</v>
      </c>
      <c r="X195" s="326"/>
      <c r="Y195" s="326"/>
      <c r="Z195" s="326"/>
      <c r="AC195" s="266" t="s">
        <v>217</v>
      </c>
      <c r="AD195" s="54">
        <v>2</v>
      </c>
      <c r="AE195" s="55"/>
      <c r="AF195" s="55"/>
      <c r="AG195" s="55"/>
      <c r="AH195" s="56">
        <f>SUM(AD195:AG195)</f>
        <v>2</v>
      </c>
      <c r="AI195" s="54"/>
      <c r="AJ195" s="55"/>
      <c r="AK195" s="55"/>
      <c r="AL195" s="55"/>
      <c r="AM195" s="56">
        <f>SUM(AI195:AL195)</f>
        <v>0</v>
      </c>
      <c r="AN195" s="54"/>
      <c r="AO195" s="55"/>
      <c r="AP195" s="55"/>
      <c r="AQ195" s="55"/>
      <c r="AR195" s="56">
        <f t="shared" si="56"/>
        <v>0</v>
      </c>
      <c r="AS195" s="54"/>
      <c r="AT195" s="55"/>
      <c r="AU195" s="55"/>
      <c r="AV195" s="55"/>
      <c r="AW195" s="176">
        <f t="shared" si="57"/>
        <v>0</v>
      </c>
      <c r="AX195" s="56">
        <f t="shared" si="58"/>
        <v>2</v>
      </c>
      <c r="AY195" s="329">
        <v>44117</v>
      </c>
      <c r="AZ195" s="326"/>
    </row>
    <row r="196" spans="1:52" x14ac:dyDescent="0.15">
      <c r="A196" s="53" t="s">
        <v>178</v>
      </c>
      <c r="B196" s="54"/>
      <c r="C196" s="55"/>
      <c r="D196" s="55"/>
      <c r="E196" s="55"/>
      <c r="F196" s="56">
        <f t="shared" si="49"/>
        <v>0</v>
      </c>
      <c r="G196" s="54"/>
      <c r="H196" s="55">
        <v>1</v>
      </c>
      <c r="I196" s="55"/>
      <c r="J196" s="55"/>
      <c r="K196" s="56">
        <f t="shared" si="50"/>
        <v>1</v>
      </c>
      <c r="L196" s="54"/>
      <c r="M196" s="55"/>
      <c r="N196" s="55"/>
      <c r="O196" s="55"/>
      <c r="P196" s="56">
        <f t="shared" si="51"/>
        <v>0</v>
      </c>
      <c r="Q196" s="54"/>
      <c r="R196" s="55"/>
      <c r="S196" s="55"/>
      <c r="T196" s="55"/>
      <c r="U196" s="176">
        <f t="shared" si="52"/>
        <v>0</v>
      </c>
      <c r="V196" s="56">
        <f t="shared" si="53"/>
        <v>1</v>
      </c>
      <c r="W196" s="329">
        <v>44118</v>
      </c>
      <c r="X196" s="326"/>
      <c r="Y196" s="326"/>
      <c r="Z196" s="326"/>
      <c r="AC196" s="65" t="s">
        <v>218</v>
      </c>
      <c r="AD196" s="54">
        <v>1</v>
      </c>
      <c r="AE196" s="55"/>
      <c r="AF196" s="55"/>
      <c r="AG196" s="55"/>
      <c r="AH196" s="56">
        <f t="shared" ref="AH196:AH208" si="59">SUM(AD196:AG196)</f>
        <v>1</v>
      </c>
      <c r="AI196" s="54"/>
      <c r="AJ196" s="55"/>
      <c r="AK196" s="55"/>
      <c r="AL196" s="55">
        <v>2</v>
      </c>
      <c r="AM196" s="56">
        <f t="shared" ref="AM196:AM208" si="60">SUM(AI196:AL196)</f>
        <v>2</v>
      </c>
      <c r="AN196" s="54"/>
      <c r="AO196" s="55"/>
      <c r="AP196" s="55"/>
      <c r="AQ196" s="55"/>
      <c r="AR196" s="56">
        <f t="shared" si="56"/>
        <v>0</v>
      </c>
      <c r="AS196" s="54"/>
      <c r="AT196" s="55"/>
      <c r="AU196" s="55"/>
      <c r="AV196" s="55"/>
      <c r="AW196" s="176">
        <f t="shared" si="57"/>
        <v>0</v>
      </c>
      <c r="AX196" s="56">
        <f t="shared" si="58"/>
        <v>3</v>
      </c>
      <c r="AY196" s="329">
        <v>44121</v>
      </c>
      <c r="AZ196" s="326"/>
    </row>
    <row r="197" spans="1:52" x14ac:dyDescent="0.15">
      <c r="A197" s="53" t="s">
        <v>178</v>
      </c>
      <c r="B197" s="54"/>
      <c r="C197" s="55"/>
      <c r="D197" s="55"/>
      <c r="E197" s="55"/>
      <c r="F197" s="56">
        <f t="shared" si="49"/>
        <v>0</v>
      </c>
      <c r="G197" s="54"/>
      <c r="H197" s="55"/>
      <c r="I197" s="55"/>
      <c r="J197" s="55">
        <v>1</v>
      </c>
      <c r="K197" s="56">
        <f t="shared" si="50"/>
        <v>1</v>
      </c>
      <c r="L197" s="54"/>
      <c r="M197" s="55"/>
      <c r="N197" s="55"/>
      <c r="O197" s="55"/>
      <c r="P197" s="56">
        <f t="shared" si="51"/>
        <v>0</v>
      </c>
      <c r="Q197" s="54"/>
      <c r="R197" s="55"/>
      <c r="S197" s="55"/>
      <c r="T197" s="55"/>
      <c r="U197" s="176">
        <f t="shared" si="52"/>
        <v>0</v>
      </c>
      <c r="V197" s="56">
        <f t="shared" si="53"/>
        <v>1</v>
      </c>
      <c r="W197" s="329">
        <v>44119</v>
      </c>
      <c r="X197" s="326"/>
      <c r="Y197" s="326"/>
      <c r="Z197" s="326"/>
      <c r="AC197" s="65" t="s">
        <v>219</v>
      </c>
      <c r="AD197" s="54"/>
      <c r="AE197" s="55"/>
      <c r="AF197" s="55"/>
      <c r="AG197" s="55"/>
      <c r="AH197" s="56">
        <f t="shared" si="59"/>
        <v>0</v>
      </c>
      <c r="AI197" s="54"/>
      <c r="AJ197" s="55"/>
      <c r="AK197" s="55"/>
      <c r="AL197" s="55">
        <v>2</v>
      </c>
      <c r="AM197" s="56">
        <f t="shared" si="60"/>
        <v>2</v>
      </c>
      <c r="AN197" s="54"/>
      <c r="AO197" s="55"/>
      <c r="AP197" s="55"/>
      <c r="AQ197" s="55"/>
      <c r="AR197" s="56">
        <f t="shared" si="56"/>
        <v>0</v>
      </c>
      <c r="AS197" s="54"/>
      <c r="AT197" s="55"/>
      <c r="AU197" s="55"/>
      <c r="AV197" s="55"/>
      <c r="AW197" s="176">
        <f t="shared" si="57"/>
        <v>0</v>
      </c>
      <c r="AX197" s="56">
        <f t="shared" si="58"/>
        <v>2</v>
      </c>
      <c r="AY197" s="329">
        <v>44133</v>
      </c>
      <c r="AZ197" s="326"/>
    </row>
    <row r="198" spans="1:52" x14ac:dyDescent="0.15">
      <c r="A198" s="53" t="s">
        <v>115</v>
      </c>
      <c r="B198" s="54"/>
      <c r="C198" s="55"/>
      <c r="D198" s="55">
        <v>1</v>
      </c>
      <c r="E198" s="55"/>
      <c r="F198" s="56">
        <f t="shared" si="49"/>
        <v>1</v>
      </c>
      <c r="G198" s="54"/>
      <c r="H198" s="55"/>
      <c r="I198" s="55"/>
      <c r="J198" s="55"/>
      <c r="K198" s="56">
        <f t="shared" si="50"/>
        <v>0</v>
      </c>
      <c r="L198" s="54"/>
      <c r="M198" s="55"/>
      <c r="N198" s="55"/>
      <c r="O198" s="55"/>
      <c r="P198" s="56">
        <f t="shared" si="51"/>
        <v>0</v>
      </c>
      <c r="Q198" s="54"/>
      <c r="R198" s="55">
        <v>1</v>
      </c>
      <c r="S198" s="55"/>
      <c r="T198" s="55"/>
      <c r="U198" s="176">
        <f t="shared" si="52"/>
        <v>1</v>
      </c>
      <c r="V198" s="56">
        <f t="shared" si="53"/>
        <v>2</v>
      </c>
      <c r="W198" s="328">
        <v>44121</v>
      </c>
      <c r="X198" s="326"/>
      <c r="Y198" s="326"/>
      <c r="Z198" s="326"/>
      <c r="AC198" s="266" t="s">
        <v>220</v>
      </c>
      <c r="AD198" s="54"/>
      <c r="AE198" s="55"/>
      <c r="AF198" s="55"/>
      <c r="AG198" s="55"/>
      <c r="AH198" s="56">
        <f t="shared" si="59"/>
        <v>0</v>
      </c>
      <c r="AI198" s="54"/>
      <c r="AJ198" s="55">
        <v>2</v>
      </c>
      <c r="AK198" s="55"/>
      <c r="AL198" s="55"/>
      <c r="AM198" s="56">
        <f t="shared" si="60"/>
        <v>2</v>
      </c>
      <c r="AN198" s="54"/>
      <c r="AO198" s="55"/>
      <c r="AP198" s="55"/>
      <c r="AQ198" s="55"/>
      <c r="AR198" s="56">
        <f t="shared" si="56"/>
        <v>0</v>
      </c>
      <c r="AS198" s="54"/>
      <c r="AT198" s="55"/>
      <c r="AU198" s="55"/>
      <c r="AV198" s="55"/>
      <c r="AW198" s="176">
        <f t="shared" si="57"/>
        <v>0</v>
      </c>
      <c r="AX198" s="56">
        <f t="shared" si="58"/>
        <v>2</v>
      </c>
      <c r="AY198" s="329">
        <v>44131</v>
      </c>
      <c r="AZ198" s="326"/>
    </row>
    <row r="199" spans="1:52" x14ac:dyDescent="0.15">
      <c r="A199" s="53" t="s">
        <v>177</v>
      </c>
      <c r="B199" s="54"/>
      <c r="C199" s="55"/>
      <c r="D199" s="55"/>
      <c r="E199" s="55"/>
      <c r="F199" s="56">
        <f t="shared" si="49"/>
        <v>0</v>
      </c>
      <c r="G199" s="54"/>
      <c r="H199" s="55">
        <v>1</v>
      </c>
      <c r="I199" s="55"/>
      <c r="J199" s="55"/>
      <c r="K199" s="56">
        <f t="shared" si="50"/>
        <v>1</v>
      </c>
      <c r="L199" s="54"/>
      <c r="M199" s="55"/>
      <c r="N199" s="55"/>
      <c r="O199" s="55"/>
      <c r="P199" s="56">
        <f t="shared" si="51"/>
        <v>0</v>
      </c>
      <c r="Q199" s="54"/>
      <c r="R199" s="55"/>
      <c r="S199" s="55"/>
      <c r="T199" s="55"/>
      <c r="U199" s="176">
        <f t="shared" si="52"/>
        <v>0</v>
      </c>
      <c r="V199" s="56">
        <f t="shared" si="53"/>
        <v>1</v>
      </c>
      <c r="W199" s="329">
        <v>44121</v>
      </c>
      <c r="X199" s="326"/>
      <c r="Y199" s="326"/>
      <c r="Z199" s="326"/>
      <c r="AC199" s="65" t="s">
        <v>221</v>
      </c>
      <c r="AD199" s="54"/>
      <c r="AE199" s="55"/>
      <c r="AF199" s="55"/>
      <c r="AG199" s="55"/>
      <c r="AH199" s="56">
        <f t="shared" si="59"/>
        <v>0</v>
      </c>
      <c r="AI199" s="54">
        <v>2</v>
      </c>
      <c r="AJ199" s="55"/>
      <c r="AK199" s="55">
        <v>1</v>
      </c>
      <c r="AL199" s="55"/>
      <c r="AM199" s="56">
        <f t="shared" si="60"/>
        <v>3</v>
      </c>
      <c r="AN199" s="54"/>
      <c r="AO199" s="55"/>
      <c r="AP199" s="55"/>
      <c r="AQ199" s="55"/>
      <c r="AR199" s="56">
        <f t="shared" si="56"/>
        <v>0</v>
      </c>
      <c r="AS199" s="54"/>
      <c r="AT199" s="55"/>
      <c r="AU199" s="55"/>
      <c r="AV199" s="55"/>
      <c r="AW199" s="176">
        <f t="shared" si="57"/>
        <v>0</v>
      </c>
      <c r="AX199" s="56">
        <f t="shared" si="58"/>
        <v>3</v>
      </c>
      <c r="AY199" s="329">
        <v>44139</v>
      </c>
      <c r="AZ199" s="326"/>
    </row>
    <row r="200" spans="1:52" x14ac:dyDescent="0.15">
      <c r="A200" s="53" t="s">
        <v>178</v>
      </c>
      <c r="B200" s="17"/>
      <c r="C200" s="18"/>
      <c r="D200" s="18"/>
      <c r="E200" s="18"/>
      <c r="F200" s="30">
        <f t="shared" si="49"/>
        <v>0</v>
      </c>
      <c r="G200" s="17">
        <v>1</v>
      </c>
      <c r="H200" s="18"/>
      <c r="I200" s="18"/>
      <c r="J200" s="18"/>
      <c r="K200" s="30">
        <f t="shared" si="50"/>
        <v>1</v>
      </c>
      <c r="L200" s="17"/>
      <c r="M200" s="18"/>
      <c r="N200" s="18"/>
      <c r="O200" s="18"/>
      <c r="P200" s="30">
        <f t="shared" si="51"/>
        <v>0</v>
      </c>
      <c r="Q200" s="17"/>
      <c r="R200" s="18"/>
      <c r="S200" s="18"/>
      <c r="T200" s="18"/>
      <c r="U200" s="178">
        <f t="shared" si="52"/>
        <v>0</v>
      </c>
      <c r="V200" s="56">
        <f t="shared" si="53"/>
        <v>1</v>
      </c>
      <c r="W200" s="329">
        <v>44124</v>
      </c>
      <c r="X200" s="326"/>
      <c r="Y200" s="326"/>
      <c r="Z200" s="326"/>
      <c r="AC200" s="266" t="s">
        <v>222</v>
      </c>
      <c r="AD200" s="54"/>
      <c r="AE200" s="55"/>
      <c r="AF200" s="55"/>
      <c r="AG200" s="55"/>
      <c r="AH200" s="56">
        <f t="shared" si="59"/>
        <v>0</v>
      </c>
      <c r="AI200" s="54"/>
      <c r="AJ200" s="55"/>
      <c r="AK200" s="55"/>
      <c r="AL200" s="55"/>
      <c r="AM200" s="56">
        <f t="shared" si="60"/>
        <v>0</v>
      </c>
      <c r="AN200" s="54"/>
      <c r="AO200" s="55"/>
      <c r="AP200" s="55"/>
      <c r="AQ200" s="55"/>
      <c r="AR200" s="56">
        <f t="shared" si="56"/>
        <v>0</v>
      </c>
      <c r="AS200" s="54"/>
      <c r="AT200" s="55">
        <v>2</v>
      </c>
      <c r="AU200" s="55"/>
      <c r="AV200" s="55"/>
      <c r="AW200" s="176">
        <f t="shared" si="57"/>
        <v>2</v>
      </c>
      <c r="AX200" s="56">
        <f t="shared" si="58"/>
        <v>2</v>
      </c>
      <c r="AY200" s="329">
        <v>44140</v>
      </c>
      <c r="AZ200" s="326"/>
    </row>
    <row r="201" spans="1:52" x14ac:dyDescent="0.15">
      <c r="A201" s="53" t="s">
        <v>177</v>
      </c>
      <c r="B201" s="54"/>
      <c r="C201" s="55"/>
      <c r="D201" s="55"/>
      <c r="E201" s="55"/>
      <c r="F201" s="56">
        <f t="shared" si="49"/>
        <v>0</v>
      </c>
      <c r="G201" s="54"/>
      <c r="H201" s="55">
        <v>1</v>
      </c>
      <c r="I201" s="55"/>
      <c r="J201" s="55"/>
      <c r="K201" s="56">
        <f t="shared" si="50"/>
        <v>1</v>
      </c>
      <c r="L201" s="54"/>
      <c r="M201" s="55"/>
      <c r="N201" s="55"/>
      <c r="O201" s="55"/>
      <c r="P201" s="56">
        <f t="shared" si="51"/>
        <v>0</v>
      </c>
      <c r="Q201" s="54"/>
      <c r="R201" s="55"/>
      <c r="S201" s="55"/>
      <c r="T201" s="55"/>
      <c r="U201" s="176">
        <f t="shared" si="52"/>
        <v>0</v>
      </c>
      <c r="V201" s="56">
        <f t="shared" si="53"/>
        <v>1</v>
      </c>
      <c r="W201" s="329">
        <v>44123</v>
      </c>
      <c r="X201" s="326"/>
      <c r="Y201" s="326"/>
      <c r="Z201" s="326"/>
      <c r="AC201" s="65"/>
      <c r="AD201" s="54"/>
      <c r="AE201" s="55"/>
      <c r="AF201" s="55"/>
      <c r="AG201" s="55"/>
      <c r="AH201" s="56">
        <f t="shared" si="59"/>
        <v>0</v>
      </c>
      <c r="AI201" s="54"/>
      <c r="AJ201" s="55"/>
      <c r="AK201" s="55"/>
      <c r="AL201" s="55"/>
      <c r="AM201" s="56">
        <f t="shared" si="60"/>
        <v>0</v>
      </c>
      <c r="AN201" s="54"/>
      <c r="AO201" s="55"/>
      <c r="AP201" s="55"/>
      <c r="AQ201" s="55"/>
      <c r="AR201" s="56">
        <f t="shared" si="56"/>
        <v>0</v>
      </c>
      <c r="AS201" s="54"/>
      <c r="AT201" s="55"/>
      <c r="AU201" s="55"/>
      <c r="AV201" s="55"/>
      <c r="AW201" s="176">
        <f t="shared" si="57"/>
        <v>0</v>
      </c>
      <c r="AX201" s="56">
        <f t="shared" si="58"/>
        <v>0</v>
      </c>
      <c r="AY201" s="329"/>
      <c r="AZ201" s="326"/>
    </row>
    <row r="202" spans="1:52" x14ac:dyDescent="0.15">
      <c r="A202" s="53" t="s">
        <v>115</v>
      </c>
      <c r="B202" s="62"/>
      <c r="C202" s="63">
        <v>1</v>
      </c>
      <c r="D202" s="63">
        <v>1</v>
      </c>
      <c r="E202" s="63"/>
      <c r="F202" s="56">
        <f t="shared" si="49"/>
        <v>2</v>
      </c>
      <c r="G202" s="62">
        <v>2</v>
      </c>
      <c r="H202" s="63"/>
      <c r="I202" s="63">
        <v>2</v>
      </c>
      <c r="J202" s="63">
        <v>3</v>
      </c>
      <c r="K202" s="56">
        <f t="shared" si="50"/>
        <v>7</v>
      </c>
      <c r="L202" s="62"/>
      <c r="M202" s="63"/>
      <c r="N202" s="63"/>
      <c r="O202" s="63"/>
      <c r="P202" s="56">
        <f t="shared" si="51"/>
        <v>0</v>
      </c>
      <c r="Q202" s="62"/>
      <c r="R202" s="63"/>
      <c r="S202" s="63"/>
      <c r="T202" s="63"/>
      <c r="U202" s="176">
        <f t="shared" si="52"/>
        <v>0</v>
      </c>
      <c r="V202" s="56">
        <f t="shared" si="53"/>
        <v>9</v>
      </c>
      <c r="W202" s="329">
        <v>44124</v>
      </c>
      <c r="X202" s="326"/>
      <c r="Y202" s="326"/>
      <c r="Z202" s="326"/>
      <c r="AC202" s="66"/>
      <c r="AD202" s="33"/>
      <c r="AE202" s="34"/>
      <c r="AF202" s="34"/>
      <c r="AG202" s="34"/>
      <c r="AH202" s="30">
        <f t="shared" si="59"/>
        <v>0</v>
      </c>
      <c r="AI202" s="33"/>
      <c r="AJ202" s="34"/>
      <c r="AK202" s="34"/>
      <c r="AL202" s="34"/>
      <c r="AM202" s="30">
        <f t="shared" si="60"/>
        <v>0</v>
      </c>
      <c r="AN202" s="33"/>
      <c r="AO202" s="34"/>
      <c r="AP202" s="34"/>
      <c r="AQ202" s="34"/>
      <c r="AR202" s="30">
        <f t="shared" si="56"/>
        <v>0</v>
      </c>
      <c r="AS202" s="33"/>
      <c r="AT202" s="34"/>
      <c r="AU202" s="34"/>
      <c r="AV202" s="34"/>
      <c r="AW202" s="178">
        <f t="shared" si="57"/>
        <v>0</v>
      </c>
      <c r="AX202" s="170">
        <f t="shared" si="58"/>
        <v>0</v>
      </c>
      <c r="AY202" s="329"/>
      <c r="AZ202" s="326"/>
    </row>
    <row r="203" spans="1:52" x14ac:dyDescent="0.15">
      <c r="A203" s="53" t="s">
        <v>178</v>
      </c>
      <c r="B203" s="54"/>
      <c r="C203" s="55"/>
      <c r="D203" s="55"/>
      <c r="E203" s="55"/>
      <c r="F203" s="56">
        <f t="shared" si="49"/>
        <v>0</v>
      </c>
      <c r="G203" s="54"/>
      <c r="H203" s="55">
        <v>1</v>
      </c>
      <c r="I203" s="55"/>
      <c r="J203" s="55"/>
      <c r="K203" s="56">
        <f t="shared" si="50"/>
        <v>1</v>
      </c>
      <c r="L203" s="54"/>
      <c r="M203" s="55"/>
      <c r="N203" s="55"/>
      <c r="O203" s="55"/>
      <c r="P203" s="56">
        <f t="shared" si="51"/>
        <v>0</v>
      </c>
      <c r="Q203" s="54"/>
      <c r="R203" s="55"/>
      <c r="S203" s="55"/>
      <c r="T203" s="55"/>
      <c r="U203" s="176">
        <f t="shared" si="52"/>
        <v>0</v>
      </c>
      <c r="V203" s="56">
        <f t="shared" si="53"/>
        <v>1</v>
      </c>
      <c r="W203" s="329">
        <v>44131</v>
      </c>
      <c r="X203" s="326"/>
      <c r="Y203" s="326"/>
      <c r="Z203" s="326"/>
      <c r="AC203" s="65" t="s">
        <v>124</v>
      </c>
      <c r="AD203" s="54"/>
      <c r="AE203" s="55"/>
      <c r="AF203" s="55"/>
      <c r="AG203" s="55"/>
      <c r="AH203" s="56">
        <f t="shared" si="59"/>
        <v>0</v>
      </c>
      <c r="AI203" s="54"/>
      <c r="AJ203" s="55"/>
      <c r="AK203" s="55"/>
      <c r="AL203" s="55"/>
      <c r="AM203" s="56">
        <f t="shared" si="60"/>
        <v>0</v>
      </c>
      <c r="AN203" s="54"/>
      <c r="AO203" s="55"/>
      <c r="AP203" s="55"/>
      <c r="AQ203" s="55"/>
      <c r="AR203" s="56">
        <f t="shared" si="56"/>
        <v>0</v>
      </c>
      <c r="AS203" s="54"/>
      <c r="AT203" s="55"/>
      <c r="AU203" s="55"/>
      <c r="AV203" s="55"/>
      <c r="AW203" s="176">
        <f t="shared" si="57"/>
        <v>0</v>
      </c>
      <c r="AX203" s="56">
        <f t="shared" si="58"/>
        <v>0</v>
      </c>
      <c r="AY203" s="330" t="s">
        <v>126</v>
      </c>
      <c r="AZ203" s="326"/>
    </row>
    <row r="204" spans="1:52" x14ac:dyDescent="0.15">
      <c r="A204" s="53" t="s">
        <v>121</v>
      </c>
      <c r="B204" s="54"/>
      <c r="C204" s="55"/>
      <c r="D204" s="55"/>
      <c r="E204" s="55"/>
      <c r="F204" s="56">
        <f t="shared" si="49"/>
        <v>0</v>
      </c>
      <c r="G204" s="54"/>
      <c r="H204" s="55">
        <v>-1</v>
      </c>
      <c r="I204" s="55"/>
      <c r="J204" s="55"/>
      <c r="K204" s="56">
        <f t="shared" si="50"/>
        <v>-1</v>
      </c>
      <c r="L204" s="54"/>
      <c r="M204" s="55"/>
      <c r="N204" s="55"/>
      <c r="O204" s="55"/>
      <c r="P204" s="56">
        <f t="shared" si="51"/>
        <v>0</v>
      </c>
      <c r="Q204" s="54"/>
      <c r="R204" s="55"/>
      <c r="S204" s="55"/>
      <c r="T204" s="55"/>
      <c r="U204" s="176">
        <f t="shared" si="52"/>
        <v>0</v>
      </c>
      <c r="V204" s="56">
        <f t="shared" si="53"/>
        <v>-1</v>
      </c>
      <c r="W204" s="328">
        <v>44130</v>
      </c>
      <c r="X204" s="326"/>
      <c r="Y204" s="326"/>
      <c r="Z204" s="326"/>
      <c r="AC204" s="65" t="s">
        <v>125</v>
      </c>
      <c r="AD204" s="62"/>
      <c r="AE204" s="63"/>
      <c r="AF204" s="63"/>
      <c r="AG204" s="63"/>
      <c r="AH204" s="56">
        <f t="shared" si="59"/>
        <v>0</v>
      </c>
      <c r="AI204" s="62"/>
      <c r="AJ204" s="63"/>
      <c r="AK204" s="63"/>
      <c r="AL204" s="63"/>
      <c r="AM204" s="56">
        <f t="shared" si="60"/>
        <v>0</v>
      </c>
      <c r="AN204" s="62"/>
      <c r="AO204" s="63"/>
      <c r="AP204" s="63"/>
      <c r="AQ204" s="63"/>
      <c r="AR204" s="56">
        <f t="shared" si="56"/>
        <v>0</v>
      </c>
      <c r="AS204" s="62"/>
      <c r="AT204" s="63"/>
      <c r="AU204" s="63"/>
      <c r="AV204" s="63"/>
      <c r="AW204" s="176">
        <f t="shared" si="57"/>
        <v>0</v>
      </c>
      <c r="AX204" s="56">
        <f t="shared" si="58"/>
        <v>0</v>
      </c>
      <c r="AY204" s="330" t="s">
        <v>126</v>
      </c>
      <c r="AZ204" s="326"/>
    </row>
    <row r="205" spans="1:52" x14ac:dyDescent="0.15">
      <c r="A205" s="53" t="s">
        <v>177</v>
      </c>
      <c r="B205" s="54"/>
      <c r="C205" s="55"/>
      <c r="D205" s="55"/>
      <c r="E205" s="55"/>
      <c r="F205" s="56">
        <f t="shared" si="49"/>
        <v>0</v>
      </c>
      <c r="G205" s="54"/>
      <c r="H205" s="55">
        <v>1</v>
      </c>
      <c r="I205" s="55"/>
      <c r="J205" s="55"/>
      <c r="K205" s="56">
        <f t="shared" si="50"/>
        <v>1</v>
      </c>
      <c r="L205" s="54"/>
      <c r="M205" s="55"/>
      <c r="N205" s="55"/>
      <c r="O205" s="55"/>
      <c r="P205" s="56">
        <f t="shared" si="51"/>
        <v>0</v>
      </c>
      <c r="Q205" s="54"/>
      <c r="R205" s="55"/>
      <c r="S205" s="55"/>
      <c r="T205" s="55"/>
      <c r="U205" s="176">
        <f t="shared" si="52"/>
        <v>0</v>
      </c>
      <c r="V205" s="56">
        <f t="shared" si="53"/>
        <v>1</v>
      </c>
      <c r="W205" s="328">
        <v>44140</v>
      </c>
      <c r="X205" s="326"/>
      <c r="Y205" s="326"/>
      <c r="Z205" s="326"/>
      <c r="AC205" s="65"/>
      <c r="AD205" s="54"/>
      <c r="AE205" s="55"/>
      <c r="AF205" s="55"/>
      <c r="AG205" s="55"/>
      <c r="AH205" s="56">
        <f t="shared" si="59"/>
        <v>0</v>
      </c>
      <c r="AI205" s="54"/>
      <c r="AJ205" s="55"/>
      <c r="AK205" s="55"/>
      <c r="AL205" s="55"/>
      <c r="AM205" s="56">
        <f t="shared" si="60"/>
        <v>0</v>
      </c>
      <c r="AN205" s="54"/>
      <c r="AO205" s="55"/>
      <c r="AP205" s="55"/>
      <c r="AQ205" s="55"/>
      <c r="AR205" s="56">
        <f t="shared" si="56"/>
        <v>0</v>
      </c>
      <c r="AS205" s="54"/>
      <c r="AT205" s="55"/>
      <c r="AU205" s="55"/>
      <c r="AV205" s="55"/>
      <c r="AW205" s="176">
        <f t="shared" si="57"/>
        <v>0</v>
      </c>
      <c r="AX205" s="56">
        <f t="shared" si="58"/>
        <v>0</v>
      </c>
      <c r="AY205" s="330"/>
      <c r="AZ205" s="326"/>
    </row>
    <row r="206" spans="1:52" ht="14.25" thickBot="1" x14ac:dyDescent="0.2">
      <c r="A206" s="53" t="s">
        <v>177</v>
      </c>
      <c r="B206" s="33"/>
      <c r="C206" s="34"/>
      <c r="D206" s="34"/>
      <c r="E206" s="34"/>
      <c r="F206" s="30">
        <f t="shared" si="49"/>
        <v>0</v>
      </c>
      <c r="G206" s="33"/>
      <c r="H206" s="34"/>
      <c r="I206" s="34"/>
      <c r="J206" s="34">
        <v>1</v>
      </c>
      <c r="K206" s="30">
        <f t="shared" si="50"/>
        <v>1</v>
      </c>
      <c r="L206" s="33"/>
      <c r="M206" s="34"/>
      <c r="N206" s="34"/>
      <c r="O206" s="34"/>
      <c r="P206" s="30">
        <f t="shared" si="51"/>
        <v>0</v>
      </c>
      <c r="Q206" s="33"/>
      <c r="R206" s="34"/>
      <c r="S206" s="34"/>
      <c r="T206" s="34"/>
      <c r="U206" s="178">
        <f t="shared" si="52"/>
        <v>0</v>
      </c>
      <c r="V206" s="163">
        <f t="shared" si="53"/>
        <v>1</v>
      </c>
      <c r="W206" s="328">
        <v>44141</v>
      </c>
      <c r="X206" s="326"/>
      <c r="Y206" s="326"/>
      <c r="Z206" s="326"/>
      <c r="AC206" s="65"/>
      <c r="AD206" s="62"/>
      <c r="AE206" s="63"/>
      <c r="AF206" s="63"/>
      <c r="AG206" s="63"/>
      <c r="AH206" s="56">
        <f t="shared" si="59"/>
        <v>0</v>
      </c>
      <c r="AI206" s="62"/>
      <c r="AJ206" s="63"/>
      <c r="AK206" s="63"/>
      <c r="AL206" s="63"/>
      <c r="AM206" s="56">
        <f t="shared" si="60"/>
        <v>0</v>
      </c>
      <c r="AN206" s="62"/>
      <c r="AO206" s="63"/>
      <c r="AP206" s="63"/>
      <c r="AQ206" s="63"/>
      <c r="AR206" s="56">
        <f t="shared" si="56"/>
        <v>0</v>
      </c>
      <c r="AS206" s="62"/>
      <c r="AT206" s="63"/>
      <c r="AU206" s="63"/>
      <c r="AV206" s="63"/>
      <c r="AW206" s="176">
        <f t="shared" si="57"/>
        <v>0</v>
      </c>
      <c r="AX206" s="56">
        <f t="shared" si="58"/>
        <v>0</v>
      </c>
      <c r="AY206" s="330"/>
      <c r="AZ206" s="326"/>
    </row>
    <row r="207" spans="1:52" ht="15" thickBot="1" x14ac:dyDescent="0.2">
      <c r="A207" s="9" t="s">
        <v>15</v>
      </c>
      <c r="B207" s="36">
        <f>SUM(B181:B206)</f>
        <v>0</v>
      </c>
      <c r="C207" s="37">
        <f>SUM(C181:C206)</f>
        <v>2</v>
      </c>
      <c r="D207" s="37">
        <f>SUM(D181:D206)</f>
        <v>6</v>
      </c>
      <c r="E207" s="38">
        <f>SUM(E181:E206)</f>
        <v>1</v>
      </c>
      <c r="F207" s="25">
        <f t="shared" si="49"/>
        <v>9</v>
      </c>
      <c r="G207" s="36">
        <f>SUM(G181:G206)</f>
        <v>6</v>
      </c>
      <c r="H207" s="37">
        <f>SUM(H181:H206)</f>
        <v>8</v>
      </c>
      <c r="I207" s="37">
        <f>SUM(I181:I206)</f>
        <v>5</v>
      </c>
      <c r="J207" s="38">
        <f>SUM(J181:J206)</f>
        <v>7</v>
      </c>
      <c r="K207" s="25">
        <f t="shared" si="50"/>
        <v>26</v>
      </c>
      <c r="L207" s="36">
        <f>SUM(L181:L206)</f>
        <v>1</v>
      </c>
      <c r="M207" s="37">
        <f>SUM(M181:M206)</f>
        <v>0</v>
      </c>
      <c r="N207" s="37">
        <f>SUM(N181:N206)</f>
        <v>0</v>
      </c>
      <c r="O207" s="38">
        <f>SUM(O181:O206)</f>
        <v>2</v>
      </c>
      <c r="P207" s="25">
        <f t="shared" si="51"/>
        <v>3</v>
      </c>
      <c r="Q207" s="36">
        <f>SUM(Q181:Q206)</f>
        <v>0</v>
      </c>
      <c r="R207" s="37">
        <f>SUM(R181:R206)</f>
        <v>3</v>
      </c>
      <c r="S207" s="37">
        <f>SUM(S181:S206)</f>
        <v>0</v>
      </c>
      <c r="T207" s="38">
        <f>SUM(T181:T206)</f>
        <v>0</v>
      </c>
      <c r="U207" s="36">
        <f t="shared" si="52"/>
        <v>3</v>
      </c>
      <c r="V207" s="77">
        <f t="shared" si="53"/>
        <v>41</v>
      </c>
      <c r="W207" s="325"/>
      <c r="X207" s="326"/>
      <c r="Y207" s="326"/>
      <c r="Z207" s="326"/>
      <c r="AC207" s="9" t="s">
        <v>15</v>
      </c>
      <c r="AD207" s="36">
        <f>SUM(AD181:AD206)</f>
        <v>5</v>
      </c>
      <c r="AE207" s="37">
        <f>SUM(AE181:AE206)</f>
        <v>1</v>
      </c>
      <c r="AF207" s="37">
        <f>SUM(AF181:AF206)</f>
        <v>5</v>
      </c>
      <c r="AG207" s="38">
        <f>SUM(AG181:AG206)</f>
        <v>3</v>
      </c>
      <c r="AH207" s="25">
        <f t="shared" si="59"/>
        <v>14</v>
      </c>
      <c r="AI207" s="36">
        <f>SUM(AI181:AI206)</f>
        <v>13</v>
      </c>
      <c r="AJ207" s="37">
        <f>SUM(AJ181:AJ206)</f>
        <v>35</v>
      </c>
      <c r="AK207" s="37">
        <f>SUM(AK181:AK206)</f>
        <v>43</v>
      </c>
      <c r="AL207" s="38">
        <f>SUM(AL181:AL206)</f>
        <v>48</v>
      </c>
      <c r="AM207" s="25">
        <f t="shared" si="60"/>
        <v>139</v>
      </c>
      <c r="AN207" s="36">
        <f>SUM(AN181:AN206)</f>
        <v>0</v>
      </c>
      <c r="AO207" s="37">
        <f>SUM(AO181:AO206)</f>
        <v>0</v>
      </c>
      <c r="AP207" s="37">
        <f>SUM(AP181:AP206)</f>
        <v>0</v>
      </c>
      <c r="AQ207" s="38">
        <f>SUM(AQ181:AQ206)</f>
        <v>0</v>
      </c>
      <c r="AR207" s="25">
        <f t="shared" si="56"/>
        <v>0</v>
      </c>
      <c r="AS207" s="36">
        <f>SUM(AS181:AS206)</f>
        <v>2</v>
      </c>
      <c r="AT207" s="37">
        <f>SUM(AT181:AT206)</f>
        <v>8</v>
      </c>
      <c r="AU207" s="37">
        <f>SUM(AU181:AU206)</f>
        <v>4</v>
      </c>
      <c r="AV207" s="38">
        <f>SUM(AV181:AV206)</f>
        <v>6</v>
      </c>
      <c r="AW207" s="36">
        <f t="shared" si="57"/>
        <v>20</v>
      </c>
      <c r="AX207" s="77">
        <f t="shared" si="58"/>
        <v>173</v>
      </c>
      <c r="AY207" s="325"/>
      <c r="AZ207" s="326"/>
    </row>
    <row r="208" spans="1:52" ht="14.25" thickBot="1" x14ac:dyDescent="0.2">
      <c r="A208" s="39" t="s">
        <v>16</v>
      </c>
      <c r="B208" s="40">
        <f>B180-B207</f>
        <v>2</v>
      </c>
      <c r="C208" s="41">
        <f>C180-C207</f>
        <v>2</v>
      </c>
      <c r="D208" s="41">
        <f>D180-D207</f>
        <v>3</v>
      </c>
      <c r="E208" s="42">
        <f>E180-E207</f>
        <v>2</v>
      </c>
      <c r="F208" s="171">
        <f t="shared" si="49"/>
        <v>9</v>
      </c>
      <c r="G208" s="40">
        <f>G180-G207</f>
        <v>3</v>
      </c>
      <c r="H208" s="41">
        <f>H180-H207</f>
        <v>2</v>
      </c>
      <c r="I208" s="41">
        <f>I180-I207</f>
        <v>3</v>
      </c>
      <c r="J208" s="42">
        <f>J180-J207</f>
        <v>1</v>
      </c>
      <c r="K208" s="171">
        <f t="shared" si="50"/>
        <v>9</v>
      </c>
      <c r="L208" s="40">
        <f>L180-L207</f>
        <v>1</v>
      </c>
      <c r="M208" s="41">
        <f>M180-M207</f>
        <v>0</v>
      </c>
      <c r="N208" s="41">
        <f>N180-N207</f>
        <v>2</v>
      </c>
      <c r="O208" s="42">
        <f>O180-O207</f>
        <v>1</v>
      </c>
      <c r="P208" s="171">
        <f t="shared" si="51"/>
        <v>4</v>
      </c>
      <c r="Q208" s="40">
        <f>Q180-Q207</f>
        <v>0</v>
      </c>
      <c r="R208" s="41">
        <f>R180-R207</f>
        <v>0</v>
      </c>
      <c r="S208" s="41">
        <f>S180-S207</f>
        <v>0</v>
      </c>
      <c r="T208" s="42">
        <f>T180-T207</f>
        <v>0</v>
      </c>
      <c r="U208" s="177">
        <f t="shared" si="52"/>
        <v>0</v>
      </c>
      <c r="V208" s="77">
        <f t="shared" si="53"/>
        <v>22</v>
      </c>
      <c r="W208" s="325"/>
      <c r="X208" s="326"/>
      <c r="Y208" s="326"/>
      <c r="Z208" s="326"/>
      <c r="AC208" s="39" t="s">
        <v>16</v>
      </c>
      <c r="AD208" s="40">
        <f>AD180-AD207</f>
        <v>219</v>
      </c>
      <c r="AE208" s="41">
        <f>AE180-AE207</f>
        <v>305</v>
      </c>
      <c r="AF208" s="41">
        <f>AF180-AF207</f>
        <v>268</v>
      </c>
      <c r="AG208" s="42">
        <f>AG180-AG207</f>
        <v>191</v>
      </c>
      <c r="AH208" s="171">
        <f t="shared" si="59"/>
        <v>983</v>
      </c>
      <c r="AI208" s="40">
        <f>AI180-AI207</f>
        <v>211</v>
      </c>
      <c r="AJ208" s="41">
        <f>AJ180-AJ207</f>
        <v>267</v>
      </c>
      <c r="AK208" s="41">
        <f>AK180-AK207</f>
        <v>298</v>
      </c>
      <c r="AL208" s="42">
        <f>AL180-AL207</f>
        <v>158</v>
      </c>
      <c r="AM208" s="171">
        <f t="shared" si="60"/>
        <v>934</v>
      </c>
      <c r="AN208" s="40">
        <f>AN180-AN207</f>
        <v>19</v>
      </c>
      <c r="AO208" s="41">
        <f>AO180-AO207</f>
        <v>0</v>
      </c>
      <c r="AP208" s="41">
        <f>AP180-AP207</f>
        <v>46</v>
      </c>
      <c r="AQ208" s="42">
        <f>AQ180-AQ207</f>
        <v>12</v>
      </c>
      <c r="AR208" s="171">
        <f t="shared" si="56"/>
        <v>77</v>
      </c>
      <c r="AS208" s="40">
        <f>AS180-AS207</f>
        <v>128</v>
      </c>
      <c r="AT208" s="41">
        <f>AT180-AT207</f>
        <v>141</v>
      </c>
      <c r="AU208" s="41">
        <f>AU180-AU207</f>
        <v>88</v>
      </c>
      <c r="AV208" s="42">
        <f>AV180-AV207</f>
        <v>88</v>
      </c>
      <c r="AW208" s="177">
        <f t="shared" si="57"/>
        <v>445</v>
      </c>
      <c r="AX208" s="77">
        <f t="shared" si="58"/>
        <v>2439</v>
      </c>
      <c r="AY208" s="325"/>
      <c r="AZ208" s="326"/>
    </row>
    <row r="209" spans="1:52" x14ac:dyDescent="0.15">
      <c r="W209" s="325"/>
      <c r="X209" s="326"/>
      <c r="Y209" s="326"/>
      <c r="Z209" s="326"/>
      <c r="AY209" s="325"/>
      <c r="AZ209" s="326"/>
    </row>
    <row r="210" spans="1:52" x14ac:dyDescent="0.15">
      <c r="W210" s="325"/>
      <c r="X210" s="326"/>
      <c r="Y210" s="326"/>
      <c r="Z210" s="326"/>
      <c r="AY210" s="325"/>
      <c r="AZ210" s="326"/>
    </row>
    <row r="211" spans="1:52" ht="19.5" thickBot="1" x14ac:dyDescent="0.25">
      <c r="A211" s="185" t="s">
        <v>19</v>
      </c>
      <c r="B211" s="186"/>
      <c r="C211" s="186"/>
      <c r="D211" s="186"/>
      <c r="E211" s="186"/>
      <c r="F211" s="18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25"/>
      <c r="X211" s="326"/>
      <c r="Y211" s="326"/>
      <c r="Z211" s="326"/>
      <c r="AC211" s="187" t="s">
        <v>73</v>
      </c>
      <c r="AD211" s="188"/>
      <c r="AE211" s="188"/>
      <c r="AF211" s="188"/>
      <c r="AG211" s="188"/>
      <c r="AH211" s="188"/>
      <c r="AI211" s="188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325"/>
      <c r="AZ211" s="326"/>
    </row>
    <row r="212" spans="1:52" ht="14.25" thickBot="1" x14ac:dyDescent="0.2">
      <c r="A212" s="3" t="s">
        <v>0</v>
      </c>
      <c r="B212" s="371" t="s">
        <v>17</v>
      </c>
      <c r="C212" s="372"/>
      <c r="D212" s="372"/>
      <c r="E212" s="372"/>
      <c r="F212" s="373"/>
      <c r="G212" s="371" t="s">
        <v>18</v>
      </c>
      <c r="H212" s="372"/>
      <c r="I212" s="372"/>
      <c r="J212" s="372"/>
      <c r="K212" s="373"/>
      <c r="L212" s="371" t="s">
        <v>38</v>
      </c>
      <c r="M212" s="372"/>
      <c r="N212" s="372"/>
      <c r="O212" s="372"/>
      <c r="P212" s="373"/>
      <c r="Q212" s="371" t="s">
        <v>75</v>
      </c>
      <c r="R212" s="372"/>
      <c r="S212" s="372"/>
      <c r="T212" s="372"/>
      <c r="U212" s="373"/>
      <c r="V212" s="360" t="s">
        <v>1</v>
      </c>
      <c r="W212" s="325"/>
      <c r="X212" s="326"/>
      <c r="Y212" s="326"/>
      <c r="Z212" s="326"/>
      <c r="AC212" s="3" t="s">
        <v>0</v>
      </c>
      <c r="AD212" s="371" t="s">
        <v>17</v>
      </c>
      <c r="AE212" s="372"/>
      <c r="AF212" s="372"/>
      <c r="AG212" s="372"/>
      <c r="AH212" s="373"/>
      <c r="AI212" s="371" t="s">
        <v>18</v>
      </c>
      <c r="AJ212" s="372"/>
      <c r="AK212" s="372"/>
      <c r="AL212" s="372"/>
      <c r="AM212" s="373"/>
      <c r="AN212" s="371" t="s">
        <v>38</v>
      </c>
      <c r="AO212" s="372"/>
      <c r="AP212" s="372"/>
      <c r="AQ212" s="372"/>
      <c r="AR212" s="373"/>
      <c r="AS212" s="371" t="s">
        <v>75</v>
      </c>
      <c r="AT212" s="372"/>
      <c r="AU212" s="372"/>
      <c r="AV212" s="372"/>
      <c r="AW212" s="373"/>
      <c r="AX212" s="360" t="s">
        <v>1</v>
      </c>
      <c r="AY212" s="325"/>
      <c r="AZ212" s="326"/>
    </row>
    <row r="213" spans="1:52" ht="14.25" thickBot="1" x14ac:dyDescent="0.2">
      <c r="A213" s="5" t="s">
        <v>2</v>
      </c>
      <c r="B213" s="6" t="s">
        <v>3</v>
      </c>
      <c r="C213" s="7" t="s">
        <v>4</v>
      </c>
      <c r="D213" s="7" t="s">
        <v>5</v>
      </c>
      <c r="E213" s="8" t="s">
        <v>6</v>
      </c>
      <c r="F213" s="5" t="s">
        <v>7</v>
      </c>
      <c r="G213" s="6" t="s">
        <v>3</v>
      </c>
      <c r="H213" s="7" t="s">
        <v>4</v>
      </c>
      <c r="I213" s="7" t="s">
        <v>5</v>
      </c>
      <c r="J213" s="8" t="s">
        <v>6</v>
      </c>
      <c r="K213" s="5" t="s">
        <v>7</v>
      </c>
      <c r="L213" s="6" t="s">
        <v>3</v>
      </c>
      <c r="M213" s="7" t="s">
        <v>4</v>
      </c>
      <c r="N213" s="7" t="s">
        <v>5</v>
      </c>
      <c r="O213" s="8" t="s">
        <v>6</v>
      </c>
      <c r="P213" s="5" t="s">
        <v>7</v>
      </c>
      <c r="Q213" s="6" t="s">
        <v>3</v>
      </c>
      <c r="R213" s="7" t="s">
        <v>4</v>
      </c>
      <c r="S213" s="7" t="s">
        <v>5</v>
      </c>
      <c r="T213" s="8" t="s">
        <v>6</v>
      </c>
      <c r="U213" s="5" t="s">
        <v>7</v>
      </c>
      <c r="V213" s="361"/>
      <c r="W213" s="325"/>
      <c r="X213" s="326"/>
      <c r="Y213" s="326"/>
      <c r="Z213" s="326"/>
      <c r="AC213" s="5" t="s">
        <v>2</v>
      </c>
      <c r="AD213" s="6" t="s">
        <v>3</v>
      </c>
      <c r="AE213" s="7" t="s">
        <v>4</v>
      </c>
      <c r="AF213" s="7" t="s">
        <v>5</v>
      </c>
      <c r="AG213" s="8" t="s">
        <v>6</v>
      </c>
      <c r="AH213" s="5" t="s">
        <v>7</v>
      </c>
      <c r="AI213" s="6" t="s">
        <v>3</v>
      </c>
      <c r="AJ213" s="7" t="s">
        <v>4</v>
      </c>
      <c r="AK213" s="7" t="s">
        <v>5</v>
      </c>
      <c r="AL213" s="8" t="s">
        <v>6</v>
      </c>
      <c r="AM213" s="5" t="s">
        <v>7</v>
      </c>
      <c r="AN213" s="6" t="s">
        <v>3</v>
      </c>
      <c r="AO213" s="7" t="s">
        <v>4</v>
      </c>
      <c r="AP213" s="7" t="s">
        <v>5</v>
      </c>
      <c r="AQ213" s="8" t="s">
        <v>6</v>
      </c>
      <c r="AR213" s="5" t="s">
        <v>7</v>
      </c>
      <c r="AS213" s="6" t="s">
        <v>3</v>
      </c>
      <c r="AT213" s="7" t="s">
        <v>4</v>
      </c>
      <c r="AU213" s="7" t="s">
        <v>5</v>
      </c>
      <c r="AV213" s="8" t="s">
        <v>6</v>
      </c>
      <c r="AW213" s="5" t="s">
        <v>7</v>
      </c>
      <c r="AX213" s="361"/>
      <c r="AY213" s="325"/>
      <c r="AZ213" s="326"/>
    </row>
    <row r="214" spans="1:52" ht="14.25" x14ac:dyDescent="0.15">
      <c r="A214" s="172" t="s">
        <v>30</v>
      </c>
      <c r="B214" s="70">
        <f>B208</f>
        <v>2</v>
      </c>
      <c r="C214" s="70">
        <f>C208</f>
        <v>2</v>
      </c>
      <c r="D214" s="70">
        <f>D208</f>
        <v>3</v>
      </c>
      <c r="E214" s="165">
        <f>E208</f>
        <v>2</v>
      </c>
      <c r="F214" s="71">
        <f t="shared" ref="F214:F250" si="61">SUM(B214:E214)</f>
        <v>9</v>
      </c>
      <c r="G214" s="70">
        <f>G208</f>
        <v>3</v>
      </c>
      <c r="H214" s="70">
        <f>H208</f>
        <v>2</v>
      </c>
      <c r="I214" s="70">
        <f>I208</f>
        <v>3</v>
      </c>
      <c r="J214" s="165">
        <f>J208</f>
        <v>1</v>
      </c>
      <c r="K214" s="71">
        <f t="shared" ref="K214:K250" si="62">SUM(G214:J214)</f>
        <v>9</v>
      </c>
      <c r="L214" s="70">
        <f>L208</f>
        <v>1</v>
      </c>
      <c r="M214" s="70">
        <f>M208</f>
        <v>0</v>
      </c>
      <c r="N214" s="70">
        <f>N208</f>
        <v>2</v>
      </c>
      <c r="O214" s="165">
        <f>O208</f>
        <v>1</v>
      </c>
      <c r="P214" s="71">
        <f t="shared" ref="P214:P250" si="63">SUM(L214:O214)</f>
        <v>4</v>
      </c>
      <c r="Q214" s="70">
        <f>Q208</f>
        <v>0</v>
      </c>
      <c r="R214" s="70">
        <f>R208</f>
        <v>0</v>
      </c>
      <c r="S214" s="70">
        <f>S208</f>
        <v>0</v>
      </c>
      <c r="T214" s="165">
        <f>T208</f>
        <v>0</v>
      </c>
      <c r="U214" s="174">
        <f t="shared" ref="U214:U250" si="64">SUM(Q214:T214)</f>
        <v>0</v>
      </c>
      <c r="V214" s="71">
        <f t="shared" ref="V214:V250" si="65">F214+K214+P214+U214</f>
        <v>22</v>
      </c>
      <c r="W214" s="325"/>
      <c r="X214" s="326"/>
      <c r="Y214" s="326"/>
      <c r="Z214" s="326"/>
      <c r="AC214" s="172" t="s">
        <v>30</v>
      </c>
      <c r="AD214" s="70">
        <f>AD208</f>
        <v>219</v>
      </c>
      <c r="AE214" s="70">
        <f>AE208</f>
        <v>305</v>
      </c>
      <c r="AF214" s="70">
        <f>AF208</f>
        <v>268</v>
      </c>
      <c r="AG214" s="165">
        <f>AG208</f>
        <v>191</v>
      </c>
      <c r="AH214" s="71">
        <f>SUM(AD214:AG214)</f>
        <v>983</v>
      </c>
      <c r="AI214" s="70">
        <f>AI208</f>
        <v>211</v>
      </c>
      <c r="AJ214" s="70">
        <f>AJ208</f>
        <v>267</v>
      </c>
      <c r="AK214" s="70">
        <f>AK208</f>
        <v>298</v>
      </c>
      <c r="AL214" s="165">
        <f>AL208</f>
        <v>158</v>
      </c>
      <c r="AM214" s="71">
        <f>SUM(AI214:AL214)</f>
        <v>934</v>
      </c>
      <c r="AN214" s="70">
        <f>AN208</f>
        <v>19</v>
      </c>
      <c r="AO214" s="70">
        <f>AO208</f>
        <v>0</v>
      </c>
      <c r="AP214" s="70">
        <f>AP208</f>
        <v>46</v>
      </c>
      <c r="AQ214" s="165">
        <f>AQ208</f>
        <v>12</v>
      </c>
      <c r="AR214" s="71">
        <f>SUM(AN214:AQ214)</f>
        <v>77</v>
      </c>
      <c r="AS214" s="70">
        <f>AS208</f>
        <v>128</v>
      </c>
      <c r="AT214" s="70">
        <f>AT208</f>
        <v>141</v>
      </c>
      <c r="AU214" s="70">
        <f>AU208</f>
        <v>88</v>
      </c>
      <c r="AV214" s="165">
        <f>AV208</f>
        <v>88</v>
      </c>
      <c r="AW214" s="174">
        <f>SUM(AS214:AV214)</f>
        <v>445</v>
      </c>
      <c r="AX214" s="71">
        <f>AH214+AM214+AR214+AW214</f>
        <v>2439</v>
      </c>
      <c r="AY214" s="325"/>
      <c r="AZ214" s="326"/>
    </row>
    <row r="215" spans="1:52" x14ac:dyDescent="0.15">
      <c r="A215" s="53" t="s">
        <v>29</v>
      </c>
      <c r="B215" s="55">
        <v>1</v>
      </c>
      <c r="C215" s="55"/>
      <c r="D215" s="55"/>
      <c r="E215" s="166"/>
      <c r="F215" s="49">
        <f t="shared" si="61"/>
        <v>1</v>
      </c>
      <c r="G215" s="55"/>
      <c r="H215" s="55"/>
      <c r="I215" s="55"/>
      <c r="J215" s="166"/>
      <c r="K215" s="49">
        <f t="shared" si="62"/>
        <v>0</v>
      </c>
      <c r="L215" s="55"/>
      <c r="M215" s="55"/>
      <c r="N215" s="55"/>
      <c r="O215" s="166"/>
      <c r="P215" s="49">
        <f t="shared" si="63"/>
        <v>0</v>
      </c>
      <c r="Q215" s="55"/>
      <c r="R215" s="55"/>
      <c r="S215" s="55"/>
      <c r="T215" s="166"/>
      <c r="U215" s="175">
        <f t="shared" si="64"/>
        <v>0</v>
      </c>
      <c r="V215" s="56">
        <f t="shared" si="65"/>
        <v>1</v>
      </c>
      <c r="W215" s="328">
        <v>44146</v>
      </c>
      <c r="X215" s="326"/>
      <c r="Y215" s="326"/>
      <c r="Z215" s="326"/>
      <c r="AC215" s="260" t="s">
        <v>223</v>
      </c>
      <c r="AD215" s="261"/>
      <c r="AE215" s="261"/>
      <c r="AF215" s="261"/>
      <c r="AG215" s="262"/>
      <c r="AH215" s="265">
        <f t="shared" ref="AH215:AH236" si="66">SUM(AD215:AG215)</f>
        <v>0</v>
      </c>
      <c r="AI215" s="261"/>
      <c r="AJ215" s="261">
        <v>-2</v>
      </c>
      <c r="AK215" s="261"/>
      <c r="AL215" s="262"/>
      <c r="AM215" s="265">
        <f t="shared" ref="AM215:AM236" si="67">SUM(AI215:AL215)</f>
        <v>-2</v>
      </c>
      <c r="AN215" s="261"/>
      <c r="AO215" s="261"/>
      <c r="AP215" s="261"/>
      <c r="AQ215" s="262"/>
      <c r="AR215" s="265">
        <f t="shared" ref="AR215:AR250" si="68">SUM(AN215:AQ215)</f>
        <v>0</v>
      </c>
      <c r="AS215" s="261"/>
      <c r="AT215" s="261"/>
      <c r="AU215" s="261"/>
      <c r="AV215" s="262"/>
      <c r="AW215" s="267">
        <f t="shared" ref="AW215:AW250" si="69">SUM(AS215:AV215)</f>
        <v>0</v>
      </c>
      <c r="AX215" s="265">
        <f>AH215+AM215+AR215+AW215</f>
        <v>-2</v>
      </c>
      <c r="AY215" s="331">
        <v>44144</v>
      </c>
      <c r="AZ215" s="326"/>
    </row>
    <row r="216" spans="1:52" x14ac:dyDescent="0.15">
      <c r="A216" s="53" t="s">
        <v>149</v>
      </c>
      <c r="B216" s="55">
        <v>2</v>
      </c>
      <c r="C216" s="55">
        <v>1</v>
      </c>
      <c r="D216" s="55">
        <v>1</v>
      </c>
      <c r="E216" s="166">
        <v>2</v>
      </c>
      <c r="F216" s="49">
        <f t="shared" si="61"/>
        <v>6</v>
      </c>
      <c r="G216" s="55">
        <v>1</v>
      </c>
      <c r="H216" s="55">
        <v>2</v>
      </c>
      <c r="I216" s="55">
        <v>3</v>
      </c>
      <c r="J216" s="166">
        <v>7</v>
      </c>
      <c r="K216" s="49">
        <f t="shared" si="62"/>
        <v>13</v>
      </c>
      <c r="L216" s="55"/>
      <c r="M216" s="55"/>
      <c r="N216" s="55"/>
      <c r="O216" s="166"/>
      <c r="P216" s="49">
        <f t="shared" si="63"/>
        <v>0</v>
      </c>
      <c r="Q216" s="55"/>
      <c r="R216" s="55"/>
      <c r="S216" s="55"/>
      <c r="T216" s="166"/>
      <c r="U216" s="175">
        <f t="shared" si="64"/>
        <v>0</v>
      </c>
      <c r="V216" s="56">
        <f t="shared" si="65"/>
        <v>19</v>
      </c>
      <c r="W216" s="328">
        <v>44153</v>
      </c>
      <c r="X216" s="326"/>
      <c r="Y216" s="326"/>
      <c r="Z216" s="326"/>
      <c r="AC216" s="53" t="s">
        <v>21</v>
      </c>
      <c r="AD216" s="55">
        <v>3</v>
      </c>
      <c r="AE216" s="153">
        <v>1</v>
      </c>
      <c r="AF216" s="153">
        <v>1</v>
      </c>
      <c r="AG216" s="168">
        <v>2</v>
      </c>
      <c r="AH216" s="56">
        <v>7</v>
      </c>
      <c r="AI216" s="55">
        <v>1</v>
      </c>
      <c r="AJ216" s="153">
        <v>2</v>
      </c>
      <c r="AK216" s="153">
        <v>3</v>
      </c>
      <c r="AL216" s="168">
        <v>5</v>
      </c>
      <c r="AM216" s="56">
        <v>11</v>
      </c>
      <c r="AN216" s="55"/>
      <c r="AO216" s="153"/>
      <c r="AP216" s="153"/>
      <c r="AQ216" s="168"/>
      <c r="AR216" s="56">
        <v>0</v>
      </c>
      <c r="AS216" s="55"/>
      <c r="AT216" s="153"/>
      <c r="AU216" s="153"/>
      <c r="AV216" s="168"/>
      <c r="AW216" s="176">
        <v>0</v>
      </c>
      <c r="AX216" s="56">
        <v>18</v>
      </c>
      <c r="AY216" s="328">
        <v>44156</v>
      </c>
      <c r="AZ216" s="326"/>
    </row>
    <row r="217" spans="1:52" x14ac:dyDescent="0.15">
      <c r="A217" s="53" t="s">
        <v>28</v>
      </c>
      <c r="B217" s="55"/>
      <c r="C217" s="55"/>
      <c r="D217" s="55"/>
      <c r="E217" s="166"/>
      <c r="F217" s="49">
        <f t="shared" si="61"/>
        <v>0</v>
      </c>
      <c r="G217" s="55"/>
      <c r="H217" s="55">
        <v>3</v>
      </c>
      <c r="I217" s="55"/>
      <c r="J217" s="166"/>
      <c r="K217" s="49">
        <f t="shared" si="62"/>
        <v>3</v>
      </c>
      <c r="L217" s="55"/>
      <c r="M217" s="55"/>
      <c r="N217" s="55"/>
      <c r="O217" s="166"/>
      <c r="P217" s="49">
        <f t="shared" si="63"/>
        <v>0</v>
      </c>
      <c r="Q217" s="55"/>
      <c r="R217" s="55"/>
      <c r="S217" s="55"/>
      <c r="T217" s="166"/>
      <c r="U217" s="175">
        <f t="shared" si="64"/>
        <v>0</v>
      </c>
      <c r="V217" s="56">
        <f t="shared" si="65"/>
        <v>3</v>
      </c>
      <c r="W217" s="329">
        <v>44162</v>
      </c>
      <c r="X217" s="326"/>
      <c r="Y217" s="326"/>
      <c r="Z217" s="326"/>
      <c r="AC217" s="53" t="s">
        <v>21</v>
      </c>
      <c r="AD217" s="55"/>
      <c r="AE217" s="153"/>
      <c r="AF217" s="153"/>
      <c r="AG217" s="168"/>
      <c r="AH217" s="56">
        <f t="shared" si="66"/>
        <v>0</v>
      </c>
      <c r="AI217" s="55">
        <v>1</v>
      </c>
      <c r="AJ217" s="153">
        <v>1</v>
      </c>
      <c r="AK217" s="153">
        <v>4</v>
      </c>
      <c r="AL217" s="168"/>
      <c r="AM217" s="56">
        <f t="shared" si="67"/>
        <v>6</v>
      </c>
      <c r="AN217" s="55"/>
      <c r="AO217" s="153"/>
      <c r="AP217" s="153"/>
      <c r="AQ217" s="168">
        <v>1</v>
      </c>
      <c r="AR217" s="56">
        <f t="shared" si="68"/>
        <v>1</v>
      </c>
      <c r="AS217" s="55"/>
      <c r="AT217" s="153">
        <v>1</v>
      </c>
      <c r="AU217" s="153"/>
      <c r="AV217" s="168"/>
      <c r="AW217" s="176">
        <f t="shared" si="69"/>
        <v>1</v>
      </c>
      <c r="AX217" s="56">
        <f>AH217+AM217+AR217+AW217</f>
        <v>8</v>
      </c>
      <c r="AY217" s="328">
        <v>44184</v>
      </c>
      <c r="AZ217" s="326"/>
    </row>
    <row r="218" spans="1:52" x14ac:dyDescent="0.15">
      <c r="A218" s="53" t="s">
        <v>149</v>
      </c>
      <c r="B218" s="63"/>
      <c r="C218" s="63"/>
      <c r="D218" s="63"/>
      <c r="E218" s="167"/>
      <c r="F218" s="64">
        <f t="shared" si="61"/>
        <v>0</v>
      </c>
      <c r="G218" s="63">
        <v>1</v>
      </c>
      <c r="H218" s="63">
        <v>1</v>
      </c>
      <c r="I218" s="63">
        <v>4</v>
      </c>
      <c r="J218" s="167"/>
      <c r="K218" s="64">
        <f t="shared" si="62"/>
        <v>6</v>
      </c>
      <c r="L218" s="63"/>
      <c r="M218" s="63"/>
      <c r="N218" s="63"/>
      <c r="O218" s="167"/>
      <c r="P218" s="64">
        <f t="shared" si="63"/>
        <v>0</v>
      </c>
      <c r="Q218" s="63"/>
      <c r="R218" s="63"/>
      <c r="S218" s="63"/>
      <c r="T218" s="167"/>
      <c r="U218" s="162">
        <f t="shared" si="64"/>
        <v>0</v>
      </c>
      <c r="V218" s="56">
        <f t="shared" si="65"/>
        <v>6</v>
      </c>
      <c r="W218" s="329">
        <v>44181</v>
      </c>
      <c r="X218" s="326"/>
      <c r="Y218" s="326"/>
      <c r="Z218" s="326"/>
      <c r="AC218" s="53" t="s">
        <v>21</v>
      </c>
      <c r="AD218" s="63"/>
      <c r="AE218" s="63">
        <v>4</v>
      </c>
      <c r="AF218" s="63">
        <v>1</v>
      </c>
      <c r="AG218" s="167"/>
      <c r="AH218" s="64">
        <v>5</v>
      </c>
      <c r="AI218" s="63"/>
      <c r="AJ218" s="63">
        <v>11</v>
      </c>
      <c r="AK218" s="63"/>
      <c r="AL218" s="167"/>
      <c r="AM218" s="64">
        <v>11</v>
      </c>
      <c r="AN218" s="63"/>
      <c r="AO218" s="63"/>
      <c r="AP218" s="63"/>
      <c r="AQ218" s="167"/>
      <c r="AR218" s="64">
        <v>0</v>
      </c>
      <c r="AS218" s="63"/>
      <c r="AT218" s="63"/>
      <c r="AU218" s="63"/>
      <c r="AV218" s="167"/>
      <c r="AW218" s="162">
        <v>0</v>
      </c>
      <c r="AX218" s="56">
        <v>16</v>
      </c>
      <c r="AY218" s="328">
        <v>44212</v>
      </c>
      <c r="AZ218" s="326"/>
    </row>
    <row r="219" spans="1:52" x14ac:dyDescent="0.15">
      <c r="A219" s="53" t="s">
        <v>29</v>
      </c>
      <c r="B219" s="55"/>
      <c r="C219" s="153"/>
      <c r="D219" s="153"/>
      <c r="E219" s="168"/>
      <c r="F219" s="56">
        <f t="shared" si="61"/>
        <v>0</v>
      </c>
      <c r="G219" s="55"/>
      <c r="H219" s="153"/>
      <c r="I219" s="153"/>
      <c r="J219" s="168"/>
      <c r="K219" s="56">
        <f t="shared" si="62"/>
        <v>0</v>
      </c>
      <c r="L219" s="55"/>
      <c r="M219" s="153"/>
      <c r="N219" s="153"/>
      <c r="O219" s="168">
        <v>1</v>
      </c>
      <c r="P219" s="56">
        <f t="shared" si="63"/>
        <v>1</v>
      </c>
      <c r="Q219" s="55"/>
      <c r="R219" s="153">
        <v>1</v>
      </c>
      <c r="S219" s="153"/>
      <c r="T219" s="168"/>
      <c r="U219" s="176">
        <f t="shared" si="64"/>
        <v>1</v>
      </c>
      <c r="V219" s="56">
        <f t="shared" si="65"/>
        <v>2</v>
      </c>
      <c r="W219" s="328">
        <v>44176</v>
      </c>
      <c r="X219" s="326"/>
      <c r="Y219" s="326"/>
      <c r="Z219" s="326"/>
      <c r="AC219" s="53" t="s">
        <v>28</v>
      </c>
      <c r="AD219" s="55"/>
      <c r="AE219" s="153"/>
      <c r="AF219" s="153"/>
      <c r="AG219" s="168"/>
      <c r="AH219" s="56">
        <f t="shared" si="66"/>
        <v>0</v>
      </c>
      <c r="AI219" s="55"/>
      <c r="AJ219" s="153"/>
      <c r="AK219" s="153"/>
      <c r="AL219" s="168"/>
      <c r="AM219" s="56">
        <f t="shared" si="67"/>
        <v>0</v>
      </c>
      <c r="AN219" s="55"/>
      <c r="AO219" s="153"/>
      <c r="AP219" s="153"/>
      <c r="AQ219" s="168"/>
      <c r="AR219" s="56">
        <f t="shared" si="68"/>
        <v>0</v>
      </c>
      <c r="AS219" s="55"/>
      <c r="AT219" s="153"/>
      <c r="AU219" s="153"/>
      <c r="AV219" s="168"/>
      <c r="AW219" s="176">
        <f t="shared" si="69"/>
        <v>0</v>
      </c>
      <c r="AX219" s="56">
        <f t="shared" ref="AX219:AX250" si="70">AH219+AM219+AR219+AW219</f>
        <v>0</v>
      </c>
      <c r="AY219" s="325"/>
      <c r="AZ219" s="326"/>
    </row>
    <row r="220" spans="1:52" x14ac:dyDescent="0.15">
      <c r="A220" s="53" t="s">
        <v>149</v>
      </c>
      <c r="B220" s="55"/>
      <c r="C220" s="153">
        <v>4</v>
      </c>
      <c r="D220" s="153">
        <v>1</v>
      </c>
      <c r="E220" s="168"/>
      <c r="F220" s="56">
        <f t="shared" si="61"/>
        <v>5</v>
      </c>
      <c r="G220" s="55"/>
      <c r="H220" s="153">
        <v>11</v>
      </c>
      <c r="I220" s="153"/>
      <c r="J220" s="168"/>
      <c r="K220" s="56">
        <f t="shared" si="62"/>
        <v>11</v>
      </c>
      <c r="L220" s="55"/>
      <c r="M220" s="153"/>
      <c r="N220" s="153"/>
      <c r="O220" s="168"/>
      <c r="P220" s="56">
        <f t="shared" si="63"/>
        <v>0</v>
      </c>
      <c r="Q220" s="55"/>
      <c r="R220" s="153"/>
      <c r="S220" s="153"/>
      <c r="T220" s="168"/>
      <c r="U220" s="176">
        <f t="shared" si="64"/>
        <v>0</v>
      </c>
      <c r="V220" s="56">
        <f t="shared" si="65"/>
        <v>16</v>
      </c>
      <c r="W220" s="328">
        <v>44210</v>
      </c>
      <c r="X220" s="326"/>
      <c r="Y220" s="326"/>
      <c r="Z220" s="326"/>
      <c r="AC220" s="53" t="s">
        <v>28</v>
      </c>
      <c r="AD220" s="55"/>
      <c r="AE220" s="153"/>
      <c r="AF220" s="153"/>
      <c r="AG220" s="168"/>
      <c r="AH220" s="56">
        <f t="shared" si="66"/>
        <v>0</v>
      </c>
      <c r="AI220" s="55"/>
      <c r="AJ220" s="153"/>
      <c r="AK220" s="153"/>
      <c r="AL220" s="168"/>
      <c r="AM220" s="56">
        <f t="shared" si="67"/>
        <v>0</v>
      </c>
      <c r="AN220" s="55"/>
      <c r="AO220" s="153"/>
      <c r="AP220" s="153"/>
      <c r="AQ220" s="168"/>
      <c r="AR220" s="56">
        <f t="shared" si="68"/>
        <v>0</v>
      </c>
      <c r="AS220" s="55"/>
      <c r="AT220" s="153"/>
      <c r="AU220" s="153"/>
      <c r="AV220" s="168"/>
      <c r="AW220" s="176">
        <f t="shared" si="69"/>
        <v>0</v>
      </c>
      <c r="AX220" s="56">
        <f t="shared" si="70"/>
        <v>0</v>
      </c>
      <c r="AY220" s="325"/>
      <c r="AZ220" s="326"/>
    </row>
    <row r="221" spans="1:52" ht="14.25" thickBot="1" x14ac:dyDescent="0.2">
      <c r="A221" s="53" t="s">
        <v>28</v>
      </c>
      <c r="B221" s="63"/>
      <c r="C221" s="164"/>
      <c r="D221" s="164"/>
      <c r="E221" s="169"/>
      <c r="F221" s="170">
        <f t="shared" si="61"/>
        <v>0</v>
      </c>
      <c r="G221" s="63"/>
      <c r="H221" s="164"/>
      <c r="I221" s="164"/>
      <c r="J221" s="169">
        <v>3</v>
      </c>
      <c r="K221" s="170">
        <f t="shared" si="62"/>
        <v>3</v>
      </c>
      <c r="L221" s="63"/>
      <c r="M221" s="164"/>
      <c r="N221" s="164"/>
      <c r="O221" s="169"/>
      <c r="P221" s="170">
        <f t="shared" si="63"/>
        <v>0</v>
      </c>
      <c r="Q221" s="63"/>
      <c r="R221" s="164"/>
      <c r="S221" s="164"/>
      <c r="T221" s="169"/>
      <c r="U221" s="179">
        <f t="shared" si="64"/>
        <v>0</v>
      </c>
      <c r="V221" s="170">
        <f t="shared" si="65"/>
        <v>3</v>
      </c>
      <c r="W221" s="329">
        <v>44274</v>
      </c>
      <c r="X221" s="326"/>
      <c r="Y221" s="326"/>
      <c r="Z221" s="326"/>
      <c r="AC221" s="173" t="s">
        <v>28</v>
      </c>
      <c r="AD221" s="63"/>
      <c r="AE221" s="164"/>
      <c r="AF221" s="164"/>
      <c r="AG221" s="169"/>
      <c r="AH221" s="170">
        <f t="shared" si="66"/>
        <v>0</v>
      </c>
      <c r="AI221" s="63"/>
      <c r="AJ221" s="164"/>
      <c r="AK221" s="164"/>
      <c r="AL221" s="169"/>
      <c r="AM221" s="170">
        <f t="shared" si="67"/>
        <v>0</v>
      </c>
      <c r="AN221" s="63"/>
      <c r="AO221" s="164"/>
      <c r="AP221" s="164"/>
      <c r="AQ221" s="169"/>
      <c r="AR221" s="170">
        <f t="shared" si="68"/>
        <v>0</v>
      </c>
      <c r="AS221" s="63"/>
      <c r="AT221" s="164"/>
      <c r="AU221" s="164"/>
      <c r="AV221" s="169"/>
      <c r="AW221" s="179">
        <f t="shared" si="69"/>
        <v>0</v>
      </c>
      <c r="AX221" s="170">
        <f t="shared" si="70"/>
        <v>0</v>
      </c>
      <c r="AY221" s="325"/>
      <c r="AZ221" s="326"/>
    </row>
    <row r="222" spans="1:52" ht="15" thickBot="1" x14ac:dyDescent="0.2">
      <c r="A222" s="181" t="s">
        <v>14</v>
      </c>
      <c r="B222" s="182">
        <f>SUM(B214:B221)</f>
        <v>5</v>
      </c>
      <c r="C222" s="183">
        <f>SUM(C214:C221)</f>
        <v>7</v>
      </c>
      <c r="D222" s="183">
        <f>SUM(D214:D221)</f>
        <v>5</v>
      </c>
      <c r="E222" s="184">
        <f>SUM(E214:E221)</f>
        <v>4</v>
      </c>
      <c r="F222" s="77">
        <f t="shared" si="61"/>
        <v>21</v>
      </c>
      <c r="G222" s="182">
        <f>SUM(G214:G221)</f>
        <v>5</v>
      </c>
      <c r="H222" s="183">
        <f>SUM(H214:H221)</f>
        <v>19</v>
      </c>
      <c r="I222" s="183">
        <f>SUM(I214:I221)</f>
        <v>10</v>
      </c>
      <c r="J222" s="184">
        <f>SUM(J214:J221)</f>
        <v>11</v>
      </c>
      <c r="K222" s="77">
        <f t="shared" si="62"/>
        <v>45</v>
      </c>
      <c r="L222" s="182">
        <f>SUM(L214:L221)</f>
        <v>1</v>
      </c>
      <c r="M222" s="183">
        <f>SUM(M214:M221)</f>
        <v>0</v>
      </c>
      <c r="N222" s="183">
        <f>SUM(N214:N221)</f>
        <v>2</v>
      </c>
      <c r="O222" s="184">
        <f>SUM(O214:O221)</f>
        <v>2</v>
      </c>
      <c r="P222" s="77">
        <f t="shared" si="63"/>
        <v>5</v>
      </c>
      <c r="Q222" s="182">
        <f>SUM(Q214:Q221)</f>
        <v>0</v>
      </c>
      <c r="R222" s="183">
        <f>SUM(R214:R221)</f>
        <v>1</v>
      </c>
      <c r="S222" s="183">
        <f>SUM(S214:S221)</f>
        <v>0</v>
      </c>
      <c r="T222" s="184">
        <f>SUM(T214:T221)</f>
        <v>0</v>
      </c>
      <c r="U222" s="182">
        <f t="shared" si="64"/>
        <v>1</v>
      </c>
      <c r="V222" s="77">
        <f t="shared" si="65"/>
        <v>72</v>
      </c>
      <c r="W222" s="325"/>
      <c r="X222" s="326"/>
      <c r="Y222" s="326"/>
      <c r="Z222" s="326"/>
      <c r="AC222" s="181" t="s">
        <v>14</v>
      </c>
      <c r="AD222" s="182">
        <f>SUM(AD214:AD221)</f>
        <v>222</v>
      </c>
      <c r="AE222" s="183">
        <f>SUM(AE214:AE221)</f>
        <v>310</v>
      </c>
      <c r="AF222" s="183">
        <f>SUM(AF214:AF221)</f>
        <v>270</v>
      </c>
      <c r="AG222" s="184">
        <f>SUM(AG214:AG221)</f>
        <v>193</v>
      </c>
      <c r="AH222" s="77">
        <f t="shared" si="66"/>
        <v>995</v>
      </c>
      <c r="AI222" s="182">
        <f>SUM(AI214:AI221)</f>
        <v>213</v>
      </c>
      <c r="AJ222" s="183">
        <f>SUM(AJ214:AJ221)</f>
        <v>279</v>
      </c>
      <c r="AK222" s="183">
        <f>SUM(AK214:AK221)</f>
        <v>305</v>
      </c>
      <c r="AL222" s="184">
        <f>SUM(AL214:AL221)</f>
        <v>163</v>
      </c>
      <c r="AM222" s="77">
        <f t="shared" si="67"/>
        <v>960</v>
      </c>
      <c r="AN222" s="182">
        <f>SUM(AN214:AN221)</f>
        <v>19</v>
      </c>
      <c r="AO222" s="183">
        <f>SUM(AO214:AO221)</f>
        <v>0</v>
      </c>
      <c r="AP222" s="183">
        <f>SUM(AP214:AP221)</f>
        <v>46</v>
      </c>
      <c r="AQ222" s="184">
        <f>SUM(AQ214:AQ221)</f>
        <v>13</v>
      </c>
      <c r="AR222" s="77">
        <f t="shared" si="68"/>
        <v>78</v>
      </c>
      <c r="AS222" s="182">
        <f>SUM(AS214:AS221)</f>
        <v>128</v>
      </c>
      <c r="AT222" s="183">
        <f>SUM(AT214:AT221)</f>
        <v>142</v>
      </c>
      <c r="AU222" s="183">
        <f>SUM(AU214:AU221)</f>
        <v>88</v>
      </c>
      <c r="AV222" s="184">
        <f>SUM(AV214:AV221)</f>
        <v>88</v>
      </c>
      <c r="AW222" s="182">
        <f t="shared" si="69"/>
        <v>446</v>
      </c>
      <c r="AX222" s="77">
        <f t="shared" si="70"/>
        <v>2479</v>
      </c>
      <c r="AY222" s="325"/>
      <c r="AZ222" s="326"/>
    </row>
    <row r="223" spans="1:52" x14ac:dyDescent="0.15">
      <c r="A223" s="53" t="s">
        <v>224</v>
      </c>
      <c r="B223" s="46">
        <v>3</v>
      </c>
      <c r="C223" s="47">
        <v>1</v>
      </c>
      <c r="D223" s="47">
        <v>1</v>
      </c>
      <c r="E223" s="47">
        <v>2</v>
      </c>
      <c r="F223" s="48">
        <f t="shared" si="61"/>
        <v>7</v>
      </c>
      <c r="G223" s="46">
        <v>1</v>
      </c>
      <c r="H223" s="47">
        <v>2</v>
      </c>
      <c r="I223" s="47">
        <v>3</v>
      </c>
      <c r="J223" s="47">
        <v>5</v>
      </c>
      <c r="K223" s="48">
        <f t="shared" si="62"/>
        <v>11</v>
      </c>
      <c r="L223" s="46"/>
      <c r="M223" s="47"/>
      <c r="N223" s="47"/>
      <c r="O223" s="47"/>
      <c r="P223" s="48">
        <f t="shared" si="63"/>
        <v>0</v>
      </c>
      <c r="Q223" s="46"/>
      <c r="R223" s="47"/>
      <c r="S223" s="47"/>
      <c r="T223" s="47"/>
      <c r="U223" s="180">
        <f t="shared" si="64"/>
        <v>0</v>
      </c>
      <c r="V223" s="49">
        <f t="shared" si="65"/>
        <v>18</v>
      </c>
      <c r="W223" s="328">
        <v>44156</v>
      </c>
      <c r="X223" s="326"/>
      <c r="Y223" s="326"/>
      <c r="Z223" s="326"/>
      <c r="AC223" s="66" t="s">
        <v>99</v>
      </c>
      <c r="AD223" s="46"/>
      <c r="AE223" s="47"/>
      <c r="AF223" s="47"/>
      <c r="AG223" s="47"/>
      <c r="AH223" s="48">
        <f t="shared" si="66"/>
        <v>0</v>
      </c>
      <c r="AI223" s="46"/>
      <c r="AJ223" s="47">
        <v>3</v>
      </c>
      <c r="AK223" s="47"/>
      <c r="AL223" s="47"/>
      <c r="AM223" s="48">
        <f t="shared" si="67"/>
        <v>3</v>
      </c>
      <c r="AN223" s="46"/>
      <c r="AO223" s="47"/>
      <c r="AP223" s="47"/>
      <c r="AQ223" s="47"/>
      <c r="AR223" s="48">
        <f t="shared" si="68"/>
        <v>0</v>
      </c>
      <c r="AS223" s="46"/>
      <c r="AT223" s="47"/>
      <c r="AU223" s="47"/>
      <c r="AV223" s="47"/>
      <c r="AW223" s="180">
        <f t="shared" si="69"/>
        <v>0</v>
      </c>
      <c r="AX223" s="49">
        <f t="shared" si="70"/>
        <v>3</v>
      </c>
      <c r="AY223" s="329">
        <v>44162</v>
      </c>
      <c r="AZ223" s="326"/>
    </row>
    <row r="224" spans="1:52" x14ac:dyDescent="0.15">
      <c r="A224" s="268" t="s">
        <v>227</v>
      </c>
      <c r="B224" s="54"/>
      <c r="C224" s="55"/>
      <c r="D224" s="55"/>
      <c r="E224" s="55"/>
      <c r="F224" s="56">
        <f t="shared" si="61"/>
        <v>0</v>
      </c>
      <c r="G224" s="54"/>
      <c r="H224" s="55">
        <v>2</v>
      </c>
      <c r="I224" s="55"/>
      <c r="J224" s="55"/>
      <c r="K224" s="56">
        <f t="shared" si="62"/>
        <v>2</v>
      </c>
      <c r="L224" s="54"/>
      <c r="M224" s="55"/>
      <c r="N224" s="55"/>
      <c r="O224" s="55"/>
      <c r="P224" s="56">
        <f t="shared" si="63"/>
        <v>0</v>
      </c>
      <c r="Q224" s="54"/>
      <c r="R224" s="55"/>
      <c r="S224" s="55"/>
      <c r="T224" s="55"/>
      <c r="U224" s="176">
        <f t="shared" si="64"/>
        <v>0</v>
      </c>
      <c r="V224" s="56">
        <f t="shared" si="65"/>
        <v>2</v>
      </c>
      <c r="W224" s="329">
        <v>44166</v>
      </c>
      <c r="X224" s="326"/>
      <c r="Y224" s="326"/>
      <c r="Z224" s="326"/>
      <c r="AC224" s="65" t="s">
        <v>229</v>
      </c>
      <c r="AD224" s="54"/>
      <c r="AE224" s="55"/>
      <c r="AF224" s="55"/>
      <c r="AG224" s="55"/>
      <c r="AH224" s="56">
        <f t="shared" si="66"/>
        <v>0</v>
      </c>
      <c r="AI224" s="54"/>
      <c r="AJ224" s="55"/>
      <c r="AK224" s="55"/>
      <c r="AL224" s="55">
        <v>1</v>
      </c>
      <c r="AM224" s="56">
        <f t="shared" si="67"/>
        <v>1</v>
      </c>
      <c r="AN224" s="54"/>
      <c r="AO224" s="55"/>
      <c r="AP224" s="55"/>
      <c r="AQ224" s="55"/>
      <c r="AR224" s="56">
        <f t="shared" si="68"/>
        <v>0</v>
      </c>
      <c r="AS224" s="54"/>
      <c r="AT224" s="55"/>
      <c r="AU224" s="55"/>
      <c r="AV224" s="55"/>
      <c r="AW224" s="176">
        <f t="shared" si="69"/>
        <v>0</v>
      </c>
      <c r="AX224" s="56">
        <f t="shared" si="70"/>
        <v>1</v>
      </c>
      <c r="AY224" s="329">
        <v>44169</v>
      </c>
      <c r="AZ224" s="326"/>
    </row>
    <row r="225" spans="1:52" x14ac:dyDescent="0.15">
      <c r="A225" s="53" t="s">
        <v>115</v>
      </c>
      <c r="B225" s="54"/>
      <c r="C225" s="55"/>
      <c r="D225" s="55"/>
      <c r="E225" s="55"/>
      <c r="F225" s="56">
        <f t="shared" si="61"/>
        <v>0</v>
      </c>
      <c r="G225" s="54">
        <v>1</v>
      </c>
      <c r="H225" s="55">
        <v>1</v>
      </c>
      <c r="I225" s="55">
        <v>4</v>
      </c>
      <c r="J225" s="55"/>
      <c r="K225" s="56">
        <f t="shared" si="62"/>
        <v>6</v>
      </c>
      <c r="L225" s="54"/>
      <c r="M225" s="55"/>
      <c r="N225" s="55"/>
      <c r="O225" s="55">
        <v>1</v>
      </c>
      <c r="P225" s="56">
        <f t="shared" si="63"/>
        <v>1</v>
      </c>
      <c r="Q225" s="54"/>
      <c r="R225" s="55">
        <v>1</v>
      </c>
      <c r="S225" s="55"/>
      <c r="T225" s="55"/>
      <c r="U225" s="176">
        <f t="shared" si="64"/>
        <v>1</v>
      </c>
      <c r="V225" s="56">
        <f t="shared" si="65"/>
        <v>8</v>
      </c>
      <c r="W225" s="328">
        <v>44184</v>
      </c>
      <c r="X225" s="326"/>
      <c r="Y225" s="326"/>
      <c r="Z225" s="326"/>
      <c r="AC225" s="268" t="s">
        <v>230</v>
      </c>
      <c r="AD225" s="54">
        <v>2</v>
      </c>
      <c r="AE225" s="55"/>
      <c r="AF225" s="55"/>
      <c r="AG225" s="55"/>
      <c r="AH225" s="56">
        <f t="shared" si="66"/>
        <v>2</v>
      </c>
      <c r="AI225" s="54"/>
      <c r="AJ225" s="55"/>
      <c r="AK225" s="55"/>
      <c r="AL225" s="55"/>
      <c r="AM225" s="56">
        <f t="shared" si="67"/>
        <v>0</v>
      </c>
      <c r="AN225" s="54"/>
      <c r="AO225" s="55"/>
      <c r="AP225" s="55"/>
      <c r="AQ225" s="55"/>
      <c r="AR225" s="56">
        <f t="shared" si="68"/>
        <v>0</v>
      </c>
      <c r="AS225" s="54"/>
      <c r="AT225" s="55"/>
      <c r="AU225" s="55"/>
      <c r="AV225" s="55"/>
      <c r="AW225" s="176">
        <f t="shared" si="69"/>
        <v>0</v>
      </c>
      <c r="AX225" s="56">
        <f t="shared" si="70"/>
        <v>2</v>
      </c>
      <c r="AY225" s="329">
        <v>44173</v>
      </c>
      <c r="AZ225" s="326"/>
    </row>
    <row r="226" spans="1:52" x14ac:dyDescent="0.15">
      <c r="A226" s="53" t="s">
        <v>178</v>
      </c>
      <c r="B226" s="54"/>
      <c r="C226" s="55"/>
      <c r="D226" s="55"/>
      <c r="E226" s="55"/>
      <c r="F226" s="56">
        <f t="shared" si="61"/>
        <v>0</v>
      </c>
      <c r="G226" s="54"/>
      <c r="H226" s="55"/>
      <c r="I226" s="55"/>
      <c r="J226" s="55">
        <v>1</v>
      </c>
      <c r="K226" s="56">
        <f t="shared" si="62"/>
        <v>1</v>
      </c>
      <c r="L226" s="54"/>
      <c r="M226" s="55"/>
      <c r="N226" s="55"/>
      <c r="O226" s="55"/>
      <c r="P226" s="56">
        <f t="shared" si="63"/>
        <v>0</v>
      </c>
      <c r="Q226" s="54"/>
      <c r="R226" s="55"/>
      <c r="S226" s="55"/>
      <c r="T226" s="55"/>
      <c r="U226" s="176">
        <f t="shared" si="64"/>
        <v>0</v>
      </c>
      <c r="V226" s="56">
        <f t="shared" si="65"/>
        <v>1</v>
      </c>
      <c r="W226" s="329">
        <v>44188</v>
      </c>
      <c r="X226" s="326"/>
      <c r="Y226" s="326"/>
      <c r="Z226" s="326"/>
      <c r="AC226" s="268" t="s">
        <v>231</v>
      </c>
      <c r="AD226" s="54"/>
      <c r="AE226" s="55">
        <v>2</v>
      </c>
      <c r="AF226" s="55"/>
      <c r="AG226" s="55"/>
      <c r="AH226" s="56">
        <f t="shared" si="66"/>
        <v>2</v>
      </c>
      <c r="AI226" s="54"/>
      <c r="AJ226" s="55"/>
      <c r="AK226" s="55"/>
      <c r="AL226" s="55"/>
      <c r="AM226" s="56">
        <f t="shared" si="67"/>
        <v>0</v>
      </c>
      <c r="AN226" s="54"/>
      <c r="AO226" s="55"/>
      <c r="AP226" s="55"/>
      <c r="AQ226" s="55"/>
      <c r="AR226" s="56">
        <f t="shared" si="68"/>
        <v>0</v>
      </c>
      <c r="AS226" s="54"/>
      <c r="AT226" s="55"/>
      <c r="AU226" s="55"/>
      <c r="AV226" s="55"/>
      <c r="AW226" s="176">
        <f t="shared" si="69"/>
        <v>0</v>
      </c>
      <c r="AX226" s="56">
        <f t="shared" si="70"/>
        <v>2</v>
      </c>
      <c r="AY226" s="329">
        <v>44181</v>
      </c>
      <c r="AZ226" s="326"/>
    </row>
    <row r="227" spans="1:52" x14ac:dyDescent="0.15">
      <c r="A227" s="53" t="s">
        <v>115</v>
      </c>
      <c r="B227" s="54"/>
      <c r="C227" s="55">
        <v>4</v>
      </c>
      <c r="D227" s="55">
        <v>1</v>
      </c>
      <c r="E227" s="55"/>
      <c r="F227" s="56">
        <f t="shared" si="61"/>
        <v>5</v>
      </c>
      <c r="G227" s="54"/>
      <c r="H227" s="55">
        <v>11</v>
      </c>
      <c r="I227" s="55"/>
      <c r="J227" s="55"/>
      <c r="K227" s="56">
        <f t="shared" si="62"/>
        <v>11</v>
      </c>
      <c r="L227" s="54"/>
      <c r="M227" s="55"/>
      <c r="N227" s="55"/>
      <c r="O227" s="55"/>
      <c r="P227" s="56">
        <f t="shared" si="63"/>
        <v>0</v>
      </c>
      <c r="Q227" s="54"/>
      <c r="R227" s="55"/>
      <c r="S227" s="55"/>
      <c r="T227" s="55"/>
      <c r="U227" s="176">
        <f t="shared" si="64"/>
        <v>0</v>
      </c>
      <c r="V227" s="56">
        <f t="shared" si="65"/>
        <v>16</v>
      </c>
      <c r="W227" s="328">
        <v>44212</v>
      </c>
      <c r="X227" s="326"/>
      <c r="Y227" s="326"/>
      <c r="Z227" s="326"/>
      <c r="AC227" s="269" t="s">
        <v>232</v>
      </c>
      <c r="AD227" s="54"/>
      <c r="AE227" s="55"/>
      <c r="AF227" s="55"/>
      <c r="AG227" s="55"/>
      <c r="AH227" s="56">
        <f t="shared" si="66"/>
        <v>0</v>
      </c>
      <c r="AI227" s="54">
        <v>5</v>
      </c>
      <c r="AJ227" s="55">
        <v>5</v>
      </c>
      <c r="AK227" s="55">
        <v>5</v>
      </c>
      <c r="AL227" s="55">
        <v>5</v>
      </c>
      <c r="AM227" s="56">
        <f t="shared" si="67"/>
        <v>20</v>
      </c>
      <c r="AN227" s="54"/>
      <c r="AO227" s="55"/>
      <c r="AP227" s="55"/>
      <c r="AQ227" s="55"/>
      <c r="AR227" s="56">
        <f t="shared" si="68"/>
        <v>0</v>
      </c>
      <c r="AS227" s="54"/>
      <c r="AT227" s="55"/>
      <c r="AU227" s="55"/>
      <c r="AV227" s="55"/>
      <c r="AW227" s="176">
        <f t="shared" si="69"/>
        <v>0</v>
      </c>
      <c r="AX227" s="56">
        <f t="shared" si="70"/>
        <v>20</v>
      </c>
      <c r="AY227" s="329">
        <v>44251</v>
      </c>
      <c r="AZ227" s="326"/>
    </row>
    <row r="228" spans="1:52" x14ac:dyDescent="0.15">
      <c r="A228" s="53" t="s">
        <v>178</v>
      </c>
      <c r="B228" s="54"/>
      <c r="C228" s="55"/>
      <c r="D228" s="55"/>
      <c r="E228" s="55"/>
      <c r="F228" s="56">
        <f t="shared" si="61"/>
        <v>0</v>
      </c>
      <c r="G228" s="54"/>
      <c r="H228" s="55"/>
      <c r="I228" s="55"/>
      <c r="J228" s="55">
        <v>1</v>
      </c>
      <c r="K228" s="56">
        <f t="shared" si="62"/>
        <v>1</v>
      </c>
      <c r="L228" s="54"/>
      <c r="M228" s="55"/>
      <c r="N228" s="55"/>
      <c r="O228" s="55"/>
      <c r="P228" s="56">
        <f t="shared" si="63"/>
        <v>0</v>
      </c>
      <c r="Q228" s="54"/>
      <c r="R228" s="55"/>
      <c r="S228" s="55"/>
      <c r="T228" s="55"/>
      <c r="U228" s="176">
        <f t="shared" si="64"/>
        <v>0</v>
      </c>
      <c r="V228" s="56">
        <f t="shared" si="65"/>
        <v>1</v>
      </c>
      <c r="W228" s="329">
        <v>44230</v>
      </c>
      <c r="X228" s="326"/>
      <c r="Y228" s="326"/>
      <c r="Z228" s="326"/>
      <c r="AC228" s="269" t="s">
        <v>233</v>
      </c>
      <c r="AD228" s="54"/>
      <c r="AE228" s="55"/>
      <c r="AF228" s="55"/>
      <c r="AG228" s="55"/>
      <c r="AH228" s="56">
        <f t="shared" si="66"/>
        <v>0</v>
      </c>
      <c r="AI228" s="54">
        <v>5</v>
      </c>
      <c r="AJ228" s="55">
        <v>11</v>
      </c>
      <c r="AK228" s="55">
        <v>7</v>
      </c>
      <c r="AL228" s="55">
        <v>7</v>
      </c>
      <c r="AM228" s="56">
        <f t="shared" si="67"/>
        <v>30</v>
      </c>
      <c r="AN228" s="54"/>
      <c r="AO228" s="55"/>
      <c r="AP228" s="55"/>
      <c r="AQ228" s="55"/>
      <c r="AR228" s="56">
        <f t="shared" si="68"/>
        <v>0</v>
      </c>
      <c r="AS228" s="54"/>
      <c r="AT228" s="55"/>
      <c r="AU228" s="55"/>
      <c r="AV228" s="55"/>
      <c r="AW228" s="176">
        <f t="shared" si="69"/>
        <v>0</v>
      </c>
      <c r="AX228" s="56">
        <f t="shared" si="70"/>
        <v>30</v>
      </c>
      <c r="AY228" s="329">
        <v>44272</v>
      </c>
      <c r="AZ228" s="326"/>
    </row>
    <row r="229" spans="1:52" x14ac:dyDescent="0.15">
      <c r="A229" s="53" t="s">
        <v>178</v>
      </c>
      <c r="B229" s="54"/>
      <c r="C229" s="55"/>
      <c r="D229" s="55"/>
      <c r="E229" s="55"/>
      <c r="F229" s="56">
        <f t="shared" si="61"/>
        <v>0</v>
      </c>
      <c r="G229" s="54">
        <v>1</v>
      </c>
      <c r="H229" s="55"/>
      <c r="I229" s="55"/>
      <c r="J229" s="55"/>
      <c r="K229" s="56">
        <f t="shared" si="62"/>
        <v>1</v>
      </c>
      <c r="L229" s="54"/>
      <c r="M229" s="55"/>
      <c r="N229" s="55"/>
      <c r="O229" s="55"/>
      <c r="P229" s="56">
        <f t="shared" si="63"/>
        <v>0</v>
      </c>
      <c r="Q229" s="54"/>
      <c r="R229" s="55"/>
      <c r="S229" s="55"/>
      <c r="T229" s="55"/>
      <c r="U229" s="176">
        <f t="shared" si="64"/>
        <v>0</v>
      </c>
      <c r="V229" s="56">
        <f t="shared" si="65"/>
        <v>1</v>
      </c>
      <c r="W229" s="329">
        <v>44251</v>
      </c>
      <c r="X229" s="326"/>
      <c r="Y229" s="326"/>
      <c r="Z229" s="326"/>
      <c r="AC229" s="66" t="s">
        <v>238</v>
      </c>
      <c r="AD229" s="54"/>
      <c r="AE229" s="55"/>
      <c r="AF229" s="55"/>
      <c r="AG229" s="55"/>
      <c r="AH229" s="56">
        <f t="shared" si="66"/>
        <v>0</v>
      </c>
      <c r="AI229" s="54"/>
      <c r="AJ229" s="55"/>
      <c r="AK229" s="55"/>
      <c r="AL229" s="55">
        <v>3</v>
      </c>
      <c r="AM229" s="56">
        <f t="shared" si="67"/>
        <v>3</v>
      </c>
      <c r="AN229" s="54"/>
      <c r="AO229" s="55"/>
      <c r="AP229" s="55"/>
      <c r="AQ229" s="55"/>
      <c r="AR229" s="56">
        <f t="shared" si="68"/>
        <v>0</v>
      </c>
      <c r="AS229" s="54"/>
      <c r="AT229" s="55"/>
      <c r="AU229" s="55"/>
      <c r="AV229" s="55"/>
      <c r="AW229" s="176">
        <f t="shared" si="69"/>
        <v>0</v>
      </c>
      <c r="AX229" s="56">
        <f t="shared" si="70"/>
        <v>3</v>
      </c>
      <c r="AY229" s="329">
        <v>44274</v>
      </c>
      <c r="AZ229" s="326"/>
    </row>
    <row r="230" spans="1:52" x14ac:dyDescent="0.15">
      <c r="A230" s="53" t="s">
        <v>178</v>
      </c>
      <c r="B230" s="54"/>
      <c r="C230" s="55"/>
      <c r="D230" s="55"/>
      <c r="E230" s="55"/>
      <c r="F230" s="56">
        <f t="shared" si="61"/>
        <v>0</v>
      </c>
      <c r="G230" s="54"/>
      <c r="H230" s="55"/>
      <c r="I230" s="55"/>
      <c r="J230" s="55">
        <v>1</v>
      </c>
      <c r="K230" s="56">
        <f t="shared" si="62"/>
        <v>1</v>
      </c>
      <c r="L230" s="54"/>
      <c r="M230" s="55"/>
      <c r="N230" s="55"/>
      <c r="O230" s="55"/>
      <c r="P230" s="56">
        <f t="shared" si="63"/>
        <v>0</v>
      </c>
      <c r="Q230" s="54"/>
      <c r="R230" s="55"/>
      <c r="S230" s="55"/>
      <c r="T230" s="55"/>
      <c r="U230" s="176">
        <f t="shared" si="64"/>
        <v>0</v>
      </c>
      <c r="V230" s="56">
        <f t="shared" si="65"/>
        <v>1</v>
      </c>
      <c r="W230" s="329">
        <v>44274</v>
      </c>
      <c r="X230" s="326"/>
      <c r="Y230" s="326"/>
      <c r="Z230" s="326"/>
      <c r="AC230" s="66" t="s">
        <v>99</v>
      </c>
      <c r="AD230" s="54"/>
      <c r="AE230" s="55"/>
      <c r="AF230" s="55"/>
      <c r="AG230" s="55"/>
      <c r="AH230" s="56">
        <f t="shared" si="66"/>
        <v>0</v>
      </c>
      <c r="AI230" s="54"/>
      <c r="AJ230" s="55"/>
      <c r="AK230" s="55"/>
      <c r="AL230" s="55"/>
      <c r="AM230" s="56">
        <f t="shared" si="67"/>
        <v>0</v>
      </c>
      <c r="AN230" s="54"/>
      <c r="AO230" s="55"/>
      <c r="AP230" s="55"/>
      <c r="AQ230" s="55"/>
      <c r="AR230" s="56">
        <f t="shared" si="68"/>
        <v>0</v>
      </c>
      <c r="AS230" s="54">
        <v>1</v>
      </c>
      <c r="AT230" s="55">
        <v>1</v>
      </c>
      <c r="AU230" s="55">
        <v>1</v>
      </c>
      <c r="AV230" s="55">
        <v>1</v>
      </c>
      <c r="AW230" s="176">
        <f t="shared" si="69"/>
        <v>4</v>
      </c>
      <c r="AX230" s="56">
        <f t="shared" si="70"/>
        <v>4</v>
      </c>
      <c r="AY230" s="329">
        <v>44287</v>
      </c>
      <c r="AZ230" s="326"/>
    </row>
    <row r="231" spans="1:52" x14ac:dyDescent="0.15">
      <c r="A231" s="53" t="s">
        <v>178</v>
      </c>
      <c r="B231" s="17"/>
      <c r="C231" s="18"/>
      <c r="D231" s="18"/>
      <c r="E231" s="18"/>
      <c r="F231" s="30">
        <f t="shared" si="61"/>
        <v>0</v>
      </c>
      <c r="G231" s="17"/>
      <c r="H231" s="18"/>
      <c r="I231" s="18"/>
      <c r="J231" s="18">
        <v>1</v>
      </c>
      <c r="K231" s="30">
        <f t="shared" si="62"/>
        <v>1</v>
      </c>
      <c r="L231" s="17"/>
      <c r="M231" s="18"/>
      <c r="N231" s="18"/>
      <c r="O231" s="18"/>
      <c r="P231" s="30">
        <f t="shared" si="63"/>
        <v>0</v>
      </c>
      <c r="Q231" s="17"/>
      <c r="R231" s="18"/>
      <c r="S231" s="18"/>
      <c r="T231" s="18"/>
      <c r="U231" s="178">
        <f t="shared" si="64"/>
        <v>0</v>
      </c>
      <c r="V231" s="56">
        <f t="shared" si="65"/>
        <v>1</v>
      </c>
      <c r="W231" s="329">
        <v>44279</v>
      </c>
      <c r="X231" s="326"/>
      <c r="Y231" s="326"/>
      <c r="Z231" s="326"/>
      <c r="AC231" s="268" t="s">
        <v>240</v>
      </c>
      <c r="AD231" s="17">
        <v>2</v>
      </c>
      <c r="AE231" s="18">
        <v>2</v>
      </c>
      <c r="AF231" s="18">
        <v>2</v>
      </c>
      <c r="AG231" s="18">
        <v>1</v>
      </c>
      <c r="AH231" s="30">
        <f t="shared" si="66"/>
        <v>7</v>
      </c>
      <c r="AI231" s="17"/>
      <c r="AJ231" s="18"/>
      <c r="AK231" s="18"/>
      <c r="AL231" s="18"/>
      <c r="AM231" s="30">
        <f t="shared" si="67"/>
        <v>0</v>
      </c>
      <c r="AN231" s="17"/>
      <c r="AO231" s="18"/>
      <c r="AP231" s="18"/>
      <c r="AQ231" s="18"/>
      <c r="AR231" s="30">
        <f t="shared" si="68"/>
        <v>0</v>
      </c>
      <c r="AS231" s="17"/>
      <c r="AT231" s="18"/>
      <c r="AU231" s="18"/>
      <c r="AV231" s="18"/>
      <c r="AW231" s="178">
        <f t="shared" si="69"/>
        <v>0</v>
      </c>
      <c r="AX231" s="56">
        <f t="shared" si="70"/>
        <v>7</v>
      </c>
      <c r="AY231" s="329">
        <v>44306</v>
      </c>
      <c r="AZ231" s="326"/>
    </row>
    <row r="232" spans="1:52" x14ac:dyDescent="0.15">
      <c r="A232" s="53" t="s">
        <v>178</v>
      </c>
      <c r="B232" s="54"/>
      <c r="C232" s="55"/>
      <c r="D232" s="55"/>
      <c r="E232" s="55"/>
      <c r="F232" s="56">
        <f t="shared" si="61"/>
        <v>0</v>
      </c>
      <c r="G232" s="54"/>
      <c r="H232" s="55"/>
      <c r="I232" s="55">
        <v>1</v>
      </c>
      <c r="J232" s="55"/>
      <c r="K232" s="56">
        <f t="shared" si="62"/>
        <v>1</v>
      </c>
      <c r="L232" s="54"/>
      <c r="M232" s="55"/>
      <c r="N232" s="55"/>
      <c r="O232" s="55"/>
      <c r="P232" s="56">
        <f t="shared" si="63"/>
        <v>0</v>
      </c>
      <c r="Q232" s="54"/>
      <c r="R232" s="55"/>
      <c r="S232" s="55"/>
      <c r="T232" s="55"/>
      <c r="U232" s="176">
        <f t="shared" si="64"/>
        <v>0</v>
      </c>
      <c r="V232" s="56">
        <f t="shared" si="65"/>
        <v>1</v>
      </c>
      <c r="W232" s="329">
        <v>44286</v>
      </c>
      <c r="X232" s="326"/>
      <c r="Y232" s="326"/>
      <c r="Z232" s="326"/>
      <c r="AC232" s="268" t="s">
        <v>241</v>
      </c>
      <c r="AD232" s="54">
        <v>2</v>
      </c>
      <c r="AE232" s="55">
        <v>2</v>
      </c>
      <c r="AF232" s="55">
        <v>1</v>
      </c>
      <c r="AG232" s="55">
        <v>1</v>
      </c>
      <c r="AH232" s="56">
        <f t="shared" si="66"/>
        <v>6</v>
      </c>
      <c r="AI232" s="54">
        <v>3</v>
      </c>
      <c r="AJ232" s="55">
        <v>4</v>
      </c>
      <c r="AK232" s="55">
        <v>3</v>
      </c>
      <c r="AL232" s="55">
        <v>4</v>
      </c>
      <c r="AM232" s="56">
        <f t="shared" si="67"/>
        <v>14</v>
      </c>
      <c r="AN232" s="54"/>
      <c r="AO232" s="55"/>
      <c r="AP232" s="55"/>
      <c r="AQ232" s="55"/>
      <c r="AR232" s="56">
        <f t="shared" si="68"/>
        <v>0</v>
      </c>
      <c r="AS232" s="54"/>
      <c r="AT232" s="55"/>
      <c r="AU232" s="55"/>
      <c r="AV232" s="55"/>
      <c r="AW232" s="176">
        <f t="shared" si="69"/>
        <v>0</v>
      </c>
      <c r="AX232" s="56">
        <f t="shared" si="70"/>
        <v>20</v>
      </c>
      <c r="AY232" s="329">
        <v>44306</v>
      </c>
      <c r="AZ232" s="326"/>
    </row>
    <row r="233" spans="1:52" x14ac:dyDescent="0.15">
      <c r="A233" s="53" t="s">
        <v>239</v>
      </c>
      <c r="B233" s="54"/>
      <c r="C233" s="55"/>
      <c r="D233" s="55"/>
      <c r="E233" s="55"/>
      <c r="F233" s="56">
        <f t="shared" si="61"/>
        <v>0</v>
      </c>
      <c r="G233" s="54"/>
      <c r="H233" s="55"/>
      <c r="I233" s="55"/>
      <c r="J233" s="55"/>
      <c r="K233" s="56">
        <f t="shared" si="62"/>
        <v>0</v>
      </c>
      <c r="L233" s="54"/>
      <c r="M233" s="55"/>
      <c r="N233" s="55"/>
      <c r="O233" s="55"/>
      <c r="P233" s="56">
        <f t="shared" si="63"/>
        <v>0</v>
      </c>
      <c r="Q233" s="54">
        <v>-1</v>
      </c>
      <c r="R233" s="55">
        <v>-1</v>
      </c>
      <c r="S233" s="55">
        <v>-1</v>
      </c>
      <c r="T233" s="55">
        <v>-1</v>
      </c>
      <c r="U233" s="176">
        <f t="shared" si="64"/>
        <v>-4</v>
      </c>
      <c r="V233" s="56">
        <f t="shared" si="65"/>
        <v>-4</v>
      </c>
      <c r="W233" s="329">
        <v>44287</v>
      </c>
      <c r="X233" s="326"/>
      <c r="Y233" s="326"/>
      <c r="Z233" s="326"/>
      <c r="AC233" s="268" t="s">
        <v>242</v>
      </c>
      <c r="AD233" s="54"/>
      <c r="AE233" s="55"/>
      <c r="AF233" s="55"/>
      <c r="AG233" s="55"/>
      <c r="AH233" s="56">
        <f t="shared" si="66"/>
        <v>0</v>
      </c>
      <c r="AI233" s="54">
        <v>5</v>
      </c>
      <c r="AJ233" s="55">
        <v>5</v>
      </c>
      <c r="AK233" s="55">
        <v>5</v>
      </c>
      <c r="AL233" s="55">
        <v>10</v>
      </c>
      <c r="AM233" s="56">
        <f t="shared" si="67"/>
        <v>25</v>
      </c>
      <c r="AN233" s="54"/>
      <c r="AO233" s="55"/>
      <c r="AP233" s="55"/>
      <c r="AQ233" s="55"/>
      <c r="AR233" s="56">
        <f t="shared" si="68"/>
        <v>0</v>
      </c>
      <c r="AS233" s="54"/>
      <c r="AT233" s="55"/>
      <c r="AU233" s="55"/>
      <c r="AV233" s="55"/>
      <c r="AW233" s="176">
        <f t="shared" si="69"/>
        <v>0</v>
      </c>
      <c r="AX233" s="56">
        <f t="shared" si="70"/>
        <v>25</v>
      </c>
      <c r="AY233" s="329">
        <v>44301</v>
      </c>
      <c r="AZ233" s="326"/>
    </row>
    <row r="234" spans="1:52" x14ac:dyDescent="0.15">
      <c r="A234" s="53" t="s">
        <v>178</v>
      </c>
      <c r="B234" s="54"/>
      <c r="C234" s="55"/>
      <c r="D234" s="55"/>
      <c r="E234" s="55"/>
      <c r="F234" s="56">
        <f t="shared" si="61"/>
        <v>0</v>
      </c>
      <c r="G234" s="54"/>
      <c r="H234" s="55"/>
      <c r="I234" s="55"/>
      <c r="J234" s="55"/>
      <c r="K234" s="56">
        <f t="shared" si="62"/>
        <v>0</v>
      </c>
      <c r="L234" s="54"/>
      <c r="M234" s="55"/>
      <c r="N234" s="55">
        <v>1</v>
      </c>
      <c r="O234" s="55"/>
      <c r="P234" s="56">
        <f t="shared" si="63"/>
        <v>1</v>
      </c>
      <c r="Q234" s="54"/>
      <c r="R234" s="55"/>
      <c r="S234" s="55"/>
      <c r="T234" s="55"/>
      <c r="U234" s="176">
        <f t="shared" si="64"/>
        <v>0</v>
      </c>
      <c r="V234" s="56">
        <f t="shared" si="65"/>
        <v>1</v>
      </c>
      <c r="W234" s="329">
        <v>44289</v>
      </c>
      <c r="X234" s="326"/>
      <c r="Y234" s="326"/>
      <c r="Z234" s="326"/>
      <c r="AC234" s="66" t="s">
        <v>243</v>
      </c>
      <c r="AD234" s="54"/>
      <c r="AE234" s="55"/>
      <c r="AF234" s="55"/>
      <c r="AG234" s="55"/>
      <c r="AH234" s="56">
        <f t="shared" si="66"/>
        <v>0</v>
      </c>
      <c r="AI234" s="54">
        <v>2</v>
      </c>
      <c r="AJ234" s="55"/>
      <c r="AK234" s="55"/>
      <c r="AL234" s="55"/>
      <c r="AM234" s="56">
        <f t="shared" si="67"/>
        <v>2</v>
      </c>
      <c r="AN234" s="54"/>
      <c r="AO234" s="55"/>
      <c r="AP234" s="55"/>
      <c r="AQ234" s="55"/>
      <c r="AR234" s="56">
        <f t="shared" si="68"/>
        <v>0</v>
      </c>
      <c r="AS234" s="54"/>
      <c r="AT234" s="55"/>
      <c r="AU234" s="55">
        <v>6</v>
      </c>
      <c r="AV234" s="55">
        <v>3</v>
      </c>
      <c r="AW234" s="176">
        <f t="shared" si="69"/>
        <v>9</v>
      </c>
      <c r="AX234" s="56">
        <f t="shared" si="70"/>
        <v>11</v>
      </c>
      <c r="AY234" s="329">
        <v>44298</v>
      </c>
      <c r="AZ234" s="326"/>
    </row>
    <row r="235" spans="1:52" x14ac:dyDescent="0.15">
      <c r="A235" s="53" t="s">
        <v>244</v>
      </c>
      <c r="B235" s="54"/>
      <c r="C235" s="55"/>
      <c r="D235" s="55"/>
      <c r="E235" s="55"/>
      <c r="F235" s="56">
        <f t="shared" si="61"/>
        <v>0</v>
      </c>
      <c r="G235" s="54"/>
      <c r="H235" s="55"/>
      <c r="I235" s="55"/>
      <c r="J235" s="55"/>
      <c r="K235" s="56">
        <f t="shared" si="62"/>
        <v>0</v>
      </c>
      <c r="L235" s="54"/>
      <c r="M235" s="55"/>
      <c r="N235" s="55"/>
      <c r="O235" s="55"/>
      <c r="P235" s="56">
        <f t="shared" si="63"/>
        <v>0</v>
      </c>
      <c r="Q235" s="54"/>
      <c r="R235" s="55"/>
      <c r="S235" s="55"/>
      <c r="T235" s="55">
        <v>1</v>
      </c>
      <c r="U235" s="176">
        <f t="shared" si="64"/>
        <v>1</v>
      </c>
      <c r="V235" s="56">
        <f t="shared" si="65"/>
        <v>1</v>
      </c>
      <c r="W235" s="329">
        <v>44292</v>
      </c>
      <c r="X235" s="326"/>
      <c r="Y235" s="326"/>
      <c r="Z235" s="326"/>
      <c r="AC235" s="66" t="s">
        <v>245</v>
      </c>
      <c r="AD235" s="54"/>
      <c r="AE235" s="55"/>
      <c r="AF235" s="55"/>
      <c r="AG235" s="55"/>
      <c r="AH235" s="56">
        <f t="shared" si="66"/>
        <v>0</v>
      </c>
      <c r="AI235" s="54"/>
      <c r="AJ235" s="55"/>
      <c r="AK235" s="55"/>
      <c r="AL235" s="55"/>
      <c r="AM235" s="56">
        <f t="shared" si="67"/>
        <v>0</v>
      </c>
      <c r="AN235" s="54"/>
      <c r="AO235" s="55"/>
      <c r="AP235" s="55"/>
      <c r="AQ235" s="55"/>
      <c r="AR235" s="56">
        <f t="shared" si="68"/>
        <v>0</v>
      </c>
      <c r="AS235" s="54"/>
      <c r="AT235" s="55">
        <v>3</v>
      </c>
      <c r="AU235" s="55"/>
      <c r="AV235" s="55"/>
      <c r="AW235" s="176">
        <f t="shared" si="69"/>
        <v>3</v>
      </c>
      <c r="AX235" s="56">
        <f t="shared" si="70"/>
        <v>3</v>
      </c>
      <c r="AY235" s="329">
        <v>44299</v>
      </c>
      <c r="AZ235" s="326"/>
    </row>
    <row r="236" spans="1:52" x14ac:dyDescent="0.15">
      <c r="A236" s="53" t="s">
        <v>111</v>
      </c>
      <c r="B236" s="54"/>
      <c r="C236" s="55"/>
      <c r="D236" s="55"/>
      <c r="E236" s="55"/>
      <c r="F236" s="56">
        <f t="shared" si="61"/>
        <v>0</v>
      </c>
      <c r="G236" s="54"/>
      <c r="H236" s="55"/>
      <c r="I236" s="55"/>
      <c r="J236" s="55"/>
      <c r="K236" s="56">
        <f t="shared" si="62"/>
        <v>0</v>
      </c>
      <c r="L236" s="54"/>
      <c r="M236" s="55"/>
      <c r="N236" s="55"/>
      <c r="O236" s="55"/>
      <c r="P236" s="56">
        <f t="shared" si="63"/>
        <v>0</v>
      </c>
      <c r="Q236" s="54">
        <v>-1</v>
      </c>
      <c r="R236" s="55">
        <v>-1</v>
      </c>
      <c r="S236" s="55">
        <v>-1</v>
      </c>
      <c r="T236" s="55">
        <v>-3</v>
      </c>
      <c r="U236" s="176">
        <f t="shared" si="64"/>
        <v>-6</v>
      </c>
      <c r="V236" s="56">
        <f t="shared" si="65"/>
        <v>-6</v>
      </c>
      <c r="W236" s="329">
        <v>44294</v>
      </c>
      <c r="X236" s="326"/>
      <c r="Y236" s="326"/>
      <c r="Z236" s="326"/>
      <c r="AC236" s="66" t="s">
        <v>99</v>
      </c>
      <c r="AD236" s="54"/>
      <c r="AE236" s="55"/>
      <c r="AF236" s="55"/>
      <c r="AG236" s="55"/>
      <c r="AH236" s="56">
        <f t="shared" si="66"/>
        <v>0</v>
      </c>
      <c r="AI236" s="54"/>
      <c r="AJ236" s="55"/>
      <c r="AK236" s="55"/>
      <c r="AL236" s="55"/>
      <c r="AM236" s="56">
        <f t="shared" si="67"/>
        <v>0</v>
      </c>
      <c r="AN236" s="54"/>
      <c r="AO236" s="55"/>
      <c r="AP236" s="55"/>
      <c r="AQ236" s="55"/>
      <c r="AR236" s="56">
        <f t="shared" si="68"/>
        <v>0</v>
      </c>
      <c r="AS236" s="54">
        <v>1</v>
      </c>
      <c r="AT236" s="55">
        <v>1</v>
      </c>
      <c r="AU236" s="55">
        <v>1</v>
      </c>
      <c r="AV236" s="55">
        <v>3</v>
      </c>
      <c r="AW236" s="176">
        <f t="shared" si="69"/>
        <v>6</v>
      </c>
      <c r="AX236" s="56">
        <f t="shared" si="70"/>
        <v>6</v>
      </c>
      <c r="AY236" s="329">
        <v>44294</v>
      </c>
      <c r="AZ236" s="326"/>
    </row>
    <row r="237" spans="1:52" x14ac:dyDescent="0.15">
      <c r="A237" s="53" t="s">
        <v>98</v>
      </c>
      <c r="B237" s="54"/>
      <c r="C237" s="55"/>
      <c r="D237" s="55"/>
      <c r="E237" s="55"/>
      <c r="F237" s="56">
        <f t="shared" si="61"/>
        <v>0</v>
      </c>
      <c r="G237" s="54"/>
      <c r="H237" s="55"/>
      <c r="I237" s="55"/>
      <c r="J237" s="55"/>
      <c r="K237" s="56">
        <f t="shared" si="62"/>
        <v>0</v>
      </c>
      <c r="L237" s="54"/>
      <c r="M237" s="55"/>
      <c r="N237" s="55"/>
      <c r="O237" s="55"/>
      <c r="P237" s="56">
        <f t="shared" si="63"/>
        <v>0</v>
      </c>
      <c r="Q237" s="54"/>
      <c r="R237" s="55"/>
      <c r="S237" s="55"/>
      <c r="T237" s="55">
        <v>1</v>
      </c>
      <c r="U237" s="176">
        <f t="shared" si="64"/>
        <v>1</v>
      </c>
      <c r="V237" s="56">
        <f t="shared" si="65"/>
        <v>1</v>
      </c>
      <c r="W237" s="328">
        <v>44294</v>
      </c>
      <c r="X237" s="326"/>
      <c r="Y237" s="326"/>
      <c r="Z237" s="326"/>
      <c r="AC237" s="269" t="s">
        <v>246</v>
      </c>
      <c r="AD237" s="54"/>
      <c r="AE237" s="55"/>
      <c r="AF237" s="55"/>
      <c r="AG237" s="55"/>
      <c r="AH237" s="56">
        <f>SUM(AD237:AG237)</f>
        <v>0</v>
      </c>
      <c r="AI237" s="54"/>
      <c r="AJ237" s="55">
        <v>10</v>
      </c>
      <c r="AK237" s="55">
        <v>5</v>
      </c>
      <c r="AL237" s="55">
        <v>15</v>
      </c>
      <c r="AM237" s="56">
        <f>SUM(AI237:AL237)</f>
        <v>30</v>
      </c>
      <c r="AN237" s="54"/>
      <c r="AO237" s="55"/>
      <c r="AP237" s="55"/>
      <c r="AQ237" s="55"/>
      <c r="AR237" s="56">
        <f t="shared" si="68"/>
        <v>0</v>
      </c>
      <c r="AS237" s="54"/>
      <c r="AT237" s="55"/>
      <c r="AU237" s="55"/>
      <c r="AV237" s="55"/>
      <c r="AW237" s="176">
        <f t="shared" si="69"/>
        <v>0</v>
      </c>
      <c r="AX237" s="56">
        <f t="shared" si="70"/>
        <v>30</v>
      </c>
      <c r="AY237" s="329">
        <v>44306</v>
      </c>
      <c r="AZ237" s="326"/>
    </row>
    <row r="238" spans="1:52" x14ac:dyDescent="0.15">
      <c r="A238" s="53" t="s">
        <v>178</v>
      </c>
      <c r="B238" s="54"/>
      <c r="C238" s="55"/>
      <c r="D238" s="55"/>
      <c r="E238" s="55"/>
      <c r="F238" s="56">
        <f t="shared" si="61"/>
        <v>0</v>
      </c>
      <c r="G238" s="54"/>
      <c r="H238" s="55">
        <v>1</v>
      </c>
      <c r="I238" s="55"/>
      <c r="J238" s="55"/>
      <c r="K238" s="56">
        <f t="shared" si="62"/>
        <v>1</v>
      </c>
      <c r="L238" s="54"/>
      <c r="M238" s="55"/>
      <c r="N238" s="55"/>
      <c r="O238" s="55">
        <v>1</v>
      </c>
      <c r="P238" s="56">
        <f t="shared" si="63"/>
        <v>1</v>
      </c>
      <c r="Q238" s="54"/>
      <c r="R238" s="55"/>
      <c r="S238" s="55"/>
      <c r="T238" s="55"/>
      <c r="U238" s="176">
        <f t="shared" si="64"/>
        <v>0</v>
      </c>
      <c r="V238" s="56">
        <f t="shared" si="65"/>
        <v>2</v>
      </c>
      <c r="W238" s="329">
        <v>44307</v>
      </c>
      <c r="X238" s="326"/>
      <c r="Y238" s="326"/>
      <c r="Z238" s="326"/>
      <c r="AC238" s="66" t="s">
        <v>247</v>
      </c>
      <c r="AD238" s="54"/>
      <c r="AE238" s="55"/>
      <c r="AF238" s="55"/>
      <c r="AG238" s="55"/>
      <c r="AH238" s="56">
        <f t="shared" ref="AH238:AH250" si="71">SUM(AD238:AG238)</f>
        <v>0</v>
      </c>
      <c r="AI238" s="54"/>
      <c r="AJ238" s="55"/>
      <c r="AK238" s="55"/>
      <c r="AL238" s="55"/>
      <c r="AM238" s="56">
        <f t="shared" ref="AM238:AM250" si="72">SUM(AI238:AL238)</f>
        <v>0</v>
      </c>
      <c r="AN238" s="54"/>
      <c r="AO238" s="55"/>
      <c r="AP238" s="55"/>
      <c r="AQ238" s="55"/>
      <c r="AR238" s="56">
        <f t="shared" si="68"/>
        <v>0</v>
      </c>
      <c r="AS238" s="54">
        <v>5</v>
      </c>
      <c r="AT238" s="55"/>
      <c r="AU238" s="55"/>
      <c r="AV238" s="55">
        <v>5</v>
      </c>
      <c r="AW238" s="176">
        <f t="shared" si="69"/>
        <v>10</v>
      </c>
      <c r="AX238" s="56">
        <f t="shared" si="70"/>
        <v>10</v>
      </c>
      <c r="AY238" s="329">
        <v>44301</v>
      </c>
      <c r="AZ238" s="326"/>
    </row>
    <row r="239" spans="1:52" x14ac:dyDescent="0.15">
      <c r="A239" s="53" t="s">
        <v>98</v>
      </c>
      <c r="B239" s="54">
        <v>1</v>
      </c>
      <c r="C239" s="55"/>
      <c r="D239" s="55"/>
      <c r="E239" s="55"/>
      <c r="F239" s="56">
        <f t="shared" si="61"/>
        <v>1</v>
      </c>
      <c r="G239" s="54"/>
      <c r="H239" s="55"/>
      <c r="I239" s="55"/>
      <c r="J239" s="55"/>
      <c r="K239" s="56">
        <f t="shared" si="62"/>
        <v>0</v>
      </c>
      <c r="L239" s="54"/>
      <c r="M239" s="55"/>
      <c r="N239" s="55"/>
      <c r="O239" s="55"/>
      <c r="P239" s="56">
        <f t="shared" si="63"/>
        <v>0</v>
      </c>
      <c r="Q239" s="54"/>
      <c r="R239" s="55"/>
      <c r="S239" s="55"/>
      <c r="T239" s="55"/>
      <c r="U239" s="176">
        <f t="shared" si="64"/>
        <v>0</v>
      </c>
      <c r="V239" s="56">
        <f t="shared" si="65"/>
        <v>1</v>
      </c>
      <c r="W239" s="329">
        <v>44306</v>
      </c>
      <c r="X239" s="326"/>
      <c r="Y239" s="326"/>
      <c r="Z239" s="326"/>
      <c r="AC239" s="266" t="s">
        <v>119</v>
      </c>
      <c r="AD239" s="54"/>
      <c r="AE239" s="55"/>
      <c r="AF239" s="55"/>
      <c r="AG239" s="55"/>
      <c r="AH239" s="56">
        <f t="shared" si="71"/>
        <v>0</v>
      </c>
      <c r="AI239" s="54"/>
      <c r="AJ239" s="55"/>
      <c r="AK239" s="55"/>
      <c r="AL239" s="55"/>
      <c r="AM239" s="56">
        <f t="shared" si="72"/>
        <v>0</v>
      </c>
      <c r="AN239" s="54"/>
      <c r="AO239" s="55"/>
      <c r="AP239" s="55"/>
      <c r="AQ239" s="55"/>
      <c r="AR239" s="56">
        <f t="shared" si="68"/>
        <v>0</v>
      </c>
      <c r="AS239" s="54"/>
      <c r="AT239" s="55"/>
      <c r="AU239" s="55"/>
      <c r="AV239" s="55">
        <v>3</v>
      </c>
      <c r="AW239" s="176">
        <f t="shared" si="69"/>
        <v>3</v>
      </c>
      <c r="AX239" s="56">
        <f t="shared" si="70"/>
        <v>3</v>
      </c>
      <c r="AY239" s="329">
        <v>44306</v>
      </c>
      <c r="AZ239" s="326"/>
    </row>
    <row r="240" spans="1:52" x14ac:dyDescent="0.15">
      <c r="A240" s="53" t="s">
        <v>111</v>
      </c>
      <c r="B240" s="54">
        <v>-1</v>
      </c>
      <c r="C240" s="55"/>
      <c r="D240" s="55"/>
      <c r="E240" s="55"/>
      <c r="F240" s="56">
        <f t="shared" si="61"/>
        <v>-1</v>
      </c>
      <c r="G240" s="54"/>
      <c r="H240" s="55"/>
      <c r="I240" s="55"/>
      <c r="J240" s="55"/>
      <c r="K240" s="56">
        <f t="shared" si="62"/>
        <v>0</v>
      </c>
      <c r="L240" s="54">
        <v>-1</v>
      </c>
      <c r="M240" s="55"/>
      <c r="N240" s="55">
        <v>-1</v>
      </c>
      <c r="O240" s="55">
        <v>-2</v>
      </c>
      <c r="P240" s="56">
        <f t="shared" si="63"/>
        <v>-4</v>
      </c>
      <c r="Q240" s="54"/>
      <c r="R240" s="55"/>
      <c r="S240" s="55"/>
      <c r="T240" s="55"/>
      <c r="U240" s="176">
        <f t="shared" si="64"/>
        <v>0</v>
      </c>
      <c r="V240" s="56">
        <f t="shared" si="65"/>
        <v>-5</v>
      </c>
      <c r="W240" s="329">
        <v>44308</v>
      </c>
      <c r="X240" s="326"/>
      <c r="Y240" s="326"/>
      <c r="Z240" s="326"/>
      <c r="AC240" s="66" t="s">
        <v>248</v>
      </c>
      <c r="AD240" s="54"/>
      <c r="AE240" s="55"/>
      <c r="AF240" s="55"/>
      <c r="AG240" s="55"/>
      <c r="AH240" s="56">
        <f t="shared" si="71"/>
        <v>0</v>
      </c>
      <c r="AI240" s="54"/>
      <c r="AJ240" s="55"/>
      <c r="AK240" s="55"/>
      <c r="AL240" s="55"/>
      <c r="AM240" s="56">
        <f t="shared" si="72"/>
        <v>0</v>
      </c>
      <c r="AN240" s="54"/>
      <c r="AO240" s="55"/>
      <c r="AP240" s="55"/>
      <c r="AQ240" s="55"/>
      <c r="AR240" s="56">
        <f t="shared" si="68"/>
        <v>0</v>
      </c>
      <c r="AS240" s="54"/>
      <c r="AT240" s="55">
        <v>3</v>
      </c>
      <c r="AU240" s="55"/>
      <c r="AV240" s="55"/>
      <c r="AW240" s="176">
        <f t="shared" si="69"/>
        <v>3</v>
      </c>
      <c r="AX240" s="56">
        <f t="shared" si="70"/>
        <v>3</v>
      </c>
      <c r="AY240" s="329">
        <v>44306</v>
      </c>
      <c r="AZ240" s="326"/>
    </row>
    <row r="241" spans="1:52" x14ac:dyDescent="0.15">
      <c r="A241" s="53" t="s">
        <v>98</v>
      </c>
      <c r="B241" s="54"/>
      <c r="C241" s="55"/>
      <c r="D241" s="55"/>
      <c r="E241" s="55"/>
      <c r="F241" s="56">
        <f t="shared" si="61"/>
        <v>0</v>
      </c>
      <c r="G241" s="54"/>
      <c r="H241" s="55">
        <v>1</v>
      </c>
      <c r="I241" s="55"/>
      <c r="J241" s="55"/>
      <c r="K241" s="56">
        <f t="shared" si="62"/>
        <v>1</v>
      </c>
      <c r="L241" s="54"/>
      <c r="M241" s="55"/>
      <c r="N241" s="55"/>
      <c r="O241" s="55"/>
      <c r="P241" s="56">
        <f t="shared" si="63"/>
        <v>0</v>
      </c>
      <c r="Q241" s="54"/>
      <c r="R241" s="55"/>
      <c r="S241" s="55"/>
      <c r="T241" s="55"/>
      <c r="U241" s="176">
        <f t="shared" si="64"/>
        <v>0</v>
      </c>
      <c r="V241" s="56">
        <f t="shared" si="65"/>
        <v>1</v>
      </c>
      <c r="W241" s="328">
        <v>44312</v>
      </c>
      <c r="X241" s="326"/>
      <c r="Y241" s="326"/>
      <c r="Z241" s="326"/>
      <c r="AC241" s="269" t="s">
        <v>246</v>
      </c>
      <c r="AD241" s="54"/>
      <c r="AE241" s="55"/>
      <c r="AF241" s="55"/>
      <c r="AG241" s="55"/>
      <c r="AH241" s="56">
        <f t="shared" si="71"/>
        <v>0</v>
      </c>
      <c r="AI241" s="54">
        <v>2</v>
      </c>
      <c r="AJ241" s="55">
        <v>6</v>
      </c>
      <c r="AK241" s="55">
        <v>3</v>
      </c>
      <c r="AL241" s="55">
        <v>2</v>
      </c>
      <c r="AM241" s="56">
        <f t="shared" si="72"/>
        <v>13</v>
      </c>
      <c r="AN241" s="54"/>
      <c r="AO241" s="55"/>
      <c r="AP241" s="55"/>
      <c r="AQ241" s="55"/>
      <c r="AR241" s="56">
        <f t="shared" si="68"/>
        <v>0</v>
      </c>
      <c r="AS241" s="54"/>
      <c r="AT241" s="55"/>
      <c r="AU241" s="55"/>
      <c r="AV241" s="55"/>
      <c r="AW241" s="176">
        <f t="shared" si="69"/>
        <v>0</v>
      </c>
      <c r="AX241" s="56">
        <f t="shared" si="70"/>
        <v>13</v>
      </c>
      <c r="AY241" s="329">
        <v>44317</v>
      </c>
      <c r="AZ241" s="326"/>
    </row>
    <row r="242" spans="1:52" x14ac:dyDescent="0.15">
      <c r="A242" s="53"/>
      <c r="B242" s="17"/>
      <c r="C242" s="18"/>
      <c r="D242" s="18"/>
      <c r="E242" s="18"/>
      <c r="F242" s="30">
        <f t="shared" si="61"/>
        <v>0</v>
      </c>
      <c r="G242" s="17"/>
      <c r="H242" s="18"/>
      <c r="I242" s="18"/>
      <c r="J242" s="18"/>
      <c r="K242" s="30">
        <f t="shared" si="62"/>
        <v>0</v>
      </c>
      <c r="L242" s="17"/>
      <c r="M242" s="18"/>
      <c r="N242" s="18"/>
      <c r="O242" s="18"/>
      <c r="P242" s="30">
        <f t="shared" si="63"/>
        <v>0</v>
      </c>
      <c r="Q242" s="17"/>
      <c r="R242" s="18"/>
      <c r="S242" s="18"/>
      <c r="T242" s="18"/>
      <c r="U242" s="178">
        <f t="shared" si="64"/>
        <v>0</v>
      </c>
      <c r="V242" s="56">
        <f t="shared" si="65"/>
        <v>0</v>
      </c>
      <c r="W242" s="325"/>
      <c r="X242" s="326"/>
      <c r="Y242" s="326"/>
      <c r="Z242" s="326"/>
      <c r="AC242" s="266" t="s">
        <v>118</v>
      </c>
      <c r="AD242" s="54"/>
      <c r="AE242" s="55"/>
      <c r="AF242" s="55"/>
      <c r="AG242" s="55"/>
      <c r="AH242" s="56">
        <f t="shared" si="71"/>
        <v>0</v>
      </c>
      <c r="AI242" s="54"/>
      <c r="AJ242" s="55"/>
      <c r="AK242" s="55"/>
      <c r="AL242" s="55"/>
      <c r="AM242" s="56">
        <f t="shared" si="72"/>
        <v>0</v>
      </c>
      <c r="AN242" s="54"/>
      <c r="AO242" s="55"/>
      <c r="AP242" s="55"/>
      <c r="AQ242" s="55"/>
      <c r="AR242" s="56">
        <f t="shared" si="68"/>
        <v>0</v>
      </c>
      <c r="AS242" s="54">
        <v>2</v>
      </c>
      <c r="AT242" s="55"/>
      <c r="AU242" s="55">
        <v>2</v>
      </c>
      <c r="AV242" s="55"/>
      <c r="AW242" s="176">
        <f t="shared" si="69"/>
        <v>4</v>
      </c>
      <c r="AX242" s="56">
        <f t="shared" si="70"/>
        <v>4</v>
      </c>
      <c r="AY242" s="329">
        <v>44313</v>
      </c>
      <c r="AZ242" s="332"/>
    </row>
    <row r="243" spans="1:52" x14ac:dyDescent="0.15">
      <c r="A243" s="53"/>
      <c r="B243" s="54"/>
      <c r="C243" s="55"/>
      <c r="D243" s="55"/>
      <c r="E243" s="55"/>
      <c r="F243" s="56">
        <f t="shared" si="61"/>
        <v>0</v>
      </c>
      <c r="G243" s="54"/>
      <c r="H243" s="55"/>
      <c r="I243" s="55"/>
      <c r="J243" s="55"/>
      <c r="K243" s="56">
        <f t="shared" si="62"/>
        <v>0</v>
      </c>
      <c r="L243" s="54"/>
      <c r="M243" s="55"/>
      <c r="N243" s="55"/>
      <c r="O243" s="55"/>
      <c r="P243" s="56">
        <f t="shared" si="63"/>
        <v>0</v>
      </c>
      <c r="Q243" s="54"/>
      <c r="R243" s="55"/>
      <c r="S243" s="55"/>
      <c r="T243" s="55"/>
      <c r="U243" s="176">
        <f t="shared" si="64"/>
        <v>0</v>
      </c>
      <c r="V243" s="56">
        <f t="shared" si="65"/>
        <v>0</v>
      </c>
      <c r="W243" s="325"/>
      <c r="X243" s="326"/>
      <c r="Y243" s="326"/>
      <c r="Z243" s="326"/>
      <c r="AC243" s="66" t="s">
        <v>249</v>
      </c>
      <c r="AD243" s="54"/>
      <c r="AE243" s="55"/>
      <c r="AF243" s="55"/>
      <c r="AG243" s="55"/>
      <c r="AH243" s="56">
        <f t="shared" si="71"/>
        <v>0</v>
      </c>
      <c r="AI243" s="54"/>
      <c r="AJ243" s="55">
        <v>3</v>
      </c>
      <c r="AK243" s="55"/>
      <c r="AL243" s="55"/>
      <c r="AM243" s="56">
        <f t="shared" si="72"/>
        <v>3</v>
      </c>
      <c r="AN243" s="54"/>
      <c r="AO243" s="55"/>
      <c r="AP243" s="55"/>
      <c r="AQ243" s="55"/>
      <c r="AR243" s="56">
        <f t="shared" si="68"/>
        <v>0</v>
      </c>
      <c r="AS243" s="54">
        <v>3</v>
      </c>
      <c r="AT243" s="55"/>
      <c r="AU243" s="55"/>
      <c r="AV243" s="55">
        <v>5</v>
      </c>
      <c r="AW243" s="176">
        <f t="shared" si="69"/>
        <v>8</v>
      </c>
      <c r="AX243" s="56">
        <f t="shared" si="70"/>
        <v>11</v>
      </c>
      <c r="AY243" s="329">
        <v>44313</v>
      </c>
      <c r="AZ243" s="332"/>
    </row>
    <row r="244" spans="1:52" x14ac:dyDescent="0.15">
      <c r="A244" s="53"/>
      <c r="B244" s="62"/>
      <c r="C244" s="63"/>
      <c r="D244" s="63"/>
      <c r="E244" s="63"/>
      <c r="F244" s="56">
        <f t="shared" si="61"/>
        <v>0</v>
      </c>
      <c r="G244" s="62"/>
      <c r="H244" s="63"/>
      <c r="I244" s="63"/>
      <c r="J244" s="63"/>
      <c r="K244" s="56">
        <f t="shared" si="62"/>
        <v>0</v>
      </c>
      <c r="L244" s="62"/>
      <c r="M244" s="63"/>
      <c r="N244" s="63"/>
      <c r="O244" s="63"/>
      <c r="P244" s="56">
        <f t="shared" si="63"/>
        <v>0</v>
      </c>
      <c r="Q244" s="62"/>
      <c r="R244" s="63"/>
      <c r="S244" s="63"/>
      <c r="T244" s="63"/>
      <c r="U244" s="176">
        <f t="shared" si="64"/>
        <v>0</v>
      </c>
      <c r="V244" s="56">
        <f t="shared" si="65"/>
        <v>0</v>
      </c>
      <c r="W244" s="325"/>
      <c r="X244" s="326"/>
      <c r="Y244" s="326"/>
      <c r="Z244" s="326"/>
      <c r="AC244" s="66" t="s">
        <v>250</v>
      </c>
      <c r="AD244" s="33">
        <v>1</v>
      </c>
      <c r="AE244" s="34"/>
      <c r="AF244" s="34"/>
      <c r="AG244" s="34"/>
      <c r="AH244" s="30">
        <f t="shared" si="71"/>
        <v>1</v>
      </c>
      <c r="AI244" s="33"/>
      <c r="AJ244" s="34"/>
      <c r="AK244" s="34"/>
      <c r="AL244" s="34"/>
      <c r="AM244" s="30">
        <f t="shared" si="72"/>
        <v>0</v>
      </c>
      <c r="AN244" s="33">
        <v>1</v>
      </c>
      <c r="AO244" s="34"/>
      <c r="AP244" s="34">
        <v>1</v>
      </c>
      <c r="AQ244" s="34">
        <v>2</v>
      </c>
      <c r="AR244" s="30">
        <f t="shared" si="68"/>
        <v>4</v>
      </c>
      <c r="AS244" s="33"/>
      <c r="AT244" s="34"/>
      <c r="AU244" s="34"/>
      <c r="AV244" s="34"/>
      <c r="AW244" s="178">
        <f t="shared" si="69"/>
        <v>0</v>
      </c>
      <c r="AX244" s="170">
        <f t="shared" si="70"/>
        <v>5</v>
      </c>
      <c r="AY244" s="329">
        <v>44308</v>
      </c>
      <c r="AZ244" s="332"/>
    </row>
    <row r="245" spans="1:52" x14ac:dyDescent="0.15">
      <c r="A245" s="53"/>
      <c r="B245" s="54"/>
      <c r="C245" s="55"/>
      <c r="D245" s="55"/>
      <c r="E245" s="55"/>
      <c r="F245" s="56">
        <f t="shared" si="61"/>
        <v>0</v>
      </c>
      <c r="G245" s="54"/>
      <c r="H245" s="55"/>
      <c r="I245" s="55"/>
      <c r="J245" s="55"/>
      <c r="K245" s="56">
        <f t="shared" si="62"/>
        <v>0</v>
      </c>
      <c r="L245" s="54"/>
      <c r="M245" s="55"/>
      <c r="N245" s="55"/>
      <c r="O245" s="55"/>
      <c r="P245" s="56">
        <f t="shared" si="63"/>
        <v>0</v>
      </c>
      <c r="Q245" s="54"/>
      <c r="R245" s="55"/>
      <c r="S245" s="55"/>
      <c r="T245" s="55"/>
      <c r="U245" s="176">
        <f t="shared" si="64"/>
        <v>0</v>
      </c>
      <c r="V245" s="56">
        <f t="shared" si="65"/>
        <v>0</v>
      </c>
      <c r="W245" s="325"/>
      <c r="X245" s="326"/>
      <c r="Y245" s="326"/>
      <c r="Z245" s="326"/>
      <c r="AC245" s="266"/>
      <c r="AD245" s="54"/>
      <c r="AE245" s="55"/>
      <c r="AF245" s="55"/>
      <c r="AG245" s="55"/>
      <c r="AH245" s="56">
        <f t="shared" si="71"/>
        <v>0</v>
      </c>
      <c r="AI245" s="54"/>
      <c r="AJ245" s="55"/>
      <c r="AK245" s="55"/>
      <c r="AL245" s="55"/>
      <c r="AM245" s="56">
        <f t="shared" si="72"/>
        <v>0</v>
      </c>
      <c r="AN245" s="54"/>
      <c r="AO245" s="55"/>
      <c r="AP245" s="55"/>
      <c r="AQ245" s="55"/>
      <c r="AR245" s="56">
        <f t="shared" si="68"/>
        <v>0</v>
      </c>
      <c r="AS245" s="54"/>
      <c r="AT245" s="55"/>
      <c r="AU245" s="55"/>
      <c r="AV245" s="55"/>
      <c r="AW245" s="176">
        <f t="shared" si="69"/>
        <v>0</v>
      </c>
      <c r="AX245" s="56">
        <f t="shared" si="70"/>
        <v>0</v>
      </c>
      <c r="AY245" s="330"/>
      <c r="AZ245" s="332"/>
    </row>
    <row r="246" spans="1:52" x14ac:dyDescent="0.15">
      <c r="A246" s="53"/>
      <c r="B246" s="54"/>
      <c r="C246" s="55"/>
      <c r="D246" s="55"/>
      <c r="E246" s="55"/>
      <c r="F246" s="56">
        <f t="shared" si="61"/>
        <v>0</v>
      </c>
      <c r="G246" s="54"/>
      <c r="H246" s="55"/>
      <c r="I246" s="55"/>
      <c r="J246" s="55"/>
      <c r="K246" s="56">
        <f t="shared" si="62"/>
        <v>0</v>
      </c>
      <c r="L246" s="54"/>
      <c r="M246" s="55"/>
      <c r="N246" s="55"/>
      <c r="O246" s="55"/>
      <c r="P246" s="56">
        <f t="shared" si="63"/>
        <v>0</v>
      </c>
      <c r="Q246" s="54"/>
      <c r="R246" s="55"/>
      <c r="S246" s="55"/>
      <c r="T246" s="55"/>
      <c r="U246" s="176">
        <f t="shared" si="64"/>
        <v>0</v>
      </c>
      <c r="V246" s="56">
        <f t="shared" si="65"/>
        <v>0</v>
      </c>
      <c r="W246" s="325"/>
      <c r="X246" s="326"/>
      <c r="Y246" s="326"/>
      <c r="Z246" s="326"/>
      <c r="AC246" s="268"/>
      <c r="AD246" s="62"/>
      <c r="AE246" s="63"/>
      <c r="AF246" s="63"/>
      <c r="AG246" s="63"/>
      <c r="AH246" s="56">
        <f t="shared" si="71"/>
        <v>0</v>
      </c>
      <c r="AI246" s="62"/>
      <c r="AJ246" s="63"/>
      <c r="AK246" s="63"/>
      <c r="AL246" s="63"/>
      <c r="AM246" s="56">
        <f t="shared" si="72"/>
        <v>0</v>
      </c>
      <c r="AN246" s="62"/>
      <c r="AO246" s="63"/>
      <c r="AP246" s="63"/>
      <c r="AQ246" s="63"/>
      <c r="AR246" s="56">
        <f t="shared" si="68"/>
        <v>0</v>
      </c>
      <c r="AS246" s="62"/>
      <c r="AT246" s="63"/>
      <c r="AU246" s="63"/>
      <c r="AV246" s="63"/>
      <c r="AW246" s="176">
        <f t="shared" si="69"/>
        <v>0</v>
      </c>
      <c r="AX246" s="56">
        <f t="shared" si="70"/>
        <v>0</v>
      </c>
      <c r="AY246" s="330"/>
      <c r="AZ246" s="326"/>
    </row>
    <row r="247" spans="1:52" x14ac:dyDescent="0.15">
      <c r="A247" s="65"/>
      <c r="B247" s="54"/>
      <c r="C247" s="55"/>
      <c r="D247" s="55"/>
      <c r="E247" s="55"/>
      <c r="F247" s="56">
        <f t="shared" si="61"/>
        <v>0</v>
      </c>
      <c r="G247" s="54"/>
      <c r="H247" s="55"/>
      <c r="I247" s="55"/>
      <c r="J247" s="55"/>
      <c r="K247" s="56">
        <f t="shared" si="62"/>
        <v>0</v>
      </c>
      <c r="L247" s="54"/>
      <c r="M247" s="55"/>
      <c r="N247" s="55"/>
      <c r="O247" s="55"/>
      <c r="P247" s="56">
        <f t="shared" si="63"/>
        <v>0</v>
      </c>
      <c r="Q247" s="54"/>
      <c r="R247" s="55"/>
      <c r="S247" s="55"/>
      <c r="T247" s="55"/>
      <c r="U247" s="176">
        <f t="shared" si="64"/>
        <v>0</v>
      </c>
      <c r="V247" s="56">
        <f t="shared" si="65"/>
        <v>0</v>
      </c>
      <c r="W247" s="325"/>
      <c r="X247" s="326"/>
      <c r="Y247" s="326"/>
      <c r="Z247" s="326"/>
      <c r="AC247" s="268"/>
      <c r="AD247" s="54"/>
      <c r="AE247" s="55"/>
      <c r="AF247" s="55"/>
      <c r="AG247" s="55"/>
      <c r="AH247" s="56">
        <f t="shared" si="71"/>
        <v>0</v>
      </c>
      <c r="AI247" s="54"/>
      <c r="AJ247" s="55"/>
      <c r="AK247" s="55"/>
      <c r="AL247" s="55"/>
      <c r="AM247" s="56">
        <f t="shared" si="72"/>
        <v>0</v>
      </c>
      <c r="AN247" s="54"/>
      <c r="AO247" s="55"/>
      <c r="AP247" s="55"/>
      <c r="AQ247" s="55"/>
      <c r="AR247" s="56">
        <f t="shared" si="68"/>
        <v>0</v>
      </c>
      <c r="AS247" s="54"/>
      <c r="AT247" s="55"/>
      <c r="AU247" s="55"/>
      <c r="AV247" s="55"/>
      <c r="AW247" s="176">
        <f t="shared" si="69"/>
        <v>0</v>
      </c>
      <c r="AX247" s="56">
        <f t="shared" si="70"/>
        <v>0</v>
      </c>
      <c r="AY247" s="330"/>
      <c r="AZ247" s="326"/>
    </row>
    <row r="248" spans="1:52" ht="14.25" thickBot="1" x14ac:dyDescent="0.2">
      <c r="A248" s="67"/>
      <c r="B248" s="33"/>
      <c r="C248" s="34"/>
      <c r="D248" s="34"/>
      <c r="E248" s="34"/>
      <c r="F248" s="30">
        <f t="shared" si="61"/>
        <v>0</v>
      </c>
      <c r="G248" s="33"/>
      <c r="H248" s="34"/>
      <c r="I248" s="34"/>
      <c r="J248" s="34"/>
      <c r="K248" s="30">
        <f t="shared" si="62"/>
        <v>0</v>
      </c>
      <c r="L248" s="33"/>
      <c r="M248" s="34"/>
      <c r="N248" s="34"/>
      <c r="O248" s="34"/>
      <c r="P248" s="30">
        <f t="shared" si="63"/>
        <v>0</v>
      </c>
      <c r="Q248" s="33"/>
      <c r="R248" s="34"/>
      <c r="S248" s="34"/>
      <c r="T248" s="34"/>
      <c r="U248" s="178">
        <f t="shared" si="64"/>
        <v>0</v>
      </c>
      <c r="V248" s="163">
        <f t="shared" si="65"/>
        <v>0</v>
      </c>
      <c r="W248" s="325"/>
      <c r="X248" s="326"/>
      <c r="Y248" s="326"/>
      <c r="Z248" s="326"/>
      <c r="AC248" s="53"/>
      <c r="AD248" s="62"/>
      <c r="AE248" s="63"/>
      <c r="AF248" s="63"/>
      <c r="AG248" s="63"/>
      <c r="AH248" s="56">
        <f t="shared" si="71"/>
        <v>0</v>
      </c>
      <c r="AI248" s="62"/>
      <c r="AJ248" s="63"/>
      <c r="AK248" s="63"/>
      <c r="AL248" s="63"/>
      <c r="AM248" s="56">
        <f t="shared" si="72"/>
        <v>0</v>
      </c>
      <c r="AN248" s="62"/>
      <c r="AO248" s="63"/>
      <c r="AP248" s="63"/>
      <c r="AQ248" s="63"/>
      <c r="AR248" s="56">
        <f t="shared" si="68"/>
        <v>0</v>
      </c>
      <c r="AS248" s="62"/>
      <c r="AT248" s="63"/>
      <c r="AU248" s="63"/>
      <c r="AV248" s="63"/>
      <c r="AW248" s="176">
        <f t="shared" si="69"/>
        <v>0</v>
      </c>
      <c r="AX248" s="56">
        <f t="shared" si="70"/>
        <v>0</v>
      </c>
      <c r="AY248" s="330"/>
      <c r="AZ248" s="326"/>
    </row>
    <row r="249" spans="1:52" ht="15" thickBot="1" x14ac:dyDescent="0.2">
      <c r="A249" s="9" t="s">
        <v>15</v>
      </c>
      <c r="B249" s="36">
        <f>SUM(B223:B248)</f>
        <v>3</v>
      </c>
      <c r="C249" s="37">
        <f>SUM(C223:C248)</f>
        <v>5</v>
      </c>
      <c r="D249" s="37">
        <f>SUM(D223:D248)</f>
        <v>2</v>
      </c>
      <c r="E249" s="38">
        <f>SUM(E223:E248)</f>
        <v>2</v>
      </c>
      <c r="F249" s="25">
        <f t="shared" si="61"/>
        <v>12</v>
      </c>
      <c r="G249" s="36">
        <f>SUM(G223:G248)</f>
        <v>3</v>
      </c>
      <c r="H249" s="37">
        <f>SUM(H223:H248)</f>
        <v>18</v>
      </c>
      <c r="I249" s="37">
        <f>SUM(I223:I248)</f>
        <v>8</v>
      </c>
      <c r="J249" s="38">
        <f>SUM(J223:J248)</f>
        <v>9</v>
      </c>
      <c r="K249" s="25">
        <f t="shared" si="62"/>
        <v>38</v>
      </c>
      <c r="L249" s="36">
        <f>SUM(L223:L248)</f>
        <v>-1</v>
      </c>
      <c r="M249" s="37">
        <f>SUM(M223:M248)</f>
        <v>0</v>
      </c>
      <c r="N249" s="37">
        <f>SUM(N223:N248)</f>
        <v>0</v>
      </c>
      <c r="O249" s="38">
        <f>SUM(O223:O248)</f>
        <v>0</v>
      </c>
      <c r="P249" s="25">
        <f t="shared" si="63"/>
        <v>-1</v>
      </c>
      <c r="Q249" s="36">
        <f>SUM(Q223:Q248)</f>
        <v>-2</v>
      </c>
      <c r="R249" s="37">
        <f>SUM(R223:R248)</f>
        <v>-1</v>
      </c>
      <c r="S249" s="37">
        <f>SUM(S223:S248)</f>
        <v>-2</v>
      </c>
      <c r="T249" s="38">
        <f>SUM(T223:T248)</f>
        <v>-2</v>
      </c>
      <c r="U249" s="36">
        <f t="shared" si="64"/>
        <v>-7</v>
      </c>
      <c r="V249" s="77">
        <f t="shared" si="65"/>
        <v>42</v>
      </c>
      <c r="W249" s="325"/>
      <c r="X249" s="326"/>
      <c r="Y249" s="326"/>
      <c r="Z249" s="326"/>
      <c r="AC249" s="9" t="s">
        <v>15</v>
      </c>
      <c r="AD249" s="36">
        <f>SUM(AD223:AD248)</f>
        <v>7</v>
      </c>
      <c r="AE249" s="37">
        <f>SUM(AE223:AE248)</f>
        <v>6</v>
      </c>
      <c r="AF249" s="37">
        <f>SUM(AF223:AF248)</f>
        <v>3</v>
      </c>
      <c r="AG249" s="38">
        <f>SUM(AG223:AG248)</f>
        <v>2</v>
      </c>
      <c r="AH249" s="25">
        <f t="shared" si="71"/>
        <v>18</v>
      </c>
      <c r="AI249" s="36">
        <f>SUM(AI223:AI248)</f>
        <v>22</v>
      </c>
      <c r="AJ249" s="37">
        <f>SUM(AJ223:AJ248)</f>
        <v>47</v>
      </c>
      <c r="AK249" s="37">
        <f>SUM(AK223:AK248)</f>
        <v>28</v>
      </c>
      <c r="AL249" s="38">
        <f>SUM(AL223:AL248)</f>
        <v>47</v>
      </c>
      <c r="AM249" s="25">
        <f t="shared" si="72"/>
        <v>144</v>
      </c>
      <c r="AN249" s="36">
        <f>SUM(AN223:AN248)</f>
        <v>1</v>
      </c>
      <c r="AO249" s="37">
        <f>SUM(AO223:AO248)</f>
        <v>0</v>
      </c>
      <c r="AP249" s="37">
        <f>SUM(AP223:AP248)</f>
        <v>1</v>
      </c>
      <c r="AQ249" s="38">
        <f>SUM(AQ223:AQ248)</f>
        <v>2</v>
      </c>
      <c r="AR249" s="25">
        <f t="shared" si="68"/>
        <v>4</v>
      </c>
      <c r="AS249" s="36">
        <f>SUM(AS223:AS248)</f>
        <v>12</v>
      </c>
      <c r="AT249" s="37">
        <f>SUM(AT223:AT248)</f>
        <v>8</v>
      </c>
      <c r="AU249" s="37">
        <f>SUM(AU223:AU248)</f>
        <v>10</v>
      </c>
      <c r="AV249" s="38">
        <f>SUM(AV223:AV248)</f>
        <v>20</v>
      </c>
      <c r="AW249" s="36">
        <f t="shared" si="69"/>
        <v>50</v>
      </c>
      <c r="AX249" s="161">
        <f t="shared" si="70"/>
        <v>216</v>
      </c>
      <c r="AY249" s="325"/>
      <c r="AZ249" s="326"/>
    </row>
    <row r="250" spans="1:52" ht="14.25" thickBot="1" x14ac:dyDescent="0.2">
      <c r="A250" s="39" t="s">
        <v>16</v>
      </c>
      <c r="B250" s="40">
        <f>B222-B249</f>
        <v>2</v>
      </c>
      <c r="C250" s="41">
        <f>C222-C249</f>
        <v>2</v>
      </c>
      <c r="D250" s="41">
        <f>D222-D249</f>
        <v>3</v>
      </c>
      <c r="E250" s="42">
        <f>E222-E249</f>
        <v>2</v>
      </c>
      <c r="F250" s="171">
        <f t="shared" si="61"/>
        <v>9</v>
      </c>
      <c r="G250" s="40">
        <f>G222-G249</f>
        <v>2</v>
      </c>
      <c r="H250" s="41">
        <f>H222-H249</f>
        <v>1</v>
      </c>
      <c r="I250" s="41">
        <f>I222-I249</f>
        <v>2</v>
      </c>
      <c r="J250" s="42">
        <f>J222-J249</f>
        <v>2</v>
      </c>
      <c r="K250" s="171">
        <f t="shared" si="62"/>
        <v>7</v>
      </c>
      <c r="L250" s="40">
        <f>L222-L249</f>
        <v>2</v>
      </c>
      <c r="M250" s="41">
        <f>M222-M249</f>
        <v>0</v>
      </c>
      <c r="N250" s="41">
        <f>N222-N249</f>
        <v>2</v>
      </c>
      <c r="O250" s="42">
        <f>O222-O249</f>
        <v>2</v>
      </c>
      <c r="P250" s="171">
        <f t="shared" si="63"/>
        <v>6</v>
      </c>
      <c r="Q250" s="40">
        <f>Q222-Q249</f>
        <v>2</v>
      </c>
      <c r="R250" s="41">
        <f>R222-R249</f>
        <v>2</v>
      </c>
      <c r="S250" s="41">
        <f>S222-S249</f>
        <v>2</v>
      </c>
      <c r="T250" s="42">
        <f>T222-T249</f>
        <v>2</v>
      </c>
      <c r="U250" s="177">
        <f t="shared" si="64"/>
        <v>8</v>
      </c>
      <c r="V250" s="77">
        <f t="shared" si="65"/>
        <v>30</v>
      </c>
      <c r="W250" s="325"/>
      <c r="X250" s="326"/>
      <c r="Y250" s="326"/>
      <c r="Z250" s="326"/>
      <c r="AC250" s="39" t="s">
        <v>16</v>
      </c>
      <c r="AD250" s="40">
        <f>AD222-AD249</f>
        <v>215</v>
      </c>
      <c r="AE250" s="41">
        <f>AE222-AE249</f>
        <v>304</v>
      </c>
      <c r="AF250" s="41">
        <f>AF222-AF249</f>
        <v>267</v>
      </c>
      <c r="AG250" s="42">
        <f>AG222-AG249</f>
        <v>191</v>
      </c>
      <c r="AH250" s="171">
        <f t="shared" si="71"/>
        <v>977</v>
      </c>
      <c r="AI250" s="40">
        <f>AI222-AI249</f>
        <v>191</v>
      </c>
      <c r="AJ250" s="41">
        <f>AJ222-AJ249</f>
        <v>232</v>
      </c>
      <c r="AK250" s="41">
        <f>AK222-AK249</f>
        <v>277</v>
      </c>
      <c r="AL250" s="42">
        <f>AL222-AL249</f>
        <v>116</v>
      </c>
      <c r="AM250" s="171">
        <f t="shared" si="72"/>
        <v>816</v>
      </c>
      <c r="AN250" s="40">
        <f>AN222-AN249</f>
        <v>18</v>
      </c>
      <c r="AO250" s="41">
        <f>AO222-AO249</f>
        <v>0</v>
      </c>
      <c r="AP250" s="41">
        <f>AP222-AP249</f>
        <v>45</v>
      </c>
      <c r="AQ250" s="42">
        <f>AQ222-AQ249</f>
        <v>11</v>
      </c>
      <c r="AR250" s="171">
        <f t="shared" si="68"/>
        <v>74</v>
      </c>
      <c r="AS250" s="40">
        <f>AS222-AS249</f>
        <v>116</v>
      </c>
      <c r="AT250" s="41">
        <f>AT222-AT249</f>
        <v>134</v>
      </c>
      <c r="AU250" s="41">
        <f>AU222-AU249</f>
        <v>78</v>
      </c>
      <c r="AV250" s="42">
        <f>AV222-AV249</f>
        <v>68</v>
      </c>
      <c r="AW250" s="177">
        <f t="shared" si="69"/>
        <v>396</v>
      </c>
      <c r="AX250" s="77">
        <f t="shared" si="70"/>
        <v>2263</v>
      </c>
      <c r="AY250" s="325"/>
      <c r="AZ250" s="326"/>
    </row>
    <row r="251" spans="1:52" x14ac:dyDescent="0.15">
      <c r="W251" s="325"/>
      <c r="X251" s="326"/>
      <c r="Y251" s="326"/>
      <c r="Z251" s="326"/>
      <c r="AY251" s="325"/>
      <c r="AZ251" s="326"/>
    </row>
    <row r="252" spans="1:52" x14ac:dyDescent="0.15">
      <c r="W252" s="325"/>
      <c r="X252" s="326"/>
      <c r="Y252" s="326"/>
      <c r="Z252" s="326"/>
      <c r="AY252" s="325"/>
      <c r="AZ252" s="326"/>
    </row>
    <row r="253" spans="1:52" ht="19.5" thickBot="1" x14ac:dyDescent="0.25">
      <c r="A253" s="185" t="s">
        <v>19</v>
      </c>
      <c r="B253" s="186"/>
      <c r="C253" s="186"/>
      <c r="D253" s="186"/>
      <c r="E253" s="186"/>
      <c r="F253" s="18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25"/>
      <c r="X253" s="326"/>
      <c r="Y253" s="326"/>
      <c r="Z253" s="326"/>
      <c r="AC253" s="187" t="s">
        <v>73</v>
      </c>
      <c r="AD253" s="188"/>
      <c r="AE253" s="188"/>
      <c r="AF253" s="188"/>
      <c r="AG253" s="188"/>
      <c r="AH253" s="188"/>
      <c r="AI253" s="188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325"/>
      <c r="AZ253" s="326"/>
    </row>
    <row r="254" spans="1:52" ht="14.25" thickBot="1" x14ac:dyDescent="0.2">
      <c r="A254" s="3" t="s">
        <v>0</v>
      </c>
      <c r="B254" s="371" t="s">
        <v>17</v>
      </c>
      <c r="C254" s="372"/>
      <c r="D254" s="372"/>
      <c r="E254" s="372"/>
      <c r="F254" s="373"/>
      <c r="G254" s="371" t="s">
        <v>18</v>
      </c>
      <c r="H254" s="372"/>
      <c r="I254" s="372"/>
      <c r="J254" s="372"/>
      <c r="K254" s="373"/>
      <c r="L254" s="371" t="s">
        <v>38</v>
      </c>
      <c r="M254" s="372"/>
      <c r="N254" s="372"/>
      <c r="O254" s="372"/>
      <c r="P254" s="373"/>
      <c r="Q254" s="371" t="s">
        <v>75</v>
      </c>
      <c r="R254" s="372"/>
      <c r="S254" s="372"/>
      <c r="T254" s="372"/>
      <c r="U254" s="373"/>
      <c r="V254" s="360" t="s">
        <v>1</v>
      </c>
      <c r="W254" s="325"/>
      <c r="X254" s="326"/>
      <c r="Y254" s="326"/>
      <c r="Z254" s="326"/>
      <c r="AC254" s="271" t="s">
        <v>0</v>
      </c>
      <c r="AD254" s="371" t="s">
        <v>17</v>
      </c>
      <c r="AE254" s="372"/>
      <c r="AF254" s="372"/>
      <c r="AG254" s="372"/>
      <c r="AH254" s="373"/>
      <c r="AI254" s="371" t="s">
        <v>18</v>
      </c>
      <c r="AJ254" s="372"/>
      <c r="AK254" s="372"/>
      <c r="AL254" s="372"/>
      <c r="AM254" s="373"/>
      <c r="AN254" s="371" t="s">
        <v>38</v>
      </c>
      <c r="AO254" s="372"/>
      <c r="AP254" s="372"/>
      <c r="AQ254" s="372"/>
      <c r="AR254" s="373"/>
      <c r="AS254" s="371" t="s">
        <v>75</v>
      </c>
      <c r="AT254" s="372"/>
      <c r="AU254" s="372"/>
      <c r="AV254" s="372"/>
      <c r="AW254" s="373"/>
      <c r="AX254" s="360" t="s">
        <v>1</v>
      </c>
      <c r="AY254" s="325"/>
      <c r="AZ254" s="326"/>
    </row>
    <row r="255" spans="1:52" ht="14.25" thickBot="1" x14ac:dyDescent="0.2">
      <c r="A255" s="5" t="s">
        <v>2</v>
      </c>
      <c r="B255" s="6" t="s">
        <v>3</v>
      </c>
      <c r="C255" s="7" t="s">
        <v>4</v>
      </c>
      <c r="D255" s="7" t="s">
        <v>5</v>
      </c>
      <c r="E255" s="8" t="s">
        <v>6</v>
      </c>
      <c r="F255" s="5" t="s">
        <v>7</v>
      </c>
      <c r="G255" s="6" t="s">
        <v>3</v>
      </c>
      <c r="H255" s="7" t="s">
        <v>4</v>
      </c>
      <c r="I255" s="7" t="s">
        <v>5</v>
      </c>
      <c r="J255" s="8" t="s">
        <v>6</v>
      </c>
      <c r="K255" s="5" t="s">
        <v>7</v>
      </c>
      <c r="L255" s="6" t="s">
        <v>3</v>
      </c>
      <c r="M255" s="7" t="s">
        <v>4</v>
      </c>
      <c r="N255" s="7" t="s">
        <v>5</v>
      </c>
      <c r="O255" s="8" t="s">
        <v>6</v>
      </c>
      <c r="P255" s="5" t="s">
        <v>7</v>
      </c>
      <c r="Q255" s="6" t="s">
        <v>3</v>
      </c>
      <c r="R255" s="7" t="s">
        <v>4</v>
      </c>
      <c r="S255" s="7" t="s">
        <v>5</v>
      </c>
      <c r="T255" s="8" t="s">
        <v>6</v>
      </c>
      <c r="U255" s="5" t="s">
        <v>7</v>
      </c>
      <c r="V255" s="361"/>
      <c r="W255" s="325"/>
      <c r="X255" s="326"/>
      <c r="Y255" s="326"/>
      <c r="Z255" s="326"/>
      <c r="AC255" s="272" t="s">
        <v>2</v>
      </c>
      <c r="AD255" s="6" t="s">
        <v>3</v>
      </c>
      <c r="AE255" s="7" t="s">
        <v>4</v>
      </c>
      <c r="AF255" s="7" t="s">
        <v>5</v>
      </c>
      <c r="AG255" s="8" t="s">
        <v>6</v>
      </c>
      <c r="AH255" s="5" t="s">
        <v>7</v>
      </c>
      <c r="AI255" s="6" t="s">
        <v>3</v>
      </c>
      <c r="AJ255" s="7" t="s">
        <v>4</v>
      </c>
      <c r="AK255" s="7" t="s">
        <v>5</v>
      </c>
      <c r="AL255" s="8" t="s">
        <v>6</v>
      </c>
      <c r="AM255" s="5" t="s">
        <v>7</v>
      </c>
      <c r="AN255" s="6" t="s">
        <v>3</v>
      </c>
      <c r="AO255" s="7" t="s">
        <v>4</v>
      </c>
      <c r="AP255" s="7" t="s">
        <v>5</v>
      </c>
      <c r="AQ255" s="8" t="s">
        <v>6</v>
      </c>
      <c r="AR255" s="5" t="s">
        <v>7</v>
      </c>
      <c r="AS255" s="6" t="s">
        <v>3</v>
      </c>
      <c r="AT255" s="7" t="s">
        <v>4</v>
      </c>
      <c r="AU255" s="7" t="s">
        <v>5</v>
      </c>
      <c r="AV255" s="8" t="s">
        <v>6</v>
      </c>
      <c r="AW255" s="5" t="s">
        <v>7</v>
      </c>
      <c r="AX255" s="361"/>
      <c r="AY255" s="325"/>
      <c r="AZ255" s="326"/>
    </row>
    <row r="256" spans="1:52" ht="14.25" x14ac:dyDescent="0.15">
      <c r="A256" s="172" t="s">
        <v>30</v>
      </c>
      <c r="B256" s="70">
        <f>B250</f>
        <v>2</v>
      </c>
      <c r="C256" s="70">
        <f>C250</f>
        <v>2</v>
      </c>
      <c r="D256" s="70">
        <f>D250</f>
        <v>3</v>
      </c>
      <c r="E256" s="165">
        <f>E250</f>
        <v>2</v>
      </c>
      <c r="F256" s="71">
        <f t="shared" ref="F256:F292" si="73">SUM(B256:E256)</f>
        <v>9</v>
      </c>
      <c r="G256" s="70">
        <f>G250</f>
        <v>2</v>
      </c>
      <c r="H256" s="70">
        <f>H250</f>
        <v>1</v>
      </c>
      <c r="I256" s="70">
        <f>I250</f>
        <v>2</v>
      </c>
      <c r="J256" s="165">
        <f>J250</f>
        <v>2</v>
      </c>
      <c r="K256" s="71">
        <f t="shared" ref="K256:K292" si="74">SUM(G256:J256)</f>
        <v>7</v>
      </c>
      <c r="L256" s="70">
        <f>L250</f>
        <v>2</v>
      </c>
      <c r="M256" s="70">
        <f>M250</f>
        <v>0</v>
      </c>
      <c r="N256" s="70">
        <f>N250</f>
        <v>2</v>
      </c>
      <c r="O256" s="165">
        <f>O250</f>
        <v>2</v>
      </c>
      <c r="P256" s="71">
        <f t="shared" ref="P256:P292" si="75">SUM(L256:O256)</f>
        <v>6</v>
      </c>
      <c r="Q256" s="70">
        <f>Q250</f>
        <v>2</v>
      </c>
      <c r="R256" s="70">
        <f>R250</f>
        <v>2</v>
      </c>
      <c r="S256" s="70">
        <f>S250</f>
        <v>2</v>
      </c>
      <c r="T256" s="165">
        <f>T250</f>
        <v>2</v>
      </c>
      <c r="U256" s="174">
        <f t="shared" ref="U256:U292" si="76">SUM(Q256:T256)</f>
        <v>8</v>
      </c>
      <c r="V256" s="71">
        <f t="shared" ref="V256:V292" si="77">F256+K256+P256+U256</f>
        <v>30</v>
      </c>
      <c r="W256" s="325"/>
      <c r="X256" s="326"/>
      <c r="Y256" s="326"/>
      <c r="Z256" s="326"/>
      <c r="AC256" s="273" t="s">
        <v>30</v>
      </c>
      <c r="AD256" s="70">
        <f>AD250</f>
        <v>215</v>
      </c>
      <c r="AE256" s="70">
        <f>AE250</f>
        <v>304</v>
      </c>
      <c r="AF256" s="70">
        <f>AF250</f>
        <v>267</v>
      </c>
      <c r="AG256" s="165">
        <f>AG250</f>
        <v>191</v>
      </c>
      <c r="AH256" s="71">
        <f>SUM(AD256:AG256)</f>
        <v>977</v>
      </c>
      <c r="AI256" s="70">
        <f>AI250</f>
        <v>191</v>
      </c>
      <c r="AJ256" s="70">
        <f>AJ250</f>
        <v>232</v>
      </c>
      <c r="AK256" s="70">
        <f>AK250</f>
        <v>277</v>
      </c>
      <c r="AL256" s="165">
        <f>AL250</f>
        <v>116</v>
      </c>
      <c r="AM256" s="71">
        <f>SUM(AI256:AL256)</f>
        <v>816</v>
      </c>
      <c r="AN256" s="70">
        <f>AN250</f>
        <v>18</v>
      </c>
      <c r="AO256" s="70">
        <f>AO250</f>
        <v>0</v>
      </c>
      <c r="AP256" s="70">
        <f>AP250</f>
        <v>45</v>
      </c>
      <c r="AQ256" s="165">
        <f>AQ250</f>
        <v>11</v>
      </c>
      <c r="AR256" s="71">
        <f>SUM(AN256:AQ256)</f>
        <v>74</v>
      </c>
      <c r="AS256" s="70">
        <f>AS250</f>
        <v>116</v>
      </c>
      <c r="AT256" s="70">
        <f>AT250</f>
        <v>134</v>
      </c>
      <c r="AU256" s="70">
        <f>AU250</f>
        <v>78</v>
      </c>
      <c r="AV256" s="165">
        <f>AV250</f>
        <v>68</v>
      </c>
      <c r="AW256" s="174">
        <f>SUM(AS256:AV256)</f>
        <v>396</v>
      </c>
      <c r="AX256" s="71">
        <f t="shared" ref="AX256:AX292" si="78">AH256+AM256+AR256+AW256</f>
        <v>2263</v>
      </c>
      <c r="AY256" s="325"/>
      <c r="AZ256" s="326"/>
    </row>
    <row r="257" spans="1:52" x14ac:dyDescent="0.15">
      <c r="A257" s="53" t="s">
        <v>28</v>
      </c>
      <c r="B257" s="55"/>
      <c r="C257" s="55"/>
      <c r="D257" s="55"/>
      <c r="E257" s="166"/>
      <c r="F257" s="49">
        <f t="shared" si="73"/>
        <v>0</v>
      </c>
      <c r="G257" s="55"/>
      <c r="H257" s="55">
        <v>1</v>
      </c>
      <c r="I257" s="55"/>
      <c r="J257" s="166"/>
      <c r="K257" s="49">
        <f t="shared" si="74"/>
        <v>1</v>
      </c>
      <c r="L257" s="55"/>
      <c r="M257" s="55"/>
      <c r="N257" s="55"/>
      <c r="O257" s="166"/>
      <c r="P257" s="49">
        <f t="shared" si="75"/>
        <v>0</v>
      </c>
      <c r="Q257" s="55"/>
      <c r="R257" s="55"/>
      <c r="S257" s="55"/>
      <c r="T257" s="166"/>
      <c r="U257" s="175">
        <f t="shared" si="76"/>
        <v>0</v>
      </c>
      <c r="V257" s="56">
        <f t="shared" si="77"/>
        <v>1</v>
      </c>
      <c r="W257" s="329">
        <v>44329</v>
      </c>
      <c r="X257" s="326"/>
      <c r="Y257" s="326"/>
      <c r="Z257" s="326"/>
      <c r="AC257" s="268" t="s">
        <v>21</v>
      </c>
      <c r="AD257" s="55"/>
      <c r="AE257" s="55"/>
      <c r="AF257" s="55"/>
      <c r="AG257" s="166"/>
      <c r="AH257" s="56">
        <f t="shared" ref="AH257:AH261" si="79">SUM(AD257:AG257)</f>
        <v>0</v>
      </c>
      <c r="AI257" s="55"/>
      <c r="AJ257" s="55"/>
      <c r="AK257" s="55">
        <v>1</v>
      </c>
      <c r="AL257" s="166"/>
      <c r="AM257" s="56">
        <f t="shared" ref="AM257:AM261" si="80">SUM(AI257:AL257)</f>
        <v>1</v>
      </c>
      <c r="AN257" s="55"/>
      <c r="AO257" s="55"/>
      <c r="AP257" s="55"/>
      <c r="AQ257" s="166"/>
      <c r="AR257" s="56">
        <f t="shared" ref="AR257:AR258" si="81">SUM(AN257:AQ257)</f>
        <v>0</v>
      </c>
      <c r="AS257" s="55"/>
      <c r="AT257" s="55"/>
      <c r="AU257" s="55"/>
      <c r="AV257" s="166"/>
      <c r="AW257" s="176">
        <f t="shared" ref="AW257:AW258" si="82">SUM(AS257:AV257)</f>
        <v>0</v>
      </c>
      <c r="AX257" s="56">
        <f t="shared" si="78"/>
        <v>1</v>
      </c>
      <c r="AY257" s="329">
        <v>44331</v>
      </c>
      <c r="AZ257" s="326"/>
    </row>
    <row r="258" spans="1:52" x14ac:dyDescent="0.15">
      <c r="A258" s="53" t="s">
        <v>29</v>
      </c>
      <c r="B258" s="55"/>
      <c r="C258" s="55"/>
      <c r="D258" s="55"/>
      <c r="E258" s="166"/>
      <c r="F258" s="49">
        <f t="shared" si="73"/>
        <v>0</v>
      </c>
      <c r="G258" s="55"/>
      <c r="H258" s="55">
        <v>1</v>
      </c>
      <c r="I258" s="55"/>
      <c r="J258" s="166"/>
      <c r="K258" s="49">
        <f t="shared" si="74"/>
        <v>1</v>
      </c>
      <c r="L258" s="55"/>
      <c r="M258" s="55"/>
      <c r="N258" s="55"/>
      <c r="O258" s="166"/>
      <c r="P258" s="49">
        <f t="shared" si="75"/>
        <v>0</v>
      </c>
      <c r="Q258" s="55"/>
      <c r="R258" s="55"/>
      <c r="S258" s="55"/>
      <c r="T258" s="166"/>
      <c r="U258" s="175">
        <f t="shared" si="76"/>
        <v>0</v>
      </c>
      <c r="V258" s="56">
        <f t="shared" si="77"/>
        <v>1</v>
      </c>
      <c r="W258" s="328">
        <v>44329</v>
      </c>
      <c r="X258" s="326"/>
      <c r="Y258" s="326"/>
      <c r="Z258" s="326"/>
      <c r="AC258" s="268" t="s">
        <v>21</v>
      </c>
      <c r="AD258" s="54"/>
      <c r="AE258" s="55"/>
      <c r="AF258" s="55"/>
      <c r="AG258" s="55"/>
      <c r="AH258" s="56">
        <f t="shared" ref="AH258" si="83">SUM(AD258:AG258)</f>
        <v>0</v>
      </c>
      <c r="AI258" s="54"/>
      <c r="AJ258" s="55">
        <v>4</v>
      </c>
      <c r="AK258" s="55">
        <v>3</v>
      </c>
      <c r="AL258" s="55">
        <v>2</v>
      </c>
      <c r="AM258" s="56">
        <f t="shared" ref="AM258" si="84">SUM(AI258:AL258)</f>
        <v>9</v>
      </c>
      <c r="AN258" s="54"/>
      <c r="AO258" s="55"/>
      <c r="AP258" s="55"/>
      <c r="AQ258" s="55"/>
      <c r="AR258" s="56">
        <f t="shared" si="81"/>
        <v>0</v>
      </c>
      <c r="AS258" s="54"/>
      <c r="AT258" s="55"/>
      <c r="AU258" s="55"/>
      <c r="AV258" s="55"/>
      <c r="AW258" s="176">
        <f t="shared" si="82"/>
        <v>0</v>
      </c>
      <c r="AX258" s="56">
        <f t="shared" si="78"/>
        <v>9</v>
      </c>
      <c r="AY258" s="329">
        <v>44366</v>
      </c>
      <c r="AZ258" s="326"/>
    </row>
    <row r="259" spans="1:52" x14ac:dyDescent="0.15">
      <c r="A259" s="53" t="s">
        <v>29</v>
      </c>
      <c r="B259" s="55"/>
      <c r="C259" s="55"/>
      <c r="D259" s="55"/>
      <c r="E259" s="166"/>
      <c r="F259" s="49">
        <f t="shared" si="73"/>
        <v>0</v>
      </c>
      <c r="G259" s="55"/>
      <c r="H259" s="55"/>
      <c r="I259" s="55">
        <v>1</v>
      </c>
      <c r="J259" s="166"/>
      <c r="K259" s="49">
        <f t="shared" si="74"/>
        <v>1</v>
      </c>
      <c r="L259" s="55"/>
      <c r="M259" s="55"/>
      <c r="N259" s="55"/>
      <c r="O259" s="166"/>
      <c r="P259" s="49">
        <f t="shared" si="75"/>
        <v>0</v>
      </c>
      <c r="Q259" s="55"/>
      <c r="R259" s="55"/>
      <c r="S259" s="55"/>
      <c r="T259" s="166"/>
      <c r="U259" s="175">
        <f t="shared" si="76"/>
        <v>0</v>
      </c>
      <c r="V259" s="56">
        <f t="shared" si="77"/>
        <v>1</v>
      </c>
      <c r="W259" s="329">
        <v>44330</v>
      </c>
      <c r="X259" s="326"/>
      <c r="Y259" s="326"/>
      <c r="Z259" s="326"/>
      <c r="AC259" s="268" t="s">
        <v>28</v>
      </c>
      <c r="AD259" s="55"/>
      <c r="AE259" s="153"/>
      <c r="AF259" s="153"/>
      <c r="AG259" s="168"/>
      <c r="AH259" s="56">
        <f t="shared" si="79"/>
        <v>0</v>
      </c>
      <c r="AI259" s="55"/>
      <c r="AJ259" s="153"/>
      <c r="AK259" s="153"/>
      <c r="AL259" s="168"/>
      <c r="AM259" s="56">
        <f t="shared" si="80"/>
        <v>0</v>
      </c>
      <c r="AN259" s="55"/>
      <c r="AO259" s="153"/>
      <c r="AP259" s="153"/>
      <c r="AQ259" s="168"/>
      <c r="AR259" s="56">
        <f t="shared" ref="AR259" si="85">SUM(AN259:AQ259)</f>
        <v>0</v>
      </c>
      <c r="AS259" s="55"/>
      <c r="AT259" s="153"/>
      <c r="AU259" s="153"/>
      <c r="AV259" s="168"/>
      <c r="AW259" s="176">
        <f t="shared" ref="AW259" si="86">SUM(AS259:AV259)</f>
        <v>0</v>
      </c>
      <c r="AX259" s="56">
        <f t="shared" si="78"/>
        <v>0</v>
      </c>
      <c r="AY259" s="328"/>
      <c r="AZ259" s="326"/>
    </row>
    <row r="260" spans="1:52" x14ac:dyDescent="0.15">
      <c r="A260" s="53" t="s">
        <v>29</v>
      </c>
      <c r="B260" s="63"/>
      <c r="C260" s="63"/>
      <c r="D260" s="63"/>
      <c r="E260" s="167"/>
      <c r="F260" s="64">
        <f t="shared" si="73"/>
        <v>0</v>
      </c>
      <c r="G260" s="63"/>
      <c r="H260" s="63"/>
      <c r="I260" s="63"/>
      <c r="J260" s="167"/>
      <c r="K260" s="64">
        <f t="shared" si="74"/>
        <v>0</v>
      </c>
      <c r="L260" s="63"/>
      <c r="M260" s="63"/>
      <c r="N260" s="63"/>
      <c r="O260" s="167"/>
      <c r="P260" s="64">
        <f t="shared" si="75"/>
        <v>0</v>
      </c>
      <c r="Q260" s="63"/>
      <c r="R260" s="63"/>
      <c r="S260" s="63"/>
      <c r="T260" s="167">
        <v>1</v>
      </c>
      <c r="U260" s="162">
        <f t="shared" si="76"/>
        <v>1</v>
      </c>
      <c r="V260" s="56">
        <f t="shared" si="77"/>
        <v>1</v>
      </c>
      <c r="W260" s="329"/>
      <c r="X260" s="326"/>
      <c r="Y260" s="326"/>
      <c r="Z260" s="326"/>
      <c r="AC260" s="268" t="s">
        <v>28</v>
      </c>
      <c r="AD260" s="63"/>
      <c r="AE260" s="63"/>
      <c r="AF260" s="63"/>
      <c r="AG260" s="167"/>
      <c r="AH260" s="56">
        <f t="shared" si="79"/>
        <v>0</v>
      </c>
      <c r="AI260" s="63"/>
      <c r="AJ260" s="63"/>
      <c r="AK260" s="63"/>
      <c r="AL260" s="167"/>
      <c r="AM260" s="56">
        <f t="shared" si="80"/>
        <v>0</v>
      </c>
      <c r="AN260" s="63"/>
      <c r="AO260" s="63"/>
      <c r="AP260" s="63"/>
      <c r="AQ260" s="167"/>
      <c r="AR260" s="64">
        <v>0</v>
      </c>
      <c r="AS260" s="63"/>
      <c r="AT260" s="63"/>
      <c r="AU260" s="63"/>
      <c r="AV260" s="167"/>
      <c r="AW260" s="162">
        <v>0</v>
      </c>
      <c r="AX260" s="56">
        <f t="shared" si="78"/>
        <v>0</v>
      </c>
      <c r="AY260" s="328"/>
      <c r="AZ260" s="326"/>
    </row>
    <row r="261" spans="1:52" x14ac:dyDescent="0.15">
      <c r="A261" s="53" t="s">
        <v>28</v>
      </c>
      <c r="B261" s="55"/>
      <c r="C261" s="153"/>
      <c r="D261" s="153"/>
      <c r="E261" s="168">
        <v>1</v>
      </c>
      <c r="F261" s="56">
        <f t="shared" si="73"/>
        <v>1</v>
      </c>
      <c r="G261" s="55"/>
      <c r="H261" s="153"/>
      <c r="I261" s="153"/>
      <c r="J261" s="168"/>
      <c r="K261" s="56">
        <f t="shared" si="74"/>
        <v>0</v>
      </c>
      <c r="L261" s="55">
        <v>1</v>
      </c>
      <c r="M261" s="153"/>
      <c r="N261" s="153"/>
      <c r="O261" s="168">
        <v>1</v>
      </c>
      <c r="P261" s="56">
        <f t="shared" si="75"/>
        <v>2</v>
      </c>
      <c r="Q261" s="55"/>
      <c r="R261" s="153">
        <v>1</v>
      </c>
      <c r="S261" s="153"/>
      <c r="T261" s="168"/>
      <c r="U261" s="176">
        <f t="shared" si="76"/>
        <v>1</v>
      </c>
      <c r="V261" s="56">
        <f t="shared" si="77"/>
        <v>4</v>
      </c>
      <c r="W261" s="329">
        <v>44362</v>
      </c>
      <c r="X261" s="326"/>
      <c r="Y261" s="326"/>
      <c r="Z261" s="326"/>
      <c r="AC261" s="268" t="s">
        <v>28</v>
      </c>
      <c r="AD261" s="54"/>
      <c r="AE261" s="55"/>
      <c r="AF261" s="55"/>
      <c r="AG261" s="55"/>
      <c r="AH261" s="56">
        <f t="shared" si="79"/>
        <v>0</v>
      </c>
      <c r="AI261" s="54"/>
      <c r="AJ261" s="55"/>
      <c r="AK261" s="55"/>
      <c r="AL261" s="55"/>
      <c r="AM261" s="56">
        <f t="shared" si="80"/>
        <v>0</v>
      </c>
      <c r="AN261" s="54"/>
      <c r="AO261" s="55"/>
      <c r="AP261" s="55"/>
      <c r="AQ261" s="55"/>
      <c r="AR261" s="56">
        <f t="shared" ref="AR261" si="87">SUM(AN261:AQ261)</f>
        <v>0</v>
      </c>
      <c r="AS261" s="54"/>
      <c r="AT261" s="55"/>
      <c r="AU261" s="55"/>
      <c r="AV261" s="55"/>
      <c r="AW261" s="176">
        <f t="shared" ref="AW261" si="88">SUM(AS261:AV261)</f>
        <v>0</v>
      </c>
      <c r="AX261" s="56">
        <f t="shared" si="78"/>
        <v>0</v>
      </c>
      <c r="AY261" s="329"/>
      <c r="AZ261" s="326"/>
    </row>
    <row r="262" spans="1:52" x14ac:dyDescent="0.15">
      <c r="A262" s="53" t="s">
        <v>149</v>
      </c>
      <c r="B262" s="55"/>
      <c r="C262" s="153"/>
      <c r="D262" s="153"/>
      <c r="E262" s="168"/>
      <c r="F262" s="56">
        <f t="shared" si="73"/>
        <v>0</v>
      </c>
      <c r="G262" s="55"/>
      <c r="H262" s="153">
        <v>4</v>
      </c>
      <c r="I262" s="153">
        <v>3</v>
      </c>
      <c r="J262" s="168">
        <v>2</v>
      </c>
      <c r="K262" s="56">
        <f t="shared" si="74"/>
        <v>9</v>
      </c>
      <c r="L262" s="55"/>
      <c r="M262" s="153"/>
      <c r="N262" s="153"/>
      <c r="O262" s="168"/>
      <c r="P262" s="56">
        <f t="shared" si="75"/>
        <v>0</v>
      </c>
      <c r="Q262" s="55"/>
      <c r="R262" s="153"/>
      <c r="S262" s="153"/>
      <c r="T262" s="168"/>
      <c r="U262" s="176">
        <f t="shared" si="76"/>
        <v>0</v>
      </c>
      <c r="V262" s="56">
        <f t="shared" si="77"/>
        <v>9</v>
      </c>
      <c r="W262" s="328">
        <v>44362</v>
      </c>
      <c r="X262" s="326"/>
      <c r="Y262" s="326"/>
      <c r="Z262" s="326"/>
      <c r="AC262" s="268" t="s">
        <v>28</v>
      </c>
      <c r="AD262" s="55"/>
      <c r="AE262" s="153"/>
      <c r="AF262" s="153"/>
      <c r="AG262" s="168"/>
      <c r="AH262" s="56">
        <f t="shared" ref="AH262:AH278" si="89">SUM(AD262:AG262)</f>
        <v>0</v>
      </c>
      <c r="AI262" s="55"/>
      <c r="AJ262" s="153"/>
      <c r="AK262" s="153"/>
      <c r="AL262" s="168"/>
      <c r="AM262" s="56">
        <f t="shared" ref="AM262:AM278" si="90">SUM(AI262:AL262)</f>
        <v>0</v>
      </c>
      <c r="AN262" s="55"/>
      <c r="AO262" s="153"/>
      <c r="AP262" s="153"/>
      <c r="AQ262" s="168"/>
      <c r="AR262" s="56">
        <f t="shared" ref="AR262:AR292" si="91">SUM(AN262:AQ262)</f>
        <v>0</v>
      </c>
      <c r="AS262" s="55"/>
      <c r="AT262" s="153"/>
      <c r="AU262" s="153"/>
      <c r="AV262" s="168"/>
      <c r="AW262" s="176">
        <f t="shared" ref="AW262:AW292" si="92">SUM(AS262:AV262)</f>
        <v>0</v>
      </c>
      <c r="AX262" s="56">
        <f t="shared" si="78"/>
        <v>0</v>
      </c>
      <c r="AY262" s="325"/>
      <c r="AZ262" s="326"/>
    </row>
    <row r="263" spans="1:52" ht="14.25" thickBot="1" x14ac:dyDescent="0.2">
      <c r="A263" s="53" t="s">
        <v>149</v>
      </c>
      <c r="B263" s="63"/>
      <c r="C263" s="164"/>
      <c r="D263" s="164"/>
      <c r="E263" s="169"/>
      <c r="F263" s="170">
        <f t="shared" si="73"/>
        <v>0</v>
      </c>
      <c r="G263" s="63">
        <v>1</v>
      </c>
      <c r="H263" s="164">
        <v>2</v>
      </c>
      <c r="I263" s="164"/>
      <c r="J263" s="169"/>
      <c r="K263" s="170">
        <f t="shared" si="74"/>
        <v>3</v>
      </c>
      <c r="L263" s="63"/>
      <c r="M263" s="164"/>
      <c r="N263" s="164"/>
      <c r="O263" s="169"/>
      <c r="P263" s="170">
        <f t="shared" si="75"/>
        <v>0</v>
      </c>
      <c r="Q263" s="63"/>
      <c r="R263" s="164"/>
      <c r="S263" s="164"/>
      <c r="T263" s="169"/>
      <c r="U263" s="179">
        <f t="shared" si="76"/>
        <v>0</v>
      </c>
      <c r="V263" s="170">
        <f t="shared" si="77"/>
        <v>3</v>
      </c>
      <c r="W263" s="329">
        <v>44363</v>
      </c>
      <c r="X263" s="326"/>
      <c r="Y263" s="326"/>
      <c r="Z263" s="326"/>
      <c r="AC263" s="274" t="s">
        <v>28</v>
      </c>
      <c r="AD263" s="63"/>
      <c r="AE263" s="164"/>
      <c r="AF263" s="164"/>
      <c r="AG263" s="169"/>
      <c r="AH263" s="170">
        <f t="shared" si="89"/>
        <v>0</v>
      </c>
      <c r="AI263" s="63"/>
      <c r="AJ263" s="164"/>
      <c r="AK263" s="164"/>
      <c r="AL263" s="169"/>
      <c r="AM263" s="170">
        <f t="shared" si="90"/>
        <v>0</v>
      </c>
      <c r="AN263" s="63"/>
      <c r="AO263" s="164"/>
      <c r="AP263" s="164"/>
      <c r="AQ263" s="169"/>
      <c r="AR263" s="170">
        <f t="shared" si="91"/>
        <v>0</v>
      </c>
      <c r="AS263" s="63"/>
      <c r="AT263" s="164"/>
      <c r="AU263" s="164"/>
      <c r="AV263" s="169"/>
      <c r="AW263" s="179">
        <f t="shared" si="92"/>
        <v>0</v>
      </c>
      <c r="AX263" s="170">
        <f t="shared" si="78"/>
        <v>0</v>
      </c>
      <c r="AY263" s="325"/>
      <c r="AZ263" s="326"/>
    </row>
    <row r="264" spans="1:52" ht="15" thickBot="1" x14ac:dyDescent="0.2">
      <c r="A264" s="181" t="s">
        <v>14</v>
      </c>
      <c r="B264" s="182">
        <f>SUM(B256:B263)</f>
        <v>2</v>
      </c>
      <c r="C264" s="183">
        <f>SUM(C256:C263)</f>
        <v>2</v>
      </c>
      <c r="D264" s="183">
        <f>SUM(D256:D263)</f>
        <v>3</v>
      </c>
      <c r="E264" s="184">
        <f>SUM(E256:E263)</f>
        <v>3</v>
      </c>
      <c r="F264" s="77">
        <f t="shared" si="73"/>
        <v>10</v>
      </c>
      <c r="G264" s="182">
        <f>SUM(G256:G263)</f>
        <v>3</v>
      </c>
      <c r="H264" s="183">
        <f>SUM(H256:H263)</f>
        <v>9</v>
      </c>
      <c r="I264" s="183">
        <f>SUM(I256:I263)</f>
        <v>6</v>
      </c>
      <c r="J264" s="184">
        <f>SUM(J256:J263)</f>
        <v>4</v>
      </c>
      <c r="K264" s="77">
        <f t="shared" si="74"/>
        <v>22</v>
      </c>
      <c r="L264" s="182">
        <f>SUM(L256:L263)</f>
        <v>3</v>
      </c>
      <c r="M264" s="183">
        <f>SUM(M256:M263)</f>
        <v>0</v>
      </c>
      <c r="N264" s="183">
        <f>SUM(N256:N263)</f>
        <v>2</v>
      </c>
      <c r="O264" s="184">
        <f>SUM(O256:O263)</f>
        <v>3</v>
      </c>
      <c r="P264" s="77">
        <f t="shared" si="75"/>
        <v>8</v>
      </c>
      <c r="Q264" s="182">
        <f>SUM(Q256:Q263)</f>
        <v>2</v>
      </c>
      <c r="R264" s="183">
        <f>SUM(R256:R263)</f>
        <v>3</v>
      </c>
      <c r="S264" s="183">
        <f>SUM(S256:S263)</f>
        <v>2</v>
      </c>
      <c r="T264" s="184">
        <f>SUM(T256:T263)</f>
        <v>3</v>
      </c>
      <c r="U264" s="182">
        <f t="shared" si="76"/>
        <v>10</v>
      </c>
      <c r="V264" s="77">
        <f t="shared" si="77"/>
        <v>50</v>
      </c>
      <c r="W264" s="325"/>
      <c r="X264" s="326"/>
      <c r="Y264" s="326"/>
      <c r="Z264" s="326"/>
      <c r="AC264" s="275" t="s">
        <v>14</v>
      </c>
      <c r="AD264" s="182">
        <f>SUM(AD256:AD263)</f>
        <v>215</v>
      </c>
      <c r="AE264" s="183">
        <f>SUM(AE256:AE263)</f>
        <v>304</v>
      </c>
      <c r="AF264" s="183">
        <f>SUM(AF256:AF263)</f>
        <v>267</v>
      </c>
      <c r="AG264" s="184">
        <f>SUM(AG256:AG263)</f>
        <v>191</v>
      </c>
      <c r="AH264" s="77">
        <f t="shared" si="89"/>
        <v>977</v>
      </c>
      <c r="AI264" s="182">
        <f>SUM(AI256:AI263)</f>
        <v>191</v>
      </c>
      <c r="AJ264" s="183">
        <f>SUM(AJ256:AJ263)</f>
        <v>236</v>
      </c>
      <c r="AK264" s="183">
        <f>SUM(AK256:AK263)</f>
        <v>281</v>
      </c>
      <c r="AL264" s="184">
        <f>SUM(AL256:AL263)</f>
        <v>118</v>
      </c>
      <c r="AM264" s="77">
        <f t="shared" si="90"/>
        <v>826</v>
      </c>
      <c r="AN264" s="182">
        <f>SUM(AN256:AN263)</f>
        <v>18</v>
      </c>
      <c r="AO264" s="183">
        <f>SUM(AO256:AO263)</f>
        <v>0</v>
      </c>
      <c r="AP264" s="183">
        <f>SUM(AP256:AP263)</f>
        <v>45</v>
      </c>
      <c r="AQ264" s="184">
        <f>SUM(AQ256:AQ263)</f>
        <v>11</v>
      </c>
      <c r="AR264" s="77">
        <f t="shared" si="91"/>
        <v>74</v>
      </c>
      <c r="AS264" s="182">
        <f>SUM(AS256:AS263)</f>
        <v>116</v>
      </c>
      <c r="AT264" s="183">
        <f>SUM(AT256:AT263)</f>
        <v>134</v>
      </c>
      <c r="AU264" s="183">
        <f>SUM(AU256:AU263)</f>
        <v>78</v>
      </c>
      <c r="AV264" s="184">
        <f>SUM(AV256:AV263)</f>
        <v>68</v>
      </c>
      <c r="AW264" s="182">
        <f t="shared" si="92"/>
        <v>396</v>
      </c>
      <c r="AX264" s="77">
        <f t="shared" si="78"/>
        <v>2273</v>
      </c>
      <c r="AY264" s="325"/>
      <c r="AZ264" s="326"/>
    </row>
    <row r="265" spans="1:52" x14ac:dyDescent="0.15">
      <c r="A265" s="53" t="s">
        <v>257</v>
      </c>
      <c r="B265" s="46"/>
      <c r="C265" s="47"/>
      <c r="D265" s="47"/>
      <c r="E265" s="47"/>
      <c r="F265" s="48">
        <f t="shared" si="73"/>
        <v>0</v>
      </c>
      <c r="G265" s="46"/>
      <c r="H265" s="47"/>
      <c r="I265" s="47">
        <v>1</v>
      </c>
      <c r="J265" s="47"/>
      <c r="K265" s="48">
        <f t="shared" si="74"/>
        <v>1</v>
      </c>
      <c r="L265" s="46"/>
      <c r="M265" s="47"/>
      <c r="N265" s="47"/>
      <c r="O265" s="47"/>
      <c r="P265" s="48">
        <f t="shared" si="75"/>
        <v>0</v>
      </c>
      <c r="Q265" s="46"/>
      <c r="R265" s="47"/>
      <c r="S265" s="47"/>
      <c r="T265" s="47"/>
      <c r="U265" s="180">
        <f t="shared" si="76"/>
        <v>0</v>
      </c>
      <c r="V265" s="49">
        <f t="shared" si="77"/>
        <v>1</v>
      </c>
      <c r="W265" s="328">
        <v>44331</v>
      </c>
      <c r="X265" s="326"/>
      <c r="Y265" s="326"/>
      <c r="Z265" s="326"/>
      <c r="AC265" s="270" t="s">
        <v>251</v>
      </c>
      <c r="AD265" s="46"/>
      <c r="AE265" s="47"/>
      <c r="AF265" s="47"/>
      <c r="AG265" s="47"/>
      <c r="AH265" s="48">
        <f t="shared" si="89"/>
        <v>0</v>
      </c>
      <c r="AI265" s="46"/>
      <c r="AJ265" s="47">
        <v>10</v>
      </c>
      <c r="AK265" s="47">
        <v>5</v>
      </c>
      <c r="AL265" s="47"/>
      <c r="AM265" s="48">
        <f t="shared" si="90"/>
        <v>15</v>
      </c>
      <c r="AN265" s="46"/>
      <c r="AO265" s="47"/>
      <c r="AP265" s="47"/>
      <c r="AQ265" s="47"/>
      <c r="AR265" s="48">
        <f t="shared" si="91"/>
        <v>0</v>
      </c>
      <c r="AS265" s="46"/>
      <c r="AT265" s="47"/>
      <c r="AU265" s="47"/>
      <c r="AV265" s="47"/>
      <c r="AW265" s="180">
        <f t="shared" si="92"/>
        <v>0</v>
      </c>
      <c r="AX265" s="49">
        <f t="shared" si="78"/>
        <v>15</v>
      </c>
      <c r="AY265" s="329">
        <v>44329</v>
      </c>
      <c r="AZ265" s="326"/>
    </row>
    <row r="266" spans="1:52" x14ac:dyDescent="0.15">
      <c r="A266" s="53" t="s">
        <v>178</v>
      </c>
      <c r="B266" s="54"/>
      <c r="C266" s="55"/>
      <c r="D266" s="55"/>
      <c r="E266" s="55">
        <v>1</v>
      </c>
      <c r="F266" s="56">
        <f t="shared" si="73"/>
        <v>1</v>
      </c>
      <c r="G266" s="54"/>
      <c r="H266" s="55"/>
      <c r="I266" s="55"/>
      <c r="J266" s="55">
        <v>1</v>
      </c>
      <c r="K266" s="56">
        <f t="shared" si="74"/>
        <v>1</v>
      </c>
      <c r="L266" s="54"/>
      <c r="M266" s="55"/>
      <c r="N266" s="55"/>
      <c r="O266" s="55"/>
      <c r="P266" s="56">
        <f t="shared" si="75"/>
        <v>0</v>
      </c>
      <c r="Q266" s="54"/>
      <c r="R266" s="55"/>
      <c r="S266" s="55"/>
      <c r="T266" s="55"/>
      <c r="U266" s="176">
        <f t="shared" si="76"/>
        <v>0</v>
      </c>
      <c r="V266" s="56">
        <f t="shared" si="77"/>
        <v>2</v>
      </c>
      <c r="W266" s="329">
        <v>44334</v>
      </c>
      <c r="X266" s="326"/>
      <c r="Y266" s="326"/>
      <c r="Z266" s="326"/>
      <c r="AC266" s="276" t="s">
        <v>252</v>
      </c>
      <c r="AD266" s="54"/>
      <c r="AE266" s="55"/>
      <c r="AF266" s="55"/>
      <c r="AG266" s="55"/>
      <c r="AH266" s="56">
        <f t="shared" si="89"/>
        <v>0</v>
      </c>
      <c r="AI266" s="54"/>
      <c r="AJ266" s="55"/>
      <c r="AK266" s="55"/>
      <c r="AL266" s="55"/>
      <c r="AM266" s="56">
        <f t="shared" si="90"/>
        <v>0</v>
      </c>
      <c r="AN266" s="54"/>
      <c r="AO266" s="55"/>
      <c r="AP266" s="55"/>
      <c r="AQ266" s="55"/>
      <c r="AR266" s="56">
        <f t="shared" si="91"/>
        <v>0</v>
      </c>
      <c r="AS266" s="54"/>
      <c r="AT266" s="55"/>
      <c r="AU266" s="55">
        <v>5</v>
      </c>
      <c r="AV266" s="55"/>
      <c r="AW266" s="176">
        <f t="shared" si="92"/>
        <v>5</v>
      </c>
      <c r="AX266" s="56">
        <f t="shared" si="78"/>
        <v>5</v>
      </c>
      <c r="AY266" s="329">
        <v>44316</v>
      </c>
      <c r="AZ266" s="326"/>
    </row>
    <row r="267" spans="1:52" x14ac:dyDescent="0.15">
      <c r="A267" s="53" t="s">
        <v>98</v>
      </c>
      <c r="B267" s="54"/>
      <c r="C267" s="55"/>
      <c r="D267" s="55"/>
      <c r="E267" s="55"/>
      <c r="F267" s="56">
        <f t="shared" si="73"/>
        <v>0</v>
      </c>
      <c r="G267" s="54"/>
      <c r="H267" s="55">
        <v>1</v>
      </c>
      <c r="I267" s="55"/>
      <c r="J267" s="55"/>
      <c r="K267" s="56">
        <f t="shared" si="74"/>
        <v>1</v>
      </c>
      <c r="L267" s="54"/>
      <c r="M267" s="55"/>
      <c r="N267" s="55"/>
      <c r="O267" s="55"/>
      <c r="P267" s="56">
        <f t="shared" si="75"/>
        <v>0</v>
      </c>
      <c r="Q267" s="54"/>
      <c r="R267" s="55"/>
      <c r="S267" s="55"/>
      <c r="T267" s="55"/>
      <c r="U267" s="176">
        <f t="shared" si="76"/>
        <v>0</v>
      </c>
      <c r="V267" s="56">
        <f t="shared" si="77"/>
        <v>1</v>
      </c>
      <c r="W267" s="329">
        <v>44340</v>
      </c>
      <c r="X267" s="326"/>
      <c r="Y267" s="326"/>
      <c r="Z267" s="326"/>
      <c r="AC267" s="276" t="s">
        <v>253</v>
      </c>
      <c r="AD267" s="54"/>
      <c r="AE267" s="55"/>
      <c r="AF267" s="55"/>
      <c r="AG267" s="55"/>
      <c r="AH267" s="56">
        <f t="shared" si="89"/>
        <v>0</v>
      </c>
      <c r="AI267" s="54">
        <v>2</v>
      </c>
      <c r="AJ267" s="55"/>
      <c r="AK267" s="55"/>
      <c r="AL267" s="55"/>
      <c r="AM267" s="56">
        <f t="shared" si="90"/>
        <v>2</v>
      </c>
      <c r="AN267" s="54"/>
      <c r="AO267" s="55"/>
      <c r="AP267" s="55"/>
      <c r="AQ267" s="55"/>
      <c r="AR267" s="56">
        <f t="shared" si="91"/>
        <v>0</v>
      </c>
      <c r="AS267" s="54"/>
      <c r="AT267" s="55"/>
      <c r="AU267" s="55"/>
      <c r="AV267" s="55"/>
      <c r="AW267" s="176">
        <f t="shared" si="92"/>
        <v>0</v>
      </c>
      <c r="AX267" s="56">
        <f t="shared" si="78"/>
        <v>2</v>
      </c>
      <c r="AY267" s="329">
        <v>44323</v>
      </c>
      <c r="AZ267" s="326"/>
    </row>
    <row r="268" spans="1:52" x14ac:dyDescent="0.15">
      <c r="A268" s="53" t="s">
        <v>178</v>
      </c>
      <c r="B268" s="54"/>
      <c r="C268" s="55"/>
      <c r="D268" s="55"/>
      <c r="E268" s="55"/>
      <c r="F268" s="56">
        <f t="shared" si="73"/>
        <v>0</v>
      </c>
      <c r="G268" s="54"/>
      <c r="H268" s="55"/>
      <c r="I268" s="55"/>
      <c r="J268" s="55">
        <v>1</v>
      </c>
      <c r="K268" s="56">
        <f t="shared" si="74"/>
        <v>1</v>
      </c>
      <c r="L268" s="54"/>
      <c r="M268" s="55"/>
      <c r="N268" s="55"/>
      <c r="O268" s="55"/>
      <c r="P268" s="56">
        <f t="shared" si="75"/>
        <v>0</v>
      </c>
      <c r="Q268" s="54"/>
      <c r="R268" s="55"/>
      <c r="S268" s="55"/>
      <c r="T268" s="55"/>
      <c r="U268" s="176">
        <f t="shared" si="76"/>
        <v>0</v>
      </c>
      <c r="V268" s="56">
        <f t="shared" si="77"/>
        <v>1</v>
      </c>
      <c r="W268" s="329">
        <v>44355</v>
      </c>
      <c r="X268" s="326"/>
      <c r="Y268" s="326"/>
      <c r="Z268" s="326"/>
      <c r="AC268" s="269" t="s">
        <v>254</v>
      </c>
      <c r="AD268" s="54"/>
      <c r="AE268" s="55"/>
      <c r="AF268" s="55"/>
      <c r="AG268" s="55"/>
      <c r="AH268" s="56">
        <f t="shared" si="89"/>
        <v>0</v>
      </c>
      <c r="AI268" s="54"/>
      <c r="AJ268" s="55">
        <v>5</v>
      </c>
      <c r="AK268" s="55">
        <v>3</v>
      </c>
      <c r="AL268" s="55">
        <v>2</v>
      </c>
      <c r="AM268" s="56">
        <f t="shared" si="90"/>
        <v>10</v>
      </c>
      <c r="AN268" s="54"/>
      <c r="AO268" s="55"/>
      <c r="AP268" s="55"/>
      <c r="AQ268" s="55"/>
      <c r="AR268" s="56">
        <f t="shared" si="91"/>
        <v>0</v>
      </c>
      <c r="AS268" s="54"/>
      <c r="AT268" s="55"/>
      <c r="AU268" s="55"/>
      <c r="AV268" s="55"/>
      <c r="AW268" s="176">
        <f t="shared" si="92"/>
        <v>0</v>
      </c>
      <c r="AX268" s="56">
        <f t="shared" si="78"/>
        <v>10</v>
      </c>
      <c r="AY268" s="329">
        <v>44335</v>
      </c>
      <c r="AZ268" s="326"/>
    </row>
    <row r="269" spans="1:52" x14ac:dyDescent="0.15">
      <c r="A269" s="53" t="s">
        <v>178</v>
      </c>
      <c r="B269" s="54"/>
      <c r="C269" s="55"/>
      <c r="D269" s="55"/>
      <c r="E269" s="55"/>
      <c r="F269" s="56">
        <f t="shared" si="73"/>
        <v>0</v>
      </c>
      <c r="G269" s="54"/>
      <c r="H269" s="55"/>
      <c r="I269" s="55"/>
      <c r="J269" s="55"/>
      <c r="K269" s="56">
        <f t="shared" si="74"/>
        <v>0</v>
      </c>
      <c r="L269" s="54"/>
      <c r="M269" s="55"/>
      <c r="N269" s="55"/>
      <c r="O269" s="55">
        <v>1</v>
      </c>
      <c r="P269" s="56">
        <f t="shared" si="75"/>
        <v>1</v>
      </c>
      <c r="Q269" s="54"/>
      <c r="R269" s="55"/>
      <c r="S269" s="55"/>
      <c r="T269" s="55"/>
      <c r="U269" s="176">
        <f t="shared" si="76"/>
        <v>0</v>
      </c>
      <c r="V269" s="56">
        <f t="shared" si="77"/>
        <v>1</v>
      </c>
      <c r="W269" s="329">
        <v>44358</v>
      </c>
      <c r="X269" s="326"/>
      <c r="Y269" s="326"/>
      <c r="Z269" s="326"/>
      <c r="AC269" s="277" t="s">
        <v>144</v>
      </c>
      <c r="AD269" s="54"/>
      <c r="AE269" s="55"/>
      <c r="AF269" s="55"/>
      <c r="AG269" s="55"/>
      <c r="AH269" s="56">
        <f t="shared" si="89"/>
        <v>0</v>
      </c>
      <c r="AI269" s="54"/>
      <c r="AJ269" s="55"/>
      <c r="AK269" s="55"/>
      <c r="AL269" s="55"/>
      <c r="AM269" s="56">
        <f t="shared" si="90"/>
        <v>0</v>
      </c>
      <c r="AN269" s="54"/>
      <c r="AO269" s="55"/>
      <c r="AP269" s="55"/>
      <c r="AQ269" s="55"/>
      <c r="AR269" s="56">
        <f t="shared" si="91"/>
        <v>0</v>
      </c>
      <c r="AS269" s="54">
        <v>3</v>
      </c>
      <c r="AT269" s="55"/>
      <c r="AU269" s="55"/>
      <c r="AV269" s="55"/>
      <c r="AW269" s="176">
        <f t="shared" si="92"/>
        <v>3</v>
      </c>
      <c r="AX269" s="56">
        <f t="shared" si="78"/>
        <v>3</v>
      </c>
      <c r="AY269" s="329">
        <v>44329</v>
      </c>
      <c r="AZ269" s="326"/>
    </row>
    <row r="270" spans="1:52" x14ac:dyDescent="0.15">
      <c r="A270" s="53" t="s">
        <v>98</v>
      </c>
      <c r="B270" s="54"/>
      <c r="C270" s="55"/>
      <c r="D270" s="55"/>
      <c r="E270" s="55"/>
      <c r="F270" s="56">
        <f t="shared" si="73"/>
        <v>0</v>
      </c>
      <c r="G270" s="54"/>
      <c r="H270" s="55"/>
      <c r="I270" s="55"/>
      <c r="J270" s="55"/>
      <c r="K270" s="56">
        <f t="shared" si="74"/>
        <v>0</v>
      </c>
      <c r="L270" s="54"/>
      <c r="M270" s="55"/>
      <c r="N270" s="55"/>
      <c r="O270" s="55"/>
      <c r="P270" s="56">
        <f t="shared" si="75"/>
        <v>0</v>
      </c>
      <c r="Q270" s="54"/>
      <c r="R270" s="55">
        <v>1</v>
      </c>
      <c r="S270" s="55"/>
      <c r="T270" s="55"/>
      <c r="U270" s="176">
        <f t="shared" si="76"/>
        <v>1</v>
      </c>
      <c r="V270" s="56">
        <f t="shared" si="77"/>
        <v>1</v>
      </c>
      <c r="W270" s="329">
        <v>44358</v>
      </c>
      <c r="X270" s="326"/>
      <c r="Y270" s="326"/>
      <c r="Z270" s="326"/>
      <c r="AC270" s="276" t="s">
        <v>255</v>
      </c>
      <c r="AD270" s="54"/>
      <c r="AE270" s="55"/>
      <c r="AF270" s="55"/>
      <c r="AG270" s="55"/>
      <c r="AH270" s="56">
        <f t="shared" si="89"/>
        <v>0</v>
      </c>
      <c r="AI270" s="54"/>
      <c r="AJ270" s="55">
        <v>3</v>
      </c>
      <c r="AK270" s="55"/>
      <c r="AL270" s="55"/>
      <c r="AM270" s="56">
        <f t="shared" si="90"/>
        <v>3</v>
      </c>
      <c r="AN270" s="54"/>
      <c r="AO270" s="55"/>
      <c r="AP270" s="55"/>
      <c r="AQ270" s="55"/>
      <c r="AR270" s="56">
        <f t="shared" si="91"/>
        <v>0</v>
      </c>
      <c r="AS270" s="54"/>
      <c r="AT270" s="55"/>
      <c r="AU270" s="55"/>
      <c r="AV270" s="55">
        <v>5</v>
      </c>
      <c r="AW270" s="176">
        <f t="shared" si="92"/>
        <v>5</v>
      </c>
      <c r="AX270" s="56">
        <f t="shared" si="78"/>
        <v>8</v>
      </c>
      <c r="AY270" s="329">
        <v>44329</v>
      </c>
      <c r="AZ270" s="326"/>
    </row>
    <row r="271" spans="1:52" x14ac:dyDescent="0.15">
      <c r="A271" s="53" t="s">
        <v>178</v>
      </c>
      <c r="B271" s="54"/>
      <c r="C271" s="55"/>
      <c r="D271" s="55"/>
      <c r="E271" s="55"/>
      <c r="F271" s="56">
        <f t="shared" si="73"/>
        <v>0</v>
      </c>
      <c r="G271" s="54"/>
      <c r="H271" s="55"/>
      <c r="I271" s="55"/>
      <c r="J271" s="55"/>
      <c r="K271" s="56">
        <f t="shared" si="74"/>
        <v>0</v>
      </c>
      <c r="L271" s="54">
        <v>1</v>
      </c>
      <c r="M271" s="55"/>
      <c r="N271" s="55"/>
      <c r="O271" s="55"/>
      <c r="P271" s="56">
        <f t="shared" si="75"/>
        <v>1</v>
      </c>
      <c r="Q271" s="54"/>
      <c r="R271" s="55"/>
      <c r="S271" s="55"/>
      <c r="T271" s="55"/>
      <c r="U271" s="176">
        <f t="shared" si="76"/>
        <v>0</v>
      </c>
      <c r="V271" s="56">
        <f t="shared" si="77"/>
        <v>1</v>
      </c>
      <c r="W271" s="329">
        <v>44362</v>
      </c>
      <c r="X271" s="326"/>
      <c r="Y271" s="326"/>
      <c r="Z271" s="326"/>
      <c r="AC271" s="269" t="s">
        <v>256</v>
      </c>
      <c r="AD271" s="54"/>
      <c r="AE271" s="55"/>
      <c r="AF271" s="55"/>
      <c r="AG271" s="55"/>
      <c r="AH271" s="56">
        <f t="shared" si="89"/>
        <v>0</v>
      </c>
      <c r="AI271" s="54">
        <v>1</v>
      </c>
      <c r="AJ271" s="55">
        <v>12</v>
      </c>
      <c r="AK271" s="55"/>
      <c r="AL271" s="55">
        <v>1</v>
      </c>
      <c r="AM271" s="56">
        <f t="shared" si="90"/>
        <v>14</v>
      </c>
      <c r="AN271" s="54"/>
      <c r="AO271" s="55"/>
      <c r="AP271" s="55"/>
      <c r="AQ271" s="55"/>
      <c r="AR271" s="56">
        <f t="shared" si="91"/>
        <v>0</v>
      </c>
      <c r="AS271" s="54"/>
      <c r="AT271" s="55"/>
      <c r="AU271" s="55"/>
      <c r="AV271" s="55"/>
      <c r="AW271" s="176">
        <f t="shared" si="92"/>
        <v>0</v>
      </c>
      <c r="AX271" s="56">
        <f t="shared" si="78"/>
        <v>14</v>
      </c>
      <c r="AY271" s="329">
        <v>44333</v>
      </c>
      <c r="AZ271" s="326"/>
    </row>
    <row r="272" spans="1:52" x14ac:dyDescent="0.15">
      <c r="A272" s="53" t="s">
        <v>98</v>
      </c>
      <c r="B272" s="54"/>
      <c r="C272" s="55"/>
      <c r="D272" s="55"/>
      <c r="E272" s="55"/>
      <c r="F272" s="56">
        <f t="shared" si="73"/>
        <v>0</v>
      </c>
      <c r="G272" s="54"/>
      <c r="H272" s="55"/>
      <c r="I272" s="55"/>
      <c r="J272" s="55"/>
      <c r="K272" s="56">
        <f t="shared" si="74"/>
        <v>0</v>
      </c>
      <c r="L272" s="54"/>
      <c r="M272" s="55"/>
      <c r="N272" s="55"/>
      <c r="O272" s="55"/>
      <c r="P272" s="56">
        <f t="shared" si="75"/>
        <v>0</v>
      </c>
      <c r="Q272" s="54"/>
      <c r="R272" s="55"/>
      <c r="S272" s="55"/>
      <c r="T272" s="55">
        <v>1</v>
      </c>
      <c r="U272" s="176">
        <f t="shared" si="76"/>
        <v>1</v>
      </c>
      <c r="V272" s="56">
        <f t="shared" si="77"/>
        <v>1</v>
      </c>
      <c r="W272" s="329">
        <v>44361</v>
      </c>
      <c r="X272" s="326"/>
      <c r="Y272" s="326"/>
      <c r="Z272" s="326"/>
      <c r="AC272" s="268" t="s">
        <v>21</v>
      </c>
      <c r="AD272" s="55"/>
      <c r="AE272" s="55"/>
      <c r="AF272" s="55"/>
      <c r="AG272" s="166"/>
      <c r="AH272" s="49">
        <f t="shared" si="89"/>
        <v>0</v>
      </c>
      <c r="AI272" s="55"/>
      <c r="AJ272" s="55">
        <v>1</v>
      </c>
      <c r="AK272" s="55"/>
      <c r="AL272" s="166"/>
      <c r="AM272" s="49">
        <f t="shared" si="90"/>
        <v>1</v>
      </c>
      <c r="AN272" s="55"/>
      <c r="AO272" s="55"/>
      <c r="AP272" s="55"/>
      <c r="AQ272" s="166"/>
      <c r="AR272" s="49">
        <f t="shared" si="91"/>
        <v>0</v>
      </c>
      <c r="AS272" s="55"/>
      <c r="AT272" s="55"/>
      <c r="AU272" s="55"/>
      <c r="AV272" s="166"/>
      <c r="AW272" s="175">
        <f t="shared" si="92"/>
        <v>0</v>
      </c>
      <c r="AX272" s="56">
        <f t="shared" si="78"/>
        <v>1</v>
      </c>
      <c r="AY272" s="329">
        <v>44329</v>
      </c>
      <c r="AZ272" s="326"/>
    </row>
    <row r="273" spans="1:52" x14ac:dyDescent="0.15">
      <c r="A273" s="53" t="s">
        <v>178</v>
      </c>
      <c r="B273" s="17"/>
      <c r="C273" s="18"/>
      <c r="D273" s="18"/>
      <c r="E273" s="18"/>
      <c r="F273" s="30">
        <f t="shared" si="73"/>
        <v>0</v>
      </c>
      <c r="G273" s="17"/>
      <c r="H273" s="18"/>
      <c r="I273" s="18"/>
      <c r="J273" s="18"/>
      <c r="K273" s="30">
        <f t="shared" si="74"/>
        <v>0</v>
      </c>
      <c r="L273" s="17"/>
      <c r="M273" s="18"/>
      <c r="N273" s="18"/>
      <c r="O273" s="18">
        <v>1</v>
      </c>
      <c r="P273" s="30">
        <f t="shared" si="75"/>
        <v>1</v>
      </c>
      <c r="Q273" s="17"/>
      <c r="R273" s="18"/>
      <c r="S273" s="18"/>
      <c r="T273" s="18"/>
      <c r="U273" s="178">
        <f t="shared" si="76"/>
        <v>0</v>
      </c>
      <c r="V273" s="56">
        <f t="shared" si="77"/>
        <v>1</v>
      </c>
      <c r="W273" s="329">
        <v>44364</v>
      </c>
      <c r="X273" s="326"/>
      <c r="Y273" s="326"/>
      <c r="Z273" s="326"/>
      <c r="AC273" s="269" t="s">
        <v>258</v>
      </c>
      <c r="AD273" s="17"/>
      <c r="AE273" s="18"/>
      <c r="AF273" s="18"/>
      <c r="AG273" s="18"/>
      <c r="AH273" s="30">
        <f t="shared" si="89"/>
        <v>0</v>
      </c>
      <c r="AI273" s="17">
        <v>3</v>
      </c>
      <c r="AJ273" s="18"/>
      <c r="AK273" s="18">
        <v>2</v>
      </c>
      <c r="AL273" s="18">
        <v>1</v>
      </c>
      <c r="AM273" s="30">
        <f t="shared" si="90"/>
        <v>6</v>
      </c>
      <c r="AN273" s="17"/>
      <c r="AO273" s="18"/>
      <c r="AP273" s="18"/>
      <c r="AQ273" s="18"/>
      <c r="AR273" s="30">
        <f t="shared" si="91"/>
        <v>0</v>
      </c>
      <c r="AS273" s="17"/>
      <c r="AT273" s="18"/>
      <c r="AU273" s="18"/>
      <c r="AV273" s="18"/>
      <c r="AW273" s="178">
        <f t="shared" si="92"/>
        <v>0</v>
      </c>
      <c r="AX273" s="56">
        <f t="shared" si="78"/>
        <v>6</v>
      </c>
      <c r="AY273" s="329">
        <v>44342</v>
      </c>
      <c r="AZ273" s="326"/>
    </row>
    <row r="274" spans="1:52" x14ac:dyDescent="0.15">
      <c r="A274" s="53" t="s">
        <v>98</v>
      </c>
      <c r="B274" s="54"/>
      <c r="C274" s="55"/>
      <c r="D274" s="55"/>
      <c r="E274" s="55"/>
      <c r="F274" s="56">
        <f t="shared" si="73"/>
        <v>0</v>
      </c>
      <c r="G274" s="54"/>
      <c r="H274" s="55"/>
      <c r="I274" s="55"/>
      <c r="J274" s="55"/>
      <c r="K274" s="56">
        <f t="shared" si="74"/>
        <v>0</v>
      </c>
      <c r="L274" s="54"/>
      <c r="M274" s="55"/>
      <c r="N274" s="55"/>
      <c r="O274" s="55"/>
      <c r="P274" s="56">
        <f t="shared" si="75"/>
        <v>0</v>
      </c>
      <c r="Q274" s="54">
        <v>1</v>
      </c>
      <c r="R274" s="55"/>
      <c r="S274" s="55"/>
      <c r="T274" s="55">
        <v>1</v>
      </c>
      <c r="U274" s="176">
        <f t="shared" si="76"/>
        <v>2</v>
      </c>
      <c r="V274" s="56">
        <f t="shared" si="77"/>
        <v>2</v>
      </c>
      <c r="W274" s="329">
        <v>44365</v>
      </c>
      <c r="X274" s="326"/>
      <c r="Y274" s="326"/>
      <c r="Z274" s="326"/>
      <c r="AC274" s="277" t="s">
        <v>144</v>
      </c>
      <c r="AD274" s="54"/>
      <c r="AE274" s="55"/>
      <c r="AF274" s="55"/>
      <c r="AG274" s="55"/>
      <c r="AH274" s="56">
        <f t="shared" si="89"/>
        <v>0</v>
      </c>
      <c r="AI274" s="54"/>
      <c r="AJ274" s="55"/>
      <c r="AK274" s="55"/>
      <c r="AL274" s="55"/>
      <c r="AM274" s="56">
        <f t="shared" si="90"/>
        <v>0</v>
      </c>
      <c r="AN274" s="54"/>
      <c r="AO274" s="55"/>
      <c r="AP274" s="55"/>
      <c r="AQ274" s="55"/>
      <c r="AR274" s="56">
        <f t="shared" si="91"/>
        <v>0</v>
      </c>
      <c r="AS274" s="54"/>
      <c r="AT274" s="55">
        <v>3</v>
      </c>
      <c r="AU274" s="55"/>
      <c r="AV274" s="55"/>
      <c r="AW274" s="176">
        <f t="shared" si="92"/>
        <v>3</v>
      </c>
      <c r="AX274" s="56">
        <f t="shared" si="78"/>
        <v>3</v>
      </c>
      <c r="AY274" s="329">
        <v>44337</v>
      </c>
      <c r="AZ274" s="326"/>
    </row>
    <row r="275" spans="1:52" x14ac:dyDescent="0.15">
      <c r="A275" s="53" t="s">
        <v>115</v>
      </c>
      <c r="B275" s="54"/>
      <c r="C275" s="55"/>
      <c r="D275" s="55"/>
      <c r="E275" s="55"/>
      <c r="F275" s="56">
        <f t="shared" si="73"/>
        <v>0</v>
      </c>
      <c r="G275" s="54"/>
      <c r="H275" s="55">
        <v>4</v>
      </c>
      <c r="I275" s="55">
        <v>3</v>
      </c>
      <c r="J275" s="55">
        <v>2</v>
      </c>
      <c r="K275" s="56">
        <f t="shared" si="74"/>
        <v>9</v>
      </c>
      <c r="L275" s="54"/>
      <c r="M275" s="55"/>
      <c r="N275" s="55"/>
      <c r="O275" s="55"/>
      <c r="P275" s="56">
        <f t="shared" si="75"/>
        <v>0</v>
      </c>
      <c r="Q275" s="54"/>
      <c r="R275" s="55"/>
      <c r="S275" s="55"/>
      <c r="T275" s="55"/>
      <c r="U275" s="176">
        <f t="shared" si="76"/>
        <v>0</v>
      </c>
      <c r="V275" s="56">
        <f t="shared" si="77"/>
        <v>9</v>
      </c>
      <c r="W275" s="329">
        <v>44366</v>
      </c>
      <c r="X275" s="326"/>
      <c r="Y275" s="326"/>
      <c r="Z275" s="326"/>
      <c r="AC275" s="277" t="s">
        <v>146</v>
      </c>
      <c r="AD275" s="54"/>
      <c r="AE275" s="55"/>
      <c r="AF275" s="55"/>
      <c r="AG275" s="55"/>
      <c r="AH275" s="56">
        <f t="shared" si="89"/>
        <v>0</v>
      </c>
      <c r="AI275" s="54"/>
      <c r="AJ275" s="55"/>
      <c r="AK275" s="55"/>
      <c r="AL275" s="55"/>
      <c r="AM275" s="56">
        <f t="shared" si="90"/>
        <v>0</v>
      </c>
      <c r="AN275" s="54"/>
      <c r="AO275" s="55"/>
      <c r="AP275" s="55"/>
      <c r="AQ275" s="55"/>
      <c r="AR275" s="56">
        <f t="shared" si="91"/>
        <v>0</v>
      </c>
      <c r="AS275" s="54"/>
      <c r="AT275" s="55"/>
      <c r="AU275" s="55">
        <v>2</v>
      </c>
      <c r="AV275" s="55"/>
      <c r="AW275" s="176">
        <f t="shared" si="92"/>
        <v>2</v>
      </c>
      <c r="AX275" s="56">
        <f t="shared" si="78"/>
        <v>2</v>
      </c>
      <c r="AY275" s="329">
        <v>44343</v>
      </c>
      <c r="AZ275" s="326"/>
    </row>
    <row r="276" spans="1:52" x14ac:dyDescent="0.15">
      <c r="A276" s="53" t="s">
        <v>98</v>
      </c>
      <c r="B276" s="54"/>
      <c r="C276" s="55">
        <v>1</v>
      </c>
      <c r="D276" s="55"/>
      <c r="E276" s="55"/>
      <c r="F276" s="56">
        <f t="shared" si="73"/>
        <v>1</v>
      </c>
      <c r="G276" s="54"/>
      <c r="H276" s="55"/>
      <c r="I276" s="55"/>
      <c r="J276" s="55"/>
      <c r="K276" s="56">
        <f t="shared" si="74"/>
        <v>0</v>
      </c>
      <c r="L276" s="54"/>
      <c r="M276" s="55"/>
      <c r="N276" s="55"/>
      <c r="O276" s="55"/>
      <c r="P276" s="56">
        <f t="shared" si="75"/>
        <v>0</v>
      </c>
      <c r="Q276" s="54"/>
      <c r="R276" s="55"/>
      <c r="S276" s="55"/>
      <c r="T276" s="55"/>
      <c r="U276" s="176">
        <f t="shared" si="76"/>
        <v>0</v>
      </c>
      <c r="V276" s="56">
        <f t="shared" si="77"/>
        <v>1</v>
      </c>
      <c r="W276" s="329">
        <v>44359</v>
      </c>
      <c r="X276" s="326"/>
      <c r="Y276" s="326"/>
      <c r="Z276" s="326"/>
      <c r="AC276" s="269" t="s">
        <v>259</v>
      </c>
      <c r="AD276" s="54"/>
      <c r="AE276" s="55"/>
      <c r="AF276" s="55"/>
      <c r="AG276" s="55"/>
      <c r="AH276" s="56">
        <f t="shared" si="89"/>
        <v>0</v>
      </c>
      <c r="AI276" s="54"/>
      <c r="AJ276" s="55"/>
      <c r="AK276" s="55">
        <v>3</v>
      </c>
      <c r="AL276" s="55">
        <v>6</v>
      </c>
      <c r="AM276" s="56">
        <f t="shared" si="90"/>
        <v>9</v>
      </c>
      <c r="AN276" s="54"/>
      <c r="AO276" s="55"/>
      <c r="AP276" s="55"/>
      <c r="AQ276" s="55"/>
      <c r="AR276" s="56">
        <f t="shared" si="91"/>
        <v>0</v>
      </c>
      <c r="AS276" s="54"/>
      <c r="AT276" s="55"/>
      <c r="AU276" s="55"/>
      <c r="AV276" s="55"/>
      <c r="AW276" s="176">
        <f t="shared" si="92"/>
        <v>0</v>
      </c>
      <c r="AX276" s="56">
        <f t="shared" si="78"/>
        <v>9</v>
      </c>
      <c r="AY276" s="329">
        <v>44350</v>
      </c>
      <c r="AZ276" s="326"/>
    </row>
    <row r="277" spans="1:52" x14ac:dyDescent="0.15">
      <c r="A277" s="53"/>
      <c r="B277" s="54"/>
      <c r="C277" s="55"/>
      <c r="D277" s="55"/>
      <c r="E277" s="55"/>
      <c r="F277" s="56">
        <f t="shared" si="73"/>
        <v>0</v>
      </c>
      <c r="G277" s="54"/>
      <c r="H277" s="55"/>
      <c r="I277" s="55"/>
      <c r="J277" s="55"/>
      <c r="K277" s="56">
        <f t="shared" si="74"/>
        <v>0</v>
      </c>
      <c r="L277" s="54"/>
      <c r="M277" s="55"/>
      <c r="N277" s="55"/>
      <c r="O277" s="55"/>
      <c r="P277" s="56">
        <f t="shared" si="75"/>
        <v>0</v>
      </c>
      <c r="Q277" s="54"/>
      <c r="R277" s="55"/>
      <c r="S277" s="55"/>
      <c r="T277" s="55"/>
      <c r="U277" s="176">
        <f t="shared" si="76"/>
        <v>0</v>
      </c>
      <c r="V277" s="56">
        <f t="shared" si="77"/>
        <v>0</v>
      </c>
      <c r="W277" s="329"/>
      <c r="X277" s="326"/>
      <c r="Y277" s="326"/>
      <c r="Z277" s="326"/>
      <c r="AC277" s="276" t="s">
        <v>260</v>
      </c>
      <c r="AD277" s="54"/>
      <c r="AE277" s="55"/>
      <c r="AF277" s="55"/>
      <c r="AG277" s="55"/>
      <c r="AH277" s="56">
        <f t="shared" si="89"/>
        <v>0</v>
      </c>
      <c r="AI277" s="54"/>
      <c r="AJ277" s="55">
        <v>3</v>
      </c>
      <c r="AK277" s="55"/>
      <c r="AL277" s="55"/>
      <c r="AM277" s="56">
        <f t="shared" si="90"/>
        <v>3</v>
      </c>
      <c r="AN277" s="54"/>
      <c r="AO277" s="55"/>
      <c r="AP277" s="55"/>
      <c r="AQ277" s="55"/>
      <c r="AR277" s="56">
        <f t="shared" si="91"/>
        <v>0</v>
      </c>
      <c r="AS277" s="54"/>
      <c r="AT277" s="55">
        <v>5</v>
      </c>
      <c r="AU277" s="55"/>
      <c r="AV277" s="55">
        <v>5</v>
      </c>
      <c r="AW277" s="176">
        <f t="shared" si="92"/>
        <v>10</v>
      </c>
      <c r="AX277" s="56">
        <f t="shared" si="78"/>
        <v>13</v>
      </c>
      <c r="AY277" s="329">
        <v>44347</v>
      </c>
      <c r="AZ277" s="326"/>
    </row>
    <row r="278" spans="1:52" x14ac:dyDescent="0.15">
      <c r="A278" s="53"/>
      <c r="B278" s="54"/>
      <c r="C278" s="55"/>
      <c r="D278" s="55"/>
      <c r="E278" s="55"/>
      <c r="F278" s="56">
        <f t="shared" si="73"/>
        <v>0</v>
      </c>
      <c r="G278" s="54"/>
      <c r="H278" s="55"/>
      <c r="I278" s="55"/>
      <c r="J278" s="55"/>
      <c r="K278" s="56">
        <f t="shared" si="74"/>
        <v>0</v>
      </c>
      <c r="L278" s="54"/>
      <c r="M278" s="55"/>
      <c r="N278" s="55"/>
      <c r="O278" s="55"/>
      <c r="P278" s="56">
        <f t="shared" si="75"/>
        <v>0</v>
      </c>
      <c r="Q278" s="54"/>
      <c r="R278" s="55"/>
      <c r="S278" s="55"/>
      <c r="T278" s="55"/>
      <c r="U278" s="176">
        <f t="shared" si="76"/>
        <v>0</v>
      </c>
      <c r="V278" s="56">
        <f t="shared" si="77"/>
        <v>0</v>
      </c>
      <c r="W278" s="329"/>
      <c r="X278" s="326"/>
      <c r="Y278" s="326"/>
      <c r="Z278" s="326"/>
      <c r="AC278" s="277" t="s">
        <v>157</v>
      </c>
      <c r="AD278" s="54"/>
      <c r="AE278" s="55"/>
      <c r="AF278" s="55">
        <v>3</v>
      </c>
      <c r="AG278" s="55"/>
      <c r="AH278" s="56">
        <f t="shared" si="89"/>
        <v>3</v>
      </c>
      <c r="AI278" s="54"/>
      <c r="AJ278" s="55"/>
      <c r="AK278" s="55"/>
      <c r="AL278" s="55"/>
      <c r="AM278" s="56">
        <f t="shared" si="90"/>
        <v>0</v>
      </c>
      <c r="AN278" s="54"/>
      <c r="AO278" s="55"/>
      <c r="AP278" s="55"/>
      <c r="AQ278" s="55"/>
      <c r="AR278" s="56">
        <f t="shared" si="91"/>
        <v>0</v>
      </c>
      <c r="AS278" s="54"/>
      <c r="AT278" s="55"/>
      <c r="AU278" s="55"/>
      <c r="AV278" s="55"/>
      <c r="AW278" s="176">
        <f t="shared" si="92"/>
        <v>0</v>
      </c>
      <c r="AX278" s="56">
        <f t="shared" si="78"/>
        <v>3</v>
      </c>
      <c r="AY278" s="329">
        <v>44349</v>
      </c>
      <c r="AZ278" s="326"/>
    </row>
    <row r="279" spans="1:52" x14ac:dyDescent="0.15">
      <c r="A279" s="53"/>
      <c r="B279" s="54"/>
      <c r="C279" s="55"/>
      <c r="D279" s="55"/>
      <c r="E279" s="55"/>
      <c r="F279" s="56">
        <f t="shared" si="73"/>
        <v>0</v>
      </c>
      <c r="G279" s="54"/>
      <c r="H279" s="55"/>
      <c r="I279" s="55"/>
      <c r="J279" s="55"/>
      <c r="K279" s="56">
        <f t="shared" si="74"/>
        <v>0</v>
      </c>
      <c r="L279" s="54"/>
      <c r="M279" s="55"/>
      <c r="N279" s="55"/>
      <c r="O279" s="55"/>
      <c r="P279" s="56">
        <f t="shared" si="75"/>
        <v>0</v>
      </c>
      <c r="Q279" s="54"/>
      <c r="R279" s="55"/>
      <c r="S279" s="55"/>
      <c r="T279" s="55"/>
      <c r="U279" s="176">
        <f t="shared" si="76"/>
        <v>0</v>
      </c>
      <c r="V279" s="56">
        <f t="shared" si="77"/>
        <v>0</v>
      </c>
      <c r="W279" s="325"/>
      <c r="X279" s="326"/>
      <c r="Y279" s="326"/>
      <c r="Z279" s="326"/>
      <c r="AC279" s="268" t="s">
        <v>261</v>
      </c>
      <c r="AD279" s="54">
        <v>4</v>
      </c>
      <c r="AE279" s="55">
        <v>5</v>
      </c>
      <c r="AF279" s="55">
        <v>6</v>
      </c>
      <c r="AG279" s="55">
        <v>6</v>
      </c>
      <c r="AH279" s="56">
        <f>SUM(AD279:AG279)</f>
        <v>21</v>
      </c>
      <c r="AI279" s="54"/>
      <c r="AJ279" s="55">
        <v>4</v>
      </c>
      <c r="AK279" s="55"/>
      <c r="AL279" s="55">
        <v>3</v>
      </c>
      <c r="AM279" s="56">
        <f>SUM(AI279:AL279)</f>
        <v>7</v>
      </c>
      <c r="AN279" s="54"/>
      <c r="AO279" s="55"/>
      <c r="AP279" s="55"/>
      <c r="AQ279" s="55"/>
      <c r="AR279" s="56">
        <f t="shared" si="91"/>
        <v>0</v>
      </c>
      <c r="AS279" s="54"/>
      <c r="AT279" s="55"/>
      <c r="AU279" s="55"/>
      <c r="AV279" s="55"/>
      <c r="AW279" s="176">
        <f t="shared" si="92"/>
        <v>0</v>
      </c>
      <c r="AX279" s="56">
        <f t="shared" si="78"/>
        <v>28</v>
      </c>
      <c r="AY279" s="329">
        <v>44352</v>
      </c>
      <c r="AZ279" s="326"/>
    </row>
    <row r="280" spans="1:52" x14ac:dyDescent="0.15">
      <c r="A280" s="53"/>
      <c r="B280" s="54"/>
      <c r="C280" s="55"/>
      <c r="D280" s="55"/>
      <c r="E280" s="55"/>
      <c r="F280" s="56">
        <f t="shared" si="73"/>
        <v>0</v>
      </c>
      <c r="G280" s="54"/>
      <c r="H280" s="55"/>
      <c r="I280" s="55"/>
      <c r="J280" s="55"/>
      <c r="K280" s="56">
        <f t="shared" si="74"/>
        <v>0</v>
      </c>
      <c r="L280" s="54"/>
      <c r="M280" s="55"/>
      <c r="N280" s="55"/>
      <c r="O280" s="55"/>
      <c r="P280" s="56">
        <f t="shared" si="75"/>
        <v>0</v>
      </c>
      <c r="Q280" s="54"/>
      <c r="R280" s="55"/>
      <c r="S280" s="55"/>
      <c r="T280" s="55"/>
      <c r="U280" s="176">
        <f t="shared" si="76"/>
        <v>0</v>
      </c>
      <c r="V280" s="56">
        <f t="shared" si="77"/>
        <v>0</v>
      </c>
      <c r="W280" s="325"/>
      <c r="X280" s="326"/>
      <c r="Y280" s="326"/>
      <c r="Z280" s="326"/>
      <c r="AC280" s="268" t="s">
        <v>262</v>
      </c>
      <c r="AD280" s="54"/>
      <c r="AE280" s="55"/>
      <c r="AF280" s="55">
        <v>2</v>
      </c>
      <c r="AG280" s="55"/>
      <c r="AH280" s="56">
        <f t="shared" ref="AH280:AH292" si="93">SUM(AD280:AG280)</f>
        <v>2</v>
      </c>
      <c r="AI280" s="54"/>
      <c r="AJ280" s="55"/>
      <c r="AK280" s="55">
        <v>3</v>
      </c>
      <c r="AL280" s="55"/>
      <c r="AM280" s="56">
        <f t="shared" ref="AM280:AM292" si="94">SUM(AI280:AL280)</f>
        <v>3</v>
      </c>
      <c r="AN280" s="54"/>
      <c r="AO280" s="55"/>
      <c r="AP280" s="55"/>
      <c r="AQ280" s="55"/>
      <c r="AR280" s="56">
        <f t="shared" si="91"/>
        <v>0</v>
      </c>
      <c r="AS280" s="54"/>
      <c r="AT280" s="55"/>
      <c r="AU280" s="55"/>
      <c r="AV280" s="55"/>
      <c r="AW280" s="176">
        <f t="shared" si="92"/>
        <v>0</v>
      </c>
      <c r="AX280" s="56">
        <f t="shared" si="78"/>
        <v>5</v>
      </c>
      <c r="AY280" s="329">
        <v>44352</v>
      </c>
      <c r="AZ280" s="326"/>
    </row>
    <row r="281" spans="1:52" x14ac:dyDescent="0.15">
      <c r="A281" s="53"/>
      <c r="B281" s="54"/>
      <c r="C281" s="55"/>
      <c r="D281" s="55"/>
      <c r="E281" s="55"/>
      <c r="F281" s="56">
        <f t="shared" si="73"/>
        <v>0</v>
      </c>
      <c r="G281" s="54"/>
      <c r="H281" s="55"/>
      <c r="I281" s="55"/>
      <c r="J281" s="55"/>
      <c r="K281" s="56">
        <f t="shared" si="74"/>
        <v>0</v>
      </c>
      <c r="L281" s="54"/>
      <c r="M281" s="55"/>
      <c r="N281" s="55"/>
      <c r="O281" s="55"/>
      <c r="P281" s="56">
        <f t="shared" si="75"/>
        <v>0</v>
      </c>
      <c r="Q281" s="54"/>
      <c r="R281" s="55"/>
      <c r="S281" s="55"/>
      <c r="T281" s="55"/>
      <c r="U281" s="176">
        <f t="shared" si="76"/>
        <v>0</v>
      </c>
      <c r="V281" s="56">
        <f t="shared" si="77"/>
        <v>0</v>
      </c>
      <c r="W281" s="325"/>
      <c r="X281" s="326"/>
      <c r="Y281" s="326"/>
      <c r="Z281" s="326"/>
      <c r="AC281" s="276" t="s">
        <v>263</v>
      </c>
      <c r="AD281" s="54"/>
      <c r="AE281" s="55"/>
      <c r="AF281" s="55"/>
      <c r="AG281" s="55"/>
      <c r="AH281" s="56">
        <f t="shared" si="93"/>
        <v>0</v>
      </c>
      <c r="AI281" s="54"/>
      <c r="AJ281" s="55"/>
      <c r="AK281" s="55"/>
      <c r="AL281" s="55"/>
      <c r="AM281" s="56">
        <f t="shared" si="94"/>
        <v>0</v>
      </c>
      <c r="AN281" s="54"/>
      <c r="AO281" s="55"/>
      <c r="AP281" s="55"/>
      <c r="AQ281" s="55"/>
      <c r="AR281" s="56">
        <f t="shared" si="91"/>
        <v>0</v>
      </c>
      <c r="AS281" s="54">
        <v>2</v>
      </c>
      <c r="AT281" s="55"/>
      <c r="AU281" s="55">
        <v>5</v>
      </c>
      <c r="AV281" s="55"/>
      <c r="AW281" s="176">
        <f t="shared" si="92"/>
        <v>7</v>
      </c>
      <c r="AX281" s="56">
        <f t="shared" si="78"/>
        <v>7</v>
      </c>
      <c r="AY281" s="329">
        <v>44354</v>
      </c>
      <c r="AZ281" s="326"/>
    </row>
    <row r="282" spans="1:52" x14ac:dyDescent="0.15">
      <c r="A282" s="53"/>
      <c r="B282" s="54"/>
      <c r="C282" s="55"/>
      <c r="D282" s="55"/>
      <c r="E282" s="55"/>
      <c r="F282" s="56">
        <f t="shared" si="73"/>
        <v>0</v>
      </c>
      <c r="G282" s="54"/>
      <c r="H282" s="55"/>
      <c r="I282" s="55"/>
      <c r="J282" s="55"/>
      <c r="K282" s="56">
        <f t="shared" si="74"/>
        <v>0</v>
      </c>
      <c r="L282" s="54"/>
      <c r="M282" s="55"/>
      <c r="N282" s="55"/>
      <c r="O282" s="55"/>
      <c r="P282" s="56">
        <f t="shared" si="75"/>
        <v>0</v>
      </c>
      <c r="Q282" s="54"/>
      <c r="R282" s="55"/>
      <c r="S282" s="55"/>
      <c r="T282" s="55"/>
      <c r="U282" s="176">
        <f t="shared" si="76"/>
        <v>0</v>
      </c>
      <c r="V282" s="56">
        <f t="shared" si="77"/>
        <v>0</v>
      </c>
      <c r="W282" s="325"/>
      <c r="X282" s="326"/>
      <c r="Y282" s="326"/>
      <c r="Z282" s="326"/>
      <c r="AC282" s="268" t="s">
        <v>264</v>
      </c>
      <c r="AD282" s="54">
        <v>2</v>
      </c>
      <c r="AE282" s="55">
        <v>2</v>
      </c>
      <c r="AF282" s="55"/>
      <c r="AG282" s="55"/>
      <c r="AH282" s="56">
        <f t="shared" si="93"/>
        <v>4</v>
      </c>
      <c r="AI282" s="54"/>
      <c r="AJ282" s="55"/>
      <c r="AK282" s="55"/>
      <c r="AL282" s="55"/>
      <c r="AM282" s="56">
        <f t="shared" si="94"/>
        <v>0</v>
      </c>
      <c r="AN282" s="54"/>
      <c r="AO282" s="55"/>
      <c r="AP282" s="55"/>
      <c r="AQ282" s="55"/>
      <c r="AR282" s="56">
        <f t="shared" si="91"/>
        <v>0</v>
      </c>
      <c r="AS282" s="54"/>
      <c r="AT282" s="55"/>
      <c r="AU282" s="55"/>
      <c r="AV282" s="55"/>
      <c r="AW282" s="176">
        <f t="shared" si="92"/>
        <v>0</v>
      </c>
      <c r="AX282" s="56">
        <f t="shared" si="78"/>
        <v>4</v>
      </c>
      <c r="AY282" s="329">
        <v>44363</v>
      </c>
      <c r="AZ282" s="326"/>
    </row>
    <row r="283" spans="1:52" x14ac:dyDescent="0.15">
      <c r="A283" s="53"/>
      <c r="B283" s="54"/>
      <c r="C283" s="55"/>
      <c r="D283" s="55"/>
      <c r="E283" s="55"/>
      <c r="F283" s="56">
        <f t="shared" si="73"/>
        <v>0</v>
      </c>
      <c r="G283" s="54"/>
      <c r="H283" s="55"/>
      <c r="I283" s="55"/>
      <c r="J283" s="55"/>
      <c r="K283" s="56">
        <f t="shared" si="74"/>
        <v>0</v>
      </c>
      <c r="L283" s="54"/>
      <c r="M283" s="55"/>
      <c r="N283" s="55"/>
      <c r="O283" s="55"/>
      <c r="P283" s="56">
        <f t="shared" si="75"/>
        <v>0</v>
      </c>
      <c r="Q283" s="54"/>
      <c r="R283" s="55"/>
      <c r="S283" s="55"/>
      <c r="T283" s="55"/>
      <c r="U283" s="176">
        <f t="shared" si="76"/>
        <v>0</v>
      </c>
      <c r="V283" s="56">
        <f t="shared" si="77"/>
        <v>0</v>
      </c>
      <c r="W283" s="325"/>
      <c r="X283" s="326"/>
      <c r="Y283" s="326"/>
      <c r="Z283" s="326"/>
      <c r="AC283" s="276" t="s">
        <v>265</v>
      </c>
      <c r="AD283" s="54"/>
      <c r="AE283" s="55"/>
      <c r="AF283" s="55"/>
      <c r="AG283" s="55"/>
      <c r="AH283" s="56">
        <f t="shared" si="93"/>
        <v>0</v>
      </c>
      <c r="AI283" s="54"/>
      <c r="AJ283" s="55"/>
      <c r="AK283" s="55"/>
      <c r="AL283" s="55"/>
      <c r="AM283" s="56">
        <f t="shared" si="94"/>
        <v>0</v>
      </c>
      <c r="AN283" s="54"/>
      <c r="AO283" s="55"/>
      <c r="AP283" s="55"/>
      <c r="AQ283" s="55"/>
      <c r="AR283" s="56">
        <f t="shared" si="91"/>
        <v>0</v>
      </c>
      <c r="AS283" s="54">
        <v>5</v>
      </c>
      <c r="AT283" s="55">
        <v>5</v>
      </c>
      <c r="AU283" s="55"/>
      <c r="AV283" s="55"/>
      <c r="AW283" s="176">
        <f t="shared" si="92"/>
        <v>10</v>
      </c>
      <c r="AX283" s="56">
        <f t="shared" si="78"/>
        <v>10</v>
      </c>
      <c r="AY283" s="329">
        <v>44361</v>
      </c>
      <c r="AZ283" s="326"/>
    </row>
    <row r="284" spans="1:52" x14ac:dyDescent="0.15">
      <c r="A284" s="53"/>
      <c r="B284" s="17"/>
      <c r="C284" s="18"/>
      <c r="D284" s="18"/>
      <c r="E284" s="18"/>
      <c r="F284" s="30">
        <f t="shared" si="73"/>
        <v>0</v>
      </c>
      <c r="G284" s="17"/>
      <c r="H284" s="18"/>
      <c r="I284" s="18"/>
      <c r="J284" s="18"/>
      <c r="K284" s="30">
        <f t="shared" si="74"/>
        <v>0</v>
      </c>
      <c r="L284" s="17"/>
      <c r="M284" s="18"/>
      <c r="N284" s="18"/>
      <c r="O284" s="18"/>
      <c r="P284" s="30">
        <f t="shared" si="75"/>
        <v>0</v>
      </c>
      <c r="Q284" s="17"/>
      <c r="R284" s="18"/>
      <c r="S284" s="18"/>
      <c r="T284" s="18"/>
      <c r="U284" s="178">
        <f t="shared" si="76"/>
        <v>0</v>
      </c>
      <c r="V284" s="56">
        <f t="shared" si="77"/>
        <v>0</v>
      </c>
      <c r="W284" s="325"/>
      <c r="X284" s="326"/>
      <c r="Y284" s="326"/>
      <c r="Z284" s="326"/>
      <c r="AC284" s="268" t="s">
        <v>266</v>
      </c>
      <c r="AD284" s="54">
        <v>3</v>
      </c>
      <c r="AE284" s="55"/>
      <c r="AF284" s="55"/>
      <c r="AG284" s="55"/>
      <c r="AH284" s="56">
        <f t="shared" si="93"/>
        <v>3</v>
      </c>
      <c r="AI284" s="54">
        <v>5</v>
      </c>
      <c r="AJ284" s="55"/>
      <c r="AK284" s="55"/>
      <c r="AL284" s="55">
        <v>8</v>
      </c>
      <c r="AM284" s="56">
        <f t="shared" si="94"/>
        <v>13</v>
      </c>
      <c r="AN284" s="54"/>
      <c r="AO284" s="55"/>
      <c r="AP284" s="55"/>
      <c r="AQ284" s="55"/>
      <c r="AR284" s="56">
        <f t="shared" si="91"/>
        <v>0</v>
      </c>
      <c r="AS284" s="54"/>
      <c r="AT284" s="55"/>
      <c r="AU284" s="55"/>
      <c r="AV284" s="55"/>
      <c r="AW284" s="176">
        <f t="shared" si="92"/>
        <v>0</v>
      </c>
      <c r="AX284" s="56">
        <f t="shared" si="78"/>
        <v>16</v>
      </c>
      <c r="AY284" s="329">
        <v>44369</v>
      </c>
      <c r="AZ284" s="326"/>
    </row>
    <row r="285" spans="1:52" x14ac:dyDescent="0.15">
      <c r="A285" s="53"/>
      <c r="B285" s="54"/>
      <c r="C285" s="55"/>
      <c r="D285" s="55"/>
      <c r="E285" s="55"/>
      <c r="F285" s="56">
        <f t="shared" si="73"/>
        <v>0</v>
      </c>
      <c r="G285" s="54"/>
      <c r="H285" s="55"/>
      <c r="I285" s="55"/>
      <c r="J285" s="55"/>
      <c r="K285" s="56">
        <f t="shared" si="74"/>
        <v>0</v>
      </c>
      <c r="L285" s="54"/>
      <c r="M285" s="55"/>
      <c r="N285" s="55"/>
      <c r="O285" s="55"/>
      <c r="P285" s="56">
        <f t="shared" si="75"/>
        <v>0</v>
      </c>
      <c r="Q285" s="54"/>
      <c r="R285" s="55"/>
      <c r="S285" s="55"/>
      <c r="T285" s="55"/>
      <c r="U285" s="176">
        <f t="shared" si="76"/>
        <v>0</v>
      </c>
      <c r="V285" s="56">
        <f t="shared" si="77"/>
        <v>0</v>
      </c>
      <c r="W285" s="325"/>
      <c r="X285" s="326"/>
      <c r="Y285" s="326"/>
      <c r="Z285" s="326"/>
      <c r="AC285" s="53" t="s">
        <v>28</v>
      </c>
      <c r="AD285" s="55"/>
      <c r="AE285" s="153"/>
      <c r="AF285" s="153"/>
      <c r="AG285" s="168">
        <v>1</v>
      </c>
      <c r="AH285" s="56">
        <f t="shared" si="93"/>
        <v>1</v>
      </c>
      <c r="AI285" s="55"/>
      <c r="AJ285" s="153"/>
      <c r="AK285" s="153"/>
      <c r="AL285" s="168"/>
      <c r="AM285" s="56">
        <f t="shared" si="94"/>
        <v>0</v>
      </c>
      <c r="AN285" s="55">
        <v>1</v>
      </c>
      <c r="AO285" s="153"/>
      <c r="AP285" s="153"/>
      <c r="AQ285" s="168">
        <v>1</v>
      </c>
      <c r="AR285" s="56">
        <f t="shared" si="91"/>
        <v>2</v>
      </c>
      <c r="AS285" s="55"/>
      <c r="AT285" s="153">
        <v>1</v>
      </c>
      <c r="AU285" s="153"/>
      <c r="AV285" s="168"/>
      <c r="AW285" s="176">
        <f t="shared" si="92"/>
        <v>1</v>
      </c>
      <c r="AX285" s="56">
        <f t="shared" si="78"/>
        <v>4</v>
      </c>
      <c r="AY285" s="329">
        <v>44362</v>
      </c>
      <c r="AZ285" s="326"/>
    </row>
    <row r="286" spans="1:52" x14ac:dyDescent="0.15">
      <c r="A286" s="53"/>
      <c r="B286" s="62"/>
      <c r="C286" s="63"/>
      <c r="D286" s="63"/>
      <c r="E286" s="63"/>
      <c r="F286" s="56">
        <f t="shared" si="73"/>
        <v>0</v>
      </c>
      <c r="G286" s="62"/>
      <c r="H286" s="63"/>
      <c r="I286" s="63"/>
      <c r="J286" s="63"/>
      <c r="K286" s="56">
        <f t="shared" si="74"/>
        <v>0</v>
      </c>
      <c r="L286" s="62"/>
      <c r="M286" s="63"/>
      <c r="N286" s="63"/>
      <c r="O286" s="63"/>
      <c r="P286" s="56">
        <f t="shared" si="75"/>
        <v>0</v>
      </c>
      <c r="Q286" s="62"/>
      <c r="R286" s="63"/>
      <c r="S286" s="63"/>
      <c r="T286" s="63"/>
      <c r="U286" s="176">
        <f t="shared" si="76"/>
        <v>0</v>
      </c>
      <c r="V286" s="56">
        <f t="shared" si="77"/>
        <v>0</v>
      </c>
      <c r="W286" s="325"/>
      <c r="X286" s="326"/>
      <c r="Y286" s="326"/>
      <c r="Z286" s="326"/>
      <c r="AC286" s="277" t="s">
        <v>158</v>
      </c>
      <c r="AD286" s="62"/>
      <c r="AE286" s="63"/>
      <c r="AF286" s="63"/>
      <c r="AG286" s="63"/>
      <c r="AH286" s="56">
        <f t="shared" si="93"/>
        <v>0</v>
      </c>
      <c r="AI286" s="62"/>
      <c r="AJ286" s="63">
        <v>3</v>
      </c>
      <c r="AK286" s="63"/>
      <c r="AL286" s="63"/>
      <c r="AM286" s="56">
        <f t="shared" si="94"/>
        <v>3</v>
      </c>
      <c r="AN286" s="62"/>
      <c r="AO286" s="63"/>
      <c r="AP286" s="63"/>
      <c r="AQ286" s="63"/>
      <c r="AR286" s="56">
        <f t="shared" si="91"/>
        <v>0</v>
      </c>
      <c r="AS286" s="62"/>
      <c r="AT286" s="63"/>
      <c r="AU286" s="63"/>
      <c r="AV286" s="63"/>
      <c r="AW286" s="176">
        <f t="shared" si="92"/>
        <v>0</v>
      </c>
      <c r="AX286" s="56">
        <f t="shared" si="78"/>
        <v>3</v>
      </c>
      <c r="AY286" s="329">
        <v>44368</v>
      </c>
      <c r="AZ286" s="326"/>
    </row>
    <row r="287" spans="1:52" x14ac:dyDescent="0.15">
      <c r="A287" s="53"/>
      <c r="B287" s="54"/>
      <c r="C287" s="55"/>
      <c r="D287" s="55"/>
      <c r="E287" s="55"/>
      <c r="F287" s="56">
        <f t="shared" si="73"/>
        <v>0</v>
      </c>
      <c r="G287" s="54"/>
      <c r="H287" s="55"/>
      <c r="I287" s="55"/>
      <c r="J287" s="55"/>
      <c r="K287" s="56">
        <f t="shared" si="74"/>
        <v>0</v>
      </c>
      <c r="L287" s="54"/>
      <c r="M287" s="55"/>
      <c r="N287" s="55"/>
      <c r="O287" s="55"/>
      <c r="P287" s="56">
        <f t="shared" si="75"/>
        <v>0</v>
      </c>
      <c r="Q287" s="54"/>
      <c r="R287" s="55"/>
      <c r="S287" s="55"/>
      <c r="T287" s="55"/>
      <c r="U287" s="176">
        <f t="shared" si="76"/>
        <v>0</v>
      </c>
      <c r="V287" s="56">
        <f t="shared" si="77"/>
        <v>0</v>
      </c>
      <c r="W287" s="325"/>
      <c r="X287" s="326"/>
      <c r="Y287" s="326"/>
      <c r="Z287" s="326"/>
      <c r="AC287" s="276" t="s">
        <v>267</v>
      </c>
      <c r="AD287" s="54"/>
      <c r="AE287" s="55">
        <v>4</v>
      </c>
      <c r="AF287" s="55"/>
      <c r="AG287" s="55"/>
      <c r="AH287" s="56">
        <f t="shared" si="93"/>
        <v>4</v>
      </c>
      <c r="AI287" s="54"/>
      <c r="AJ287" s="55"/>
      <c r="AK287" s="55"/>
      <c r="AL287" s="55"/>
      <c r="AM287" s="56">
        <f t="shared" si="94"/>
        <v>0</v>
      </c>
      <c r="AN287" s="54"/>
      <c r="AO287" s="55"/>
      <c r="AP287" s="55"/>
      <c r="AQ287" s="55"/>
      <c r="AR287" s="56">
        <f t="shared" si="91"/>
        <v>0</v>
      </c>
      <c r="AS287" s="54"/>
      <c r="AT287" s="55">
        <v>6</v>
      </c>
      <c r="AU287" s="55">
        <v>8</v>
      </c>
      <c r="AV287" s="55"/>
      <c r="AW287" s="176">
        <f t="shared" si="92"/>
        <v>14</v>
      </c>
      <c r="AX287" s="56">
        <f t="shared" si="78"/>
        <v>18</v>
      </c>
      <c r="AY287" s="329">
        <v>44368</v>
      </c>
      <c r="AZ287" s="326"/>
    </row>
    <row r="288" spans="1:52" x14ac:dyDescent="0.15">
      <c r="A288" s="53"/>
      <c r="B288" s="54"/>
      <c r="C288" s="55"/>
      <c r="D288" s="55"/>
      <c r="E288" s="55"/>
      <c r="F288" s="56">
        <f t="shared" si="73"/>
        <v>0</v>
      </c>
      <c r="G288" s="54"/>
      <c r="H288" s="55"/>
      <c r="I288" s="55"/>
      <c r="J288" s="55"/>
      <c r="K288" s="56">
        <f t="shared" si="74"/>
        <v>0</v>
      </c>
      <c r="L288" s="54"/>
      <c r="M288" s="55"/>
      <c r="N288" s="55"/>
      <c r="O288" s="55"/>
      <c r="P288" s="56">
        <f t="shared" si="75"/>
        <v>0</v>
      </c>
      <c r="Q288" s="54"/>
      <c r="R288" s="55"/>
      <c r="S288" s="55"/>
      <c r="T288" s="55"/>
      <c r="U288" s="176">
        <f t="shared" si="76"/>
        <v>0</v>
      </c>
      <c r="V288" s="56">
        <f t="shared" si="77"/>
        <v>0</v>
      </c>
      <c r="W288" s="325"/>
      <c r="X288" s="326"/>
      <c r="Y288" s="326"/>
      <c r="Z288" s="326"/>
      <c r="AC288" s="268" t="s">
        <v>268</v>
      </c>
      <c r="AD288" s="62"/>
      <c r="AE288" s="63"/>
      <c r="AF288" s="63"/>
      <c r="AG288" s="63"/>
      <c r="AH288" s="56">
        <f t="shared" si="93"/>
        <v>0</v>
      </c>
      <c r="AI288" s="62">
        <v>4</v>
      </c>
      <c r="AJ288" s="63"/>
      <c r="AK288" s="63">
        <v>4</v>
      </c>
      <c r="AL288" s="63"/>
      <c r="AM288" s="56">
        <f t="shared" si="94"/>
        <v>8</v>
      </c>
      <c r="AN288" s="62"/>
      <c r="AO288" s="63"/>
      <c r="AP288" s="63"/>
      <c r="AQ288" s="63"/>
      <c r="AR288" s="56">
        <f t="shared" si="91"/>
        <v>0</v>
      </c>
      <c r="AS288" s="62"/>
      <c r="AT288" s="63"/>
      <c r="AU288" s="63"/>
      <c r="AV288" s="63"/>
      <c r="AW288" s="176">
        <f t="shared" si="92"/>
        <v>0</v>
      </c>
      <c r="AX288" s="56">
        <f t="shared" si="78"/>
        <v>8</v>
      </c>
      <c r="AY288" s="329">
        <v>44377</v>
      </c>
      <c r="AZ288" s="326"/>
    </row>
    <row r="289" spans="1:52" x14ac:dyDescent="0.15">
      <c r="A289" s="65"/>
      <c r="B289" s="54"/>
      <c r="C289" s="55"/>
      <c r="D289" s="55"/>
      <c r="E289" s="55"/>
      <c r="F289" s="56">
        <f t="shared" si="73"/>
        <v>0</v>
      </c>
      <c r="G289" s="54"/>
      <c r="H289" s="55"/>
      <c r="I289" s="55"/>
      <c r="J289" s="55"/>
      <c r="K289" s="56">
        <f t="shared" si="74"/>
        <v>0</v>
      </c>
      <c r="L289" s="54"/>
      <c r="M289" s="55"/>
      <c r="N289" s="55"/>
      <c r="O289" s="55"/>
      <c r="P289" s="56">
        <f t="shared" si="75"/>
        <v>0</v>
      </c>
      <c r="Q289" s="54"/>
      <c r="R289" s="55"/>
      <c r="S289" s="55"/>
      <c r="T289" s="55"/>
      <c r="U289" s="176">
        <f t="shared" si="76"/>
        <v>0</v>
      </c>
      <c r="V289" s="56">
        <f t="shared" si="77"/>
        <v>0</v>
      </c>
      <c r="W289" s="325"/>
      <c r="X289" s="326"/>
      <c r="Y289" s="326"/>
      <c r="Z289" s="326"/>
      <c r="AC289" s="276" t="s">
        <v>269</v>
      </c>
      <c r="AD289" s="54"/>
      <c r="AE289" s="55"/>
      <c r="AF289" s="55"/>
      <c r="AG289" s="55"/>
      <c r="AH289" s="56">
        <f t="shared" ref="AH289:AH290" si="95">SUM(AD289:AG289)</f>
        <v>0</v>
      </c>
      <c r="AI289" s="54">
        <v>2</v>
      </c>
      <c r="AJ289" s="55"/>
      <c r="AK289" s="55"/>
      <c r="AL289" s="55"/>
      <c r="AM289" s="56">
        <f t="shared" ref="AM289:AM290" si="96">SUM(AI289:AL289)</f>
        <v>2</v>
      </c>
      <c r="AN289" s="54"/>
      <c r="AO289" s="55"/>
      <c r="AP289" s="55"/>
      <c r="AQ289" s="55"/>
      <c r="AR289" s="56">
        <f t="shared" ref="AR289:AR290" si="97">SUM(AN289:AQ289)</f>
        <v>0</v>
      </c>
      <c r="AS289" s="54"/>
      <c r="AT289" s="55"/>
      <c r="AU289" s="55"/>
      <c r="AV289" s="55"/>
      <c r="AW289" s="176">
        <f t="shared" ref="AW289:AW290" si="98">SUM(AS289:AV289)</f>
        <v>0</v>
      </c>
      <c r="AX289" s="56">
        <f t="shared" si="78"/>
        <v>2</v>
      </c>
      <c r="AY289" s="329">
        <v>44369</v>
      </c>
      <c r="AZ289" s="326"/>
    </row>
    <row r="290" spans="1:52" ht="14.25" thickBot="1" x14ac:dyDescent="0.2">
      <c r="A290" s="67"/>
      <c r="B290" s="33"/>
      <c r="C290" s="34"/>
      <c r="D290" s="34"/>
      <c r="E290" s="34"/>
      <c r="F290" s="30">
        <f t="shared" si="73"/>
        <v>0</v>
      </c>
      <c r="G290" s="33"/>
      <c r="H290" s="34"/>
      <c r="I290" s="34"/>
      <c r="J290" s="34"/>
      <c r="K290" s="30">
        <f t="shared" si="74"/>
        <v>0</v>
      </c>
      <c r="L290" s="33"/>
      <c r="M290" s="34"/>
      <c r="N290" s="34"/>
      <c r="O290" s="34"/>
      <c r="P290" s="30">
        <f t="shared" si="75"/>
        <v>0</v>
      </c>
      <c r="Q290" s="33"/>
      <c r="R290" s="34"/>
      <c r="S290" s="34"/>
      <c r="T290" s="34"/>
      <c r="U290" s="178">
        <f t="shared" si="76"/>
        <v>0</v>
      </c>
      <c r="V290" s="163">
        <f t="shared" si="77"/>
        <v>0</v>
      </c>
      <c r="W290" s="325"/>
      <c r="X290" s="326"/>
      <c r="Y290" s="326"/>
      <c r="Z290" s="326"/>
      <c r="AC290" s="276" t="s">
        <v>270</v>
      </c>
      <c r="AD290" s="33">
        <v>4</v>
      </c>
      <c r="AE290" s="34"/>
      <c r="AF290" s="34"/>
      <c r="AG290" s="34"/>
      <c r="AH290" s="30">
        <f t="shared" si="95"/>
        <v>4</v>
      </c>
      <c r="AI290" s="33">
        <v>1</v>
      </c>
      <c r="AJ290" s="34"/>
      <c r="AK290" s="34"/>
      <c r="AL290" s="34"/>
      <c r="AM290" s="30">
        <f t="shared" si="96"/>
        <v>1</v>
      </c>
      <c r="AN290" s="33"/>
      <c r="AO290" s="34"/>
      <c r="AP290" s="34"/>
      <c r="AQ290" s="34"/>
      <c r="AR290" s="30">
        <f t="shared" si="97"/>
        <v>0</v>
      </c>
      <c r="AS290" s="33"/>
      <c r="AT290" s="34"/>
      <c r="AU290" s="34"/>
      <c r="AV290" s="34"/>
      <c r="AW290" s="178">
        <f t="shared" si="98"/>
        <v>0</v>
      </c>
      <c r="AX290" s="170">
        <f t="shared" si="78"/>
        <v>5</v>
      </c>
      <c r="AY290" s="329">
        <v>44371</v>
      </c>
      <c r="AZ290" s="326"/>
    </row>
    <row r="291" spans="1:52" ht="15" thickBot="1" x14ac:dyDescent="0.2">
      <c r="A291" s="9" t="s">
        <v>15</v>
      </c>
      <c r="B291" s="36">
        <f>SUM(B265:B290)</f>
        <v>0</v>
      </c>
      <c r="C291" s="37">
        <f>SUM(C265:C290)</f>
        <v>1</v>
      </c>
      <c r="D291" s="37">
        <f>SUM(D265:D290)</f>
        <v>0</v>
      </c>
      <c r="E291" s="38">
        <f>SUM(E265:E290)</f>
        <v>1</v>
      </c>
      <c r="F291" s="25">
        <f t="shared" si="73"/>
        <v>2</v>
      </c>
      <c r="G291" s="36">
        <f>SUM(G265:G290)</f>
        <v>0</v>
      </c>
      <c r="H291" s="37">
        <f>SUM(H265:H290)</f>
        <v>5</v>
      </c>
      <c r="I291" s="37">
        <f>SUM(I265:I290)</f>
        <v>4</v>
      </c>
      <c r="J291" s="38">
        <f>SUM(J265:J290)</f>
        <v>4</v>
      </c>
      <c r="K291" s="25">
        <f t="shared" si="74"/>
        <v>13</v>
      </c>
      <c r="L291" s="36">
        <f>SUM(L265:L290)</f>
        <v>1</v>
      </c>
      <c r="M291" s="37">
        <f>SUM(M265:M290)</f>
        <v>0</v>
      </c>
      <c r="N291" s="37">
        <f>SUM(N265:N290)</f>
        <v>0</v>
      </c>
      <c r="O291" s="38">
        <f>SUM(O265:O290)</f>
        <v>2</v>
      </c>
      <c r="P291" s="25">
        <f t="shared" si="75"/>
        <v>3</v>
      </c>
      <c r="Q291" s="36">
        <f>SUM(Q265:Q290)</f>
        <v>1</v>
      </c>
      <c r="R291" s="37">
        <f>SUM(R265:R290)</f>
        <v>1</v>
      </c>
      <c r="S291" s="37">
        <f>SUM(S265:S290)</f>
        <v>0</v>
      </c>
      <c r="T291" s="38">
        <f>SUM(T265:T290)</f>
        <v>2</v>
      </c>
      <c r="U291" s="36">
        <f t="shared" si="76"/>
        <v>4</v>
      </c>
      <c r="V291" s="77">
        <f t="shared" si="77"/>
        <v>22</v>
      </c>
      <c r="W291" s="325"/>
      <c r="X291" s="326"/>
      <c r="Y291" s="326"/>
      <c r="Z291" s="326"/>
      <c r="AC291" s="278" t="s">
        <v>15</v>
      </c>
      <c r="AD291" s="36">
        <f>SUM(AD265:AD290)</f>
        <v>13</v>
      </c>
      <c r="AE291" s="37">
        <f>SUM(AE265:AE290)</f>
        <v>11</v>
      </c>
      <c r="AF291" s="37">
        <f>SUM(AF265:AF290)</f>
        <v>11</v>
      </c>
      <c r="AG291" s="38">
        <f>SUM(AG265:AG290)</f>
        <v>7</v>
      </c>
      <c r="AH291" s="25">
        <f t="shared" si="93"/>
        <v>42</v>
      </c>
      <c r="AI291" s="36">
        <f>SUM(AI265:AI290)</f>
        <v>18</v>
      </c>
      <c r="AJ291" s="37">
        <f>SUM(AJ265:AJ290)</f>
        <v>41</v>
      </c>
      <c r="AK291" s="37">
        <f>SUM(AK265:AK290)</f>
        <v>20</v>
      </c>
      <c r="AL291" s="38">
        <f>SUM(AL265:AL290)</f>
        <v>21</v>
      </c>
      <c r="AM291" s="25">
        <f t="shared" si="94"/>
        <v>100</v>
      </c>
      <c r="AN291" s="36">
        <f>SUM(AN265:AN290)</f>
        <v>1</v>
      </c>
      <c r="AO291" s="37">
        <f>SUM(AO265:AO290)</f>
        <v>0</v>
      </c>
      <c r="AP291" s="37">
        <f>SUM(AP265:AP290)</f>
        <v>0</v>
      </c>
      <c r="AQ291" s="38">
        <f>SUM(AQ265:AQ290)</f>
        <v>1</v>
      </c>
      <c r="AR291" s="25">
        <f t="shared" si="91"/>
        <v>2</v>
      </c>
      <c r="AS291" s="36">
        <f>SUM(AS265:AS290)</f>
        <v>10</v>
      </c>
      <c r="AT291" s="37">
        <f>SUM(AT265:AT290)</f>
        <v>20</v>
      </c>
      <c r="AU291" s="37">
        <f>SUM(AU265:AU290)</f>
        <v>20</v>
      </c>
      <c r="AV291" s="38">
        <f>SUM(AV265:AV290)</f>
        <v>10</v>
      </c>
      <c r="AW291" s="36">
        <f t="shared" si="92"/>
        <v>60</v>
      </c>
      <c r="AX291" s="161">
        <f t="shared" si="78"/>
        <v>204</v>
      </c>
      <c r="AY291" s="325"/>
      <c r="AZ291" s="326"/>
    </row>
    <row r="292" spans="1:52" ht="14.25" thickBot="1" x14ac:dyDescent="0.2">
      <c r="A292" s="39" t="s">
        <v>16</v>
      </c>
      <c r="B292" s="40">
        <f>B264-B291</f>
        <v>2</v>
      </c>
      <c r="C292" s="41">
        <f>C264-C291</f>
        <v>1</v>
      </c>
      <c r="D292" s="41">
        <f>D264-D291</f>
        <v>3</v>
      </c>
      <c r="E292" s="42">
        <f>E264-E291</f>
        <v>2</v>
      </c>
      <c r="F292" s="171">
        <f t="shared" si="73"/>
        <v>8</v>
      </c>
      <c r="G292" s="40">
        <f>G264-G291</f>
        <v>3</v>
      </c>
      <c r="H292" s="41">
        <f>H264-H291</f>
        <v>4</v>
      </c>
      <c r="I292" s="41">
        <f>I264-I291</f>
        <v>2</v>
      </c>
      <c r="J292" s="42">
        <f>J264-J291</f>
        <v>0</v>
      </c>
      <c r="K292" s="171">
        <f t="shared" si="74"/>
        <v>9</v>
      </c>
      <c r="L292" s="40">
        <f>L264-L291</f>
        <v>2</v>
      </c>
      <c r="M292" s="41">
        <f>M264-M291</f>
        <v>0</v>
      </c>
      <c r="N292" s="41">
        <f>N264-N291</f>
        <v>2</v>
      </c>
      <c r="O292" s="42">
        <f>O264-O291</f>
        <v>1</v>
      </c>
      <c r="P292" s="171">
        <f t="shared" si="75"/>
        <v>5</v>
      </c>
      <c r="Q292" s="40">
        <f>Q264-Q291</f>
        <v>1</v>
      </c>
      <c r="R292" s="41">
        <f>R264-R291</f>
        <v>2</v>
      </c>
      <c r="S292" s="41">
        <f>S264-S291</f>
        <v>2</v>
      </c>
      <c r="T292" s="42">
        <f>T264-T291</f>
        <v>1</v>
      </c>
      <c r="U292" s="177">
        <f t="shared" si="76"/>
        <v>6</v>
      </c>
      <c r="V292" s="77">
        <f t="shared" si="77"/>
        <v>28</v>
      </c>
      <c r="W292" s="325"/>
      <c r="X292" s="326"/>
      <c r="Y292" s="326"/>
      <c r="Z292" s="326"/>
      <c r="AC292" s="279" t="s">
        <v>16</v>
      </c>
      <c r="AD292" s="40">
        <f>AD264-AD291</f>
        <v>202</v>
      </c>
      <c r="AE292" s="41">
        <f>AE264-AE291</f>
        <v>293</v>
      </c>
      <c r="AF292" s="41">
        <f>AF264-AF291</f>
        <v>256</v>
      </c>
      <c r="AG292" s="42">
        <f>AG264-AG291</f>
        <v>184</v>
      </c>
      <c r="AH292" s="171">
        <f t="shared" si="93"/>
        <v>935</v>
      </c>
      <c r="AI292" s="40">
        <f>AI264-AI291</f>
        <v>173</v>
      </c>
      <c r="AJ292" s="41">
        <f>AJ264-AJ291</f>
        <v>195</v>
      </c>
      <c r="AK292" s="41">
        <f>AK264-AK291</f>
        <v>261</v>
      </c>
      <c r="AL292" s="42">
        <f>AL264-AL291</f>
        <v>97</v>
      </c>
      <c r="AM292" s="171">
        <f t="shared" si="94"/>
        <v>726</v>
      </c>
      <c r="AN292" s="40">
        <f>AN264-AN291</f>
        <v>17</v>
      </c>
      <c r="AO292" s="41">
        <f>AO264-AO291</f>
        <v>0</v>
      </c>
      <c r="AP292" s="41">
        <f>AP264-AP291</f>
        <v>45</v>
      </c>
      <c r="AQ292" s="42">
        <f>AQ264-AQ291</f>
        <v>10</v>
      </c>
      <c r="AR292" s="171">
        <f t="shared" si="91"/>
        <v>72</v>
      </c>
      <c r="AS292" s="40">
        <f>AS264-AS291</f>
        <v>106</v>
      </c>
      <c r="AT292" s="41">
        <f>AT264-AT291</f>
        <v>114</v>
      </c>
      <c r="AU292" s="41">
        <f>AU264-AU291</f>
        <v>58</v>
      </c>
      <c r="AV292" s="42">
        <f>AV264-AV291</f>
        <v>58</v>
      </c>
      <c r="AW292" s="177">
        <f t="shared" si="92"/>
        <v>336</v>
      </c>
      <c r="AX292" s="77">
        <f t="shared" si="78"/>
        <v>2069</v>
      </c>
      <c r="AY292" s="325"/>
      <c r="AZ292" s="326"/>
    </row>
    <row r="293" spans="1:52" x14ac:dyDescent="0.15">
      <c r="W293" s="325"/>
      <c r="X293" s="326"/>
      <c r="Y293" s="326"/>
      <c r="Z293" s="326"/>
      <c r="AY293" s="325"/>
      <c r="AZ293" s="326"/>
    </row>
    <row r="294" spans="1:52" x14ac:dyDescent="0.15">
      <c r="W294" s="325"/>
      <c r="X294" s="326"/>
      <c r="Y294" s="326"/>
      <c r="Z294" s="326"/>
      <c r="AY294" s="325"/>
      <c r="AZ294" s="326"/>
    </row>
    <row r="295" spans="1:52" ht="19.5" thickBot="1" x14ac:dyDescent="0.25">
      <c r="A295" s="185" t="s">
        <v>19</v>
      </c>
      <c r="B295" s="186"/>
      <c r="C295" s="186"/>
      <c r="D295" s="186"/>
      <c r="E295" s="186"/>
      <c r="F295" s="18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25"/>
      <c r="X295" s="326"/>
      <c r="Y295" s="326"/>
      <c r="Z295" s="326"/>
      <c r="AC295" s="187" t="s">
        <v>73</v>
      </c>
      <c r="AD295" s="188"/>
      <c r="AE295" s="188"/>
      <c r="AF295" s="188"/>
      <c r="AG295" s="188"/>
      <c r="AH295" s="188"/>
      <c r="AI295" s="188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325"/>
      <c r="AZ295" s="326"/>
    </row>
    <row r="296" spans="1:52" ht="14.25" thickBot="1" x14ac:dyDescent="0.2">
      <c r="A296" s="3" t="s">
        <v>0</v>
      </c>
      <c r="B296" s="371" t="s">
        <v>17</v>
      </c>
      <c r="C296" s="372"/>
      <c r="D296" s="372"/>
      <c r="E296" s="372"/>
      <c r="F296" s="373"/>
      <c r="G296" s="371" t="s">
        <v>18</v>
      </c>
      <c r="H296" s="372"/>
      <c r="I296" s="372"/>
      <c r="J296" s="372"/>
      <c r="K296" s="373"/>
      <c r="L296" s="371" t="s">
        <v>38</v>
      </c>
      <c r="M296" s="372"/>
      <c r="N296" s="372"/>
      <c r="O296" s="372"/>
      <c r="P296" s="373"/>
      <c r="Q296" s="371" t="s">
        <v>75</v>
      </c>
      <c r="R296" s="372"/>
      <c r="S296" s="372"/>
      <c r="T296" s="372"/>
      <c r="U296" s="373"/>
      <c r="V296" s="360" t="s">
        <v>1</v>
      </c>
      <c r="W296" s="325"/>
      <c r="X296" s="326"/>
      <c r="Y296" s="326"/>
      <c r="Z296" s="326"/>
      <c r="AC296" s="271" t="s">
        <v>0</v>
      </c>
      <c r="AD296" s="371" t="s">
        <v>17</v>
      </c>
      <c r="AE296" s="372"/>
      <c r="AF296" s="372"/>
      <c r="AG296" s="372"/>
      <c r="AH296" s="373"/>
      <c r="AI296" s="371" t="s">
        <v>18</v>
      </c>
      <c r="AJ296" s="372"/>
      <c r="AK296" s="372"/>
      <c r="AL296" s="372"/>
      <c r="AM296" s="373"/>
      <c r="AN296" s="371" t="s">
        <v>38</v>
      </c>
      <c r="AO296" s="372"/>
      <c r="AP296" s="372"/>
      <c r="AQ296" s="372"/>
      <c r="AR296" s="373"/>
      <c r="AS296" s="371" t="s">
        <v>75</v>
      </c>
      <c r="AT296" s="372"/>
      <c r="AU296" s="372"/>
      <c r="AV296" s="372"/>
      <c r="AW296" s="373"/>
      <c r="AX296" s="360" t="s">
        <v>1</v>
      </c>
      <c r="AY296" s="325"/>
      <c r="AZ296" s="326"/>
    </row>
    <row r="297" spans="1:52" ht="14.25" thickBot="1" x14ac:dyDescent="0.2">
      <c r="A297" s="5" t="s">
        <v>2</v>
      </c>
      <c r="B297" s="6" t="s">
        <v>3</v>
      </c>
      <c r="C297" s="7" t="s">
        <v>4</v>
      </c>
      <c r="D297" s="7" t="s">
        <v>5</v>
      </c>
      <c r="E297" s="8" t="s">
        <v>6</v>
      </c>
      <c r="F297" s="5" t="s">
        <v>7</v>
      </c>
      <c r="G297" s="6" t="s">
        <v>3</v>
      </c>
      <c r="H297" s="7" t="s">
        <v>4</v>
      </c>
      <c r="I297" s="7" t="s">
        <v>5</v>
      </c>
      <c r="J297" s="8" t="s">
        <v>6</v>
      </c>
      <c r="K297" s="5" t="s">
        <v>7</v>
      </c>
      <c r="L297" s="6" t="s">
        <v>3</v>
      </c>
      <c r="M297" s="7" t="s">
        <v>4</v>
      </c>
      <c r="N297" s="7" t="s">
        <v>5</v>
      </c>
      <c r="O297" s="8" t="s">
        <v>6</v>
      </c>
      <c r="P297" s="5" t="s">
        <v>7</v>
      </c>
      <c r="Q297" s="6" t="s">
        <v>3</v>
      </c>
      <c r="R297" s="7" t="s">
        <v>4</v>
      </c>
      <c r="S297" s="7" t="s">
        <v>5</v>
      </c>
      <c r="T297" s="8" t="s">
        <v>6</v>
      </c>
      <c r="U297" s="5" t="s">
        <v>7</v>
      </c>
      <c r="V297" s="361"/>
      <c r="W297" s="325"/>
      <c r="X297" s="326"/>
      <c r="Y297" s="326"/>
      <c r="Z297" s="326"/>
      <c r="AC297" s="272" t="s">
        <v>2</v>
      </c>
      <c r="AD297" s="6" t="s">
        <v>3</v>
      </c>
      <c r="AE297" s="7" t="s">
        <v>4</v>
      </c>
      <c r="AF297" s="7" t="s">
        <v>5</v>
      </c>
      <c r="AG297" s="8" t="s">
        <v>6</v>
      </c>
      <c r="AH297" s="5" t="s">
        <v>7</v>
      </c>
      <c r="AI297" s="6" t="s">
        <v>3</v>
      </c>
      <c r="AJ297" s="7" t="s">
        <v>4</v>
      </c>
      <c r="AK297" s="7" t="s">
        <v>5</v>
      </c>
      <c r="AL297" s="8" t="s">
        <v>6</v>
      </c>
      <c r="AM297" s="5" t="s">
        <v>7</v>
      </c>
      <c r="AN297" s="6" t="s">
        <v>3</v>
      </c>
      <c r="AO297" s="7" t="s">
        <v>4</v>
      </c>
      <c r="AP297" s="7" t="s">
        <v>5</v>
      </c>
      <c r="AQ297" s="8" t="s">
        <v>6</v>
      </c>
      <c r="AR297" s="5" t="s">
        <v>7</v>
      </c>
      <c r="AS297" s="6" t="s">
        <v>3</v>
      </c>
      <c r="AT297" s="7" t="s">
        <v>4</v>
      </c>
      <c r="AU297" s="7" t="s">
        <v>5</v>
      </c>
      <c r="AV297" s="8" t="s">
        <v>6</v>
      </c>
      <c r="AW297" s="5" t="s">
        <v>7</v>
      </c>
      <c r="AX297" s="361"/>
      <c r="AY297" s="325"/>
      <c r="AZ297" s="326"/>
    </row>
    <row r="298" spans="1:52" ht="14.25" x14ac:dyDescent="0.15">
      <c r="A298" s="172" t="s">
        <v>30</v>
      </c>
      <c r="B298" s="70">
        <f>B292</f>
        <v>2</v>
      </c>
      <c r="C298" s="70">
        <f>C292</f>
        <v>1</v>
      </c>
      <c r="D298" s="70">
        <f>D292</f>
        <v>3</v>
      </c>
      <c r="E298" s="165">
        <f>E292</f>
        <v>2</v>
      </c>
      <c r="F298" s="71">
        <f t="shared" ref="F298:F334" si="99">SUM(B298:E298)</f>
        <v>8</v>
      </c>
      <c r="G298" s="70">
        <f>G292</f>
        <v>3</v>
      </c>
      <c r="H298" s="70">
        <f>H292</f>
        <v>4</v>
      </c>
      <c r="I298" s="70">
        <f>I292</f>
        <v>2</v>
      </c>
      <c r="J298" s="165">
        <f>J292</f>
        <v>0</v>
      </c>
      <c r="K298" s="71">
        <f t="shared" ref="K298:K334" si="100">SUM(G298:J298)</f>
        <v>9</v>
      </c>
      <c r="L298" s="70">
        <f>L292</f>
        <v>2</v>
      </c>
      <c r="M298" s="70">
        <f>M292</f>
        <v>0</v>
      </c>
      <c r="N298" s="70">
        <f>N292</f>
        <v>2</v>
      </c>
      <c r="O298" s="165">
        <f>O292</f>
        <v>1</v>
      </c>
      <c r="P298" s="71">
        <f t="shared" ref="P298:P334" si="101">SUM(L298:O298)</f>
        <v>5</v>
      </c>
      <c r="Q298" s="70">
        <f>Q292</f>
        <v>1</v>
      </c>
      <c r="R298" s="70">
        <f>R292</f>
        <v>2</v>
      </c>
      <c r="S298" s="70">
        <f>S292</f>
        <v>2</v>
      </c>
      <c r="T298" s="165">
        <f>T292</f>
        <v>1</v>
      </c>
      <c r="U298" s="174">
        <f t="shared" ref="U298:U334" si="102">SUM(Q298:T298)</f>
        <v>6</v>
      </c>
      <c r="V298" s="71">
        <f t="shared" ref="V298:V334" si="103">F298+K298+P298+U298</f>
        <v>28</v>
      </c>
      <c r="W298" s="325"/>
      <c r="X298" s="326"/>
      <c r="Y298" s="326"/>
      <c r="Z298" s="326"/>
      <c r="AC298" s="273" t="s">
        <v>30</v>
      </c>
      <c r="AD298" s="70">
        <f>AD292</f>
        <v>202</v>
      </c>
      <c r="AE298" s="70">
        <f>AE292</f>
        <v>293</v>
      </c>
      <c r="AF298" s="70">
        <f>AF292</f>
        <v>256</v>
      </c>
      <c r="AG298" s="165">
        <f>AG292</f>
        <v>184</v>
      </c>
      <c r="AH298" s="71">
        <f>SUM(AD298:AG298)</f>
        <v>935</v>
      </c>
      <c r="AI298" s="70">
        <f>AI292</f>
        <v>173</v>
      </c>
      <c r="AJ298" s="70">
        <f>AJ292</f>
        <v>195</v>
      </c>
      <c r="AK298" s="70">
        <f>AK292</f>
        <v>261</v>
      </c>
      <c r="AL298" s="165">
        <f>AL292</f>
        <v>97</v>
      </c>
      <c r="AM298" s="71">
        <f>SUM(AI298:AL298)</f>
        <v>726</v>
      </c>
      <c r="AN298" s="70">
        <f>AN292</f>
        <v>17</v>
      </c>
      <c r="AO298" s="70">
        <f>AO292</f>
        <v>0</v>
      </c>
      <c r="AP298" s="70">
        <f>AP292</f>
        <v>45</v>
      </c>
      <c r="AQ298" s="165">
        <f>AQ292</f>
        <v>10</v>
      </c>
      <c r="AR298" s="71">
        <f>SUM(AN298:AQ298)</f>
        <v>72</v>
      </c>
      <c r="AS298" s="70">
        <f>AS292</f>
        <v>106</v>
      </c>
      <c r="AT298" s="70">
        <f>AT292</f>
        <v>114</v>
      </c>
      <c r="AU298" s="70">
        <f>AU292</f>
        <v>58</v>
      </c>
      <c r="AV298" s="165">
        <f>AV292</f>
        <v>58</v>
      </c>
      <c r="AW298" s="174">
        <f>SUM(AS298:AV298)</f>
        <v>336</v>
      </c>
      <c r="AX298" s="71">
        <f t="shared" ref="AX298:AX334" si="104">AH298+AM298+AR298+AW298</f>
        <v>2069</v>
      </c>
      <c r="AY298" s="325"/>
      <c r="AZ298" s="326"/>
    </row>
    <row r="299" spans="1:52" x14ac:dyDescent="0.15">
      <c r="A299" s="53" t="s">
        <v>28</v>
      </c>
      <c r="B299" s="55"/>
      <c r="C299" s="55"/>
      <c r="D299" s="55"/>
      <c r="E299" s="166"/>
      <c r="F299" s="49">
        <f t="shared" si="99"/>
        <v>0</v>
      </c>
      <c r="G299" s="55"/>
      <c r="H299" s="55"/>
      <c r="I299" s="55"/>
      <c r="J299" s="166"/>
      <c r="K299" s="49">
        <f t="shared" si="100"/>
        <v>0</v>
      </c>
      <c r="L299" s="55"/>
      <c r="M299" s="55"/>
      <c r="N299" s="55"/>
      <c r="O299" s="166">
        <v>1</v>
      </c>
      <c r="P299" s="49">
        <f t="shared" si="101"/>
        <v>1</v>
      </c>
      <c r="Q299" s="55">
        <v>1</v>
      </c>
      <c r="R299" s="55"/>
      <c r="S299" s="55"/>
      <c r="T299" s="166">
        <v>1</v>
      </c>
      <c r="U299" s="175">
        <f t="shared" si="102"/>
        <v>2</v>
      </c>
      <c r="V299" s="56">
        <f t="shared" si="103"/>
        <v>3</v>
      </c>
      <c r="W299" s="329">
        <v>44366</v>
      </c>
      <c r="X299" s="326"/>
      <c r="Y299" s="326"/>
      <c r="Z299" s="326"/>
      <c r="AC299" s="268" t="s">
        <v>28</v>
      </c>
      <c r="AD299" s="55"/>
      <c r="AE299" s="55"/>
      <c r="AF299" s="55"/>
      <c r="AG299" s="166"/>
      <c r="AH299" s="56">
        <f t="shared" ref="AH299:AH320" si="105">SUM(AD299:AG299)</f>
        <v>0</v>
      </c>
      <c r="AI299" s="55"/>
      <c r="AJ299" s="55"/>
      <c r="AK299" s="55"/>
      <c r="AL299" s="166"/>
      <c r="AM299" s="56">
        <f t="shared" ref="AM299:AM320" si="106">SUM(AI299:AL299)</f>
        <v>0</v>
      </c>
      <c r="AN299" s="55"/>
      <c r="AO299" s="55"/>
      <c r="AP299" s="55"/>
      <c r="AQ299" s="166"/>
      <c r="AR299" s="56">
        <f t="shared" ref="AR299" si="107">SUM(AN299:AQ299)</f>
        <v>0</v>
      </c>
      <c r="AS299" s="55"/>
      <c r="AT299" s="55"/>
      <c r="AU299" s="55"/>
      <c r="AV299" s="166"/>
      <c r="AW299" s="176">
        <f t="shared" ref="AW299" si="108">SUM(AS299:AV299)</f>
        <v>0</v>
      </c>
      <c r="AX299" s="56">
        <f t="shared" si="104"/>
        <v>0</v>
      </c>
      <c r="AY299" s="329"/>
      <c r="AZ299" s="326"/>
    </row>
    <row r="300" spans="1:52" x14ac:dyDescent="0.15">
      <c r="A300" s="53" t="s">
        <v>28</v>
      </c>
      <c r="B300" s="55"/>
      <c r="C300" s="55">
        <v>2</v>
      </c>
      <c r="D300" s="55"/>
      <c r="E300" s="166"/>
      <c r="F300" s="49">
        <f t="shared" si="99"/>
        <v>2</v>
      </c>
      <c r="G300" s="55"/>
      <c r="H300" s="55"/>
      <c r="I300" s="55"/>
      <c r="J300" s="166"/>
      <c r="K300" s="49">
        <f t="shared" si="100"/>
        <v>0</v>
      </c>
      <c r="L300" s="55"/>
      <c r="M300" s="55"/>
      <c r="N300" s="55"/>
      <c r="O300" s="166"/>
      <c r="P300" s="49">
        <f t="shared" si="101"/>
        <v>0</v>
      </c>
      <c r="Q300" s="55"/>
      <c r="R300" s="55"/>
      <c r="S300" s="55"/>
      <c r="T300" s="166"/>
      <c r="U300" s="175">
        <f t="shared" si="102"/>
        <v>0</v>
      </c>
      <c r="V300" s="56">
        <f t="shared" si="103"/>
        <v>2</v>
      </c>
      <c r="W300" s="329">
        <v>44370</v>
      </c>
      <c r="X300" s="326"/>
      <c r="Y300" s="326"/>
      <c r="Z300" s="326"/>
      <c r="AC300" s="268" t="s">
        <v>28</v>
      </c>
      <c r="AD300" s="55"/>
      <c r="AE300" s="153"/>
      <c r="AF300" s="153"/>
      <c r="AG300" s="168"/>
      <c r="AH300" s="56">
        <f t="shared" si="105"/>
        <v>0</v>
      </c>
      <c r="AI300" s="55"/>
      <c r="AJ300" s="153"/>
      <c r="AK300" s="153"/>
      <c r="AL300" s="168"/>
      <c r="AM300" s="56">
        <f t="shared" si="106"/>
        <v>0</v>
      </c>
      <c r="AN300" s="55"/>
      <c r="AO300" s="153"/>
      <c r="AP300" s="153"/>
      <c r="AQ300" s="168"/>
      <c r="AR300" s="56">
        <v>0</v>
      </c>
      <c r="AS300" s="55"/>
      <c r="AT300" s="153"/>
      <c r="AU300" s="153"/>
      <c r="AV300" s="168"/>
      <c r="AW300" s="176">
        <v>0</v>
      </c>
      <c r="AX300" s="56">
        <f t="shared" si="104"/>
        <v>0</v>
      </c>
      <c r="AY300" s="328"/>
      <c r="AZ300" s="326"/>
    </row>
    <row r="301" spans="1:52" x14ac:dyDescent="0.15">
      <c r="A301" s="53" t="s">
        <v>28</v>
      </c>
      <c r="B301" s="55"/>
      <c r="C301" s="55"/>
      <c r="D301" s="55"/>
      <c r="E301" s="166"/>
      <c r="F301" s="49">
        <f t="shared" si="99"/>
        <v>0</v>
      </c>
      <c r="G301" s="55"/>
      <c r="H301" s="55"/>
      <c r="I301" s="55">
        <v>3</v>
      </c>
      <c r="J301" s="166"/>
      <c r="K301" s="49">
        <f t="shared" si="100"/>
        <v>3</v>
      </c>
      <c r="L301" s="55"/>
      <c r="M301" s="55"/>
      <c r="N301" s="55"/>
      <c r="O301" s="166"/>
      <c r="P301" s="49">
        <f t="shared" si="101"/>
        <v>0</v>
      </c>
      <c r="Q301" s="55"/>
      <c r="R301" s="55"/>
      <c r="S301" s="55"/>
      <c r="T301" s="166"/>
      <c r="U301" s="175">
        <f t="shared" si="102"/>
        <v>0</v>
      </c>
      <c r="V301" s="56">
        <f t="shared" si="103"/>
        <v>3</v>
      </c>
      <c r="W301" s="329">
        <v>44375</v>
      </c>
      <c r="X301" s="326"/>
      <c r="Y301" s="326"/>
      <c r="Z301" s="326"/>
      <c r="AC301" s="268" t="s">
        <v>28</v>
      </c>
      <c r="AD301" s="55"/>
      <c r="AE301" s="153"/>
      <c r="AF301" s="153"/>
      <c r="AG301" s="168"/>
      <c r="AH301" s="56">
        <f t="shared" si="105"/>
        <v>0</v>
      </c>
      <c r="AI301" s="55"/>
      <c r="AJ301" s="153"/>
      <c r="AK301" s="153"/>
      <c r="AL301" s="168"/>
      <c r="AM301" s="56">
        <f t="shared" si="106"/>
        <v>0</v>
      </c>
      <c r="AN301" s="55"/>
      <c r="AO301" s="153"/>
      <c r="AP301" s="153"/>
      <c r="AQ301" s="168"/>
      <c r="AR301" s="56">
        <f t="shared" ref="AR301" si="109">SUM(AN301:AQ301)</f>
        <v>0</v>
      </c>
      <c r="AS301" s="55"/>
      <c r="AT301" s="153"/>
      <c r="AU301" s="153"/>
      <c r="AV301" s="168"/>
      <c r="AW301" s="176">
        <f t="shared" ref="AW301" si="110">SUM(AS301:AV301)</f>
        <v>0</v>
      </c>
      <c r="AX301" s="56">
        <f t="shared" si="104"/>
        <v>0</v>
      </c>
      <c r="AY301" s="328"/>
      <c r="AZ301" s="326"/>
    </row>
    <row r="302" spans="1:52" x14ac:dyDescent="0.15">
      <c r="A302" s="53" t="s">
        <v>28</v>
      </c>
      <c r="B302" s="63"/>
      <c r="C302" s="63"/>
      <c r="D302" s="63"/>
      <c r="E302" s="167">
        <v>2</v>
      </c>
      <c r="F302" s="64">
        <f t="shared" si="99"/>
        <v>2</v>
      </c>
      <c r="G302" s="63"/>
      <c r="H302" s="63"/>
      <c r="I302" s="63"/>
      <c r="J302" s="167">
        <v>2</v>
      </c>
      <c r="K302" s="64">
        <f t="shared" si="100"/>
        <v>2</v>
      </c>
      <c r="L302" s="63"/>
      <c r="M302" s="63"/>
      <c r="N302" s="63"/>
      <c r="O302" s="167"/>
      <c r="P302" s="64">
        <f t="shared" si="101"/>
        <v>0</v>
      </c>
      <c r="Q302" s="63"/>
      <c r="R302" s="63"/>
      <c r="S302" s="63"/>
      <c r="T302" s="167"/>
      <c r="U302" s="162">
        <f t="shared" si="102"/>
        <v>0</v>
      </c>
      <c r="V302" s="56">
        <f t="shared" si="103"/>
        <v>4</v>
      </c>
      <c r="W302" s="329">
        <v>44380</v>
      </c>
      <c r="X302" s="326"/>
      <c r="Y302" s="326"/>
      <c r="Z302" s="326"/>
      <c r="AC302" s="268" t="s">
        <v>28</v>
      </c>
      <c r="AD302" s="63"/>
      <c r="AE302" s="63"/>
      <c r="AF302" s="63"/>
      <c r="AG302" s="167"/>
      <c r="AH302" s="56">
        <f t="shared" si="105"/>
        <v>0</v>
      </c>
      <c r="AI302" s="63"/>
      <c r="AJ302" s="63"/>
      <c r="AK302" s="63"/>
      <c r="AL302" s="167"/>
      <c r="AM302" s="56">
        <f t="shared" si="106"/>
        <v>0</v>
      </c>
      <c r="AN302" s="63"/>
      <c r="AO302" s="63"/>
      <c r="AP302" s="63"/>
      <c r="AQ302" s="167"/>
      <c r="AR302" s="64">
        <v>0</v>
      </c>
      <c r="AS302" s="63"/>
      <c r="AT302" s="63"/>
      <c r="AU302" s="63"/>
      <c r="AV302" s="167"/>
      <c r="AW302" s="162">
        <v>0</v>
      </c>
      <c r="AX302" s="56">
        <f t="shared" si="104"/>
        <v>0</v>
      </c>
      <c r="AY302" s="328"/>
      <c r="AZ302" s="326"/>
    </row>
    <row r="303" spans="1:52" x14ac:dyDescent="0.15">
      <c r="A303" s="53" t="s">
        <v>28</v>
      </c>
      <c r="B303" s="55"/>
      <c r="C303" s="153"/>
      <c r="D303" s="153"/>
      <c r="E303" s="168"/>
      <c r="F303" s="56">
        <f t="shared" si="99"/>
        <v>0</v>
      </c>
      <c r="G303" s="55"/>
      <c r="H303" s="153"/>
      <c r="I303" s="153"/>
      <c r="J303" s="168"/>
      <c r="K303" s="56">
        <f t="shared" si="100"/>
        <v>0</v>
      </c>
      <c r="L303" s="55"/>
      <c r="M303" s="153"/>
      <c r="N303" s="153"/>
      <c r="O303" s="168">
        <v>3</v>
      </c>
      <c r="P303" s="56">
        <f t="shared" si="101"/>
        <v>3</v>
      </c>
      <c r="Q303" s="55"/>
      <c r="R303" s="153"/>
      <c r="S303" s="153"/>
      <c r="T303" s="168"/>
      <c r="U303" s="176">
        <f t="shared" si="102"/>
        <v>0</v>
      </c>
      <c r="V303" s="56">
        <f t="shared" si="103"/>
        <v>3</v>
      </c>
      <c r="W303" s="329">
        <v>44383</v>
      </c>
      <c r="X303" s="326"/>
      <c r="Y303" s="326"/>
      <c r="Z303" s="326"/>
      <c r="AC303" s="268" t="s">
        <v>28</v>
      </c>
      <c r="AD303" s="55"/>
      <c r="AE303" s="153"/>
      <c r="AF303" s="153"/>
      <c r="AG303" s="168"/>
      <c r="AH303" s="56">
        <f t="shared" si="105"/>
        <v>0</v>
      </c>
      <c r="AI303" s="55"/>
      <c r="AJ303" s="153"/>
      <c r="AK303" s="153"/>
      <c r="AL303" s="168"/>
      <c r="AM303" s="56">
        <f t="shared" si="106"/>
        <v>0</v>
      </c>
      <c r="AN303" s="55"/>
      <c r="AO303" s="153"/>
      <c r="AP303" s="153"/>
      <c r="AQ303" s="168"/>
      <c r="AR303" s="56">
        <f t="shared" ref="AR303:AR334" si="111">SUM(AN303:AQ303)</f>
        <v>0</v>
      </c>
      <c r="AS303" s="55"/>
      <c r="AT303" s="153"/>
      <c r="AU303" s="153"/>
      <c r="AV303" s="168"/>
      <c r="AW303" s="176">
        <f t="shared" ref="AW303:AW334" si="112">SUM(AS303:AV303)</f>
        <v>0</v>
      </c>
      <c r="AX303" s="56">
        <f t="shared" si="104"/>
        <v>0</v>
      </c>
      <c r="AY303" s="325"/>
      <c r="AZ303" s="326"/>
    </row>
    <row r="304" spans="1:52" x14ac:dyDescent="0.15">
      <c r="A304" s="53" t="s">
        <v>29</v>
      </c>
      <c r="B304" s="55"/>
      <c r="C304" s="153"/>
      <c r="D304" s="153"/>
      <c r="E304" s="168"/>
      <c r="F304" s="56">
        <f t="shared" si="99"/>
        <v>0</v>
      </c>
      <c r="G304" s="55"/>
      <c r="H304" s="153"/>
      <c r="I304" s="153"/>
      <c r="J304" s="168"/>
      <c r="K304" s="56">
        <f t="shared" si="100"/>
        <v>0</v>
      </c>
      <c r="L304" s="55"/>
      <c r="M304" s="153"/>
      <c r="N304" s="153"/>
      <c r="O304" s="168"/>
      <c r="P304" s="56">
        <f t="shared" si="101"/>
        <v>0</v>
      </c>
      <c r="Q304" s="55"/>
      <c r="R304" s="153">
        <v>2</v>
      </c>
      <c r="S304" s="153">
        <v>1</v>
      </c>
      <c r="T304" s="168"/>
      <c r="U304" s="176">
        <f t="shared" si="102"/>
        <v>3</v>
      </c>
      <c r="V304" s="56">
        <f t="shared" si="103"/>
        <v>3</v>
      </c>
      <c r="W304" s="328">
        <v>44384</v>
      </c>
      <c r="X304" s="326"/>
      <c r="Y304" s="326"/>
      <c r="Z304" s="326"/>
      <c r="AC304" s="268" t="s">
        <v>28</v>
      </c>
      <c r="AD304" s="55"/>
      <c r="AE304" s="153"/>
      <c r="AF304" s="153"/>
      <c r="AG304" s="168"/>
      <c r="AH304" s="56">
        <f t="shared" si="105"/>
        <v>0</v>
      </c>
      <c r="AI304" s="55"/>
      <c r="AJ304" s="153"/>
      <c r="AK304" s="153"/>
      <c r="AL304" s="168"/>
      <c r="AM304" s="56">
        <f t="shared" si="106"/>
        <v>0</v>
      </c>
      <c r="AN304" s="55"/>
      <c r="AO304" s="153"/>
      <c r="AP304" s="153"/>
      <c r="AQ304" s="168"/>
      <c r="AR304" s="56">
        <f t="shared" si="111"/>
        <v>0</v>
      </c>
      <c r="AS304" s="55"/>
      <c r="AT304" s="153"/>
      <c r="AU304" s="153"/>
      <c r="AV304" s="168"/>
      <c r="AW304" s="176">
        <f t="shared" si="112"/>
        <v>0</v>
      </c>
      <c r="AX304" s="56">
        <f t="shared" si="104"/>
        <v>0</v>
      </c>
      <c r="AY304" s="325"/>
      <c r="AZ304" s="326"/>
    </row>
    <row r="305" spans="1:52" ht="14.25" thickBot="1" x14ac:dyDescent="0.2">
      <c r="A305" s="53" t="s">
        <v>28</v>
      </c>
      <c r="B305" s="63"/>
      <c r="C305" s="164"/>
      <c r="D305" s="164"/>
      <c r="E305" s="169"/>
      <c r="F305" s="170">
        <f t="shared" si="99"/>
        <v>0</v>
      </c>
      <c r="G305" s="63"/>
      <c r="H305" s="164">
        <v>3</v>
      </c>
      <c r="I305" s="164"/>
      <c r="J305" s="169"/>
      <c r="K305" s="170">
        <f t="shared" si="100"/>
        <v>3</v>
      </c>
      <c r="L305" s="63"/>
      <c r="M305" s="164"/>
      <c r="N305" s="164"/>
      <c r="O305" s="169"/>
      <c r="P305" s="170">
        <f t="shared" si="101"/>
        <v>0</v>
      </c>
      <c r="Q305" s="63"/>
      <c r="R305" s="164"/>
      <c r="S305" s="164"/>
      <c r="T305" s="169"/>
      <c r="U305" s="179">
        <f t="shared" si="102"/>
        <v>0</v>
      </c>
      <c r="V305" s="170">
        <f t="shared" si="103"/>
        <v>3</v>
      </c>
      <c r="W305" s="329">
        <v>44389</v>
      </c>
      <c r="X305" s="326"/>
      <c r="Y305" s="326"/>
      <c r="Z305" s="326"/>
      <c r="AC305" s="274" t="s">
        <v>28</v>
      </c>
      <c r="AD305" s="63"/>
      <c r="AE305" s="164"/>
      <c r="AF305" s="164"/>
      <c r="AG305" s="169"/>
      <c r="AH305" s="170">
        <f t="shared" si="105"/>
        <v>0</v>
      </c>
      <c r="AI305" s="63"/>
      <c r="AJ305" s="164"/>
      <c r="AK305" s="164"/>
      <c r="AL305" s="169"/>
      <c r="AM305" s="170">
        <f t="shared" si="106"/>
        <v>0</v>
      </c>
      <c r="AN305" s="63"/>
      <c r="AO305" s="164"/>
      <c r="AP305" s="164"/>
      <c r="AQ305" s="169"/>
      <c r="AR305" s="170">
        <f t="shared" si="111"/>
        <v>0</v>
      </c>
      <c r="AS305" s="63"/>
      <c r="AT305" s="164"/>
      <c r="AU305" s="164"/>
      <c r="AV305" s="169"/>
      <c r="AW305" s="179">
        <f t="shared" si="112"/>
        <v>0</v>
      </c>
      <c r="AX305" s="170">
        <f t="shared" si="104"/>
        <v>0</v>
      </c>
      <c r="AY305" s="325"/>
      <c r="AZ305" s="326"/>
    </row>
    <row r="306" spans="1:52" ht="15" thickBot="1" x14ac:dyDescent="0.2">
      <c r="A306" s="181" t="s">
        <v>14</v>
      </c>
      <c r="B306" s="182">
        <f>SUM(B298:B305)</f>
        <v>2</v>
      </c>
      <c r="C306" s="183">
        <f>SUM(C298:C305)</f>
        <v>3</v>
      </c>
      <c r="D306" s="183">
        <f>SUM(D298:D305)</f>
        <v>3</v>
      </c>
      <c r="E306" s="184">
        <f>SUM(E298:E305)</f>
        <v>4</v>
      </c>
      <c r="F306" s="77">
        <f t="shared" si="99"/>
        <v>12</v>
      </c>
      <c r="G306" s="182">
        <f>SUM(G298:G305)</f>
        <v>3</v>
      </c>
      <c r="H306" s="183">
        <f>SUM(H298:H305)</f>
        <v>7</v>
      </c>
      <c r="I306" s="183">
        <f>SUM(I298:I305)</f>
        <v>5</v>
      </c>
      <c r="J306" s="184">
        <f>SUM(J298:J305)</f>
        <v>2</v>
      </c>
      <c r="K306" s="77">
        <f t="shared" si="100"/>
        <v>17</v>
      </c>
      <c r="L306" s="182">
        <f>SUM(L298:L305)</f>
        <v>2</v>
      </c>
      <c r="M306" s="183">
        <f>SUM(M298:M305)</f>
        <v>0</v>
      </c>
      <c r="N306" s="183">
        <f>SUM(N298:N305)</f>
        <v>2</v>
      </c>
      <c r="O306" s="184">
        <f>SUM(O298:O305)</f>
        <v>5</v>
      </c>
      <c r="P306" s="77">
        <f t="shared" si="101"/>
        <v>9</v>
      </c>
      <c r="Q306" s="182">
        <f>SUM(Q298:Q305)</f>
        <v>2</v>
      </c>
      <c r="R306" s="183">
        <f>SUM(R298:R305)</f>
        <v>4</v>
      </c>
      <c r="S306" s="183">
        <f>SUM(S298:S305)</f>
        <v>3</v>
      </c>
      <c r="T306" s="184">
        <f>SUM(T298:T305)</f>
        <v>2</v>
      </c>
      <c r="U306" s="182">
        <f t="shared" si="102"/>
        <v>11</v>
      </c>
      <c r="V306" s="77">
        <f t="shared" si="103"/>
        <v>49</v>
      </c>
      <c r="W306" s="325"/>
      <c r="X306" s="326"/>
      <c r="Y306" s="326"/>
      <c r="Z306" s="326"/>
      <c r="AC306" s="275" t="s">
        <v>14</v>
      </c>
      <c r="AD306" s="182">
        <f>SUM(AD298:AD305)</f>
        <v>202</v>
      </c>
      <c r="AE306" s="183">
        <f>SUM(AE298:AE305)</f>
        <v>293</v>
      </c>
      <c r="AF306" s="183">
        <f>SUM(AF298:AF305)</f>
        <v>256</v>
      </c>
      <c r="AG306" s="184">
        <f>SUM(AG298:AG305)</f>
        <v>184</v>
      </c>
      <c r="AH306" s="77">
        <f t="shared" si="105"/>
        <v>935</v>
      </c>
      <c r="AI306" s="182">
        <f>SUM(AI298:AI305)</f>
        <v>173</v>
      </c>
      <c r="AJ306" s="183">
        <f>SUM(AJ298:AJ305)</f>
        <v>195</v>
      </c>
      <c r="AK306" s="183">
        <f>SUM(AK298:AK305)</f>
        <v>261</v>
      </c>
      <c r="AL306" s="184">
        <f>SUM(AL298:AL305)</f>
        <v>97</v>
      </c>
      <c r="AM306" s="77">
        <f t="shared" si="106"/>
        <v>726</v>
      </c>
      <c r="AN306" s="182">
        <f>SUM(AN298:AN305)</f>
        <v>17</v>
      </c>
      <c r="AO306" s="183">
        <f>SUM(AO298:AO305)</f>
        <v>0</v>
      </c>
      <c r="AP306" s="183">
        <f>SUM(AP298:AP305)</f>
        <v>45</v>
      </c>
      <c r="AQ306" s="184">
        <f>SUM(AQ298:AQ305)</f>
        <v>10</v>
      </c>
      <c r="AR306" s="77">
        <f t="shared" si="111"/>
        <v>72</v>
      </c>
      <c r="AS306" s="182">
        <f>SUM(AS298:AS305)</f>
        <v>106</v>
      </c>
      <c r="AT306" s="183">
        <f>SUM(AT298:AT305)</f>
        <v>114</v>
      </c>
      <c r="AU306" s="183">
        <f>SUM(AU298:AU305)</f>
        <v>58</v>
      </c>
      <c r="AV306" s="184">
        <f>SUM(AV298:AV305)</f>
        <v>58</v>
      </c>
      <c r="AW306" s="182">
        <f t="shared" si="112"/>
        <v>336</v>
      </c>
      <c r="AX306" s="77">
        <f t="shared" si="104"/>
        <v>2069</v>
      </c>
      <c r="AY306" s="325"/>
      <c r="AZ306" s="326"/>
    </row>
    <row r="307" spans="1:52" ht="14.25" thickBot="1" x14ac:dyDescent="0.2">
      <c r="A307" s="276" t="s">
        <v>277</v>
      </c>
      <c r="B307" s="46"/>
      <c r="C307" s="47"/>
      <c r="D307" s="47"/>
      <c r="E307" s="47"/>
      <c r="F307" s="48">
        <f t="shared" si="99"/>
        <v>0</v>
      </c>
      <c r="G307" s="46"/>
      <c r="H307" s="47"/>
      <c r="I307" s="47">
        <v>2</v>
      </c>
      <c r="J307" s="47"/>
      <c r="K307" s="48">
        <f t="shared" si="100"/>
        <v>2</v>
      </c>
      <c r="L307" s="46"/>
      <c r="M307" s="47"/>
      <c r="N307" s="47"/>
      <c r="O307" s="47"/>
      <c r="P307" s="48">
        <f t="shared" si="101"/>
        <v>0</v>
      </c>
      <c r="Q307" s="46"/>
      <c r="R307" s="47"/>
      <c r="S307" s="47"/>
      <c r="T307" s="47"/>
      <c r="U307" s="180">
        <f t="shared" si="102"/>
        <v>0</v>
      </c>
      <c r="V307" s="49">
        <f t="shared" si="103"/>
        <v>2</v>
      </c>
      <c r="W307" s="329">
        <v>44377</v>
      </c>
      <c r="X307" s="326"/>
      <c r="Y307" s="326"/>
      <c r="Z307" s="326"/>
      <c r="AC307" s="280" t="s">
        <v>21</v>
      </c>
      <c r="AD307" s="55"/>
      <c r="AE307" s="55"/>
      <c r="AF307" s="55"/>
      <c r="AG307" s="166"/>
      <c r="AH307" s="49">
        <f t="shared" si="105"/>
        <v>0</v>
      </c>
      <c r="AI307" s="55"/>
      <c r="AJ307" s="55"/>
      <c r="AK307" s="55"/>
      <c r="AL307" s="166"/>
      <c r="AM307" s="49">
        <f t="shared" si="106"/>
        <v>0</v>
      </c>
      <c r="AN307" s="55"/>
      <c r="AO307" s="55"/>
      <c r="AP307" s="55"/>
      <c r="AQ307" s="166">
        <v>1</v>
      </c>
      <c r="AR307" s="49">
        <f t="shared" si="111"/>
        <v>1</v>
      </c>
      <c r="AS307" s="55">
        <v>1</v>
      </c>
      <c r="AT307" s="55"/>
      <c r="AU307" s="55"/>
      <c r="AV307" s="166">
        <v>1</v>
      </c>
      <c r="AW307" s="175">
        <f t="shared" si="112"/>
        <v>2</v>
      </c>
      <c r="AX307" s="56">
        <f t="shared" si="104"/>
        <v>3</v>
      </c>
      <c r="AY307" s="329">
        <v>44366</v>
      </c>
      <c r="AZ307" s="326"/>
    </row>
    <row r="308" spans="1:52" x14ac:dyDescent="0.15">
      <c r="A308" s="53" t="s">
        <v>178</v>
      </c>
      <c r="B308" s="54"/>
      <c r="C308" s="55"/>
      <c r="D308" s="55"/>
      <c r="E308" s="55"/>
      <c r="F308" s="56">
        <f t="shared" si="99"/>
        <v>0</v>
      </c>
      <c r="G308" s="54"/>
      <c r="H308" s="55">
        <v>1</v>
      </c>
      <c r="I308" s="55"/>
      <c r="J308" s="55"/>
      <c r="K308" s="56">
        <f t="shared" si="100"/>
        <v>1</v>
      </c>
      <c r="L308" s="54"/>
      <c r="M308" s="55"/>
      <c r="N308" s="55"/>
      <c r="O308" s="55"/>
      <c r="P308" s="56">
        <f t="shared" si="101"/>
        <v>0</v>
      </c>
      <c r="Q308" s="54"/>
      <c r="R308" s="55"/>
      <c r="S308" s="55"/>
      <c r="T308" s="55"/>
      <c r="U308" s="176">
        <f t="shared" si="102"/>
        <v>0</v>
      </c>
      <c r="V308" s="56">
        <f t="shared" si="103"/>
        <v>1</v>
      </c>
      <c r="W308" s="329">
        <v>44376</v>
      </c>
      <c r="X308" s="326"/>
      <c r="Y308" s="326"/>
      <c r="Z308" s="326"/>
      <c r="AC308" s="281" t="s">
        <v>271</v>
      </c>
      <c r="AD308" s="54"/>
      <c r="AE308" s="55"/>
      <c r="AF308" s="55"/>
      <c r="AG308" s="55"/>
      <c r="AH308" s="56">
        <f t="shared" si="105"/>
        <v>0</v>
      </c>
      <c r="AI308" s="54">
        <v>5</v>
      </c>
      <c r="AJ308" s="55">
        <v>3</v>
      </c>
      <c r="AK308" s="55"/>
      <c r="AL308" s="55"/>
      <c r="AM308" s="56">
        <f t="shared" si="106"/>
        <v>8</v>
      </c>
      <c r="AN308" s="54"/>
      <c r="AO308" s="55"/>
      <c r="AP308" s="55"/>
      <c r="AQ308" s="55"/>
      <c r="AR308" s="56">
        <f t="shared" si="111"/>
        <v>0</v>
      </c>
      <c r="AS308" s="54"/>
      <c r="AT308" s="55"/>
      <c r="AU308" s="55"/>
      <c r="AV308" s="55"/>
      <c r="AW308" s="176">
        <f t="shared" si="112"/>
        <v>0</v>
      </c>
      <c r="AX308" s="56">
        <f t="shared" si="104"/>
        <v>8</v>
      </c>
      <c r="AY308" s="329">
        <v>44379</v>
      </c>
      <c r="AZ308" s="326"/>
    </row>
    <row r="309" spans="1:52" x14ac:dyDescent="0.15">
      <c r="A309" s="53" t="s">
        <v>98</v>
      </c>
      <c r="B309" s="54"/>
      <c r="C309" s="55"/>
      <c r="D309" s="55"/>
      <c r="E309" s="55">
        <v>1</v>
      </c>
      <c r="F309" s="56">
        <f t="shared" si="99"/>
        <v>1</v>
      </c>
      <c r="G309" s="54"/>
      <c r="H309" s="55"/>
      <c r="I309" s="55"/>
      <c r="J309" s="55"/>
      <c r="K309" s="56">
        <f t="shared" si="100"/>
        <v>0</v>
      </c>
      <c r="L309" s="54"/>
      <c r="M309" s="55"/>
      <c r="N309" s="55"/>
      <c r="O309" s="55">
        <v>1</v>
      </c>
      <c r="P309" s="56">
        <f t="shared" si="101"/>
        <v>1</v>
      </c>
      <c r="Q309" s="54"/>
      <c r="R309" s="55"/>
      <c r="S309" s="55"/>
      <c r="T309" s="55"/>
      <c r="U309" s="176">
        <f t="shared" si="102"/>
        <v>0</v>
      </c>
      <c r="V309" s="56">
        <f t="shared" si="103"/>
        <v>2</v>
      </c>
      <c r="W309" s="329">
        <v>44375</v>
      </c>
      <c r="X309" s="326"/>
      <c r="Y309" s="326"/>
      <c r="Z309" s="326"/>
      <c r="AC309" s="268" t="s">
        <v>272</v>
      </c>
      <c r="AD309" s="54"/>
      <c r="AE309" s="55">
        <v>3</v>
      </c>
      <c r="AF309" s="55"/>
      <c r="AG309" s="55"/>
      <c r="AH309" s="56">
        <f t="shared" si="105"/>
        <v>3</v>
      </c>
      <c r="AI309" s="54"/>
      <c r="AJ309" s="55">
        <v>3</v>
      </c>
      <c r="AK309" s="55"/>
      <c r="AL309" s="55"/>
      <c r="AM309" s="56">
        <f t="shared" si="106"/>
        <v>3</v>
      </c>
      <c r="AN309" s="54"/>
      <c r="AO309" s="55"/>
      <c r="AP309" s="55"/>
      <c r="AQ309" s="55"/>
      <c r="AR309" s="56">
        <f t="shared" si="111"/>
        <v>0</v>
      </c>
      <c r="AS309" s="54"/>
      <c r="AT309" s="55"/>
      <c r="AU309" s="55"/>
      <c r="AV309" s="55"/>
      <c r="AW309" s="176">
        <f t="shared" si="112"/>
        <v>0</v>
      </c>
      <c r="AX309" s="56">
        <f t="shared" si="104"/>
        <v>6</v>
      </c>
      <c r="AY309" s="329">
        <v>44379</v>
      </c>
      <c r="AZ309" s="326"/>
    </row>
    <row r="310" spans="1:52" x14ac:dyDescent="0.15">
      <c r="A310" s="53" t="s">
        <v>281</v>
      </c>
      <c r="B310" s="54"/>
      <c r="C310" s="55"/>
      <c r="D310" s="55"/>
      <c r="E310" s="55"/>
      <c r="F310" s="56">
        <f t="shared" si="99"/>
        <v>0</v>
      </c>
      <c r="G310" s="54"/>
      <c r="H310" s="55"/>
      <c r="I310" s="55"/>
      <c r="J310" s="55"/>
      <c r="K310" s="56">
        <f t="shared" si="100"/>
        <v>0</v>
      </c>
      <c r="L310" s="54">
        <v>-1</v>
      </c>
      <c r="M310" s="55"/>
      <c r="N310" s="55"/>
      <c r="O310" s="55"/>
      <c r="P310" s="56">
        <f t="shared" si="101"/>
        <v>-1</v>
      </c>
      <c r="Q310" s="54"/>
      <c r="R310" s="55"/>
      <c r="S310" s="55"/>
      <c r="T310" s="55"/>
      <c r="U310" s="176">
        <f t="shared" si="102"/>
        <v>0</v>
      </c>
      <c r="V310" s="56">
        <f t="shared" si="103"/>
        <v>-1</v>
      </c>
      <c r="W310" s="329">
        <v>44376</v>
      </c>
      <c r="X310" s="326"/>
      <c r="Y310" s="326"/>
      <c r="Z310" s="326"/>
      <c r="AC310" s="276" t="s">
        <v>273</v>
      </c>
      <c r="AD310" s="54"/>
      <c r="AE310" s="55"/>
      <c r="AF310" s="55"/>
      <c r="AG310" s="55"/>
      <c r="AH310" s="56">
        <f t="shared" si="105"/>
        <v>0</v>
      </c>
      <c r="AI310" s="54"/>
      <c r="AJ310" s="55"/>
      <c r="AK310" s="55"/>
      <c r="AL310" s="55"/>
      <c r="AM310" s="56">
        <f t="shared" si="106"/>
        <v>0</v>
      </c>
      <c r="AN310" s="54"/>
      <c r="AO310" s="55"/>
      <c r="AP310" s="55"/>
      <c r="AQ310" s="55"/>
      <c r="AR310" s="56">
        <f t="shared" si="111"/>
        <v>0</v>
      </c>
      <c r="AS310" s="54">
        <v>5</v>
      </c>
      <c r="AT310" s="55"/>
      <c r="AU310" s="55"/>
      <c r="AV310" s="55"/>
      <c r="AW310" s="56">
        <f t="shared" si="112"/>
        <v>5</v>
      </c>
      <c r="AX310" s="56">
        <f t="shared" si="104"/>
        <v>5</v>
      </c>
      <c r="AY310" s="329">
        <v>44372</v>
      </c>
      <c r="AZ310" s="326"/>
    </row>
    <row r="311" spans="1:52" x14ac:dyDescent="0.15">
      <c r="A311" s="269" t="s">
        <v>100</v>
      </c>
      <c r="B311" s="54"/>
      <c r="C311" s="55"/>
      <c r="D311" s="55"/>
      <c r="E311" s="55"/>
      <c r="F311" s="56">
        <f t="shared" si="99"/>
        <v>0</v>
      </c>
      <c r="G311" s="54"/>
      <c r="H311" s="55">
        <v>1</v>
      </c>
      <c r="I311" s="55"/>
      <c r="J311" s="55"/>
      <c r="K311" s="56">
        <f t="shared" si="100"/>
        <v>1</v>
      </c>
      <c r="L311" s="54"/>
      <c r="M311" s="55"/>
      <c r="N311" s="55"/>
      <c r="O311" s="55"/>
      <c r="P311" s="56">
        <f t="shared" si="101"/>
        <v>0</v>
      </c>
      <c r="Q311" s="54"/>
      <c r="R311" s="55"/>
      <c r="S311" s="55"/>
      <c r="T311" s="55"/>
      <c r="U311" s="176">
        <f t="shared" si="102"/>
        <v>0</v>
      </c>
      <c r="V311" s="56">
        <f t="shared" si="103"/>
        <v>1</v>
      </c>
      <c r="W311" s="329">
        <v>44383</v>
      </c>
      <c r="X311" s="326"/>
      <c r="Y311" s="326"/>
      <c r="Z311" s="326"/>
      <c r="AC311" s="53" t="s">
        <v>100</v>
      </c>
      <c r="AD311" s="51"/>
      <c r="AE311" s="52"/>
      <c r="AF311" s="52"/>
      <c r="AG311" s="52"/>
      <c r="AH311" s="49">
        <f t="shared" si="105"/>
        <v>0</v>
      </c>
      <c r="AI311" s="51">
        <v>1</v>
      </c>
      <c r="AJ311" s="52"/>
      <c r="AK311" s="52"/>
      <c r="AL311" s="52"/>
      <c r="AM311" s="49">
        <f t="shared" si="106"/>
        <v>1</v>
      </c>
      <c r="AN311" s="51"/>
      <c r="AO311" s="52"/>
      <c r="AP311" s="52"/>
      <c r="AQ311" s="52"/>
      <c r="AR311" s="49">
        <f t="shared" si="111"/>
        <v>0</v>
      </c>
      <c r="AS311" s="51"/>
      <c r="AT311" s="52"/>
      <c r="AU311" s="52"/>
      <c r="AV311" s="52"/>
      <c r="AW311" s="175">
        <f t="shared" si="112"/>
        <v>0</v>
      </c>
      <c r="AX311" s="49">
        <f t="shared" si="104"/>
        <v>1</v>
      </c>
      <c r="AY311" s="329">
        <v>44369</v>
      </c>
      <c r="AZ311" s="326"/>
    </row>
    <row r="312" spans="1:52" x14ac:dyDescent="0.15">
      <c r="A312" s="269" t="s">
        <v>100</v>
      </c>
      <c r="B312" s="54"/>
      <c r="C312" s="55"/>
      <c r="D312" s="55"/>
      <c r="E312" s="55"/>
      <c r="F312" s="56">
        <f t="shared" si="99"/>
        <v>0</v>
      </c>
      <c r="G312" s="54"/>
      <c r="H312" s="55"/>
      <c r="I312" s="55"/>
      <c r="J312" s="55"/>
      <c r="K312" s="56">
        <f t="shared" si="100"/>
        <v>0</v>
      </c>
      <c r="L312" s="54"/>
      <c r="M312" s="55"/>
      <c r="N312" s="55"/>
      <c r="O312" s="55">
        <v>2</v>
      </c>
      <c r="P312" s="56">
        <f t="shared" si="101"/>
        <v>2</v>
      </c>
      <c r="Q312" s="54"/>
      <c r="R312" s="55"/>
      <c r="S312" s="55"/>
      <c r="T312" s="55"/>
      <c r="U312" s="176">
        <f t="shared" si="102"/>
        <v>0</v>
      </c>
      <c r="V312" s="56">
        <f t="shared" si="103"/>
        <v>2</v>
      </c>
      <c r="W312" s="329">
        <v>44384</v>
      </c>
      <c r="X312" s="326"/>
      <c r="Y312" s="326"/>
      <c r="Z312" s="326"/>
      <c r="AC312" s="276" t="s">
        <v>274</v>
      </c>
      <c r="AD312" s="54"/>
      <c r="AE312" s="55"/>
      <c r="AF312" s="55"/>
      <c r="AG312" s="55"/>
      <c r="AH312" s="56">
        <f t="shared" si="105"/>
        <v>0</v>
      </c>
      <c r="AI312" s="54"/>
      <c r="AJ312" s="55"/>
      <c r="AK312" s="55"/>
      <c r="AL312" s="55"/>
      <c r="AM312" s="56">
        <f t="shared" si="106"/>
        <v>0</v>
      </c>
      <c r="AN312" s="54"/>
      <c r="AO312" s="55"/>
      <c r="AP312" s="55"/>
      <c r="AQ312" s="55"/>
      <c r="AR312" s="56">
        <f t="shared" si="111"/>
        <v>0</v>
      </c>
      <c r="AS312" s="54"/>
      <c r="AT312" s="55">
        <v>7</v>
      </c>
      <c r="AU312" s="55"/>
      <c r="AV312" s="55"/>
      <c r="AW312" s="176">
        <f t="shared" si="112"/>
        <v>7</v>
      </c>
      <c r="AX312" s="56">
        <f t="shared" si="104"/>
        <v>7</v>
      </c>
      <c r="AY312" s="329">
        <v>44375</v>
      </c>
      <c r="AZ312" s="326"/>
    </row>
    <row r="313" spans="1:52" x14ac:dyDescent="0.15">
      <c r="A313" s="53" t="s">
        <v>98</v>
      </c>
      <c r="B313" s="54"/>
      <c r="C313" s="55"/>
      <c r="D313" s="55">
        <v>1</v>
      </c>
      <c r="E313" s="55"/>
      <c r="F313" s="56">
        <f t="shared" si="99"/>
        <v>1</v>
      </c>
      <c r="G313" s="54"/>
      <c r="H313" s="55"/>
      <c r="I313" s="55"/>
      <c r="J313" s="55"/>
      <c r="K313" s="56">
        <f t="shared" si="100"/>
        <v>0</v>
      </c>
      <c r="L313" s="54"/>
      <c r="M313" s="55"/>
      <c r="N313" s="55"/>
      <c r="O313" s="55"/>
      <c r="P313" s="56">
        <f t="shared" si="101"/>
        <v>0</v>
      </c>
      <c r="Q313" s="54"/>
      <c r="R313" s="55"/>
      <c r="S313" s="55"/>
      <c r="T313" s="55"/>
      <c r="U313" s="176">
        <f t="shared" si="102"/>
        <v>0</v>
      </c>
      <c r="V313" s="56">
        <f t="shared" si="103"/>
        <v>1</v>
      </c>
      <c r="W313" s="329">
        <v>44382</v>
      </c>
      <c r="X313" s="326"/>
      <c r="Y313" s="326"/>
      <c r="Z313" s="326"/>
      <c r="AC313" s="269" t="s">
        <v>275</v>
      </c>
      <c r="AD313" s="54"/>
      <c r="AE313" s="55">
        <v>2</v>
      </c>
      <c r="AF313" s="55"/>
      <c r="AG313" s="55"/>
      <c r="AH313" s="56">
        <f t="shared" si="105"/>
        <v>2</v>
      </c>
      <c r="AI313" s="54"/>
      <c r="AJ313" s="55"/>
      <c r="AK313" s="55"/>
      <c r="AL313" s="55"/>
      <c r="AM313" s="56">
        <f t="shared" si="106"/>
        <v>0</v>
      </c>
      <c r="AN313" s="54"/>
      <c r="AO313" s="55"/>
      <c r="AP313" s="55"/>
      <c r="AQ313" s="55"/>
      <c r="AR313" s="56">
        <f t="shared" si="111"/>
        <v>0</v>
      </c>
      <c r="AS313" s="54"/>
      <c r="AT313" s="55"/>
      <c r="AU313" s="55"/>
      <c r="AV313" s="55"/>
      <c r="AW313" s="176">
        <f t="shared" si="112"/>
        <v>0</v>
      </c>
      <c r="AX313" s="56">
        <f t="shared" si="104"/>
        <v>2</v>
      </c>
      <c r="AY313" s="329">
        <v>44370</v>
      </c>
      <c r="AZ313" s="326"/>
    </row>
    <row r="314" spans="1:52" x14ac:dyDescent="0.15">
      <c r="A314" s="53" t="s">
        <v>98</v>
      </c>
      <c r="B314" s="54"/>
      <c r="C314" s="55"/>
      <c r="D314" s="55"/>
      <c r="E314" s="55"/>
      <c r="F314" s="56">
        <f t="shared" si="99"/>
        <v>0</v>
      </c>
      <c r="G314" s="54"/>
      <c r="H314" s="55">
        <v>1</v>
      </c>
      <c r="I314" s="55"/>
      <c r="J314" s="55"/>
      <c r="K314" s="56">
        <f t="shared" si="100"/>
        <v>1</v>
      </c>
      <c r="L314" s="54"/>
      <c r="M314" s="55"/>
      <c r="N314" s="55"/>
      <c r="O314" s="55"/>
      <c r="P314" s="56">
        <f t="shared" si="101"/>
        <v>0</v>
      </c>
      <c r="Q314" s="54"/>
      <c r="R314" s="55"/>
      <c r="S314" s="55"/>
      <c r="T314" s="55"/>
      <c r="U314" s="176">
        <f t="shared" si="102"/>
        <v>0</v>
      </c>
      <c r="V314" s="56">
        <f t="shared" si="103"/>
        <v>1</v>
      </c>
      <c r="W314" s="329">
        <v>44384</v>
      </c>
      <c r="X314" s="326"/>
      <c r="Y314" s="326"/>
      <c r="Z314" s="326"/>
      <c r="AC314" s="277" t="s">
        <v>160</v>
      </c>
      <c r="AD314" s="55"/>
      <c r="AE314" s="55"/>
      <c r="AF314" s="55"/>
      <c r="AG314" s="166"/>
      <c r="AH314" s="49">
        <f t="shared" si="105"/>
        <v>0</v>
      </c>
      <c r="AI314" s="55"/>
      <c r="AJ314" s="55"/>
      <c r="AK314" s="55"/>
      <c r="AL314" s="166"/>
      <c r="AM314" s="49">
        <f t="shared" si="106"/>
        <v>0</v>
      </c>
      <c r="AN314" s="55"/>
      <c r="AO314" s="55"/>
      <c r="AP314" s="55"/>
      <c r="AQ314" s="166"/>
      <c r="AR314" s="49">
        <f t="shared" si="111"/>
        <v>0</v>
      </c>
      <c r="AS314" s="55"/>
      <c r="AT314" s="55">
        <v>3</v>
      </c>
      <c r="AU314" s="55"/>
      <c r="AV314" s="166"/>
      <c r="AW314" s="175">
        <f t="shared" si="112"/>
        <v>3</v>
      </c>
      <c r="AX314" s="56">
        <f t="shared" si="104"/>
        <v>3</v>
      </c>
      <c r="AY314" s="329">
        <v>44376</v>
      </c>
      <c r="AZ314" s="326"/>
    </row>
    <row r="315" spans="1:52" x14ac:dyDescent="0.15">
      <c r="A315" s="53" t="s">
        <v>284</v>
      </c>
      <c r="B315" s="17"/>
      <c r="C315" s="18"/>
      <c r="D315" s="18">
        <v>1</v>
      </c>
      <c r="E315" s="18"/>
      <c r="F315" s="30">
        <f t="shared" si="99"/>
        <v>1</v>
      </c>
      <c r="G315" s="17"/>
      <c r="H315" s="18"/>
      <c r="I315" s="18"/>
      <c r="J315" s="18"/>
      <c r="K315" s="30">
        <f t="shared" si="100"/>
        <v>0</v>
      </c>
      <c r="L315" s="17"/>
      <c r="M315" s="18"/>
      <c r="N315" s="18"/>
      <c r="O315" s="18"/>
      <c r="P315" s="30">
        <f t="shared" si="101"/>
        <v>0</v>
      </c>
      <c r="Q315" s="17"/>
      <c r="R315" s="18"/>
      <c r="S315" s="18"/>
      <c r="T315" s="18">
        <v>1</v>
      </c>
      <c r="U315" s="178">
        <f t="shared" si="102"/>
        <v>1</v>
      </c>
      <c r="V315" s="56">
        <f t="shared" si="103"/>
        <v>2</v>
      </c>
      <c r="W315" s="329">
        <v>44389</v>
      </c>
      <c r="X315" s="326"/>
      <c r="Y315" s="326"/>
      <c r="Z315" s="326"/>
      <c r="AC315" s="276" t="s">
        <v>276</v>
      </c>
      <c r="AD315" s="17"/>
      <c r="AE315" s="18"/>
      <c r="AF315" s="18"/>
      <c r="AG315" s="18"/>
      <c r="AH315" s="30">
        <f t="shared" si="105"/>
        <v>0</v>
      </c>
      <c r="AI315" s="17">
        <v>2</v>
      </c>
      <c r="AJ315" s="18"/>
      <c r="AK315" s="18"/>
      <c r="AL315" s="18"/>
      <c r="AM315" s="30">
        <f t="shared" si="106"/>
        <v>2</v>
      </c>
      <c r="AN315" s="17"/>
      <c r="AO315" s="18"/>
      <c r="AP315" s="18">
        <v>5</v>
      </c>
      <c r="AQ315" s="18"/>
      <c r="AR315" s="30">
        <f t="shared" si="111"/>
        <v>5</v>
      </c>
      <c r="AS315" s="17"/>
      <c r="AT315" s="18"/>
      <c r="AU315" s="18"/>
      <c r="AV315" s="18"/>
      <c r="AW315" s="178">
        <f t="shared" si="112"/>
        <v>0</v>
      </c>
      <c r="AX315" s="56">
        <f t="shared" si="104"/>
        <v>7</v>
      </c>
      <c r="AY315" s="329">
        <v>44376</v>
      </c>
      <c r="AZ315" s="326"/>
    </row>
    <row r="316" spans="1:52" x14ac:dyDescent="0.15">
      <c r="A316" s="269" t="s">
        <v>100</v>
      </c>
      <c r="B316" s="54">
        <v>1</v>
      </c>
      <c r="C316" s="55"/>
      <c r="D316" s="55"/>
      <c r="E316" s="55"/>
      <c r="F316" s="56">
        <f t="shared" si="99"/>
        <v>1</v>
      </c>
      <c r="G316" s="54"/>
      <c r="H316" s="55">
        <v>2</v>
      </c>
      <c r="I316" s="55">
        <v>2</v>
      </c>
      <c r="J316" s="55"/>
      <c r="K316" s="56">
        <f t="shared" si="100"/>
        <v>4</v>
      </c>
      <c r="L316" s="54"/>
      <c r="M316" s="55"/>
      <c r="N316" s="55"/>
      <c r="O316" s="55"/>
      <c r="P316" s="56">
        <f t="shared" si="101"/>
        <v>0</v>
      </c>
      <c r="Q316" s="54"/>
      <c r="R316" s="55"/>
      <c r="S316" s="55"/>
      <c r="T316" s="55"/>
      <c r="U316" s="176">
        <f t="shared" si="102"/>
        <v>0</v>
      </c>
      <c r="V316" s="56">
        <f t="shared" si="103"/>
        <v>5</v>
      </c>
      <c r="W316" s="329">
        <v>44390</v>
      </c>
      <c r="X316" s="326"/>
      <c r="Y316" s="326"/>
      <c r="Z316" s="326"/>
      <c r="AC316" s="269" t="s">
        <v>99</v>
      </c>
      <c r="AD316" s="54"/>
      <c r="AE316" s="55"/>
      <c r="AF316" s="55"/>
      <c r="AG316" s="55"/>
      <c r="AH316" s="56">
        <f t="shared" si="105"/>
        <v>0</v>
      </c>
      <c r="AI316" s="54"/>
      <c r="AJ316" s="55"/>
      <c r="AK316" s="55">
        <v>3</v>
      </c>
      <c r="AL316" s="55"/>
      <c r="AM316" s="56">
        <f t="shared" si="106"/>
        <v>3</v>
      </c>
      <c r="AN316" s="54"/>
      <c r="AO316" s="55"/>
      <c r="AP316" s="55"/>
      <c r="AQ316" s="55"/>
      <c r="AR316" s="56">
        <f t="shared" si="111"/>
        <v>0</v>
      </c>
      <c r="AS316" s="54"/>
      <c r="AT316" s="55"/>
      <c r="AU316" s="55"/>
      <c r="AV316" s="55"/>
      <c r="AW316" s="176">
        <f t="shared" si="112"/>
        <v>0</v>
      </c>
      <c r="AX316" s="56">
        <f t="shared" si="104"/>
        <v>3</v>
      </c>
      <c r="AY316" s="329">
        <v>44375</v>
      </c>
      <c r="AZ316" s="326"/>
    </row>
    <row r="317" spans="1:52" x14ac:dyDescent="0.15">
      <c r="A317" s="53" t="s">
        <v>287</v>
      </c>
      <c r="B317" s="54">
        <v>-2</v>
      </c>
      <c r="C317" s="55"/>
      <c r="D317" s="55">
        <v>-2</v>
      </c>
      <c r="E317" s="55"/>
      <c r="F317" s="56">
        <f t="shared" si="99"/>
        <v>-4</v>
      </c>
      <c r="G317" s="54"/>
      <c r="H317" s="55">
        <v>-2</v>
      </c>
      <c r="I317" s="55">
        <v>-2</v>
      </c>
      <c r="J317" s="55"/>
      <c r="K317" s="56">
        <f t="shared" si="100"/>
        <v>-4</v>
      </c>
      <c r="L317" s="54"/>
      <c r="M317" s="55"/>
      <c r="N317" s="55"/>
      <c r="O317" s="55"/>
      <c r="P317" s="56">
        <f t="shared" si="101"/>
        <v>0</v>
      </c>
      <c r="Q317" s="54"/>
      <c r="R317" s="55"/>
      <c r="S317" s="55"/>
      <c r="T317" s="55">
        <v>-2</v>
      </c>
      <c r="U317" s="176">
        <f t="shared" si="102"/>
        <v>-2</v>
      </c>
      <c r="V317" s="56">
        <f t="shared" si="103"/>
        <v>-10</v>
      </c>
      <c r="W317" s="329">
        <v>44390</v>
      </c>
      <c r="X317" s="326"/>
      <c r="Y317" s="326"/>
      <c r="Z317" s="326"/>
      <c r="AC317" s="268" t="s">
        <v>278</v>
      </c>
      <c r="AD317" s="54"/>
      <c r="AE317" s="55"/>
      <c r="AF317" s="55"/>
      <c r="AG317" s="55">
        <v>2</v>
      </c>
      <c r="AH317" s="56">
        <f t="shared" si="105"/>
        <v>2</v>
      </c>
      <c r="AI317" s="54"/>
      <c r="AJ317" s="55">
        <v>2</v>
      </c>
      <c r="AK317" s="55">
        <v>3</v>
      </c>
      <c r="AL317" s="55"/>
      <c r="AM317" s="56">
        <f t="shared" si="106"/>
        <v>5</v>
      </c>
      <c r="AN317" s="54"/>
      <c r="AO317" s="55"/>
      <c r="AP317" s="55"/>
      <c r="AQ317" s="55"/>
      <c r="AR317" s="56">
        <f t="shared" si="111"/>
        <v>0</v>
      </c>
      <c r="AS317" s="54"/>
      <c r="AT317" s="55"/>
      <c r="AU317" s="55"/>
      <c r="AV317" s="55"/>
      <c r="AW317" s="176">
        <f t="shared" si="112"/>
        <v>0</v>
      </c>
      <c r="AX317" s="56">
        <f t="shared" si="104"/>
        <v>7</v>
      </c>
      <c r="AY317" s="329">
        <v>44383</v>
      </c>
      <c r="AZ317" s="326"/>
    </row>
    <row r="318" spans="1:52" x14ac:dyDescent="0.15">
      <c r="A318" s="269" t="s">
        <v>100</v>
      </c>
      <c r="B318" s="54"/>
      <c r="C318" s="55"/>
      <c r="D318" s="55">
        <v>1</v>
      </c>
      <c r="E318" s="55"/>
      <c r="F318" s="56">
        <f t="shared" si="99"/>
        <v>1</v>
      </c>
      <c r="G318" s="54"/>
      <c r="H318" s="55">
        <v>1</v>
      </c>
      <c r="I318" s="55"/>
      <c r="J318" s="55"/>
      <c r="K318" s="56">
        <f t="shared" si="100"/>
        <v>1</v>
      </c>
      <c r="L318" s="54"/>
      <c r="M318" s="55"/>
      <c r="N318" s="55"/>
      <c r="O318" s="55"/>
      <c r="P318" s="56">
        <f t="shared" si="101"/>
        <v>0</v>
      </c>
      <c r="Q318" s="54"/>
      <c r="R318" s="55"/>
      <c r="S318" s="55"/>
      <c r="T318" s="55"/>
      <c r="U318" s="176">
        <f t="shared" si="102"/>
        <v>0</v>
      </c>
      <c r="V318" s="56">
        <f t="shared" si="103"/>
        <v>2</v>
      </c>
      <c r="W318" s="329">
        <v>44391</v>
      </c>
      <c r="X318" s="326"/>
      <c r="Y318" s="326"/>
      <c r="Z318" s="326"/>
      <c r="AC318" s="276" t="s">
        <v>279</v>
      </c>
      <c r="AD318" s="54"/>
      <c r="AE318" s="55"/>
      <c r="AF318" s="55"/>
      <c r="AG318" s="55"/>
      <c r="AH318" s="56">
        <f t="shared" si="105"/>
        <v>0</v>
      </c>
      <c r="AI318" s="54"/>
      <c r="AJ318" s="55"/>
      <c r="AK318" s="55"/>
      <c r="AL318" s="55"/>
      <c r="AM318" s="56">
        <f t="shared" si="106"/>
        <v>0</v>
      </c>
      <c r="AN318" s="54"/>
      <c r="AO318" s="55"/>
      <c r="AP318" s="55"/>
      <c r="AQ318" s="55"/>
      <c r="AR318" s="56">
        <f t="shared" si="111"/>
        <v>0</v>
      </c>
      <c r="AS318" s="54"/>
      <c r="AT318" s="55"/>
      <c r="AU318" s="55">
        <v>5</v>
      </c>
      <c r="AV318" s="55"/>
      <c r="AW318" s="176">
        <f t="shared" si="112"/>
        <v>5</v>
      </c>
      <c r="AX318" s="56">
        <f t="shared" si="104"/>
        <v>5</v>
      </c>
      <c r="AY318" s="329">
        <v>44379</v>
      </c>
      <c r="AZ318" s="326"/>
    </row>
    <row r="319" spans="1:52" x14ac:dyDescent="0.15">
      <c r="A319" s="53" t="s">
        <v>98</v>
      </c>
      <c r="B319" s="54"/>
      <c r="C319" s="55"/>
      <c r="D319" s="55"/>
      <c r="E319" s="55"/>
      <c r="F319" s="56">
        <f t="shared" si="99"/>
        <v>0</v>
      </c>
      <c r="G319" s="54"/>
      <c r="H319" s="55"/>
      <c r="I319" s="55"/>
      <c r="J319" s="55"/>
      <c r="K319" s="56">
        <f t="shared" si="100"/>
        <v>0</v>
      </c>
      <c r="L319" s="54"/>
      <c r="M319" s="55"/>
      <c r="N319" s="55"/>
      <c r="O319" s="55"/>
      <c r="P319" s="56">
        <f t="shared" si="101"/>
        <v>0</v>
      </c>
      <c r="Q319" s="54">
        <f>1+1</f>
        <v>2</v>
      </c>
      <c r="R319" s="55"/>
      <c r="S319" s="55"/>
      <c r="T319" s="55"/>
      <c r="U319" s="176">
        <f t="shared" si="102"/>
        <v>2</v>
      </c>
      <c r="V319" s="56">
        <f t="shared" si="103"/>
        <v>2</v>
      </c>
      <c r="W319" s="329">
        <v>44390</v>
      </c>
      <c r="X319" s="326"/>
      <c r="Y319" s="326"/>
      <c r="Z319" s="326"/>
      <c r="AC319" s="277" t="s">
        <v>163</v>
      </c>
      <c r="AD319" s="54">
        <v>3</v>
      </c>
      <c r="AE319" s="55"/>
      <c r="AF319" s="55"/>
      <c r="AG319" s="55"/>
      <c r="AH319" s="56">
        <f t="shared" si="105"/>
        <v>3</v>
      </c>
      <c r="AI319" s="54"/>
      <c r="AJ319" s="55"/>
      <c r="AK319" s="55"/>
      <c r="AL319" s="55"/>
      <c r="AM319" s="56">
        <f t="shared" si="106"/>
        <v>0</v>
      </c>
      <c r="AN319" s="54"/>
      <c r="AO319" s="55"/>
      <c r="AP319" s="55"/>
      <c r="AQ319" s="55"/>
      <c r="AR319" s="56">
        <f t="shared" si="111"/>
        <v>0</v>
      </c>
      <c r="AS319" s="54"/>
      <c r="AT319" s="55"/>
      <c r="AU319" s="55"/>
      <c r="AV319" s="55"/>
      <c r="AW319" s="176">
        <f t="shared" si="112"/>
        <v>0</v>
      </c>
      <c r="AX319" s="56">
        <f t="shared" si="104"/>
        <v>3</v>
      </c>
      <c r="AY319" s="329">
        <v>44382</v>
      </c>
      <c r="AZ319" s="326"/>
    </row>
    <row r="320" spans="1:52" x14ac:dyDescent="0.15">
      <c r="A320" s="53"/>
      <c r="B320" s="54"/>
      <c r="C320" s="55"/>
      <c r="D320" s="55"/>
      <c r="E320" s="55"/>
      <c r="F320" s="56">
        <f t="shared" si="99"/>
        <v>0</v>
      </c>
      <c r="G320" s="54"/>
      <c r="H320" s="55"/>
      <c r="I320" s="55"/>
      <c r="J320" s="55"/>
      <c r="K320" s="56">
        <f t="shared" si="100"/>
        <v>0</v>
      </c>
      <c r="L320" s="54"/>
      <c r="M320" s="55"/>
      <c r="N320" s="55"/>
      <c r="O320" s="55"/>
      <c r="P320" s="56">
        <f t="shared" si="101"/>
        <v>0</v>
      </c>
      <c r="Q320" s="54"/>
      <c r="R320" s="55"/>
      <c r="S320" s="55"/>
      <c r="T320" s="55"/>
      <c r="U320" s="176">
        <f t="shared" si="102"/>
        <v>0</v>
      </c>
      <c r="V320" s="56">
        <f t="shared" si="103"/>
        <v>0</v>
      </c>
      <c r="W320" s="329"/>
      <c r="X320" s="326"/>
      <c r="Y320" s="326"/>
      <c r="Z320" s="326"/>
      <c r="AC320" s="276" t="s">
        <v>280</v>
      </c>
      <c r="AD320" s="54"/>
      <c r="AE320" s="55"/>
      <c r="AF320" s="55"/>
      <c r="AG320" s="55"/>
      <c r="AH320" s="56">
        <f t="shared" si="105"/>
        <v>0</v>
      </c>
      <c r="AI320" s="54"/>
      <c r="AJ320" s="55">
        <v>8</v>
      </c>
      <c r="AK320" s="55"/>
      <c r="AL320" s="55"/>
      <c r="AM320" s="56">
        <f t="shared" si="106"/>
        <v>8</v>
      </c>
      <c r="AN320" s="54"/>
      <c r="AO320" s="55"/>
      <c r="AP320" s="55"/>
      <c r="AQ320" s="55"/>
      <c r="AR320" s="56">
        <f t="shared" si="111"/>
        <v>0</v>
      </c>
      <c r="AS320" s="54"/>
      <c r="AT320" s="55"/>
      <c r="AU320" s="55"/>
      <c r="AV320" s="55"/>
      <c r="AW320" s="176">
        <f t="shared" si="112"/>
        <v>0</v>
      </c>
      <c r="AX320" s="56">
        <f t="shared" si="104"/>
        <v>8</v>
      </c>
      <c r="AY320" s="329">
        <v>44382</v>
      </c>
      <c r="AZ320" s="326"/>
    </row>
    <row r="321" spans="1:52" x14ac:dyDescent="0.15">
      <c r="A321" s="53"/>
      <c r="B321" s="54"/>
      <c r="C321" s="55"/>
      <c r="D321" s="55"/>
      <c r="E321" s="55"/>
      <c r="F321" s="56">
        <f t="shared" si="99"/>
        <v>0</v>
      </c>
      <c r="G321" s="54"/>
      <c r="H321" s="55"/>
      <c r="I321" s="55"/>
      <c r="J321" s="55"/>
      <c r="K321" s="56">
        <f t="shared" si="100"/>
        <v>0</v>
      </c>
      <c r="L321" s="54"/>
      <c r="M321" s="55"/>
      <c r="N321" s="55"/>
      <c r="O321" s="55"/>
      <c r="P321" s="56">
        <f t="shared" si="101"/>
        <v>0</v>
      </c>
      <c r="Q321" s="54"/>
      <c r="R321" s="55"/>
      <c r="S321" s="55"/>
      <c r="T321" s="55"/>
      <c r="U321" s="176">
        <f t="shared" si="102"/>
        <v>0</v>
      </c>
      <c r="V321" s="56">
        <f t="shared" si="103"/>
        <v>0</v>
      </c>
      <c r="W321" s="325"/>
      <c r="X321" s="326"/>
      <c r="Y321" s="326"/>
      <c r="Z321" s="326"/>
      <c r="AC321" s="277" t="s">
        <v>164</v>
      </c>
      <c r="AD321" s="54"/>
      <c r="AE321" s="55">
        <v>1</v>
      </c>
      <c r="AF321" s="55"/>
      <c r="AG321" s="55"/>
      <c r="AH321" s="56">
        <f>SUM(AD321:AG321)</f>
        <v>1</v>
      </c>
      <c r="AI321" s="54"/>
      <c r="AJ321" s="55"/>
      <c r="AK321" s="55"/>
      <c r="AL321" s="55"/>
      <c r="AM321" s="56">
        <f>SUM(AI321:AL321)</f>
        <v>0</v>
      </c>
      <c r="AN321" s="54"/>
      <c r="AO321" s="55"/>
      <c r="AP321" s="55"/>
      <c r="AQ321" s="55"/>
      <c r="AR321" s="56">
        <f t="shared" si="111"/>
        <v>0</v>
      </c>
      <c r="AS321" s="54"/>
      <c r="AT321" s="55"/>
      <c r="AU321" s="55"/>
      <c r="AV321" s="55"/>
      <c r="AW321" s="176">
        <f t="shared" si="112"/>
        <v>0</v>
      </c>
      <c r="AX321" s="56">
        <f t="shared" si="104"/>
        <v>1</v>
      </c>
      <c r="AY321" s="329">
        <v>44385</v>
      </c>
      <c r="AZ321" s="326"/>
    </row>
    <row r="322" spans="1:52" x14ac:dyDescent="0.15">
      <c r="A322" s="53"/>
      <c r="B322" s="54"/>
      <c r="C322" s="55"/>
      <c r="D322" s="55"/>
      <c r="E322" s="55"/>
      <c r="F322" s="56">
        <f t="shared" si="99"/>
        <v>0</v>
      </c>
      <c r="G322" s="54"/>
      <c r="H322" s="55"/>
      <c r="I322" s="55"/>
      <c r="J322" s="55"/>
      <c r="K322" s="56">
        <f t="shared" si="100"/>
        <v>0</v>
      </c>
      <c r="L322" s="54"/>
      <c r="M322" s="55"/>
      <c r="N322" s="55"/>
      <c r="O322" s="55"/>
      <c r="P322" s="56">
        <f t="shared" si="101"/>
        <v>0</v>
      </c>
      <c r="Q322" s="54"/>
      <c r="R322" s="55"/>
      <c r="S322" s="55"/>
      <c r="T322" s="55"/>
      <c r="U322" s="176">
        <f t="shared" si="102"/>
        <v>0</v>
      </c>
      <c r="V322" s="56">
        <f t="shared" si="103"/>
        <v>0</v>
      </c>
      <c r="W322" s="325"/>
      <c r="X322" s="326"/>
      <c r="Y322" s="326"/>
      <c r="Z322" s="326"/>
      <c r="AC322" s="269" t="s">
        <v>99</v>
      </c>
      <c r="AD322" s="54"/>
      <c r="AE322" s="55"/>
      <c r="AF322" s="55"/>
      <c r="AG322" s="55">
        <v>2</v>
      </c>
      <c r="AH322" s="56">
        <f t="shared" ref="AH322:AH330" si="113">SUM(AD322:AG322)</f>
        <v>2</v>
      </c>
      <c r="AI322" s="54"/>
      <c r="AJ322" s="55"/>
      <c r="AK322" s="55"/>
      <c r="AL322" s="55">
        <v>2</v>
      </c>
      <c r="AM322" s="56">
        <f t="shared" ref="AM322:AM334" si="114">SUM(AI322:AL322)</f>
        <v>2</v>
      </c>
      <c r="AN322" s="54"/>
      <c r="AO322" s="55"/>
      <c r="AP322" s="55"/>
      <c r="AQ322" s="55"/>
      <c r="AR322" s="56">
        <f t="shared" si="111"/>
        <v>0</v>
      </c>
      <c r="AS322" s="54"/>
      <c r="AT322" s="55"/>
      <c r="AU322" s="55"/>
      <c r="AV322" s="55"/>
      <c r="AW322" s="176">
        <f t="shared" si="112"/>
        <v>0</v>
      </c>
      <c r="AX322" s="56">
        <f t="shared" si="104"/>
        <v>4</v>
      </c>
      <c r="AY322" s="329">
        <v>44380</v>
      </c>
      <c r="AZ322" s="332"/>
    </row>
    <row r="323" spans="1:52" x14ac:dyDescent="0.15">
      <c r="A323" s="53"/>
      <c r="B323" s="54"/>
      <c r="C323" s="55"/>
      <c r="D323" s="55"/>
      <c r="E323" s="55"/>
      <c r="F323" s="56">
        <f t="shared" si="99"/>
        <v>0</v>
      </c>
      <c r="G323" s="54"/>
      <c r="H323" s="55"/>
      <c r="I323" s="55"/>
      <c r="J323" s="55"/>
      <c r="K323" s="56">
        <f t="shared" si="100"/>
        <v>0</v>
      </c>
      <c r="L323" s="54"/>
      <c r="M323" s="55"/>
      <c r="N323" s="55"/>
      <c r="O323" s="55"/>
      <c r="P323" s="56">
        <f t="shared" si="101"/>
        <v>0</v>
      </c>
      <c r="Q323" s="54"/>
      <c r="R323" s="55"/>
      <c r="S323" s="55"/>
      <c r="T323" s="55"/>
      <c r="U323" s="176">
        <f t="shared" si="102"/>
        <v>0</v>
      </c>
      <c r="V323" s="56">
        <f t="shared" si="103"/>
        <v>0</v>
      </c>
      <c r="W323" s="325"/>
      <c r="X323" s="326"/>
      <c r="Y323" s="326"/>
      <c r="Z323" s="326"/>
      <c r="AC323" s="268" t="s">
        <v>282</v>
      </c>
      <c r="AD323" s="54"/>
      <c r="AE323" s="55"/>
      <c r="AF323" s="55"/>
      <c r="AG323" s="55"/>
      <c r="AH323" s="56">
        <f t="shared" si="113"/>
        <v>0</v>
      </c>
      <c r="AI323" s="54">
        <v>3</v>
      </c>
      <c r="AJ323" s="55">
        <v>2</v>
      </c>
      <c r="AK323" s="55"/>
      <c r="AL323" s="55"/>
      <c r="AM323" s="56">
        <f t="shared" si="114"/>
        <v>5</v>
      </c>
      <c r="AN323" s="54"/>
      <c r="AO323" s="55"/>
      <c r="AP323" s="55"/>
      <c r="AQ323" s="55"/>
      <c r="AR323" s="56">
        <f t="shared" si="111"/>
        <v>0</v>
      </c>
      <c r="AS323" s="54"/>
      <c r="AT323" s="55"/>
      <c r="AU323" s="55"/>
      <c r="AV323" s="55"/>
      <c r="AW323" s="176">
        <f t="shared" si="112"/>
        <v>0</v>
      </c>
      <c r="AX323" s="56">
        <f t="shared" si="104"/>
        <v>5</v>
      </c>
      <c r="AY323" s="329">
        <v>44391</v>
      </c>
      <c r="AZ323" s="332"/>
    </row>
    <row r="324" spans="1:52" x14ac:dyDescent="0.15">
      <c r="A324" s="53"/>
      <c r="B324" s="54"/>
      <c r="C324" s="55"/>
      <c r="D324" s="55"/>
      <c r="E324" s="55"/>
      <c r="F324" s="56">
        <f t="shared" si="99"/>
        <v>0</v>
      </c>
      <c r="G324" s="54"/>
      <c r="H324" s="55"/>
      <c r="I324" s="55"/>
      <c r="J324" s="55"/>
      <c r="K324" s="56">
        <f t="shared" si="100"/>
        <v>0</v>
      </c>
      <c r="L324" s="54"/>
      <c r="M324" s="55"/>
      <c r="N324" s="55"/>
      <c r="O324" s="55"/>
      <c r="P324" s="56">
        <f t="shared" si="101"/>
        <v>0</v>
      </c>
      <c r="Q324" s="54"/>
      <c r="R324" s="55"/>
      <c r="S324" s="55"/>
      <c r="T324" s="55"/>
      <c r="U324" s="176">
        <f t="shared" si="102"/>
        <v>0</v>
      </c>
      <c r="V324" s="56">
        <f t="shared" si="103"/>
        <v>0</v>
      </c>
      <c r="W324" s="325"/>
      <c r="X324" s="326"/>
      <c r="Y324" s="326"/>
      <c r="Z324" s="326"/>
      <c r="AC324" s="277" t="s">
        <v>171</v>
      </c>
      <c r="AD324" s="54"/>
      <c r="AE324" s="55"/>
      <c r="AF324" s="55"/>
      <c r="AG324" s="55">
        <v>4</v>
      </c>
      <c r="AH324" s="56">
        <f t="shared" si="113"/>
        <v>4</v>
      </c>
      <c r="AI324" s="54"/>
      <c r="AJ324" s="55"/>
      <c r="AK324" s="55"/>
      <c r="AL324" s="55"/>
      <c r="AM324" s="56">
        <f t="shared" si="114"/>
        <v>0</v>
      </c>
      <c r="AN324" s="54"/>
      <c r="AO324" s="55"/>
      <c r="AP324" s="55"/>
      <c r="AQ324" s="55"/>
      <c r="AR324" s="56">
        <f t="shared" si="111"/>
        <v>0</v>
      </c>
      <c r="AS324" s="54"/>
      <c r="AT324" s="55"/>
      <c r="AU324" s="55"/>
      <c r="AV324" s="55">
        <v>2</v>
      </c>
      <c r="AW324" s="176">
        <f t="shared" si="112"/>
        <v>2</v>
      </c>
      <c r="AX324" s="56">
        <f t="shared" si="104"/>
        <v>6</v>
      </c>
      <c r="AY324" s="329">
        <v>44385</v>
      </c>
      <c r="AZ324" s="332"/>
    </row>
    <row r="325" spans="1:52" x14ac:dyDescent="0.15">
      <c r="A325" s="53"/>
      <c r="B325" s="54"/>
      <c r="C325" s="55"/>
      <c r="D325" s="55"/>
      <c r="E325" s="55"/>
      <c r="F325" s="56">
        <f t="shared" si="99"/>
        <v>0</v>
      </c>
      <c r="G325" s="54"/>
      <c r="H325" s="55"/>
      <c r="I325" s="55"/>
      <c r="J325" s="55"/>
      <c r="K325" s="56">
        <f t="shared" si="100"/>
        <v>0</v>
      </c>
      <c r="L325" s="54"/>
      <c r="M325" s="55"/>
      <c r="N325" s="55"/>
      <c r="O325" s="55"/>
      <c r="P325" s="56">
        <f t="shared" si="101"/>
        <v>0</v>
      </c>
      <c r="Q325" s="54"/>
      <c r="R325" s="55"/>
      <c r="S325" s="55"/>
      <c r="T325" s="55"/>
      <c r="U325" s="176">
        <f t="shared" si="102"/>
        <v>0</v>
      </c>
      <c r="V325" s="56">
        <f t="shared" si="103"/>
        <v>0</v>
      </c>
      <c r="W325" s="325"/>
      <c r="X325" s="326"/>
      <c r="Y325" s="326"/>
      <c r="Z325" s="326"/>
      <c r="AC325" s="276" t="s">
        <v>283</v>
      </c>
      <c r="AD325" s="54"/>
      <c r="AE325" s="55"/>
      <c r="AF325" s="55"/>
      <c r="AG325" s="55"/>
      <c r="AH325" s="56">
        <f t="shared" si="113"/>
        <v>0</v>
      </c>
      <c r="AI325" s="54"/>
      <c r="AJ325" s="55">
        <v>4</v>
      </c>
      <c r="AK325" s="55"/>
      <c r="AL325" s="55"/>
      <c r="AM325" s="56">
        <f t="shared" si="114"/>
        <v>4</v>
      </c>
      <c r="AN325" s="54"/>
      <c r="AO325" s="55"/>
      <c r="AP325" s="55"/>
      <c r="AQ325" s="55"/>
      <c r="AR325" s="56">
        <f t="shared" si="111"/>
        <v>0</v>
      </c>
      <c r="AS325" s="54"/>
      <c r="AT325" s="55"/>
      <c r="AU325" s="55">
        <v>5</v>
      </c>
      <c r="AV325" s="55"/>
      <c r="AW325" s="176">
        <f t="shared" si="112"/>
        <v>5</v>
      </c>
      <c r="AX325" s="56">
        <f t="shared" si="104"/>
        <v>9</v>
      </c>
      <c r="AY325" s="329">
        <v>44385</v>
      </c>
      <c r="AZ325" s="332"/>
    </row>
    <row r="326" spans="1:52" x14ac:dyDescent="0.15">
      <c r="A326" s="53"/>
      <c r="B326" s="17"/>
      <c r="C326" s="18"/>
      <c r="D326" s="18"/>
      <c r="E326" s="18"/>
      <c r="F326" s="30">
        <f t="shared" si="99"/>
        <v>0</v>
      </c>
      <c r="G326" s="17"/>
      <c r="H326" s="18"/>
      <c r="I326" s="18"/>
      <c r="J326" s="18"/>
      <c r="K326" s="30">
        <f t="shared" si="100"/>
        <v>0</v>
      </c>
      <c r="L326" s="17"/>
      <c r="M326" s="18"/>
      <c r="N326" s="18"/>
      <c r="O326" s="18"/>
      <c r="P326" s="30">
        <f t="shared" si="101"/>
        <v>0</v>
      </c>
      <c r="Q326" s="17"/>
      <c r="R326" s="18"/>
      <c r="S326" s="18"/>
      <c r="T326" s="18"/>
      <c r="U326" s="178">
        <f t="shared" si="102"/>
        <v>0</v>
      </c>
      <c r="V326" s="56">
        <f t="shared" si="103"/>
        <v>0</v>
      </c>
      <c r="W326" s="325"/>
      <c r="X326" s="326"/>
      <c r="Y326" s="326"/>
      <c r="Z326" s="326"/>
      <c r="AC326" s="269" t="s">
        <v>99</v>
      </c>
      <c r="AD326" s="54"/>
      <c r="AE326" s="55"/>
      <c r="AF326" s="55"/>
      <c r="AG326" s="55"/>
      <c r="AH326" s="56">
        <f t="shared" si="113"/>
        <v>0</v>
      </c>
      <c r="AI326" s="54"/>
      <c r="AJ326" s="55"/>
      <c r="AK326" s="55"/>
      <c r="AL326" s="55"/>
      <c r="AM326" s="56">
        <f t="shared" si="114"/>
        <v>0</v>
      </c>
      <c r="AN326" s="54"/>
      <c r="AO326" s="55"/>
      <c r="AP326" s="55"/>
      <c r="AQ326" s="55">
        <v>3</v>
      </c>
      <c r="AR326" s="56">
        <f t="shared" si="111"/>
        <v>3</v>
      </c>
      <c r="AS326" s="54"/>
      <c r="AT326" s="55"/>
      <c r="AU326" s="55"/>
      <c r="AV326" s="55"/>
      <c r="AW326" s="176">
        <f t="shared" si="112"/>
        <v>0</v>
      </c>
      <c r="AX326" s="56">
        <f t="shared" si="104"/>
        <v>3</v>
      </c>
      <c r="AY326" s="329">
        <v>44383</v>
      </c>
      <c r="AZ326" s="332"/>
    </row>
    <row r="327" spans="1:52" x14ac:dyDescent="0.15">
      <c r="A327" s="53"/>
      <c r="B327" s="54"/>
      <c r="C327" s="55"/>
      <c r="D327" s="55"/>
      <c r="E327" s="55"/>
      <c r="F327" s="56">
        <f t="shared" si="99"/>
        <v>0</v>
      </c>
      <c r="G327" s="54"/>
      <c r="H327" s="55"/>
      <c r="I327" s="55"/>
      <c r="J327" s="55"/>
      <c r="K327" s="56">
        <f t="shared" si="100"/>
        <v>0</v>
      </c>
      <c r="L327" s="54"/>
      <c r="M327" s="55"/>
      <c r="N327" s="55"/>
      <c r="O327" s="55"/>
      <c r="P327" s="56">
        <f t="shared" si="101"/>
        <v>0</v>
      </c>
      <c r="Q327" s="54"/>
      <c r="R327" s="55"/>
      <c r="S327" s="55"/>
      <c r="T327" s="55"/>
      <c r="U327" s="176">
        <f t="shared" si="102"/>
        <v>0</v>
      </c>
      <c r="V327" s="56">
        <f t="shared" si="103"/>
        <v>0</v>
      </c>
      <c r="W327" s="325"/>
      <c r="X327" s="326"/>
      <c r="Y327" s="326"/>
      <c r="Z327" s="326"/>
      <c r="AC327" s="277" t="s">
        <v>174</v>
      </c>
      <c r="AD327" s="54"/>
      <c r="AE327" s="55">
        <v>3</v>
      </c>
      <c r="AF327" s="55"/>
      <c r="AG327" s="55"/>
      <c r="AH327" s="56">
        <f t="shared" si="113"/>
        <v>3</v>
      </c>
      <c r="AI327" s="54"/>
      <c r="AJ327" s="55"/>
      <c r="AK327" s="55"/>
      <c r="AL327" s="55"/>
      <c r="AM327" s="56">
        <f t="shared" si="114"/>
        <v>0</v>
      </c>
      <c r="AN327" s="54"/>
      <c r="AO327" s="55"/>
      <c r="AP327" s="55"/>
      <c r="AQ327" s="55"/>
      <c r="AR327" s="56">
        <f t="shared" si="111"/>
        <v>0</v>
      </c>
      <c r="AS327" s="54"/>
      <c r="AT327" s="55"/>
      <c r="AU327" s="55"/>
      <c r="AV327" s="55"/>
      <c r="AW327" s="176">
        <f t="shared" si="112"/>
        <v>0</v>
      </c>
      <c r="AX327" s="56">
        <f t="shared" si="104"/>
        <v>3</v>
      </c>
      <c r="AY327" s="329">
        <v>44390</v>
      </c>
      <c r="AZ327" s="332"/>
    </row>
    <row r="328" spans="1:52" x14ac:dyDescent="0.15">
      <c r="A328" s="53"/>
      <c r="B328" s="62"/>
      <c r="C328" s="63"/>
      <c r="D328" s="63"/>
      <c r="E328" s="63"/>
      <c r="F328" s="56">
        <f t="shared" si="99"/>
        <v>0</v>
      </c>
      <c r="G328" s="62"/>
      <c r="H328" s="63"/>
      <c r="I328" s="63"/>
      <c r="J328" s="63"/>
      <c r="K328" s="56">
        <f t="shared" si="100"/>
        <v>0</v>
      </c>
      <c r="L328" s="62"/>
      <c r="M328" s="63"/>
      <c r="N328" s="63"/>
      <c r="O328" s="63"/>
      <c r="P328" s="56">
        <f t="shared" si="101"/>
        <v>0</v>
      </c>
      <c r="Q328" s="62"/>
      <c r="R328" s="63"/>
      <c r="S328" s="63"/>
      <c r="T328" s="63"/>
      <c r="U328" s="176">
        <f t="shared" si="102"/>
        <v>0</v>
      </c>
      <c r="V328" s="56">
        <f t="shared" si="103"/>
        <v>0</v>
      </c>
      <c r="W328" s="325"/>
      <c r="X328" s="326"/>
      <c r="Y328" s="326"/>
      <c r="Z328" s="326"/>
      <c r="AC328" s="277" t="s">
        <v>180</v>
      </c>
      <c r="AD328" s="62"/>
      <c r="AE328" s="63"/>
      <c r="AF328" s="63"/>
      <c r="AG328" s="63"/>
      <c r="AH328" s="56">
        <f t="shared" si="113"/>
        <v>0</v>
      </c>
      <c r="AI328" s="62"/>
      <c r="AJ328" s="63"/>
      <c r="AK328" s="63"/>
      <c r="AL328" s="63"/>
      <c r="AM328" s="56">
        <f t="shared" si="114"/>
        <v>0</v>
      </c>
      <c r="AN328" s="62"/>
      <c r="AO328" s="63"/>
      <c r="AP328" s="63"/>
      <c r="AQ328" s="63"/>
      <c r="AR328" s="56">
        <f t="shared" si="111"/>
        <v>0</v>
      </c>
      <c r="AS328" s="62"/>
      <c r="AT328" s="63">
        <v>3</v>
      </c>
      <c r="AU328" s="63"/>
      <c r="AV328" s="63"/>
      <c r="AW328" s="176">
        <f t="shared" si="112"/>
        <v>3</v>
      </c>
      <c r="AX328" s="56">
        <f t="shared" si="104"/>
        <v>3</v>
      </c>
      <c r="AY328" s="329">
        <v>44392</v>
      </c>
      <c r="AZ328" s="326"/>
    </row>
    <row r="329" spans="1:52" x14ac:dyDescent="0.15">
      <c r="A329" s="53"/>
      <c r="B329" s="54"/>
      <c r="C329" s="55"/>
      <c r="D329" s="55"/>
      <c r="E329" s="55"/>
      <c r="F329" s="56">
        <f t="shared" si="99"/>
        <v>0</v>
      </c>
      <c r="G329" s="54"/>
      <c r="H329" s="55"/>
      <c r="I329" s="55"/>
      <c r="J329" s="55"/>
      <c r="K329" s="56">
        <f t="shared" si="100"/>
        <v>0</v>
      </c>
      <c r="L329" s="54"/>
      <c r="M329" s="55"/>
      <c r="N329" s="55"/>
      <c r="O329" s="55"/>
      <c r="P329" s="56">
        <f t="shared" si="101"/>
        <v>0</v>
      </c>
      <c r="Q329" s="54"/>
      <c r="R329" s="55"/>
      <c r="S329" s="55"/>
      <c r="T329" s="55"/>
      <c r="U329" s="176">
        <f t="shared" si="102"/>
        <v>0</v>
      </c>
      <c r="V329" s="56">
        <f t="shared" si="103"/>
        <v>0</v>
      </c>
      <c r="W329" s="325"/>
      <c r="X329" s="326"/>
      <c r="Y329" s="326"/>
      <c r="Z329" s="326"/>
      <c r="AC329" s="276" t="s">
        <v>99</v>
      </c>
      <c r="AD329" s="54"/>
      <c r="AE329" s="55"/>
      <c r="AF329" s="55"/>
      <c r="AG329" s="55"/>
      <c r="AH329" s="56">
        <f t="shared" si="113"/>
        <v>0</v>
      </c>
      <c r="AI329" s="54"/>
      <c r="AJ329" s="55">
        <v>3</v>
      </c>
      <c r="AK329" s="55"/>
      <c r="AL329" s="55"/>
      <c r="AM329" s="56">
        <f t="shared" si="114"/>
        <v>3</v>
      </c>
      <c r="AN329" s="54"/>
      <c r="AO329" s="55"/>
      <c r="AP329" s="55"/>
      <c r="AQ329" s="55"/>
      <c r="AR329" s="56">
        <f t="shared" si="111"/>
        <v>0</v>
      </c>
      <c r="AS329" s="54"/>
      <c r="AT329" s="55"/>
      <c r="AU329" s="55"/>
      <c r="AV329" s="55"/>
      <c r="AW329" s="176">
        <f t="shared" si="112"/>
        <v>0</v>
      </c>
      <c r="AX329" s="56">
        <f t="shared" si="104"/>
        <v>3</v>
      </c>
      <c r="AY329" s="329">
        <v>44389</v>
      </c>
      <c r="AZ329" s="326"/>
    </row>
    <row r="330" spans="1:52" x14ac:dyDescent="0.15">
      <c r="A330" s="53"/>
      <c r="B330" s="54"/>
      <c r="C330" s="55"/>
      <c r="D330" s="55"/>
      <c r="E330" s="55"/>
      <c r="F330" s="56">
        <f t="shared" si="99"/>
        <v>0</v>
      </c>
      <c r="G330" s="54"/>
      <c r="H330" s="55"/>
      <c r="I330" s="55"/>
      <c r="J330" s="55"/>
      <c r="K330" s="56">
        <f t="shared" si="100"/>
        <v>0</v>
      </c>
      <c r="L330" s="54"/>
      <c r="M330" s="55"/>
      <c r="N330" s="55"/>
      <c r="O330" s="55"/>
      <c r="P330" s="56">
        <f t="shared" si="101"/>
        <v>0</v>
      </c>
      <c r="Q330" s="54"/>
      <c r="R330" s="55"/>
      <c r="S330" s="55"/>
      <c r="T330" s="55"/>
      <c r="U330" s="176">
        <f t="shared" si="102"/>
        <v>0</v>
      </c>
      <c r="V330" s="56">
        <f t="shared" si="103"/>
        <v>0</v>
      </c>
      <c r="W330" s="325"/>
      <c r="X330" s="326"/>
      <c r="Y330" s="326"/>
      <c r="Z330" s="326"/>
      <c r="AC330" s="268" t="s">
        <v>285</v>
      </c>
      <c r="AD330" s="62"/>
      <c r="AE330" s="63"/>
      <c r="AF330" s="63"/>
      <c r="AG330" s="63"/>
      <c r="AH330" s="56">
        <f t="shared" si="113"/>
        <v>0</v>
      </c>
      <c r="AI330" s="62">
        <v>2</v>
      </c>
      <c r="AJ330" s="63"/>
      <c r="AK330" s="63"/>
      <c r="AL330" s="63"/>
      <c r="AM330" s="56">
        <f t="shared" si="114"/>
        <v>2</v>
      </c>
      <c r="AN330" s="62"/>
      <c r="AO330" s="63"/>
      <c r="AP330" s="63"/>
      <c r="AQ330" s="63"/>
      <c r="AR330" s="56">
        <f t="shared" si="111"/>
        <v>0</v>
      </c>
      <c r="AS330" s="62"/>
      <c r="AT330" s="63"/>
      <c r="AU330" s="63"/>
      <c r="AV330" s="63"/>
      <c r="AW330" s="176">
        <f t="shared" si="112"/>
        <v>0</v>
      </c>
      <c r="AX330" s="56">
        <f t="shared" si="104"/>
        <v>2</v>
      </c>
      <c r="AY330" s="329">
        <v>44394</v>
      </c>
      <c r="AZ330" s="326"/>
    </row>
    <row r="331" spans="1:52" x14ac:dyDescent="0.15">
      <c r="A331" s="65"/>
      <c r="B331" s="54"/>
      <c r="C331" s="55"/>
      <c r="D331" s="55"/>
      <c r="E331" s="55"/>
      <c r="F331" s="56">
        <f t="shared" si="99"/>
        <v>0</v>
      </c>
      <c r="G331" s="54"/>
      <c r="H331" s="55"/>
      <c r="I331" s="55"/>
      <c r="J331" s="55"/>
      <c r="K331" s="56">
        <f t="shared" si="100"/>
        <v>0</v>
      </c>
      <c r="L331" s="54"/>
      <c r="M331" s="55"/>
      <c r="N331" s="55"/>
      <c r="O331" s="55"/>
      <c r="P331" s="56">
        <f t="shared" si="101"/>
        <v>0</v>
      </c>
      <c r="Q331" s="54"/>
      <c r="R331" s="55"/>
      <c r="S331" s="55"/>
      <c r="T331" s="55"/>
      <c r="U331" s="176">
        <f t="shared" si="102"/>
        <v>0</v>
      </c>
      <c r="V331" s="56">
        <f t="shared" si="103"/>
        <v>0</v>
      </c>
      <c r="W331" s="325"/>
      <c r="X331" s="326"/>
      <c r="Y331" s="326"/>
      <c r="Z331" s="326"/>
      <c r="AC331" s="268" t="s">
        <v>286</v>
      </c>
      <c r="AD331" s="54"/>
      <c r="AE331" s="55"/>
      <c r="AF331" s="55"/>
      <c r="AG331" s="55"/>
      <c r="AH331" s="56">
        <f t="shared" ref="AH331:AH332" si="115">SUM(AD331:AG331)</f>
        <v>0</v>
      </c>
      <c r="AI331" s="54">
        <v>3</v>
      </c>
      <c r="AJ331" s="55">
        <v>3</v>
      </c>
      <c r="AK331" s="55">
        <v>2</v>
      </c>
      <c r="AL331" s="55"/>
      <c r="AM331" s="56">
        <f t="shared" si="114"/>
        <v>8</v>
      </c>
      <c r="AN331" s="54"/>
      <c r="AO331" s="55"/>
      <c r="AP331" s="55"/>
      <c r="AQ331" s="55"/>
      <c r="AR331" s="56">
        <f t="shared" si="111"/>
        <v>0</v>
      </c>
      <c r="AS331" s="54"/>
      <c r="AT331" s="55"/>
      <c r="AU331" s="55"/>
      <c r="AV331" s="55"/>
      <c r="AW331" s="176">
        <f t="shared" si="112"/>
        <v>0</v>
      </c>
      <c r="AX331" s="56">
        <f t="shared" si="104"/>
        <v>8</v>
      </c>
      <c r="AY331" s="329">
        <v>44394</v>
      </c>
      <c r="AZ331" s="326"/>
    </row>
    <row r="332" spans="1:52" ht="14.25" thickBot="1" x14ac:dyDescent="0.2">
      <c r="A332" s="67"/>
      <c r="B332" s="33"/>
      <c r="C332" s="34"/>
      <c r="D332" s="34"/>
      <c r="E332" s="34"/>
      <c r="F332" s="30">
        <f t="shared" si="99"/>
        <v>0</v>
      </c>
      <c r="G332" s="33"/>
      <c r="H332" s="34"/>
      <c r="I332" s="34"/>
      <c r="J332" s="34"/>
      <c r="K332" s="30">
        <f t="shared" si="100"/>
        <v>0</v>
      </c>
      <c r="L332" s="33"/>
      <c r="M332" s="34"/>
      <c r="N332" s="34"/>
      <c r="O332" s="34"/>
      <c r="P332" s="30">
        <f t="shared" si="101"/>
        <v>0</v>
      </c>
      <c r="Q332" s="33"/>
      <c r="R332" s="34"/>
      <c r="S332" s="34"/>
      <c r="T332" s="34"/>
      <c r="U332" s="178">
        <f t="shared" si="102"/>
        <v>0</v>
      </c>
      <c r="V332" s="163">
        <f t="shared" si="103"/>
        <v>0</v>
      </c>
      <c r="W332" s="325"/>
      <c r="X332" s="326"/>
      <c r="Y332" s="326"/>
      <c r="Z332" s="326"/>
      <c r="AC332" s="282" t="s">
        <v>288</v>
      </c>
      <c r="AD332" s="33">
        <v>2</v>
      </c>
      <c r="AE332" s="34"/>
      <c r="AF332" s="34">
        <v>2</v>
      </c>
      <c r="AG332" s="34"/>
      <c r="AH332" s="30">
        <f t="shared" si="115"/>
        <v>4</v>
      </c>
      <c r="AI332" s="33"/>
      <c r="AJ332" s="34">
        <v>2</v>
      </c>
      <c r="AK332" s="34">
        <v>2</v>
      </c>
      <c r="AL332" s="34"/>
      <c r="AM332" s="30">
        <f t="shared" si="114"/>
        <v>4</v>
      </c>
      <c r="AN332" s="33"/>
      <c r="AO332" s="34"/>
      <c r="AP332" s="34"/>
      <c r="AQ332" s="34"/>
      <c r="AR332" s="30">
        <f t="shared" si="111"/>
        <v>0</v>
      </c>
      <c r="AS332" s="33"/>
      <c r="AT332" s="34"/>
      <c r="AU332" s="34"/>
      <c r="AV332" s="34">
        <v>2</v>
      </c>
      <c r="AW332" s="178">
        <f t="shared" si="112"/>
        <v>2</v>
      </c>
      <c r="AX332" s="170">
        <f t="shared" si="104"/>
        <v>10</v>
      </c>
      <c r="AY332" s="329">
        <v>44390</v>
      </c>
      <c r="AZ332" s="326"/>
    </row>
    <row r="333" spans="1:52" ht="15" thickBot="1" x14ac:dyDescent="0.2">
      <c r="A333" s="9" t="s">
        <v>15</v>
      </c>
      <c r="B333" s="36">
        <f>SUM(B307:B332)</f>
        <v>-1</v>
      </c>
      <c r="C333" s="37">
        <f>SUM(C307:C332)</f>
        <v>0</v>
      </c>
      <c r="D333" s="37">
        <f>SUM(D307:D332)</f>
        <v>1</v>
      </c>
      <c r="E333" s="38">
        <f>SUM(E307:E332)</f>
        <v>1</v>
      </c>
      <c r="F333" s="25">
        <f t="shared" si="99"/>
        <v>1</v>
      </c>
      <c r="G333" s="36">
        <f>SUM(G307:G332)</f>
        <v>0</v>
      </c>
      <c r="H333" s="37">
        <f>SUM(H307:H332)</f>
        <v>4</v>
      </c>
      <c r="I333" s="37">
        <f>SUM(I307:I332)</f>
        <v>2</v>
      </c>
      <c r="J333" s="38">
        <f>SUM(J307:J332)</f>
        <v>0</v>
      </c>
      <c r="K333" s="25">
        <f t="shared" si="100"/>
        <v>6</v>
      </c>
      <c r="L333" s="36">
        <f>SUM(L307:L332)</f>
        <v>-1</v>
      </c>
      <c r="M333" s="37">
        <f>SUM(M307:M332)</f>
        <v>0</v>
      </c>
      <c r="N333" s="37">
        <f>SUM(N307:N332)</f>
        <v>0</v>
      </c>
      <c r="O333" s="38">
        <f>SUM(O307:O332)</f>
        <v>3</v>
      </c>
      <c r="P333" s="25">
        <f t="shared" si="101"/>
        <v>2</v>
      </c>
      <c r="Q333" s="36">
        <f>SUM(Q307:Q332)</f>
        <v>2</v>
      </c>
      <c r="R333" s="37">
        <f>SUM(R307:R332)</f>
        <v>0</v>
      </c>
      <c r="S333" s="37">
        <f>SUM(S307:S332)</f>
        <v>0</v>
      </c>
      <c r="T333" s="38">
        <f>SUM(T307:T332)</f>
        <v>-1</v>
      </c>
      <c r="U333" s="36">
        <f t="shared" si="102"/>
        <v>1</v>
      </c>
      <c r="V333" s="77">
        <f t="shared" si="103"/>
        <v>10</v>
      </c>
      <c r="W333" s="325"/>
      <c r="X333" s="326"/>
      <c r="Y333" s="326"/>
      <c r="Z333" s="326"/>
      <c r="AC333" s="278" t="s">
        <v>15</v>
      </c>
      <c r="AD333" s="36">
        <f>SUM(AD307:AD332)</f>
        <v>5</v>
      </c>
      <c r="AE333" s="37">
        <f>SUM(AE307:AE332)</f>
        <v>9</v>
      </c>
      <c r="AF333" s="37">
        <f>SUM(AF307:AF332)</f>
        <v>2</v>
      </c>
      <c r="AG333" s="38">
        <f>SUM(AG307:AG332)</f>
        <v>8</v>
      </c>
      <c r="AH333" s="25">
        <f t="shared" ref="AH333:AH334" si="116">SUM(AD333:AG333)</f>
        <v>24</v>
      </c>
      <c r="AI333" s="36">
        <f>SUM(AI307:AI332)</f>
        <v>16</v>
      </c>
      <c r="AJ333" s="37">
        <f>SUM(AJ307:AJ332)</f>
        <v>30</v>
      </c>
      <c r="AK333" s="37">
        <f>SUM(AK307:AK332)</f>
        <v>10</v>
      </c>
      <c r="AL333" s="38">
        <f>SUM(AL307:AL332)</f>
        <v>2</v>
      </c>
      <c r="AM333" s="25">
        <f t="shared" si="114"/>
        <v>58</v>
      </c>
      <c r="AN333" s="36">
        <f>SUM(AN307:AN332)</f>
        <v>0</v>
      </c>
      <c r="AO333" s="37">
        <f>SUM(AO307:AO332)</f>
        <v>0</v>
      </c>
      <c r="AP333" s="37">
        <f>SUM(AP307:AP332)</f>
        <v>5</v>
      </c>
      <c r="AQ333" s="38">
        <f>SUM(AQ307:AQ332)</f>
        <v>4</v>
      </c>
      <c r="AR333" s="25">
        <f t="shared" si="111"/>
        <v>9</v>
      </c>
      <c r="AS333" s="36">
        <f>SUM(AS307:AS332)</f>
        <v>6</v>
      </c>
      <c r="AT333" s="37">
        <f>SUM(AT307:AT332)</f>
        <v>13</v>
      </c>
      <c r="AU333" s="37">
        <f>SUM(AU307:AU332)</f>
        <v>10</v>
      </c>
      <c r="AV333" s="38">
        <f>SUM(AV307:AV332)</f>
        <v>5</v>
      </c>
      <c r="AW333" s="36">
        <f t="shared" si="112"/>
        <v>34</v>
      </c>
      <c r="AX333" s="161">
        <f t="shared" si="104"/>
        <v>125</v>
      </c>
      <c r="AY333" s="325"/>
      <c r="AZ333" s="326"/>
    </row>
    <row r="334" spans="1:52" ht="14.25" thickBot="1" x14ac:dyDescent="0.2">
      <c r="A334" s="39" t="s">
        <v>16</v>
      </c>
      <c r="B334" s="40">
        <f>B306-B333</f>
        <v>3</v>
      </c>
      <c r="C334" s="41">
        <f>C306-C333</f>
        <v>3</v>
      </c>
      <c r="D334" s="41">
        <f>D306-D333</f>
        <v>2</v>
      </c>
      <c r="E334" s="42">
        <f>E306-E333</f>
        <v>3</v>
      </c>
      <c r="F334" s="171">
        <f t="shared" si="99"/>
        <v>11</v>
      </c>
      <c r="G334" s="40">
        <f>G306-G333</f>
        <v>3</v>
      </c>
      <c r="H334" s="41">
        <f>H306-H333</f>
        <v>3</v>
      </c>
      <c r="I334" s="41">
        <f>I306-I333</f>
        <v>3</v>
      </c>
      <c r="J334" s="42">
        <f>J306-J333</f>
        <v>2</v>
      </c>
      <c r="K334" s="171">
        <f t="shared" si="100"/>
        <v>11</v>
      </c>
      <c r="L334" s="40">
        <f>L306-L333</f>
        <v>3</v>
      </c>
      <c r="M334" s="41">
        <f>M306-M333</f>
        <v>0</v>
      </c>
      <c r="N334" s="41">
        <f>N306-N333</f>
        <v>2</v>
      </c>
      <c r="O334" s="42">
        <f>O306-O333</f>
        <v>2</v>
      </c>
      <c r="P334" s="171">
        <f t="shared" si="101"/>
        <v>7</v>
      </c>
      <c r="Q334" s="40">
        <f>Q306-Q333</f>
        <v>0</v>
      </c>
      <c r="R334" s="41">
        <f>R306-R333</f>
        <v>4</v>
      </c>
      <c r="S334" s="41">
        <f>S306-S333</f>
        <v>3</v>
      </c>
      <c r="T334" s="42">
        <f>T306-T333</f>
        <v>3</v>
      </c>
      <c r="U334" s="177">
        <f t="shared" si="102"/>
        <v>10</v>
      </c>
      <c r="V334" s="77">
        <f t="shared" si="103"/>
        <v>39</v>
      </c>
      <c r="W334" s="325"/>
      <c r="X334" s="326"/>
      <c r="Y334" s="326"/>
      <c r="Z334" s="326"/>
      <c r="AC334" s="279" t="s">
        <v>16</v>
      </c>
      <c r="AD334" s="40">
        <f>AD306-AD333</f>
        <v>197</v>
      </c>
      <c r="AE334" s="41">
        <f>AE306-AE333</f>
        <v>284</v>
      </c>
      <c r="AF334" s="41">
        <f>AF306-AF333</f>
        <v>254</v>
      </c>
      <c r="AG334" s="42">
        <f>AG306-AG333</f>
        <v>176</v>
      </c>
      <c r="AH334" s="171">
        <f t="shared" si="116"/>
        <v>911</v>
      </c>
      <c r="AI334" s="40">
        <f>AI306-AI333</f>
        <v>157</v>
      </c>
      <c r="AJ334" s="41">
        <f>AJ306-AJ333</f>
        <v>165</v>
      </c>
      <c r="AK334" s="41">
        <f>AK306-AK333</f>
        <v>251</v>
      </c>
      <c r="AL334" s="42">
        <f>AL306-AL333</f>
        <v>95</v>
      </c>
      <c r="AM334" s="171">
        <f t="shared" si="114"/>
        <v>668</v>
      </c>
      <c r="AN334" s="40">
        <f>AN306-AN333</f>
        <v>17</v>
      </c>
      <c r="AO334" s="41">
        <f>AO306-AO333</f>
        <v>0</v>
      </c>
      <c r="AP334" s="41">
        <f>AP306-AP333</f>
        <v>40</v>
      </c>
      <c r="AQ334" s="42">
        <f>AQ306-AQ333</f>
        <v>6</v>
      </c>
      <c r="AR334" s="171">
        <f t="shared" si="111"/>
        <v>63</v>
      </c>
      <c r="AS334" s="40">
        <f>AS306-AS333</f>
        <v>100</v>
      </c>
      <c r="AT334" s="41">
        <f>AT306-AT333</f>
        <v>101</v>
      </c>
      <c r="AU334" s="41">
        <f>AU306-AU333</f>
        <v>48</v>
      </c>
      <c r="AV334" s="42">
        <f>AV306-AV333</f>
        <v>53</v>
      </c>
      <c r="AW334" s="177">
        <f t="shared" si="112"/>
        <v>302</v>
      </c>
      <c r="AX334" s="77">
        <f t="shared" si="104"/>
        <v>1944</v>
      </c>
      <c r="AY334" s="325"/>
      <c r="AZ334" s="326"/>
    </row>
    <row r="335" spans="1:52" x14ac:dyDescent="0.15">
      <c r="W335" s="325"/>
      <c r="X335" s="326"/>
      <c r="Y335" s="326"/>
      <c r="Z335" s="326"/>
      <c r="AY335" s="325"/>
      <c r="AZ335" s="326"/>
    </row>
    <row r="336" spans="1:52" x14ac:dyDescent="0.15">
      <c r="W336" s="325"/>
      <c r="X336" s="326"/>
      <c r="Y336" s="326"/>
      <c r="Z336" s="326"/>
      <c r="AY336" s="325"/>
      <c r="AZ336" s="326"/>
    </row>
    <row r="337" spans="1:52" ht="19.5" thickBot="1" x14ac:dyDescent="0.25">
      <c r="A337" s="185" t="s">
        <v>19</v>
      </c>
      <c r="B337" s="186"/>
      <c r="C337" s="186"/>
      <c r="D337" s="186"/>
      <c r="E337" s="186"/>
      <c r="F337" s="18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25"/>
      <c r="X337" s="326"/>
      <c r="Y337" s="326"/>
      <c r="Z337" s="326"/>
      <c r="AC337" s="187" t="s">
        <v>73</v>
      </c>
      <c r="AD337" s="188"/>
      <c r="AE337" s="188"/>
      <c r="AF337" s="188"/>
      <c r="AG337" s="188"/>
      <c r="AH337" s="188"/>
      <c r="AI337" s="188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325"/>
      <c r="AZ337" s="326"/>
    </row>
    <row r="338" spans="1:52" ht="14.25" thickBot="1" x14ac:dyDescent="0.2">
      <c r="A338" s="3" t="s">
        <v>0</v>
      </c>
      <c r="B338" s="371" t="s">
        <v>17</v>
      </c>
      <c r="C338" s="372"/>
      <c r="D338" s="372"/>
      <c r="E338" s="372"/>
      <c r="F338" s="373"/>
      <c r="G338" s="371" t="s">
        <v>18</v>
      </c>
      <c r="H338" s="372"/>
      <c r="I338" s="372"/>
      <c r="J338" s="372"/>
      <c r="K338" s="373"/>
      <c r="L338" s="371" t="s">
        <v>38</v>
      </c>
      <c r="M338" s="372"/>
      <c r="N338" s="372"/>
      <c r="O338" s="372"/>
      <c r="P338" s="373"/>
      <c r="Q338" s="371" t="s">
        <v>75</v>
      </c>
      <c r="R338" s="372"/>
      <c r="S338" s="372"/>
      <c r="T338" s="372"/>
      <c r="U338" s="373"/>
      <c r="V338" s="360" t="s">
        <v>1</v>
      </c>
      <c r="W338" s="325"/>
      <c r="X338" s="326"/>
      <c r="Y338" s="326"/>
      <c r="Z338" s="326"/>
      <c r="AC338" s="271" t="s">
        <v>0</v>
      </c>
      <c r="AD338" s="371" t="s">
        <v>17</v>
      </c>
      <c r="AE338" s="372"/>
      <c r="AF338" s="372"/>
      <c r="AG338" s="372"/>
      <c r="AH338" s="373"/>
      <c r="AI338" s="371" t="s">
        <v>18</v>
      </c>
      <c r="AJ338" s="372"/>
      <c r="AK338" s="372"/>
      <c r="AL338" s="372"/>
      <c r="AM338" s="373"/>
      <c r="AN338" s="371" t="s">
        <v>38</v>
      </c>
      <c r="AO338" s="372"/>
      <c r="AP338" s="372"/>
      <c r="AQ338" s="372"/>
      <c r="AR338" s="373"/>
      <c r="AS338" s="371" t="s">
        <v>75</v>
      </c>
      <c r="AT338" s="372"/>
      <c r="AU338" s="372"/>
      <c r="AV338" s="372"/>
      <c r="AW338" s="373"/>
      <c r="AX338" s="360" t="s">
        <v>1</v>
      </c>
      <c r="AY338" s="325"/>
      <c r="AZ338" s="326"/>
    </row>
    <row r="339" spans="1:52" ht="14.25" thickBot="1" x14ac:dyDescent="0.2">
      <c r="A339" s="5" t="s">
        <v>2</v>
      </c>
      <c r="B339" s="6" t="s">
        <v>3</v>
      </c>
      <c r="C339" s="7" t="s">
        <v>4</v>
      </c>
      <c r="D339" s="7" t="s">
        <v>5</v>
      </c>
      <c r="E339" s="8" t="s">
        <v>6</v>
      </c>
      <c r="F339" s="5" t="s">
        <v>7</v>
      </c>
      <c r="G339" s="6" t="s">
        <v>3</v>
      </c>
      <c r="H339" s="7" t="s">
        <v>4</v>
      </c>
      <c r="I339" s="7" t="s">
        <v>5</v>
      </c>
      <c r="J339" s="8" t="s">
        <v>6</v>
      </c>
      <c r="K339" s="5" t="s">
        <v>7</v>
      </c>
      <c r="L339" s="6" t="s">
        <v>3</v>
      </c>
      <c r="M339" s="7" t="s">
        <v>4</v>
      </c>
      <c r="N339" s="7" t="s">
        <v>5</v>
      </c>
      <c r="O339" s="8" t="s">
        <v>6</v>
      </c>
      <c r="P339" s="5" t="s">
        <v>7</v>
      </c>
      <c r="Q339" s="6" t="s">
        <v>3</v>
      </c>
      <c r="R339" s="7" t="s">
        <v>4</v>
      </c>
      <c r="S339" s="7" t="s">
        <v>5</v>
      </c>
      <c r="T339" s="8" t="s">
        <v>6</v>
      </c>
      <c r="U339" s="5" t="s">
        <v>7</v>
      </c>
      <c r="V339" s="361"/>
      <c r="W339" s="325"/>
      <c r="X339" s="326"/>
      <c r="Y339" s="326"/>
      <c r="Z339" s="326"/>
      <c r="AC339" s="272" t="s">
        <v>2</v>
      </c>
      <c r="AD339" s="6" t="s">
        <v>3</v>
      </c>
      <c r="AE339" s="7" t="s">
        <v>4</v>
      </c>
      <c r="AF339" s="7" t="s">
        <v>5</v>
      </c>
      <c r="AG339" s="8" t="s">
        <v>6</v>
      </c>
      <c r="AH339" s="5" t="s">
        <v>7</v>
      </c>
      <c r="AI339" s="6" t="s">
        <v>3</v>
      </c>
      <c r="AJ339" s="7" t="s">
        <v>4</v>
      </c>
      <c r="AK339" s="7" t="s">
        <v>5</v>
      </c>
      <c r="AL339" s="8" t="s">
        <v>6</v>
      </c>
      <c r="AM339" s="5" t="s">
        <v>7</v>
      </c>
      <c r="AN339" s="6" t="s">
        <v>3</v>
      </c>
      <c r="AO339" s="7" t="s">
        <v>4</v>
      </c>
      <c r="AP339" s="7" t="s">
        <v>5</v>
      </c>
      <c r="AQ339" s="8" t="s">
        <v>6</v>
      </c>
      <c r="AR339" s="5" t="s">
        <v>7</v>
      </c>
      <c r="AS339" s="6" t="s">
        <v>3</v>
      </c>
      <c r="AT339" s="7" t="s">
        <v>4</v>
      </c>
      <c r="AU339" s="7" t="s">
        <v>5</v>
      </c>
      <c r="AV339" s="8" t="s">
        <v>6</v>
      </c>
      <c r="AW339" s="5" t="s">
        <v>7</v>
      </c>
      <c r="AX339" s="361"/>
      <c r="AY339" s="325"/>
      <c r="AZ339" s="326"/>
    </row>
    <row r="340" spans="1:52" ht="14.25" x14ac:dyDescent="0.15">
      <c r="A340" s="172" t="s">
        <v>30</v>
      </c>
      <c r="B340" s="70">
        <f>B334</f>
        <v>3</v>
      </c>
      <c r="C340" s="70">
        <f>C334</f>
        <v>3</v>
      </c>
      <c r="D340" s="70">
        <f>D334</f>
        <v>2</v>
      </c>
      <c r="E340" s="165">
        <f>E334</f>
        <v>3</v>
      </c>
      <c r="F340" s="71">
        <f t="shared" ref="F340:F376" si="117">SUM(B340:E340)</f>
        <v>11</v>
      </c>
      <c r="G340" s="70">
        <f>G334</f>
        <v>3</v>
      </c>
      <c r="H340" s="70">
        <f>H334</f>
        <v>3</v>
      </c>
      <c r="I340" s="70">
        <f>I334</f>
        <v>3</v>
      </c>
      <c r="J340" s="165">
        <f>J334</f>
        <v>2</v>
      </c>
      <c r="K340" s="71">
        <f t="shared" ref="K340:K376" si="118">SUM(G340:J340)</f>
        <v>11</v>
      </c>
      <c r="L340" s="70">
        <f>L334</f>
        <v>3</v>
      </c>
      <c r="M340" s="70">
        <f>M334</f>
        <v>0</v>
      </c>
      <c r="N340" s="70">
        <f>N334</f>
        <v>2</v>
      </c>
      <c r="O340" s="165">
        <f>O334</f>
        <v>2</v>
      </c>
      <c r="P340" s="71">
        <f t="shared" ref="P340:P376" si="119">SUM(L340:O340)</f>
        <v>7</v>
      </c>
      <c r="Q340" s="70">
        <f>Q334</f>
        <v>0</v>
      </c>
      <c r="R340" s="70">
        <f>R334</f>
        <v>4</v>
      </c>
      <c r="S340" s="70">
        <f>S334</f>
        <v>3</v>
      </c>
      <c r="T340" s="165">
        <f>T334</f>
        <v>3</v>
      </c>
      <c r="U340" s="174">
        <f t="shared" ref="U340:U376" si="120">SUM(Q340:T340)</f>
        <v>10</v>
      </c>
      <c r="V340" s="71">
        <f t="shared" ref="V340:V376" si="121">F340+K340+P340+U340</f>
        <v>39</v>
      </c>
      <c r="W340" s="325"/>
      <c r="X340" s="326"/>
      <c r="Y340" s="326"/>
      <c r="Z340" s="326"/>
      <c r="AC340" s="273" t="s">
        <v>30</v>
      </c>
      <c r="AD340" s="70">
        <f>AD334</f>
        <v>197</v>
      </c>
      <c r="AE340" s="70">
        <f>AE334</f>
        <v>284</v>
      </c>
      <c r="AF340" s="70">
        <f>AF334</f>
        <v>254</v>
      </c>
      <c r="AG340" s="165">
        <f>AG334</f>
        <v>176</v>
      </c>
      <c r="AH340" s="71">
        <f>SUM(AD340:AG340)</f>
        <v>911</v>
      </c>
      <c r="AI340" s="70">
        <f>AI334</f>
        <v>157</v>
      </c>
      <c r="AJ340" s="70">
        <f>AJ334</f>
        <v>165</v>
      </c>
      <c r="AK340" s="70">
        <f>AK334</f>
        <v>251</v>
      </c>
      <c r="AL340" s="165">
        <f>AL334</f>
        <v>95</v>
      </c>
      <c r="AM340" s="71">
        <f>SUM(AI340:AL340)</f>
        <v>668</v>
      </c>
      <c r="AN340" s="70">
        <f>AN334</f>
        <v>17</v>
      </c>
      <c r="AO340" s="70">
        <f>AO334</f>
        <v>0</v>
      </c>
      <c r="AP340" s="70">
        <f>AP334</f>
        <v>40</v>
      </c>
      <c r="AQ340" s="165">
        <f>AQ334</f>
        <v>6</v>
      </c>
      <c r="AR340" s="71">
        <f>SUM(AN340:AQ340)</f>
        <v>63</v>
      </c>
      <c r="AS340" s="70">
        <f>AS334</f>
        <v>100</v>
      </c>
      <c r="AT340" s="70">
        <f>AT334</f>
        <v>101</v>
      </c>
      <c r="AU340" s="70">
        <f>AU334</f>
        <v>48</v>
      </c>
      <c r="AV340" s="165">
        <f>AV334</f>
        <v>53</v>
      </c>
      <c r="AW340" s="174">
        <f>SUM(AS340:AV340)</f>
        <v>302</v>
      </c>
      <c r="AX340" s="71">
        <f t="shared" ref="AX340:AX376" si="122">AH340+AM340+AR340+AW340</f>
        <v>1944</v>
      </c>
      <c r="AY340" s="325"/>
      <c r="AZ340" s="326"/>
    </row>
    <row r="341" spans="1:52" x14ac:dyDescent="0.15">
      <c r="A341" s="53" t="s">
        <v>111</v>
      </c>
      <c r="B341" s="54"/>
      <c r="C341" s="55"/>
      <c r="D341" s="55"/>
      <c r="E341" s="55"/>
      <c r="F341" s="56">
        <f t="shared" si="117"/>
        <v>0</v>
      </c>
      <c r="G341" s="54"/>
      <c r="H341" s="55"/>
      <c r="I341" s="55"/>
      <c r="J341" s="55"/>
      <c r="K341" s="56">
        <f t="shared" si="118"/>
        <v>0</v>
      </c>
      <c r="L341" s="54"/>
      <c r="M341" s="55"/>
      <c r="N341" s="55"/>
      <c r="O341" s="55"/>
      <c r="P341" s="56">
        <f t="shared" si="119"/>
        <v>0</v>
      </c>
      <c r="Q341" s="54">
        <v>3</v>
      </c>
      <c r="R341" s="55"/>
      <c r="S341" s="55"/>
      <c r="T341" s="55"/>
      <c r="U341" s="176">
        <f t="shared" si="120"/>
        <v>3</v>
      </c>
      <c r="V341" s="56">
        <f t="shared" si="121"/>
        <v>3</v>
      </c>
      <c r="W341" s="329">
        <v>44391</v>
      </c>
      <c r="X341" s="326"/>
      <c r="Y341" s="326"/>
      <c r="Z341" s="326"/>
      <c r="AC341" s="268" t="s">
        <v>28</v>
      </c>
      <c r="AD341" s="55"/>
      <c r="AE341" s="55"/>
      <c r="AF341" s="55"/>
      <c r="AG341" s="166"/>
      <c r="AH341" s="56">
        <f t="shared" ref="AH341:AH363" si="123">SUM(AD341:AG341)</f>
        <v>0</v>
      </c>
      <c r="AI341" s="55"/>
      <c r="AJ341" s="55"/>
      <c r="AK341" s="55"/>
      <c r="AL341" s="166"/>
      <c r="AM341" s="56">
        <f t="shared" ref="AM341:AM363" si="124">SUM(AI341:AL341)</f>
        <v>0</v>
      </c>
      <c r="AN341" s="55"/>
      <c r="AO341" s="55"/>
      <c r="AP341" s="55"/>
      <c r="AQ341" s="166"/>
      <c r="AR341" s="56">
        <f t="shared" ref="AR341" si="125">SUM(AN341:AQ341)</f>
        <v>0</v>
      </c>
      <c r="AS341" s="55"/>
      <c r="AT341" s="55"/>
      <c r="AU341" s="55"/>
      <c r="AV341" s="166"/>
      <c r="AW341" s="176">
        <f t="shared" ref="AW341" si="126">SUM(AS341:AV341)</f>
        <v>0</v>
      </c>
      <c r="AX341" s="56">
        <f t="shared" si="122"/>
        <v>0</v>
      </c>
      <c r="AY341" s="329"/>
      <c r="AZ341" s="326"/>
    </row>
    <row r="342" spans="1:52" x14ac:dyDescent="0.15">
      <c r="A342" s="53" t="s">
        <v>28</v>
      </c>
      <c r="B342" s="55"/>
      <c r="C342" s="55"/>
      <c r="D342" s="55"/>
      <c r="E342" s="166"/>
      <c r="F342" s="49">
        <f t="shared" si="117"/>
        <v>0</v>
      </c>
      <c r="G342" s="55"/>
      <c r="H342" s="55">
        <v>3</v>
      </c>
      <c r="I342" s="55"/>
      <c r="J342" s="166"/>
      <c r="K342" s="49">
        <f t="shared" si="118"/>
        <v>3</v>
      </c>
      <c r="L342" s="55"/>
      <c r="M342" s="55"/>
      <c r="N342" s="55"/>
      <c r="O342" s="166"/>
      <c r="P342" s="49">
        <f t="shared" si="119"/>
        <v>0</v>
      </c>
      <c r="Q342" s="55"/>
      <c r="R342" s="55"/>
      <c r="S342" s="55"/>
      <c r="T342" s="166"/>
      <c r="U342" s="175">
        <f t="shared" si="120"/>
        <v>0</v>
      </c>
      <c r="V342" s="56">
        <f t="shared" si="121"/>
        <v>3</v>
      </c>
      <c r="W342" s="329">
        <v>44394</v>
      </c>
      <c r="X342" s="326"/>
      <c r="Y342" s="326"/>
      <c r="Z342" s="326"/>
      <c r="AC342" s="268" t="s">
        <v>28</v>
      </c>
      <c r="AD342" s="55"/>
      <c r="AE342" s="153"/>
      <c r="AF342" s="153"/>
      <c r="AG342" s="168"/>
      <c r="AH342" s="56">
        <f t="shared" si="123"/>
        <v>0</v>
      </c>
      <c r="AI342" s="55"/>
      <c r="AJ342" s="153"/>
      <c r="AK342" s="153"/>
      <c r="AL342" s="168"/>
      <c r="AM342" s="56">
        <f t="shared" si="124"/>
        <v>0</v>
      </c>
      <c r="AN342" s="55"/>
      <c r="AO342" s="153"/>
      <c r="AP342" s="153"/>
      <c r="AQ342" s="168"/>
      <c r="AR342" s="56">
        <v>0</v>
      </c>
      <c r="AS342" s="55"/>
      <c r="AT342" s="153"/>
      <c r="AU342" s="153"/>
      <c r="AV342" s="168"/>
      <c r="AW342" s="176">
        <v>0</v>
      </c>
      <c r="AX342" s="56">
        <f t="shared" si="122"/>
        <v>0</v>
      </c>
      <c r="AY342" s="328"/>
      <c r="AZ342" s="326"/>
    </row>
    <row r="343" spans="1:52" x14ac:dyDescent="0.15">
      <c r="A343" s="53" t="s">
        <v>28</v>
      </c>
      <c r="B343" s="55">
        <v>3</v>
      </c>
      <c r="C343" s="55">
        <v>3</v>
      </c>
      <c r="D343" s="55">
        <v>6</v>
      </c>
      <c r="E343" s="166">
        <v>0</v>
      </c>
      <c r="F343" s="49">
        <f t="shared" si="117"/>
        <v>12</v>
      </c>
      <c r="G343" s="55">
        <v>3</v>
      </c>
      <c r="H343" s="55">
        <v>5</v>
      </c>
      <c r="I343" s="55">
        <v>3</v>
      </c>
      <c r="J343" s="166">
        <v>3</v>
      </c>
      <c r="K343" s="49">
        <f t="shared" si="118"/>
        <v>14</v>
      </c>
      <c r="L343" s="55">
        <v>3</v>
      </c>
      <c r="M343" s="55"/>
      <c r="N343" s="55">
        <v>3</v>
      </c>
      <c r="O343" s="166"/>
      <c r="P343" s="49">
        <f t="shared" si="119"/>
        <v>6</v>
      </c>
      <c r="Q343" s="55">
        <v>5</v>
      </c>
      <c r="R343" s="55">
        <v>5</v>
      </c>
      <c r="S343" s="55"/>
      <c r="T343" s="166"/>
      <c r="U343" s="175">
        <f t="shared" si="120"/>
        <v>10</v>
      </c>
      <c r="V343" s="56">
        <f t="shared" si="121"/>
        <v>42</v>
      </c>
      <c r="W343" s="329">
        <v>44397</v>
      </c>
      <c r="X343" s="326"/>
      <c r="Y343" s="326"/>
      <c r="Z343" s="326"/>
      <c r="AC343" s="268" t="s">
        <v>28</v>
      </c>
      <c r="AD343" s="55"/>
      <c r="AE343" s="153"/>
      <c r="AF343" s="153"/>
      <c r="AG343" s="168"/>
      <c r="AH343" s="56">
        <f t="shared" si="123"/>
        <v>0</v>
      </c>
      <c r="AI343" s="55"/>
      <c r="AJ343" s="153"/>
      <c r="AK343" s="153"/>
      <c r="AL343" s="168"/>
      <c r="AM343" s="56">
        <f t="shared" si="124"/>
        <v>0</v>
      </c>
      <c r="AN343" s="55"/>
      <c r="AO343" s="153"/>
      <c r="AP343" s="153"/>
      <c r="AQ343" s="168"/>
      <c r="AR343" s="56">
        <f t="shared" ref="AR343" si="127">SUM(AN343:AQ343)</f>
        <v>0</v>
      </c>
      <c r="AS343" s="55"/>
      <c r="AT343" s="153"/>
      <c r="AU343" s="153"/>
      <c r="AV343" s="168"/>
      <c r="AW343" s="176">
        <f t="shared" ref="AW343" si="128">SUM(AS343:AV343)</f>
        <v>0</v>
      </c>
      <c r="AX343" s="56">
        <f t="shared" si="122"/>
        <v>0</v>
      </c>
      <c r="AY343" s="328"/>
      <c r="AZ343" s="326"/>
    </row>
    <row r="344" spans="1:52" x14ac:dyDescent="0.15">
      <c r="A344" s="53" t="s">
        <v>28</v>
      </c>
      <c r="B344" s="63"/>
      <c r="C344" s="63"/>
      <c r="D344" s="63"/>
      <c r="E344" s="167">
        <v>3</v>
      </c>
      <c r="F344" s="64">
        <f t="shared" si="117"/>
        <v>3</v>
      </c>
      <c r="G344" s="63"/>
      <c r="H344" s="63"/>
      <c r="I344" s="63"/>
      <c r="J344" s="167"/>
      <c r="K344" s="64">
        <f t="shared" si="118"/>
        <v>0</v>
      </c>
      <c r="L344" s="63"/>
      <c r="M344" s="63"/>
      <c r="N344" s="63">
        <v>3</v>
      </c>
      <c r="O344" s="167">
        <v>3</v>
      </c>
      <c r="P344" s="64">
        <f t="shared" si="119"/>
        <v>6</v>
      </c>
      <c r="Q344" s="63"/>
      <c r="R344" s="63">
        <v>3</v>
      </c>
      <c r="S344" s="63"/>
      <c r="T344" s="167"/>
      <c r="U344" s="162">
        <f t="shared" si="120"/>
        <v>3</v>
      </c>
      <c r="V344" s="56">
        <f t="shared" si="121"/>
        <v>12</v>
      </c>
      <c r="W344" s="329">
        <v>44398</v>
      </c>
      <c r="X344" s="326"/>
      <c r="Y344" s="326"/>
      <c r="Z344" s="326"/>
      <c r="AC344" s="268" t="s">
        <v>28</v>
      </c>
      <c r="AD344" s="63"/>
      <c r="AE344" s="63"/>
      <c r="AF344" s="63"/>
      <c r="AG344" s="167"/>
      <c r="AH344" s="56">
        <f t="shared" si="123"/>
        <v>0</v>
      </c>
      <c r="AI344" s="63"/>
      <c r="AJ344" s="63"/>
      <c r="AK344" s="63"/>
      <c r="AL344" s="167"/>
      <c r="AM344" s="56">
        <f t="shared" si="124"/>
        <v>0</v>
      </c>
      <c r="AN344" s="63"/>
      <c r="AO344" s="63"/>
      <c r="AP344" s="63"/>
      <c r="AQ344" s="167"/>
      <c r="AR344" s="64">
        <v>0</v>
      </c>
      <c r="AS344" s="63"/>
      <c r="AT344" s="63"/>
      <c r="AU344" s="63"/>
      <c r="AV344" s="167"/>
      <c r="AW344" s="162">
        <v>0</v>
      </c>
      <c r="AX344" s="56">
        <f t="shared" si="122"/>
        <v>0</v>
      </c>
      <c r="AY344" s="328"/>
      <c r="AZ344" s="326"/>
    </row>
    <row r="345" spans="1:52" x14ac:dyDescent="0.15">
      <c r="A345" s="53" t="s">
        <v>28</v>
      </c>
      <c r="B345" s="55">
        <v>5</v>
      </c>
      <c r="C345" s="153">
        <v>5</v>
      </c>
      <c r="D345" s="153">
        <v>5</v>
      </c>
      <c r="E345" s="168">
        <v>5</v>
      </c>
      <c r="F345" s="56">
        <f t="shared" si="117"/>
        <v>20</v>
      </c>
      <c r="G345" s="55">
        <v>10</v>
      </c>
      <c r="H345" s="153"/>
      <c r="I345" s="153"/>
      <c r="J345" s="168"/>
      <c r="K345" s="56">
        <f t="shared" si="118"/>
        <v>10</v>
      </c>
      <c r="L345" s="55">
        <v>7</v>
      </c>
      <c r="M345" s="153"/>
      <c r="N345" s="153">
        <v>10</v>
      </c>
      <c r="O345" s="168"/>
      <c r="P345" s="56">
        <f t="shared" si="119"/>
        <v>17</v>
      </c>
      <c r="Q345" s="55"/>
      <c r="R345" s="153"/>
      <c r="S345" s="153"/>
      <c r="T345" s="168"/>
      <c r="U345" s="176">
        <f t="shared" si="120"/>
        <v>0</v>
      </c>
      <c r="V345" s="56">
        <f t="shared" si="121"/>
        <v>47</v>
      </c>
      <c r="W345" s="329">
        <v>44404</v>
      </c>
      <c r="X345" s="326"/>
      <c r="Y345" s="326"/>
      <c r="Z345" s="326"/>
      <c r="AC345" s="268" t="s">
        <v>28</v>
      </c>
      <c r="AD345" s="55"/>
      <c r="AE345" s="153"/>
      <c r="AF345" s="153"/>
      <c r="AG345" s="168"/>
      <c r="AH345" s="56">
        <f t="shared" si="123"/>
        <v>0</v>
      </c>
      <c r="AI345" s="55"/>
      <c r="AJ345" s="153"/>
      <c r="AK345" s="153"/>
      <c r="AL345" s="168"/>
      <c r="AM345" s="56">
        <f t="shared" si="124"/>
        <v>0</v>
      </c>
      <c r="AN345" s="55"/>
      <c r="AO345" s="153"/>
      <c r="AP345" s="153"/>
      <c r="AQ345" s="168"/>
      <c r="AR345" s="56">
        <f t="shared" ref="AR345:AR376" si="129">SUM(AN345:AQ345)</f>
        <v>0</v>
      </c>
      <c r="AS345" s="55"/>
      <c r="AT345" s="153"/>
      <c r="AU345" s="153"/>
      <c r="AV345" s="168"/>
      <c r="AW345" s="176">
        <f t="shared" ref="AW345:AW376" si="130">SUM(AS345:AV345)</f>
        <v>0</v>
      </c>
      <c r="AX345" s="56">
        <f t="shared" si="122"/>
        <v>0</v>
      </c>
      <c r="AY345" s="325"/>
      <c r="AZ345" s="326"/>
    </row>
    <row r="346" spans="1:52" x14ac:dyDescent="0.15">
      <c r="A346" s="53" t="s">
        <v>28</v>
      </c>
      <c r="B346" s="55"/>
      <c r="C346" s="153"/>
      <c r="D346" s="153"/>
      <c r="E346" s="168"/>
      <c r="F346" s="56">
        <f t="shared" si="117"/>
        <v>0</v>
      </c>
      <c r="G346" s="55"/>
      <c r="H346" s="153">
        <v>10</v>
      </c>
      <c r="I346" s="153">
        <v>10</v>
      </c>
      <c r="J346" s="168">
        <v>10</v>
      </c>
      <c r="K346" s="56">
        <f t="shared" si="118"/>
        <v>30</v>
      </c>
      <c r="L346" s="55"/>
      <c r="M346" s="153"/>
      <c r="N346" s="153"/>
      <c r="O346" s="168"/>
      <c r="P346" s="56">
        <f t="shared" si="119"/>
        <v>0</v>
      </c>
      <c r="Q346" s="55"/>
      <c r="R346" s="153"/>
      <c r="S346" s="153"/>
      <c r="T346" s="168"/>
      <c r="U346" s="176">
        <f t="shared" si="120"/>
        <v>0</v>
      </c>
      <c r="V346" s="56">
        <f t="shared" si="121"/>
        <v>30</v>
      </c>
      <c r="W346" s="329">
        <v>44405</v>
      </c>
      <c r="X346" s="326"/>
      <c r="Y346" s="326"/>
      <c r="Z346" s="326"/>
      <c r="AC346" s="268" t="s">
        <v>28</v>
      </c>
      <c r="AD346" s="55"/>
      <c r="AE346" s="153"/>
      <c r="AF346" s="153"/>
      <c r="AG346" s="168"/>
      <c r="AH346" s="56">
        <f t="shared" si="123"/>
        <v>0</v>
      </c>
      <c r="AI346" s="55"/>
      <c r="AJ346" s="153"/>
      <c r="AK346" s="153"/>
      <c r="AL346" s="168"/>
      <c r="AM346" s="56">
        <f t="shared" si="124"/>
        <v>0</v>
      </c>
      <c r="AN346" s="55"/>
      <c r="AO346" s="153"/>
      <c r="AP346" s="153"/>
      <c r="AQ346" s="168"/>
      <c r="AR346" s="56">
        <f t="shared" si="129"/>
        <v>0</v>
      </c>
      <c r="AS346" s="55"/>
      <c r="AT346" s="153"/>
      <c r="AU346" s="153"/>
      <c r="AV346" s="168"/>
      <c r="AW346" s="176">
        <f t="shared" si="130"/>
        <v>0</v>
      </c>
      <c r="AX346" s="56">
        <f t="shared" si="122"/>
        <v>0</v>
      </c>
      <c r="AY346" s="325"/>
      <c r="AZ346" s="326"/>
    </row>
    <row r="347" spans="1:52" ht="14.25" thickBot="1" x14ac:dyDescent="0.2">
      <c r="A347" s="53" t="s">
        <v>29</v>
      </c>
      <c r="B347" s="63"/>
      <c r="C347" s="164"/>
      <c r="D347" s="164">
        <v>1</v>
      </c>
      <c r="E347" s="169"/>
      <c r="F347" s="170">
        <f t="shared" si="117"/>
        <v>1</v>
      </c>
      <c r="G347" s="63"/>
      <c r="H347" s="164"/>
      <c r="I347" s="164"/>
      <c r="J347" s="169"/>
      <c r="K347" s="170">
        <f t="shared" si="118"/>
        <v>0</v>
      </c>
      <c r="L347" s="63"/>
      <c r="M347" s="164"/>
      <c r="N347" s="164"/>
      <c r="O347" s="169"/>
      <c r="P347" s="170">
        <f t="shared" si="119"/>
        <v>0</v>
      </c>
      <c r="Q347" s="63"/>
      <c r="R347" s="164"/>
      <c r="S347" s="164">
        <v>3</v>
      </c>
      <c r="T347" s="169">
        <v>1</v>
      </c>
      <c r="U347" s="179">
        <f t="shared" si="120"/>
        <v>4</v>
      </c>
      <c r="V347" s="170">
        <f t="shared" si="121"/>
        <v>5</v>
      </c>
      <c r="W347" s="328">
        <v>44404</v>
      </c>
      <c r="X347" s="326"/>
      <c r="Y347" s="326"/>
      <c r="Z347" s="326"/>
      <c r="AC347" s="274" t="s">
        <v>28</v>
      </c>
      <c r="AD347" s="63"/>
      <c r="AE347" s="164"/>
      <c r="AF347" s="164"/>
      <c r="AG347" s="169"/>
      <c r="AH347" s="170">
        <f t="shared" si="123"/>
        <v>0</v>
      </c>
      <c r="AI347" s="63"/>
      <c r="AJ347" s="164"/>
      <c r="AK347" s="164"/>
      <c r="AL347" s="169"/>
      <c r="AM347" s="170">
        <f t="shared" si="124"/>
        <v>0</v>
      </c>
      <c r="AN347" s="63"/>
      <c r="AO347" s="164"/>
      <c r="AP347" s="164"/>
      <c r="AQ347" s="169"/>
      <c r="AR347" s="170">
        <f t="shared" si="129"/>
        <v>0</v>
      </c>
      <c r="AS347" s="63"/>
      <c r="AT347" s="164"/>
      <c r="AU347" s="164"/>
      <c r="AV347" s="169"/>
      <c r="AW347" s="179">
        <f t="shared" si="130"/>
        <v>0</v>
      </c>
      <c r="AX347" s="170">
        <f t="shared" si="122"/>
        <v>0</v>
      </c>
      <c r="AY347" s="325"/>
      <c r="AZ347" s="326"/>
    </row>
    <row r="348" spans="1:52" ht="15" thickBot="1" x14ac:dyDescent="0.2">
      <c r="A348" s="181" t="s">
        <v>14</v>
      </c>
      <c r="B348" s="182">
        <f>SUM(B340:B347)</f>
        <v>11</v>
      </c>
      <c r="C348" s="183">
        <f>SUM(C340:C347)</f>
        <v>11</v>
      </c>
      <c r="D348" s="183">
        <f>SUM(D340:D347)</f>
        <v>14</v>
      </c>
      <c r="E348" s="184">
        <f>SUM(E340:E347)</f>
        <v>11</v>
      </c>
      <c r="F348" s="77">
        <f t="shared" si="117"/>
        <v>47</v>
      </c>
      <c r="G348" s="182">
        <f>SUM(G340:G347)</f>
        <v>16</v>
      </c>
      <c r="H348" s="183">
        <f>SUM(H340:H347)</f>
        <v>21</v>
      </c>
      <c r="I348" s="183">
        <f>SUM(I340:I347)</f>
        <v>16</v>
      </c>
      <c r="J348" s="184">
        <f>SUM(J340:J347)</f>
        <v>15</v>
      </c>
      <c r="K348" s="77">
        <f t="shared" si="118"/>
        <v>68</v>
      </c>
      <c r="L348" s="182">
        <f>SUM(L340:L347)</f>
        <v>13</v>
      </c>
      <c r="M348" s="183">
        <f>SUM(M340:M347)</f>
        <v>0</v>
      </c>
      <c r="N348" s="183">
        <f>SUM(N340:N347)</f>
        <v>18</v>
      </c>
      <c r="O348" s="184">
        <f>SUM(O340:O347)</f>
        <v>5</v>
      </c>
      <c r="P348" s="77">
        <f t="shared" si="119"/>
        <v>36</v>
      </c>
      <c r="Q348" s="182">
        <f>SUM(Q340:Q347)</f>
        <v>8</v>
      </c>
      <c r="R348" s="183">
        <f>SUM(R340:R347)</f>
        <v>12</v>
      </c>
      <c r="S348" s="183">
        <f>SUM(S340:S347)</f>
        <v>6</v>
      </c>
      <c r="T348" s="184">
        <f>SUM(T340:T347)</f>
        <v>4</v>
      </c>
      <c r="U348" s="182">
        <f t="shared" si="120"/>
        <v>30</v>
      </c>
      <c r="V348" s="77">
        <f t="shared" si="121"/>
        <v>181</v>
      </c>
      <c r="W348" s="325"/>
      <c r="X348" s="326"/>
      <c r="Y348" s="326"/>
      <c r="Z348" s="326"/>
      <c r="AC348" s="275" t="s">
        <v>14</v>
      </c>
      <c r="AD348" s="182">
        <f>SUM(AD340:AD347)</f>
        <v>197</v>
      </c>
      <c r="AE348" s="183">
        <f>SUM(AE340:AE347)</f>
        <v>284</v>
      </c>
      <c r="AF348" s="183">
        <f>SUM(AF340:AF347)</f>
        <v>254</v>
      </c>
      <c r="AG348" s="184">
        <f>SUM(AG340:AG347)</f>
        <v>176</v>
      </c>
      <c r="AH348" s="77">
        <f t="shared" si="123"/>
        <v>911</v>
      </c>
      <c r="AI348" s="182">
        <f>SUM(AI340:AI347)</f>
        <v>157</v>
      </c>
      <c r="AJ348" s="183">
        <f>SUM(AJ340:AJ347)</f>
        <v>165</v>
      </c>
      <c r="AK348" s="183">
        <f>SUM(AK340:AK347)</f>
        <v>251</v>
      </c>
      <c r="AL348" s="184">
        <f>SUM(AL340:AL347)</f>
        <v>95</v>
      </c>
      <c r="AM348" s="77">
        <f t="shared" si="124"/>
        <v>668</v>
      </c>
      <c r="AN348" s="182">
        <f>SUM(AN340:AN347)</f>
        <v>17</v>
      </c>
      <c r="AO348" s="183">
        <f>SUM(AO340:AO347)</f>
        <v>0</v>
      </c>
      <c r="AP348" s="183">
        <f>SUM(AP340:AP347)</f>
        <v>40</v>
      </c>
      <c r="AQ348" s="184">
        <f>SUM(AQ340:AQ347)</f>
        <v>6</v>
      </c>
      <c r="AR348" s="77">
        <f t="shared" si="129"/>
        <v>63</v>
      </c>
      <c r="AS348" s="182">
        <f>SUM(AS340:AS347)</f>
        <v>100</v>
      </c>
      <c r="AT348" s="183">
        <f>SUM(AT340:AT347)</f>
        <v>101</v>
      </c>
      <c r="AU348" s="183">
        <f>SUM(AU340:AU347)</f>
        <v>48</v>
      </c>
      <c r="AV348" s="184">
        <f>SUM(AV340:AV347)</f>
        <v>53</v>
      </c>
      <c r="AW348" s="182">
        <f t="shared" si="130"/>
        <v>302</v>
      </c>
      <c r="AX348" s="77">
        <f t="shared" si="122"/>
        <v>1944</v>
      </c>
      <c r="AY348" s="325"/>
      <c r="AZ348" s="326"/>
    </row>
    <row r="349" spans="1:52" x14ac:dyDescent="0.15">
      <c r="A349" s="53" t="s">
        <v>98</v>
      </c>
      <c r="B349" s="46"/>
      <c r="C349" s="47"/>
      <c r="D349" s="47"/>
      <c r="E349" s="47"/>
      <c r="F349" s="48">
        <f t="shared" si="117"/>
        <v>0</v>
      </c>
      <c r="G349" s="46"/>
      <c r="H349" s="47">
        <v>1</v>
      </c>
      <c r="I349" s="47"/>
      <c r="J349" s="47"/>
      <c r="K349" s="48">
        <f t="shared" si="118"/>
        <v>1</v>
      </c>
      <c r="L349" s="46"/>
      <c r="M349" s="47"/>
      <c r="N349" s="47"/>
      <c r="O349" s="47"/>
      <c r="P349" s="48">
        <f t="shared" si="119"/>
        <v>0</v>
      </c>
      <c r="Q349" s="46"/>
      <c r="R349" s="47">
        <v>1</v>
      </c>
      <c r="S349" s="47"/>
      <c r="T349" s="47"/>
      <c r="U349" s="180">
        <f t="shared" si="120"/>
        <v>1</v>
      </c>
      <c r="V349" s="49">
        <f t="shared" si="121"/>
        <v>2</v>
      </c>
      <c r="W349" s="328">
        <v>44391</v>
      </c>
      <c r="X349" s="326"/>
      <c r="Y349" s="326"/>
      <c r="Z349" s="326"/>
      <c r="AC349" s="283" t="s">
        <v>21</v>
      </c>
      <c r="AD349" s="55"/>
      <c r="AE349" s="55"/>
      <c r="AF349" s="55"/>
      <c r="AG349" s="166"/>
      <c r="AH349" s="49">
        <f t="shared" si="123"/>
        <v>0</v>
      </c>
      <c r="AI349" s="55"/>
      <c r="AJ349" s="55"/>
      <c r="AK349" s="55"/>
      <c r="AL349" s="166"/>
      <c r="AM349" s="49">
        <f t="shared" si="124"/>
        <v>0</v>
      </c>
      <c r="AN349" s="55"/>
      <c r="AO349" s="55"/>
      <c r="AP349" s="55"/>
      <c r="AQ349" s="166"/>
      <c r="AR349" s="49">
        <f t="shared" si="129"/>
        <v>0</v>
      </c>
      <c r="AS349" s="55"/>
      <c r="AT349" s="55"/>
      <c r="AU349" s="55"/>
      <c r="AV349" s="166"/>
      <c r="AW349" s="175">
        <f t="shared" si="130"/>
        <v>0</v>
      </c>
      <c r="AX349" s="56">
        <f t="shared" si="122"/>
        <v>0</v>
      </c>
      <c r="AY349" s="329"/>
      <c r="AZ349" s="326"/>
    </row>
    <row r="350" spans="1:52" x14ac:dyDescent="0.15">
      <c r="A350" s="53" t="s">
        <v>292</v>
      </c>
      <c r="B350" s="54"/>
      <c r="C350" s="55"/>
      <c r="D350" s="55"/>
      <c r="E350" s="55"/>
      <c r="F350" s="56">
        <f t="shared" si="117"/>
        <v>0</v>
      </c>
      <c r="G350" s="54"/>
      <c r="H350" s="55">
        <v>1</v>
      </c>
      <c r="I350" s="55">
        <v>1</v>
      </c>
      <c r="J350" s="55"/>
      <c r="K350" s="56">
        <f t="shared" si="118"/>
        <v>2</v>
      </c>
      <c r="L350" s="54"/>
      <c r="M350" s="55"/>
      <c r="N350" s="55"/>
      <c r="O350" s="55"/>
      <c r="P350" s="56">
        <f t="shared" si="119"/>
        <v>0</v>
      </c>
      <c r="Q350" s="54"/>
      <c r="R350" s="55">
        <v>1</v>
      </c>
      <c r="S350" s="55"/>
      <c r="T350" s="55"/>
      <c r="U350" s="176">
        <f t="shared" si="120"/>
        <v>1</v>
      </c>
      <c r="V350" s="56">
        <f t="shared" si="121"/>
        <v>3</v>
      </c>
      <c r="W350" s="329">
        <v>44394</v>
      </c>
      <c r="X350" s="326"/>
      <c r="Y350" s="326"/>
      <c r="Z350" s="326"/>
      <c r="AC350" s="53" t="s">
        <v>21</v>
      </c>
      <c r="AD350" s="54"/>
      <c r="AE350" s="55"/>
      <c r="AF350" s="55"/>
      <c r="AG350" s="55"/>
      <c r="AH350" s="56">
        <f t="shared" si="123"/>
        <v>0</v>
      </c>
      <c r="AI350" s="54"/>
      <c r="AJ350" s="55"/>
      <c r="AK350" s="55"/>
      <c r="AL350" s="55"/>
      <c r="AM350" s="56">
        <f t="shared" si="124"/>
        <v>0</v>
      </c>
      <c r="AN350" s="54"/>
      <c r="AO350" s="55"/>
      <c r="AP350" s="55"/>
      <c r="AQ350" s="55"/>
      <c r="AR350" s="56">
        <f t="shared" si="129"/>
        <v>0</v>
      </c>
      <c r="AS350" s="54">
        <v>3</v>
      </c>
      <c r="AT350" s="55"/>
      <c r="AU350" s="55"/>
      <c r="AV350" s="55"/>
      <c r="AW350" s="176">
        <f t="shared" si="130"/>
        <v>3</v>
      </c>
      <c r="AX350" s="56">
        <f t="shared" si="122"/>
        <v>3</v>
      </c>
      <c r="AY350" s="329">
        <v>44391</v>
      </c>
      <c r="AZ350" s="326"/>
    </row>
    <row r="351" spans="1:52" x14ac:dyDescent="0.15">
      <c r="A351" s="53" t="s">
        <v>98</v>
      </c>
      <c r="B351" s="54"/>
      <c r="C351" s="55"/>
      <c r="D351" s="55"/>
      <c r="E351" s="55"/>
      <c r="F351" s="56">
        <f t="shared" si="117"/>
        <v>0</v>
      </c>
      <c r="G351" s="54">
        <v>1</v>
      </c>
      <c r="H351" s="55"/>
      <c r="I351" s="55"/>
      <c r="J351" s="55"/>
      <c r="K351" s="56">
        <f t="shared" si="118"/>
        <v>1</v>
      </c>
      <c r="L351" s="54"/>
      <c r="M351" s="55"/>
      <c r="N351" s="55"/>
      <c r="O351" s="55"/>
      <c r="P351" s="56">
        <f t="shared" si="119"/>
        <v>0</v>
      </c>
      <c r="Q351" s="54"/>
      <c r="R351" s="55">
        <v>1</v>
      </c>
      <c r="S351" s="55">
        <v>1</v>
      </c>
      <c r="T351" s="55"/>
      <c r="U351" s="176">
        <f t="shared" si="120"/>
        <v>2</v>
      </c>
      <c r="V351" s="56">
        <f t="shared" si="121"/>
        <v>3</v>
      </c>
      <c r="W351" s="328">
        <v>44393</v>
      </c>
      <c r="X351" s="326"/>
      <c r="Y351" s="326"/>
      <c r="Z351" s="326"/>
      <c r="AC351" s="277" t="s">
        <v>187</v>
      </c>
      <c r="AD351" s="54"/>
      <c r="AE351" s="55"/>
      <c r="AF351" s="55"/>
      <c r="AG351" s="55"/>
      <c r="AH351" s="56">
        <f t="shared" si="123"/>
        <v>0</v>
      </c>
      <c r="AI351" s="54"/>
      <c r="AJ351" s="55"/>
      <c r="AK351" s="55"/>
      <c r="AL351" s="55"/>
      <c r="AM351" s="56">
        <f t="shared" si="124"/>
        <v>0</v>
      </c>
      <c r="AN351" s="54"/>
      <c r="AO351" s="55"/>
      <c r="AP351" s="55"/>
      <c r="AQ351" s="55"/>
      <c r="AR351" s="56">
        <f t="shared" si="129"/>
        <v>0</v>
      </c>
      <c r="AS351" s="54">
        <v>5</v>
      </c>
      <c r="AT351" s="55"/>
      <c r="AU351" s="55"/>
      <c r="AV351" s="55">
        <v>5</v>
      </c>
      <c r="AW351" s="176">
        <f t="shared" si="130"/>
        <v>10</v>
      </c>
      <c r="AX351" s="56">
        <f t="shared" si="122"/>
        <v>10</v>
      </c>
      <c r="AY351" s="329">
        <v>44396</v>
      </c>
      <c r="AZ351" s="326"/>
    </row>
    <row r="352" spans="1:52" x14ac:dyDescent="0.15">
      <c r="A352" s="53" t="s">
        <v>98</v>
      </c>
      <c r="B352" s="54"/>
      <c r="C352" s="55"/>
      <c r="D352" s="55"/>
      <c r="E352" s="55"/>
      <c r="F352" s="56">
        <f t="shared" si="117"/>
        <v>0</v>
      </c>
      <c r="G352" s="54"/>
      <c r="H352" s="55">
        <v>1</v>
      </c>
      <c r="I352" s="55"/>
      <c r="J352" s="55"/>
      <c r="K352" s="56">
        <f t="shared" si="118"/>
        <v>1</v>
      </c>
      <c r="L352" s="54"/>
      <c r="M352" s="55"/>
      <c r="N352" s="55"/>
      <c r="O352" s="55"/>
      <c r="P352" s="56">
        <f t="shared" si="119"/>
        <v>0</v>
      </c>
      <c r="Q352" s="54"/>
      <c r="R352" s="55"/>
      <c r="S352" s="55"/>
      <c r="T352" s="55"/>
      <c r="U352" s="176">
        <f t="shared" si="120"/>
        <v>0</v>
      </c>
      <c r="V352" s="56">
        <f t="shared" si="121"/>
        <v>1</v>
      </c>
      <c r="W352" s="328">
        <v>44394</v>
      </c>
      <c r="X352" s="326"/>
      <c r="Y352" s="326"/>
      <c r="Z352" s="326"/>
      <c r="AC352" s="277" t="s">
        <v>189</v>
      </c>
      <c r="AD352" s="54">
        <v>5</v>
      </c>
      <c r="AE352" s="55"/>
      <c r="AF352" s="55"/>
      <c r="AG352" s="55"/>
      <c r="AH352" s="56">
        <f t="shared" si="123"/>
        <v>5</v>
      </c>
      <c r="AI352" s="54"/>
      <c r="AJ352" s="55"/>
      <c r="AK352" s="55"/>
      <c r="AL352" s="55"/>
      <c r="AM352" s="56">
        <f t="shared" si="124"/>
        <v>0</v>
      </c>
      <c r="AN352" s="54"/>
      <c r="AO352" s="55"/>
      <c r="AP352" s="55"/>
      <c r="AQ352" s="55"/>
      <c r="AR352" s="56">
        <f t="shared" si="129"/>
        <v>0</v>
      </c>
      <c r="AS352" s="54"/>
      <c r="AT352" s="55"/>
      <c r="AU352" s="55"/>
      <c r="AV352" s="55"/>
      <c r="AW352" s="56">
        <f t="shared" si="130"/>
        <v>0</v>
      </c>
      <c r="AX352" s="56">
        <f t="shared" si="122"/>
        <v>5</v>
      </c>
      <c r="AY352" s="329">
        <v>44397</v>
      </c>
      <c r="AZ352" s="326"/>
    </row>
    <row r="353" spans="1:52" x14ac:dyDescent="0.15">
      <c r="A353" s="53" t="s">
        <v>98</v>
      </c>
      <c r="B353" s="54"/>
      <c r="C353" s="55">
        <v>1</v>
      </c>
      <c r="D353" s="55"/>
      <c r="E353" s="55"/>
      <c r="F353" s="56">
        <f t="shared" si="117"/>
        <v>1</v>
      </c>
      <c r="G353" s="54"/>
      <c r="H353" s="55">
        <f>1+1</f>
        <v>2</v>
      </c>
      <c r="I353" s="55"/>
      <c r="J353" s="55"/>
      <c r="K353" s="56">
        <f t="shared" si="118"/>
        <v>2</v>
      </c>
      <c r="L353" s="54"/>
      <c r="M353" s="55"/>
      <c r="N353" s="55"/>
      <c r="O353" s="55"/>
      <c r="P353" s="56">
        <f t="shared" si="119"/>
        <v>0</v>
      </c>
      <c r="Q353" s="54">
        <v>1</v>
      </c>
      <c r="R353" s="55">
        <v>1</v>
      </c>
      <c r="S353" s="55">
        <v>1</v>
      </c>
      <c r="T353" s="55">
        <v>2</v>
      </c>
      <c r="U353" s="176">
        <f t="shared" si="120"/>
        <v>5</v>
      </c>
      <c r="V353" s="56">
        <f t="shared" si="121"/>
        <v>8</v>
      </c>
      <c r="W353" s="329">
        <v>44396</v>
      </c>
      <c r="X353" s="326"/>
      <c r="Y353" s="326"/>
      <c r="Z353" s="326"/>
      <c r="AC353" s="276" t="s">
        <v>289</v>
      </c>
      <c r="AD353" s="51"/>
      <c r="AE353" s="52"/>
      <c r="AF353" s="52"/>
      <c r="AG353" s="52"/>
      <c r="AH353" s="49">
        <f t="shared" si="123"/>
        <v>0</v>
      </c>
      <c r="AI353" s="51"/>
      <c r="AJ353" s="52"/>
      <c r="AK353" s="52">
        <v>5</v>
      </c>
      <c r="AL353" s="52"/>
      <c r="AM353" s="49">
        <f t="shared" si="124"/>
        <v>5</v>
      </c>
      <c r="AN353" s="51"/>
      <c r="AO353" s="52"/>
      <c r="AP353" s="52"/>
      <c r="AQ353" s="52"/>
      <c r="AR353" s="49">
        <f t="shared" si="129"/>
        <v>0</v>
      </c>
      <c r="AS353" s="51"/>
      <c r="AT353" s="52">
        <v>5</v>
      </c>
      <c r="AU353" s="52"/>
      <c r="AV353" s="52"/>
      <c r="AW353" s="175">
        <f t="shared" si="130"/>
        <v>5</v>
      </c>
      <c r="AX353" s="49">
        <f t="shared" si="122"/>
        <v>10</v>
      </c>
      <c r="AY353" s="329">
        <v>44397</v>
      </c>
      <c r="AZ353" s="326"/>
    </row>
    <row r="354" spans="1:52" x14ac:dyDescent="0.15">
      <c r="A354" s="53" t="s">
        <v>100</v>
      </c>
      <c r="B354" s="54"/>
      <c r="C354" s="55"/>
      <c r="D354" s="55"/>
      <c r="E354" s="55">
        <v>1</v>
      </c>
      <c r="F354" s="56">
        <f t="shared" si="117"/>
        <v>1</v>
      </c>
      <c r="G354" s="54"/>
      <c r="H354" s="55"/>
      <c r="I354" s="55"/>
      <c r="J354" s="55"/>
      <c r="K354" s="56">
        <f t="shared" si="118"/>
        <v>0</v>
      </c>
      <c r="L354" s="54"/>
      <c r="M354" s="55"/>
      <c r="N354" s="55">
        <v>1</v>
      </c>
      <c r="O354" s="55"/>
      <c r="P354" s="56">
        <f t="shared" si="119"/>
        <v>1</v>
      </c>
      <c r="Q354" s="54"/>
      <c r="R354" s="55"/>
      <c r="S354" s="55"/>
      <c r="T354" s="55"/>
      <c r="U354" s="176">
        <f t="shared" si="120"/>
        <v>0</v>
      </c>
      <c r="V354" s="56">
        <f t="shared" si="121"/>
        <v>2</v>
      </c>
      <c r="W354" s="329">
        <v>44398</v>
      </c>
      <c r="X354" s="326"/>
      <c r="Y354" s="326"/>
      <c r="Z354" s="326"/>
      <c r="AC354" s="268" t="s">
        <v>290</v>
      </c>
      <c r="AD354" s="54"/>
      <c r="AE354" s="55">
        <v>2</v>
      </c>
      <c r="AF354" s="55"/>
      <c r="AG354" s="55"/>
      <c r="AH354" s="56">
        <f t="shared" si="123"/>
        <v>2</v>
      </c>
      <c r="AI354" s="54"/>
      <c r="AJ354" s="55"/>
      <c r="AK354" s="55"/>
      <c r="AL354" s="55"/>
      <c r="AM354" s="56">
        <f t="shared" si="124"/>
        <v>0</v>
      </c>
      <c r="AN354" s="54"/>
      <c r="AO354" s="55"/>
      <c r="AP354" s="55"/>
      <c r="AQ354" s="55"/>
      <c r="AR354" s="56">
        <f t="shared" si="129"/>
        <v>0</v>
      </c>
      <c r="AS354" s="54"/>
      <c r="AT354" s="55"/>
      <c r="AU354" s="55"/>
      <c r="AV354" s="55"/>
      <c r="AW354" s="176">
        <f t="shared" si="130"/>
        <v>0</v>
      </c>
      <c r="AX354" s="56">
        <f t="shared" si="122"/>
        <v>2</v>
      </c>
      <c r="AY354" s="329">
        <v>44405</v>
      </c>
      <c r="AZ354" s="326"/>
    </row>
    <row r="355" spans="1:52" x14ac:dyDescent="0.15">
      <c r="A355" s="53" t="s">
        <v>98</v>
      </c>
      <c r="B355" s="54">
        <v>1</v>
      </c>
      <c r="C355" s="55"/>
      <c r="D355" s="55"/>
      <c r="E355" s="55"/>
      <c r="F355" s="56">
        <f t="shared" si="117"/>
        <v>1</v>
      </c>
      <c r="G355" s="54"/>
      <c r="H355" s="55">
        <v>1</v>
      </c>
      <c r="I355" s="55">
        <v>1</v>
      </c>
      <c r="J355" s="55"/>
      <c r="K355" s="56">
        <f t="shared" si="118"/>
        <v>2</v>
      </c>
      <c r="L355" s="54"/>
      <c r="M355" s="55"/>
      <c r="N355" s="55">
        <v>2</v>
      </c>
      <c r="O355" s="55"/>
      <c r="P355" s="56">
        <f t="shared" si="119"/>
        <v>2</v>
      </c>
      <c r="Q355" s="54">
        <v>1</v>
      </c>
      <c r="R355" s="55">
        <v>4</v>
      </c>
      <c r="S355" s="55">
        <v>1</v>
      </c>
      <c r="T355" s="55"/>
      <c r="U355" s="176">
        <f t="shared" si="120"/>
        <v>6</v>
      </c>
      <c r="V355" s="56">
        <f t="shared" si="121"/>
        <v>11</v>
      </c>
      <c r="W355" s="328">
        <v>44397</v>
      </c>
      <c r="X355" s="326"/>
      <c r="Y355" s="326"/>
      <c r="Z355" s="326"/>
      <c r="AC355" s="277" t="s">
        <v>191</v>
      </c>
      <c r="AD355" s="54"/>
      <c r="AE355" s="55">
        <v>3</v>
      </c>
      <c r="AF355" s="55"/>
      <c r="AG355" s="55"/>
      <c r="AH355" s="56">
        <f t="shared" si="123"/>
        <v>3</v>
      </c>
      <c r="AI355" s="54"/>
      <c r="AJ355" s="55"/>
      <c r="AK355" s="55"/>
      <c r="AL355" s="55"/>
      <c r="AM355" s="56">
        <f t="shared" si="124"/>
        <v>0</v>
      </c>
      <c r="AN355" s="54"/>
      <c r="AO355" s="55"/>
      <c r="AP355" s="55"/>
      <c r="AQ355" s="55"/>
      <c r="AR355" s="56">
        <f t="shared" si="129"/>
        <v>0</v>
      </c>
      <c r="AS355" s="54"/>
      <c r="AT355" s="55"/>
      <c r="AU355" s="55"/>
      <c r="AV355" s="55"/>
      <c r="AW355" s="176">
        <f t="shared" si="130"/>
        <v>0</v>
      </c>
      <c r="AX355" s="56">
        <f t="shared" si="122"/>
        <v>3</v>
      </c>
      <c r="AY355" s="329">
        <v>44398</v>
      </c>
      <c r="AZ355" s="326"/>
    </row>
    <row r="356" spans="1:52" x14ac:dyDescent="0.15">
      <c r="A356" s="53" t="s">
        <v>98</v>
      </c>
      <c r="B356" s="54"/>
      <c r="C356" s="55">
        <v>1</v>
      </c>
      <c r="D356" s="55"/>
      <c r="E356" s="55"/>
      <c r="F356" s="56">
        <f t="shared" si="117"/>
        <v>1</v>
      </c>
      <c r="G356" s="54">
        <v>1</v>
      </c>
      <c r="H356" s="55"/>
      <c r="I356" s="55">
        <v>1</v>
      </c>
      <c r="J356" s="55">
        <v>1</v>
      </c>
      <c r="K356" s="56">
        <f t="shared" si="118"/>
        <v>3</v>
      </c>
      <c r="L356" s="54">
        <v>1</v>
      </c>
      <c r="M356" s="55"/>
      <c r="N356" s="55"/>
      <c r="O356" s="55"/>
      <c r="P356" s="56">
        <f t="shared" si="119"/>
        <v>1</v>
      </c>
      <c r="Q356" s="54">
        <f>1+1</f>
        <v>2</v>
      </c>
      <c r="R356" s="55"/>
      <c r="S356" s="55"/>
      <c r="T356" s="55">
        <v>1</v>
      </c>
      <c r="U356" s="176">
        <f t="shared" si="120"/>
        <v>3</v>
      </c>
      <c r="V356" s="56">
        <f t="shared" si="121"/>
        <v>8</v>
      </c>
      <c r="W356" s="329">
        <v>44398</v>
      </c>
      <c r="X356" s="326"/>
      <c r="Y356" s="326"/>
      <c r="Z356" s="326"/>
      <c r="AC356" s="276" t="s">
        <v>291</v>
      </c>
      <c r="AD356" s="55"/>
      <c r="AE356" s="55"/>
      <c r="AF356" s="55"/>
      <c r="AG356" s="166"/>
      <c r="AH356" s="49">
        <f t="shared" si="123"/>
        <v>0</v>
      </c>
      <c r="AI356" s="55"/>
      <c r="AJ356" s="55"/>
      <c r="AK356" s="55"/>
      <c r="AL356" s="166"/>
      <c r="AM356" s="49">
        <f t="shared" si="124"/>
        <v>0</v>
      </c>
      <c r="AN356" s="55"/>
      <c r="AO356" s="55"/>
      <c r="AP356" s="55"/>
      <c r="AQ356" s="166"/>
      <c r="AR356" s="49">
        <f t="shared" si="129"/>
        <v>0</v>
      </c>
      <c r="AS356" s="55"/>
      <c r="AT356" s="55"/>
      <c r="AU356" s="55"/>
      <c r="AV356" s="166">
        <v>3</v>
      </c>
      <c r="AW356" s="175">
        <f t="shared" si="130"/>
        <v>3</v>
      </c>
      <c r="AX356" s="56">
        <f t="shared" si="122"/>
        <v>3</v>
      </c>
      <c r="AY356" s="329">
        <v>44398</v>
      </c>
      <c r="AZ356" s="326"/>
    </row>
    <row r="357" spans="1:52" x14ac:dyDescent="0.15">
      <c r="A357" s="53" t="s">
        <v>98</v>
      </c>
      <c r="B357" s="17"/>
      <c r="C357" s="18">
        <v>1</v>
      </c>
      <c r="D357" s="18">
        <v>1</v>
      </c>
      <c r="E357" s="18">
        <v>1</v>
      </c>
      <c r="F357" s="30">
        <f t="shared" si="117"/>
        <v>3</v>
      </c>
      <c r="G357" s="17">
        <v>2</v>
      </c>
      <c r="H357" s="18">
        <v>2</v>
      </c>
      <c r="I357" s="18">
        <v>1</v>
      </c>
      <c r="J357" s="18">
        <v>1</v>
      </c>
      <c r="K357" s="30">
        <f t="shared" si="118"/>
        <v>6</v>
      </c>
      <c r="L357" s="17"/>
      <c r="M357" s="18"/>
      <c r="N357" s="18">
        <v>2</v>
      </c>
      <c r="O357" s="18">
        <v>1</v>
      </c>
      <c r="P357" s="30">
        <f t="shared" si="119"/>
        <v>3</v>
      </c>
      <c r="Q357" s="17"/>
      <c r="R357" s="18">
        <v>2</v>
      </c>
      <c r="S357" s="18"/>
      <c r="T357" s="18"/>
      <c r="U357" s="178">
        <f t="shared" si="120"/>
        <v>2</v>
      </c>
      <c r="V357" s="56">
        <f t="shared" si="121"/>
        <v>14</v>
      </c>
      <c r="W357" s="328">
        <v>44401</v>
      </c>
      <c r="X357" s="326"/>
      <c r="Y357" s="326"/>
      <c r="Z357" s="326"/>
      <c r="AC357" s="276" t="s">
        <v>293</v>
      </c>
      <c r="AD357" s="17"/>
      <c r="AE357" s="18"/>
      <c r="AF357" s="18"/>
      <c r="AG357" s="18"/>
      <c r="AH357" s="30">
        <f t="shared" si="123"/>
        <v>0</v>
      </c>
      <c r="AI357" s="17"/>
      <c r="AJ357" s="18"/>
      <c r="AK357" s="18"/>
      <c r="AL357" s="18"/>
      <c r="AM357" s="30">
        <f t="shared" si="124"/>
        <v>0</v>
      </c>
      <c r="AN357" s="17"/>
      <c r="AO357" s="18"/>
      <c r="AP357" s="18"/>
      <c r="AQ357" s="18"/>
      <c r="AR357" s="30">
        <f t="shared" si="129"/>
        <v>0</v>
      </c>
      <c r="AS357" s="17"/>
      <c r="AT357" s="18">
        <v>5</v>
      </c>
      <c r="AU357" s="18"/>
      <c r="AV357" s="18"/>
      <c r="AW357" s="178">
        <f t="shared" si="130"/>
        <v>5</v>
      </c>
      <c r="AX357" s="56">
        <f t="shared" si="122"/>
        <v>5</v>
      </c>
      <c r="AY357" s="329">
        <v>44403</v>
      </c>
      <c r="AZ357" s="326"/>
    </row>
    <row r="358" spans="1:52" x14ac:dyDescent="0.15">
      <c r="A358" s="53" t="s">
        <v>98</v>
      </c>
      <c r="B358" s="54">
        <v>1</v>
      </c>
      <c r="C358" s="55"/>
      <c r="D358" s="55"/>
      <c r="E358" s="55"/>
      <c r="F358" s="56">
        <f t="shared" si="117"/>
        <v>1</v>
      </c>
      <c r="G358" s="54"/>
      <c r="H358" s="55">
        <f>1+2</f>
        <v>3</v>
      </c>
      <c r="I358" s="55">
        <v>2</v>
      </c>
      <c r="J358" s="55"/>
      <c r="K358" s="56">
        <f t="shared" si="118"/>
        <v>5</v>
      </c>
      <c r="L358" s="54"/>
      <c r="M358" s="55"/>
      <c r="N358" s="55">
        <f>1+1</f>
        <v>2</v>
      </c>
      <c r="O358" s="55"/>
      <c r="P358" s="56">
        <f t="shared" si="119"/>
        <v>2</v>
      </c>
      <c r="Q358" s="54">
        <v>2</v>
      </c>
      <c r="R358" s="55">
        <f>1+1</f>
        <v>2</v>
      </c>
      <c r="S358" s="55"/>
      <c r="T358" s="55"/>
      <c r="U358" s="176">
        <f t="shared" si="120"/>
        <v>4</v>
      </c>
      <c r="V358" s="56">
        <f t="shared" si="121"/>
        <v>12</v>
      </c>
      <c r="W358" s="328">
        <v>44403</v>
      </c>
      <c r="X358" s="326"/>
      <c r="Y358" s="326"/>
      <c r="Z358" s="326"/>
      <c r="AC358" s="53" t="s">
        <v>21</v>
      </c>
      <c r="AD358" s="54"/>
      <c r="AE358" s="55"/>
      <c r="AF358" s="55"/>
      <c r="AG358" s="55"/>
      <c r="AH358" s="56">
        <f t="shared" si="123"/>
        <v>0</v>
      </c>
      <c r="AI358" s="54"/>
      <c r="AJ358" s="55">
        <v>3</v>
      </c>
      <c r="AK358" s="55"/>
      <c r="AL358" s="55"/>
      <c r="AM358" s="56">
        <f t="shared" si="124"/>
        <v>3</v>
      </c>
      <c r="AN358" s="54"/>
      <c r="AO358" s="55"/>
      <c r="AP358" s="55"/>
      <c r="AQ358" s="55"/>
      <c r="AR358" s="56">
        <f t="shared" si="129"/>
        <v>0</v>
      </c>
      <c r="AS358" s="54"/>
      <c r="AT358" s="55"/>
      <c r="AU358" s="55"/>
      <c r="AV358" s="55"/>
      <c r="AW358" s="176">
        <f t="shared" si="130"/>
        <v>0</v>
      </c>
      <c r="AX358" s="56">
        <f t="shared" si="122"/>
        <v>3</v>
      </c>
      <c r="AY358" s="329">
        <v>44394</v>
      </c>
      <c r="AZ358" s="332"/>
    </row>
    <row r="359" spans="1:52" x14ac:dyDescent="0.15">
      <c r="A359" s="53" t="s">
        <v>100</v>
      </c>
      <c r="B359" s="54"/>
      <c r="C359" s="55"/>
      <c r="D359" s="55"/>
      <c r="E359" s="55"/>
      <c r="F359" s="56">
        <f t="shared" si="117"/>
        <v>0</v>
      </c>
      <c r="G359" s="54"/>
      <c r="H359" s="55"/>
      <c r="I359" s="55"/>
      <c r="J359" s="55">
        <v>1</v>
      </c>
      <c r="K359" s="56">
        <f t="shared" si="118"/>
        <v>1</v>
      </c>
      <c r="L359" s="54"/>
      <c r="M359" s="55"/>
      <c r="N359" s="55"/>
      <c r="O359" s="55"/>
      <c r="P359" s="56">
        <f t="shared" si="119"/>
        <v>0</v>
      </c>
      <c r="Q359" s="54"/>
      <c r="R359" s="55"/>
      <c r="S359" s="55"/>
      <c r="T359" s="55"/>
      <c r="U359" s="176">
        <f t="shared" si="120"/>
        <v>0</v>
      </c>
      <c r="V359" s="56">
        <f t="shared" si="121"/>
        <v>1</v>
      </c>
      <c r="W359" s="329">
        <v>44405</v>
      </c>
      <c r="X359" s="326"/>
      <c r="Y359" s="326"/>
      <c r="Z359" s="326"/>
      <c r="AC359" s="268" t="s">
        <v>294</v>
      </c>
      <c r="AD359" s="54"/>
      <c r="AE359" s="55"/>
      <c r="AF359" s="55"/>
      <c r="AG359" s="55"/>
      <c r="AH359" s="56">
        <f t="shared" si="123"/>
        <v>0</v>
      </c>
      <c r="AI359" s="54"/>
      <c r="AJ359" s="55">
        <v>3</v>
      </c>
      <c r="AK359" s="55"/>
      <c r="AL359" s="55"/>
      <c r="AM359" s="56">
        <f t="shared" si="124"/>
        <v>3</v>
      </c>
      <c r="AN359" s="54"/>
      <c r="AO359" s="55"/>
      <c r="AP359" s="55"/>
      <c r="AQ359" s="55"/>
      <c r="AR359" s="56">
        <f t="shared" si="129"/>
        <v>0</v>
      </c>
      <c r="AS359" s="54"/>
      <c r="AT359" s="55"/>
      <c r="AU359" s="55"/>
      <c r="AV359" s="55"/>
      <c r="AW359" s="176">
        <f t="shared" si="130"/>
        <v>0</v>
      </c>
      <c r="AX359" s="56">
        <f t="shared" si="122"/>
        <v>3</v>
      </c>
      <c r="AY359" s="329">
        <v>44408</v>
      </c>
      <c r="AZ359" s="332"/>
    </row>
    <row r="360" spans="1:52" x14ac:dyDescent="0.15">
      <c r="A360" s="53"/>
      <c r="B360" s="54"/>
      <c r="C360" s="55"/>
      <c r="D360" s="55"/>
      <c r="E360" s="55"/>
      <c r="F360" s="56">
        <f t="shared" si="117"/>
        <v>0</v>
      </c>
      <c r="G360" s="54"/>
      <c r="H360" s="55"/>
      <c r="I360" s="55"/>
      <c r="J360" s="55"/>
      <c r="K360" s="56">
        <f t="shared" si="118"/>
        <v>0</v>
      </c>
      <c r="L360" s="54"/>
      <c r="M360" s="55"/>
      <c r="N360" s="55"/>
      <c r="O360" s="55"/>
      <c r="P360" s="56">
        <f t="shared" si="119"/>
        <v>0</v>
      </c>
      <c r="Q360" s="54"/>
      <c r="R360" s="55"/>
      <c r="S360" s="55"/>
      <c r="T360" s="55"/>
      <c r="U360" s="176">
        <f t="shared" si="120"/>
        <v>0</v>
      </c>
      <c r="V360" s="56">
        <f t="shared" si="121"/>
        <v>0</v>
      </c>
      <c r="W360" s="329"/>
      <c r="X360" s="326"/>
      <c r="Y360" s="326"/>
      <c r="Z360" s="326"/>
      <c r="AC360" s="53" t="s">
        <v>100</v>
      </c>
      <c r="AD360" s="54"/>
      <c r="AE360" s="55"/>
      <c r="AF360" s="55"/>
      <c r="AG360" s="55"/>
      <c r="AH360" s="56">
        <f t="shared" si="123"/>
        <v>0</v>
      </c>
      <c r="AI360" s="54"/>
      <c r="AJ360" s="55">
        <v>1</v>
      </c>
      <c r="AK360" s="55">
        <v>2</v>
      </c>
      <c r="AL360" s="55"/>
      <c r="AM360" s="56">
        <f t="shared" si="124"/>
        <v>3</v>
      </c>
      <c r="AN360" s="54"/>
      <c r="AO360" s="55"/>
      <c r="AP360" s="55"/>
      <c r="AQ360" s="55"/>
      <c r="AR360" s="56">
        <f t="shared" si="129"/>
        <v>0</v>
      </c>
      <c r="AS360" s="54"/>
      <c r="AT360" s="55"/>
      <c r="AU360" s="55"/>
      <c r="AV360" s="55"/>
      <c r="AW360" s="176">
        <f t="shared" si="130"/>
        <v>0</v>
      </c>
      <c r="AX360" s="56">
        <f t="shared" si="122"/>
        <v>3</v>
      </c>
      <c r="AY360" s="329">
        <v>44397</v>
      </c>
      <c r="AZ360" s="332"/>
    </row>
    <row r="361" spans="1:52" x14ac:dyDescent="0.15">
      <c r="A361" s="53"/>
      <c r="B361" s="54"/>
      <c r="C361" s="55"/>
      <c r="D361" s="55"/>
      <c r="E361" s="55"/>
      <c r="F361" s="56">
        <f t="shared" si="117"/>
        <v>0</v>
      </c>
      <c r="G361" s="54"/>
      <c r="H361" s="55"/>
      <c r="I361" s="55"/>
      <c r="J361" s="55"/>
      <c r="K361" s="56">
        <f t="shared" si="118"/>
        <v>0</v>
      </c>
      <c r="L361" s="54"/>
      <c r="M361" s="55"/>
      <c r="N361" s="55"/>
      <c r="O361" s="55"/>
      <c r="P361" s="56">
        <f t="shared" si="119"/>
        <v>0</v>
      </c>
      <c r="Q361" s="54"/>
      <c r="R361" s="55"/>
      <c r="S361" s="55"/>
      <c r="T361" s="55"/>
      <c r="U361" s="176">
        <f t="shared" si="120"/>
        <v>0</v>
      </c>
      <c r="V361" s="56">
        <f t="shared" si="121"/>
        <v>0</v>
      </c>
      <c r="W361" s="328"/>
      <c r="X361" s="326"/>
      <c r="Y361" s="326"/>
      <c r="Z361" s="326"/>
      <c r="AC361" s="277" t="s">
        <v>194</v>
      </c>
      <c r="AD361" s="54"/>
      <c r="AE361" s="55"/>
      <c r="AF361" s="55"/>
      <c r="AG361" s="55"/>
      <c r="AH361" s="56">
        <f t="shared" si="123"/>
        <v>0</v>
      </c>
      <c r="AI361" s="54"/>
      <c r="AJ361" s="55">
        <v>6</v>
      </c>
      <c r="AK361" s="55"/>
      <c r="AL361" s="55"/>
      <c r="AM361" s="56">
        <f t="shared" si="124"/>
        <v>6</v>
      </c>
      <c r="AN361" s="54"/>
      <c r="AO361" s="55"/>
      <c r="AP361" s="55"/>
      <c r="AQ361" s="55"/>
      <c r="AR361" s="56">
        <f t="shared" si="129"/>
        <v>0</v>
      </c>
      <c r="AS361" s="54"/>
      <c r="AT361" s="55">
        <v>9</v>
      </c>
      <c r="AU361" s="55"/>
      <c r="AV361" s="55"/>
      <c r="AW361" s="176">
        <f t="shared" si="130"/>
        <v>9</v>
      </c>
      <c r="AX361" s="56">
        <f t="shared" si="122"/>
        <v>15</v>
      </c>
      <c r="AY361" s="329">
        <v>44404</v>
      </c>
      <c r="AZ361" s="332"/>
    </row>
    <row r="362" spans="1:52" x14ac:dyDescent="0.15">
      <c r="A362" s="53"/>
      <c r="B362" s="54"/>
      <c r="C362" s="55"/>
      <c r="D362" s="55"/>
      <c r="E362" s="55"/>
      <c r="F362" s="56">
        <f t="shared" si="117"/>
        <v>0</v>
      </c>
      <c r="G362" s="54"/>
      <c r="H362" s="55"/>
      <c r="I362" s="55"/>
      <c r="J362" s="55"/>
      <c r="K362" s="56">
        <f t="shared" si="118"/>
        <v>0</v>
      </c>
      <c r="L362" s="54"/>
      <c r="M362" s="55"/>
      <c r="N362" s="55"/>
      <c r="O362" s="55"/>
      <c r="P362" s="56">
        <f t="shared" si="119"/>
        <v>0</v>
      </c>
      <c r="Q362" s="54"/>
      <c r="R362" s="55"/>
      <c r="S362" s="55"/>
      <c r="T362" s="55"/>
      <c r="U362" s="176">
        <f t="shared" si="120"/>
        <v>0</v>
      </c>
      <c r="V362" s="56">
        <f t="shared" si="121"/>
        <v>0</v>
      </c>
      <c r="W362" s="325"/>
      <c r="X362" s="326"/>
      <c r="Y362" s="326"/>
      <c r="Z362" s="326"/>
      <c r="AC362" s="276" t="s">
        <v>295</v>
      </c>
      <c r="AD362" s="54"/>
      <c r="AE362" s="55">
        <v>3</v>
      </c>
      <c r="AF362" s="55">
        <v>2</v>
      </c>
      <c r="AG362" s="55"/>
      <c r="AH362" s="56">
        <f t="shared" si="123"/>
        <v>5</v>
      </c>
      <c r="AI362" s="54">
        <v>9</v>
      </c>
      <c r="AJ362" s="55">
        <v>3</v>
      </c>
      <c r="AK362" s="55"/>
      <c r="AL362" s="55"/>
      <c r="AM362" s="56">
        <f t="shared" si="124"/>
        <v>12</v>
      </c>
      <c r="AN362" s="54"/>
      <c r="AO362" s="55"/>
      <c r="AP362" s="55"/>
      <c r="AQ362" s="55"/>
      <c r="AR362" s="56">
        <f t="shared" si="129"/>
        <v>0</v>
      </c>
      <c r="AS362" s="54">
        <v>9</v>
      </c>
      <c r="AT362" s="55">
        <v>6</v>
      </c>
      <c r="AU362" s="55"/>
      <c r="AV362" s="55">
        <v>8</v>
      </c>
      <c r="AW362" s="176">
        <f t="shared" si="130"/>
        <v>23</v>
      </c>
      <c r="AX362" s="56">
        <f t="shared" si="122"/>
        <v>40</v>
      </c>
      <c r="AY362" s="329">
        <v>44404</v>
      </c>
      <c r="AZ362" s="332"/>
    </row>
    <row r="363" spans="1:52" x14ac:dyDescent="0.15">
      <c r="A363" s="53"/>
      <c r="B363" s="54"/>
      <c r="C363" s="55"/>
      <c r="D363" s="55"/>
      <c r="E363" s="55"/>
      <c r="F363" s="56">
        <f t="shared" si="117"/>
        <v>0</v>
      </c>
      <c r="G363" s="54"/>
      <c r="H363" s="55"/>
      <c r="I363" s="55"/>
      <c r="J363" s="55"/>
      <c r="K363" s="56">
        <f t="shared" si="118"/>
        <v>0</v>
      </c>
      <c r="L363" s="54"/>
      <c r="M363" s="55"/>
      <c r="N363" s="55"/>
      <c r="O363" s="55"/>
      <c r="P363" s="56">
        <f t="shared" si="119"/>
        <v>0</v>
      </c>
      <c r="Q363" s="54"/>
      <c r="R363" s="55"/>
      <c r="S363" s="55"/>
      <c r="T363" s="55"/>
      <c r="U363" s="176">
        <f t="shared" si="120"/>
        <v>0</v>
      </c>
      <c r="V363" s="56">
        <f t="shared" si="121"/>
        <v>0</v>
      </c>
      <c r="W363" s="325"/>
      <c r="X363" s="326"/>
      <c r="Y363" s="326"/>
      <c r="Z363" s="326"/>
      <c r="AC363" s="53" t="s">
        <v>21</v>
      </c>
      <c r="AD363" s="55">
        <v>3</v>
      </c>
      <c r="AE363" s="55">
        <v>3</v>
      </c>
      <c r="AF363" s="55">
        <v>6</v>
      </c>
      <c r="AG363" s="166">
        <v>0</v>
      </c>
      <c r="AH363" s="49">
        <f t="shared" si="123"/>
        <v>12</v>
      </c>
      <c r="AI363" s="55">
        <v>3</v>
      </c>
      <c r="AJ363" s="55">
        <v>5</v>
      </c>
      <c r="AK363" s="55">
        <v>3</v>
      </c>
      <c r="AL363" s="166">
        <v>3</v>
      </c>
      <c r="AM363" s="49">
        <f t="shared" si="124"/>
        <v>14</v>
      </c>
      <c r="AN363" s="55">
        <v>3</v>
      </c>
      <c r="AO363" s="55"/>
      <c r="AP363" s="55">
        <v>3</v>
      </c>
      <c r="AQ363" s="166"/>
      <c r="AR363" s="49">
        <f t="shared" si="129"/>
        <v>6</v>
      </c>
      <c r="AS363" s="55">
        <v>5</v>
      </c>
      <c r="AT363" s="55">
        <v>5</v>
      </c>
      <c r="AU363" s="55"/>
      <c r="AV363" s="166"/>
      <c r="AW363" s="175">
        <f t="shared" si="130"/>
        <v>10</v>
      </c>
      <c r="AX363" s="56">
        <f t="shared" si="122"/>
        <v>42</v>
      </c>
      <c r="AY363" s="329">
        <v>44397</v>
      </c>
      <c r="AZ363" s="332"/>
    </row>
    <row r="364" spans="1:52" x14ac:dyDescent="0.15">
      <c r="A364" s="53"/>
      <c r="B364" s="54"/>
      <c r="C364" s="55"/>
      <c r="D364" s="55"/>
      <c r="E364" s="55"/>
      <c r="F364" s="56">
        <f t="shared" si="117"/>
        <v>0</v>
      </c>
      <c r="G364" s="54"/>
      <c r="H364" s="55"/>
      <c r="I364" s="55"/>
      <c r="J364" s="55"/>
      <c r="K364" s="56">
        <f t="shared" si="118"/>
        <v>0</v>
      </c>
      <c r="L364" s="54"/>
      <c r="M364" s="55"/>
      <c r="N364" s="55"/>
      <c r="O364" s="55"/>
      <c r="P364" s="56">
        <f t="shared" si="119"/>
        <v>0</v>
      </c>
      <c r="Q364" s="54"/>
      <c r="R364" s="55"/>
      <c r="S364" s="55"/>
      <c r="T364" s="55"/>
      <c r="U364" s="176">
        <f t="shared" si="120"/>
        <v>0</v>
      </c>
      <c r="V364" s="56">
        <f t="shared" si="121"/>
        <v>0</v>
      </c>
      <c r="W364" s="325"/>
      <c r="X364" s="326"/>
      <c r="Y364" s="326"/>
      <c r="Z364" s="326"/>
      <c r="AC364" s="277" t="s">
        <v>197</v>
      </c>
      <c r="AD364" s="54"/>
      <c r="AE364" s="55"/>
      <c r="AF364" s="55"/>
      <c r="AG364" s="55"/>
      <c r="AH364" s="56">
        <f t="shared" ref="AH364:AH372" si="131">SUM(AD364:AG364)</f>
        <v>0</v>
      </c>
      <c r="AI364" s="54">
        <v>3</v>
      </c>
      <c r="AJ364" s="55"/>
      <c r="AK364" s="55"/>
      <c r="AL364" s="55"/>
      <c r="AM364" s="56">
        <f t="shared" ref="AM364:AM376" si="132">SUM(AI364:AL364)</f>
        <v>3</v>
      </c>
      <c r="AN364" s="54"/>
      <c r="AO364" s="55"/>
      <c r="AP364" s="55"/>
      <c r="AQ364" s="55"/>
      <c r="AR364" s="56">
        <f t="shared" si="129"/>
        <v>0</v>
      </c>
      <c r="AS364" s="54"/>
      <c r="AT364" s="55"/>
      <c r="AU364" s="55"/>
      <c r="AV364" s="55"/>
      <c r="AW364" s="176">
        <f t="shared" si="130"/>
        <v>0</v>
      </c>
      <c r="AX364" s="56">
        <f t="shared" si="122"/>
        <v>3</v>
      </c>
      <c r="AY364" s="329">
        <v>44405</v>
      </c>
      <c r="AZ364" s="332"/>
    </row>
    <row r="365" spans="1:52" x14ac:dyDescent="0.15">
      <c r="A365" s="53"/>
      <c r="B365" s="54"/>
      <c r="C365" s="55"/>
      <c r="D365" s="55"/>
      <c r="E365" s="55"/>
      <c r="F365" s="56">
        <f t="shared" si="117"/>
        <v>0</v>
      </c>
      <c r="G365" s="54"/>
      <c r="H365" s="55"/>
      <c r="I365" s="55"/>
      <c r="J365" s="55"/>
      <c r="K365" s="56">
        <f t="shared" si="118"/>
        <v>0</v>
      </c>
      <c r="L365" s="54"/>
      <c r="M365" s="55"/>
      <c r="N365" s="55"/>
      <c r="O365" s="55"/>
      <c r="P365" s="56">
        <f t="shared" si="119"/>
        <v>0</v>
      </c>
      <c r="Q365" s="54"/>
      <c r="R365" s="55"/>
      <c r="S365" s="55"/>
      <c r="T365" s="55"/>
      <c r="U365" s="176">
        <f t="shared" si="120"/>
        <v>0</v>
      </c>
      <c r="V365" s="56">
        <f t="shared" si="121"/>
        <v>0</v>
      </c>
      <c r="W365" s="325"/>
      <c r="X365" s="326"/>
      <c r="Y365" s="326"/>
      <c r="Z365" s="326"/>
      <c r="AC365" s="276" t="s">
        <v>296</v>
      </c>
      <c r="AD365" s="54"/>
      <c r="AE365" s="55"/>
      <c r="AF365" s="55"/>
      <c r="AG365" s="55"/>
      <c r="AH365" s="56">
        <f t="shared" si="131"/>
        <v>0</v>
      </c>
      <c r="AI365" s="54"/>
      <c r="AJ365" s="55"/>
      <c r="AK365" s="55"/>
      <c r="AL365" s="55"/>
      <c r="AM365" s="56">
        <f t="shared" si="132"/>
        <v>0</v>
      </c>
      <c r="AN365" s="54">
        <v>4</v>
      </c>
      <c r="AO365" s="55"/>
      <c r="AP365" s="55"/>
      <c r="AQ365" s="55"/>
      <c r="AR365" s="56">
        <f t="shared" si="129"/>
        <v>4</v>
      </c>
      <c r="AS365" s="54"/>
      <c r="AT365" s="55">
        <v>2</v>
      </c>
      <c r="AU365" s="55"/>
      <c r="AV365" s="55"/>
      <c r="AW365" s="176">
        <f t="shared" si="130"/>
        <v>2</v>
      </c>
      <c r="AX365" s="56">
        <f t="shared" si="122"/>
        <v>6</v>
      </c>
      <c r="AY365" s="329">
        <v>44405</v>
      </c>
      <c r="AZ365" s="332"/>
    </row>
    <row r="366" spans="1:52" x14ac:dyDescent="0.15">
      <c r="A366" s="53"/>
      <c r="B366" s="54"/>
      <c r="C366" s="55"/>
      <c r="D366" s="55"/>
      <c r="E366" s="55"/>
      <c r="F366" s="56">
        <f t="shared" si="117"/>
        <v>0</v>
      </c>
      <c r="G366" s="54"/>
      <c r="H366" s="55"/>
      <c r="I366" s="55"/>
      <c r="J366" s="55"/>
      <c r="K366" s="56">
        <f t="shared" si="118"/>
        <v>0</v>
      </c>
      <c r="L366" s="54"/>
      <c r="M366" s="55"/>
      <c r="N366" s="55"/>
      <c r="O366" s="55"/>
      <c r="P366" s="56">
        <f t="shared" si="119"/>
        <v>0</v>
      </c>
      <c r="Q366" s="54"/>
      <c r="R366" s="55"/>
      <c r="S366" s="55"/>
      <c r="T366" s="55"/>
      <c r="U366" s="176">
        <f t="shared" si="120"/>
        <v>0</v>
      </c>
      <c r="V366" s="56">
        <f t="shared" si="121"/>
        <v>0</v>
      </c>
      <c r="W366" s="325"/>
      <c r="X366" s="326"/>
      <c r="Y366" s="326"/>
      <c r="Z366" s="326"/>
      <c r="AC366" s="53" t="s">
        <v>21</v>
      </c>
      <c r="AD366" s="63"/>
      <c r="AE366" s="63"/>
      <c r="AF366" s="63"/>
      <c r="AG366" s="167">
        <v>3</v>
      </c>
      <c r="AH366" s="64">
        <f t="shared" si="131"/>
        <v>3</v>
      </c>
      <c r="AI366" s="63"/>
      <c r="AJ366" s="63"/>
      <c r="AK366" s="63"/>
      <c r="AL366" s="167"/>
      <c r="AM366" s="64">
        <f t="shared" si="132"/>
        <v>0</v>
      </c>
      <c r="AN366" s="63"/>
      <c r="AO366" s="63"/>
      <c r="AP366" s="63">
        <v>3</v>
      </c>
      <c r="AQ366" s="167">
        <v>3</v>
      </c>
      <c r="AR366" s="64">
        <f t="shared" si="129"/>
        <v>6</v>
      </c>
      <c r="AS366" s="63"/>
      <c r="AT366" s="63">
        <v>3</v>
      </c>
      <c r="AU366" s="63"/>
      <c r="AV366" s="167"/>
      <c r="AW366" s="162">
        <f t="shared" si="130"/>
        <v>3</v>
      </c>
      <c r="AX366" s="56">
        <f t="shared" si="122"/>
        <v>12</v>
      </c>
      <c r="AY366" s="329">
        <v>44398</v>
      </c>
      <c r="AZ366" s="332"/>
    </row>
    <row r="367" spans="1:52" x14ac:dyDescent="0.15">
      <c r="A367" s="53"/>
      <c r="B367" s="54"/>
      <c r="C367" s="55"/>
      <c r="D367" s="55"/>
      <c r="E367" s="55"/>
      <c r="F367" s="56">
        <f t="shared" si="117"/>
        <v>0</v>
      </c>
      <c r="G367" s="54"/>
      <c r="H367" s="55"/>
      <c r="I367" s="55"/>
      <c r="J367" s="55"/>
      <c r="K367" s="56">
        <f t="shared" si="118"/>
        <v>0</v>
      </c>
      <c r="L367" s="54"/>
      <c r="M367" s="55"/>
      <c r="N367" s="55"/>
      <c r="O367" s="55"/>
      <c r="P367" s="56">
        <f t="shared" si="119"/>
        <v>0</v>
      </c>
      <c r="Q367" s="54"/>
      <c r="R367" s="55"/>
      <c r="S367" s="55"/>
      <c r="T367" s="55"/>
      <c r="U367" s="176">
        <f t="shared" si="120"/>
        <v>0</v>
      </c>
      <c r="V367" s="56">
        <f t="shared" si="121"/>
        <v>0</v>
      </c>
      <c r="W367" s="325"/>
      <c r="X367" s="326"/>
      <c r="Y367" s="326"/>
      <c r="Z367" s="326"/>
      <c r="AC367" s="277" t="s">
        <v>199</v>
      </c>
      <c r="AD367" s="54"/>
      <c r="AE367" s="55"/>
      <c r="AF367" s="55">
        <v>2</v>
      </c>
      <c r="AG367" s="55"/>
      <c r="AH367" s="56">
        <f t="shared" si="131"/>
        <v>2</v>
      </c>
      <c r="AI367" s="54"/>
      <c r="AJ367" s="55"/>
      <c r="AK367" s="55"/>
      <c r="AL367" s="55"/>
      <c r="AM367" s="56">
        <f t="shared" si="132"/>
        <v>0</v>
      </c>
      <c r="AN367" s="54"/>
      <c r="AO367" s="55"/>
      <c r="AP367" s="55"/>
      <c r="AQ367" s="55"/>
      <c r="AR367" s="56">
        <f t="shared" si="129"/>
        <v>0</v>
      </c>
      <c r="AS367" s="54"/>
      <c r="AT367" s="55"/>
      <c r="AU367" s="55"/>
      <c r="AV367" s="55"/>
      <c r="AW367" s="176">
        <f t="shared" si="130"/>
        <v>0</v>
      </c>
      <c r="AX367" s="56">
        <f t="shared" si="122"/>
        <v>2</v>
      </c>
      <c r="AY367" s="329">
        <v>44406</v>
      </c>
      <c r="AZ367" s="332"/>
    </row>
    <row r="368" spans="1:52" x14ac:dyDescent="0.15">
      <c r="A368" s="53"/>
      <c r="B368" s="17"/>
      <c r="C368" s="18"/>
      <c r="D368" s="18"/>
      <c r="E368" s="18"/>
      <c r="F368" s="30">
        <f t="shared" si="117"/>
        <v>0</v>
      </c>
      <c r="G368" s="17"/>
      <c r="H368" s="18"/>
      <c r="I368" s="18"/>
      <c r="J368" s="18"/>
      <c r="K368" s="30">
        <f t="shared" si="118"/>
        <v>0</v>
      </c>
      <c r="L368" s="17"/>
      <c r="M368" s="18"/>
      <c r="N368" s="18"/>
      <c r="O368" s="18"/>
      <c r="P368" s="30">
        <f t="shared" si="119"/>
        <v>0</v>
      </c>
      <c r="Q368" s="17"/>
      <c r="R368" s="18"/>
      <c r="S368" s="18"/>
      <c r="T368" s="18"/>
      <c r="U368" s="178">
        <f t="shared" si="120"/>
        <v>0</v>
      </c>
      <c r="V368" s="56">
        <f t="shared" si="121"/>
        <v>0</v>
      </c>
      <c r="W368" s="325"/>
      <c r="X368" s="326"/>
      <c r="Y368" s="326"/>
      <c r="Z368" s="326"/>
      <c r="AC368" s="276" t="s">
        <v>298</v>
      </c>
      <c r="AD368" s="54"/>
      <c r="AE368" s="55">
        <v>1</v>
      </c>
      <c r="AF368" s="55"/>
      <c r="AG368" s="55"/>
      <c r="AH368" s="56">
        <f t="shared" si="131"/>
        <v>1</v>
      </c>
      <c r="AI368" s="54"/>
      <c r="AJ368" s="55"/>
      <c r="AK368" s="55"/>
      <c r="AL368" s="55"/>
      <c r="AM368" s="56">
        <f t="shared" si="132"/>
        <v>0</v>
      </c>
      <c r="AN368" s="54"/>
      <c r="AO368" s="55"/>
      <c r="AP368" s="55"/>
      <c r="AQ368" s="55"/>
      <c r="AR368" s="56">
        <f t="shared" si="129"/>
        <v>0</v>
      </c>
      <c r="AS368" s="54"/>
      <c r="AT368" s="55">
        <v>1</v>
      </c>
      <c r="AU368" s="55">
        <v>9</v>
      </c>
      <c r="AV368" s="55"/>
      <c r="AW368" s="176">
        <f t="shared" si="130"/>
        <v>10</v>
      </c>
      <c r="AX368" s="56">
        <f t="shared" si="122"/>
        <v>11</v>
      </c>
      <c r="AY368" s="329">
        <v>44406</v>
      </c>
      <c r="AZ368" s="332"/>
    </row>
    <row r="369" spans="1:52" x14ac:dyDescent="0.15">
      <c r="A369" s="53"/>
      <c r="B369" s="54"/>
      <c r="C369" s="55"/>
      <c r="D369" s="55"/>
      <c r="E369" s="55"/>
      <c r="F369" s="56">
        <f t="shared" si="117"/>
        <v>0</v>
      </c>
      <c r="G369" s="54"/>
      <c r="H369" s="55"/>
      <c r="I369" s="55"/>
      <c r="J369" s="55"/>
      <c r="K369" s="56">
        <f t="shared" si="118"/>
        <v>0</v>
      </c>
      <c r="L369" s="54"/>
      <c r="M369" s="55"/>
      <c r="N369" s="55"/>
      <c r="O369" s="55"/>
      <c r="P369" s="56">
        <f t="shared" si="119"/>
        <v>0</v>
      </c>
      <c r="Q369" s="54"/>
      <c r="R369" s="55"/>
      <c r="S369" s="55"/>
      <c r="T369" s="55"/>
      <c r="U369" s="176">
        <f t="shared" si="120"/>
        <v>0</v>
      </c>
      <c r="V369" s="56">
        <f t="shared" si="121"/>
        <v>0</v>
      </c>
      <c r="W369" s="325"/>
      <c r="X369" s="326"/>
      <c r="Y369" s="326"/>
      <c r="Z369" s="326"/>
      <c r="AC369" s="53" t="s">
        <v>100</v>
      </c>
      <c r="AD369" s="54"/>
      <c r="AE369" s="55"/>
      <c r="AF369" s="55"/>
      <c r="AG369" s="55"/>
      <c r="AH369" s="56">
        <f t="shared" si="131"/>
        <v>0</v>
      </c>
      <c r="AI369" s="54"/>
      <c r="AJ369" s="55"/>
      <c r="AK369" s="55">
        <v>1</v>
      </c>
      <c r="AL369" s="55"/>
      <c r="AM369" s="56">
        <f t="shared" si="132"/>
        <v>1</v>
      </c>
      <c r="AN369" s="54"/>
      <c r="AO369" s="55"/>
      <c r="AP369" s="55"/>
      <c r="AQ369" s="55"/>
      <c r="AR369" s="56">
        <f t="shared" si="129"/>
        <v>0</v>
      </c>
      <c r="AS369" s="54"/>
      <c r="AT369" s="55"/>
      <c r="AU369" s="55"/>
      <c r="AV369" s="55"/>
      <c r="AW369" s="176">
        <f t="shared" si="130"/>
        <v>0</v>
      </c>
      <c r="AX369" s="56">
        <f t="shared" si="122"/>
        <v>1</v>
      </c>
      <c r="AY369" s="329">
        <v>44399</v>
      </c>
      <c r="AZ369" s="332"/>
    </row>
    <row r="370" spans="1:52" x14ac:dyDescent="0.15">
      <c r="A370" s="53"/>
      <c r="B370" s="62"/>
      <c r="C370" s="63"/>
      <c r="D370" s="63"/>
      <c r="E370" s="63"/>
      <c r="F370" s="56">
        <f t="shared" si="117"/>
        <v>0</v>
      </c>
      <c r="G370" s="62"/>
      <c r="H370" s="63"/>
      <c r="I370" s="63"/>
      <c r="J370" s="63"/>
      <c r="K370" s="56">
        <f t="shared" si="118"/>
        <v>0</v>
      </c>
      <c r="L370" s="62"/>
      <c r="M370" s="63"/>
      <c r="N370" s="63"/>
      <c r="O370" s="63"/>
      <c r="P370" s="56">
        <f t="shared" si="119"/>
        <v>0</v>
      </c>
      <c r="Q370" s="62"/>
      <c r="R370" s="63"/>
      <c r="S370" s="63"/>
      <c r="T370" s="63"/>
      <c r="U370" s="176">
        <f t="shared" si="120"/>
        <v>0</v>
      </c>
      <c r="V370" s="56">
        <f t="shared" si="121"/>
        <v>0</v>
      </c>
      <c r="W370" s="325"/>
      <c r="X370" s="326"/>
      <c r="Y370" s="326"/>
      <c r="Z370" s="326"/>
      <c r="AC370" s="53" t="s">
        <v>100</v>
      </c>
      <c r="AD370" s="62"/>
      <c r="AE370" s="63"/>
      <c r="AF370" s="63"/>
      <c r="AG370" s="63">
        <v>2</v>
      </c>
      <c r="AH370" s="56">
        <f t="shared" si="131"/>
        <v>2</v>
      </c>
      <c r="AI370" s="62">
        <v>3</v>
      </c>
      <c r="AJ370" s="63">
        <v>5</v>
      </c>
      <c r="AK370" s="63">
        <v>1</v>
      </c>
      <c r="AL370" s="63"/>
      <c r="AM370" s="56">
        <f t="shared" si="132"/>
        <v>9</v>
      </c>
      <c r="AN370" s="62"/>
      <c r="AO370" s="63"/>
      <c r="AP370" s="63"/>
      <c r="AQ370" s="63">
        <v>3</v>
      </c>
      <c r="AR370" s="56">
        <f t="shared" si="129"/>
        <v>3</v>
      </c>
      <c r="AS370" s="62"/>
      <c r="AT370" s="63"/>
      <c r="AU370" s="63"/>
      <c r="AV370" s="63"/>
      <c r="AW370" s="176">
        <f t="shared" si="130"/>
        <v>0</v>
      </c>
      <c r="AX370" s="56">
        <f t="shared" si="122"/>
        <v>14</v>
      </c>
      <c r="AY370" s="329">
        <v>44404</v>
      </c>
      <c r="AZ370" s="326"/>
    </row>
    <row r="371" spans="1:52" x14ac:dyDescent="0.15">
      <c r="A371" s="53"/>
      <c r="B371" s="54"/>
      <c r="C371" s="55"/>
      <c r="D371" s="55"/>
      <c r="E371" s="55"/>
      <c r="F371" s="56">
        <f t="shared" si="117"/>
        <v>0</v>
      </c>
      <c r="G371" s="54"/>
      <c r="H371" s="55"/>
      <c r="I371" s="55"/>
      <c r="J371" s="55"/>
      <c r="K371" s="56">
        <f t="shared" si="118"/>
        <v>0</v>
      </c>
      <c r="L371" s="54"/>
      <c r="M371" s="55"/>
      <c r="N371" s="55"/>
      <c r="O371" s="55"/>
      <c r="P371" s="56">
        <f t="shared" si="119"/>
        <v>0</v>
      </c>
      <c r="Q371" s="54"/>
      <c r="R371" s="55"/>
      <c r="S371" s="55"/>
      <c r="T371" s="55"/>
      <c r="U371" s="176">
        <f t="shared" si="120"/>
        <v>0</v>
      </c>
      <c r="V371" s="56">
        <f t="shared" si="121"/>
        <v>0</v>
      </c>
      <c r="W371" s="325"/>
      <c r="X371" s="326"/>
      <c r="Y371" s="326"/>
      <c r="Z371" s="326"/>
      <c r="AC371" s="268" t="s">
        <v>299</v>
      </c>
      <c r="AD371" s="54"/>
      <c r="AE371" s="55"/>
      <c r="AF371" s="55"/>
      <c r="AG371" s="55"/>
      <c r="AH371" s="56">
        <f t="shared" si="131"/>
        <v>0</v>
      </c>
      <c r="AI371" s="54"/>
      <c r="AJ371" s="55"/>
      <c r="AK371" s="55"/>
      <c r="AL371" s="55">
        <v>2</v>
      </c>
      <c r="AM371" s="56">
        <f t="shared" si="132"/>
        <v>2</v>
      </c>
      <c r="AN371" s="54"/>
      <c r="AO371" s="55"/>
      <c r="AP371" s="55"/>
      <c r="AQ371" s="55"/>
      <c r="AR371" s="56">
        <f t="shared" si="129"/>
        <v>0</v>
      </c>
      <c r="AS371" s="54"/>
      <c r="AT371" s="55"/>
      <c r="AU371" s="55"/>
      <c r="AV371" s="55"/>
      <c r="AW371" s="176">
        <f t="shared" si="130"/>
        <v>0</v>
      </c>
      <c r="AX371" s="56">
        <f t="shared" si="122"/>
        <v>2</v>
      </c>
      <c r="AY371" s="329">
        <v>44410</v>
      </c>
      <c r="AZ371" s="326"/>
    </row>
    <row r="372" spans="1:52" x14ac:dyDescent="0.15">
      <c r="A372" s="53"/>
      <c r="B372" s="54"/>
      <c r="C372" s="55"/>
      <c r="D372" s="55"/>
      <c r="E372" s="55"/>
      <c r="F372" s="56">
        <f t="shared" si="117"/>
        <v>0</v>
      </c>
      <c r="G372" s="54"/>
      <c r="H372" s="55"/>
      <c r="I372" s="55"/>
      <c r="J372" s="55"/>
      <c r="K372" s="56">
        <f t="shared" si="118"/>
        <v>0</v>
      </c>
      <c r="L372" s="54"/>
      <c r="M372" s="55"/>
      <c r="N372" s="55"/>
      <c r="O372" s="55"/>
      <c r="P372" s="56">
        <f t="shared" si="119"/>
        <v>0</v>
      </c>
      <c r="Q372" s="54"/>
      <c r="R372" s="55"/>
      <c r="S372" s="55"/>
      <c r="T372" s="55"/>
      <c r="U372" s="176">
        <f t="shared" si="120"/>
        <v>0</v>
      </c>
      <c r="V372" s="56">
        <f t="shared" si="121"/>
        <v>0</v>
      </c>
      <c r="W372" s="325"/>
      <c r="X372" s="326"/>
      <c r="Y372" s="326"/>
      <c r="Z372" s="326"/>
      <c r="AC372" s="277" t="s">
        <v>200</v>
      </c>
      <c r="AD372" s="62"/>
      <c r="AE372" s="63">
        <v>9</v>
      </c>
      <c r="AF372" s="63">
        <v>8</v>
      </c>
      <c r="AG372" s="63"/>
      <c r="AH372" s="56">
        <f t="shared" si="131"/>
        <v>17</v>
      </c>
      <c r="AI372" s="62"/>
      <c r="AJ372" s="63"/>
      <c r="AK372" s="63"/>
      <c r="AL372" s="63">
        <v>8</v>
      </c>
      <c r="AM372" s="56">
        <f t="shared" si="132"/>
        <v>8</v>
      </c>
      <c r="AN372" s="62"/>
      <c r="AO372" s="63"/>
      <c r="AP372" s="63"/>
      <c r="AQ372" s="63"/>
      <c r="AR372" s="56">
        <f t="shared" si="129"/>
        <v>0</v>
      </c>
      <c r="AS372" s="62"/>
      <c r="AT372" s="63"/>
      <c r="AU372" s="63">
        <v>4</v>
      </c>
      <c r="AV372" s="63"/>
      <c r="AW372" s="176">
        <f t="shared" si="130"/>
        <v>4</v>
      </c>
      <c r="AX372" s="56">
        <f t="shared" si="122"/>
        <v>29</v>
      </c>
      <c r="AY372" s="329">
        <v>44407</v>
      </c>
      <c r="AZ372" s="326"/>
    </row>
    <row r="373" spans="1:52" x14ac:dyDescent="0.15">
      <c r="A373" s="65"/>
      <c r="B373" s="54"/>
      <c r="C373" s="55"/>
      <c r="D373" s="55"/>
      <c r="E373" s="55"/>
      <c r="F373" s="56">
        <f t="shared" si="117"/>
        <v>0</v>
      </c>
      <c r="G373" s="54"/>
      <c r="H373" s="55"/>
      <c r="I373" s="55"/>
      <c r="J373" s="55"/>
      <c r="K373" s="56">
        <f t="shared" si="118"/>
        <v>0</v>
      </c>
      <c r="L373" s="54"/>
      <c r="M373" s="55"/>
      <c r="N373" s="55"/>
      <c r="O373" s="55"/>
      <c r="P373" s="56">
        <f t="shared" si="119"/>
        <v>0</v>
      </c>
      <c r="Q373" s="54"/>
      <c r="R373" s="55"/>
      <c r="S373" s="55"/>
      <c r="T373" s="55"/>
      <c r="U373" s="176">
        <f t="shared" si="120"/>
        <v>0</v>
      </c>
      <c r="V373" s="56">
        <f t="shared" si="121"/>
        <v>0</v>
      </c>
      <c r="W373" s="325"/>
      <c r="X373" s="326"/>
      <c r="Y373" s="326"/>
      <c r="Z373" s="326"/>
      <c r="AC373" s="276" t="s">
        <v>300</v>
      </c>
      <c r="AD373" s="54"/>
      <c r="AE373" s="55"/>
      <c r="AF373" s="55">
        <v>4</v>
      </c>
      <c r="AG373" s="55"/>
      <c r="AH373" s="56">
        <f t="shared" ref="AH373:AH374" si="133">SUM(AD373:AG373)</f>
        <v>4</v>
      </c>
      <c r="AI373" s="54"/>
      <c r="AJ373" s="55">
        <v>6</v>
      </c>
      <c r="AK373" s="55"/>
      <c r="AL373" s="55"/>
      <c r="AM373" s="56">
        <f t="shared" si="132"/>
        <v>6</v>
      </c>
      <c r="AN373" s="54">
        <v>3</v>
      </c>
      <c r="AO373" s="55"/>
      <c r="AP373" s="55"/>
      <c r="AQ373" s="55"/>
      <c r="AR373" s="56">
        <f t="shared" si="129"/>
        <v>3</v>
      </c>
      <c r="AS373" s="54"/>
      <c r="AT373" s="55">
        <v>1</v>
      </c>
      <c r="AU373" s="55"/>
      <c r="AV373" s="55"/>
      <c r="AW373" s="176">
        <f t="shared" si="130"/>
        <v>1</v>
      </c>
      <c r="AX373" s="56">
        <f t="shared" si="122"/>
        <v>14</v>
      </c>
      <c r="AY373" s="329">
        <v>44407</v>
      </c>
      <c r="AZ373" s="326"/>
    </row>
    <row r="374" spans="1:52" ht="14.25" thickBot="1" x14ac:dyDescent="0.2">
      <c r="A374" s="67"/>
      <c r="B374" s="33"/>
      <c r="C374" s="34"/>
      <c r="D374" s="34"/>
      <c r="E374" s="34"/>
      <c r="F374" s="30">
        <f t="shared" si="117"/>
        <v>0</v>
      </c>
      <c r="G374" s="33"/>
      <c r="H374" s="34"/>
      <c r="I374" s="34"/>
      <c r="J374" s="34"/>
      <c r="K374" s="30">
        <f t="shared" si="118"/>
        <v>0</v>
      </c>
      <c r="L374" s="33"/>
      <c r="M374" s="34"/>
      <c r="N374" s="34"/>
      <c r="O374" s="34"/>
      <c r="P374" s="30">
        <f t="shared" si="119"/>
        <v>0</v>
      </c>
      <c r="Q374" s="33"/>
      <c r="R374" s="34"/>
      <c r="S374" s="34"/>
      <c r="T374" s="34"/>
      <c r="U374" s="178">
        <f t="shared" si="120"/>
        <v>0</v>
      </c>
      <c r="V374" s="170">
        <f t="shared" si="121"/>
        <v>0</v>
      </c>
      <c r="W374" s="330"/>
      <c r="X374" s="326"/>
      <c r="Y374" s="326"/>
      <c r="Z374" s="326"/>
      <c r="AC374" s="53" t="s">
        <v>21</v>
      </c>
      <c r="AD374" s="55">
        <v>5</v>
      </c>
      <c r="AE374" s="153">
        <v>5</v>
      </c>
      <c r="AF374" s="153">
        <v>5</v>
      </c>
      <c r="AG374" s="168">
        <v>5</v>
      </c>
      <c r="AH374" s="56">
        <f t="shared" si="133"/>
        <v>20</v>
      </c>
      <c r="AI374" s="55">
        <v>10</v>
      </c>
      <c r="AJ374" s="153">
        <v>10</v>
      </c>
      <c r="AK374" s="153">
        <v>10</v>
      </c>
      <c r="AL374" s="168">
        <v>10</v>
      </c>
      <c r="AM374" s="56">
        <f t="shared" si="132"/>
        <v>40</v>
      </c>
      <c r="AN374" s="55">
        <v>7</v>
      </c>
      <c r="AO374" s="153"/>
      <c r="AP374" s="153">
        <v>10</v>
      </c>
      <c r="AQ374" s="168"/>
      <c r="AR374" s="56">
        <f t="shared" si="129"/>
        <v>17</v>
      </c>
      <c r="AS374" s="55"/>
      <c r="AT374" s="153"/>
      <c r="AU374" s="153"/>
      <c r="AV374" s="168"/>
      <c r="AW374" s="176">
        <f t="shared" si="130"/>
        <v>0</v>
      </c>
      <c r="AX374" s="56">
        <f t="shared" si="122"/>
        <v>77</v>
      </c>
      <c r="AY374" s="329">
        <v>44404</v>
      </c>
      <c r="AZ374" s="326"/>
    </row>
    <row r="375" spans="1:52" ht="15" thickBot="1" x14ac:dyDescent="0.2">
      <c r="A375" s="9" t="s">
        <v>15</v>
      </c>
      <c r="B375" s="36">
        <f>SUM(B349:B374)</f>
        <v>2</v>
      </c>
      <c r="C375" s="37">
        <f>SUM(C349:C374)</f>
        <v>3</v>
      </c>
      <c r="D375" s="37">
        <f>SUM(D349:D374)</f>
        <v>1</v>
      </c>
      <c r="E375" s="38">
        <f>SUM(E349:E374)</f>
        <v>2</v>
      </c>
      <c r="F375" s="25">
        <f t="shared" si="117"/>
        <v>8</v>
      </c>
      <c r="G375" s="36">
        <f>SUM(G349:G374)</f>
        <v>4</v>
      </c>
      <c r="H375" s="37">
        <f>SUM(H349:H374)</f>
        <v>11</v>
      </c>
      <c r="I375" s="37">
        <f>SUM(I349:I374)</f>
        <v>6</v>
      </c>
      <c r="J375" s="38">
        <f>SUM(J349:J374)</f>
        <v>3</v>
      </c>
      <c r="K375" s="25">
        <f t="shared" si="118"/>
        <v>24</v>
      </c>
      <c r="L375" s="36">
        <f>SUM(L349:L374)</f>
        <v>1</v>
      </c>
      <c r="M375" s="37">
        <f>SUM(M349:M374)</f>
        <v>0</v>
      </c>
      <c r="N375" s="37">
        <f>SUM(N349:N374)</f>
        <v>7</v>
      </c>
      <c r="O375" s="38">
        <f>SUM(O349:O374)</f>
        <v>1</v>
      </c>
      <c r="P375" s="25">
        <f t="shared" si="119"/>
        <v>9</v>
      </c>
      <c r="Q375" s="36">
        <f>SUM(Q349:Q374)</f>
        <v>6</v>
      </c>
      <c r="R375" s="37">
        <f>SUM(R349:R374)</f>
        <v>12</v>
      </c>
      <c r="S375" s="37">
        <f>SUM(S349:S374)</f>
        <v>3</v>
      </c>
      <c r="T375" s="38">
        <f>SUM(T349:T374)</f>
        <v>3</v>
      </c>
      <c r="U375" s="36">
        <f t="shared" si="120"/>
        <v>24</v>
      </c>
      <c r="V375" s="77">
        <f t="shared" si="121"/>
        <v>65</v>
      </c>
      <c r="W375" s="325"/>
      <c r="X375" s="326"/>
      <c r="Y375" s="326"/>
      <c r="Z375" s="326"/>
      <c r="AC375" s="278" t="s">
        <v>15</v>
      </c>
      <c r="AD375" s="36">
        <f>SUM(AD349:AD374)</f>
        <v>13</v>
      </c>
      <c r="AE375" s="37">
        <f>SUM(AE349:AE374)</f>
        <v>26</v>
      </c>
      <c r="AF375" s="37">
        <f>SUM(AF349:AF374)</f>
        <v>27</v>
      </c>
      <c r="AG375" s="38">
        <f>SUM(AG349:AG374)</f>
        <v>10</v>
      </c>
      <c r="AH375" s="25">
        <f t="shared" ref="AH375:AH376" si="134">SUM(AD375:AG375)</f>
        <v>76</v>
      </c>
      <c r="AI375" s="36">
        <f>SUM(AI349:AI374)</f>
        <v>28</v>
      </c>
      <c r="AJ375" s="37">
        <f>SUM(AJ349:AJ374)</f>
        <v>42</v>
      </c>
      <c r="AK375" s="37">
        <f>SUM(AK349:AK374)</f>
        <v>22</v>
      </c>
      <c r="AL375" s="38">
        <f>SUM(AL349:AL374)</f>
        <v>23</v>
      </c>
      <c r="AM375" s="25">
        <f t="shared" si="132"/>
        <v>115</v>
      </c>
      <c r="AN375" s="36">
        <f>SUM(AN349:AN374)</f>
        <v>17</v>
      </c>
      <c r="AO375" s="37">
        <f>SUM(AO349:AO374)</f>
        <v>0</v>
      </c>
      <c r="AP375" s="37">
        <f>SUM(AP349:AP374)</f>
        <v>16</v>
      </c>
      <c r="AQ375" s="38">
        <f>SUM(AQ349:AQ374)</f>
        <v>6</v>
      </c>
      <c r="AR375" s="25">
        <f t="shared" si="129"/>
        <v>39</v>
      </c>
      <c r="AS375" s="36">
        <f>SUM(AS349:AS374)</f>
        <v>22</v>
      </c>
      <c r="AT375" s="37">
        <f>SUM(AT349:AT374)</f>
        <v>37</v>
      </c>
      <c r="AU375" s="37">
        <f>SUM(AU349:AU374)</f>
        <v>13</v>
      </c>
      <c r="AV375" s="38">
        <f>SUM(AV349:AV374)</f>
        <v>16</v>
      </c>
      <c r="AW375" s="36">
        <f t="shared" si="130"/>
        <v>88</v>
      </c>
      <c r="AX375" s="161">
        <f t="shared" si="122"/>
        <v>318</v>
      </c>
      <c r="AY375" s="325"/>
      <c r="AZ375" s="326"/>
    </row>
    <row r="376" spans="1:52" ht="14.25" thickBot="1" x14ac:dyDescent="0.2">
      <c r="A376" s="39" t="s">
        <v>16</v>
      </c>
      <c r="B376" s="40">
        <f>B348-B375</f>
        <v>9</v>
      </c>
      <c r="C376" s="41">
        <f>C348-C375</f>
        <v>8</v>
      </c>
      <c r="D376" s="41">
        <f>D348-D375</f>
        <v>13</v>
      </c>
      <c r="E376" s="42">
        <f>E348-E375</f>
        <v>9</v>
      </c>
      <c r="F376" s="171">
        <f t="shared" si="117"/>
        <v>39</v>
      </c>
      <c r="G376" s="40">
        <f>G348-G375</f>
        <v>12</v>
      </c>
      <c r="H376" s="41">
        <f>H348-H375</f>
        <v>10</v>
      </c>
      <c r="I376" s="41">
        <f>I348-I375</f>
        <v>10</v>
      </c>
      <c r="J376" s="284">
        <f>J348-J375</f>
        <v>12</v>
      </c>
      <c r="K376" s="171">
        <f t="shared" si="118"/>
        <v>44</v>
      </c>
      <c r="L376" s="40">
        <f>L348-L375</f>
        <v>12</v>
      </c>
      <c r="M376" s="41">
        <f>M348-M375</f>
        <v>0</v>
      </c>
      <c r="N376" s="41">
        <f>N348-N375</f>
        <v>11</v>
      </c>
      <c r="O376" s="42">
        <f>O348-O375</f>
        <v>4</v>
      </c>
      <c r="P376" s="171">
        <f t="shared" si="119"/>
        <v>27</v>
      </c>
      <c r="Q376" s="286">
        <f>Q348-Q375</f>
        <v>2</v>
      </c>
      <c r="R376" s="285">
        <f>R348-R375</f>
        <v>0</v>
      </c>
      <c r="S376" s="285">
        <f>S348-S375</f>
        <v>3</v>
      </c>
      <c r="T376" s="284">
        <f>T348-T375</f>
        <v>1</v>
      </c>
      <c r="U376" s="177">
        <f t="shared" si="120"/>
        <v>6</v>
      </c>
      <c r="V376" s="77">
        <f t="shared" si="121"/>
        <v>116</v>
      </c>
      <c r="W376" s="325"/>
      <c r="X376" s="326"/>
      <c r="Y376" s="326"/>
      <c r="Z376" s="326"/>
      <c r="AC376" s="279" t="s">
        <v>16</v>
      </c>
      <c r="AD376" s="40">
        <f>AD348-AD375</f>
        <v>184</v>
      </c>
      <c r="AE376" s="41">
        <f>AE348-AE375</f>
        <v>258</v>
      </c>
      <c r="AF376" s="41">
        <f>AF348-AF375</f>
        <v>227</v>
      </c>
      <c r="AG376" s="42">
        <f>AG348-AG375</f>
        <v>166</v>
      </c>
      <c r="AH376" s="171">
        <f t="shared" si="134"/>
        <v>835</v>
      </c>
      <c r="AI376" s="40">
        <f>AI348-AI375</f>
        <v>129</v>
      </c>
      <c r="AJ376" s="41">
        <f>AJ348-AJ375</f>
        <v>123</v>
      </c>
      <c r="AK376" s="41">
        <f>AK348-AK375</f>
        <v>229</v>
      </c>
      <c r="AL376" s="284">
        <f>AL348-AL375</f>
        <v>72</v>
      </c>
      <c r="AM376" s="171">
        <f t="shared" si="132"/>
        <v>553</v>
      </c>
      <c r="AN376" s="40">
        <f>AN348-AN375</f>
        <v>0</v>
      </c>
      <c r="AO376" s="41">
        <f>AO348-AO375</f>
        <v>0</v>
      </c>
      <c r="AP376" s="41">
        <f>AP348-AP375</f>
        <v>24</v>
      </c>
      <c r="AQ376" s="42">
        <f>AQ348-AQ375</f>
        <v>0</v>
      </c>
      <c r="AR376" s="171">
        <f t="shared" si="129"/>
        <v>24</v>
      </c>
      <c r="AS376" s="40">
        <f>AS348-AS375</f>
        <v>78</v>
      </c>
      <c r="AT376" s="41">
        <f>AT348-AT375</f>
        <v>64</v>
      </c>
      <c r="AU376" s="285">
        <f>AU348-AU375</f>
        <v>35</v>
      </c>
      <c r="AV376" s="284">
        <f>AV348-AV375</f>
        <v>37</v>
      </c>
      <c r="AW376" s="177">
        <f t="shared" si="130"/>
        <v>214</v>
      </c>
      <c r="AX376" s="77">
        <f t="shared" si="122"/>
        <v>1626</v>
      </c>
      <c r="AY376" s="325"/>
      <c r="AZ376" s="326"/>
    </row>
    <row r="377" spans="1:52" x14ac:dyDescent="0.15">
      <c r="M377" t="s">
        <v>297</v>
      </c>
      <c r="W377" s="325"/>
      <c r="X377" s="326"/>
      <c r="Y377" s="326"/>
      <c r="Z377" s="326"/>
      <c r="AY377" s="325"/>
      <c r="AZ377" s="326"/>
    </row>
    <row r="378" spans="1:52" x14ac:dyDescent="0.15">
      <c r="W378" s="325"/>
      <c r="X378" s="326"/>
      <c r="Y378" s="326"/>
      <c r="Z378" s="326"/>
      <c r="AY378" s="325"/>
      <c r="AZ378" s="326"/>
    </row>
    <row r="379" spans="1:52" ht="19.5" thickBot="1" x14ac:dyDescent="0.25">
      <c r="A379" s="185" t="s">
        <v>19</v>
      </c>
      <c r="B379" s="186"/>
      <c r="C379" s="186"/>
      <c r="D379" s="186"/>
      <c r="E379" s="186"/>
      <c r="F379" s="18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25"/>
      <c r="X379" s="326"/>
      <c r="Y379" s="326"/>
      <c r="Z379" s="326"/>
      <c r="AC379" s="187" t="s">
        <v>73</v>
      </c>
      <c r="AD379" s="188"/>
      <c r="AE379" s="188"/>
      <c r="AF379" s="188"/>
      <c r="AG379" s="188"/>
      <c r="AH379" s="188"/>
      <c r="AI379" s="188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325"/>
      <c r="AZ379" s="326"/>
    </row>
    <row r="380" spans="1:52" ht="14.25" thickBot="1" x14ac:dyDescent="0.2">
      <c r="A380" s="3" t="s">
        <v>0</v>
      </c>
      <c r="B380" s="371" t="s">
        <v>17</v>
      </c>
      <c r="C380" s="372"/>
      <c r="D380" s="372"/>
      <c r="E380" s="372"/>
      <c r="F380" s="373"/>
      <c r="G380" s="371" t="s">
        <v>18</v>
      </c>
      <c r="H380" s="372"/>
      <c r="I380" s="372"/>
      <c r="J380" s="372"/>
      <c r="K380" s="373"/>
      <c r="L380" s="371" t="s">
        <v>38</v>
      </c>
      <c r="M380" s="372"/>
      <c r="N380" s="372"/>
      <c r="O380" s="372"/>
      <c r="P380" s="373"/>
      <c r="Q380" s="371" t="s">
        <v>75</v>
      </c>
      <c r="R380" s="372"/>
      <c r="S380" s="372"/>
      <c r="T380" s="372"/>
      <c r="U380" s="373"/>
      <c r="V380" s="360" t="s">
        <v>1</v>
      </c>
      <c r="W380" s="325"/>
      <c r="X380" s="326"/>
      <c r="Y380" s="326"/>
      <c r="Z380" s="326"/>
      <c r="AC380" s="271" t="s">
        <v>0</v>
      </c>
      <c r="AD380" s="371" t="s">
        <v>17</v>
      </c>
      <c r="AE380" s="372"/>
      <c r="AF380" s="372"/>
      <c r="AG380" s="372"/>
      <c r="AH380" s="373"/>
      <c r="AI380" s="371" t="s">
        <v>18</v>
      </c>
      <c r="AJ380" s="372"/>
      <c r="AK380" s="372"/>
      <c r="AL380" s="372"/>
      <c r="AM380" s="373"/>
      <c r="AN380" s="371" t="s">
        <v>38</v>
      </c>
      <c r="AO380" s="372"/>
      <c r="AP380" s="372"/>
      <c r="AQ380" s="372"/>
      <c r="AR380" s="373"/>
      <c r="AS380" s="371" t="s">
        <v>75</v>
      </c>
      <c r="AT380" s="372"/>
      <c r="AU380" s="372"/>
      <c r="AV380" s="372"/>
      <c r="AW380" s="373"/>
      <c r="AX380" s="360" t="s">
        <v>1</v>
      </c>
      <c r="AY380" s="325"/>
      <c r="AZ380" s="326"/>
    </row>
    <row r="381" spans="1:52" ht="14.25" thickBot="1" x14ac:dyDescent="0.2">
      <c r="A381" s="5" t="s">
        <v>2</v>
      </c>
      <c r="B381" s="6" t="s">
        <v>3</v>
      </c>
      <c r="C381" s="7" t="s">
        <v>4</v>
      </c>
      <c r="D381" s="7" t="s">
        <v>5</v>
      </c>
      <c r="E381" s="8" t="s">
        <v>6</v>
      </c>
      <c r="F381" s="5" t="s">
        <v>7</v>
      </c>
      <c r="G381" s="6" t="s">
        <v>3</v>
      </c>
      <c r="H381" s="7" t="s">
        <v>4</v>
      </c>
      <c r="I381" s="7" t="s">
        <v>5</v>
      </c>
      <c r="J381" s="8" t="s">
        <v>6</v>
      </c>
      <c r="K381" s="5" t="s">
        <v>7</v>
      </c>
      <c r="L381" s="6" t="s">
        <v>3</v>
      </c>
      <c r="M381" s="7" t="s">
        <v>4</v>
      </c>
      <c r="N381" s="7" t="s">
        <v>5</v>
      </c>
      <c r="O381" s="8" t="s">
        <v>6</v>
      </c>
      <c r="P381" s="5" t="s">
        <v>7</v>
      </c>
      <c r="Q381" s="6" t="s">
        <v>3</v>
      </c>
      <c r="R381" s="7" t="s">
        <v>4</v>
      </c>
      <c r="S381" s="7" t="s">
        <v>5</v>
      </c>
      <c r="T381" s="8" t="s">
        <v>6</v>
      </c>
      <c r="U381" s="5" t="s">
        <v>7</v>
      </c>
      <c r="V381" s="361"/>
      <c r="W381" s="325"/>
      <c r="X381" s="326"/>
      <c r="Y381" s="326"/>
      <c r="Z381" s="326"/>
      <c r="AC381" s="272" t="s">
        <v>2</v>
      </c>
      <c r="AD381" s="6" t="s">
        <v>3</v>
      </c>
      <c r="AE381" s="7" t="s">
        <v>4</v>
      </c>
      <c r="AF381" s="7" t="s">
        <v>5</v>
      </c>
      <c r="AG381" s="8" t="s">
        <v>6</v>
      </c>
      <c r="AH381" s="5" t="s">
        <v>7</v>
      </c>
      <c r="AI381" s="6" t="s">
        <v>3</v>
      </c>
      <c r="AJ381" s="7" t="s">
        <v>4</v>
      </c>
      <c r="AK381" s="7" t="s">
        <v>5</v>
      </c>
      <c r="AL381" s="8" t="s">
        <v>6</v>
      </c>
      <c r="AM381" s="5" t="s">
        <v>7</v>
      </c>
      <c r="AN381" s="6" t="s">
        <v>3</v>
      </c>
      <c r="AO381" s="7" t="s">
        <v>4</v>
      </c>
      <c r="AP381" s="7" t="s">
        <v>5</v>
      </c>
      <c r="AQ381" s="8" t="s">
        <v>6</v>
      </c>
      <c r="AR381" s="5" t="s">
        <v>7</v>
      </c>
      <c r="AS381" s="6" t="s">
        <v>3</v>
      </c>
      <c r="AT381" s="7" t="s">
        <v>4</v>
      </c>
      <c r="AU381" s="7" t="s">
        <v>5</v>
      </c>
      <c r="AV381" s="8" t="s">
        <v>6</v>
      </c>
      <c r="AW381" s="5" t="s">
        <v>7</v>
      </c>
      <c r="AX381" s="361"/>
      <c r="AY381" s="325"/>
      <c r="AZ381" s="326"/>
    </row>
    <row r="382" spans="1:52" ht="14.25" x14ac:dyDescent="0.15">
      <c r="A382" s="172" t="s">
        <v>30</v>
      </c>
      <c r="B382" s="70">
        <f>B376</f>
        <v>9</v>
      </c>
      <c r="C382" s="70">
        <f>C376</f>
        <v>8</v>
      </c>
      <c r="D382" s="70">
        <f>D376</f>
        <v>13</v>
      </c>
      <c r="E382" s="165">
        <f>E376</f>
        <v>9</v>
      </c>
      <c r="F382" s="71">
        <f t="shared" ref="F382:F418" si="135">SUM(B382:E382)</f>
        <v>39</v>
      </c>
      <c r="G382" s="70">
        <f>G376</f>
        <v>12</v>
      </c>
      <c r="H382" s="70">
        <f>H376</f>
        <v>10</v>
      </c>
      <c r="I382" s="70">
        <f>I376</f>
        <v>10</v>
      </c>
      <c r="J382" s="165">
        <f>J376</f>
        <v>12</v>
      </c>
      <c r="K382" s="71">
        <f t="shared" ref="K382:K418" si="136">SUM(G382:J382)</f>
        <v>44</v>
      </c>
      <c r="L382" s="70">
        <f>L376</f>
        <v>12</v>
      </c>
      <c r="M382" s="70">
        <f>M376</f>
        <v>0</v>
      </c>
      <c r="N382" s="70">
        <f>N376</f>
        <v>11</v>
      </c>
      <c r="O382" s="165">
        <f>O376</f>
        <v>4</v>
      </c>
      <c r="P382" s="71">
        <f t="shared" ref="P382:P418" si="137">SUM(L382:O382)</f>
        <v>27</v>
      </c>
      <c r="Q382" s="70">
        <f>Q376</f>
        <v>2</v>
      </c>
      <c r="R382" s="70">
        <f>R376</f>
        <v>0</v>
      </c>
      <c r="S382" s="70">
        <f>S376</f>
        <v>3</v>
      </c>
      <c r="T382" s="165">
        <f>T376</f>
        <v>1</v>
      </c>
      <c r="U382" s="174">
        <f t="shared" ref="U382:U418" si="138">SUM(Q382:T382)</f>
        <v>6</v>
      </c>
      <c r="V382" s="71">
        <f t="shared" ref="V382:V418" si="139">F382+K382+P382+U382</f>
        <v>116</v>
      </c>
      <c r="W382" s="325"/>
      <c r="X382" s="326"/>
      <c r="Y382" s="326"/>
      <c r="Z382" s="326"/>
      <c r="AC382" s="273" t="s">
        <v>30</v>
      </c>
      <c r="AD382" s="70">
        <f>AD376</f>
        <v>184</v>
      </c>
      <c r="AE382" s="70">
        <f>AE376</f>
        <v>258</v>
      </c>
      <c r="AF382" s="70">
        <f>AF376</f>
        <v>227</v>
      </c>
      <c r="AG382" s="165">
        <f>AG376</f>
        <v>166</v>
      </c>
      <c r="AH382" s="71">
        <f>SUM(AD382:AG382)</f>
        <v>835</v>
      </c>
      <c r="AI382" s="70">
        <f>AI376</f>
        <v>129</v>
      </c>
      <c r="AJ382" s="70">
        <f>AJ376</f>
        <v>123</v>
      </c>
      <c r="AK382" s="70">
        <f>AK376</f>
        <v>229</v>
      </c>
      <c r="AL382" s="165">
        <f>AL376</f>
        <v>72</v>
      </c>
      <c r="AM382" s="71">
        <f>SUM(AI382:AL382)</f>
        <v>553</v>
      </c>
      <c r="AN382" s="70">
        <f>AN376</f>
        <v>0</v>
      </c>
      <c r="AO382" s="70">
        <f>AO376</f>
        <v>0</v>
      </c>
      <c r="AP382" s="70">
        <f>AP376</f>
        <v>24</v>
      </c>
      <c r="AQ382" s="165">
        <f>AQ376</f>
        <v>0</v>
      </c>
      <c r="AR382" s="71">
        <f>SUM(AN382:AQ382)</f>
        <v>24</v>
      </c>
      <c r="AS382" s="70">
        <f>AS376</f>
        <v>78</v>
      </c>
      <c r="AT382" s="70">
        <f>AT376</f>
        <v>64</v>
      </c>
      <c r="AU382" s="70">
        <f>AU376</f>
        <v>35</v>
      </c>
      <c r="AV382" s="165">
        <f>AV376</f>
        <v>37</v>
      </c>
      <c r="AW382" s="174">
        <f>SUM(AS382:AV382)</f>
        <v>214</v>
      </c>
      <c r="AX382" s="71">
        <f t="shared" ref="AX382:AX418" si="140">AH382+AM382+AR382+AW382</f>
        <v>1626</v>
      </c>
      <c r="AY382" s="325"/>
      <c r="AZ382" s="326"/>
    </row>
    <row r="383" spans="1:52" x14ac:dyDescent="0.15">
      <c r="A383" s="53" t="s">
        <v>111</v>
      </c>
      <c r="B383" s="54"/>
      <c r="C383" s="55"/>
      <c r="D383" s="55"/>
      <c r="E383" s="55"/>
      <c r="F383" s="56">
        <f t="shared" si="135"/>
        <v>0</v>
      </c>
      <c r="G383" s="54"/>
      <c r="H383" s="55">
        <v>5</v>
      </c>
      <c r="I383" s="55">
        <v>5</v>
      </c>
      <c r="J383" s="55">
        <v>3</v>
      </c>
      <c r="K383" s="56">
        <f t="shared" si="136"/>
        <v>13</v>
      </c>
      <c r="L383" s="54"/>
      <c r="M383" s="55"/>
      <c r="N383" s="55"/>
      <c r="O383" s="55"/>
      <c r="P383" s="56">
        <f t="shared" si="137"/>
        <v>0</v>
      </c>
      <c r="Q383" s="54"/>
      <c r="R383" s="55">
        <v>1</v>
      </c>
      <c r="S383" s="55"/>
      <c r="T383" s="55"/>
      <c r="U383" s="176">
        <f t="shared" si="138"/>
        <v>1</v>
      </c>
      <c r="V383" s="56">
        <f t="shared" si="139"/>
        <v>14</v>
      </c>
      <c r="W383" s="329">
        <v>44405</v>
      </c>
      <c r="X383" s="326"/>
      <c r="Y383" s="326"/>
      <c r="Z383" s="326"/>
      <c r="AC383" s="53" t="s">
        <v>311</v>
      </c>
      <c r="AD383" s="54">
        <v>8</v>
      </c>
      <c r="AE383" s="55">
        <v>10</v>
      </c>
      <c r="AF383" s="55">
        <v>1</v>
      </c>
      <c r="AG383" s="55">
        <v>5</v>
      </c>
      <c r="AH383" s="56">
        <f t="shared" ref="AH383" si="141">SUM(AD383:AG383)</f>
        <v>24</v>
      </c>
      <c r="AI383" s="54">
        <v>1</v>
      </c>
      <c r="AJ383" s="55">
        <v>4</v>
      </c>
      <c r="AK383" s="55">
        <v>4</v>
      </c>
      <c r="AL383" s="55"/>
      <c r="AM383" s="56">
        <f t="shared" ref="AM383" si="142">SUM(AI383:AL383)</f>
        <v>9</v>
      </c>
      <c r="AN383" s="54"/>
      <c r="AO383" s="55"/>
      <c r="AP383" s="55"/>
      <c r="AQ383" s="55"/>
      <c r="AR383" s="56">
        <f t="shared" ref="AR383" si="143">SUM(AN383:AQ383)</f>
        <v>0</v>
      </c>
      <c r="AS383" s="54"/>
      <c r="AT383" s="55">
        <v>3</v>
      </c>
      <c r="AU383" s="55">
        <v>5</v>
      </c>
      <c r="AV383" s="55">
        <v>1</v>
      </c>
      <c r="AW383" s="176">
        <f t="shared" ref="AW383" si="144">SUM(AS383:AV383)</f>
        <v>9</v>
      </c>
      <c r="AX383" s="56">
        <f t="shared" si="140"/>
        <v>42</v>
      </c>
      <c r="AY383" s="328">
        <v>44429</v>
      </c>
      <c r="AZ383" s="326"/>
    </row>
    <row r="384" spans="1:52" x14ac:dyDescent="0.15">
      <c r="A384" s="53" t="s">
        <v>29</v>
      </c>
      <c r="B384" s="55"/>
      <c r="C384" s="55"/>
      <c r="D384" s="55"/>
      <c r="E384" s="166"/>
      <c r="F384" s="49">
        <f t="shared" si="135"/>
        <v>0</v>
      </c>
      <c r="G384" s="55"/>
      <c r="H384" s="55">
        <v>1</v>
      </c>
      <c r="I384" s="55"/>
      <c r="J384" s="166"/>
      <c r="K384" s="49">
        <f t="shared" si="136"/>
        <v>1</v>
      </c>
      <c r="L384" s="55"/>
      <c r="M384" s="55"/>
      <c r="N384" s="55"/>
      <c r="O384" s="166"/>
      <c r="P384" s="49">
        <f t="shared" si="137"/>
        <v>0</v>
      </c>
      <c r="Q384" s="55"/>
      <c r="R384" s="55">
        <v>2</v>
      </c>
      <c r="S384" s="55"/>
      <c r="T384" s="166"/>
      <c r="U384" s="175">
        <f t="shared" si="138"/>
        <v>2</v>
      </c>
      <c r="V384" s="56">
        <f t="shared" si="139"/>
        <v>3</v>
      </c>
      <c r="W384" s="329">
        <v>44405</v>
      </c>
      <c r="X384" s="326"/>
      <c r="Y384" s="326"/>
      <c r="Z384" s="326"/>
      <c r="AC384" s="268" t="s">
        <v>28</v>
      </c>
      <c r="AD384" s="55"/>
      <c r="AE384" s="153"/>
      <c r="AF384" s="153"/>
      <c r="AG384" s="168"/>
      <c r="AH384" s="56">
        <f t="shared" ref="AH384:AH414" si="145">SUM(AD384:AG384)</f>
        <v>0</v>
      </c>
      <c r="AI384" s="55"/>
      <c r="AJ384" s="153"/>
      <c r="AK384" s="153"/>
      <c r="AL384" s="168"/>
      <c r="AM384" s="56">
        <f t="shared" ref="AM384:AM418" si="146">SUM(AI384:AL384)</f>
        <v>0</v>
      </c>
      <c r="AN384" s="55"/>
      <c r="AO384" s="153"/>
      <c r="AP384" s="153"/>
      <c r="AQ384" s="168"/>
      <c r="AR384" s="56">
        <v>0</v>
      </c>
      <c r="AS384" s="55"/>
      <c r="AT384" s="153"/>
      <c r="AU384" s="153"/>
      <c r="AV384" s="168"/>
      <c r="AW384" s="176">
        <v>0</v>
      </c>
      <c r="AX384" s="56">
        <f t="shared" si="140"/>
        <v>0</v>
      </c>
      <c r="AY384" s="328"/>
      <c r="AZ384" s="326"/>
    </row>
    <row r="385" spans="1:52" x14ac:dyDescent="0.15">
      <c r="A385" s="53" t="s">
        <v>28</v>
      </c>
      <c r="B385" s="55">
        <v>5</v>
      </c>
      <c r="C385" s="55">
        <v>10</v>
      </c>
      <c r="D385" s="55"/>
      <c r="E385" s="166">
        <v>5</v>
      </c>
      <c r="F385" s="49">
        <f t="shared" si="135"/>
        <v>20</v>
      </c>
      <c r="G385" s="55">
        <v>5</v>
      </c>
      <c r="H385" s="55">
        <v>10</v>
      </c>
      <c r="I385" s="55">
        <v>5</v>
      </c>
      <c r="J385" s="166"/>
      <c r="K385" s="49">
        <f t="shared" si="136"/>
        <v>20</v>
      </c>
      <c r="L385" s="55"/>
      <c r="M385" s="55"/>
      <c r="N385" s="55"/>
      <c r="O385" s="166"/>
      <c r="P385" s="49">
        <f t="shared" si="137"/>
        <v>0</v>
      </c>
      <c r="Q385" s="55">
        <v>10</v>
      </c>
      <c r="R385" s="55"/>
      <c r="S385" s="55"/>
      <c r="T385" s="166"/>
      <c r="U385" s="175">
        <f t="shared" si="138"/>
        <v>10</v>
      </c>
      <c r="V385" s="56">
        <f t="shared" si="139"/>
        <v>50</v>
      </c>
      <c r="W385" s="329">
        <v>44408</v>
      </c>
      <c r="X385" s="326"/>
      <c r="Y385" s="326"/>
      <c r="Z385" s="326"/>
      <c r="AC385" s="268" t="s">
        <v>28</v>
      </c>
      <c r="AD385" s="55"/>
      <c r="AE385" s="153"/>
      <c r="AF385" s="153"/>
      <c r="AG385" s="168"/>
      <c r="AH385" s="56">
        <f t="shared" si="145"/>
        <v>0</v>
      </c>
      <c r="AI385" s="55"/>
      <c r="AJ385" s="153"/>
      <c r="AK385" s="153"/>
      <c r="AL385" s="168"/>
      <c r="AM385" s="56">
        <f t="shared" si="146"/>
        <v>0</v>
      </c>
      <c r="AN385" s="55"/>
      <c r="AO385" s="153"/>
      <c r="AP385" s="153"/>
      <c r="AQ385" s="168"/>
      <c r="AR385" s="56">
        <f t="shared" ref="AR385" si="147">SUM(AN385:AQ385)</f>
        <v>0</v>
      </c>
      <c r="AS385" s="55"/>
      <c r="AT385" s="153"/>
      <c r="AU385" s="153"/>
      <c r="AV385" s="168"/>
      <c r="AW385" s="176">
        <f t="shared" ref="AW385" si="148">SUM(AS385:AV385)</f>
        <v>0</v>
      </c>
      <c r="AX385" s="56">
        <f t="shared" si="140"/>
        <v>0</v>
      </c>
      <c r="AY385" s="328"/>
      <c r="AZ385" s="326"/>
    </row>
    <row r="386" spans="1:52" x14ac:dyDescent="0.15">
      <c r="A386" s="53" t="s">
        <v>29</v>
      </c>
      <c r="B386" s="63"/>
      <c r="C386" s="63"/>
      <c r="D386" s="63"/>
      <c r="E386" s="167"/>
      <c r="F386" s="64">
        <f t="shared" si="135"/>
        <v>0</v>
      </c>
      <c r="G386" s="63"/>
      <c r="H386" s="63"/>
      <c r="I386" s="63"/>
      <c r="J386" s="167"/>
      <c r="K386" s="64">
        <f t="shared" si="136"/>
        <v>0</v>
      </c>
      <c r="L386" s="63"/>
      <c r="M386" s="63"/>
      <c r="N386" s="63"/>
      <c r="O386" s="167"/>
      <c r="P386" s="64">
        <f t="shared" si="137"/>
        <v>0</v>
      </c>
      <c r="Q386" s="63">
        <v>1</v>
      </c>
      <c r="R386" s="63"/>
      <c r="S386" s="63">
        <v>2</v>
      </c>
      <c r="T386" s="167"/>
      <c r="U386" s="162">
        <f t="shared" si="138"/>
        <v>3</v>
      </c>
      <c r="V386" s="56">
        <f t="shared" si="139"/>
        <v>3</v>
      </c>
      <c r="W386" s="329">
        <v>44426</v>
      </c>
      <c r="X386" s="326"/>
      <c r="Y386" s="326"/>
      <c r="Z386" s="326"/>
      <c r="AC386" s="268" t="s">
        <v>28</v>
      </c>
      <c r="AD386" s="63"/>
      <c r="AE386" s="63"/>
      <c r="AF386" s="63"/>
      <c r="AG386" s="167"/>
      <c r="AH386" s="56">
        <f t="shared" si="145"/>
        <v>0</v>
      </c>
      <c r="AI386" s="63"/>
      <c r="AJ386" s="63"/>
      <c r="AK386" s="63"/>
      <c r="AL386" s="167"/>
      <c r="AM386" s="56">
        <f t="shared" si="146"/>
        <v>0</v>
      </c>
      <c r="AN386" s="63"/>
      <c r="AO386" s="63"/>
      <c r="AP386" s="63"/>
      <c r="AQ386" s="167"/>
      <c r="AR386" s="64">
        <v>0</v>
      </c>
      <c r="AS386" s="63"/>
      <c r="AT386" s="63"/>
      <c r="AU386" s="63"/>
      <c r="AV386" s="167"/>
      <c r="AW386" s="162">
        <v>0</v>
      </c>
      <c r="AX386" s="56">
        <f t="shared" si="140"/>
        <v>0</v>
      </c>
      <c r="AY386" s="328"/>
      <c r="AZ386" s="326"/>
    </row>
    <row r="387" spans="1:52" x14ac:dyDescent="0.15">
      <c r="A387" s="53" t="s">
        <v>29</v>
      </c>
      <c r="B387" s="55"/>
      <c r="C387" s="153"/>
      <c r="D387" s="153"/>
      <c r="E387" s="168"/>
      <c r="F387" s="56">
        <f t="shared" si="135"/>
        <v>0</v>
      </c>
      <c r="G387" s="55"/>
      <c r="H387" s="153"/>
      <c r="I387" s="153"/>
      <c r="J387" s="168"/>
      <c r="K387" s="56">
        <f t="shared" si="136"/>
        <v>0</v>
      </c>
      <c r="L387" s="55"/>
      <c r="M387" s="153"/>
      <c r="N387" s="153"/>
      <c r="O387" s="168"/>
      <c r="P387" s="56">
        <f t="shared" si="137"/>
        <v>0</v>
      </c>
      <c r="Q387" s="55"/>
      <c r="R387" s="153">
        <v>1</v>
      </c>
      <c r="S387" s="153"/>
      <c r="T387" s="168"/>
      <c r="U387" s="176">
        <f t="shared" si="138"/>
        <v>1</v>
      </c>
      <c r="V387" s="56">
        <f t="shared" si="139"/>
        <v>1</v>
      </c>
      <c r="W387" s="329">
        <v>44427</v>
      </c>
      <c r="X387" s="326"/>
      <c r="Y387" s="326"/>
      <c r="Z387" s="326"/>
      <c r="AC387" s="268" t="s">
        <v>28</v>
      </c>
      <c r="AD387" s="55"/>
      <c r="AE387" s="153"/>
      <c r="AF387" s="153"/>
      <c r="AG387" s="168"/>
      <c r="AH387" s="56">
        <f t="shared" si="145"/>
        <v>0</v>
      </c>
      <c r="AI387" s="55"/>
      <c r="AJ387" s="153"/>
      <c r="AK387" s="153"/>
      <c r="AL387" s="168"/>
      <c r="AM387" s="56">
        <f t="shared" si="146"/>
        <v>0</v>
      </c>
      <c r="AN387" s="55"/>
      <c r="AO387" s="153"/>
      <c r="AP387" s="153"/>
      <c r="AQ387" s="168"/>
      <c r="AR387" s="56">
        <f t="shared" ref="AR387:AR418" si="149">SUM(AN387:AQ387)</f>
        <v>0</v>
      </c>
      <c r="AS387" s="55"/>
      <c r="AT387" s="153"/>
      <c r="AU387" s="153"/>
      <c r="AV387" s="168"/>
      <c r="AW387" s="176">
        <f t="shared" ref="AW387:AW418" si="150">SUM(AS387:AV387)</f>
        <v>0</v>
      </c>
      <c r="AX387" s="56">
        <f t="shared" si="140"/>
        <v>0</v>
      </c>
      <c r="AY387" s="325"/>
      <c r="AZ387" s="326"/>
    </row>
    <row r="388" spans="1:52" x14ac:dyDescent="0.15">
      <c r="A388" s="53" t="s">
        <v>28</v>
      </c>
      <c r="B388" s="55"/>
      <c r="C388" s="153"/>
      <c r="D388" s="153"/>
      <c r="E388" s="168"/>
      <c r="F388" s="56">
        <f t="shared" si="135"/>
        <v>0</v>
      </c>
      <c r="G388" s="55"/>
      <c r="H388" s="153"/>
      <c r="I388" s="153"/>
      <c r="J388" s="168"/>
      <c r="K388" s="56">
        <f t="shared" si="136"/>
        <v>0</v>
      </c>
      <c r="L388" s="55"/>
      <c r="M388" s="153"/>
      <c r="N388" s="153"/>
      <c r="O388" s="168"/>
      <c r="P388" s="56">
        <f t="shared" si="137"/>
        <v>0</v>
      </c>
      <c r="Q388" s="55"/>
      <c r="R388" s="153"/>
      <c r="S388" s="153">
        <v>1</v>
      </c>
      <c r="T388" s="168"/>
      <c r="U388" s="176">
        <f t="shared" si="138"/>
        <v>1</v>
      </c>
      <c r="V388" s="56">
        <f t="shared" si="139"/>
        <v>1</v>
      </c>
      <c r="W388" s="329">
        <v>44432</v>
      </c>
      <c r="X388" s="326"/>
      <c r="Y388" s="326"/>
      <c r="Z388" s="326"/>
      <c r="AC388" s="268" t="s">
        <v>28</v>
      </c>
      <c r="AD388" s="55"/>
      <c r="AE388" s="153"/>
      <c r="AF388" s="153"/>
      <c r="AG388" s="168"/>
      <c r="AH388" s="56">
        <f t="shared" si="145"/>
        <v>0</v>
      </c>
      <c r="AI388" s="55"/>
      <c r="AJ388" s="153"/>
      <c r="AK388" s="153"/>
      <c r="AL388" s="168"/>
      <c r="AM388" s="56">
        <f t="shared" si="146"/>
        <v>0</v>
      </c>
      <c r="AN388" s="55"/>
      <c r="AO388" s="153"/>
      <c r="AP388" s="153"/>
      <c r="AQ388" s="168"/>
      <c r="AR388" s="56">
        <f t="shared" si="149"/>
        <v>0</v>
      </c>
      <c r="AS388" s="55"/>
      <c r="AT388" s="153"/>
      <c r="AU388" s="153"/>
      <c r="AV388" s="168"/>
      <c r="AW388" s="176">
        <f t="shared" si="150"/>
        <v>0</v>
      </c>
      <c r="AX388" s="56">
        <f t="shared" si="140"/>
        <v>0</v>
      </c>
      <c r="AY388" s="325"/>
      <c r="AZ388" s="326"/>
    </row>
    <row r="389" spans="1:52" ht="14.25" thickBot="1" x14ac:dyDescent="0.2">
      <c r="A389" s="53" t="s">
        <v>28</v>
      </c>
      <c r="B389" s="63"/>
      <c r="C389" s="164"/>
      <c r="D389" s="164"/>
      <c r="E389" s="169"/>
      <c r="F389" s="170">
        <f t="shared" si="135"/>
        <v>0</v>
      </c>
      <c r="G389" s="63"/>
      <c r="H389" s="164"/>
      <c r="I389" s="164"/>
      <c r="J389" s="169"/>
      <c r="K389" s="170">
        <f t="shared" si="136"/>
        <v>0</v>
      </c>
      <c r="L389" s="63"/>
      <c r="M389" s="164"/>
      <c r="N389" s="164"/>
      <c r="O389" s="169"/>
      <c r="P389" s="170">
        <f t="shared" si="137"/>
        <v>0</v>
      </c>
      <c r="Q389" s="63"/>
      <c r="R389" s="164"/>
      <c r="S389" s="164"/>
      <c r="T389" s="169"/>
      <c r="U389" s="179">
        <f t="shared" si="138"/>
        <v>0</v>
      </c>
      <c r="V389" s="170">
        <f t="shared" si="139"/>
        <v>0</v>
      </c>
      <c r="W389" s="325"/>
      <c r="X389" s="326"/>
      <c r="Y389" s="326"/>
      <c r="Z389" s="326"/>
      <c r="AC389" s="274" t="s">
        <v>28</v>
      </c>
      <c r="AD389" s="63"/>
      <c r="AE389" s="164"/>
      <c r="AF389" s="164"/>
      <c r="AG389" s="169"/>
      <c r="AH389" s="170">
        <f t="shared" si="145"/>
        <v>0</v>
      </c>
      <c r="AI389" s="63"/>
      <c r="AJ389" s="164"/>
      <c r="AK389" s="164"/>
      <c r="AL389" s="169"/>
      <c r="AM389" s="170">
        <f t="shared" si="146"/>
        <v>0</v>
      </c>
      <c r="AN389" s="63"/>
      <c r="AO389" s="164"/>
      <c r="AP389" s="164"/>
      <c r="AQ389" s="169"/>
      <c r="AR389" s="170">
        <f t="shared" si="149"/>
        <v>0</v>
      </c>
      <c r="AS389" s="63"/>
      <c r="AT389" s="164"/>
      <c r="AU389" s="164"/>
      <c r="AV389" s="169"/>
      <c r="AW389" s="179">
        <f t="shared" si="150"/>
        <v>0</v>
      </c>
      <c r="AX389" s="170">
        <f t="shared" si="140"/>
        <v>0</v>
      </c>
      <c r="AY389" s="325"/>
      <c r="AZ389" s="326"/>
    </row>
    <row r="390" spans="1:52" ht="15" thickBot="1" x14ac:dyDescent="0.2">
      <c r="A390" s="181" t="s">
        <v>14</v>
      </c>
      <c r="B390" s="182">
        <f>SUM(B382:B389)</f>
        <v>14</v>
      </c>
      <c r="C390" s="183">
        <f>SUM(C382:C389)</f>
        <v>18</v>
      </c>
      <c r="D390" s="183">
        <f>SUM(D382:D389)</f>
        <v>13</v>
      </c>
      <c r="E390" s="184">
        <f>SUM(E382:E389)</f>
        <v>14</v>
      </c>
      <c r="F390" s="77">
        <f t="shared" si="135"/>
        <v>59</v>
      </c>
      <c r="G390" s="182">
        <f>SUM(G382:G389)</f>
        <v>17</v>
      </c>
      <c r="H390" s="183">
        <f>SUM(H382:H389)</f>
        <v>26</v>
      </c>
      <c r="I390" s="183">
        <f>SUM(I382:I389)</f>
        <v>20</v>
      </c>
      <c r="J390" s="184">
        <f>SUM(J382:J389)</f>
        <v>15</v>
      </c>
      <c r="K390" s="77">
        <f t="shared" si="136"/>
        <v>78</v>
      </c>
      <c r="L390" s="182">
        <f>SUM(L382:L389)</f>
        <v>12</v>
      </c>
      <c r="M390" s="183">
        <f>SUM(M382:M389)</f>
        <v>0</v>
      </c>
      <c r="N390" s="183">
        <f>SUM(N382:N389)</f>
        <v>11</v>
      </c>
      <c r="O390" s="184">
        <f>SUM(O382:O389)</f>
        <v>4</v>
      </c>
      <c r="P390" s="77">
        <f t="shared" si="137"/>
        <v>27</v>
      </c>
      <c r="Q390" s="182">
        <f>SUM(Q382:Q389)</f>
        <v>13</v>
      </c>
      <c r="R390" s="183">
        <f>SUM(R382:R389)</f>
        <v>4</v>
      </c>
      <c r="S390" s="183">
        <f>SUM(S382:S389)</f>
        <v>6</v>
      </c>
      <c r="T390" s="184">
        <f>SUM(T382:T389)</f>
        <v>1</v>
      </c>
      <c r="U390" s="182">
        <f t="shared" si="138"/>
        <v>24</v>
      </c>
      <c r="V390" s="77">
        <f t="shared" si="139"/>
        <v>188</v>
      </c>
      <c r="W390" s="325"/>
      <c r="X390" s="326"/>
      <c r="Y390" s="326"/>
      <c r="Z390" s="326"/>
      <c r="AC390" s="275" t="s">
        <v>14</v>
      </c>
      <c r="AD390" s="182">
        <f>SUM(AD382:AD389)</f>
        <v>192</v>
      </c>
      <c r="AE390" s="183">
        <f>SUM(AE382:AE389)</f>
        <v>268</v>
      </c>
      <c r="AF390" s="183">
        <f>SUM(AF382:AF389)</f>
        <v>228</v>
      </c>
      <c r="AG390" s="184">
        <f>SUM(AG382:AG389)</f>
        <v>171</v>
      </c>
      <c r="AH390" s="77">
        <f t="shared" si="145"/>
        <v>859</v>
      </c>
      <c r="AI390" s="182">
        <f>SUM(AI382:AI389)</f>
        <v>130</v>
      </c>
      <c r="AJ390" s="183">
        <f>SUM(AJ382:AJ389)</f>
        <v>127</v>
      </c>
      <c r="AK390" s="183">
        <f>SUM(AK382:AK389)</f>
        <v>233</v>
      </c>
      <c r="AL390" s="184">
        <f>SUM(AL382:AL389)</f>
        <v>72</v>
      </c>
      <c r="AM390" s="77">
        <f t="shared" si="146"/>
        <v>562</v>
      </c>
      <c r="AN390" s="182">
        <f>SUM(AN382:AN389)</f>
        <v>0</v>
      </c>
      <c r="AO390" s="183">
        <f>SUM(AO382:AO389)</f>
        <v>0</v>
      </c>
      <c r="AP390" s="183">
        <f>SUM(AP382:AP389)</f>
        <v>24</v>
      </c>
      <c r="AQ390" s="184">
        <f>SUM(AQ382:AQ389)</f>
        <v>0</v>
      </c>
      <c r="AR390" s="77">
        <f t="shared" si="149"/>
        <v>24</v>
      </c>
      <c r="AS390" s="182">
        <f>SUM(AS382:AS389)</f>
        <v>78</v>
      </c>
      <c r="AT390" s="183">
        <f>SUM(AT382:AT389)</f>
        <v>67</v>
      </c>
      <c r="AU390" s="183">
        <f>SUM(AU382:AU389)</f>
        <v>40</v>
      </c>
      <c r="AV390" s="184">
        <f>SUM(AV382:AV389)</f>
        <v>38</v>
      </c>
      <c r="AW390" s="182">
        <f t="shared" si="150"/>
        <v>223</v>
      </c>
      <c r="AX390" s="77">
        <f t="shared" si="140"/>
        <v>1668</v>
      </c>
      <c r="AY390" s="325"/>
      <c r="AZ390" s="326"/>
    </row>
    <row r="391" spans="1:52" x14ac:dyDescent="0.15">
      <c r="A391" s="53" t="s">
        <v>100</v>
      </c>
      <c r="B391" s="46"/>
      <c r="C391" s="47"/>
      <c r="D391" s="47"/>
      <c r="E391" s="47"/>
      <c r="F391" s="48">
        <f t="shared" si="135"/>
        <v>0</v>
      </c>
      <c r="G391" s="46"/>
      <c r="H391" s="47"/>
      <c r="I391" s="47"/>
      <c r="J391" s="47">
        <v>2</v>
      </c>
      <c r="K391" s="48">
        <f t="shared" si="136"/>
        <v>2</v>
      </c>
      <c r="L391" s="46"/>
      <c r="M391" s="47"/>
      <c r="N391" s="47"/>
      <c r="O391" s="47"/>
      <c r="P391" s="48">
        <f t="shared" si="137"/>
        <v>0</v>
      </c>
      <c r="Q391" s="46"/>
      <c r="R391" s="47"/>
      <c r="S391" s="47"/>
      <c r="T391" s="47"/>
      <c r="U391" s="180">
        <f t="shared" si="138"/>
        <v>0</v>
      </c>
      <c r="V391" s="49">
        <f t="shared" si="139"/>
        <v>2</v>
      </c>
      <c r="W391" s="329">
        <v>44406</v>
      </c>
      <c r="X391" s="326"/>
      <c r="Y391" s="326"/>
      <c r="Z391" s="326"/>
      <c r="AC391" s="53" t="s">
        <v>21</v>
      </c>
      <c r="AD391" s="55"/>
      <c r="AE391" s="153"/>
      <c r="AF391" s="153"/>
      <c r="AG391" s="168"/>
      <c r="AH391" s="56">
        <f t="shared" si="145"/>
        <v>0</v>
      </c>
      <c r="AI391" s="55"/>
      <c r="AJ391" s="153">
        <v>5</v>
      </c>
      <c r="AK391" s="153">
        <v>5</v>
      </c>
      <c r="AL391" s="168">
        <v>3</v>
      </c>
      <c r="AM391" s="56">
        <f t="shared" si="146"/>
        <v>13</v>
      </c>
      <c r="AN391" s="55"/>
      <c r="AO391" s="153"/>
      <c r="AP391" s="153"/>
      <c r="AQ391" s="168"/>
      <c r="AR391" s="56">
        <f t="shared" si="149"/>
        <v>0</v>
      </c>
      <c r="AS391" s="55"/>
      <c r="AT391" s="153">
        <v>1</v>
      </c>
      <c r="AU391" s="153"/>
      <c r="AV391" s="168"/>
      <c r="AW391" s="176">
        <f t="shared" si="150"/>
        <v>1</v>
      </c>
      <c r="AX391" s="56">
        <f t="shared" si="140"/>
        <v>14</v>
      </c>
      <c r="AY391" s="329">
        <v>44405</v>
      </c>
      <c r="AZ391" s="326"/>
    </row>
    <row r="392" spans="1:52" x14ac:dyDescent="0.15">
      <c r="A392" s="53" t="s">
        <v>98</v>
      </c>
      <c r="B392" s="54"/>
      <c r="C392" s="55"/>
      <c r="D392" s="55"/>
      <c r="E392" s="55"/>
      <c r="F392" s="56">
        <f t="shared" si="135"/>
        <v>0</v>
      </c>
      <c r="G392" s="54">
        <v>1</v>
      </c>
      <c r="H392" s="55">
        <f>2+1</f>
        <v>3</v>
      </c>
      <c r="I392" s="55">
        <v>2</v>
      </c>
      <c r="J392" s="55">
        <f>1+1</f>
        <v>2</v>
      </c>
      <c r="K392" s="56">
        <f t="shared" si="136"/>
        <v>8</v>
      </c>
      <c r="L392" s="54"/>
      <c r="M392" s="55"/>
      <c r="N392" s="55"/>
      <c r="O392" s="55"/>
      <c r="P392" s="56">
        <f t="shared" si="137"/>
        <v>0</v>
      </c>
      <c r="Q392" s="54"/>
      <c r="R392" s="55">
        <v>1</v>
      </c>
      <c r="S392" s="55"/>
      <c r="T392" s="55"/>
      <c r="U392" s="176">
        <f t="shared" si="138"/>
        <v>1</v>
      </c>
      <c r="V392" s="56">
        <f t="shared" si="139"/>
        <v>9</v>
      </c>
      <c r="W392" s="329">
        <v>44405</v>
      </c>
      <c r="X392" s="326"/>
      <c r="Y392" s="326"/>
      <c r="Z392" s="326"/>
      <c r="AC392" s="277" t="s">
        <v>201</v>
      </c>
      <c r="AD392" s="54"/>
      <c r="AE392" s="55"/>
      <c r="AF392" s="55"/>
      <c r="AG392" s="55"/>
      <c r="AH392" s="56">
        <f t="shared" si="145"/>
        <v>0</v>
      </c>
      <c r="AI392" s="54"/>
      <c r="AJ392" s="55"/>
      <c r="AK392" s="55"/>
      <c r="AL392" s="55"/>
      <c r="AM392" s="56">
        <f t="shared" si="146"/>
        <v>0</v>
      </c>
      <c r="AN392" s="54"/>
      <c r="AO392" s="55"/>
      <c r="AP392" s="55"/>
      <c r="AQ392" s="55"/>
      <c r="AR392" s="56">
        <f t="shared" si="149"/>
        <v>0</v>
      </c>
      <c r="AS392" s="54"/>
      <c r="AT392" s="55"/>
      <c r="AU392" s="55"/>
      <c r="AV392" s="55">
        <v>5</v>
      </c>
      <c r="AW392" s="176">
        <f t="shared" si="150"/>
        <v>5</v>
      </c>
      <c r="AX392" s="56">
        <f t="shared" si="140"/>
        <v>5</v>
      </c>
      <c r="AY392" s="329">
        <v>44410</v>
      </c>
      <c r="AZ392" s="326"/>
    </row>
    <row r="393" spans="1:52" x14ac:dyDescent="0.15">
      <c r="A393" s="53" t="s">
        <v>98</v>
      </c>
      <c r="B393" s="54"/>
      <c r="C393" s="55"/>
      <c r="D393" s="55"/>
      <c r="E393" s="55"/>
      <c r="F393" s="56">
        <f t="shared" si="135"/>
        <v>0</v>
      </c>
      <c r="G393" s="54">
        <v>1</v>
      </c>
      <c r="H393" s="55"/>
      <c r="I393" s="55"/>
      <c r="J393" s="55">
        <v>1</v>
      </c>
      <c r="K393" s="56">
        <f t="shared" si="136"/>
        <v>2</v>
      </c>
      <c r="L393" s="54"/>
      <c r="M393" s="55"/>
      <c r="N393" s="55"/>
      <c r="O393" s="55"/>
      <c r="P393" s="56">
        <f t="shared" si="137"/>
        <v>0</v>
      </c>
      <c r="Q393" s="54"/>
      <c r="R393" s="55"/>
      <c r="S393" s="55"/>
      <c r="T393" s="55"/>
      <c r="U393" s="176">
        <f t="shared" si="138"/>
        <v>0</v>
      </c>
      <c r="V393" s="56">
        <f t="shared" si="139"/>
        <v>2</v>
      </c>
      <c r="W393" s="329">
        <v>44406</v>
      </c>
      <c r="X393" s="326"/>
      <c r="Y393" s="326"/>
      <c r="Z393" s="326"/>
      <c r="AC393" s="276" t="s">
        <v>305</v>
      </c>
      <c r="AD393" s="54"/>
      <c r="AE393" s="55"/>
      <c r="AF393" s="55"/>
      <c r="AG393" s="55"/>
      <c r="AH393" s="56">
        <f t="shared" si="145"/>
        <v>0</v>
      </c>
      <c r="AI393" s="54"/>
      <c r="AJ393" s="55"/>
      <c r="AK393" s="55"/>
      <c r="AL393" s="55"/>
      <c r="AM393" s="56">
        <f t="shared" si="146"/>
        <v>0</v>
      </c>
      <c r="AN393" s="54"/>
      <c r="AO393" s="55"/>
      <c r="AP393" s="55"/>
      <c r="AQ393" s="55"/>
      <c r="AR393" s="56">
        <f t="shared" si="149"/>
        <v>0</v>
      </c>
      <c r="AS393" s="54"/>
      <c r="AT393" s="55"/>
      <c r="AU393" s="55">
        <v>2</v>
      </c>
      <c r="AV393" s="55"/>
      <c r="AW393" s="176">
        <f t="shared" si="150"/>
        <v>2</v>
      </c>
      <c r="AX393" s="56">
        <f t="shared" si="140"/>
        <v>2</v>
      </c>
      <c r="AY393" s="329">
        <v>44410</v>
      </c>
      <c r="AZ393" s="326"/>
    </row>
    <row r="394" spans="1:52" x14ac:dyDescent="0.15">
      <c r="A394" s="53" t="s">
        <v>100</v>
      </c>
      <c r="B394" s="54"/>
      <c r="C394" s="55"/>
      <c r="D394" s="55"/>
      <c r="E394" s="55">
        <v>1</v>
      </c>
      <c r="F394" s="56">
        <f t="shared" si="135"/>
        <v>1</v>
      </c>
      <c r="G394" s="54"/>
      <c r="H394" s="55"/>
      <c r="I394" s="55"/>
      <c r="J394" s="55"/>
      <c r="K394" s="56">
        <f t="shared" si="136"/>
        <v>0</v>
      </c>
      <c r="L394" s="54"/>
      <c r="M394" s="55"/>
      <c r="N394" s="55"/>
      <c r="O394" s="55"/>
      <c r="P394" s="56">
        <f t="shared" si="137"/>
        <v>0</v>
      </c>
      <c r="Q394" s="54"/>
      <c r="R394" s="55"/>
      <c r="S394" s="55"/>
      <c r="T394" s="55"/>
      <c r="U394" s="176">
        <f t="shared" si="138"/>
        <v>0</v>
      </c>
      <c r="V394" s="56">
        <f t="shared" si="139"/>
        <v>1</v>
      </c>
      <c r="W394" s="329">
        <v>44408</v>
      </c>
      <c r="X394" s="326"/>
      <c r="Y394" s="326"/>
      <c r="Z394" s="326"/>
      <c r="AC394" s="277" t="s">
        <v>302</v>
      </c>
      <c r="AD394" s="54">
        <v>5</v>
      </c>
      <c r="AE394" s="55">
        <v>10</v>
      </c>
      <c r="AF394" s="55"/>
      <c r="AG394" s="55">
        <v>5</v>
      </c>
      <c r="AH394" s="56">
        <f t="shared" si="145"/>
        <v>20</v>
      </c>
      <c r="AI394" s="54">
        <v>5</v>
      </c>
      <c r="AJ394" s="55">
        <v>10</v>
      </c>
      <c r="AK394" s="55">
        <v>5</v>
      </c>
      <c r="AL394" s="55"/>
      <c r="AM394" s="56">
        <f t="shared" si="146"/>
        <v>20</v>
      </c>
      <c r="AN394" s="54"/>
      <c r="AO394" s="55"/>
      <c r="AP394" s="55"/>
      <c r="AQ394" s="55"/>
      <c r="AR394" s="56">
        <f t="shared" si="149"/>
        <v>0</v>
      </c>
      <c r="AS394" s="54">
        <v>10</v>
      </c>
      <c r="AT394" s="55"/>
      <c r="AU394" s="55"/>
      <c r="AV394" s="55"/>
      <c r="AW394" s="56">
        <f t="shared" si="150"/>
        <v>10</v>
      </c>
      <c r="AX394" s="56">
        <f t="shared" si="140"/>
        <v>50</v>
      </c>
      <c r="AY394" s="329">
        <v>44408</v>
      </c>
      <c r="AZ394" s="332"/>
    </row>
    <row r="395" spans="1:52" x14ac:dyDescent="0.15">
      <c r="A395" s="53" t="s">
        <v>98</v>
      </c>
      <c r="B395" s="54"/>
      <c r="C395" s="55"/>
      <c r="D395" s="55">
        <v>1</v>
      </c>
      <c r="E395" s="55"/>
      <c r="F395" s="56">
        <f t="shared" si="135"/>
        <v>1</v>
      </c>
      <c r="G395" s="54"/>
      <c r="H395" s="55">
        <v>1</v>
      </c>
      <c r="I395" s="55"/>
      <c r="J395" s="55">
        <v>1</v>
      </c>
      <c r="K395" s="56">
        <f t="shared" si="136"/>
        <v>2</v>
      </c>
      <c r="L395" s="54"/>
      <c r="M395" s="55"/>
      <c r="N395" s="55"/>
      <c r="O395" s="55"/>
      <c r="P395" s="56">
        <f t="shared" si="137"/>
        <v>0</v>
      </c>
      <c r="Q395" s="54">
        <v>1</v>
      </c>
      <c r="R395" s="55"/>
      <c r="S395" s="55"/>
      <c r="T395" s="55"/>
      <c r="U395" s="176">
        <f t="shared" si="138"/>
        <v>1</v>
      </c>
      <c r="V395" s="56">
        <f t="shared" si="139"/>
        <v>4</v>
      </c>
      <c r="W395" s="328">
        <v>44407</v>
      </c>
      <c r="X395" s="326"/>
      <c r="Y395" s="326"/>
      <c r="Z395" s="326"/>
      <c r="AC395" s="277" t="s">
        <v>202</v>
      </c>
      <c r="AD395" s="51"/>
      <c r="AE395" s="52"/>
      <c r="AF395" s="52"/>
      <c r="AG395" s="52">
        <v>5</v>
      </c>
      <c r="AH395" s="49">
        <f t="shared" si="145"/>
        <v>5</v>
      </c>
      <c r="AI395" s="51"/>
      <c r="AJ395" s="52"/>
      <c r="AK395" s="52"/>
      <c r="AL395" s="52"/>
      <c r="AM395" s="49">
        <f t="shared" si="146"/>
        <v>0</v>
      </c>
      <c r="AN395" s="51"/>
      <c r="AO395" s="52"/>
      <c r="AP395" s="52"/>
      <c r="AQ395" s="52"/>
      <c r="AR395" s="49">
        <f t="shared" si="149"/>
        <v>0</v>
      </c>
      <c r="AS395" s="51"/>
      <c r="AT395" s="52"/>
      <c r="AU395" s="52"/>
      <c r="AV395" s="52"/>
      <c r="AW395" s="175">
        <f t="shared" si="150"/>
        <v>0</v>
      </c>
      <c r="AX395" s="49">
        <f t="shared" si="140"/>
        <v>5</v>
      </c>
      <c r="AY395" s="329">
        <v>44413</v>
      </c>
      <c r="AZ395" s="332"/>
    </row>
    <row r="396" spans="1:52" x14ac:dyDescent="0.15">
      <c r="A396" s="53" t="s">
        <v>98</v>
      </c>
      <c r="B396" s="54"/>
      <c r="C396" s="55"/>
      <c r="D396" s="55"/>
      <c r="E396" s="55"/>
      <c r="F396" s="56">
        <f t="shared" si="135"/>
        <v>0</v>
      </c>
      <c r="G396" s="54">
        <v>1</v>
      </c>
      <c r="H396" s="55">
        <v>2</v>
      </c>
      <c r="I396" s="55"/>
      <c r="J396" s="55"/>
      <c r="K396" s="56">
        <f t="shared" si="136"/>
        <v>3</v>
      </c>
      <c r="L396" s="54">
        <v>1</v>
      </c>
      <c r="M396" s="55"/>
      <c r="N396" s="55"/>
      <c r="O396" s="55"/>
      <c r="P396" s="56">
        <f t="shared" si="137"/>
        <v>1</v>
      </c>
      <c r="Q396" s="54"/>
      <c r="R396" s="55"/>
      <c r="S396" s="55"/>
      <c r="T396" s="55"/>
      <c r="U396" s="176">
        <f t="shared" si="138"/>
        <v>0</v>
      </c>
      <c r="V396" s="56">
        <f t="shared" si="139"/>
        <v>4</v>
      </c>
      <c r="W396" s="329">
        <v>44408</v>
      </c>
      <c r="X396" s="326"/>
      <c r="Y396" s="326"/>
      <c r="Z396" s="326"/>
      <c r="AC396" s="268" t="s">
        <v>303</v>
      </c>
      <c r="AD396" s="54"/>
      <c r="AE396" s="55">
        <v>2</v>
      </c>
      <c r="AF396" s="55"/>
      <c r="AG396" s="55"/>
      <c r="AH396" s="56">
        <f t="shared" si="145"/>
        <v>2</v>
      </c>
      <c r="AI396" s="54"/>
      <c r="AJ396" s="55"/>
      <c r="AK396" s="55"/>
      <c r="AL396" s="55"/>
      <c r="AM396" s="56">
        <f t="shared" si="146"/>
        <v>0</v>
      </c>
      <c r="AN396" s="54"/>
      <c r="AO396" s="55"/>
      <c r="AP396" s="55"/>
      <c r="AQ396" s="55"/>
      <c r="AR396" s="56">
        <f t="shared" si="149"/>
        <v>0</v>
      </c>
      <c r="AS396" s="54"/>
      <c r="AT396" s="55"/>
      <c r="AU396" s="55"/>
      <c r="AV396" s="55"/>
      <c r="AW396" s="176">
        <f t="shared" si="150"/>
        <v>0</v>
      </c>
      <c r="AX396" s="56">
        <f t="shared" si="140"/>
        <v>2</v>
      </c>
      <c r="AY396" s="329">
        <v>44419</v>
      </c>
      <c r="AZ396" s="332"/>
    </row>
    <row r="397" spans="1:52" x14ac:dyDescent="0.15">
      <c r="A397" s="53" t="s">
        <v>100</v>
      </c>
      <c r="B397" s="54"/>
      <c r="C397" s="55"/>
      <c r="D397" s="55"/>
      <c r="E397" s="55">
        <v>1</v>
      </c>
      <c r="F397" s="56">
        <f t="shared" si="135"/>
        <v>1</v>
      </c>
      <c r="G397" s="54"/>
      <c r="H397" s="55">
        <v>1</v>
      </c>
      <c r="I397" s="55"/>
      <c r="J397" s="55"/>
      <c r="K397" s="56">
        <f t="shared" si="136"/>
        <v>1</v>
      </c>
      <c r="L397" s="54"/>
      <c r="M397" s="55"/>
      <c r="N397" s="55"/>
      <c r="O397" s="55"/>
      <c r="P397" s="56">
        <f t="shared" si="137"/>
        <v>0</v>
      </c>
      <c r="Q397" s="54"/>
      <c r="R397" s="55"/>
      <c r="S397" s="55"/>
      <c r="T397" s="55"/>
      <c r="U397" s="176">
        <f t="shared" si="138"/>
        <v>0</v>
      </c>
      <c r="V397" s="56">
        <f t="shared" si="139"/>
        <v>2</v>
      </c>
      <c r="W397" s="329">
        <v>44411</v>
      </c>
      <c r="X397" s="326"/>
      <c r="Y397" s="326"/>
      <c r="Z397" s="326"/>
      <c r="AC397" s="268" t="s">
        <v>304</v>
      </c>
      <c r="AD397" s="54"/>
      <c r="AE397" s="55"/>
      <c r="AF397" s="55"/>
      <c r="AG397" s="55"/>
      <c r="AH397" s="56">
        <f t="shared" si="145"/>
        <v>0</v>
      </c>
      <c r="AI397" s="54"/>
      <c r="AJ397" s="55">
        <v>2</v>
      </c>
      <c r="AK397" s="55"/>
      <c r="AL397" s="55"/>
      <c r="AM397" s="56">
        <f t="shared" si="146"/>
        <v>2</v>
      </c>
      <c r="AN397" s="54"/>
      <c r="AO397" s="55"/>
      <c r="AP397" s="55"/>
      <c r="AQ397" s="55"/>
      <c r="AR397" s="56">
        <f t="shared" si="149"/>
        <v>0</v>
      </c>
      <c r="AS397" s="54"/>
      <c r="AT397" s="55"/>
      <c r="AU397" s="55"/>
      <c r="AV397" s="55"/>
      <c r="AW397" s="176">
        <f t="shared" si="150"/>
        <v>0</v>
      </c>
      <c r="AX397" s="56">
        <f t="shared" si="140"/>
        <v>2</v>
      </c>
      <c r="AY397" s="329">
        <v>44419</v>
      </c>
      <c r="AZ397" s="332"/>
    </row>
    <row r="398" spans="1:52" x14ac:dyDescent="0.15">
      <c r="A398" s="53" t="s">
        <v>98</v>
      </c>
      <c r="B398" s="54"/>
      <c r="C398" s="55">
        <f>1+1</f>
        <v>2</v>
      </c>
      <c r="D398" s="55">
        <v>1</v>
      </c>
      <c r="E398" s="55"/>
      <c r="F398" s="56">
        <f t="shared" si="135"/>
        <v>3</v>
      </c>
      <c r="G398" s="54"/>
      <c r="H398" s="55">
        <v>1</v>
      </c>
      <c r="I398" s="55">
        <v>1</v>
      </c>
      <c r="J398" s="55">
        <v>3</v>
      </c>
      <c r="K398" s="56">
        <f t="shared" si="136"/>
        <v>5</v>
      </c>
      <c r="L398" s="54">
        <v>1</v>
      </c>
      <c r="M398" s="55"/>
      <c r="N398" s="55"/>
      <c r="O398" s="55"/>
      <c r="P398" s="56">
        <f t="shared" si="137"/>
        <v>1</v>
      </c>
      <c r="Q398" s="54"/>
      <c r="R398" s="55"/>
      <c r="S398" s="55"/>
      <c r="T398" s="55"/>
      <c r="U398" s="176">
        <f t="shared" si="138"/>
        <v>0</v>
      </c>
      <c r="V398" s="56">
        <f t="shared" si="139"/>
        <v>9</v>
      </c>
      <c r="W398" s="329">
        <v>44410</v>
      </c>
      <c r="X398" s="326"/>
      <c r="Y398" s="326"/>
      <c r="Z398" s="326"/>
      <c r="AC398" s="276" t="s">
        <v>306</v>
      </c>
      <c r="AD398" s="55"/>
      <c r="AE398" s="55">
        <v>6</v>
      </c>
      <c r="AF398" s="55"/>
      <c r="AG398" s="166"/>
      <c r="AH398" s="49">
        <f t="shared" si="145"/>
        <v>6</v>
      </c>
      <c r="AI398" s="55"/>
      <c r="AJ398" s="55"/>
      <c r="AK398" s="55"/>
      <c r="AL398" s="166"/>
      <c r="AM398" s="49">
        <f t="shared" si="146"/>
        <v>0</v>
      </c>
      <c r="AN398" s="55"/>
      <c r="AO398" s="55"/>
      <c r="AP398" s="55"/>
      <c r="AQ398" s="166"/>
      <c r="AR398" s="49">
        <f t="shared" si="149"/>
        <v>0</v>
      </c>
      <c r="AS398" s="55"/>
      <c r="AT398" s="55"/>
      <c r="AU398" s="55"/>
      <c r="AV398" s="166"/>
      <c r="AW398" s="175">
        <f t="shared" si="150"/>
        <v>0</v>
      </c>
      <c r="AX398" s="56">
        <f t="shared" si="140"/>
        <v>6</v>
      </c>
      <c r="AY398" s="329">
        <v>44413</v>
      </c>
      <c r="AZ398" s="332"/>
    </row>
    <row r="399" spans="1:52" x14ac:dyDescent="0.15">
      <c r="A399" s="53" t="s">
        <v>98</v>
      </c>
      <c r="B399" s="17"/>
      <c r="C399" s="18"/>
      <c r="D399" s="18">
        <v>1</v>
      </c>
      <c r="E399" s="18"/>
      <c r="F399" s="30">
        <f t="shared" si="135"/>
        <v>1</v>
      </c>
      <c r="G399" s="17"/>
      <c r="H399" s="18"/>
      <c r="I399" s="18">
        <v>1</v>
      </c>
      <c r="J399" s="18"/>
      <c r="K399" s="30">
        <f t="shared" si="136"/>
        <v>1</v>
      </c>
      <c r="L399" s="17"/>
      <c r="M399" s="18"/>
      <c r="N399" s="18"/>
      <c r="O399" s="18"/>
      <c r="P399" s="30">
        <f t="shared" si="137"/>
        <v>0</v>
      </c>
      <c r="Q399" s="17">
        <v>1</v>
      </c>
      <c r="R399" s="18"/>
      <c r="S399" s="18"/>
      <c r="T399" s="18"/>
      <c r="U399" s="178">
        <f t="shared" si="138"/>
        <v>1</v>
      </c>
      <c r="V399" s="56">
        <f t="shared" si="139"/>
        <v>3</v>
      </c>
      <c r="W399" s="328">
        <v>44411</v>
      </c>
      <c r="X399" s="326"/>
      <c r="Y399" s="326"/>
      <c r="Z399" s="326"/>
      <c r="AC399" s="277" t="s">
        <v>205</v>
      </c>
      <c r="AD399" s="17"/>
      <c r="AE399" s="18"/>
      <c r="AF399" s="18"/>
      <c r="AG399" s="18"/>
      <c r="AH399" s="30">
        <f t="shared" si="145"/>
        <v>0</v>
      </c>
      <c r="AI399" s="17">
        <v>6</v>
      </c>
      <c r="AJ399" s="18">
        <v>9</v>
      </c>
      <c r="AK399" s="18"/>
      <c r="AL399" s="18"/>
      <c r="AM399" s="30">
        <f t="shared" si="146"/>
        <v>15</v>
      </c>
      <c r="AN399" s="17"/>
      <c r="AO399" s="18"/>
      <c r="AP399" s="18"/>
      <c r="AQ399" s="18"/>
      <c r="AR399" s="30">
        <f t="shared" si="149"/>
        <v>0</v>
      </c>
      <c r="AS399" s="17"/>
      <c r="AT399" s="18"/>
      <c r="AU399" s="18"/>
      <c r="AV399" s="18"/>
      <c r="AW399" s="178">
        <f t="shared" si="150"/>
        <v>0</v>
      </c>
      <c r="AX399" s="56">
        <f t="shared" si="140"/>
        <v>15</v>
      </c>
      <c r="AY399" s="329">
        <v>44418</v>
      </c>
      <c r="AZ399" s="332"/>
    </row>
    <row r="400" spans="1:52" x14ac:dyDescent="0.15">
      <c r="A400" s="53" t="s">
        <v>98</v>
      </c>
      <c r="B400" s="54"/>
      <c r="C400" s="55"/>
      <c r="D400" s="55">
        <v>1</v>
      </c>
      <c r="E400" s="55"/>
      <c r="F400" s="56">
        <f t="shared" si="135"/>
        <v>1</v>
      </c>
      <c r="G400" s="54">
        <v>1</v>
      </c>
      <c r="H400" s="55">
        <v>1</v>
      </c>
      <c r="I400" s="55"/>
      <c r="J400" s="55"/>
      <c r="K400" s="56">
        <f t="shared" si="136"/>
        <v>2</v>
      </c>
      <c r="L400" s="54"/>
      <c r="M400" s="55"/>
      <c r="N400" s="55"/>
      <c r="O400" s="55"/>
      <c r="P400" s="56">
        <f t="shared" si="137"/>
        <v>0</v>
      </c>
      <c r="Q400" s="54">
        <v>1</v>
      </c>
      <c r="R400" s="55"/>
      <c r="S400" s="55"/>
      <c r="T400" s="55"/>
      <c r="U400" s="176">
        <f t="shared" si="138"/>
        <v>1</v>
      </c>
      <c r="V400" s="56">
        <f t="shared" si="139"/>
        <v>4</v>
      </c>
      <c r="W400" s="328">
        <v>44412</v>
      </c>
      <c r="X400" s="326"/>
      <c r="Y400" s="326"/>
      <c r="Z400" s="326"/>
      <c r="AC400" s="276" t="s">
        <v>307</v>
      </c>
      <c r="AD400" s="54"/>
      <c r="AE400" s="55"/>
      <c r="AF400" s="55"/>
      <c r="AG400" s="55"/>
      <c r="AH400" s="56">
        <f t="shared" si="145"/>
        <v>0</v>
      </c>
      <c r="AI400" s="54"/>
      <c r="AJ400" s="55"/>
      <c r="AK400" s="55"/>
      <c r="AL400" s="55"/>
      <c r="AM400" s="56">
        <f t="shared" si="146"/>
        <v>0</v>
      </c>
      <c r="AN400" s="54"/>
      <c r="AO400" s="55"/>
      <c r="AP400" s="55"/>
      <c r="AQ400" s="55"/>
      <c r="AR400" s="56">
        <f t="shared" si="149"/>
        <v>0</v>
      </c>
      <c r="AS400" s="54"/>
      <c r="AT400" s="55">
        <v>15</v>
      </c>
      <c r="AU400" s="55"/>
      <c r="AV400" s="55"/>
      <c r="AW400" s="176">
        <f t="shared" si="150"/>
        <v>15</v>
      </c>
      <c r="AX400" s="56">
        <f t="shared" si="140"/>
        <v>15</v>
      </c>
      <c r="AY400" s="329">
        <v>44418</v>
      </c>
      <c r="AZ400" s="332"/>
    </row>
    <row r="401" spans="1:52" x14ac:dyDescent="0.15">
      <c r="A401" s="53" t="s">
        <v>98</v>
      </c>
      <c r="B401" s="54"/>
      <c r="C401" s="55"/>
      <c r="D401" s="55"/>
      <c r="E401" s="55">
        <v>1</v>
      </c>
      <c r="F401" s="56">
        <f t="shared" si="135"/>
        <v>1</v>
      </c>
      <c r="G401" s="54">
        <v>1</v>
      </c>
      <c r="H401" s="55">
        <v>1</v>
      </c>
      <c r="I401" s="55">
        <f>1+1</f>
        <v>2</v>
      </c>
      <c r="J401" s="55"/>
      <c r="K401" s="56">
        <f t="shared" si="136"/>
        <v>4</v>
      </c>
      <c r="L401" s="54"/>
      <c r="M401" s="55"/>
      <c r="N401" s="55"/>
      <c r="O401" s="55"/>
      <c r="P401" s="56">
        <f t="shared" si="137"/>
        <v>0</v>
      </c>
      <c r="Q401" s="54"/>
      <c r="R401" s="55"/>
      <c r="S401" s="55"/>
      <c r="T401" s="55"/>
      <c r="U401" s="176">
        <f t="shared" si="138"/>
        <v>0</v>
      </c>
      <c r="V401" s="56">
        <f t="shared" si="139"/>
        <v>5</v>
      </c>
      <c r="W401" s="328">
        <v>44413</v>
      </c>
      <c r="X401" s="326"/>
      <c r="Y401" s="326"/>
      <c r="Z401" s="326"/>
      <c r="AC401" s="277" t="s">
        <v>206</v>
      </c>
      <c r="AD401" s="54"/>
      <c r="AE401" s="55"/>
      <c r="AF401" s="55"/>
      <c r="AG401" s="55"/>
      <c r="AH401" s="56">
        <f t="shared" si="145"/>
        <v>0</v>
      </c>
      <c r="AI401" s="54"/>
      <c r="AJ401" s="55"/>
      <c r="AK401" s="55"/>
      <c r="AL401" s="55"/>
      <c r="AM401" s="56">
        <f t="shared" si="146"/>
        <v>0</v>
      </c>
      <c r="AN401" s="54"/>
      <c r="AO401" s="55"/>
      <c r="AP401" s="55"/>
      <c r="AQ401" s="55"/>
      <c r="AR401" s="56">
        <f t="shared" si="149"/>
        <v>0</v>
      </c>
      <c r="AS401" s="54">
        <v>5</v>
      </c>
      <c r="AT401" s="55"/>
      <c r="AU401" s="55"/>
      <c r="AV401" s="55"/>
      <c r="AW401" s="176">
        <f t="shared" si="150"/>
        <v>5</v>
      </c>
      <c r="AX401" s="56">
        <f t="shared" si="140"/>
        <v>5</v>
      </c>
      <c r="AY401" s="329">
        <v>44419</v>
      </c>
      <c r="AZ401" s="332"/>
    </row>
    <row r="402" spans="1:52" x14ac:dyDescent="0.15">
      <c r="A402" s="53" t="s">
        <v>100</v>
      </c>
      <c r="B402" s="54"/>
      <c r="C402" s="55"/>
      <c r="D402" s="55"/>
      <c r="E402" s="55">
        <v>1</v>
      </c>
      <c r="F402" s="56">
        <f t="shared" si="135"/>
        <v>1</v>
      </c>
      <c r="G402" s="54"/>
      <c r="H402" s="55"/>
      <c r="I402" s="55"/>
      <c r="J402" s="55"/>
      <c r="K402" s="56">
        <f t="shared" si="136"/>
        <v>0</v>
      </c>
      <c r="L402" s="54"/>
      <c r="M402" s="55"/>
      <c r="N402" s="55"/>
      <c r="O402" s="55"/>
      <c r="P402" s="56">
        <f t="shared" si="137"/>
        <v>0</v>
      </c>
      <c r="Q402" s="54"/>
      <c r="R402" s="55"/>
      <c r="S402" s="55"/>
      <c r="T402" s="55"/>
      <c r="U402" s="176">
        <f t="shared" si="138"/>
        <v>0</v>
      </c>
      <c r="V402" s="56">
        <f t="shared" si="139"/>
        <v>1</v>
      </c>
      <c r="W402" s="329">
        <v>44414</v>
      </c>
      <c r="X402" s="326"/>
      <c r="Y402" s="326"/>
      <c r="Z402" s="326"/>
      <c r="AC402" s="276" t="s">
        <v>308</v>
      </c>
      <c r="AD402" s="54">
        <v>3</v>
      </c>
      <c r="AE402" s="55"/>
      <c r="AF402" s="55"/>
      <c r="AG402" s="55"/>
      <c r="AH402" s="56">
        <f t="shared" si="145"/>
        <v>3</v>
      </c>
      <c r="AI402" s="54"/>
      <c r="AJ402" s="55"/>
      <c r="AK402" s="55"/>
      <c r="AL402" s="55"/>
      <c r="AM402" s="56">
        <f t="shared" si="146"/>
        <v>0</v>
      </c>
      <c r="AN402" s="54"/>
      <c r="AO402" s="55"/>
      <c r="AP402" s="55"/>
      <c r="AQ402" s="55"/>
      <c r="AR402" s="56">
        <f t="shared" si="149"/>
        <v>0</v>
      </c>
      <c r="AS402" s="54"/>
      <c r="AT402" s="55"/>
      <c r="AU402" s="55"/>
      <c r="AV402" s="55"/>
      <c r="AW402" s="176">
        <f t="shared" si="150"/>
        <v>0</v>
      </c>
      <c r="AX402" s="56">
        <f t="shared" si="140"/>
        <v>3</v>
      </c>
      <c r="AY402" s="329">
        <v>44419</v>
      </c>
      <c r="AZ402" s="332"/>
    </row>
    <row r="403" spans="1:52" x14ac:dyDescent="0.15">
      <c r="A403" s="53" t="s">
        <v>98</v>
      </c>
      <c r="B403" s="54"/>
      <c r="C403" s="55"/>
      <c r="D403" s="55"/>
      <c r="E403" s="55"/>
      <c r="F403" s="56">
        <f t="shared" si="135"/>
        <v>0</v>
      </c>
      <c r="G403" s="54">
        <v>2</v>
      </c>
      <c r="H403" s="55"/>
      <c r="I403" s="55">
        <v>2</v>
      </c>
      <c r="J403" s="55">
        <v>1</v>
      </c>
      <c r="K403" s="56">
        <f t="shared" si="136"/>
        <v>5</v>
      </c>
      <c r="L403" s="54"/>
      <c r="M403" s="55"/>
      <c r="N403" s="55"/>
      <c r="O403" s="55"/>
      <c r="P403" s="56">
        <f t="shared" si="137"/>
        <v>0</v>
      </c>
      <c r="Q403" s="54"/>
      <c r="R403" s="55"/>
      <c r="S403" s="55"/>
      <c r="T403" s="55"/>
      <c r="U403" s="176">
        <f t="shared" si="138"/>
        <v>0</v>
      </c>
      <c r="V403" s="56">
        <f t="shared" si="139"/>
        <v>5</v>
      </c>
      <c r="W403" s="328">
        <v>44414</v>
      </c>
      <c r="X403" s="326"/>
      <c r="Y403" s="326"/>
      <c r="Z403" s="326"/>
      <c r="AC403" s="277" t="s">
        <v>207</v>
      </c>
      <c r="AD403" s="54"/>
      <c r="AE403" s="55"/>
      <c r="AF403" s="55"/>
      <c r="AG403" s="55"/>
      <c r="AH403" s="56">
        <f t="shared" si="145"/>
        <v>0</v>
      </c>
      <c r="AI403" s="54"/>
      <c r="AJ403" s="55"/>
      <c r="AK403" s="55"/>
      <c r="AL403" s="55"/>
      <c r="AM403" s="56">
        <f t="shared" si="146"/>
        <v>0</v>
      </c>
      <c r="AN403" s="54"/>
      <c r="AO403" s="55"/>
      <c r="AP403" s="55"/>
      <c r="AQ403" s="55"/>
      <c r="AR403" s="56">
        <f t="shared" si="149"/>
        <v>0</v>
      </c>
      <c r="AS403" s="54"/>
      <c r="AT403" s="55">
        <v>9</v>
      </c>
      <c r="AU403" s="55"/>
      <c r="AV403" s="55"/>
      <c r="AW403" s="176">
        <f t="shared" si="150"/>
        <v>9</v>
      </c>
      <c r="AX403" s="56">
        <f t="shared" si="140"/>
        <v>9</v>
      </c>
      <c r="AY403" s="329">
        <v>44425</v>
      </c>
      <c r="AZ403" s="332"/>
    </row>
    <row r="404" spans="1:52" x14ac:dyDescent="0.15">
      <c r="A404" s="53" t="s">
        <v>98</v>
      </c>
      <c r="B404" s="54"/>
      <c r="C404" s="55"/>
      <c r="D404" s="55"/>
      <c r="E404" s="55"/>
      <c r="F404" s="56">
        <f t="shared" si="135"/>
        <v>0</v>
      </c>
      <c r="G404" s="54"/>
      <c r="H404" s="55">
        <v>1</v>
      </c>
      <c r="I404" s="55"/>
      <c r="J404" s="55"/>
      <c r="K404" s="56">
        <f t="shared" si="136"/>
        <v>1</v>
      </c>
      <c r="L404" s="54"/>
      <c r="M404" s="55"/>
      <c r="N404" s="55"/>
      <c r="O404" s="55"/>
      <c r="P404" s="56">
        <f t="shared" si="137"/>
        <v>0</v>
      </c>
      <c r="Q404" s="54"/>
      <c r="R404" s="55"/>
      <c r="S404" s="55"/>
      <c r="T404" s="55"/>
      <c r="U404" s="176">
        <f t="shared" si="138"/>
        <v>0</v>
      </c>
      <c r="V404" s="56">
        <f t="shared" si="139"/>
        <v>1</v>
      </c>
      <c r="W404" s="328">
        <v>44415</v>
      </c>
      <c r="X404" s="326"/>
      <c r="Y404" s="326"/>
      <c r="Z404" s="326"/>
      <c r="AC404" s="276" t="s">
        <v>309</v>
      </c>
      <c r="AD404" s="54"/>
      <c r="AE404" s="55"/>
      <c r="AF404" s="55"/>
      <c r="AG404" s="55"/>
      <c r="AH404" s="56">
        <f t="shared" si="145"/>
        <v>0</v>
      </c>
      <c r="AI404" s="54"/>
      <c r="AJ404" s="55"/>
      <c r="AK404" s="55"/>
      <c r="AL404" s="55"/>
      <c r="AM404" s="56">
        <f t="shared" si="146"/>
        <v>0</v>
      </c>
      <c r="AN404" s="54"/>
      <c r="AO404" s="55"/>
      <c r="AP404" s="55"/>
      <c r="AQ404" s="55"/>
      <c r="AR404" s="56">
        <f t="shared" si="149"/>
        <v>0</v>
      </c>
      <c r="AS404" s="54">
        <v>9</v>
      </c>
      <c r="AT404" s="55"/>
      <c r="AU404" s="55"/>
      <c r="AV404" s="55"/>
      <c r="AW404" s="176">
        <f t="shared" si="150"/>
        <v>9</v>
      </c>
      <c r="AX404" s="56">
        <f t="shared" si="140"/>
        <v>9</v>
      </c>
      <c r="AY404" s="329">
        <v>44425</v>
      </c>
      <c r="AZ404" s="332"/>
    </row>
    <row r="405" spans="1:52" x14ac:dyDescent="0.15">
      <c r="A405" s="53" t="s">
        <v>100</v>
      </c>
      <c r="B405" s="54">
        <v>1</v>
      </c>
      <c r="C405" s="55"/>
      <c r="D405" s="55"/>
      <c r="E405" s="55"/>
      <c r="F405" s="56">
        <f t="shared" si="135"/>
        <v>1</v>
      </c>
      <c r="G405" s="54"/>
      <c r="H405" s="55"/>
      <c r="I405" s="55"/>
      <c r="J405" s="55"/>
      <c r="K405" s="56">
        <f t="shared" si="136"/>
        <v>0</v>
      </c>
      <c r="L405" s="54"/>
      <c r="M405" s="55"/>
      <c r="N405" s="55"/>
      <c r="O405" s="55"/>
      <c r="P405" s="56">
        <f t="shared" si="137"/>
        <v>0</v>
      </c>
      <c r="Q405" s="54"/>
      <c r="R405" s="55"/>
      <c r="S405" s="55"/>
      <c r="T405" s="55"/>
      <c r="U405" s="176">
        <f t="shared" si="138"/>
        <v>0</v>
      </c>
      <c r="V405" s="56">
        <f t="shared" si="139"/>
        <v>1</v>
      </c>
      <c r="W405" s="329">
        <v>44419</v>
      </c>
      <c r="X405" s="326"/>
      <c r="Y405" s="326"/>
      <c r="Z405" s="326"/>
      <c r="AC405" s="277" t="s">
        <v>217</v>
      </c>
      <c r="AD405" s="55"/>
      <c r="AE405" s="55">
        <v>8</v>
      </c>
      <c r="AF405" s="55"/>
      <c r="AG405" s="166"/>
      <c r="AH405" s="49">
        <f t="shared" si="145"/>
        <v>8</v>
      </c>
      <c r="AI405" s="55"/>
      <c r="AJ405" s="55"/>
      <c r="AK405" s="55"/>
      <c r="AL405" s="166"/>
      <c r="AM405" s="49">
        <f t="shared" si="146"/>
        <v>0</v>
      </c>
      <c r="AN405" s="55"/>
      <c r="AO405" s="55"/>
      <c r="AP405" s="55"/>
      <c r="AQ405" s="166"/>
      <c r="AR405" s="49">
        <f t="shared" si="149"/>
        <v>0</v>
      </c>
      <c r="AS405" s="55"/>
      <c r="AT405" s="55"/>
      <c r="AU405" s="55"/>
      <c r="AV405" s="166"/>
      <c r="AW405" s="175">
        <f t="shared" si="150"/>
        <v>0</v>
      </c>
      <c r="AX405" s="56">
        <f t="shared" si="140"/>
        <v>8</v>
      </c>
      <c r="AY405" s="329">
        <v>44432</v>
      </c>
      <c r="AZ405" s="332"/>
    </row>
    <row r="406" spans="1:52" x14ac:dyDescent="0.15">
      <c r="A406" s="53" t="s">
        <v>98</v>
      </c>
      <c r="B406" s="54"/>
      <c r="C406" s="55">
        <v>1</v>
      </c>
      <c r="D406" s="55">
        <v>1</v>
      </c>
      <c r="E406" s="55"/>
      <c r="F406" s="56">
        <f t="shared" si="135"/>
        <v>2</v>
      </c>
      <c r="G406" s="54">
        <f>2+1+1</f>
        <v>4</v>
      </c>
      <c r="H406" s="55"/>
      <c r="I406" s="55">
        <v>1</v>
      </c>
      <c r="J406" s="55"/>
      <c r="K406" s="56">
        <f t="shared" si="136"/>
        <v>5</v>
      </c>
      <c r="L406" s="54"/>
      <c r="M406" s="55"/>
      <c r="N406" s="55"/>
      <c r="O406" s="55"/>
      <c r="P406" s="56">
        <f t="shared" si="137"/>
        <v>0</v>
      </c>
      <c r="Q406" s="54">
        <v>2</v>
      </c>
      <c r="R406" s="55"/>
      <c r="S406" s="55"/>
      <c r="T406" s="55"/>
      <c r="U406" s="176">
        <f t="shared" si="138"/>
        <v>2</v>
      </c>
      <c r="V406" s="56">
        <f t="shared" si="139"/>
        <v>9</v>
      </c>
      <c r="W406" s="328">
        <v>44418</v>
      </c>
      <c r="X406" s="326"/>
      <c r="Y406" s="326"/>
      <c r="Z406" s="326"/>
      <c r="AC406" s="277" t="s">
        <v>220</v>
      </c>
      <c r="AD406" s="54">
        <v>5</v>
      </c>
      <c r="AE406" s="55">
        <v>5</v>
      </c>
      <c r="AF406" s="55"/>
      <c r="AG406" s="55"/>
      <c r="AH406" s="56">
        <f t="shared" si="145"/>
        <v>10</v>
      </c>
      <c r="AI406" s="54">
        <v>5</v>
      </c>
      <c r="AJ406" s="55">
        <v>5</v>
      </c>
      <c r="AK406" s="55"/>
      <c r="AL406" s="55"/>
      <c r="AM406" s="56">
        <f t="shared" si="146"/>
        <v>10</v>
      </c>
      <c r="AN406" s="54"/>
      <c r="AO406" s="55"/>
      <c r="AP406" s="55"/>
      <c r="AQ406" s="55"/>
      <c r="AR406" s="56">
        <f t="shared" si="149"/>
        <v>0</v>
      </c>
      <c r="AS406" s="54">
        <v>5</v>
      </c>
      <c r="AT406" s="55">
        <v>5</v>
      </c>
      <c r="AU406" s="55"/>
      <c r="AV406" s="55">
        <v>5</v>
      </c>
      <c r="AW406" s="176">
        <f t="shared" si="150"/>
        <v>15</v>
      </c>
      <c r="AX406" s="56">
        <f t="shared" si="140"/>
        <v>35</v>
      </c>
      <c r="AY406" s="329">
        <v>44438</v>
      </c>
      <c r="AZ406" s="332"/>
    </row>
    <row r="407" spans="1:52" x14ac:dyDescent="0.15">
      <c r="A407" s="53" t="s">
        <v>100</v>
      </c>
      <c r="B407" s="54"/>
      <c r="C407" s="55"/>
      <c r="D407" s="55"/>
      <c r="E407" s="55"/>
      <c r="F407" s="56">
        <f t="shared" si="135"/>
        <v>0</v>
      </c>
      <c r="G407" s="54"/>
      <c r="H407" s="55">
        <v>1</v>
      </c>
      <c r="I407" s="55">
        <v>1</v>
      </c>
      <c r="J407" s="55"/>
      <c r="K407" s="56">
        <f t="shared" si="136"/>
        <v>2</v>
      </c>
      <c r="L407" s="54"/>
      <c r="M407" s="55"/>
      <c r="N407" s="55"/>
      <c r="O407" s="55"/>
      <c r="P407" s="56">
        <f t="shared" si="137"/>
        <v>0</v>
      </c>
      <c r="Q407" s="54"/>
      <c r="R407" s="55"/>
      <c r="S407" s="55"/>
      <c r="T407" s="55"/>
      <c r="U407" s="176">
        <f t="shared" si="138"/>
        <v>0</v>
      </c>
      <c r="V407" s="56">
        <f t="shared" si="139"/>
        <v>2</v>
      </c>
      <c r="W407" s="329">
        <v>44420</v>
      </c>
      <c r="X407" s="326"/>
      <c r="Y407" s="326"/>
      <c r="Z407" s="326"/>
      <c r="AC407" s="276" t="s">
        <v>312</v>
      </c>
      <c r="AD407" s="54"/>
      <c r="AE407" s="55"/>
      <c r="AF407" s="55"/>
      <c r="AG407" s="55"/>
      <c r="AH407" s="56">
        <f t="shared" si="145"/>
        <v>0</v>
      </c>
      <c r="AI407" s="54">
        <v>5</v>
      </c>
      <c r="AJ407" s="55">
        <v>5</v>
      </c>
      <c r="AK407" s="55"/>
      <c r="AL407" s="55"/>
      <c r="AM407" s="56">
        <f t="shared" si="146"/>
        <v>10</v>
      </c>
      <c r="AN407" s="54"/>
      <c r="AO407" s="55"/>
      <c r="AP407" s="55">
        <v>5</v>
      </c>
      <c r="AQ407" s="55"/>
      <c r="AR407" s="56">
        <f t="shared" si="149"/>
        <v>5</v>
      </c>
      <c r="AS407" s="54">
        <v>5</v>
      </c>
      <c r="AT407" s="55">
        <v>5</v>
      </c>
      <c r="AU407" s="55">
        <v>10</v>
      </c>
      <c r="AV407" s="55"/>
      <c r="AW407" s="176">
        <f t="shared" si="150"/>
        <v>20</v>
      </c>
      <c r="AX407" s="56">
        <f t="shared" si="140"/>
        <v>35</v>
      </c>
      <c r="AY407" s="329">
        <v>44438</v>
      </c>
      <c r="AZ407" s="332"/>
    </row>
    <row r="408" spans="1:52" x14ac:dyDescent="0.15">
      <c r="A408" s="53" t="s">
        <v>98</v>
      </c>
      <c r="B408" s="54"/>
      <c r="C408" s="55"/>
      <c r="D408" s="55">
        <v>1</v>
      </c>
      <c r="E408" s="55"/>
      <c r="F408" s="56">
        <f t="shared" si="135"/>
        <v>1</v>
      </c>
      <c r="G408" s="54"/>
      <c r="H408" s="55">
        <v>2</v>
      </c>
      <c r="I408" s="55">
        <v>1</v>
      </c>
      <c r="J408" s="55"/>
      <c r="K408" s="56">
        <f t="shared" si="136"/>
        <v>3</v>
      </c>
      <c r="L408" s="54"/>
      <c r="M408" s="55"/>
      <c r="N408" s="55"/>
      <c r="O408" s="55"/>
      <c r="P408" s="56">
        <f t="shared" si="137"/>
        <v>0</v>
      </c>
      <c r="Q408" s="54"/>
      <c r="R408" s="55"/>
      <c r="S408" s="55"/>
      <c r="T408" s="55"/>
      <c r="U408" s="176">
        <f t="shared" si="138"/>
        <v>0</v>
      </c>
      <c r="V408" s="56">
        <f t="shared" si="139"/>
        <v>4</v>
      </c>
      <c r="W408" s="328">
        <v>44419</v>
      </c>
      <c r="X408" s="326"/>
      <c r="Y408" s="326"/>
      <c r="Z408" s="326"/>
      <c r="AC408" s="276" t="s">
        <v>313</v>
      </c>
      <c r="AD408" s="63"/>
      <c r="AE408" s="63"/>
      <c r="AF408" s="63"/>
      <c r="AG408" s="167"/>
      <c r="AH408" s="64">
        <f t="shared" si="145"/>
        <v>0</v>
      </c>
      <c r="AI408" s="63"/>
      <c r="AJ408" s="63"/>
      <c r="AK408" s="63"/>
      <c r="AL408" s="167"/>
      <c r="AM408" s="64">
        <f t="shared" si="146"/>
        <v>0</v>
      </c>
      <c r="AN408" s="63"/>
      <c r="AO408" s="63"/>
      <c r="AP408" s="63"/>
      <c r="AQ408" s="167"/>
      <c r="AR408" s="64">
        <f t="shared" si="149"/>
        <v>0</v>
      </c>
      <c r="AS408" s="63"/>
      <c r="AT408" s="63"/>
      <c r="AU408" s="63"/>
      <c r="AV408" s="167">
        <v>3</v>
      </c>
      <c r="AW408" s="162">
        <f t="shared" si="150"/>
        <v>3</v>
      </c>
      <c r="AX408" s="56">
        <f t="shared" si="140"/>
        <v>3</v>
      </c>
      <c r="AY408" s="329">
        <v>44441</v>
      </c>
      <c r="AZ408" s="332"/>
    </row>
    <row r="409" spans="1:52" x14ac:dyDescent="0.15">
      <c r="A409" s="53" t="s">
        <v>100</v>
      </c>
      <c r="B409" s="54"/>
      <c r="C409" s="55"/>
      <c r="D409" s="55"/>
      <c r="E409" s="55"/>
      <c r="F409" s="56">
        <f t="shared" si="135"/>
        <v>0</v>
      </c>
      <c r="G409" s="54"/>
      <c r="H409" s="55">
        <v>1</v>
      </c>
      <c r="I409" s="55"/>
      <c r="J409" s="55"/>
      <c r="K409" s="56">
        <f t="shared" si="136"/>
        <v>1</v>
      </c>
      <c r="L409" s="54"/>
      <c r="M409" s="55"/>
      <c r="N409" s="55">
        <v>1</v>
      </c>
      <c r="O409" s="55"/>
      <c r="P409" s="56">
        <f t="shared" si="137"/>
        <v>1</v>
      </c>
      <c r="Q409" s="54"/>
      <c r="R409" s="55"/>
      <c r="S409" s="55"/>
      <c r="T409" s="55"/>
      <c r="U409" s="176">
        <f t="shared" si="138"/>
        <v>0</v>
      </c>
      <c r="V409" s="56">
        <f t="shared" si="139"/>
        <v>2</v>
      </c>
      <c r="W409" s="329">
        <v>44425</v>
      </c>
      <c r="X409" s="326"/>
      <c r="Y409" s="326"/>
      <c r="Z409" s="326"/>
      <c r="AC409" s="277" t="s">
        <v>315</v>
      </c>
      <c r="AD409" s="55"/>
      <c r="AE409" s="153"/>
      <c r="AF409" s="153"/>
      <c r="AG409" s="168"/>
      <c r="AH409" s="56">
        <f t="shared" si="145"/>
        <v>0</v>
      </c>
      <c r="AI409" s="55"/>
      <c r="AJ409" s="153"/>
      <c r="AK409" s="153"/>
      <c r="AL409" s="168"/>
      <c r="AM409" s="56">
        <f t="shared" si="146"/>
        <v>0</v>
      </c>
      <c r="AN409" s="55"/>
      <c r="AO409" s="153"/>
      <c r="AP409" s="153"/>
      <c r="AQ409" s="168"/>
      <c r="AR409" s="56">
        <f t="shared" si="149"/>
        <v>0</v>
      </c>
      <c r="AS409" s="55"/>
      <c r="AT409" s="153"/>
      <c r="AU409" s="153">
        <v>1</v>
      </c>
      <c r="AV409" s="168"/>
      <c r="AW409" s="176">
        <f t="shared" si="150"/>
        <v>1</v>
      </c>
      <c r="AX409" s="56">
        <f t="shared" si="140"/>
        <v>1</v>
      </c>
      <c r="AY409" s="329">
        <v>44432</v>
      </c>
      <c r="AZ409" s="332"/>
    </row>
    <row r="410" spans="1:52" x14ac:dyDescent="0.15">
      <c r="A410" s="53" t="s">
        <v>98</v>
      </c>
      <c r="B410" s="17"/>
      <c r="C410" s="18"/>
      <c r="D410" s="18">
        <v>1</v>
      </c>
      <c r="E410" s="18"/>
      <c r="F410" s="30">
        <f t="shared" si="135"/>
        <v>1</v>
      </c>
      <c r="G410" s="17"/>
      <c r="H410" s="18">
        <v>2</v>
      </c>
      <c r="I410" s="18"/>
      <c r="J410" s="18"/>
      <c r="K410" s="30">
        <f t="shared" si="136"/>
        <v>2</v>
      </c>
      <c r="L410" s="17"/>
      <c r="M410" s="18"/>
      <c r="N410" s="18">
        <v>1</v>
      </c>
      <c r="O410" s="18"/>
      <c r="P410" s="30">
        <f t="shared" si="137"/>
        <v>1</v>
      </c>
      <c r="Q410" s="17">
        <v>3</v>
      </c>
      <c r="R410" s="18"/>
      <c r="S410" s="18"/>
      <c r="T410" s="18"/>
      <c r="U410" s="178">
        <f t="shared" si="138"/>
        <v>3</v>
      </c>
      <c r="V410" s="56">
        <f t="shared" si="139"/>
        <v>7</v>
      </c>
      <c r="W410" s="328">
        <v>44424</v>
      </c>
      <c r="X410" s="326"/>
      <c r="Y410" s="326"/>
      <c r="Z410" s="326"/>
      <c r="AC410" s="276"/>
      <c r="AD410" s="54"/>
      <c r="AE410" s="55"/>
      <c r="AF410" s="55"/>
      <c r="AG410" s="55"/>
      <c r="AH410" s="56">
        <f t="shared" si="145"/>
        <v>0</v>
      </c>
      <c r="AI410" s="54"/>
      <c r="AJ410" s="55"/>
      <c r="AK410" s="55"/>
      <c r="AL410" s="55"/>
      <c r="AM410" s="56">
        <f t="shared" si="146"/>
        <v>0</v>
      </c>
      <c r="AN410" s="54"/>
      <c r="AO410" s="55"/>
      <c r="AP410" s="55"/>
      <c r="AQ410" s="55"/>
      <c r="AR410" s="56">
        <f t="shared" si="149"/>
        <v>0</v>
      </c>
      <c r="AS410" s="54"/>
      <c r="AT410" s="55"/>
      <c r="AU410" s="55"/>
      <c r="AV410" s="55"/>
      <c r="AW410" s="176">
        <f t="shared" si="150"/>
        <v>0</v>
      </c>
      <c r="AX410" s="56">
        <f t="shared" si="140"/>
        <v>0</v>
      </c>
      <c r="AY410" s="329"/>
      <c r="AZ410" s="332"/>
    </row>
    <row r="411" spans="1:52" x14ac:dyDescent="0.15">
      <c r="A411" s="53" t="s">
        <v>98</v>
      </c>
      <c r="B411" s="54"/>
      <c r="C411" s="55"/>
      <c r="D411" s="55"/>
      <c r="E411" s="55"/>
      <c r="F411" s="56">
        <f t="shared" si="135"/>
        <v>0</v>
      </c>
      <c r="G411" s="54"/>
      <c r="H411" s="55">
        <v>1</v>
      </c>
      <c r="I411" s="55"/>
      <c r="J411" s="55"/>
      <c r="K411" s="56">
        <f t="shared" si="136"/>
        <v>1</v>
      </c>
      <c r="L411" s="54"/>
      <c r="M411" s="55"/>
      <c r="N411" s="55"/>
      <c r="O411" s="55"/>
      <c r="P411" s="56">
        <f t="shared" si="137"/>
        <v>0</v>
      </c>
      <c r="Q411" s="54"/>
      <c r="R411" s="55"/>
      <c r="S411" s="55"/>
      <c r="T411" s="55"/>
      <c r="U411" s="176">
        <f t="shared" si="138"/>
        <v>0</v>
      </c>
      <c r="V411" s="56">
        <f t="shared" si="139"/>
        <v>1</v>
      </c>
      <c r="W411" s="328">
        <v>44427</v>
      </c>
      <c r="X411" s="326"/>
      <c r="Y411" s="326"/>
      <c r="Z411" s="326"/>
      <c r="AC411" s="277"/>
      <c r="AD411" s="54"/>
      <c r="AE411" s="55"/>
      <c r="AF411" s="55"/>
      <c r="AG411" s="55"/>
      <c r="AH411" s="56">
        <f t="shared" si="145"/>
        <v>0</v>
      </c>
      <c r="AI411" s="54"/>
      <c r="AJ411" s="55"/>
      <c r="AK411" s="55"/>
      <c r="AL411" s="55"/>
      <c r="AM411" s="56">
        <f t="shared" si="146"/>
        <v>0</v>
      </c>
      <c r="AN411" s="54"/>
      <c r="AO411" s="55"/>
      <c r="AP411" s="55"/>
      <c r="AQ411" s="55"/>
      <c r="AR411" s="56">
        <f t="shared" si="149"/>
        <v>0</v>
      </c>
      <c r="AS411" s="54"/>
      <c r="AT411" s="55"/>
      <c r="AU411" s="55"/>
      <c r="AV411" s="55"/>
      <c r="AW411" s="176">
        <f t="shared" si="150"/>
        <v>0</v>
      </c>
      <c r="AX411" s="56">
        <f t="shared" si="140"/>
        <v>0</v>
      </c>
      <c r="AY411" s="330"/>
      <c r="AZ411" s="326"/>
    </row>
    <row r="412" spans="1:52" x14ac:dyDescent="0.15">
      <c r="A412" s="53" t="s">
        <v>98</v>
      </c>
      <c r="B412" s="62"/>
      <c r="C412" s="63"/>
      <c r="D412" s="63"/>
      <c r="E412" s="63"/>
      <c r="F412" s="56">
        <f t="shared" si="135"/>
        <v>0</v>
      </c>
      <c r="G412" s="62"/>
      <c r="H412" s="63"/>
      <c r="I412" s="63"/>
      <c r="J412" s="63"/>
      <c r="K412" s="56">
        <f t="shared" si="136"/>
        <v>0</v>
      </c>
      <c r="L412" s="62"/>
      <c r="M412" s="63"/>
      <c r="N412" s="63"/>
      <c r="O412" s="63"/>
      <c r="P412" s="56">
        <f t="shared" si="137"/>
        <v>0</v>
      </c>
      <c r="Q412" s="62">
        <v>1</v>
      </c>
      <c r="R412" s="63"/>
      <c r="S412" s="63"/>
      <c r="T412" s="63"/>
      <c r="U412" s="176">
        <f t="shared" si="138"/>
        <v>1</v>
      </c>
      <c r="V412" s="56">
        <f t="shared" si="139"/>
        <v>1</v>
      </c>
      <c r="W412" s="328">
        <v>44428</v>
      </c>
      <c r="X412" s="326"/>
      <c r="Y412" s="326"/>
      <c r="Z412" s="326"/>
      <c r="AC412" s="268"/>
      <c r="AD412" s="62"/>
      <c r="AE412" s="63"/>
      <c r="AF412" s="63"/>
      <c r="AG412" s="63"/>
      <c r="AH412" s="56">
        <f t="shared" si="145"/>
        <v>0</v>
      </c>
      <c r="AI412" s="62"/>
      <c r="AJ412" s="63"/>
      <c r="AK412" s="63"/>
      <c r="AL412" s="63"/>
      <c r="AM412" s="56">
        <f t="shared" si="146"/>
        <v>0</v>
      </c>
      <c r="AN412" s="62"/>
      <c r="AO412" s="63"/>
      <c r="AP412" s="63"/>
      <c r="AQ412" s="63"/>
      <c r="AR412" s="56">
        <f t="shared" si="149"/>
        <v>0</v>
      </c>
      <c r="AS412" s="62"/>
      <c r="AT412" s="63"/>
      <c r="AU412" s="63"/>
      <c r="AV412" s="63"/>
      <c r="AW412" s="176">
        <f t="shared" si="150"/>
        <v>0</v>
      </c>
      <c r="AX412" s="56">
        <f t="shared" si="140"/>
        <v>0</v>
      </c>
      <c r="AY412" s="330"/>
      <c r="AZ412" s="326"/>
    </row>
    <row r="413" spans="1:52" x14ac:dyDescent="0.15">
      <c r="A413" s="53" t="s">
        <v>310</v>
      </c>
      <c r="B413" s="54">
        <v>8</v>
      </c>
      <c r="C413" s="55">
        <v>10</v>
      </c>
      <c r="D413" s="55">
        <v>1</v>
      </c>
      <c r="E413" s="55">
        <v>5</v>
      </c>
      <c r="F413" s="56">
        <f t="shared" si="135"/>
        <v>24</v>
      </c>
      <c r="G413" s="54">
        <v>1</v>
      </c>
      <c r="H413" s="55">
        <v>4</v>
      </c>
      <c r="I413" s="55">
        <v>4</v>
      </c>
      <c r="J413" s="55"/>
      <c r="K413" s="56">
        <f t="shared" si="136"/>
        <v>9</v>
      </c>
      <c r="L413" s="54"/>
      <c r="M413" s="55"/>
      <c r="N413" s="55"/>
      <c r="O413" s="55"/>
      <c r="P413" s="56">
        <f t="shared" si="137"/>
        <v>0</v>
      </c>
      <c r="Q413" s="54"/>
      <c r="R413" s="55">
        <v>3</v>
      </c>
      <c r="S413" s="55">
        <v>5</v>
      </c>
      <c r="T413" s="55">
        <v>1</v>
      </c>
      <c r="U413" s="176">
        <f t="shared" si="138"/>
        <v>9</v>
      </c>
      <c r="V413" s="56">
        <f t="shared" si="139"/>
        <v>42</v>
      </c>
      <c r="W413" s="328">
        <v>44429</v>
      </c>
      <c r="X413" s="326"/>
      <c r="Y413" s="326"/>
      <c r="Z413" s="326"/>
      <c r="AC413" s="268"/>
      <c r="AD413" s="54"/>
      <c r="AE413" s="55"/>
      <c r="AF413" s="55"/>
      <c r="AG413" s="55"/>
      <c r="AH413" s="56">
        <f t="shared" si="145"/>
        <v>0</v>
      </c>
      <c r="AI413" s="54"/>
      <c r="AJ413" s="55"/>
      <c r="AK413" s="55"/>
      <c r="AL413" s="55"/>
      <c r="AM413" s="56">
        <f t="shared" si="146"/>
        <v>0</v>
      </c>
      <c r="AN413" s="54"/>
      <c r="AO413" s="55"/>
      <c r="AP413" s="55"/>
      <c r="AQ413" s="55"/>
      <c r="AR413" s="56">
        <f t="shared" si="149"/>
        <v>0</v>
      </c>
      <c r="AS413" s="54"/>
      <c r="AT413" s="55"/>
      <c r="AU413" s="55"/>
      <c r="AV413" s="55"/>
      <c r="AW413" s="176">
        <f t="shared" si="150"/>
        <v>0</v>
      </c>
      <c r="AX413" s="56">
        <f t="shared" si="140"/>
        <v>0</v>
      </c>
      <c r="AY413" s="330"/>
      <c r="AZ413" s="326"/>
    </row>
    <row r="414" spans="1:52" x14ac:dyDescent="0.15">
      <c r="A414" s="53" t="s">
        <v>98</v>
      </c>
      <c r="B414" s="54"/>
      <c r="C414" s="55"/>
      <c r="D414" s="55"/>
      <c r="E414" s="55"/>
      <c r="F414" s="56">
        <f t="shared" si="135"/>
        <v>0</v>
      </c>
      <c r="G414" s="54"/>
      <c r="H414" s="55"/>
      <c r="I414" s="55"/>
      <c r="J414" s="55"/>
      <c r="K414" s="56">
        <f t="shared" si="136"/>
        <v>0</v>
      </c>
      <c r="L414" s="54">
        <v>1</v>
      </c>
      <c r="M414" s="55"/>
      <c r="N414" s="55"/>
      <c r="O414" s="55"/>
      <c r="P414" s="56">
        <f t="shared" si="137"/>
        <v>1</v>
      </c>
      <c r="Q414" s="54"/>
      <c r="R414" s="55"/>
      <c r="S414" s="55"/>
      <c r="T414" s="55"/>
      <c r="U414" s="176">
        <f t="shared" si="138"/>
        <v>0</v>
      </c>
      <c r="V414" s="56">
        <f t="shared" si="139"/>
        <v>1</v>
      </c>
      <c r="W414" s="328">
        <v>44431</v>
      </c>
      <c r="X414" s="326"/>
      <c r="Y414" s="326"/>
      <c r="Z414" s="326"/>
      <c r="AC414" s="268"/>
      <c r="AD414" s="62"/>
      <c r="AE414" s="63"/>
      <c r="AF414" s="63"/>
      <c r="AG414" s="63"/>
      <c r="AH414" s="56">
        <f t="shared" si="145"/>
        <v>0</v>
      </c>
      <c r="AI414" s="62"/>
      <c r="AJ414" s="63"/>
      <c r="AK414" s="63"/>
      <c r="AL414" s="63"/>
      <c r="AM414" s="56">
        <f t="shared" si="146"/>
        <v>0</v>
      </c>
      <c r="AN414" s="62"/>
      <c r="AO414" s="63"/>
      <c r="AP414" s="63"/>
      <c r="AQ414" s="63"/>
      <c r="AR414" s="56">
        <f t="shared" si="149"/>
        <v>0</v>
      </c>
      <c r="AS414" s="62"/>
      <c r="AT414" s="63"/>
      <c r="AU414" s="63"/>
      <c r="AV414" s="63"/>
      <c r="AW414" s="176">
        <f t="shared" si="150"/>
        <v>0</v>
      </c>
      <c r="AX414" s="56">
        <f t="shared" si="140"/>
        <v>0</v>
      </c>
      <c r="AY414" s="330"/>
      <c r="AZ414" s="326"/>
    </row>
    <row r="415" spans="1:52" x14ac:dyDescent="0.15">
      <c r="A415" s="53" t="s">
        <v>98</v>
      </c>
      <c r="B415" s="54"/>
      <c r="C415" s="55"/>
      <c r="D415" s="55"/>
      <c r="E415" s="55"/>
      <c r="F415" s="56">
        <f t="shared" si="135"/>
        <v>0</v>
      </c>
      <c r="G415" s="54"/>
      <c r="H415" s="55"/>
      <c r="I415" s="55"/>
      <c r="J415" s="55"/>
      <c r="K415" s="56">
        <f t="shared" si="136"/>
        <v>0</v>
      </c>
      <c r="L415" s="54"/>
      <c r="M415" s="55"/>
      <c r="N415" s="55"/>
      <c r="O415" s="55"/>
      <c r="P415" s="56">
        <f t="shared" si="137"/>
        <v>0</v>
      </c>
      <c r="Q415" s="54">
        <v>1</v>
      </c>
      <c r="R415" s="55"/>
      <c r="S415" s="55"/>
      <c r="T415" s="55"/>
      <c r="U415" s="176">
        <f t="shared" si="138"/>
        <v>1</v>
      </c>
      <c r="V415" s="56">
        <f t="shared" si="139"/>
        <v>1</v>
      </c>
      <c r="W415" s="328">
        <v>44438</v>
      </c>
      <c r="X415" s="326"/>
      <c r="Y415" s="326"/>
      <c r="Z415" s="326"/>
      <c r="AC415" s="277"/>
      <c r="AD415" s="54"/>
      <c r="AE415" s="55"/>
      <c r="AF415" s="55"/>
      <c r="AG415" s="55"/>
      <c r="AH415" s="56">
        <f t="shared" ref="AH415:AH416" si="151">SUM(AD415:AG415)</f>
        <v>0</v>
      </c>
      <c r="AI415" s="54"/>
      <c r="AJ415" s="55"/>
      <c r="AK415" s="55"/>
      <c r="AL415" s="55"/>
      <c r="AM415" s="56">
        <f t="shared" si="146"/>
        <v>0</v>
      </c>
      <c r="AN415" s="54"/>
      <c r="AO415" s="55"/>
      <c r="AP415" s="55"/>
      <c r="AQ415" s="55"/>
      <c r="AR415" s="56">
        <f t="shared" si="149"/>
        <v>0</v>
      </c>
      <c r="AS415" s="54"/>
      <c r="AT415" s="55"/>
      <c r="AU415" s="55"/>
      <c r="AV415" s="55"/>
      <c r="AW415" s="176">
        <f t="shared" si="150"/>
        <v>0</v>
      </c>
      <c r="AX415" s="56">
        <f t="shared" si="140"/>
        <v>0</v>
      </c>
      <c r="AY415" s="330"/>
      <c r="AZ415" s="326"/>
    </row>
    <row r="416" spans="1:52" ht="14.25" thickBot="1" x14ac:dyDescent="0.2">
      <c r="A416" s="53" t="s">
        <v>314</v>
      </c>
      <c r="B416" s="33"/>
      <c r="C416" s="34"/>
      <c r="D416" s="34"/>
      <c r="E416" s="34"/>
      <c r="F416" s="30">
        <f t="shared" si="135"/>
        <v>0</v>
      </c>
      <c r="G416" s="33"/>
      <c r="H416" s="34"/>
      <c r="I416" s="34">
        <v>-1</v>
      </c>
      <c r="J416" s="34"/>
      <c r="K416" s="30">
        <f t="shared" si="136"/>
        <v>-1</v>
      </c>
      <c r="L416" s="33"/>
      <c r="M416" s="34"/>
      <c r="N416" s="34"/>
      <c r="O416" s="34"/>
      <c r="P416" s="30">
        <f t="shared" si="137"/>
        <v>0</v>
      </c>
      <c r="Q416" s="33"/>
      <c r="R416" s="34"/>
      <c r="S416" s="34">
        <v>1</v>
      </c>
      <c r="T416" s="34"/>
      <c r="U416" s="178">
        <f t="shared" si="138"/>
        <v>1</v>
      </c>
      <c r="V416" s="170">
        <f t="shared" si="139"/>
        <v>0</v>
      </c>
      <c r="W416" s="329">
        <v>44438</v>
      </c>
      <c r="X416" s="326"/>
      <c r="Y416" s="326"/>
      <c r="Z416" s="326"/>
      <c r="AC416" s="282"/>
      <c r="AD416" s="33"/>
      <c r="AE416" s="34"/>
      <c r="AF416" s="34"/>
      <c r="AG416" s="34"/>
      <c r="AH416" s="30">
        <f t="shared" si="151"/>
        <v>0</v>
      </c>
      <c r="AI416" s="33"/>
      <c r="AJ416" s="34"/>
      <c r="AK416" s="34"/>
      <c r="AL416" s="34"/>
      <c r="AM416" s="30">
        <f t="shared" si="146"/>
        <v>0</v>
      </c>
      <c r="AN416" s="33"/>
      <c r="AO416" s="34"/>
      <c r="AP416" s="34"/>
      <c r="AQ416" s="34"/>
      <c r="AR416" s="30">
        <f t="shared" si="149"/>
        <v>0</v>
      </c>
      <c r="AS416" s="33"/>
      <c r="AT416" s="34"/>
      <c r="AU416" s="34"/>
      <c r="AV416" s="34"/>
      <c r="AW416" s="178">
        <f t="shared" si="150"/>
        <v>0</v>
      </c>
      <c r="AX416" s="170">
        <f t="shared" si="140"/>
        <v>0</v>
      </c>
      <c r="AY416" s="330"/>
      <c r="AZ416" s="326"/>
    </row>
    <row r="417" spans="1:52" ht="15" thickBot="1" x14ac:dyDescent="0.2">
      <c r="A417" s="9" t="s">
        <v>15</v>
      </c>
      <c r="B417" s="36">
        <f>SUM(B391:B416)</f>
        <v>9</v>
      </c>
      <c r="C417" s="37">
        <f>SUM(C391:C416)</f>
        <v>13</v>
      </c>
      <c r="D417" s="37">
        <f>SUM(D391:D416)</f>
        <v>8</v>
      </c>
      <c r="E417" s="38">
        <f>SUM(E391:E416)</f>
        <v>9</v>
      </c>
      <c r="F417" s="25">
        <f t="shared" si="135"/>
        <v>39</v>
      </c>
      <c r="G417" s="36">
        <f>SUM(G391:G416)</f>
        <v>12</v>
      </c>
      <c r="H417" s="37">
        <f>SUM(H391:H416)</f>
        <v>22</v>
      </c>
      <c r="I417" s="37">
        <f>SUM(I391:I416)</f>
        <v>14</v>
      </c>
      <c r="J417" s="38">
        <f>SUM(J391:J416)</f>
        <v>10</v>
      </c>
      <c r="K417" s="25">
        <f t="shared" si="136"/>
        <v>58</v>
      </c>
      <c r="L417" s="36">
        <f>SUM(L391:L416)</f>
        <v>3</v>
      </c>
      <c r="M417" s="37">
        <f>SUM(M391:M416)</f>
        <v>0</v>
      </c>
      <c r="N417" s="37">
        <f>SUM(N391:N416)</f>
        <v>2</v>
      </c>
      <c r="O417" s="38">
        <f>SUM(O391:O416)</f>
        <v>0</v>
      </c>
      <c r="P417" s="25">
        <f t="shared" si="137"/>
        <v>5</v>
      </c>
      <c r="Q417" s="36">
        <f>SUM(Q391:Q416)</f>
        <v>10</v>
      </c>
      <c r="R417" s="37">
        <f>SUM(R391:R416)</f>
        <v>4</v>
      </c>
      <c r="S417" s="37">
        <f>SUM(S391:S416)</f>
        <v>6</v>
      </c>
      <c r="T417" s="38">
        <f>SUM(T391:T416)</f>
        <v>1</v>
      </c>
      <c r="U417" s="36">
        <f t="shared" si="138"/>
        <v>21</v>
      </c>
      <c r="V417" s="77">
        <f t="shared" si="139"/>
        <v>123</v>
      </c>
      <c r="W417" s="325"/>
      <c r="X417" s="326"/>
      <c r="Y417" s="326"/>
      <c r="Z417" s="326"/>
      <c r="AC417" s="278" t="s">
        <v>15</v>
      </c>
      <c r="AD417" s="36">
        <f>SUM(AD391:AD416)</f>
        <v>13</v>
      </c>
      <c r="AE417" s="37">
        <f>SUM(AE391:AE416)</f>
        <v>31</v>
      </c>
      <c r="AF417" s="37">
        <f>SUM(AF391:AF416)</f>
        <v>0</v>
      </c>
      <c r="AG417" s="38">
        <f>SUM(AG391:AG416)</f>
        <v>10</v>
      </c>
      <c r="AH417" s="25">
        <f t="shared" ref="AH417:AH418" si="152">SUM(AD417:AG417)</f>
        <v>54</v>
      </c>
      <c r="AI417" s="36">
        <f>SUM(AI391:AI416)</f>
        <v>21</v>
      </c>
      <c r="AJ417" s="37">
        <f>SUM(AJ391:AJ416)</f>
        <v>36</v>
      </c>
      <c r="AK417" s="37">
        <f>SUM(AK391:AK416)</f>
        <v>10</v>
      </c>
      <c r="AL417" s="38">
        <f>SUM(AL391:AL416)</f>
        <v>3</v>
      </c>
      <c r="AM417" s="25">
        <f t="shared" si="146"/>
        <v>70</v>
      </c>
      <c r="AN417" s="36">
        <f>SUM(AN391:AN416)</f>
        <v>0</v>
      </c>
      <c r="AO417" s="37">
        <f>SUM(AO391:AO416)</f>
        <v>0</v>
      </c>
      <c r="AP417" s="37">
        <f>SUM(AP391:AP416)</f>
        <v>5</v>
      </c>
      <c r="AQ417" s="38">
        <f>SUM(AQ391:AQ416)</f>
        <v>0</v>
      </c>
      <c r="AR417" s="25">
        <f t="shared" si="149"/>
        <v>5</v>
      </c>
      <c r="AS417" s="36">
        <f>SUM(AS391:AS416)</f>
        <v>34</v>
      </c>
      <c r="AT417" s="37">
        <f>SUM(AT391:AT416)</f>
        <v>35</v>
      </c>
      <c r="AU417" s="37">
        <f>SUM(AU391:AU416)</f>
        <v>13</v>
      </c>
      <c r="AV417" s="38">
        <f>SUM(AV391:AV416)</f>
        <v>13</v>
      </c>
      <c r="AW417" s="36">
        <f t="shared" si="150"/>
        <v>95</v>
      </c>
      <c r="AX417" s="161">
        <f t="shared" si="140"/>
        <v>224</v>
      </c>
      <c r="AY417" s="325"/>
      <c r="AZ417" s="326"/>
    </row>
    <row r="418" spans="1:52" ht="14.25" thickBot="1" x14ac:dyDescent="0.2">
      <c r="A418" s="39" t="s">
        <v>16</v>
      </c>
      <c r="B418" s="40">
        <f>B390-B417</f>
        <v>5</v>
      </c>
      <c r="C418" s="41">
        <f>C390-C417</f>
        <v>5</v>
      </c>
      <c r="D418" s="41">
        <f>D390-D417</f>
        <v>5</v>
      </c>
      <c r="E418" s="42">
        <f>E390-E417</f>
        <v>5</v>
      </c>
      <c r="F418" s="171">
        <f t="shared" si="135"/>
        <v>20</v>
      </c>
      <c r="G418" s="40">
        <f>G390-G417</f>
        <v>5</v>
      </c>
      <c r="H418" s="41">
        <f>H390-H417</f>
        <v>4</v>
      </c>
      <c r="I418" s="41">
        <f>I390-I417</f>
        <v>6</v>
      </c>
      <c r="J418" s="284">
        <f>J390-J417</f>
        <v>5</v>
      </c>
      <c r="K418" s="171">
        <f t="shared" si="136"/>
        <v>20</v>
      </c>
      <c r="L418" s="40">
        <f>L390-L417</f>
        <v>9</v>
      </c>
      <c r="M418" s="41">
        <f>M390-M417</f>
        <v>0</v>
      </c>
      <c r="N418" s="41">
        <f>N390-N417</f>
        <v>9</v>
      </c>
      <c r="O418" s="42">
        <f>O390-O417</f>
        <v>4</v>
      </c>
      <c r="P418" s="171">
        <f t="shared" si="137"/>
        <v>22</v>
      </c>
      <c r="Q418" s="40">
        <f>Q390-Q417</f>
        <v>3</v>
      </c>
      <c r="R418" s="41">
        <f>R390-R417</f>
        <v>0</v>
      </c>
      <c r="S418" s="285">
        <f>S390-S417</f>
        <v>0</v>
      </c>
      <c r="T418" s="284">
        <f>T390-T417</f>
        <v>0</v>
      </c>
      <c r="U418" s="177">
        <f t="shared" si="138"/>
        <v>3</v>
      </c>
      <c r="V418" s="77">
        <f t="shared" si="139"/>
        <v>65</v>
      </c>
      <c r="W418" s="325"/>
      <c r="X418" s="326"/>
      <c r="Y418" s="326"/>
      <c r="Z418" s="326"/>
      <c r="AC418" s="279" t="s">
        <v>16</v>
      </c>
      <c r="AD418" s="40">
        <f>AD390-AD417</f>
        <v>179</v>
      </c>
      <c r="AE418" s="41">
        <f>AE390-AE417</f>
        <v>237</v>
      </c>
      <c r="AF418" s="41">
        <f>AF390-AF417</f>
        <v>228</v>
      </c>
      <c r="AG418" s="42">
        <f>AG390-AG417</f>
        <v>161</v>
      </c>
      <c r="AH418" s="171">
        <f t="shared" si="152"/>
        <v>805</v>
      </c>
      <c r="AI418" s="40">
        <f>AI390-AI417</f>
        <v>109</v>
      </c>
      <c r="AJ418" s="41">
        <f>AJ390-AJ417</f>
        <v>91</v>
      </c>
      <c r="AK418" s="41">
        <f>AK390-AK417</f>
        <v>223</v>
      </c>
      <c r="AL418" s="284">
        <f>AL390-AL417</f>
        <v>69</v>
      </c>
      <c r="AM418" s="171">
        <f t="shared" si="146"/>
        <v>492</v>
      </c>
      <c r="AN418" s="40">
        <f>AN390-AN417</f>
        <v>0</v>
      </c>
      <c r="AO418" s="41">
        <f>AO390-AO417</f>
        <v>0</v>
      </c>
      <c r="AP418" s="41">
        <f>AP390-AP417</f>
        <v>19</v>
      </c>
      <c r="AQ418" s="42">
        <f>AQ390-AQ417</f>
        <v>0</v>
      </c>
      <c r="AR418" s="171">
        <f t="shared" si="149"/>
        <v>19</v>
      </c>
      <c r="AS418" s="40">
        <f>AS390-AS417</f>
        <v>44</v>
      </c>
      <c r="AT418" s="41">
        <f>AT390-AT417</f>
        <v>32</v>
      </c>
      <c r="AU418" s="285">
        <f>AU390-AU417</f>
        <v>27</v>
      </c>
      <c r="AV418" s="284">
        <f>AV390-AV417</f>
        <v>25</v>
      </c>
      <c r="AW418" s="177">
        <f t="shared" si="150"/>
        <v>128</v>
      </c>
      <c r="AX418" s="77">
        <f t="shared" si="140"/>
        <v>1444</v>
      </c>
      <c r="AY418" s="325"/>
      <c r="AZ418" s="326"/>
    </row>
    <row r="419" spans="1:52" x14ac:dyDescent="0.15">
      <c r="M419" t="s">
        <v>297</v>
      </c>
      <c r="W419" s="325"/>
      <c r="X419" s="326"/>
      <c r="Y419" s="326"/>
      <c r="Z419" s="326"/>
      <c r="AY419" s="325"/>
      <c r="AZ419" s="326"/>
    </row>
    <row r="420" spans="1:52" x14ac:dyDescent="0.15">
      <c r="W420" s="325"/>
      <c r="X420" s="326"/>
      <c r="Y420" s="326"/>
      <c r="Z420" s="326"/>
      <c r="AY420" s="325"/>
      <c r="AZ420" s="326"/>
    </row>
    <row r="421" spans="1:52" ht="19.5" thickBot="1" x14ac:dyDescent="0.25">
      <c r="A421" s="185" t="s">
        <v>19</v>
      </c>
      <c r="B421" s="186"/>
      <c r="C421" s="186"/>
      <c r="D421" s="186"/>
      <c r="E421" s="186"/>
      <c r="F421" s="18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25"/>
      <c r="X421" s="326"/>
      <c r="Y421" s="326"/>
      <c r="Z421" s="326"/>
      <c r="AC421" s="187" t="s">
        <v>73</v>
      </c>
      <c r="AD421" s="188"/>
      <c r="AE421" s="188"/>
      <c r="AF421" s="188"/>
      <c r="AG421" s="188"/>
      <c r="AH421" s="188"/>
      <c r="AI421" s="188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325"/>
      <c r="AZ421" s="326"/>
    </row>
    <row r="422" spans="1:52" ht="14.25" thickBot="1" x14ac:dyDescent="0.2">
      <c r="A422" s="3" t="s">
        <v>0</v>
      </c>
      <c r="B422" s="371" t="s">
        <v>17</v>
      </c>
      <c r="C422" s="372"/>
      <c r="D422" s="372"/>
      <c r="E422" s="372"/>
      <c r="F422" s="373"/>
      <c r="G422" s="371" t="s">
        <v>18</v>
      </c>
      <c r="H422" s="372"/>
      <c r="I422" s="372"/>
      <c r="J422" s="372"/>
      <c r="K422" s="373"/>
      <c r="L422" s="371" t="s">
        <v>38</v>
      </c>
      <c r="M422" s="372"/>
      <c r="N422" s="372"/>
      <c r="O422" s="372"/>
      <c r="P422" s="373"/>
      <c r="Q422" s="371" t="s">
        <v>75</v>
      </c>
      <c r="R422" s="372"/>
      <c r="S422" s="372"/>
      <c r="T422" s="372"/>
      <c r="U422" s="373"/>
      <c r="V422" s="360" t="s">
        <v>1</v>
      </c>
      <c r="W422" s="325"/>
      <c r="X422" s="326"/>
      <c r="Y422" s="326"/>
      <c r="Z422" s="326"/>
      <c r="AC422" s="271" t="s">
        <v>0</v>
      </c>
      <c r="AD422" s="371" t="s">
        <v>17</v>
      </c>
      <c r="AE422" s="372"/>
      <c r="AF422" s="372"/>
      <c r="AG422" s="372"/>
      <c r="AH422" s="373"/>
      <c r="AI422" s="371" t="s">
        <v>18</v>
      </c>
      <c r="AJ422" s="372"/>
      <c r="AK422" s="372"/>
      <c r="AL422" s="372"/>
      <c r="AM422" s="373"/>
      <c r="AN422" s="371" t="s">
        <v>38</v>
      </c>
      <c r="AO422" s="372"/>
      <c r="AP422" s="372"/>
      <c r="AQ422" s="372"/>
      <c r="AR422" s="373"/>
      <c r="AS422" s="371" t="s">
        <v>75</v>
      </c>
      <c r="AT422" s="372"/>
      <c r="AU422" s="372"/>
      <c r="AV422" s="372"/>
      <c r="AW422" s="373"/>
      <c r="AX422" s="360" t="s">
        <v>1</v>
      </c>
      <c r="AY422" s="325"/>
      <c r="AZ422" s="326"/>
    </row>
    <row r="423" spans="1:52" ht="14.25" thickBot="1" x14ac:dyDescent="0.2">
      <c r="A423" s="5" t="s">
        <v>2</v>
      </c>
      <c r="B423" s="6" t="s">
        <v>3</v>
      </c>
      <c r="C423" s="7" t="s">
        <v>4</v>
      </c>
      <c r="D423" s="7" t="s">
        <v>5</v>
      </c>
      <c r="E423" s="8" t="s">
        <v>6</v>
      </c>
      <c r="F423" s="5" t="s">
        <v>7</v>
      </c>
      <c r="G423" s="6" t="s">
        <v>3</v>
      </c>
      <c r="H423" s="7" t="s">
        <v>4</v>
      </c>
      <c r="I423" s="7" t="s">
        <v>5</v>
      </c>
      <c r="J423" s="8" t="s">
        <v>6</v>
      </c>
      <c r="K423" s="5" t="s">
        <v>7</v>
      </c>
      <c r="L423" s="6" t="s">
        <v>3</v>
      </c>
      <c r="M423" s="7" t="s">
        <v>4</v>
      </c>
      <c r="N423" s="7" t="s">
        <v>5</v>
      </c>
      <c r="O423" s="8" t="s">
        <v>6</v>
      </c>
      <c r="P423" s="5" t="s">
        <v>7</v>
      </c>
      <c r="Q423" s="6" t="s">
        <v>3</v>
      </c>
      <c r="R423" s="7" t="s">
        <v>4</v>
      </c>
      <c r="S423" s="7" t="s">
        <v>5</v>
      </c>
      <c r="T423" s="8" t="s">
        <v>6</v>
      </c>
      <c r="U423" s="5" t="s">
        <v>7</v>
      </c>
      <c r="V423" s="361"/>
      <c r="W423" s="325"/>
      <c r="X423" s="326"/>
      <c r="Y423" s="326"/>
      <c r="Z423" s="326"/>
      <c r="AC423" s="272" t="s">
        <v>2</v>
      </c>
      <c r="AD423" s="6" t="s">
        <v>3</v>
      </c>
      <c r="AE423" s="7" t="s">
        <v>4</v>
      </c>
      <c r="AF423" s="7" t="s">
        <v>5</v>
      </c>
      <c r="AG423" s="8" t="s">
        <v>6</v>
      </c>
      <c r="AH423" s="5" t="s">
        <v>7</v>
      </c>
      <c r="AI423" s="6" t="s">
        <v>3</v>
      </c>
      <c r="AJ423" s="7" t="s">
        <v>4</v>
      </c>
      <c r="AK423" s="7" t="s">
        <v>5</v>
      </c>
      <c r="AL423" s="8" t="s">
        <v>6</v>
      </c>
      <c r="AM423" s="5" t="s">
        <v>7</v>
      </c>
      <c r="AN423" s="6" t="s">
        <v>3</v>
      </c>
      <c r="AO423" s="7" t="s">
        <v>4</v>
      </c>
      <c r="AP423" s="7" t="s">
        <v>5</v>
      </c>
      <c r="AQ423" s="8" t="s">
        <v>6</v>
      </c>
      <c r="AR423" s="5" t="s">
        <v>7</v>
      </c>
      <c r="AS423" s="6" t="s">
        <v>3</v>
      </c>
      <c r="AT423" s="7" t="s">
        <v>4</v>
      </c>
      <c r="AU423" s="7" t="s">
        <v>5</v>
      </c>
      <c r="AV423" s="8" t="s">
        <v>6</v>
      </c>
      <c r="AW423" s="5" t="s">
        <v>7</v>
      </c>
      <c r="AX423" s="361"/>
      <c r="AY423" s="325"/>
      <c r="AZ423" s="326"/>
    </row>
    <row r="424" spans="1:52" ht="14.25" x14ac:dyDescent="0.15">
      <c r="A424" s="172" t="s">
        <v>30</v>
      </c>
      <c r="B424" s="70">
        <f>B418</f>
        <v>5</v>
      </c>
      <c r="C424" s="70">
        <f>C418</f>
        <v>5</v>
      </c>
      <c r="D424" s="70">
        <f>D418</f>
        <v>5</v>
      </c>
      <c r="E424" s="165">
        <f>E418</f>
        <v>5</v>
      </c>
      <c r="F424" s="71">
        <f t="shared" ref="F424:F460" si="153">SUM(B424:E424)</f>
        <v>20</v>
      </c>
      <c r="G424" s="70">
        <f>G418</f>
        <v>5</v>
      </c>
      <c r="H424" s="70">
        <f>H418</f>
        <v>4</v>
      </c>
      <c r="I424" s="70">
        <f>I418</f>
        <v>6</v>
      </c>
      <c r="J424" s="165">
        <f>J418</f>
        <v>5</v>
      </c>
      <c r="K424" s="71">
        <f t="shared" ref="K424:K460" si="154">SUM(G424:J424)</f>
        <v>20</v>
      </c>
      <c r="L424" s="70">
        <f>L418</f>
        <v>9</v>
      </c>
      <c r="M424" s="70">
        <f>M418</f>
        <v>0</v>
      </c>
      <c r="N424" s="70">
        <f>N418</f>
        <v>9</v>
      </c>
      <c r="O424" s="165">
        <f>O418</f>
        <v>4</v>
      </c>
      <c r="P424" s="71">
        <f t="shared" ref="P424:P460" si="155">SUM(L424:O424)</f>
        <v>22</v>
      </c>
      <c r="Q424" s="70">
        <f>Q418</f>
        <v>3</v>
      </c>
      <c r="R424" s="70">
        <f>R418</f>
        <v>0</v>
      </c>
      <c r="S424" s="70">
        <f>S418</f>
        <v>0</v>
      </c>
      <c r="T424" s="165">
        <f>T418</f>
        <v>0</v>
      </c>
      <c r="U424" s="174">
        <f t="shared" ref="U424:U460" si="156">SUM(Q424:T424)</f>
        <v>3</v>
      </c>
      <c r="V424" s="71">
        <f t="shared" ref="V424:V460" si="157">F424+K424+P424+U424</f>
        <v>65</v>
      </c>
      <c r="W424" s="325"/>
      <c r="X424" s="326"/>
      <c r="Y424" s="326"/>
      <c r="Z424" s="326"/>
      <c r="AC424" s="273" t="s">
        <v>30</v>
      </c>
      <c r="AD424" s="70">
        <f>AD418</f>
        <v>179</v>
      </c>
      <c r="AE424" s="70">
        <f>AE418</f>
        <v>237</v>
      </c>
      <c r="AF424" s="70">
        <f>AF418</f>
        <v>228</v>
      </c>
      <c r="AG424" s="165">
        <f>AG418</f>
        <v>161</v>
      </c>
      <c r="AH424" s="71">
        <f>SUM(AD424:AG424)</f>
        <v>805</v>
      </c>
      <c r="AI424" s="70">
        <f>AI418</f>
        <v>109</v>
      </c>
      <c r="AJ424" s="70">
        <f>AJ418</f>
        <v>91</v>
      </c>
      <c r="AK424" s="70">
        <f>AK418</f>
        <v>223</v>
      </c>
      <c r="AL424" s="165">
        <f>AL418</f>
        <v>69</v>
      </c>
      <c r="AM424" s="71">
        <f>SUM(AI424:AL424)</f>
        <v>492</v>
      </c>
      <c r="AN424" s="70">
        <f>AN418</f>
        <v>0</v>
      </c>
      <c r="AO424" s="70">
        <f>AO418</f>
        <v>0</v>
      </c>
      <c r="AP424" s="70">
        <f>AP418</f>
        <v>19</v>
      </c>
      <c r="AQ424" s="165">
        <f>AQ418</f>
        <v>0</v>
      </c>
      <c r="AR424" s="71">
        <f>SUM(AN424:AQ424)</f>
        <v>19</v>
      </c>
      <c r="AS424" s="70">
        <f>AS418</f>
        <v>44</v>
      </c>
      <c r="AT424" s="70">
        <f>AT418</f>
        <v>32</v>
      </c>
      <c r="AU424" s="70">
        <f>AU418</f>
        <v>27</v>
      </c>
      <c r="AV424" s="165">
        <f>AV418</f>
        <v>25</v>
      </c>
      <c r="AW424" s="174">
        <f>SUM(AS424:AV424)</f>
        <v>128</v>
      </c>
      <c r="AX424" s="71">
        <f t="shared" ref="AX424:AX460" si="158">AH424+AM424+AR424+AW424</f>
        <v>1444</v>
      </c>
      <c r="AY424" s="325"/>
      <c r="AZ424" s="326"/>
    </row>
    <row r="425" spans="1:52" x14ac:dyDescent="0.15">
      <c r="A425" s="53" t="s">
        <v>108</v>
      </c>
      <c r="B425" s="54">
        <v>1</v>
      </c>
      <c r="C425" s="55"/>
      <c r="D425" s="55">
        <v>1</v>
      </c>
      <c r="E425" s="55">
        <v>1</v>
      </c>
      <c r="F425" s="56">
        <f t="shared" si="153"/>
        <v>3</v>
      </c>
      <c r="G425" s="54">
        <v>4</v>
      </c>
      <c r="H425" s="55">
        <v>4</v>
      </c>
      <c r="I425" s="55">
        <v>1</v>
      </c>
      <c r="J425" s="55">
        <v>3</v>
      </c>
      <c r="K425" s="56">
        <f t="shared" si="154"/>
        <v>12</v>
      </c>
      <c r="L425" s="54"/>
      <c r="M425" s="55"/>
      <c r="N425" s="55"/>
      <c r="O425" s="55"/>
      <c r="P425" s="56">
        <f t="shared" si="155"/>
        <v>0</v>
      </c>
      <c r="Q425" s="54"/>
      <c r="R425" s="55"/>
      <c r="S425" s="55"/>
      <c r="T425" s="55"/>
      <c r="U425" s="176">
        <f t="shared" si="156"/>
        <v>0</v>
      </c>
      <c r="V425" s="56">
        <f t="shared" si="157"/>
        <v>15</v>
      </c>
      <c r="W425" s="329">
        <v>44454</v>
      </c>
      <c r="X425" s="326"/>
      <c r="Y425" s="326"/>
      <c r="Z425" s="326"/>
      <c r="AC425" s="268" t="s">
        <v>21</v>
      </c>
      <c r="AD425" s="54">
        <v>1</v>
      </c>
      <c r="AE425" s="55">
        <v>2</v>
      </c>
      <c r="AF425" s="55">
        <v>2</v>
      </c>
      <c r="AG425" s="55">
        <v>2</v>
      </c>
      <c r="AH425" s="56">
        <f t="shared" ref="AH425:AH428" si="159">SUM(AD425:AG425)</f>
        <v>7</v>
      </c>
      <c r="AI425" s="54">
        <v>1</v>
      </c>
      <c r="AJ425" s="55"/>
      <c r="AK425" s="55">
        <v>2</v>
      </c>
      <c r="AL425" s="55"/>
      <c r="AM425" s="56">
        <f t="shared" ref="AM425:AM428" si="160">SUM(AI425:AL425)</f>
        <v>3</v>
      </c>
      <c r="AN425" s="54"/>
      <c r="AO425" s="55"/>
      <c r="AP425" s="55"/>
      <c r="AQ425" s="55"/>
      <c r="AR425" s="56">
        <f t="shared" ref="AR425:AR428" si="161">SUM(AN425:AQ425)</f>
        <v>0</v>
      </c>
      <c r="AS425" s="54"/>
      <c r="AT425" s="55"/>
      <c r="AU425" s="55"/>
      <c r="AV425" s="55"/>
      <c r="AW425" s="176">
        <f t="shared" ref="AW425:AW428" si="162">SUM(AS425:AV425)</f>
        <v>0</v>
      </c>
      <c r="AX425" s="56">
        <f t="shared" si="158"/>
        <v>10</v>
      </c>
      <c r="AY425" s="329">
        <v>44457</v>
      </c>
      <c r="AZ425" s="326"/>
    </row>
    <row r="426" spans="1:52" x14ac:dyDescent="0.15">
      <c r="A426" s="53" t="s">
        <v>109</v>
      </c>
      <c r="B426" s="55"/>
      <c r="C426" s="55"/>
      <c r="D426" s="55"/>
      <c r="E426" s="166">
        <v>1</v>
      </c>
      <c r="F426" s="49">
        <f t="shared" si="153"/>
        <v>1</v>
      </c>
      <c r="G426" s="55"/>
      <c r="H426" s="55"/>
      <c r="I426" s="55"/>
      <c r="J426" s="166"/>
      <c r="K426" s="49">
        <f t="shared" si="154"/>
        <v>0</v>
      </c>
      <c r="L426" s="55"/>
      <c r="M426" s="55"/>
      <c r="N426" s="55"/>
      <c r="O426" s="166"/>
      <c r="P426" s="49">
        <f t="shared" si="155"/>
        <v>0</v>
      </c>
      <c r="Q426" s="55"/>
      <c r="R426" s="55"/>
      <c r="S426" s="55"/>
      <c r="T426" s="166">
        <v>1</v>
      </c>
      <c r="U426" s="175">
        <f t="shared" si="156"/>
        <v>1</v>
      </c>
      <c r="V426" s="56">
        <f t="shared" si="157"/>
        <v>2</v>
      </c>
      <c r="W426" s="329">
        <v>44461</v>
      </c>
      <c r="X426" s="326"/>
      <c r="Y426" s="326"/>
      <c r="Z426" s="326"/>
      <c r="AC426" s="268" t="s">
        <v>21</v>
      </c>
      <c r="AD426" s="54">
        <f>1+1</f>
        <v>2</v>
      </c>
      <c r="AE426" s="55">
        <v>2</v>
      </c>
      <c r="AF426" s="55">
        <f>1+2</f>
        <v>3</v>
      </c>
      <c r="AG426" s="55">
        <f>1+2</f>
        <v>3</v>
      </c>
      <c r="AH426" s="56">
        <f t="shared" si="159"/>
        <v>10</v>
      </c>
      <c r="AI426" s="54">
        <f>4+1</f>
        <v>5</v>
      </c>
      <c r="AJ426" s="55">
        <v>4</v>
      </c>
      <c r="AK426" s="55">
        <f>1+2</f>
        <v>3</v>
      </c>
      <c r="AL426" s="55">
        <v>2</v>
      </c>
      <c r="AM426" s="56">
        <f t="shared" si="160"/>
        <v>14</v>
      </c>
      <c r="AN426" s="54"/>
      <c r="AO426" s="55"/>
      <c r="AP426" s="55"/>
      <c r="AQ426" s="55"/>
      <c r="AR426" s="56">
        <f t="shared" si="161"/>
        <v>0</v>
      </c>
      <c r="AS426" s="54"/>
      <c r="AT426" s="55"/>
      <c r="AU426" s="55"/>
      <c r="AV426" s="55"/>
      <c r="AW426" s="176">
        <f t="shared" si="162"/>
        <v>0</v>
      </c>
      <c r="AX426" s="56">
        <f t="shared" si="158"/>
        <v>24</v>
      </c>
      <c r="AY426" s="329">
        <v>44457</v>
      </c>
      <c r="AZ426" s="326"/>
    </row>
    <row r="427" spans="1:52" x14ac:dyDescent="0.15">
      <c r="A427" s="53" t="s">
        <v>108</v>
      </c>
      <c r="B427" s="55">
        <v>1</v>
      </c>
      <c r="C427" s="55">
        <v>1</v>
      </c>
      <c r="D427" s="55"/>
      <c r="E427" s="166"/>
      <c r="F427" s="49">
        <f t="shared" si="153"/>
        <v>2</v>
      </c>
      <c r="G427" s="55"/>
      <c r="H427" s="55">
        <v>1</v>
      </c>
      <c r="I427" s="55">
        <v>1</v>
      </c>
      <c r="J427" s="166">
        <v>3</v>
      </c>
      <c r="K427" s="49">
        <f t="shared" si="154"/>
        <v>5</v>
      </c>
      <c r="L427" s="55"/>
      <c r="M427" s="55"/>
      <c r="N427" s="55"/>
      <c r="O427" s="166"/>
      <c r="P427" s="49">
        <f t="shared" si="155"/>
        <v>0</v>
      </c>
      <c r="Q427" s="55"/>
      <c r="R427" s="55"/>
      <c r="S427" s="55"/>
      <c r="T427" s="166"/>
      <c r="U427" s="175">
        <f t="shared" si="156"/>
        <v>0</v>
      </c>
      <c r="V427" s="56">
        <f t="shared" si="157"/>
        <v>7</v>
      </c>
      <c r="W427" s="329">
        <v>44483</v>
      </c>
      <c r="X427" s="326"/>
      <c r="Y427" s="326"/>
      <c r="Z427" s="326"/>
      <c r="AC427" s="268" t="s">
        <v>21</v>
      </c>
      <c r="AD427" s="17">
        <v>1</v>
      </c>
      <c r="AE427" s="18">
        <v>1</v>
      </c>
      <c r="AF427" s="18"/>
      <c r="AG427" s="18"/>
      <c r="AH427" s="30">
        <f t="shared" si="159"/>
        <v>2</v>
      </c>
      <c r="AI427" s="17"/>
      <c r="AJ427" s="18">
        <v>1</v>
      </c>
      <c r="AK427" s="18">
        <v>2</v>
      </c>
      <c r="AL427" s="18">
        <v>2</v>
      </c>
      <c r="AM427" s="30">
        <f t="shared" si="160"/>
        <v>5</v>
      </c>
      <c r="AN427" s="17"/>
      <c r="AO427" s="18"/>
      <c r="AP427" s="18"/>
      <c r="AQ427" s="18"/>
      <c r="AR427" s="30">
        <f t="shared" si="161"/>
        <v>0</v>
      </c>
      <c r="AS427" s="17"/>
      <c r="AT427" s="18"/>
      <c r="AU427" s="18"/>
      <c r="AV427" s="18"/>
      <c r="AW427" s="178">
        <f t="shared" si="162"/>
        <v>0</v>
      </c>
      <c r="AX427" s="56">
        <f t="shared" si="158"/>
        <v>7</v>
      </c>
      <c r="AY427" s="328">
        <v>44485</v>
      </c>
      <c r="AZ427" s="326"/>
    </row>
    <row r="428" spans="1:52" x14ac:dyDescent="0.15">
      <c r="A428" s="53" t="s">
        <v>111</v>
      </c>
      <c r="B428" s="63"/>
      <c r="C428" s="63"/>
      <c r="D428" s="63"/>
      <c r="E428" s="167"/>
      <c r="F428" s="64">
        <f t="shared" si="153"/>
        <v>0</v>
      </c>
      <c r="G428" s="63"/>
      <c r="H428" s="63">
        <v>3</v>
      </c>
      <c r="I428" s="63"/>
      <c r="J428" s="167"/>
      <c r="K428" s="64">
        <f t="shared" si="154"/>
        <v>3</v>
      </c>
      <c r="L428" s="63"/>
      <c r="M428" s="63"/>
      <c r="N428" s="63"/>
      <c r="O428" s="167"/>
      <c r="P428" s="64">
        <f t="shared" si="155"/>
        <v>0</v>
      </c>
      <c r="Q428" s="63"/>
      <c r="R428" s="63"/>
      <c r="S428" s="63"/>
      <c r="T428" s="167"/>
      <c r="U428" s="162">
        <f t="shared" si="156"/>
        <v>0</v>
      </c>
      <c r="V428" s="56">
        <f t="shared" si="157"/>
        <v>3</v>
      </c>
      <c r="W428" s="329">
        <v>44490</v>
      </c>
      <c r="X428" s="326"/>
      <c r="Y428" s="326"/>
      <c r="Z428" s="326"/>
      <c r="AC428" s="268" t="s">
        <v>21</v>
      </c>
      <c r="AD428" s="63">
        <v>1</v>
      </c>
      <c r="AE428" s="63">
        <v>2</v>
      </c>
      <c r="AF428" s="63">
        <v>5</v>
      </c>
      <c r="AG428" s="167">
        <v>2</v>
      </c>
      <c r="AH428" s="56">
        <f t="shared" si="159"/>
        <v>10</v>
      </c>
      <c r="AI428" s="63">
        <v>1</v>
      </c>
      <c r="AJ428" s="63">
        <v>2</v>
      </c>
      <c r="AK428" s="63"/>
      <c r="AL428" s="167">
        <v>5</v>
      </c>
      <c r="AM428" s="56">
        <f t="shared" si="160"/>
        <v>8</v>
      </c>
      <c r="AN428" s="63"/>
      <c r="AO428" s="63"/>
      <c r="AP428" s="63"/>
      <c r="AQ428" s="167"/>
      <c r="AR428" s="64">
        <f t="shared" si="161"/>
        <v>0</v>
      </c>
      <c r="AS428" s="63"/>
      <c r="AT428" s="63"/>
      <c r="AU428" s="63"/>
      <c r="AV428" s="167"/>
      <c r="AW428" s="162">
        <f t="shared" si="162"/>
        <v>0</v>
      </c>
      <c r="AX428" s="56">
        <f t="shared" si="158"/>
        <v>18</v>
      </c>
      <c r="AY428" s="328">
        <v>44548</v>
      </c>
      <c r="AZ428" s="326"/>
    </row>
    <row r="429" spans="1:52" x14ac:dyDescent="0.15">
      <c r="A429" s="53" t="s">
        <v>111</v>
      </c>
      <c r="B429" s="55"/>
      <c r="C429" s="153"/>
      <c r="D429" s="153"/>
      <c r="E429" s="168"/>
      <c r="F429" s="56">
        <f t="shared" si="153"/>
        <v>0</v>
      </c>
      <c r="G429" s="55"/>
      <c r="H429" s="153"/>
      <c r="I429" s="153"/>
      <c r="J429" s="168"/>
      <c r="K429" s="56">
        <f t="shared" si="154"/>
        <v>0</v>
      </c>
      <c r="L429" s="55"/>
      <c r="M429" s="153"/>
      <c r="N429" s="153">
        <v>19</v>
      </c>
      <c r="O429" s="168"/>
      <c r="P429" s="56">
        <f t="shared" si="155"/>
        <v>19</v>
      </c>
      <c r="Q429" s="55"/>
      <c r="R429" s="153"/>
      <c r="S429" s="153"/>
      <c r="T429" s="168"/>
      <c r="U429" s="176">
        <f t="shared" si="156"/>
        <v>0</v>
      </c>
      <c r="V429" s="56">
        <f t="shared" si="157"/>
        <v>19</v>
      </c>
      <c r="W429" s="329">
        <v>44506</v>
      </c>
      <c r="X429" s="326"/>
      <c r="Y429" s="326"/>
      <c r="Z429" s="326"/>
      <c r="AC429" s="268" t="s">
        <v>28</v>
      </c>
      <c r="AD429" s="55"/>
      <c r="AE429" s="153"/>
      <c r="AF429" s="153"/>
      <c r="AG429" s="168"/>
      <c r="AH429" s="56">
        <f t="shared" ref="AH429:AH460" si="163">SUM(AD429:AG429)</f>
        <v>0</v>
      </c>
      <c r="AI429" s="55"/>
      <c r="AJ429" s="153"/>
      <c r="AK429" s="153"/>
      <c r="AL429" s="168"/>
      <c r="AM429" s="56">
        <f t="shared" ref="AM429:AM460" si="164">SUM(AI429:AL429)</f>
        <v>0</v>
      </c>
      <c r="AN429" s="55"/>
      <c r="AO429" s="153"/>
      <c r="AP429" s="153"/>
      <c r="AQ429" s="168"/>
      <c r="AR429" s="56">
        <f t="shared" ref="AR429:AR460" si="165">SUM(AN429:AQ429)</f>
        <v>0</v>
      </c>
      <c r="AS429" s="55"/>
      <c r="AT429" s="153"/>
      <c r="AU429" s="153"/>
      <c r="AV429" s="168"/>
      <c r="AW429" s="176">
        <f t="shared" ref="AW429:AW460" si="166">SUM(AS429:AV429)</f>
        <v>0</v>
      </c>
      <c r="AX429" s="56">
        <f t="shared" si="158"/>
        <v>0</v>
      </c>
      <c r="AY429" s="325"/>
      <c r="AZ429" s="326"/>
    </row>
    <row r="430" spans="1:52" x14ac:dyDescent="0.15">
      <c r="A430" s="53" t="s">
        <v>108</v>
      </c>
      <c r="B430" s="55"/>
      <c r="C430" s="153"/>
      <c r="D430" s="153"/>
      <c r="E430" s="168"/>
      <c r="F430" s="56">
        <f t="shared" si="153"/>
        <v>0</v>
      </c>
      <c r="G430" s="55"/>
      <c r="H430" s="153"/>
      <c r="I430" s="153">
        <v>1</v>
      </c>
      <c r="J430" s="168"/>
      <c r="K430" s="56">
        <f t="shared" si="154"/>
        <v>1</v>
      </c>
      <c r="L430" s="55"/>
      <c r="M430" s="153"/>
      <c r="N430" s="153"/>
      <c r="O430" s="168"/>
      <c r="P430" s="56">
        <f t="shared" si="155"/>
        <v>0</v>
      </c>
      <c r="Q430" s="55"/>
      <c r="R430" s="153"/>
      <c r="S430" s="153"/>
      <c r="T430" s="168"/>
      <c r="U430" s="176">
        <f t="shared" si="156"/>
        <v>0</v>
      </c>
      <c r="V430" s="56">
        <f t="shared" si="157"/>
        <v>1</v>
      </c>
      <c r="W430" s="329">
        <v>44516</v>
      </c>
      <c r="X430" s="326"/>
      <c r="Y430" s="326"/>
      <c r="Z430" s="326"/>
      <c r="AC430" s="268" t="s">
        <v>28</v>
      </c>
      <c r="AD430" s="55"/>
      <c r="AE430" s="153"/>
      <c r="AF430" s="153"/>
      <c r="AG430" s="168"/>
      <c r="AH430" s="56">
        <f t="shared" si="163"/>
        <v>0</v>
      </c>
      <c r="AI430" s="55"/>
      <c r="AJ430" s="153"/>
      <c r="AK430" s="153"/>
      <c r="AL430" s="168"/>
      <c r="AM430" s="56">
        <f t="shared" si="164"/>
        <v>0</v>
      </c>
      <c r="AN430" s="55"/>
      <c r="AO430" s="153"/>
      <c r="AP430" s="153"/>
      <c r="AQ430" s="168"/>
      <c r="AR430" s="56">
        <f t="shared" si="165"/>
        <v>0</v>
      </c>
      <c r="AS430" s="55"/>
      <c r="AT430" s="153"/>
      <c r="AU430" s="153"/>
      <c r="AV430" s="168"/>
      <c r="AW430" s="176">
        <f t="shared" si="166"/>
        <v>0</v>
      </c>
      <c r="AX430" s="56">
        <f t="shared" si="158"/>
        <v>0</v>
      </c>
      <c r="AY430" s="325"/>
      <c r="AZ430" s="326"/>
    </row>
    <row r="431" spans="1:52" ht="14.25" thickBot="1" x14ac:dyDescent="0.2">
      <c r="A431" s="53" t="s">
        <v>28</v>
      </c>
      <c r="B431" s="63"/>
      <c r="C431" s="164"/>
      <c r="D431" s="164"/>
      <c r="E431" s="169"/>
      <c r="F431" s="170">
        <f t="shared" si="153"/>
        <v>0</v>
      </c>
      <c r="G431" s="63">
        <v>3</v>
      </c>
      <c r="H431" s="164"/>
      <c r="I431" s="164"/>
      <c r="J431" s="169"/>
      <c r="K431" s="170">
        <f t="shared" si="154"/>
        <v>3</v>
      </c>
      <c r="L431" s="63"/>
      <c r="M431" s="164"/>
      <c r="N431" s="164"/>
      <c r="O431" s="169"/>
      <c r="P431" s="170">
        <f t="shared" si="155"/>
        <v>0</v>
      </c>
      <c r="Q431" s="63"/>
      <c r="R431" s="164"/>
      <c r="S431" s="164"/>
      <c r="T431" s="169"/>
      <c r="U431" s="179">
        <f t="shared" si="156"/>
        <v>0</v>
      </c>
      <c r="V431" s="170">
        <f t="shared" si="157"/>
        <v>3</v>
      </c>
      <c r="W431" s="329">
        <v>44520</v>
      </c>
      <c r="X431" s="326"/>
      <c r="Y431" s="326"/>
      <c r="Z431" s="326"/>
      <c r="AC431" s="274" t="s">
        <v>28</v>
      </c>
      <c r="AD431" s="63"/>
      <c r="AE431" s="164"/>
      <c r="AF431" s="164"/>
      <c r="AG431" s="169"/>
      <c r="AH431" s="170">
        <f t="shared" si="163"/>
        <v>0</v>
      </c>
      <c r="AI431" s="63"/>
      <c r="AJ431" s="164"/>
      <c r="AK431" s="164"/>
      <c r="AL431" s="169"/>
      <c r="AM431" s="170">
        <f t="shared" si="164"/>
        <v>0</v>
      </c>
      <c r="AN431" s="63"/>
      <c r="AO431" s="164"/>
      <c r="AP431" s="164"/>
      <c r="AQ431" s="169"/>
      <c r="AR431" s="170">
        <f t="shared" si="165"/>
        <v>0</v>
      </c>
      <c r="AS431" s="63"/>
      <c r="AT431" s="164"/>
      <c r="AU431" s="164"/>
      <c r="AV431" s="169"/>
      <c r="AW431" s="179">
        <f t="shared" si="166"/>
        <v>0</v>
      </c>
      <c r="AX431" s="170">
        <f t="shared" si="158"/>
        <v>0</v>
      </c>
      <c r="AY431" s="325"/>
      <c r="AZ431" s="326"/>
    </row>
    <row r="432" spans="1:52" ht="15" thickBot="1" x14ac:dyDescent="0.2">
      <c r="A432" s="181" t="s">
        <v>14</v>
      </c>
      <c r="B432" s="182">
        <f>SUM(B424:B431)</f>
        <v>7</v>
      </c>
      <c r="C432" s="183">
        <f>SUM(C424:C431)</f>
        <v>6</v>
      </c>
      <c r="D432" s="183">
        <f>SUM(D424:D431)</f>
        <v>6</v>
      </c>
      <c r="E432" s="184">
        <f>SUM(E424:E431)</f>
        <v>7</v>
      </c>
      <c r="F432" s="77">
        <f t="shared" si="153"/>
        <v>26</v>
      </c>
      <c r="G432" s="182">
        <f>SUM(G424:G431)</f>
        <v>12</v>
      </c>
      <c r="H432" s="183">
        <f>SUM(H424:H431)</f>
        <v>12</v>
      </c>
      <c r="I432" s="183">
        <f>SUM(I424:I431)</f>
        <v>9</v>
      </c>
      <c r="J432" s="184">
        <f>SUM(J424:J431)</f>
        <v>11</v>
      </c>
      <c r="K432" s="77">
        <f t="shared" si="154"/>
        <v>44</v>
      </c>
      <c r="L432" s="182">
        <f>SUM(L424:L431)</f>
        <v>9</v>
      </c>
      <c r="M432" s="183">
        <f>SUM(M424:M431)</f>
        <v>0</v>
      </c>
      <c r="N432" s="183">
        <f>SUM(N424:N431)</f>
        <v>28</v>
      </c>
      <c r="O432" s="184">
        <f>SUM(O424:O431)</f>
        <v>4</v>
      </c>
      <c r="P432" s="77">
        <f t="shared" si="155"/>
        <v>41</v>
      </c>
      <c r="Q432" s="182">
        <f>SUM(Q424:Q431)</f>
        <v>3</v>
      </c>
      <c r="R432" s="183">
        <f>SUM(R424:R431)</f>
        <v>0</v>
      </c>
      <c r="S432" s="183">
        <f>SUM(S424:S431)</f>
        <v>0</v>
      </c>
      <c r="T432" s="184">
        <f>SUM(T424:T431)</f>
        <v>1</v>
      </c>
      <c r="U432" s="182">
        <f t="shared" si="156"/>
        <v>4</v>
      </c>
      <c r="V432" s="77">
        <f t="shared" si="157"/>
        <v>115</v>
      </c>
      <c r="W432" s="325"/>
      <c r="X432" s="326"/>
      <c r="Y432" s="326"/>
      <c r="Z432" s="326"/>
      <c r="AC432" s="275" t="s">
        <v>14</v>
      </c>
      <c r="AD432" s="182">
        <f>SUM(AD424:AD431)</f>
        <v>184</v>
      </c>
      <c r="AE432" s="183">
        <f>SUM(AE424:AE431)</f>
        <v>244</v>
      </c>
      <c r="AF432" s="183">
        <f>SUM(AF424:AF431)</f>
        <v>238</v>
      </c>
      <c r="AG432" s="184">
        <f>SUM(AG424:AG431)</f>
        <v>168</v>
      </c>
      <c r="AH432" s="77">
        <f t="shared" si="163"/>
        <v>834</v>
      </c>
      <c r="AI432" s="182">
        <f>SUM(AI424:AI431)</f>
        <v>116</v>
      </c>
      <c r="AJ432" s="183">
        <f>SUM(AJ424:AJ431)</f>
        <v>98</v>
      </c>
      <c r="AK432" s="183">
        <f>SUM(AK424:AK431)</f>
        <v>230</v>
      </c>
      <c r="AL432" s="184">
        <f>SUM(AL424:AL431)</f>
        <v>78</v>
      </c>
      <c r="AM432" s="77">
        <f t="shared" si="164"/>
        <v>522</v>
      </c>
      <c r="AN432" s="182">
        <f>SUM(AN424:AN431)</f>
        <v>0</v>
      </c>
      <c r="AO432" s="183">
        <f>SUM(AO424:AO431)</f>
        <v>0</v>
      </c>
      <c r="AP432" s="183">
        <f>SUM(AP424:AP431)</f>
        <v>19</v>
      </c>
      <c r="AQ432" s="184">
        <f>SUM(AQ424:AQ431)</f>
        <v>0</v>
      </c>
      <c r="AR432" s="77">
        <f t="shared" si="165"/>
        <v>19</v>
      </c>
      <c r="AS432" s="182">
        <f>SUM(AS424:AS431)</f>
        <v>44</v>
      </c>
      <c r="AT432" s="183">
        <f>SUM(AT424:AT431)</f>
        <v>32</v>
      </c>
      <c r="AU432" s="183">
        <f>SUM(AU424:AU431)</f>
        <v>27</v>
      </c>
      <c r="AV432" s="184">
        <f>SUM(AV424:AV431)</f>
        <v>25</v>
      </c>
      <c r="AW432" s="182">
        <f t="shared" si="166"/>
        <v>128</v>
      </c>
      <c r="AX432" s="77">
        <f t="shared" si="158"/>
        <v>1503</v>
      </c>
      <c r="AY432" s="325"/>
      <c r="AZ432" s="326"/>
    </row>
    <row r="433" spans="1:52" x14ac:dyDescent="0.15">
      <c r="A433" s="53" t="s">
        <v>98</v>
      </c>
      <c r="B433" s="46"/>
      <c r="C433" s="47"/>
      <c r="D433" s="47"/>
      <c r="E433" s="47"/>
      <c r="F433" s="48">
        <f t="shared" si="153"/>
        <v>0</v>
      </c>
      <c r="G433" s="46"/>
      <c r="H433" s="47"/>
      <c r="I433" s="47"/>
      <c r="J433" s="47">
        <v>1</v>
      </c>
      <c r="K433" s="48">
        <f t="shared" si="154"/>
        <v>1</v>
      </c>
      <c r="L433" s="46"/>
      <c r="M433" s="47"/>
      <c r="N433" s="47"/>
      <c r="O433" s="47"/>
      <c r="P433" s="48">
        <f t="shared" si="155"/>
        <v>0</v>
      </c>
      <c r="Q433" s="46"/>
      <c r="R433" s="47"/>
      <c r="S433" s="47"/>
      <c r="T433" s="47"/>
      <c r="U433" s="180">
        <f t="shared" si="156"/>
        <v>0</v>
      </c>
      <c r="V433" s="49">
        <f t="shared" si="157"/>
        <v>1</v>
      </c>
      <c r="W433" s="329">
        <v>44439</v>
      </c>
      <c r="X433" s="326"/>
      <c r="Y433" s="326"/>
      <c r="Z433" s="326"/>
      <c r="AC433" s="268" t="s">
        <v>316</v>
      </c>
      <c r="AD433" s="55"/>
      <c r="AE433" s="153"/>
      <c r="AF433" s="153"/>
      <c r="AG433" s="168"/>
      <c r="AH433" s="56">
        <f t="shared" si="163"/>
        <v>0</v>
      </c>
      <c r="AI433" s="55"/>
      <c r="AJ433" s="153"/>
      <c r="AK433" s="153">
        <v>1</v>
      </c>
      <c r="AL433" s="168"/>
      <c r="AM433" s="56">
        <f t="shared" si="164"/>
        <v>1</v>
      </c>
      <c r="AN433" s="55"/>
      <c r="AO433" s="153"/>
      <c r="AP433" s="153"/>
      <c r="AQ433" s="168"/>
      <c r="AR433" s="56">
        <f t="shared" si="165"/>
        <v>0</v>
      </c>
      <c r="AS433" s="55"/>
      <c r="AT433" s="153"/>
      <c r="AU433" s="153"/>
      <c r="AV433" s="168"/>
      <c r="AW433" s="176">
        <f t="shared" si="166"/>
        <v>0</v>
      </c>
      <c r="AX433" s="56">
        <f t="shared" si="158"/>
        <v>1</v>
      </c>
      <c r="AY433" s="329">
        <v>44454</v>
      </c>
      <c r="AZ433" s="332"/>
    </row>
    <row r="434" spans="1:52" x14ac:dyDescent="0.15">
      <c r="A434" s="53" t="s">
        <v>317</v>
      </c>
      <c r="B434" s="54"/>
      <c r="C434" s="55"/>
      <c r="D434" s="55"/>
      <c r="E434" s="55"/>
      <c r="F434" s="56">
        <f t="shared" si="153"/>
        <v>0</v>
      </c>
      <c r="G434" s="54">
        <v>1</v>
      </c>
      <c r="H434" s="55">
        <v>1</v>
      </c>
      <c r="I434" s="55"/>
      <c r="J434" s="55"/>
      <c r="K434" s="56">
        <f t="shared" si="154"/>
        <v>2</v>
      </c>
      <c r="L434" s="54"/>
      <c r="M434" s="55"/>
      <c r="N434" s="55"/>
      <c r="O434" s="55"/>
      <c r="P434" s="56">
        <f t="shared" si="155"/>
        <v>0</v>
      </c>
      <c r="Q434" s="54"/>
      <c r="R434" s="55"/>
      <c r="S434" s="55"/>
      <c r="T434" s="55"/>
      <c r="U434" s="176">
        <f t="shared" si="156"/>
        <v>0</v>
      </c>
      <c r="V434" s="56">
        <f t="shared" si="157"/>
        <v>2</v>
      </c>
      <c r="W434" s="329">
        <v>44446</v>
      </c>
      <c r="X434" s="326"/>
      <c r="Y434" s="326"/>
      <c r="Z434" s="326"/>
      <c r="AC434" s="276" t="s">
        <v>318</v>
      </c>
      <c r="AD434" s="54"/>
      <c r="AE434" s="55"/>
      <c r="AF434" s="55"/>
      <c r="AG434" s="55"/>
      <c r="AH434" s="56">
        <f t="shared" si="163"/>
        <v>0</v>
      </c>
      <c r="AI434" s="54"/>
      <c r="AJ434" s="55"/>
      <c r="AK434" s="55"/>
      <c r="AL434" s="55"/>
      <c r="AM434" s="56">
        <f t="shared" si="164"/>
        <v>0</v>
      </c>
      <c r="AN434" s="54"/>
      <c r="AO434" s="55"/>
      <c r="AP434" s="55"/>
      <c r="AQ434" s="55"/>
      <c r="AR434" s="56">
        <f t="shared" si="165"/>
        <v>0</v>
      </c>
      <c r="AS434" s="54"/>
      <c r="AT434" s="55"/>
      <c r="AU434" s="55"/>
      <c r="AV434" s="55">
        <v>5</v>
      </c>
      <c r="AW434" s="176">
        <f t="shared" si="166"/>
        <v>5</v>
      </c>
      <c r="AX434" s="56">
        <f t="shared" si="158"/>
        <v>5</v>
      </c>
      <c r="AY434" s="329">
        <v>44449</v>
      </c>
      <c r="AZ434" s="332"/>
    </row>
    <row r="435" spans="1:52" x14ac:dyDescent="0.15">
      <c r="A435" s="53" t="s">
        <v>98</v>
      </c>
      <c r="B435" s="54"/>
      <c r="C435" s="55"/>
      <c r="D435" s="55"/>
      <c r="E435" s="55"/>
      <c r="F435" s="56">
        <f t="shared" si="153"/>
        <v>0</v>
      </c>
      <c r="G435" s="54"/>
      <c r="H435" s="55"/>
      <c r="I435" s="55"/>
      <c r="J435" s="55">
        <v>1</v>
      </c>
      <c r="K435" s="56">
        <f t="shared" si="154"/>
        <v>1</v>
      </c>
      <c r="L435" s="54"/>
      <c r="M435" s="55"/>
      <c r="N435" s="55"/>
      <c r="O435" s="55"/>
      <c r="P435" s="56">
        <f t="shared" si="155"/>
        <v>0</v>
      </c>
      <c r="Q435" s="54"/>
      <c r="R435" s="55"/>
      <c r="S435" s="55"/>
      <c r="T435" s="55"/>
      <c r="U435" s="176">
        <f t="shared" si="156"/>
        <v>0</v>
      </c>
      <c r="V435" s="56">
        <f t="shared" si="157"/>
        <v>1</v>
      </c>
      <c r="W435" s="329">
        <v>44445</v>
      </c>
      <c r="X435" s="326"/>
      <c r="Y435" s="326"/>
      <c r="Z435" s="326"/>
      <c r="AC435" s="268" t="s">
        <v>319</v>
      </c>
      <c r="AD435" s="54"/>
      <c r="AE435" s="55"/>
      <c r="AF435" s="55"/>
      <c r="AG435" s="55"/>
      <c r="AH435" s="56">
        <f t="shared" si="163"/>
        <v>0</v>
      </c>
      <c r="AI435" s="54"/>
      <c r="AJ435" s="55"/>
      <c r="AK435" s="55">
        <v>1</v>
      </c>
      <c r="AL435" s="55"/>
      <c r="AM435" s="56">
        <f t="shared" si="164"/>
        <v>1</v>
      </c>
      <c r="AN435" s="54"/>
      <c r="AO435" s="55"/>
      <c r="AP435" s="55"/>
      <c r="AQ435" s="55"/>
      <c r="AR435" s="56">
        <f t="shared" si="165"/>
        <v>0</v>
      </c>
      <c r="AS435" s="54"/>
      <c r="AT435" s="55"/>
      <c r="AU435" s="55"/>
      <c r="AV435" s="55"/>
      <c r="AW435" s="176">
        <f t="shared" si="166"/>
        <v>0</v>
      </c>
      <c r="AX435" s="56">
        <f t="shared" si="158"/>
        <v>1</v>
      </c>
      <c r="AY435" s="329">
        <v>44474</v>
      </c>
      <c r="AZ435" s="332"/>
    </row>
    <row r="436" spans="1:52" x14ac:dyDescent="0.15">
      <c r="A436" s="53" t="s">
        <v>98</v>
      </c>
      <c r="B436" s="54">
        <v>1</v>
      </c>
      <c r="C436" s="55"/>
      <c r="D436" s="55"/>
      <c r="E436" s="55"/>
      <c r="F436" s="56">
        <f t="shared" si="153"/>
        <v>1</v>
      </c>
      <c r="G436" s="54"/>
      <c r="H436" s="55"/>
      <c r="I436" s="55"/>
      <c r="J436" s="55"/>
      <c r="K436" s="56">
        <f t="shared" si="154"/>
        <v>0</v>
      </c>
      <c r="L436" s="54"/>
      <c r="M436" s="55"/>
      <c r="N436" s="55"/>
      <c r="O436" s="55"/>
      <c r="P436" s="56">
        <f t="shared" si="155"/>
        <v>0</v>
      </c>
      <c r="Q436" s="54"/>
      <c r="R436" s="55"/>
      <c r="S436" s="55"/>
      <c r="T436" s="55"/>
      <c r="U436" s="176">
        <f t="shared" si="156"/>
        <v>0</v>
      </c>
      <c r="V436" s="56">
        <f t="shared" si="157"/>
        <v>1</v>
      </c>
      <c r="W436" s="329">
        <v>44453</v>
      </c>
      <c r="X436" s="326"/>
      <c r="Y436" s="326"/>
      <c r="Z436" s="326"/>
      <c r="AC436" s="277" t="s">
        <v>222</v>
      </c>
      <c r="AD436" s="54"/>
      <c r="AE436" s="55"/>
      <c r="AF436" s="55"/>
      <c r="AG436" s="55"/>
      <c r="AH436" s="56">
        <f t="shared" si="163"/>
        <v>0</v>
      </c>
      <c r="AI436" s="54"/>
      <c r="AJ436" s="55"/>
      <c r="AK436" s="55"/>
      <c r="AL436" s="55"/>
      <c r="AM436" s="56">
        <f t="shared" si="164"/>
        <v>0</v>
      </c>
      <c r="AN436" s="54"/>
      <c r="AO436" s="55"/>
      <c r="AP436" s="55"/>
      <c r="AQ436" s="55"/>
      <c r="AR436" s="56">
        <f t="shared" si="165"/>
        <v>0</v>
      </c>
      <c r="AS436" s="54"/>
      <c r="AT436" s="55"/>
      <c r="AU436" s="55">
        <v>8</v>
      </c>
      <c r="AV436" s="55"/>
      <c r="AW436" s="56">
        <f t="shared" si="166"/>
        <v>8</v>
      </c>
      <c r="AX436" s="56">
        <f t="shared" si="158"/>
        <v>8</v>
      </c>
      <c r="AY436" s="329">
        <v>44487</v>
      </c>
      <c r="AZ436" s="332"/>
    </row>
    <row r="437" spans="1:52" x14ac:dyDescent="0.15">
      <c r="A437" s="53" t="s">
        <v>100</v>
      </c>
      <c r="B437" s="54"/>
      <c r="C437" s="55"/>
      <c r="D437" s="55"/>
      <c r="E437" s="55"/>
      <c r="F437" s="56">
        <f t="shared" si="153"/>
        <v>0</v>
      </c>
      <c r="G437" s="54"/>
      <c r="H437" s="55"/>
      <c r="I437" s="55"/>
      <c r="J437" s="55">
        <v>1</v>
      </c>
      <c r="K437" s="56">
        <f t="shared" si="154"/>
        <v>1</v>
      </c>
      <c r="L437" s="54"/>
      <c r="M437" s="55"/>
      <c r="N437" s="55"/>
      <c r="O437" s="55"/>
      <c r="P437" s="56">
        <f t="shared" si="155"/>
        <v>0</v>
      </c>
      <c r="Q437" s="54"/>
      <c r="R437" s="55"/>
      <c r="S437" s="55"/>
      <c r="T437" s="55"/>
      <c r="U437" s="176">
        <f t="shared" si="156"/>
        <v>0</v>
      </c>
      <c r="V437" s="56">
        <f t="shared" si="157"/>
        <v>1</v>
      </c>
      <c r="W437" s="329">
        <v>44457</v>
      </c>
      <c r="X437" s="326"/>
      <c r="Y437" s="326"/>
      <c r="Z437" s="326"/>
      <c r="AC437" s="53" t="s">
        <v>99</v>
      </c>
      <c r="AD437" s="63"/>
      <c r="AE437" s="63"/>
      <c r="AF437" s="63"/>
      <c r="AG437" s="167"/>
      <c r="AH437" s="64">
        <f t="shared" si="163"/>
        <v>0</v>
      </c>
      <c r="AI437" s="63"/>
      <c r="AJ437" s="63">
        <v>3</v>
      </c>
      <c r="AK437" s="63"/>
      <c r="AL437" s="167"/>
      <c r="AM437" s="64">
        <f t="shared" si="164"/>
        <v>3</v>
      </c>
      <c r="AN437" s="63"/>
      <c r="AO437" s="63"/>
      <c r="AP437" s="63"/>
      <c r="AQ437" s="167"/>
      <c r="AR437" s="64">
        <f t="shared" si="165"/>
        <v>0</v>
      </c>
      <c r="AS437" s="63"/>
      <c r="AT437" s="63"/>
      <c r="AU437" s="63"/>
      <c r="AV437" s="167"/>
      <c r="AW437" s="162">
        <f t="shared" si="166"/>
        <v>0</v>
      </c>
      <c r="AX437" s="56">
        <f t="shared" si="158"/>
        <v>3</v>
      </c>
      <c r="AY437" s="329">
        <v>44490</v>
      </c>
      <c r="AZ437" s="332"/>
    </row>
    <row r="438" spans="1:52" x14ac:dyDescent="0.15">
      <c r="A438" s="53" t="s">
        <v>310</v>
      </c>
      <c r="B438" s="54">
        <f>1+1</f>
        <v>2</v>
      </c>
      <c r="C438" s="55">
        <v>2</v>
      </c>
      <c r="D438" s="55">
        <f>1+2</f>
        <v>3</v>
      </c>
      <c r="E438" s="55">
        <f>1+2</f>
        <v>3</v>
      </c>
      <c r="F438" s="56">
        <f t="shared" si="153"/>
        <v>10</v>
      </c>
      <c r="G438" s="54">
        <f>4+1</f>
        <v>5</v>
      </c>
      <c r="H438" s="55">
        <v>4</v>
      </c>
      <c r="I438" s="55">
        <f>1+2</f>
        <v>3</v>
      </c>
      <c r="J438" s="55">
        <v>2</v>
      </c>
      <c r="K438" s="56">
        <f t="shared" si="154"/>
        <v>14</v>
      </c>
      <c r="L438" s="54"/>
      <c r="M438" s="55"/>
      <c r="N438" s="55"/>
      <c r="O438" s="55"/>
      <c r="P438" s="56">
        <f t="shared" si="155"/>
        <v>0</v>
      </c>
      <c r="Q438" s="54"/>
      <c r="R438" s="55"/>
      <c r="S438" s="55"/>
      <c r="T438" s="55"/>
      <c r="U438" s="176">
        <f t="shared" si="156"/>
        <v>0</v>
      </c>
      <c r="V438" s="56">
        <f t="shared" si="157"/>
        <v>24</v>
      </c>
      <c r="W438" s="329">
        <v>44457</v>
      </c>
      <c r="X438" s="326"/>
      <c r="Y438" s="326"/>
      <c r="Z438" s="326"/>
      <c r="AC438" s="53" t="s">
        <v>99</v>
      </c>
      <c r="AD438" s="54"/>
      <c r="AE438" s="55"/>
      <c r="AF438" s="55"/>
      <c r="AG438" s="55"/>
      <c r="AH438" s="56">
        <f t="shared" si="163"/>
        <v>0</v>
      </c>
      <c r="AI438" s="54"/>
      <c r="AJ438" s="55"/>
      <c r="AK438" s="55"/>
      <c r="AL438" s="55"/>
      <c r="AM438" s="56">
        <f t="shared" si="164"/>
        <v>0</v>
      </c>
      <c r="AN438" s="54"/>
      <c r="AO438" s="55"/>
      <c r="AP438" s="55">
        <v>19</v>
      </c>
      <c r="AQ438" s="55"/>
      <c r="AR438" s="56">
        <f t="shared" si="165"/>
        <v>19</v>
      </c>
      <c r="AS438" s="54"/>
      <c r="AT438" s="55"/>
      <c r="AU438" s="55"/>
      <c r="AV438" s="55"/>
      <c r="AW438" s="176">
        <f t="shared" si="166"/>
        <v>0</v>
      </c>
      <c r="AX438" s="56">
        <f t="shared" si="158"/>
        <v>19</v>
      </c>
      <c r="AY438" s="329">
        <v>44506</v>
      </c>
      <c r="AZ438" s="332"/>
    </row>
    <row r="439" spans="1:52" x14ac:dyDescent="0.15">
      <c r="A439" s="53" t="s">
        <v>98</v>
      </c>
      <c r="B439" s="54"/>
      <c r="C439" s="55"/>
      <c r="D439" s="55"/>
      <c r="E439" s="55"/>
      <c r="F439" s="56">
        <f t="shared" si="153"/>
        <v>0</v>
      </c>
      <c r="G439" s="54"/>
      <c r="H439" s="55"/>
      <c r="I439" s="55"/>
      <c r="J439" s="55"/>
      <c r="K439" s="56">
        <f t="shared" si="154"/>
        <v>0</v>
      </c>
      <c r="L439" s="54"/>
      <c r="M439" s="55"/>
      <c r="N439" s="55">
        <v>1</v>
      </c>
      <c r="O439" s="55"/>
      <c r="P439" s="56">
        <f t="shared" si="155"/>
        <v>1</v>
      </c>
      <c r="Q439" s="54"/>
      <c r="R439" s="55"/>
      <c r="S439" s="55"/>
      <c r="T439" s="55"/>
      <c r="U439" s="176">
        <f t="shared" si="156"/>
        <v>0</v>
      </c>
      <c r="V439" s="56">
        <f t="shared" si="157"/>
        <v>1</v>
      </c>
      <c r="W439" s="329">
        <v>44460</v>
      </c>
      <c r="X439" s="326"/>
      <c r="Y439" s="326"/>
      <c r="Z439" s="326"/>
      <c r="AC439" s="53" t="s">
        <v>99</v>
      </c>
      <c r="AD439" s="54"/>
      <c r="AE439" s="55"/>
      <c r="AF439" s="55"/>
      <c r="AG439" s="55"/>
      <c r="AH439" s="56">
        <f t="shared" si="163"/>
        <v>0</v>
      </c>
      <c r="AI439" s="54">
        <v>3</v>
      </c>
      <c r="AJ439" s="55"/>
      <c r="AK439" s="55"/>
      <c r="AL439" s="55"/>
      <c r="AM439" s="56">
        <f t="shared" si="164"/>
        <v>3</v>
      </c>
      <c r="AN439" s="54"/>
      <c r="AO439" s="55"/>
      <c r="AP439" s="55"/>
      <c r="AQ439" s="55"/>
      <c r="AR439" s="56">
        <f t="shared" si="165"/>
        <v>0</v>
      </c>
      <c r="AS439" s="54"/>
      <c r="AT439" s="55"/>
      <c r="AU439" s="55"/>
      <c r="AV439" s="55"/>
      <c r="AW439" s="176">
        <f t="shared" si="166"/>
        <v>0</v>
      </c>
      <c r="AX439" s="56">
        <f t="shared" si="158"/>
        <v>3</v>
      </c>
      <c r="AY439" s="329">
        <v>44520</v>
      </c>
      <c r="AZ439" s="332"/>
    </row>
    <row r="440" spans="1:52" x14ac:dyDescent="0.15">
      <c r="A440" s="53" t="s">
        <v>98</v>
      </c>
      <c r="B440" s="54"/>
      <c r="C440" s="55"/>
      <c r="D440" s="55"/>
      <c r="E440" s="55"/>
      <c r="F440" s="56">
        <f t="shared" si="153"/>
        <v>0</v>
      </c>
      <c r="G440" s="54"/>
      <c r="H440" s="55">
        <v>1</v>
      </c>
      <c r="I440" s="55"/>
      <c r="J440" s="55"/>
      <c r="K440" s="56">
        <f t="shared" si="154"/>
        <v>1</v>
      </c>
      <c r="L440" s="54"/>
      <c r="M440" s="55"/>
      <c r="N440" s="55"/>
      <c r="O440" s="55"/>
      <c r="P440" s="56">
        <f t="shared" si="155"/>
        <v>0</v>
      </c>
      <c r="Q440" s="54"/>
      <c r="R440" s="55"/>
      <c r="S440" s="55"/>
      <c r="T440" s="55"/>
      <c r="U440" s="176">
        <f t="shared" si="156"/>
        <v>0</v>
      </c>
      <c r="V440" s="56">
        <f t="shared" si="157"/>
        <v>1</v>
      </c>
      <c r="W440" s="329">
        <v>44467</v>
      </c>
      <c r="X440" s="326"/>
      <c r="Y440" s="326"/>
      <c r="Z440" s="326"/>
      <c r="AC440" s="276" t="s">
        <v>324</v>
      </c>
      <c r="AD440" s="55"/>
      <c r="AE440" s="55"/>
      <c r="AF440" s="55"/>
      <c r="AG440" s="166"/>
      <c r="AH440" s="49">
        <f t="shared" si="163"/>
        <v>0</v>
      </c>
      <c r="AI440" s="55"/>
      <c r="AJ440" s="55">
        <v>1</v>
      </c>
      <c r="AK440" s="55"/>
      <c r="AL440" s="166"/>
      <c r="AM440" s="49">
        <f t="shared" si="164"/>
        <v>1</v>
      </c>
      <c r="AN440" s="55"/>
      <c r="AO440" s="55"/>
      <c r="AP440" s="55"/>
      <c r="AQ440" s="166"/>
      <c r="AR440" s="49">
        <f t="shared" si="165"/>
        <v>0</v>
      </c>
      <c r="AS440" s="55"/>
      <c r="AT440" s="55"/>
      <c r="AU440" s="55"/>
      <c r="AV440" s="166"/>
      <c r="AW440" s="175">
        <f t="shared" si="166"/>
        <v>0</v>
      </c>
      <c r="AX440" s="56">
        <f t="shared" si="158"/>
        <v>1</v>
      </c>
      <c r="AY440" s="329">
        <v>44523</v>
      </c>
      <c r="AZ440" s="332"/>
    </row>
    <row r="441" spans="1:52" x14ac:dyDescent="0.15">
      <c r="A441" s="53" t="s">
        <v>310</v>
      </c>
      <c r="B441" s="17">
        <v>1</v>
      </c>
      <c r="C441" s="18">
        <v>1</v>
      </c>
      <c r="D441" s="18"/>
      <c r="E441" s="18"/>
      <c r="F441" s="30">
        <f t="shared" si="153"/>
        <v>2</v>
      </c>
      <c r="G441" s="17"/>
      <c r="H441" s="18">
        <v>1</v>
      </c>
      <c r="I441" s="18">
        <v>2</v>
      </c>
      <c r="J441" s="18">
        <v>2</v>
      </c>
      <c r="K441" s="30">
        <f t="shared" si="154"/>
        <v>5</v>
      </c>
      <c r="L441" s="17"/>
      <c r="M441" s="18"/>
      <c r="N441" s="18"/>
      <c r="O441" s="18"/>
      <c r="P441" s="30">
        <f t="shared" si="155"/>
        <v>0</v>
      </c>
      <c r="Q441" s="17"/>
      <c r="R441" s="18"/>
      <c r="S441" s="18"/>
      <c r="T441" s="18"/>
      <c r="U441" s="178">
        <f t="shared" si="156"/>
        <v>0</v>
      </c>
      <c r="V441" s="56">
        <f t="shared" si="157"/>
        <v>7</v>
      </c>
      <c r="W441" s="328">
        <v>44485</v>
      </c>
      <c r="X441" s="326"/>
      <c r="Y441" s="326"/>
      <c r="Z441" s="326"/>
      <c r="AC441" s="277"/>
      <c r="AD441" s="17"/>
      <c r="AE441" s="18"/>
      <c r="AF441" s="18"/>
      <c r="AG441" s="18"/>
      <c r="AH441" s="30">
        <f t="shared" si="163"/>
        <v>0</v>
      </c>
      <c r="AI441" s="17"/>
      <c r="AJ441" s="18"/>
      <c r="AK441" s="18"/>
      <c r="AL441" s="18"/>
      <c r="AM441" s="30">
        <f t="shared" si="164"/>
        <v>0</v>
      </c>
      <c r="AN441" s="17"/>
      <c r="AO441" s="18"/>
      <c r="AP441" s="18"/>
      <c r="AQ441" s="18"/>
      <c r="AR441" s="30">
        <f t="shared" si="165"/>
        <v>0</v>
      </c>
      <c r="AS441" s="17"/>
      <c r="AT441" s="18"/>
      <c r="AU441" s="18"/>
      <c r="AV441" s="18"/>
      <c r="AW441" s="178">
        <f t="shared" si="166"/>
        <v>0</v>
      </c>
      <c r="AX441" s="56">
        <f t="shared" si="158"/>
        <v>0</v>
      </c>
      <c r="AY441" s="330"/>
      <c r="AZ441" s="332"/>
    </row>
    <row r="442" spans="1:52" x14ac:dyDescent="0.15">
      <c r="A442" s="53" t="s">
        <v>98</v>
      </c>
      <c r="B442" s="54"/>
      <c r="C442" s="55"/>
      <c r="D442" s="55"/>
      <c r="E442" s="55"/>
      <c r="F442" s="56">
        <f t="shared" si="153"/>
        <v>0</v>
      </c>
      <c r="G442" s="54"/>
      <c r="H442" s="55">
        <v>1</v>
      </c>
      <c r="I442" s="55"/>
      <c r="J442" s="55"/>
      <c r="K442" s="56">
        <f t="shared" si="154"/>
        <v>1</v>
      </c>
      <c r="L442" s="54"/>
      <c r="M442" s="55"/>
      <c r="N442" s="55"/>
      <c r="O442" s="55"/>
      <c r="P442" s="56">
        <f t="shared" si="155"/>
        <v>0</v>
      </c>
      <c r="Q442" s="54"/>
      <c r="R442" s="55"/>
      <c r="S442" s="55"/>
      <c r="T442" s="55"/>
      <c r="U442" s="176">
        <f t="shared" si="156"/>
        <v>0</v>
      </c>
      <c r="V442" s="56">
        <f t="shared" si="157"/>
        <v>1</v>
      </c>
      <c r="W442" s="328">
        <v>44485</v>
      </c>
      <c r="X442" s="326"/>
      <c r="Y442" s="326"/>
      <c r="Z442" s="326"/>
      <c r="AC442" s="276"/>
      <c r="AD442" s="54"/>
      <c r="AE442" s="55"/>
      <c r="AF442" s="55"/>
      <c r="AG442" s="55"/>
      <c r="AH442" s="56">
        <f t="shared" si="163"/>
        <v>0</v>
      </c>
      <c r="AI442" s="54"/>
      <c r="AJ442" s="55"/>
      <c r="AK442" s="55"/>
      <c r="AL442" s="55"/>
      <c r="AM442" s="56">
        <f t="shared" si="164"/>
        <v>0</v>
      </c>
      <c r="AN442" s="54"/>
      <c r="AO442" s="55"/>
      <c r="AP442" s="55"/>
      <c r="AQ442" s="55"/>
      <c r="AR442" s="56">
        <f t="shared" si="165"/>
        <v>0</v>
      </c>
      <c r="AS442" s="54"/>
      <c r="AT442" s="55"/>
      <c r="AU442" s="55"/>
      <c r="AV442" s="55"/>
      <c r="AW442" s="176">
        <f t="shared" si="166"/>
        <v>0</v>
      </c>
      <c r="AX442" s="56">
        <f t="shared" si="158"/>
        <v>0</v>
      </c>
      <c r="AY442" s="330"/>
      <c r="AZ442" s="332"/>
    </row>
    <row r="443" spans="1:52" x14ac:dyDescent="0.15">
      <c r="A443" s="53" t="s">
        <v>98</v>
      </c>
      <c r="B443" s="54"/>
      <c r="C443" s="55"/>
      <c r="D443" s="55"/>
      <c r="E443" s="55"/>
      <c r="F443" s="56">
        <f t="shared" si="153"/>
        <v>0</v>
      </c>
      <c r="G443" s="54">
        <v>1</v>
      </c>
      <c r="H443" s="55"/>
      <c r="I443" s="55"/>
      <c r="J443" s="55"/>
      <c r="K443" s="56">
        <f t="shared" si="154"/>
        <v>1</v>
      </c>
      <c r="L443" s="54"/>
      <c r="M443" s="55"/>
      <c r="N443" s="55"/>
      <c r="O443" s="55"/>
      <c r="P443" s="56">
        <f t="shared" si="155"/>
        <v>0</v>
      </c>
      <c r="Q443" s="54"/>
      <c r="R443" s="55"/>
      <c r="S443" s="55"/>
      <c r="T443" s="55"/>
      <c r="U443" s="176">
        <f t="shared" si="156"/>
        <v>0</v>
      </c>
      <c r="V443" s="56">
        <f t="shared" si="157"/>
        <v>1</v>
      </c>
      <c r="W443" s="328">
        <v>44487</v>
      </c>
      <c r="X443" s="326"/>
      <c r="Y443" s="326"/>
      <c r="Z443" s="326"/>
      <c r="AC443" s="277"/>
      <c r="AD443" s="54"/>
      <c r="AE443" s="55"/>
      <c r="AF443" s="55"/>
      <c r="AG443" s="55"/>
      <c r="AH443" s="56">
        <f t="shared" si="163"/>
        <v>0</v>
      </c>
      <c r="AI443" s="54"/>
      <c r="AJ443" s="55"/>
      <c r="AK443" s="55"/>
      <c r="AL443" s="55"/>
      <c r="AM443" s="56">
        <f t="shared" si="164"/>
        <v>0</v>
      </c>
      <c r="AN443" s="54"/>
      <c r="AO443" s="55"/>
      <c r="AP443" s="55"/>
      <c r="AQ443" s="55"/>
      <c r="AR443" s="56">
        <f t="shared" si="165"/>
        <v>0</v>
      </c>
      <c r="AS443" s="54"/>
      <c r="AT443" s="55"/>
      <c r="AU443" s="55"/>
      <c r="AV443" s="55"/>
      <c r="AW443" s="176">
        <f t="shared" si="166"/>
        <v>0</v>
      </c>
      <c r="AX443" s="56">
        <f t="shared" si="158"/>
        <v>0</v>
      </c>
      <c r="AY443" s="330"/>
      <c r="AZ443" s="332"/>
    </row>
    <row r="444" spans="1:52" x14ac:dyDescent="0.15">
      <c r="A444" s="53" t="s">
        <v>98</v>
      </c>
      <c r="B444" s="54"/>
      <c r="C444" s="55"/>
      <c r="D444" s="55"/>
      <c r="E444" s="55"/>
      <c r="F444" s="56">
        <f t="shared" si="153"/>
        <v>0</v>
      </c>
      <c r="G444" s="54"/>
      <c r="H444" s="55">
        <v>1</v>
      </c>
      <c r="I444" s="55"/>
      <c r="J444" s="55"/>
      <c r="K444" s="56">
        <f t="shared" si="154"/>
        <v>1</v>
      </c>
      <c r="L444" s="54"/>
      <c r="M444" s="55"/>
      <c r="N444" s="55"/>
      <c r="O444" s="55"/>
      <c r="P444" s="56">
        <f t="shared" si="155"/>
        <v>0</v>
      </c>
      <c r="Q444" s="54"/>
      <c r="R444" s="55"/>
      <c r="S444" s="55"/>
      <c r="T444" s="55"/>
      <c r="U444" s="176">
        <f t="shared" si="156"/>
        <v>0</v>
      </c>
      <c r="V444" s="56">
        <f t="shared" si="157"/>
        <v>1</v>
      </c>
      <c r="W444" s="329">
        <v>44489</v>
      </c>
      <c r="X444" s="326"/>
      <c r="Y444" s="326"/>
      <c r="Z444" s="326"/>
      <c r="AC444" s="276"/>
      <c r="AD444" s="54"/>
      <c r="AE444" s="55"/>
      <c r="AF444" s="55"/>
      <c r="AG444" s="55"/>
      <c r="AH444" s="56">
        <f t="shared" si="163"/>
        <v>0</v>
      </c>
      <c r="AI444" s="54"/>
      <c r="AJ444" s="55"/>
      <c r="AK444" s="55"/>
      <c r="AL444" s="55"/>
      <c r="AM444" s="56">
        <f t="shared" si="164"/>
        <v>0</v>
      </c>
      <c r="AN444" s="54"/>
      <c r="AO444" s="55"/>
      <c r="AP444" s="55"/>
      <c r="AQ444" s="55"/>
      <c r="AR444" s="56">
        <f t="shared" si="165"/>
        <v>0</v>
      </c>
      <c r="AS444" s="54"/>
      <c r="AT444" s="55"/>
      <c r="AU444" s="55"/>
      <c r="AV444" s="55"/>
      <c r="AW444" s="176">
        <f t="shared" si="166"/>
        <v>0</v>
      </c>
      <c r="AX444" s="56">
        <f t="shared" si="158"/>
        <v>0</v>
      </c>
      <c r="AY444" s="330"/>
      <c r="AZ444" s="332"/>
    </row>
    <row r="445" spans="1:52" x14ac:dyDescent="0.15">
      <c r="A445" s="53" t="s">
        <v>98</v>
      </c>
      <c r="B445" s="54"/>
      <c r="C445" s="55"/>
      <c r="D445" s="55"/>
      <c r="E445" s="55"/>
      <c r="F445" s="56">
        <f t="shared" si="153"/>
        <v>0</v>
      </c>
      <c r="G445" s="54"/>
      <c r="H445" s="55"/>
      <c r="I445" s="55"/>
      <c r="J445" s="55"/>
      <c r="K445" s="56">
        <f t="shared" si="154"/>
        <v>0</v>
      </c>
      <c r="L445" s="54"/>
      <c r="M445" s="55"/>
      <c r="N445" s="55"/>
      <c r="O445" s="55"/>
      <c r="P445" s="56">
        <f t="shared" si="155"/>
        <v>0</v>
      </c>
      <c r="Q445" s="54">
        <v>1</v>
      </c>
      <c r="R445" s="55"/>
      <c r="S445" s="55"/>
      <c r="T445" s="55"/>
      <c r="U445" s="176">
        <f t="shared" si="156"/>
        <v>1</v>
      </c>
      <c r="V445" s="56">
        <f t="shared" si="157"/>
        <v>1</v>
      </c>
      <c r="W445" s="328">
        <v>44501</v>
      </c>
      <c r="X445" s="326"/>
      <c r="Y445" s="326"/>
      <c r="Z445" s="326"/>
      <c r="AC445" s="277"/>
      <c r="AD445" s="54"/>
      <c r="AE445" s="55"/>
      <c r="AF445" s="55"/>
      <c r="AG445" s="55"/>
      <c r="AH445" s="56">
        <f t="shared" si="163"/>
        <v>0</v>
      </c>
      <c r="AI445" s="54"/>
      <c r="AJ445" s="55"/>
      <c r="AK445" s="55"/>
      <c r="AL445" s="55"/>
      <c r="AM445" s="56">
        <f t="shared" si="164"/>
        <v>0</v>
      </c>
      <c r="AN445" s="54"/>
      <c r="AO445" s="55"/>
      <c r="AP445" s="55"/>
      <c r="AQ445" s="55"/>
      <c r="AR445" s="56">
        <f t="shared" si="165"/>
        <v>0</v>
      </c>
      <c r="AS445" s="54"/>
      <c r="AT445" s="55"/>
      <c r="AU445" s="55"/>
      <c r="AV445" s="55"/>
      <c r="AW445" s="176">
        <f t="shared" si="166"/>
        <v>0</v>
      </c>
      <c r="AX445" s="56">
        <f t="shared" si="158"/>
        <v>0</v>
      </c>
      <c r="AY445" s="330"/>
      <c r="AZ445" s="332"/>
    </row>
    <row r="446" spans="1:52" x14ac:dyDescent="0.15">
      <c r="A446" s="65" t="s">
        <v>321</v>
      </c>
      <c r="B446" s="54"/>
      <c r="C446" s="55"/>
      <c r="D446" s="55"/>
      <c r="E446" s="55"/>
      <c r="F446" s="56">
        <f t="shared" si="153"/>
        <v>0</v>
      </c>
      <c r="G446" s="54">
        <v>1</v>
      </c>
      <c r="H446" s="55"/>
      <c r="I446" s="55"/>
      <c r="J446" s="55"/>
      <c r="K446" s="56">
        <f t="shared" si="154"/>
        <v>1</v>
      </c>
      <c r="L446" s="54"/>
      <c r="M446" s="55"/>
      <c r="N446" s="55"/>
      <c r="O446" s="55"/>
      <c r="P446" s="56">
        <f t="shared" si="155"/>
        <v>0</v>
      </c>
      <c r="Q446" s="54">
        <v>1</v>
      </c>
      <c r="R446" s="55"/>
      <c r="S446" s="55"/>
      <c r="T446" s="55"/>
      <c r="U446" s="176">
        <f t="shared" si="156"/>
        <v>1</v>
      </c>
      <c r="V446" s="56">
        <f t="shared" si="157"/>
        <v>2</v>
      </c>
      <c r="W446" s="328">
        <v>44504</v>
      </c>
      <c r="X446" s="326"/>
      <c r="Y446" s="326"/>
      <c r="Z446" s="326"/>
      <c r="AC446" s="276"/>
      <c r="AD446" s="54"/>
      <c r="AE446" s="55"/>
      <c r="AF446" s="55"/>
      <c r="AG446" s="55"/>
      <c r="AH446" s="56">
        <f t="shared" si="163"/>
        <v>0</v>
      </c>
      <c r="AI446" s="54"/>
      <c r="AJ446" s="55"/>
      <c r="AK446" s="55"/>
      <c r="AL446" s="55"/>
      <c r="AM446" s="56">
        <f t="shared" si="164"/>
        <v>0</v>
      </c>
      <c r="AN446" s="54"/>
      <c r="AO446" s="55"/>
      <c r="AP446" s="55"/>
      <c r="AQ446" s="55"/>
      <c r="AR446" s="56">
        <f t="shared" si="165"/>
        <v>0</v>
      </c>
      <c r="AS446" s="54"/>
      <c r="AT446" s="55"/>
      <c r="AU446" s="55"/>
      <c r="AV446" s="55"/>
      <c r="AW446" s="176">
        <f t="shared" si="166"/>
        <v>0</v>
      </c>
      <c r="AX446" s="56">
        <f t="shared" si="158"/>
        <v>0</v>
      </c>
      <c r="AY446" s="330"/>
      <c r="AZ446" s="332"/>
    </row>
    <row r="447" spans="1:52" x14ac:dyDescent="0.15">
      <c r="A447" s="53" t="s">
        <v>98</v>
      </c>
      <c r="B447" s="54"/>
      <c r="C447" s="55"/>
      <c r="D447" s="55"/>
      <c r="E447" s="55"/>
      <c r="F447" s="56">
        <f t="shared" si="153"/>
        <v>0</v>
      </c>
      <c r="G447" s="54"/>
      <c r="H447" s="55"/>
      <c r="I447" s="55"/>
      <c r="J447" s="55">
        <v>1</v>
      </c>
      <c r="K447" s="56">
        <f t="shared" si="154"/>
        <v>1</v>
      </c>
      <c r="L447" s="54"/>
      <c r="M447" s="55"/>
      <c r="N447" s="55"/>
      <c r="O447" s="55"/>
      <c r="P447" s="56">
        <f t="shared" si="155"/>
        <v>0</v>
      </c>
      <c r="Q447" s="54"/>
      <c r="R447" s="55"/>
      <c r="S447" s="55"/>
      <c r="T447" s="55"/>
      <c r="U447" s="176">
        <f t="shared" si="156"/>
        <v>0</v>
      </c>
      <c r="V447" s="56">
        <f t="shared" si="157"/>
        <v>1</v>
      </c>
      <c r="W447" s="329">
        <v>44508</v>
      </c>
      <c r="X447" s="326"/>
      <c r="Y447" s="326"/>
      <c r="Z447" s="326"/>
      <c r="AC447" s="277"/>
      <c r="AD447" s="55"/>
      <c r="AE447" s="55"/>
      <c r="AF447" s="55"/>
      <c r="AG447" s="166"/>
      <c r="AH447" s="49">
        <f t="shared" si="163"/>
        <v>0</v>
      </c>
      <c r="AI447" s="55"/>
      <c r="AJ447" s="55"/>
      <c r="AK447" s="55"/>
      <c r="AL447" s="166"/>
      <c r="AM447" s="49">
        <f t="shared" si="164"/>
        <v>0</v>
      </c>
      <c r="AN447" s="55"/>
      <c r="AO447" s="55"/>
      <c r="AP447" s="55"/>
      <c r="AQ447" s="166"/>
      <c r="AR447" s="49">
        <f t="shared" si="165"/>
        <v>0</v>
      </c>
      <c r="AS447" s="55"/>
      <c r="AT447" s="55"/>
      <c r="AU447" s="55"/>
      <c r="AV447" s="166"/>
      <c r="AW447" s="175">
        <f t="shared" si="166"/>
        <v>0</v>
      </c>
      <c r="AX447" s="56">
        <f t="shared" si="158"/>
        <v>0</v>
      </c>
      <c r="AY447" s="330"/>
      <c r="AZ447" s="332"/>
    </row>
    <row r="448" spans="1:52" x14ac:dyDescent="0.15">
      <c r="A448" s="53" t="s">
        <v>100</v>
      </c>
      <c r="B448" s="54">
        <v>1</v>
      </c>
      <c r="C448" s="55"/>
      <c r="D448" s="55"/>
      <c r="E448" s="55"/>
      <c r="F448" s="56">
        <f t="shared" si="153"/>
        <v>1</v>
      </c>
      <c r="G448" s="54"/>
      <c r="H448" s="55"/>
      <c r="I448" s="55"/>
      <c r="J448" s="55"/>
      <c r="K448" s="56">
        <f t="shared" si="154"/>
        <v>0</v>
      </c>
      <c r="L448" s="54"/>
      <c r="M448" s="55"/>
      <c r="N448" s="55"/>
      <c r="O448" s="55"/>
      <c r="P448" s="56">
        <f t="shared" si="155"/>
        <v>0</v>
      </c>
      <c r="Q448" s="54"/>
      <c r="R448" s="55"/>
      <c r="S448" s="55"/>
      <c r="T448" s="55"/>
      <c r="U448" s="176">
        <f t="shared" si="156"/>
        <v>0</v>
      </c>
      <c r="V448" s="56">
        <f t="shared" si="157"/>
        <v>1</v>
      </c>
      <c r="W448" s="329">
        <v>44516</v>
      </c>
      <c r="X448" s="326"/>
      <c r="Y448" s="326"/>
      <c r="Z448" s="326"/>
      <c r="AC448" s="277"/>
      <c r="AD448" s="54"/>
      <c r="AE448" s="55"/>
      <c r="AF448" s="55"/>
      <c r="AG448" s="55"/>
      <c r="AH448" s="56">
        <f t="shared" si="163"/>
        <v>0</v>
      </c>
      <c r="AI448" s="54"/>
      <c r="AJ448" s="55"/>
      <c r="AK448" s="55"/>
      <c r="AL448" s="55"/>
      <c r="AM448" s="56">
        <f t="shared" si="164"/>
        <v>0</v>
      </c>
      <c r="AN448" s="54"/>
      <c r="AO448" s="55"/>
      <c r="AP448" s="55"/>
      <c r="AQ448" s="55"/>
      <c r="AR448" s="56">
        <f t="shared" si="165"/>
        <v>0</v>
      </c>
      <c r="AS448" s="54"/>
      <c r="AT448" s="55"/>
      <c r="AU448" s="55"/>
      <c r="AV448" s="55"/>
      <c r="AW448" s="176">
        <f t="shared" si="166"/>
        <v>0</v>
      </c>
      <c r="AX448" s="56">
        <f t="shared" si="158"/>
        <v>0</v>
      </c>
      <c r="AY448" s="330"/>
      <c r="AZ448" s="332"/>
    </row>
    <row r="449" spans="1:52" x14ac:dyDescent="0.15">
      <c r="A449" s="53" t="s">
        <v>100</v>
      </c>
      <c r="B449" s="54"/>
      <c r="C449" s="55"/>
      <c r="D449" s="55"/>
      <c r="E449" s="55"/>
      <c r="F449" s="56">
        <f t="shared" si="153"/>
        <v>0</v>
      </c>
      <c r="G449" s="54">
        <v>1</v>
      </c>
      <c r="H449" s="55"/>
      <c r="I449" s="55"/>
      <c r="J449" s="55"/>
      <c r="K449" s="56">
        <f t="shared" si="154"/>
        <v>1</v>
      </c>
      <c r="L449" s="54"/>
      <c r="M449" s="55"/>
      <c r="N449" s="55"/>
      <c r="O449" s="55"/>
      <c r="P449" s="56">
        <f t="shared" si="155"/>
        <v>0</v>
      </c>
      <c r="Q449" s="54"/>
      <c r="R449" s="55"/>
      <c r="S449" s="55"/>
      <c r="T449" s="55"/>
      <c r="U449" s="176">
        <f t="shared" si="156"/>
        <v>0</v>
      </c>
      <c r="V449" s="56">
        <f t="shared" si="157"/>
        <v>1</v>
      </c>
      <c r="W449" s="329">
        <v>44520</v>
      </c>
      <c r="X449" s="326"/>
      <c r="Y449" s="326"/>
      <c r="Z449" s="326"/>
      <c r="AC449" s="276"/>
      <c r="AD449" s="54"/>
      <c r="AE449" s="55"/>
      <c r="AF449" s="55"/>
      <c r="AG449" s="55"/>
      <c r="AH449" s="56">
        <f t="shared" si="163"/>
        <v>0</v>
      </c>
      <c r="AI449" s="54"/>
      <c r="AJ449" s="55"/>
      <c r="AK449" s="55"/>
      <c r="AL449" s="55"/>
      <c r="AM449" s="56">
        <f t="shared" si="164"/>
        <v>0</v>
      </c>
      <c r="AN449" s="54"/>
      <c r="AO449" s="55"/>
      <c r="AP449" s="55"/>
      <c r="AQ449" s="55"/>
      <c r="AR449" s="56">
        <f t="shared" si="165"/>
        <v>0</v>
      </c>
      <c r="AS449" s="54"/>
      <c r="AT449" s="55"/>
      <c r="AU449" s="55"/>
      <c r="AV449" s="55"/>
      <c r="AW449" s="176">
        <f t="shared" si="166"/>
        <v>0</v>
      </c>
      <c r="AX449" s="56">
        <f t="shared" si="158"/>
        <v>0</v>
      </c>
      <c r="AY449" s="330"/>
      <c r="AZ449" s="332"/>
    </row>
    <row r="450" spans="1:52" x14ac:dyDescent="0.15">
      <c r="A450" s="53" t="s">
        <v>98</v>
      </c>
      <c r="B450" s="54"/>
      <c r="C450" s="55"/>
      <c r="D450" s="55"/>
      <c r="E450" s="55"/>
      <c r="F450" s="56">
        <f t="shared" si="153"/>
        <v>0</v>
      </c>
      <c r="G450" s="54"/>
      <c r="H450" s="55"/>
      <c r="I450" s="55"/>
      <c r="J450" s="55">
        <v>1</v>
      </c>
      <c r="K450" s="56">
        <f t="shared" si="154"/>
        <v>1</v>
      </c>
      <c r="L450" s="54"/>
      <c r="M450" s="55"/>
      <c r="N450" s="55"/>
      <c r="O450" s="55"/>
      <c r="P450" s="56">
        <f t="shared" si="155"/>
        <v>0</v>
      </c>
      <c r="Q450" s="54"/>
      <c r="R450" s="55"/>
      <c r="S450" s="55"/>
      <c r="T450" s="55"/>
      <c r="U450" s="176">
        <f t="shared" si="156"/>
        <v>0</v>
      </c>
      <c r="V450" s="56">
        <f t="shared" si="157"/>
        <v>1</v>
      </c>
      <c r="W450" s="328">
        <v>44519</v>
      </c>
      <c r="X450" s="326"/>
      <c r="Y450" s="326"/>
      <c r="Z450" s="326"/>
      <c r="AC450" s="276"/>
      <c r="AD450" s="63"/>
      <c r="AE450" s="63"/>
      <c r="AF450" s="63"/>
      <c r="AG450" s="167"/>
      <c r="AH450" s="64">
        <f t="shared" si="163"/>
        <v>0</v>
      </c>
      <c r="AI450" s="63"/>
      <c r="AJ450" s="63"/>
      <c r="AK450" s="63"/>
      <c r="AL450" s="167"/>
      <c r="AM450" s="64">
        <f t="shared" si="164"/>
        <v>0</v>
      </c>
      <c r="AN450" s="63"/>
      <c r="AO450" s="63"/>
      <c r="AP450" s="63"/>
      <c r="AQ450" s="167"/>
      <c r="AR450" s="64">
        <f t="shared" si="165"/>
        <v>0</v>
      </c>
      <c r="AS450" s="63"/>
      <c r="AT450" s="63"/>
      <c r="AU450" s="63"/>
      <c r="AV450" s="167"/>
      <c r="AW450" s="162">
        <f t="shared" si="166"/>
        <v>0</v>
      </c>
      <c r="AX450" s="56">
        <f t="shared" si="158"/>
        <v>0</v>
      </c>
      <c r="AY450" s="330"/>
      <c r="AZ450" s="332"/>
    </row>
    <row r="451" spans="1:52" x14ac:dyDescent="0.15">
      <c r="A451" s="53" t="s">
        <v>100</v>
      </c>
      <c r="B451" s="54"/>
      <c r="C451" s="55"/>
      <c r="D451" s="55"/>
      <c r="E451" s="55"/>
      <c r="F451" s="56">
        <f t="shared" si="153"/>
        <v>0</v>
      </c>
      <c r="G451" s="54"/>
      <c r="H451" s="55"/>
      <c r="I451" s="55">
        <v>1</v>
      </c>
      <c r="J451" s="55"/>
      <c r="K451" s="56">
        <f t="shared" si="154"/>
        <v>1</v>
      </c>
      <c r="L451" s="54"/>
      <c r="M451" s="55"/>
      <c r="N451" s="55"/>
      <c r="O451" s="55"/>
      <c r="P451" s="56">
        <f t="shared" si="155"/>
        <v>0</v>
      </c>
      <c r="Q451" s="54"/>
      <c r="R451" s="55"/>
      <c r="S451" s="55"/>
      <c r="T451" s="55"/>
      <c r="U451" s="176">
        <f t="shared" si="156"/>
        <v>0</v>
      </c>
      <c r="V451" s="56">
        <f t="shared" si="157"/>
        <v>1</v>
      </c>
      <c r="W451" s="329">
        <v>44533</v>
      </c>
      <c r="X451" s="326"/>
      <c r="Y451" s="326"/>
      <c r="Z451" s="326"/>
      <c r="AC451" s="277"/>
      <c r="AD451" s="54"/>
      <c r="AE451" s="55"/>
      <c r="AF451" s="55"/>
      <c r="AG451" s="55"/>
      <c r="AH451" s="56">
        <f t="shared" si="163"/>
        <v>0</v>
      </c>
      <c r="AI451" s="54"/>
      <c r="AJ451" s="55"/>
      <c r="AK451" s="55"/>
      <c r="AL451" s="55"/>
      <c r="AM451" s="56">
        <f t="shared" si="164"/>
        <v>0</v>
      </c>
      <c r="AN451" s="54"/>
      <c r="AO451" s="55"/>
      <c r="AP451" s="55"/>
      <c r="AQ451" s="55"/>
      <c r="AR451" s="56">
        <f t="shared" si="165"/>
        <v>0</v>
      </c>
      <c r="AS451" s="54"/>
      <c r="AT451" s="55"/>
      <c r="AU451" s="55"/>
      <c r="AV451" s="55"/>
      <c r="AW451" s="176">
        <f t="shared" si="166"/>
        <v>0</v>
      </c>
      <c r="AX451" s="56">
        <f t="shared" si="158"/>
        <v>0</v>
      </c>
      <c r="AY451" s="330"/>
      <c r="AZ451" s="332"/>
    </row>
    <row r="452" spans="1:52" x14ac:dyDescent="0.15">
      <c r="A452" s="53" t="s">
        <v>326</v>
      </c>
      <c r="B452" s="17">
        <v>1</v>
      </c>
      <c r="C452" s="18"/>
      <c r="D452" s="18"/>
      <c r="E452" s="18"/>
      <c r="F452" s="30">
        <f t="shared" si="153"/>
        <v>1</v>
      </c>
      <c r="G452" s="17"/>
      <c r="H452" s="18"/>
      <c r="I452" s="18"/>
      <c r="J452" s="18"/>
      <c r="K452" s="30">
        <f t="shared" si="154"/>
        <v>0</v>
      </c>
      <c r="L452" s="17"/>
      <c r="M452" s="18"/>
      <c r="N452" s="18"/>
      <c r="O452" s="18"/>
      <c r="P452" s="30">
        <f t="shared" si="155"/>
        <v>0</v>
      </c>
      <c r="Q452" s="17"/>
      <c r="R452" s="18"/>
      <c r="S452" s="18"/>
      <c r="T452" s="18"/>
      <c r="U452" s="178">
        <f t="shared" si="156"/>
        <v>0</v>
      </c>
      <c r="V452" s="56">
        <f t="shared" si="157"/>
        <v>1</v>
      </c>
      <c r="W452" s="328">
        <v>44536</v>
      </c>
      <c r="X452" s="326"/>
      <c r="Y452" s="326"/>
      <c r="Z452" s="326"/>
      <c r="AC452" s="276"/>
      <c r="AD452" s="54"/>
      <c r="AE452" s="55"/>
      <c r="AF452" s="55"/>
      <c r="AG452" s="55"/>
      <c r="AH452" s="56">
        <f t="shared" si="163"/>
        <v>0</v>
      </c>
      <c r="AI452" s="54"/>
      <c r="AJ452" s="55"/>
      <c r="AK452" s="55"/>
      <c r="AL452" s="55"/>
      <c r="AM452" s="56">
        <f t="shared" si="164"/>
        <v>0</v>
      </c>
      <c r="AN452" s="54"/>
      <c r="AO452" s="55"/>
      <c r="AP452" s="55"/>
      <c r="AQ452" s="55"/>
      <c r="AR452" s="56">
        <f t="shared" si="165"/>
        <v>0</v>
      </c>
      <c r="AS452" s="54"/>
      <c r="AT452" s="55"/>
      <c r="AU452" s="55"/>
      <c r="AV452" s="55"/>
      <c r="AW452" s="176">
        <f t="shared" si="166"/>
        <v>0</v>
      </c>
      <c r="AX452" s="56">
        <f t="shared" si="158"/>
        <v>0</v>
      </c>
      <c r="AY452" s="330"/>
      <c r="AZ452" s="332"/>
    </row>
    <row r="453" spans="1:52" x14ac:dyDescent="0.15">
      <c r="A453" s="53" t="s">
        <v>327</v>
      </c>
      <c r="B453" s="54"/>
      <c r="C453" s="55"/>
      <c r="D453" s="55"/>
      <c r="E453" s="55">
        <v>-1</v>
      </c>
      <c r="F453" s="56">
        <f t="shared" si="153"/>
        <v>-1</v>
      </c>
      <c r="G453" s="54"/>
      <c r="H453" s="55"/>
      <c r="I453" s="55"/>
      <c r="J453" s="55"/>
      <c r="K453" s="56">
        <f t="shared" si="154"/>
        <v>0</v>
      </c>
      <c r="L453" s="54"/>
      <c r="M453" s="55"/>
      <c r="N453" s="55">
        <v>-1</v>
      </c>
      <c r="O453" s="55"/>
      <c r="P453" s="56">
        <f t="shared" si="155"/>
        <v>-1</v>
      </c>
      <c r="Q453" s="54"/>
      <c r="R453" s="55"/>
      <c r="S453" s="55"/>
      <c r="T453" s="55"/>
      <c r="U453" s="176">
        <f t="shared" si="156"/>
        <v>0</v>
      </c>
      <c r="V453" s="56">
        <f t="shared" si="157"/>
        <v>-2</v>
      </c>
      <c r="W453" s="328">
        <v>44536</v>
      </c>
      <c r="X453" s="326"/>
      <c r="Y453" s="326"/>
      <c r="Z453" s="326"/>
      <c r="AC453" s="277" t="s">
        <v>301</v>
      </c>
      <c r="AD453" s="54"/>
      <c r="AE453" s="55"/>
      <c r="AF453" s="55"/>
      <c r="AG453" s="55"/>
      <c r="AH453" s="56">
        <f t="shared" si="163"/>
        <v>0</v>
      </c>
      <c r="AI453" s="54"/>
      <c r="AJ453" s="55"/>
      <c r="AK453" s="55"/>
      <c r="AL453" s="55"/>
      <c r="AM453" s="56">
        <f t="shared" si="164"/>
        <v>0</v>
      </c>
      <c r="AN453" s="54"/>
      <c r="AO453" s="55"/>
      <c r="AP453" s="55"/>
      <c r="AQ453" s="55"/>
      <c r="AR453" s="56">
        <f t="shared" si="165"/>
        <v>0</v>
      </c>
      <c r="AS453" s="54"/>
      <c r="AT453" s="55"/>
      <c r="AU453" s="55"/>
      <c r="AV453" s="55"/>
      <c r="AW453" s="176">
        <f t="shared" si="166"/>
        <v>0</v>
      </c>
      <c r="AX453" s="56">
        <f t="shared" si="158"/>
        <v>0</v>
      </c>
      <c r="AY453" s="330"/>
      <c r="AZ453" s="332"/>
    </row>
    <row r="454" spans="1:52" x14ac:dyDescent="0.15">
      <c r="A454" s="53" t="s">
        <v>328</v>
      </c>
      <c r="B454" s="62">
        <v>-3</v>
      </c>
      <c r="C454" s="63">
        <v>-2</v>
      </c>
      <c r="D454" s="63">
        <v>-5</v>
      </c>
      <c r="E454" s="63">
        <v>-2</v>
      </c>
      <c r="F454" s="56">
        <f t="shared" si="153"/>
        <v>-12</v>
      </c>
      <c r="G454" s="62">
        <v>-1</v>
      </c>
      <c r="H454" s="63">
        <v>-2</v>
      </c>
      <c r="I454" s="63"/>
      <c r="J454" s="63">
        <v>-5</v>
      </c>
      <c r="K454" s="56">
        <f t="shared" si="154"/>
        <v>-8</v>
      </c>
      <c r="L454" s="62"/>
      <c r="M454" s="63"/>
      <c r="N454" s="63"/>
      <c r="O454" s="63"/>
      <c r="P454" s="56">
        <f t="shared" si="155"/>
        <v>0</v>
      </c>
      <c r="Q454" s="62"/>
      <c r="R454" s="63"/>
      <c r="S454" s="63"/>
      <c r="T454" s="63"/>
      <c r="U454" s="176">
        <f t="shared" si="156"/>
        <v>0</v>
      </c>
      <c r="V454" s="56">
        <f t="shared" si="157"/>
        <v>-20</v>
      </c>
      <c r="W454" s="328">
        <v>44546</v>
      </c>
      <c r="X454" s="326"/>
      <c r="Y454" s="326"/>
      <c r="Z454" s="326"/>
      <c r="AC454" s="268" t="s">
        <v>235</v>
      </c>
      <c r="AD454" s="62"/>
      <c r="AE454" s="63"/>
      <c r="AF454" s="63"/>
      <c r="AG454" s="63"/>
      <c r="AH454" s="56">
        <f t="shared" si="163"/>
        <v>0</v>
      </c>
      <c r="AI454" s="62"/>
      <c r="AJ454" s="63"/>
      <c r="AK454" s="63"/>
      <c r="AL454" s="63"/>
      <c r="AM454" s="56">
        <f t="shared" si="164"/>
        <v>0</v>
      </c>
      <c r="AN454" s="62"/>
      <c r="AO454" s="63"/>
      <c r="AP454" s="63"/>
      <c r="AQ454" s="63"/>
      <c r="AR454" s="56">
        <f t="shared" si="165"/>
        <v>0</v>
      </c>
      <c r="AS454" s="62"/>
      <c r="AT454" s="63"/>
      <c r="AU454" s="63"/>
      <c r="AV454" s="63"/>
      <c r="AW454" s="176">
        <f t="shared" si="166"/>
        <v>0</v>
      </c>
      <c r="AX454" s="56">
        <f t="shared" si="158"/>
        <v>0</v>
      </c>
      <c r="AY454" s="330" t="s">
        <v>234</v>
      </c>
      <c r="AZ454" s="332"/>
    </row>
    <row r="455" spans="1:52" x14ac:dyDescent="0.15">
      <c r="A455" s="53" t="s">
        <v>310</v>
      </c>
      <c r="B455" s="54">
        <v>1</v>
      </c>
      <c r="C455" s="55">
        <v>2</v>
      </c>
      <c r="D455" s="55">
        <v>5</v>
      </c>
      <c r="E455" s="55">
        <v>2</v>
      </c>
      <c r="F455" s="56">
        <f t="shared" si="153"/>
        <v>10</v>
      </c>
      <c r="G455" s="54">
        <v>1</v>
      </c>
      <c r="H455" s="55">
        <v>2</v>
      </c>
      <c r="I455" s="55"/>
      <c r="J455" s="55">
        <v>5</v>
      </c>
      <c r="K455" s="56">
        <f t="shared" si="154"/>
        <v>8</v>
      </c>
      <c r="L455" s="54"/>
      <c r="M455" s="55"/>
      <c r="N455" s="55"/>
      <c r="O455" s="55"/>
      <c r="P455" s="56">
        <f t="shared" si="155"/>
        <v>0</v>
      </c>
      <c r="Q455" s="54"/>
      <c r="R455" s="55"/>
      <c r="S455" s="55"/>
      <c r="T455" s="55"/>
      <c r="U455" s="176">
        <f t="shared" si="156"/>
        <v>0</v>
      </c>
      <c r="V455" s="56">
        <f t="shared" si="157"/>
        <v>18</v>
      </c>
      <c r="W455" s="328">
        <v>44548</v>
      </c>
      <c r="X455" s="326"/>
      <c r="Y455" s="326"/>
      <c r="Z455" s="326"/>
      <c r="AC455" s="268" t="s">
        <v>236</v>
      </c>
      <c r="AD455" s="54"/>
      <c r="AE455" s="55"/>
      <c r="AF455" s="55"/>
      <c r="AG455" s="55"/>
      <c r="AH455" s="56">
        <f t="shared" si="163"/>
        <v>0</v>
      </c>
      <c r="AI455" s="54"/>
      <c r="AJ455" s="55"/>
      <c r="AK455" s="55"/>
      <c r="AL455" s="55"/>
      <c r="AM455" s="56">
        <f t="shared" si="164"/>
        <v>0</v>
      </c>
      <c r="AN455" s="54"/>
      <c r="AO455" s="55"/>
      <c r="AP455" s="55"/>
      <c r="AQ455" s="55"/>
      <c r="AR455" s="56">
        <f t="shared" si="165"/>
        <v>0</v>
      </c>
      <c r="AS455" s="54"/>
      <c r="AT455" s="55"/>
      <c r="AU455" s="55"/>
      <c r="AV455" s="55"/>
      <c r="AW455" s="176">
        <f t="shared" si="166"/>
        <v>0</v>
      </c>
      <c r="AX455" s="56">
        <f t="shared" si="158"/>
        <v>0</v>
      </c>
      <c r="AY455" s="330" t="s">
        <v>234</v>
      </c>
      <c r="AZ455" s="332"/>
    </row>
    <row r="456" spans="1:52" x14ac:dyDescent="0.15">
      <c r="A456" s="53" t="s">
        <v>98</v>
      </c>
      <c r="B456" s="54"/>
      <c r="C456" s="55"/>
      <c r="D456" s="55"/>
      <c r="E456" s="55"/>
      <c r="F456" s="56">
        <f t="shared" si="153"/>
        <v>0</v>
      </c>
      <c r="G456" s="54"/>
      <c r="H456" s="55">
        <v>1</v>
      </c>
      <c r="I456" s="55"/>
      <c r="J456" s="55"/>
      <c r="K456" s="56">
        <f t="shared" si="154"/>
        <v>1</v>
      </c>
      <c r="L456" s="54"/>
      <c r="M456" s="55"/>
      <c r="N456" s="55"/>
      <c r="O456" s="55"/>
      <c r="P456" s="56">
        <f t="shared" si="155"/>
        <v>0</v>
      </c>
      <c r="Q456" s="54"/>
      <c r="R456" s="55"/>
      <c r="S456" s="55"/>
      <c r="T456" s="55"/>
      <c r="U456" s="176">
        <f t="shared" si="156"/>
        <v>0</v>
      </c>
      <c r="V456" s="56">
        <f t="shared" si="157"/>
        <v>1</v>
      </c>
      <c r="W456" s="328">
        <v>44578</v>
      </c>
      <c r="X456" s="326"/>
      <c r="Y456" s="326"/>
      <c r="Z456" s="326"/>
      <c r="AC456" s="268" t="s">
        <v>237</v>
      </c>
      <c r="AD456" s="287"/>
      <c r="AE456" s="288"/>
      <c r="AF456" s="288"/>
      <c r="AG456" s="288"/>
      <c r="AH456" s="289">
        <f t="shared" si="163"/>
        <v>0</v>
      </c>
      <c r="AI456" s="62"/>
      <c r="AJ456" s="63"/>
      <c r="AK456" s="63"/>
      <c r="AL456" s="63"/>
      <c r="AM456" s="56">
        <f t="shared" si="164"/>
        <v>0</v>
      </c>
      <c r="AN456" s="287"/>
      <c r="AO456" s="288"/>
      <c r="AP456" s="288"/>
      <c r="AQ456" s="288"/>
      <c r="AR456" s="289">
        <f t="shared" si="165"/>
        <v>0</v>
      </c>
      <c r="AS456" s="287"/>
      <c r="AT456" s="288"/>
      <c r="AU456" s="288"/>
      <c r="AV456" s="288"/>
      <c r="AW456" s="290">
        <f t="shared" si="166"/>
        <v>0</v>
      </c>
      <c r="AX456" s="56">
        <f t="shared" si="158"/>
        <v>0</v>
      </c>
      <c r="AY456" s="330" t="s">
        <v>228</v>
      </c>
      <c r="AZ456" s="332"/>
    </row>
    <row r="457" spans="1:52" x14ac:dyDescent="0.15">
      <c r="A457" s="65" t="s">
        <v>331</v>
      </c>
      <c r="B457" s="54"/>
      <c r="C457" s="55"/>
      <c r="D457" s="55"/>
      <c r="E457" s="55"/>
      <c r="F457" s="56">
        <f t="shared" si="153"/>
        <v>0</v>
      </c>
      <c r="G457" s="54"/>
      <c r="H457" s="55"/>
      <c r="I457" s="55"/>
      <c r="J457" s="55"/>
      <c r="K457" s="56">
        <f t="shared" si="154"/>
        <v>0</v>
      </c>
      <c r="L457" s="54"/>
      <c r="M457" s="55"/>
      <c r="N457" s="55"/>
      <c r="O457" s="55"/>
      <c r="P457" s="56">
        <f t="shared" si="155"/>
        <v>0</v>
      </c>
      <c r="Q457" s="54"/>
      <c r="R457" s="55"/>
      <c r="S457" s="55">
        <v>-1</v>
      </c>
      <c r="T457" s="55"/>
      <c r="U457" s="176">
        <f t="shared" si="156"/>
        <v>-1</v>
      </c>
      <c r="V457" s="56">
        <f t="shared" si="157"/>
        <v>-1</v>
      </c>
      <c r="W457" s="328">
        <v>44587</v>
      </c>
      <c r="X457" s="326"/>
      <c r="Y457" s="326"/>
      <c r="Z457" s="326"/>
      <c r="AC457" s="277" t="s">
        <v>96</v>
      </c>
      <c r="AD457" s="54"/>
      <c r="AE457" s="55"/>
      <c r="AF457" s="55"/>
      <c r="AG457" s="55"/>
      <c r="AH457" s="56">
        <f t="shared" si="163"/>
        <v>0</v>
      </c>
      <c r="AI457" s="54"/>
      <c r="AJ457" s="55"/>
      <c r="AK457" s="55"/>
      <c r="AL457" s="55"/>
      <c r="AM457" s="56">
        <f t="shared" si="164"/>
        <v>0</v>
      </c>
      <c r="AN457" s="54"/>
      <c r="AO457" s="55"/>
      <c r="AP457" s="55"/>
      <c r="AQ457" s="55"/>
      <c r="AR457" s="56">
        <f t="shared" si="165"/>
        <v>0</v>
      </c>
      <c r="AS457" s="54"/>
      <c r="AT457" s="55"/>
      <c r="AU457" s="55"/>
      <c r="AV457" s="55"/>
      <c r="AW457" s="176">
        <f t="shared" si="166"/>
        <v>0</v>
      </c>
      <c r="AX457" s="56">
        <f t="shared" si="158"/>
        <v>0</v>
      </c>
      <c r="AY457" s="330" t="s">
        <v>226</v>
      </c>
      <c r="AZ457" s="332"/>
    </row>
    <row r="458" spans="1:52" ht="14.25" thickBot="1" x14ac:dyDescent="0.2">
      <c r="A458" s="53"/>
      <c r="B458" s="33"/>
      <c r="C458" s="34"/>
      <c r="D458" s="34"/>
      <c r="E458" s="34"/>
      <c r="F458" s="30">
        <f t="shared" si="153"/>
        <v>0</v>
      </c>
      <c r="G458" s="33"/>
      <c r="H458" s="34"/>
      <c r="I458" s="34"/>
      <c r="J458" s="34"/>
      <c r="K458" s="30">
        <f t="shared" si="154"/>
        <v>0</v>
      </c>
      <c r="L458" s="33"/>
      <c r="M458" s="34"/>
      <c r="N458" s="34"/>
      <c r="O458" s="34"/>
      <c r="P458" s="30">
        <f t="shared" si="155"/>
        <v>0</v>
      </c>
      <c r="Q458" s="33"/>
      <c r="R458" s="34"/>
      <c r="S458" s="34"/>
      <c r="T458" s="34"/>
      <c r="U458" s="178">
        <f t="shared" si="156"/>
        <v>0</v>
      </c>
      <c r="V458" s="170">
        <f t="shared" si="157"/>
        <v>0</v>
      </c>
      <c r="W458" s="329"/>
      <c r="X458" s="326"/>
      <c r="Y458" s="326"/>
      <c r="Z458" s="326"/>
      <c r="AC458" s="282" t="s">
        <v>225</v>
      </c>
      <c r="AD458" s="33"/>
      <c r="AE458" s="34"/>
      <c r="AF458" s="34"/>
      <c r="AG458" s="34"/>
      <c r="AH458" s="30">
        <f t="shared" si="163"/>
        <v>0</v>
      </c>
      <c r="AI458" s="33"/>
      <c r="AJ458" s="34"/>
      <c r="AK458" s="34"/>
      <c r="AL458" s="34"/>
      <c r="AM458" s="30">
        <f t="shared" si="164"/>
        <v>0</v>
      </c>
      <c r="AN458" s="33"/>
      <c r="AO458" s="34"/>
      <c r="AP458" s="34"/>
      <c r="AQ458" s="34"/>
      <c r="AR458" s="30">
        <f t="shared" si="165"/>
        <v>0</v>
      </c>
      <c r="AS458" s="33"/>
      <c r="AT458" s="34"/>
      <c r="AU458" s="34"/>
      <c r="AV458" s="34"/>
      <c r="AW458" s="178">
        <f t="shared" si="166"/>
        <v>0</v>
      </c>
      <c r="AX458" s="170">
        <f t="shared" si="158"/>
        <v>0</v>
      </c>
      <c r="AY458" s="330" t="s">
        <v>226</v>
      </c>
      <c r="AZ458" s="332"/>
    </row>
    <row r="459" spans="1:52" ht="15" thickBot="1" x14ac:dyDescent="0.2">
      <c r="A459" s="9" t="s">
        <v>15</v>
      </c>
      <c r="B459" s="36">
        <f>SUM(B433:B458)</f>
        <v>4</v>
      </c>
      <c r="C459" s="37">
        <f>SUM(C433:C458)</f>
        <v>3</v>
      </c>
      <c r="D459" s="37">
        <f>SUM(D433:D458)</f>
        <v>3</v>
      </c>
      <c r="E459" s="38">
        <f>SUM(E433:E458)</f>
        <v>2</v>
      </c>
      <c r="F459" s="25">
        <f t="shared" si="153"/>
        <v>12</v>
      </c>
      <c r="G459" s="36">
        <f>SUM(G433:G458)</f>
        <v>9</v>
      </c>
      <c r="H459" s="37">
        <f>SUM(H433:H458)</f>
        <v>10</v>
      </c>
      <c r="I459" s="37">
        <f>SUM(I433:I458)</f>
        <v>6</v>
      </c>
      <c r="J459" s="38">
        <f>SUM(J433:J458)</f>
        <v>9</v>
      </c>
      <c r="K459" s="25">
        <f t="shared" si="154"/>
        <v>34</v>
      </c>
      <c r="L459" s="36">
        <f>SUM(L433:L458)</f>
        <v>0</v>
      </c>
      <c r="M459" s="37">
        <f>SUM(M433:M458)</f>
        <v>0</v>
      </c>
      <c r="N459" s="37">
        <f>SUM(N433:N458)</f>
        <v>0</v>
      </c>
      <c r="O459" s="38">
        <f>SUM(O433:O458)</f>
        <v>0</v>
      </c>
      <c r="P459" s="25">
        <f t="shared" si="155"/>
        <v>0</v>
      </c>
      <c r="Q459" s="36">
        <f>SUM(Q433:Q458)</f>
        <v>2</v>
      </c>
      <c r="R459" s="37">
        <f>SUM(R433:R458)</f>
        <v>0</v>
      </c>
      <c r="S459" s="37">
        <f>SUM(S433:S458)</f>
        <v>-1</v>
      </c>
      <c r="T459" s="38">
        <f>SUM(T433:T458)</f>
        <v>0</v>
      </c>
      <c r="U459" s="36">
        <f t="shared" si="156"/>
        <v>1</v>
      </c>
      <c r="V459" s="77">
        <f t="shared" si="157"/>
        <v>47</v>
      </c>
      <c r="W459" s="325"/>
      <c r="X459" s="326"/>
      <c r="Y459" s="326"/>
      <c r="Z459" s="326"/>
      <c r="AC459" s="278" t="s">
        <v>15</v>
      </c>
      <c r="AD459" s="36">
        <f>SUM(AD433:AD458)</f>
        <v>0</v>
      </c>
      <c r="AE459" s="37">
        <f>SUM(AE433:AE458)</f>
        <v>0</v>
      </c>
      <c r="AF459" s="37">
        <f>SUM(AF433:AF458)</f>
        <v>0</v>
      </c>
      <c r="AG459" s="38">
        <f>SUM(AG433:AG458)</f>
        <v>0</v>
      </c>
      <c r="AH459" s="25">
        <f t="shared" si="163"/>
        <v>0</v>
      </c>
      <c r="AI459" s="36">
        <f>SUM(AI433:AI458)</f>
        <v>3</v>
      </c>
      <c r="AJ459" s="37">
        <f>SUM(AJ433:AJ458)</f>
        <v>4</v>
      </c>
      <c r="AK459" s="37">
        <f>SUM(AK433:AK458)</f>
        <v>2</v>
      </c>
      <c r="AL459" s="38">
        <f>SUM(AL433:AL458)</f>
        <v>0</v>
      </c>
      <c r="AM459" s="25">
        <f t="shared" si="164"/>
        <v>9</v>
      </c>
      <c r="AN459" s="36">
        <f>SUM(AN433:AN458)</f>
        <v>0</v>
      </c>
      <c r="AO459" s="37">
        <f>SUM(AO433:AO458)</f>
        <v>0</v>
      </c>
      <c r="AP459" s="37">
        <f>SUM(AP433:AP458)</f>
        <v>19</v>
      </c>
      <c r="AQ459" s="38">
        <f>SUM(AQ433:AQ458)</f>
        <v>0</v>
      </c>
      <c r="AR459" s="25">
        <f t="shared" si="165"/>
        <v>19</v>
      </c>
      <c r="AS459" s="36">
        <f>SUM(AS433:AS458)</f>
        <v>0</v>
      </c>
      <c r="AT459" s="37">
        <f>SUM(AT433:AT458)</f>
        <v>0</v>
      </c>
      <c r="AU459" s="37">
        <f>SUM(AU433:AU458)</f>
        <v>8</v>
      </c>
      <c r="AV459" s="38">
        <f>SUM(AV433:AV458)</f>
        <v>5</v>
      </c>
      <c r="AW459" s="36">
        <f t="shared" si="166"/>
        <v>13</v>
      </c>
      <c r="AX459" s="161">
        <f t="shared" si="158"/>
        <v>41</v>
      </c>
      <c r="AY459" s="325"/>
      <c r="AZ459" s="326"/>
    </row>
    <row r="460" spans="1:52" ht="14.25" thickBot="1" x14ac:dyDescent="0.2">
      <c r="A460" s="39" t="s">
        <v>16</v>
      </c>
      <c r="B460" s="40">
        <f>B432-B459</f>
        <v>3</v>
      </c>
      <c r="C460" s="41">
        <f>C432-C459</f>
        <v>3</v>
      </c>
      <c r="D460" s="41">
        <f>D432-D459</f>
        <v>3</v>
      </c>
      <c r="E460" s="42">
        <f>E432-E459</f>
        <v>5</v>
      </c>
      <c r="F460" s="171">
        <f t="shared" si="153"/>
        <v>14</v>
      </c>
      <c r="G460" s="40">
        <f>G432-G459</f>
        <v>3</v>
      </c>
      <c r="H460" s="41">
        <f>H432-H459</f>
        <v>2</v>
      </c>
      <c r="I460" s="41">
        <f>I432-I459</f>
        <v>3</v>
      </c>
      <c r="J460" s="284">
        <f>J432-J459</f>
        <v>2</v>
      </c>
      <c r="K460" s="171">
        <f t="shared" si="154"/>
        <v>10</v>
      </c>
      <c r="L460" s="40">
        <f>L432-L459</f>
        <v>9</v>
      </c>
      <c r="M460" s="41">
        <f>M432-M459</f>
        <v>0</v>
      </c>
      <c r="N460" s="41">
        <f>N432-N459</f>
        <v>28</v>
      </c>
      <c r="O460" s="42">
        <f>O432-O459</f>
        <v>4</v>
      </c>
      <c r="P460" s="171">
        <f t="shared" si="155"/>
        <v>41</v>
      </c>
      <c r="Q460" s="40">
        <f>Q432-Q459</f>
        <v>1</v>
      </c>
      <c r="R460" s="41">
        <f>R432-R459</f>
        <v>0</v>
      </c>
      <c r="S460" s="285">
        <f>S432-S459</f>
        <v>1</v>
      </c>
      <c r="T460" s="284">
        <f>T432-T459</f>
        <v>1</v>
      </c>
      <c r="U460" s="177">
        <f t="shared" si="156"/>
        <v>3</v>
      </c>
      <c r="V460" s="77">
        <f t="shared" si="157"/>
        <v>68</v>
      </c>
      <c r="W460" s="325"/>
      <c r="X460" s="326"/>
      <c r="Y460" s="326"/>
      <c r="Z460" s="326"/>
      <c r="AC460" s="279" t="s">
        <v>16</v>
      </c>
      <c r="AD460" s="40">
        <f>AD432-AD459</f>
        <v>184</v>
      </c>
      <c r="AE460" s="41">
        <f>AE432-AE459</f>
        <v>244</v>
      </c>
      <c r="AF460" s="41">
        <f>AF432-AF459</f>
        <v>238</v>
      </c>
      <c r="AG460" s="42">
        <f>AG432-AG459</f>
        <v>168</v>
      </c>
      <c r="AH460" s="171">
        <f t="shared" si="163"/>
        <v>834</v>
      </c>
      <c r="AI460" s="40">
        <f>AI432-AI459</f>
        <v>113</v>
      </c>
      <c r="AJ460" s="41">
        <f>AJ432-AJ459</f>
        <v>94</v>
      </c>
      <c r="AK460" s="41">
        <f>AK432-AK459</f>
        <v>228</v>
      </c>
      <c r="AL460" s="42">
        <f>AL432-AL459</f>
        <v>78</v>
      </c>
      <c r="AM460" s="171">
        <f t="shared" si="164"/>
        <v>513</v>
      </c>
      <c r="AN460" s="40">
        <f>AN432-AN459</f>
        <v>0</v>
      </c>
      <c r="AO460" s="41">
        <f>AO432-AO459</f>
        <v>0</v>
      </c>
      <c r="AP460" s="41">
        <f>AP432-AP459</f>
        <v>0</v>
      </c>
      <c r="AQ460" s="42">
        <f>AQ432-AQ459</f>
        <v>0</v>
      </c>
      <c r="AR460" s="171">
        <f t="shared" si="165"/>
        <v>0</v>
      </c>
      <c r="AS460" s="40">
        <f>AS432-AS459</f>
        <v>44</v>
      </c>
      <c r="AT460" s="41">
        <f>AT432-AT459</f>
        <v>32</v>
      </c>
      <c r="AU460" s="41">
        <f>AU432-AU459</f>
        <v>19</v>
      </c>
      <c r="AV460" s="42">
        <f>AV432-AV459</f>
        <v>20</v>
      </c>
      <c r="AW460" s="177">
        <f t="shared" si="166"/>
        <v>115</v>
      </c>
      <c r="AX460" s="77">
        <f t="shared" si="158"/>
        <v>1462</v>
      </c>
      <c r="AY460" s="325"/>
      <c r="AZ460" s="326"/>
    </row>
    <row r="461" spans="1:52" x14ac:dyDescent="0.15">
      <c r="W461" s="325"/>
      <c r="X461" s="326"/>
      <c r="Y461" s="326"/>
      <c r="Z461" s="326"/>
      <c r="AD461">
        <f>AD459+AD417+AD375+AD333+AD291+AD249+AD207+AD165+AD123+AD81+AD39</f>
        <v>139</v>
      </c>
      <c r="AE461">
        <f t="shared" ref="AE461:AW461" si="167">AE459+AE417+AE375+AE333+AE291+AE249+AE207+AE165+AE123+AE81+AE39</f>
        <v>190</v>
      </c>
      <c r="AF461">
        <f t="shared" si="167"/>
        <v>112</v>
      </c>
      <c r="AG461">
        <f t="shared" si="167"/>
        <v>96</v>
      </c>
      <c r="AH461">
        <f t="shared" si="167"/>
        <v>537</v>
      </c>
      <c r="AI461">
        <f t="shared" si="167"/>
        <v>297</v>
      </c>
      <c r="AJ461">
        <f t="shared" si="167"/>
        <v>487</v>
      </c>
      <c r="AK461">
        <f t="shared" si="167"/>
        <v>272</v>
      </c>
      <c r="AL461">
        <f t="shared" si="167"/>
        <v>306</v>
      </c>
      <c r="AM461">
        <f t="shared" si="167"/>
        <v>1362</v>
      </c>
      <c r="AN461">
        <f t="shared" si="167"/>
        <v>39</v>
      </c>
      <c r="AO461">
        <f t="shared" si="167"/>
        <v>0</v>
      </c>
      <c r="AP461">
        <f t="shared" si="167"/>
        <v>65</v>
      </c>
      <c r="AQ461">
        <f t="shared" si="167"/>
        <v>36</v>
      </c>
      <c r="AR461">
        <f t="shared" si="167"/>
        <v>140</v>
      </c>
      <c r="AS461">
        <f t="shared" si="167"/>
        <v>130</v>
      </c>
      <c r="AT461">
        <f t="shared" si="167"/>
        <v>205</v>
      </c>
      <c r="AU461">
        <f t="shared" si="167"/>
        <v>140</v>
      </c>
      <c r="AV461">
        <f t="shared" si="167"/>
        <v>135</v>
      </c>
      <c r="AW461">
        <f t="shared" si="167"/>
        <v>610</v>
      </c>
      <c r="AX461">
        <f>AX459+AX417+AX375+AX333+AX291+AX249+AX207+AX165+AX123+AX81+AX39</f>
        <v>2649</v>
      </c>
      <c r="AY461" s="325"/>
      <c r="AZ461" s="326"/>
    </row>
    <row r="462" spans="1:52" x14ac:dyDescent="0.15">
      <c r="W462" s="325"/>
      <c r="X462" s="326"/>
      <c r="Y462" s="326"/>
      <c r="Z462" s="326"/>
      <c r="AD462" s="295">
        <f>AD461/$AH$461*100</f>
        <v>25.884543761638735</v>
      </c>
      <c r="AE462" s="295">
        <f t="shared" ref="AE462:AH462" si="168">AE461/$AH$461*100</f>
        <v>35.381750465549352</v>
      </c>
      <c r="AF462" s="295">
        <f t="shared" si="168"/>
        <v>20.856610800744878</v>
      </c>
      <c r="AG462" s="295">
        <f t="shared" si="168"/>
        <v>17.877094972067038</v>
      </c>
      <c r="AH462" s="295">
        <f t="shared" si="168"/>
        <v>100</v>
      </c>
      <c r="AI462" s="295">
        <f>AI461/$AM$461*100</f>
        <v>21.806167400881058</v>
      </c>
      <c r="AJ462" s="295">
        <f t="shared" ref="AJ462:AM462" si="169">AJ461/$AM$461*100</f>
        <v>35.756240822320116</v>
      </c>
      <c r="AK462" s="295">
        <f t="shared" si="169"/>
        <v>19.970631424375917</v>
      </c>
      <c r="AL462" s="295">
        <f t="shared" si="169"/>
        <v>22.466960352422909</v>
      </c>
      <c r="AM462" s="295">
        <f t="shared" si="169"/>
        <v>100</v>
      </c>
      <c r="AN462" s="296"/>
      <c r="AO462" s="296"/>
      <c r="AP462" s="296"/>
      <c r="AQ462" s="296"/>
      <c r="AR462" s="296"/>
      <c r="AS462" s="295">
        <f>AS461/$AW$461*100</f>
        <v>21.311475409836063</v>
      </c>
      <c r="AT462" s="295">
        <f t="shared" ref="AT462:AW462" si="170">AT461/$AW$461*100</f>
        <v>33.606557377049178</v>
      </c>
      <c r="AU462" s="295">
        <f t="shared" si="170"/>
        <v>22.950819672131146</v>
      </c>
      <c r="AV462" s="295">
        <f t="shared" si="170"/>
        <v>22.131147540983605</v>
      </c>
      <c r="AW462" s="295">
        <f t="shared" si="170"/>
        <v>100</v>
      </c>
      <c r="AX462" s="296"/>
      <c r="AY462" s="325"/>
      <c r="AZ462" s="326"/>
    </row>
    <row r="463" spans="1:52" ht="19.5" thickBot="1" x14ac:dyDescent="0.25">
      <c r="A463" s="185" t="s">
        <v>19</v>
      </c>
      <c r="B463" s="186"/>
      <c r="C463" s="186"/>
      <c r="D463" s="186"/>
      <c r="E463" s="186"/>
      <c r="F463" s="18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325"/>
      <c r="X463" s="326"/>
      <c r="Y463" s="326"/>
      <c r="Z463" s="326"/>
      <c r="AC463" s="187" t="s">
        <v>73</v>
      </c>
      <c r="AD463" s="188"/>
      <c r="AE463" s="188"/>
      <c r="AF463" s="188"/>
      <c r="AG463" s="188"/>
      <c r="AH463" s="188"/>
      <c r="AI463" s="188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325"/>
      <c r="AZ463" s="326"/>
    </row>
    <row r="464" spans="1:52" ht="14.25" thickBot="1" x14ac:dyDescent="0.2">
      <c r="A464" s="3" t="s">
        <v>0</v>
      </c>
      <c r="B464" s="371" t="s">
        <v>17</v>
      </c>
      <c r="C464" s="372"/>
      <c r="D464" s="372"/>
      <c r="E464" s="372"/>
      <c r="F464" s="373"/>
      <c r="G464" s="371" t="s">
        <v>18</v>
      </c>
      <c r="H464" s="372"/>
      <c r="I464" s="372"/>
      <c r="J464" s="372"/>
      <c r="K464" s="373"/>
      <c r="L464" s="371" t="s">
        <v>38</v>
      </c>
      <c r="M464" s="372"/>
      <c r="N464" s="372"/>
      <c r="O464" s="372"/>
      <c r="P464" s="373"/>
      <c r="Q464" s="371" t="s">
        <v>75</v>
      </c>
      <c r="R464" s="372"/>
      <c r="S464" s="372"/>
      <c r="T464" s="372"/>
      <c r="U464" s="373"/>
      <c r="V464" s="360" t="s">
        <v>1</v>
      </c>
      <c r="W464" s="325"/>
      <c r="X464" s="326"/>
      <c r="Y464" s="326"/>
      <c r="Z464" s="326"/>
      <c r="AC464" s="271" t="s">
        <v>0</v>
      </c>
      <c r="AD464" s="371" t="s">
        <v>17</v>
      </c>
      <c r="AE464" s="372"/>
      <c r="AF464" s="372"/>
      <c r="AG464" s="372"/>
      <c r="AH464" s="373"/>
      <c r="AI464" s="371" t="s">
        <v>18</v>
      </c>
      <c r="AJ464" s="372"/>
      <c r="AK464" s="372"/>
      <c r="AL464" s="372"/>
      <c r="AM464" s="373"/>
      <c r="AN464" s="371" t="s">
        <v>38</v>
      </c>
      <c r="AO464" s="372"/>
      <c r="AP464" s="372"/>
      <c r="AQ464" s="372"/>
      <c r="AR464" s="373"/>
      <c r="AS464" s="371" t="s">
        <v>75</v>
      </c>
      <c r="AT464" s="372"/>
      <c r="AU464" s="372"/>
      <c r="AV464" s="372"/>
      <c r="AW464" s="373"/>
      <c r="AX464" s="360" t="s">
        <v>1</v>
      </c>
      <c r="AY464" s="325"/>
      <c r="AZ464" s="326"/>
    </row>
    <row r="465" spans="1:52" ht="14.25" thickBot="1" x14ac:dyDescent="0.2">
      <c r="A465" s="5" t="s">
        <v>2</v>
      </c>
      <c r="B465" s="6" t="s">
        <v>3</v>
      </c>
      <c r="C465" s="7" t="s">
        <v>4</v>
      </c>
      <c r="D465" s="7" t="s">
        <v>5</v>
      </c>
      <c r="E465" s="8" t="s">
        <v>6</v>
      </c>
      <c r="F465" s="5" t="s">
        <v>7</v>
      </c>
      <c r="G465" s="6" t="s">
        <v>3</v>
      </c>
      <c r="H465" s="7" t="s">
        <v>4</v>
      </c>
      <c r="I465" s="7" t="s">
        <v>5</v>
      </c>
      <c r="J465" s="8" t="s">
        <v>6</v>
      </c>
      <c r="K465" s="5" t="s">
        <v>7</v>
      </c>
      <c r="L465" s="6" t="s">
        <v>3</v>
      </c>
      <c r="M465" s="7" t="s">
        <v>4</v>
      </c>
      <c r="N465" s="7" t="s">
        <v>5</v>
      </c>
      <c r="O465" s="8" t="s">
        <v>6</v>
      </c>
      <c r="P465" s="5" t="s">
        <v>7</v>
      </c>
      <c r="Q465" s="6" t="s">
        <v>3</v>
      </c>
      <c r="R465" s="7" t="s">
        <v>4</v>
      </c>
      <c r="S465" s="7" t="s">
        <v>5</v>
      </c>
      <c r="T465" s="8" t="s">
        <v>6</v>
      </c>
      <c r="U465" s="5" t="s">
        <v>7</v>
      </c>
      <c r="V465" s="361"/>
      <c r="W465" s="325"/>
      <c r="X465" s="326"/>
      <c r="Y465" s="326"/>
      <c r="Z465" s="326"/>
      <c r="AC465" s="272" t="s">
        <v>2</v>
      </c>
      <c r="AD465" s="6" t="s">
        <v>3</v>
      </c>
      <c r="AE465" s="7" t="s">
        <v>4</v>
      </c>
      <c r="AF465" s="7" t="s">
        <v>5</v>
      </c>
      <c r="AG465" s="8" t="s">
        <v>6</v>
      </c>
      <c r="AH465" s="5" t="s">
        <v>7</v>
      </c>
      <c r="AI465" s="6" t="s">
        <v>3</v>
      </c>
      <c r="AJ465" s="7" t="s">
        <v>4</v>
      </c>
      <c r="AK465" s="7" t="s">
        <v>5</v>
      </c>
      <c r="AL465" s="8" t="s">
        <v>6</v>
      </c>
      <c r="AM465" s="5" t="s">
        <v>7</v>
      </c>
      <c r="AN465" s="6" t="s">
        <v>3</v>
      </c>
      <c r="AO465" s="7" t="s">
        <v>4</v>
      </c>
      <c r="AP465" s="7" t="s">
        <v>5</v>
      </c>
      <c r="AQ465" s="8" t="s">
        <v>6</v>
      </c>
      <c r="AR465" s="5" t="s">
        <v>7</v>
      </c>
      <c r="AS465" s="6" t="s">
        <v>3</v>
      </c>
      <c r="AT465" s="7" t="s">
        <v>4</v>
      </c>
      <c r="AU465" s="7" t="s">
        <v>5</v>
      </c>
      <c r="AV465" s="8" t="s">
        <v>6</v>
      </c>
      <c r="AW465" s="5" t="s">
        <v>7</v>
      </c>
      <c r="AX465" s="361"/>
      <c r="AY465" s="325"/>
      <c r="AZ465" s="326"/>
    </row>
    <row r="466" spans="1:52" ht="15" thickBot="1" x14ac:dyDescent="0.2">
      <c r="A466" s="291" t="s">
        <v>30</v>
      </c>
      <c r="B466" s="292">
        <f>B460</f>
        <v>3</v>
      </c>
      <c r="C466" s="292">
        <f>C460</f>
        <v>3</v>
      </c>
      <c r="D466" s="292">
        <f>D460</f>
        <v>3</v>
      </c>
      <c r="E466" s="293">
        <f>E460</f>
        <v>5</v>
      </c>
      <c r="F466" s="77">
        <f t="shared" ref="F466:F502" si="171">SUM(B466:E466)</f>
        <v>14</v>
      </c>
      <c r="G466" s="292">
        <f>G460</f>
        <v>3</v>
      </c>
      <c r="H466" s="292">
        <f>H460</f>
        <v>2</v>
      </c>
      <c r="I466" s="292">
        <f>I460</f>
        <v>3</v>
      </c>
      <c r="J466" s="293">
        <f>J460</f>
        <v>2</v>
      </c>
      <c r="K466" s="77">
        <f t="shared" ref="K466:K502" si="172">SUM(G466:J466)</f>
        <v>10</v>
      </c>
      <c r="L466" s="292">
        <f>L460</f>
        <v>9</v>
      </c>
      <c r="M466" s="292">
        <f>M460</f>
        <v>0</v>
      </c>
      <c r="N466" s="292">
        <f>N460</f>
        <v>28</v>
      </c>
      <c r="O466" s="293">
        <f>O460</f>
        <v>4</v>
      </c>
      <c r="P466" s="77">
        <f t="shared" ref="P466:P502" si="173">SUM(L466:O466)</f>
        <v>41</v>
      </c>
      <c r="Q466" s="292">
        <f>Q460</f>
        <v>1</v>
      </c>
      <c r="R466" s="292">
        <f>R460</f>
        <v>0</v>
      </c>
      <c r="S466" s="292">
        <f>S460</f>
        <v>1</v>
      </c>
      <c r="T466" s="293">
        <f>T460</f>
        <v>1</v>
      </c>
      <c r="U466" s="182">
        <f t="shared" ref="U466:U502" si="174">SUM(Q466:T466)</f>
        <v>3</v>
      </c>
      <c r="V466" s="77">
        <f t="shared" ref="V466:V502" si="175">F466+K466+P466+U466</f>
        <v>68</v>
      </c>
      <c r="W466" s="325"/>
      <c r="X466" s="326"/>
      <c r="Y466" s="326"/>
      <c r="Z466" s="326"/>
      <c r="AC466" s="294" t="s">
        <v>30</v>
      </c>
      <c r="AD466" s="292">
        <f>AD460</f>
        <v>184</v>
      </c>
      <c r="AE466" s="292">
        <f>AE460</f>
        <v>244</v>
      </c>
      <c r="AF466" s="292">
        <f>AF460</f>
        <v>238</v>
      </c>
      <c r="AG466" s="293">
        <f>AG460</f>
        <v>168</v>
      </c>
      <c r="AH466" s="77">
        <f>SUM(AD466:AG466)</f>
        <v>834</v>
      </c>
      <c r="AI466" s="292">
        <f>AI460</f>
        <v>113</v>
      </c>
      <c r="AJ466" s="292">
        <f>AJ460</f>
        <v>94</v>
      </c>
      <c r="AK466" s="292">
        <f>AK460</f>
        <v>228</v>
      </c>
      <c r="AL466" s="293">
        <f>AL460</f>
        <v>78</v>
      </c>
      <c r="AM466" s="77">
        <f>SUM(AI466:AL466)</f>
        <v>513</v>
      </c>
      <c r="AN466" s="292">
        <f>AN460</f>
        <v>0</v>
      </c>
      <c r="AO466" s="292">
        <f>AO460</f>
        <v>0</v>
      </c>
      <c r="AP466" s="292">
        <f>AP460</f>
        <v>0</v>
      </c>
      <c r="AQ466" s="293">
        <f>AQ460</f>
        <v>0</v>
      </c>
      <c r="AR466" s="77">
        <f>SUM(AN466:AQ466)</f>
        <v>0</v>
      </c>
      <c r="AS466" s="292">
        <f>AS460</f>
        <v>44</v>
      </c>
      <c r="AT466" s="292">
        <f>AT460</f>
        <v>32</v>
      </c>
      <c r="AU466" s="292">
        <f>AU460</f>
        <v>19</v>
      </c>
      <c r="AV466" s="293">
        <f>AV460</f>
        <v>20</v>
      </c>
      <c r="AW466" s="182">
        <f>SUM(AS466:AV466)</f>
        <v>115</v>
      </c>
      <c r="AX466" s="77">
        <f t="shared" ref="AX466:AX502" si="176">AH466+AM466+AR466+AW466</f>
        <v>1462</v>
      </c>
      <c r="AY466" s="325"/>
      <c r="AZ466" s="326"/>
    </row>
    <row r="467" spans="1:52" x14ac:dyDescent="0.15">
      <c r="A467" s="53" t="s">
        <v>109</v>
      </c>
      <c r="B467" s="51"/>
      <c r="C467" s="52"/>
      <c r="D467" s="52"/>
      <c r="E467" s="52"/>
      <c r="F467" s="49">
        <f t="shared" si="171"/>
        <v>0</v>
      </c>
      <c r="G467" s="51"/>
      <c r="H467" s="52"/>
      <c r="I467" s="52"/>
      <c r="J467" s="52"/>
      <c r="K467" s="49">
        <f t="shared" si="172"/>
        <v>0</v>
      </c>
      <c r="L467" s="51">
        <v>10</v>
      </c>
      <c r="M467" s="52"/>
      <c r="N467" s="52">
        <v>22</v>
      </c>
      <c r="O467" s="52">
        <v>18</v>
      </c>
      <c r="P467" s="49">
        <f t="shared" si="173"/>
        <v>50</v>
      </c>
      <c r="Q467" s="51"/>
      <c r="R467" s="52"/>
      <c r="S467" s="52"/>
      <c r="T467" s="52"/>
      <c r="U467" s="175">
        <f t="shared" si="174"/>
        <v>0</v>
      </c>
      <c r="V467" s="49">
        <f t="shared" si="175"/>
        <v>50</v>
      </c>
      <c r="W467" s="329">
        <v>44596</v>
      </c>
      <c r="X467" s="326"/>
      <c r="Y467" s="326"/>
      <c r="Z467" s="326"/>
      <c r="AC467" s="268" t="s">
        <v>28</v>
      </c>
      <c r="AD467" s="51"/>
      <c r="AE467" s="52"/>
      <c r="AF467" s="52"/>
      <c r="AG467" s="52"/>
      <c r="AH467" s="49">
        <f t="shared" ref="AH467:AH502" si="177">SUM(AD467:AG467)</f>
        <v>0</v>
      </c>
      <c r="AI467" s="51"/>
      <c r="AJ467" s="52"/>
      <c r="AK467" s="52"/>
      <c r="AL467" s="52"/>
      <c r="AM467" s="49">
        <f t="shared" ref="AM467:AM502" si="178">SUM(AI467:AL467)</f>
        <v>0</v>
      </c>
      <c r="AN467" s="51">
        <v>10</v>
      </c>
      <c r="AO467" s="52"/>
      <c r="AP467" s="52">
        <v>22</v>
      </c>
      <c r="AQ467" s="52">
        <v>18</v>
      </c>
      <c r="AR467" s="49">
        <f t="shared" ref="AR467:AR469" si="179">SUM(AN467:AQ467)</f>
        <v>50</v>
      </c>
      <c r="AS467" s="51"/>
      <c r="AT467" s="52"/>
      <c r="AU467" s="52"/>
      <c r="AV467" s="52"/>
      <c r="AW467" s="175">
        <f t="shared" ref="AW467:AW469" si="180">SUM(AS467:AV467)</f>
        <v>0</v>
      </c>
      <c r="AX467" s="49">
        <f t="shared" si="176"/>
        <v>50</v>
      </c>
      <c r="AY467" s="328">
        <v>44597</v>
      </c>
      <c r="AZ467" s="326"/>
    </row>
    <row r="468" spans="1:52" x14ac:dyDescent="0.15">
      <c r="A468" s="53" t="s">
        <v>111</v>
      </c>
      <c r="B468" s="55"/>
      <c r="C468" s="55"/>
      <c r="D468" s="55"/>
      <c r="E468" s="166"/>
      <c r="F468" s="49">
        <f t="shared" si="171"/>
        <v>0</v>
      </c>
      <c r="G468" s="55"/>
      <c r="H468" s="55"/>
      <c r="I468" s="55"/>
      <c r="J468" s="166"/>
      <c r="K468" s="49">
        <f t="shared" si="172"/>
        <v>0</v>
      </c>
      <c r="L468" s="55"/>
      <c r="M468" s="55"/>
      <c r="N468" s="55"/>
      <c r="O468" s="166"/>
      <c r="P468" s="49">
        <f t="shared" si="173"/>
        <v>0</v>
      </c>
      <c r="Q468" s="55"/>
      <c r="R468" s="55">
        <v>3</v>
      </c>
      <c r="S468" s="55"/>
      <c r="T468" s="166"/>
      <c r="U468" s="175">
        <f t="shared" si="174"/>
        <v>3</v>
      </c>
      <c r="V468" s="56">
        <f t="shared" si="175"/>
        <v>3</v>
      </c>
      <c r="W468" s="329">
        <v>44614</v>
      </c>
      <c r="X468" s="326"/>
      <c r="Y468" s="326"/>
      <c r="Z468" s="326"/>
      <c r="AC468" s="268" t="s">
        <v>28</v>
      </c>
      <c r="AD468" s="54"/>
      <c r="AE468" s="55"/>
      <c r="AF468" s="55"/>
      <c r="AG468" s="55"/>
      <c r="AH468" s="56">
        <f t="shared" si="177"/>
        <v>0</v>
      </c>
      <c r="AI468" s="54"/>
      <c r="AJ468" s="55"/>
      <c r="AK468" s="55"/>
      <c r="AL468" s="55"/>
      <c r="AM468" s="56">
        <f t="shared" si="178"/>
        <v>0</v>
      </c>
      <c r="AN468" s="54">
        <v>6</v>
      </c>
      <c r="AO468" s="55"/>
      <c r="AP468" s="55">
        <v>25</v>
      </c>
      <c r="AQ468" s="55">
        <v>1</v>
      </c>
      <c r="AR468" s="56">
        <f t="shared" si="179"/>
        <v>32</v>
      </c>
      <c r="AS468" s="54"/>
      <c r="AT468" s="55"/>
      <c r="AU468" s="55"/>
      <c r="AV468" s="55"/>
      <c r="AW468" s="176">
        <f t="shared" si="180"/>
        <v>0</v>
      </c>
      <c r="AX468" s="56">
        <f t="shared" si="176"/>
        <v>32</v>
      </c>
      <c r="AY468" s="328">
        <v>44625</v>
      </c>
      <c r="AZ468" s="326"/>
    </row>
    <row r="469" spans="1:52" x14ac:dyDescent="0.15">
      <c r="A469" s="53" t="s">
        <v>111</v>
      </c>
      <c r="B469" s="55"/>
      <c r="C469" s="55"/>
      <c r="D469" s="55"/>
      <c r="E469" s="166"/>
      <c r="F469" s="49">
        <f t="shared" si="171"/>
        <v>0</v>
      </c>
      <c r="G469" s="55"/>
      <c r="H469" s="55">
        <v>3</v>
      </c>
      <c r="I469" s="55">
        <v>3</v>
      </c>
      <c r="J469" s="166"/>
      <c r="K469" s="49">
        <f t="shared" si="172"/>
        <v>6</v>
      </c>
      <c r="L469" s="55"/>
      <c r="M469" s="55"/>
      <c r="N469" s="55"/>
      <c r="O469" s="166"/>
      <c r="P469" s="49">
        <f t="shared" si="173"/>
        <v>0</v>
      </c>
      <c r="Q469" s="55">
        <v>3</v>
      </c>
      <c r="R469" s="55">
        <v>3</v>
      </c>
      <c r="S469" s="55">
        <v>3</v>
      </c>
      <c r="T469" s="166">
        <v>3</v>
      </c>
      <c r="U469" s="175">
        <f t="shared" si="174"/>
        <v>12</v>
      </c>
      <c r="V469" s="56">
        <f t="shared" si="175"/>
        <v>18</v>
      </c>
      <c r="W469" s="329">
        <v>44617</v>
      </c>
      <c r="X469" s="326"/>
      <c r="Y469" s="326"/>
      <c r="Z469" s="326"/>
      <c r="AC469" s="268" t="s">
        <v>28</v>
      </c>
      <c r="AD469" s="55"/>
      <c r="AE469" s="153"/>
      <c r="AF469" s="153"/>
      <c r="AG469" s="168"/>
      <c r="AH469" s="56">
        <f t="shared" si="177"/>
        <v>0</v>
      </c>
      <c r="AI469" s="55"/>
      <c r="AJ469" s="153"/>
      <c r="AK469" s="153"/>
      <c r="AL469" s="168"/>
      <c r="AM469" s="56">
        <f t="shared" si="178"/>
        <v>0</v>
      </c>
      <c r="AN469" s="55"/>
      <c r="AO469" s="153"/>
      <c r="AP469" s="153"/>
      <c r="AQ469" s="168"/>
      <c r="AR469" s="56">
        <f t="shared" si="179"/>
        <v>0</v>
      </c>
      <c r="AS469" s="55"/>
      <c r="AT469" s="153"/>
      <c r="AU469" s="153"/>
      <c r="AV469" s="168"/>
      <c r="AW469" s="176">
        <f t="shared" si="180"/>
        <v>0</v>
      </c>
      <c r="AX469" s="56">
        <f t="shared" si="176"/>
        <v>0</v>
      </c>
      <c r="AY469" s="325"/>
      <c r="AZ469" s="326"/>
    </row>
    <row r="470" spans="1:52" x14ac:dyDescent="0.15">
      <c r="A470" s="53" t="s">
        <v>111</v>
      </c>
      <c r="B470" s="63"/>
      <c r="C470" s="63"/>
      <c r="D470" s="63"/>
      <c r="E470" s="167"/>
      <c r="F470" s="64">
        <f t="shared" si="171"/>
        <v>0</v>
      </c>
      <c r="G470" s="63">
        <v>3</v>
      </c>
      <c r="H470" s="63"/>
      <c r="I470" s="63"/>
      <c r="J470" s="167">
        <v>3</v>
      </c>
      <c r="K470" s="64">
        <f t="shared" si="172"/>
        <v>6</v>
      </c>
      <c r="L470" s="63"/>
      <c r="M470" s="63"/>
      <c r="N470" s="63"/>
      <c r="O470" s="167"/>
      <c r="P470" s="64">
        <f t="shared" si="173"/>
        <v>0</v>
      </c>
      <c r="Q470" s="63"/>
      <c r="R470" s="63"/>
      <c r="S470" s="63"/>
      <c r="T470" s="167"/>
      <c r="U470" s="162">
        <f t="shared" si="174"/>
        <v>0</v>
      </c>
      <c r="V470" s="56">
        <f t="shared" si="175"/>
        <v>6</v>
      </c>
      <c r="W470" s="329">
        <v>44630</v>
      </c>
      <c r="X470" s="326"/>
      <c r="Y470" s="326"/>
      <c r="Z470" s="326"/>
      <c r="AC470" s="268" t="s">
        <v>28</v>
      </c>
      <c r="AD470" s="63"/>
      <c r="AE470" s="63"/>
      <c r="AF470" s="63"/>
      <c r="AG470" s="167"/>
      <c r="AH470" s="56">
        <f t="shared" si="177"/>
        <v>0</v>
      </c>
      <c r="AI470" s="63"/>
      <c r="AJ470" s="63"/>
      <c r="AK470" s="63"/>
      <c r="AL470" s="167"/>
      <c r="AM470" s="56">
        <f t="shared" si="178"/>
        <v>0</v>
      </c>
      <c r="AN470" s="63"/>
      <c r="AO470" s="63"/>
      <c r="AP470" s="63"/>
      <c r="AQ470" s="167"/>
      <c r="AR470" s="64">
        <v>0</v>
      </c>
      <c r="AS470" s="63"/>
      <c r="AT470" s="63"/>
      <c r="AU470" s="63"/>
      <c r="AV470" s="167"/>
      <c r="AW470" s="162">
        <v>0</v>
      </c>
      <c r="AX470" s="56">
        <f t="shared" si="176"/>
        <v>0</v>
      </c>
      <c r="AY470" s="325"/>
      <c r="AZ470" s="326"/>
    </row>
    <row r="471" spans="1:52" x14ac:dyDescent="0.15">
      <c r="A471" s="53" t="s">
        <v>111</v>
      </c>
      <c r="B471" s="55"/>
      <c r="C471" s="153"/>
      <c r="D471" s="153"/>
      <c r="E471" s="168"/>
      <c r="F471" s="56">
        <f t="shared" si="171"/>
        <v>0</v>
      </c>
      <c r="G471" s="55">
        <v>3</v>
      </c>
      <c r="H471" s="153"/>
      <c r="I471" s="153"/>
      <c r="J471" s="168"/>
      <c r="K471" s="56">
        <f t="shared" si="172"/>
        <v>3</v>
      </c>
      <c r="L471" s="55"/>
      <c r="M471" s="153"/>
      <c r="N471" s="153"/>
      <c r="O471" s="168"/>
      <c r="P471" s="56">
        <f t="shared" si="173"/>
        <v>0</v>
      </c>
      <c r="Q471" s="55"/>
      <c r="R471" s="153"/>
      <c r="S471" s="153">
        <v>3</v>
      </c>
      <c r="T471" s="168"/>
      <c r="U471" s="176">
        <f t="shared" si="174"/>
        <v>3</v>
      </c>
      <c r="V471" s="56">
        <f t="shared" si="175"/>
        <v>6</v>
      </c>
      <c r="W471" s="329">
        <v>44650</v>
      </c>
      <c r="X471" s="326"/>
      <c r="Y471" s="326"/>
      <c r="Z471" s="326"/>
      <c r="AC471" s="268" t="s">
        <v>28</v>
      </c>
      <c r="AD471" s="55"/>
      <c r="AE471" s="153"/>
      <c r="AF471" s="153"/>
      <c r="AG471" s="168"/>
      <c r="AH471" s="56">
        <f t="shared" si="177"/>
        <v>0</v>
      </c>
      <c r="AI471" s="55"/>
      <c r="AJ471" s="153"/>
      <c r="AK471" s="153"/>
      <c r="AL471" s="168"/>
      <c r="AM471" s="56">
        <f t="shared" si="178"/>
        <v>0</v>
      </c>
      <c r="AN471" s="55"/>
      <c r="AO471" s="153"/>
      <c r="AP471" s="153"/>
      <c r="AQ471" s="168"/>
      <c r="AR471" s="56">
        <f t="shared" ref="AR471:AR502" si="181">SUM(AN471:AQ471)</f>
        <v>0</v>
      </c>
      <c r="AS471" s="55"/>
      <c r="AT471" s="153"/>
      <c r="AU471" s="153"/>
      <c r="AV471" s="168"/>
      <c r="AW471" s="176">
        <f t="shared" ref="AW471:AW502" si="182">SUM(AS471:AV471)</f>
        <v>0</v>
      </c>
      <c r="AX471" s="56">
        <f t="shared" si="176"/>
        <v>0</v>
      </c>
      <c r="AY471" s="325"/>
      <c r="AZ471" s="326"/>
    </row>
    <row r="472" spans="1:52" x14ac:dyDescent="0.15">
      <c r="A472" s="53" t="s">
        <v>111</v>
      </c>
      <c r="B472" s="55"/>
      <c r="C472" s="153"/>
      <c r="D472" s="153"/>
      <c r="E472" s="168"/>
      <c r="F472" s="56">
        <f t="shared" si="171"/>
        <v>0</v>
      </c>
      <c r="G472" s="55"/>
      <c r="H472" s="153"/>
      <c r="I472" s="153"/>
      <c r="J472" s="168"/>
      <c r="K472" s="56">
        <f t="shared" si="172"/>
        <v>0</v>
      </c>
      <c r="L472" s="55"/>
      <c r="M472" s="153"/>
      <c r="N472" s="153"/>
      <c r="O472" s="168"/>
      <c r="P472" s="56">
        <f t="shared" si="173"/>
        <v>0</v>
      </c>
      <c r="Q472" s="55"/>
      <c r="R472" s="153"/>
      <c r="S472" s="153"/>
      <c r="T472" s="168"/>
      <c r="U472" s="176">
        <f t="shared" si="174"/>
        <v>0</v>
      </c>
      <c r="V472" s="56">
        <f t="shared" si="175"/>
        <v>0</v>
      </c>
      <c r="W472" s="330"/>
      <c r="X472" s="326"/>
      <c r="Y472" s="326"/>
      <c r="Z472" s="326"/>
      <c r="AC472" s="268" t="s">
        <v>28</v>
      </c>
      <c r="AD472" s="55"/>
      <c r="AE472" s="153"/>
      <c r="AF472" s="153"/>
      <c r="AG472" s="168"/>
      <c r="AH472" s="56">
        <f t="shared" si="177"/>
        <v>0</v>
      </c>
      <c r="AI472" s="55"/>
      <c r="AJ472" s="153"/>
      <c r="AK472" s="153"/>
      <c r="AL472" s="168"/>
      <c r="AM472" s="56">
        <f t="shared" si="178"/>
        <v>0</v>
      </c>
      <c r="AN472" s="55"/>
      <c r="AO472" s="153"/>
      <c r="AP472" s="153"/>
      <c r="AQ472" s="168"/>
      <c r="AR472" s="56">
        <f t="shared" si="181"/>
        <v>0</v>
      </c>
      <c r="AS472" s="55"/>
      <c r="AT472" s="153"/>
      <c r="AU472" s="153"/>
      <c r="AV472" s="168"/>
      <c r="AW472" s="176">
        <f t="shared" si="182"/>
        <v>0</v>
      </c>
      <c r="AX472" s="56">
        <f t="shared" si="176"/>
        <v>0</v>
      </c>
      <c r="AY472" s="325"/>
      <c r="AZ472" s="326"/>
    </row>
    <row r="473" spans="1:52" ht="14.25" thickBot="1" x14ac:dyDescent="0.2">
      <c r="A473" s="53" t="s">
        <v>28</v>
      </c>
      <c r="B473" s="63"/>
      <c r="C473" s="164"/>
      <c r="D473" s="164"/>
      <c r="E473" s="169"/>
      <c r="F473" s="170">
        <f t="shared" si="171"/>
        <v>0</v>
      </c>
      <c r="G473" s="63"/>
      <c r="H473" s="164"/>
      <c r="I473" s="164"/>
      <c r="J473" s="169"/>
      <c r="K473" s="170">
        <f t="shared" si="172"/>
        <v>0</v>
      </c>
      <c r="L473" s="63"/>
      <c r="M473" s="164"/>
      <c r="N473" s="164"/>
      <c r="O473" s="169"/>
      <c r="P473" s="170">
        <f t="shared" si="173"/>
        <v>0</v>
      </c>
      <c r="Q473" s="63"/>
      <c r="R473" s="164"/>
      <c r="S473" s="164"/>
      <c r="T473" s="169"/>
      <c r="U473" s="179">
        <f t="shared" si="174"/>
        <v>0</v>
      </c>
      <c r="V473" s="170">
        <f t="shared" si="175"/>
        <v>0</v>
      </c>
      <c r="W473" s="325"/>
      <c r="X473" s="326"/>
      <c r="Y473" s="326"/>
      <c r="Z473" s="326"/>
      <c r="AC473" s="274" t="s">
        <v>28</v>
      </c>
      <c r="AD473" s="63"/>
      <c r="AE473" s="164"/>
      <c r="AF473" s="164"/>
      <c r="AG473" s="169"/>
      <c r="AH473" s="170">
        <f t="shared" si="177"/>
        <v>0</v>
      </c>
      <c r="AI473" s="63"/>
      <c r="AJ473" s="164"/>
      <c r="AK473" s="164"/>
      <c r="AL473" s="169"/>
      <c r="AM473" s="170">
        <f t="shared" si="178"/>
        <v>0</v>
      </c>
      <c r="AN473" s="63"/>
      <c r="AO473" s="164"/>
      <c r="AP473" s="164"/>
      <c r="AQ473" s="169"/>
      <c r="AR473" s="170">
        <f t="shared" si="181"/>
        <v>0</v>
      </c>
      <c r="AS473" s="63"/>
      <c r="AT473" s="164"/>
      <c r="AU473" s="164"/>
      <c r="AV473" s="169"/>
      <c r="AW473" s="179">
        <f t="shared" si="182"/>
        <v>0</v>
      </c>
      <c r="AX473" s="170">
        <f t="shared" si="176"/>
        <v>0</v>
      </c>
      <c r="AY473" s="325"/>
      <c r="AZ473" s="326"/>
    </row>
    <row r="474" spans="1:52" ht="15" thickBot="1" x14ac:dyDescent="0.2">
      <c r="A474" s="181" t="s">
        <v>14</v>
      </c>
      <c r="B474" s="182">
        <f>SUM(B466:B473)</f>
        <v>3</v>
      </c>
      <c r="C474" s="183">
        <f>SUM(C466:C473)</f>
        <v>3</v>
      </c>
      <c r="D474" s="183">
        <f>SUM(D466:D473)</f>
        <v>3</v>
      </c>
      <c r="E474" s="184">
        <f>SUM(E466:E473)</f>
        <v>5</v>
      </c>
      <c r="F474" s="77">
        <f t="shared" si="171"/>
        <v>14</v>
      </c>
      <c r="G474" s="182">
        <f>SUM(G466:G473)</f>
        <v>9</v>
      </c>
      <c r="H474" s="183">
        <f>SUM(H466:H473)</f>
        <v>5</v>
      </c>
      <c r="I474" s="183">
        <f>SUM(I466:I473)</f>
        <v>6</v>
      </c>
      <c r="J474" s="184">
        <f>SUM(J466:J473)</f>
        <v>5</v>
      </c>
      <c r="K474" s="77">
        <f t="shared" si="172"/>
        <v>25</v>
      </c>
      <c r="L474" s="182">
        <f>SUM(L466:L473)</f>
        <v>19</v>
      </c>
      <c r="M474" s="183">
        <f>SUM(M466:M473)</f>
        <v>0</v>
      </c>
      <c r="N474" s="183">
        <f>SUM(N466:N473)</f>
        <v>50</v>
      </c>
      <c r="O474" s="184">
        <f>SUM(O466:O473)</f>
        <v>22</v>
      </c>
      <c r="P474" s="77">
        <f t="shared" si="173"/>
        <v>91</v>
      </c>
      <c r="Q474" s="182">
        <f>SUM(Q466:Q473)</f>
        <v>4</v>
      </c>
      <c r="R474" s="183">
        <f>SUM(R466:R473)</f>
        <v>6</v>
      </c>
      <c r="S474" s="183">
        <f>SUM(S466:S473)</f>
        <v>7</v>
      </c>
      <c r="T474" s="184">
        <f>SUM(T466:T473)</f>
        <v>4</v>
      </c>
      <c r="U474" s="182">
        <f t="shared" si="174"/>
        <v>21</v>
      </c>
      <c r="V474" s="77">
        <f t="shared" si="175"/>
        <v>151</v>
      </c>
      <c r="W474" s="325"/>
      <c r="X474" s="326"/>
      <c r="Y474" s="326"/>
      <c r="Z474" s="326"/>
      <c r="AC474" s="275" t="s">
        <v>14</v>
      </c>
      <c r="AD474" s="182">
        <f>SUM(AD466:AD473)</f>
        <v>184</v>
      </c>
      <c r="AE474" s="183">
        <f>SUM(AE466:AE473)</f>
        <v>244</v>
      </c>
      <c r="AF474" s="183">
        <f>SUM(AF466:AF473)</f>
        <v>238</v>
      </c>
      <c r="AG474" s="184">
        <f>SUM(AG466:AG473)</f>
        <v>168</v>
      </c>
      <c r="AH474" s="77">
        <f t="shared" si="177"/>
        <v>834</v>
      </c>
      <c r="AI474" s="182">
        <f>SUM(AI466:AI473)</f>
        <v>113</v>
      </c>
      <c r="AJ474" s="183">
        <f>SUM(AJ466:AJ473)</f>
        <v>94</v>
      </c>
      <c r="AK474" s="183">
        <f>SUM(AK466:AK473)</f>
        <v>228</v>
      </c>
      <c r="AL474" s="184">
        <f>SUM(AL466:AL473)</f>
        <v>78</v>
      </c>
      <c r="AM474" s="77">
        <f t="shared" si="178"/>
        <v>513</v>
      </c>
      <c r="AN474" s="182">
        <f>SUM(AN466:AN473)</f>
        <v>16</v>
      </c>
      <c r="AO474" s="183">
        <f>SUM(AO466:AO473)</f>
        <v>0</v>
      </c>
      <c r="AP474" s="183">
        <f>SUM(AP466:AP473)</f>
        <v>47</v>
      </c>
      <c r="AQ474" s="184">
        <f>SUM(AQ466:AQ473)</f>
        <v>19</v>
      </c>
      <c r="AR474" s="77">
        <f t="shared" si="181"/>
        <v>82</v>
      </c>
      <c r="AS474" s="182">
        <f>SUM(AS466:AS473)</f>
        <v>44</v>
      </c>
      <c r="AT474" s="183">
        <f>SUM(AT466:AT473)</f>
        <v>32</v>
      </c>
      <c r="AU474" s="183">
        <f>SUM(AU466:AU473)</f>
        <v>19</v>
      </c>
      <c r="AV474" s="184">
        <f>SUM(AV466:AV473)</f>
        <v>20</v>
      </c>
      <c r="AW474" s="182">
        <f t="shared" si="182"/>
        <v>115</v>
      </c>
      <c r="AX474" s="77">
        <f t="shared" si="176"/>
        <v>1544</v>
      </c>
      <c r="AY474" s="325"/>
      <c r="AZ474" s="326"/>
    </row>
    <row r="475" spans="1:52" x14ac:dyDescent="0.15">
      <c r="A475" s="53" t="s">
        <v>310</v>
      </c>
      <c r="B475" s="33"/>
      <c r="C475" s="34"/>
      <c r="D475" s="34"/>
      <c r="E475" s="34"/>
      <c r="F475" s="30">
        <f t="shared" ref="F475" si="183">SUM(B475:E475)</f>
        <v>0</v>
      </c>
      <c r="G475" s="33"/>
      <c r="H475" s="34"/>
      <c r="I475" s="34"/>
      <c r="J475" s="34"/>
      <c r="K475" s="30">
        <f t="shared" si="172"/>
        <v>0</v>
      </c>
      <c r="L475" s="33">
        <f>9+1</f>
        <v>10</v>
      </c>
      <c r="M475" s="34"/>
      <c r="N475" s="34">
        <f>15+7</f>
        <v>22</v>
      </c>
      <c r="O475" s="34">
        <f>11+7</f>
        <v>18</v>
      </c>
      <c r="P475" s="30">
        <f t="shared" si="173"/>
        <v>50</v>
      </c>
      <c r="Q475" s="33"/>
      <c r="R475" s="34"/>
      <c r="S475" s="34"/>
      <c r="T475" s="34"/>
      <c r="U475" s="178">
        <f t="shared" si="174"/>
        <v>0</v>
      </c>
      <c r="V475" s="170">
        <f t="shared" si="175"/>
        <v>50</v>
      </c>
      <c r="W475" s="329">
        <v>44597</v>
      </c>
      <c r="X475" s="326"/>
      <c r="Y475" s="326"/>
      <c r="Z475" s="326"/>
      <c r="AC475" s="53" t="s">
        <v>99</v>
      </c>
      <c r="AD475" s="55"/>
      <c r="AE475" s="153"/>
      <c r="AF475" s="153"/>
      <c r="AG475" s="168"/>
      <c r="AH475" s="56">
        <f t="shared" si="177"/>
        <v>0</v>
      </c>
      <c r="AI475" s="55"/>
      <c r="AJ475" s="153"/>
      <c r="AK475" s="153"/>
      <c r="AL475" s="168"/>
      <c r="AM475" s="56">
        <f t="shared" si="178"/>
        <v>0</v>
      </c>
      <c r="AN475" s="55"/>
      <c r="AO475" s="153"/>
      <c r="AP475" s="153"/>
      <c r="AQ475" s="168"/>
      <c r="AR475" s="56">
        <f t="shared" si="181"/>
        <v>0</v>
      </c>
      <c r="AS475" s="55"/>
      <c r="AT475" s="153">
        <v>3</v>
      </c>
      <c r="AU475" s="153"/>
      <c r="AV475" s="168"/>
      <c r="AW475" s="176">
        <f t="shared" si="182"/>
        <v>3</v>
      </c>
      <c r="AX475" s="56">
        <f t="shared" si="176"/>
        <v>3</v>
      </c>
      <c r="AY475" s="329">
        <v>44614</v>
      </c>
      <c r="AZ475" s="326"/>
    </row>
    <row r="476" spans="1:52" x14ac:dyDescent="0.15">
      <c r="A476" s="53" t="s">
        <v>98</v>
      </c>
      <c r="B476" s="54"/>
      <c r="C476" s="55"/>
      <c r="D476" s="55"/>
      <c r="E476" s="55"/>
      <c r="F476" s="56">
        <f t="shared" si="171"/>
        <v>0</v>
      </c>
      <c r="G476" s="54"/>
      <c r="H476" s="55">
        <v>1</v>
      </c>
      <c r="I476" s="55"/>
      <c r="J476" s="55"/>
      <c r="K476" s="56">
        <f t="shared" si="172"/>
        <v>1</v>
      </c>
      <c r="L476" s="54"/>
      <c r="M476" s="55"/>
      <c r="N476" s="55"/>
      <c r="O476" s="55"/>
      <c r="P476" s="56">
        <f t="shared" si="173"/>
        <v>0</v>
      </c>
      <c r="Q476" s="54"/>
      <c r="R476" s="55"/>
      <c r="S476" s="55"/>
      <c r="T476" s="55"/>
      <c r="U476" s="176">
        <f t="shared" si="174"/>
        <v>0</v>
      </c>
      <c r="V476" s="56">
        <f t="shared" si="175"/>
        <v>1</v>
      </c>
      <c r="W476" s="329">
        <v>44602</v>
      </c>
      <c r="X476" s="326"/>
      <c r="Y476" s="326"/>
      <c r="Z476" s="326"/>
      <c r="AC476" s="53" t="s">
        <v>99</v>
      </c>
      <c r="AD476" s="54"/>
      <c r="AE476" s="55"/>
      <c r="AF476" s="55"/>
      <c r="AG476" s="55"/>
      <c r="AH476" s="56">
        <f t="shared" ref="AH476" si="184">SUM(AD476:AG476)</f>
        <v>0</v>
      </c>
      <c r="AI476" s="54"/>
      <c r="AJ476" s="55">
        <v>3</v>
      </c>
      <c r="AK476" s="55">
        <v>3</v>
      </c>
      <c r="AL476" s="55"/>
      <c r="AM476" s="56">
        <f t="shared" si="178"/>
        <v>6</v>
      </c>
      <c r="AN476" s="54"/>
      <c r="AO476" s="55"/>
      <c r="AP476" s="55"/>
      <c r="AQ476" s="55"/>
      <c r="AR476" s="56">
        <f t="shared" si="181"/>
        <v>0</v>
      </c>
      <c r="AS476" s="54">
        <v>3</v>
      </c>
      <c r="AT476" s="55">
        <v>3</v>
      </c>
      <c r="AU476" s="55">
        <v>3</v>
      </c>
      <c r="AV476" s="55">
        <v>3</v>
      </c>
      <c r="AW476" s="176">
        <f t="shared" si="182"/>
        <v>12</v>
      </c>
      <c r="AX476" s="56">
        <f t="shared" si="176"/>
        <v>18</v>
      </c>
      <c r="AY476" s="329">
        <v>44617</v>
      </c>
      <c r="AZ476" s="326"/>
    </row>
    <row r="477" spans="1:52" x14ac:dyDescent="0.15">
      <c r="A477" s="53" t="s">
        <v>98</v>
      </c>
      <c r="B477" s="54"/>
      <c r="C477" s="55"/>
      <c r="D477" s="55"/>
      <c r="E477" s="55"/>
      <c r="F477" s="56">
        <f t="shared" si="171"/>
        <v>0</v>
      </c>
      <c r="G477" s="54"/>
      <c r="H477" s="55"/>
      <c r="I477" s="55"/>
      <c r="J477" s="55"/>
      <c r="K477" s="56">
        <f t="shared" si="172"/>
        <v>0</v>
      </c>
      <c r="L477" s="54"/>
      <c r="M477" s="55"/>
      <c r="N477" s="55"/>
      <c r="O477" s="55"/>
      <c r="P477" s="56">
        <f t="shared" si="173"/>
        <v>0</v>
      </c>
      <c r="Q477" s="54"/>
      <c r="R477" s="55">
        <v>2</v>
      </c>
      <c r="S477" s="55"/>
      <c r="T477" s="55"/>
      <c r="U477" s="176">
        <f t="shared" si="174"/>
        <v>2</v>
      </c>
      <c r="V477" s="56">
        <f t="shared" si="175"/>
        <v>2</v>
      </c>
      <c r="W477" s="329">
        <v>44613</v>
      </c>
      <c r="X477" s="326"/>
      <c r="Y477" s="326"/>
      <c r="Z477" s="326"/>
      <c r="AC477" s="276" t="s">
        <v>339</v>
      </c>
      <c r="AD477" s="54"/>
      <c r="AE477" s="55"/>
      <c r="AF477" s="55"/>
      <c r="AG477" s="55"/>
      <c r="AH477" s="56">
        <f t="shared" si="177"/>
        <v>0</v>
      </c>
      <c r="AI477" s="54"/>
      <c r="AJ477" s="55"/>
      <c r="AK477" s="55"/>
      <c r="AL477" s="55"/>
      <c r="AM477" s="56">
        <f t="shared" si="178"/>
        <v>0</v>
      </c>
      <c r="AN477" s="54"/>
      <c r="AO477" s="55"/>
      <c r="AP477" s="55"/>
      <c r="AQ477" s="55"/>
      <c r="AR477" s="56">
        <f t="shared" si="181"/>
        <v>0</v>
      </c>
      <c r="AS477" s="54"/>
      <c r="AT477" s="55"/>
      <c r="AU477" s="55"/>
      <c r="AV477" s="55">
        <v>5</v>
      </c>
      <c r="AW477" s="176">
        <f t="shared" si="182"/>
        <v>5</v>
      </c>
      <c r="AX477" s="56">
        <f t="shared" si="176"/>
        <v>5</v>
      </c>
      <c r="AY477" s="329">
        <v>44624</v>
      </c>
      <c r="AZ477" s="326"/>
    </row>
    <row r="478" spans="1:52" x14ac:dyDescent="0.15">
      <c r="A478" s="53" t="s">
        <v>98</v>
      </c>
      <c r="B478" s="54"/>
      <c r="C478" s="55"/>
      <c r="D478" s="55"/>
      <c r="E478" s="55"/>
      <c r="F478" s="56">
        <f t="shared" si="171"/>
        <v>0</v>
      </c>
      <c r="G478" s="54">
        <v>1</v>
      </c>
      <c r="H478" s="55"/>
      <c r="I478" s="55"/>
      <c r="J478" s="55"/>
      <c r="K478" s="56">
        <f t="shared" si="172"/>
        <v>1</v>
      </c>
      <c r="L478" s="54"/>
      <c r="M478" s="55"/>
      <c r="N478" s="55"/>
      <c r="O478" s="55"/>
      <c r="P478" s="56">
        <f t="shared" si="173"/>
        <v>0</v>
      </c>
      <c r="Q478" s="54"/>
      <c r="R478" s="55">
        <v>1</v>
      </c>
      <c r="S478" s="55"/>
      <c r="T478" s="55"/>
      <c r="U478" s="176">
        <f t="shared" si="174"/>
        <v>1</v>
      </c>
      <c r="V478" s="56">
        <f t="shared" si="175"/>
        <v>2</v>
      </c>
      <c r="W478" s="329">
        <v>44616</v>
      </c>
      <c r="X478" s="326"/>
      <c r="Y478" s="326"/>
      <c r="Z478" s="326"/>
      <c r="AC478" s="53" t="s">
        <v>99</v>
      </c>
      <c r="AD478" s="54"/>
      <c r="AE478" s="55"/>
      <c r="AF478" s="55"/>
      <c r="AG478" s="55"/>
      <c r="AH478" s="56">
        <f t="shared" ref="AH478" si="185">SUM(AD478:AG478)</f>
        <v>0</v>
      </c>
      <c r="AI478" s="54">
        <v>3</v>
      </c>
      <c r="AJ478" s="55"/>
      <c r="AK478" s="55"/>
      <c r="AL478" s="55">
        <v>3</v>
      </c>
      <c r="AM478" s="56">
        <f t="shared" si="178"/>
        <v>6</v>
      </c>
      <c r="AN478" s="54"/>
      <c r="AO478" s="55"/>
      <c r="AP478" s="55"/>
      <c r="AQ478" s="55"/>
      <c r="AR478" s="56">
        <f t="shared" si="181"/>
        <v>0</v>
      </c>
      <c r="AS478" s="54"/>
      <c r="AT478" s="55"/>
      <c r="AU478" s="55"/>
      <c r="AV478" s="55"/>
      <c r="AW478" s="56">
        <f t="shared" si="182"/>
        <v>0</v>
      </c>
      <c r="AX478" s="56">
        <f t="shared" si="176"/>
        <v>6</v>
      </c>
      <c r="AY478" s="329">
        <v>44630</v>
      </c>
      <c r="AZ478" s="326"/>
    </row>
    <row r="479" spans="1:52" x14ac:dyDescent="0.15">
      <c r="A479" s="53" t="s">
        <v>340</v>
      </c>
      <c r="B479" s="54"/>
      <c r="C479" s="55"/>
      <c r="D479" s="55"/>
      <c r="E479" s="55"/>
      <c r="F479" s="56">
        <f t="shared" si="171"/>
        <v>0</v>
      </c>
      <c r="G479" s="54"/>
      <c r="H479" s="55"/>
      <c r="I479" s="55">
        <v>1</v>
      </c>
      <c r="J479" s="55"/>
      <c r="K479" s="56">
        <f t="shared" si="172"/>
        <v>1</v>
      </c>
      <c r="L479" s="54"/>
      <c r="M479" s="55"/>
      <c r="N479" s="55"/>
      <c r="O479" s="55"/>
      <c r="P479" s="56">
        <f t="shared" si="173"/>
        <v>0</v>
      </c>
      <c r="Q479" s="54"/>
      <c r="R479" s="55"/>
      <c r="S479" s="55"/>
      <c r="T479" s="55"/>
      <c r="U479" s="176">
        <f t="shared" si="174"/>
        <v>0</v>
      </c>
      <c r="V479" s="56">
        <f t="shared" si="175"/>
        <v>1</v>
      </c>
      <c r="W479" s="329">
        <v>44622</v>
      </c>
      <c r="X479" s="326"/>
      <c r="Y479" s="326"/>
      <c r="Z479" s="326"/>
      <c r="AC479" s="53" t="s">
        <v>99</v>
      </c>
      <c r="AD479" s="55"/>
      <c r="AE479" s="153"/>
      <c r="AF479" s="153"/>
      <c r="AG479" s="168"/>
      <c r="AH479" s="56">
        <f t="shared" ref="AH479" si="186">SUM(AD479:AG479)</f>
        <v>0</v>
      </c>
      <c r="AI479" s="55">
        <v>3</v>
      </c>
      <c r="AJ479" s="153"/>
      <c r="AK479" s="153"/>
      <c r="AL479" s="168"/>
      <c r="AM479" s="56">
        <f t="shared" si="178"/>
        <v>3</v>
      </c>
      <c r="AN479" s="55"/>
      <c r="AO479" s="153"/>
      <c r="AP479" s="153"/>
      <c r="AQ479" s="168"/>
      <c r="AR479" s="56">
        <f t="shared" si="181"/>
        <v>0</v>
      </c>
      <c r="AS479" s="55"/>
      <c r="AT479" s="153"/>
      <c r="AU479" s="153">
        <v>3</v>
      </c>
      <c r="AV479" s="168"/>
      <c r="AW479" s="175">
        <f t="shared" si="182"/>
        <v>3</v>
      </c>
      <c r="AX479" s="49">
        <f t="shared" si="176"/>
        <v>6</v>
      </c>
      <c r="AY479" s="329">
        <v>44650</v>
      </c>
      <c r="AZ479" s="326"/>
    </row>
    <row r="480" spans="1:52" x14ac:dyDescent="0.15">
      <c r="A480" s="53" t="s">
        <v>98</v>
      </c>
      <c r="B480" s="54"/>
      <c r="C480" s="55"/>
      <c r="D480" s="55"/>
      <c r="E480" s="55"/>
      <c r="F480" s="56">
        <f t="shared" si="171"/>
        <v>0</v>
      </c>
      <c r="G480" s="54"/>
      <c r="H480" s="55"/>
      <c r="I480" s="55"/>
      <c r="J480" s="55"/>
      <c r="K480" s="56">
        <f t="shared" si="172"/>
        <v>0</v>
      </c>
      <c r="L480" s="54"/>
      <c r="M480" s="55"/>
      <c r="N480" s="55"/>
      <c r="O480" s="55"/>
      <c r="P480" s="56">
        <f t="shared" si="173"/>
        <v>0</v>
      </c>
      <c r="Q480" s="54"/>
      <c r="R480" s="55"/>
      <c r="S480" s="55">
        <v>1</v>
      </c>
      <c r="T480" s="55"/>
      <c r="U480" s="176">
        <f t="shared" si="174"/>
        <v>1</v>
      </c>
      <c r="V480" s="56">
        <f t="shared" si="175"/>
        <v>1</v>
      </c>
      <c r="W480" s="329">
        <v>44622</v>
      </c>
      <c r="X480" s="326"/>
      <c r="Y480" s="326"/>
      <c r="Z480" s="326"/>
      <c r="AC480" s="268"/>
      <c r="AD480" s="54"/>
      <c r="AE480" s="55"/>
      <c r="AF480" s="55"/>
      <c r="AG480" s="55"/>
      <c r="AH480" s="56">
        <f t="shared" si="177"/>
        <v>0</v>
      </c>
      <c r="AI480" s="54"/>
      <c r="AJ480" s="55"/>
      <c r="AK480" s="55"/>
      <c r="AL480" s="55"/>
      <c r="AM480" s="56">
        <f t="shared" si="178"/>
        <v>0</v>
      </c>
      <c r="AN480" s="54"/>
      <c r="AO480" s="55"/>
      <c r="AP480" s="55"/>
      <c r="AQ480" s="55"/>
      <c r="AR480" s="56">
        <f t="shared" si="181"/>
        <v>0</v>
      </c>
      <c r="AS480" s="54"/>
      <c r="AT480" s="55"/>
      <c r="AU480" s="55"/>
      <c r="AV480" s="55"/>
      <c r="AW480" s="176">
        <f t="shared" si="182"/>
        <v>0</v>
      </c>
      <c r="AX480" s="56">
        <f t="shared" si="176"/>
        <v>0</v>
      </c>
      <c r="AY480" s="325"/>
      <c r="AZ480" s="326"/>
    </row>
    <row r="481" spans="1:52" x14ac:dyDescent="0.15">
      <c r="A481" s="53" t="s">
        <v>310</v>
      </c>
      <c r="B481" s="54"/>
      <c r="C481" s="55"/>
      <c r="D481" s="55"/>
      <c r="E481" s="55"/>
      <c r="F481" s="56">
        <f t="shared" si="171"/>
        <v>0</v>
      </c>
      <c r="G481" s="54"/>
      <c r="H481" s="55"/>
      <c r="I481" s="55"/>
      <c r="J481" s="55"/>
      <c r="K481" s="56">
        <f t="shared" si="172"/>
        <v>0</v>
      </c>
      <c r="L481" s="54">
        <v>6</v>
      </c>
      <c r="M481" s="55"/>
      <c r="N481" s="55">
        <v>25</v>
      </c>
      <c r="O481" s="55">
        <v>1</v>
      </c>
      <c r="P481" s="56">
        <f t="shared" si="173"/>
        <v>32</v>
      </c>
      <c r="Q481" s="54"/>
      <c r="R481" s="55"/>
      <c r="S481" s="55"/>
      <c r="T481" s="55"/>
      <c r="U481" s="176">
        <f t="shared" si="174"/>
        <v>0</v>
      </c>
      <c r="V481" s="56">
        <f t="shared" si="175"/>
        <v>32</v>
      </c>
      <c r="W481" s="329">
        <v>44625</v>
      </c>
      <c r="X481" s="326"/>
      <c r="Y481" s="326"/>
      <c r="Z481" s="326"/>
      <c r="AC481" s="268"/>
      <c r="AD481" s="54"/>
      <c r="AE481" s="55"/>
      <c r="AF481" s="55"/>
      <c r="AG481" s="55"/>
      <c r="AH481" s="56">
        <f t="shared" si="177"/>
        <v>0</v>
      </c>
      <c r="AI481" s="54"/>
      <c r="AJ481" s="55"/>
      <c r="AK481" s="55"/>
      <c r="AL481" s="55"/>
      <c r="AM481" s="56">
        <f t="shared" si="178"/>
        <v>0</v>
      </c>
      <c r="AN481" s="54"/>
      <c r="AO481" s="55"/>
      <c r="AP481" s="55"/>
      <c r="AQ481" s="55"/>
      <c r="AR481" s="56">
        <f t="shared" si="181"/>
        <v>0</v>
      </c>
      <c r="AS481" s="54"/>
      <c r="AT481" s="55"/>
      <c r="AU481" s="55"/>
      <c r="AV481" s="55"/>
      <c r="AW481" s="176">
        <f t="shared" si="182"/>
        <v>0</v>
      </c>
      <c r="AX481" s="56">
        <f t="shared" si="176"/>
        <v>0</v>
      </c>
      <c r="AY481" s="325"/>
      <c r="AZ481" s="326"/>
    </row>
    <row r="482" spans="1:52" x14ac:dyDescent="0.15">
      <c r="A482" s="53" t="s">
        <v>98</v>
      </c>
      <c r="B482" s="54"/>
      <c r="C482" s="55"/>
      <c r="D482" s="55"/>
      <c r="E482" s="55"/>
      <c r="F482" s="56">
        <f t="shared" si="171"/>
        <v>0</v>
      </c>
      <c r="G482" s="54"/>
      <c r="H482" s="55"/>
      <c r="I482" s="55"/>
      <c r="J482" s="55">
        <v>1</v>
      </c>
      <c r="K482" s="56">
        <f t="shared" si="172"/>
        <v>1</v>
      </c>
      <c r="L482" s="54"/>
      <c r="M482" s="55"/>
      <c r="N482" s="55"/>
      <c r="O482" s="55"/>
      <c r="P482" s="56">
        <f t="shared" si="173"/>
        <v>0</v>
      </c>
      <c r="Q482" s="54"/>
      <c r="R482" s="55"/>
      <c r="S482" s="55"/>
      <c r="T482" s="55"/>
      <c r="U482" s="176">
        <f t="shared" si="174"/>
        <v>0</v>
      </c>
      <c r="V482" s="56">
        <f t="shared" si="175"/>
        <v>1</v>
      </c>
      <c r="W482" s="329">
        <v>44627</v>
      </c>
      <c r="X482" s="326"/>
      <c r="Y482" s="326"/>
      <c r="Z482" s="326"/>
      <c r="AC482" s="276"/>
      <c r="AD482" s="55"/>
      <c r="AE482" s="55"/>
      <c r="AF482" s="55"/>
      <c r="AG482" s="166"/>
      <c r="AH482" s="49">
        <f t="shared" si="177"/>
        <v>0</v>
      </c>
      <c r="AI482" s="55"/>
      <c r="AJ482" s="55"/>
      <c r="AK482" s="55"/>
      <c r="AL482" s="166"/>
      <c r="AM482" s="49">
        <f t="shared" si="178"/>
        <v>0</v>
      </c>
      <c r="AN482" s="55"/>
      <c r="AO482" s="55"/>
      <c r="AP482" s="55"/>
      <c r="AQ482" s="166"/>
      <c r="AR482" s="49">
        <f t="shared" si="181"/>
        <v>0</v>
      </c>
      <c r="AS482" s="55"/>
      <c r="AT482" s="55"/>
      <c r="AU482" s="55"/>
      <c r="AV482" s="166"/>
      <c r="AW482" s="175">
        <f t="shared" si="182"/>
        <v>0</v>
      </c>
      <c r="AX482" s="56">
        <f t="shared" si="176"/>
        <v>0</v>
      </c>
      <c r="AY482" s="325"/>
      <c r="AZ482" s="326"/>
    </row>
    <row r="483" spans="1:52" x14ac:dyDescent="0.15">
      <c r="A483" s="53" t="s">
        <v>100</v>
      </c>
      <c r="B483" s="17"/>
      <c r="C483" s="18"/>
      <c r="D483" s="18"/>
      <c r="E483" s="18"/>
      <c r="F483" s="30">
        <f t="shared" si="171"/>
        <v>0</v>
      </c>
      <c r="G483" s="17">
        <v>1</v>
      </c>
      <c r="H483" s="18"/>
      <c r="I483" s="18"/>
      <c r="J483" s="18"/>
      <c r="K483" s="30">
        <f t="shared" si="172"/>
        <v>1</v>
      </c>
      <c r="L483" s="17"/>
      <c r="M483" s="18"/>
      <c r="N483" s="18"/>
      <c r="O483" s="18"/>
      <c r="P483" s="30">
        <f t="shared" si="173"/>
        <v>0</v>
      </c>
      <c r="Q483" s="17"/>
      <c r="R483" s="18"/>
      <c r="S483" s="18"/>
      <c r="T483" s="18"/>
      <c r="U483" s="178">
        <f t="shared" si="174"/>
        <v>0</v>
      </c>
      <c r="V483" s="56">
        <f t="shared" si="175"/>
        <v>1</v>
      </c>
      <c r="W483" s="329">
        <v>44630</v>
      </c>
      <c r="X483" s="326"/>
      <c r="Y483" s="326"/>
      <c r="Z483" s="326"/>
      <c r="AC483" s="277"/>
      <c r="AD483" s="17"/>
      <c r="AE483" s="18"/>
      <c r="AF483" s="18"/>
      <c r="AG483" s="18"/>
      <c r="AH483" s="30">
        <f t="shared" si="177"/>
        <v>0</v>
      </c>
      <c r="AI483" s="17"/>
      <c r="AJ483" s="18"/>
      <c r="AK483" s="18"/>
      <c r="AL483" s="18"/>
      <c r="AM483" s="30">
        <f t="shared" si="178"/>
        <v>0</v>
      </c>
      <c r="AN483" s="17"/>
      <c r="AO483" s="18"/>
      <c r="AP483" s="18"/>
      <c r="AQ483" s="18"/>
      <c r="AR483" s="30">
        <f t="shared" si="181"/>
        <v>0</v>
      </c>
      <c r="AS483" s="17"/>
      <c r="AT483" s="18"/>
      <c r="AU483" s="18"/>
      <c r="AV483" s="18"/>
      <c r="AW483" s="178">
        <f t="shared" si="182"/>
        <v>0</v>
      </c>
      <c r="AX483" s="56">
        <f t="shared" si="176"/>
        <v>0</v>
      </c>
      <c r="AY483" s="325"/>
      <c r="AZ483" s="326"/>
    </row>
    <row r="484" spans="1:52" x14ac:dyDescent="0.15">
      <c r="A484" s="53" t="s">
        <v>98</v>
      </c>
      <c r="B484" s="54"/>
      <c r="C484" s="55"/>
      <c r="D484" s="55"/>
      <c r="E484" s="55"/>
      <c r="F484" s="56">
        <f t="shared" si="171"/>
        <v>0</v>
      </c>
      <c r="G484" s="54">
        <v>1</v>
      </c>
      <c r="H484" s="55"/>
      <c r="I484" s="55"/>
      <c r="J484" s="55"/>
      <c r="K484" s="56">
        <f t="shared" si="172"/>
        <v>1</v>
      </c>
      <c r="L484" s="54"/>
      <c r="M484" s="55"/>
      <c r="N484" s="55"/>
      <c r="O484" s="55"/>
      <c r="P484" s="56">
        <f t="shared" si="173"/>
        <v>0</v>
      </c>
      <c r="Q484" s="54"/>
      <c r="R484" s="55"/>
      <c r="S484" s="55"/>
      <c r="T484" s="55"/>
      <c r="U484" s="176">
        <f t="shared" si="174"/>
        <v>0</v>
      </c>
      <c r="V484" s="56">
        <f t="shared" si="175"/>
        <v>1</v>
      </c>
      <c r="W484" s="328">
        <v>44630</v>
      </c>
      <c r="X484" s="326"/>
      <c r="Y484" s="326"/>
      <c r="Z484" s="326"/>
      <c r="AC484" s="276"/>
      <c r="AD484" s="54"/>
      <c r="AE484" s="55"/>
      <c r="AF484" s="55"/>
      <c r="AG484" s="55"/>
      <c r="AH484" s="56">
        <f t="shared" si="177"/>
        <v>0</v>
      </c>
      <c r="AI484" s="54"/>
      <c r="AJ484" s="55"/>
      <c r="AK484" s="55"/>
      <c r="AL484" s="55"/>
      <c r="AM484" s="56">
        <f t="shared" si="178"/>
        <v>0</v>
      </c>
      <c r="AN484" s="54"/>
      <c r="AO484" s="55"/>
      <c r="AP484" s="55"/>
      <c r="AQ484" s="55"/>
      <c r="AR484" s="56">
        <f t="shared" si="181"/>
        <v>0</v>
      </c>
      <c r="AS484" s="54"/>
      <c r="AT484" s="55"/>
      <c r="AU484" s="55"/>
      <c r="AV484" s="55"/>
      <c r="AW484" s="176">
        <f t="shared" si="182"/>
        <v>0</v>
      </c>
      <c r="AX484" s="56">
        <f t="shared" si="176"/>
        <v>0</v>
      </c>
      <c r="AY484" s="325"/>
      <c r="AZ484" s="326"/>
    </row>
    <row r="485" spans="1:52" x14ac:dyDescent="0.15">
      <c r="A485" s="53" t="s">
        <v>98</v>
      </c>
      <c r="B485" s="54"/>
      <c r="C485" s="55"/>
      <c r="D485" s="55"/>
      <c r="E485" s="55"/>
      <c r="F485" s="56">
        <f t="shared" si="171"/>
        <v>0</v>
      </c>
      <c r="G485" s="54"/>
      <c r="H485" s="55"/>
      <c r="I485" s="55"/>
      <c r="J485" s="55"/>
      <c r="K485" s="56">
        <f t="shared" si="172"/>
        <v>0</v>
      </c>
      <c r="L485" s="54"/>
      <c r="M485" s="55"/>
      <c r="N485" s="55"/>
      <c r="O485" s="55"/>
      <c r="P485" s="56">
        <f t="shared" si="173"/>
        <v>0</v>
      </c>
      <c r="Q485" s="54"/>
      <c r="R485" s="55"/>
      <c r="S485" s="55">
        <v>1</v>
      </c>
      <c r="T485" s="55"/>
      <c r="U485" s="176">
        <f t="shared" si="174"/>
        <v>1</v>
      </c>
      <c r="V485" s="56">
        <f t="shared" si="175"/>
        <v>1</v>
      </c>
      <c r="W485" s="328">
        <v>44631</v>
      </c>
      <c r="X485" s="326"/>
      <c r="Y485" s="326"/>
      <c r="Z485" s="326"/>
      <c r="AC485" s="277"/>
      <c r="AD485" s="54"/>
      <c r="AE485" s="55"/>
      <c r="AF485" s="55"/>
      <c r="AG485" s="55"/>
      <c r="AH485" s="56">
        <f t="shared" si="177"/>
        <v>0</v>
      </c>
      <c r="AI485" s="54"/>
      <c r="AJ485" s="55"/>
      <c r="AK485" s="55"/>
      <c r="AL485" s="55"/>
      <c r="AM485" s="56">
        <f t="shared" si="178"/>
        <v>0</v>
      </c>
      <c r="AN485" s="54"/>
      <c r="AO485" s="55"/>
      <c r="AP485" s="55"/>
      <c r="AQ485" s="55"/>
      <c r="AR485" s="56">
        <f t="shared" si="181"/>
        <v>0</v>
      </c>
      <c r="AS485" s="54"/>
      <c r="AT485" s="55"/>
      <c r="AU485" s="55"/>
      <c r="AV485" s="55"/>
      <c r="AW485" s="176">
        <f t="shared" si="182"/>
        <v>0</v>
      </c>
      <c r="AX485" s="56">
        <f t="shared" si="176"/>
        <v>0</v>
      </c>
      <c r="AY485" s="325"/>
      <c r="AZ485" s="326"/>
    </row>
    <row r="486" spans="1:52" x14ac:dyDescent="0.15">
      <c r="A486" s="53" t="s">
        <v>98</v>
      </c>
      <c r="B486" s="54"/>
      <c r="C486" s="55"/>
      <c r="D486" s="55"/>
      <c r="E486" s="55"/>
      <c r="F486" s="56">
        <f t="shared" si="171"/>
        <v>0</v>
      </c>
      <c r="G486" s="54"/>
      <c r="H486" s="55"/>
      <c r="I486" s="55"/>
      <c r="J486" s="55"/>
      <c r="K486" s="56">
        <f t="shared" si="172"/>
        <v>0</v>
      </c>
      <c r="L486" s="54"/>
      <c r="M486" s="55"/>
      <c r="N486" s="55"/>
      <c r="O486" s="55"/>
      <c r="P486" s="56">
        <f t="shared" si="173"/>
        <v>0</v>
      </c>
      <c r="Q486" s="54"/>
      <c r="R486" s="55"/>
      <c r="S486" s="55"/>
      <c r="T486" s="55">
        <v>1</v>
      </c>
      <c r="U486" s="176">
        <f t="shared" si="174"/>
        <v>1</v>
      </c>
      <c r="V486" s="56">
        <f t="shared" si="175"/>
        <v>1</v>
      </c>
      <c r="W486" s="329">
        <v>44634</v>
      </c>
      <c r="X486" s="326"/>
      <c r="Y486" s="326"/>
      <c r="Z486" s="326"/>
      <c r="AC486" s="276"/>
      <c r="AD486" s="54"/>
      <c r="AE486" s="55"/>
      <c r="AF486" s="55"/>
      <c r="AG486" s="55"/>
      <c r="AH486" s="56">
        <f t="shared" si="177"/>
        <v>0</v>
      </c>
      <c r="AI486" s="54"/>
      <c r="AJ486" s="55"/>
      <c r="AK486" s="55"/>
      <c r="AL486" s="55"/>
      <c r="AM486" s="56">
        <f t="shared" si="178"/>
        <v>0</v>
      </c>
      <c r="AN486" s="54"/>
      <c r="AO486" s="55"/>
      <c r="AP486" s="55"/>
      <c r="AQ486" s="55"/>
      <c r="AR486" s="56">
        <f t="shared" si="181"/>
        <v>0</v>
      </c>
      <c r="AS486" s="54"/>
      <c r="AT486" s="55"/>
      <c r="AU486" s="55"/>
      <c r="AV486" s="55"/>
      <c r="AW486" s="176">
        <f t="shared" si="182"/>
        <v>0</v>
      </c>
      <c r="AX486" s="56">
        <f t="shared" si="176"/>
        <v>0</v>
      </c>
      <c r="AY486" s="325"/>
      <c r="AZ486" s="326"/>
    </row>
    <row r="487" spans="1:52" x14ac:dyDescent="0.15">
      <c r="A487" s="53" t="s">
        <v>98</v>
      </c>
      <c r="B487" s="54"/>
      <c r="C487" s="55"/>
      <c r="D487" s="55"/>
      <c r="E487" s="55"/>
      <c r="F487" s="56">
        <f t="shared" si="171"/>
        <v>0</v>
      </c>
      <c r="G487" s="54"/>
      <c r="H487" s="55">
        <v>1</v>
      </c>
      <c r="I487" s="55"/>
      <c r="J487" s="55"/>
      <c r="K487" s="56">
        <f t="shared" si="172"/>
        <v>1</v>
      </c>
      <c r="L487" s="54"/>
      <c r="M487" s="55"/>
      <c r="N487" s="55"/>
      <c r="O487" s="55"/>
      <c r="P487" s="56">
        <f t="shared" si="173"/>
        <v>0</v>
      </c>
      <c r="Q487" s="54"/>
      <c r="R487" s="55"/>
      <c r="S487" s="55"/>
      <c r="T487" s="55"/>
      <c r="U487" s="176">
        <f t="shared" si="174"/>
        <v>0</v>
      </c>
      <c r="V487" s="56">
        <f t="shared" si="175"/>
        <v>1</v>
      </c>
      <c r="W487" s="328">
        <v>44635</v>
      </c>
      <c r="X487" s="326"/>
      <c r="Y487" s="326"/>
      <c r="Z487" s="326"/>
      <c r="AC487" s="277"/>
      <c r="AD487" s="54"/>
      <c r="AE487" s="55"/>
      <c r="AF487" s="55"/>
      <c r="AG487" s="55"/>
      <c r="AH487" s="56">
        <f t="shared" si="177"/>
        <v>0</v>
      </c>
      <c r="AI487" s="54"/>
      <c r="AJ487" s="55"/>
      <c r="AK487" s="55"/>
      <c r="AL487" s="55"/>
      <c r="AM487" s="56">
        <f t="shared" si="178"/>
        <v>0</v>
      </c>
      <c r="AN487" s="54"/>
      <c r="AO487" s="55"/>
      <c r="AP487" s="55"/>
      <c r="AQ487" s="55"/>
      <c r="AR487" s="56">
        <f t="shared" si="181"/>
        <v>0</v>
      </c>
      <c r="AS487" s="54"/>
      <c r="AT487" s="55"/>
      <c r="AU487" s="55"/>
      <c r="AV487" s="55"/>
      <c r="AW487" s="176">
        <f t="shared" si="182"/>
        <v>0</v>
      </c>
      <c r="AX487" s="56">
        <f t="shared" si="176"/>
        <v>0</v>
      </c>
      <c r="AY487" s="325"/>
      <c r="AZ487" s="326"/>
    </row>
    <row r="488" spans="1:52" x14ac:dyDescent="0.15">
      <c r="A488" s="53" t="s">
        <v>98</v>
      </c>
      <c r="B488" s="54"/>
      <c r="C488" s="55"/>
      <c r="D488" s="55"/>
      <c r="E488" s="55"/>
      <c r="F488" s="56">
        <f t="shared" si="171"/>
        <v>0</v>
      </c>
      <c r="G488" s="54"/>
      <c r="H488" s="55"/>
      <c r="I488" s="55"/>
      <c r="J488" s="55"/>
      <c r="K488" s="56">
        <f t="shared" si="172"/>
        <v>0</v>
      </c>
      <c r="L488" s="54"/>
      <c r="M488" s="55"/>
      <c r="N488" s="55"/>
      <c r="O488" s="55"/>
      <c r="P488" s="56">
        <f t="shared" si="173"/>
        <v>0</v>
      </c>
      <c r="Q488" s="54"/>
      <c r="R488" s="55"/>
      <c r="S488" s="55">
        <v>1</v>
      </c>
      <c r="T488" s="55"/>
      <c r="U488" s="176">
        <f t="shared" si="174"/>
        <v>1</v>
      </c>
      <c r="V488" s="56">
        <f t="shared" si="175"/>
        <v>1</v>
      </c>
      <c r="W488" s="328">
        <v>44639</v>
      </c>
      <c r="X488" s="326"/>
      <c r="Y488" s="326"/>
      <c r="Z488" s="326"/>
      <c r="AC488" s="276"/>
      <c r="AD488" s="54"/>
      <c r="AE488" s="55"/>
      <c r="AF488" s="55"/>
      <c r="AG488" s="55"/>
      <c r="AH488" s="56">
        <f t="shared" si="177"/>
        <v>0</v>
      </c>
      <c r="AI488" s="54"/>
      <c r="AJ488" s="55"/>
      <c r="AK488" s="55"/>
      <c r="AL488" s="55"/>
      <c r="AM488" s="56">
        <f t="shared" si="178"/>
        <v>0</v>
      </c>
      <c r="AN488" s="54"/>
      <c r="AO488" s="55"/>
      <c r="AP488" s="55"/>
      <c r="AQ488" s="55"/>
      <c r="AR488" s="56">
        <f t="shared" si="181"/>
        <v>0</v>
      </c>
      <c r="AS488" s="54"/>
      <c r="AT488" s="55"/>
      <c r="AU488" s="55"/>
      <c r="AV488" s="55"/>
      <c r="AW488" s="176">
        <f t="shared" si="182"/>
        <v>0</v>
      </c>
      <c r="AX488" s="56">
        <f t="shared" si="176"/>
        <v>0</v>
      </c>
      <c r="AY488" s="325"/>
      <c r="AZ488" s="326"/>
    </row>
    <row r="489" spans="1:52" x14ac:dyDescent="0.15">
      <c r="A489" s="53" t="s">
        <v>98</v>
      </c>
      <c r="B489" s="54"/>
      <c r="C489" s="55"/>
      <c r="D489" s="55"/>
      <c r="E489" s="55"/>
      <c r="F489" s="56">
        <f t="shared" si="171"/>
        <v>0</v>
      </c>
      <c r="G489" s="54"/>
      <c r="H489" s="55"/>
      <c r="I489" s="55"/>
      <c r="J489" s="55"/>
      <c r="K489" s="56">
        <f t="shared" si="172"/>
        <v>0</v>
      </c>
      <c r="L489" s="54"/>
      <c r="M489" s="55"/>
      <c r="N489" s="55"/>
      <c r="O489" s="55">
        <v>1</v>
      </c>
      <c r="P489" s="56">
        <f t="shared" si="173"/>
        <v>1</v>
      </c>
      <c r="Q489" s="54"/>
      <c r="R489" s="55"/>
      <c r="S489" s="55">
        <v>1</v>
      </c>
      <c r="T489" s="55"/>
      <c r="U489" s="176">
        <f t="shared" si="174"/>
        <v>1</v>
      </c>
      <c r="V489" s="56">
        <f t="shared" si="175"/>
        <v>2</v>
      </c>
      <c r="W489" s="329">
        <v>44642</v>
      </c>
      <c r="X489" s="326"/>
      <c r="Y489" s="326"/>
      <c r="Z489" s="326"/>
      <c r="AC489" s="277"/>
      <c r="AD489" s="55"/>
      <c r="AE489" s="55"/>
      <c r="AF489" s="55"/>
      <c r="AG489" s="166"/>
      <c r="AH489" s="49">
        <f t="shared" si="177"/>
        <v>0</v>
      </c>
      <c r="AI489" s="55"/>
      <c r="AJ489" s="55"/>
      <c r="AK489" s="55"/>
      <c r="AL489" s="166"/>
      <c r="AM489" s="49">
        <f t="shared" si="178"/>
        <v>0</v>
      </c>
      <c r="AN489" s="55"/>
      <c r="AO489" s="55"/>
      <c r="AP489" s="55"/>
      <c r="AQ489" s="166"/>
      <c r="AR489" s="49">
        <f t="shared" si="181"/>
        <v>0</v>
      </c>
      <c r="AS489" s="55"/>
      <c r="AT489" s="55"/>
      <c r="AU489" s="55"/>
      <c r="AV489" s="166"/>
      <c r="AW489" s="175">
        <f t="shared" si="182"/>
        <v>0</v>
      </c>
      <c r="AX489" s="56">
        <f t="shared" si="176"/>
        <v>0</v>
      </c>
      <c r="AY489" s="325"/>
      <c r="AZ489" s="326"/>
    </row>
    <row r="490" spans="1:52" x14ac:dyDescent="0.15">
      <c r="A490" s="53" t="s">
        <v>98</v>
      </c>
      <c r="B490" s="54"/>
      <c r="C490" s="55"/>
      <c r="D490" s="55"/>
      <c r="E490" s="55"/>
      <c r="F490" s="56">
        <f t="shared" si="171"/>
        <v>0</v>
      </c>
      <c r="G490" s="54"/>
      <c r="H490" s="55"/>
      <c r="I490" s="55"/>
      <c r="J490" s="55"/>
      <c r="K490" s="56">
        <f t="shared" si="172"/>
        <v>0</v>
      </c>
      <c r="L490" s="54">
        <v>1</v>
      </c>
      <c r="M490" s="55"/>
      <c r="N490" s="55"/>
      <c r="O490" s="55"/>
      <c r="P490" s="56">
        <f t="shared" si="173"/>
        <v>1</v>
      </c>
      <c r="Q490" s="54"/>
      <c r="R490" s="55"/>
      <c r="S490" s="55"/>
      <c r="T490" s="55"/>
      <c r="U490" s="176">
        <f t="shared" si="174"/>
        <v>0</v>
      </c>
      <c r="V490" s="56">
        <f t="shared" si="175"/>
        <v>1</v>
      </c>
      <c r="W490" s="328">
        <v>44645</v>
      </c>
      <c r="X490" s="326"/>
      <c r="Y490" s="326"/>
      <c r="Z490" s="326"/>
      <c r="AC490" s="277"/>
      <c r="AD490" s="54"/>
      <c r="AE490" s="55"/>
      <c r="AF490" s="55"/>
      <c r="AG490" s="55"/>
      <c r="AH490" s="56">
        <f t="shared" si="177"/>
        <v>0</v>
      </c>
      <c r="AI490" s="54"/>
      <c r="AJ490" s="55"/>
      <c r="AK490" s="55"/>
      <c r="AL490" s="55"/>
      <c r="AM490" s="56">
        <f t="shared" si="178"/>
        <v>0</v>
      </c>
      <c r="AN490" s="54"/>
      <c r="AO490" s="55"/>
      <c r="AP490" s="55"/>
      <c r="AQ490" s="55"/>
      <c r="AR490" s="56">
        <f t="shared" si="181"/>
        <v>0</v>
      </c>
      <c r="AS490" s="54"/>
      <c r="AT490" s="55"/>
      <c r="AU490" s="55"/>
      <c r="AV490" s="55"/>
      <c r="AW490" s="176">
        <f t="shared" si="182"/>
        <v>0</v>
      </c>
      <c r="AX490" s="56">
        <f t="shared" si="176"/>
        <v>0</v>
      </c>
      <c r="AY490" s="325"/>
      <c r="AZ490" s="326"/>
    </row>
    <row r="491" spans="1:52" x14ac:dyDescent="0.15">
      <c r="A491" s="53" t="s">
        <v>98</v>
      </c>
      <c r="B491" s="54"/>
      <c r="C491" s="55"/>
      <c r="D491" s="55"/>
      <c r="E491" s="55"/>
      <c r="F491" s="56">
        <f t="shared" si="171"/>
        <v>0</v>
      </c>
      <c r="G491" s="54">
        <f>1+1</f>
        <v>2</v>
      </c>
      <c r="H491" s="55"/>
      <c r="I491" s="55"/>
      <c r="J491" s="55">
        <v>1</v>
      </c>
      <c r="K491" s="56">
        <f t="shared" si="172"/>
        <v>3</v>
      </c>
      <c r="L491" s="54"/>
      <c r="M491" s="55"/>
      <c r="N491" s="55"/>
      <c r="O491" s="55"/>
      <c r="P491" s="56">
        <f t="shared" si="173"/>
        <v>0</v>
      </c>
      <c r="Q491" s="54"/>
      <c r="R491" s="55"/>
      <c r="S491" s="55"/>
      <c r="T491" s="55"/>
      <c r="U491" s="176">
        <f t="shared" si="174"/>
        <v>0</v>
      </c>
      <c r="V491" s="56">
        <f t="shared" si="175"/>
        <v>3</v>
      </c>
      <c r="W491" s="329">
        <v>44648</v>
      </c>
      <c r="X491" s="326"/>
      <c r="Y491" s="326"/>
      <c r="Z491" s="326"/>
      <c r="AC491" s="276"/>
      <c r="AD491" s="54"/>
      <c r="AE491" s="55"/>
      <c r="AF491" s="55"/>
      <c r="AG491" s="55"/>
      <c r="AH491" s="56">
        <f t="shared" si="177"/>
        <v>0</v>
      </c>
      <c r="AI491" s="54"/>
      <c r="AJ491" s="55"/>
      <c r="AK491" s="55"/>
      <c r="AL491" s="55"/>
      <c r="AM491" s="56">
        <f t="shared" si="178"/>
        <v>0</v>
      </c>
      <c r="AN491" s="54"/>
      <c r="AO491" s="55"/>
      <c r="AP491" s="55"/>
      <c r="AQ491" s="55"/>
      <c r="AR491" s="56">
        <f t="shared" si="181"/>
        <v>0</v>
      </c>
      <c r="AS491" s="54"/>
      <c r="AT491" s="55"/>
      <c r="AU491" s="55"/>
      <c r="AV491" s="55"/>
      <c r="AW491" s="176">
        <f t="shared" si="182"/>
        <v>0</v>
      </c>
      <c r="AX491" s="56">
        <f t="shared" si="176"/>
        <v>0</v>
      </c>
      <c r="AY491" s="325"/>
      <c r="AZ491" s="326"/>
    </row>
    <row r="492" spans="1:52" x14ac:dyDescent="0.15">
      <c r="A492" s="53" t="s">
        <v>98</v>
      </c>
      <c r="B492" s="54"/>
      <c r="C492" s="55"/>
      <c r="D492" s="55"/>
      <c r="E492" s="55"/>
      <c r="F492" s="56">
        <f t="shared" si="171"/>
        <v>0</v>
      </c>
      <c r="G492" s="54"/>
      <c r="H492" s="55">
        <v>1</v>
      </c>
      <c r="I492" s="55"/>
      <c r="J492" s="55"/>
      <c r="K492" s="56">
        <f t="shared" si="172"/>
        <v>1</v>
      </c>
      <c r="L492" s="54"/>
      <c r="M492" s="55"/>
      <c r="N492" s="55"/>
      <c r="O492" s="55"/>
      <c r="P492" s="56">
        <f t="shared" si="173"/>
        <v>0</v>
      </c>
      <c r="Q492" s="54"/>
      <c r="R492" s="55"/>
      <c r="S492" s="55"/>
      <c r="T492" s="55"/>
      <c r="U492" s="176">
        <f t="shared" si="174"/>
        <v>0</v>
      </c>
      <c r="V492" s="56">
        <f t="shared" si="175"/>
        <v>1</v>
      </c>
      <c r="W492" s="328">
        <v>44651</v>
      </c>
      <c r="X492" s="326"/>
      <c r="Y492" s="326"/>
      <c r="Z492" s="326"/>
      <c r="AC492" s="276"/>
      <c r="AD492" s="63"/>
      <c r="AE492" s="63"/>
      <c r="AF492" s="63"/>
      <c r="AG492" s="167"/>
      <c r="AH492" s="64">
        <f t="shared" si="177"/>
        <v>0</v>
      </c>
      <c r="AI492" s="63"/>
      <c r="AJ492" s="63"/>
      <c r="AK492" s="63"/>
      <c r="AL492" s="167"/>
      <c r="AM492" s="64">
        <f t="shared" si="178"/>
        <v>0</v>
      </c>
      <c r="AN492" s="63"/>
      <c r="AO492" s="63"/>
      <c r="AP492" s="63"/>
      <c r="AQ492" s="167"/>
      <c r="AR492" s="64">
        <f t="shared" si="181"/>
        <v>0</v>
      </c>
      <c r="AS492" s="63"/>
      <c r="AT492" s="63"/>
      <c r="AU492" s="63"/>
      <c r="AV492" s="167"/>
      <c r="AW492" s="162">
        <f t="shared" si="182"/>
        <v>0</v>
      </c>
      <c r="AX492" s="56">
        <f t="shared" si="176"/>
        <v>0</v>
      </c>
      <c r="AY492" s="325"/>
      <c r="AZ492" s="326"/>
    </row>
    <row r="493" spans="1:52" x14ac:dyDescent="0.15">
      <c r="A493" s="53"/>
      <c r="B493" s="54"/>
      <c r="C493" s="55"/>
      <c r="D493" s="55"/>
      <c r="E493" s="55"/>
      <c r="F493" s="56">
        <f t="shared" si="171"/>
        <v>0</v>
      </c>
      <c r="G493" s="54"/>
      <c r="H493" s="55"/>
      <c r="I493" s="55"/>
      <c r="J493" s="55"/>
      <c r="K493" s="56">
        <f t="shared" si="172"/>
        <v>0</v>
      </c>
      <c r="L493" s="54"/>
      <c r="M493" s="55"/>
      <c r="N493" s="55"/>
      <c r="O493" s="55"/>
      <c r="P493" s="56">
        <f t="shared" si="173"/>
        <v>0</v>
      </c>
      <c r="Q493" s="54"/>
      <c r="R493" s="55"/>
      <c r="S493" s="55"/>
      <c r="T493" s="55"/>
      <c r="U493" s="176">
        <f t="shared" si="174"/>
        <v>0</v>
      </c>
      <c r="V493" s="56">
        <f t="shared" si="175"/>
        <v>0</v>
      </c>
      <c r="W493" s="329"/>
      <c r="X493" s="326"/>
      <c r="Y493" s="326"/>
      <c r="Z493" s="326"/>
      <c r="AC493" s="277"/>
      <c r="AD493" s="54"/>
      <c r="AE493" s="55"/>
      <c r="AF493" s="55"/>
      <c r="AG493" s="55"/>
      <c r="AH493" s="56">
        <f t="shared" si="177"/>
        <v>0</v>
      </c>
      <c r="AI493" s="54"/>
      <c r="AJ493" s="55"/>
      <c r="AK493" s="55"/>
      <c r="AL493" s="55"/>
      <c r="AM493" s="56">
        <f t="shared" si="178"/>
        <v>0</v>
      </c>
      <c r="AN493" s="54"/>
      <c r="AO493" s="55"/>
      <c r="AP493" s="55"/>
      <c r="AQ493" s="55"/>
      <c r="AR493" s="56">
        <f t="shared" si="181"/>
        <v>0</v>
      </c>
      <c r="AS493" s="54"/>
      <c r="AT493" s="55"/>
      <c r="AU493" s="55"/>
      <c r="AV493" s="55"/>
      <c r="AW493" s="176">
        <f t="shared" si="182"/>
        <v>0</v>
      </c>
      <c r="AX493" s="56">
        <f t="shared" si="176"/>
        <v>0</v>
      </c>
      <c r="AY493" s="325"/>
      <c r="AZ493" s="326"/>
    </row>
    <row r="494" spans="1:52" x14ac:dyDescent="0.15">
      <c r="A494" s="53"/>
      <c r="B494" s="17"/>
      <c r="C494" s="18"/>
      <c r="D494" s="18"/>
      <c r="E494" s="18"/>
      <c r="F494" s="30">
        <f t="shared" si="171"/>
        <v>0</v>
      </c>
      <c r="G494" s="17"/>
      <c r="H494" s="18"/>
      <c r="I494" s="18"/>
      <c r="J494" s="18"/>
      <c r="K494" s="30">
        <f t="shared" si="172"/>
        <v>0</v>
      </c>
      <c r="L494" s="17"/>
      <c r="M494" s="18"/>
      <c r="N494" s="18"/>
      <c r="O494" s="18"/>
      <c r="P494" s="30">
        <f t="shared" si="173"/>
        <v>0</v>
      </c>
      <c r="Q494" s="17"/>
      <c r="R494" s="18"/>
      <c r="S494" s="18"/>
      <c r="T494" s="18"/>
      <c r="U494" s="178">
        <f t="shared" si="174"/>
        <v>0</v>
      </c>
      <c r="V494" s="56">
        <f t="shared" si="175"/>
        <v>0</v>
      </c>
      <c r="W494" s="328"/>
      <c r="X494" s="326"/>
      <c r="Y494" s="326"/>
      <c r="Z494" s="326"/>
      <c r="AC494" s="276"/>
      <c r="AD494" s="54"/>
      <c r="AE494" s="55"/>
      <c r="AF494" s="55"/>
      <c r="AG494" s="55"/>
      <c r="AH494" s="56">
        <f t="shared" si="177"/>
        <v>0</v>
      </c>
      <c r="AI494" s="54"/>
      <c r="AJ494" s="55"/>
      <c r="AK494" s="55"/>
      <c r="AL494" s="55"/>
      <c r="AM494" s="56">
        <f t="shared" si="178"/>
        <v>0</v>
      </c>
      <c r="AN494" s="54"/>
      <c r="AO494" s="55"/>
      <c r="AP494" s="55"/>
      <c r="AQ494" s="55"/>
      <c r="AR494" s="56">
        <f t="shared" si="181"/>
        <v>0</v>
      </c>
      <c r="AS494" s="54"/>
      <c r="AT494" s="55"/>
      <c r="AU494" s="55"/>
      <c r="AV494" s="55"/>
      <c r="AW494" s="176">
        <f t="shared" si="182"/>
        <v>0</v>
      </c>
      <c r="AX494" s="56">
        <f t="shared" si="176"/>
        <v>0</v>
      </c>
      <c r="AY494" s="325"/>
      <c r="AZ494" s="326"/>
    </row>
    <row r="495" spans="1:52" x14ac:dyDescent="0.15">
      <c r="A495" s="53"/>
      <c r="B495" s="54"/>
      <c r="C495" s="55"/>
      <c r="D495" s="55"/>
      <c r="E495" s="55"/>
      <c r="F495" s="56">
        <f t="shared" si="171"/>
        <v>0</v>
      </c>
      <c r="G495" s="54"/>
      <c r="H495" s="55"/>
      <c r="I495" s="55"/>
      <c r="J495" s="55"/>
      <c r="K495" s="56">
        <f t="shared" si="172"/>
        <v>0</v>
      </c>
      <c r="L495" s="54"/>
      <c r="M495" s="55"/>
      <c r="N495" s="55"/>
      <c r="O495" s="55"/>
      <c r="P495" s="56">
        <f t="shared" si="173"/>
        <v>0</v>
      </c>
      <c r="Q495" s="54"/>
      <c r="R495" s="55"/>
      <c r="S495" s="55"/>
      <c r="T495" s="55"/>
      <c r="U495" s="176">
        <f t="shared" si="174"/>
        <v>0</v>
      </c>
      <c r="V495" s="56">
        <f t="shared" si="175"/>
        <v>0</v>
      </c>
      <c r="W495" s="328"/>
      <c r="X495" s="326"/>
      <c r="Y495" s="326"/>
      <c r="Z495" s="326"/>
      <c r="AC495" s="277"/>
      <c r="AD495" s="54"/>
      <c r="AE495" s="55"/>
      <c r="AF495" s="55"/>
      <c r="AG495" s="55"/>
      <c r="AH495" s="56">
        <f t="shared" si="177"/>
        <v>0</v>
      </c>
      <c r="AI495" s="54"/>
      <c r="AJ495" s="55"/>
      <c r="AK495" s="55"/>
      <c r="AL495" s="55"/>
      <c r="AM495" s="56">
        <f t="shared" si="178"/>
        <v>0</v>
      </c>
      <c r="AN495" s="54"/>
      <c r="AO495" s="55"/>
      <c r="AP495" s="55"/>
      <c r="AQ495" s="55"/>
      <c r="AR495" s="56">
        <f t="shared" si="181"/>
        <v>0</v>
      </c>
      <c r="AS495" s="54"/>
      <c r="AT495" s="55"/>
      <c r="AU495" s="55"/>
      <c r="AV495" s="55"/>
      <c r="AW495" s="176">
        <f t="shared" si="182"/>
        <v>0</v>
      </c>
      <c r="AX495" s="56">
        <f t="shared" si="176"/>
        <v>0</v>
      </c>
      <c r="AY495" s="325"/>
      <c r="AZ495" s="326"/>
    </row>
    <row r="496" spans="1:52" x14ac:dyDescent="0.15">
      <c r="A496" s="53"/>
      <c r="B496" s="62"/>
      <c r="C496" s="63"/>
      <c r="D496" s="63"/>
      <c r="E496" s="63"/>
      <c r="F496" s="56">
        <f t="shared" si="171"/>
        <v>0</v>
      </c>
      <c r="G496" s="62"/>
      <c r="H496" s="63"/>
      <c r="I496" s="63"/>
      <c r="J496" s="63"/>
      <c r="K496" s="56">
        <f t="shared" si="172"/>
        <v>0</v>
      </c>
      <c r="L496" s="62"/>
      <c r="M496" s="63"/>
      <c r="N496" s="63"/>
      <c r="O496" s="63"/>
      <c r="P496" s="56">
        <f t="shared" si="173"/>
        <v>0</v>
      </c>
      <c r="Q496" s="62"/>
      <c r="R496" s="63"/>
      <c r="S496" s="63"/>
      <c r="T496" s="63"/>
      <c r="U496" s="176">
        <f t="shared" si="174"/>
        <v>0</v>
      </c>
      <c r="V496" s="56">
        <f t="shared" si="175"/>
        <v>0</v>
      </c>
      <c r="W496" s="328"/>
      <c r="X496" s="326"/>
      <c r="Y496" s="326"/>
      <c r="Z496" s="326"/>
      <c r="AC496" s="268"/>
      <c r="AD496" s="62"/>
      <c r="AE496" s="63"/>
      <c r="AF496" s="63"/>
      <c r="AG496" s="63"/>
      <c r="AH496" s="56">
        <f t="shared" si="177"/>
        <v>0</v>
      </c>
      <c r="AI496" s="62"/>
      <c r="AJ496" s="63"/>
      <c r="AK496" s="63"/>
      <c r="AL496" s="63"/>
      <c r="AM496" s="56">
        <f t="shared" si="178"/>
        <v>0</v>
      </c>
      <c r="AN496" s="62"/>
      <c r="AO496" s="63"/>
      <c r="AP496" s="63"/>
      <c r="AQ496" s="63"/>
      <c r="AR496" s="56">
        <f t="shared" si="181"/>
        <v>0</v>
      </c>
      <c r="AS496" s="62"/>
      <c r="AT496" s="63"/>
      <c r="AU496" s="63"/>
      <c r="AV496" s="63"/>
      <c r="AW496" s="176">
        <f t="shared" si="182"/>
        <v>0</v>
      </c>
      <c r="AX496" s="56">
        <f t="shared" si="176"/>
        <v>0</v>
      </c>
      <c r="AY496" s="325"/>
      <c r="AZ496" s="326"/>
    </row>
    <row r="497" spans="1:70" x14ac:dyDescent="0.15">
      <c r="A497" s="53"/>
      <c r="B497" s="54"/>
      <c r="C497" s="55"/>
      <c r="D497" s="55"/>
      <c r="E497" s="55"/>
      <c r="F497" s="56">
        <f t="shared" si="171"/>
        <v>0</v>
      </c>
      <c r="G497" s="54"/>
      <c r="H497" s="55"/>
      <c r="I497" s="55"/>
      <c r="J497" s="55"/>
      <c r="K497" s="56">
        <f t="shared" si="172"/>
        <v>0</v>
      </c>
      <c r="L497" s="54"/>
      <c r="M497" s="55"/>
      <c r="N497" s="55"/>
      <c r="O497" s="55"/>
      <c r="P497" s="56">
        <f t="shared" si="173"/>
        <v>0</v>
      </c>
      <c r="Q497" s="54"/>
      <c r="R497" s="55"/>
      <c r="S497" s="55"/>
      <c r="T497" s="55"/>
      <c r="U497" s="176">
        <f t="shared" si="174"/>
        <v>0</v>
      </c>
      <c r="V497" s="56">
        <f t="shared" si="175"/>
        <v>0</v>
      </c>
      <c r="W497" s="328"/>
      <c r="X497" s="326"/>
      <c r="Y497" s="326"/>
      <c r="Z497" s="326"/>
      <c r="AC497" s="268"/>
      <c r="AD497" s="54"/>
      <c r="AE497" s="55"/>
      <c r="AF497" s="55"/>
      <c r="AG497" s="55"/>
      <c r="AH497" s="56">
        <f t="shared" si="177"/>
        <v>0</v>
      </c>
      <c r="AI497" s="54"/>
      <c r="AJ497" s="55"/>
      <c r="AK497" s="55"/>
      <c r="AL497" s="55"/>
      <c r="AM497" s="56">
        <f t="shared" si="178"/>
        <v>0</v>
      </c>
      <c r="AN497" s="54"/>
      <c r="AO497" s="55"/>
      <c r="AP497" s="55"/>
      <c r="AQ497" s="55"/>
      <c r="AR497" s="56">
        <f t="shared" si="181"/>
        <v>0</v>
      </c>
      <c r="AS497" s="54"/>
      <c r="AT497" s="55"/>
      <c r="AU497" s="55"/>
      <c r="AV497" s="55"/>
      <c r="AW497" s="176">
        <f t="shared" si="182"/>
        <v>0</v>
      </c>
      <c r="AX497" s="56">
        <f t="shared" si="176"/>
        <v>0</v>
      </c>
      <c r="AY497" s="325"/>
      <c r="AZ497" s="326"/>
    </row>
    <row r="498" spans="1:70" x14ac:dyDescent="0.15">
      <c r="A498" s="53"/>
      <c r="B498" s="54"/>
      <c r="C498" s="55"/>
      <c r="D498" s="55"/>
      <c r="E498" s="55"/>
      <c r="F498" s="56">
        <f t="shared" si="171"/>
        <v>0</v>
      </c>
      <c r="G498" s="54"/>
      <c r="H498" s="55"/>
      <c r="I498" s="55"/>
      <c r="J498" s="55"/>
      <c r="K498" s="56">
        <f t="shared" si="172"/>
        <v>0</v>
      </c>
      <c r="L498" s="54"/>
      <c r="M498" s="55"/>
      <c r="N498" s="55"/>
      <c r="O498" s="55"/>
      <c r="P498" s="56">
        <f t="shared" si="173"/>
        <v>0</v>
      </c>
      <c r="Q498" s="54"/>
      <c r="R498" s="55"/>
      <c r="S498" s="55"/>
      <c r="T498" s="55"/>
      <c r="U498" s="176">
        <f t="shared" si="174"/>
        <v>0</v>
      </c>
      <c r="V498" s="56">
        <f t="shared" si="175"/>
        <v>0</v>
      </c>
      <c r="W498" s="328"/>
      <c r="X498" s="326"/>
      <c r="Y498" s="326"/>
      <c r="Z498" s="326"/>
      <c r="AC498" s="268"/>
      <c r="AD498" s="62"/>
      <c r="AE498" s="63"/>
      <c r="AF498" s="63"/>
      <c r="AG498" s="63"/>
      <c r="AH498" s="56">
        <f t="shared" si="177"/>
        <v>0</v>
      </c>
      <c r="AI498" s="62"/>
      <c r="AJ498" s="63"/>
      <c r="AK498" s="63"/>
      <c r="AL498" s="63"/>
      <c r="AM498" s="56">
        <f t="shared" si="178"/>
        <v>0</v>
      </c>
      <c r="AN498" s="62"/>
      <c r="AO498" s="63"/>
      <c r="AP498" s="63"/>
      <c r="AQ498" s="63"/>
      <c r="AR498" s="56">
        <f t="shared" si="181"/>
        <v>0</v>
      </c>
      <c r="AS498" s="62"/>
      <c r="AT498" s="63"/>
      <c r="AU498" s="63"/>
      <c r="AV498" s="63"/>
      <c r="AW498" s="176">
        <f t="shared" si="182"/>
        <v>0</v>
      </c>
      <c r="AX498" s="56">
        <f t="shared" si="176"/>
        <v>0</v>
      </c>
      <c r="AY498" s="325"/>
      <c r="AZ498" s="326"/>
    </row>
    <row r="499" spans="1:70" x14ac:dyDescent="0.15">
      <c r="A499" s="65"/>
      <c r="B499" s="54"/>
      <c r="C499" s="55"/>
      <c r="D499" s="55"/>
      <c r="E499" s="55"/>
      <c r="F499" s="56">
        <f t="shared" si="171"/>
        <v>0</v>
      </c>
      <c r="G499" s="54"/>
      <c r="H499" s="55"/>
      <c r="I499" s="55"/>
      <c r="J499" s="55"/>
      <c r="K499" s="56">
        <f t="shared" si="172"/>
        <v>0</v>
      </c>
      <c r="L499" s="54"/>
      <c r="M499" s="55"/>
      <c r="N499" s="55"/>
      <c r="O499" s="55"/>
      <c r="P499" s="56">
        <f t="shared" si="173"/>
        <v>0</v>
      </c>
      <c r="Q499" s="54"/>
      <c r="R499" s="55"/>
      <c r="S499" s="55"/>
      <c r="T499" s="55"/>
      <c r="U499" s="176">
        <f t="shared" si="174"/>
        <v>0</v>
      </c>
      <c r="V499" s="56">
        <f t="shared" si="175"/>
        <v>0</v>
      </c>
      <c r="W499" s="325"/>
      <c r="X499" s="326"/>
      <c r="Y499" s="326"/>
      <c r="Z499" s="326"/>
      <c r="AC499" s="277"/>
      <c r="AD499" s="54"/>
      <c r="AE499" s="55"/>
      <c r="AF499" s="55"/>
      <c r="AG499" s="55"/>
      <c r="AH499" s="56">
        <f t="shared" si="177"/>
        <v>0</v>
      </c>
      <c r="AI499" s="54"/>
      <c r="AJ499" s="55"/>
      <c r="AK499" s="55"/>
      <c r="AL499" s="55"/>
      <c r="AM499" s="56">
        <f t="shared" si="178"/>
        <v>0</v>
      </c>
      <c r="AN499" s="54"/>
      <c r="AO499" s="55"/>
      <c r="AP499" s="55"/>
      <c r="AQ499" s="55"/>
      <c r="AR499" s="56">
        <f t="shared" si="181"/>
        <v>0</v>
      </c>
      <c r="AS499" s="54"/>
      <c r="AT499" s="55"/>
      <c r="AU499" s="55"/>
      <c r="AV499" s="55"/>
      <c r="AW499" s="176">
        <f t="shared" si="182"/>
        <v>0</v>
      </c>
      <c r="AX499" s="56">
        <f t="shared" si="176"/>
        <v>0</v>
      </c>
      <c r="AY499" s="325"/>
      <c r="AZ499" s="326"/>
    </row>
    <row r="500" spans="1:70" ht="14.25" thickBot="1" x14ac:dyDescent="0.2">
      <c r="A500" s="67"/>
      <c r="B500" s="33"/>
      <c r="C500" s="34"/>
      <c r="D500" s="34"/>
      <c r="E500" s="34"/>
      <c r="F500" s="30">
        <f t="shared" si="171"/>
        <v>0</v>
      </c>
      <c r="G500" s="33"/>
      <c r="H500" s="34"/>
      <c r="I500" s="34"/>
      <c r="J500" s="34"/>
      <c r="K500" s="30">
        <f t="shared" si="172"/>
        <v>0</v>
      </c>
      <c r="L500" s="33"/>
      <c r="M500" s="34"/>
      <c r="N500" s="34"/>
      <c r="O500" s="34"/>
      <c r="P500" s="30">
        <f t="shared" si="173"/>
        <v>0</v>
      </c>
      <c r="Q500" s="33"/>
      <c r="R500" s="34"/>
      <c r="S500" s="34"/>
      <c r="T500" s="34"/>
      <c r="U500" s="178">
        <f t="shared" si="174"/>
        <v>0</v>
      </c>
      <c r="V500" s="170">
        <f t="shared" si="175"/>
        <v>0</v>
      </c>
      <c r="W500" s="330"/>
      <c r="X500" s="326"/>
      <c r="Y500" s="326"/>
      <c r="Z500" s="326"/>
      <c r="AC500" s="282"/>
      <c r="AD500" s="33"/>
      <c r="AE500" s="34"/>
      <c r="AF500" s="34"/>
      <c r="AG500" s="34"/>
      <c r="AH500" s="30">
        <f t="shared" si="177"/>
        <v>0</v>
      </c>
      <c r="AI500" s="33"/>
      <c r="AJ500" s="34"/>
      <c r="AK500" s="34"/>
      <c r="AL500" s="34"/>
      <c r="AM500" s="30">
        <f t="shared" si="178"/>
        <v>0</v>
      </c>
      <c r="AN500" s="33"/>
      <c r="AO500" s="34"/>
      <c r="AP500" s="34"/>
      <c r="AQ500" s="34"/>
      <c r="AR500" s="30">
        <f t="shared" si="181"/>
        <v>0</v>
      </c>
      <c r="AS500" s="33"/>
      <c r="AT500" s="34"/>
      <c r="AU500" s="34"/>
      <c r="AV500" s="34"/>
      <c r="AW500" s="178">
        <f t="shared" si="182"/>
        <v>0</v>
      </c>
      <c r="AX500" s="170">
        <f t="shared" si="176"/>
        <v>0</v>
      </c>
      <c r="AY500" s="325"/>
      <c r="AZ500" s="326"/>
    </row>
    <row r="501" spans="1:70" ht="15" thickBot="1" x14ac:dyDescent="0.2">
      <c r="A501" s="9" t="s">
        <v>15</v>
      </c>
      <c r="B501" s="36">
        <f>SUM(B475:B500)</f>
        <v>0</v>
      </c>
      <c r="C501" s="37">
        <f>SUM(C475:C500)</f>
        <v>0</v>
      </c>
      <c r="D501" s="37">
        <f>SUM(D475:D500)</f>
        <v>0</v>
      </c>
      <c r="E501" s="38">
        <f>SUM(E475:E500)</f>
        <v>0</v>
      </c>
      <c r="F501" s="25">
        <f t="shared" si="171"/>
        <v>0</v>
      </c>
      <c r="G501" s="36">
        <f>SUM(G475:G500)</f>
        <v>5</v>
      </c>
      <c r="H501" s="37">
        <f>SUM(H475:H500)</f>
        <v>3</v>
      </c>
      <c r="I501" s="37">
        <f>SUM(I475:I500)</f>
        <v>1</v>
      </c>
      <c r="J501" s="38">
        <f>SUM(J475:J500)</f>
        <v>2</v>
      </c>
      <c r="K501" s="25">
        <f t="shared" si="172"/>
        <v>11</v>
      </c>
      <c r="L501" s="36">
        <f>SUM(L475:L500)</f>
        <v>17</v>
      </c>
      <c r="M501" s="302">
        <f>SUM(M475:M500)</f>
        <v>0</v>
      </c>
      <c r="N501" s="37">
        <f>SUM(N475:N500)</f>
        <v>47</v>
      </c>
      <c r="O501" s="38">
        <f>SUM(O475:O500)</f>
        <v>20</v>
      </c>
      <c r="P501" s="25">
        <f t="shared" si="173"/>
        <v>84</v>
      </c>
      <c r="Q501" s="36">
        <f>SUM(Q475:Q500)</f>
        <v>0</v>
      </c>
      <c r="R501" s="37">
        <f>SUM(R475:R500)</f>
        <v>3</v>
      </c>
      <c r="S501" s="37">
        <f>SUM(S475:S500)</f>
        <v>4</v>
      </c>
      <c r="T501" s="38">
        <f>SUM(T475:T500)</f>
        <v>1</v>
      </c>
      <c r="U501" s="36">
        <f t="shared" si="174"/>
        <v>8</v>
      </c>
      <c r="V501" s="77">
        <f t="shared" si="175"/>
        <v>103</v>
      </c>
      <c r="W501" s="325"/>
      <c r="X501" s="326"/>
      <c r="Y501" s="326"/>
      <c r="Z501" s="326"/>
      <c r="AC501" s="278" t="s">
        <v>15</v>
      </c>
      <c r="AD501" s="36">
        <f>SUM(AD475:AD500)</f>
        <v>0</v>
      </c>
      <c r="AE501" s="37">
        <f>SUM(AE475:AE500)</f>
        <v>0</v>
      </c>
      <c r="AF501" s="37">
        <f>SUM(AF475:AF500)</f>
        <v>0</v>
      </c>
      <c r="AG501" s="38">
        <f>SUM(AG475:AG500)</f>
        <v>0</v>
      </c>
      <c r="AH501" s="25">
        <f t="shared" si="177"/>
        <v>0</v>
      </c>
      <c r="AI501" s="36">
        <f>SUM(AI475:AI500)</f>
        <v>6</v>
      </c>
      <c r="AJ501" s="37">
        <f>SUM(AJ475:AJ500)</f>
        <v>3</v>
      </c>
      <c r="AK501" s="37">
        <f>SUM(AK475:AK500)</f>
        <v>3</v>
      </c>
      <c r="AL501" s="38">
        <f>SUM(AL475:AL500)</f>
        <v>3</v>
      </c>
      <c r="AM501" s="25">
        <f t="shared" si="178"/>
        <v>15</v>
      </c>
      <c r="AN501" s="36">
        <f>SUM(AN475:AN500)</f>
        <v>0</v>
      </c>
      <c r="AO501" s="37">
        <f>SUM(AO475:AO500)</f>
        <v>0</v>
      </c>
      <c r="AP501" s="37">
        <f>SUM(AP475:AP500)</f>
        <v>0</v>
      </c>
      <c r="AQ501" s="38">
        <f>SUM(AQ475:AQ500)</f>
        <v>0</v>
      </c>
      <c r="AR501" s="25">
        <f t="shared" si="181"/>
        <v>0</v>
      </c>
      <c r="AS501" s="36">
        <f>SUM(AS475:AS500)</f>
        <v>3</v>
      </c>
      <c r="AT501" s="37">
        <f>SUM(AT475:AT500)</f>
        <v>6</v>
      </c>
      <c r="AU501" s="37">
        <f>SUM(AU475:AU500)</f>
        <v>6</v>
      </c>
      <c r="AV501" s="38">
        <f>SUM(AV475:AV500)</f>
        <v>8</v>
      </c>
      <c r="AW501" s="36">
        <f t="shared" si="182"/>
        <v>23</v>
      </c>
      <c r="AX501" s="161">
        <f t="shared" si="176"/>
        <v>38</v>
      </c>
      <c r="AY501" s="325"/>
      <c r="AZ501" s="326"/>
    </row>
    <row r="502" spans="1:70" ht="14.25" thickBot="1" x14ac:dyDescent="0.2">
      <c r="A502" s="39" t="s">
        <v>16</v>
      </c>
      <c r="B502" s="40">
        <f>B474-B501</f>
        <v>3</v>
      </c>
      <c r="C502" s="41">
        <f>C474-C501</f>
        <v>3</v>
      </c>
      <c r="D502" s="41">
        <f>D474-D501</f>
        <v>3</v>
      </c>
      <c r="E502" s="42">
        <f>E474-E501</f>
        <v>5</v>
      </c>
      <c r="F502" s="171">
        <f t="shared" si="171"/>
        <v>14</v>
      </c>
      <c r="G502" s="40">
        <f>G474-G501</f>
        <v>4</v>
      </c>
      <c r="H502" s="41">
        <f>H474-H501</f>
        <v>2</v>
      </c>
      <c r="I502" s="41">
        <f>I474-I501</f>
        <v>5</v>
      </c>
      <c r="J502" s="42">
        <f>J474-J501</f>
        <v>3</v>
      </c>
      <c r="K502" s="171">
        <f t="shared" si="172"/>
        <v>14</v>
      </c>
      <c r="L502" s="40">
        <f>L474-L501</f>
        <v>2</v>
      </c>
      <c r="M502" s="303">
        <f t="shared" ref="M502:O502" si="187">M474-M501</f>
        <v>0</v>
      </c>
      <c r="N502" s="41">
        <f t="shared" si="187"/>
        <v>3</v>
      </c>
      <c r="O502" s="42">
        <f t="shared" si="187"/>
        <v>2</v>
      </c>
      <c r="P502" s="171">
        <f t="shared" si="173"/>
        <v>7</v>
      </c>
      <c r="Q502" s="40">
        <f>Q474-Q501</f>
        <v>4</v>
      </c>
      <c r="R502" s="41">
        <f>R474-R501</f>
        <v>3</v>
      </c>
      <c r="S502" s="41">
        <f>S474-S501</f>
        <v>3</v>
      </c>
      <c r="T502" s="42">
        <f>T474-T501</f>
        <v>3</v>
      </c>
      <c r="U502" s="177">
        <f t="shared" si="174"/>
        <v>13</v>
      </c>
      <c r="V502" s="77">
        <f t="shared" si="175"/>
        <v>48</v>
      </c>
      <c r="W502" s="325"/>
      <c r="X502" s="326"/>
      <c r="Y502" s="326"/>
      <c r="Z502" s="326"/>
      <c r="AC502" s="279" t="s">
        <v>16</v>
      </c>
      <c r="AD502" s="40">
        <f>AD474-AD501</f>
        <v>184</v>
      </c>
      <c r="AE502" s="41">
        <f>AE474-AE501</f>
        <v>244</v>
      </c>
      <c r="AF502" s="41">
        <f>AF474-AF501</f>
        <v>238</v>
      </c>
      <c r="AG502" s="42">
        <f>AG474-AG501</f>
        <v>168</v>
      </c>
      <c r="AH502" s="171">
        <f t="shared" si="177"/>
        <v>834</v>
      </c>
      <c r="AI502" s="40">
        <f>AI474-AI501</f>
        <v>107</v>
      </c>
      <c r="AJ502" s="41">
        <f>AJ474-AJ501</f>
        <v>91</v>
      </c>
      <c r="AK502" s="41">
        <f>AK474-AK501</f>
        <v>225</v>
      </c>
      <c r="AL502" s="42">
        <f>AL474-AL501</f>
        <v>75</v>
      </c>
      <c r="AM502" s="171">
        <f t="shared" si="178"/>
        <v>498</v>
      </c>
      <c r="AN502" s="40">
        <f>AN474-AN501</f>
        <v>16</v>
      </c>
      <c r="AO502" s="41">
        <f>AO474-AO501</f>
        <v>0</v>
      </c>
      <c r="AP502" s="41">
        <f>AP474-AP501</f>
        <v>47</v>
      </c>
      <c r="AQ502" s="42">
        <f>AQ474-AQ501</f>
        <v>19</v>
      </c>
      <c r="AR502" s="171">
        <f t="shared" si="181"/>
        <v>82</v>
      </c>
      <c r="AS502" s="40">
        <f>AS474-AS501</f>
        <v>41</v>
      </c>
      <c r="AT502" s="41">
        <f>AT474-AT501</f>
        <v>26</v>
      </c>
      <c r="AU502" s="41">
        <f>AU474-AU501</f>
        <v>13</v>
      </c>
      <c r="AV502" s="42">
        <f>AV474-AV501</f>
        <v>12</v>
      </c>
      <c r="AW502" s="177">
        <f t="shared" si="182"/>
        <v>92</v>
      </c>
      <c r="AX502" s="77">
        <f t="shared" si="176"/>
        <v>1506</v>
      </c>
      <c r="AY502" s="325"/>
      <c r="AZ502" s="326"/>
    </row>
    <row r="503" spans="1:70" x14ac:dyDescent="0.15">
      <c r="L503" t="s">
        <v>322</v>
      </c>
      <c r="W503" s="325"/>
      <c r="X503" s="326"/>
      <c r="Y503" s="326"/>
      <c r="Z503" s="326"/>
      <c r="AY503" s="325"/>
      <c r="AZ503" s="326"/>
    </row>
    <row r="504" spans="1:70" x14ac:dyDescent="0.15">
      <c r="L504" t="s">
        <v>323</v>
      </c>
      <c r="W504" s="325"/>
      <c r="X504" s="326"/>
      <c r="Y504" s="326"/>
      <c r="Z504" s="326"/>
      <c r="AY504" s="325"/>
      <c r="AZ504" s="326"/>
    </row>
    <row r="505" spans="1:70" ht="19.5" thickBot="1" x14ac:dyDescent="0.25">
      <c r="A505" s="185" t="s">
        <v>19</v>
      </c>
      <c r="B505" s="186"/>
      <c r="C505" s="186"/>
      <c r="D505" s="186"/>
      <c r="E505" s="186"/>
      <c r="F505" s="18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325"/>
      <c r="X505" s="326"/>
      <c r="Y505" s="326"/>
      <c r="Z505" s="326"/>
      <c r="AC505" s="187" t="s">
        <v>73</v>
      </c>
      <c r="AD505" s="188"/>
      <c r="AE505" s="188"/>
      <c r="AF505" s="188"/>
      <c r="AG505" s="188"/>
      <c r="AH505" s="188"/>
      <c r="AI505" s="188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325"/>
      <c r="AZ505" s="326"/>
      <c r="BE505" s="185" t="s">
        <v>19</v>
      </c>
      <c r="BF505" s="186"/>
      <c r="BG505" s="186"/>
      <c r="BH505" s="186"/>
      <c r="BI505" s="186"/>
      <c r="BJ505" s="186"/>
      <c r="BL505" s="187" t="s">
        <v>73</v>
      </c>
      <c r="BM505" s="188"/>
      <c r="BN505" s="188"/>
      <c r="BO505" s="188"/>
      <c r="BP505" s="188"/>
      <c r="BQ505" s="188"/>
      <c r="BR505" s="188"/>
    </row>
    <row r="506" spans="1:70" ht="14.25" thickBot="1" x14ac:dyDescent="0.2">
      <c r="A506" s="3" t="s">
        <v>0</v>
      </c>
      <c r="B506" s="365" t="s">
        <v>17</v>
      </c>
      <c r="C506" s="366"/>
      <c r="D506" s="366"/>
      <c r="E506" s="366"/>
      <c r="F506" s="367"/>
      <c r="G506" s="368" t="s">
        <v>18</v>
      </c>
      <c r="H506" s="369"/>
      <c r="I506" s="369"/>
      <c r="J506" s="369"/>
      <c r="K506" s="370"/>
      <c r="L506" s="371" t="s">
        <v>320</v>
      </c>
      <c r="M506" s="372"/>
      <c r="N506" s="372"/>
      <c r="O506" s="372"/>
      <c r="P506" s="373"/>
      <c r="Q506" s="374" t="s">
        <v>75</v>
      </c>
      <c r="R506" s="356"/>
      <c r="S506" s="356"/>
      <c r="T506" s="356"/>
      <c r="U506" s="357"/>
      <c r="V506" s="360" t="s">
        <v>1</v>
      </c>
      <c r="W506" s="325"/>
      <c r="X506" s="326"/>
      <c r="Y506" s="326"/>
      <c r="Z506" s="326"/>
      <c r="AC506" s="271" t="s">
        <v>0</v>
      </c>
      <c r="AD506" s="365" t="s">
        <v>17</v>
      </c>
      <c r="AE506" s="366"/>
      <c r="AF506" s="366"/>
      <c r="AG506" s="366"/>
      <c r="AH506" s="367"/>
      <c r="AI506" s="368" t="s">
        <v>18</v>
      </c>
      <c r="AJ506" s="369"/>
      <c r="AK506" s="369"/>
      <c r="AL506" s="369"/>
      <c r="AM506" s="370"/>
      <c r="AN506" s="371" t="s">
        <v>320</v>
      </c>
      <c r="AO506" s="372"/>
      <c r="AP506" s="372"/>
      <c r="AQ506" s="372"/>
      <c r="AR506" s="373"/>
      <c r="AS506" s="374" t="s">
        <v>75</v>
      </c>
      <c r="AT506" s="356"/>
      <c r="AU506" s="356"/>
      <c r="AV506" s="356"/>
      <c r="AW506" s="357"/>
      <c r="AX506" s="360" t="s">
        <v>1</v>
      </c>
      <c r="AY506" s="325"/>
      <c r="AZ506" s="326"/>
      <c r="BE506" s="271" t="s">
        <v>0</v>
      </c>
      <c r="BF506" s="362" t="s">
        <v>38</v>
      </c>
      <c r="BG506" s="363"/>
      <c r="BH506" s="363"/>
      <c r="BI506" s="363"/>
      <c r="BJ506" s="364"/>
      <c r="BL506" s="271" t="s">
        <v>0</v>
      </c>
      <c r="BM506" s="362" t="s">
        <v>38</v>
      </c>
      <c r="BN506" s="363"/>
      <c r="BO506" s="363"/>
      <c r="BP506" s="363"/>
      <c r="BQ506" s="364"/>
    </row>
    <row r="507" spans="1:70" ht="14.25" thickBot="1" x14ac:dyDescent="0.2">
      <c r="A507" s="5" t="s">
        <v>2</v>
      </c>
      <c r="B507" s="6" t="s">
        <v>3</v>
      </c>
      <c r="C507" s="7" t="s">
        <v>4</v>
      </c>
      <c r="D507" s="7" t="s">
        <v>5</v>
      </c>
      <c r="E507" s="8" t="s">
        <v>6</v>
      </c>
      <c r="F507" s="5" t="s">
        <v>7</v>
      </c>
      <c r="G507" s="6" t="s">
        <v>3</v>
      </c>
      <c r="H507" s="7" t="s">
        <v>4</v>
      </c>
      <c r="I507" s="7" t="s">
        <v>5</v>
      </c>
      <c r="J507" s="8" t="s">
        <v>6</v>
      </c>
      <c r="K507" s="5" t="s">
        <v>7</v>
      </c>
      <c r="L507" s="6" t="s">
        <v>3</v>
      </c>
      <c r="M507" s="7" t="s">
        <v>4</v>
      </c>
      <c r="N507" s="7" t="s">
        <v>5</v>
      </c>
      <c r="O507" s="8" t="s">
        <v>6</v>
      </c>
      <c r="P507" s="5" t="s">
        <v>7</v>
      </c>
      <c r="Q507" s="6" t="s">
        <v>3</v>
      </c>
      <c r="R507" s="7" t="s">
        <v>4</v>
      </c>
      <c r="S507" s="7" t="s">
        <v>5</v>
      </c>
      <c r="T507" s="8" t="s">
        <v>6</v>
      </c>
      <c r="U507" s="5" t="s">
        <v>7</v>
      </c>
      <c r="V507" s="361"/>
      <c r="W507" s="325"/>
      <c r="X507" s="326"/>
      <c r="Y507" s="326"/>
      <c r="Z507" s="326"/>
      <c r="AC507" s="272" t="s">
        <v>2</v>
      </c>
      <c r="AD507" s="6" t="s">
        <v>3</v>
      </c>
      <c r="AE507" s="7" t="s">
        <v>4</v>
      </c>
      <c r="AF507" s="7" t="s">
        <v>5</v>
      </c>
      <c r="AG507" s="8" t="s">
        <v>6</v>
      </c>
      <c r="AH507" s="5" t="s">
        <v>7</v>
      </c>
      <c r="AI507" s="6" t="s">
        <v>3</v>
      </c>
      <c r="AJ507" s="7" t="s">
        <v>4</v>
      </c>
      <c r="AK507" s="7" t="s">
        <v>5</v>
      </c>
      <c r="AL507" s="8" t="s">
        <v>6</v>
      </c>
      <c r="AM507" s="5" t="s">
        <v>7</v>
      </c>
      <c r="AN507" s="6" t="s">
        <v>3</v>
      </c>
      <c r="AO507" s="7" t="s">
        <v>4</v>
      </c>
      <c r="AP507" s="7" t="s">
        <v>5</v>
      </c>
      <c r="AQ507" s="8" t="s">
        <v>6</v>
      </c>
      <c r="AR507" s="5" t="s">
        <v>7</v>
      </c>
      <c r="AS507" s="6" t="s">
        <v>3</v>
      </c>
      <c r="AT507" s="7" t="s">
        <v>4</v>
      </c>
      <c r="AU507" s="7" t="s">
        <v>5</v>
      </c>
      <c r="AV507" s="8" t="s">
        <v>6</v>
      </c>
      <c r="AW507" s="5" t="s">
        <v>7</v>
      </c>
      <c r="AX507" s="361"/>
      <c r="AY507" s="325"/>
      <c r="AZ507" s="326"/>
      <c r="BE507" s="272" t="s">
        <v>2</v>
      </c>
      <c r="BF507" s="6" t="s">
        <v>3</v>
      </c>
      <c r="BG507" s="7" t="s">
        <v>4</v>
      </c>
      <c r="BH507" s="7" t="s">
        <v>5</v>
      </c>
      <c r="BI507" s="8" t="s">
        <v>6</v>
      </c>
      <c r="BJ507" s="5" t="s">
        <v>7</v>
      </c>
      <c r="BL507" s="272" t="s">
        <v>2</v>
      </c>
      <c r="BM507" s="6" t="s">
        <v>3</v>
      </c>
      <c r="BN507" s="7" t="s">
        <v>4</v>
      </c>
      <c r="BO507" s="7" t="s">
        <v>5</v>
      </c>
      <c r="BP507" s="8" t="s">
        <v>6</v>
      </c>
      <c r="BQ507" s="5" t="s">
        <v>7</v>
      </c>
    </row>
    <row r="508" spans="1:70" ht="15" thickBot="1" x14ac:dyDescent="0.2">
      <c r="A508" s="291" t="s">
        <v>30</v>
      </c>
      <c r="B508" s="292">
        <f>B502</f>
        <v>3</v>
      </c>
      <c r="C508" s="292">
        <f>C502</f>
        <v>3</v>
      </c>
      <c r="D508" s="292">
        <f>D502</f>
        <v>3</v>
      </c>
      <c r="E508" s="293">
        <f>E502</f>
        <v>5</v>
      </c>
      <c r="F508" s="77">
        <f t="shared" ref="F508:F544" si="188">SUM(B508:E508)</f>
        <v>14</v>
      </c>
      <c r="G508" s="292">
        <f>G502</f>
        <v>4</v>
      </c>
      <c r="H508" s="292">
        <f>H502</f>
        <v>2</v>
      </c>
      <c r="I508" s="292">
        <f>I502</f>
        <v>5</v>
      </c>
      <c r="J508" s="293">
        <f>J502</f>
        <v>3</v>
      </c>
      <c r="K508" s="77">
        <f t="shared" ref="K508:K544" si="189">SUM(G508:J508)</f>
        <v>14</v>
      </c>
      <c r="L508" s="292">
        <v>0</v>
      </c>
      <c r="M508" s="292">
        <v>0</v>
      </c>
      <c r="N508" s="292">
        <v>0</v>
      </c>
      <c r="O508" s="293">
        <v>0</v>
      </c>
      <c r="P508" s="77">
        <f t="shared" ref="P508:P544" si="190">SUM(L508:O508)</f>
        <v>0</v>
      </c>
      <c r="Q508" s="292">
        <f>Q502</f>
        <v>4</v>
      </c>
      <c r="R508" s="292">
        <f>R502</f>
        <v>3</v>
      </c>
      <c r="S508" s="292">
        <f>S502</f>
        <v>3</v>
      </c>
      <c r="T508" s="293">
        <f>T502</f>
        <v>3</v>
      </c>
      <c r="U508" s="182">
        <f t="shared" ref="U508:U544" si="191">SUM(Q508:T508)</f>
        <v>13</v>
      </c>
      <c r="V508" s="77">
        <f t="shared" ref="V508:V544" si="192">F508+K508+P508+U508</f>
        <v>41</v>
      </c>
      <c r="W508" s="325"/>
      <c r="X508" s="326"/>
      <c r="Y508" s="326"/>
      <c r="Z508" s="326"/>
      <c r="AC508" s="294" t="s">
        <v>30</v>
      </c>
      <c r="AD508" s="292">
        <f>AD502</f>
        <v>184</v>
      </c>
      <c r="AE508" s="292">
        <f>AE502</f>
        <v>244</v>
      </c>
      <c r="AF508" s="292">
        <f>AF502</f>
        <v>238</v>
      </c>
      <c r="AG508" s="293">
        <f>AG502</f>
        <v>168</v>
      </c>
      <c r="AH508" s="77">
        <f>SUM(AD508:AG508)</f>
        <v>834</v>
      </c>
      <c r="AI508" s="292">
        <f>AI502</f>
        <v>107</v>
      </c>
      <c r="AJ508" s="292">
        <f>AJ502</f>
        <v>91</v>
      </c>
      <c r="AK508" s="292">
        <f>AK502</f>
        <v>225</v>
      </c>
      <c r="AL508" s="293">
        <f>AL502</f>
        <v>75</v>
      </c>
      <c r="AM508" s="77">
        <f>SUM(AI508:AL508)</f>
        <v>498</v>
      </c>
      <c r="AN508" s="292">
        <v>0</v>
      </c>
      <c r="AO508" s="292">
        <v>0</v>
      </c>
      <c r="AP508" s="292">
        <v>0</v>
      </c>
      <c r="AQ508" s="293">
        <v>0</v>
      </c>
      <c r="AR508" s="77">
        <f>SUM(AN508:AQ508)</f>
        <v>0</v>
      </c>
      <c r="AS508" s="292">
        <f>AS502</f>
        <v>41</v>
      </c>
      <c r="AT508" s="292">
        <f>AT502</f>
        <v>26</v>
      </c>
      <c r="AU508" s="292">
        <f>AU502</f>
        <v>13</v>
      </c>
      <c r="AV508" s="293">
        <f>AV502</f>
        <v>12</v>
      </c>
      <c r="AW508" s="182">
        <f>SUM(AS508:AV508)</f>
        <v>92</v>
      </c>
      <c r="AX508" s="77">
        <f t="shared" ref="AX508:AX544" si="193">AH508+AM508+AR508+AW508</f>
        <v>1424</v>
      </c>
      <c r="AY508" s="325"/>
      <c r="AZ508" s="326"/>
      <c r="BE508" s="294" t="s">
        <v>30</v>
      </c>
      <c r="BF508" s="292">
        <v>2</v>
      </c>
      <c r="BG508" s="292">
        <v>0</v>
      </c>
      <c r="BH508" s="292">
        <v>3</v>
      </c>
      <c r="BI508" s="293">
        <v>2</v>
      </c>
      <c r="BJ508" s="77">
        <f>SUM(BF508:BI508)</f>
        <v>7</v>
      </c>
      <c r="BL508" s="294" t="s">
        <v>30</v>
      </c>
      <c r="BM508" s="292">
        <v>16</v>
      </c>
      <c r="BN508" s="292">
        <v>0</v>
      </c>
      <c r="BO508" s="292">
        <v>47</v>
      </c>
      <c r="BP508" s="292">
        <v>19</v>
      </c>
      <c r="BQ508" s="77">
        <f>SUM(BM508:BP508)</f>
        <v>82</v>
      </c>
    </row>
    <row r="509" spans="1:70" x14ac:dyDescent="0.15">
      <c r="A509" s="53" t="s">
        <v>111</v>
      </c>
      <c r="B509" s="51"/>
      <c r="C509" s="52"/>
      <c r="D509" s="52"/>
      <c r="E509" s="52"/>
      <c r="F509" s="49">
        <f t="shared" si="188"/>
        <v>0</v>
      </c>
      <c r="G509" s="51"/>
      <c r="H509" s="52"/>
      <c r="I509" s="52"/>
      <c r="J509" s="52"/>
      <c r="K509" s="49">
        <f t="shared" si="189"/>
        <v>0</v>
      </c>
      <c r="L509" s="51">
        <v>20</v>
      </c>
      <c r="M509" s="52">
        <v>20</v>
      </c>
      <c r="N509" s="52">
        <v>10</v>
      </c>
      <c r="O509" s="52">
        <v>10</v>
      </c>
      <c r="P509" s="49">
        <f t="shared" si="190"/>
        <v>60</v>
      </c>
      <c r="Q509" s="51"/>
      <c r="R509" s="52"/>
      <c r="S509" s="52"/>
      <c r="T509" s="52"/>
      <c r="U509" s="175">
        <f t="shared" si="191"/>
        <v>0</v>
      </c>
      <c r="V509" s="49">
        <f t="shared" si="192"/>
        <v>60</v>
      </c>
      <c r="W509" s="329">
        <v>44642</v>
      </c>
      <c r="X509" s="326"/>
      <c r="Y509" s="326"/>
      <c r="Z509" s="326"/>
      <c r="AC509" s="268" t="s">
        <v>28</v>
      </c>
      <c r="AD509" s="51"/>
      <c r="AE509" s="52"/>
      <c r="AF509" s="52"/>
      <c r="AG509" s="52"/>
      <c r="AH509" s="49">
        <f t="shared" ref="AH509:AH544" si="194">SUM(AD509:AG509)</f>
        <v>0</v>
      </c>
      <c r="AI509" s="51"/>
      <c r="AJ509" s="52"/>
      <c r="AK509" s="52"/>
      <c r="AL509" s="52"/>
      <c r="AM509" s="49">
        <f t="shared" ref="AM509:AM544" si="195">SUM(AI509:AL509)</f>
        <v>0</v>
      </c>
      <c r="AN509" s="51"/>
      <c r="AO509" s="52"/>
      <c r="AP509" s="52"/>
      <c r="AQ509" s="52"/>
      <c r="AR509" s="49">
        <f t="shared" ref="AR509:AR511" si="196">SUM(AN509:AQ509)</f>
        <v>0</v>
      </c>
      <c r="AS509" s="51"/>
      <c r="AT509" s="52"/>
      <c r="AU509" s="52"/>
      <c r="AV509" s="52"/>
      <c r="AW509" s="175">
        <f t="shared" ref="AW509:AW511" si="197">SUM(AS509:AV509)</f>
        <v>0</v>
      </c>
      <c r="AX509" s="49">
        <f t="shared" si="193"/>
        <v>0</v>
      </c>
      <c r="AY509" s="325"/>
      <c r="AZ509" s="326"/>
      <c r="BE509" s="268" t="s">
        <v>28</v>
      </c>
      <c r="BF509" s="51"/>
      <c r="BG509" s="52"/>
      <c r="BH509" s="52"/>
      <c r="BI509" s="52"/>
      <c r="BJ509" s="49">
        <f t="shared" ref="BJ509:BJ511" si="198">SUM(BF509:BI509)</f>
        <v>0</v>
      </c>
      <c r="BL509" s="268" t="s">
        <v>28</v>
      </c>
      <c r="BM509" s="51"/>
      <c r="BN509" s="52"/>
      <c r="BO509" s="52"/>
      <c r="BP509" s="52"/>
      <c r="BQ509" s="49">
        <f t="shared" ref="BQ509:BQ511" si="199">SUM(BM509:BP509)</f>
        <v>0</v>
      </c>
    </row>
    <row r="510" spans="1:70" x14ac:dyDescent="0.15">
      <c r="A510" s="53" t="s">
        <v>109</v>
      </c>
      <c r="B510" s="55"/>
      <c r="C510" s="55"/>
      <c r="D510" s="55"/>
      <c r="E510" s="166"/>
      <c r="F510" s="49">
        <f t="shared" si="188"/>
        <v>0</v>
      </c>
      <c r="G510" s="55"/>
      <c r="H510" s="55"/>
      <c r="I510" s="55"/>
      <c r="J510" s="166"/>
      <c r="K510" s="49">
        <f t="shared" si="189"/>
        <v>0</v>
      </c>
      <c r="L510" s="55">
        <v>1</v>
      </c>
      <c r="M510" s="55"/>
      <c r="N510" s="55"/>
      <c r="O510" s="166"/>
      <c r="P510" s="49">
        <f t="shared" si="190"/>
        <v>1</v>
      </c>
      <c r="Q510" s="55"/>
      <c r="R510" s="55"/>
      <c r="S510" s="55"/>
      <c r="T510" s="166"/>
      <c r="U510" s="175">
        <f t="shared" si="191"/>
        <v>0</v>
      </c>
      <c r="V510" s="56">
        <f t="shared" si="192"/>
        <v>1</v>
      </c>
      <c r="W510" s="329">
        <v>44651</v>
      </c>
      <c r="X510" s="326"/>
      <c r="Y510" s="326"/>
      <c r="Z510" s="326"/>
      <c r="AC510" s="268" t="s">
        <v>28</v>
      </c>
      <c r="AD510" s="54"/>
      <c r="AE510" s="55"/>
      <c r="AF510" s="55"/>
      <c r="AG510" s="55"/>
      <c r="AH510" s="56">
        <f t="shared" si="194"/>
        <v>0</v>
      </c>
      <c r="AI510" s="54"/>
      <c r="AJ510" s="55"/>
      <c r="AK510" s="55"/>
      <c r="AL510" s="55"/>
      <c r="AM510" s="56">
        <f t="shared" si="195"/>
        <v>0</v>
      </c>
      <c r="AN510" s="54">
        <v>50</v>
      </c>
      <c r="AO510" s="55">
        <v>70</v>
      </c>
      <c r="AP510" s="55">
        <v>45</v>
      </c>
      <c r="AQ510" s="55">
        <v>35</v>
      </c>
      <c r="AR510" s="56">
        <f t="shared" si="196"/>
        <v>200</v>
      </c>
      <c r="AS510" s="54">
        <v>160</v>
      </c>
      <c r="AT510" s="55">
        <v>278</v>
      </c>
      <c r="AU510" s="55">
        <v>199</v>
      </c>
      <c r="AV510" s="55">
        <v>180</v>
      </c>
      <c r="AW510" s="176">
        <f t="shared" si="197"/>
        <v>817</v>
      </c>
      <c r="AX510" s="56">
        <f t="shared" si="193"/>
        <v>1017</v>
      </c>
      <c r="AY510" s="329" t="s">
        <v>353</v>
      </c>
      <c r="AZ510" s="326"/>
      <c r="BE510" s="268" t="s">
        <v>28</v>
      </c>
      <c r="BF510" s="54"/>
      <c r="BG510" s="55"/>
      <c r="BH510" s="55"/>
      <c r="BI510" s="55"/>
      <c r="BJ510" s="56">
        <f t="shared" si="198"/>
        <v>0</v>
      </c>
      <c r="BL510" s="268" t="s">
        <v>28</v>
      </c>
      <c r="BM510" s="54"/>
      <c r="BN510" s="55"/>
      <c r="BO510" s="55"/>
      <c r="BP510" s="55"/>
      <c r="BQ510" s="56">
        <f t="shared" si="199"/>
        <v>0</v>
      </c>
    </row>
    <row r="511" spans="1:70" x14ac:dyDescent="0.15">
      <c r="A511" s="53" t="s">
        <v>111</v>
      </c>
      <c r="B511" s="55"/>
      <c r="C511" s="55"/>
      <c r="D511" s="55"/>
      <c r="E511" s="166"/>
      <c r="F511" s="49">
        <f t="shared" si="188"/>
        <v>0</v>
      </c>
      <c r="G511" s="55"/>
      <c r="H511" s="55">
        <v>3</v>
      </c>
      <c r="I511" s="55"/>
      <c r="J511" s="166"/>
      <c r="K511" s="49">
        <f t="shared" si="189"/>
        <v>3</v>
      </c>
      <c r="L511" s="55"/>
      <c r="M511" s="55"/>
      <c r="N511" s="55"/>
      <c r="O511" s="166"/>
      <c r="P511" s="49">
        <f t="shared" si="190"/>
        <v>0</v>
      </c>
      <c r="Q511" s="55"/>
      <c r="R511" s="55"/>
      <c r="S511" s="55"/>
      <c r="T511" s="166"/>
      <c r="U511" s="175">
        <f t="shared" si="191"/>
        <v>0</v>
      </c>
      <c r="V511" s="56">
        <f t="shared" si="192"/>
        <v>3</v>
      </c>
      <c r="W511" s="329">
        <v>44658</v>
      </c>
      <c r="X511" s="326"/>
      <c r="Y511" s="326"/>
      <c r="Z511" s="326"/>
      <c r="AC511" s="268" t="s">
        <v>28</v>
      </c>
      <c r="AD511" s="55"/>
      <c r="AE511" s="153"/>
      <c r="AF511" s="153"/>
      <c r="AG511" s="168"/>
      <c r="AH511" s="56">
        <f t="shared" si="194"/>
        <v>0</v>
      </c>
      <c r="AI511" s="54"/>
      <c r="AJ511" s="55"/>
      <c r="AK511" s="55"/>
      <c r="AL511" s="55"/>
      <c r="AM511" s="56">
        <f t="shared" si="195"/>
        <v>0</v>
      </c>
      <c r="AN511" s="54"/>
      <c r="AO511" s="55"/>
      <c r="AP511" s="55"/>
      <c r="AQ511" s="55"/>
      <c r="AR511" s="56">
        <f t="shared" si="196"/>
        <v>0</v>
      </c>
      <c r="AS511" s="55"/>
      <c r="AT511" s="153"/>
      <c r="AU511" s="153"/>
      <c r="AV511" s="168"/>
      <c r="AW511" s="176">
        <f t="shared" si="197"/>
        <v>0</v>
      </c>
      <c r="AX511" s="56">
        <f t="shared" si="193"/>
        <v>0</v>
      </c>
      <c r="AY511" s="329"/>
      <c r="AZ511" s="326"/>
      <c r="BE511" s="268" t="s">
        <v>28</v>
      </c>
      <c r="BF511" s="55"/>
      <c r="BG511" s="153"/>
      <c r="BH511" s="153"/>
      <c r="BI511" s="168"/>
      <c r="BJ511" s="56">
        <f t="shared" si="198"/>
        <v>0</v>
      </c>
      <c r="BL511" s="268" t="s">
        <v>28</v>
      </c>
      <c r="BM511" s="55"/>
      <c r="BN511" s="153"/>
      <c r="BO511" s="153"/>
      <c r="BP511" s="168"/>
      <c r="BQ511" s="56">
        <f t="shared" si="199"/>
        <v>0</v>
      </c>
    </row>
    <row r="512" spans="1:70" x14ac:dyDescent="0.15">
      <c r="A512" s="53" t="s">
        <v>111</v>
      </c>
      <c r="B512" s="63"/>
      <c r="C512" s="63"/>
      <c r="D512" s="63"/>
      <c r="E512" s="167"/>
      <c r="F512" s="64">
        <f t="shared" si="188"/>
        <v>0</v>
      </c>
      <c r="G512" s="63"/>
      <c r="H512" s="63"/>
      <c r="I512" s="63"/>
      <c r="J512" s="167"/>
      <c r="K512" s="64">
        <f t="shared" si="189"/>
        <v>0</v>
      </c>
      <c r="L512" s="63"/>
      <c r="M512" s="63"/>
      <c r="N512" s="63">
        <v>2</v>
      </c>
      <c r="O512" s="167">
        <v>2</v>
      </c>
      <c r="P512" s="64">
        <f t="shared" si="190"/>
        <v>4</v>
      </c>
      <c r="Q512" s="63">
        <v>2</v>
      </c>
      <c r="R512" s="63"/>
      <c r="S512" s="63"/>
      <c r="T512" s="167">
        <v>2</v>
      </c>
      <c r="U512" s="162">
        <f t="shared" si="191"/>
        <v>4</v>
      </c>
      <c r="V512" s="56">
        <f t="shared" si="192"/>
        <v>8</v>
      </c>
      <c r="W512" s="329">
        <v>44672</v>
      </c>
      <c r="X512" s="326"/>
      <c r="Y512" s="326"/>
      <c r="Z512" s="326"/>
      <c r="AC512" s="268" t="s">
        <v>28</v>
      </c>
      <c r="AD512" s="63"/>
      <c r="AE512" s="63"/>
      <c r="AF512" s="63"/>
      <c r="AG512" s="167"/>
      <c r="AH512" s="56">
        <f t="shared" si="194"/>
        <v>0</v>
      </c>
      <c r="AI512" s="63"/>
      <c r="AJ512" s="63"/>
      <c r="AK512" s="63"/>
      <c r="AL512" s="167"/>
      <c r="AM512" s="56">
        <f t="shared" si="195"/>
        <v>0</v>
      </c>
      <c r="AN512" s="63"/>
      <c r="AO512" s="63"/>
      <c r="AP512" s="63"/>
      <c r="AQ512" s="167"/>
      <c r="AR512" s="64">
        <v>0</v>
      </c>
      <c r="AS512" s="63"/>
      <c r="AT512" s="63"/>
      <c r="AU512" s="63"/>
      <c r="AV512" s="167"/>
      <c r="AW512" s="162">
        <v>0</v>
      </c>
      <c r="AX512" s="56">
        <f t="shared" si="193"/>
        <v>0</v>
      </c>
      <c r="AY512" s="330"/>
      <c r="AZ512" s="326"/>
      <c r="BE512" s="268" t="s">
        <v>28</v>
      </c>
      <c r="BF512" s="63"/>
      <c r="BG512" s="63"/>
      <c r="BH512" s="63"/>
      <c r="BI512" s="167"/>
      <c r="BJ512" s="64">
        <v>0</v>
      </c>
      <c r="BL512" s="268" t="s">
        <v>28</v>
      </c>
      <c r="BM512" s="63"/>
      <c r="BN512" s="63"/>
      <c r="BO512" s="63"/>
      <c r="BP512" s="167"/>
      <c r="BQ512" s="64">
        <v>0</v>
      </c>
    </row>
    <row r="513" spans="1:69" x14ac:dyDescent="0.15">
      <c r="A513" s="53" t="s">
        <v>111</v>
      </c>
      <c r="B513" s="55"/>
      <c r="C513" s="153"/>
      <c r="D513" s="153"/>
      <c r="E513" s="168"/>
      <c r="F513" s="56">
        <f t="shared" si="188"/>
        <v>0</v>
      </c>
      <c r="G513" s="55"/>
      <c r="H513" s="153">
        <v>3</v>
      </c>
      <c r="I513" s="153"/>
      <c r="J513" s="168"/>
      <c r="K513" s="56">
        <f t="shared" si="189"/>
        <v>3</v>
      </c>
      <c r="L513" s="55"/>
      <c r="M513" s="153"/>
      <c r="N513" s="153"/>
      <c r="O513" s="168"/>
      <c r="P513" s="56">
        <f t="shared" si="190"/>
        <v>0</v>
      </c>
      <c r="Q513" s="55"/>
      <c r="R513" s="153">
        <v>3</v>
      </c>
      <c r="S513" s="153">
        <v>3</v>
      </c>
      <c r="T513" s="168"/>
      <c r="U513" s="176">
        <f t="shared" si="191"/>
        <v>6</v>
      </c>
      <c r="V513" s="56">
        <f t="shared" si="192"/>
        <v>9</v>
      </c>
      <c r="W513" s="329">
        <v>44679</v>
      </c>
      <c r="X513" s="326"/>
      <c r="Y513" s="326"/>
      <c r="Z513" s="326"/>
      <c r="AC513" s="268" t="s">
        <v>28</v>
      </c>
      <c r="AD513" s="55"/>
      <c r="AE513" s="153"/>
      <c r="AF513" s="153"/>
      <c r="AG513" s="168"/>
      <c r="AH513" s="56">
        <f t="shared" si="194"/>
        <v>0</v>
      </c>
      <c r="AI513" s="55"/>
      <c r="AJ513" s="153"/>
      <c r="AK513" s="153"/>
      <c r="AL513" s="168"/>
      <c r="AM513" s="56">
        <f t="shared" si="195"/>
        <v>0</v>
      </c>
      <c r="AN513" s="55"/>
      <c r="AO513" s="153"/>
      <c r="AP513" s="153"/>
      <c r="AQ513" s="168"/>
      <c r="AR513" s="56">
        <f t="shared" ref="AR513:AR544" si="200">SUM(AN513:AQ513)</f>
        <v>0</v>
      </c>
      <c r="AS513" s="55"/>
      <c r="AT513" s="153"/>
      <c r="AU513" s="153"/>
      <c r="AV513" s="168"/>
      <c r="AW513" s="176">
        <f t="shared" ref="AW513:AW544" si="201">SUM(AS513:AV513)</f>
        <v>0</v>
      </c>
      <c r="AX513" s="56">
        <f t="shared" si="193"/>
        <v>0</v>
      </c>
      <c r="AY513" s="325"/>
      <c r="AZ513" s="326"/>
      <c r="BE513" s="268" t="s">
        <v>28</v>
      </c>
      <c r="BF513" s="55"/>
      <c r="BG513" s="153"/>
      <c r="BH513" s="153"/>
      <c r="BI513" s="168"/>
      <c r="BJ513" s="56">
        <f t="shared" ref="BJ513:BJ544" si="202">SUM(BF513:BI513)</f>
        <v>0</v>
      </c>
      <c r="BL513" s="268" t="s">
        <v>28</v>
      </c>
      <c r="BM513" s="55"/>
      <c r="BN513" s="153"/>
      <c r="BO513" s="153"/>
      <c r="BP513" s="168"/>
      <c r="BQ513" s="56">
        <f t="shared" ref="BQ513:BQ544" si="203">SUM(BM513:BP513)</f>
        <v>0</v>
      </c>
    </row>
    <row r="514" spans="1:69" x14ac:dyDescent="0.15">
      <c r="A514" s="53" t="s">
        <v>111</v>
      </c>
      <c r="B514" s="55"/>
      <c r="C514" s="153"/>
      <c r="D514" s="153"/>
      <c r="E514" s="168"/>
      <c r="F514" s="56">
        <f t="shared" si="188"/>
        <v>0</v>
      </c>
      <c r="G514" s="55"/>
      <c r="H514" s="153"/>
      <c r="I514" s="153"/>
      <c r="J514" s="168">
        <v>3</v>
      </c>
      <c r="K514" s="56">
        <f t="shared" si="189"/>
        <v>3</v>
      </c>
      <c r="L514" s="55"/>
      <c r="M514" s="153"/>
      <c r="N514" s="153"/>
      <c r="O514" s="168"/>
      <c r="P514" s="56">
        <f t="shared" si="190"/>
        <v>0</v>
      </c>
      <c r="Q514" s="55"/>
      <c r="R514" s="153"/>
      <c r="S514" s="153"/>
      <c r="T514" s="168"/>
      <c r="U514" s="176">
        <f t="shared" si="191"/>
        <v>0</v>
      </c>
      <c r="V514" s="56">
        <f t="shared" si="192"/>
        <v>3</v>
      </c>
      <c r="W514" s="329">
        <v>44683</v>
      </c>
      <c r="X514" s="326"/>
      <c r="Y514" s="326"/>
      <c r="Z514" s="326"/>
      <c r="AC514" s="268" t="s">
        <v>28</v>
      </c>
      <c r="AD514" s="55"/>
      <c r="AE514" s="153"/>
      <c r="AF514" s="153"/>
      <c r="AG514" s="168"/>
      <c r="AH514" s="56">
        <f t="shared" si="194"/>
        <v>0</v>
      </c>
      <c r="AI514" s="55"/>
      <c r="AJ514" s="153"/>
      <c r="AK514" s="153"/>
      <c r="AL514" s="168"/>
      <c r="AM514" s="56">
        <f t="shared" si="195"/>
        <v>0</v>
      </c>
      <c r="AN514" s="55"/>
      <c r="AO514" s="153"/>
      <c r="AP514" s="153"/>
      <c r="AQ514" s="168"/>
      <c r="AR514" s="56">
        <f t="shared" si="200"/>
        <v>0</v>
      </c>
      <c r="AS514" s="55"/>
      <c r="AT514" s="153"/>
      <c r="AU514" s="153"/>
      <c r="AV514" s="168"/>
      <c r="AW514" s="176">
        <f t="shared" si="201"/>
        <v>0</v>
      </c>
      <c r="AX514" s="56">
        <f t="shared" si="193"/>
        <v>0</v>
      </c>
      <c r="AY514" s="325"/>
      <c r="AZ514" s="326"/>
      <c r="BE514" s="268" t="s">
        <v>28</v>
      </c>
      <c r="BF514" s="55"/>
      <c r="BG514" s="153"/>
      <c r="BH514" s="153"/>
      <c r="BI514" s="168"/>
      <c r="BJ514" s="56">
        <f t="shared" si="202"/>
        <v>0</v>
      </c>
      <c r="BL514" s="268" t="s">
        <v>28</v>
      </c>
      <c r="BM514" s="55"/>
      <c r="BN514" s="153"/>
      <c r="BO514" s="153"/>
      <c r="BP514" s="168"/>
      <c r="BQ514" s="56">
        <f t="shared" si="203"/>
        <v>0</v>
      </c>
    </row>
    <row r="515" spans="1:69" ht="14.25" thickBot="1" x14ac:dyDescent="0.2">
      <c r="A515" s="53" t="s">
        <v>28</v>
      </c>
      <c r="B515" s="63"/>
      <c r="C515" s="164"/>
      <c r="D515" s="164"/>
      <c r="E515" s="169"/>
      <c r="F515" s="170">
        <f t="shared" si="188"/>
        <v>0</v>
      </c>
      <c r="G515" s="63">
        <v>3</v>
      </c>
      <c r="H515" s="164">
        <v>3</v>
      </c>
      <c r="I515" s="164"/>
      <c r="J515" s="169"/>
      <c r="K515" s="170">
        <f t="shared" si="189"/>
        <v>6</v>
      </c>
      <c r="L515" s="63"/>
      <c r="M515" s="164"/>
      <c r="N515" s="164"/>
      <c r="O515" s="169"/>
      <c r="P515" s="170">
        <f t="shared" si="190"/>
        <v>0</v>
      </c>
      <c r="Q515" s="63"/>
      <c r="R515" s="164"/>
      <c r="S515" s="164"/>
      <c r="T515" s="169"/>
      <c r="U515" s="179">
        <f t="shared" si="191"/>
        <v>0</v>
      </c>
      <c r="V515" s="170">
        <f t="shared" si="192"/>
        <v>6</v>
      </c>
      <c r="W515" s="329">
        <v>44688</v>
      </c>
      <c r="X515" s="326"/>
      <c r="Y515" s="326"/>
      <c r="Z515" s="326"/>
      <c r="AC515" s="274" t="s">
        <v>28</v>
      </c>
      <c r="AD515" s="63"/>
      <c r="AE515" s="164"/>
      <c r="AF515" s="164"/>
      <c r="AG515" s="169"/>
      <c r="AH515" s="170">
        <f t="shared" si="194"/>
        <v>0</v>
      </c>
      <c r="AI515" s="63"/>
      <c r="AJ515" s="164"/>
      <c r="AK515" s="164"/>
      <c r="AL515" s="169"/>
      <c r="AM515" s="170">
        <f t="shared" si="195"/>
        <v>0</v>
      </c>
      <c r="AN515" s="63"/>
      <c r="AO515" s="164"/>
      <c r="AP515" s="164"/>
      <c r="AQ515" s="169"/>
      <c r="AR515" s="170">
        <f t="shared" si="200"/>
        <v>0</v>
      </c>
      <c r="AS515" s="63"/>
      <c r="AT515" s="164"/>
      <c r="AU515" s="164"/>
      <c r="AV515" s="169"/>
      <c r="AW515" s="179">
        <f t="shared" si="201"/>
        <v>0</v>
      </c>
      <c r="AX515" s="170">
        <f t="shared" si="193"/>
        <v>0</v>
      </c>
      <c r="AY515" s="325"/>
      <c r="AZ515" s="326"/>
      <c r="BE515" s="274" t="s">
        <v>28</v>
      </c>
      <c r="BF515" s="63"/>
      <c r="BG515" s="164"/>
      <c r="BH515" s="164"/>
      <c r="BI515" s="169"/>
      <c r="BJ515" s="170">
        <f t="shared" si="202"/>
        <v>0</v>
      </c>
      <c r="BL515" s="274" t="s">
        <v>28</v>
      </c>
      <c r="BM515" s="63"/>
      <c r="BN515" s="164"/>
      <c r="BO515" s="164"/>
      <c r="BP515" s="169"/>
      <c r="BQ515" s="170">
        <f t="shared" si="203"/>
        <v>0</v>
      </c>
    </row>
    <row r="516" spans="1:69" ht="15" thickBot="1" x14ac:dyDescent="0.2">
      <c r="A516" s="181" t="s">
        <v>14</v>
      </c>
      <c r="B516" s="182">
        <f>SUM(B508:B515)</f>
        <v>3</v>
      </c>
      <c r="C516" s="183">
        <f>SUM(C508:C515)</f>
        <v>3</v>
      </c>
      <c r="D516" s="183">
        <f>SUM(D508:D515)</f>
        <v>3</v>
      </c>
      <c r="E516" s="184">
        <f>SUM(E508:E515)</f>
        <v>5</v>
      </c>
      <c r="F516" s="77">
        <f t="shared" si="188"/>
        <v>14</v>
      </c>
      <c r="G516" s="182">
        <f>SUM(G508:G515)</f>
        <v>7</v>
      </c>
      <c r="H516" s="183">
        <f>SUM(H508:H515)</f>
        <v>11</v>
      </c>
      <c r="I516" s="183">
        <f>SUM(I508:I515)</f>
        <v>5</v>
      </c>
      <c r="J516" s="184">
        <f>SUM(J508:J515)</f>
        <v>6</v>
      </c>
      <c r="K516" s="77">
        <f t="shared" si="189"/>
        <v>29</v>
      </c>
      <c r="L516" s="182">
        <f>SUM(L508:L515)</f>
        <v>21</v>
      </c>
      <c r="M516" s="183">
        <f>SUM(M508:M515)</f>
        <v>20</v>
      </c>
      <c r="N516" s="183">
        <f>SUM(N508:N515)</f>
        <v>12</v>
      </c>
      <c r="O516" s="184">
        <f>SUM(O508:O515)</f>
        <v>12</v>
      </c>
      <c r="P516" s="77">
        <f t="shared" si="190"/>
        <v>65</v>
      </c>
      <c r="Q516" s="182">
        <f>SUM(Q508:Q515)</f>
        <v>6</v>
      </c>
      <c r="R516" s="183">
        <f>SUM(R508:R515)</f>
        <v>6</v>
      </c>
      <c r="S516" s="183">
        <f>SUM(S508:S515)</f>
        <v>6</v>
      </c>
      <c r="T516" s="184">
        <f>SUM(T508:T515)</f>
        <v>5</v>
      </c>
      <c r="U516" s="182">
        <f t="shared" si="191"/>
        <v>23</v>
      </c>
      <c r="V516" s="77">
        <f t="shared" si="192"/>
        <v>131</v>
      </c>
      <c r="W516" s="325"/>
      <c r="X516" s="326"/>
      <c r="Y516" s="326"/>
      <c r="Z516" s="326"/>
      <c r="AC516" s="275" t="s">
        <v>14</v>
      </c>
      <c r="AD516" s="182">
        <f>SUM(AD508:AD515)</f>
        <v>184</v>
      </c>
      <c r="AE516" s="183">
        <f>SUM(AE508:AE515)</f>
        <v>244</v>
      </c>
      <c r="AF516" s="183">
        <f>SUM(AF508:AF515)</f>
        <v>238</v>
      </c>
      <c r="AG516" s="184">
        <f>SUM(AG508:AG515)</f>
        <v>168</v>
      </c>
      <c r="AH516" s="77">
        <f t="shared" si="194"/>
        <v>834</v>
      </c>
      <c r="AI516" s="182">
        <f>SUM(AI508:AI515)</f>
        <v>107</v>
      </c>
      <c r="AJ516" s="183">
        <f>SUM(AJ508:AJ515)</f>
        <v>91</v>
      </c>
      <c r="AK516" s="183">
        <f>SUM(AK508:AK515)</f>
        <v>225</v>
      </c>
      <c r="AL516" s="184">
        <f>SUM(AL508:AL515)</f>
        <v>75</v>
      </c>
      <c r="AM516" s="77">
        <f t="shared" si="195"/>
        <v>498</v>
      </c>
      <c r="AN516" s="182">
        <f>SUM(AN508:AN515)</f>
        <v>50</v>
      </c>
      <c r="AO516" s="183">
        <f>SUM(AO508:AO515)</f>
        <v>70</v>
      </c>
      <c r="AP516" s="183">
        <f>SUM(AP508:AP515)</f>
        <v>45</v>
      </c>
      <c r="AQ516" s="184">
        <f>SUM(AQ508:AQ515)</f>
        <v>35</v>
      </c>
      <c r="AR516" s="77">
        <f t="shared" si="200"/>
        <v>200</v>
      </c>
      <c r="AS516" s="182">
        <f>SUM(AS508:AS515)</f>
        <v>201</v>
      </c>
      <c r="AT516" s="183">
        <f>SUM(AT508:AT515)</f>
        <v>304</v>
      </c>
      <c r="AU516" s="183">
        <f>SUM(AU508:AU515)</f>
        <v>212</v>
      </c>
      <c r="AV516" s="184">
        <f>SUM(AV508:AV515)</f>
        <v>192</v>
      </c>
      <c r="AW516" s="182">
        <f t="shared" si="201"/>
        <v>909</v>
      </c>
      <c r="AX516" s="77">
        <f t="shared" si="193"/>
        <v>2441</v>
      </c>
      <c r="AY516" s="325"/>
      <c r="AZ516" s="326"/>
      <c r="BE516" s="275" t="s">
        <v>14</v>
      </c>
      <c r="BF516" s="182">
        <f>SUM(BF508:BF515)</f>
        <v>2</v>
      </c>
      <c r="BG516" s="183">
        <f>SUM(BG508:BG515)</f>
        <v>0</v>
      </c>
      <c r="BH516" s="183">
        <f>SUM(BH508:BH515)</f>
        <v>3</v>
      </c>
      <c r="BI516" s="184">
        <f>SUM(BI508:BI515)</f>
        <v>2</v>
      </c>
      <c r="BJ516" s="77">
        <f t="shared" si="202"/>
        <v>7</v>
      </c>
      <c r="BL516" s="275" t="s">
        <v>14</v>
      </c>
      <c r="BM516" s="182">
        <f>SUM(BM508:BM515)</f>
        <v>16</v>
      </c>
      <c r="BN516" s="183">
        <f>SUM(BN508:BN515)</f>
        <v>0</v>
      </c>
      <c r="BO516" s="183">
        <f>SUM(BO508:BO515)</f>
        <v>47</v>
      </c>
      <c r="BP516" s="184">
        <f>SUM(BP508:BP515)</f>
        <v>19</v>
      </c>
      <c r="BQ516" s="77">
        <f t="shared" si="203"/>
        <v>82</v>
      </c>
    </row>
    <row r="517" spans="1:69" x14ac:dyDescent="0.15">
      <c r="A517" s="53" t="s">
        <v>336</v>
      </c>
      <c r="B517" s="46"/>
      <c r="C517" s="47"/>
      <c r="D517" s="47"/>
      <c r="E517" s="47"/>
      <c r="F517" s="48">
        <f t="shared" si="188"/>
        <v>0</v>
      </c>
      <c r="G517" s="46"/>
      <c r="H517" s="47"/>
      <c r="I517" s="47"/>
      <c r="J517" s="47"/>
      <c r="K517" s="48">
        <f t="shared" si="189"/>
        <v>0</v>
      </c>
      <c r="L517" s="46">
        <v>5</v>
      </c>
      <c r="M517" s="47">
        <v>5</v>
      </c>
      <c r="N517" s="47">
        <v>3</v>
      </c>
      <c r="O517" s="47">
        <v>3</v>
      </c>
      <c r="P517" s="48">
        <f t="shared" si="190"/>
        <v>16</v>
      </c>
      <c r="Q517" s="46"/>
      <c r="R517" s="47"/>
      <c r="S517" s="47"/>
      <c r="T517" s="47"/>
      <c r="U517" s="180">
        <f t="shared" si="191"/>
        <v>0</v>
      </c>
      <c r="V517" s="49">
        <f t="shared" si="192"/>
        <v>16</v>
      </c>
      <c r="W517" s="329">
        <v>44644</v>
      </c>
      <c r="X517" s="326"/>
      <c r="Y517" s="326"/>
      <c r="Z517" s="326"/>
      <c r="AC517" s="269" t="s">
        <v>338</v>
      </c>
      <c r="AD517" s="55"/>
      <c r="AE517" s="153"/>
      <c r="AF517" s="153"/>
      <c r="AG517" s="168"/>
      <c r="AH517" s="56">
        <f t="shared" si="194"/>
        <v>0</v>
      </c>
      <c r="AI517" s="55"/>
      <c r="AJ517" s="153"/>
      <c r="AK517" s="153"/>
      <c r="AL517" s="168"/>
      <c r="AM517" s="56">
        <f t="shared" si="195"/>
        <v>0</v>
      </c>
      <c r="AN517" s="55">
        <v>20</v>
      </c>
      <c r="AO517" s="153">
        <v>20</v>
      </c>
      <c r="AP517" s="153">
        <v>10</v>
      </c>
      <c r="AQ517" s="168">
        <v>10</v>
      </c>
      <c r="AR517" s="56">
        <f t="shared" si="200"/>
        <v>60</v>
      </c>
      <c r="AS517" s="55"/>
      <c r="AT517" s="153"/>
      <c r="AU517" s="153"/>
      <c r="AV517" s="168"/>
      <c r="AW517" s="176">
        <f t="shared" si="201"/>
        <v>0</v>
      </c>
      <c r="AX517" s="56">
        <f t="shared" si="193"/>
        <v>60</v>
      </c>
      <c r="AY517" s="329">
        <v>44642</v>
      </c>
      <c r="AZ517" s="326"/>
      <c r="BE517" s="268" t="s">
        <v>360</v>
      </c>
      <c r="BF517" s="55"/>
      <c r="BG517" s="153"/>
      <c r="BH517" s="153">
        <v>1</v>
      </c>
      <c r="BI517" s="168"/>
      <c r="BJ517" s="56">
        <f t="shared" si="202"/>
        <v>1</v>
      </c>
      <c r="BK517" s="304">
        <v>44687</v>
      </c>
      <c r="BL517" s="268"/>
      <c r="BM517" s="55"/>
      <c r="BN517" s="153"/>
      <c r="BO517" s="153"/>
      <c r="BP517" s="168"/>
      <c r="BQ517" s="56">
        <f t="shared" si="203"/>
        <v>0</v>
      </c>
    </row>
    <row r="518" spans="1:69" x14ac:dyDescent="0.15">
      <c r="A518" s="53" t="s">
        <v>337</v>
      </c>
      <c r="B518" s="54"/>
      <c r="C518" s="55"/>
      <c r="D518" s="55"/>
      <c r="E518" s="55"/>
      <c r="F518" s="56">
        <f t="shared" si="188"/>
        <v>0</v>
      </c>
      <c r="G518" s="54"/>
      <c r="H518" s="55"/>
      <c r="I518" s="55"/>
      <c r="J518" s="55"/>
      <c r="K518" s="56">
        <f t="shared" si="189"/>
        <v>0</v>
      </c>
      <c r="L518" s="54">
        <v>10</v>
      </c>
      <c r="M518" s="55">
        <v>10</v>
      </c>
      <c r="N518" s="55">
        <v>5</v>
      </c>
      <c r="O518" s="55">
        <v>5</v>
      </c>
      <c r="P518" s="56">
        <f t="shared" si="190"/>
        <v>30</v>
      </c>
      <c r="Q518" s="54"/>
      <c r="R518" s="55"/>
      <c r="S518" s="55"/>
      <c r="T518" s="55"/>
      <c r="U518" s="176">
        <f t="shared" si="191"/>
        <v>0</v>
      </c>
      <c r="V518" s="56">
        <f t="shared" si="192"/>
        <v>30</v>
      </c>
      <c r="W518" s="329">
        <v>44644</v>
      </c>
      <c r="X518" s="326"/>
      <c r="Y518" s="326"/>
      <c r="Z518" s="326"/>
      <c r="AC518" s="276" t="s">
        <v>341</v>
      </c>
      <c r="AD518" s="54"/>
      <c r="AE518" s="55"/>
      <c r="AF518" s="55"/>
      <c r="AG518" s="55"/>
      <c r="AH518" s="56">
        <f t="shared" si="194"/>
        <v>0</v>
      </c>
      <c r="AI518" s="54"/>
      <c r="AJ518" s="55"/>
      <c r="AK518" s="55"/>
      <c r="AL518" s="55"/>
      <c r="AM518" s="56">
        <f t="shared" si="195"/>
        <v>0</v>
      </c>
      <c r="AN518" s="54"/>
      <c r="AO518" s="55"/>
      <c r="AP518" s="55"/>
      <c r="AQ518" s="55"/>
      <c r="AR518" s="56">
        <f t="shared" si="200"/>
        <v>0</v>
      </c>
      <c r="AS518" s="54"/>
      <c r="AT518" s="55">
        <v>2</v>
      </c>
      <c r="AU518" s="55"/>
      <c r="AV518" s="55"/>
      <c r="AW518" s="176">
        <f t="shared" si="201"/>
        <v>2</v>
      </c>
      <c r="AX518" s="56">
        <f t="shared" si="193"/>
        <v>2</v>
      </c>
      <c r="AY518" s="329">
        <v>44658</v>
      </c>
      <c r="AZ518" s="326"/>
      <c r="BE518" s="268" t="s">
        <v>98</v>
      </c>
      <c r="BF518" s="54">
        <v>1</v>
      </c>
      <c r="BG518" s="55"/>
      <c r="BH518" s="55"/>
      <c r="BI518" s="55"/>
      <c r="BJ518" s="56">
        <f t="shared" si="202"/>
        <v>1</v>
      </c>
      <c r="BK518" s="304">
        <v>44690</v>
      </c>
      <c r="BL518" s="276"/>
      <c r="BM518" s="54"/>
      <c r="BN518" s="55"/>
      <c r="BO518" s="55"/>
      <c r="BP518" s="55"/>
      <c r="BQ518" s="56">
        <f t="shared" si="203"/>
        <v>0</v>
      </c>
    </row>
    <row r="519" spans="1:69" x14ac:dyDescent="0.15">
      <c r="A519" s="53" t="s">
        <v>98</v>
      </c>
      <c r="B519" s="54"/>
      <c r="C519" s="55"/>
      <c r="D519" s="55"/>
      <c r="E519" s="55"/>
      <c r="F519" s="56">
        <f t="shared" si="188"/>
        <v>0</v>
      </c>
      <c r="G519" s="54">
        <v>1</v>
      </c>
      <c r="H519" s="55"/>
      <c r="I519" s="55"/>
      <c r="J519" s="55"/>
      <c r="K519" s="56">
        <f t="shared" si="189"/>
        <v>1</v>
      </c>
      <c r="L519" s="54"/>
      <c r="M519" s="55"/>
      <c r="N519" s="55"/>
      <c r="O519" s="55"/>
      <c r="P519" s="56">
        <f t="shared" si="190"/>
        <v>0</v>
      </c>
      <c r="Q519" s="54"/>
      <c r="R519" s="55"/>
      <c r="S519" s="55"/>
      <c r="T519" s="55"/>
      <c r="U519" s="176">
        <f t="shared" si="191"/>
        <v>0</v>
      </c>
      <c r="V519" s="56">
        <f t="shared" si="192"/>
        <v>1</v>
      </c>
      <c r="W519" s="329">
        <v>44655</v>
      </c>
      <c r="X519" s="326"/>
      <c r="Y519" s="326"/>
      <c r="Z519" s="326"/>
      <c r="AC519" s="276" t="s">
        <v>342</v>
      </c>
      <c r="AD519" s="54"/>
      <c r="AE519" s="55"/>
      <c r="AF519" s="55"/>
      <c r="AG519" s="55"/>
      <c r="AH519" s="56">
        <f t="shared" si="194"/>
        <v>0</v>
      </c>
      <c r="AI519" s="54"/>
      <c r="AJ519" s="55"/>
      <c r="AK519" s="55"/>
      <c r="AL519" s="55"/>
      <c r="AM519" s="56">
        <f t="shared" si="195"/>
        <v>0</v>
      </c>
      <c r="AN519" s="54"/>
      <c r="AO519" s="55"/>
      <c r="AP519" s="55"/>
      <c r="AQ519" s="55"/>
      <c r="AR519" s="56">
        <f t="shared" si="200"/>
        <v>0</v>
      </c>
      <c r="AS519" s="54">
        <v>2</v>
      </c>
      <c r="AT519" s="55">
        <v>3</v>
      </c>
      <c r="AU519" s="55"/>
      <c r="AV519" s="55">
        <v>5</v>
      </c>
      <c r="AW519" s="176">
        <f t="shared" si="201"/>
        <v>10</v>
      </c>
      <c r="AX519" s="56">
        <f t="shared" si="193"/>
        <v>10</v>
      </c>
      <c r="AY519" s="329">
        <v>44659</v>
      </c>
      <c r="AZ519" s="326"/>
      <c r="BE519" s="276"/>
      <c r="BF519" s="54"/>
      <c r="BG519" s="55"/>
      <c r="BH519" s="55"/>
      <c r="BI519" s="55"/>
      <c r="BJ519" s="56">
        <f t="shared" si="202"/>
        <v>0</v>
      </c>
      <c r="BL519" s="276"/>
      <c r="BM519" s="54"/>
      <c r="BN519" s="55"/>
      <c r="BO519" s="55"/>
      <c r="BP519" s="55"/>
      <c r="BQ519" s="56">
        <f t="shared" si="203"/>
        <v>0</v>
      </c>
    </row>
    <row r="520" spans="1:69" x14ac:dyDescent="0.15">
      <c r="A520" s="53" t="s">
        <v>98</v>
      </c>
      <c r="B520" s="54"/>
      <c r="C520" s="55"/>
      <c r="D520" s="55"/>
      <c r="E520" s="55"/>
      <c r="F520" s="56">
        <f t="shared" si="188"/>
        <v>0</v>
      </c>
      <c r="G520" s="54"/>
      <c r="H520" s="55">
        <v>1</v>
      </c>
      <c r="I520" s="55"/>
      <c r="J520" s="55"/>
      <c r="K520" s="56">
        <f t="shared" si="189"/>
        <v>1</v>
      </c>
      <c r="L520" s="54"/>
      <c r="M520" s="55"/>
      <c r="N520" s="55"/>
      <c r="O520" s="55"/>
      <c r="P520" s="56">
        <f t="shared" si="190"/>
        <v>0</v>
      </c>
      <c r="Q520" s="54"/>
      <c r="R520" s="55"/>
      <c r="S520" s="55"/>
      <c r="T520" s="55"/>
      <c r="U520" s="176">
        <f t="shared" si="191"/>
        <v>0</v>
      </c>
      <c r="V520" s="56">
        <f t="shared" si="192"/>
        <v>1</v>
      </c>
      <c r="W520" s="329">
        <v>44657</v>
      </c>
      <c r="X520" s="326"/>
      <c r="Y520" s="326"/>
      <c r="Z520" s="326"/>
      <c r="AC520" s="276" t="s">
        <v>343</v>
      </c>
      <c r="AD520" s="54"/>
      <c r="AE520" s="55"/>
      <c r="AF520" s="55"/>
      <c r="AG520" s="55"/>
      <c r="AH520" s="56">
        <f t="shared" si="194"/>
        <v>0</v>
      </c>
      <c r="AI520" s="54"/>
      <c r="AJ520" s="55"/>
      <c r="AK520" s="55"/>
      <c r="AL520" s="55"/>
      <c r="AM520" s="56">
        <f t="shared" si="195"/>
        <v>0</v>
      </c>
      <c r="AN520" s="54"/>
      <c r="AO520" s="55"/>
      <c r="AP520" s="55"/>
      <c r="AQ520" s="55"/>
      <c r="AR520" s="56">
        <f t="shared" si="200"/>
        <v>0</v>
      </c>
      <c r="AS520" s="54">
        <v>10</v>
      </c>
      <c r="AT520" s="55">
        <v>4</v>
      </c>
      <c r="AU520" s="55"/>
      <c r="AV520" s="55">
        <v>10</v>
      </c>
      <c r="AW520" s="56">
        <f t="shared" si="201"/>
        <v>24</v>
      </c>
      <c r="AX520" s="56">
        <f t="shared" si="193"/>
        <v>24</v>
      </c>
      <c r="AY520" s="329">
        <v>44664</v>
      </c>
      <c r="AZ520" s="326"/>
      <c r="BE520" s="277"/>
      <c r="BF520" s="54"/>
      <c r="BG520" s="55"/>
      <c r="BH520" s="55"/>
      <c r="BI520" s="55"/>
      <c r="BJ520" s="56">
        <f t="shared" si="202"/>
        <v>0</v>
      </c>
      <c r="BL520" s="277"/>
      <c r="BM520" s="54"/>
      <c r="BN520" s="55"/>
      <c r="BO520" s="55"/>
      <c r="BP520" s="55"/>
      <c r="BQ520" s="56">
        <f t="shared" si="203"/>
        <v>0</v>
      </c>
    </row>
    <row r="521" spans="1:69" x14ac:dyDescent="0.15">
      <c r="A521" s="53" t="s">
        <v>98</v>
      </c>
      <c r="B521" s="54"/>
      <c r="C521" s="55"/>
      <c r="D521" s="55"/>
      <c r="E521" s="55"/>
      <c r="F521" s="56">
        <f t="shared" si="188"/>
        <v>0</v>
      </c>
      <c r="G521" s="54"/>
      <c r="H521" s="55"/>
      <c r="I521" s="55"/>
      <c r="J521" s="55"/>
      <c r="K521" s="56">
        <f t="shared" si="189"/>
        <v>0</v>
      </c>
      <c r="L521" s="54"/>
      <c r="M521" s="55"/>
      <c r="N521" s="55"/>
      <c r="O521" s="55"/>
      <c r="P521" s="56">
        <f t="shared" si="190"/>
        <v>0</v>
      </c>
      <c r="Q521" s="54"/>
      <c r="R521" s="55"/>
      <c r="S521" s="55"/>
      <c r="T521" s="55">
        <v>1</v>
      </c>
      <c r="U521" s="176">
        <f t="shared" si="191"/>
        <v>1</v>
      </c>
      <c r="V521" s="56">
        <f t="shared" si="192"/>
        <v>1</v>
      </c>
      <c r="W521" s="329">
        <v>44658</v>
      </c>
      <c r="X521" s="326"/>
      <c r="Y521" s="326"/>
      <c r="Z521" s="326"/>
      <c r="AC521" s="276" t="s">
        <v>345</v>
      </c>
      <c r="AD521" s="51"/>
      <c r="AE521" s="52"/>
      <c r="AF521" s="52"/>
      <c r="AG521" s="52"/>
      <c r="AH521" s="49">
        <f t="shared" si="194"/>
        <v>0</v>
      </c>
      <c r="AI521" s="51"/>
      <c r="AJ521" s="52"/>
      <c r="AK521" s="52"/>
      <c r="AL521" s="52"/>
      <c r="AM521" s="49">
        <f t="shared" si="195"/>
        <v>0</v>
      </c>
      <c r="AN521" s="51"/>
      <c r="AO521" s="52"/>
      <c r="AP521" s="52"/>
      <c r="AQ521" s="52"/>
      <c r="AR521" s="49">
        <f t="shared" si="200"/>
        <v>0</v>
      </c>
      <c r="AS521" s="51"/>
      <c r="AT521" s="52"/>
      <c r="AU521" s="52">
        <v>3</v>
      </c>
      <c r="AV521" s="52"/>
      <c r="AW521" s="175">
        <f t="shared" si="201"/>
        <v>3</v>
      </c>
      <c r="AX521" s="49">
        <f t="shared" si="193"/>
        <v>3</v>
      </c>
      <c r="AY521" s="329">
        <v>44664</v>
      </c>
      <c r="AZ521" s="326"/>
      <c r="BE521" s="277"/>
      <c r="BF521" s="51"/>
      <c r="BG521" s="52"/>
      <c r="BH521" s="52"/>
      <c r="BI521" s="52"/>
      <c r="BJ521" s="49">
        <f t="shared" si="202"/>
        <v>0</v>
      </c>
      <c r="BL521" s="277"/>
      <c r="BM521" s="51"/>
      <c r="BN521" s="52"/>
      <c r="BO521" s="52"/>
      <c r="BP521" s="52"/>
      <c r="BQ521" s="49">
        <f t="shared" si="203"/>
        <v>0</v>
      </c>
    </row>
    <row r="522" spans="1:69" x14ac:dyDescent="0.15">
      <c r="A522" s="53" t="s">
        <v>98</v>
      </c>
      <c r="B522" s="54"/>
      <c r="C522" s="55"/>
      <c r="D522" s="55"/>
      <c r="E522" s="55"/>
      <c r="F522" s="56">
        <f t="shared" si="188"/>
        <v>0</v>
      </c>
      <c r="G522" s="54"/>
      <c r="H522" s="55"/>
      <c r="I522" s="55"/>
      <c r="J522" s="55"/>
      <c r="K522" s="56">
        <f t="shared" si="189"/>
        <v>0</v>
      </c>
      <c r="L522" s="54"/>
      <c r="M522" s="55"/>
      <c r="N522" s="55"/>
      <c r="O522" s="55"/>
      <c r="P522" s="56">
        <f t="shared" si="190"/>
        <v>0</v>
      </c>
      <c r="Q522" s="54">
        <v>1</v>
      </c>
      <c r="R522" s="55"/>
      <c r="S522" s="55">
        <v>1</v>
      </c>
      <c r="T522" s="55"/>
      <c r="U522" s="176">
        <f t="shared" si="191"/>
        <v>2</v>
      </c>
      <c r="V522" s="56">
        <f t="shared" si="192"/>
        <v>2</v>
      </c>
      <c r="W522" s="329">
        <v>44667</v>
      </c>
      <c r="X522" s="326"/>
      <c r="Y522" s="326"/>
      <c r="Z522" s="326"/>
      <c r="AC522" s="269" t="s">
        <v>346</v>
      </c>
      <c r="AD522" s="54"/>
      <c r="AE522" s="55"/>
      <c r="AF522" s="55"/>
      <c r="AG522" s="55"/>
      <c r="AH522" s="56">
        <f t="shared" si="194"/>
        <v>0</v>
      </c>
      <c r="AI522" s="54"/>
      <c r="AJ522" s="55">
        <v>3</v>
      </c>
      <c r="AK522" s="55"/>
      <c r="AL522" s="55"/>
      <c r="AM522" s="56">
        <f t="shared" si="195"/>
        <v>3</v>
      </c>
      <c r="AN522" s="54"/>
      <c r="AO522" s="55"/>
      <c r="AP522" s="55"/>
      <c r="AQ522" s="55"/>
      <c r="AR522" s="56">
        <f t="shared" si="200"/>
        <v>0</v>
      </c>
      <c r="AS522" s="54"/>
      <c r="AT522" s="55"/>
      <c r="AU522" s="55"/>
      <c r="AV522" s="55"/>
      <c r="AW522" s="176">
        <f t="shared" si="201"/>
        <v>0</v>
      </c>
      <c r="AX522" s="56">
        <f t="shared" si="193"/>
        <v>3</v>
      </c>
      <c r="AY522" s="329">
        <v>44658</v>
      </c>
      <c r="AZ522" s="326"/>
      <c r="BE522" s="268"/>
      <c r="BF522" s="54"/>
      <c r="BG522" s="55"/>
      <c r="BH522" s="55"/>
      <c r="BI522" s="55"/>
      <c r="BJ522" s="56">
        <f t="shared" si="202"/>
        <v>0</v>
      </c>
      <c r="BL522" s="268"/>
      <c r="BM522" s="54"/>
      <c r="BN522" s="55"/>
      <c r="BO522" s="55"/>
      <c r="BP522" s="55"/>
      <c r="BQ522" s="56">
        <f t="shared" si="203"/>
        <v>0</v>
      </c>
    </row>
    <row r="523" spans="1:69" x14ac:dyDescent="0.15">
      <c r="A523" s="53" t="s">
        <v>98</v>
      </c>
      <c r="B523" s="54"/>
      <c r="C523" s="55"/>
      <c r="D523" s="55"/>
      <c r="E523" s="55"/>
      <c r="F523" s="56">
        <f t="shared" si="188"/>
        <v>0</v>
      </c>
      <c r="G523" s="54"/>
      <c r="H523" s="55"/>
      <c r="I523" s="55"/>
      <c r="J523" s="55"/>
      <c r="K523" s="56">
        <f t="shared" si="189"/>
        <v>0</v>
      </c>
      <c r="L523" s="54"/>
      <c r="M523" s="55"/>
      <c r="N523" s="55"/>
      <c r="O523" s="55"/>
      <c r="P523" s="56">
        <f t="shared" si="190"/>
        <v>0</v>
      </c>
      <c r="Q523" s="54">
        <v>1</v>
      </c>
      <c r="R523" s="55"/>
      <c r="S523" s="55"/>
      <c r="T523" s="55"/>
      <c r="U523" s="176">
        <f t="shared" si="191"/>
        <v>1</v>
      </c>
      <c r="V523" s="56">
        <f t="shared" si="192"/>
        <v>1</v>
      </c>
      <c r="W523" s="329">
        <v>44669</v>
      </c>
      <c r="X523" s="326"/>
      <c r="Y523" s="326"/>
      <c r="Z523" s="326"/>
      <c r="AC523" s="276" t="s">
        <v>347</v>
      </c>
      <c r="AD523" s="54"/>
      <c r="AE523" s="55"/>
      <c r="AF523" s="55"/>
      <c r="AG523" s="55"/>
      <c r="AH523" s="56">
        <f t="shared" si="194"/>
        <v>0</v>
      </c>
      <c r="AI523" s="54"/>
      <c r="AJ523" s="55"/>
      <c r="AK523" s="55"/>
      <c r="AL523" s="55"/>
      <c r="AM523" s="56">
        <f t="shared" si="195"/>
        <v>0</v>
      </c>
      <c r="AN523" s="54"/>
      <c r="AO523" s="55"/>
      <c r="AP523" s="55"/>
      <c r="AQ523" s="55"/>
      <c r="AR523" s="56">
        <f t="shared" si="200"/>
        <v>0</v>
      </c>
      <c r="AS523" s="54"/>
      <c r="AT523" s="55"/>
      <c r="AU523" s="55">
        <v>3</v>
      </c>
      <c r="AV523" s="55"/>
      <c r="AW523" s="176">
        <f t="shared" si="201"/>
        <v>3</v>
      </c>
      <c r="AX523" s="56">
        <f t="shared" si="193"/>
        <v>3</v>
      </c>
      <c r="AY523" s="329">
        <v>44665</v>
      </c>
      <c r="AZ523" s="326"/>
      <c r="BE523" s="268"/>
      <c r="BF523" s="54"/>
      <c r="BG523" s="55"/>
      <c r="BH523" s="55"/>
      <c r="BI523" s="55"/>
      <c r="BJ523" s="56">
        <f t="shared" si="202"/>
        <v>0</v>
      </c>
      <c r="BL523" s="268"/>
      <c r="BM523" s="54"/>
      <c r="BN523" s="55"/>
      <c r="BO523" s="55"/>
      <c r="BP523" s="55"/>
      <c r="BQ523" s="56">
        <f t="shared" si="203"/>
        <v>0</v>
      </c>
    </row>
    <row r="524" spans="1:69" x14ac:dyDescent="0.15">
      <c r="A524" s="53" t="s">
        <v>98</v>
      </c>
      <c r="B524" s="54"/>
      <c r="C524" s="55"/>
      <c r="D524" s="55"/>
      <c r="E524" s="55"/>
      <c r="F524" s="56">
        <f t="shared" si="188"/>
        <v>0</v>
      </c>
      <c r="G524" s="54"/>
      <c r="H524" s="55"/>
      <c r="I524" s="55"/>
      <c r="J524" s="55"/>
      <c r="K524" s="56">
        <f t="shared" si="189"/>
        <v>0</v>
      </c>
      <c r="L524" s="54"/>
      <c r="M524" s="55"/>
      <c r="N524" s="55"/>
      <c r="O524" s="55"/>
      <c r="P524" s="56">
        <f t="shared" si="190"/>
        <v>0</v>
      </c>
      <c r="Q524" s="54">
        <v>1</v>
      </c>
      <c r="R524" s="55">
        <v>1</v>
      </c>
      <c r="S524" s="55"/>
      <c r="T524" s="55"/>
      <c r="U524" s="176">
        <f t="shared" si="191"/>
        <v>2</v>
      </c>
      <c r="V524" s="56">
        <f t="shared" si="192"/>
        <v>2</v>
      </c>
      <c r="W524" s="329">
        <v>44671</v>
      </c>
      <c r="X524" s="326"/>
      <c r="Y524" s="326"/>
      <c r="Z524" s="326"/>
      <c r="AC524" s="276" t="s">
        <v>348</v>
      </c>
      <c r="AD524" s="55"/>
      <c r="AE524" s="55"/>
      <c r="AF524" s="55"/>
      <c r="AG524" s="166"/>
      <c r="AH524" s="49">
        <f t="shared" si="194"/>
        <v>0</v>
      </c>
      <c r="AI524" s="55"/>
      <c r="AJ524" s="55"/>
      <c r="AK524" s="55"/>
      <c r="AL524" s="166">
        <v>5</v>
      </c>
      <c r="AM524" s="49">
        <f t="shared" si="195"/>
        <v>5</v>
      </c>
      <c r="AN524" s="55"/>
      <c r="AO524" s="55"/>
      <c r="AP524" s="55"/>
      <c r="AQ524" s="166"/>
      <c r="AR524" s="49">
        <f t="shared" si="200"/>
        <v>0</v>
      </c>
      <c r="AS524" s="55"/>
      <c r="AT524" s="55"/>
      <c r="AU524" s="55">
        <v>5</v>
      </c>
      <c r="AV524" s="166"/>
      <c r="AW524" s="175">
        <f t="shared" si="201"/>
        <v>5</v>
      </c>
      <c r="AX524" s="56">
        <f t="shared" si="193"/>
        <v>10</v>
      </c>
      <c r="AY524" s="329">
        <v>44666</v>
      </c>
      <c r="AZ524" s="326"/>
      <c r="BE524" s="276"/>
      <c r="BF524" s="55"/>
      <c r="BG524" s="55"/>
      <c r="BH524" s="55"/>
      <c r="BI524" s="166"/>
      <c r="BJ524" s="49">
        <f t="shared" si="202"/>
        <v>0</v>
      </c>
      <c r="BL524" s="276"/>
      <c r="BM524" s="55"/>
      <c r="BN524" s="55"/>
      <c r="BO524" s="55"/>
      <c r="BP524" s="166"/>
      <c r="BQ524" s="49">
        <f t="shared" si="203"/>
        <v>0</v>
      </c>
    </row>
    <row r="525" spans="1:69" x14ac:dyDescent="0.15">
      <c r="A525" s="53" t="s">
        <v>98</v>
      </c>
      <c r="B525" s="17"/>
      <c r="C525" s="18"/>
      <c r="D525" s="18"/>
      <c r="E525" s="18"/>
      <c r="F525" s="30">
        <f t="shared" si="188"/>
        <v>0</v>
      </c>
      <c r="G525" s="17"/>
      <c r="H525" s="18"/>
      <c r="I525" s="18"/>
      <c r="J525" s="18">
        <v>1</v>
      </c>
      <c r="K525" s="30">
        <f t="shared" si="189"/>
        <v>1</v>
      </c>
      <c r="L525" s="17">
        <v>1</v>
      </c>
      <c r="M525" s="18"/>
      <c r="N525" s="18"/>
      <c r="O525" s="18"/>
      <c r="P525" s="30">
        <f t="shared" si="190"/>
        <v>1</v>
      </c>
      <c r="Q525" s="17"/>
      <c r="R525" s="18"/>
      <c r="S525" s="18"/>
      <c r="T525" s="18"/>
      <c r="U525" s="178">
        <f t="shared" si="191"/>
        <v>0</v>
      </c>
      <c r="V525" s="56">
        <f t="shared" si="192"/>
        <v>2</v>
      </c>
      <c r="W525" s="328">
        <v>44676</v>
      </c>
      <c r="X525" s="326"/>
      <c r="Y525" s="326"/>
      <c r="Z525" s="326"/>
      <c r="AC525" s="276" t="s">
        <v>349</v>
      </c>
      <c r="AD525" s="17"/>
      <c r="AE525" s="18"/>
      <c r="AF525" s="18"/>
      <c r="AG525" s="18"/>
      <c r="AH525" s="30">
        <f t="shared" si="194"/>
        <v>0</v>
      </c>
      <c r="AI525" s="17"/>
      <c r="AJ525" s="18"/>
      <c r="AK525" s="18"/>
      <c r="AL525" s="18"/>
      <c r="AM525" s="30">
        <f t="shared" si="195"/>
        <v>0</v>
      </c>
      <c r="AN525" s="17"/>
      <c r="AO525" s="18"/>
      <c r="AP525" s="18"/>
      <c r="AQ525" s="18"/>
      <c r="AR525" s="30">
        <f t="shared" si="200"/>
        <v>0</v>
      </c>
      <c r="AS525" s="17"/>
      <c r="AT525" s="18"/>
      <c r="AU525" s="18"/>
      <c r="AV525" s="18">
        <v>5</v>
      </c>
      <c r="AW525" s="178">
        <f t="shared" si="201"/>
        <v>5</v>
      </c>
      <c r="AX525" s="56">
        <f t="shared" si="193"/>
        <v>5</v>
      </c>
      <c r="AY525" s="329">
        <v>44669</v>
      </c>
      <c r="AZ525" s="326"/>
      <c r="BE525" s="277"/>
      <c r="BF525" s="17"/>
      <c r="BG525" s="18"/>
      <c r="BH525" s="18"/>
      <c r="BI525" s="18"/>
      <c r="BJ525" s="30">
        <f t="shared" si="202"/>
        <v>0</v>
      </c>
      <c r="BL525" s="277"/>
      <c r="BM525" s="17"/>
      <c r="BN525" s="18"/>
      <c r="BO525" s="18"/>
      <c r="BP525" s="18"/>
      <c r="BQ525" s="30">
        <f t="shared" si="203"/>
        <v>0</v>
      </c>
    </row>
    <row r="526" spans="1:69" x14ac:dyDescent="0.15">
      <c r="A526" s="53" t="s">
        <v>98</v>
      </c>
      <c r="B526" s="54"/>
      <c r="C526" s="55"/>
      <c r="D526" s="55"/>
      <c r="E526" s="55"/>
      <c r="F526" s="56">
        <f t="shared" si="188"/>
        <v>0</v>
      </c>
      <c r="G526" s="54"/>
      <c r="H526" s="55">
        <f>1+1+1</f>
        <v>3</v>
      </c>
      <c r="I526" s="55"/>
      <c r="J526" s="55">
        <v>1</v>
      </c>
      <c r="K526" s="56">
        <f t="shared" si="189"/>
        <v>4</v>
      </c>
      <c r="L526" s="54"/>
      <c r="M526" s="55"/>
      <c r="N526" s="55"/>
      <c r="O526" s="55">
        <v>1</v>
      </c>
      <c r="P526" s="56">
        <f t="shared" si="190"/>
        <v>1</v>
      </c>
      <c r="Q526" s="54"/>
      <c r="R526" s="55"/>
      <c r="S526" s="55"/>
      <c r="T526" s="55"/>
      <c r="U526" s="176">
        <f t="shared" si="191"/>
        <v>0</v>
      </c>
      <c r="V526" s="56">
        <f t="shared" si="192"/>
        <v>5</v>
      </c>
      <c r="W526" s="328">
        <v>44677</v>
      </c>
      <c r="X526" s="326"/>
      <c r="Y526" s="326"/>
      <c r="Z526" s="326"/>
      <c r="AC526" s="276" t="s">
        <v>350</v>
      </c>
      <c r="AD526" s="54"/>
      <c r="AE526" s="55"/>
      <c r="AF526" s="55"/>
      <c r="AG526" s="55"/>
      <c r="AH526" s="56">
        <f t="shared" si="194"/>
        <v>0</v>
      </c>
      <c r="AI526" s="54">
        <v>5</v>
      </c>
      <c r="AJ526" s="55"/>
      <c r="AK526" s="55"/>
      <c r="AL526" s="55"/>
      <c r="AM526" s="56">
        <f t="shared" si="195"/>
        <v>5</v>
      </c>
      <c r="AN526" s="54"/>
      <c r="AO526" s="55"/>
      <c r="AP526" s="55"/>
      <c r="AQ526" s="55"/>
      <c r="AR526" s="56">
        <f t="shared" si="200"/>
        <v>0</v>
      </c>
      <c r="AS526" s="54"/>
      <c r="AT526" s="55"/>
      <c r="AU526" s="55"/>
      <c r="AV526" s="55"/>
      <c r="AW526" s="176">
        <f t="shared" si="201"/>
        <v>0</v>
      </c>
      <c r="AX526" s="56">
        <f t="shared" si="193"/>
        <v>5</v>
      </c>
      <c r="AY526" s="329">
        <v>44669</v>
      </c>
      <c r="AZ526" s="326"/>
      <c r="BE526" s="276"/>
      <c r="BF526" s="54"/>
      <c r="BG526" s="55"/>
      <c r="BH526" s="55"/>
      <c r="BI526" s="55"/>
      <c r="BJ526" s="56">
        <f t="shared" si="202"/>
        <v>0</v>
      </c>
      <c r="BL526" s="276"/>
      <c r="BM526" s="54"/>
      <c r="BN526" s="55"/>
      <c r="BO526" s="55"/>
      <c r="BP526" s="55"/>
      <c r="BQ526" s="56">
        <f t="shared" si="203"/>
        <v>0</v>
      </c>
    </row>
    <row r="527" spans="1:69" x14ac:dyDescent="0.15">
      <c r="A527" s="53" t="s">
        <v>98</v>
      </c>
      <c r="B527" s="54"/>
      <c r="C527" s="55"/>
      <c r="D527" s="55"/>
      <c r="E527" s="55"/>
      <c r="F527" s="56">
        <f t="shared" si="188"/>
        <v>0</v>
      </c>
      <c r="G527" s="54"/>
      <c r="H527" s="55"/>
      <c r="I527" s="55"/>
      <c r="J527" s="55"/>
      <c r="K527" s="56">
        <f t="shared" si="189"/>
        <v>0</v>
      </c>
      <c r="L527" s="54"/>
      <c r="M527" s="55"/>
      <c r="N527" s="55"/>
      <c r="O527" s="55"/>
      <c r="P527" s="56">
        <f t="shared" si="190"/>
        <v>0</v>
      </c>
      <c r="Q527" s="54"/>
      <c r="R527" s="55"/>
      <c r="S527" s="55">
        <v>1</v>
      </c>
      <c r="T527" s="55"/>
      <c r="U527" s="176">
        <f t="shared" si="191"/>
        <v>1</v>
      </c>
      <c r="V527" s="56">
        <f t="shared" si="192"/>
        <v>1</v>
      </c>
      <c r="W527" s="328">
        <v>44679</v>
      </c>
      <c r="X527" s="326"/>
      <c r="Y527" s="326"/>
      <c r="Z527" s="326"/>
      <c r="AC527" s="276" t="s">
        <v>351</v>
      </c>
      <c r="AD527" s="54"/>
      <c r="AE527" s="55"/>
      <c r="AF527" s="55"/>
      <c r="AG527" s="55"/>
      <c r="AH527" s="56">
        <f t="shared" si="194"/>
        <v>0</v>
      </c>
      <c r="AI527" s="54"/>
      <c r="AJ527" s="55">
        <v>5</v>
      </c>
      <c r="AK527" s="55"/>
      <c r="AL527" s="55"/>
      <c r="AM527" s="56">
        <f t="shared" si="195"/>
        <v>5</v>
      </c>
      <c r="AN527" s="54"/>
      <c r="AO527" s="55"/>
      <c r="AP527" s="55"/>
      <c r="AQ527" s="55"/>
      <c r="AR527" s="56">
        <f t="shared" si="200"/>
        <v>0</v>
      </c>
      <c r="AS527" s="54"/>
      <c r="AT527" s="55"/>
      <c r="AU527" s="55"/>
      <c r="AV527" s="55"/>
      <c r="AW527" s="176">
        <f t="shared" si="201"/>
        <v>0</v>
      </c>
      <c r="AX527" s="56">
        <f t="shared" si="193"/>
        <v>5</v>
      </c>
      <c r="AY527" s="329">
        <v>44669</v>
      </c>
      <c r="AZ527" s="326"/>
      <c r="BE527" s="277"/>
      <c r="BF527" s="54"/>
      <c r="BG527" s="55"/>
      <c r="BH527" s="55"/>
      <c r="BI527" s="55"/>
      <c r="BJ527" s="56">
        <f t="shared" si="202"/>
        <v>0</v>
      </c>
      <c r="BL527" s="277"/>
      <c r="BM527" s="54"/>
      <c r="BN527" s="55"/>
      <c r="BO527" s="55"/>
      <c r="BP527" s="55"/>
      <c r="BQ527" s="56">
        <f t="shared" si="203"/>
        <v>0</v>
      </c>
    </row>
    <row r="528" spans="1:69" x14ac:dyDescent="0.15">
      <c r="A528" s="53" t="s">
        <v>98</v>
      </c>
      <c r="B528" s="54"/>
      <c r="C528" s="55"/>
      <c r="D528" s="55"/>
      <c r="E528" s="55"/>
      <c r="F528" s="56">
        <f t="shared" si="188"/>
        <v>0</v>
      </c>
      <c r="G528" s="54"/>
      <c r="H528" s="55">
        <v>1</v>
      </c>
      <c r="I528" s="55">
        <v>1</v>
      </c>
      <c r="J528" s="55"/>
      <c r="K528" s="56">
        <f t="shared" si="189"/>
        <v>2</v>
      </c>
      <c r="L528" s="54"/>
      <c r="M528" s="55"/>
      <c r="N528" s="55"/>
      <c r="O528" s="55"/>
      <c r="P528" s="56">
        <f t="shared" si="190"/>
        <v>0</v>
      </c>
      <c r="Q528" s="54"/>
      <c r="R528" s="55"/>
      <c r="S528" s="55"/>
      <c r="T528" s="55"/>
      <c r="U528" s="176">
        <f t="shared" si="191"/>
        <v>0</v>
      </c>
      <c r="V528" s="56">
        <f t="shared" si="192"/>
        <v>2</v>
      </c>
      <c r="W528" s="329">
        <v>44681</v>
      </c>
      <c r="X528" s="326"/>
      <c r="Y528" s="326"/>
      <c r="Z528" s="326"/>
      <c r="AC528" s="276" t="s">
        <v>352</v>
      </c>
      <c r="AD528" s="54"/>
      <c r="AE528" s="55"/>
      <c r="AF528" s="55"/>
      <c r="AG528" s="55"/>
      <c r="AH528" s="56">
        <f t="shared" si="194"/>
        <v>0</v>
      </c>
      <c r="AI528" s="54"/>
      <c r="AJ528" s="55"/>
      <c r="AK528" s="55"/>
      <c r="AL528" s="55"/>
      <c r="AM528" s="56">
        <f t="shared" si="195"/>
        <v>0</v>
      </c>
      <c r="AN528" s="54"/>
      <c r="AO528" s="55"/>
      <c r="AP528" s="55"/>
      <c r="AQ528" s="55"/>
      <c r="AR528" s="56">
        <f t="shared" si="200"/>
        <v>0</v>
      </c>
      <c r="AS528" s="54"/>
      <c r="AT528" s="55">
        <v>5</v>
      </c>
      <c r="AU528" s="55"/>
      <c r="AV528" s="55"/>
      <c r="AW528" s="176">
        <f t="shared" si="201"/>
        <v>5</v>
      </c>
      <c r="AX528" s="56">
        <f t="shared" si="193"/>
        <v>5</v>
      </c>
      <c r="AY528" s="329">
        <v>44671</v>
      </c>
      <c r="AZ528" s="326"/>
      <c r="BE528" s="276"/>
      <c r="BF528" s="54"/>
      <c r="BG528" s="55"/>
      <c r="BH528" s="55"/>
      <c r="BI528" s="55"/>
      <c r="BJ528" s="56">
        <f t="shared" si="202"/>
        <v>0</v>
      </c>
      <c r="BL528" s="276"/>
      <c r="BM528" s="54"/>
      <c r="BN528" s="55"/>
      <c r="BO528" s="55"/>
      <c r="BP528" s="55"/>
      <c r="BQ528" s="56">
        <f t="shared" si="203"/>
        <v>0</v>
      </c>
    </row>
    <row r="529" spans="1:69" x14ac:dyDescent="0.15">
      <c r="A529" s="53" t="s">
        <v>98</v>
      </c>
      <c r="B529" s="54"/>
      <c r="C529" s="55"/>
      <c r="D529" s="55"/>
      <c r="E529" s="55"/>
      <c r="F529" s="56">
        <f t="shared" si="188"/>
        <v>0</v>
      </c>
      <c r="G529" s="54"/>
      <c r="H529" s="55"/>
      <c r="I529" s="55"/>
      <c r="J529" s="55"/>
      <c r="K529" s="56">
        <f t="shared" si="189"/>
        <v>0</v>
      </c>
      <c r="L529" s="54"/>
      <c r="M529" s="55"/>
      <c r="N529" s="55"/>
      <c r="O529" s="55"/>
      <c r="P529" s="56">
        <f t="shared" si="190"/>
        <v>0</v>
      </c>
      <c r="Q529" s="54"/>
      <c r="R529" s="55"/>
      <c r="S529" s="55">
        <v>1</v>
      </c>
      <c r="T529" s="55"/>
      <c r="U529" s="176">
        <f t="shared" si="191"/>
        <v>1</v>
      </c>
      <c r="V529" s="56">
        <f t="shared" si="192"/>
        <v>1</v>
      </c>
      <c r="W529" s="328">
        <v>44683</v>
      </c>
      <c r="X529" s="326"/>
      <c r="Y529" s="326"/>
      <c r="Z529" s="326"/>
      <c r="AC529" s="269" t="s">
        <v>99</v>
      </c>
      <c r="AD529" s="54"/>
      <c r="AE529" s="55"/>
      <c r="AF529" s="55"/>
      <c r="AG529" s="55"/>
      <c r="AH529" s="56">
        <f t="shared" si="194"/>
        <v>0</v>
      </c>
      <c r="AI529" s="54"/>
      <c r="AJ529" s="55"/>
      <c r="AK529" s="55"/>
      <c r="AL529" s="55"/>
      <c r="AM529" s="56">
        <f t="shared" si="195"/>
        <v>0</v>
      </c>
      <c r="AN529" s="54"/>
      <c r="AO529" s="55"/>
      <c r="AP529" s="55">
        <v>2</v>
      </c>
      <c r="AQ529" s="55">
        <v>2</v>
      </c>
      <c r="AR529" s="56">
        <f t="shared" si="200"/>
        <v>4</v>
      </c>
      <c r="AS529" s="54">
        <v>2</v>
      </c>
      <c r="AT529" s="55"/>
      <c r="AU529" s="55"/>
      <c r="AV529" s="55">
        <v>2</v>
      </c>
      <c r="AW529" s="176">
        <f t="shared" si="201"/>
        <v>4</v>
      </c>
      <c r="AX529" s="56">
        <f t="shared" si="193"/>
        <v>8</v>
      </c>
      <c r="AY529" s="329">
        <v>44672</v>
      </c>
      <c r="AZ529" s="326"/>
      <c r="BE529" s="277"/>
      <c r="BF529" s="54"/>
      <c r="BG529" s="55"/>
      <c r="BH529" s="55"/>
      <c r="BI529" s="55"/>
      <c r="BJ529" s="56">
        <f t="shared" si="202"/>
        <v>0</v>
      </c>
      <c r="BL529" s="277"/>
      <c r="BM529" s="54"/>
      <c r="BN529" s="55"/>
      <c r="BO529" s="55"/>
      <c r="BP529" s="55"/>
      <c r="BQ529" s="56">
        <f t="shared" si="203"/>
        <v>0</v>
      </c>
    </row>
    <row r="530" spans="1:69" x14ac:dyDescent="0.15">
      <c r="A530" s="53" t="s">
        <v>359</v>
      </c>
      <c r="B530" s="54"/>
      <c r="C530" s="55"/>
      <c r="D530" s="55"/>
      <c r="E530" s="55"/>
      <c r="F530" s="56">
        <f t="shared" si="188"/>
        <v>0</v>
      </c>
      <c r="G530" s="54">
        <v>1</v>
      </c>
      <c r="H530" s="55"/>
      <c r="I530" s="55"/>
      <c r="J530" s="55"/>
      <c r="K530" s="56">
        <f t="shared" si="189"/>
        <v>1</v>
      </c>
      <c r="L530" s="54"/>
      <c r="M530" s="55"/>
      <c r="N530" s="55"/>
      <c r="O530" s="55"/>
      <c r="P530" s="56">
        <f t="shared" si="190"/>
        <v>0</v>
      </c>
      <c r="Q530" s="54"/>
      <c r="R530" s="55"/>
      <c r="S530" s="55"/>
      <c r="T530" s="55"/>
      <c r="U530" s="176">
        <f t="shared" si="191"/>
        <v>0</v>
      </c>
      <c r="V530" s="56">
        <f t="shared" si="192"/>
        <v>1</v>
      </c>
      <c r="W530" s="329">
        <v>44688</v>
      </c>
      <c r="X530" s="326"/>
      <c r="Y530" s="326"/>
      <c r="Z530" s="326"/>
      <c r="AC530" s="276" t="s">
        <v>354</v>
      </c>
      <c r="AD530" s="54"/>
      <c r="AE530" s="55"/>
      <c r="AF530" s="55"/>
      <c r="AG530" s="55"/>
      <c r="AH530" s="56">
        <f t="shared" si="194"/>
        <v>0</v>
      </c>
      <c r="AI530" s="54"/>
      <c r="AJ530" s="55"/>
      <c r="AK530" s="55"/>
      <c r="AL530" s="55"/>
      <c r="AM530" s="56">
        <f t="shared" si="195"/>
        <v>0</v>
      </c>
      <c r="AN530" s="54"/>
      <c r="AO530" s="55"/>
      <c r="AP530" s="55"/>
      <c r="AQ530" s="55"/>
      <c r="AR530" s="56">
        <f t="shared" si="200"/>
        <v>0</v>
      </c>
      <c r="AS530" s="54"/>
      <c r="AT530" s="55">
        <v>5</v>
      </c>
      <c r="AU530" s="55"/>
      <c r="AV530" s="55"/>
      <c r="AW530" s="176">
        <f t="shared" si="201"/>
        <v>5</v>
      </c>
      <c r="AX530" s="56">
        <f t="shared" si="193"/>
        <v>5</v>
      </c>
      <c r="AY530" s="329">
        <v>44683</v>
      </c>
      <c r="AZ530" s="326"/>
      <c r="BE530" s="276"/>
      <c r="BF530" s="54"/>
      <c r="BG530" s="55"/>
      <c r="BH530" s="55"/>
      <c r="BI530" s="55"/>
      <c r="BJ530" s="56">
        <f t="shared" si="202"/>
        <v>0</v>
      </c>
      <c r="BL530" s="276"/>
      <c r="BM530" s="54"/>
      <c r="BN530" s="55"/>
      <c r="BO530" s="55"/>
      <c r="BP530" s="55"/>
      <c r="BQ530" s="56">
        <f t="shared" si="203"/>
        <v>0</v>
      </c>
    </row>
    <row r="531" spans="1:69" x14ac:dyDescent="0.15">
      <c r="A531" s="53" t="s">
        <v>98</v>
      </c>
      <c r="B531" s="54"/>
      <c r="C531" s="55"/>
      <c r="D531" s="55"/>
      <c r="E531" s="55"/>
      <c r="F531" s="56">
        <f t="shared" si="188"/>
        <v>0</v>
      </c>
      <c r="G531" s="54"/>
      <c r="H531" s="55">
        <v>1</v>
      </c>
      <c r="I531" s="55"/>
      <c r="J531" s="55"/>
      <c r="K531" s="56">
        <f t="shared" si="189"/>
        <v>1</v>
      </c>
      <c r="L531" s="54"/>
      <c r="M531" s="55"/>
      <c r="N531" s="55"/>
      <c r="O531" s="55"/>
      <c r="P531" s="56">
        <f t="shared" si="190"/>
        <v>0</v>
      </c>
      <c r="Q531" s="54"/>
      <c r="R531" s="55"/>
      <c r="S531" s="55"/>
      <c r="T531" s="55"/>
      <c r="U531" s="176">
        <f t="shared" si="191"/>
        <v>0</v>
      </c>
      <c r="V531" s="56">
        <f t="shared" si="192"/>
        <v>1</v>
      </c>
      <c r="W531" s="329">
        <v>44687</v>
      </c>
      <c r="X531" s="326"/>
      <c r="Y531" s="326"/>
      <c r="Z531" s="326"/>
      <c r="AC531" s="269" t="s">
        <v>99</v>
      </c>
      <c r="AD531" s="55"/>
      <c r="AE531" s="55"/>
      <c r="AF531" s="55"/>
      <c r="AG531" s="166"/>
      <c r="AH531" s="49">
        <f t="shared" si="194"/>
        <v>0</v>
      </c>
      <c r="AI531" s="55"/>
      <c r="AJ531" s="55">
        <v>3</v>
      </c>
      <c r="AK531" s="55"/>
      <c r="AL531" s="166"/>
      <c r="AM531" s="49">
        <f t="shared" si="195"/>
        <v>3</v>
      </c>
      <c r="AN531" s="55"/>
      <c r="AO531" s="55"/>
      <c r="AP531" s="55"/>
      <c r="AQ531" s="166"/>
      <c r="AR531" s="49">
        <f t="shared" si="200"/>
        <v>0</v>
      </c>
      <c r="AS531" s="55"/>
      <c r="AT531" s="55">
        <v>3</v>
      </c>
      <c r="AU531" s="55">
        <v>3</v>
      </c>
      <c r="AV531" s="166"/>
      <c r="AW531" s="175">
        <f t="shared" si="201"/>
        <v>6</v>
      </c>
      <c r="AX531" s="56">
        <f t="shared" si="193"/>
        <v>9</v>
      </c>
      <c r="AY531" s="329">
        <v>44679</v>
      </c>
      <c r="AZ531" s="326"/>
      <c r="BE531" s="277"/>
      <c r="BF531" s="55"/>
      <c r="BG531" s="55"/>
      <c r="BH531" s="55"/>
      <c r="BI531" s="166"/>
      <c r="BJ531" s="49">
        <f t="shared" si="202"/>
        <v>0</v>
      </c>
      <c r="BL531" s="277"/>
      <c r="BM531" s="55"/>
      <c r="BN531" s="55"/>
      <c r="BO531" s="55"/>
      <c r="BP531" s="166"/>
      <c r="BQ531" s="49">
        <f t="shared" si="203"/>
        <v>0</v>
      </c>
    </row>
    <row r="532" spans="1:69" x14ac:dyDescent="0.15">
      <c r="A532" s="53" t="s">
        <v>98</v>
      </c>
      <c r="B532" s="54"/>
      <c r="C532" s="55"/>
      <c r="D532" s="55"/>
      <c r="E532" s="55"/>
      <c r="F532" s="56">
        <f t="shared" si="188"/>
        <v>0</v>
      </c>
      <c r="G532" s="54"/>
      <c r="H532" s="55"/>
      <c r="I532" s="55"/>
      <c r="J532" s="55"/>
      <c r="K532" s="56">
        <f t="shared" si="189"/>
        <v>0</v>
      </c>
      <c r="L532" s="54"/>
      <c r="M532" s="55"/>
      <c r="N532" s="55"/>
      <c r="O532" s="55"/>
      <c r="P532" s="56">
        <f t="shared" si="190"/>
        <v>0</v>
      </c>
      <c r="Q532" s="54">
        <v>1</v>
      </c>
      <c r="R532" s="55">
        <v>1</v>
      </c>
      <c r="S532" s="55"/>
      <c r="T532" s="55"/>
      <c r="U532" s="176">
        <f t="shared" si="191"/>
        <v>2</v>
      </c>
      <c r="V532" s="56">
        <f t="shared" si="192"/>
        <v>2</v>
      </c>
      <c r="W532" s="328">
        <v>44690</v>
      </c>
      <c r="X532" s="326"/>
      <c r="Y532" s="326"/>
      <c r="Z532" s="326"/>
      <c r="AC532" s="276" t="s">
        <v>355</v>
      </c>
      <c r="AD532" s="54"/>
      <c r="AE532" s="55"/>
      <c r="AF532" s="55"/>
      <c r="AG532" s="55"/>
      <c r="AH532" s="56">
        <f t="shared" si="194"/>
        <v>0</v>
      </c>
      <c r="AI532" s="54"/>
      <c r="AJ532" s="55"/>
      <c r="AK532" s="55"/>
      <c r="AL532" s="55"/>
      <c r="AM532" s="56">
        <f t="shared" si="195"/>
        <v>0</v>
      </c>
      <c r="AN532" s="54"/>
      <c r="AO532" s="55"/>
      <c r="AP532" s="55"/>
      <c r="AQ532" s="55"/>
      <c r="AR532" s="56">
        <f t="shared" si="200"/>
        <v>0</v>
      </c>
      <c r="AS532" s="54"/>
      <c r="AT532" s="55">
        <v>5</v>
      </c>
      <c r="AU532" s="55"/>
      <c r="AV532" s="55"/>
      <c r="AW532" s="176">
        <f t="shared" si="201"/>
        <v>5</v>
      </c>
      <c r="AX532" s="56">
        <f t="shared" si="193"/>
        <v>5</v>
      </c>
      <c r="AY532" s="329">
        <v>44690</v>
      </c>
      <c r="AZ532" s="326"/>
      <c r="BE532" s="277"/>
      <c r="BF532" s="54"/>
      <c r="BG532" s="55"/>
      <c r="BH532" s="55"/>
      <c r="BI532" s="55"/>
      <c r="BJ532" s="56">
        <f t="shared" si="202"/>
        <v>0</v>
      </c>
      <c r="BL532" s="277"/>
      <c r="BM532" s="54"/>
      <c r="BN532" s="55"/>
      <c r="BO532" s="55"/>
      <c r="BP532" s="55"/>
      <c r="BQ532" s="56">
        <f t="shared" si="203"/>
        <v>0</v>
      </c>
    </row>
    <row r="533" spans="1:69" x14ac:dyDescent="0.15">
      <c r="A533" s="53" t="s">
        <v>98</v>
      </c>
      <c r="B533" s="54"/>
      <c r="C533" s="55"/>
      <c r="D533" s="55"/>
      <c r="E533" s="55"/>
      <c r="F533" s="56">
        <f t="shared" si="188"/>
        <v>0</v>
      </c>
      <c r="G533" s="54"/>
      <c r="H533" s="55"/>
      <c r="I533" s="55"/>
      <c r="J533" s="55"/>
      <c r="K533" s="56">
        <f t="shared" si="189"/>
        <v>0</v>
      </c>
      <c r="L533" s="54"/>
      <c r="M533" s="55"/>
      <c r="N533" s="55"/>
      <c r="O533" s="55"/>
      <c r="P533" s="56">
        <f t="shared" si="190"/>
        <v>0</v>
      </c>
      <c r="Q533" s="54"/>
      <c r="R533" s="55">
        <f>1+1</f>
        <v>2</v>
      </c>
      <c r="S533" s="55"/>
      <c r="T533" s="55"/>
      <c r="U533" s="176">
        <f t="shared" si="191"/>
        <v>2</v>
      </c>
      <c r="V533" s="56">
        <f t="shared" si="192"/>
        <v>2</v>
      </c>
      <c r="W533" s="329">
        <v>44691</v>
      </c>
      <c r="X533" s="326"/>
      <c r="Y533" s="326"/>
      <c r="Z533" s="326"/>
      <c r="AC533" s="276" t="s">
        <v>356</v>
      </c>
      <c r="AD533" s="54"/>
      <c r="AE533" s="55"/>
      <c r="AF533" s="55"/>
      <c r="AG533" s="55"/>
      <c r="AH533" s="56">
        <f t="shared" si="194"/>
        <v>0</v>
      </c>
      <c r="AI533" s="54"/>
      <c r="AJ533" s="55"/>
      <c r="AK533" s="55"/>
      <c r="AL533" s="55">
        <v>3</v>
      </c>
      <c r="AM533" s="56">
        <f t="shared" si="195"/>
        <v>3</v>
      </c>
      <c r="AN533" s="54"/>
      <c r="AO533" s="55"/>
      <c r="AP533" s="55"/>
      <c r="AQ533" s="55"/>
      <c r="AR533" s="56">
        <f t="shared" si="200"/>
        <v>0</v>
      </c>
      <c r="AS533" s="54"/>
      <c r="AT533" s="55"/>
      <c r="AU533" s="55"/>
      <c r="AV533" s="55"/>
      <c r="AW533" s="176">
        <f t="shared" si="201"/>
        <v>0</v>
      </c>
      <c r="AX533" s="56">
        <f t="shared" si="193"/>
        <v>3</v>
      </c>
      <c r="AY533" s="328">
        <v>44683</v>
      </c>
      <c r="AZ533" s="326"/>
      <c r="BE533" s="276"/>
      <c r="BF533" s="54"/>
      <c r="BG533" s="55"/>
      <c r="BH533" s="55"/>
      <c r="BI533" s="55"/>
      <c r="BJ533" s="56">
        <f t="shared" si="202"/>
        <v>0</v>
      </c>
      <c r="BL533" s="276"/>
      <c r="BM533" s="54"/>
      <c r="BN533" s="55"/>
      <c r="BO533" s="55"/>
      <c r="BP533" s="55"/>
      <c r="BQ533" s="56">
        <f t="shared" si="203"/>
        <v>0</v>
      </c>
    </row>
    <row r="534" spans="1:69" x14ac:dyDescent="0.15">
      <c r="A534" s="53" t="s">
        <v>98</v>
      </c>
      <c r="B534" s="54"/>
      <c r="C534" s="55">
        <v>1</v>
      </c>
      <c r="D534" s="55"/>
      <c r="E534" s="55"/>
      <c r="F534" s="56">
        <f t="shared" si="188"/>
        <v>1</v>
      </c>
      <c r="G534" s="54"/>
      <c r="H534" s="55"/>
      <c r="I534" s="55"/>
      <c r="J534" s="55"/>
      <c r="K534" s="56">
        <f t="shared" si="189"/>
        <v>0</v>
      </c>
      <c r="L534" s="54"/>
      <c r="M534" s="55"/>
      <c r="N534" s="55"/>
      <c r="O534" s="55"/>
      <c r="P534" s="56">
        <f t="shared" si="190"/>
        <v>0</v>
      </c>
      <c r="Q534" s="54"/>
      <c r="R534" s="55"/>
      <c r="S534" s="55"/>
      <c r="T534" s="55"/>
      <c r="U534" s="176">
        <f t="shared" si="191"/>
        <v>0</v>
      </c>
      <c r="V534" s="56">
        <f t="shared" si="192"/>
        <v>1</v>
      </c>
      <c r="W534" s="328">
        <v>44692</v>
      </c>
      <c r="X534" s="326"/>
      <c r="Y534" s="326"/>
      <c r="Z534" s="326"/>
      <c r="AC534" s="276" t="s">
        <v>357</v>
      </c>
      <c r="AD534" s="63"/>
      <c r="AE534" s="63">
        <v>5</v>
      </c>
      <c r="AF534" s="63"/>
      <c r="AG534" s="167"/>
      <c r="AH534" s="64">
        <f t="shared" si="194"/>
        <v>5</v>
      </c>
      <c r="AI534" s="63"/>
      <c r="AJ534" s="63"/>
      <c r="AK534" s="63"/>
      <c r="AL534" s="167"/>
      <c r="AM534" s="64">
        <f t="shared" si="195"/>
        <v>0</v>
      </c>
      <c r="AN534" s="63"/>
      <c r="AO534" s="63"/>
      <c r="AP534" s="63"/>
      <c r="AQ534" s="167"/>
      <c r="AR534" s="64">
        <f t="shared" si="200"/>
        <v>0</v>
      </c>
      <c r="AS534" s="63"/>
      <c r="AT534" s="63"/>
      <c r="AU534" s="63"/>
      <c r="AV534" s="167"/>
      <c r="AW534" s="162">
        <f t="shared" si="201"/>
        <v>0</v>
      </c>
      <c r="AX534" s="56">
        <f t="shared" si="193"/>
        <v>5</v>
      </c>
      <c r="AY534" s="329">
        <v>44692</v>
      </c>
      <c r="AZ534" s="326"/>
      <c r="BE534" s="276"/>
      <c r="BF534" s="63"/>
      <c r="BG534" s="63"/>
      <c r="BH534" s="63"/>
      <c r="BI534" s="167"/>
      <c r="BJ534" s="64">
        <f t="shared" si="202"/>
        <v>0</v>
      </c>
      <c r="BL534" s="276"/>
      <c r="BM534" s="63"/>
      <c r="BN534" s="63"/>
      <c r="BO534" s="63"/>
      <c r="BP534" s="167"/>
      <c r="BQ534" s="64">
        <f t="shared" si="203"/>
        <v>0</v>
      </c>
    </row>
    <row r="535" spans="1:69" x14ac:dyDescent="0.15">
      <c r="A535" s="53" t="s">
        <v>98</v>
      </c>
      <c r="B535" s="54"/>
      <c r="C535" s="55"/>
      <c r="D535" s="55"/>
      <c r="E535" s="55"/>
      <c r="F535" s="56">
        <f t="shared" si="188"/>
        <v>0</v>
      </c>
      <c r="G535" s="54"/>
      <c r="H535" s="55"/>
      <c r="I535" s="55"/>
      <c r="J535" s="55"/>
      <c r="K535" s="56">
        <f t="shared" si="189"/>
        <v>0</v>
      </c>
      <c r="L535" s="54"/>
      <c r="M535" s="55"/>
      <c r="N535" s="55"/>
      <c r="O535" s="55"/>
      <c r="P535" s="56">
        <f t="shared" si="190"/>
        <v>0</v>
      </c>
      <c r="Q535" s="54"/>
      <c r="R535" s="55">
        <v>1</v>
      </c>
      <c r="S535" s="55"/>
      <c r="T535" s="55"/>
      <c r="U535" s="176">
        <f t="shared" si="191"/>
        <v>1</v>
      </c>
      <c r="V535" s="56">
        <f t="shared" si="192"/>
        <v>1</v>
      </c>
      <c r="W535" s="329">
        <v>44693</v>
      </c>
      <c r="X535" s="326"/>
      <c r="Y535" s="326"/>
      <c r="Z535" s="326"/>
      <c r="AC535" s="276" t="s">
        <v>358</v>
      </c>
      <c r="AD535" s="54"/>
      <c r="AE535" s="55"/>
      <c r="AF535" s="55"/>
      <c r="AG535" s="55"/>
      <c r="AH535" s="56">
        <f t="shared" si="194"/>
        <v>0</v>
      </c>
      <c r="AI535" s="54"/>
      <c r="AJ535" s="55">
        <v>5</v>
      </c>
      <c r="AK535" s="55"/>
      <c r="AL535" s="55"/>
      <c r="AM535" s="56">
        <f t="shared" si="195"/>
        <v>5</v>
      </c>
      <c r="AN535" s="54"/>
      <c r="AO535" s="55"/>
      <c r="AP535" s="55"/>
      <c r="AQ535" s="55"/>
      <c r="AR535" s="56">
        <f t="shared" si="200"/>
        <v>0</v>
      </c>
      <c r="AS535" s="54"/>
      <c r="AT535" s="55"/>
      <c r="AU535" s="55">
        <v>5</v>
      </c>
      <c r="AV535" s="55"/>
      <c r="AW535" s="176">
        <f t="shared" si="201"/>
        <v>5</v>
      </c>
      <c r="AX535" s="56">
        <f t="shared" si="193"/>
        <v>10</v>
      </c>
      <c r="AY535" s="329">
        <v>44692</v>
      </c>
      <c r="AZ535" s="326"/>
      <c r="BE535" s="277"/>
      <c r="BF535" s="54"/>
      <c r="BG535" s="55"/>
      <c r="BH535" s="55"/>
      <c r="BI535" s="55"/>
      <c r="BJ535" s="56">
        <f t="shared" si="202"/>
        <v>0</v>
      </c>
      <c r="BL535" s="277"/>
      <c r="BM535" s="54"/>
      <c r="BN535" s="55"/>
      <c r="BO535" s="55"/>
      <c r="BP535" s="55"/>
      <c r="BQ535" s="56">
        <f t="shared" si="203"/>
        <v>0</v>
      </c>
    </row>
    <row r="536" spans="1:69" x14ac:dyDescent="0.15">
      <c r="A536" s="53"/>
      <c r="B536" s="17"/>
      <c r="C536" s="18"/>
      <c r="D536" s="18"/>
      <c r="E536" s="18"/>
      <c r="F536" s="30">
        <f t="shared" si="188"/>
        <v>0</v>
      </c>
      <c r="G536" s="17"/>
      <c r="H536" s="18"/>
      <c r="I536" s="18"/>
      <c r="J536" s="18"/>
      <c r="K536" s="30">
        <f t="shared" si="189"/>
        <v>0</v>
      </c>
      <c r="L536" s="17"/>
      <c r="M536" s="18"/>
      <c r="N536" s="18"/>
      <c r="O536" s="18"/>
      <c r="P536" s="30">
        <f t="shared" si="190"/>
        <v>0</v>
      </c>
      <c r="Q536" s="17"/>
      <c r="R536" s="18"/>
      <c r="S536" s="18"/>
      <c r="T536" s="18"/>
      <c r="U536" s="178">
        <f t="shared" si="191"/>
        <v>0</v>
      </c>
      <c r="V536" s="56">
        <f t="shared" si="192"/>
        <v>0</v>
      </c>
      <c r="W536" s="328"/>
      <c r="X536" s="326"/>
      <c r="Y536" s="326"/>
      <c r="Z536" s="326"/>
      <c r="AC536" s="276" t="s">
        <v>99</v>
      </c>
      <c r="AD536" s="54"/>
      <c r="AE536" s="55"/>
      <c r="AF536" s="55"/>
      <c r="AG536" s="55"/>
      <c r="AH536" s="56">
        <f t="shared" si="194"/>
        <v>0</v>
      </c>
      <c r="AI536" s="54">
        <v>3</v>
      </c>
      <c r="AJ536" s="55">
        <v>3</v>
      </c>
      <c r="AK536" s="55"/>
      <c r="AL536" s="55"/>
      <c r="AM536" s="56">
        <f t="shared" si="195"/>
        <v>6</v>
      </c>
      <c r="AN536" s="54"/>
      <c r="AO536" s="55"/>
      <c r="AP536" s="55"/>
      <c r="AQ536" s="55"/>
      <c r="AR536" s="56">
        <f t="shared" si="200"/>
        <v>0</v>
      </c>
      <c r="AS536" s="54"/>
      <c r="AT536" s="55"/>
      <c r="AU536" s="55"/>
      <c r="AV536" s="55"/>
      <c r="AW536" s="176">
        <f t="shared" si="201"/>
        <v>0</v>
      </c>
      <c r="AX536" s="56">
        <f t="shared" si="193"/>
        <v>6</v>
      </c>
      <c r="AY536" s="329">
        <v>44688</v>
      </c>
      <c r="AZ536" s="326"/>
      <c r="BE536" s="276"/>
      <c r="BF536" s="54"/>
      <c r="BG536" s="55"/>
      <c r="BH536" s="55"/>
      <c r="BI536" s="55"/>
      <c r="BJ536" s="56">
        <f t="shared" si="202"/>
        <v>0</v>
      </c>
      <c r="BL536" s="276"/>
      <c r="BM536" s="54"/>
      <c r="BN536" s="55"/>
      <c r="BO536" s="55"/>
      <c r="BP536" s="55"/>
      <c r="BQ536" s="56">
        <f t="shared" si="203"/>
        <v>0</v>
      </c>
    </row>
    <row r="537" spans="1:69" x14ac:dyDescent="0.15">
      <c r="A537" s="53"/>
      <c r="B537" s="54"/>
      <c r="C537" s="55"/>
      <c r="D537" s="55"/>
      <c r="E537" s="55"/>
      <c r="F537" s="56">
        <f t="shared" si="188"/>
        <v>0</v>
      </c>
      <c r="G537" s="54"/>
      <c r="H537" s="55"/>
      <c r="I537" s="55"/>
      <c r="J537" s="55"/>
      <c r="K537" s="56">
        <f t="shared" si="189"/>
        <v>0</v>
      </c>
      <c r="L537" s="54"/>
      <c r="M537" s="55"/>
      <c r="N537" s="55"/>
      <c r="O537" s="55"/>
      <c r="P537" s="56">
        <f t="shared" si="190"/>
        <v>0</v>
      </c>
      <c r="Q537" s="54"/>
      <c r="R537" s="55"/>
      <c r="S537" s="55"/>
      <c r="T537" s="55"/>
      <c r="U537" s="176">
        <f t="shared" si="191"/>
        <v>0</v>
      </c>
      <c r="V537" s="56">
        <f t="shared" si="192"/>
        <v>0</v>
      </c>
      <c r="W537" s="328"/>
      <c r="X537" s="326"/>
      <c r="Y537" s="326"/>
      <c r="Z537" s="326"/>
      <c r="AC537" s="276"/>
      <c r="AD537" s="54"/>
      <c r="AE537" s="55"/>
      <c r="AF537" s="55"/>
      <c r="AG537" s="55"/>
      <c r="AH537" s="56">
        <f t="shared" si="194"/>
        <v>0</v>
      </c>
      <c r="AI537" s="54"/>
      <c r="AJ537" s="55"/>
      <c r="AK537" s="55"/>
      <c r="AL537" s="55"/>
      <c r="AM537" s="56">
        <f t="shared" si="195"/>
        <v>0</v>
      </c>
      <c r="AN537" s="54"/>
      <c r="AO537" s="55"/>
      <c r="AP537" s="55"/>
      <c r="AQ537" s="55"/>
      <c r="AR537" s="56">
        <f t="shared" si="200"/>
        <v>0</v>
      </c>
      <c r="AS537" s="54"/>
      <c r="AT537" s="55"/>
      <c r="AU537" s="55"/>
      <c r="AV537" s="55"/>
      <c r="AW537" s="176">
        <f t="shared" si="201"/>
        <v>0</v>
      </c>
      <c r="AX537" s="56">
        <f t="shared" si="193"/>
        <v>0</v>
      </c>
      <c r="AY537" s="325"/>
      <c r="AZ537" s="326"/>
      <c r="BE537" s="277"/>
      <c r="BF537" s="54"/>
      <c r="BG537" s="55"/>
      <c r="BH537" s="55"/>
      <c r="BI537" s="55"/>
      <c r="BJ537" s="56">
        <f t="shared" si="202"/>
        <v>0</v>
      </c>
      <c r="BL537" s="277"/>
      <c r="BM537" s="54"/>
      <c r="BN537" s="55"/>
      <c r="BO537" s="55"/>
      <c r="BP537" s="55"/>
      <c r="BQ537" s="56">
        <f t="shared" si="203"/>
        <v>0</v>
      </c>
    </row>
    <row r="538" spans="1:69" x14ac:dyDescent="0.15">
      <c r="A538" s="53"/>
      <c r="B538" s="62"/>
      <c r="C538" s="63"/>
      <c r="D538" s="63"/>
      <c r="E538" s="63"/>
      <c r="F538" s="56">
        <f t="shared" si="188"/>
        <v>0</v>
      </c>
      <c r="G538" s="62"/>
      <c r="H538" s="63"/>
      <c r="I538" s="63"/>
      <c r="J538" s="63"/>
      <c r="K538" s="56">
        <f t="shared" si="189"/>
        <v>0</v>
      </c>
      <c r="L538" s="62"/>
      <c r="M538" s="63"/>
      <c r="N538" s="63"/>
      <c r="O538" s="63"/>
      <c r="P538" s="56">
        <f t="shared" si="190"/>
        <v>0</v>
      </c>
      <c r="Q538" s="62"/>
      <c r="R538" s="63"/>
      <c r="S538" s="63"/>
      <c r="T538" s="63"/>
      <c r="U538" s="176">
        <f t="shared" si="191"/>
        <v>0</v>
      </c>
      <c r="V538" s="56">
        <f t="shared" si="192"/>
        <v>0</v>
      </c>
      <c r="W538" s="328"/>
      <c r="X538" s="326"/>
      <c r="Y538" s="326"/>
      <c r="Z538" s="326"/>
      <c r="AC538" s="301"/>
      <c r="AD538" s="62"/>
      <c r="AE538" s="63"/>
      <c r="AF538" s="63"/>
      <c r="AG538" s="63"/>
      <c r="AH538" s="56">
        <f t="shared" ref="AH538:AH540" si="204">SUM(AD538:AG538)</f>
        <v>0</v>
      </c>
      <c r="AI538" s="62"/>
      <c r="AJ538" s="63"/>
      <c r="AK538" s="63"/>
      <c r="AL538" s="63"/>
      <c r="AM538" s="56">
        <f t="shared" ref="AM538:AM540" si="205">SUM(AI538:AL538)</f>
        <v>0</v>
      </c>
      <c r="AN538" s="62"/>
      <c r="AO538" s="63"/>
      <c r="AP538" s="63"/>
      <c r="AQ538" s="63"/>
      <c r="AR538" s="56">
        <f t="shared" ref="AR538:AR540" si="206">SUM(AN538:AQ538)</f>
        <v>0</v>
      </c>
      <c r="AS538" s="62"/>
      <c r="AT538" s="63"/>
      <c r="AU538" s="63"/>
      <c r="AV538" s="63"/>
      <c r="AW538" s="176">
        <f t="shared" ref="AW538:AW540" si="207">SUM(AS538:AV538)</f>
        <v>0</v>
      </c>
      <c r="AX538" s="56">
        <f t="shared" si="193"/>
        <v>0</v>
      </c>
      <c r="AY538" s="325"/>
      <c r="AZ538" s="326"/>
      <c r="BE538" s="268"/>
      <c r="BF538" s="62"/>
      <c r="BG538" s="63"/>
      <c r="BH538" s="63"/>
      <c r="BI538" s="63"/>
      <c r="BJ538" s="56">
        <f t="shared" si="202"/>
        <v>0</v>
      </c>
      <c r="BL538" s="268"/>
      <c r="BM538" s="62"/>
      <c r="BN538" s="63"/>
      <c r="BO538" s="63"/>
      <c r="BP538" s="63"/>
      <c r="BQ538" s="56">
        <f t="shared" si="203"/>
        <v>0</v>
      </c>
    </row>
    <row r="539" spans="1:69" x14ac:dyDescent="0.15">
      <c r="A539" s="53"/>
      <c r="B539" s="54"/>
      <c r="C539" s="55"/>
      <c r="D539" s="55"/>
      <c r="E539" s="55"/>
      <c r="F539" s="56">
        <f t="shared" si="188"/>
        <v>0</v>
      </c>
      <c r="G539" s="54"/>
      <c r="H539" s="55"/>
      <c r="I539" s="55"/>
      <c r="J539" s="55"/>
      <c r="K539" s="56">
        <f t="shared" si="189"/>
        <v>0</v>
      </c>
      <c r="L539" s="54"/>
      <c r="M539" s="55"/>
      <c r="N539" s="55"/>
      <c r="O539" s="55"/>
      <c r="P539" s="56">
        <f t="shared" si="190"/>
        <v>0</v>
      </c>
      <c r="Q539" s="54"/>
      <c r="R539" s="55"/>
      <c r="S539" s="55"/>
      <c r="T539" s="55"/>
      <c r="U539" s="176">
        <f t="shared" si="191"/>
        <v>0</v>
      </c>
      <c r="V539" s="56">
        <f t="shared" si="192"/>
        <v>0</v>
      </c>
      <c r="W539" s="328"/>
      <c r="X539" s="326"/>
      <c r="Y539" s="326"/>
      <c r="Z539" s="326"/>
      <c r="AC539" s="276"/>
      <c r="AD539" s="54"/>
      <c r="AE539" s="55"/>
      <c r="AF539" s="55"/>
      <c r="AG539" s="55"/>
      <c r="AH539" s="56">
        <f t="shared" si="204"/>
        <v>0</v>
      </c>
      <c r="AI539" s="54"/>
      <c r="AJ539" s="55"/>
      <c r="AK539" s="55"/>
      <c r="AL539" s="55"/>
      <c r="AM539" s="56">
        <f t="shared" si="205"/>
        <v>0</v>
      </c>
      <c r="AN539" s="54"/>
      <c r="AO539" s="55"/>
      <c r="AP539" s="55"/>
      <c r="AQ539" s="55"/>
      <c r="AR539" s="56">
        <f t="shared" si="206"/>
        <v>0</v>
      </c>
      <c r="AS539" s="54"/>
      <c r="AT539" s="55"/>
      <c r="AU539" s="55"/>
      <c r="AV539" s="55"/>
      <c r="AW539" s="176">
        <f t="shared" si="207"/>
        <v>0</v>
      </c>
      <c r="AX539" s="56">
        <f t="shared" si="193"/>
        <v>0</v>
      </c>
      <c r="AY539" s="330"/>
      <c r="AZ539" s="326"/>
      <c r="BE539" s="268"/>
      <c r="BF539" s="54"/>
      <c r="BG539" s="55"/>
      <c r="BH539" s="55"/>
      <c r="BI539" s="55"/>
      <c r="BJ539" s="56">
        <f t="shared" si="202"/>
        <v>0</v>
      </c>
      <c r="BL539" s="268"/>
      <c r="BM539" s="54"/>
      <c r="BN539" s="55"/>
      <c r="BO539" s="55"/>
      <c r="BP539" s="55"/>
      <c r="BQ539" s="56">
        <f t="shared" si="203"/>
        <v>0</v>
      </c>
    </row>
    <row r="540" spans="1:69" x14ac:dyDescent="0.15">
      <c r="A540" s="53"/>
      <c r="B540" s="54"/>
      <c r="C540" s="55"/>
      <c r="D540" s="55"/>
      <c r="E540" s="55"/>
      <c r="F540" s="56">
        <f t="shared" si="188"/>
        <v>0</v>
      </c>
      <c r="G540" s="54"/>
      <c r="H540" s="55"/>
      <c r="I540" s="55"/>
      <c r="J540" s="55"/>
      <c r="K540" s="56">
        <f t="shared" si="189"/>
        <v>0</v>
      </c>
      <c r="L540" s="54"/>
      <c r="M540" s="55"/>
      <c r="N540" s="55"/>
      <c r="O540" s="55"/>
      <c r="P540" s="56">
        <f t="shared" si="190"/>
        <v>0</v>
      </c>
      <c r="Q540" s="54"/>
      <c r="R540" s="55"/>
      <c r="S540" s="55"/>
      <c r="T540" s="55"/>
      <c r="U540" s="176">
        <f t="shared" si="191"/>
        <v>0</v>
      </c>
      <c r="V540" s="56">
        <f t="shared" si="192"/>
        <v>0</v>
      </c>
      <c r="W540" s="328"/>
      <c r="X540" s="326"/>
      <c r="Y540" s="326"/>
      <c r="Z540" s="326"/>
      <c r="AC540" s="276"/>
      <c r="AD540" s="33"/>
      <c r="AE540" s="34"/>
      <c r="AF540" s="34"/>
      <c r="AG540" s="34"/>
      <c r="AH540" s="30">
        <f t="shared" si="204"/>
        <v>0</v>
      </c>
      <c r="AI540" s="33"/>
      <c r="AJ540" s="34"/>
      <c r="AK540" s="34"/>
      <c r="AL540" s="34"/>
      <c r="AM540" s="30">
        <f t="shared" si="205"/>
        <v>0</v>
      </c>
      <c r="AN540" s="33"/>
      <c r="AO540" s="34"/>
      <c r="AP540" s="34"/>
      <c r="AQ540" s="34"/>
      <c r="AR540" s="30">
        <f t="shared" si="206"/>
        <v>0</v>
      </c>
      <c r="AS540" s="33"/>
      <c r="AT540" s="34"/>
      <c r="AU540" s="34"/>
      <c r="AV540" s="34"/>
      <c r="AW540" s="178">
        <f t="shared" si="207"/>
        <v>0</v>
      </c>
      <c r="AX540" s="170">
        <f t="shared" si="193"/>
        <v>0</v>
      </c>
      <c r="AY540" s="330"/>
      <c r="AZ540" s="326"/>
      <c r="BE540" s="268"/>
      <c r="BF540" s="62"/>
      <c r="BG540" s="63"/>
      <c r="BH540" s="63"/>
      <c r="BI540" s="63"/>
      <c r="BJ540" s="56">
        <f t="shared" si="202"/>
        <v>0</v>
      </c>
      <c r="BL540" s="268"/>
      <c r="BM540" s="62"/>
      <c r="BN540" s="63"/>
      <c r="BO540" s="63"/>
      <c r="BP540" s="63"/>
      <c r="BQ540" s="56">
        <f t="shared" si="203"/>
        <v>0</v>
      </c>
    </row>
    <row r="541" spans="1:69" x14ac:dyDescent="0.15">
      <c r="A541" s="65"/>
      <c r="B541" s="54"/>
      <c r="C541" s="55"/>
      <c r="D541" s="55"/>
      <c r="E541" s="55"/>
      <c r="F541" s="56">
        <f t="shared" si="188"/>
        <v>0</v>
      </c>
      <c r="G541" s="54"/>
      <c r="H541" s="55"/>
      <c r="I541" s="55"/>
      <c r="J541" s="55"/>
      <c r="K541" s="56">
        <f t="shared" si="189"/>
        <v>0</v>
      </c>
      <c r="L541" s="54"/>
      <c r="M541" s="55"/>
      <c r="N541" s="55"/>
      <c r="O541" s="55"/>
      <c r="P541" s="56">
        <f t="shared" si="190"/>
        <v>0</v>
      </c>
      <c r="Q541" s="54"/>
      <c r="R541" s="55"/>
      <c r="S541" s="55"/>
      <c r="T541" s="55"/>
      <c r="U541" s="176">
        <f t="shared" si="191"/>
        <v>0</v>
      </c>
      <c r="V541" s="56">
        <f t="shared" si="192"/>
        <v>0</v>
      </c>
      <c r="W541" s="325"/>
      <c r="X541" s="326"/>
      <c r="Y541" s="326"/>
      <c r="Z541" s="326"/>
      <c r="AC541" s="269"/>
      <c r="AD541" s="54"/>
      <c r="AE541" s="55"/>
      <c r="AF541" s="55"/>
      <c r="AG541" s="55"/>
      <c r="AH541" s="56">
        <f t="shared" si="194"/>
        <v>0</v>
      </c>
      <c r="AI541" s="54"/>
      <c r="AJ541" s="55"/>
      <c r="AK541" s="55"/>
      <c r="AL541" s="55"/>
      <c r="AM541" s="56">
        <f t="shared" si="195"/>
        <v>0</v>
      </c>
      <c r="AN541" s="54"/>
      <c r="AO541" s="55"/>
      <c r="AP541" s="55"/>
      <c r="AQ541" s="55"/>
      <c r="AR541" s="56">
        <f t="shared" si="200"/>
        <v>0</v>
      </c>
      <c r="AS541" s="54"/>
      <c r="AT541" s="55"/>
      <c r="AU541" s="55"/>
      <c r="AV541" s="55"/>
      <c r="AW541" s="176">
        <f t="shared" si="201"/>
        <v>0</v>
      </c>
      <c r="AX541" s="56">
        <f t="shared" si="193"/>
        <v>0</v>
      </c>
      <c r="AY541" s="330"/>
      <c r="AZ541" s="326"/>
      <c r="BE541" s="277"/>
      <c r="BF541" s="54"/>
      <c r="BG541" s="55"/>
      <c r="BH541" s="55"/>
      <c r="BI541" s="55"/>
      <c r="BJ541" s="56">
        <f t="shared" si="202"/>
        <v>0</v>
      </c>
      <c r="BL541" s="277"/>
      <c r="BM541" s="54"/>
      <c r="BN541" s="55"/>
      <c r="BO541" s="55"/>
      <c r="BP541" s="55"/>
      <c r="BQ541" s="56">
        <f t="shared" si="203"/>
        <v>0</v>
      </c>
    </row>
    <row r="542" spans="1:69" ht="14.25" thickBot="1" x14ac:dyDescent="0.2">
      <c r="A542" s="67"/>
      <c r="B542" s="33"/>
      <c r="C542" s="34"/>
      <c r="D542" s="34"/>
      <c r="E542" s="34"/>
      <c r="F542" s="30">
        <f t="shared" si="188"/>
        <v>0</v>
      </c>
      <c r="G542" s="33"/>
      <c r="H542" s="34"/>
      <c r="I542" s="34"/>
      <c r="J542" s="34"/>
      <c r="K542" s="30">
        <f t="shared" si="189"/>
        <v>0</v>
      </c>
      <c r="L542" s="33"/>
      <c r="M542" s="34"/>
      <c r="N542" s="34"/>
      <c r="O542" s="34"/>
      <c r="P542" s="30">
        <f t="shared" si="190"/>
        <v>0</v>
      </c>
      <c r="Q542" s="33"/>
      <c r="R542" s="34"/>
      <c r="S542" s="34"/>
      <c r="T542" s="34"/>
      <c r="U542" s="178">
        <f t="shared" si="191"/>
        <v>0</v>
      </c>
      <c r="V542" s="170">
        <f t="shared" si="192"/>
        <v>0</v>
      </c>
      <c r="W542" s="330"/>
      <c r="X542" s="326"/>
      <c r="Y542" s="326"/>
      <c r="Z542" s="326"/>
      <c r="AC542" s="282"/>
      <c r="AD542" s="33"/>
      <c r="AE542" s="34"/>
      <c r="AF542" s="34"/>
      <c r="AG542" s="34"/>
      <c r="AH542" s="30">
        <f t="shared" si="194"/>
        <v>0</v>
      </c>
      <c r="AI542" s="33"/>
      <c r="AJ542" s="34"/>
      <c r="AK542" s="34"/>
      <c r="AL542" s="34"/>
      <c r="AM542" s="30">
        <f t="shared" si="195"/>
        <v>0</v>
      </c>
      <c r="AN542" s="33"/>
      <c r="AO542" s="34"/>
      <c r="AP542" s="34"/>
      <c r="AQ542" s="34"/>
      <c r="AR542" s="30">
        <f t="shared" si="200"/>
        <v>0</v>
      </c>
      <c r="AS542" s="33"/>
      <c r="AT542" s="34"/>
      <c r="AU542" s="34"/>
      <c r="AV542" s="34"/>
      <c r="AW542" s="178">
        <f t="shared" si="201"/>
        <v>0</v>
      </c>
      <c r="AX542" s="170">
        <f t="shared" si="193"/>
        <v>0</v>
      </c>
      <c r="AY542" s="330"/>
      <c r="AZ542" s="326"/>
      <c r="BE542" s="282"/>
      <c r="BF542" s="33"/>
      <c r="BG542" s="34"/>
      <c r="BH542" s="34"/>
      <c r="BI542" s="34"/>
      <c r="BJ542" s="30">
        <f t="shared" si="202"/>
        <v>0</v>
      </c>
      <c r="BL542" s="282"/>
      <c r="BM542" s="33"/>
      <c r="BN542" s="34"/>
      <c r="BO542" s="34"/>
      <c r="BP542" s="34"/>
      <c r="BQ542" s="30">
        <f t="shared" si="203"/>
        <v>0</v>
      </c>
    </row>
    <row r="543" spans="1:69" ht="15" thickBot="1" x14ac:dyDescent="0.2">
      <c r="A543" s="9" t="s">
        <v>15</v>
      </c>
      <c r="B543" s="36">
        <f>SUM(B517:B542)</f>
        <v>0</v>
      </c>
      <c r="C543" s="37">
        <f>SUM(C517:C542)</f>
        <v>1</v>
      </c>
      <c r="D543" s="37">
        <f>SUM(D517:D542)</f>
        <v>0</v>
      </c>
      <c r="E543" s="38">
        <f>SUM(E517:E542)</f>
        <v>0</v>
      </c>
      <c r="F543" s="25">
        <f t="shared" si="188"/>
        <v>1</v>
      </c>
      <c r="G543" s="36">
        <f>SUM(G517:G542)</f>
        <v>2</v>
      </c>
      <c r="H543" s="37">
        <f>SUM(H517:H542)</f>
        <v>6</v>
      </c>
      <c r="I543" s="37">
        <f>SUM(I517:I542)</f>
        <v>1</v>
      </c>
      <c r="J543" s="38">
        <f>SUM(J517:J542)</f>
        <v>2</v>
      </c>
      <c r="K543" s="25">
        <f t="shared" si="189"/>
        <v>11</v>
      </c>
      <c r="L543" s="36">
        <f>SUM(L517:L542)</f>
        <v>16</v>
      </c>
      <c r="M543" s="37">
        <f>SUM(M517:M542)</f>
        <v>15</v>
      </c>
      <c r="N543" s="37">
        <f>SUM(N517:N542)</f>
        <v>8</v>
      </c>
      <c r="O543" s="38">
        <f>SUM(O517:O542)</f>
        <v>9</v>
      </c>
      <c r="P543" s="25">
        <f t="shared" si="190"/>
        <v>48</v>
      </c>
      <c r="Q543" s="36">
        <f>SUM(Q517:Q542)</f>
        <v>4</v>
      </c>
      <c r="R543" s="37">
        <f>SUM(R517:R542)</f>
        <v>5</v>
      </c>
      <c r="S543" s="37">
        <f>SUM(S517:S542)</f>
        <v>3</v>
      </c>
      <c r="T543" s="38">
        <f>SUM(T517:T542)</f>
        <v>1</v>
      </c>
      <c r="U543" s="36">
        <f t="shared" si="191"/>
        <v>13</v>
      </c>
      <c r="V543" s="77">
        <f t="shared" si="192"/>
        <v>73</v>
      </c>
      <c r="W543" s="325"/>
      <c r="X543" s="326"/>
      <c r="Y543" s="326"/>
      <c r="Z543" s="326"/>
      <c r="AC543" s="278" t="s">
        <v>15</v>
      </c>
      <c r="AD543" s="36">
        <f>SUM(AD517:AD542)</f>
        <v>0</v>
      </c>
      <c r="AE543" s="37">
        <f>SUM(AE517:AE542)</f>
        <v>5</v>
      </c>
      <c r="AF543" s="37">
        <f>SUM(AF517:AF542)</f>
        <v>0</v>
      </c>
      <c r="AG543" s="38">
        <f>SUM(AG517:AG542)</f>
        <v>0</v>
      </c>
      <c r="AH543" s="25">
        <f t="shared" si="194"/>
        <v>5</v>
      </c>
      <c r="AI543" s="36">
        <f>SUM(AI517:AI542)</f>
        <v>8</v>
      </c>
      <c r="AJ543" s="37">
        <f>SUM(AJ517:AJ542)</f>
        <v>19</v>
      </c>
      <c r="AK543" s="37">
        <f>SUM(AK517:AK542)</f>
        <v>0</v>
      </c>
      <c r="AL543" s="38">
        <f>SUM(AL517:AL542)</f>
        <v>8</v>
      </c>
      <c r="AM543" s="25">
        <f t="shared" si="195"/>
        <v>35</v>
      </c>
      <c r="AN543" s="36">
        <f>SUM(AN517:AN542)</f>
        <v>20</v>
      </c>
      <c r="AO543" s="37">
        <f>SUM(AO517:AO542)</f>
        <v>20</v>
      </c>
      <c r="AP543" s="37">
        <f>SUM(AP517:AP542)</f>
        <v>12</v>
      </c>
      <c r="AQ543" s="38">
        <f>SUM(AQ517:AQ542)</f>
        <v>12</v>
      </c>
      <c r="AR543" s="25">
        <f t="shared" si="200"/>
        <v>64</v>
      </c>
      <c r="AS543" s="36">
        <f>SUM(AS517:AS542)</f>
        <v>14</v>
      </c>
      <c r="AT543" s="37">
        <f>SUM(AT517:AT542)</f>
        <v>27</v>
      </c>
      <c r="AU543" s="37">
        <f>SUM(AU517:AU542)</f>
        <v>19</v>
      </c>
      <c r="AV543" s="38">
        <f>SUM(AV517:AV542)</f>
        <v>22</v>
      </c>
      <c r="AW543" s="36">
        <f t="shared" si="201"/>
        <v>82</v>
      </c>
      <c r="AX543" s="161">
        <f t="shared" si="193"/>
        <v>186</v>
      </c>
      <c r="AY543" s="325"/>
      <c r="AZ543" s="326"/>
      <c r="BE543" s="278" t="s">
        <v>15</v>
      </c>
      <c r="BF543" s="36">
        <f>SUM(BF517:BF542)</f>
        <v>1</v>
      </c>
      <c r="BG543" s="302">
        <f>SUM(BG517:BG542)</f>
        <v>0</v>
      </c>
      <c r="BH543" s="37">
        <f>SUM(BH517:BH542)</f>
        <v>1</v>
      </c>
      <c r="BI543" s="38">
        <f>SUM(BI517:BI542)</f>
        <v>0</v>
      </c>
      <c r="BJ543" s="25">
        <f t="shared" si="202"/>
        <v>2</v>
      </c>
      <c r="BL543" s="278" t="s">
        <v>15</v>
      </c>
      <c r="BM543" s="36">
        <f>SUM(BM517:BM542)</f>
        <v>0</v>
      </c>
      <c r="BN543" s="302">
        <f>SUM(BN517:BN542)</f>
        <v>0</v>
      </c>
      <c r="BO543" s="37">
        <f>SUM(BO517:BO542)</f>
        <v>0</v>
      </c>
      <c r="BP543" s="38">
        <f>SUM(BP517:BP542)</f>
        <v>0</v>
      </c>
      <c r="BQ543" s="25">
        <f t="shared" si="203"/>
        <v>0</v>
      </c>
    </row>
    <row r="544" spans="1:69" ht="14.25" thickBot="1" x14ac:dyDescent="0.2">
      <c r="A544" s="39" t="s">
        <v>16</v>
      </c>
      <c r="B544" s="40">
        <f>B516-B543</f>
        <v>3</v>
      </c>
      <c r="C544" s="41">
        <f>C516-C543</f>
        <v>2</v>
      </c>
      <c r="D544" s="41">
        <f>D516-D543</f>
        <v>3</v>
      </c>
      <c r="E544" s="42">
        <f>E516-E543</f>
        <v>5</v>
      </c>
      <c r="F544" s="171">
        <f t="shared" si="188"/>
        <v>13</v>
      </c>
      <c r="G544" s="40">
        <f>G516-G543</f>
        <v>5</v>
      </c>
      <c r="H544" s="41">
        <f>H516-H543</f>
        <v>5</v>
      </c>
      <c r="I544" s="41">
        <f>I516-I543</f>
        <v>4</v>
      </c>
      <c r="J544" s="42">
        <f>J516-J543</f>
        <v>4</v>
      </c>
      <c r="K544" s="171">
        <f t="shared" si="189"/>
        <v>18</v>
      </c>
      <c r="L544" s="40">
        <f>L516-L543</f>
        <v>5</v>
      </c>
      <c r="M544" s="41">
        <f>M516-M543</f>
        <v>5</v>
      </c>
      <c r="N544" s="41">
        <f>N516-N543</f>
        <v>4</v>
      </c>
      <c r="O544" s="42">
        <f>O516-O543</f>
        <v>3</v>
      </c>
      <c r="P544" s="171">
        <f t="shared" si="190"/>
        <v>17</v>
      </c>
      <c r="Q544" s="40">
        <f>Q516-Q543</f>
        <v>2</v>
      </c>
      <c r="R544" s="41">
        <f>R516-R543</f>
        <v>1</v>
      </c>
      <c r="S544" s="41">
        <f>S516-S543</f>
        <v>3</v>
      </c>
      <c r="T544" s="42">
        <f>T516-T543</f>
        <v>4</v>
      </c>
      <c r="U544" s="177">
        <f t="shared" si="191"/>
        <v>10</v>
      </c>
      <c r="V544" s="77">
        <f t="shared" si="192"/>
        <v>58</v>
      </c>
      <c r="W544" s="325"/>
      <c r="X544" s="326"/>
      <c r="Y544" s="326"/>
      <c r="Z544" s="326"/>
      <c r="AC544" s="279" t="s">
        <v>16</v>
      </c>
      <c r="AD544" s="40">
        <f>AD516-AD543</f>
        <v>184</v>
      </c>
      <c r="AE544" s="41">
        <f>AE516-AE543</f>
        <v>239</v>
      </c>
      <c r="AF544" s="41">
        <f>AF516-AF543</f>
        <v>238</v>
      </c>
      <c r="AG544" s="42">
        <f>AG516-AG543</f>
        <v>168</v>
      </c>
      <c r="AH544" s="171">
        <f t="shared" si="194"/>
        <v>829</v>
      </c>
      <c r="AI544" s="40">
        <f>AI516-AI543</f>
        <v>99</v>
      </c>
      <c r="AJ544" s="41">
        <f>AJ516-AJ543</f>
        <v>72</v>
      </c>
      <c r="AK544" s="41">
        <f>AK516-AK543</f>
        <v>225</v>
      </c>
      <c r="AL544" s="42">
        <f>AL516-AL543</f>
        <v>67</v>
      </c>
      <c r="AM544" s="171">
        <f t="shared" si="195"/>
        <v>463</v>
      </c>
      <c r="AN544" s="40">
        <f>AN516-AN543</f>
        <v>30</v>
      </c>
      <c r="AO544" s="41">
        <f>AO516-AO543</f>
        <v>50</v>
      </c>
      <c r="AP544" s="41">
        <f>AP516-AP543</f>
        <v>33</v>
      </c>
      <c r="AQ544" s="42">
        <f>AQ516-AQ543</f>
        <v>23</v>
      </c>
      <c r="AR544" s="171">
        <f t="shared" si="200"/>
        <v>136</v>
      </c>
      <c r="AS544" s="40">
        <f>AS516-AS543</f>
        <v>187</v>
      </c>
      <c r="AT544" s="41">
        <f>AT516-AT543</f>
        <v>277</v>
      </c>
      <c r="AU544" s="41">
        <f>AU516-AU543</f>
        <v>193</v>
      </c>
      <c r="AV544" s="42">
        <f>AV516-AV543</f>
        <v>170</v>
      </c>
      <c r="AW544" s="177">
        <f t="shared" si="201"/>
        <v>827</v>
      </c>
      <c r="AX544" s="77">
        <f t="shared" si="193"/>
        <v>2255</v>
      </c>
      <c r="AY544" s="325"/>
      <c r="AZ544" s="326"/>
      <c r="BE544" s="279" t="s">
        <v>16</v>
      </c>
      <c r="BF544" s="40">
        <f>BF516-BF543</f>
        <v>1</v>
      </c>
      <c r="BG544" s="303">
        <f>BG516-BG543</f>
        <v>0</v>
      </c>
      <c r="BH544" s="41">
        <f>BH516-BH543</f>
        <v>2</v>
      </c>
      <c r="BI544" s="42">
        <f>BI516-BI543</f>
        <v>2</v>
      </c>
      <c r="BJ544" s="171">
        <f t="shared" si="202"/>
        <v>5</v>
      </c>
      <c r="BL544" s="279" t="s">
        <v>16</v>
      </c>
      <c r="BM544" s="40">
        <f>BM516-BM543</f>
        <v>16</v>
      </c>
      <c r="BN544" s="303">
        <f>BN516-BN543</f>
        <v>0</v>
      </c>
      <c r="BO544" s="41">
        <f>BO516-BO543</f>
        <v>47</v>
      </c>
      <c r="BP544" s="42">
        <f>BP516-BP543</f>
        <v>19</v>
      </c>
      <c r="BQ544" s="171">
        <f t="shared" si="203"/>
        <v>82</v>
      </c>
    </row>
    <row r="545" spans="1:70" x14ac:dyDescent="0.15">
      <c r="L545" t="s">
        <v>322</v>
      </c>
      <c r="W545" s="325"/>
      <c r="X545" s="326"/>
      <c r="Y545" s="326"/>
      <c r="Z545" s="326"/>
      <c r="AY545" s="325"/>
      <c r="AZ545" s="326"/>
    </row>
    <row r="546" spans="1:70" x14ac:dyDescent="0.15">
      <c r="L546" t="s">
        <v>323</v>
      </c>
      <c r="W546" s="325"/>
      <c r="X546" s="326"/>
      <c r="Y546" s="326"/>
      <c r="Z546" s="326"/>
      <c r="AY546" s="325"/>
      <c r="AZ546" s="326"/>
    </row>
    <row r="547" spans="1:70" ht="19.5" thickBot="1" x14ac:dyDescent="0.25">
      <c r="A547" s="185" t="s">
        <v>19</v>
      </c>
      <c r="B547" s="186"/>
      <c r="C547" s="186"/>
      <c r="D547" s="186"/>
      <c r="E547" s="186"/>
      <c r="F547" s="18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325"/>
      <c r="X547" s="326"/>
      <c r="Y547" s="326"/>
      <c r="Z547" s="326"/>
      <c r="AC547" s="187" t="s">
        <v>73</v>
      </c>
      <c r="AD547" s="188"/>
      <c r="AE547" s="188"/>
      <c r="AF547" s="188"/>
      <c r="AG547" s="188"/>
      <c r="AH547" s="188"/>
      <c r="AI547" s="188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325"/>
      <c r="AZ547" s="326"/>
      <c r="BE547" s="185" t="s">
        <v>19</v>
      </c>
      <c r="BF547" s="186"/>
      <c r="BG547" s="186"/>
      <c r="BH547" s="186"/>
      <c r="BI547" s="186"/>
      <c r="BJ547" s="186"/>
      <c r="BL547" s="187" t="s">
        <v>73</v>
      </c>
      <c r="BM547" s="188"/>
      <c r="BN547" s="188"/>
      <c r="BO547" s="188"/>
      <c r="BP547" s="188"/>
      <c r="BQ547" s="188"/>
    </row>
    <row r="548" spans="1:70" ht="14.25" thickBot="1" x14ac:dyDescent="0.2">
      <c r="A548" s="3" t="s">
        <v>0</v>
      </c>
      <c r="B548" s="365" t="s">
        <v>17</v>
      </c>
      <c r="C548" s="366"/>
      <c r="D548" s="366"/>
      <c r="E548" s="366"/>
      <c r="F548" s="367"/>
      <c r="G548" s="368" t="s">
        <v>18</v>
      </c>
      <c r="H548" s="369"/>
      <c r="I548" s="369"/>
      <c r="J548" s="369"/>
      <c r="K548" s="370"/>
      <c r="L548" s="371" t="s">
        <v>320</v>
      </c>
      <c r="M548" s="372"/>
      <c r="N548" s="372"/>
      <c r="O548" s="372"/>
      <c r="P548" s="373"/>
      <c r="Q548" s="374" t="s">
        <v>75</v>
      </c>
      <c r="R548" s="356"/>
      <c r="S548" s="356"/>
      <c r="T548" s="356"/>
      <c r="U548" s="357"/>
      <c r="V548" s="360" t="s">
        <v>1</v>
      </c>
      <c r="W548" s="325"/>
      <c r="X548" s="326"/>
      <c r="Y548" s="326"/>
      <c r="Z548" s="326"/>
      <c r="AC548" s="271" t="s">
        <v>0</v>
      </c>
      <c r="AD548" s="365" t="s">
        <v>17</v>
      </c>
      <c r="AE548" s="366"/>
      <c r="AF548" s="366"/>
      <c r="AG548" s="366"/>
      <c r="AH548" s="367"/>
      <c r="AI548" s="368" t="s">
        <v>18</v>
      </c>
      <c r="AJ548" s="369"/>
      <c r="AK548" s="369"/>
      <c r="AL548" s="369"/>
      <c r="AM548" s="370"/>
      <c r="AN548" s="371" t="s">
        <v>320</v>
      </c>
      <c r="AO548" s="372"/>
      <c r="AP548" s="372"/>
      <c r="AQ548" s="372"/>
      <c r="AR548" s="373"/>
      <c r="AS548" s="374" t="s">
        <v>75</v>
      </c>
      <c r="AT548" s="356"/>
      <c r="AU548" s="356"/>
      <c r="AV548" s="356"/>
      <c r="AW548" s="357"/>
      <c r="AX548" s="360" t="s">
        <v>1</v>
      </c>
      <c r="AY548" s="325"/>
      <c r="AZ548" s="326"/>
      <c r="BE548" s="271" t="s">
        <v>0</v>
      </c>
      <c r="BF548" s="362" t="s">
        <v>38</v>
      </c>
      <c r="BG548" s="363"/>
      <c r="BH548" s="363"/>
      <c r="BI548" s="363"/>
      <c r="BJ548" s="364"/>
      <c r="BL548" s="271" t="s">
        <v>0</v>
      </c>
      <c r="BM548" s="362" t="s">
        <v>38</v>
      </c>
      <c r="BN548" s="363"/>
      <c r="BO548" s="363"/>
      <c r="BP548" s="363"/>
      <c r="BQ548" s="364"/>
    </row>
    <row r="549" spans="1:70" ht="14.25" thickBot="1" x14ac:dyDescent="0.2">
      <c r="A549" s="5" t="s">
        <v>2</v>
      </c>
      <c r="B549" s="6" t="s">
        <v>3</v>
      </c>
      <c r="C549" s="7" t="s">
        <v>4</v>
      </c>
      <c r="D549" s="7" t="s">
        <v>5</v>
      </c>
      <c r="E549" s="8" t="s">
        <v>6</v>
      </c>
      <c r="F549" s="5" t="s">
        <v>7</v>
      </c>
      <c r="G549" s="6" t="s">
        <v>3</v>
      </c>
      <c r="H549" s="7" t="s">
        <v>4</v>
      </c>
      <c r="I549" s="7" t="s">
        <v>5</v>
      </c>
      <c r="J549" s="8" t="s">
        <v>6</v>
      </c>
      <c r="K549" s="5" t="s">
        <v>7</v>
      </c>
      <c r="L549" s="6" t="s">
        <v>3</v>
      </c>
      <c r="M549" s="7" t="s">
        <v>4</v>
      </c>
      <c r="N549" s="7" t="s">
        <v>5</v>
      </c>
      <c r="O549" s="8" t="s">
        <v>6</v>
      </c>
      <c r="P549" s="5" t="s">
        <v>7</v>
      </c>
      <c r="Q549" s="6" t="s">
        <v>3</v>
      </c>
      <c r="R549" s="7" t="s">
        <v>4</v>
      </c>
      <c r="S549" s="7" t="s">
        <v>5</v>
      </c>
      <c r="T549" s="8" t="s">
        <v>6</v>
      </c>
      <c r="U549" s="5" t="s">
        <v>7</v>
      </c>
      <c r="V549" s="361"/>
      <c r="W549" s="325"/>
      <c r="X549" s="326"/>
      <c r="Y549" s="326"/>
      <c r="Z549" s="326"/>
      <c r="AC549" s="272" t="s">
        <v>2</v>
      </c>
      <c r="AD549" s="6" t="s">
        <v>3</v>
      </c>
      <c r="AE549" s="7" t="s">
        <v>4</v>
      </c>
      <c r="AF549" s="7" t="s">
        <v>5</v>
      </c>
      <c r="AG549" s="8" t="s">
        <v>6</v>
      </c>
      <c r="AH549" s="5" t="s">
        <v>7</v>
      </c>
      <c r="AI549" s="6" t="s">
        <v>3</v>
      </c>
      <c r="AJ549" s="7" t="s">
        <v>4</v>
      </c>
      <c r="AK549" s="7" t="s">
        <v>5</v>
      </c>
      <c r="AL549" s="8" t="s">
        <v>6</v>
      </c>
      <c r="AM549" s="5" t="s">
        <v>7</v>
      </c>
      <c r="AN549" s="6" t="s">
        <v>3</v>
      </c>
      <c r="AO549" s="7" t="s">
        <v>4</v>
      </c>
      <c r="AP549" s="7" t="s">
        <v>5</v>
      </c>
      <c r="AQ549" s="8" t="s">
        <v>6</v>
      </c>
      <c r="AR549" s="5" t="s">
        <v>7</v>
      </c>
      <c r="AS549" s="6" t="s">
        <v>3</v>
      </c>
      <c r="AT549" s="7" t="s">
        <v>4</v>
      </c>
      <c r="AU549" s="7" t="s">
        <v>5</v>
      </c>
      <c r="AV549" s="8" t="s">
        <v>6</v>
      </c>
      <c r="AW549" s="5" t="s">
        <v>7</v>
      </c>
      <c r="AX549" s="361"/>
      <c r="AY549" s="325"/>
      <c r="AZ549" s="326"/>
      <c r="BE549" s="272" t="s">
        <v>2</v>
      </c>
      <c r="BF549" s="6" t="s">
        <v>3</v>
      </c>
      <c r="BG549" s="7" t="s">
        <v>4</v>
      </c>
      <c r="BH549" s="7" t="s">
        <v>5</v>
      </c>
      <c r="BI549" s="8" t="s">
        <v>6</v>
      </c>
      <c r="BJ549" s="5" t="s">
        <v>7</v>
      </c>
      <c r="BL549" s="272" t="s">
        <v>2</v>
      </c>
      <c r="BM549" s="6" t="s">
        <v>3</v>
      </c>
      <c r="BN549" s="7" t="s">
        <v>4</v>
      </c>
      <c r="BO549" s="7" t="s">
        <v>5</v>
      </c>
      <c r="BP549" s="8" t="s">
        <v>6</v>
      </c>
      <c r="BQ549" s="5" t="s">
        <v>7</v>
      </c>
    </row>
    <row r="550" spans="1:70" ht="15" thickBot="1" x14ac:dyDescent="0.2">
      <c r="A550" s="291" t="s">
        <v>30</v>
      </c>
      <c r="B550" s="292">
        <f>B544</f>
        <v>3</v>
      </c>
      <c r="C550" s="292">
        <f>C544</f>
        <v>2</v>
      </c>
      <c r="D550" s="292">
        <f>D544</f>
        <v>3</v>
      </c>
      <c r="E550" s="293">
        <f>E544</f>
        <v>5</v>
      </c>
      <c r="F550" s="77">
        <f t="shared" ref="F550:F586" si="208">SUM(B550:E550)</f>
        <v>13</v>
      </c>
      <c r="G550" s="292">
        <f>G544</f>
        <v>5</v>
      </c>
      <c r="H550" s="292">
        <f>H544</f>
        <v>5</v>
      </c>
      <c r="I550" s="292">
        <f>I544</f>
        <v>4</v>
      </c>
      <c r="J550" s="293">
        <f>J544</f>
        <v>4</v>
      </c>
      <c r="K550" s="77">
        <f t="shared" ref="K550:K586" si="209">SUM(G550:J550)</f>
        <v>18</v>
      </c>
      <c r="L550" s="292">
        <f>L544</f>
        <v>5</v>
      </c>
      <c r="M550" s="292">
        <f>M544</f>
        <v>5</v>
      </c>
      <c r="N550" s="292">
        <f>N544</f>
        <v>4</v>
      </c>
      <c r="O550" s="293">
        <f>O544</f>
        <v>3</v>
      </c>
      <c r="P550" s="77">
        <f t="shared" ref="P550:P586" si="210">SUM(L550:O550)</f>
        <v>17</v>
      </c>
      <c r="Q550" s="292">
        <f>Q544</f>
        <v>2</v>
      </c>
      <c r="R550" s="292">
        <f>R544</f>
        <v>1</v>
      </c>
      <c r="S550" s="292">
        <f>S544</f>
        <v>3</v>
      </c>
      <c r="T550" s="293">
        <f>T544</f>
        <v>4</v>
      </c>
      <c r="U550" s="182">
        <f t="shared" ref="U550:U586" si="211">SUM(Q550:T550)</f>
        <v>10</v>
      </c>
      <c r="V550" s="77">
        <f t="shared" ref="V550:V586" si="212">F550+K550+P550+U550</f>
        <v>58</v>
      </c>
      <c r="W550" s="325"/>
      <c r="X550" s="326"/>
      <c r="Y550" s="326"/>
      <c r="Z550" s="326"/>
      <c r="AC550" s="294" t="s">
        <v>30</v>
      </c>
      <c r="AD550" s="292">
        <f>AD544</f>
        <v>184</v>
      </c>
      <c r="AE550" s="292">
        <f>AE544</f>
        <v>239</v>
      </c>
      <c r="AF550" s="292">
        <f>AF544</f>
        <v>238</v>
      </c>
      <c r="AG550" s="293">
        <f>AG544</f>
        <v>168</v>
      </c>
      <c r="AH550" s="77">
        <f>SUM(AD550:AG550)</f>
        <v>829</v>
      </c>
      <c r="AI550" s="292">
        <f>AI544</f>
        <v>99</v>
      </c>
      <c r="AJ550" s="292">
        <f>AJ544</f>
        <v>72</v>
      </c>
      <c r="AK550" s="292">
        <f>AK544</f>
        <v>225</v>
      </c>
      <c r="AL550" s="293">
        <f>AL544</f>
        <v>67</v>
      </c>
      <c r="AM550" s="77">
        <f>SUM(AI550:AL550)</f>
        <v>463</v>
      </c>
      <c r="AN550" s="292">
        <f>AN544</f>
        <v>30</v>
      </c>
      <c r="AO550" s="292">
        <f>AO544</f>
        <v>50</v>
      </c>
      <c r="AP550" s="292">
        <f>AP544</f>
        <v>33</v>
      </c>
      <c r="AQ550" s="293">
        <f>AQ544</f>
        <v>23</v>
      </c>
      <c r="AR550" s="77">
        <f>SUM(AN550:AQ550)</f>
        <v>136</v>
      </c>
      <c r="AS550" s="292">
        <f>AS544</f>
        <v>187</v>
      </c>
      <c r="AT550" s="292">
        <f>AT544</f>
        <v>277</v>
      </c>
      <c r="AU550" s="292">
        <f>AU544</f>
        <v>193</v>
      </c>
      <c r="AV550" s="293">
        <f>AV544</f>
        <v>170</v>
      </c>
      <c r="AW550" s="182">
        <f>SUM(AS550:AV550)</f>
        <v>827</v>
      </c>
      <c r="AX550" s="77">
        <f t="shared" ref="AX550:AX586" si="213">AH550+AM550+AR550+AW550</f>
        <v>2255</v>
      </c>
      <c r="AY550" s="325"/>
      <c r="AZ550" s="326"/>
      <c r="BE550" s="294" t="s">
        <v>30</v>
      </c>
      <c r="BF550" s="40">
        <f>BF544</f>
        <v>1</v>
      </c>
      <c r="BG550" s="303">
        <f t="shared" ref="BG550:BJ550" si="214">BG544</f>
        <v>0</v>
      </c>
      <c r="BH550" s="41">
        <f t="shared" si="214"/>
        <v>2</v>
      </c>
      <c r="BI550" s="42">
        <f t="shared" si="214"/>
        <v>2</v>
      </c>
      <c r="BJ550" s="171">
        <f t="shared" si="214"/>
        <v>5</v>
      </c>
      <c r="BL550" s="294" t="s">
        <v>30</v>
      </c>
      <c r="BM550" s="292">
        <f>BM544</f>
        <v>16</v>
      </c>
      <c r="BN550" s="305">
        <f t="shared" ref="BN550:BQ550" si="215">BN544</f>
        <v>0</v>
      </c>
      <c r="BO550" s="292">
        <f t="shared" si="215"/>
        <v>47</v>
      </c>
      <c r="BP550" s="292">
        <f t="shared" si="215"/>
        <v>19</v>
      </c>
      <c r="BQ550" s="77">
        <f t="shared" si="215"/>
        <v>82</v>
      </c>
    </row>
    <row r="551" spans="1:70" x14ac:dyDescent="0.15">
      <c r="A551" s="53" t="s">
        <v>111</v>
      </c>
      <c r="B551" s="51">
        <v>3</v>
      </c>
      <c r="C551" s="52">
        <v>3</v>
      </c>
      <c r="D551" s="52">
        <v>3</v>
      </c>
      <c r="E551" s="52"/>
      <c r="F551" s="49">
        <f t="shared" si="208"/>
        <v>9</v>
      </c>
      <c r="G551" s="51"/>
      <c r="H551" s="52"/>
      <c r="I551" s="52"/>
      <c r="J551" s="52"/>
      <c r="K551" s="49">
        <f t="shared" si="209"/>
        <v>0</v>
      </c>
      <c r="L551" s="51"/>
      <c r="M551" s="52"/>
      <c r="N551" s="52"/>
      <c r="O551" s="52"/>
      <c r="P551" s="49">
        <f t="shared" si="210"/>
        <v>0</v>
      </c>
      <c r="Q551" s="51">
        <v>3</v>
      </c>
      <c r="R551" s="52">
        <v>3</v>
      </c>
      <c r="S551" s="52">
        <v>3</v>
      </c>
      <c r="T551" s="52"/>
      <c r="U551" s="175">
        <f t="shared" si="211"/>
        <v>9</v>
      </c>
      <c r="V551" s="49">
        <f t="shared" si="212"/>
        <v>18</v>
      </c>
      <c r="W551" s="329">
        <v>44694</v>
      </c>
      <c r="X551" s="326"/>
      <c r="Y551" s="326"/>
      <c r="Z551" s="326"/>
      <c r="AC551" s="268" t="s">
        <v>28</v>
      </c>
      <c r="AD551" s="51"/>
      <c r="AE551" s="52"/>
      <c r="AF551" s="52"/>
      <c r="AG551" s="52"/>
      <c r="AH551" s="49">
        <f t="shared" ref="AH551:AH586" si="216">SUM(AD551:AG551)</f>
        <v>0</v>
      </c>
      <c r="AI551" s="51"/>
      <c r="AJ551" s="52"/>
      <c r="AK551" s="52"/>
      <c r="AL551" s="52"/>
      <c r="AM551" s="49">
        <f t="shared" ref="AM551:AM586" si="217">SUM(AI551:AL551)</f>
        <v>0</v>
      </c>
      <c r="AN551" s="51"/>
      <c r="AO551" s="52"/>
      <c r="AP551" s="52"/>
      <c r="AQ551" s="52"/>
      <c r="AR551" s="49">
        <f t="shared" ref="AR551:AR553" si="218">SUM(AN551:AQ551)</f>
        <v>0</v>
      </c>
      <c r="AS551" s="51"/>
      <c r="AT551" s="52"/>
      <c r="AU551" s="52"/>
      <c r="AV551" s="52"/>
      <c r="AW551" s="175">
        <f t="shared" ref="AW551:AW553" si="219">SUM(AS551:AV551)</f>
        <v>0</v>
      </c>
      <c r="AX551" s="49">
        <f t="shared" si="213"/>
        <v>0</v>
      </c>
      <c r="AY551" s="325"/>
      <c r="AZ551" s="326"/>
      <c r="BE551" s="268" t="s">
        <v>28</v>
      </c>
      <c r="BF551" s="51">
        <v>3</v>
      </c>
      <c r="BG551" s="52"/>
      <c r="BH551" s="52">
        <v>3</v>
      </c>
      <c r="BI551" s="52">
        <v>3</v>
      </c>
      <c r="BJ551" s="49">
        <f t="shared" ref="BJ551:BJ553" si="220">SUM(BF551:BI551)</f>
        <v>9</v>
      </c>
      <c r="BK551" s="306">
        <v>44699</v>
      </c>
      <c r="BL551" s="268" t="s">
        <v>28</v>
      </c>
      <c r="BM551" s="51"/>
      <c r="BN551" s="52"/>
      <c r="BO551" s="52"/>
      <c r="BP551" s="52"/>
      <c r="BQ551" s="49">
        <f t="shared" ref="BQ551:BQ553" si="221">SUM(BM551:BP551)</f>
        <v>0</v>
      </c>
    </row>
    <row r="552" spans="1:70" x14ac:dyDescent="0.15">
      <c r="A552" s="53" t="s">
        <v>109</v>
      </c>
      <c r="B552" s="55"/>
      <c r="C552" s="55"/>
      <c r="D552" s="55"/>
      <c r="E552" s="166"/>
      <c r="F552" s="49">
        <f t="shared" si="208"/>
        <v>0</v>
      </c>
      <c r="G552" s="55"/>
      <c r="H552" s="55"/>
      <c r="I552" s="55"/>
      <c r="J552" s="166"/>
      <c r="K552" s="49">
        <f t="shared" si="209"/>
        <v>0</v>
      </c>
      <c r="L552" s="55"/>
      <c r="M552" s="55"/>
      <c r="N552" s="55"/>
      <c r="O552" s="166"/>
      <c r="P552" s="49">
        <f t="shared" si="210"/>
        <v>0</v>
      </c>
      <c r="Q552" s="55"/>
      <c r="R552" s="55"/>
      <c r="S552" s="55">
        <v>1</v>
      </c>
      <c r="T552" s="166">
        <v>1</v>
      </c>
      <c r="U552" s="175">
        <f t="shared" si="211"/>
        <v>2</v>
      </c>
      <c r="V552" s="56">
        <f t="shared" si="212"/>
        <v>2</v>
      </c>
      <c r="W552" s="329">
        <v>44699</v>
      </c>
      <c r="X552" s="326"/>
      <c r="Y552" s="326"/>
      <c r="Z552" s="326"/>
      <c r="AC552" s="268" t="s">
        <v>28</v>
      </c>
      <c r="AD552" s="54"/>
      <c r="AE552" s="55"/>
      <c r="AF552" s="55"/>
      <c r="AG552" s="55"/>
      <c r="AH552" s="56">
        <f t="shared" si="216"/>
        <v>0</v>
      </c>
      <c r="AI552" s="54"/>
      <c r="AJ552" s="55"/>
      <c r="AK552" s="55"/>
      <c r="AL552" s="55"/>
      <c r="AM552" s="56">
        <f t="shared" si="217"/>
        <v>0</v>
      </c>
      <c r="AN552" s="54"/>
      <c r="AO552" s="55"/>
      <c r="AP552" s="55"/>
      <c r="AQ552" s="55"/>
      <c r="AR552" s="56">
        <f t="shared" si="218"/>
        <v>0</v>
      </c>
      <c r="AS552" s="54"/>
      <c r="AT552" s="55"/>
      <c r="AU552" s="55"/>
      <c r="AV552" s="55"/>
      <c r="AW552" s="176">
        <f t="shared" si="219"/>
        <v>0</v>
      </c>
      <c r="AX552" s="56">
        <f t="shared" si="213"/>
        <v>0</v>
      </c>
      <c r="AY552" s="329"/>
      <c r="AZ552" s="326"/>
      <c r="BE552" s="268" t="s">
        <v>28</v>
      </c>
      <c r="BF552" s="54">
        <v>5</v>
      </c>
      <c r="BG552" s="55"/>
      <c r="BH552" s="55">
        <v>5</v>
      </c>
      <c r="BI552" s="55">
        <v>5</v>
      </c>
      <c r="BJ552" s="56">
        <f t="shared" si="220"/>
        <v>15</v>
      </c>
      <c r="BK552" s="306">
        <v>44716</v>
      </c>
      <c r="BL552" s="268" t="s">
        <v>28</v>
      </c>
      <c r="BM552" s="54"/>
      <c r="BN552" s="55"/>
      <c r="BO552" s="55"/>
      <c r="BP552" s="55"/>
      <c r="BQ552" s="56">
        <f t="shared" si="221"/>
        <v>0</v>
      </c>
    </row>
    <row r="553" spans="1:70" x14ac:dyDescent="0.15">
      <c r="A553" s="53" t="s">
        <v>111</v>
      </c>
      <c r="B553" s="55"/>
      <c r="C553" s="55"/>
      <c r="D553" s="55"/>
      <c r="E553" s="166"/>
      <c r="F553" s="49">
        <f t="shared" si="208"/>
        <v>0</v>
      </c>
      <c r="G553" s="55">
        <v>3</v>
      </c>
      <c r="H553" s="55">
        <v>3</v>
      </c>
      <c r="I553" s="55">
        <v>3</v>
      </c>
      <c r="J553" s="166">
        <v>3</v>
      </c>
      <c r="K553" s="49">
        <f t="shared" si="209"/>
        <v>12</v>
      </c>
      <c r="L553" s="55"/>
      <c r="M553" s="55"/>
      <c r="N553" s="55"/>
      <c r="O553" s="166"/>
      <c r="P553" s="49">
        <f t="shared" si="210"/>
        <v>0</v>
      </c>
      <c r="Q553" s="55"/>
      <c r="R553" s="55">
        <v>3</v>
      </c>
      <c r="S553" s="55"/>
      <c r="T553" s="166"/>
      <c r="U553" s="175">
        <f t="shared" si="211"/>
        <v>3</v>
      </c>
      <c r="V553" s="56">
        <f t="shared" si="212"/>
        <v>15</v>
      </c>
      <c r="W553" s="329">
        <v>44702</v>
      </c>
      <c r="X553" s="326"/>
      <c r="Y553" s="326"/>
      <c r="Z553" s="326"/>
      <c r="AC553" s="268" t="s">
        <v>28</v>
      </c>
      <c r="AD553" s="55"/>
      <c r="AE553" s="153"/>
      <c r="AF553" s="153"/>
      <c r="AG553" s="168"/>
      <c r="AH553" s="56">
        <f t="shared" si="216"/>
        <v>0</v>
      </c>
      <c r="AI553" s="54">
        <v>129</v>
      </c>
      <c r="AJ553" s="55">
        <v>300</v>
      </c>
      <c r="AK553" s="55">
        <v>0</v>
      </c>
      <c r="AL553" s="55">
        <v>170</v>
      </c>
      <c r="AM553" s="56">
        <f t="shared" si="217"/>
        <v>599</v>
      </c>
      <c r="AN553" s="54">
        <v>50</v>
      </c>
      <c r="AO553" s="55">
        <v>70</v>
      </c>
      <c r="AP553" s="55">
        <v>45</v>
      </c>
      <c r="AQ553" s="55">
        <v>35</v>
      </c>
      <c r="AR553" s="56">
        <f t="shared" si="218"/>
        <v>200</v>
      </c>
      <c r="AS553" s="55"/>
      <c r="AT553" s="153"/>
      <c r="AU553" s="153"/>
      <c r="AV553" s="168"/>
      <c r="AW553" s="176">
        <f t="shared" si="219"/>
        <v>0</v>
      </c>
      <c r="AX553" s="56">
        <f t="shared" si="213"/>
        <v>799</v>
      </c>
      <c r="AY553" s="329" t="s">
        <v>403</v>
      </c>
      <c r="AZ553" s="326"/>
      <c r="BE553" s="268" t="s">
        <v>28</v>
      </c>
      <c r="BF553" s="55"/>
      <c r="BG553" s="153"/>
      <c r="BH553" s="153"/>
      <c r="BI553" s="168"/>
      <c r="BJ553" s="56">
        <f t="shared" si="220"/>
        <v>0</v>
      </c>
      <c r="BL553" s="268" t="s">
        <v>28</v>
      </c>
      <c r="BM553" s="55"/>
      <c r="BN553" s="153"/>
      <c r="BO553" s="153"/>
      <c r="BP553" s="168"/>
      <c r="BQ553" s="56">
        <f t="shared" si="221"/>
        <v>0</v>
      </c>
    </row>
    <row r="554" spans="1:70" x14ac:dyDescent="0.15">
      <c r="A554" s="53" t="s">
        <v>111</v>
      </c>
      <c r="B554" s="63"/>
      <c r="C554" s="63"/>
      <c r="D554" s="63"/>
      <c r="E554" s="167"/>
      <c r="F554" s="64">
        <f t="shared" si="208"/>
        <v>0</v>
      </c>
      <c r="G554" s="63"/>
      <c r="H554" s="63"/>
      <c r="I554" s="63"/>
      <c r="J554" s="167"/>
      <c r="K554" s="64">
        <f t="shared" si="209"/>
        <v>0</v>
      </c>
      <c r="L554" s="63"/>
      <c r="M554" s="63"/>
      <c r="N554" s="63"/>
      <c r="O554" s="167">
        <v>3</v>
      </c>
      <c r="P554" s="64">
        <f t="shared" si="210"/>
        <v>3</v>
      </c>
      <c r="Q554" s="63"/>
      <c r="R554" s="63"/>
      <c r="S554" s="63"/>
      <c r="T554" s="167"/>
      <c r="U554" s="162">
        <f t="shared" si="211"/>
        <v>0</v>
      </c>
      <c r="V554" s="56">
        <f t="shared" si="212"/>
        <v>3</v>
      </c>
      <c r="W554" s="329">
        <v>44707</v>
      </c>
      <c r="X554" s="326"/>
      <c r="Y554" s="326"/>
      <c r="Z554" s="326"/>
      <c r="AC554" s="268" t="s">
        <v>28</v>
      </c>
      <c r="AD554" s="63"/>
      <c r="AE554" s="63"/>
      <c r="AF554" s="63"/>
      <c r="AG554" s="167"/>
      <c r="AH554" s="56">
        <f t="shared" si="216"/>
        <v>0</v>
      </c>
      <c r="AI554" s="63"/>
      <c r="AJ554" s="63"/>
      <c r="AK554" s="63"/>
      <c r="AL554" s="167"/>
      <c r="AM554" s="56">
        <f t="shared" si="217"/>
        <v>0</v>
      </c>
      <c r="AN554" s="63"/>
      <c r="AO554" s="63"/>
      <c r="AP554" s="63"/>
      <c r="AQ554" s="167"/>
      <c r="AR554" s="64">
        <v>0</v>
      </c>
      <c r="AS554" s="63"/>
      <c r="AT554" s="63"/>
      <c r="AU554" s="63"/>
      <c r="AV554" s="167"/>
      <c r="AW554" s="162">
        <v>0</v>
      </c>
      <c r="AX554" s="56">
        <f t="shared" si="213"/>
        <v>0</v>
      </c>
      <c r="AY554" s="330" t="s">
        <v>344</v>
      </c>
      <c r="AZ554" s="326"/>
      <c r="BE554" s="268" t="s">
        <v>28</v>
      </c>
      <c r="BF554" s="63"/>
      <c r="BG554" s="63"/>
      <c r="BH554" s="63"/>
      <c r="BI554" s="167"/>
      <c r="BJ554" s="64">
        <v>0</v>
      </c>
      <c r="BL554" s="268" t="s">
        <v>28</v>
      </c>
      <c r="BM554" s="63"/>
      <c r="BN554" s="63"/>
      <c r="BO554" s="63"/>
      <c r="BP554" s="167"/>
      <c r="BQ554" s="64">
        <v>0</v>
      </c>
    </row>
    <row r="555" spans="1:70" x14ac:dyDescent="0.15">
      <c r="A555" s="53" t="s">
        <v>109</v>
      </c>
      <c r="B555" s="55"/>
      <c r="C555" s="153"/>
      <c r="D555" s="153"/>
      <c r="E555" s="168"/>
      <c r="F555" s="56">
        <f t="shared" si="208"/>
        <v>0</v>
      </c>
      <c r="G555" s="55"/>
      <c r="H555" s="153">
        <v>1</v>
      </c>
      <c r="I555" s="153"/>
      <c r="J555" s="168"/>
      <c r="K555" s="56">
        <f t="shared" si="209"/>
        <v>1</v>
      </c>
      <c r="L555" s="55"/>
      <c r="M555" s="153"/>
      <c r="N555" s="153"/>
      <c r="O555" s="168"/>
      <c r="P555" s="56">
        <f t="shared" si="210"/>
        <v>0</v>
      </c>
      <c r="Q555" s="55"/>
      <c r="R555" s="153"/>
      <c r="S555" s="153"/>
      <c r="T555" s="168"/>
      <c r="U555" s="176">
        <f t="shared" si="211"/>
        <v>0</v>
      </c>
      <c r="V555" s="56">
        <f t="shared" si="212"/>
        <v>1</v>
      </c>
      <c r="W555" s="329">
        <v>44707</v>
      </c>
      <c r="X555" s="326"/>
      <c r="Y555" s="326"/>
      <c r="Z555" s="326"/>
      <c r="AC555" s="268" t="s">
        <v>28</v>
      </c>
      <c r="AD555" s="55"/>
      <c r="AE555" s="153"/>
      <c r="AF555" s="153"/>
      <c r="AG555" s="168"/>
      <c r="AH555" s="56">
        <f t="shared" si="216"/>
        <v>0</v>
      </c>
      <c r="AI555" s="55"/>
      <c r="AJ555" s="153"/>
      <c r="AK555" s="153"/>
      <c r="AL555" s="168"/>
      <c r="AM555" s="56">
        <f t="shared" si="217"/>
        <v>0</v>
      </c>
      <c r="AN555" s="55"/>
      <c r="AO555" s="153"/>
      <c r="AP555" s="153"/>
      <c r="AQ555" s="168"/>
      <c r="AR555" s="56">
        <f t="shared" ref="AR555:AR586" si="222">SUM(AN555:AQ555)</f>
        <v>0</v>
      </c>
      <c r="AS555" s="55"/>
      <c r="AT555" s="153"/>
      <c r="AU555" s="153"/>
      <c r="AV555" s="168"/>
      <c r="AW555" s="176">
        <f t="shared" ref="AW555:AW586" si="223">SUM(AS555:AV555)</f>
        <v>0</v>
      </c>
      <c r="AX555" s="56">
        <f t="shared" si="213"/>
        <v>0</v>
      </c>
      <c r="AY555" s="325"/>
      <c r="AZ555" s="326"/>
      <c r="BE555" s="268" t="s">
        <v>28</v>
      </c>
      <c r="BF555" s="55"/>
      <c r="BG555" s="153"/>
      <c r="BH555" s="153"/>
      <c r="BI555" s="168"/>
      <c r="BJ555" s="56">
        <f t="shared" ref="BJ555:BJ586" si="224">SUM(BF555:BI555)</f>
        <v>0</v>
      </c>
      <c r="BL555" s="268" t="s">
        <v>28</v>
      </c>
      <c r="BM555" s="55"/>
      <c r="BN555" s="153"/>
      <c r="BO555" s="153"/>
      <c r="BP555" s="168"/>
      <c r="BQ555" s="56">
        <f t="shared" ref="BQ555:BQ586" si="225">SUM(BM555:BP555)</f>
        <v>0</v>
      </c>
    </row>
    <row r="556" spans="1:70" x14ac:dyDescent="0.15">
      <c r="A556" s="53" t="s">
        <v>111</v>
      </c>
      <c r="B556" s="55"/>
      <c r="C556" s="153"/>
      <c r="D556" s="153"/>
      <c r="E556" s="168"/>
      <c r="F556" s="56">
        <f t="shared" si="208"/>
        <v>0</v>
      </c>
      <c r="G556" s="55"/>
      <c r="H556" s="153">
        <v>3</v>
      </c>
      <c r="I556" s="153"/>
      <c r="J556" s="168"/>
      <c r="K556" s="56">
        <f t="shared" si="209"/>
        <v>3</v>
      </c>
      <c r="L556" s="55"/>
      <c r="M556" s="153"/>
      <c r="N556" s="153"/>
      <c r="O556" s="168"/>
      <c r="P556" s="56">
        <f t="shared" si="210"/>
        <v>0</v>
      </c>
      <c r="Q556" s="55"/>
      <c r="R556" s="153"/>
      <c r="S556" s="153">
        <v>3</v>
      </c>
      <c r="T556" s="168">
        <v>3</v>
      </c>
      <c r="U556" s="176">
        <f t="shared" si="211"/>
        <v>6</v>
      </c>
      <c r="V556" s="56">
        <f t="shared" si="212"/>
        <v>9</v>
      </c>
      <c r="W556" s="329">
        <v>44714</v>
      </c>
      <c r="X556" s="326"/>
      <c r="Y556" s="326"/>
      <c r="Z556" s="326"/>
      <c r="AC556" s="268" t="s">
        <v>28</v>
      </c>
      <c r="AD556" s="55"/>
      <c r="AE556" s="153"/>
      <c r="AF556" s="153"/>
      <c r="AG556" s="168"/>
      <c r="AH556" s="56">
        <f t="shared" si="216"/>
        <v>0</v>
      </c>
      <c r="AI556" s="55"/>
      <c r="AJ556" s="153"/>
      <c r="AK556" s="153"/>
      <c r="AL556" s="168"/>
      <c r="AM556" s="56">
        <f t="shared" si="217"/>
        <v>0</v>
      </c>
      <c r="AN556" s="55"/>
      <c r="AO556" s="153"/>
      <c r="AP556" s="153"/>
      <c r="AQ556" s="168"/>
      <c r="AR556" s="56">
        <f t="shared" si="222"/>
        <v>0</v>
      </c>
      <c r="AS556" s="55"/>
      <c r="AT556" s="153"/>
      <c r="AU556" s="153"/>
      <c r="AV556" s="168"/>
      <c r="AW556" s="176">
        <f t="shared" si="223"/>
        <v>0</v>
      </c>
      <c r="AX556" s="56">
        <f t="shared" si="213"/>
        <v>0</v>
      </c>
      <c r="AY556" s="325"/>
      <c r="AZ556" s="326"/>
      <c r="BE556" s="268" t="s">
        <v>28</v>
      </c>
      <c r="BF556" s="55"/>
      <c r="BG556" s="153"/>
      <c r="BH556" s="153"/>
      <c r="BI556" s="168"/>
      <c r="BJ556" s="56">
        <f t="shared" si="224"/>
        <v>0</v>
      </c>
      <c r="BL556" s="268" t="s">
        <v>28</v>
      </c>
      <c r="BM556" s="55"/>
      <c r="BN556" s="153"/>
      <c r="BO556" s="153"/>
      <c r="BP556" s="168"/>
      <c r="BQ556" s="56">
        <f t="shared" si="225"/>
        <v>0</v>
      </c>
    </row>
    <row r="557" spans="1:70" ht="14.25" thickBot="1" x14ac:dyDescent="0.2">
      <c r="A557" s="53" t="s">
        <v>28</v>
      </c>
      <c r="B557" s="63">
        <v>5</v>
      </c>
      <c r="C557" s="164">
        <v>5</v>
      </c>
      <c r="D557" s="164">
        <v>5</v>
      </c>
      <c r="E557" s="169">
        <v>5</v>
      </c>
      <c r="F557" s="170">
        <f t="shared" si="208"/>
        <v>20</v>
      </c>
      <c r="G557" s="63">
        <v>5</v>
      </c>
      <c r="H557" s="164">
        <v>5</v>
      </c>
      <c r="I557" s="164">
        <v>5</v>
      </c>
      <c r="J557" s="169">
        <v>5</v>
      </c>
      <c r="K557" s="170">
        <f t="shared" si="209"/>
        <v>20</v>
      </c>
      <c r="L557" s="63">
        <v>5</v>
      </c>
      <c r="M557" s="164">
        <v>5</v>
      </c>
      <c r="N557" s="164">
        <v>5</v>
      </c>
      <c r="O557" s="169">
        <v>5</v>
      </c>
      <c r="P557" s="170">
        <f t="shared" si="210"/>
        <v>20</v>
      </c>
      <c r="Q557" s="63">
        <v>5</v>
      </c>
      <c r="R557" s="164">
        <v>5</v>
      </c>
      <c r="S557" s="164">
        <v>5</v>
      </c>
      <c r="T557" s="169">
        <v>5</v>
      </c>
      <c r="U557" s="179">
        <f t="shared" si="211"/>
        <v>20</v>
      </c>
      <c r="V557" s="170">
        <f t="shared" si="212"/>
        <v>80</v>
      </c>
      <c r="W557" s="329">
        <v>44718</v>
      </c>
      <c r="X557" s="326"/>
      <c r="Y557" s="326"/>
      <c r="Z557" s="326"/>
      <c r="AC557" s="274" t="s">
        <v>28</v>
      </c>
      <c r="AD557" s="63"/>
      <c r="AE557" s="164"/>
      <c r="AF557" s="164"/>
      <c r="AG557" s="169"/>
      <c r="AH557" s="170">
        <f t="shared" si="216"/>
        <v>0</v>
      </c>
      <c r="AI557" s="63"/>
      <c r="AJ557" s="164"/>
      <c r="AK557" s="164"/>
      <c r="AL557" s="169"/>
      <c r="AM557" s="170">
        <f t="shared" si="217"/>
        <v>0</v>
      </c>
      <c r="AN557" s="63"/>
      <c r="AO557" s="164"/>
      <c r="AP557" s="164"/>
      <c r="AQ557" s="169"/>
      <c r="AR557" s="170">
        <f t="shared" si="222"/>
        <v>0</v>
      </c>
      <c r="AS557" s="63"/>
      <c r="AT557" s="164"/>
      <c r="AU557" s="164"/>
      <c r="AV557" s="169"/>
      <c r="AW557" s="179">
        <f t="shared" si="223"/>
        <v>0</v>
      </c>
      <c r="AX557" s="170">
        <f t="shared" si="213"/>
        <v>0</v>
      </c>
      <c r="AY557" s="325"/>
      <c r="AZ557" s="326"/>
      <c r="BE557" s="274" t="s">
        <v>28</v>
      </c>
      <c r="BF557" s="63"/>
      <c r="BG557" s="164"/>
      <c r="BH557" s="164"/>
      <c r="BI557" s="169"/>
      <c r="BJ557" s="170">
        <f t="shared" si="224"/>
        <v>0</v>
      </c>
      <c r="BL557" s="274" t="s">
        <v>28</v>
      </c>
      <c r="BM557" s="63"/>
      <c r="BN557" s="164"/>
      <c r="BO557" s="164"/>
      <c r="BP557" s="169"/>
      <c r="BQ557" s="170">
        <f t="shared" si="225"/>
        <v>0</v>
      </c>
    </row>
    <row r="558" spans="1:70" ht="15" thickBot="1" x14ac:dyDescent="0.2">
      <c r="A558" s="181" t="s">
        <v>14</v>
      </c>
      <c r="B558" s="182">
        <f>SUM(B550:B557)</f>
        <v>11</v>
      </c>
      <c r="C558" s="183">
        <f>SUM(C550:C557)</f>
        <v>10</v>
      </c>
      <c r="D558" s="183">
        <f>SUM(D550:D557)</f>
        <v>11</v>
      </c>
      <c r="E558" s="184">
        <f>SUM(E550:E557)</f>
        <v>10</v>
      </c>
      <c r="F558" s="77">
        <f t="shared" si="208"/>
        <v>42</v>
      </c>
      <c r="G558" s="182">
        <f>SUM(G550:G557)</f>
        <v>13</v>
      </c>
      <c r="H558" s="183">
        <f>SUM(H550:H557)</f>
        <v>17</v>
      </c>
      <c r="I558" s="183">
        <f>SUM(I550:I557)</f>
        <v>12</v>
      </c>
      <c r="J558" s="184">
        <f>SUM(J550:J557)</f>
        <v>12</v>
      </c>
      <c r="K558" s="77">
        <f t="shared" si="209"/>
        <v>54</v>
      </c>
      <c r="L558" s="182">
        <f>SUM(L550:L557)</f>
        <v>10</v>
      </c>
      <c r="M558" s="183">
        <f>SUM(M550:M557)</f>
        <v>10</v>
      </c>
      <c r="N558" s="183">
        <f>SUM(N550:N557)</f>
        <v>9</v>
      </c>
      <c r="O558" s="184">
        <f>SUM(O550:O557)</f>
        <v>11</v>
      </c>
      <c r="P558" s="77">
        <f t="shared" si="210"/>
        <v>40</v>
      </c>
      <c r="Q558" s="182">
        <f>SUM(Q550:Q557)</f>
        <v>10</v>
      </c>
      <c r="R558" s="183">
        <f>SUM(R550:R557)</f>
        <v>12</v>
      </c>
      <c r="S558" s="183">
        <f>SUM(S550:S557)</f>
        <v>15</v>
      </c>
      <c r="T558" s="184">
        <f>SUM(T550:T557)</f>
        <v>13</v>
      </c>
      <c r="U558" s="182">
        <f t="shared" si="211"/>
        <v>50</v>
      </c>
      <c r="V558" s="77">
        <f t="shared" si="212"/>
        <v>186</v>
      </c>
      <c r="W558" s="325"/>
      <c r="X558" s="326"/>
      <c r="Y558" s="326"/>
      <c r="Z558" s="326"/>
      <c r="AC558" s="275" t="s">
        <v>14</v>
      </c>
      <c r="AD558" s="182">
        <f>SUM(AD550:AD557)</f>
        <v>184</v>
      </c>
      <c r="AE558" s="183">
        <f>SUM(AE550:AE557)</f>
        <v>239</v>
      </c>
      <c r="AF558" s="183">
        <f>SUM(AF550:AF557)</f>
        <v>238</v>
      </c>
      <c r="AG558" s="184">
        <f>SUM(AG550:AG557)</f>
        <v>168</v>
      </c>
      <c r="AH558" s="77">
        <f t="shared" si="216"/>
        <v>829</v>
      </c>
      <c r="AI558" s="182">
        <f>SUM(AI550:AI557)</f>
        <v>228</v>
      </c>
      <c r="AJ558" s="183">
        <f>SUM(AJ550:AJ557)</f>
        <v>372</v>
      </c>
      <c r="AK558" s="183">
        <f>SUM(AK550:AK557)</f>
        <v>225</v>
      </c>
      <c r="AL558" s="184">
        <f>SUM(AL550:AL557)</f>
        <v>237</v>
      </c>
      <c r="AM558" s="77">
        <f t="shared" si="217"/>
        <v>1062</v>
      </c>
      <c r="AN558" s="182">
        <f>SUM(AN550:AN557)</f>
        <v>80</v>
      </c>
      <c r="AO558" s="183">
        <f>SUM(AO550:AO557)</f>
        <v>120</v>
      </c>
      <c r="AP558" s="183">
        <f>SUM(AP550:AP557)</f>
        <v>78</v>
      </c>
      <c r="AQ558" s="184">
        <f>SUM(AQ550:AQ557)</f>
        <v>58</v>
      </c>
      <c r="AR558" s="77">
        <f t="shared" si="222"/>
        <v>336</v>
      </c>
      <c r="AS558" s="182">
        <f>SUM(AS550:AS557)</f>
        <v>187</v>
      </c>
      <c r="AT558" s="183">
        <f>SUM(AT550:AT557)</f>
        <v>277</v>
      </c>
      <c r="AU558" s="183">
        <f>SUM(AU550:AU557)</f>
        <v>193</v>
      </c>
      <c r="AV558" s="184">
        <f>SUM(AV550:AV557)</f>
        <v>170</v>
      </c>
      <c r="AW558" s="182">
        <f t="shared" si="223"/>
        <v>827</v>
      </c>
      <c r="AX558" s="77">
        <f t="shared" si="213"/>
        <v>3054</v>
      </c>
      <c r="AY558" s="325"/>
      <c r="AZ558" s="326"/>
      <c r="BE558" s="275" t="s">
        <v>14</v>
      </c>
      <c r="BF558" s="182">
        <f>SUM(BF550:BF557)</f>
        <v>9</v>
      </c>
      <c r="BG558" s="183">
        <f>SUM(BG550:BG557)</f>
        <v>0</v>
      </c>
      <c r="BH558" s="183">
        <f>SUM(BH550:BH557)</f>
        <v>10</v>
      </c>
      <c r="BI558" s="184">
        <f>SUM(BI550:BI557)</f>
        <v>10</v>
      </c>
      <c r="BJ558" s="77">
        <f t="shared" si="224"/>
        <v>29</v>
      </c>
      <c r="BL558" s="275" t="s">
        <v>14</v>
      </c>
      <c r="BM558" s="182">
        <f>SUM(BM550:BM557)</f>
        <v>16</v>
      </c>
      <c r="BN558" s="183">
        <f>SUM(BN550:BN557)</f>
        <v>0</v>
      </c>
      <c r="BO558" s="183">
        <f>SUM(BO550:BO557)</f>
        <v>47</v>
      </c>
      <c r="BP558" s="184">
        <f>SUM(BP550:BP557)</f>
        <v>19</v>
      </c>
      <c r="BQ558" s="77">
        <f t="shared" si="225"/>
        <v>82</v>
      </c>
    </row>
    <row r="559" spans="1:70" x14ac:dyDescent="0.15">
      <c r="A559" s="53" t="s">
        <v>98</v>
      </c>
      <c r="B559" s="46"/>
      <c r="C559" s="47"/>
      <c r="D559" s="47"/>
      <c r="E559" s="47"/>
      <c r="F559" s="48">
        <f t="shared" si="208"/>
        <v>0</v>
      </c>
      <c r="G559" s="46"/>
      <c r="H559" s="47">
        <f>1+1</f>
        <v>2</v>
      </c>
      <c r="I559" s="47">
        <v>1</v>
      </c>
      <c r="J559" s="47"/>
      <c r="K559" s="48">
        <f t="shared" si="209"/>
        <v>3</v>
      </c>
      <c r="L559" s="46"/>
      <c r="M559" s="47"/>
      <c r="N559" s="47"/>
      <c r="O559" s="47"/>
      <c r="P559" s="48">
        <f t="shared" si="210"/>
        <v>0</v>
      </c>
      <c r="Q559" s="46"/>
      <c r="R559" s="47">
        <v>1</v>
      </c>
      <c r="S559" s="47">
        <v>1</v>
      </c>
      <c r="T559" s="47"/>
      <c r="U559" s="180">
        <f t="shared" si="211"/>
        <v>2</v>
      </c>
      <c r="V559" s="49">
        <f t="shared" si="212"/>
        <v>5</v>
      </c>
      <c r="W559" s="329">
        <v>44697</v>
      </c>
      <c r="X559" s="326"/>
      <c r="Y559" s="326"/>
      <c r="Z559" s="326"/>
      <c r="AC559" s="276" t="s">
        <v>99</v>
      </c>
      <c r="AD559" s="55">
        <v>3</v>
      </c>
      <c r="AE559" s="153">
        <v>3</v>
      </c>
      <c r="AF559" s="153">
        <v>3</v>
      </c>
      <c r="AG559" s="168"/>
      <c r="AH559" s="56">
        <f t="shared" si="216"/>
        <v>9</v>
      </c>
      <c r="AI559" s="55"/>
      <c r="AJ559" s="153"/>
      <c r="AK559" s="153"/>
      <c r="AL559" s="168"/>
      <c r="AM559" s="56">
        <f t="shared" si="217"/>
        <v>0</v>
      </c>
      <c r="AN559" s="55"/>
      <c r="AO559" s="153"/>
      <c r="AP559" s="153"/>
      <c r="AQ559" s="168"/>
      <c r="AR559" s="56">
        <f t="shared" si="222"/>
        <v>0</v>
      </c>
      <c r="AS559" s="55">
        <v>3</v>
      </c>
      <c r="AT559" s="153">
        <v>3</v>
      </c>
      <c r="AU559" s="153">
        <v>3</v>
      </c>
      <c r="AV559" s="168"/>
      <c r="AW559" s="176">
        <f t="shared" si="223"/>
        <v>9</v>
      </c>
      <c r="AX559" s="56">
        <f t="shared" si="213"/>
        <v>18</v>
      </c>
      <c r="AY559" s="329">
        <v>44694</v>
      </c>
      <c r="AZ559" s="326"/>
      <c r="BE559" s="268" t="s">
        <v>98</v>
      </c>
      <c r="BF559" s="55"/>
      <c r="BG559" s="153"/>
      <c r="BH559" s="153">
        <v>1</v>
      </c>
      <c r="BI559" s="168"/>
      <c r="BJ559" s="56">
        <f t="shared" si="224"/>
        <v>1</v>
      </c>
      <c r="BK559" s="304">
        <v>44687</v>
      </c>
      <c r="BL559" s="268" t="s">
        <v>363</v>
      </c>
      <c r="BM559" s="55">
        <v>3</v>
      </c>
      <c r="BN559" s="153"/>
      <c r="BO559" s="153">
        <v>3</v>
      </c>
      <c r="BP559" s="168">
        <v>3</v>
      </c>
      <c r="BQ559" s="56">
        <f t="shared" si="225"/>
        <v>9</v>
      </c>
      <c r="BR559" s="306">
        <v>44699</v>
      </c>
    </row>
    <row r="560" spans="1:70" x14ac:dyDescent="0.15">
      <c r="A560" s="53" t="s">
        <v>100</v>
      </c>
      <c r="B560" s="54"/>
      <c r="C560" s="55"/>
      <c r="D560" s="55"/>
      <c r="E560" s="55"/>
      <c r="F560" s="56">
        <f t="shared" si="208"/>
        <v>0</v>
      </c>
      <c r="G560" s="54">
        <v>1</v>
      </c>
      <c r="H560" s="55"/>
      <c r="I560" s="55"/>
      <c r="J560" s="55"/>
      <c r="K560" s="56">
        <f t="shared" si="209"/>
        <v>1</v>
      </c>
      <c r="L560" s="54"/>
      <c r="M560" s="55"/>
      <c r="N560" s="55"/>
      <c r="O560" s="55"/>
      <c r="P560" s="56">
        <f t="shared" si="210"/>
        <v>0</v>
      </c>
      <c r="Q560" s="54"/>
      <c r="R560" s="55"/>
      <c r="S560" s="55"/>
      <c r="T560" s="55"/>
      <c r="U560" s="176">
        <f t="shared" si="211"/>
        <v>0</v>
      </c>
      <c r="V560" s="56">
        <f t="shared" si="212"/>
        <v>1</v>
      </c>
      <c r="W560" s="329">
        <v>44698</v>
      </c>
      <c r="X560" s="326"/>
      <c r="Y560" s="326"/>
      <c r="Z560" s="326"/>
      <c r="AC560" s="276" t="s">
        <v>361</v>
      </c>
      <c r="AD560" s="54">
        <v>10</v>
      </c>
      <c r="AE560" s="55"/>
      <c r="AF560" s="55"/>
      <c r="AG560" s="55"/>
      <c r="AH560" s="56">
        <f t="shared" si="216"/>
        <v>10</v>
      </c>
      <c r="AI560" s="54"/>
      <c r="AJ560" s="55"/>
      <c r="AK560" s="55"/>
      <c r="AL560" s="55"/>
      <c r="AM560" s="56">
        <f t="shared" si="217"/>
        <v>0</v>
      </c>
      <c r="AN560" s="54"/>
      <c r="AO560" s="55"/>
      <c r="AP560" s="55"/>
      <c r="AQ560" s="55"/>
      <c r="AR560" s="56">
        <f t="shared" si="222"/>
        <v>0</v>
      </c>
      <c r="AS560" s="54"/>
      <c r="AT560" s="55"/>
      <c r="AU560" s="55"/>
      <c r="AV560" s="55"/>
      <c r="AW560" s="176">
        <f t="shared" si="223"/>
        <v>0</v>
      </c>
      <c r="AX560" s="56">
        <f t="shared" si="213"/>
        <v>10</v>
      </c>
      <c r="AY560" s="329">
        <v>44700</v>
      </c>
      <c r="AZ560" s="326"/>
      <c r="BE560" s="268" t="s">
        <v>98</v>
      </c>
      <c r="BF560" s="54">
        <v>1</v>
      </c>
      <c r="BG560" s="55"/>
      <c r="BH560" s="55"/>
      <c r="BI560" s="55"/>
      <c r="BJ560" s="56">
        <f t="shared" si="224"/>
        <v>1</v>
      </c>
      <c r="BK560" s="304">
        <v>44707</v>
      </c>
      <c r="BL560" s="268" t="s">
        <v>99</v>
      </c>
      <c r="BM560" s="54">
        <v>5</v>
      </c>
      <c r="BN560" s="55"/>
      <c r="BO560" s="55">
        <v>5</v>
      </c>
      <c r="BP560" s="55">
        <v>5</v>
      </c>
      <c r="BQ560" s="56">
        <f t="shared" si="225"/>
        <v>15</v>
      </c>
      <c r="BR560" s="306">
        <v>44716</v>
      </c>
    </row>
    <row r="561" spans="1:69" x14ac:dyDescent="0.15">
      <c r="A561" s="53" t="s">
        <v>98</v>
      </c>
      <c r="B561" s="54"/>
      <c r="C561" s="55"/>
      <c r="D561" s="55">
        <v>1</v>
      </c>
      <c r="E561" s="55"/>
      <c r="F561" s="56">
        <f t="shared" si="208"/>
        <v>1</v>
      </c>
      <c r="G561" s="54"/>
      <c r="H561" s="55"/>
      <c r="I561" s="55"/>
      <c r="J561" s="55"/>
      <c r="K561" s="56">
        <f t="shared" si="209"/>
        <v>0</v>
      </c>
      <c r="L561" s="54"/>
      <c r="M561" s="55"/>
      <c r="N561" s="55"/>
      <c r="O561" s="55"/>
      <c r="P561" s="56">
        <f t="shared" si="210"/>
        <v>0</v>
      </c>
      <c r="Q561" s="54"/>
      <c r="R561" s="55"/>
      <c r="S561" s="55"/>
      <c r="T561" s="55"/>
      <c r="U561" s="176">
        <f t="shared" si="211"/>
        <v>0</v>
      </c>
      <c r="V561" s="56">
        <f t="shared" si="212"/>
        <v>1</v>
      </c>
      <c r="W561" s="329">
        <v>44699</v>
      </c>
      <c r="X561" s="326"/>
      <c r="Y561" s="326"/>
      <c r="Z561" s="326"/>
      <c r="AC561" s="276" t="s">
        <v>362</v>
      </c>
      <c r="AD561" s="54"/>
      <c r="AE561" s="55"/>
      <c r="AF561" s="55"/>
      <c r="AG561" s="55"/>
      <c r="AH561" s="56">
        <f t="shared" si="216"/>
        <v>0</v>
      </c>
      <c r="AI561" s="54"/>
      <c r="AJ561" s="55"/>
      <c r="AK561" s="55"/>
      <c r="AL561" s="55"/>
      <c r="AM561" s="56">
        <f t="shared" si="217"/>
        <v>0</v>
      </c>
      <c r="AN561" s="54"/>
      <c r="AO561" s="55"/>
      <c r="AP561" s="55"/>
      <c r="AQ561" s="55"/>
      <c r="AR561" s="56">
        <f t="shared" si="222"/>
        <v>0</v>
      </c>
      <c r="AS561" s="54"/>
      <c r="AT561" s="55">
        <v>7</v>
      </c>
      <c r="AU561" s="55"/>
      <c r="AV561" s="55"/>
      <c r="AW561" s="176">
        <f t="shared" si="223"/>
        <v>7</v>
      </c>
      <c r="AX561" s="56">
        <f t="shared" si="213"/>
        <v>7</v>
      </c>
      <c r="AY561" s="329">
        <v>44700</v>
      </c>
      <c r="AZ561" s="326"/>
      <c r="BE561" s="268" t="s">
        <v>100</v>
      </c>
      <c r="BF561" s="54">
        <v>1</v>
      </c>
      <c r="BG561" s="55"/>
      <c r="BH561" s="55"/>
      <c r="BI561" s="55"/>
      <c r="BJ561" s="56">
        <f t="shared" si="224"/>
        <v>1</v>
      </c>
      <c r="BK561" s="306">
        <v>44719</v>
      </c>
      <c r="BL561" s="276"/>
      <c r="BM561" s="54"/>
      <c r="BN561" s="55"/>
      <c r="BO561" s="55"/>
      <c r="BP561" s="55"/>
      <c r="BQ561" s="56">
        <f t="shared" si="225"/>
        <v>0</v>
      </c>
    </row>
    <row r="562" spans="1:69" x14ac:dyDescent="0.15">
      <c r="A562" s="53" t="s">
        <v>98</v>
      </c>
      <c r="B562" s="54"/>
      <c r="C562" s="55"/>
      <c r="D562" s="55"/>
      <c r="E562" s="55"/>
      <c r="F562" s="56">
        <f t="shared" si="208"/>
        <v>0</v>
      </c>
      <c r="G562" s="54">
        <v>1</v>
      </c>
      <c r="H562" s="55"/>
      <c r="I562" s="55"/>
      <c r="J562" s="55"/>
      <c r="K562" s="56">
        <f t="shared" si="209"/>
        <v>1</v>
      </c>
      <c r="L562" s="54"/>
      <c r="M562" s="55"/>
      <c r="N562" s="55"/>
      <c r="O562" s="55"/>
      <c r="P562" s="56">
        <f t="shared" si="210"/>
        <v>0</v>
      </c>
      <c r="Q562" s="54"/>
      <c r="R562" s="55"/>
      <c r="S562" s="55"/>
      <c r="T562" s="55"/>
      <c r="U562" s="176">
        <f t="shared" si="211"/>
        <v>0</v>
      </c>
      <c r="V562" s="56">
        <f t="shared" si="212"/>
        <v>1</v>
      </c>
      <c r="W562" s="329">
        <v>44702</v>
      </c>
      <c r="X562" s="326"/>
      <c r="Y562" s="326"/>
      <c r="Z562" s="326"/>
      <c r="AC562" s="276" t="s">
        <v>364</v>
      </c>
      <c r="AD562" s="54"/>
      <c r="AE562" s="55"/>
      <c r="AF562" s="55"/>
      <c r="AG562" s="55"/>
      <c r="AH562" s="56">
        <f t="shared" si="216"/>
        <v>0</v>
      </c>
      <c r="AI562" s="54"/>
      <c r="AJ562" s="55">
        <v>10</v>
      </c>
      <c r="AK562" s="55"/>
      <c r="AL562" s="55"/>
      <c r="AM562" s="56">
        <f t="shared" si="217"/>
        <v>10</v>
      </c>
      <c r="AN562" s="54"/>
      <c r="AO562" s="55"/>
      <c r="AP562" s="55"/>
      <c r="AQ562" s="55"/>
      <c r="AR562" s="56">
        <f t="shared" si="222"/>
        <v>0</v>
      </c>
      <c r="AS562" s="54"/>
      <c r="AT562" s="55"/>
      <c r="AU562" s="55"/>
      <c r="AV562" s="55"/>
      <c r="AW562" s="56">
        <f t="shared" si="223"/>
        <v>0</v>
      </c>
      <c r="AX562" s="56">
        <f t="shared" si="213"/>
        <v>10</v>
      </c>
      <c r="AY562" s="329">
        <v>44705</v>
      </c>
      <c r="AZ562" s="326"/>
      <c r="BE562" s="268" t="s">
        <v>98</v>
      </c>
      <c r="BF562" s="54"/>
      <c r="BG562" s="55"/>
      <c r="BH562" s="55">
        <v>1</v>
      </c>
      <c r="BI562" s="55"/>
      <c r="BJ562" s="56">
        <f t="shared" si="224"/>
        <v>1</v>
      </c>
      <c r="BK562" s="304">
        <v>44718</v>
      </c>
      <c r="BL562" s="277"/>
      <c r="BM562" s="54"/>
      <c r="BN562" s="55"/>
      <c r="BO562" s="55"/>
      <c r="BP562" s="55"/>
      <c r="BQ562" s="56">
        <f t="shared" si="225"/>
        <v>0</v>
      </c>
    </row>
    <row r="563" spans="1:69" x14ac:dyDescent="0.15">
      <c r="A563" s="53" t="s">
        <v>100</v>
      </c>
      <c r="B563" s="54"/>
      <c r="C563" s="55"/>
      <c r="D563" s="55"/>
      <c r="E563" s="55"/>
      <c r="F563" s="56">
        <f t="shared" si="208"/>
        <v>0</v>
      </c>
      <c r="G563" s="54"/>
      <c r="H563" s="55"/>
      <c r="I563" s="55">
        <v>1</v>
      </c>
      <c r="J563" s="55"/>
      <c r="K563" s="56">
        <f t="shared" si="209"/>
        <v>1</v>
      </c>
      <c r="L563" s="54"/>
      <c r="M563" s="55"/>
      <c r="N563" s="55"/>
      <c r="O563" s="55"/>
      <c r="P563" s="56">
        <f t="shared" si="210"/>
        <v>0</v>
      </c>
      <c r="Q563" s="54"/>
      <c r="R563" s="55"/>
      <c r="S563" s="55"/>
      <c r="T563" s="55"/>
      <c r="U563" s="176">
        <f t="shared" si="211"/>
        <v>0</v>
      </c>
      <c r="V563" s="56">
        <f t="shared" si="212"/>
        <v>1</v>
      </c>
      <c r="W563" s="329">
        <v>44705</v>
      </c>
      <c r="X563" s="326"/>
      <c r="Y563" s="326"/>
      <c r="Z563" s="326"/>
      <c r="AC563" s="276" t="s">
        <v>365</v>
      </c>
      <c r="AD563" s="51"/>
      <c r="AE563" s="52"/>
      <c r="AF563" s="52"/>
      <c r="AG563" s="52"/>
      <c r="AH563" s="49">
        <f t="shared" si="216"/>
        <v>0</v>
      </c>
      <c r="AI563" s="51"/>
      <c r="AJ563" s="52"/>
      <c r="AK563" s="52"/>
      <c r="AL563" s="52"/>
      <c r="AM563" s="49">
        <f t="shared" si="217"/>
        <v>0</v>
      </c>
      <c r="AN563" s="51"/>
      <c r="AO563" s="52"/>
      <c r="AP563" s="52"/>
      <c r="AQ563" s="52"/>
      <c r="AR563" s="49">
        <f t="shared" si="222"/>
        <v>0</v>
      </c>
      <c r="AS563" s="51"/>
      <c r="AT563" s="52"/>
      <c r="AU563" s="52"/>
      <c r="AV563" s="52">
        <v>5</v>
      </c>
      <c r="AW563" s="175">
        <f t="shared" si="223"/>
        <v>5</v>
      </c>
      <c r="AX563" s="49">
        <f t="shared" si="213"/>
        <v>5</v>
      </c>
      <c r="AY563" s="329">
        <v>44705</v>
      </c>
      <c r="AZ563" s="326"/>
      <c r="BE563" s="277"/>
      <c r="BF563" s="51"/>
      <c r="BG563" s="52"/>
      <c r="BH563" s="52"/>
      <c r="BI563" s="52"/>
      <c r="BJ563" s="49">
        <f t="shared" si="224"/>
        <v>0</v>
      </c>
      <c r="BL563" s="277"/>
      <c r="BM563" s="51"/>
      <c r="BN563" s="52"/>
      <c r="BO563" s="52"/>
      <c r="BP563" s="52"/>
      <c r="BQ563" s="49">
        <f t="shared" si="225"/>
        <v>0</v>
      </c>
    </row>
    <row r="564" spans="1:69" x14ac:dyDescent="0.15">
      <c r="A564" s="53" t="s">
        <v>98</v>
      </c>
      <c r="B564" s="54"/>
      <c r="C564" s="55"/>
      <c r="D564" s="55"/>
      <c r="E564" s="55"/>
      <c r="F564" s="56">
        <f t="shared" si="208"/>
        <v>0</v>
      </c>
      <c r="G564" s="54"/>
      <c r="H564" s="55"/>
      <c r="I564" s="55"/>
      <c r="J564" s="55"/>
      <c r="K564" s="56">
        <f t="shared" si="209"/>
        <v>0</v>
      </c>
      <c r="L564" s="54"/>
      <c r="M564" s="55"/>
      <c r="N564" s="55"/>
      <c r="O564" s="55"/>
      <c r="P564" s="56">
        <f t="shared" si="210"/>
        <v>0</v>
      </c>
      <c r="Q564" s="54"/>
      <c r="R564" s="55"/>
      <c r="S564" s="55">
        <f>1+1</f>
        <v>2</v>
      </c>
      <c r="T564" s="55"/>
      <c r="U564" s="176">
        <f t="shared" si="211"/>
        <v>2</v>
      </c>
      <c r="V564" s="56">
        <f t="shared" si="212"/>
        <v>2</v>
      </c>
      <c r="W564" s="329">
        <v>44704</v>
      </c>
      <c r="X564" s="326"/>
      <c r="Y564" s="326"/>
      <c r="Z564" s="326"/>
      <c r="AC564" s="269" t="s">
        <v>366</v>
      </c>
      <c r="AD564" s="54">
        <v>10</v>
      </c>
      <c r="AE564" s="55">
        <v>10</v>
      </c>
      <c r="AF564" s="55">
        <v>10</v>
      </c>
      <c r="AG564" s="55">
        <v>10</v>
      </c>
      <c r="AH564" s="56">
        <f t="shared" si="216"/>
        <v>40</v>
      </c>
      <c r="AI564" s="54">
        <v>10</v>
      </c>
      <c r="AJ564" s="55">
        <v>10</v>
      </c>
      <c r="AK564" s="55">
        <v>10</v>
      </c>
      <c r="AL564" s="55">
        <v>10</v>
      </c>
      <c r="AM564" s="56">
        <f t="shared" si="217"/>
        <v>40</v>
      </c>
      <c r="AN564" s="54">
        <v>10</v>
      </c>
      <c r="AO564" s="55">
        <v>10</v>
      </c>
      <c r="AP564" s="55">
        <v>10</v>
      </c>
      <c r="AQ564" s="55">
        <v>10</v>
      </c>
      <c r="AR564" s="56">
        <f t="shared" si="222"/>
        <v>40</v>
      </c>
      <c r="AS564" s="54">
        <v>10</v>
      </c>
      <c r="AT564" s="55">
        <v>10</v>
      </c>
      <c r="AU564" s="55">
        <v>10</v>
      </c>
      <c r="AV564" s="55">
        <v>10</v>
      </c>
      <c r="AW564" s="176">
        <f t="shared" si="223"/>
        <v>40</v>
      </c>
      <c r="AX564" s="56">
        <f t="shared" si="213"/>
        <v>160</v>
      </c>
      <c r="AY564" s="329">
        <v>44708</v>
      </c>
      <c r="AZ564" s="326"/>
      <c r="BE564" s="268"/>
      <c r="BF564" s="54"/>
      <c r="BG564" s="55"/>
      <c r="BH564" s="55"/>
      <c r="BI564" s="55"/>
      <c r="BJ564" s="56">
        <f t="shared" si="224"/>
        <v>0</v>
      </c>
      <c r="BL564" s="268"/>
      <c r="BM564" s="54"/>
      <c r="BN564" s="55"/>
      <c r="BO564" s="55"/>
      <c r="BP564" s="55"/>
      <c r="BQ564" s="56">
        <f t="shared" si="225"/>
        <v>0</v>
      </c>
    </row>
    <row r="565" spans="1:69" x14ac:dyDescent="0.15">
      <c r="A565" s="53" t="s">
        <v>98</v>
      </c>
      <c r="B565" s="54"/>
      <c r="C565" s="55"/>
      <c r="D565" s="55"/>
      <c r="E565" s="55"/>
      <c r="F565" s="56">
        <f t="shared" si="208"/>
        <v>0</v>
      </c>
      <c r="G565" s="54"/>
      <c r="H565" s="55"/>
      <c r="I565" s="55"/>
      <c r="J565" s="55">
        <v>1</v>
      </c>
      <c r="K565" s="56">
        <f t="shared" si="209"/>
        <v>1</v>
      </c>
      <c r="L565" s="54">
        <v>1</v>
      </c>
      <c r="M565" s="55"/>
      <c r="N565" s="55"/>
      <c r="O565" s="55"/>
      <c r="P565" s="56">
        <f t="shared" si="210"/>
        <v>1</v>
      </c>
      <c r="Q565" s="54"/>
      <c r="R565" s="55"/>
      <c r="S565" s="55"/>
      <c r="T565" s="55"/>
      <c r="U565" s="176">
        <f t="shared" si="211"/>
        <v>0</v>
      </c>
      <c r="V565" s="56">
        <f t="shared" si="212"/>
        <v>2</v>
      </c>
      <c r="W565" s="329">
        <v>44705</v>
      </c>
      <c r="X565" s="326"/>
      <c r="Y565" s="326"/>
      <c r="Z565" s="326"/>
      <c r="AC565" s="269" t="s">
        <v>367</v>
      </c>
      <c r="AD565" s="54">
        <v>10</v>
      </c>
      <c r="AE565" s="55">
        <v>10</v>
      </c>
      <c r="AF565" s="55">
        <v>10</v>
      </c>
      <c r="AG565" s="55">
        <v>10</v>
      </c>
      <c r="AH565" s="56">
        <f t="shared" si="216"/>
        <v>40</v>
      </c>
      <c r="AI565" s="54">
        <v>10</v>
      </c>
      <c r="AJ565" s="55">
        <v>10</v>
      </c>
      <c r="AK565" s="55">
        <v>10</v>
      </c>
      <c r="AL565" s="55">
        <v>10</v>
      </c>
      <c r="AM565" s="56">
        <f t="shared" si="217"/>
        <v>40</v>
      </c>
      <c r="AN565" s="54">
        <v>10</v>
      </c>
      <c r="AO565" s="55">
        <v>10</v>
      </c>
      <c r="AP565" s="55">
        <v>10</v>
      </c>
      <c r="AQ565" s="55">
        <v>10</v>
      </c>
      <c r="AR565" s="56">
        <f t="shared" si="222"/>
        <v>40</v>
      </c>
      <c r="AS565" s="54">
        <v>10</v>
      </c>
      <c r="AT565" s="55">
        <v>10</v>
      </c>
      <c r="AU565" s="55">
        <v>10</v>
      </c>
      <c r="AV565" s="55">
        <v>10</v>
      </c>
      <c r="AW565" s="176">
        <f t="shared" si="223"/>
        <v>40</v>
      </c>
      <c r="AX565" s="56">
        <f t="shared" si="213"/>
        <v>160</v>
      </c>
      <c r="AY565" s="329">
        <v>44708</v>
      </c>
      <c r="AZ565" s="326"/>
      <c r="BE565" s="268"/>
      <c r="BF565" s="54"/>
      <c r="BG565" s="55"/>
      <c r="BH565" s="55"/>
      <c r="BI565" s="55"/>
      <c r="BJ565" s="56">
        <f t="shared" si="224"/>
        <v>0</v>
      </c>
      <c r="BL565" s="268"/>
      <c r="BM565" s="54"/>
      <c r="BN565" s="55"/>
      <c r="BO565" s="55"/>
      <c r="BP565" s="55"/>
      <c r="BQ565" s="56">
        <f t="shared" si="225"/>
        <v>0</v>
      </c>
    </row>
    <row r="566" spans="1:69" x14ac:dyDescent="0.15">
      <c r="A566" s="53" t="s">
        <v>98</v>
      </c>
      <c r="B566" s="54"/>
      <c r="C566" s="55"/>
      <c r="D566" s="55"/>
      <c r="E566" s="55"/>
      <c r="F566" s="56">
        <f t="shared" si="208"/>
        <v>0</v>
      </c>
      <c r="G566" s="54">
        <v>1</v>
      </c>
      <c r="H566" s="55"/>
      <c r="I566" s="55"/>
      <c r="J566" s="55"/>
      <c r="K566" s="56">
        <f t="shared" si="209"/>
        <v>1</v>
      </c>
      <c r="L566" s="54"/>
      <c r="M566" s="55"/>
      <c r="N566" s="55"/>
      <c r="O566" s="55">
        <v>1</v>
      </c>
      <c r="P566" s="56">
        <f t="shared" si="210"/>
        <v>1</v>
      </c>
      <c r="Q566" s="54">
        <v>1</v>
      </c>
      <c r="R566" s="55"/>
      <c r="S566" s="55"/>
      <c r="T566" s="55">
        <v>1</v>
      </c>
      <c r="U566" s="176">
        <f t="shared" si="211"/>
        <v>2</v>
      </c>
      <c r="V566" s="56">
        <f t="shared" si="212"/>
        <v>4</v>
      </c>
      <c r="W566" s="329">
        <v>44706</v>
      </c>
      <c r="X566" s="326"/>
      <c r="Y566" s="326"/>
      <c r="Z566" s="326"/>
      <c r="AC566" s="276" t="s">
        <v>368</v>
      </c>
      <c r="AD566" s="55"/>
      <c r="AE566" s="55"/>
      <c r="AF566" s="55"/>
      <c r="AG566" s="166"/>
      <c r="AH566" s="49">
        <f t="shared" si="216"/>
        <v>0</v>
      </c>
      <c r="AI566" s="55"/>
      <c r="AJ566" s="55">
        <v>1</v>
      </c>
      <c r="AK566" s="55"/>
      <c r="AL566" s="166"/>
      <c r="AM566" s="49">
        <f t="shared" si="217"/>
        <v>1</v>
      </c>
      <c r="AN566" s="55"/>
      <c r="AO566" s="55"/>
      <c r="AP566" s="55"/>
      <c r="AQ566" s="166"/>
      <c r="AR566" s="49">
        <f t="shared" si="222"/>
        <v>0</v>
      </c>
      <c r="AS566" s="55"/>
      <c r="AT566" s="55"/>
      <c r="AU566" s="55"/>
      <c r="AV566" s="166"/>
      <c r="AW566" s="175">
        <f t="shared" si="223"/>
        <v>0</v>
      </c>
      <c r="AX566" s="56">
        <f t="shared" si="213"/>
        <v>1</v>
      </c>
      <c r="AY566" s="329">
        <v>44702</v>
      </c>
      <c r="AZ566" s="326"/>
      <c r="BE566" s="276"/>
      <c r="BF566" s="55"/>
      <c r="BG566" s="55"/>
      <c r="BH566" s="55"/>
      <c r="BI566" s="166"/>
      <c r="BJ566" s="49">
        <f t="shared" si="224"/>
        <v>0</v>
      </c>
      <c r="BL566" s="276"/>
      <c r="BM566" s="55"/>
      <c r="BN566" s="55"/>
      <c r="BO566" s="55"/>
      <c r="BP566" s="166"/>
      <c r="BQ566" s="49">
        <f t="shared" si="225"/>
        <v>0</v>
      </c>
    </row>
    <row r="567" spans="1:69" x14ac:dyDescent="0.15">
      <c r="A567" s="53" t="s">
        <v>98</v>
      </c>
      <c r="B567" s="17"/>
      <c r="C567" s="18"/>
      <c r="D567" s="18"/>
      <c r="E567" s="18"/>
      <c r="F567" s="30">
        <f t="shared" si="208"/>
        <v>0</v>
      </c>
      <c r="G567" s="17"/>
      <c r="H567" s="18">
        <v>2</v>
      </c>
      <c r="I567" s="18"/>
      <c r="J567" s="18"/>
      <c r="K567" s="30">
        <f t="shared" si="209"/>
        <v>2</v>
      </c>
      <c r="L567" s="17"/>
      <c r="M567" s="18"/>
      <c r="N567" s="18"/>
      <c r="O567" s="18"/>
      <c r="P567" s="30">
        <f t="shared" si="210"/>
        <v>0</v>
      </c>
      <c r="Q567" s="17"/>
      <c r="R567" s="18"/>
      <c r="S567" s="18"/>
      <c r="T567" s="18"/>
      <c r="U567" s="178">
        <f t="shared" si="211"/>
        <v>0</v>
      </c>
      <c r="V567" s="56">
        <f t="shared" si="212"/>
        <v>2</v>
      </c>
      <c r="W567" s="329">
        <v>44707</v>
      </c>
      <c r="X567" s="326"/>
      <c r="Y567" s="326"/>
      <c r="Z567" s="326"/>
      <c r="AC567" s="276" t="s">
        <v>369</v>
      </c>
      <c r="AD567" s="17"/>
      <c r="AE567" s="18"/>
      <c r="AF567" s="18"/>
      <c r="AG567" s="18"/>
      <c r="AH567" s="30">
        <f t="shared" si="216"/>
        <v>0</v>
      </c>
      <c r="AI567" s="17">
        <v>3</v>
      </c>
      <c r="AJ567" s="18">
        <v>3</v>
      </c>
      <c r="AK567" s="18">
        <v>3</v>
      </c>
      <c r="AL567" s="18">
        <v>3</v>
      </c>
      <c r="AM567" s="30">
        <f t="shared" si="217"/>
        <v>12</v>
      </c>
      <c r="AN567" s="17"/>
      <c r="AO567" s="18"/>
      <c r="AP567" s="18"/>
      <c r="AQ567" s="18"/>
      <c r="AR567" s="30">
        <f t="shared" si="222"/>
        <v>0</v>
      </c>
      <c r="AS567" s="17"/>
      <c r="AT567" s="18">
        <v>3</v>
      </c>
      <c r="AU567" s="18"/>
      <c r="AV567" s="18"/>
      <c r="AW567" s="178">
        <f t="shared" si="223"/>
        <v>3</v>
      </c>
      <c r="AX567" s="56">
        <f t="shared" si="213"/>
        <v>15</v>
      </c>
      <c r="AY567" s="329">
        <v>44702</v>
      </c>
      <c r="AZ567" s="326"/>
      <c r="BE567" s="277"/>
      <c r="BF567" s="17"/>
      <c r="BG567" s="18"/>
      <c r="BH567" s="18"/>
      <c r="BI567" s="18"/>
      <c r="BJ567" s="30">
        <f t="shared" si="224"/>
        <v>0</v>
      </c>
      <c r="BL567" s="277"/>
      <c r="BM567" s="17"/>
      <c r="BN567" s="18"/>
      <c r="BO567" s="18"/>
      <c r="BP567" s="18"/>
      <c r="BQ567" s="30">
        <f t="shared" si="225"/>
        <v>0</v>
      </c>
    </row>
    <row r="568" spans="1:69" x14ac:dyDescent="0.15">
      <c r="A568" s="53" t="s">
        <v>98</v>
      </c>
      <c r="B568" s="54"/>
      <c r="C568" s="55"/>
      <c r="D568" s="55"/>
      <c r="E568" s="55"/>
      <c r="F568" s="56">
        <f t="shared" si="208"/>
        <v>0</v>
      </c>
      <c r="G568" s="54"/>
      <c r="H568" s="55"/>
      <c r="I568" s="55"/>
      <c r="J568" s="55"/>
      <c r="K568" s="56">
        <f t="shared" si="209"/>
        <v>0</v>
      </c>
      <c r="L568" s="54"/>
      <c r="M568" s="55"/>
      <c r="N568" s="55"/>
      <c r="O568" s="55"/>
      <c r="P568" s="56">
        <f t="shared" si="210"/>
        <v>0</v>
      </c>
      <c r="Q568" s="54"/>
      <c r="R568" s="55"/>
      <c r="S568" s="55">
        <v>1</v>
      </c>
      <c r="T568" s="55"/>
      <c r="U568" s="176">
        <f t="shared" si="211"/>
        <v>1</v>
      </c>
      <c r="V568" s="56">
        <f t="shared" si="212"/>
        <v>1</v>
      </c>
      <c r="W568" s="329">
        <v>44708</v>
      </c>
      <c r="X568" s="326"/>
      <c r="Y568" s="326"/>
      <c r="Z568" s="326"/>
      <c r="AC568" s="276" t="s">
        <v>370</v>
      </c>
      <c r="AD568" s="54"/>
      <c r="AE568" s="55"/>
      <c r="AF568" s="55"/>
      <c r="AG568" s="55">
        <v>10</v>
      </c>
      <c r="AH568" s="56">
        <f t="shared" si="216"/>
        <v>10</v>
      </c>
      <c r="AI568" s="54"/>
      <c r="AJ568" s="55"/>
      <c r="AK568" s="55"/>
      <c r="AL568" s="55"/>
      <c r="AM568" s="56">
        <f t="shared" si="217"/>
        <v>0</v>
      </c>
      <c r="AN568" s="54"/>
      <c r="AO568" s="55"/>
      <c r="AP568" s="55"/>
      <c r="AQ568" s="55"/>
      <c r="AR568" s="56">
        <f t="shared" si="222"/>
        <v>0</v>
      </c>
      <c r="AS568" s="54"/>
      <c r="AT568" s="55"/>
      <c r="AU568" s="55"/>
      <c r="AV568" s="55"/>
      <c r="AW568" s="176">
        <f t="shared" si="223"/>
        <v>0</v>
      </c>
      <c r="AX568" s="56">
        <f t="shared" si="213"/>
        <v>10</v>
      </c>
      <c r="AY568" s="329">
        <v>44708</v>
      </c>
      <c r="AZ568" s="326"/>
      <c r="BE568" s="276"/>
      <c r="BF568" s="54"/>
      <c r="BG568" s="55"/>
      <c r="BH568" s="55"/>
      <c r="BI568" s="55"/>
      <c r="BJ568" s="56">
        <f t="shared" si="224"/>
        <v>0</v>
      </c>
      <c r="BL568" s="276"/>
      <c r="BM568" s="54"/>
      <c r="BN568" s="55"/>
      <c r="BO568" s="55"/>
      <c r="BP568" s="55"/>
      <c r="BQ568" s="56">
        <f t="shared" si="225"/>
        <v>0</v>
      </c>
    </row>
    <row r="569" spans="1:69" x14ac:dyDescent="0.15">
      <c r="A569" s="53" t="s">
        <v>98</v>
      </c>
      <c r="B569" s="54">
        <v>1</v>
      </c>
      <c r="C569" s="55"/>
      <c r="D569" s="55"/>
      <c r="E569" s="55"/>
      <c r="F569" s="56">
        <f t="shared" si="208"/>
        <v>1</v>
      </c>
      <c r="G569" s="54"/>
      <c r="H569" s="55">
        <v>1</v>
      </c>
      <c r="I569" s="55"/>
      <c r="J569" s="55"/>
      <c r="K569" s="56">
        <f t="shared" si="209"/>
        <v>1</v>
      </c>
      <c r="L569" s="54"/>
      <c r="M569" s="55"/>
      <c r="N569" s="55"/>
      <c r="O569" s="55"/>
      <c r="P569" s="56">
        <f t="shared" si="210"/>
        <v>0</v>
      </c>
      <c r="Q569" s="54"/>
      <c r="R569" s="55"/>
      <c r="S569" s="55"/>
      <c r="T569" s="55"/>
      <c r="U569" s="176">
        <f t="shared" si="211"/>
        <v>0</v>
      </c>
      <c r="V569" s="56">
        <f t="shared" si="212"/>
        <v>2</v>
      </c>
      <c r="W569" s="329">
        <v>44711</v>
      </c>
      <c r="X569" s="326"/>
      <c r="Y569" s="326"/>
      <c r="Z569" s="326"/>
      <c r="AC569" s="276" t="s">
        <v>371</v>
      </c>
      <c r="AD569" s="54">
        <v>5</v>
      </c>
      <c r="AE569" s="55"/>
      <c r="AF569" s="55"/>
      <c r="AG569" s="55"/>
      <c r="AH569" s="56">
        <f t="shared" si="216"/>
        <v>5</v>
      </c>
      <c r="AI569" s="54"/>
      <c r="AJ569" s="55"/>
      <c r="AK569" s="55"/>
      <c r="AL569" s="55"/>
      <c r="AM569" s="56">
        <f t="shared" si="217"/>
        <v>0</v>
      </c>
      <c r="AN569" s="54"/>
      <c r="AO569" s="55"/>
      <c r="AP569" s="55"/>
      <c r="AQ569" s="55"/>
      <c r="AR569" s="56">
        <f t="shared" si="222"/>
        <v>0</v>
      </c>
      <c r="AS569" s="54"/>
      <c r="AT569" s="55"/>
      <c r="AU569" s="55"/>
      <c r="AV569" s="55"/>
      <c r="AW569" s="176">
        <f t="shared" si="223"/>
        <v>0</v>
      </c>
      <c r="AX569" s="56">
        <f t="shared" si="213"/>
        <v>5</v>
      </c>
      <c r="AY569" s="329">
        <v>44708</v>
      </c>
      <c r="AZ569" s="326"/>
      <c r="BE569" s="277"/>
      <c r="BF569" s="54"/>
      <c r="BG569" s="55"/>
      <c r="BH569" s="55"/>
      <c r="BI569" s="55"/>
      <c r="BJ569" s="56">
        <f t="shared" si="224"/>
        <v>0</v>
      </c>
      <c r="BL569" s="277"/>
      <c r="BM569" s="54"/>
      <c r="BN569" s="55"/>
      <c r="BO569" s="55"/>
      <c r="BP569" s="55"/>
      <c r="BQ569" s="56">
        <f t="shared" si="225"/>
        <v>0</v>
      </c>
    </row>
    <row r="570" spans="1:69" x14ac:dyDescent="0.15">
      <c r="A570" s="53" t="s">
        <v>100</v>
      </c>
      <c r="B570" s="54"/>
      <c r="C570" s="55"/>
      <c r="D570" s="55"/>
      <c r="E570" s="55"/>
      <c r="F570" s="56">
        <f t="shared" si="208"/>
        <v>0</v>
      </c>
      <c r="G570" s="54">
        <v>1</v>
      </c>
      <c r="H570" s="55"/>
      <c r="I570" s="55"/>
      <c r="J570" s="55"/>
      <c r="K570" s="56">
        <f t="shared" si="209"/>
        <v>1</v>
      </c>
      <c r="L570" s="54"/>
      <c r="M570" s="55"/>
      <c r="N570" s="55"/>
      <c r="O570" s="55"/>
      <c r="P570" s="56">
        <f t="shared" si="210"/>
        <v>0</v>
      </c>
      <c r="Q570" s="54"/>
      <c r="R570" s="55"/>
      <c r="S570" s="55"/>
      <c r="T570" s="55"/>
      <c r="U570" s="176">
        <f t="shared" si="211"/>
        <v>0</v>
      </c>
      <c r="V570" s="56">
        <f t="shared" si="212"/>
        <v>1</v>
      </c>
      <c r="W570" s="329">
        <v>44713</v>
      </c>
      <c r="X570" s="326"/>
      <c r="Y570" s="326"/>
      <c r="Z570" s="326"/>
      <c r="AC570" s="276" t="s">
        <v>372</v>
      </c>
      <c r="AD570" s="54"/>
      <c r="AE570" s="55"/>
      <c r="AF570" s="55">
        <v>10</v>
      </c>
      <c r="AG570" s="55"/>
      <c r="AH570" s="56">
        <f t="shared" si="216"/>
        <v>10</v>
      </c>
      <c r="AI570" s="54">
        <v>3</v>
      </c>
      <c r="AJ570" s="55">
        <v>4</v>
      </c>
      <c r="AK570" s="55">
        <v>2</v>
      </c>
      <c r="AL570" s="55">
        <v>2</v>
      </c>
      <c r="AM570" s="56">
        <f t="shared" si="217"/>
        <v>11</v>
      </c>
      <c r="AN570" s="54">
        <v>5</v>
      </c>
      <c r="AO570" s="55">
        <v>3</v>
      </c>
      <c r="AP570" s="55">
        <v>3</v>
      </c>
      <c r="AQ570" s="55">
        <v>3</v>
      </c>
      <c r="AR570" s="56">
        <f t="shared" si="222"/>
        <v>14</v>
      </c>
      <c r="AS570" s="54">
        <v>3</v>
      </c>
      <c r="AT570" s="55">
        <v>10</v>
      </c>
      <c r="AU570" s="55">
        <v>6</v>
      </c>
      <c r="AV570" s="55">
        <v>3</v>
      </c>
      <c r="AW570" s="176">
        <f t="shared" si="223"/>
        <v>22</v>
      </c>
      <c r="AX570" s="56">
        <f t="shared" si="213"/>
        <v>57</v>
      </c>
      <c r="AY570" s="329">
        <v>44708</v>
      </c>
      <c r="AZ570" s="326"/>
      <c r="BE570" s="276"/>
      <c r="BF570" s="54"/>
      <c r="BG570" s="55"/>
      <c r="BH570" s="55"/>
      <c r="BI570" s="55"/>
      <c r="BJ570" s="56">
        <f t="shared" si="224"/>
        <v>0</v>
      </c>
      <c r="BL570" s="276"/>
      <c r="BM570" s="54"/>
      <c r="BN570" s="55"/>
      <c r="BO570" s="55"/>
      <c r="BP570" s="55"/>
      <c r="BQ570" s="56">
        <f t="shared" si="225"/>
        <v>0</v>
      </c>
    </row>
    <row r="571" spans="1:69" x14ac:dyDescent="0.15">
      <c r="A571" s="53" t="s">
        <v>98</v>
      </c>
      <c r="B571" s="54"/>
      <c r="C571" s="55"/>
      <c r="D571" s="55"/>
      <c r="E571" s="55"/>
      <c r="F571" s="56">
        <f t="shared" si="208"/>
        <v>0</v>
      </c>
      <c r="G571" s="54"/>
      <c r="H571" s="55">
        <f>1+1</f>
        <v>2</v>
      </c>
      <c r="I571" s="55">
        <v>1</v>
      </c>
      <c r="J571" s="55"/>
      <c r="K571" s="56">
        <f t="shared" si="209"/>
        <v>3</v>
      </c>
      <c r="L571" s="54"/>
      <c r="M571" s="55"/>
      <c r="N571" s="55"/>
      <c r="O571" s="55"/>
      <c r="P571" s="56">
        <f t="shared" si="210"/>
        <v>0</v>
      </c>
      <c r="Q571" s="54"/>
      <c r="R571" s="55"/>
      <c r="S571" s="55"/>
      <c r="T571" s="55">
        <v>2</v>
      </c>
      <c r="U571" s="176">
        <f t="shared" si="211"/>
        <v>2</v>
      </c>
      <c r="V571" s="56">
        <f t="shared" si="212"/>
        <v>5</v>
      </c>
      <c r="W571" s="329">
        <v>44712</v>
      </c>
      <c r="X571" s="326"/>
      <c r="Y571" s="326"/>
      <c r="Z571" s="326"/>
      <c r="AC571" s="276" t="s">
        <v>99</v>
      </c>
      <c r="AD571" s="63"/>
      <c r="AE571" s="63"/>
      <c r="AF571" s="63"/>
      <c r="AG571" s="167"/>
      <c r="AH571" s="64">
        <f t="shared" si="216"/>
        <v>0</v>
      </c>
      <c r="AI571" s="63"/>
      <c r="AJ571" s="63"/>
      <c r="AK571" s="63"/>
      <c r="AL571" s="167"/>
      <c r="AM571" s="64">
        <f t="shared" si="217"/>
        <v>0</v>
      </c>
      <c r="AN571" s="63"/>
      <c r="AO571" s="63"/>
      <c r="AP571" s="63"/>
      <c r="AQ571" s="167">
        <v>3</v>
      </c>
      <c r="AR571" s="64">
        <f t="shared" si="222"/>
        <v>3</v>
      </c>
      <c r="AS571" s="63"/>
      <c r="AT571" s="63"/>
      <c r="AU571" s="63"/>
      <c r="AV571" s="167"/>
      <c r="AW571" s="162">
        <f t="shared" si="223"/>
        <v>0</v>
      </c>
      <c r="AX571" s="56">
        <f t="shared" si="213"/>
        <v>3</v>
      </c>
      <c r="AY571" s="329">
        <v>44707</v>
      </c>
      <c r="AZ571" s="326"/>
      <c r="BE571" s="277"/>
      <c r="BF571" s="54"/>
      <c r="BG571" s="55"/>
      <c r="BH571" s="55"/>
      <c r="BI571" s="55"/>
      <c r="BJ571" s="56">
        <f t="shared" si="224"/>
        <v>0</v>
      </c>
      <c r="BL571" s="277"/>
      <c r="BM571" s="54"/>
      <c r="BN571" s="55"/>
      <c r="BO571" s="55"/>
      <c r="BP571" s="55"/>
      <c r="BQ571" s="56">
        <f t="shared" si="225"/>
        <v>0</v>
      </c>
    </row>
    <row r="572" spans="1:69" x14ac:dyDescent="0.15">
      <c r="A572" s="53" t="s">
        <v>98</v>
      </c>
      <c r="B572" s="54"/>
      <c r="C572" s="55"/>
      <c r="D572" s="55"/>
      <c r="E572" s="55"/>
      <c r="F572" s="56">
        <f t="shared" si="208"/>
        <v>0</v>
      </c>
      <c r="G572" s="54"/>
      <c r="H572" s="55">
        <v>1</v>
      </c>
      <c r="I572" s="55"/>
      <c r="J572" s="55"/>
      <c r="K572" s="56">
        <f t="shared" si="209"/>
        <v>1</v>
      </c>
      <c r="L572" s="54"/>
      <c r="M572" s="55"/>
      <c r="N572" s="55"/>
      <c r="O572" s="55"/>
      <c r="P572" s="56">
        <f t="shared" si="210"/>
        <v>0</v>
      </c>
      <c r="Q572" s="54"/>
      <c r="R572" s="55"/>
      <c r="S572" s="55"/>
      <c r="T572" s="55"/>
      <c r="U572" s="176">
        <f t="shared" si="211"/>
        <v>0</v>
      </c>
      <c r="V572" s="56">
        <f t="shared" si="212"/>
        <v>1</v>
      </c>
      <c r="W572" s="329">
        <v>44714</v>
      </c>
      <c r="X572" s="326"/>
      <c r="Y572" s="326"/>
      <c r="Z572" s="326"/>
      <c r="AC572" s="276" t="s">
        <v>373</v>
      </c>
      <c r="AD572" s="54"/>
      <c r="AE572" s="55"/>
      <c r="AF572" s="55"/>
      <c r="AG572" s="55"/>
      <c r="AH572" s="56">
        <f t="shared" si="216"/>
        <v>0</v>
      </c>
      <c r="AI572" s="54"/>
      <c r="AJ572" s="55"/>
      <c r="AK572" s="55"/>
      <c r="AL572" s="55"/>
      <c r="AM572" s="56">
        <f t="shared" si="217"/>
        <v>0</v>
      </c>
      <c r="AN572" s="54"/>
      <c r="AO572" s="55"/>
      <c r="AP572" s="55"/>
      <c r="AQ572" s="55"/>
      <c r="AR572" s="56">
        <f t="shared" si="222"/>
        <v>0</v>
      </c>
      <c r="AS572" s="54">
        <v>10</v>
      </c>
      <c r="AT572" s="55"/>
      <c r="AU572" s="55">
        <v>10</v>
      </c>
      <c r="AV572" s="55"/>
      <c r="AW572" s="176">
        <f t="shared" si="223"/>
        <v>20</v>
      </c>
      <c r="AX572" s="56">
        <f t="shared" si="213"/>
        <v>20</v>
      </c>
      <c r="AY572" s="329">
        <v>44711</v>
      </c>
      <c r="AZ572" s="326"/>
      <c r="BE572" s="276"/>
      <c r="BF572" s="54"/>
      <c r="BG572" s="55"/>
      <c r="BH572" s="55"/>
      <c r="BI572" s="55"/>
      <c r="BJ572" s="56">
        <f t="shared" si="224"/>
        <v>0</v>
      </c>
      <c r="BL572" s="276"/>
      <c r="BM572" s="54"/>
      <c r="BN572" s="55"/>
      <c r="BO572" s="55"/>
      <c r="BP572" s="55"/>
      <c r="BQ572" s="56">
        <f t="shared" si="225"/>
        <v>0</v>
      </c>
    </row>
    <row r="573" spans="1:69" x14ac:dyDescent="0.15">
      <c r="A573" s="53" t="s">
        <v>98</v>
      </c>
      <c r="B573" s="54"/>
      <c r="C573" s="55"/>
      <c r="D573" s="55"/>
      <c r="E573" s="55"/>
      <c r="F573" s="56">
        <f t="shared" si="208"/>
        <v>0</v>
      </c>
      <c r="G573" s="54"/>
      <c r="H573" s="55"/>
      <c r="I573" s="55"/>
      <c r="J573" s="55"/>
      <c r="K573" s="56">
        <f t="shared" si="209"/>
        <v>0</v>
      </c>
      <c r="L573" s="54"/>
      <c r="M573" s="55"/>
      <c r="N573" s="55"/>
      <c r="O573" s="55"/>
      <c r="P573" s="56">
        <f t="shared" si="210"/>
        <v>0</v>
      </c>
      <c r="Q573" s="54"/>
      <c r="R573" s="55"/>
      <c r="S573" s="55">
        <v>1</v>
      </c>
      <c r="T573" s="55">
        <v>1</v>
      </c>
      <c r="U573" s="176">
        <f t="shared" si="211"/>
        <v>2</v>
      </c>
      <c r="V573" s="56">
        <f t="shared" si="212"/>
        <v>2</v>
      </c>
      <c r="W573" s="329">
        <v>44716</v>
      </c>
      <c r="X573" s="326"/>
      <c r="Y573" s="326"/>
      <c r="Z573" s="326"/>
      <c r="AC573" s="276" t="s">
        <v>374</v>
      </c>
      <c r="AD573" s="55"/>
      <c r="AE573" s="55"/>
      <c r="AF573" s="55"/>
      <c r="AG573" s="166"/>
      <c r="AH573" s="49">
        <f t="shared" si="216"/>
        <v>0</v>
      </c>
      <c r="AI573" s="55">
        <v>5</v>
      </c>
      <c r="AJ573" s="55"/>
      <c r="AK573" s="55">
        <v>3</v>
      </c>
      <c r="AL573" s="166"/>
      <c r="AM573" s="49">
        <f t="shared" si="217"/>
        <v>8</v>
      </c>
      <c r="AN573" s="55"/>
      <c r="AO573" s="55"/>
      <c r="AP573" s="55"/>
      <c r="AQ573" s="166"/>
      <c r="AR573" s="49">
        <f t="shared" si="222"/>
        <v>0</v>
      </c>
      <c r="AS573" s="55"/>
      <c r="AT573" s="55"/>
      <c r="AU573" s="55"/>
      <c r="AV573" s="166"/>
      <c r="AW573" s="175">
        <f t="shared" si="223"/>
        <v>0</v>
      </c>
      <c r="AX573" s="56">
        <f t="shared" si="213"/>
        <v>8</v>
      </c>
      <c r="AY573" s="329">
        <v>44715</v>
      </c>
      <c r="AZ573" s="326"/>
      <c r="BE573" s="277"/>
      <c r="BF573" s="55"/>
      <c r="BG573" s="55"/>
      <c r="BH573" s="55"/>
      <c r="BI573" s="166"/>
      <c r="BJ573" s="49">
        <f t="shared" si="224"/>
        <v>0</v>
      </c>
      <c r="BL573" s="277"/>
      <c r="BM573" s="55"/>
      <c r="BN573" s="55"/>
      <c r="BO573" s="55"/>
      <c r="BP573" s="166"/>
      <c r="BQ573" s="49">
        <f t="shared" si="225"/>
        <v>0</v>
      </c>
    </row>
    <row r="574" spans="1:69" x14ac:dyDescent="0.15">
      <c r="A574" s="53" t="s">
        <v>100</v>
      </c>
      <c r="B574" s="54"/>
      <c r="C574" s="55"/>
      <c r="D574" s="55"/>
      <c r="E574" s="55"/>
      <c r="F574" s="56">
        <f t="shared" si="208"/>
        <v>0</v>
      </c>
      <c r="G574" s="54">
        <v>1</v>
      </c>
      <c r="H574" s="55"/>
      <c r="I574" s="55"/>
      <c r="J574" s="55"/>
      <c r="K574" s="56">
        <f t="shared" si="209"/>
        <v>1</v>
      </c>
      <c r="L574" s="54"/>
      <c r="M574" s="55"/>
      <c r="N574" s="55"/>
      <c r="O574" s="55"/>
      <c r="P574" s="56">
        <f t="shared" si="210"/>
        <v>0</v>
      </c>
      <c r="Q574" s="54"/>
      <c r="R574" s="55"/>
      <c r="S574" s="55"/>
      <c r="T574" s="55"/>
      <c r="U574" s="176">
        <f t="shared" si="211"/>
        <v>0</v>
      </c>
      <c r="V574" s="56">
        <f t="shared" si="212"/>
        <v>1</v>
      </c>
      <c r="W574" s="329">
        <v>44719</v>
      </c>
      <c r="X574" s="326"/>
      <c r="Y574" s="326"/>
      <c r="Z574" s="326"/>
      <c r="AC574" s="276" t="s">
        <v>375</v>
      </c>
      <c r="AD574" s="54"/>
      <c r="AE574" s="55"/>
      <c r="AF574" s="55"/>
      <c r="AG574" s="55"/>
      <c r="AH574" s="56">
        <f t="shared" si="216"/>
        <v>0</v>
      </c>
      <c r="AI574" s="54"/>
      <c r="AJ574" s="55"/>
      <c r="AK574" s="55"/>
      <c r="AL574" s="55"/>
      <c r="AM574" s="56">
        <f t="shared" si="217"/>
        <v>0</v>
      </c>
      <c r="AN574" s="54"/>
      <c r="AO574" s="55"/>
      <c r="AP574" s="55"/>
      <c r="AQ574" s="55"/>
      <c r="AR574" s="56">
        <f t="shared" si="222"/>
        <v>0</v>
      </c>
      <c r="AS574" s="54"/>
      <c r="AT574" s="55">
        <v>10</v>
      </c>
      <c r="AU574" s="55">
        <v>5</v>
      </c>
      <c r="AV574" s="55">
        <v>5</v>
      </c>
      <c r="AW574" s="176">
        <f t="shared" si="223"/>
        <v>20</v>
      </c>
      <c r="AX574" s="56">
        <f t="shared" si="213"/>
        <v>20</v>
      </c>
      <c r="AY574" s="329">
        <v>44727</v>
      </c>
      <c r="AZ574" s="326"/>
      <c r="BE574" s="277"/>
      <c r="BF574" s="54"/>
      <c r="BG574" s="55"/>
      <c r="BH574" s="55"/>
      <c r="BI574" s="55"/>
      <c r="BJ574" s="56">
        <f t="shared" si="224"/>
        <v>0</v>
      </c>
      <c r="BL574" s="277"/>
      <c r="BM574" s="54"/>
      <c r="BN574" s="55"/>
      <c r="BO574" s="55"/>
      <c r="BP574" s="55"/>
      <c r="BQ574" s="56">
        <f t="shared" si="225"/>
        <v>0</v>
      </c>
    </row>
    <row r="575" spans="1:69" x14ac:dyDescent="0.15">
      <c r="A575" s="53" t="s">
        <v>98</v>
      </c>
      <c r="B575" s="54">
        <v>1</v>
      </c>
      <c r="C575" s="55">
        <v>3</v>
      </c>
      <c r="D575" s="55">
        <v>1</v>
      </c>
      <c r="E575" s="55"/>
      <c r="F575" s="56">
        <f t="shared" si="208"/>
        <v>5</v>
      </c>
      <c r="G575" s="54">
        <v>3</v>
      </c>
      <c r="H575" s="55">
        <v>6</v>
      </c>
      <c r="I575" s="55">
        <v>2</v>
      </c>
      <c r="J575" s="55">
        <v>1</v>
      </c>
      <c r="K575" s="56">
        <f t="shared" si="209"/>
        <v>12</v>
      </c>
      <c r="L575" s="54"/>
      <c r="M575" s="55"/>
      <c r="N575" s="55"/>
      <c r="O575" s="55"/>
      <c r="P575" s="56">
        <f t="shared" si="210"/>
        <v>0</v>
      </c>
      <c r="Q575" s="54">
        <v>2</v>
      </c>
      <c r="R575" s="55">
        <v>2</v>
      </c>
      <c r="S575" s="55">
        <v>1</v>
      </c>
      <c r="T575" s="55">
        <v>2</v>
      </c>
      <c r="U575" s="176">
        <f t="shared" si="211"/>
        <v>7</v>
      </c>
      <c r="V575" s="56">
        <f t="shared" si="212"/>
        <v>24</v>
      </c>
      <c r="W575" s="329">
        <v>44718</v>
      </c>
      <c r="X575" s="326"/>
      <c r="Y575" s="326"/>
      <c r="Z575" s="326"/>
      <c r="AC575" s="276" t="s">
        <v>99</v>
      </c>
      <c r="AD575" s="54"/>
      <c r="AE575" s="55"/>
      <c r="AF575" s="55"/>
      <c r="AG575" s="55"/>
      <c r="AH575" s="56">
        <f t="shared" si="216"/>
        <v>0</v>
      </c>
      <c r="AI575" s="54"/>
      <c r="AJ575" s="55">
        <v>3</v>
      </c>
      <c r="AK575" s="55"/>
      <c r="AL575" s="55"/>
      <c r="AM575" s="56">
        <f t="shared" si="217"/>
        <v>3</v>
      </c>
      <c r="AN575" s="54"/>
      <c r="AO575" s="55"/>
      <c r="AP575" s="55"/>
      <c r="AQ575" s="55"/>
      <c r="AR575" s="56">
        <f t="shared" si="222"/>
        <v>0</v>
      </c>
      <c r="AS575" s="54"/>
      <c r="AT575" s="55"/>
      <c r="AU575" s="55">
        <v>3</v>
      </c>
      <c r="AV575" s="55">
        <v>3</v>
      </c>
      <c r="AW575" s="176">
        <f t="shared" si="223"/>
        <v>6</v>
      </c>
      <c r="AX575" s="56">
        <f t="shared" si="213"/>
        <v>9</v>
      </c>
      <c r="AY575" s="329">
        <v>44714</v>
      </c>
      <c r="AZ575" s="326"/>
      <c r="BE575" s="276"/>
      <c r="BF575" s="54"/>
      <c r="BG575" s="55"/>
      <c r="BH575" s="55"/>
      <c r="BI575" s="55"/>
      <c r="BJ575" s="56">
        <f t="shared" si="224"/>
        <v>0</v>
      </c>
      <c r="BL575" s="276"/>
      <c r="BM575" s="54"/>
      <c r="BN575" s="55"/>
      <c r="BO575" s="55"/>
      <c r="BP575" s="55"/>
      <c r="BQ575" s="56">
        <f t="shared" si="225"/>
        <v>0</v>
      </c>
    </row>
    <row r="576" spans="1:69" x14ac:dyDescent="0.15">
      <c r="A576" s="53" t="s">
        <v>100</v>
      </c>
      <c r="B576" s="54"/>
      <c r="C576" s="55"/>
      <c r="D576" s="55"/>
      <c r="E576" s="55"/>
      <c r="F576" s="56">
        <f t="shared" si="208"/>
        <v>0</v>
      </c>
      <c r="G576" s="54">
        <v>1</v>
      </c>
      <c r="H576" s="55"/>
      <c r="I576" s="55"/>
      <c r="J576" s="55"/>
      <c r="K576" s="56">
        <f t="shared" si="209"/>
        <v>1</v>
      </c>
      <c r="L576" s="54"/>
      <c r="M576" s="55"/>
      <c r="N576" s="55"/>
      <c r="O576" s="55"/>
      <c r="P576" s="56">
        <f t="shared" si="210"/>
        <v>0</v>
      </c>
      <c r="Q576" s="54"/>
      <c r="R576" s="55"/>
      <c r="S576" s="55"/>
      <c r="T576" s="55"/>
      <c r="U576" s="176">
        <f t="shared" si="211"/>
        <v>0</v>
      </c>
      <c r="V576" s="56">
        <f t="shared" si="212"/>
        <v>1</v>
      </c>
      <c r="W576" s="329">
        <v>44720</v>
      </c>
      <c r="X576" s="326"/>
      <c r="Y576" s="326"/>
      <c r="Z576" s="326"/>
      <c r="AC576" s="276" t="s">
        <v>376</v>
      </c>
      <c r="AD576" s="63"/>
      <c r="AE576" s="63"/>
      <c r="AF576" s="63"/>
      <c r="AG576" s="167"/>
      <c r="AH576" s="64">
        <f t="shared" si="216"/>
        <v>0</v>
      </c>
      <c r="AI576" s="63">
        <v>3</v>
      </c>
      <c r="AJ576" s="63"/>
      <c r="AK576" s="63">
        <v>3</v>
      </c>
      <c r="AL576" s="167"/>
      <c r="AM576" s="64">
        <f t="shared" si="217"/>
        <v>6</v>
      </c>
      <c r="AN576" s="63"/>
      <c r="AO576" s="63"/>
      <c r="AP576" s="63"/>
      <c r="AQ576" s="167"/>
      <c r="AR576" s="64">
        <f t="shared" si="222"/>
        <v>0</v>
      </c>
      <c r="AS576" s="63"/>
      <c r="AT576" s="63"/>
      <c r="AU576" s="63"/>
      <c r="AV576" s="167"/>
      <c r="AW576" s="162">
        <f t="shared" si="223"/>
        <v>0</v>
      </c>
      <c r="AX576" s="56">
        <f t="shared" si="213"/>
        <v>6</v>
      </c>
      <c r="AY576" s="329">
        <v>44720</v>
      </c>
      <c r="AZ576" s="326"/>
      <c r="BE576" s="276"/>
      <c r="BF576" s="63"/>
      <c r="BG576" s="63"/>
      <c r="BH576" s="63"/>
      <c r="BI576" s="167"/>
      <c r="BJ576" s="64">
        <f t="shared" si="224"/>
        <v>0</v>
      </c>
      <c r="BL576" s="276"/>
      <c r="BM576" s="63"/>
      <c r="BN576" s="63"/>
      <c r="BO576" s="63"/>
      <c r="BP576" s="167"/>
      <c r="BQ576" s="64">
        <f t="shared" si="225"/>
        <v>0</v>
      </c>
    </row>
    <row r="577" spans="1:69" x14ac:dyDescent="0.15">
      <c r="A577" s="53" t="s">
        <v>98</v>
      </c>
      <c r="B577" s="54"/>
      <c r="C577" s="55"/>
      <c r="D577" s="55"/>
      <c r="E577" s="55"/>
      <c r="F577" s="56">
        <f t="shared" si="208"/>
        <v>0</v>
      </c>
      <c r="G577" s="54">
        <v>1</v>
      </c>
      <c r="H577" s="55"/>
      <c r="I577" s="55"/>
      <c r="J577" s="55"/>
      <c r="K577" s="56">
        <f t="shared" si="209"/>
        <v>1</v>
      </c>
      <c r="L577" s="54"/>
      <c r="M577" s="55"/>
      <c r="N577" s="55"/>
      <c r="O577" s="55"/>
      <c r="P577" s="56">
        <f t="shared" si="210"/>
        <v>0</v>
      </c>
      <c r="Q577" s="54">
        <f>1+1</f>
        <v>2</v>
      </c>
      <c r="R577" s="55"/>
      <c r="S577" s="55">
        <v>1</v>
      </c>
      <c r="T577" s="55"/>
      <c r="U577" s="176">
        <f t="shared" si="211"/>
        <v>3</v>
      </c>
      <c r="V577" s="56">
        <f t="shared" si="212"/>
        <v>4</v>
      </c>
      <c r="W577" s="329">
        <v>44719</v>
      </c>
      <c r="X577" s="326"/>
      <c r="Y577" s="326"/>
      <c r="Z577" s="326"/>
      <c r="AC577" s="276" t="s">
        <v>99</v>
      </c>
      <c r="AD577" s="54">
        <v>5</v>
      </c>
      <c r="AE577" s="55">
        <v>5</v>
      </c>
      <c r="AF577" s="55">
        <v>5</v>
      </c>
      <c r="AG577" s="55">
        <v>5</v>
      </c>
      <c r="AH577" s="56">
        <f t="shared" si="216"/>
        <v>20</v>
      </c>
      <c r="AI577" s="54">
        <v>5</v>
      </c>
      <c r="AJ577" s="55">
        <v>5</v>
      </c>
      <c r="AK577" s="55">
        <v>5</v>
      </c>
      <c r="AL577" s="55">
        <v>5</v>
      </c>
      <c r="AM577" s="56">
        <f t="shared" si="217"/>
        <v>20</v>
      </c>
      <c r="AN577" s="54">
        <v>5</v>
      </c>
      <c r="AO577" s="55">
        <v>5</v>
      </c>
      <c r="AP577" s="55">
        <v>5</v>
      </c>
      <c r="AQ577" s="55">
        <v>5</v>
      </c>
      <c r="AR577" s="56">
        <f t="shared" si="222"/>
        <v>20</v>
      </c>
      <c r="AS577" s="54">
        <v>5</v>
      </c>
      <c r="AT577" s="55">
        <v>5</v>
      </c>
      <c r="AU577" s="55">
        <v>5</v>
      </c>
      <c r="AV577" s="55">
        <v>5</v>
      </c>
      <c r="AW577" s="176">
        <f t="shared" si="223"/>
        <v>20</v>
      </c>
      <c r="AX577" s="56">
        <f t="shared" si="213"/>
        <v>80</v>
      </c>
      <c r="AY577" s="329">
        <v>44718</v>
      </c>
      <c r="AZ577" s="326"/>
      <c r="BE577" s="277"/>
      <c r="BF577" s="54"/>
      <c r="BG577" s="55"/>
      <c r="BH577" s="55"/>
      <c r="BI577" s="55"/>
      <c r="BJ577" s="56">
        <f t="shared" si="224"/>
        <v>0</v>
      </c>
      <c r="BL577" s="277"/>
      <c r="BM577" s="54"/>
      <c r="BN577" s="55"/>
      <c r="BO577" s="55"/>
      <c r="BP577" s="55"/>
      <c r="BQ577" s="56">
        <f t="shared" si="225"/>
        <v>0</v>
      </c>
    </row>
    <row r="578" spans="1:69" x14ac:dyDescent="0.15">
      <c r="A578" s="53" t="s">
        <v>98</v>
      </c>
      <c r="B578" s="17"/>
      <c r="C578" s="18"/>
      <c r="D578" s="18"/>
      <c r="E578" s="18"/>
      <c r="F578" s="30">
        <f t="shared" si="208"/>
        <v>0</v>
      </c>
      <c r="G578" s="17"/>
      <c r="H578" s="18"/>
      <c r="I578" s="18"/>
      <c r="J578" s="18">
        <v>1</v>
      </c>
      <c r="K578" s="30">
        <f t="shared" si="209"/>
        <v>1</v>
      </c>
      <c r="L578" s="17">
        <v>1</v>
      </c>
      <c r="M578" s="18"/>
      <c r="N578" s="18"/>
      <c r="O578" s="18"/>
      <c r="P578" s="30">
        <f t="shared" si="210"/>
        <v>1</v>
      </c>
      <c r="Q578" s="17"/>
      <c r="R578" s="18">
        <v>1</v>
      </c>
      <c r="S578" s="18"/>
      <c r="T578" s="18"/>
      <c r="U578" s="178">
        <f t="shared" si="211"/>
        <v>1</v>
      </c>
      <c r="V578" s="56">
        <f t="shared" si="212"/>
        <v>3</v>
      </c>
      <c r="W578" s="329">
        <v>44720</v>
      </c>
      <c r="X578" s="326"/>
      <c r="Y578" s="326"/>
      <c r="Z578" s="326"/>
      <c r="AC578" s="276" t="s">
        <v>377</v>
      </c>
      <c r="AD578" s="54"/>
      <c r="AE578" s="55">
        <v>3</v>
      </c>
      <c r="AF578" s="55"/>
      <c r="AG578" s="55"/>
      <c r="AH578" s="56">
        <f t="shared" si="216"/>
        <v>3</v>
      </c>
      <c r="AI578" s="54">
        <v>3</v>
      </c>
      <c r="AJ578" s="55"/>
      <c r="AK578" s="55"/>
      <c r="AL578" s="55"/>
      <c r="AM578" s="56">
        <f t="shared" si="217"/>
        <v>3</v>
      </c>
      <c r="AN578" s="54"/>
      <c r="AO578" s="55"/>
      <c r="AP578" s="55"/>
      <c r="AQ578" s="55"/>
      <c r="AR578" s="56">
        <f t="shared" si="222"/>
        <v>0</v>
      </c>
      <c r="AS578" s="54"/>
      <c r="AT578" s="55">
        <v>5</v>
      </c>
      <c r="AU578" s="55"/>
      <c r="AV578" s="55">
        <v>3</v>
      </c>
      <c r="AW578" s="176">
        <f t="shared" si="223"/>
        <v>8</v>
      </c>
      <c r="AX578" s="56">
        <f t="shared" si="213"/>
        <v>14</v>
      </c>
      <c r="AY578" s="329">
        <v>44722</v>
      </c>
      <c r="AZ578" s="326"/>
      <c r="BE578" s="276"/>
      <c r="BF578" s="54"/>
      <c r="BG578" s="55"/>
      <c r="BH578" s="55"/>
      <c r="BI578" s="55"/>
      <c r="BJ578" s="56">
        <f t="shared" si="224"/>
        <v>0</v>
      </c>
      <c r="BL578" s="276"/>
      <c r="BM578" s="54"/>
      <c r="BN578" s="55"/>
      <c r="BO578" s="55"/>
      <c r="BP578" s="55"/>
      <c r="BQ578" s="56">
        <f t="shared" si="225"/>
        <v>0</v>
      </c>
    </row>
    <row r="579" spans="1:69" x14ac:dyDescent="0.15">
      <c r="A579" s="53" t="s">
        <v>98</v>
      </c>
      <c r="B579" s="54"/>
      <c r="C579" s="55"/>
      <c r="D579" s="55"/>
      <c r="E579" s="55"/>
      <c r="F579" s="56">
        <f t="shared" si="208"/>
        <v>0</v>
      </c>
      <c r="G579" s="54"/>
      <c r="H579" s="55"/>
      <c r="I579" s="55"/>
      <c r="J579" s="55"/>
      <c r="K579" s="56">
        <f t="shared" si="209"/>
        <v>0</v>
      </c>
      <c r="L579" s="54"/>
      <c r="M579" s="55"/>
      <c r="N579" s="55"/>
      <c r="O579" s="55"/>
      <c r="P579" s="56">
        <f t="shared" si="210"/>
        <v>0</v>
      </c>
      <c r="Q579" s="54"/>
      <c r="R579" s="55">
        <v>1</v>
      </c>
      <c r="S579" s="55"/>
      <c r="T579" s="55"/>
      <c r="U579" s="176">
        <f t="shared" si="211"/>
        <v>1</v>
      </c>
      <c r="V579" s="56">
        <f t="shared" si="212"/>
        <v>1</v>
      </c>
      <c r="W579" s="329">
        <v>44721</v>
      </c>
      <c r="X579" s="326"/>
      <c r="Y579" s="326"/>
      <c r="Z579" s="326"/>
      <c r="AC579" s="276" t="s">
        <v>378</v>
      </c>
      <c r="AD579" s="54">
        <v>10</v>
      </c>
      <c r="AE579" s="55">
        <v>5</v>
      </c>
      <c r="AF579" s="55">
        <v>5</v>
      </c>
      <c r="AG579" s="55">
        <v>5</v>
      </c>
      <c r="AH579" s="56">
        <f t="shared" si="216"/>
        <v>25</v>
      </c>
      <c r="AI579" s="54">
        <v>10</v>
      </c>
      <c r="AJ579" s="55">
        <v>15</v>
      </c>
      <c r="AK579" s="55">
        <v>10</v>
      </c>
      <c r="AL579" s="55">
        <v>5</v>
      </c>
      <c r="AM579" s="56">
        <f t="shared" si="217"/>
        <v>40</v>
      </c>
      <c r="AN579" s="54">
        <v>5</v>
      </c>
      <c r="AO579" s="55">
        <v>5</v>
      </c>
      <c r="AP579" s="55">
        <v>5</v>
      </c>
      <c r="AQ579" s="55"/>
      <c r="AR579" s="56">
        <f t="shared" si="222"/>
        <v>15</v>
      </c>
      <c r="AS579" s="54">
        <v>10</v>
      </c>
      <c r="AT579" s="55">
        <v>15</v>
      </c>
      <c r="AU579" s="55">
        <v>10</v>
      </c>
      <c r="AV579" s="55">
        <v>10</v>
      </c>
      <c r="AW579" s="176">
        <f t="shared" si="223"/>
        <v>45</v>
      </c>
      <c r="AX579" s="56">
        <f t="shared" si="213"/>
        <v>125</v>
      </c>
      <c r="AY579" s="329">
        <v>44722</v>
      </c>
      <c r="AZ579" s="326"/>
      <c r="BE579" s="277"/>
      <c r="BF579" s="54"/>
      <c r="BG579" s="55"/>
      <c r="BH579" s="55"/>
      <c r="BI579" s="55"/>
      <c r="BJ579" s="56">
        <f t="shared" si="224"/>
        <v>0</v>
      </c>
      <c r="BL579" s="277"/>
      <c r="BM579" s="54"/>
      <c r="BN579" s="55"/>
      <c r="BO579" s="55"/>
      <c r="BP579" s="55"/>
      <c r="BQ579" s="56">
        <f t="shared" si="225"/>
        <v>0</v>
      </c>
    </row>
    <row r="580" spans="1:69" x14ac:dyDescent="0.15">
      <c r="A580" s="53"/>
      <c r="B580" s="62"/>
      <c r="C580" s="63"/>
      <c r="D580" s="63"/>
      <c r="E580" s="63"/>
      <c r="F580" s="56">
        <f t="shared" si="208"/>
        <v>0</v>
      </c>
      <c r="G580" s="62"/>
      <c r="H580" s="63"/>
      <c r="I580" s="63"/>
      <c r="J580" s="63"/>
      <c r="K580" s="56">
        <f t="shared" si="209"/>
        <v>0</v>
      </c>
      <c r="L580" s="62"/>
      <c r="M580" s="63"/>
      <c r="N580" s="63"/>
      <c r="O580" s="63"/>
      <c r="P580" s="56">
        <f t="shared" si="210"/>
        <v>0</v>
      </c>
      <c r="Q580" s="62"/>
      <c r="R580" s="63"/>
      <c r="S580" s="63"/>
      <c r="T580" s="63"/>
      <c r="U580" s="176">
        <f t="shared" si="211"/>
        <v>0</v>
      </c>
      <c r="V580" s="56">
        <f t="shared" si="212"/>
        <v>0</v>
      </c>
      <c r="W580" s="329"/>
      <c r="X580" s="326"/>
      <c r="Y580" s="326"/>
      <c r="Z580" s="326"/>
      <c r="AC580" s="276"/>
      <c r="AD580" s="62"/>
      <c r="AE580" s="63"/>
      <c r="AF580" s="63"/>
      <c r="AG580" s="63"/>
      <c r="AH580" s="56">
        <f t="shared" si="216"/>
        <v>0</v>
      </c>
      <c r="AI580" s="62"/>
      <c r="AJ580" s="63"/>
      <c r="AK580" s="63"/>
      <c r="AL580" s="63"/>
      <c r="AM580" s="56">
        <f t="shared" si="217"/>
        <v>0</v>
      </c>
      <c r="AN580" s="62"/>
      <c r="AO580" s="63"/>
      <c r="AP580" s="63"/>
      <c r="AQ580" s="63"/>
      <c r="AR580" s="56">
        <f t="shared" si="222"/>
        <v>0</v>
      </c>
      <c r="AS580" s="62"/>
      <c r="AT580" s="63"/>
      <c r="AU580" s="63"/>
      <c r="AV580" s="63"/>
      <c r="AW580" s="176">
        <f t="shared" si="223"/>
        <v>0</v>
      </c>
      <c r="AX580" s="56">
        <f t="shared" si="213"/>
        <v>0</v>
      </c>
      <c r="AY580" s="330"/>
      <c r="AZ580" s="326"/>
      <c r="BE580" s="268"/>
      <c r="BF580" s="62"/>
      <c r="BG580" s="63"/>
      <c r="BH580" s="63"/>
      <c r="BI580" s="63"/>
      <c r="BJ580" s="56">
        <f t="shared" si="224"/>
        <v>0</v>
      </c>
      <c r="BL580" s="268"/>
      <c r="BM580" s="62"/>
      <c r="BN580" s="63"/>
      <c r="BO580" s="63"/>
      <c r="BP580" s="63"/>
      <c r="BQ580" s="56">
        <f t="shared" si="225"/>
        <v>0</v>
      </c>
    </row>
    <row r="581" spans="1:69" x14ac:dyDescent="0.15">
      <c r="A581" s="53"/>
      <c r="B581" s="54"/>
      <c r="C581" s="55"/>
      <c r="D581" s="55"/>
      <c r="E581" s="55"/>
      <c r="F581" s="56">
        <f t="shared" si="208"/>
        <v>0</v>
      </c>
      <c r="G581" s="54"/>
      <c r="H581" s="55"/>
      <c r="I581" s="55"/>
      <c r="J581" s="55"/>
      <c r="K581" s="56">
        <f t="shared" si="209"/>
        <v>0</v>
      </c>
      <c r="L581" s="54"/>
      <c r="M581" s="55"/>
      <c r="N581" s="55"/>
      <c r="O581" s="55"/>
      <c r="P581" s="56">
        <f t="shared" si="210"/>
        <v>0</v>
      </c>
      <c r="Q581" s="54"/>
      <c r="R581" s="55"/>
      <c r="S581" s="55"/>
      <c r="T581" s="55"/>
      <c r="U581" s="176">
        <f t="shared" si="211"/>
        <v>0</v>
      </c>
      <c r="V581" s="56">
        <f t="shared" si="212"/>
        <v>0</v>
      </c>
      <c r="W581" s="329"/>
      <c r="X581" s="326"/>
      <c r="Y581" s="326"/>
      <c r="Z581" s="326"/>
      <c r="AC581" s="276"/>
      <c r="AD581" s="54"/>
      <c r="AE581" s="55"/>
      <c r="AF581" s="55"/>
      <c r="AG581" s="55"/>
      <c r="AH581" s="56">
        <f t="shared" si="216"/>
        <v>0</v>
      </c>
      <c r="AI581" s="54"/>
      <c r="AJ581" s="55"/>
      <c r="AK581" s="55"/>
      <c r="AL581" s="55"/>
      <c r="AM581" s="56">
        <f t="shared" si="217"/>
        <v>0</v>
      </c>
      <c r="AN581" s="54"/>
      <c r="AO581" s="55"/>
      <c r="AP581" s="55"/>
      <c r="AQ581" s="55"/>
      <c r="AR581" s="56">
        <f t="shared" si="222"/>
        <v>0</v>
      </c>
      <c r="AS581" s="54"/>
      <c r="AT581" s="55"/>
      <c r="AU581" s="55"/>
      <c r="AV581" s="55"/>
      <c r="AW581" s="176">
        <f t="shared" si="223"/>
        <v>0</v>
      </c>
      <c r="AX581" s="56">
        <f t="shared" si="213"/>
        <v>0</v>
      </c>
      <c r="AY581" s="330"/>
      <c r="AZ581" s="326"/>
      <c r="BE581" s="268"/>
      <c r="BF581" s="54"/>
      <c r="BG581" s="55"/>
      <c r="BH581" s="55"/>
      <c r="BI581" s="55"/>
      <c r="BJ581" s="56">
        <f t="shared" si="224"/>
        <v>0</v>
      </c>
      <c r="BL581" s="268"/>
      <c r="BM581" s="54"/>
      <c r="BN581" s="55"/>
      <c r="BO581" s="55"/>
      <c r="BP581" s="55"/>
      <c r="BQ581" s="56">
        <f t="shared" si="225"/>
        <v>0</v>
      </c>
    </row>
    <row r="582" spans="1:69" x14ac:dyDescent="0.15">
      <c r="A582" s="53"/>
      <c r="B582" s="54"/>
      <c r="C582" s="55"/>
      <c r="D582" s="55"/>
      <c r="E582" s="55"/>
      <c r="F582" s="56">
        <f t="shared" si="208"/>
        <v>0</v>
      </c>
      <c r="G582" s="54"/>
      <c r="H582" s="55"/>
      <c r="I582" s="55"/>
      <c r="J582" s="55"/>
      <c r="K582" s="56">
        <f t="shared" si="209"/>
        <v>0</v>
      </c>
      <c r="L582" s="54"/>
      <c r="M582" s="55"/>
      <c r="N582" s="55"/>
      <c r="O582" s="55"/>
      <c r="P582" s="56">
        <f t="shared" si="210"/>
        <v>0</v>
      </c>
      <c r="Q582" s="54"/>
      <c r="R582" s="55"/>
      <c r="S582" s="55"/>
      <c r="T582" s="55"/>
      <c r="U582" s="176">
        <f t="shared" si="211"/>
        <v>0</v>
      </c>
      <c r="V582" s="56">
        <f t="shared" si="212"/>
        <v>0</v>
      </c>
      <c r="W582" s="328"/>
      <c r="X582" s="326"/>
      <c r="Y582" s="326"/>
      <c r="Z582" s="326"/>
      <c r="AC582" s="276"/>
      <c r="AD582" s="33"/>
      <c r="AE582" s="34"/>
      <c r="AF582" s="34"/>
      <c r="AG582" s="34"/>
      <c r="AH582" s="30">
        <f t="shared" si="216"/>
        <v>0</v>
      </c>
      <c r="AI582" s="33"/>
      <c r="AJ582" s="34"/>
      <c r="AK582" s="34"/>
      <c r="AL582" s="34"/>
      <c r="AM582" s="30">
        <f t="shared" si="217"/>
        <v>0</v>
      </c>
      <c r="AN582" s="33"/>
      <c r="AO582" s="34"/>
      <c r="AP582" s="34"/>
      <c r="AQ582" s="34"/>
      <c r="AR582" s="30">
        <f t="shared" si="222"/>
        <v>0</v>
      </c>
      <c r="AS582" s="33"/>
      <c r="AT582" s="34"/>
      <c r="AU582" s="34"/>
      <c r="AV582" s="34"/>
      <c r="AW582" s="178">
        <f t="shared" si="223"/>
        <v>0</v>
      </c>
      <c r="AX582" s="170">
        <f t="shared" si="213"/>
        <v>0</v>
      </c>
      <c r="AY582" s="330"/>
      <c r="AZ582" s="326"/>
      <c r="BE582" s="268"/>
      <c r="BF582" s="62"/>
      <c r="BG582" s="63"/>
      <c r="BH582" s="63"/>
      <c r="BI582" s="63"/>
      <c r="BJ582" s="56">
        <f t="shared" si="224"/>
        <v>0</v>
      </c>
      <c r="BL582" s="268"/>
      <c r="BM582" s="62"/>
      <c r="BN582" s="63"/>
      <c r="BO582" s="63"/>
      <c r="BP582" s="63"/>
      <c r="BQ582" s="56">
        <f t="shared" si="225"/>
        <v>0</v>
      </c>
    </row>
    <row r="583" spans="1:69" x14ac:dyDescent="0.15">
      <c r="A583" s="65"/>
      <c r="B583" s="54"/>
      <c r="C583" s="55"/>
      <c r="D583" s="55"/>
      <c r="E583" s="55"/>
      <c r="F583" s="56">
        <f t="shared" si="208"/>
        <v>0</v>
      </c>
      <c r="G583" s="54"/>
      <c r="H583" s="55"/>
      <c r="I583" s="55"/>
      <c r="J583" s="55"/>
      <c r="K583" s="56">
        <f t="shared" si="209"/>
        <v>0</v>
      </c>
      <c r="L583" s="54"/>
      <c r="M583" s="55"/>
      <c r="N583" s="55"/>
      <c r="O583" s="55"/>
      <c r="P583" s="56">
        <f t="shared" si="210"/>
        <v>0</v>
      </c>
      <c r="Q583" s="54"/>
      <c r="R583" s="55"/>
      <c r="S583" s="55"/>
      <c r="T583" s="55"/>
      <c r="U583" s="176">
        <f t="shared" si="211"/>
        <v>0</v>
      </c>
      <c r="V583" s="56">
        <f t="shared" si="212"/>
        <v>0</v>
      </c>
      <c r="W583" s="325"/>
      <c r="X583" s="326"/>
      <c r="Y583" s="326"/>
      <c r="Z583" s="326"/>
      <c r="AC583" s="269"/>
      <c r="AD583" s="54"/>
      <c r="AE583" s="55"/>
      <c r="AF583" s="55"/>
      <c r="AG583" s="55"/>
      <c r="AH583" s="56">
        <f t="shared" si="216"/>
        <v>0</v>
      </c>
      <c r="AI583" s="54"/>
      <c r="AJ583" s="55"/>
      <c r="AK583" s="55"/>
      <c r="AL583" s="55"/>
      <c r="AM583" s="56">
        <f t="shared" si="217"/>
        <v>0</v>
      </c>
      <c r="AN583" s="54"/>
      <c r="AO583" s="55"/>
      <c r="AP583" s="55"/>
      <c r="AQ583" s="55"/>
      <c r="AR583" s="56">
        <f t="shared" si="222"/>
        <v>0</v>
      </c>
      <c r="AS583" s="54"/>
      <c r="AT583" s="55"/>
      <c r="AU583" s="55"/>
      <c r="AV583" s="55"/>
      <c r="AW583" s="176">
        <f t="shared" si="223"/>
        <v>0</v>
      </c>
      <c r="AX583" s="56">
        <f t="shared" si="213"/>
        <v>0</v>
      </c>
      <c r="AY583" s="330"/>
      <c r="AZ583" s="326"/>
      <c r="BE583" s="277"/>
      <c r="BF583" s="54"/>
      <c r="BG583" s="55"/>
      <c r="BH583" s="55"/>
      <c r="BI583" s="55"/>
      <c r="BJ583" s="56">
        <f t="shared" si="224"/>
        <v>0</v>
      </c>
      <c r="BL583" s="277"/>
      <c r="BM583" s="54"/>
      <c r="BN583" s="55"/>
      <c r="BO583" s="55"/>
      <c r="BP583" s="55"/>
      <c r="BQ583" s="56">
        <f t="shared" si="225"/>
        <v>0</v>
      </c>
    </row>
    <row r="584" spans="1:69" ht="14.25" thickBot="1" x14ac:dyDescent="0.2">
      <c r="A584" s="67"/>
      <c r="B584" s="33"/>
      <c r="C584" s="34"/>
      <c r="D584" s="34"/>
      <c r="E584" s="34"/>
      <c r="F584" s="30">
        <f t="shared" si="208"/>
        <v>0</v>
      </c>
      <c r="G584" s="33"/>
      <c r="H584" s="34"/>
      <c r="I584" s="34"/>
      <c r="J584" s="34"/>
      <c r="K584" s="30">
        <f t="shared" si="209"/>
        <v>0</v>
      </c>
      <c r="L584" s="33"/>
      <c r="M584" s="34"/>
      <c r="N584" s="34"/>
      <c r="O584" s="34"/>
      <c r="P584" s="30">
        <f t="shared" si="210"/>
        <v>0</v>
      </c>
      <c r="Q584" s="33"/>
      <c r="R584" s="34"/>
      <c r="S584" s="34"/>
      <c r="T584" s="34"/>
      <c r="U584" s="178">
        <f t="shared" si="211"/>
        <v>0</v>
      </c>
      <c r="V584" s="170">
        <f t="shared" si="212"/>
        <v>0</v>
      </c>
      <c r="W584" s="330"/>
      <c r="X584" s="326"/>
      <c r="Y584" s="326"/>
      <c r="Z584" s="326"/>
      <c r="AC584" s="282"/>
      <c r="AD584" s="33"/>
      <c r="AE584" s="34"/>
      <c r="AF584" s="34"/>
      <c r="AG584" s="34"/>
      <c r="AH584" s="30">
        <f t="shared" si="216"/>
        <v>0</v>
      </c>
      <c r="AI584" s="33"/>
      <c r="AJ584" s="34"/>
      <c r="AK584" s="34"/>
      <c r="AL584" s="34"/>
      <c r="AM584" s="30">
        <f t="shared" si="217"/>
        <v>0</v>
      </c>
      <c r="AN584" s="33"/>
      <c r="AO584" s="34"/>
      <c r="AP584" s="34"/>
      <c r="AQ584" s="34"/>
      <c r="AR584" s="30">
        <f t="shared" si="222"/>
        <v>0</v>
      </c>
      <c r="AS584" s="33"/>
      <c r="AT584" s="34"/>
      <c r="AU584" s="34"/>
      <c r="AV584" s="34"/>
      <c r="AW584" s="178">
        <f t="shared" si="223"/>
        <v>0</v>
      </c>
      <c r="AX584" s="170">
        <f t="shared" si="213"/>
        <v>0</v>
      </c>
      <c r="AY584" s="330"/>
      <c r="AZ584" s="326"/>
      <c r="BE584" s="282"/>
      <c r="BF584" s="33"/>
      <c r="BG584" s="34"/>
      <c r="BH584" s="34"/>
      <c r="BI584" s="34"/>
      <c r="BJ584" s="30">
        <f t="shared" si="224"/>
        <v>0</v>
      </c>
      <c r="BL584" s="282"/>
      <c r="BM584" s="33"/>
      <c r="BN584" s="34"/>
      <c r="BO584" s="34"/>
      <c r="BP584" s="34"/>
      <c r="BQ584" s="30">
        <f t="shared" si="225"/>
        <v>0</v>
      </c>
    </row>
    <row r="585" spans="1:69" ht="15" thickBot="1" x14ac:dyDescent="0.2">
      <c r="A585" s="9" t="s">
        <v>15</v>
      </c>
      <c r="B585" s="36">
        <f>SUM(B559:B584)</f>
        <v>2</v>
      </c>
      <c r="C585" s="37">
        <f>SUM(C559:C584)</f>
        <v>3</v>
      </c>
      <c r="D585" s="37">
        <f>SUM(D559:D584)</f>
        <v>2</v>
      </c>
      <c r="E585" s="38">
        <f>SUM(E559:E584)</f>
        <v>0</v>
      </c>
      <c r="F585" s="25">
        <f t="shared" si="208"/>
        <v>7</v>
      </c>
      <c r="G585" s="36">
        <f>SUM(G559:G584)</f>
        <v>10</v>
      </c>
      <c r="H585" s="37">
        <f>SUM(H559:H584)</f>
        <v>14</v>
      </c>
      <c r="I585" s="37">
        <f>SUM(I559:I584)</f>
        <v>5</v>
      </c>
      <c r="J585" s="38">
        <f>SUM(J559:J584)</f>
        <v>3</v>
      </c>
      <c r="K585" s="25">
        <f t="shared" si="209"/>
        <v>32</v>
      </c>
      <c r="L585" s="36">
        <f>SUM(L559:L584)</f>
        <v>2</v>
      </c>
      <c r="M585" s="37">
        <f>SUM(M559:M584)</f>
        <v>0</v>
      </c>
      <c r="N585" s="37">
        <f>SUM(N559:N584)</f>
        <v>0</v>
      </c>
      <c r="O585" s="38">
        <f>SUM(O559:O584)</f>
        <v>1</v>
      </c>
      <c r="P585" s="25">
        <f t="shared" si="210"/>
        <v>3</v>
      </c>
      <c r="Q585" s="36">
        <f>SUM(Q559:Q584)</f>
        <v>5</v>
      </c>
      <c r="R585" s="37">
        <f>SUM(R559:R584)</f>
        <v>5</v>
      </c>
      <c r="S585" s="37">
        <f>SUM(S559:S584)</f>
        <v>7</v>
      </c>
      <c r="T585" s="38">
        <f>SUM(T559:T584)</f>
        <v>6</v>
      </c>
      <c r="U585" s="36">
        <f t="shared" si="211"/>
        <v>23</v>
      </c>
      <c r="V585" s="77">
        <f t="shared" si="212"/>
        <v>65</v>
      </c>
      <c r="W585" s="325"/>
      <c r="X585" s="326"/>
      <c r="Y585" s="326"/>
      <c r="Z585" s="326"/>
      <c r="AC585" s="278" t="s">
        <v>15</v>
      </c>
      <c r="AD585" s="36">
        <f>SUM(AD559:AD584)</f>
        <v>53</v>
      </c>
      <c r="AE585" s="37">
        <f>SUM(AE559:AE584)</f>
        <v>36</v>
      </c>
      <c r="AF585" s="37">
        <f>SUM(AF559:AF584)</f>
        <v>43</v>
      </c>
      <c r="AG585" s="38">
        <f>SUM(AG559:AG584)</f>
        <v>40</v>
      </c>
      <c r="AH585" s="25">
        <f t="shared" si="216"/>
        <v>172</v>
      </c>
      <c r="AI585" s="36">
        <f>SUM(AI559:AI584)</f>
        <v>52</v>
      </c>
      <c r="AJ585" s="37">
        <f>SUM(AJ559:AJ584)</f>
        <v>61</v>
      </c>
      <c r="AK585" s="37">
        <f>SUM(AK559:AK584)</f>
        <v>46</v>
      </c>
      <c r="AL585" s="38">
        <f>SUM(AL559:AL584)</f>
        <v>35</v>
      </c>
      <c r="AM585" s="25">
        <f t="shared" si="217"/>
        <v>194</v>
      </c>
      <c r="AN585" s="36">
        <f>SUM(AN559:AN584)</f>
        <v>35</v>
      </c>
      <c r="AO585" s="37">
        <f>SUM(AO559:AO584)</f>
        <v>33</v>
      </c>
      <c r="AP585" s="37">
        <f>SUM(AP559:AP584)</f>
        <v>33</v>
      </c>
      <c r="AQ585" s="38">
        <f>SUM(AQ559:AQ584)</f>
        <v>31</v>
      </c>
      <c r="AR585" s="25">
        <f t="shared" si="222"/>
        <v>132</v>
      </c>
      <c r="AS585" s="36">
        <f>SUM(AS559:AS584)</f>
        <v>51</v>
      </c>
      <c r="AT585" s="37">
        <f>SUM(AT559:AT584)</f>
        <v>78</v>
      </c>
      <c r="AU585" s="37">
        <f>SUM(AU559:AU584)</f>
        <v>62</v>
      </c>
      <c r="AV585" s="38">
        <f>SUM(AV559:AV584)</f>
        <v>54</v>
      </c>
      <c r="AW585" s="36">
        <f t="shared" si="223"/>
        <v>245</v>
      </c>
      <c r="AX585" s="161">
        <f t="shared" si="213"/>
        <v>743</v>
      </c>
      <c r="AY585" s="325"/>
      <c r="AZ585" s="326"/>
      <c r="BE585" s="278" t="s">
        <v>15</v>
      </c>
      <c r="BF585" s="36">
        <f>SUM(BF559:BF584)</f>
        <v>2</v>
      </c>
      <c r="BG585" s="302">
        <f>SUM(BG559:BG584)</f>
        <v>0</v>
      </c>
      <c r="BH585" s="37">
        <f>SUM(BH559:BH584)</f>
        <v>2</v>
      </c>
      <c r="BI585" s="38">
        <f>SUM(BI559:BI584)</f>
        <v>0</v>
      </c>
      <c r="BJ585" s="25">
        <f t="shared" si="224"/>
        <v>4</v>
      </c>
      <c r="BL585" s="278" t="s">
        <v>15</v>
      </c>
      <c r="BM585" s="36">
        <f>SUM(BM559:BM584)</f>
        <v>8</v>
      </c>
      <c r="BN585" s="302">
        <f>SUM(BN559:BN584)</f>
        <v>0</v>
      </c>
      <c r="BO585" s="37">
        <f>SUM(BO559:BO584)</f>
        <v>8</v>
      </c>
      <c r="BP585" s="38">
        <f>SUM(BP559:BP584)</f>
        <v>8</v>
      </c>
      <c r="BQ585" s="25">
        <f t="shared" si="225"/>
        <v>24</v>
      </c>
    </row>
    <row r="586" spans="1:69" ht="14.25" thickBot="1" x14ac:dyDescent="0.2">
      <c r="A586" s="39" t="s">
        <v>16</v>
      </c>
      <c r="B586" s="40">
        <f>B558-B585</f>
        <v>9</v>
      </c>
      <c r="C586" s="41">
        <f>C558-C585</f>
        <v>7</v>
      </c>
      <c r="D586" s="41">
        <f>D558-D585</f>
        <v>9</v>
      </c>
      <c r="E586" s="42">
        <f>E558-E585</f>
        <v>10</v>
      </c>
      <c r="F586" s="171">
        <f t="shared" si="208"/>
        <v>35</v>
      </c>
      <c r="G586" s="40">
        <f>G558-G585</f>
        <v>3</v>
      </c>
      <c r="H586" s="41">
        <f>H558-H585</f>
        <v>3</v>
      </c>
      <c r="I586" s="41">
        <f>I558-I585</f>
        <v>7</v>
      </c>
      <c r="J586" s="42">
        <f>J558-J585</f>
        <v>9</v>
      </c>
      <c r="K586" s="171">
        <f t="shared" si="209"/>
        <v>22</v>
      </c>
      <c r="L586" s="40">
        <f>L558-L585</f>
        <v>8</v>
      </c>
      <c r="M586" s="41">
        <f>M558-M585</f>
        <v>10</v>
      </c>
      <c r="N586" s="41">
        <f>N558-N585</f>
        <v>9</v>
      </c>
      <c r="O586" s="42">
        <f>O558-O585</f>
        <v>10</v>
      </c>
      <c r="P586" s="171">
        <f t="shared" si="210"/>
        <v>37</v>
      </c>
      <c r="Q586" s="40">
        <f>Q558-Q585</f>
        <v>5</v>
      </c>
      <c r="R586" s="41">
        <f>R558-R585</f>
        <v>7</v>
      </c>
      <c r="S586" s="41">
        <f>S558-S585</f>
        <v>8</v>
      </c>
      <c r="T586" s="42">
        <f>T558-T585</f>
        <v>7</v>
      </c>
      <c r="U586" s="177">
        <f t="shared" si="211"/>
        <v>27</v>
      </c>
      <c r="V586" s="77">
        <f t="shared" si="212"/>
        <v>121</v>
      </c>
      <c r="W586" s="325"/>
      <c r="X586" s="326"/>
      <c r="Y586" s="326"/>
      <c r="Z586" s="326"/>
      <c r="AC586" s="279" t="s">
        <v>16</v>
      </c>
      <c r="AD586" s="40">
        <f>AD558-AD585</f>
        <v>131</v>
      </c>
      <c r="AE586" s="41">
        <f>AE558-AE585</f>
        <v>203</v>
      </c>
      <c r="AF586" s="41">
        <f>AF558-AF585</f>
        <v>195</v>
      </c>
      <c r="AG586" s="42">
        <f>AG558-AG585</f>
        <v>128</v>
      </c>
      <c r="AH586" s="171">
        <f t="shared" si="216"/>
        <v>657</v>
      </c>
      <c r="AI586" s="40">
        <f>AI558-AI585</f>
        <v>176</v>
      </c>
      <c r="AJ586" s="41">
        <f>AJ558-AJ585</f>
        <v>311</v>
      </c>
      <c r="AK586" s="41">
        <f>AK558-AK585</f>
        <v>179</v>
      </c>
      <c r="AL586" s="42">
        <f>AL558-AL585</f>
        <v>202</v>
      </c>
      <c r="AM586" s="171">
        <f t="shared" si="217"/>
        <v>868</v>
      </c>
      <c r="AN586" s="40">
        <f>AN558-AN585</f>
        <v>45</v>
      </c>
      <c r="AO586" s="41">
        <f>AO558-AO585</f>
        <v>87</v>
      </c>
      <c r="AP586" s="41">
        <f>AP558-AP585</f>
        <v>45</v>
      </c>
      <c r="AQ586" s="42">
        <f>AQ558-AQ585</f>
        <v>27</v>
      </c>
      <c r="AR586" s="171">
        <f t="shared" si="222"/>
        <v>204</v>
      </c>
      <c r="AS586" s="40">
        <f>AS558-AS585</f>
        <v>136</v>
      </c>
      <c r="AT586" s="41">
        <f>AT558-AT585</f>
        <v>199</v>
      </c>
      <c r="AU586" s="41">
        <f>AU558-AU585</f>
        <v>131</v>
      </c>
      <c r="AV586" s="42">
        <f>AV558-AV585</f>
        <v>116</v>
      </c>
      <c r="AW586" s="177">
        <f t="shared" si="223"/>
        <v>582</v>
      </c>
      <c r="AX586" s="77">
        <f t="shared" si="213"/>
        <v>2311</v>
      </c>
      <c r="AY586" s="325"/>
      <c r="AZ586" s="326"/>
      <c r="BE586" s="279" t="s">
        <v>16</v>
      </c>
      <c r="BF586" s="40">
        <f>BF558-BF585</f>
        <v>7</v>
      </c>
      <c r="BG586" s="303">
        <f>BG558-BG585</f>
        <v>0</v>
      </c>
      <c r="BH586" s="41">
        <f>BH558-BH585</f>
        <v>8</v>
      </c>
      <c r="BI586" s="42">
        <f>BI558-BI585</f>
        <v>10</v>
      </c>
      <c r="BJ586" s="171">
        <f t="shared" si="224"/>
        <v>25</v>
      </c>
      <c r="BL586" s="279" t="s">
        <v>16</v>
      </c>
      <c r="BM586" s="40">
        <f>BM558-BM585</f>
        <v>8</v>
      </c>
      <c r="BN586" s="303">
        <f>BN558-BN585</f>
        <v>0</v>
      </c>
      <c r="BO586" s="41">
        <f>BO558-BO585</f>
        <v>39</v>
      </c>
      <c r="BP586" s="42">
        <f>BP558-BP585</f>
        <v>11</v>
      </c>
      <c r="BQ586" s="171">
        <f t="shared" si="225"/>
        <v>58</v>
      </c>
    </row>
    <row r="587" spans="1:69" x14ac:dyDescent="0.15">
      <c r="W587" s="325"/>
      <c r="X587" s="326"/>
      <c r="Y587" s="326"/>
      <c r="Z587" s="326"/>
      <c r="AY587" s="325"/>
      <c r="AZ587" s="326"/>
    </row>
    <row r="588" spans="1:69" x14ac:dyDescent="0.15">
      <c r="W588" s="325"/>
      <c r="X588" s="326"/>
      <c r="Y588" s="326"/>
      <c r="Z588" s="326"/>
      <c r="AY588" s="325"/>
      <c r="AZ588" s="326"/>
    </row>
    <row r="589" spans="1:69" ht="19.5" thickBot="1" x14ac:dyDescent="0.25">
      <c r="A589" s="185" t="s">
        <v>19</v>
      </c>
      <c r="B589" s="186"/>
      <c r="C589" s="186"/>
      <c r="D589" s="186"/>
      <c r="E589" s="186"/>
      <c r="F589" s="18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325"/>
      <c r="X589" s="326"/>
      <c r="Y589" s="326"/>
      <c r="Z589" s="326"/>
      <c r="AC589" s="187" t="s">
        <v>73</v>
      </c>
      <c r="AD589" s="188"/>
      <c r="AE589" s="188"/>
      <c r="AF589" s="188"/>
      <c r="AG589" s="188"/>
      <c r="AH589" s="188"/>
      <c r="AI589" s="188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325"/>
      <c r="AZ589" s="326"/>
      <c r="BE589" s="185" t="s">
        <v>19</v>
      </c>
      <c r="BF589" s="186"/>
      <c r="BG589" s="186"/>
      <c r="BH589" s="186"/>
      <c r="BI589" s="186"/>
      <c r="BJ589" s="186"/>
      <c r="BL589" s="187" t="s">
        <v>73</v>
      </c>
      <c r="BM589" s="188"/>
      <c r="BN589" s="188"/>
      <c r="BO589" s="188"/>
      <c r="BP589" s="188"/>
      <c r="BQ589" s="188"/>
    </row>
    <row r="590" spans="1:69" ht="14.25" thickBot="1" x14ac:dyDescent="0.2">
      <c r="A590" s="3" t="s">
        <v>0</v>
      </c>
      <c r="B590" s="365" t="s">
        <v>17</v>
      </c>
      <c r="C590" s="366"/>
      <c r="D590" s="366"/>
      <c r="E590" s="366"/>
      <c r="F590" s="367"/>
      <c r="G590" s="368" t="s">
        <v>18</v>
      </c>
      <c r="H590" s="369"/>
      <c r="I590" s="369"/>
      <c r="J590" s="369"/>
      <c r="K590" s="370"/>
      <c r="L590" s="371" t="s">
        <v>320</v>
      </c>
      <c r="M590" s="372"/>
      <c r="N590" s="372"/>
      <c r="O590" s="372"/>
      <c r="P590" s="373"/>
      <c r="Q590" s="374" t="s">
        <v>75</v>
      </c>
      <c r="R590" s="356"/>
      <c r="S590" s="356"/>
      <c r="T590" s="356"/>
      <c r="U590" s="357"/>
      <c r="V590" s="360" t="s">
        <v>1</v>
      </c>
      <c r="W590" s="325"/>
      <c r="X590" s="326"/>
      <c r="Y590" s="326"/>
      <c r="Z590" s="326"/>
      <c r="AC590" s="271" t="s">
        <v>0</v>
      </c>
      <c r="AD590" s="365" t="s">
        <v>17</v>
      </c>
      <c r="AE590" s="366"/>
      <c r="AF590" s="366"/>
      <c r="AG590" s="366"/>
      <c r="AH590" s="367"/>
      <c r="AI590" s="368" t="s">
        <v>18</v>
      </c>
      <c r="AJ590" s="369"/>
      <c r="AK590" s="369"/>
      <c r="AL590" s="369"/>
      <c r="AM590" s="370"/>
      <c r="AN590" s="371" t="s">
        <v>320</v>
      </c>
      <c r="AO590" s="372"/>
      <c r="AP590" s="372"/>
      <c r="AQ590" s="372"/>
      <c r="AR590" s="373"/>
      <c r="AS590" s="374" t="s">
        <v>75</v>
      </c>
      <c r="AT590" s="356"/>
      <c r="AU590" s="356"/>
      <c r="AV590" s="356"/>
      <c r="AW590" s="357"/>
      <c r="AX590" s="360" t="s">
        <v>1</v>
      </c>
      <c r="AY590" s="325"/>
      <c r="AZ590" s="326"/>
      <c r="BE590" s="271" t="s">
        <v>0</v>
      </c>
      <c r="BF590" s="362" t="s">
        <v>38</v>
      </c>
      <c r="BG590" s="363"/>
      <c r="BH590" s="363"/>
      <c r="BI590" s="363"/>
      <c r="BJ590" s="364"/>
      <c r="BL590" s="271" t="s">
        <v>0</v>
      </c>
      <c r="BM590" s="362" t="s">
        <v>38</v>
      </c>
      <c r="BN590" s="363"/>
      <c r="BO590" s="363"/>
      <c r="BP590" s="363"/>
      <c r="BQ590" s="364"/>
    </row>
    <row r="591" spans="1:69" ht="14.25" thickBot="1" x14ac:dyDescent="0.2">
      <c r="A591" s="5" t="s">
        <v>2</v>
      </c>
      <c r="B591" s="6" t="s">
        <v>3</v>
      </c>
      <c r="C591" s="7" t="s">
        <v>4</v>
      </c>
      <c r="D591" s="7" t="s">
        <v>5</v>
      </c>
      <c r="E591" s="8" t="s">
        <v>6</v>
      </c>
      <c r="F591" s="5" t="s">
        <v>7</v>
      </c>
      <c r="G591" s="6" t="s">
        <v>3</v>
      </c>
      <c r="H591" s="7" t="s">
        <v>4</v>
      </c>
      <c r="I591" s="7" t="s">
        <v>5</v>
      </c>
      <c r="J591" s="8" t="s">
        <v>6</v>
      </c>
      <c r="K591" s="5" t="s">
        <v>7</v>
      </c>
      <c r="L591" s="6" t="s">
        <v>3</v>
      </c>
      <c r="M591" s="7" t="s">
        <v>4</v>
      </c>
      <c r="N591" s="7" t="s">
        <v>5</v>
      </c>
      <c r="O591" s="8" t="s">
        <v>6</v>
      </c>
      <c r="P591" s="5" t="s">
        <v>7</v>
      </c>
      <c r="Q591" s="6" t="s">
        <v>3</v>
      </c>
      <c r="R591" s="7" t="s">
        <v>4</v>
      </c>
      <c r="S591" s="7" t="s">
        <v>5</v>
      </c>
      <c r="T591" s="8" t="s">
        <v>6</v>
      </c>
      <c r="U591" s="5" t="s">
        <v>7</v>
      </c>
      <c r="V591" s="361"/>
      <c r="W591" s="325"/>
      <c r="X591" s="326"/>
      <c r="Y591" s="326"/>
      <c r="Z591" s="326"/>
      <c r="AC591" s="272" t="s">
        <v>2</v>
      </c>
      <c r="AD591" s="6" t="s">
        <v>3</v>
      </c>
      <c r="AE591" s="7" t="s">
        <v>4</v>
      </c>
      <c r="AF591" s="7" t="s">
        <v>5</v>
      </c>
      <c r="AG591" s="8" t="s">
        <v>6</v>
      </c>
      <c r="AH591" s="5" t="s">
        <v>7</v>
      </c>
      <c r="AI591" s="6" t="s">
        <v>3</v>
      </c>
      <c r="AJ591" s="7" t="s">
        <v>4</v>
      </c>
      <c r="AK591" s="7" t="s">
        <v>5</v>
      </c>
      <c r="AL591" s="8" t="s">
        <v>6</v>
      </c>
      <c r="AM591" s="5" t="s">
        <v>7</v>
      </c>
      <c r="AN591" s="6" t="s">
        <v>3</v>
      </c>
      <c r="AO591" s="7" t="s">
        <v>4</v>
      </c>
      <c r="AP591" s="7" t="s">
        <v>5</v>
      </c>
      <c r="AQ591" s="8" t="s">
        <v>6</v>
      </c>
      <c r="AR591" s="5" t="s">
        <v>7</v>
      </c>
      <c r="AS591" s="6" t="s">
        <v>3</v>
      </c>
      <c r="AT591" s="7" t="s">
        <v>4</v>
      </c>
      <c r="AU591" s="7" t="s">
        <v>5</v>
      </c>
      <c r="AV591" s="8" t="s">
        <v>6</v>
      </c>
      <c r="AW591" s="5" t="s">
        <v>7</v>
      </c>
      <c r="AX591" s="361"/>
      <c r="AY591" s="325"/>
      <c r="AZ591" s="326"/>
      <c r="BE591" s="272" t="s">
        <v>2</v>
      </c>
      <c r="BF591" s="6" t="s">
        <v>3</v>
      </c>
      <c r="BG591" s="7" t="s">
        <v>4</v>
      </c>
      <c r="BH591" s="7" t="s">
        <v>5</v>
      </c>
      <c r="BI591" s="8" t="s">
        <v>6</v>
      </c>
      <c r="BJ591" s="5" t="s">
        <v>7</v>
      </c>
      <c r="BL591" s="272" t="s">
        <v>2</v>
      </c>
      <c r="BM591" s="6" t="s">
        <v>3</v>
      </c>
      <c r="BN591" s="7" t="s">
        <v>4</v>
      </c>
      <c r="BO591" s="7" t="s">
        <v>5</v>
      </c>
      <c r="BP591" s="8" t="s">
        <v>6</v>
      </c>
      <c r="BQ591" s="5" t="s">
        <v>7</v>
      </c>
    </row>
    <row r="592" spans="1:69" ht="15" thickBot="1" x14ac:dyDescent="0.2">
      <c r="A592" s="291" t="s">
        <v>30</v>
      </c>
      <c r="B592" s="292">
        <f>B586</f>
        <v>9</v>
      </c>
      <c r="C592" s="292">
        <f>C586</f>
        <v>7</v>
      </c>
      <c r="D592" s="292">
        <f>D586</f>
        <v>9</v>
      </c>
      <c r="E592" s="293">
        <f>E586</f>
        <v>10</v>
      </c>
      <c r="F592" s="77">
        <f t="shared" ref="F592:F628" si="226">SUM(B592:E592)</f>
        <v>35</v>
      </c>
      <c r="G592" s="292">
        <f>G586</f>
        <v>3</v>
      </c>
      <c r="H592" s="292">
        <f>H586</f>
        <v>3</v>
      </c>
      <c r="I592" s="292">
        <f>I586</f>
        <v>7</v>
      </c>
      <c r="J592" s="293">
        <f>J586</f>
        <v>9</v>
      </c>
      <c r="K592" s="77">
        <f t="shared" ref="K592:K628" si="227">SUM(G592:J592)</f>
        <v>22</v>
      </c>
      <c r="L592" s="292">
        <f>L586</f>
        <v>8</v>
      </c>
      <c r="M592" s="292">
        <f>M586</f>
        <v>10</v>
      </c>
      <c r="N592" s="292">
        <f>N586</f>
        <v>9</v>
      </c>
      <c r="O592" s="293">
        <f>O586</f>
        <v>10</v>
      </c>
      <c r="P592" s="77">
        <f t="shared" ref="P592:P628" si="228">SUM(L592:O592)</f>
        <v>37</v>
      </c>
      <c r="Q592" s="292">
        <f>Q586</f>
        <v>5</v>
      </c>
      <c r="R592" s="292">
        <f>R586</f>
        <v>7</v>
      </c>
      <c r="S592" s="292">
        <f>S586</f>
        <v>8</v>
      </c>
      <c r="T592" s="293">
        <f>T586</f>
        <v>7</v>
      </c>
      <c r="U592" s="182">
        <f t="shared" ref="U592:U628" si="229">SUM(Q592:T592)</f>
        <v>27</v>
      </c>
      <c r="V592" s="77">
        <f t="shared" ref="V592:V628" si="230">F592+K592+P592+U592</f>
        <v>121</v>
      </c>
      <c r="W592" s="325"/>
      <c r="X592" s="326"/>
      <c r="Y592" s="326"/>
      <c r="Z592" s="326"/>
      <c r="AC592" s="294" t="s">
        <v>30</v>
      </c>
      <c r="AD592" s="292">
        <f>AD586</f>
        <v>131</v>
      </c>
      <c r="AE592" s="292">
        <f>AE586</f>
        <v>203</v>
      </c>
      <c r="AF592" s="292">
        <f>AF586</f>
        <v>195</v>
      </c>
      <c r="AG592" s="293">
        <f>AG586</f>
        <v>128</v>
      </c>
      <c r="AH592" s="77">
        <f>SUM(AD592:AG592)</f>
        <v>657</v>
      </c>
      <c r="AI592" s="292">
        <f>AI586</f>
        <v>176</v>
      </c>
      <c r="AJ592" s="292">
        <f>AJ586</f>
        <v>311</v>
      </c>
      <c r="AK592" s="292">
        <f>AK586</f>
        <v>179</v>
      </c>
      <c r="AL592" s="293">
        <f>AL586</f>
        <v>202</v>
      </c>
      <c r="AM592" s="77">
        <f>SUM(AI592:AL592)</f>
        <v>868</v>
      </c>
      <c r="AN592" s="292">
        <f>AN586</f>
        <v>45</v>
      </c>
      <c r="AO592" s="292">
        <f>AO586</f>
        <v>87</v>
      </c>
      <c r="AP592" s="292">
        <f>AP586</f>
        <v>45</v>
      </c>
      <c r="AQ592" s="293">
        <f>AQ586</f>
        <v>27</v>
      </c>
      <c r="AR592" s="77">
        <f>SUM(AN592:AQ592)</f>
        <v>204</v>
      </c>
      <c r="AS592" s="292">
        <f>AS586</f>
        <v>136</v>
      </c>
      <c r="AT592" s="292">
        <f>AT586</f>
        <v>199</v>
      </c>
      <c r="AU592" s="292">
        <f>AU586</f>
        <v>131</v>
      </c>
      <c r="AV592" s="293">
        <f>AV586</f>
        <v>116</v>
      </c>
      <c r="AW592" s="182">
        <f>SUM(AS592:AV592)</f>
        <v>582</v>
      </c>
      <c r="AX592" s="77">
        <f t="shared" ref="AX592:AX628" si="231">AH592+AM592+AR592+AW592</f>
        <v>2311</v>
      </c>
      <c r="AY592" s="325"/>
      <c r="AZ592" s="326"/>
      <c r="BE592" s="294" t="s">
        <v>30</v>
      </c>
      <c r="BF592" s="40">
        <f>BF586</f>
        <v>7</v>
      </c>
      <c r="BG592" s="303">
        <f t="shared" ref="BG592:BJ592" si="232">BG586</f>
        <v>0</v>
      </c>
      <c r="BH592" s="41">
        <f t="shared" si="232"/>
        <v>8</v>
      </c>
      <c r="BI592" s="42">
        <f t="shared" si="232"/>
        <v>10</v>
      </c>
      <c r="BJ592" s="171">
        <f t="shared" si="232"/>
        <v>25</v>
      </c>
      <c r="BL592" s="294" t="s">
        <v>30</v>
      </c>
      <c r="BM592" s="292">
        <f>BM586</f>
        <v>8</v>
      </c>
      <c r="BN592" s="305">
        <f t="shared" ref="BN592:BQ592" si="233">BN586</f>
        <v>0</v>
      </c>
      <c r="BO592" s="292">
        <f t="shared" si="233"/>
        <v>39</v>
      </c>
      <c r="BP592" s="292">
        <f t="shared" si="233"/>
        <v>11</v>
      </c>
      <c r="BQ592" s="77">
        <f t="shared" si="233"/>
        <v>58</v>
      </c>
    </row>
    <row r="593" spans="1:69" x14ac:dyDescent="0.15">
      <c r="A593" s="53" t="s">
        <v>111</v>
      </c>
      <c r="B593" s="51"/>
      <c r="C593" s="52"/>
      <c r="D593" s="52"/>
      <c r="E593" s="52"/>
      <c r="F593" s="49">
        <f t="shared" si="226"/>
        <v>0</v>
      </c>
      <c r="G593" s="51">
        <v>5</v>
      </c>
      <c r="H593" s="52">
        <v>5</v>
      </c>
      <c r="I593" s="52"/>
      <c r="J593" s="52"/>
      <c r="K593" s="49">
        <f t="shared" si="227"/>
        <v>10</v>
      </c>
      <c r="L593" s="51"/>
      <c r="M593" s="52"/>
      <c r="N593" s="52"/>
      <c r="O593" s="52"/>
      <c r="P593" s="49">
        <f t="shared" si="228"/>
        <v>0</v>
      </c>
      <c r="Q593" s="51">
        <v>5</v>
      </c>
      <c r="R593" s="52"/>
      <c r="S593" s="52"/>
      <c r="T593" s="52"/>
      <c r="U593" s="175">
        <f t="shared" si="229"/>
        <v>5</v>
      </c>
      <c r="V593" s="49">
        <f t="shared" si="230"/>
        <v>15</v>
      </c>
      <c r="W593" s="329">
        <v>44721</v>
      </c>
      <c r="X593" s="326"/>
      <c r="Y593" s="326"/>
      <c r="Z593" s="326"/>
      <c r="AC593" s="268" t="s">
        <v>28</v>
      </c>
      <c r="AD593" s="51"/>
      <c r="AE593" s="52"/>
      <c r="AF593" s="52"/>
      <c r="AG593" s="52"/>
      <c r="AH593" s="49">
        <f t="shared" ref="AH593:AH628" si="234">SUM(AD593:AG593)</f>
        <v>0</v>
      </c>
      <c r="AI593" s="51"/>
      <c r="AJ593" s="52"/>
      <c r="AK593" s="52"/>
      <c r="AL593" s="52"/>
      <c r="AM593" s="49">
        <f t="shared" ref="AM593:AM628" si="235">SUM(AI593:AL593)</f>
        <v>0</v>
      </c>
      <c r="AN593" s="51"/>
      <c r="AO593" s="52"/>
      <c r="AP593" s="52"/>
      <c r="AQ593" s="52"/>
      <c r="AR593" s="49">
        <f t="shared" ref="AR593:AR595" si="236">SUM(AN593:AQ593)</f>
        <v>0</v>
      </c>
      <c r="AS593" s="51"/>
      <c r="AT593" s="52"/>
      <c r="AU593" s="52"/>
      <c r="AV593" s="52"/>
      <c r="AW593" s="175">
        <f t="shared" ref="AW593:AW595" si="237">SUM(AS593:AV593)</f>
        <v>0</v>
      </c>
      <c r="AX593" s="49">
        <f t="shared" si="231"/>
        <v>0</v>
      </c>
      <c r="AY593" s="325"/>
      <c r="AZ593" s="326"/>
      <c r="BE593" s="268" t="s">
        <v>28</v>
      </c>
      <c r="BF593" s="51"/>
      <c r="BG593" s="52"/>
      <c r="BH593" s="52"/>
      <c r="BI593" s="52"/>
      <c r="BJ593" s="49">
        <f t="shared" ref="BJ593:BJ595" si="238">SUM(BF593:BI593)</f>
        <v>0</v>
      </c>
      <c r="BL593" s="268" t="s">
        <v>28</v>
      </c>
      <c r="BM593" s="51"/>
      <c r="BN593" s="52"/>
      <c r="BO593" s="52"/>
      <c r="BP593" s="52"/>
      <c r="BQ593" s="49">
        <f t="shared" ref="BQ593:BQ595" si="239">SUM(BM593:BP593)</f>
        <v>0</v>
      </c>
    </row>
    <row r="594" spans="1:69" x14ac:dyDescent="0.15">
      <c r="A594" s="53" t="s">
        <v>111</v>
      </c>
      <c r="B594" s="55"/>
      <c r="C594" s="55"/>
      <c r="D594" s="55"/>
      <c r="E594" s="166"/>
      <c r="F594" s="49">
        <f t="shared" si="226"/>
        <v>0</v>
      </c>
      <c r="G594" s="55">
        <v>5</v>
      </c>
      <c r="H594" s="55"/>
      <c r="I594" s="55"/>
      <c r="J594" s="166"/>
      <c r="K594" s="49">
        <f t="shared" si="227"/>
        <v>5</v>
      </c>
      <c r="L594" s="55"/>
      <c r="M594" s="55"/>
      <c r="N594" s="55"/>
      <c r="O594" s="166"/>
      <c r="P594" s="49">
        <f t="shared" si="228"/>
        <v>0</v>
      </c>
      <c r="Q594" s="55"/>
      <c r="R594" s="55">
        <v>5</v>
      </c>
      <c r="S594" s="55"/>
      <c r="T594" s="166"/>
      <c r="U594" s="175">
        <f t="shared" si="229"/>
        <v>5</v>
      </c>
      <c r="V594" s="56">
        <f t="shared" si="230"/>
        <v>10</v>
      </c>
      <c r="W594" s="329">
        <v>44726</v>
      </c>
      <c r="X594" s="326"/>
      <c r="Y594" s="326"/>
      <c r="Z594" s="326"/>
      <c r="AC594" s="268" t="s">
        <v>28</v>
      </c>
      <c r="AD594" s="54"/>
      <c r="AE594" s="55"/>
      <c r="AF594" s="55"/>
      <c r="AG594" s="55"/>
      <c r="AH594" s="56">
        <f t="shared" si="234"/>
        <v>0</v>
      </c>
      <c r="AI594" s="54"/>
      <c r="AJ594" s="55"/>
      <c r="AK594" s="55"/>
      <c r="AL594" s="55"/>
      <c r="AM594" s="56">
        <f t="shared" si="235"/>
        <v>0</v>
      </c>
      <c r="AN594" s="54"/>
      <c r="AO594" s="55"/>
      <c r="AP594" s="55"/>
      <c r="AQ594" s="55"/>
      <c r="AR594" s="56">
        <f t="shared" si="236"/>
        <v>0</v>
      </c>
      <c r="AS594" s="54"/>
      <c r="AT594" s="55"/>
      <c r="AU594" s="55"/>
      <c r="AV594" s="55"/>
      <c r="AW594" s="176">
        <f t="shared" si="237"/>
        <v>0</v>
      </c>
      <c r="AX594" s="56">
        <f t="shared" si="231"/>
        <v>0</v>
      </c>
      <c r="AY594" s="325"/>
      <c r="AZ594" s="326"/>
      <c r="BE594" s="268" t="s">
        <v>28</v>
      </c>
      <c r="BF594" s="54"/>
      <c r="BG594" s="55"/>
      <c r="BH594" s="55"/>
      <c r="BI594" s="55"/>
      <c r="BJ594" s="56">
        <f t="shared" si="238"/>
        <v>0</v>
      </c>
      <c r="BL594" s="268" t="s">
        <v>28</v>
      </c>
      <c r="BM594" s="54"/>
      <c r="BN594" s="55"/>
      <c r="BO594" s="55"/>
      <c r="BP594" s="55"/>
      <c r="BQ594" s="56">
        <f t="shared" si="239"/>
        <v>0</v>
      </c>
    </row>
    <row r="595" spans="1:69" x14ac:dyDescent="0.15">
      <c r="A595" s="53" t="s">
        <v>111</v>
      </c>
      <c r="B595" s="55"/>
      <c r="C595" s="55"/>
      <c r="D595" s="55"/>
      <c r="E595" s="166"/>
      <c r="F595" s="49">
        <f t="shared" si="226"/>
        <v>0</v>
      </c>
      <c r="G595" s="55"/>
      <c r="H595" s="55"/>
      <c r="I595" s="55">
        <v>3</v>
      </c>
      <c r="J595" s="166"/>
      <c r="K595" s="49">
        <f t="shared" si="227"/>
        <v>3</v>
      </c>
      <c r="L595" s="55"/>
      <c r="M595" s="55"/>
      <c r="N595" s="55"/>
      <c r="O595" s="166"/>
      <c r="P595" s="49">
        <f t="shared" si="228"/>
        <v>0</v>
      </c>
      <c r="Q595" s="55"/>
      <c r="R595" s="55"/>
      <c r="S595" s="55"/>
      <c r="T595" s="166">
        <v>3</v>
      </c>
      <c r="U595" s="175">
        <f t="shared" si="229"/>
        <v>3</v>
      </c>
      <c r="V595" s="56">
        <f t="shared" si="230"/>
        <v>6</v>
      </c>
      <c r="W595" s="329">
        <v>44734</v>
      </c>
      <c r="X595" s="326"/>
      <c r="Y595" s="326"/>
      <c r="Z595" s="326"/>
      <c r="AC595" s="268" t="s">
        <v>28</v>
      </c>
      <c r="AD595" s="55"/>
      <c r="AE595" s="153"/>
      <c r="AF595" s="153"/>
      <c r="AG595" s="168"/>
      <c r="AH595" s="56">
        <f t="shared" si="234"/>
        <v>0</v>
      </c>
      <c r="AI595" s="54"/>
      <c r="AJ595" s="55"/>
      <c r="AK595" s="55"/>
      <c r="AL595" s="55"/>
      <c r="AM595" s="56">
        <f t="shared" si="235"/>
        <v>0</v>
      </c>
      <c r="AN595" s="54"/>
      <c r="AO595" s="55"/>
      <c r="AP595" s="55"/>
      <c r="AQ595" s="55"/>
      <c r="AR595" s="56">
        <f t="shared" si="236"/>
        <v>0</v>
      </c>
      <c r="AS595" s="55"/>
      <c r="AT595" s="153"/>
      <c r="AU595" s="153"/>
      <c r="AV595" s="168"/>
      <c r="AW595" s="176">
        <f t="shared" si="237"/>
        <v>0</v>
      </c>
      <c r="AX595" s="56">
        <f t="shared" si="231"/>
        <v>0</v>
      </c>
      <c r="AY595" s="330"/>
      <c r="AZ595" s="326"/>
      <c r="BE595" s="268" t="s">
        <v>28</v>
      </c>
      <c r="BF595" s="55"/>
      <c r="BG595" s="153"/>
      <c r="BH595" s="153"/>
      <c r="BI595" s="168"/>
      <c r="BJ595" s="56">
        <f t="shared" si="238"/>
        <v>0</v>
      </c>
      <c r="BL595" s="268" t="s">
        <v>28</v>
      </c>
      <c r="BM595" s="55"/>
      <c r="BN595" s="153"/>
      <c r="BO595" s="153"/>
      <c r="BP595" s="168"/>
      <c r="BQ595" s="56">
        <f t="shared" si="239"/>
        <v>0</v>
      </c>
    </row>
    <row r="596" spans="1:69" x14ac:dyDescent="0.15">
      <c r="A596" s="53" t="s">
        <v>111</v>
      </c>
      <c r="B596" s="63"/>
      <c r="C596" s="63"/>
      <c r="D596" s="63"/>
      <c r="E596" s="167"/>
      <c r="F596" s="64">
        <f t="shared" si="226"/>
        <v>0</v>
      </c>
      <c r="G596" s="63"/>
      <c r="H596" s="63"/>
      <c r="I596" s="63"/>
      <c r="J596" s="167">
        <v>3</v>
      </c>
      <c r="K596" s="64">
        <f t="shared" si="227"/>
        <v>3</v>
      </c>
      <c r="L596" s="63"/>
      <c r="M596" s="63"/>
      <c r="N596" s="63"/>
      <c r="O596" s="167"/>
      <c r="P596" s="64">
        <f t="shared" si="228"/>
        <v>0</v>
      </c>
      <c r="Q596" s="63"/>
      <c r="R596" s="63">
        <v>3</v>
      </c>
      <c r="S596" s="63"/>
      <c r="T596" s="167"/>
      <c r="U596" s="162">
        <f t="shared" si="229"/>
        <v>3</v>
      </c>
      <c r="V596" s="56">
        <f t="shared" si="230"/>
        <v>6</v>
      </c>
      <c r="W596" s="329">
        <v>44739</v>
      </c>
      <c r="X596" s="326"/>
      <c r="Y596" s="326"/>
      <c r="Z596" s="326"/>
      <c r="AC596" s="268" t="s">
        <v>28</v>
      </c>
      <c r="AD596" s="63"/>
      <c r="AE596" s="63"/>
      <c r="AF596" s="63"/>
      <c r="AG596" s="167"/>
      <c r="AH596" s="56">
        <f t="shared" si="234"/>
        <v>0</v>
      </c>
      <c r="AI596" s="63"/>
      <c r="AJ596" s="63"/>
      <c r="AK596" s="63"/>
      <c r="AL596" s="167"/>
      <c r="AM596" s="56">
        <f t="shared" si="235"/>
        <v>0</v>
      </c>
      <c r="AN596" s="63"/>
      <c r="AO596" s="63"/>
      <c r="AP596" s="63"/>
      <c r="AQ596" s="167"/>
      <c r="AR596" s="64">
        <v>0</v>
      </c>
      <c r="AS596" s="63"/>
      <c r="AT596" s="63"/>
      <c r="AU596" s="63"/>
      <c r="AV596" s="167"/>
      <c r="AW596" s="162">
        <v>0</v>
      </c>
      <c r="AX596" s="56">
        <f t="shared" si="231"/>
        <v>0</v>
      </c>
      <c r="AY596" s="330"/>
      <c r="AZ596" s="326"/>
      <c r="BE596" s="268" t="s">
        <v>28</v>
      </c>
      <c r="BF596" s="63"/>
      <c r="BG596" s="63"/>
      <c r="BH596" s="63"/>
      <c r="BI596" s="167"/>
      <c r="BJ596" s="64">
        <v>0</v>
      </c>
      <c r="BL596" s="268" t="s">
        <v>28</v>
      </c>
      <c r="BM596" s="63"/>
      <c r="BN596" s="63"/>
      <c r="BO596" s="63"/>
      <c r="BP596" s="167"/>
      <c r="BQ596" s="64">
        <v>0</v>
      </c>
    </row>
    <row r="597" spans="1:69" x14ac:dyDescent="0.15">
      <c r="A597" s="53" t="s">
        <v>111</v>
      </c>
      <c r="B597" s="55"/>
      <c r="C597" s="153"/>
      <c r="D597" s="153"/>
      <c r="E597" s="168"/>
      <c r="F597" s="56">
        <f t="shared" si="226"/>
        <v>0</v>
      </c>
      <c r="G597" s="55"/>
      <c r="H597" s="153">
        <v>5</v>
      </c>
      <c r="I597" s="153">
        <v>3</v>
      </c>
      <c r="J597" s="168">
        <v>3</v>
      </c>
      <c r="K597" s="56">
        <f t="shared" si="227"/>
        <v>11</v>
      </c>
      <c r="L597" s="55"/>
      <c r="M597" s="153"/>
      <c r="N597" s="153"/>
      <c r="O597" s="168"/>
      <c r="P597" s="56">
        <f t="shared" si="228"/>
        <v>0</v>
      </c>
      <c r="Q597" s="55"/>
      <c r="R597" s="153">
        <v>3</v>
      </c>
      <c r="S597" s="153">
        <v>5</v>
      </c>
      <c r="T597" s="168">
        <v>5</v>
      </c>
      <c r="U597" s="176">
        <f t="shared" si="229"/>
        <v>13</v>
      </c>
      <c r="V597" s="56">
        <f t="shared" si="230"/>
        <v>24</v>
      </c>
      <c r="W597" s="329">
        <v>44739</v>
      </c>
      <c r="X597" s="326"/>
      <c r="Y597" s="326"/>
      <c r="Z597" s="326"/>
      <c r="AC597" s="268" t="s">
        <v>28</v>
      </c>
      <c r="AD597" s="55"/>
      <c r="AE597" s="153"/>
      <c r="AF597" s="153"/>
      <c r="AG597" s="168"/>
      <c r="AH597" s="56">
        <f t="shared" si="234"/>
        <v>0</v>
      </c>
      <c r="AI597" s="55"/>
      <c r="AJ597" s="153"/>
      <c r="AK597" s="153"/>
      <c r="AL597" s="168"/>
      <c r="AM597" s="56">
        <f t="shared" si="235"/>
        <v>0</v>
      </c>
      <c r="AN597" s="55"/>
      <c r="AO597" s="153"/>
      <c r="AP597" s="153"/>
      <c r="AQ597" s="168"/>
      <c r="AR597" s="56">
        <f t="shared" ref="AR597:AR628" si="240">SUM(AN597:AQ597)</f>
        <v>0</v>
      </c>
      <c r="AS597" s="55"/>
      <c r="AT597" s="153"/>
      <c r="AU597" s="153"/>
      <c r="AV597" s="168"/>
      <c r="AW597" s="176">
        <f t="shared" ref="AW597:AW628" si="241">SUM(AS597:AV597)</f>
        <v>0</v>
      </c>
      <c r="AX597" s="56">
        <f t="shared" si="231"/>
        <v>0</v>
      </c>
      <c r="AY597" s="325"/>
      <c r="AZ597" s="326"/>
      <c r="BE597" s="268" t="s">
        <v>28</v>
      </c>
      <c r="BF597" s="55"/>
      <c r="BG597" s="153"/>
      <c r="BH597" s="153"/>
      <c r="BI597" s="168"/>
      <c r="BJ597" s="56">
        <f t="shared" ref="BJ597:BJ628" si="242">SUM(BF597:BI597)</f>
        <v>0</v>
      </c>
      <c r="BL597" s="268" t="s">
        <v>28</v>
      </c>
      <c r="BM597" s="55"/>
      <c r="BN597" s="153"/>
      <c r="BO597" s="153"/>
      <c r="BP597" s="168"/>
      <c r="BQ597" s="56">
        <f t="shared" ref="BQ597:BQ628" si="243">SUM(BM597:BP597)</f>
        <v>0</v>
      </c>
    </row>
    <row r="598" spans="1:69" x14ac:dyDescent="0.15">
      <c r="A598" s="53" t="s">
        <v>392</v>
      </c>
      <c r="B598" s="55"/>
      <c r="C598" s="153"/>
      <c r="D598" s="153"/>
      <c r="E598" s="168"/>
      <c r="F598" s="56">
        <f t="shared" si="226"/>
        <v>0</v>
      </c>
      <c r="G598" s="55"/>
      <c r="H598" s="153"/>
      <c r="I598" s="153"/>
      <c r="J598" s="168">
        <v>1</v>
      </c>
      <c r="K598" s="56">
        <f t="shared" si="227"/>
        <v>1</v>
      </c>
      <c r="L598" s="55"/>
      <c r="M598" s="153"/>
      <c r="N598" s="153"/>
      <c r="O598" s="168"/>
      <c r="P598" s="56">
        <f t="shared" si="228"/>
        <v>0</v>
      </c>
      <c r="Q598" s="55"/>
      <c r="R598" s="153"/>
      <c r="S598" s="153"/>
      <c r="T598" s="168"/>
      <c r="U598" s="176">
        <f t="shared" si="229"/>
        <v>0</v>
      </c>
      <c r="V598" s="56">
        <f t="shared" si="230"/>
        <v>1</v>
      </c>
      <c r="W598" s="328">
        <v>44742</v>
      </c>
      <c r="X598" s="326"/>
      <c r="Y598" s="326"/>
      <c r="Z598" s="326"/>
      <c r="AC598" s="268" t="s">
        <v>28</v>
      </c>
      <c r="AD598" s="55"/>
      <c r="AE598" s="153"/>
      <c r="AF598" s="153"/>
      <c r="AG598" s="168"/>
      <c r="AH598" s="56">
        <f t="shared" si="234"/>
        <v>0</v>
      </c>
      <c r="AI598" s="55"/>
      <c r="AJ598" s="153"/>
      <c r="AK598" s="153"/>
      <c r="AL598" s="168"/>
      <c r="AM598" s="56">
        <f t="shared" si="235"/>
        <v>0</v>
      </c>
      <c r="AN598" s="55"/>
      <c r="AO598" s="153"/>
      <c r="AP598" s="153"/>
      <c r="AQ598" s="168"/>
      <c r="AR598" s="56">
        <f t="shared" si="240"/>
        <v>0</v>
      </c>
      <c r="AS598" s="55"/>
      <c r="AT598" s="153"/>
      <c r="AU598" s="153"/>
      <c r="AV598" s="168"/>
      <c r="AW598" s="176">
        <f t="shared" si="241"/>
        <v>0</v>
      </c>
      <c r="AX598" s="56">
        <f t="shared" si="231"/>
        <v>0</v>
      </c>
      <c r="AY598" s="325"/>
      <c r="AZ598" s="326"/>
      <c r="BE598" s="268" t="s">
        <v>28</v>
      </c>
      <c r="BF598" s="55"/>
      <c r="BG598" s="153"/>
      <c r="BH598" s="153"/>
      <c r="BI598" s="168"/>
      <c r="BJ598" s="56">
        <f t="shared" si="242"/>
        <v>0</v>
      </c>
      <c r="BL598" s="268" t="s">
        <v>28</v>
      </c>
      <c r="BM598" s="55"/>
      <c r="BN598" s="153"/>
      <c r="BO598" s="153"/>
      <c r="BP598" s="168"/>
      <c r="BQ598" s="56">
        <f t="shared" si="243"/>
        <v>0</v>
      </c>
    </row>
    <row r="599" spans="1:69" ht="14.25" thickBot="1" x14ac:dyDescent="0.2">
      <c r="A599" s="53" t="s">
        <v>28</v>
      </c>
      <c r="B599" s="63">
        <v>5</v>
      </c>
      <c r="C599" s="164">
        <v>5</v>
      </c>
      <c r="D599" s="164">
        <v>5</v>
      </c>
      <c r="E599" s="169"/>
      <c r="F599" s="170">
        <f t="shared" si="226"/>
        <v>15</v>
      </c>
      <c r="G599" s="63">
        <v>5</v>
      </c>
      <c r="H599" s="164">
        <v>15</v>
      </c>
      <c r="I599" s="164">
        <v>5</v>
      </c>
      <c r="J599" s="169">
        <v>5</v>
      </c>
      <c r="K599" s="170">
        <f t="shared" si="227"/>
        <v>30</v>
      </c>
      <c r="L599" s="63">
        <v>5</v>
      </c>
      <c r="M599" s="164"/>
      <c r="N599" s="164"/>
      <c r="O599" s="169"/>
      <c r="P599" s="170">
        <f t="shared" si="228"/>
        <v>5</v>
      </c>
      <c r="Q599" s="63">
        <v>5</v>
      </c>
      <c r="R599" s="164">
        <v>10</v>
      </c>
      <c r="S599" s="164">
        <v>5</v>
      </c>
      <c r="T599" s="169">
        <v>5</v>
      </c>
      <c r="U599" s="179">
        <f t="shared" si="229"/>
        <v>25</v>
      </c>
      <c r="V599" s="170">
        <f t="shared" si="230"/>
        <v>75</v>
      </c>
      <c r="W599" s="329">
        <v>44744</v>
      </c>
      <c r="X599" s="326"/>
      <c r="Y599" s="326"/>
      <c r="Z599" s="326"/>
      <c r="AC599" s="274" t="s">
        <v>28</v>
      </c>
      <c r="AD599" s="63"/>
      <c r="AE599" s="164"/>
      <c r="AF599" s="164"/>
      <c r="AG599" s="169"/>
      <c r="AH599" s="170">
        <f t="shared" si="234"/>
        <v>0</v>
      </c>
      <c r="AI599" s="63"/>
      <c r="AJ599" s="164"/>
      <c r="AK599" s="164"/>
      <c r="AL599" s="169"/>
      <c r="AM599" s="170">
        <f t="shared" si="235"/>
        <v>0</v>
      </c>
      <c r="AN599" s="63"/>
      <c r="AO599" s="164"/>
      <c r="AP599" s="164"/>
      <c r="AQ599" s="169"/>
      <c r="AR599" s="170">
        <f t="shared" si="240"/>
        <v>0</v>
      </c>
      <c r="AS599" s="63"/>
      <c r="AT599" s="164"/>
      <c r="AU599" s="164"/>
      <c r="AV599" s="169"/>
      <c r="AW599" s="179">
        <f t="shared" si="241"/>
        <v>0</v>
      </c>
      <c r="AX599" s="170">
        <f t="shared" si="231"/>
        <v>0</v>
      </c>
      <c r="AY599" s="325"/>
      <c r="AZ599" s="326"/>
      <c r="BE599" s="274" t="s">
        <v>28</v>
      </c>
      <c r="BF599" s="63"/>
      <c r="BG599" s="164"/>
      <c r="BH599" s="164"/>
      <c r="BI599" s="169"/>
      <c r="BJ599" s="170">
        <f t="shared" si="242"/>
        <v>0</v>
      </c>
      <c r="BL599" s="274" t="s">
        <v>28</v>
      </c>
      <c r="BM599" s="63"/>
      <c r="BN599" s="164"/>
      <c r="BO599" s="164"/>
      <c r="BP599" s="169"/>
      <c r="BQ599" s="170">
        <f t="shared" si="243"/>
        <v>0</v>
      </c>
    </row>
    <row r="600" spans="1:69" ht="15" thickBot="1" x14ac:dyDescent="0.2">
      <c r="A600" s="181" t="s">
        <v>14</v>
      </c>
      <c r="B600" s="182">
        <f>SUM(B592:B599)</f>
        <v>14</v>
      </c>
      <c r="C600" s="183">
        <f>SUM(C592:C599)</f>
        <v>12</v>
      </c>
      <c r="D600" s="183">
        <f>SUM(D592:D599)</f>
        <v>14</v>
      </c>
      <c r="E600" s="184">
        <f>SUM(E592:E599)</f>
        <v>10</v>
      </c>
      <c r="F600" s="77">
        <f t="shared" si="226"/>
        <v>50</v>
      </c>
      <c r="G600" s="182">
        <f>SUM(G592:G599)</f>
        <v>18</v>
      </c>
      <c r="H600" s="183">
        <f>SUM(H592:H599)</f>
        <v>28</v>
      </c>
      <c r="I600" s="183">
        <f>SUM(I592:I599)</f>
        <v>18</v>
      </c>
      <c r="J600" s="184">
        <f>SUM(J592:J599)</f>
        <v>21</v>
      </c>
      <c r="K600" s="77">
        <f t="shared" si="227"/>
        <v>85</v>
      </c>
      <c r="L600" s="182">
        <f>SUM(L592:L599)</f>
        <v>13</v>
      </c>
      <c r="M600" s="183">
        <f>SUM(M592:M599)</f>
        <v>10</v>
      </c>
      <c r="N600" s="183">
        <f>SUM(N592:N599)</f>
        <v>9</v>
      </c>
      <c r="O600" s="184">
        <f>SUM(O592:O599)</f>
        <v>10</v>
      </c>
      <c r="P600" s="77">
        <f t="shared" si="228"/>
        <v>42</v>
      </c>
      <c r="Q600" s="182">
        <f>SUM(Q592:Q599)</f>
        <v>15</v>
      </c>
      <c r="R600" s="183">
        <f>SUM(R592:R599)</f>
        <v>28</v>
      </c>
      <c r="S600" s="183">
        <f>SUM(S592:S599)</f>
        <v>18</v>
      </c>
      <c r="T600" s="184">
        <f>SUM(T592:T599)</f>
        <v>20</v>
      </c>
      <c r="U600" s="182">
        <f t="shared" si="229"/>
        <v>81</v>
      </c>
      <c r="V600" s="77">
        <f t="shared" si="230"/>
        <v>258</v>
      </c>
      <c r="W600" s="325"/>
      <c r="X600" s="326"/>
      <c r="Y600" s="326"/>
      <c r="Z600" s="326"/>
      <c r="AC600" s="275" t="s">
        <v>14</v>
      </c>
      <c r="AD600" s="182">
        <f>SUM(AD592:AD599)</f>
        <v>131</v>
      </c>
      <c r="AE600" s="183">
        <f>SUM(AE592:AE599)</f>
        <v>203</v>
      </c>
      <c r="AF600" s="183">
        <f>SUM(AF592:AF599)</f>
        <v>195</v>
      </c>
      <c r="AG600" s="184">
        <f>SUM(AG592:AG599)</f>
        <v>128</v>
      </c>
      <c r="AH600" s="77">
        <f t="shared" si="234"/>
        <v>657</v>
      </c>
      <c r="AI600" s="182">
        <f>SUM(AI592:AI599)</f>
        <v>176</v>
      </c>
      <c r="AJ600" s="183">
        <f>SUM(AJ592:AJ599)</f>
        <v>311</v>
      </c>
      <c r="AK600" s="183">
        <f>SUM(AK592:AK599)</f>
        <v>179</v>
      </c>
      <c r="AL600" s="184">
        <f>SUM(AL592:AL599)</f>
        <v>202</v>
      </c>
      <c r="AM600" s="77">
        <f t="shared" si="235"/>
        <v>868</v>
      </c>
      <c r="AN600" s="182">
        <f>SUM(AN592:AN599)</f>
        <v>45</v>
      </c>
      <c r="AO600" s="183">
        <f>SUM(AO592:AO599)</f>
        <v>87</v>
      </c>
      <c r="AP600" s="183">
        <f>SUM(AP592:AP599)</f>
        <v>45</v>
      </c>
      <c r="AQ600" s="184">
        <f>SUM(AQ592:AQ599)</f>
        <v>27</v>
      </c>
      <c r="AR600" s="77">
        <f t="shared" si="240"/>
        <v>204</v>
      </c>
      <c r="AS600" s="182">
        <f>SUM(AS592:AS599)</f>
        <v>136</v>
      </c>
      <c r="AT600" s="183">
        <f>SUM(AT592:AT599)</f>
        <v>199</v>
      </c>
      <c r="AU600" s="183">
        <f>SUM(AU592:AU599)</f>
        <v>131</v>
      </c>
      <c r="AV600" s="184">
        <f>SUM(AV592:AV599)</f>
        <v>116</v>
      </c>
      <c r="AW600" s="182">
        <f t="shared" si="241"/>
        <v>582</v>
      </c>
      <c r="AX600" s="77">
        <f t="shared" si="231"/>
        <v>2311</v>
      </c>
      <c r="AY600" s="325"/>
      <c r="AZ600" s="326"/>
      <c r="BE600" s="275" t="s">
        <v>14</v>
      </c>
      <c r="BF600" s="182">
        <f>SUM(BF592:BF599)</f>
        <v>7</v>
      </c>
      <c r="BG600" s="183">
        <f>SUM(BG592:BG599)</f>
        <v>0</v>
      </c>
      <c r="BH600" s="183">
        <f>SUM(BH592:BH599)</f>
        <v>8</v>
      </c>
      <c r="BI600" s="184">
        <f>SUM(BI592:BI599)</f>
        <v>10</v>
      </c>
      <c r="BJ600" s="77">
        <f t="shared" si="242"/>
        <v>25</v>
      </c>
      <c r="BL600" s="275" t="s">
        <v>14</v>
      </c>
      <c r="BM600" s="182">
        <f>SUM(BM592:BM599)</f>
        <v>8</v>
      </c>
      <c r="BN600" s="183">
        <f>SUM(BN592:BN599)</f>
        <v>0</v>
      </c>
      <c r="BO600" s="183">
        <f>SUM(BO592:BO599)</f>
        <v>39</v>
      </c>
      <c r="BP600" s="184">
        <f>SUM(BP592:BP599)</f>
        <v>11</v>
      </c>
      <c r="BQ600" s="77">
        <f t="shared" si="243"/>
        <v>58</v>
      </c>
    </row>
    <row r="601" spans="1:69" x14ac:dyDescent="0.15">
      <c r="A601" s="53" t="s">
        <v>98</v>
      </c>
      <c r="B601" s="46"/>
      <c r="C601" s="47"/>
      <c r="D601" s="47"/>
      <c r="E601" s="47"/>
      <c r="F601" s="48">
        <f t="shared" si="226"/>
        <v>0</v>
      </c>
      <c r="G601" s="46"/>
      <c r="H601" s="47">
        <v>1</v>
      </c>
      <c r="I601" s="47"/>
      <c r="J601" s="47"/>
      <c r="K601" s="48">
        <f t="shared" si="227"/>
        <v>1</v>
      </c>
      <c r="L601" s="46"/>
      <c r="M601" s="47"/>
      <c r="N601" s="47"/>
      <c r="O601" s="47"/>
      <c r="P601" s="48">
        <f t="shared" si="228"/>
        <v>0</v>
      </c>
      <c r="Q601" s="46"/>
      <c r="R601" s="47"/>
      <c r="S601" s="47"/>
      <c r="T601" s="47"/>
      <c r="U601" s="180">
        <f t="shared" si="229"/>
        <v>0</v>
      </c>
      <c r="V601" s="49">
        <f t="shared" si="230"/>
        <v>1</v>
      </c>
      <c r="W601" s="328">
        <v>44721</v>
      </c>
      <c r="X601" s="326"/>
      <c r="Y601" s="326"/>
      <c r="Z601" s="326"/>
      <c r="AC601" s="276" t="s">
        <v>379</v>
      </c>
      <c r="AD601" s="55"/>
      <c r="AE601" s="153"/>
      <c r="AF601" s="153"/>
      <c r="AG601" s="168"/>
      <c r="AH601" s="56">
        <f t="shared" si="234"/>
        <v>0</v>
      </c>
      <c r="AI601" s="55">
        <v>5</v>
      </c>
      <c r="AJ601" s="153">
        <v>5</v>
      </c>
      <c r="AK601" s="153"/>
      <c r="AL601" s="168"/>
      <c r="AM601" s="56">
        <f t="shared" si="235"/>
        <v>10</v>
      </c>
      <c r="AN601" s="55"/>
      <c r="AO601" s="153"/>
      <c r="AP601" s="153"/>
      <c r="AQ601" s="168"/>
      <c r="AR601" s="56">
        <f t="shared" si="240"/>
        <v>0</v>
      </c>
      <c r="AS601" s="55">
        <v>5</v>
      </c>
      <c r="AT601" s="153"/>
      <c r="AU601" s="153"/>
      <c r="AV601" s="168"/>
      <c r="AW601" s="176">
        <f t="shared" si="241"/>
        <v>5</v>
      </c>
      <c r="AX601" s="56">
        <f t="shared" si="231"/>
        <v>15</v>
      </c>
      <c r="AY601" s="329">
        <v>44721</v>
      </c>
      <c r="AZ601" s="326"/>
      <c r="BE601" s="268" t="s">
        <v>98</v>
      </c>
      <c r="BF601" s="55"/>
      <c r="BG601" s="153"/>
      <c r="BH601" s="153">
        <v>1</v>
      </c>
      <c r="BI601" s="168"/>
      <c r="BJ601" s="56">
        <f t="shared" si="242"/>
        <v>1</v>
      </c>
      <c r="BK601" s="304">
        <v>44725</v>
      </c>
      <c r="BL601" s="268"/>
      <c r="BM601" s="55"/>
      <c r="BN601" s="153"/>
      <c r="BO601" s="153"/>
      <c r="BP601" s="168"/>
      <c r="BQ601" s="56">
        <f t="shared" si="243"/>
        <v>0</v>
      </c>
    </row>
    <row r="602" spans="1:69" x14ac:dyDescent="0.15">
      <c r="A602" s="53" t="s">
        <v>100</v>
      </c>
      <c r="B602" s="54"/>
      <c r="C602" s="55"/>
      <c r="D602" s="55"/>
      <c r="E602" s="55"/>
      <c r="F602" s="56">
        <f t="shared" si="226"/>
        <v>0</v>
      </c>
      <c r="G602" s="54"/>
      <c r="H602" s="55"/>
      <c r="I602" s="55">
        <v>1</v>
      </c>
      <c r="J602" s="55"/>
      <c r="K602" s="56">
        <f t="shared" si="227"/>
        <v>1</v>
      </c>
      <c r="L602" s="54"/>
      <c r="M602" s="55"/>
      <c r="N602" s="55"/>
      <c r="O602" s="55"/>
      <c r="P602" s="56">
        <f t="shared" si="228"/>
        <v>0</v>
      </c>
      <c r="Q602" s="54"/>
      <c r="R602" s="55"/>
      <c r="S602" s="55"/>
      <c r="T602" s="55"/>
      <c r="U602" s="176">
        <f t="shared" si="229"/>
        <v>0</v>
      </c>
      <c r="V602" s="56">
        <f t="shared" si="230"/>
        <v>1</v>
      </c>
      <c r="W602" s="329">
        <v>44723</v>
      </c>
      <c r="X602" s="326"/>
      <c r="Y602" s="326"/>
      <c r="Z602" s="326"/>
      <c r="AC602" s="276" t="s">
        <v>380</v>
      </c>
      <c r="AD602" s="54"/>
      <c r="AE602" s="55"/>
      <c r="AF602" s="55"/>
      <c r="AG602" s="55"/>
      <c r="AH602" s="56">
        <f t="shared" si="234"/>
        <v>0</v>
      </c>
      <c r="AI602" s="54"/>
      <c r="AJ602" s="55"/>
      <c r="AK602" s="55"/>
      <c r="AL602" s="55"/>
      <c r="AM602" s="56">
        <f t="shared" si="235"/>
        <v>0</v>
      </c>
      <c r="AN602" s="54"/>
      <c r="AO602" s="55"/>
      <c r="AP602" s="55"/>
      <c r="AQ602" s="55"/>
      <c r="AR602" s="56">
        <f t="shared" si="240"/>
        <v>0</v>
      </c>
      <c r="AS602" s="54"/>
      <c r="AT602" s="55">
        <v>10</v>
      </c>
      <c r="AU602" s="55"/>
      <c r="AV602" s="55"/>
      <c r="AW602" s="176">
        <f t="shared" si="241"/>
        <v>10</v>
      </c>
      <c r="AX602" s="56">
        <f t="shared" si="231"/>
        <v>10</v>
      </c>
      <c r="AY602" s="329">
        <v>44727</v>
      </c>
      <c r="AZ602" s="326"/>
      <c r="BE602" s="268" t="s">
        <v>98</v>
      </c>
      <c r="BF602" s="54"/>
      <c r="BG602" s="55"/>
      <c r="BH602" s="55"/>
      <c r="BI602" s="55">
        <v>1</v>
      </c>
      <c r="BJ602" s="56">
        <f t="shared" si="242"/>
        <v>1</v>
      </c>
      <c r="BK602" s="304">
        <v>44730</v>
      </c>
      <c r="BL602" s="268"/>
      <c r="BM602" s="54"/>
      <c r="BN602" s="55"/>
      <c r="BO602" s="55"/>
      <c r="BP602" s="55"/>
      <c r="BQ602" s="56">
        <f t="shared" si="243"/>
        <v>0</v>
      </c>
    </row>
    <row r="603" spans="1:69" x14ac:dyDescent="0.15">
      <c r="A603" s="53" t="s">
        <v>98</v>
      </c>
      <c r="B603" s="54"/>
      <c r="C603" s="55">
        <v>1</v>
      </c>
      <c r="D603" s="55">
        <v>1</v>
      </c>
      <c r="E603" s="55"/>
      <c r="F603" s="56">
        <f t="shared" si="226"/>
        <v>2</v>
      </c>
      <c r="G603" s="54"/>
      <c r="H603" s="55"/>
      <c r="I603" s="55"/>
      <c r="J603" s="55">
        <v>1</v>
      </c>
      <c r="K603" s="56">
        <f t="shared" si="227"/>
        <v>1</v>
      </c>
      <c r="L603" s="54"/>
      <c r="M603" s="55"/>
      <c r="N603" s="55"/>
      <c r="O603" s="55"/>
      <c r="P603" s="56">
        <f t="shared" si="228"/>
        <v>0</v>
      </c>
      <c r="Q603" s="54"/>
      <c r="R603" s="55"/>
      <c r="S603" s="55"/>
      <c r="T603" s="55"/>
      <c r="U603" s="176">
        <f t="shared" si="229"/>
        <v>0</v>
      </c>
      <c r="V603" s="56">
        <f t="shared" si="230"/>
        <v>3</v>
      </c>
      <c r="W603" s="328">
        <v>44722</v>
      </c>
      <c r="X603" s="326"/>
      <c r="Y603" s="326"/>
      <c r="Z603" s="326"/>
      <c r="AC603" s="276" t="s">
        <v>99</v>
      </c>
      <c r="AD603" s="54"/>
      <c r="AE603" s="55"/>
      <c r="AF603" s="55"/>
      <c r="AG603" s="55"/>
      <c r="AH603" s="56">
        <f t="shared" si="234"/>
        <v>0</v>
      </c>
      <c r="AI603" s="54">
        <v>5</v>
      </c>
      <c r="AJ603" s="55"/>
      <c r="AK603" s="55"/>
      <c r="AL603" s="55"/>
      <c r="AM603" s="56">
        <f t="shared" si="235"/>
        <v>5</v>
      </c>
      <c r="AN603" s="54"/>
      <c r="AO603" s="55"/>
      <c r="AP603" s="55"/>
      <c r="AQ603" s="55"/>
      <c r="AR603" s="56">
        <f t="shared" si="240"/>
        <v>0</v>
      </c>
      <c r="AS603" s="54"/>
      <c r="AT603" s="55">
        <v>5</v>
      </c>
      <c r="AU603" s="55"/>
      <c r="AV603" s="55"/>
      <c r="AW603" s="176">
        <f t="shared" si="241"/>
        <v>5</v>
      </c>
      <c r="AX603" s="56">
        <f t="shared" si="231"/>
        <v>10</v>
      </c>
      <c r="AY603" s="329">
        <v>44726</v>
      </c>
      <c r="AZ603" s="326"/>
      <c r="BE603" s="268" t="s">
        <v>98</v>
      </c>
      <c r="BF603" s="54">
        <v>1</v>
      </c>
      <c r="BG603" s="55"/>
      <c r="BH603" s="55"/>
      <c r="BI603" s="55"/>
      <c r="BJ603" s="56">
        <f t="shared" si="242"/>
        <v>1</v>
      </c>
      <c r="BK603" s="306">
        <v>44735</v>
      </c>
      <c r="BL603" s="276"/>
      <c r="BM603" s="54"/>
      <c r="BN603" s="55"/>
      <c r="BO603" s="55"/>
      <c r="BP603" s="55"/>
      <c r="BQ603" s="56">
        <f t="shared" si="243"/>
        <v>0</v>
      </c>
    </row>
    <row r="604" spans="1:69" x14ac:dyDescent="0.15">
      <c r="A604" s="53" t="s">
        <v>98</v>
      </c>
      <c r="B604" s="54">
        <v>1</v>
      </c>
      <c r="C604" s="55"/>
      <c r="D604" s="55"/>
      <c r="E604" s="55"/>
      <c r="F604" s="56">
        <f t="shared" si="226"/>
        <v>1</v>
      </c>
      <c r="G604" s="54">
        <f>1+2</f>
        <v>3</v>
      </c>
      <c r="H604" s="55">
        <v>1</v>
      </c>
      <c r="I604" s="55">
        <v>1</v>
      </c>
      <c r="J604" s="55"/>
      <c r="K604" s="56">
        <f t="shared" si="227"/>
        <v>5</v>
      </c>
      <c r="L604" s="54"/>
      <c r="M604" s="55"/>
      <c r="N604" s="55"/>
      <c r="O604" s="55"/>
      <c r="P604" s="56">
        <f t="shared" si="228"/>
        <v>0</v>
      </c>
      <c r="Q604" s="54">
        <v>1</v>
      </c>
      <c r="R604" s="55">
        <f>3</f>
        <v>3</v>
      </c>
      <c r="S604" s="55">
        <v>2</v>
      </c>
      <c r="T604" s="55">
        <v>1</v>
      </c>
      <c r="U604" s="176">
        <f t="shared" si="229"/>
        <v>7</v>
      </c>
      <c r="V604" s="56">
        <f t="shared" si="230"/>
        <v>13</v>
      </c>
      <c r="W604" s="328">
        <v>44725</v>
      </c>
      <c r="X604" s="326"/>
      <c r="Y604" s="326"/>
      <c r="Z604" s="326"/>
      <c r="AC604" s="276" t="s">
        <v>381</v>
      </c>
      <c r="AD604" s="54"/>
      <c r="AE604" s="55">
        <v>10</v>
      </c>
      <c r="AF604" s="55"/>
      <c r="AG604" s="55"/>
      <c r="AH604" s="56">
        <f t="shared" si="234"/>
        <v>10</v>
      </c>
      <c r="AI604" s="54"/>
      <c r="AJ604" s="55"/>
      <c r="AK604" s="55"/>
      <c r="AL604" s="55"/>
      <c r="AM604" s="56">
        <f t="shared" si="235"/>
        <v>0</v>
      </c>
      <c r="AN604" s="54"/>
      <c r="AO604" s="55"/>
      <c r="AP604" s="55"/>
      <c r="AQ604" s="55"/>
      <c r="AR604" s="56">
        <f t="shared" si="240"/>
        <v>0</v>
      </c>
      <c r="AS604" s="54"/>
      <c r="AT604" s="55"/>
      <c r="AU604" s="55"/>
      <c r="AV604" s="55">
        <v>5</v>
      </c>
      <c r="AW604" s="56">
        <f t="shared" si="241"/>
        <v>5</v>
      </c>
      <c r="AX604" s="56">
        <f t="shared" si="231"/>
        <v>15</v>
      </c>
      <c r="AY604" s="329">
        <v>44729</v>
      </c>
      <c r="AZ604" s="326"/>
      <c r="BE604" s="268" t="s">
        <v>387</v>
      </c>
      <c r="BF604" s="54"/>
      <c r="BG604" s="55"/>
      <c r="BH604" s="55">
        <v>1</v>
      </c>
      <c r="BI604" s="55"/>
      <c r="BJ604" s="56">
        <f t="shared" si="242"/>
        <v>1</v>
      </c>
      <c r="BK604" s="306">
        <v>44741</v>
      </c>
      <c r="BL604" s="277"/>
      <c r="BM604" s="54"/>
      <c r="BN604" s="55"/>
      <c r="BO604" s="55"/>
      <c r="BP604" s="55"/>
      <c r="BQ604" s="56">
        <f t="shared" si="243"/>
        <v>0</v>
      </c>
    </row>
    <row r="605" spans="1:69" x14ac:dyDescent="0.15">
      <c r="A605" s="53" t="s">
        <v>100</v>
      </c>
      <c r="B605" s="54"/>
      <c r="C605" s="55"/>
      <c r="D605" s="55"/>
      <c r="E605" s="55"/>
      <c r="F605" s="56">
        <f t="shared" si="226"/>
        <v>0</v>
      </c>
      <c r="G605" s="54">
        <v>1</v>
      </c>
      <c r="H605" s="55"/>
      <c r="I605" s="55"/>
      <c r="J605" s="55"/>
      <c r="K605" s="56">
        <f t="shared" si="227"/>
        <v>1</v>
      </c>
      <c r="L605" s="54"/>
      <c r="M605" s="55"/>
      <c r="N605" s="55"/>
      <c r="O605" s="55"/>
      <c r="P605" s="56">
        <f t="shared" si="228"/>
        <v>0</v>
      </c>
      <c r="Q605" s="54"/>
      <c r="R605" s="55"/>
      <c r="S605" s="55"/>
      <c r="T605" s="55"/>
      <c r="U605" s="176">
        <f t="shared" si="229"/>
        <v>0</v>
      </c>
      <c r="V605" s="56">
        <f t="shared" si="230"/>
        <v>1</v>
      </c>
      <c r="W605" s="329">
        <v>44726</v>
      </c>
      <c r="X605" s="326"/>
      <c r="Y605" s="326"/>
      <c r="Z605" s="326"/>
      <c r="AC605" s="276" t="s">
        <v>382</v>
      </c>
      <c r="AD605" s="51"/>
      <c r="AE605" s="52"/>
      <c r="AF605" s="52"/>
      <c r="AG605" s="52"/>
      <c r="AH605" s="49">
        <f t="shared" si="234"/>
        <v>0</v>
      </c>
      <c r="AI605" s="51"/>
      <c r="AJ605" s="52"/>
      <c r="AK605" s="52"/>
      <c r="AL605" s="52">
        <v>5</v>
      </c>
      <c r="AM605" s="49">
        <f t="shared" si="235"/>
        <v>5</v>
      </c>
      <c r="AN605" s="51"/>
      <c r="AO605" s="52"/>
      <c r="AP605" s="52"/>
      <c r="AQ605" s="52"/>
      <c r="AR605" s="49">
        <f t="shared" si="240"/>
        <v>0</v>
      </c>
      <c r="AS605" s="51"/>
      <c r="AT605" s="52">
        <v>10</v>
      </c>
      <c r="AU605" s="52"/>
      <c r="AV605" s="52"/>
      <c r="AW605" s="175">
        <f t="shared" si="241"/>
        <v>10</v>
      </c>
      <c r="AX605" s="49">
        <f t="shared" si="231"/>
        <v>15</v>
      </c>
      <c r="AY605" s="329">
        <v>44732</v>
      </c>
      <c r="AZ605" s="326"/>
      <c r="BE605" s="268" t="s">
        <v>98</v>
      </c>
      <c r="BF605" s="51"/>
      <c r="BG605" s="52"/>
      <c r="BH605" s="52"/>
      <c r="BI605" s="52">
        <v>1</v>
      </c>
      <c r="BJ605" s="49">
        <f t="shared" si="242"/>
        <v>1</v>
      </c>
      <c r="BK605" s="304">
        <v>44741</v>
      </c>
      <c r="BL605" s="277"/>
      <c r="BM605" s="51"/>
      <c r="BN605" s="52"/>
      <c r="BO605" s="52"/>
      <c r="BP605" s="52"/>
      <c r="BQ605" s="49">
        <f t="shared" si="243"/>
        <v>0</v>
      </c>
    </row>
    <row r="606" spans="1:69" x14ac:dyDescent="0.15">
      <c r="A606" s="53" t="s">
        <v>98</v>
      </c>
      <c r="B606" s="54"/>
      <c r="C606" s="55"/>
      <c r="D606" s="55"/>
      <c r="E606" s="55"/>
      <c r="F606" s="56">
        <f t="shared" si="226"/>
        <v>0</v>
      </c>
      <c r="G606" s="54"/>
      <c r="H606" s="55"/>
      <c r="I606" s="55"/>
      <c r="J606" s="55"/>
      <c r="K606" s="56">
        <f t="shared" si="227"/>
        <v>0</v>
      </c>
      <c r="L606" s="54"/>
      <c r="M606" s="55"/>
      <c r="N606" s="55"/>
      <c r="O606" s="55"/>
      <c r="P606" s="56">
        <f t="shared" si="228"/>
        <v>0</v>
      </c>
      <c r="Q606" s="54"/>
      <c r="R606" s="55">
        <v>1</v>
      </c>
      <c r="S606" s="55"/>
      <c r="T606" s="55"/>
      <c r="U606" s="176">
        <f t="shared" si="229"/>
        <v>1</v>
      </c>
      <c r="V606" s="56">
        <f t="shared" si="230"/>
        <v>1</v>
      </c>
      <c r="W606" s="329">
        <v>44726</v>
      </c>
      <c r="X606" s="326"/>
      <c r="Y606" s="326"/>
      <c r="Z606" s="326"/>
      <c r="AC606" s="276" t="s">
        <v>383</v>
      </c>
      <c r="AD606" s="54"/>
      <c r="AE606" s="55"/>
      <c r="AF606" s="55"/>
      <c r="AG606" s="55"/>
      <c r="AH606" s="56">
        <f t="shared" si="234"/>
        <v>0</v>
      </c>
      <c r="AI606" s="54"/>
      <c r="AJ606" s="55"/>
      <c r="AK606" s="55"/>
      <c r="AL606" s="55"/>
      <c r="AM606" s="56">
        <f t="shared" si="235"/>
        <v>0</v>
      </c>
      <c r="AN606" s="54"/>
      <c r="AO606" s="55"/>
      <c r="AP606" s="55"/>
      <c r="AQ606" s="55"/>
      <c r="AR606" s="56">
        <f t="shared" si="240"/>
        <v>0</v>
      </c>
      <c r="AS606" s="54"/>
      <c r="AT606" s="55"/>
      <c r="AU606" s="55">
        <v>5</v>
      </c>
      <c r="AV606" s="55"/>
      <c r="AW606" s="176">
        <f t="shared" si="241"/>
        <v>5</v>
      </c>
      <c r="AX606" s="56">
        <f t="shared" si="231"/>
        <v>5</v>
      </c>
      <c r="AY606" s="329">
        <v>44735</v>
      </c>
      <c r="AZ606" s="326"/>
      <c r="BE606" s="268"/>
      <c r="BF606" s="54"/>
      <c r="BG606" s="55"/>
      <c r="BH606" s="55"/>
      <c r="BI606" s="55"/>
      <c r="BJ606" s="56">
        <f t="shared" si="242"/>
        <v>0</v>
      </c>
      <c r="BL606" s="268"/>
      <c r="BM606" s="54"/>
      <c r="BN606" s="55"/>
      <c r="BO606" s="55"/>
      <c r="BP606" s="55"/>
      <c r="BQ606" s="56">
        <f t="shared" si="243"/>
        <v>0</v>
      </c>
    </row>
    <row r="607" spans="1:69" x14ac:dyDescent="0.15">
      <c r="A607" s="53" t="s">
        <v>98</v>
      </c>
      <c r="B607" s="54"/>
      <c r="C607" s="55"/>
      <c r="D607" s="55"/>
      <c r="E607" s="55"/>
      <c r="F607" s="56">
        <f t="shared" si="226"/>
        <v>0</v>
      </c>
      <c r="G607" s="54"/>
      <c r="H607" s="55">
        <v>1</v>
      </c>
      <c r="I607" s="55"/>
      <c r="J607" s="55"/>
      <c r="K607" s="56">
        <f t="shared" si="227"/>
        <v>1</v>
      </c>
      <c r="L607" s="54"/>
      <c r="M607" s="55"/>
      <c r="N607" s="55"/>
      <c r="O607" s="55"/>
      <c r="P607" s="56">
        <f t="shared" si="228"/>
        <v>0</v>
      </c>
      <c r="Q607" s="54"/>
      <c r="R607" s="55"/>
      <c r="S607" s="55"/>
      <c r="T607" s="55"/>
      <c r="U607" s="176">
        <f t="shared" si="229"/>
        <v>0</v>
      </c>
      <c r="V607" s="56">
        <f t="shared" si="230"/>
        <v>1</v>
      </c>
      <c r="W607" s="329">
        <v>44727</v>
      </c>
      <c r="X607" s="326"/>
      <c r="Y607" s="326"/>
      <c r="Z607" s="326"/>
      <c r="AC607" s="276" t="s">
        <v>384</v>
      </c>
      <c r="AD607" s="54">
        <v>10</v>
      </c>
      <c r="AE607" s="55">
        <v>10</v>
      </c>
      <c r="AF607" s="55">
        <v>10</v>
      </c>
      <c r="AG607" s="55">
        <v>10</v>
      </c>
      <c r="AH607" s="56">
        <f t="shared" si="234"/>
        <v>40</v>
      </c>
      <c r="AI607" s="54">
        <v>10</v>
      </c>
      <c r="AJ607" s="55">
        <v>5</v>
      </c>
      <c r="AK607" s="55">
        <v>3</v>
      </c>
      <c r="AL607" s="55">
        <v>10</v>
      </c>
      <c r="AM607" s="56">
        <f t="shared" si="235"/>
        <v>28</v>
      </c>
      <c r="AN607" s="54"/>
      <c r="AO607" s="55"/>
      <c r="AP607" s="55"/>
      <c r="AQ607" s="55"/>
      <c r="AR607" s="56">
        <f t="shared" si="240"/>
        <v>0</v>
      </c>
      <c r="AS607" s="54"/>
      <c r="AT607" s="55"/>
      <c r="AU607" s="55"/>
      <c r="AV607" s="55"/>
      <c r="AW607" s="176">
        <f t="shared" si="241"/>
        <v>0</v>
      </c>
      <c r="AX607" s="56">
        <f t="shared" si="231"/>
        <v>68</v>
      </c>
      <c r="AY607" s="329">
        <v>44735</v>
      </c>
      <c r="AZ607" s="326"/>
      <c r="BE607" s="268"/>
      <c r="BF607" s="54"/>
      <c r="BG607" s="55"/>
      <c r="BH607" s="55"/>
      <c r="BI607" s="55"/>
      <c r="BJ607" s="56">
        <f t="shared" si="242"/>
        <v>0</v>
      </c>
      <c r="BL607" s="268"/>
      <c r="BM607" s="54"/>
      <c r="BN607" s="55"/>
      <c r="BO607" s="55"/>
      <c r="BP607" s="55"/>
      <c r="BQ607" s="56">
        <f t="shared" si="243"/>
        <v>0</v>
      </c>
    </row>
    <row r="608" spans="1:69" x14ac:dyDescent="0.15">
      <c r="A608" s="53" t="s">
        <v>98</v>
      </c>
      <c r="B608" s="54"/>
      <c r="C608" s="55"/>
      <c r="D608" s="55"/>
      <c r="E608" s="55"/>
      <c r="F608" s="56">
        <f t="shared" si="226"/>
        <v>0</v>
      </c>
      <c r="G608" s="54"/>
      <c r="H608" s="55"/>
      <c r="I608" s="55"/>
      <c r="J608" s="55">
        <v>1</v>
      </c>
      <c r="K608" s="56">
        <f t="shared" si="227"/>
        <v>1</v>
      </c>
      <c r="L608" s="54"/>
      <c r="M608" s="55"/>
      <c r="N608" s="55"/>
      <c r="O608" s="55"/>
      <c r="P608" s="56">
        <f t="shared" si="228"/>
        <v>0</v>
      </c>
      <c r="Q608" s="54"/>
      <c r="R608" s="55">
        <v>2</v>
      </c>
      <c r="S608" s="55"/>
      <c r="T608" s="55">
        <v>1</v>
      </c>
      <c r="U608" s="176">
        <f t="shared" si="229"/>
        <v>3</v>
      </c>
      <c r="V608" s="56">
        <f t="shared" si="230"/>
        <v>4</v>
      </c>
      <c r="W608" s="329">
        <v>44728</v>
      </c>
      <c r="X608" s="326"/>
      <c r="Y608" s="326"/>
      <c r="Z608" s="326"/>
      <c r="AC608" s="276" t="s">
        <v>385</v>
      </c>
      <c r="AD608" s="55"/>
      <c r="AE608" s="55"/>
      <c r="AF608" s="55"/>
      <c r="AG608" s="166"/>
      <c r="AH608" s="49">
        <f t="shared" si="234"/>
        <v>0</v>
      </c>
      <c r="AI608" s="55"/>
      <c r="AJ608" s="55"/>
      <c r="AK608" s="55"/>
      <c r="AL608" s="166"/>
      <c r="AM608" s="49">
        <f t="shared" si="235"/>
        <v>0</v>
      </c>
      <c r="AN608" s="55">
        <v>5</v>
      </c>
      <c r="AO608" s="55">
        <v>5</v>
      </c>
      <c r="AP608" s="55">
        <v>5</v>
      </c>
      <c r="AQ608" s="166">
        <v>5</v>
      </c>
      <c r="AR608" s="49">
        <f t="shared" si="240"/>
        <v>20</v>
      </c>
      <c r="AS608" s="55">
        <v>10</v>
      </c>
      <c r="AT608" s="55">
        <v>10</v>
      </c>
      <c r="AU608" s="55">
        <v>10</v>
      </c>
      <c r="AV608" s="166">
        <v>10</v>
      </c>
      <c r="AW608" s="175">
        <f t="shared" si="241"/>
        <v>40</v>
      </c>
      <c r="AX608" s="56">
        <f t="shared" si="231"/>
        <v>60</v>
      </c>
      <c r="AY608" s="329">
        <v>44736</v>
      </c>
      <c r="AZ608" s="326"/>
      <c r="BE608" s="276"/>
      <c r="BF608" s="55"/>
      <c r="BG608" s="55"/>
      <c r="BH608" s="55"/>
      <c r="BI608" s="166"/>
      <c r="BJ608" s="49">
        <f t="shared" si="242"/>
        <v>0</v>
      </c>
      <c r="BL608" s="276"/>
      <c r="BM608" s="55"/>
      <c r="BN608" s="55"/>
      <c r="BO608" s="55"/>
      <c r="BP608" s="166"/>
      <c r="BQ608" s="49">
        <f t="shared" si="243"/>
        <v>0</v>
      </c>
    </row>
    <row r="609" spans="1:69" x14ac:dyDescent="0.15">
      <c r="A609" s="53" t="s">
        <v>98</v>
      </c>
      <c r="B609" s="17"/>
      <c r="C609" s="18"/>
      <c r="D609" s="18"/>
      <c r="E609" s="18"/>
      <c r="F609" s="30">
        <f t="shared" si="226"/>
        <v>0</v>
      </c>
      <c r="G609" s="17"/>
      <c r="H609" s="18"/>
      <c r="I609" s="18"/>
      <c r="J609" s="18"/>
      <c r="K609" s="30">
        <f t="shared" si="227"/>
        <v>0</v>
      </c>
      <c r="L609" s="17"/>
      <c r="M609" s="18"/>
      <c r="N609" s="18"/>
      <c r="O609" s="18"/>
      <c r="P609" s="30">
        <f t="shared" si="228"/>
        <v>0</v>
      </c>
      <c r="Q609" s="17">
        <v>1</v>
      </c>
      <c r="R609" s="18"/>
      <c r="S609" s="18"/>
      <c r="T609" s="18"/>
      <c r="U609" s="178">
        <f t="shared" si="229"/>
        <v>1</v>
      </c>
      <c r="V609" s="56">
        <f t="shared" si="230"/>
        <v>1</v>
      </c>
      <c r="W609" s="329">
        <v>44729</v>
      </c>
      <c r="X609" s="326"/>
      <c r="Y609" s="326"/>
      <c r="Z609" s="326"/>
      <c r="AC609" s="276" t="s">
        <v>386</v>
      </c>
      <c r="AD609" s="17"/>
      <c r="AE609" s="18"/>
      <c r="AF609" s="18"/>
      <c r="AG609" s="18"/>
      <c r="AH609" s="30">
        <f t="shared" si="234"/>
        <v>0</v>
      </c>
      <c r="AI609" s="17"/>
      <c r="AJ609" s="18"/>
      <c r="AK609" s="18">
        <v>3</v>
      </c>
      <c r="AL609" s="18"/>
      <c r="AM609" s="30">
        <f t="shared" si="235"/>
        <v>3</v>
      </c>
      <c r="AN609" s="17"/>
      <c r="AO609" s="18"/>
      <c r="AP609" s="18"/>
      <c r="AQ609" s="18"/>
      <c r="AR609" s="30">
        <f t="shared" si="240"/>
        <v>0</v>
      </c>
      <c r="AS609" s="17"/>
      <c r="AT609" s="18"/>
      <c r="AU609" s="18"/>
      <c r="AV609" s="18">
        <v>3</v>
      </c>
      <c r="AW609" s="178">
        <f t="shared" si="241"/>
        <v>3</v>
      </c>
      <c r="AX609" s="56">
        <f t="shared" si="231"/>
        <v>6</v>
      </c>
      <c r="AY609" s="329">
        <v>44734</v>
      </c>
      <c r="AZ609" s="326"/>
      <c r="BE609" s="277"/>
      <c r="BF609" s="17"/>
      <c r="BG609" s="18"/>
      <c r="BH609" s="18"/>
      <c r="BI609" s="18"/>
      <c r="BJ609" s="30">
        <f t="shared" si="242"/>
        <v>0</v>
      </c>
      <c r="BL609" s="277"/>
      <c r="BM609" s="17"/>
      <c r="BN609" s="18"/>
      <c r="BO609" s="18"/>
      <c r="BP609" s="18"/>
      <c r="BQ609" s="30">
        <f t="shared" si="243"/>
        <v>0</v>
      </c>
    </row>
    <row r="610" spans="1:69" x14ac:dyDescent="0.15">
      <c r="A610" s="53" t="s">
        <v>100</v>
      </c>
      <c r="B610" s="54"/>
      <c r="C610" s="55"/>
      <c r="D610" s="55"/>
      <c r="E610" s="55"/>
      <c r="F610" s="56">
        <f t="shared" si="226"/>
        <v>0</v>
      </c>
      <c r="G610" s="54"/>
      <c r="H610" s="55"/>
      <c r="I610" s="55"/>
      <c r="J610" s="55">
        <v>1</v>
      </c>
      <c r="K610" s="56">
        <f t="shared" si="227"/>
        <v>1</v>
      </c>
      <c r="L610" s="54"/>
      <c r="M610" s="55"/>
      <c r="N610" s="55"/>
      <c r="O610" s="55"/>
      <c r="P610" s="56">
        <f t="shared" si="228"/>
        <v>0</v>
      </c>
      <c r="Q610" s="54"/>
      <c r="R610" s="55"/>
      <c r="S610" s="55"/>
      <c r="T610" s="55"/>
      <c r="U610" s="176">
        <f t="shared" si="229"/>
        <v>0</v>
      </c>
      <c r="V610" s="56">
        <f t="shared" si="230"/>
        <v>1</v>
      </c>
      <c r="W610" s="329">
        <v>44730</v>
      </c>
      <c r="X610" s="326"/>
      <c r="Y610" s="326"/>
      <c r="Z610" s="326"/>
      <c r="AC610" s="276" t="s">
        <v>99</v>
      </c>
      <c r="AD610" s="54"/>
      <c r="AE610" s="55"/>
      <c r="AF610" s="55"/>
      <c r="AG610" s="55"/>
      <c r="AH610" s="56">
        <f t="shared" si="234"/>
        <v>0</v>
      </c>
      <c r="AI610" s="54"/>
      <c r="AJ610" s="55"/>
      <c r="AK610" s="55"/>
      <c r="AL610" s="55">
        <v>3</v>
      </c>
      <c r="AM610" s="56">
        <f t="shared" si="235"/>
        <v>3</v>
      </c>
      <c r="AN610" s="54"/>
      <c r="AO610" s="55"/>
      <c r="AP610" s="55"/>
      <c r="AQ610" s="55"/>
      <c r="AR610" s="56">
        <f t="shared" si="240"/>
        <v>0</v>
      </c>
      <c r="AS610" s="54"/>
      <c r="AT610" s="55">
        <v>3</v>
      </c>
      <c r="AU610" s="55"/>
      <c r="AV610" s="55"/>
      <c r="AW610" s="176">
        <f t="shared" si="241"/>
        <v>3</v>
      </c>
      <c r="AX610" s="56">
        <f t="shared" si="231"/>
        <v>6</v>
      </c>
      <c r="AY610" s="329">
        <v>44739</v>
      </c>
      <c r="AZ610" s="326"/>
      <c r="BE610" s="276"/>
      <c r="BF610" s="54"/>
      <c r="BG610" s="55"/>
      <c r="BH610" s="55"/>
      <c r="BI610" s="55"/>
      <c r="BJ610" s="56">
        <f t="shared" si="242"/>
        <v>0</v>
      </c>
      <c r="BL610" s="276"/>
      <c r="BM610" s="54"/>
      <c r="BN610" s="55"/>
      <c r="BO610" s="55"/>
      <c r="BP610" s="55"/>
      <c r="BQ610" s="56">
        <f t="shared" si="243"/>
        <v>0</v>
      </c>
    </row>
    <row r="611" spans="1:69" x14ac:dyDescent="0.15">
      <c r="A611" s="53" t="s">
        <v>98</v>
      </c>
      <c r="B611" s="54"/>
      <c r="C611" s="55"/>
      <c r="D611" s="55">
        <v>1</v>
      </c>
      <c r="E611" s="55"/>
      <c r="F611" s="56">
        <f t="shared" si="226"/>
        <v>1</v>
      </c>
      <c r="G611" s="54"/>
      <c r="H611" s="55"/>
      <c r="I611" s="55"/>
      <c r="J611" s="55"/>
      <c r="K611" s="56">
        <f t="shared" si="227"/>
        <v>0</v>
      </c>
      <c r="L611" s="54">
        <v>1</v>
      </c>
      <c r="M611" s="55"/>
      <c r="N611" s="55"/>
      <c r="O611" s="55">
        <v>1</v>
      </c>
      <c r="P611" s="56">
        <f t="shared" si="228"/>
        <v>2</v>
      </c>
      <c r="Q611" s="54"/>
      <c r="R611" s="55"/>
      <c r="S611" s="55"/>
      <c r="T611" s="55">
        <v>2</v>
      </c>
      <c r="U611" s="176">
        <f t="shared" si="229"/>
        <v>2</v>
      </c>
      <c r="V611" s="56">
        <f t="shared" si="230"/>
        <v>5</v>
      </c>
      <c r="W611" s="329">
        <v>44730</v>
      </c>
      <c r="X611" s="326"/>
      <c r="Y611" s="326"/>
      <c r="Z611" s="326"/>
      <c r="AC611" s="276" t="s">
        <v>99</v>
      </c>
      <c r="AD611" s="54"/>
      <c r="AE611" s="55"/>
      <c r="AF611" s="55"/>
      <c r="AG611" s="55"/>
      <c r="AH611" s="56">
        <f t="shared" si="234"/>
        <v>0</v>
      </c>
      <c r="AI611" s="54"/>
      <c r="AJ611" s="55">
        <v>5</v>
      </c>
      <c r="AK611" s="55">
        <v>3</v>
      </c>
      <c r="AL611" s="55">
        <v>3</v>
      </c>
      <c r="AM611" s="56">
        <f t="shared" si="235"/>
        <v>11</v>
      </c>
      <c r="AN611" s="54"/>
      <c r="AO611" s="55"/>
      <c r="AP611" s="55"/>
      <c r="AQ611" s="55"/>
      <c r="AR611" s="56">
        <f t="shared" si="240"/>
        <v>0</v>
      </c>
      <c r="AS611" s="54"/>
      <c r="AT611" s="55">
        <v>3</v>
      </c>
      <c r="AU611" s="55">
        <v>5</v>
      </c>
      <c r="AV611" s="55">
        <v>5</v>
      </c>
      <c r="AW611" s="176">
        <f t="shared" si="241"/>
        <v>13</v>
      </c>
      <c r="AX611" s="56">
        <f t="shared" si="231"/>
        <v>24</v>
      </c>
      <c r="AY611" s="329">
        <v>44739</v>
      </c>
      <c r="AZ611" s="326"/>
      <c r="BE611" s="277"/>
      <c r="BF611" s="54"/>
      <c r="BG611" s="55"/>
      <c r="BH611" s="55"/>
      <c r="BI611" s="55"/>
      <c r="BJ611" s="56">
        <f t="shared" si="242"/>
        <v>0</v>
      </c>
      <c r="BL611" s="277"/>
      <c r="BM611" s="54"/>
      <c r="BN611" s="55"/>
      <c r="BO611" s="55"/>
      <c r="BP611" s="55"/>
      <c r="BQ611" s="56">
        <f t="shared" si="243"/>
        <v>0</v>
      </c>
    </row>
    <row r="612" spans="1:69" x14ac:dyDescent="0.15">
      <c r="A612" s="53" t="s">
        <v>98</v>
      </c>
      <c r="B612" s="54"/>
      <c r="C612" s="55"/>
      <c r="D612" s="55"/>
      <c r="E612" s="55"/>
      <c r="F612" s="56">
        <f t="shared" si="226"/>
        <v>0</v>
      </c>
      <c r="G612" s="54"/>
      <c r="H612" s="55"/>
      <c r="I612" s="55">
        <v>1</v>
      </c>
      <c r="J612" s="55"/>
      <c r="K612" s="56">
        <f t="shared" si="227"/>
        <v>1</v>
      </c>
      <c r="L612" s="54"/>
      <c r="M612" s="55"/>
      <c r="N612" s="55"/>
      <c r="O612" s="55"/>
      <c r="P612" s="56">
        <f t="shared" si="228"/>
        <v>0</v>
      </c>
      <c r="Q612" s="54"/>
      <c r="R612" s="55"/>
      <c r="S612" s="55"/>
      <c r="T612" s="55"/>
      <c r="U612" s="176">
        <f t="shared" si="229"/>
        <v>0</v>
      </c>
      <c r="V612" s="56">
        <f t="shared" si="230"/>
        <v>1</v>
      </c>
      <c r="W612" s="328">
        <v>44732</v>
      </c>
      <c r="X612" s="326"/>
      <c r="Y612" s="326"/>
      <c r="Z612" s="326"/>
      <c r="AC612" s="276" t="s">
        <v>388</v>
      </c>
      <c r="AD612" s="54"/>
      <c r="AE612" s="55"/>
      <c r="AF612" s="55"/>
      <c r="AG612" s="55"/>
      <c r="AH612" s="56">
        <f t="shared" si="234"/>
        <v>0</v>
      </c>
      <c r="AI612" s="54"/>
      <c r="AJ612" s="55"/>
      <c r="AK612" s="55"/>
      <c r="AL612" s="55"/>
      <c r="AM612" s="56">
        <f t="shared" si="235"/>
        <v>0</v>
      </c>
      <c r="AN612" s="54"/>
      <c r="AO612" s="55"/>
      <c r="AP612" s="55"/>
      <c r="AQ612" s="55"/>
      <c r="AR612" s="56">
        <f t="shared" si="240"/>
        <v>0</v>
      </c>
      <c r="AS612" s="54"/>
      <c r="AT612" s="55">
        <v>5</v>
      </c>
      <c r="AU612" s="55"/>
      <c r="AV612" s="55"/>
      <c r="AW612" s="176">
        <f t="shared" si="241"/>
        <v>5</v>
      </c>
      <c r="AX612" s="56">
        <f t="shared" si="231"/>
        <v>5</v>
      </c>
      <c r="AY612" s="329">
        <v>44743</v>
      </c>
      <c r="AZ612" s="326"/>
      <c r="BE612" s="276"/>
      <c r="BF612" s="54"/>
      <c r="BG612" s="55"/>
      <c r="BH612" s="55"/>
      <c r="BI612" s="55"/>
      <c r="BJ612" s="56">
        <f t="shared" si="242"/>
        <v>0</v>
      </c>
      <c r="BL612" s="276"/>
      <c r="BM612" s="54"/>
      <c r="BN612" s="55"/>
      <c r="BO612" s="55"/>
      <c r="BP612" s="55"/>
      <c r="BQ612" s="56">
        <f t="shared" si="243"/>
        <v>0</v>
      </c>
    </row>
    <row r="613" spans="1:69" x14ac:dyDescent="0.15">
      <c r="A613" s="53" t="s">
        <v>98</v>
      </c>
      <c r="B613" s="54"/>
      <c r="C613" s="55"/>
      <c r="D613" s="55"/>
      <c r="E613" s="55"/>
      <c r="F613" s="56">
        <f t="shared" si="226"/>
        <v>0</v>
      </c>
      <c r="G613" s="54"/>
      <c r="H613" s="55"/>
      <c r="I613" s="55"/>
      <c r="J613" s="55"/>
      <c r="K613" s="56">
        <f t="shared" si="227"/>
        <v>0</v>
      </c>
      <c r="L613" s="54"/>
      <c r="M613" s="55"/>
      <c r="N613" s="55"/>
      <c r="O613" s="55"/>
      <c r="P613" s="56">
        <f t="shared" si="228"/>
        <v>0</v>
      </c>
      <c r="Q613" s="54"/>
      <c r="R613" s="55">
        <v>1</v>
      </c>
      <c r="S613" s="55"/>
      <c r="T613" s="55"/>
      <c r="U613" s="176">
        <f t="shared" si="229"/>
        <v>1</v>
      </c>
      <c r="V613" s="56">
        <f t="shared" si="230"/>
        <v>1</v>
      </c>
      <c r="W613" s="328">
        <v>44733</v>
      </c>
      <c r="X613" s="326"/>
      <c r="Y613" s="326"/>
      <c r="Z613" s="326"/>
      <c r="AC613" s="276" t="s">
        <v>389</v>
      </c>
      <c r="AD613" s="63"/>
      <c r="AE613" s="63">
        <v>3</v>
      </c>
      <c r="AF613" s="63"/>
      <c r="AG613" s="167"/>
      <c r="AH613" s="64">
        <f t="shared" si="234"/>
        <v>3</v>
      </c>
      <c r="AI613" s="63">
        <v>5</v>
      </c>
      <c r="AJ613" s="63">
        <v>3</v>
      </c>
      <c r="AK613" s="63"/>
      <c r="AL613" s="167">
        <v>5</v>
      </c>
      <c r="AM613" s="64">
        <f t="shared" si="235"/>
        <v>13</v>
      </c>
      <c r="AN613" s="63"/>
      <c r="AO613" s="63"/>
      <c r="AP613" s="63"/>
      <c r="AQ613" s="167"/>
      <c r="AR613" s="64">
        <f t="shared" si="240"/>
        <v>0</v>
      </c>
      <c r="AS613" s="63">
        <v>10</v>
      </c>
      <c r="AT613" s="63"/>
      <c r="AU613" s="63">
        <v>8</v>
      </c>
      <c r="AV613" s="167">
        <v>10</v>
      </c>
      <c r="AW613" s="162">
        <f t="shared" si="241"/>
        <v>28</v>
      </c>
      <c r="AX613" s="56">
        <f t="shared" si="231"/>
        <v>44</v>
      </c>
      <c r="AY613" s="329">
        <v>44743</v>
      </c>
      <c r="AZ613" s="326"/>
      <c r="BE613" s="277"/>
      <c r="BF613" s="54"/>
      <c r="BG613" s="55"/>
      <c r="BH613" s="55"/>
      <c r="BI613" s="55"/>
      <c r="BJ613" s="56">
        <f t="shared" si="242"/>
        <v>0</v>
      </c>
      <c r="BL613" s="277"/>
      <c r="BM613" s="54"/>
      <c r="BN613" s="55"/>
      <c r="BO613" s="55"/>
      <c r="BP613" s="55"/>
      <c r="BQ613" s="56">
        <f t="shared" si="243"/>
        <v>0</v>
      </c>
    </row>
    <row r="614" spans="1:69" x14ac:dyDescent="0.15">
      <c r="A614" s="53" t="s">
        <v>98</v>
      </c>
      <c r="B614" s="54"/>
      <c r="C614" s="55"/>
      <c r="D614" s="55"/>
      <c r="E614" s="55"/>
      <c r="F614" s="56">
        <f t="shared" si="226"/>
        <v>0</v>
      </c>
      <c r="G614" s="54"/>
      <c r="H614" s="55"/>
      <c r="I614" s="55">
        <v>1</v>
      </c>
      <c r="J614" s="55"/>
      <c r="K614" s="56">
        <f t="shared" si="227"/>
        <v>1</v>
      </c>
      <c r="L614" s="54"/>
      <c r="M614" s="55"/>
      <c r="N614" s="55"/>
      <c r="O614" s="55"/>
      <c r="P614" s="56">
        <f t="shared" si="228"/>
        <v>0</v>
      </c>
      <c r="Q614" s="54"/>
      <c r="R614" s="55"/>
      <c r="S614" s="55"/>
      <c r="T614" s="55"/>
      <c r="U614" s="176">
        <f t="shared" si="229"/>
        <v>0</v>
      </c>
      <c r="V614" s="56">
        <f t="shared" si="230"/>
        <v>1</v>
      </c>
      <c r="W614" s="328">
        <v>44734</v>
      </c>
      <c r="X614" s="326"/>
      <c r="Y614" s="326"/>
      <c r="Z614" s="326"/>
      <c r="AC614" s="269" t="s">
        <v>390</v>
      </c>
      <c r="AD614" s="54"/>
      <c r="AE614" s="55"/>
      <c r="AF614" s="55"/>
      <c r="AG614" s="55"/>
      <c r="AH614" s="56">
        <f t="shared" si="234"/>
        <v>0</v>
      </c>
      <c r="AI614" s="54">
        <v>5</v>
      </c>
      <c r="AJ614" s="55">
        <v>5</v>
      </c>
      <c r="AK614" s="55"/>
      <c r="AL614" s="55"/>
      <c r="AM614" s="56">
        <f t="shared" si="235"/>
        <v>10</v>
      </c>
      <c r="AN614" s="54"/>
      <c r="AO614" s="55"/>
      <c r="AP614" s="55"/>
      <c r="AQ614" s="55"/>
      <c r="AR614" s="56">
        <f t="shared" si="240"/>
        <v>0</v>
      </c>
      <c r="AS614" s="54">
        <v>5</v>
      </c>
      <c r="AT614" s="55"/>
      <c r="AU614" s="55">
        <v>5</v>
      </c>
      <c r="AV614" s="55"/>
      <c r="AW614" s="176">
        <f t="shared" si="241"/>
        <v>10</v>
      </c>
      <c r="AX614" s="56">
        <f t="shared" si="231"/>
        <v>20</v>
      </c>
      <c r="AY614" s="329">
        <v>44747</v>
      </c>
      <c r="AZ614" s="326"/>
      <c r="BE614" s="276"/>
      <c r="BF614" s="54"/>
      <c r="BG614" s="55"/>
      <c r="BH614" s="55"/>
      <c r="BI614" s="55"/>
      <c r="BJ614" s="56">
        <f t="shared" si="242"/>
        <v>0</v>
      </c>
      <c r="BL614" s="276"/>
      <c r="BM614" s="54"/>
      <c r="BN614" s="55"/>
      <c r="BO614" s="55"/>
      <c r="BP614" s="55"/>
      <c r="BQ614" s="56">
        <f t="shared" si="243"/>
        <v>0</v>
      </c>
    </row>
    <row r="615" spans="1:69" x14ac:dyDescent="0.15">
      <c r="A615" s="53" t="s">
        <v>98</v>
      </c>
      <c r="B615" s="54"/>
      <c r="C615" s="55"/>
      <c r="D615" s="55"/>
      <c r="E615" s="55"/>
      <c r="F615" s="56">
        <f t="shared" si="226"/>
        <v>0</v>
      </c>
      <c r="G615" s="54"/>
      <c r="H615" s="55"/>
      <c r="I615" s="55"/>
      <c r="J615" s="55">
        <v>1</v>
      </c>
      <c r="K615" s="56">
        <f t="shared" si="227"/>
        <v>1</v>
      </c>
      <c r="L615" s="54"/>
      <c r="M615" s="55"/>
      <c r="N615" s="55"/>
      <c r="O615" s="55"/>
      <c r="P615" s="56">
        <f t="shared" si="228"/>
        <v>0</v>
      </c>
      <c r="Q615" s="54"/>
      <c r="R615" s="55">
        <v>1</v>
      </c>
      <c r="S615" s="55"/>
      <c r="T615" s="55"/>
      <c r="U615" s="176">
        <f t="shared" si="229"/>
        <v>1</v>
      </c>
      <c r="V615" s="56">
        <f t="shared" si="230"/>
        <v>2</v>
      </c>
      <c r="W615" s="328">
        <v>44734</v>
      </c>
      <c r="X615" s="326"/>
      <c r="Y615" s="326"/>
      <c r="Z615" s="326"/>
      <c r="AC615" s="276" t="s">
        <v>391</v>
      </c>
      <c r="AD615" s="55"/>
      <c r="AE615" s="55">
        <v>3</v>
      </c>
      <c r="AF615" s="55"/>
      <c r="AG615" s="166"/>
      <c r="AH615" s="49">
        <f t="shared" si="234"/>
        <v>3</v>
      </c>
      <c r="AI615" s="55"/>
      <c r="AJ615" s="55">
        <v>3</v>
      </c>
      <c r="AK615" s="55"/>
      <c r="AL615" s="166"/>
      <c r="AM615" s="49">
        <f t="shared" si="235"/>
        <v>3</v>
      </c>
      <c r="AN615" s="55"/>
      <c r="AO615" s="55"/>
      <c r="AP615" s="55"/>
      <c r="AQ615" s="166"/>
      <c r="AR615" s="49">
        <f t="shared" si="240"/>
        <v>0</v>
      </c>
      <c r="AS615" s="55">
        <v>3</v>
      </c>
      <c r="AT615" s="55"/>
      <c r="AU615" s="55"/>
      <c r="AV615" s="166"/>
      <c r="AW615" s="175">
        <f t="shared" si="241"/>
        <v>3</v>
      </c>
      <c r="AX615" s="56">
        <f t="shared" si="231"/>
        <v>9</v>
      </c>
      <c r="AY615" s="329">
        <v>44746</v>
      </c>
      <c r="AZ615" s="326"/>
      <c r="BE615" s="277"/>
      <c r="BF615" s="55"/>
      <c r="BG615" s="55"/>
      <c r="BH615" s="55"/>
      <c r="BI615" s="166"/>
      <c r="BJ615" s="49">
        <f t="shared" si="242"/>
        <v>0</v>
      </c>
      <c r="BL615" s="277"/>
      <c r="BM615" s="55"/>
      <c r="BN615" s="55"/>
      <c r="BO615" s="55"/>
      <c r="BP615" s="166"/>
      <c r="BQ615" s="49">
        <f t="shared" si="243"/>
        <v>0</v>
      </c>
    </row>
    <row r="616" spans="1:69" x14ac:dyDescent="0.15">
      <c r="A616" s="53" t="s">
        <v>98</v>
      </c>
      <c r="B616" s="54">
        <v>1</v>
      </c>
      <c r="C616" s="55"/>
      <c r="D616" s="55"/>
      <c r="E616" s="55"/>
      <c r="F616" s="56">
        <f t="shared" si="226"/>
        <v>1</v>
      </c>
      <c r="G616" s="54"/>
      <c r="H616" s="55"/>
      <c r="I616" s="55">
        <v>1</v>
      </c>
      <c r="J616" s="55">
        <v>1</v>
      </c>
      <c r="K616" s="56">
        <f t="shared" si="227"/>
        <v>2</v>
      </c>
      <c r="L616" s="54">
        <v>1</v>
      </c>
      <c r="M616" s="55"/>
      <c r="N616" s="55"/>
      <c r="O616" s="55"/>
      <c r="P616" s="56">
        <f t="shared" si="228"/>
        <v>1</v>
      </c>
      <c r="Q616" s="54"/>
      <c r="R616" s="55"/>
      <c r="S616" s="55">
        <v>1</v>
      </c>
      <c r="T616" s="55"/>
      <c r="U616" s="176">
        <f t="shared" si="229"/>
        <v>1</v>
      </c>
      <c r="V616" s="56">
        <f t="shared" si="230"/>
        <v>5</v>
      </c>
      <c r="W616" s="329">
        <v>44735</v>
      </c>
      <c r="X616" s="326"/>
      <c r="Y616" s="326"/>
      <c r="Z616" s="326"/>
      <c r="AC616" s="276" t="s">
        <v>393</v>
      </c>
      <c r="AD616" s="54"/>
      <c r="AE616" s="55"/>
      <c r="AF616" s="55"/>
      <c r="AG616" s="55"/>
      <c r="AH616" s="56">
        <f t="shared" si="234"/>
        <v>0</v>
      </c>
      <c r="AI616" s="54">
        <v>2</v>
      </c>
      <c r="AJ616" s="55"/>
      <c r="AK616" s="55"/>
      <c r="AL616" s="55"/>
      <c r="AM616" s="56">
        <f t="shared" si="235"/>
        <v>2</v>
      </c>
      <c r="AN616" s="54"/>
      <c r="AO616" s="55"/>
      <c r="AP616" s="55"/>
      <c r="AQ616" s="55"/>
      <c r="AR616" s="56">
        <f t="shared" si="240"/>
        <v>0</v>
      </c>
      <c r="AS616" s="54"/>
      <c r="AT616" s="55"/>
      <c r="AU616" s="55"/>
      <c r="AV616" s="55"/>
      <c r="AW616" s="176">
        <f t="shared" si="241"/>
        <v>0</v>
      </c>
      <c r="AX616" s="56">
        <f t="shared" si="231"/>
        <v>2</v>
      </c>
      <c r="AY616" s="329">
        <v>44748</v>
      </c>
      <c r="AZ616" s="326"/>
      <c r="BE616" s="277"/>
      <c r="BF616" s="54"/>
      <c r="BG616" s="55"/>
      <c r="BH616" s="55"/>
      <c r="BI616" s="55"/>
      <c r="BJ616" s="56">
        <f t="shared" si="242"/>
        <v>0</v>
      </c>
      <c r="BL616" s="277"/>
      <c r="BM616" s="54"/>
      <c r="BN616" s="55"/>
      <c r="BO616" s="55"/>
      <c r="BP616" s="55"/>
      <c r="BQ616" s="56">
        <f t="shared" si="243"/>
        <v>0</v>
      </c>
    </row>
    <row r="617" spans="1:69" x14ac:dyDescent="0.15">
      <c r="A617" s="53" t="s">
        <v>98</v>
      </c>
      <c r="B617" s="54"/>
      <c r="C617" s="55"/>
      <c r="D617" s="55"/>
      <c r="E617" s="55"/>
      <c r="F617" s="56">
        <f t="shared" si="226"/>
        <v>0</v>
      </c>
      <c r="G617" s="54"/>
      <c r="H617" s="55"/>
      <c r="I617" s="55"/>
      <c r="J617" s="55">
        <v>1</v>
      </c>
      <c r="K617" s="56">
        <f t="shared" si="227"/>
        <v>1</v>
      </c>
      <c r="L617" s="54"/>
      <c r="M617" s="55"/>
      <c r="N617" s="55"/>
      <c r="O617" s="55"/>
      <c r="P617" s="56">
        <f t="shared" si="228"/>
        <v>0</v>
      </c>
      <c r="Q617" s="54"/>
      <c r="R617" s="55"/>
      <c r="S617" s="55"/>
      <c r="T617" s="55">
        <v>1</v>
      </c>
      <c r="U617" s="176">
        <f t="shared" si="229"/>
        <v>1</v>
      </c>
      <c r="V617" s="56">
        <f t="shared" si="230"/>
        <v>2</v>
      </c>
      <c r="W617" s="329">
        <v>44736</v>
      </c>
      <c r="X617" s="326"/>
      <c r="Y617" s="326"/>
      <c r="Z617" s="326"/>
      <c r="AC617" s="276" t="s">
        <v>394</v>
      </c>
      <c r="AD617" s="54"/>
      <c r="AE617" s="55">
        <v>5</v>
      </c>
      <c r="AF617" s="55"/>
      <c r="AG617" s="55"/>
      <c r="AH617" s="56">
        <f t="shared" si="234"/>
        <v>5</v>
      </c>
      <c r="AI617" s="54"/>
      <c r="AJ617" s="55">
        <v>6</v>
      </c>
      <c r="AK617" s="55"/>
      <c r="AL617" s="55"/>
      <c r="AM617" s="56">
        <f t="shared" si="235"/>
        <v>6</v>
      </c>
      <c r="AN617" s="54"/>
      <c r="AO617" s="55"/>
      <c r="AP617" s="55"/>
      <c r="AQ617" s="55"/>
      <c r="AR617" s="56">
        <f t="shared" si="240"/>
        <v>0</v>
      </c>
      <c r="AS617" s="54">
        <v>4</v>
      </c>
      <c r="AT617" s="55">
        <v>3</v>
      </c>
      <c r="AU617" s="55">
        <v>6</v>
      </c>
      <c r="AV617" s="55"/>
      <c r="AW617" s="176">
        <f t="shared" si="241"/>
        <v>13</v>
      </c>
      <c r="AX617" s="56">
        <f t="shared" si="231"/>
        <v>24</v>
      </c>
      <c r="AY617" s="329">
        <v>44748</v>
      </c>
      <c r="AZ617" s="326"/>
      <c r="BE617" s="276"/>
      <c r="BF617" s="54"/>
      <c r="BG617" s="55"/>
      <c r="BH617" s="55"/>
      <c r="BI617" s="55"/>
      <c r="BJ617" s="56">
        <f t="shared" si="242"/>
        <v>0</v>
      </c>
      <c r="BL617" s="276"/>
      <c r="BM617" s="54"/>
      <c r="BN617" s="55"/>
      <c r="BO617" s="55"/>
      <c r="BP617" s="55"/>
      <c r="BQ617" s="56">
        <f t="shared" si="243"/>
        <v>0</v>
      </c>
    </row>
    <row r="618" spans="1:69" x14ac:dyDescent="0.15">
      <c r="A618" s="53" t="s">
        <v>98</v>
      </c>
      <c r="B618" s="54"/>
      <c r="C618" s="55"/>
      <c r="D618" s="55"/>
      <c r="E618" s="55"/>
      <c r="F618" s="56">
        <f t="shared" si="226"/>
        <v>0</v>
      </c>
      <c r="G618" s="54">
        <v>2</v>
      </c>
      <c r="H618" s="55">
        <v>3</v>
      </c>
      <c r="I618" s="55">
        <v>1</v>
      </c>
      <c r="J618" s="55">
        <v>1</v>
      </c>
      <c r="K618" s="56">
        <f t="shared" si="227"/>
        <v>7</v>
      </c>
      <c r="L618" s="54">
        <v>1</v>
      </c>
      <c r="M618" s="55"/>
      <c r="N618" s="55"/>
      <c r="O618" s="55"/>
      <c r="P618" s="56">
        <f t="shared" si="228"/>
        <v>1</v>
      </c>
      <c r="Q618" s="54">
        <v>2</v>
      </c>
      <c r="R618" s="55">
        <v>2</v>
      </c>
      <c r="S618" s="55">
        <v>2</v>
      </c>
      <c r="T618" s="55">
        <v>3</v>
      </c>
      <c r="U618" s="176">
        <f t="shared" si="229"/>
        <v>9</v>
      </c>
      <c r="V618" s="56">
        <f t="shared" si="230"/>
        <v>17</v>
      </c>
      <c r="W618" s="328">
        <v>44739</v>
      </c>
      <c r="X618" s="326"/>
      <c r="Y618" s="326"/>
      <c r="Z618" s="326"/>
      <c r="AC618" s="276" t="s">
        <v>99</v>
      </c>
      <c r="AD618" s="63">
        <v>5</v>
      </c>
      <c r="AE618" s="63">
        <v>5</v>
      </c>
      <c r="AF618" s="63">
        <v>5</v>
      </c>
      <c r="AG618" s="167"/>
      <c r="AH618" s="64">
        <f t="shared" si="234"/>
        <v>15</v>
      </c>
      <c r="AI618" s="63">
        <v>5</v>
      </c>
      <c r="AJ618" s="63">
        <v>15</v>
      </c>
      <c r="AK618" s="63">
        <v>5</v>
      </c>
      <c r="AL618" s="167">
        <v>5</v>
      </c>
      <c r="AM618" s="64">
        <f t="shared" si="235"/>
        <v>30</v>
      </c>
      <c r="AN618" s="63">
        <v>5</v>
      </c>
      <c r="AO618" s="63"/>
      <c r="AP618" s="63"/>
      <c r="AQ618" s="167"/>
      <c r="AR618" s="64">
        <f t="shared" si="240"/>
        <v>5</v>
      </c>
      <c r="AS618" s="63">
        <v>5</v>
      </c>
      <c r="AT618" s="63">
        <v>10</v>
      </c>
      <c r="AU618" s="63">
        <v>5</v>
      </c>
      <c r="AV618" s="167">
        <v>5</v>
      </c>
      <c r="AW618" s="162">
        <f t="shared" si="241"/>
        <v>25</v>
      </c>
      <c r="AX618" s="56">
        <f t="shared" si="231"/>
        <v>75</v>
      </c>
      <c r="AY618" s="329">
        <v>44744</v>
      </c>
      <c r="AZ618" s="326"/>
      <c r="BE618" s="276"/>
      <c r="BF618" s="63"/>
      <c r="BG618" s="63"/>
      <c r="BH618" s="63"/>
      <c r="BI618" s="167"/>
      <c r="BJ618" s="64">
        <f t="shared" si="242"/>
        <v>0</v>
      </c>
      <c r="BL618" s="276"/>
      <c r="BM618" s="63"/>
      <c r="BN618" s="63"/>
      <c r="BO618" s="63"/>
      <c r="BP618" s="167"/>
      <c r="BQ618" s="64">
        <f t="shared" si="243"/>
        <v>0</v>
      </c>
    </row>
    <row r="619" spans="1:69" x14ac:dyDescent="0.15">
      <c r="A619" s="53" t="s">
        <v>100</v>
      </c>
      <c r="B619" s="54"/>
      <c r="C619" s="55"/>
      <c r="D619" s="55"/>
      <c r="E619" s="55"/>
      <c r="F619" s="56">
        <f t="shared" si="226"/>
        <v>0</v>
      </c>
      <c r="G619" s="54"/>
      <c r="H619" s="55"/>
      <c r="I619" s="55">
        <v>1</v>
      </c>
      <c r="J619" s="55">
        <v>1</v>
      </c>
      <c r="K619" s="56">
        <f t="shared" si="227"/>
        <v>2</v>
      </c>
      <c r="L619" s="54"/>
      <c r="M619" s="55"/>
      <c r="N619" s="55"/>
      <c r="O619" s="55"/>
      <c r="P619" s="56">
        <f t="shared" si="228"/>
        <v>0</v>
      </c>
      <c r="Q619" s="54"/>
      <c r="R619" s="55"/>
      <c r="S619" s="55"/>
      <c r="T619" s="55"/>
      <c r="U619" s="176">
        <f t="shared" si="229"/>
        <v>0</v>
      </c>
      <c r="V619" s="56">
        <f t="shared" si="230"/>
        <v>2</v>
      </c>
      <c r="W619" s="329">
        <v>44741</v>
      </c>
      <c r="X619" s="326"/>
      <c r="Y619" s="326"/>
      <c r="Z619" s="326"/>
      <c r="AC619" s="276"/>
      <c r="AD619" s="54"/>
      <c r="AE619" s="55"/>
      <c r="AF619" s="55"/>
      <c r="AG619" s="55"/>
      <c r="AH619" s="56">
        <f t="shared" si="234"/>
        <v>0</v>
      </c>
      <c r="AI619" s="54"/>
      <c r="AJ619" s="55"/>
      <c r="AK619" s="55"/>
      <c r="AL619" s="55"/>
      <c r="AM619" s="56">
        <f t="shared" si="235"/>
        <v>0</v>
      </c>
      <c r="AN619" s="54"/>
      <c r="AO619" s="55"/>
      <c r="AP619" s="55"/>
      <c r="AQ619" s="55"/>
      <c r="AR619" s="56">
        <f t="shared" si="240"/>
        <v>0</v>
      </c>
      <c r="AS619" s="54"/>
      <c r="AT619" s="55"/>
      <c r="AU619" s="55"/>
      <c r="AV619" s="55"/>
      <c r="AW619" s="176">
        <f t="shared" si="241"/>
        <v>0</v>
      </c>
      <c r="AX619" s="56">
        <f t="shared" si="231"/>
        <v>0</v>
      </c>
      <c r="AY619" s="330"/>
      <c r="AZ619" s="326"/>
      <c r="BE619" s="277"/>
      <c r="BF619" s="54"/>
      <c r="BG619" s="55"/>
      <c r="BH619" s="55"/>
      <c r="BI619" s="55"/>
      <c r="BJ619" s="56">
        <f t="shared" si="242"/>
        <v>0</v>
      </c>
      <c r="BL619" s="277"/>
      <c r="BM619" s="54"/>
      <c r="BN619" s="55"/>
      <c r="BO619" s="55"/>
      <c r="BP619" s="55"/>
      <c r="BQ619" s="56">
        <f t="shared" si="243"/>
        <v>0</v>
      </c>
    </row>
    <row r="620" spans="1:69" x14ac:dyDescent="0.15">
      <c r="A620" s="53" t="s">
        <v>98</v>
      </c>
      <c r="B620" s="17"/>
      <c r="C620" s="18"/>
      <c r="D620" s="18">
        <v>1</v>
      </c>
      <c r="E620" s="18"/>
      <c r="F620" s="30">
        <f t="shared" si="226"/>
        <v>1</v>
      </c>
      <c r="G620" s="17">
        <v>1</v>
      </c>
      <c r="H620" s="18">
        <v>2</v>
      </c>
      <c r="I620" s="18"/>
      <c r="J620" s="18"/>
      <c r="K620" s="30">
        <f t="shared" si="227"/>
        <v>3</v>
      </c>
      <c r="L620" s="17"/>
      <c r="M620" s="18"/>
      <c r="N620" s="18"/>
      <c r="O620" s="18"/>
      <c r="P620" s="30">
        <f t="shared" si="228"/>
        <v>0</v>
      </c>
      <c r="Q620" s="17">
        <v>1</v>
      </c>
      <c r="R620" s="18">
        <v>2</v>
      </c>
      <c r="S620" s="18"/>
      <c r="T620" s="18">
        <v>2</v>
      </c>
      <c r="U620" s="178">
        <f t="shared" si="229"/>
        <v>5</v>
      </c>
      <c r="V620" s="56">
        <f t="shared" si="230"/>
        <v>9</v>
      </c>
      <c r="W620" s="328">
        <v>44740</v>
      </c>
      <c r="X620" s="326"/>
      <c r="Y620" s="326"/>
      <c r="Z620" s="326"/>
      <c r="AC620" s="269"/>
      <c r="AD620" s="54"/>
      <c r="AE620" s="55"/>
      <c r="AF620" s="55"/>
      <c r="AG620" s="55"/>
      <c r="AH620" s="56">
        <f t="shared" si="234"/>
        <v>0</v>
      </c>
      <c r="AI620" s="54"/>
      <c r="AJ620" s="55"/>
      <c r="AK620" s="55"/>
      <c r="AL620" s="55"/>
      <c r="AM620" s="56">
        <f t="shared" si="235"/>
        <v>0</v>
      </c>
      <c r="AN620" s="54"/>
      <c r="AO620" s="55"/>
      <c r="AP620" s="55"/>
      <c r="AQ620" s="55"/>
      <c r="AR620" s="56">
        <f t="shared" si="240"/>
        <v>0</v>
      </c>
      <c r="AS620" s="54"/>
      <c r="AT620" s="55"/>
      <c r="AU620" s="55"/>
      <c r="AV620" s="55"/>
      <c r="AW620" s="176">
        <f t="shared" si="241"/>
        <v>0</v>
      </c>
      <c r="AX620" s="56">
        <f t="shared" si="231"/>
        <v>0</v>
      </c>
      <c r="AY620" s="330"/>
      <c r="AZ620" s="326"/>
      <c r="BE620" s="276"/>
      <c r="BF620" s="54"/>
      <c r="BG620" s="55"/>
      <c r="BH620" s="55"/>
      <c r="BI620" s="55"/>
      <c r="BJ620" s="56">
        <f t="shared" si="242"/>
        <v>0</v>
      </c>
      <c r="BL620" s="276"/>
      <c r="BM620" s="54"/>
      <c r="BN620" s="55"/>
      <c r="BO620" s="55"/>
      <c r="BP620" s="55"/>
      <c r="BQ620" s="56">
        <f t="shared" si="243"/>
        <v>0</v>
      </c>
    </row>
    <row r="621" spans="1:69" x14ac:dyDescent="0.15">
      <c r="A621" s="53" t="s">
        <v>98</v>
      </c>
      <c r="B621" s="54"/>
      <c r="C621" s="55"/>
      <c r="D621" s="55"/>
      <c r="E621" s="55"/>
      <c r="F621" s="56">
        <f t="shared" si="226"/>
        <v>0</v>
      </c>
      <c r="G621" s="54"/>
      <c r="H621" s="55">
        <v>1</v>
      </c>
      <c r="I621" s="55"/>
      <c r="J621" s="55"/>
      <c r="K621" s="56">
        <f t="shared" si="227"/>
        <v>1</v>
      </c>
      <c r="L621" s="54"/>
      <c r="M621" s="55"/>
      <c r="N621" s="55"/>
      <c r="O621" s="55"/>
      <c r="P621" s="56">
        <f t="shared" si="228"/>
        <v>0</v>
      </c>
      <c r="Q621" s="54"/>
      <c r="R621" s="55"/>
      <c r="S621" s="55"/>
      <c r="T621" s="55">
        <v>1</v>
      </c>
      <c r="U621" s="176">
        <f t="shared" si="229"/>
        <v>1</v>
      </c>
      <c r="V621" s="56">
        <f t="shared" si="230"/>
        <v>2</v>
      </c>
      <c r="W621" s="328">
        <v>44741</v>
      </c>
      <c r="X621" s="326"/>
      <c r="Y621" s="326"/>
      <c r="Z621" s="326"/>
      <c r="AC621" s="276"/>
      <c r="AD621" s="54"/>
      <c r="AE621" s="55"/>
      <c r="AF621" s="55"/>
      <c r="AG621" s="55"/>
      <c r="AH621" s="56">
        <f t="shared" si="234"/>
        <v>0</v>
      </c>
      <c r="AI621" s="54"/>
      <c r="AJ621" s="55"/>
      <c r="AK621" s="55"/>
      <c r="AL621" s="55"/>
      <c r="AM621" s="56">
        <f t="shared" si="235"/>
        <v>0</v>
      </c>
      <c r="AN621" s="54"/>
      <c r="AO621" s="55"/>
      <c r="AP621" s="55"/>
      <c r="AQ621" s="55"/>
      <c r="AR621" s="56">
        <f t="shared" si="240"/>
        <v>0</v>
      </c>
      <c r="AS621" s="54"/>
      <c r="AT621" s="55"/>
      <c r="AU621" s="55"/>
      <c r="AV621" s="55"/>
      <c r="AW621" s="176">
        <f t="shared" si="241"/>
        <v>0</v>
      </c>
      <c r="AX621" s="56">
        <f t="shared" si="231"/>
        <v>0</v>
      </c>
      <c r="AY621" s="330"/>
      <c r="AZ621" s="326"/>
      <c r="BE621" s="277"/>
      <c r="BF621" s="54"/>
      <c r="BG621" s="55"/>
      <c r="BH621" s="55"/>
      <c r="BI621" s="55"/>
      <c r="BJ621" s="56">
        <f t="shared" si="242"/>
        <v>0</v>
      </c>
      <c r="BL621" s="277"/>
      <c r="BM621" s="54"/>
      <c r="BN621" s="55"/>
      <c r="BO621" s="55"/>
      <c r="BP621" s="55"/>
      <c r="BQ621" s="56">
        <f t="shared" si="243"/>
        <v>0</v>
      </c>
    </row>
    <row r="622" spans="1:69" x14ac:dyDescent="0.15">
      <c r="A622" s="53" t="s">
        <v>100</v>
      </c>
      <c r="B622" s="62"/>
      <c r="C622" s="63"/>
      <c r="D622" s="63"/>
      <c r="E622" s="63"/>
      <c r="F622" s="56">
        <f t="shared" si="226"/>
        <v>0</v>
      </c>
      <c r="G622" s="62">
        <v>1</v>
      </c>
      <c r="H622" s="63"/>
      <c r="I622" s="63"/>
      <c r="J622" s="63"/>
      <c r="K622" s="56">
        <f t="shared" si="227"/>
        <v>1</v>
      </c>
      <c r="L622" s="62"/>
      <c r="M622" s="63"/>
      <c r="N622" s="63"/>
      <c r="O622" s="63"/>
      <c r="P622" s="56">
        <f t="shared" si="228"/>
        <v>0</v>
      </c>
      <c r="Q622" s="62"/>
      <c r="R622" s="63"/>
      <c r="S622" s="63"/>
      <c r="T622" s="63"/>
      <c r="U622" s="176">
        <f t="shared" si="229"/>
        <v>0</v>
      </c>
      <c r="V622" s="56">
        <f t="shared" si="230"/>
        <v>1</v>
      </c>
      <c r="W622" s="329">
        <v>44743</v>
      </c>
      <c r="X622" s="326"/>
      <c r="Y622" s="326"/>
      <c r="Z622" s="326"/>
      <c r="AC622" s="276"/>
      <c r="AD622" s="62"/>
      <c r="AE622" s="63"/>
      <c r="AF622" s="63"/>
      <c r="AG622" s="63"/>
      <c r="AH622" s="56">
        <f t="shared" si="234"/>
        <v>0</v>
      </c>
      <c r="AI622" s="62"/>
      <c r="AJ622" s="63"/>
      <c r="AK622" s="63"/>
      <c r="AL622" s="63"/>
      <c r="AM622" s="56">
        <f t="shared" si="235"/>
        <v>0</v>
      </c>
      <c r="AN622" s="62"/>
      <c r="AO622" s="63"/>
      <c r="AP622" s="63"/>
      <c r="AQ622" s="63"/>
      <c r="AR622" s="56">
        <f t="shared" si="240"/>
        <v>0</v>
      </c>
      <c r="AS622" s="62"/>
      <c r="AT622" s="63"/>
      <c r="AU622" s="63"/>
      <c r="AV622" s="63"/>
      <c r="AW622" s="176">
        <f t="shared" si="241"/>
        <v>0</v>
      </c>
      <c r="AX622" s="56">
        <f t="shared" si="231"/>
        <v>0</v>
      </c>
      <c r="AY622" s="330"/>
      <c r="AZ622" s="326"/>
      <c r="BE622" s="268"/>
      <c r="BF622" s="62"/>
      <c r="BG622" s="63"/>
      <c r="BH622" s="63"/>
      <c r="BI622" s="63"/>
      <c r="BJ622" s="56">
        <f t="shared" si="242"/>
        <v>0</v>
      </c>
      <c r="BL622" s="268"/>
      <c r="BM622" s="62"/>
      <c r="BN622" s="63"/>
      <c r="BO622" s="63"/>
      <c r="BP622" s="63"/>
      <c r="BQ622" s="56">
        <f t="shared" si="243"/>
        <v>0</v>
      </c>
    </row>
    <row r="623" spans="1:69" x14ac:dyDescent="0.15">
      <c r="A623" s="53" t="s">
        <v>98</v>
      </c>
      <c r="B623" s="54"/>
      <c r="C623" s="55"/>
      <c r="D623" s="55"/>
      <c r="E623" s="55"/>
      <c r="F623" s="56">
        <f t="shared" si="226"/>
        <v>0</v>
      </c>
      <c r="G623" s="54"/>
      <c r="H623" s="55"/>
      <c r="I623" s="55"/>
      <c r="J623" s="55"/>
      <c r="K623" s="56">
        <f t="shared" si="227"/>
        <v>0</v>
      </c>
      <c r="L623" s="54"/>
      <c r="M623" s="55"/>
      <c r="N623" s="55"/>
      <c r="O623" s="55"/>
      <c r="P623" s="56">
        <f t="shared" si="228"/>
        <v>0</v>
      </c>
      <c r="Q623" s="54"/>
      <c r="R623" s="55">
        <v>1</v>
      </c>
      <c r="S623" s="55"/>
      <c r="T623" s="55"/>
      <c r="U623" s="176">
        <f t="shared" si="229"/>
        <v>1</v>
      </c>
      <c r="V623" s="56">
        <f t="shared" si="230"/>
        <v>1</v>
      </c>
      <c r="W623" s="328">
        <v>44742</v>
      </c>
      <c r="X623" s="326"/>
      <c r="Y623" s="326"/>
      <c r="Z623" s="326"/>
      <c r="AC623" s="276"/>
      <c r="AD623" s="54"/>
      <c r="AE623" s="55"/>
      <c r="AF623" s="55"/>
      <c r="AG623" s="55"/>
      <c r="AH623" s="56">
        <f t="shared" si="234"/>
        <v>0</v>
      </c>
      <c r="AI623" s="54"/>
      <c r="AJ623" s="55"/>
      <c r="AK623" s="55"/>
      <c r="AL623" s="55"/>
      <c r="AM623" s="56">
        <f t="shared" si="235"/>
        <v>0</v>
      </c>
      <c r="AN623" s="54"/>
      <c r="AO623" s="55"/>
      <c r="AP623" s="55"/>
      <c r="AQ623" s="55"/>
      <c r="AR623" s="56">
        <f t="shared" si="240"/>
        <v>0</v>
      </c>
      <c r="AS623" s="54"/>
      <c r="AT623" s="55"/>
      <c r="AU623" s="55"/>
      <c r="AV623" s="55"/>
      <c r="AW623" s="176">
        <f t="shared" si="241"/>
        <v>0</v>
      </c>
      <c r="AX623" s="56">
        <f t="shared" si="231"/>
        <v>0</v>
      </c>
      <c r="AY623" s="330"/>
      <c r="AZ623" s="326"/>
      <c r="BE623" s="268"/>
      <c r="BF623" s="54"/>
      <c r="BG623" s="55"/>
      <c r="BH623" s="55"/>
      <c r="BI623" s="55"/>
      <c r="BJ623" s="56">
        <f t="shared" si="242"/>
        <v>0</v>
      </c>
      <c r="BL623" s="268"/>
      <c r="BM623" s="54"/>
      <c r="BN623" s="55"/>
      <c r="BO623" s="55"/>
      <c r="BP623" s="55"/>
      <c r="BQ623" s="56">
        <f t="shared" si="243"/>
        <v>0</v>
      </c>
    </row>
    <row r="624" spans="1:69" x14ac:dyDescent="0.15">
      <c r="A624" s="53" t="s">
        <v>100</v>
      </c>
      <c r="B624" s="54"/>
      <c r="C624" s="55"/>
      <c r="D624" s="55"/>
      <c r="E624" s="55"/>
      <c r="F624" s="56">
        <f t="shared" si="226"/>
        <v>0</v>
      </c>
      <c r="G624" s="54"/>
      <c r="H624" s="55"/>
      <c r="I624" s="55"/>
      <c r="J624" s="55">
        <v>1</v>
      </c>
      <c r="K624" s="56">
        <f t="shared" si="227"/>
        <v>1</v>
      </c>
      <c r="L624" s="54"/>
      <c r="M624" s="55"/>
      <c r="N624" s="55"/>
      <c r="O624" s="55"/>
      <c r="P624" s="56">
        <f t="shared" si="228"/>
        <v>0</v>
      </c>
      <c r="Q624" s="54"/>
      <c r="R624" s="55"/>
      <c r="S624" s="55"/>
      <c r="T624" s="55"/>
      <c r="U624" s="176">
        <f t="shared" si="229"/>
        <v>0</v>
      </c>
      <c r="V624" s="56">
        <f t="shared" si="230"/>
        <v>1</v>
      </c>
      <c r="W624" s="329">
        <v>44744</v>
      </c>
      <c r="X624" s="326"/>
      <c r="Y624" s="326"/>
      <c r="Z624" s="326"/>
      <c r="AC624" s="276"/>
      <c r="AD624" s="33"/>
      <c r="AE624" s="34"/>
      <c r="AF624" s="34"/>
      <c r="AG624" s="34"/>
      <c r="AH624" s="30">
        <f t="shared" si="234"/>
        <v>0</v>
      </c>
      <c r="AI624" s="33"/>
      <c r="AJ624" s="34"/>
      <c r="AK624" s="34"/>
      <c r="AL624" s="34"/>
      <c r="AM624" s="30">
        <f t="shared" si="235"/>
        <v>0</v>
      </c>
      <c r="AN624" s="33"/>
      <c r="AO624" s="34"/>
      <c r="AP624" s="34"/>
      <c r="AQ624" s="34"/>
      <c r="AR624" s="30">
        <f t="shared" si="240"/>
        <v>0</v>
      </c>
      <c r="AS624" s="33"/>
      <c r="AT624" s="34"/>
      <c r="AU624" s="34"/>
      <c r="AV624" s="34"/>
      <c r="AW624" s="178">
        <f t="shared" si="241"/>
        <v>0</v>
      </c>
      <c r="AX624" s="170">
        <f t="shared" si="231"/>
        <v>0</v>
      </c>
      <c r="AY624" s="330"/>
      <c r="AZ624" s="326"/>
      <c r="BE624" s="268"/>
      <c r="BF624" s="62"/>
      <c r="BG624" s="63"/>
      <c r="BH624" s="63"/>
      <c r="BI624" s="63"/>
      <c r="BJ624" s="56">
        <f t="shared" si="242"/>
        <v>0</v>
      </c>
      <c r="BL624" s="268"/>
      <c r="BM624" s="62"/>
      <c r="BN624" s="63"/>
      <c r="BO624" s="63"/>
      <c r="BP624" s="63"/>
      <c r="BQ624" s="56">
        <f t="shared" si="243"/>
        <v>0</v>
      </c>
    </row>
    <row r="625" spans="1:69" x14ac:dyDescent="0.15">
      <c r="A625" s="53" t="s">
        <v>98</v>
      </c>
      <c r="B625" s="54"/>
      <c r="C625" s="55"/>
      <c r="D625" s="55"/>
      <c r="E625" s="55"/>
      <c r="F625" s="56">
        <f t="shared" si="226"/>
        <v>0</v>
      </c>
      <c r="G625" s="54"/>
      <c r="H625" s="55">
        <v>1</v>
      </c>
      <c r="I625" s="55"/>
      <c r="J625" s="55"/>
      <c r="K625" s="56">
        <f t="shared" si="227"/>
        <v>1</v>
      </c>
      <c r="L625" s="54"/>
      <c r="M625" s="55"/>
      <c r="N625" s="55"/>
      <c r="O625" s="55"/>
      <c r="P625" s="56">
        <f t="shared" si="228"/>
        <v>0</v>
      </c>
      <c r="Q625" s="54"/>
      <c r="R625" s="55"/>
      <c r="S625" s="55">
        <v>1</v>
      </c>
      <c r="T625" s="55">
        <v>1</v>
      </c>
      <c r="U625" s="176">
        <f t="shared" si="229"/>
        <v>2</v>
      </c>
      <c r="V625" s="56">
        <f t="shared" si="230"/>
        <v>3</v>
      </c>
      <c r="W625" s="328">
        <v>44743</v>
      </c>
      <c r="X625" s="326"/>
      <c r="Y625" s="326"/>
      <c r="Z625" s="326"/>
      <c r="AC625" s="269"/>
      <c r="AD625" s="54"/>
      <c r="AE625" s="55"/>
      <c r="AF625" s="55"/>
      <c r="AG625" s="55"/>
      <c r="AH625" s="56">
        <f t="shared" si="234"/>
        <v>0</v>
      </c>
      <c r="AI625" s="54"/>
      <c r="AJ625" s="55"/>
      <c r="AK625" s="55"/>
      <c r="AL625" s="55"/>
      <c r="AM625" s="56">
        <f t="shared" si="235"/>
        <v>0</v>
      </c>
      <c r="AN625" s="54"/>
      <c r="AO625" s="55"/>
      <c r="AP625" s="55"/>
      <c r="AQ625" s="55"/>
      <c r="AR625" s="56">
        <f t="shared" si="240"/>
        <v>0</v>
      </c>
      <c r="AS625" s="54"/>
      <c r="AT625" s="55"/>
      <c r="AU625" s="55"/>
      <c r="AV625" s="55"/>
      <c r="AW625" s="176">
        <f t="shared" si="241"/>
        <v>0</v>
      </c>
      <c r="AX625" s="56">
        <f t="shared" si="231"/>
        <v>0</v>
      </c>
      <c r="AY625" s="330"/>
      <c r="AZ625" s="326"/>
      <c r="BE625" s="277"/>
      <c r="BF625" s="54"/>
      <c r="BG625" s="55"/>
      <c r="BH625" s="55"/>
      <c r="BI625" s="55"/>
      <c r="BJ625" s="56">
        <f t="shared" si="242"/>
        <v>0</v>
      </c>
      <c r="BL625" s="277"/>
      <c r="BM625" s="54"/>
      <c r="BN625" s="55"/>
      <c r="BO625" s="55"/>
      <c r="BP625" s="55"/>
      <c r="BQ625" s="56">
        <f t="shared" si="243"/>
        <v>0</v>
      </c>
    </row>
    <row r="626" spans="1:69" ht="14.25" thickBot="1" x14ac:dyDescent="0.2">
      <c r="A626" s="53" t="s">
        <v>98</v>
      </c>
      <c r="B626" s="33"/>
      <c r="C626" s="34"/>
      <c r="D626" s="34"/>
      <c r="E626" s="34"/>
      <c r="F626" s="30">
        <f t="shared" si="226"/>
        <v>0</v>
      </c>
      <c r="G626" s="33"/>
      <c r="H626" s="34"/>
      <c r="I626" s="34"/>
      <c r="J626" s="34"/>
      <c r="K626" s="30">
        <f t="shared" si="227"/>
        <v>0</v>
      </c>
      <c r="L626" s="33"/>
      <c r="M626" s="34"/>
      <c r="N626" s="34"/>
      <c r="O626" s="34"/>
      <c r="P626" s="30">
        <f t="shared" si="228"/>
        <v>0</v>
      </c>
      <c r="Q626" s="33"/>
      <c r="R626" s="34">
        <v>1</v>
      </c>
      <c r="S626" s="34"/>
      <c r="T626" s="34">
        <v>1</v>
      </c>
      <c r="U626" s="178">
        <f t="shared" si="229"/>
        <v>2</v>
      </c>
      <c r="V626" s="170">
        <f t="shared" si="230"/>
        <v>2</v>
      </c>
      <c r="W626" s="328">
        <v>44744</v>
      </c>
      <c r="X626" s="326"/>
      <c r="Y626" s="326"/>
      <c r="Z626" s="326"/>
      <c r="AC626" s="282"/>
      <c r="AD626" s="33"/>
      <c r="AE626" s="34"/>
      <c r="AF626" s="34"/>
      <c r="AG626" s="34"/>
      <c r="AH626" s="30">
        <f t="shared" si="234"/>
        <v>0</v>
      </c>
      <c r="AI626" s="33"/>
      <c r="AJ626" s="34"/>
      <c r="AK626" s="34"/>
      <c r="AL626" s="34"/>
      <c r="AM626" s="30">
        <f t="shared" si="235"/>
        <v>0</v>
      </c>
      <c r="AN626" s="33"/>
      <c r="AO626" s="34"/>
      <c r="AP626" s="34"/>
      <c r="AQ626" s="34"/>
      <c r="AR626" s="30">
        <f t="shared" si="240"/>
        <v>0</v>
      </c>
      <c r="AS626" s="33"/>
      <c r="AT626" s="34"/>
      <c r="AU626" s="34"/>
      <c r="AV626" s="34"/>
      <c r="AW626" s="178">
        <f t="shared" si="241"/>
        <v>0</v>
      </c>
      <c r="AX626" s="170">
        <f t="shared" si="231"/>
        <v>0</v>
      </c>
      <c r="AY626" s="330"/>
      <c r="AZ626" s="326"/>
      <c r="BE626" s="282"/>
      <c r="BF626" s="33"/>
      <c r="BG626" s="34"/>
      <c r="BH626" s="34"/>
      <c r="BI626" s="34"/>
      <c r="BJ626" s="30">
        <f t="shared" si="242"/>
        <v>0</v>
      </c>
      <c r="BL626" s="282"/>
      <c r="BM626" s="33"/>
      <c r="BN626" s="34"/>
      <c r="BO626" s="34"/>
      <c r="BP626" s="34"/>
      <c r="BQ626" s="30">
        <f t="shared" si="243"/>
        <v>0</v>
      </c>
    </row>
    <row r="627" spans="1:69" ht="15" thickBot="1" x14ac:dyDescent="0.2">
      <c r="A627" s="9" t="s">
        <v>15</v>
      </c>
      <c r="B627" s="36">
        <f>SUM(B601:B626)</f>
        <v>2</v>
      </c>
      <c r="C627" s="37">
        <f>SUM(C601:C626)</f>
        <v>1</v>
      </c>
      <c r="D627" s="37">
        <f>SUM(D601:D626)</f>
        <v>3</v>
      </c>
      <c r="E627" s="38">
        <f>SUM(E601:E626)</f>
        <v>0</v>
      </c>
      <c r="F627" s="25">
        <f t="shared" si="226"/>
        <v>6</v>
      </c>
      <c r="G627" s="36">
        <f>SUM(G601:G626)</f>
        <v>8</v>
      </c>
      <c r="H627" s="37">
        <f>SUM(H601:H626)</f>
        <v>10</v>
      </c>
      <c r="I627" s="37">
        <f>SUM(I601:I626)</f>
        <v>7</v>
      </c>
      <c r="J627" s="38">
        <f>SUM(J601:J626)</f>
        <v>9</v>
      </c>
      <c r="K627" s="25">
        <f t="shared" si="227"/>
        <v>34</v>
      </c>
      <c r="L627" s="36">
        <f>SUM(L601:L626)</f>
        <v>3</v>
      </c>
      <c r="M627" s="37">
        <f>SUM(M601:M626)</f>
        <v>0</v>
      </c>
      <c r="N627" s="37">
        <f>SUM(N601:N626)</f>
        <v>0</v>
      </c>
      <c r="O627" s="38">
        <f>SUM(O601:O626)</f>
        <v>1</v>
      </c>
      <c r="P627" s="25">
        <f t="shared" si="228"/>
        <v>4</v>
      </c>
      <c r="Q627" s="36">
        <f>SUM(Q601:Q626)</f>
        <v>5</v>
      </c>
      <c r="R627" s="37">
        <f>SUM(R601:R626)</f>
        <v>14</v>
      </c>
      <c r="S627" s="37">
        <f>SUM(S601:S626)</f>
        <v>6</v>
      </c>
      <c r="T627" s="38">
        <f>SUM(T601:T626)</f>
        <v>13</v>
      </c>
      <c r="U627" s="36">
        <f t="shared" si="229"/>
        <v>38</v>
      </c>
      <c r="V627" s="77">
        <f t="shared" si="230"/>
        <v>82</v>
      </c>
      <c r="W627" s="325"/>
      <c r="X627" s="326"/>
      <c r="Y627" s="326"/>
      <c r="Z627" s="326"/>
      <c r="AC627" s="278" t="s">
        <v>15</v>
      </c>
      <c r="AD627" s="36">
        <f>SUM(AD601:AD626)</f>
        <v>15</v>
      </c>
      <c r="AE627" s="37">
        <f>SUM(AE601:AE626)</f>
        <v>36</v>
      </c>
      <c r="AF627" s="37">
        <f>SUM(AF601:AF626)</f>
        <v>15</v>
      </c>
      <c r="AG627" s="38">
        <f>SUM(AG601:AG626)</f>
        <v>10</v>
      </c>
      <c r="AH627" s="25">
        <f t="shared" si="234"/>
        <v>76</v>
      </c>
      <c r="AI627" s="36">
        <f>SUM(AI601:AI626)</f>
        <v>37</v>
      </c>
      <c r="AJ627" s="37">
        <f>SUM(AJ601:AJ626)</f>
        <v>47</v>
      </c>
      <c r="AK627" s="37">
        <f>SUM(AK601:AK626)</f>
        <v>14</v>
      </c>
      <c r="AL627" s="38">
        <f>SUM(AL601:AL626)</f>
        <v>31</v>
      </c>
      <c r="AM627" s="25">
        <f t="shared" si="235"/>
        <v>129</v>
      </c>
      <c r="AN627" s="36">
        <f>SUM(AN601:AN626)</f>
        <v>10</v>
      </c>
      <c r="AO627" s="37">
        <f>SUM(AO601:AO626)</f>
        <v>5</v>
      </c>
      <c r="AP627" s="37">
        <f>SUM(AP601:AP626)</f>
        <v>5</v>
      </c>
      <c r="AQ627" s="38">
        <f>SUM(AQ601:AQ626)</f>
        <v>5</v>
      </c>
      <c r="AR627" s="25">
        <f t="shared" si="240"/>
        <v>25</v>
      </c>
      <c r="AS627" s="36">
        <f>SUM(AS601:AS626)</f>
        <v>42</v>
      </c>
      <c r="AT627" s="37">
        <f>SUM(AT601:AT626)</f>
        <v>59</v>
      </c>
      <c r="AU627" s="37">
        <f>SUM(AU601:AU626)</f>
        <v>44</v>
      </c>
      <c r="AV627" s="38">
        <f>SUM(AV601:AV626)</f>
        <v>38</v>
      </c>
      <c r="AW627" s="36">
        <f t="shared" si="241"/>
        <v>183</v>
      </c>
      <c r="AX627" s="161">
        <f t="shared" si="231"/>
        <v>413</v>
      </c>
      <c r="AY627" s="325"/>
      <c r="AZ627" s="326"/>
      <c r="BE627" s="278" t="s">
        <v>15</v>
      </c>
      <c r="BF627" s="36">
        <f>SUM(BF601:BF626)</f>
        <v>1</v>
      </c>
      <c r="BG627" s="302">
        <f>SUM(BG601:BG626)</f>
        <v>0</v>
      </c>
      <c r="BH627" s="37">
        <f>SUM(BH601:BH626)</f>
        <v>2</v>
      </c>
      <c r="BI627" s="38">
        <f>SUM(BI601:BI626)</f>
        <v>2</v>
      </c>
      <c r="BJ627" s="25">
        <f t="shared" si="242"/>
        <v>5</v>
      </c>
      <c r="BL627" s="278" t="s">
        <v>15</v>
      </c>
      <c r="BM627" s="36">
        <f>SUM(BM601:BM626)</f>
        <v>0</v>
      </c>
      <c r="BN627" s="302">
        <f>SUM(BN601:BN626)</f>
        <v>0</v>
      </c>
      <c r="BO627" s="37">
        <f>SUM(BO601:BO626)</f>
        <v>0</v>
      </c>
      <c r="BP627" s="38">
        <f>SUM(BP601:BP626)</f>
        <v>0</v>
      </c>
      <c r="BQ627" s="25">
        <f t="shared" si="243"/>
        <v>0</v>
      </c>
    </row>
    <row r="628" spans="1:69" ht="14.25" thickBot="1" x14ac:dyDescent="0.2">
      <c r="A628" s="39" t="s">
        <v>16</v>
      </c>
      <c r="B628" s="40">
        <f>B600-B627</f>
        <v>12</v>
      </c>
      <c r="C628" s="41">
        <f>C600-C627</f>
        <v>11</v>
      </c>
      <c r="D628" s="41">
        <f>D600-D627</f>
        <v>11</v>
      </c>
      <c r="E628" s="42">
        <f>E600-E627</f>
        <v>10</v>
      </c>
      <c r="F628" s="171">
        <f t="shared" si="226"/>
        <v>44</v>
      </c>
      <c r="G628" s="40">
        <f>G600-G627</f>
        <v>10</v>
      </c>
      <c r="H628" s="41">
        <f>H600-H627</f>
        <v>18</v>
      </c>
      <c r="I628" s="41">
        <f>I600-I627</f>
        <v>11</v>
      </c>
      <c r="J628" s="42">
        <f>J600-J627</f>
        <v>12</v>
      </c>
      <c r="K628" s="171">
        <f t="shared" si="227"/>
        <v>51</v>
      </c>
      <c r="L628" s="40">
        <f>L600-L627</f>
        <v>10</v>
      </c>
      <c r="M628" s="41">
        <f>M600-M627</f>
        <v>10</v>
      </c>
      <c r="N628" s="41">
        <f>N600-N627</f>
        <v>9</v>
      </c>
      <c r="O628" s="42">
        <f>O600-O627</f>
        <v>9</v>
      </c>
      <c r="P628" s="171">
        <f t="shared" si="228"/>
        <v>38</v>
      </c>
      <c r="Q628" s="40">
        <f>Q600-Q627</f>
        <v>10</v>
      </c>
      <c r="R628" s="41">
        <f>R600-R627</f>
        <v>14</v>
      </c>
      <c r="S628" s="41">
        <f>S600-S627</f>
        <v>12</v>
      </c>
      <c r="T628" s="42">
        <f>T600-T627</f>
        <v>7</v>
      </c>
      <c r="U628" s="177">
        <f t="shared" si="229"/>
        <v>43</v>
      </c>
      <c r="V628" s="77">
        <f t="shared" si="230"/>
        <v>176</v>
      </c>
      <c r="W628" s="325"/>
      <c r="X628" s="326"/>
      <c r="Y628" s="326"/>
      <c r="Z628" s="326"/>
      <c r="AC628" s="279" t="s">
        <v>16</v>
      </c>
      <c r="AD628" s="40">
        <f>AD600-AD627</f>
        <v>116</v>
      </c>
      <c r="AE628" s="41">
        <f>AE600-AE627</f>
        <v>167</v>
      </c>
      <c r="AF628" s="41">
        <f>AF600-AF627</f>
        <v>180</v>
      </c>
      <c r="AG628" s="42">
        <f>AG600-AG627</f>
        <v>118</v>
      </c>
      <c r="AH628" s="171">
        <f t="shared" si="234"/>
        <v>581</v>
      </c>
      <c r="AI628" s="40">
        <f>AI600-AI627</f>
        <v>139</v>
      </c>
      <c r="AJ628" s="41">
        <f>AJ600-AJ627</f>
        <v>264</v>
      </c>
      <c r="AK628" s="41">
        <f>AK600-AK627</f>
        <v>165</v>
      </c>
      <c r="AL628" s="42">
        <f>AL600-AL627</f>
        <v>171</v>
      </c>
      <c r="AM628" s="171">
        <f t="shared" si="235"/>
        <v>739</v>
      </c>
      <c r="AN628" s="40">
        <f>AN600-AN627</f>
        <v>35</v>
      </c>
      <c r="AO628" s="41">
        <f>AO600-AO627</f>
        <v>82</v>
      </c>
      <c r="AP628" s="41">
        <f>AP600-AP627</f>
        <v>40</v>
      </c>
      <c r="AQ628" s="42">
        <f>AQ600-AQ627</f>
        <v>22</v>
      </c>
      <c r="AR628" s="171">
        <f t="shared" si="240"/>
        <v>179</v>
      </c>
      <c r="AS628" s="40">
        <f>AS600-AS627</f>
        <v>94</v>
      </c>
      <c r="AT628" s="41">
        <f>AT600-AT627</f>
        <v>140</v>
      </c>
      <c r="AU628" s="41">
        <f>AU600-AU627</f>
        <v>87</v>
      </c>
      <c r="AV628" s="42">
        <f>AV600-AV627</f>
        <v>78</v>
      </c>
      <c r="AW628" s="177">
        <f t="shared" si="241"/>
        <v>399</v>
      </c>
      <c r="AX628" s="77">
        <f t="shared" si="231"/>
        <v>1898</v>
      </c>
      <c r="AY628" s="325"/>
      <c r="AZ628" s="326"/>
      <c r="BE628" s="279" t="s">
        <v>16</v>
      </c>
      <c r="BF628" s="40">
        <f>BF600-BF627</f>
        <v>6</v>
      </c>
      <c r="BG628" s="303">
        <f>BG600-BG627</f>
        <v>0</v>
      </c>
      <c r="BH628" s="41">
        <f>BH600-BH627</f>
        <v>6</v>
      </c>
      <c r="BI628" s="42">
        <f>BI600-BI627</f>
        <v>8</v>
      </c>
      <c r="BJ628" s="171">
        <f t="shared" si="242"/>
        <v>20</v>
      </c>
      <c r="BL628" s="279" t="s">
        <v>16</v>
      </c>
      <c r="BM628" s="40">
        <f>BM600-BM627</f>
        <v>8</v>
      </c>
      <c r="BN628" s="303">
        <f>BN600-BN627</f>
        <v>0</v>
      </c>
      <c r="BO628" s="41">
        <f>BO600-BO627</f>
        <v>39</v>
      </c>
      <c r="BP628" s="42">
        <f>BP600-BP627</f>
        <v>11</v>
      </c>
      <c r="BQ628" s="171">
        <f t="shared" si="243"/>
        <v>58</v>
      </c>
    </row>
    <row r="629" spans="1:69" x14ac:dyDescent="0.15">
      <c r="W629" s="325"/>
      <c r="X629" s="326"/>
      <c r="Y629" s="326"/>
      <c r="Z629" s="326"/>
      <c r="AY629" s="325"/>
      <c r="AZ629" s="326"/>
    </row>
    <row r="630" spans="1:69" x14ac:dyDescent="0.15">
      <c r="W630" s="325"/>
      <c r="X630" s="326"/>
      <c r="Y630" s="326"/>
      <c r="Z630" s="326"/>
      <c r="AY630" s="325"/>
      <c r="AZ630" s="326"/>
    </row>
    <row r="631" spans="1:69" ht="19.5" thickBot="1" x14ac:dyDescent="0.25">
      <c r="A631" s="185" t="s">
        <v>19</v>
      </c>
      <c r="B631" s="186"/>
      <c r="C631" s="186"/>
      <c r="D631" s="186"/>
      <c r="E631" s="186"/>
      <c r="F631" s="18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325"/>
      <c r="X631" s="326"/>
      <c r="Y631" s="326"/>
      <c r="Z631" s="326"/>
      <c r="AC631" s="187" t="s">
        <v>73</v>
      </c>
      <c r="AD631" s="188"/>
      <c r="AE631" s="188"/>
      <c r="AF631" s="188"/>
      <c r="AG631" s="188"/>
      <c r="AH631" s="188"/>
      <c r="AI631" s="188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325"/>
      <c r="AZ631" s="326"/>
      <c r="BE631" s="185" t="s">
        <v>19</v>
      </c>
      <c r="BF631" s="186"/>
      <c r="BG631" s="186"/>
      <c r="BH631" s="186"/>
      <c r="BI631" s="186"/>
      <c r="BJ631" s="186"/>
      <c r="BL631" s="187" t="s">
        <v>73</v>
      </c>
      <c r="BM631" s="188"/>
      <c r="BN631" s="188"/>
      <c r="BO631" s="188"/>
      <c r="BP631" s="188"/>
      <c r="BQ631" s="188"/>
    </row>
    <row r="632" spans="1:69" ht="14.25" thickBot="1" x14ac:dyDescent="0.2">
      <c r="A632" s="3" t="s">
        <v>0</v>
      </c>
      <c r="B632" s="365" t="s">
        <v>17</v>
      </c>
      <c r="C632" s="366"/>
      <c r="D632" s="366"/>
      <c r="E632" s="366"/>
      <c r="F632" s="367"/>
      <c r="G632" s="368" t="s">
        <v>18</v>
      </c>
      <c r="H632" s="369"/>
      <c r="I632" s="369"/>
      <c r="J632" s="369"/>
      <c r="K632" s="370"/>
      <c r="L632" s="371" t="s">
        <v>320</v>
      </c>
      <c r="M632" s="372"/>
      <c r="N632" s="372"/>
      <c r="O632" s="372"/>
      <c r="P632" s="373"/>
      <c r="Q632" s="374" t="s">
        <v>75</v>
      </c>
      <c r="R632" s="356"/>
      <c r="S632" s="356"/>
      <c r="T632" s="356"/>
      <c r="U632" s="357"/>
      <c r="V632" s="360" t="s">
        <v>1</v>
      </c>
      <c r="W632" s="325"/>
      <c r="X632" s="326"/>
      <c r="Y632" s="326"/>
      <c r="Z632" s="326"/>
      <c r="AC632" s="271" t="s">
        <v>0</v>
      </c>
      <c r="AD632" s="365" t="s">
        <v>17</v>
      </c>
      <c r="AE632" s="366"/>
      <c r="AF632" s="366"/>
      <c r="AG632" s="366"/>
      <c r="AH632" s="367"/>
      <c r="AI632" s="368" t="s">
        <v>18</v>
      </c>
      <c r="AJ632" s="369"/>
      <c r="AK632" s="369"/>
      <c r="AL632" s="369"/>
      <c r="AM632" s="370"/>
      <c r="AN632" s="371" t="s">
        <v>320</v>
      </c>
      <c r="AO632" s="372"/>
      <c r="AP632" s="372"/>
      <c r="AQ632" s="372"/>
      <c r="AR632" s="373"/>
      <c r="AS632" s="374" t="s">
        <v>75</v>
      </c>
      <c r="AT632" s="356"/>
      <c r="AU632" s="356"/>
      <c r="AV632" s="356"/>
      <c r="AW632" s="357"/>
      <c r="AX632" s="360" t="s">
        <v>1</v>
      </c>
      <c r="AY632" s="325"/>
      <c r="AZ632" s="326"/>
      <c r="BE632" s="271" t="s">
        <v>0</v>
      </c>
      <c r="BF632" s="362" t="s">
        <v>38</v>
      </c>
      <c r="BG632" s="363"/>
      <c r="BH632" s="363"/>
      <c r="BI632" s="363"/>
      <c r="BJ632" s="364"/>
      <c r="BL632" s="271" t="s">
        <v>0</v>
      </c>
      <c r="BM632" s="362" t="s">
        <v>38</v>
      </c>
      <c r="BN632" s="363"/>
      <c r="BO632" s="363"/>
      <c r="BP632" s="363"/>
      <c r="BQ632" s="364"/>
    </row>
    <row r="633" spans="1:69" ht="14.25" thickBot="1" x14ac:dyDescent="0.2">
      <c r="A633" s="5" t="s">
        <v>2</v>
      </c>
      <c r="B633" s="6" t="s">
        <v>3</v>
      </c>
      <c r="C633" s="7" t="s">
        <v>4</v>
      </c>
      <c r="D633" s="7" t="s">
        <v>5</v>
      </c>
      <c r="E633" s="8" t="s">
        <v>6</v>
      </c>
      <c r="F633" s="5" t="s">
        <v>7</v>
      </c>
      <c r="G633" s="6" t="s">
        <v>3</v>
      </c>
      <c r="H633" s="7" t="s">
        <v>4</v>
      </c>
      <c r="I633" s="7" t="s">
        <v>5</v>
      </c>
      <c r="J633" s="8" t="s">
        <v>6</v>
      </c>
      <c r="K633" s="5" t="s">
        <v>7</v>
      </c>
      <c r="L633" s="6" t="s">
        <v>3</v>
      </c>
      <c r="M633" s="7" t="s">
        <v>4</v>
      </c>
      <c r="N633" s="7" t="s">
        <v>5</v>
      </c>
      <c r="O633" s="8" t="s">
        <v>6</v>
      </c>
      <c r="P633" s="5" t="s">
        <v>7</v>
      </c>
      <c r="Q633" s="6" t="s">
        <v>3</v>
      </c>
      <c r="R633" s="7" t="s">
        <v>4</v>
      </c>
      <c r="S633" s="7" t="s">
        <v>5</v>
      </c>
      <c r="T633" s="8" t="s">
        <v>6</v>
      </c>
      <c r="U633" s="5" t="s">
        <v>7</v>
      </c>
      <c r="V633" s="361"/>
      <c r="W633" s="325"/>
      <c r="X633" s="326"/>
      <c r="Y633" s="326"/>
      <c r="Z633" s="326"/>
      <c r="AC633" s="272" t="s">
        <v>2</v>
      </c>
      <c r="AD633" s="6" t="s">
        <v>3</v>
      </c>
      <c r="AE633" s="7" t="s">
        <v>4</v>
      </c>
      <c r="AF633" s="7" t="s">
        <v>5</v>
      </c>
      <c r="AG633" s="8" t="s">
        <v>6</v>
      </c>
      <c r="AH633" s="5" t="s">
        <v>7</v>
      </c>
      <c r="AI633" s="6" t="s">
        <v>3</v>
      </c>
      <c r="AJ633" s="7" t="s">
        <v>4</v>
      </c>
      <c r="AK633" s="7" t="s">
        <v>5</v>
      </c>
      <c r="AL633" s="8" t="s">
        <v>6</v>
      </c>
      <c r="AM633" s="5" t="s">
        <v>7</v>
      </c>
      <c r="AN633" s="6" t="s">
        <v>3</v>
      </c>
      <c r="AO633" s="7" t="s">
        <v>4</v>
      </c>
      <c r="AP633" s="7" t="s">
        <v>5</v>
      </c>
      <c r="AQ633" s="8" t="s">
        <v>6</v>
      </c>
      <c r="AR633" s="5" t="s">
        <v>7</v>
      </c>
      <c r="AS633" s="6" t="s">
        <v>3</v>
      </c>
      <c r="AT633" s="7" t="s">
        <v>4</v>
      </c>
      <c r="AU633" s="7" t="s">
        <v>5</v>
      </c>
      <c r="AV633" s="8" t="s">
        <v>6</v>
      </c>
      <c r="AW633" s="5" t="s">
        <v>7</v>
      </c>
      <c r="AX633" s="361"/>
      <c r="AY633" s="325"/>
      <c r="AZ633" s="326"/>
      <c r="BE633" s="272" t="s">
        <v>2</v>
      </c>
      <c r="BF633" s="6" t="s">
        <v>3</v>
      </c>
      <c r="BG633" s="7" t="s">
        <v>4</v>
      </c>
      <c r="BH633" s="7" t="s">
        <v>5</v>
      </c>
      <c r="BI633" s="8" t="s">
        <v>6</v>
      </c>
      <c r="BJ633" s="5" t="s">
        <v>7</v>
      </c>
      <c r="BL633" s="272" t="s">
        <v>2</v>
      </c>
      <c r="BM633" s="6" t="s">
        <v>3</v>
      </c>
      <c r="BN633" s="7" t="s">
        <v>4</v>
      </c>
      <c r="BO633" s="7" t="s">
        <v>5</v>
      </c>
      <c r="BP633" s="8" t="s">
        <v>6</v>
      </c>
      <c r="BQ633" s="5" t="s">
        <v>7</v>
      </c>
    </row>
    <row r="634" spans="1:69" ht="15" thickBot="1" x14ac:dyDescent="0.2">
      <c r="A634" s="291" t="s">
        <v>30</v>
      </c>
      <c r="B634" s="292">
        <f>B628</f>
        <v>12</v>
      </c>
      <c r="C634" s="292">
        <f>C628</f>
        <v>11</v>
      </c>
      <c r="D634" s="292">
        <f>D628</f>
        <v>11</v>
      </c>
      <c r="E634" s="293">
        <f>E628</f>
        <v>10</v>
      </c>
      <c r="F634" s="77">
        <f t="shared" ref="F634:F670" si="244">SUM(B634:E634)</f>
        <v>44</v>
      </c>
      <c r="G634" s="292">
        <f>G628</f>
        <v>10</v>
      </c>
      <c r="H634" s="292">
        <f>H628</f>
        <v>18</v>
      </c>
      <c r="I634" s="292">
        <f>I628</f>
        <v>11</v>
      </c>
      <c r="J634" s="293">
        <f>J628</f>
        <v>12</v>
      </c>
      <c r="K634" s="77">
        <f t="shared" ref="K634:K670" si="245">SUM(G634:J634)</f>
        <v>51</v>
      </c>
      <c r="L634" s="292">
        <f>L628</f>
        <v>10</v>
      </c>
      <c r="M634" s="292">
        <f>M628</f>
        <v>10</v>
      </c>
      <c r="N634" s="292">
        <f>N628</f>
        <v>9</v>
      </c>
      <c r="O634" s="293">
        <f>O628</f>
        <v>9</v>
      </c>
      <c r="P634" s="77">
        <f t="shared" ref="P634:P670" si="246">SUM(L634:O634)</f>
        <v>38</v>
      </c>
      <c r="Q634" s="292">
        <f>Q628</f>
        <v>10</v>
      </c>
      <c r="R634" s="292">
        <f>R628</f>
        <v>14</v>
      </c>
      <c r="S634" s="292">
        <f>S628</f>
        <v>12</v>
      </c>
      <c r="T634" s="293">
        <f>T628</f>
        <v>7</v>
      </c>
      <c r="U634" s="182">
        <f t="shared" ref="U634:U670" si="247">SUM(Q634:T634)</f>
        <v>43</v>
      </c>
      <c r="V634" s="77">
        <f t="shared" ref="V634:V670" si="248">F634+K634+P634+U634</f>
        <v>176</v>
      </c>
      <c r="W634" s="325"/>
      <c r="X634" s="326"/>
      <c r="Y634" s="326"/>
      <c r="Z634" s="326"/>
      <c r="AC634" s="294" t="s">
        <v>30</v>
      </c>
      <c r="AD634" s="292">
        <f>AD628</f>
        <v>116</v>
      </c>
      <c r="AE634" s="292">
        <f>AE628</f>
        <v>167</v>
      </c>
      <c r="AF634" s="292">
        <f>AF628</f>
        <v>180</v>
      </c>
      <c r="AG634" s="293">
        <f>AG628</f>
        <v>118</v>
      </c>
      <c r="AH634" s="77">
        <f>SUM(AD634:AG634)</f>
        <v>581</v>
      </c>
      <c r="AI634" s="292">
        <f>AI628</f>
        <v>139</v>
      </c>
      <c r="AJ634" s="292">
        <f>AJ628</f>
        <v>264</v>
      </c>
      <c r="AK634" s="292">
        <f>AK628</f>
        <v>165</v>
      </c>
      <c r="AL634" s="293">
        <f>AL628</f>
        <v>171</v>
      </c>
      <c r="AM634" s="77">
        <f>SUM(AI634:AL634)</f>
        <v>739</v>
      </c>
      <c r="AN634" s="292">
        <f>AN628</f>
        <v>35</v>
      </c>
      <c r="AO634" s="292">
        <f>AO628</f>
        <v>82</v>
      </c>
      <c r="AP634" s="292">
        <f>AP628</f>
        <v>40</v>
      </c>
      <c r="AQ634" s="293">
        <f>AQ628</f>
        <v>22</v>
      </c>
      <c r="AR634" s="77">
        <f>SUM(AN634:AQ634)</f>
        <v>179</v>
      </c>
      <c r="AS634" s="292">
        <f>AS628</f>
        <v>94</v>
      </c>
      <c r="AT634" s="292">
        <f>AT628</f>
        <v>140</v>
      </c>
      <c r="AU634" s="292">
        <f>AU628</f>
        <v>87</v>
      </c>
      <c r="AV634" s="293">
        <f>AV628</f>
        <v>78</v>
      </c>
      <c r="AW634" s="182">
        <f>SUM(AS634:AV634)</f>
        <v>399</v>
      </c>
      <c r="AX634" s="77">
        <f t="shared" ref="AX634:AX670" si="249">AH634+AM634+AR634+AW634</f>
        <v>1898</v>
      </c>
      <c r="AY634" s="325"/>
      <c r="AZ634" s="326"/>
      <c r="BE634" s="294" t="s">
        <v>30</v>
      </c>
      <c r="BF634" s="40">
        <f>BF628</f>
        <v>6</v>
      </c>
      <c r="BG634" s="303">
        <f t="shared" ref="BG634:BJ634" si="250">BG628</f>
        <v>0</v>
      </c>
      <c r="BH634" s="41">
        <f t="shared" si="250"/>
        <v>6</v>
      </c>
      <c r="BI634" s="42">
        <f t="shared" si="250"/>
        <v>8</v>
      </c>
      <c r="BJ634" s="171">
        <f t="shared" si="250"/>
        <v>20</v>
      </c>
      <c r="BL634" s="294" t="s">
        <v>30</v>
      </c>
      <c r="BM634" s="292">
        <f>BM628</f>
        <v>8</v>
      </c>
      <c r="BN634" s="305">
        <f t="shared" ref="BN634:BQ634" si="251">BN628</f>
        <v>0</v>
      </c>
      <c r="BO634" s="292">
        <f t="shared" si="251"/>
        <v>39</v>
      </c>
      <c r="BP634" s="292">
        <f t="shared" si="251"/>
        <v>11</v>
      </c>
      <c r="BQ634" s="77">
        <f t="shared" si="251"/>
        <v>58</v>
      </c>
    </row>
    <row r="635" spans="1:69" x14ac:dyDescent="0.15">
      <c r="A635" s="53" t="s">
        <v>111</v>
      </c>
      <c r="B635" s="51"/>
      <c r="C635" s="52"/>
      <c r="D635" s="52"/>
      <c r="E635" s="52"/>
      <c r="F635" s="49">
        <f t="shared" si="244"/>
        <v>0</v>
      </c>
      <c r="G635" s="51">
        <v>3</v>
      </c>
      <c r="H635" s="52"/>
      <c r="I635" s="52">
        <v>5</v>
      </c>
      <c r="J635" s="52"/>
      <c r="K635" s="49">
        <f t="shared" si="245"/>
        <v>8</v>
      </c>
      <c r="L635" s="51"/>
      <c r="M635" s="52"/>
      <c r="N635" s="52"/>
      <c r="O635" s="52"/>
      <c r="P635" s="49">
        <f t="shared" si="246"/>
        <v>0</v>
      </c>
      <c r="Q635" s="51"/>
      <c r="R635" s="52">
        <v>5</v>
      </c>
      <c r="S635" s="52"/>
      <c r="T635" s="52"/>
      <c r="U635" s="175">
        <f t="shared" si="247"/>
        <v>5</v>
      </c>
      <c r="V635" s="49">
        <f t="shared" si="248"/>
        <v>13</v>
      </c>
      <c r="W635" s="329">
        <v>44754</v>
      </c>
      <c r="X635" s="326"/>
      <c r="Y635" s="326"/>
      <c r="Z635" s="326"/>
      <c r="AC635" s="268" t="s">
        <v>28</v>
      </c>
      <c r="AD635" s="51"/>
      <c r="AE635" s="52"/>
      <c r="AF635" s="52"/>
      <c r="AG635" s="52"/>
      <c r="AH635" s="49">
        <f t="shared" ref="AH635:AH670" si="252">SUM(AD635:AG635)</f>
        <v>0</v>
      </c>
      <c r="AI635" s="51"/>
      <c r="AJ635" s="52"/>
      <c r="AK635" s="52"/>
      <c r="AL635" s="52"/>
      <c r="AM635" s="49">
        <f t="shared" ref="AM635:AM670" si="253">SUM(AI635:AL635)</f>
        <v>0</v>
      </c>
      <c r="AN635" s="51"/>
      <c r="AO635" s="52"/>
      <c r="AP635" s="52"/>
      <c r="AQ635" s="52"/>
      <c r="AR635" s="49">
        <f t="shared" ref="AR635:AR637" si="254">SUM(AN635:AQ635)</f>
        <v>0</v>
      </c>
      <c r="AS635" s="51"/>
      <c r="AT635" s="52"/>
      <c r="AU635" s="52"/>
      <c r="AV635" s="52"/>
      <c r="AW635" s="175">
        <f t="shared" ref="AW635:AW637" si="255">SUM(AS635:AV635)</f>
        <v>0</v>
      </c>
      <c r="AX635" s="49">
        <f t="shared" si="249"/>
        <v>0</v>
      </c>
      <c r="AY635" s="325"/>
      <c r="AZ635" s="326"/>
      <c r="BE635" s="268" t="s">
        <v>28</v>
      </c>
      <c r="BF635" s="51">
        <v>3</v>
      </c>
      <c r="BG635" s="52"/>
      <c r="BH635" s="52">
        <v>3</v>
      </c>
      <c r="BI635" s="52"/>
      <c r="BJ635" s="49">
        <f t="shared" ref="BJ635:BJ637" si="256">SUM(BF635:BI635)</f>
        <v>6</v>
      </c>
      <c r="BK635" s="306">
        <v>44755</v>
      </c>
      <c r="BL635" s="268" t="s">
        <v>28</v>
      </c>
      <c r="BM635" s="51"/>
      <c r="BN635" s="52"/>
      <c r="BO635" s="52"/>
      <c r="BP635" s="52"/>
      <c r="BQ635" s="49">
        <f t="shared" ref="BQ635:BQ637" si="257">SUM(BM635:BP635)</f>
        <v>0</v>
      </c>
    </row>
    <row r="636" spans="1:69" x14ac:dyDescent="0.15">
      <c r="A636" s="53" t="s">
        <v>111</v>
      </c>
      <c r="B636" s="55"/>
      <c r="C636" s="55"/>
      <c r="D636" s="55"/>
      <c r="E636" s="166"/>
      <c r="F636" s="49">
        <f t="shared" si="244"/>
        <v>0</v>
      </c>
      <c r="G636" s="55"/>
      <c r="H636" s="55"/>
      <c r="I636" s="55"/>
      <c r="J636" s="166"/>
      <c r="K636" s="49">
        <f t="shared" si="245"/>
        <v>0</v>
      </c>
      <c r="L636" s="55"/>
      <c r="M636" s="55"/>
      <c r="N636" s="55"/>
      <c r="O636" s="166"/>
      <c r="P636" s="49">
        <f t="shared" si="246"/>
        <v>0</v>
      </c>
      <c r="Q636" s="55"/>
      <c r="R636" s="55">
        <v>5</v>
      </c>
      <c r="S636" s="55"/>
      <c r="T636" s="166">
        <v>10</v>
      </c>
      <c r="U636" s="175">
        <f t="shared" si="247"/>
        <v>15</v>
      </c>
      <c r="V636" s="56">
        <f t="shared" si="248"/>
        <v>15</v>
      </c>
      <c r="W636" s="329">
        <v>44755</v>
      </c>
      <c r="X636" s="326"/>
      <c r="Y636" s="326"/>
      <c r="Z636" s="326"/>
      <c r="AC636" s="268" t="s">
        <v>28</v>
      </c>
      <c r="AD636" s="54"/>
      <c r="AE636" s="55"/>
      <c r="AF636" s="55"/>
      <c r="AG636" s="55"/>
      <c r="AH636" s="56">
        <f t="shared" si="252"/>
        <v>0</v>
      </c>
      <c r="AI636" s="54"/>
      <c r="AJ636" s="55"/>
      <c r="AK636" s="55"/>
      <c r="AL636" s="55"/>
      <c r="AM636" s="56">
        <f t="shared" si="253"/>
        <v>0</v>
      </c>
      <c r="AN636" s="54"/>
      <c r="AO636" s="55"/>
      <c r="AP636" s="55"/>
      <c r="AQ636" s="55"/>
      <c r="AR636" s="56">
        <f t="shared" si="254"/>
        <v>0</v>
      </c>
      <c r="AS636" s="54"/>
      <c r="AT636" s="55"/>
      <c r="AU636" s="55"/>
      <c r="AV636" s="55"/>
      <c r="AW636" s="176">
        <f t="shared" si="255"/>
        <v>0</v>
      </c>
      <c r="AX636" s="56">
        <f t="shared" si="249"/>
        <v>0</v>
      </c>
      <c r="AY636" s="325"/>
      <c r="AZ636" s="326"/>
      <c r="BE636" s="268" t="s">
        <v>28</v>
      </c>
      <c r="BF636" s="54">
        <v>5</v>
      </c>
      <c r="BG636" s="55"/>
      <c r="BH636" s="55"/>
      <c r="BI636" s="55"/>
      <c r="BJ636" s="56">
        <f t="shared" si="256"/>
        <v>5</v>
      </c>
      <c r="BK636" s="306">
        <v>44756</v>
      </c>
      <c r="BL636" s="268" t="s">
        <v>28</v>
      </c>
      <c r="BM636" s="54"/>
      <c r="BN636" s="55"/>
      <c r="BO636" s="55"/>
      <c r="BP636" s="55"/>
      <c r="BQ636" s="56">
        <f t="shared" si="257"/>
        <v>0</v>
      </c>
    </row>
    <row r="637" spans="1:69" x14ac:dyDescent="0.15">
      <c r="A637" s="53" t="s">
        <v>111</v>
      </c>
      <c r="B637" s="55"/>
      <c r="C637" s="55"/>
      <c r="D637" s="55"/>
      <c r="E637" s="166"/>
      <c r="F637" s="49">
        <f t="shared" si="244"/>
        <v>0</v>
      </c>
      <c r="G637" s="55"/>
      <c r="H637" s="55">
        <v>10</v>
      </c>
      <c r="I637" s="55"/>
      <c r="J637" s="166"/>
      <c r="K637" s="49">
        <f t="shared" si="245"/>
        <v>10</v>
      </c>
      <c r="L637" s="55"/>
      <c r="M637" s="55"/>
      <c r="N637" s="55"/>
      <c r="O637" s="166"/>
      <c r="P637" s="49">
        <f t="shared" si="246"/>
        <v>0</v>
      </c>
      <c r="Q637" s="55"/>
      <c r="R637" s="55">
        <v>10</v>
      </c>
      <c r="S637" s="55"/>
      <c r="T637" s="166"/>
      <c r="U637" s="175">
        <f t="shared" si="247"/>
        <v>10</v>
      </c>
      <c r="V637" s="56">
        <f t="shared" si="248"/>
        <v>20</v>
      </c>
      <c r="W637" s="329">
        <v>44757</v>
      </c>
      <c r="X637" s="326"/>
      <c r="Y637" s="326"/>
      <c r="Z637" s="326"/>
      <c r="AC637" s="268" t="s">
        <v>28</v>
      </c>
      <c r="AD637" s="55"/>
      <c r="AE637" s="153"/>
      <c r="AF637" s="153"/>
      <c r="AG637" s="168"/>
      <c r="AH637" s="56">
        <f t="shared" si="252"/>
        <v>0</v>
      </c>
      <c r="AI637" s="54"/>
      <c r="AJ637" s="55"/>
      <c r="AK637" s="55"/>
      <c r="AL637" s="55"/>
      <c r="AM637" s="56">
        <f t="shared" si="253"/>
        <v>0</v>
      </c>
      <c r="AN637" s="54"/>
      <c r="AO637" s="55"/>
      <c r="AP637" s="55"/>
      <c r="AQ637" s="55"/>
      <c r="AR637" s="56">
        <f t="shared" si="254"/>
        <v>0</v>
      </c>
      <c r="AS637" s="55"/>
      <c r="AT637" s="153"/>
      <c r="AU637" s="153"/>
      <c r="AV637" s="168"/>
      <c r="AW637" s="176">
        <f t="shared" si="255"/>
        <v>0</v>
      </c>
      <c r="AX637" s="56">
        <f t="shared" si="249"/>
        <v>0</v>
      </c>
      <c r="AY637" s="330"/>
      <c r="AZ637" s="326"/>
      <c r="BE637" s="268" t="s">
        <v>28</v>
      </c>
      <c r="BF637" s="55"/>
      <c r="BG637" s="153"/>
      <c r="BH637" s="153"/>
      <c r="BI637" s="168"/>
      <c r="BJ637" s="56">
        <f t="shared" si="256"/>
        <v>0</v>
      </c>
      <c r="BL637" s="268" t="s">
        <v>28</v>
      </c>
      <c r="BM637" s="55"/>
      <c r="BN637" s="153"/>
      <c r="BO637" s="153"/>
      <c r="BP637" s="168"/>
      <c r="BQ637" s="56">
        <f t="shared" si="257"/>
        <v>0</v>
      </c>
    </row>
    <row r="638" spans="1:69" x14ac:dyDescent="0.15">
      <c r="A638" s="53" t="s">
        <v>109</v>
      </c>
      <c r="B638" s="63"/>
      <c r="C638" s="63"/>
      <c r="D638" s="63"/>
      <c r="E638" s="167">
        <v>1</v>
      </c>
      <c r="F638" s="64">
        <f t="shared" si="244"/>
        <v>1</v>
      </c>
      <c r="G638" s="63">
        <v>1</v>
      </c>
      <c r="H638" s="63"/>
      <c r="I638" s="63"/>
      <c r="J638" s="167"/>
      <c r="K638" s="64">
        <f t="shared" si="245"/>
        <v>1</v>
      </c>
      <c r="L638" s="63"/>
      <c r="M638" s="63"/>
      <c r="N638" s="63"/>
      <c r="O638" s="167"/>
      <c r="P638" s="64">
        <f t="shared" si="246"/>
        <v>0</v>
      </c>
      <c r="Q638" s="63">
        <v>1</v>
      </c>
      <c r="R638" s="63"/>
      <c r="S638" s="63">
        <v>1</v>
      </c>
      <c r="T638" s="167">
        <v>1</v>
      </c>
      <c r="U638" s="162">
        <f t="shared" si="247"/>
        <v>3</v>
      </c>
      <c r="V638" s="56">
        <f t="shared" si="248"/>
        <v>5</v>
      </c>
      <c r="W638" s="329">
        <v>44757</v>
      </c>
      <c r="X638" s="326"/>
      <c r="Y638" s="326"/>
      <c r="Z638" s="326"/>
      <c r="AC638" s="268" t="s">
        <v>28</v>
      </c>
      <c r="AD638" s="63"/>
      <c r="AE638" s="63"/>
      <c r="AF638" s="63"/>
      <c r="AG638" s="167"/>
      <c r="AH638" s="56">
        <f t="shared" si="252"/>
        <v>0</v>
      </c>
      <c r="AI638" s="63"/>
      <c r="AJ638" s="63"/>
      <c r="AK638" s="63"/>
      <c r="AL638" s="167"/>
      <c r="AM638" s="56">
        <f t="shared" si="253"/>
        <v>0</v>
      </c>
      <c r="AN638" s="63"/>
      <c r="AO638" s="63"/>
      <c r="AP638" s="63"/>
      <c r="AQ638" s="167"/>
      <c r="AR638" s="64">
        <v>0</v>
      </c>
      <c r="AS638" s="63"/>
      <c r="AT638" s="63"/>
      <c r="AU638" s="63"/>
      <c r="AV638" s="167"/>
      <c r="AW638" s="162">
        <v>0</v>
      </c>
      <c r="AX638" s="56">
        <f t="shared" si="249"/>
        <v>0</v>
      </c>
      <c r="AY638" s="330"/>
      <c r="AZ638" s="326"/>
      <c r="BE638" s="268" t="s">
        <v>28</v>
      </c>
      <c r="BF638" s="63"/>
      <c r="BG638" s="63"/>
      <c r="BH638" s="63"/>
      <c r="BI638" s="167"/>
      <c r="BJ638" s="64">
        <v>0</v>
      </c>
      <c r="BL638" s="268" t="s">
        <v>28</v>
      </c>
      <c r="BM638" s="63"/>
      <c r="BN638" s="63"/>
      <c r="BO638" s="63"/>
      <c r="BP638" s="167"/>
      <c r="BQ638" s="64">
        <v>0</v>
      </c>
    </row>
    <row r="639" spans="1:69" x14ac:dyDescent="0.15">
      <c r="A639" s="53" t="s">
        <v>111</v>
      </c>
      <c r="B639" s="55"/>
      <c r="C639" s="153">
        <v>5</v>
      </c>
      <c r="D639" s="153">
        <v>5</v>
      </c>
      <c r="E639" s="168"/>
      <c r="F639" s="56">
        <f t="shared" si="244"/>
        <v>10</v>
      </c>
      <c r="G639" s="55">
        <v>10</v>
      </c>
      <c r="H639" s="153">
        <v>10</v>
      </c>
      <c r="I639" s="153">
        <v>5</v>
      </c>
      <c r="J639" s="168"/>
      <c r="K639" s="56">
        <f t="shared" si="245"/>
        <v>25</v>
      </c>
      <c r="L639" s="55"/>
      <c r="M639" s="153"/>
      <c r="N639" s="153"/>
      <c r="O639" s="168"/>
      <c r="P639" s="56">
        <f t="shared" si="246"/>
        <v>0</v>
      </c>
      <c r="Q639" s="55">
        <v>5</v>
      </c>
      <c r="R639" s="153">
        <v>5</v>
      </c>
      <c r="S639" s="153">
        <v>5</v>
      </c>
      <c r="T639" s="168">
        <v>5</v>
      </c>
      <c r="U639" s="176">
        <f t="shared" si="247"/>
        <v>20</v>
      </c>
      <c r="V639" s="56">
        <f t="shared" si="248"/>
        <v>55</v>
      </c>
      <c r="W639" s="329">
        <v>44762</v>
      </c>
      <c r="X639" s="326"/>
      <c r="Y639" s="326"/>
      <c r="Z639" s="326"/>
      <c r="AC639" s="268" t="s">
        <v>28</v>
      </c>
      <c r="AD639" s="55"/>
      <c r="AE639" s="153"/>
      <c r="AF639" s="153"/>
      <c r="AG639" s="168"/>
      <c r="AH639" s="56">
        <f t="shared" si="252"/>
        <v>0</v>
      </c>
      <c r="AI639" s="55"/>
      <c r="AJ639" s="153"/>
      <c r="AK639" s="153"/>
      <c r="AL639" s="168"/>
      <c r="AM639" s="56">
        <f t="shared" si="253"/>
        <v>0</v>
      </c>
      <c r="AN639" s="55"/>
      <c r="AO639" s="153"/>
      <c r="AP639" s="153"/>
      <c r="AQ639" s="168"/>
      <c r="AR639" s="56">
        <f t="shared" ref="AR639:AR670" si="258">SUM(AN639:AQ639)</f>
        <v>0</v>
      </c>
      <c r="AS639" s="55"/>
      <c r="AT639" s="153"/>
      <c r="AU639" s="153"/>
      <c r="AV639" s="168"/>
      <c r="AW639" s="176">
        <f t="shared" ref="AW639:AW670" si="259">SUM(AS639:AV639)</f>
        <v>0</v>
      </c>
      <c r="AX639" s="56">
        <f t="shared" si="249"/>
        <v>0</v>
      </c>
      <c r="AY639" s="325"/>
      <c r="AZ639" s="326"/>
      <c r="BE639" s="268" t="s">
        <v>28</v>
      </c>
      <c r="BF639" s="55"/>
      <c r="BG639" s="153"/>
      <c r="BH639" s="153"/>
      <c r="BI639" s="168"/>
      <c r="BJ639" s="56">
        <f t="shared" ref="BJ639:BJ670" si="260">SUM(BF639:BI639)</f>
        <v>0</v>
      </c>
      <c r="BL639" s="268" t="s">
        <v>28</v>
      </c>
      <c r="BM639" s="55"/>
      <c r="BN639" s="153"/>
      <c r="BO639" s="153"/>
      <c r="BP639" s="168"/>
      <c r="BQ639" s="56">
        <f t="shared" ref="BQ639:BQ670" si="261">SUM(BM639:BP639)</f>
        <v>0</v>
      </c>
    </row>
    <row r="640" spans="1:69" x14ac:dyDescent="0.15">
      <c r="A640" s="53" t="s">
        <v>109</v>
      </c>
      <c r="B640" s="55"/>
      <c r="C640" s="153"/>
      <c r="D640" s="153"/>
      <c r="E640" s="168"/>
      <c r="F640" s="56">
        <f t="shared" si="244"/>
        <v>0</v>
      </c>
      <c r="G640" s="55">
        <v>1</v>
      </c>
      <c r="H640" s="153"/>
      <c r="I640" s="153"/>
      <c r="J640" s="168"/>
      <c r="K640" s="56">
        <f t="shared" si="245"/>
        <v>1</v>
      </c>
      <c r="L640" s="55"/>
      <c r="M640" s="153"/>
      <c r="N640" s="153"/>
      <c r="O640" s="168"/>
      <c r="P640" s="56">
        <f t="shared" si="246"/>
        <v>0</v>
      </c>
      <c r="Q640" s="55"/>
      <c r="R640" s="153"/>
      <c r="S640" s="153"/>
      <c r="T640" s="168"/>
      <c r="U640" s="176">
        <f t="shared" si="247"/>
        <v>0</v>
      </c>
      <c r="V640" s="56">
        <f t="shared" si="248"/>
        <v>1</v>
      </c>
      <c r="W640" s="328">
        <v>44764</v>
      </c>
      <c r="X640" s="326"/>
      <c r="Y640" s="326"/>
      <c r="Z640" s="326"/>
      <c r="AC640" s="268" t="s">
        <v>28</v>
      </c>
      <c r="AD640" s="55"/>
      <c r="AE640" s="153"/>
      <c r="AF640" s="153"/>
      <c r="AG640" s="168"/>
      <c r="AH640" s="56">
        <f t="shared" si="252"/>
        <v>0</v>
      </c>
      <c r="AI640" s="55"/>
      <c r="AJ640" s="153"/>
      <c r="AK640" s="153"/>
      <c r="AL640" s="168"/>
      <c r="AM640" s="56">
        <f t="shared" si="253"/>
        <v>0</v>
      </c>
      <c r="AN640" s="55"/>
      <c r="AO640" s="153"/>
      <c r="AP640" s="153"/>
      <c r="AQ640" s="168"/>
      <c r="AR640" s="56">
        <f t="shared" si="258"/>
        <v>0</v>
      </c>
      <c r="AS640" s="55"/>
      <c r="AT640" s="153"/>
      <c r="AU640" s="153"/>
      <c r="AV640" s="168"/>
      <c r="AW640" s="176">
        <f t="shared" si="259"/>
        <v>0</v>
      </c>
      <c r="AX640" s="56">
        <f t="shared" si="249"/>
        <v>0</v>
      </c>
      <c r="AY640" s="325"/>
      <c r="AZ640" s="326"/>
      <c r="BE640" s="268" t="s">
        <v>28</v>
      </c>
      <c r="BF640" s="55"/>
      <c r="BG640" s="153"/>
      <c r="BH640" s="153"/>
      <c r="BI640" s="168"/>
      <c r="BJ640" s="56">
        <f t="shared" si="260"/>
        <v>0</v>
      </c>
      <c r="BL640" s="268" t="s">
        <v>28</v>
      </c>
      <c r="BM640" s="55"/>
      <c r="BN640" s="153"/>
      <c r="BO640" s="153"/>
      <c r="BP640" s="168"/>
      <c r="BQ640" s="56">
        <f t="shared" si="261"/>
        <v>0</v>
      </c>
    </row>
    <row r="641" spans="1:70" ht="14.25" thickBot="1" x14ac:dyDescent="0.2">
      <c r="A641" s="53" t="s">
        <v>436</v>
      </c>
      <c r="B641" s="63"/>
      <c r="C641" s="164"/>
      <c r="D641" s="164"/>
      <c r="E641" s="169"/>
      <c r="F641" s="170">
        <f t="shared" si="244"/>
        <v>0</v>
      </c>
      <c r="G641" s="63"/>
      <c r="H641" s="164"/>
      <c r="I641" s="164"/>
      <c r="J641" s="169"/>
      <c r="K641" s="170">
        <f t="shared" si="245"/>
        <v>0</v>
      </c>
      <c r="L641" s="63"/>
      <c r="M641" s="164"/>
      <c r="N641" s="164"/>
      <c r="O641" s="169"/>
      <c r="P641" s="170">
        <f t="shared" si="246"/>
        <v>0</v>
      </c>
      <c r="Q641" s="63"/>
      <c r="R641" s="164"/>
      <c r="S641" s="164">
        <v>-6</v>
      </c>
      <c r="T641" s="169"/>
      <c r="U641" s="179">
        <f t="shared" si="247"/>
        <v>-6</v>
      </c>
      <c r="V641" s="170">
        <f t="shared" si="248"/>
        <v>-6</v>
      </c>
      <c r="W641" s="329"/>
      <c r="X641" s="326"/>
      <c r="Y641" s="326"/>
      <c r="Z641" s="326"/>
      <c r="AC641" s="274" t="s">
        <v>28</v>
      </c>
      <c r="AD641" s="63"/>
      <c r="AE641" s="164"/>
      <c r="AF641" s="164"/>
      <c r="AG641" s="169"/>
      <c r="AH641" s="170">
        <f t="shared" si="252"/>
        <v>0</v>
      </c>
      <c r="AI641" s="63"/>
      <c r="AJ641" s="164"/>
      <c r="AK641" s="164"/>
      <c r="AL641" s="169"/>
      <c r="AM641" s="170">
        <f t="shared" si="253"/>
        <v>0</v>
      </c>
      <c r="AN641" s="63"/>
      <c r="AO641" s="164"/>
      <c r="AP641" s="164"/>
      <c r="AQ641" s="169"/>
      <c r="AR641" s="170">
        <f t="shared" si="258"/>
        <v>0</v>
      </c>
      <c r="AS641" s="55"/>
      <c r="AT641" s="153">
        <v>2</v>
      </c>
      <c r="AU641" s="153">
        <v>3</v>
      </c>
      <c r="AV641" s="168"/>
      <c r="AW641" s="176">
        <f t="shared" si="259"/>
        <v>5</v>
      </c>
      <c r="AX641" s="56">
        <f t="shared" si="249"/>
        <v>5</v>
      </c>
      <c r="AY641" s="328">
        <v>44758</v>
      </c>
      <c r="AZ641" s="326"/>
      <c r="BE641" s="274" t="s">
        <v>28</v>
      </c>
      <c r="BF641" s="63"/>
      <c r="BG641" s="164"/>
      <c r="BH641" s="164"/>
      <c r="BI641" s="169"/>
      <c r="BJ641" s="170">
        <f t="shared" si="260"/>
        <v>0</v>
      </c>
      <c r="BL641" s="274" t="s">
        <v>28</v>
      </c>
      <c r="BM641" s="63"/>
      <c r="BN641" s="164"/>
      <c r="BO641" s="164"/>
      <c r="BP641" s="169"/>
      <c r="BQ641" s="170">
        <f t="shared" si="261"/>
        <v>0</v>
      </c>
    </row>
    <row r="642" spans="1:70" ht="15" thickBot="1" x14ac:dyDescent="0.2">
      <c r="A642" s="181" t="s">
        <v>14</v>
      </c>
      <c r="B642" s="182">
        <f>SUM(B634:B641)</f>
        <v>12</v>
      </c>
      <c r="C642" s="183">
        <f>SUM(C634:C641)</f>
        <v>16</v>
      </c>
      <c r="D642" s="183">
        <f>SUM(D634:D641)</f>
        <v>16</v>
      </c>
      <c r="E642" s="184">
        <f>SUM(E634:E641)</f>
        <v>11</v>
      </c>
      <c r="F642" s="77">
        <f t="shared" si="244"/>
        <v>55</v>
      </c>
      <c r="G642" s="182">
        <f>SUM(G634:G641)</f>
        <v>25</v>
      </c>
      <c r="H642" s="183">
        <f>SUM(H634:H641)</f>
        <v>38</v>
      </c>
      <c r="I642" s="183">
        <f>SUM(I634:I641)</f>
        <v>21</v>
      </c>
      <c r="J642" s="184">
        <f>SUM(J634:J641)</f>
        <v>12</v>
      </c>
      <c r="K642" s="77">
        <f t="shared" si="245"/>
        <v>96</v>
      </c>
      <c r="L642" s="182">
        <f>SUM(L634:L641)</f>
        <v>10</v>
      </c>
      <c r="M642" s="183">
        <f>SUM(M634:M641)</f>
        <v>10</v>
      </c>
      <c r="N642" s="183">
        <f>SUM(N634:N641)</f>
        <v>9</v>
      </c>
      <c r="O642" s="184">
        <f>SUM(O634:O641)</f>
        <v>9</v>
      </c>
      <c r="P642" s="77">
        <f t="shared" si="246"/>
        <v>38</v>
      </c>
      <c r="Q642" s="182">
        <f>SUM(Q634:Q641)</f>
        <v>16</v>
      </c>
      <c r="R642" s="183">
        <f>SUM(R634:R641)</f>
        <v>39</v>
      </c>
      <c r="S642" s="183">
        <f>SUM(S634:S641)</f>
        <v>12</v>
      </c>
      <c r="T642" s="184">
        <f>SUM(T634:T641)</f>
        <v>23</v>
      </c>
      <c r="U642" s="182">
        <f t="shared" si="247"/>
        <v>90</v>
      </c>
      <c r="V642" s="77">
        <f t="shared" si="248"/>
        <v>279</v>
      </c>
      <c r="W642" s="325"/>
      <c r="X642" s="326"/>
      <c r="Y642" s="326"/>
      <c r="Z642" s="326"/>
      <c r="AC642" s="275" t="s">
        <v>14</v>
      </c>
      <c r="AD642" s="182">
        <f>SUM(AD634:AD641)</f>
        <v>116</v>
      </c>
      <c r="AE642" s="183">
        <f>SUM(AE634:AE641)</f>
        <v>167</v>
      </c>
      <c r="AF642" s="183">
        <f>SUM(AF634:AF641)</f>
        <v>180</v>
      </c>
      <c r="AG642" s="184">
        <f>SUM(AG634:AG641)</f>
        <v>118</v>
      </c>
      <c r="AH642" s="77">
        <f t="shared" si="252"/>
        <v>581</v>
      </c>
      <c r="AI642" s="182">
        <f>SUM(AI634:AI641)</f>
        <v>139</v>
      </c>
      <c r="AJ642" s="183">
        <f>SUM(AJ634:AJ641)</f>
        <v>264</v>
      </c>
      <c r="AK642" s="183">
        <f>SUM(AK634:AK641)</f>
        <v>165</v>
      </c>
      <c r="AL642" s="184">
        <f>SUM(AL634:AL641)</f>
        <v>171</v>
      </c>
      <c r="AM642" s="77">
        <f t="shared" si="253"/>
        <v>739</v>
      </c>
      <c r="AN642" s="182">
        <f>SUM(AN634:AN641)</f>
        <v>35</v>
      </c>
      <c r="AO642" s="183">
        <f>SUM(AO634:AO641)</f>
        <v>82</v>
      </c>
      <c r="AP642" s="183">
        <f>SUM(AP634:AP641)</f>
        <v>40</v>
      </c>
      <c r="AQ642" s="184">
        <f>SUM(AQ634:AQ641)</f>
        <v>22</v>
      </c>
      <c r="AR642" s="77">
        <f t="shared" si="258"/>
        <v>179</v>
      </c>
      <c r="AS642" s="182">
        <f>SUM(AS634:AS641)</f>
        <v>94</v>
      </c>
      <c r="AT642" s="183">
        <f>SUM(AT634:AT641)</f>
        <v>142</v>
      </c>
      <c r="AU642" s="183">
        <f>SUM(AU634:AU641)</f>
        <v>90</v>
      </c>
      <c r="AV642" s="184">
        <f>SUM(AV634:AV641)</f>
        <v>78</v>
      </c>
      <c r="AW642" s="182">
        <f t="shared" si="259"/>
        <v>404</v>
      </c>
      <c r="AX642" s="77">
        <f t="shared" si="249"/>
        <v>1903</v>
      </c>
      <c r="AY642" s="325"/>
      <c r="AZ642" s="326"/>
      <c r="BE642" s="275" t="s">
        <v>14</v>
      </c>
      <c r="BF642" s="182">
        <f>SUM(BF634:BF641)</f>
        <v>14</v>
      </c>
      <c r="BG642" s="183">
        <f>SUM(BG634:BG641)</f>
        <v>0</v>
      </c>
      <c r="BH642" s="183">
        <f>SUM(BH634:BH641)</f>
        <v>9</v>
      </c>
      <c r="BI642" s="184">
        <f>SUM(BI634:BI641)</f>
        <v>8</v>
      </c>
      <c r="BJ642" s="77">
        <f t="shared" si="260"/>
        <v>31</v>
      </c>
      <c r="BL642" s="275" t="s">
        <v>14</v>
      </c>
      <c r="BM642" s="182">
        <f>SUM(BM634:BM641)</f>
        <v>8</v>
      </c>
      <c r="BN642" s="183">
        <f>SUM(BN634:BN641)</f>
        <v>0</v>
      </c>
      <c r="BO642" s="183">
        <f>SUM(BO634:BO641)</f>
        <v>39</v>
      </c>
      <c r="BP642" s="184">
        <f>SUM(BP634:BP641)</f>
        <v>11</v>
      </c>
      <c r="BQ642" s="77">
        <f t="shared" si="261"/>
        <v>58</v>
      </c>
    </row>
    <row r="643" spans="1:70" x14ac:dyDescent="0.15">
      <c r="A643" s="53" t="s">
        <v>100</v>
      </c>
      <c r="B643" s="46">
        <v>1</v>
      </c>
      <c r="C643" s="47"/>
      <c r="D643" s="47"/>
      <c r="E643" s="47"/>
      <c r="F643" s="48">
        <f t="shared" si="244"/>
        <v>1</v>
      </c>
      <c r="G643" s="46"/>
      <c r="H643" s="47"/>
      <c r="I643" s="47"/>
      <c r="J643" s="47"/>
      <c r="K643" s="48">
        <f t="shared" si="245"/>
        <v>0</v>
      </c>
      <c r="L643" s="46"/>
      <c r="M643" s="47"/>
      <c r="N643" s="47"/>
      <c r="O643" s="47"/>
      <c r="P643" s="48">
        <f t="shared" si="246"/>
        <v>0</v>
      </c>
      <c r="Q643" s="46"/>
      <c r="R643" s="47"/>
      <c r="S643" s="47"/>
      <c r="T643" s="47"/>
      <c r="U643" s="180">
        <f t="shared" si="247"/>
        <v>0</v>
      </c>
      <c r="V643" s="49">
        <f t="shared" si="248"/>
        <v>1</v>
      </c>
      <c r="W643" s="329">
        <v>44747</v>
      </c>
      <c r="X643" s="326"/>
      <c r="Y643" s="326"/>
      <c r="Z643" s="326"/>
      <c r="AC643" s="276" t="s">
        <v>396</v>
      </c>
      <c r="AD643" s="55"/>
      <c r="AE643" s="153">
        <v>5</v>
      </c>
      <c r="AF643" s="153"/>
      <c r="AG643" s="168"/>
      <c r="AH643" s="56">
        <f t="shared" si="252"/>
        <v>5</v>
      </c>
      <c r="AI643" s="55"/>
      <c r="AJ643" s="153"/>
      <c r="AK643" s="153"/>
      <c r="AL643" s="168"/>
      <c r="AM643" s="56">
        <f t="shared" si="253"/>
        <v>0</v>
      </c>
      <c r="AN643" s="55"/>
      <c r="AO643" s="153"/>
      <c r="AP643" s="153"/>
      <c r="AQ643" s="168"/>
      <c r="AR643" s="56">
        <f t="shared" si="258"/>
        <v>0</v>
      </c>
      <c r="AS643" s="55"/>
      <c r="AT643" s="153"/>
      <c r="AU643" s="153"/>
      <c r="AV643" s="168"/>
      <c r="AW643" s="176">
        <f t="shared" si="259"/>
        <v>0</v>
      </c>
      <c r="AX643" s="56">
        <f t="shared" si="249"/>
        <v>5</v>
      </c>
      <c r="AY643" s="329">
        <v>44750</v>
      </c>
      <c r="AZ643" s="326"/>
      <c r="BE643" s="268" t="s">
        <v>395</v>
      </c>
      <c r="BF643" s="55">
        <v>2</v>
      </c>
      <c r="BG643" s="153"/>
      <c r="BH643" s="153"/>
      <c r="BI643" s="168"/>
      <c r="BJ643" s="56">
        <f t="shared" si="260"/>
        <v>2</v>
      </c>
      <c r="BK643" s="304">
        <v>44746</v>
      </c>
      <c r="BL643" s="268" t="s">
        <v>410</v>
      </c>
      <c r="BM643" s="55">
        <v>3</v>
      </c>
      <c r="BN643" s="153"/>
      <c r="BO643" s="153">
        <v>3</v>
      </c>
      <c r="BP643" s="168"/>
      <c r="BQ643" s="56">
        <f t="shared" si="261"/>
        <v>6</v>
      </c>
      <c r="BR643" s="306">
        <v>44755</v>
      </c>
    </row>
    <row r="644" spans="1:70" x14ac:dyDescent="0.15">
      <c r="A644" s="53" t="s">
        <v>98</v>
      </c>
      <c r="B644" s="54">
        <v>2</v>
      </c>
      <c r="C644" s="55">
        <v>1</v>
      </c>
      <c r="D644" s="55">
        <v>1</v>
      </c>
      <c r="E644" s="55"/>
      <c r="F644" s="56">
        <f t="shared" si="244"/>
        <v>4</v>
      </c>
      <c r="G644" s="54">
        <v>1</v>
      </c>
      <c r="H644" s="55">
        <v>1</v>
      </c>
      <c r="I644" s="55">
        <v>1</v>
      </c>
      <c r="J644" s="55"/>
      <c r="K644" s="56">
        <f t="shared" si="245"/>
        <v>3</v>
      </c>
      <c r="L644" s="54"/>
      <c r="M644" s="55"/>
      <c r="N644" s="55"/>
      <c r="O644" s="55"/>
      <c r="P644" s="56">
        <f t="shared" si="246"/>
        <v>0</v>
      </c>
      <c r="Q644" s="54"/>
      <c r="R644" s="55">
        <v>2</v>
      </c>
      <c r="S644" s="55">
        <v>1</v>
      </c>
      <c r="T644" s="55">
        <v>2</v>
      </c>
      <c r="U644" s="176">
        <f t="shared" si="247"/>
        <v>5</v>
      </c>
      <c r="V644" s="56">
        <f t="shared" si="248"/>
        <v>12</v>
      </c>
      <c r="W644" s="329">
        <v>44746</v>
      </c>
      <c r="X644" s="326"/>
      <c r="Y644" s="326"/>
      <c r="Z644" s="326"/>
      <c r="AC644" s="269" t="s">
        <v>397</v>
      </c>
      <c r="AD644" s="54"/>
      <c r="AE644" s="55"/>
      <c r="AF644" s="55"/>
      <c r="AG644" s="55"/>
      <c r="AH644" s="56">
        <f t="shared" si="252"/>
        <v>0</v>
      </c>
      <c r="AI644" s="54"/>
      <c r="AJ644" s="55">
        <v>5</v>
      </c>
      <c r="AK644" s="55"/>
      <c r="AL644" s="55"/>
      <c r="AM644" s="56">
        <f t="shared" si="253"/>
        <v>5</v>
      </c>
      <c r="AN644" s="54"/>
      <c r="AO644" s="55"/>
      <c r="AP644" s="55"/>
      <c r="AQ644" s="55"/>
      <c r="AR644" s="56">
        <f t="shared" si="258"/>
        <v>0</v>
      </c>
      <c r="AS644" s="54"/>
      <c r="AT644" s="55"/>
      <c r="AU644" s="55"/>
      <c r="AV644" s="55"/>
      <c r="AW644" s="176">
        <f t="shared" si="259"/>
        <v>0</v>
      </c>
      <c r="AX644" s="56">
        <f t="shared" si="249"/>
        <v>5</v>
      </c>
      <c r="AY644" s="329">
        <v>44753</v>
      </c>
      <c r="AZ644" s="326"/>
      <c r="BE644" s="268" t="s">
        <v>98</v>
      </c>
      <c r="BF644" s="54">
        <v>1</v>
      </c>
      <c r="BG644" s="55"/>
      <c r="BH644" s="55">
        <v>3</v>
      </c>
      <c r="BI644" s="55">
        <v>2</v>
      </c>
      <c r="BJ644" s="56">
        <f t="shared" si="260"/>
        <v>6</v>
      </c>
      <c r="BK644" s="304">
        <v>44747</v>
      </c>
      <c r="BL644" s="268" t="s">
        <v>99</v>
      </c>
      <c r="BM644" s="54">
        <v>5</v>
      </c>
      <c r="BN644" s="55"/>
      <c r="BO644" s="55"/>
      <c r="BP644" s="55"/>
      <c r="BQ644" s="56">
        <f t="shared" si="261"/>
        <v>5</v>
      </c>
      <c r="BR644" s="306">
        <v>44756</v>
      </c>
    </row>
    <row r="645" spans="1:70" x14ac:dyDescent="0.15">
      <c r="A645" s="53" t="s">
        <v>100</v>
      </c>
      <c r="B645" s="54"/>
      <c r="C645" s="55"/>
      <c r="D645" s="55"/>
      <c r="E645" s="55"/>
      <c r="F645" s="56">
        <f t="shared" si="244"/>
        <v>0</v>
      </c>
      <c r="G645" s="54"/>
      <c r="H645" s="55"/>
      <c r="I645" s="55"/>
      <c r="J645" s="55">
        <v>1</v>
      </c>
      <c r="K645" s="56">
        <f t="shared" si="245"/>
        <v>1</v>
      </c>
      <c r="L645" s="54"/>
      <c r="M645" s="55"/>
      <c r="N645" s="55"/>
      <c r="O645" s="55"/>
      <c r="P645" s="56">
        <f t="shared" si="246"/>
        <v>0</v>
      </c>
      <c r="Q645" s="54"/>
      <c r="R645" s="55"/>
      <c r="S645" s="55"/>
      <c r="T645" s="55"/>
      <c r="U645" s="176">
        <f t="shared" si="247"/>
        <v>0</v>
      </c>
      <c r="V645" s="56">
        <f t="shared" si="248"/>
        <v>1</v>
      </c>
      <c r="W645" s="329">
        <v>44748</v>
      </c>
      <c r="X645" s="326"/>
      <c r="Y645" s="326"/>
      <c r="Z645" s="326"/>
      <c r="AC645" s="269" t="s">
        <v>398</v>
      </c>
      <c r="AD645" s="54"/>
      <c r="AE645" s="55"/>
      <c r="AF645" s="55"/>
      <c r="AG645" s="55"/>
      <c r="AH645" s="56">
        <f t="shared" si="252"/>
        <v>0</v>
      </c>
      <c r="AI645" s="54">
        <v>5</v>
      </c>
      <c r="AJ645" s="55"/>
      <c r="AK645" s="55"/>
      <c r="AL645" s="55"/>
      <c r="AM645" s="56">
        <f t="shared" si="253"/>
        <v>5</v>
      </c>
      <c r="AN645" s="54"/>
      <c r="AO645" s="55"/>
      <c r="AP645" s="55"/>
      <c r="AQ645" s="55"/>
      <c r="AR645" s="56">
        <f t="shared" si="258"/>
        <v>0</v>
      </c>
      <c r="AS645" s="54"/>
      <c r="AT645" s="55">
        <v>5</v>
      </c>
      <c r="AU645" s="55"/>
      <c r="AV645" s="55">
        <v>5</v>
      </c>
      <c r="AW645" s="176">
        <f t="shared" si="259"/>
        <v>10</v>
      </c>
      <c r="AX645" s="56">
        <f t="shared" si="249"/>
        <v>15</v>
      </c>
      <c r="AY645" s="329">
        <v>44753</v>
      </c>
      <c r="AZ645" s="326"/>
      <c r="BE645" s="268" t="s">
        <v>402</v>
      </c>
      <c r="BF645" s="54">
        <v>1</v>
      </c>
      <c r="BG645" s="55"/>
      <c r="BH645" s="55"/>
      <c r="BI645" s="55"/>
      <c r="BJ645" s="56">
        <f t="shared" si="260"/>
        <v>1</v>
      </c>
      <c r="BK645" s="306">
        <v>44750</v>
      </c>
      <c r="BL645" s="276"/>
      <c r="BM645" s="54"/>
      <c r="BN645" s="55"/>
      <c r="BO645" s="55"/>
      <c r="BP645" s="55"/>
      <c r="BQ645" s="56">
        <f t="shared" si="261"/>
        <v>0</v>
      </c>
      <c r="BR645" s="191"/>
    </row>
    <row r="646" spans="1:70" x14ac:dyDescent="0.15">
      <c r="A646" s="53" t="s">
        <v>98</v>
      </c>
      <c r="B646" s="54">
        <v>1</v>
      </c>
      <c r="C646" s="55"/>
      <c r="D646" s="55"/>
      <c r="E646" s="55">
        <v>1</v>
      </c>
      <c r="F646" s="56">
        <f t="shared" si="244"/>
        <v>2</v>
      </c>
      <c r="G646" s="54"/>
      <c r="H646" s="55">
        <v>2</v>
      </c>
      <c r="I646" s="55"/>
      <c r="J646" s="55"/>
      <c r="K646" s="56">
        <f t="shared" si="245"/>
        <v>2</v>
      </c>
      <c r="L646" s="54">
        <v>1</v>
      </c>
      <c r="M646" s="55"/>
      <c r="N646" s="55"/>
      <c r="O646" s="55"/>
      <c r="P646" s="56">
        <f t="shared" si="246"/>
        <v>1</v>
      </c>
      <c r="Q646" s="54">
        <v>1</v>
      </c>
      <c r="R646" s="55">
        <v>5</v>
      </c>
      <c r="S646" s="55">
        <v>2</v>
      </c>
      <c r="T646" s="55">
        <v>1</v>
      </c>
      <c r="U646" s="176">
        <f t="shared" si="247"/>
        <v>9</v>
      </c>
      <c r="V646" s="56">
        <f t="shared" si="248"/>
        <v>14</v>
      </c>
      <c r="W646" s="328">
        <v>44747</v>
      </c>
      <c r="X646" s="326"/>
      <c r="Y646" s="326"/>
      <c r="Z646" s="326"/>
      <c r="AC646" s="276" t="s">
        <v>399</v>
      </c>
      <c r="AD646" s="54"/>
      <c r="AE646" s="55"/>
      <c r="AF646" s="55"/>
      <c r="AG646" s="55"/>
      <c r="AH646" s="56">
        <f t="shared" si="252"/>
        <v>0</v>
      </c>
      <c r="AI646" s="54"/>
      <c r="AJ646" s="55"/>
      <c r="AK646" s="55"/>
      <c r="AL646" s="55"/>
      <c r="AM646" s="56">
        <f t="shared" si="253"/>
        <v>0</v>
      </c>
      <c r="AN646" s="54"/>
      <c r="AO646" s="55"/>
      <c r="AP646" s="55"/>
      <c r="AQ646" s="55"/>
      <c r="AR646" s="56">
        <f t="shared" si="258"/>
        <v>0</v>
      </c>
      <c r="AS646" s="54"/>
      <c r="AT646" s="55">
        <v>5</v>
      </c>
      <c r="AU646" s="55"/>
      <c r="AV646" s="55"/>
      <c r="AW646" s="56">
        <f t="shared" si="259"/>
        <v>5</v>
      </c>
      <c r="AX646" s="56">
        <f t="shared" si="249"/>
        <v>5</v>
      </c>
      <c r="AY646" s="329">
        <v>44750</v>
      </c>
      <c r="AZ646" s="326"/>
      <c r="BE646" s="268" t="s">
        <v>98</v>
      </c>
      <c r="BF646" s="54">
        <v>1</v>
      </c>
      <c r="BG646" s="55"/>
      <c r="BH646" s="55"/>
      <c r="BI646" s="55"/>
      <c r="BJ646" s="56">
        <f t="shared" si="260"/>
        <v>1</v>
      </c>
      <c r="BK646" s="306">
        <v>44749</v>
      </c>
      <c r="BL646" s="277"/>
      <c r="BM646" s="54"/>
      <c r="BN646" s="55"/>
      <c r="BO646" s="55"/>
      <c r="BP646" s="55"/>
      <c r="BQ646" s="56">
        <f t="shared" si="261"/>
        <v>0</v>
      </c>
    </row>
    <row r="647" spans="1:70" x14ac:dyDescent="0.15">
      <c r="A647" s="53" t="s">
        <v>100</v>
      </c>
      <c r="B647" s="54"/>
      <c r="C647" s="55"/>
      <c r="D647" s="55"/>
      <c r="E647" s="55"/>
      <c r="F647" s="56">
        <f t="shared" si="244"/>
        <v>0</v>
      </c>
      <c r="G647" s="54"/>
      <c r="H647" s="55"/>
      <c r="I647" s="55">
        <v>1</v>
      </c>
      <c r="J647" s="55"/>
      <c r="K647" s="56">
        <f t="shared" si="245"/>
        <v>1</v>
      </c>
      <c r="L647" s="54"/>
      <c r="M647" s="55"/>
      <c r="N647" s="55"/>
      <c r="O647" s="55"/>
      <c r="P647" s="56">
        <f t="shared" si="246"/>
        <v>0</v>
      </c>
      <c r="Q647" s="54"/>
      <c r="R647" s="55"/>
      <c r="S647" s="55"/>
      <c r="T647" s="55"/>
      <c r="U647" s="176">
        <f t="shared" si="247"/>
        <v>0</v>
      </c>
      <c r="V647" s="56">
        <f t="shared" si="248"/>
        <v>1</v>
      </c>
      <c r="W647" s="329">
        <v>44749</v>
      </c>
      <c r="X647" s="326"/>
      <c r="Y647" s="326"/>
      <c r="Z647" s="326"/>
      <c r="AC647" s="276" t="s">
        <v>400</v>
      </c>
      <c r="AD647" s="51"/>
      <c r="AE647" s="52">
        <v>2</v>
      </c>
      <c r="AF647" s="52"/>
      <c r="AG647" s="52"/>
      <c r="AH647" s="49">
        <f t="shared" si="252"/>
        <v>2</v>
      </c>
      <c r="AI647" s="51">
        <v>2</v>
      </c>
      <c r="AJ647" s="52">
        <v>5</v>
      </c>
      <c r="AK647" s="52"/>
      <c r="AL647" s="52"/>
      <c r="AM647" s="49">
        <f t="shared" si="253"/>
        <v>7</v>
      </c>
      <c r="AN647" s="51"/>
      <c r="AO647" s="52"/>
      <c r="AP647" s="52"/>
      <c r="AQ647" s="52"/>
      <c r="AR647" s="49">
        <f t="shared" si="258"/>
        <v>0</v>
      </c>
      <c r="AS647" s="51">
        <v>2</v>
      </c>
      <c r="AT647" s="52">
        <v>7</v>
      </c>
      <c r="AU647" s="52">
        <v>4</v>
      </c>
      <c r="AV647" s="52">
        <v>2</v>
      </c>
      <c r="AW647" s="175">
        <f t="shared" si="259"/>
        <v>15</v>
      </c>
      <c r="AX647" s="49">
        <f t="shared" si="249"/>
        <v>24</v>
      </c>
      <c r="AY647" s="329">
        <v>44750</v>
      </c>
      <c r="AZ647" s="326"/>
      <c r="BE647" s="268" t="s">
        <v>98</v>
      </c>
      <c r="BF647" s="51"/>
      <c r="BG647" s="52"/>
      <c r="BH647" s="52">
        <v>1</v>
      </c>
      <c r="BI647" s="52"/>
      <c r="BJ647" s="49">
        <f t="shared" si="260"/>
        <v>1</v>
      </c>
      <c r="BK647" s="304">
        <v>44753</v>
      </c>
      <c r="BL647" s="277"/>
      <c r="BM647" s="51"/>
      <c r="BN647" s="52"/>
      <c r="BO647" s="52"/>
      <c r="BP647" s="52"/>
      <c r="BQ647" s="49">
        <f t="shared" si="261"/>
        <v>0</v>
      </c>
    </row>
    <row r="648" spans="1:70" x14ac:dyDescent="0.15">
      <c r="A648" s="53" t="s">
        <v>98</v>
      </c>
      <c r="B648" s="54"/>
      <c r="C648" s="55">
        <v>1</v>
      </c>
      <c r="D648" s="55"/>
      <c r="E648" s="55"/>
      <c r="F648" s="56">
        <f t="shared" si="244"/>
        <v>1</v>
      </c>
      <c r="G648" s="54"/>
      <c r="H648" s="55">
        <v>2</v>
      </c>
      <c r="I648" s="55"/>
      <c r="J648" s="55"/>
      <c r="K648" s="56">
        <f t="shared" si="245"/>
        <v>2</v>
      </c>
      <c r="L648" s="54">
        <v>1</v>
      </c>
      <c r="M648" s="55"/>
      <c r="N648" s="55"/>
      <c r="O648" s="55"/>
      <c r="P648" s="56">
        <f t="shared" si="246"/>
        <v>1</v>
      </c>
      <c r="Q648" s="54">
        <v>1</v>
      </c>
      <c r="R648" s="55">
        <v>1</v>
      </c>
      <c r="S648" s="55"/>
      <c r="T648" s="55"/>
      <c r="U648" s="176">
        <f t="shared" si="247"/>
        <v>2</v>
      </c>
      <c r="V648" s="56">
        <f t="shared" si="248"/>
        <v>6</v>
      </c>
      <c r="W648" s="329">
        <v>44748</v>
      </c>
      <c r="X648" s="326"/>
      <c r="Y648" s="326"/>
      <c r="Z648" s="326"/>
      <c r="AC648" s="276" t="s">
        <v>401</v>
      </c>
      <c r="AD648" s="54"/>
      <c r="AE648" s="55">
        <v>3</v>
      </c>
      <c r="AF648" s="55"/>
      <c r="AG648" s="55"/>
      <c r="AH648" s="56">
        <f t="shared" si="252"/>
        <v>3</v>
      </c>
      <c r="AI648" s="54"/>
      <c r="AJ648" s="55"/>
      <c r="AK648" s="55"/>
      <c r="AL648" s="55"/>
      <c r="AM648" s="56">
        <f t="shared" si="253"/>
        <v>0</v>
      </c>
      <c r="AN648" s="54"/>
      <c r="AO648" s="55"/>
      <c r="AP648" s="55"/>
      <c r="AQ648" s="55"/>
      <c r="AR648" s="56">
        <f t="shared" si="258"/>
        <v>0</v>
      </c>
      <c r="AS648" s="54"/>
      <c r="AT648" s="55">
        <v>3</v>
      </c>
      <c r="AU648" s="55"/>
      <c r="AV648" s="55"/>
      <c r="AW648" s="176">
        <f t="shared" si="259"/>
        <v>3</v>
      </c>
      <c r="AX648" s="56">
        <f t="shared" si="249"/>
        <v>6</v>
      </c>
      <c r="AY648" s="329">
        <v>44755</v>
      </c>
      <c r="AZ648" s="326"/>
      <c r="BE648" s="268" t="s">
        <v>98</v>
      </c>
      <c r="BF648" s="54"/>
      <c r="BG648" s="55"/>
      <c r="BH648" s="55">
        <v>1</v>
      </c>
      <c r="BI648" s="55"/>
      <c r="BJ648" s="56">
        <f t="shared" si="260"/>
        <v>1</v>
      </c>
      <c r="BK648" s="304">
        <v>44754</v>
      </c>
      <c r="BL648" s="268"/>
      <c r="BM648" s="54"/>
      <c r="BN648" s="55"/>
      <c r="BO648" s="55"/>
      <c r="BP648" s="55"/>
      <c r="BQ648" s="56">
        <f t="shared" si="261"/>
        <v>0</v>
      </c>
    </row>
    <row r="649" spans="1:70" x14ac:dyDescent="0.15">
      <c r="A649" s="53" t="s">
        <v>100</v>
      </c>
      <c r="B649" s="54"/>
      <c r="C649" s="55">
        <v>1</v>
      </c>
      <c r="D649" s="55"/>
      <c r="E649" s="55"/>
      <c r="F649" s="56">
        <f t="shared" si="244"/>
        <v>1</v>
      </c>
      <c r="G649" s="54"/>
      <c r="H649" s="55"/>
      <c r="I649" s="55"/>
      <c r="J649" s="55"/>
      <c r="K649" s="56">
        <f t="shared" si="245"/>
        <v>0</v>
      </c>
      <c r="L649" s="54"/>
      <c r="M649" s="55"/>
      <c r="N649" s="55"/>
      <c r="O649" s="55"/>
      <c r="P649" s="56">
        <f t="shared" si="246"/>
        <v>0</v>
      </c>
      <c r="Q649" s="54"/>
      <c r="R649" s="55"/>
      <c r="S649" s="55"/>
      <c r="T649" s="55"/>
      <c r="U649" s="176">
        <f t="shared" si="247"/>
        <v>0</v>
      </c>
      <c r="V649" s="56">
        <f t="shared" si="248"/>
        <v>1</v>
      </c>
      <c r="W649" s="329">
        <v>44750</v>
      </c>
      <c r="X649" s="326"/>
      <c r="Y649" s="326"/>
      <c r="Z649" s="326"/>
      <c r="AC649" s="276" t="s">
        <v>400</v>
      </c>
      <c r="AD649" s="54"/>
      <c r="AE649" s="55">
        <v>3</v>
      </c>
      <c r="AF649" s="55">
        <v>3</v>
      </c>
      <c r="AG649" s="55"/>
      <c r="AH649" s="56">
        <f t="shared" si="252"/>
        <v>6</v>
      </c>
      <c r="AI649" s="54">
        <v>3</v>
      </c>
      <c r="AJ649" s="55"/>
      <c r="AK649" s="55">
        <v>3</v>
      </c>
      <c r="AL649" s="55">
        <v>3</v>
      </c>
      <c r="AM649" s="56">
        <f t="shared" si="253"/>
        <v>9</v>
      </c>
      <c r="AN649" s="54"/>
      <c r="AO649" s="55"/>
      <c r="AP649" s="55"/>
      <c r="AQ649" s="55"/>
      <c r="AR649" s="56">
        <f t="shared" si="258"/>
        <v>0</v>
      </c>
      <c r="AS649" s="54"/>
      <c r="AT649" s="55"/>
      <c r="AU649" s="55"/>
      <c r="AV649" s="55">
        <v>3</v>
      </c>
      <c r="AW649" s="176">
        <f t="shared" si="259"/>
        <v>3</v>
      </c>
      <c r="AX649" s="56">
        <f t="shared" si="249"/>
        <v>18</v>
      </c>
      <c r="AY649" s="329">
        <v>44755</v>
      </c>
      <c r="AZ649" s="326"/>
      <c r="BE649" s="268" t="s">
        <v>100</v>
      </c>
      <c r="BF649" s="54">
        <v>1</v>
      </c>
      <c r="BG649" s="55"/>
      <c r="BH649" s="55"/>
      <c r="BI649" s="55"/>
      <c r="BJ649" s="56">
        <f t="shared" si="260"/>
        <v>1</v>
      </c>
      <c r="BK649" s="306">
        <v>44756</v>
      </c>
      <c r="BL649" s="268"/>
      <c r="BM649" s="54"/>
      <c r="BN649" s="55"/>
      <c r="BO649" s="55"/>
      <c r="BP649" s="55"/>
      <c r="BQ649" s="56">
        <f t="shared" si="261"/>
        <v>0</v>
      </c>
    </row>
    <row r="650" spans="1:70" x14ac:dyDescent="0.15">
      <c r="A650" s="53" t="s">
        <v>98</v>
      </c>
      <c r="B650" s="54"/>
      <c r="C650" s="55"/>
      <c r="D650" s="55"/>
      <c r="E650" s="55"/>
      <c r="F650" s="56">
        <f t="shared" si="244"/>
        <v>0</v>
      </c>
      <c r="G650" s="54"/>
      <c r="H650" s="55">
        <f>1+1</f>
        <v>2</v>
      </c>
      <c r="I650" s="55">
        <v>1</v>
      </c>
      <c r="J650" s="55"/>
      <c r="K650" s="56">
        <f t="shared" si="245"/>
        <v>3</v>
      </c>
      <c r="L650" s="54"/>
      <c r="M650" s="55"/>
      <c r="N650" s="55"/>
      <c r="O650" s="55"/>
      <c r="P650" s="56">
        <f t="shared" si="246"/>
        <v>0</v>
      </c>
      <c r="Q650" s="54"/>
      <c r="R650" s="55">
        <v>2</v>
      </c>
      <c r="S650" s="55"/>
      <c r="T650" s="55">
        <v>1</v>
      </c>
      <c r="U650" s="176">
        <f t="shared" si="247"/>
        <v>3</v>
      </c>
      <c r="V650" s="56">
        <f t="shared" si="248"/>
        <v>6</v>
      </c>
      <c r="W650" s="329">
        <v>44749</v>
      </c>
      <c r="X650" s="326"/>
      <c r="Y650" s="326"/>
      <c r="Z650" s="326"/>
      <c r="AC650" s="276" t="s">
        <v>404</v>
      </c>
      <c r="AD650" s="55"/>
      <c r="AE650" s="55"/>
      <c r="AF650" s="55"/>
      <c r="AG650" s="166"/>
      <c r="AH650" s="49">
        <f t="shared" si="252"/>
        <v>0</v>
      </c>
      <c r="AI650" s="55">
        <v>3</v>
      </c>
      <c r="AJ650" s="55"/>
      <c r="AK650" s="55">
        <v>5</v>
      </c>
      <c r="AL650" s="166"/>
      <c r="AM650" s="49">
        <f t="shared" si="253"/>
        <v>8</v>
      </c>
      <c r="AN650" s="55"/>
      <c r="AO650" s="55"/>
      <c r="AP650" s="55"/>
      <c r="AQ650" s="166"/>
      <c r="AR650" s="49">
        <f t="shared" si="258"/>
        <v>0</v>
      </c>
      <c r="AS650" s="55"/>
      <c r="AT650" s="55">
        <v>5</v>
      </c>
      <c r="AU650" s="55"/>
      <c r="AV650" s="166"/>
      <c r="AW650" s="175">
        <f t="shared" si="259"/>
        <v>5</v>
      </c>
      <c r="AX650" s="56">
        <f t="shared" si="249"/>
        <v>13</v>
      </c>
      <c r="AY650" s="329">
        <v>44754</v>
      </c>
      <c r="AZ650" s="326"/>
      <c r="BE650" s="268" t="s">
        <v>98</v>
      </c>
      <c r="BF650" s="55"/>
      <c r="BG650" s="55"/>
      <c r="BH650" s="55">
        <v>1</v>
      </c>
      <c r="BI650" s="166">
        <v>1</v>
      </c>
      <c r="BJ650" s="49">
        <f t="shared" si="260"/>
        <v>2</v>
      </c>
      <c r="BK650" s="304">
        <v>44758</v>
      </c>
      <c r="BL650" s="276"/>
      <c r="BM650" s="55"/>
      <c r="BN650" s="55"/>
      <c r="BO650" s="55"/>
      <c r="BP650" s="166"/>
      <c r="BQ650" s="49">
        <f t="shared" si="261"/>
        <v>0</v>
      </c>
    </row>
    <row r="651" spans="1:70" x14ac:dyDescent="0.15">
      <c r="A651" s="53" t="s">
        <v>100</v>
      </c>
      <c r="B651" s="17"/>
      <c r="C651" s="18"/>
      <c r="D651" s="18"/>
      <c r="E651" s="18"/>
      <c r="F651" s="30">
        <f t="shared" si="244"/>
        <v>0</v>
      </c>
      <c r="G651" s="17"/>
      <c r="H651" s="18"/>
      <c r="I651" s="18"/>
      <c r="J651" s="18">
        <v>1</v>
      </c>
      <c r="K651" s="30">
        <f t="shared" si="245"/>
        <v>1</v>
      </c>
      <c r="L651" s="17"/>
      <c r="M651" s="18"/>
      <c r="N651" s="18"/>
      <c r="O651" s="18"/>
      <c r="P651" s="30">
        <f t="shared" si="246"/>
        <v>0</v>
      </c>
      <c r="Q651" s="17"/>
      <c r="R651" s="18"/>
      <c r="S651" s="18"/>
      <c r="T651" s="18"/>
      <c r="U651" s="178">
        <f t="shared" si="247"/>
        <v>0</v>
      </c>
      <c r="V651" s="56">
        <f t="shared" si="248"/>
        <v>1</v>
      </c>
      <c r="W651" s="329">
        <v>44751</v>
      </c>
      <c r="X651" s="326"/>
      <c r="Y651" s="326"/>
      <c r="Z651" s="326"/>
      <c r="AC651" s="276" t="s">
        <v>405</v>
      </c>
      <c r="AD651" s="17"/>
      <c r="AE651" s="18">
        <v>5</v>
      </c>
      <c r="AF651" s="18"/>
      <c r="AG651" s="18"/>
      <c r="AH651" s="30">
        <f t="shared" si="252"/>
        <v>5</v>
      </c>
      <c r="AI651" s="17"/>
      <c r="AJ651" s="18"/>
      <c r="AK651" s="18"/>
      <c r="AL651" s="18"/>
      <c r="AM651" s="30">
        <f t="shared" si="253"/>
        <v>0</v>
      </c>
      <c r="AN651" s="17"/>
      <c r="AO651" s="18"/>
      <c r="AP651" s="18"/>
      <c r="AQ651" s="18"/>
      <c r="AR651" s="30">
        <f t="shared" si="258"/>
        <v>0</v>
      </c>
      <c r="AS651" s="17"/>
      <c r="AT651" s="18"/>
      <c r="AU651" s="18"/>
      <c r="AV651" s="18"/>
      <c r="AW651" s="178">
        <f t="shared" si="259"/>
        <v>0</v>
      </c>
      <c r="AX651" s="56">
        <f t="shared" si="249"/>
        <v>5</v>
      </c>
      <c r="AY651" s="329">
        <v>44755</v>
      </c>
      <c r="AZ651" s="326"/>
      <c r="BE651" s="268" t="s">
        <v>98</v>
      </c>
      <c r="BF651" s="17"/>
      <c r="BG651" s="18"/>
      <c r="BH651" s="18">
        <v>1</v>
      </c>
      <c r="BI651" s="18">
        <v>1</v>
      </c>
      <c r="BJ651" s="30">
        <f t="shared" si="260"/>
        <v>2</v>
      </c>
      <c r="BK651" s="304">
        <v>44761</v>
      </c>
      <c r="BL651" s="277"/>
      <c r="BM651" s="17"/>
      <c r="BN651" s="18"/>
      <c r="BO651" s="18"/>
      <c r="BP651" s="18"/>
      <c r="BQ651" s="30">
        <f t="shared" si="261"/>
        <v>0</v>
      </c>
    </row>
    <row r="652" spans="1:70" x14ac:dyDescent="0.15">
      <c r="A652" s="53" t="s">
        <v>98</v>
      </c>
      <c r="B652" s="54"/>
      <c r="C652" s="55"/>
      <c r="D652" s="55"/>
      <c r="E652" s="55"/>
      <c r="F652" s="56">
        <f t="shared" si="244"/>
        <v>0</v>
      </c>
      <c r="G652" s="54"/>
      <c r="H652" s="55"/>
      <c r="I652" s="55">
        <v>2</v>
      </c>
      <c r="J652" s="55"/>
      <c r="K652" s="56">
        <f t="shared" si="245"/>
        <v>2</v>
      </c>
      <c r="L652" s="54"/>
      <c r="M652" s="55"/>
      <c r="N652" s="55"/>
      <c r="O652" s="55"/>
      <c r="P652" s="56">
        <f t="shared" si="246"/>
        <v>0</v>
      </c>
      <c r="Q652" s="54"/>
      <c r="R652" s="55">
        <v>2</v>
      </c>
      <c r="S652" s="55"/>
      <c r="T652" s="55"/>
      <c r="U652" s="176">
        <f t="shared" si="247"/>
        <v>2</v>
      </c>
      <c r="V652" s="56">
        <f t="shared" si="248"/>
        <v>4</v>
      </c>
      <c r="W652" s="329">
        <v>44750</v>
      </c>
      <c r="X652" s="326"/>
      <c r="Y652" s="326"/>
      <c r="Z652" s="326"/>
      <c r="AC652" s="276" t="s">
        <v>406</v>
      </c>
      <c r="AD652" s="54"/>
      <c r="AE652" s="55"/>
      <c r="AF652" s="55"/>
      <c r="AG652" s="55">
        <v>5</v>
      </c>
      <c r="AH652" s="56">
        <f t="shared" si="252"/>
        <v>5</v>
      </c>
      <c r="AI652" s="54">
        <v>3</v>
      </c>
      <c r="AJ652" s="55"/>
      <c r="AK652" s="55">
        <v>6</v>
      </c>
      <c r="AL652" s="55"/>
      <c r="AM652" s="56">
        <f t="shared" si="253"/>
        <v>9</v>
      </c>
      <c r="AN652" s="54"/>
      <c r="AO652" s="55"/>
      <c r="AP652" s="55"/>
      <c r="AQ652" s="55"/>
      <c r="AR652" s="56">
        <f t="shared" si="258"/>
        <v>0</v>
      </c>
      <c r="AS652" s="54">
        <v>6</v>
      </c>
      <c r="AT652" s="55">
        <v>13</v>
      </c>
      <c r="AU652" s="55"/>
      <c r="AV652" s="55"/>
      <c r="AW652" s="176">
        <f t="shared" si="259"/>
        <v>19</v>
      </c>
      <c r="AX652" s="56">
        <f t="shared" si="249"/>
        <v>33</v>
      </c>
      <c r="AY652" s="329">
        <v>44756</v>
      </c>
      <c r="AZ652" s="326"/>
      <c r="BE652" s="268" t="s">
        <v>98</v>
      </c>
      <c r="BF652" s="54">
        <v>2</v>
      </c>
      <c r="BG652" s="55"/>
      <c r="BH652" s="55"/>
      <c r="BI652" s="55"/>
      <c r="BJ652" s="56">
        <f t="shared" si="260"/>
        <v>2</v>
      </c>
      <c r="BK652" s="304">
        <v>44763</v>
      </c>
      <c r="BL652" s="276"/>
      <c r="BM652" s="54"/>
      <c r="BN652" s="55"/>
      <c r="BO652" s="55"/>
      <c r="BP652" s="55"/>
      <c r="BQ652" s="56">
        <f t="shared" si="261"/>
        <v>0</v>
      </c>
    </row>
    <row r="653" spans="1:70" x14ac:dyDescent="0.15">
      <c r="A653" s="53" t="s">
        <v>98</v>
      </c>
      <c r="B653" s="54"/>
      <c r="C653" s="55">
        <v>2</v>
      </c>
      <c r="D653" s="55">
        <v>2</v>
      </c>
      <c r="E653" s="55"/>
      <c r="F653" s="56">
        <f t="shared" si="244"/>
        <v>4</v>
      </c>
      <c r="G653" s="54">
        <v>3</v>
      </c>
      <c r="H653" s="55">
        <f>3+1</f>
        <v>4</v>
      </c>
      <c r="I653" s="55">
        <v>1</v>
      </c>
      <c r="J653" s="55">
        <v>2</v>
      </c>
      <c r="K653" s="56">
        <f t="shared" si="245"/>
        <v>10</v>
      </c>
      <c r="L653" s="54"/>
      <c r="M653" s="55"/>
      <c r="N653" s="55"/>
      <c r="O653" s="55"/>
      <c r="P653" s="56">
        <f t="shared" si="246"/>
        <v>0</v>
      </c>
      <c r="Q653" s="54">
        <v>1</v>
      </c>
      <c r="R653" s="55">
        <v>3</v>
      </c>
      <c r="S653" s="55">
        <f>1+2</f>
        <v>3</v>
      </c>
      <c r="T653" s="55">
        <f>1+2</f>
        <v>3</v>
      </c>
      <c r="U653" s="176">
        <f t="shared" si="247"/>
        <v>10</v>
      </c>
      <c r="V653" s="56">
        <f t="shared" si="248"/>
        <v>24</v>
      </c>
      <c r="W653" s="329">
        <v>44753</v>
      </c>
      <c r="X653" s="326"/>
      <c r="Y653" s="326"/>
      <c r="Z653" s="326"/>
      <c r="AC653" s="276" t="s">
        <v>407</v>
      </c>
      <c r="AD653" s="54">
        <v>2</v>
      </c>
      <c r="AE653" s="55">
        <v>8</v>
      </c>
      <c r="AF653" s="55">
        <v>3</v>
      </c>
      <c r="AG653" s="55"/>
      <c r="AH653" s="56">
        <f t="shared" si="252"/>
        <v>13</v>
      </c>
      <c r="AI653" s="54">
        <v>6</v>
      </c>
      <c r="AJ653" s="55">
        <v>15</v>
      </c>
      <c r="AK653" s="55">
        <v>7</v>
      </c>
      <c r="AL653" s="55"/>
      <c r="AM653" s="56">
        <f t="shared" si="253"/>
        <v>28</v>
      </c>
      <c r="AN653" s="54"/>
      <c r="AO653" s="55"/>
      <c r="AP653" s="55"/>
      <c r="AQ653" s="55"/>
      <c r="AR653" s="56">
        <f t="shared" si="258"/>
        <v>0</v>
      </c>
      <c r="AS653" s="54"/>
      <c r="AT653" s="55">
        <v>10</v>
      </c>
      <c r="AU653" s="55">
        <v>2</v>
      </c>
      <c r="AV653" s="55">
        <v>10</v>
      </c>
      <c r="AW653" s="176">
        <f t="shared" si="259"/>
        <v>22</v>
      </c>
      <c r="AX653" s="56">
        <f t="shared" si="249"/>
        <v>63</v>
      </c>
      <c r="AY653" s="329">
        <v>44756</v>
      </c>
      <c r="AZ653" s="326"/>
      <c r="BE653" s="277"/>
      <c r="BF653" s="54"/>
      <c r="BG653" s="55"/>
      <c r="BH653" s="55"/>
      <c r="BI653" s="55"/>
      <c r="BJ653" s="56">
        <f t="shared" si="260"/>
        <v>0</v>
      </c>
      <c r="BL653" s="277"/>
      <c r="BM653" s="54"/>
      <c r="BN653" s="55"/>
      <c r="BO653" s="55"/>
      <c r="BP653" s="55"/>
      <c r="BQ653" s="56">
        <f t="shared" si="261"/>
        <v>0</v>
      </c>
    </row>
    <row r="654" spans="1:70" x14ac:dyDescent="0.15">
      <c r="A654" s="53" t="s">
        <v>100</v>
      </c>
      <c r="B654" s="54"/>
      <c r="C654" s="55"/>
      <c r="D654" s="55"/>
      <c r="E654" s="55"/>
      <c r="F654" s="56">
        <f t="shared" si="244"/>
        <v>0</v>
      </c>
      <c r="G654" s="54">
        <v>1</v>
      </c>
      <c r="H654" s="55"/>
      <c r="I654" s="55">
        <v>2</v>
      </c>
      <c r="J654" s="55"/>
      <c r="K654" s="56">
        <f t="shared" si="245"/>
        <v>3</v>
      </c>
      <c r="L654" s="54"/>
      <c r="M654" s="55"/>
      <c r="N654" s="55"/>
      <c r="O654" s="55"/>
      <c r="P654" s="56">
        <f t="shared" si="246"/>
        <v>0</v>
      </c>
      <c r="Q654" s="54"/>
      <c r="R654" s="55"/>
      <c r="S654" s="55"/>
      <c r="T654" s="55"/>
      <c r="U654" s="176">
        <f t="shared" si="247"/>
        <v>0</v>
      </c>
      <c r="V654" s="56">
        <f t="shared" si="248"/>
        <v>3</v>
      </c>
      <c r="W654" s="329">
        <v>44755</v>
      </c>
      <c r="X654" s="326"/>
      <c r="Y654" s="326"/>
      <c r="Z654" s="326"/>
      <c r="AC654" s="276" t="s">
        <v>408</v>
      </c>
      <c r="AD654" s="54"/>
      <c r="AE654" s="55">
        <v>16</v>
      </c>
      <c r="AF654" s="55"/>
      <c r="AG654" s="55"/>
      <c r="AH654" s="56">
        <f t="shared" si="252"/>
        <v>16</v>
      </c>
      <c r="AI654" s="54">
        <v>3</v>
      </c>
      <c r="AJ654" s="55"/>
      <c r="AK654" s="55">
        <v>6</v>
      </c>
      <c r="AL654" s="55"/>
      <c r="AM654" s="56">
        <f t="shared" si="253"/>
        <v>9</v>
      </c>
      <c r="AN654" s="54"/>
      <c r="AO654" s="55"/>
      <c r="AP654" s="55"/>
      <c r="AQ654" s="55"/>
      <c r="AR654" s="56">
        <f t="shared" si="258"/>
        <v>0</v>
      </c>
      <c r="AS654" s="54">
        <v>3</v>
      </c>
      <c r="AT654" s="55">
        <v>2</v>
      </c>
      <c r="AU654" s="55"/>
      <c r="AV654" s="55">
        <v>2</v>
      </c>
      <c r="AW654" s="176">
        <f t="shared" si="259"/>
        <v>7</v>
      </c>
      <c r="AX654" s="56">
        <f t="shared" si="249"/>
        <v>32</v>
      </c>
      <c r="AY654" s="329">
        <v>44757</v>
      </c>
      <c r="AZ654" s="326"/>
      <c r="BE654" s="276"/>
      <c r="BF654" s="54"/>
      <c r="BG654" s="55"/>
      <c r="BH654" s="55"/>
      <c r="BI654" s="55"/>
      <c r="BJ654" s="56">
        <f t="shared" si="260"/>
        <v>0</v>
      </c>
      <c r="BL654" s="276"/>
      <c r="BM654" s="54"/>
      <c r="BN654" s="55"/>
      <c r="BO654" s="55"/>
      <c r="BP654" s="55"/>
      <c r="BQ654" s="56">
        <f t="shared" si="261"/>
        <v>0</v>
      </c>
    </row>
    <row r="655" spans="1:70" x14ac:dyDescent="0.15">
      <c r="A655" s="53" t="s">
        <v>98</v>
      </c>
      <c r="B655" s="54"/>
      <c r="C655" s="55"/>
      <c r="D655" s="55"/>
      <c r="E655" s="55"/>
      <c r="F655" s="56">
        <f t="shared" si="244"/>
        <v>0</v>
      </c>
      <c r="G655" s="54"/>
      <c r="H655" s="55"/>
      <c r="I655" s="55">
        <v>1</v>
      </c>
      <c r="J655" s="55"/>
      <c r="K655" s="56">
        <f t="shared" si="245"/>
        <v>1</v>
      </c>
      <c r="L655" s="54"/>
      <c r="M655" s="55"/>
      <c r="N655" s="55"/>
      <c r="O655" s="55"/>
      <c r="P655" s="56">
        <f t="shared" si="246"/>
        <v>0</v>
      </c>
      <c r="Q655" s="54"/>
      <c r="R655" s="55">
        <v>2</v>
      </c>
      <c r="S655" s="55"/>
      <c r="T655" s="55"/>
      <c r="U655" s="176">
        <f t="shared" si="247"/>
        <v>2</v>
      </c>
      <c r="V655" s="56">
        <f t="shared" si="248"/>
        <v>3</v>
      </c>
      <c r="W655" s="328">
        <v>44754</v>
      </c>
      <c r="X655" s="326"/>
      <c r="Y655" s="326"/>
      <c r="Z655" s="326"/>
      <c r="AC655" s="276" t="s">
        <v>409</v>
      </c>
      <c r="AD655" s="63">
        <v>4</v>
      </c>
      <c r="AE655" s="63"/>
      <c r="AF655" s="63">
        <v>4</v>
      </c>
      <c r="AG655" s="167"/>
      <c r="AH655" s="64">
        <f t="shared" si="252"/>
        <v>8</v>
      </c>
      <c r="AI655" s="63">
        <v>2</v>
      </c>
      <c r="AJ655" s="63"/>
      <c r="AK655" s="63"/>
      <c r="AL655" s="167">
        <v>2</v>
      </c>
      <c r="AM655" s="64">
        <f t="shared" si="253"/>
        <v>4</v>
      </c>
      <c r="AN655" s="63"/>
      <c r="AO655" s="63"/>
      <c r="AP655" s="63"/>
      <c r="AQ655" s="167"/>
      <c r="AR655" s="64">
        <f t="shared" si="258"/>
        <v>0</v>
      </c>
      <c r="AS655" s="63"/>
      <c r="AT655" s="63">
        <v>9</v>
      </c>
      <c r="AU655" s="63"/>
      <c r="AV655" s="167">
        <v>4</v>
      </c>
      <c r="AW655" s="162">
        <f t="shared" si="259"/>
        <v>13</v>
      </c>
      <c r="AX655" s="56">
        <f t="shared" si="249"/>
        <v>25</v>
      </c>
      <c r="AY655" s="329">
        <v>44757</v>
      </c>
      <c r="AZ655" s="326"/>
      <c r="BE655" s="277"/>
      <c r="BF655" s="54"/>
      <c r="BG655" s="55"/>
      <c r="BH655" s="55"/>
      <c r="BI655" s="55"/>
      <c r="BJ655" s="56">
        <f t="shared" si="260"/>
        <v>0</v>
      </c>
      <c r="BL655" s="277"/>
      <c r="BM655" s="54"/>
      <c r="BN655" s="55"/>
      <c r="BO655" s="55"/>
      <c r="BP655" s="55"/>
      <c r="BQ655" s="56">
        <f t="shared" si="261"/>
        <v>0</v>
      </c>
    </row>
    <row r="656" spans="1:70" x14ac:dyDescent="0.15">
      <c r="A656" s="53" t="s">
        <v>100</v>
      </c>
      <c r="B656" s="54"/>
      <c r="C656" s="55"/>
      <c r="D656" s="55"/>
      <c r="E656" s="55"/>
      <c r="F656" s="56">
        <f t="shared" si="244"/>
        <v>0</v>
      </c>
      <c r="G656" s="54"/>
      <c r="H656" s="55">
        <v>2</v>
      </c>
      <c r="I656" s="55"/>
      <c r="J656" s="55"/>
      <c r="K656" s="56">
        <f t="shared" si="245"/>
        <v>2</v>
      </c>
      <c r="L656" s="54"/>
      <c r="M656" s="55"/>
      <c r="N656" s="55"/>
      <c r="O656" s="55"/>
      <c r="P656" s="56">
        <f t="shared" si="246"/>
        <v>0</v>
      </c>
      <c r="Q656" s="54"/>
      <c r="R656" s="55"/>
      <c r="S656" s="55"/>
      <c r="T656" s="55"/>
      <c r="U656" s="176">
        <f t="shared" si="247"/>
        <v>0</v>
      </c>
      <c r="V656" s="56">
        <f t="shared" si="248"/>
        <v>2</v>
      </c>
      <c r="W656" s="329">
        <v>44756</v>
      </c>
      <c r="X656" s="326"/>
      <c r="Y656" s="326"/>
      <c r="Z656" s="326"/>
      <c r="AC656" s="269" t="s">
        <v>410</v>
      </c>
      <c r="AD656" s="54"/>
      <c r="AE656" s="55"/>
      <c r="AF656" s="55"/>
      <c r="AG656" s="55"/>
      <c r="AH656" s="56">
        <f t="shared" si="252"/>
        <v>0</v>
      </c>
      <c r="AI656" s="54"/>
      <c r="AJ656" s="55"/>
      <c r="AK656" s="55"/>
      <c r="AL656" s="55"/>
      <c r="AM656" s="56">
        <f t="shared" si="253"/>
        <v>0</v>
      </c>
      <c r="AN656" s="54"/>
      <c r="AO656" s="55"/>
      <c r="AP656" s="55"/>
      <c r="AQ656" s="55"/>
      <c r="AR656" s="56">
        <f t="shared" si="258"/>
        <v>0</v>
      </c>
      <c r="AS656" s="54"/>
      <c r="AT656" s="55">
        <v>5</v>
      </c>
      <c r="AU656" s="55"/>
      <c r="AV656" s="55">
        <v>10</v>
      </c>
      <c r="AW656" s="176">
        <f t="shared" si="259"/>
        <v>15</v>
      </c>
      <c r="AX656" s="56">
        <f t="shared" si="249"/>
        <v>15</v>
      </c>
      <c r="AY656" s="329">
        <v>44755</v>
      </c>
      <c r="AZ656" s="326"/>
      <c r="BE656" s="276"/>
      <c r="BF656" s="54"/>
      <c r="BG656" s="55"/>
      <c r="BH656" s="55"/>
      <c r="BI656" s="55"/>
      <c r="BJ656" s="56">
        <f t="shared" si="260"/>
        <v>0</v>
      </c>
      <c r="BL656" s="276"/>
      <c r="BM656" s="54"/>
      <c r="BN656" s="55"/>
      <c r="BO656" s="55"/>
      <c r="BP656" s="55"/>
      <c r="BQ656" s="56">
        <f t="shared" si="261"/>
        <v>0</v>
      </c>
    </row>
    <row r="657" spans="1:69" x14ac:dyDescent="0.15">
      <c r="A657" s="53" t="s">
        <v>98</v>
      </c>
      <c r="B657" s="54"/>
      <c r="C657" s="55">
        <v>1</v>
      </c>
      <c r="D657" s="55"/>
      <c r="E657" s="55">
        <v>1</v>
      </c>
      <c r="F657" s="56">
        <f t="shared" si="244"/>
        <v>2</v>
      </c>
      <c r="G657" s="54">
        <f>1+1</f>
        <v>2</v>
      </c>
      <c r="H657" s="55">
        <v>1</v>
      </c>
      <c r="I657" s="55"/>
      <c r="J657" s="55"/>
      <c r="K657" s="56">
        <f t="shared" si="245"/>
        <v>3</v>
      </c>
      <c r="L657" s="54"/>
      <c r="M657" s="55"/>
      <c r="N657" s="55"/>
      <c r="O657" s="55"/>
      <c r="P657" s="56">
        <f t="shared" si="246"/>
        <v>0</v>
      </c>
      <c r="Q657" s="54"/>
      <c r="R657" s="55">
        <v>3</v>
      </c>
      <c r="S657" s="55">
        <v>1</v>
      </c>
      <c r="T657" s="55">
        <v>2</v>
      </c>
      <c r="U657" s="176">
        <f t="shared" si="247"/>
        <v>6</v>
      </c>
      <c r="V657" s="56">
        <f t="shared" si="248"/>
        <v>11</v>
      </c>
      <c r="W657" s="328">
        <v>44755</v>
      </c>
      <c r="X657" s="326"/>
      <c r="Y657" s="326"/>
      <c r="Z657" s="326"/>
      <c r="AC657" s="269" t="s">
        <v>411</v>
      </c>
      <c r="AD657" s="55"/>
      <c r="AE657" s="55"/>
      <c r="AF657" s="55"/>
      <c r="AG657" s="166"/>
      <c r="AH657" s="49">
        <f t="shared" si="252"/>
        <v>0</v>
      </c>
      <c r="AI657" s="55">
        <v>2</v>
      </c>
      <c r="AJ657" s="55">
        <v>2</v>
      </c>
      <c r="AK657" s="55"/>
      <c r="AL657" s="166"/>
      <c r="AM657" s="49">
        <f t="shared" si="253"/>
        <v>4</v>
      </c>
      <c r="AN657" s="55"/>
      <c r="AO657" s="55"/>
      <c r="AP657" s="55"/>
      <c r="AQ657" s="166"/>
      <c r="AR657" s="49">
        <f t="shared" si="258"/>
        <v>0</v>
      </c>
      <c r="AS657" s="55"/>
      <c r="AT657" s="55">
        <v>5</v>
      </c>
      <c r="AU657" s="55"/>
      <c r="AV657" s="166">
        <v>2</v>
      </c>
      <c r="AW657" s="175">
        <f t="shared" si="259"/>
        <v>7</v>
      </c>
      <c r="AX657" s="56">
        <f t="shared" si="249"/>
        <v>11</v>
      </c>
      <c r="AY657" s="329">
        <v>44761</v>
      </c>
      <c r="AZ657" s="326"/>
      <c r="BE657" s="277"/>
      <c r="BF657" s="55"/>
      <c r="BG657" s="55"/>
      <c r="BH657" s="55"/>
      <c r="BI657" s="166"/>
      <c r="BJ657" s="49">
        <f t="shared" si="260"/>
        <v>0</v>
      </c>
      <c r="BL657" s="277"/>
      <c r="BM657" s="55"/>
      <c r="BN657" s="55"/>
      <c r="BO657" s="55"/>
      <c r="BP657" s="166"/>
      <c r="BQ657" s="49">
        <f t="shared" si="261"/>
        <v>0</v>
      </c>
    </row>
    <row r="658" spans="1:69" x14ac:dyDescent="0.15">
      <c r="A658" s="53" t="s">
        <v>98</v>
      </c>
      <c r="B658" s="54">
        <v>1</v>
      </c>
      <c r="C658" s="55"/>
      <c r="D658" s="55">
        <v>1</v>
      </c>
      <c r="E658" s="55"/>
      <c r="F658" s="56">
        <f t="shared" si="244"/>
        <v>2</v>
      </c>
      <c r="G658" s="54">
        <v>1</v>
      </c>
      <c r="H658" s="55">
        <f>2+1</f>
        <v>3</v>
      </c>
      <c r="I658" s="55"/>
      <c r="J658" s="55"/>
      <c r="K658" s="56">
        <f t="shared" si="245"/>
        <v>4</v>
      </c>
      <c r="L658" s="54"/>
      <c r="M658" s="55"/>
      <c r="N658" s="55"/>
      <c r="O658" s="55"/>
      <c r="P658" s="56">
        <f t="shared" si="246"/>
        <v>0</v>
      </c>
      <c r="Q658" s="54"/>
      <c r="R658" s="55">
        <f>1+3</f>
        <v>4</v>
      </c>
      <c r="S658" s="55">
        <v>1</v>
      </c>
      <c r="T658" s="55">
        <v>1</v>
      </c>
      <c r="U658" s="176">
        <f t="shared" si="247"/>
        <v>6</v>
      </c>
      <c r="V658" s="56">
        <f t="shared" si="248"/>
        <v>12</v>
      </c>
      <c r="W658" s="328">
        <v>44756</v>
      </c>
      <c r="X658" s="326"/>
      <c r="Y658" s="326"/>
      <c r="Z658" s="326"/>
      <c r="AC658" s="269" t="s">
        <v>99</v>
      </c>
      <c r="AD658" s="54"/>
      <c r="AE658" s="55"/>
      <c r="AF658" s="55"/>
      <c r="AG658" s="55"/>
      <c r="AH658" s="56">
        <f t="shared" si="252"/>
        <v>0</v>
      </c>
      <c r="AI658" s="54"/>
      <c r="AJ658" s="55">
        <v>10</v>
      </c>
      <c r="AK658" s="55"/>
      <c r="AL658" s="55"/>
      <c r="AM658" s="56">
        <f t="shared" si="253"/>
        <v>10</v>
      </c>
      <c r="AN658" s="54"/>
      <c r="AO658" s="55"/>
      <c r="AP658" s="55"/>
      <c r="AQ658" s="55"/>
      <c r="AR658" s="56">
        <f t="shared" si="258"/>
        <v>0</v>
      </c>
      <c r="AS658" s="54"/>
      <c r="AT658" s="55">
        <v>10</v>
      </c>
      <c r="AU658" s="55"/>
      <c r="AV658" s="55"/>
      <c r="AW658" s="176">
        <f t="shared" si="259"/>
        <v>10</v>
      </c>
      <c r="AX658" s="56">
        <f t="shared" si="249"/>
        <v>20</v>
      </c>
      <c r="AY658" s="329">
        <v>44757</v>
      </c>
      <c r="AZ658" s="326"/>
      <c r="BE658" s="277"/>
      <c r="BF658" s="54"/>
      <c r="BG658" s="55"/>
      <c r="BH658" s="55"/>
      <c r="BI658" s="55"/>
      <c r="BJ658" s="56">
        <f t="shared" si="260"/>
        <v>0</v>
      </c>
      <c r="BL658" s="277"/>
      <c r="BM658" s="54"/>
      <c r="BN658" s="55"/>
      <c r="BO658" s="55"/>
      <c r="BP658" s="55"/>
      <c r="BQ658" s="56">
        <f t="shared" si="261"/>
        <v>0</v>
      </c>
    </row>
    <row r="659" spans="1:69" x14ac:dyDescent="0.15">
      <c r="A659" s="53" t="s">
        <v>98</v>
      </c>
      <c r="B659" s="54"/>
      <c r="C659" s="55"/>
      <c r="D659" s="55">
        <v>1</v>
      </c>
      <c r="E659" s="55"/>
      <c r="F659" s="56">
        <f t="shared" si="244"/>
        <v>1</v>
      </c>
      <c r="G659" s="54">
        <v>1</v>
      </c>
      <c r="H659" s="55">
        <f>1+2</f>
        <v>3</v>
      </c>
      <c r="I659" s="55">
        <v>1</v>
      </c>
      <c r="J659" s="55"/>
      <c r="K659" s="56">
        <f t="shared" si="245"/>
        <v>5</v>
      </c>
      <c r="L659" s="54"/>
      <c r="M659" s="55"/>
      <c r="N659" s="55">
        <f>1+1</f>
        <v>2</v>
      </c>
      <c r="O659" s="55"/>
      <c r="P659" s="56">
        <f t="shared" si="246"/>
        <v>2</v>
      </c>
      <c r="Q659" s="54"/>
      <c r="R659" s="55"/>
      <c r="S659" s="55"/>
      <c r="T659" s="55">
        <v>1</v>
      </c>
      <c r="U659" s="176">
        <f t="shared" si="247"/>
        <v>1</v>
      </c>
      <c r="V659" s="56">
        <f t="shared" si="248"/>
        <v>9</v>
      </c>
      <c r="W659" s="329">
        <v>44757</v>
      </c>
      <c r="X659" s="326"/>
      <c r="Y659" s="326"/>
      <c r="Z659" s="326"/>
      <c r="AC659" s="276" t="s">
        <v>412</v>
      </c>
      <c r="AD659" s="54"/>
      <c r="AE659" s="55"/>
      <c r="AF659" s="55"/>
      <c r="AG659" s="55"/>
      <c r="AH659" s="56">
        <f t="shared" si="252"/>
        <v>0</v>
      </c>
      <c r="AI659" s="54"/>
      <c r="AJ659" s="55"/>
      <c r="AK659" s="55"/>
      <c r="AL659" s="55"/>
      <c r="AM659" s="56">
        <f t="shared" si="253"/>
        <v>0</v>
      </c>
      <c r="AN659" s="54"/>
      <c r="AO659" s="55"/>
      <c r="AP659" s="55"/>
      <c r="AQ659" s="55"/>
      <c r="AR659" s="56">
        <f t="shared" si="258"/>
        <v>0</v>
      </c>
      <c r="AS659" s="54">
        <v>6</v>
      </c>
      <c r="AT659" s="55"/>
      <c r="AU659" s="55"/>
      <c r="AV659" s="55"/>
      <c r="AW659" s="176">
        <f t="shared" si="259"/>
        <v>6</v>
      </c>
      <c r="AX659" s="56">
        <f t="shared" si="249"/>
        <v>6</v>
      </c>
      <c r="AY659" s="329">
        <v>44757</v>
      </c>
      <c r="AZ659" s="326"/>
      <c r="BE659" s="276"/>
      <c r="BF659" s="54"/>
      <c r="BG659" s="55"/>
      <c r="BH659" s="55"/>
      <c r="BI659" s="55"/>
      <c r="BJ659" s="56">
        <f t="shared" si="260"/>
        <v>0</v>
      </c>
      <c r="BL659" s="276"/>
      <c r="BM659" s="54"/>
      <c r="BN659" s="55"/>
      <c r="BO659" s="55"/>
      <c r="BP659" s="55"/>
      <c r="BQ659" s="56">
        <f t="shared" si="261"/>
        <v>0</v>
      </c>
    </row>
    <row r="660" spans="1:69" x14ac:dyDescent="0.15">
      <c r="A660" s="53" t="s">
        <v>98</v>
      </c>
      <c r="B660" s="54"/>
      <c r="C660" s="55">
        <v>1</v>
      </c>
      <c r="D660" s="55"/>
      <c r="E660" s="55"/>
      <c r="F660" s="56">
        <f t="shared" si="244"/>
        <v>1</v>
      </c>
      <c r="G660" s="54">
        <v>1</v>
      </c>
      <c r="H660" s="55">
        <f>1+1</f>
        <v>2</v>
      </c>
      <c r="I660" s="55"/>
      <c r="J660" s="55">
        <v>1</v>
      </c>
      <c r="K660" s="56">
        <f t="shared" si="245"/>
        <v>4</v>
      </c>
      <c r="L660" s="54"/>
      <c r="M660" s="55"/>
      <c r="N660" s="55"/>
      <c r="O660" s="55"/>
      <c r="P660" s="56">
        <f t="shared" si="246"/>
        <v>0</v>
      </c>
      <c r="Q660" s="54"/>
      <c r="R660" s="55">
        <f>1+1</f>
        <v>2</v>
      </c>
      <c r="S660" s="55"/>
      <c r="T660" s="55"/>
      <c r="U660" s="176">
        <f t="shared" si="247"/>
        <v>2</v>
      </c>
      <c r="V660" s="56">
        <f t="shared" si="248"/>
        <v>7</v>
      </c>
      <c r="W660" s="328">
        <v>44758</v>
      </c>
      <c r="X660" s="326"/>
      <c r="Y660" s="326"/>
      <c r="Z660" s="326"/>
      <c r="AC660" s="276" t="s">
        <v>413</v>
      </c>
      <c r="AD660" s="63">
        <v>12</v>
      </c>
      <c r="AE660" s="63"/>
      <c r="AF660" s="63"/>
      <c r="AG660" s="167"/>
      <c r="AH660" s="64">
        <f t="shared" si="252"/>
        <v>12</v>
      </c>
      <c r="AI660" s="63"/>
      <c r="AJ660" s="63"/>
      <c r="AK660" s="63"/>
      <c r="AL660" s="167"/>
      <c r="AM660" s="64">
        <f t="shared" si="253"/>
        <v>0</v>
      </c>
      <c r="AN660" s="63"/>
      <c r="AO660" s="63"/>
      <c r="AP660" s="63"/>
      <c r="AQ660" s="167"/>
      <c r="AR660" s="64">
        <f t="shared" si="258"/>
        <v>0</v>
      </c>
      <c r="AS660" s="63"/>
      <c r="AT660" s="63"/>
      <c r="AU660" s="63"/>
      <c r="AV660" s="167"/>
      <c r="AW660" s="162">
        <f t="shared" si="259"/>
        <v>0</v>
      </c>
      <c r="AX660" s="56">
        <f t="shared" si="249"/>
        <v>12</v>
      </c>
      <c r="AY660" s="329">
        <v>44757</v>
      </c>
      <c r="AZ660" s="326"/>
      <c r="BE660" s="276"/>
      <c r="BF660" s="63"/>
      <c r="BG660" s="63"/>
      <c r="BH660" s="63"/>
      <c r="BI660" s="167"/>
      <c r="BJ660" s="64">
        <f t="shared" si="260"/>
        <v>0</v>
      </c>
      <c r="BL660" s="276"/>
      <c r="BM660" s="63"/>
      <c r="BN660" s="63"/>
      <c r="BO660" s="63"/>
      <c r="BP660" s="167"/>
      <c r="BQ660" s="64">
        <f t="shared" si="261"/>
        <v>0</v>
      </c>
    </row>
    <row r="661" spans="1:69" x14ac:dyDescent="0.15">
      <c r="A661" s="53" t="s">
        <v>98</v>
      </c>
      <c r="B661" s="54"/>
      <c r="C661" s="55"/>
      <c r="D661" s="55">
        <v>1</v>
      </c>
      <c r="E661" s="55"/>
      <c r="F661" s="56">
        <f t="shared" si="244"/>
        <v>1</v>
      </c>
      <c r="G661" s="54">
        <v>3</v>
      </c>
      <c r="H661" s="55">
        <f>2+3</f>
        <v>5</v>
      </c>
      <c r="I661" s="55">
        <f>1+2</f>
        <v>3</v>
      </c>
      <c r="J661" s="55">
        <v>2</v>
      </c>
      <c r="K661" s="56">
        <f t="shared" si="245"/>
        <v>13</v>
      </c>
      <c r="L661" s="54"/>
      <c r="M661" s="55"/>
      <c r="N661" s="55">
        <v>1</v>
      </c>
      <c r="O661" s="55"/>
      <c r="P661" s="56">
        <f t="shared" si="246"/>
        <v>1</v>
      </c>
      <c r="Q661" s="54">
        <v>2</v>
      </c>
      <c r="R661" s="55">
        <v>4</v>
      </c>
      <c r="S661" s="55">
        <v>3</v>
      </c>
      <c r="T661" s="55">
        <f>1+1</f>
        <v>2</v>
      </c>
      <c r="U661" s="176">
        <f t="shared" si="247"/>
        <v>11</v>
      </c>
      <c r="V661" s="56">
        <f t="shared" si="248"/>
        <v>26</v>
      </c>
      <c r="W661" s="329">
        <v>44761</v>
      </c>
      <c r="X661" s="326"/>
      <c r="Y661" s="326"/>
      <c r="Z661" s="326"/>
      <c r="AC661" s="276" t="s">
        <v>414</v>
      </c>
      <c r="AD661" s="54"/>
      <c r="AE661" s="55">
        <v>7</v>
      </c>
      <c r="AF661" s="55">
        <v>2</v>
      </c>
      <c r="AG661" s="55">
        <v>2</v>
      </c>
      <c r="AH661" s="56">
        <f t="shared" si="252"/>
        <v>11</v>
      </c>
      <c r="AI661" s="54">
        <v>3</v>
      </c>
      <c r="AJ661" s="55">
        <v>2</v>
      </c>
      <c r="AK661" s="55"/>
      <c r="AL661" s="55"/>
      <c r="AM661" s="56">
        <f t="shared" si="253"/>
        <v>5</v>
      </c>
      <c r="AN661" s="54"/>
      <c r="AO661" s="55"/>
      <c r="AP661" s="55"/>
      <c r="AQ661" s="55"/>
      <c r="AR661" s="56">
        <f t="shared" si="258"/>
        <v>0</v>
      </c>
      <c r="AS661" s="54"/>
      <c r="AT661" s="55"/>
      <c r="AU661" s="55">
        <v>2</v>
      </c>
      <c r="AV661" s="55">
        <v>8</v>
      </c>
      <c r="AW661" s="176">
        <f t="shared" si="259"/>
        <v>10</v>
      </c>
      <c r="AX661" s="56">
        <f t="shared" si="249"/>
        <v>26</v>
      </c>
      <c r="AY661" s="329">
        <v>44762</v>
      </c>
      <c r="AZ661" s="326"/>
      <c r="BE661" s="277"/>
      <c r="BF661" s="54"/>
      <c r="BG661" s="55"/>
      <c r="BH661" s="55"/>
      <c r="BI661" s="55"/>
      <c r="BJ661" s="56">
        <f t="shared" si="260"/>
        <v>0</v>
      </c>
      <c r="BL661" s="277"/>
      <c r="BM661" s="54"/>
      <c r="BN661" s="55"/>
      <c r="BO661" s="55"/>
      <c r="BP661" s="55"/>
      <c r="BQ661" s="56">
        <f t="shared" si="261"/>
        <v>0</v>
      </c>
    </row>
    <row r="662" spans="1:69" x14ac:dyDescent="0.15">
      <c r="A662" s="53"/>
      <c r="B662" s="17"/>
      <c r="C662" s="18"/>
      <c r="D662" s="18"/>
      <c r="E662" s="18"/>
      <c r="F662" s="30">
        <f t="shared" si="244"/>
        <v>0</v>
      </c>
      <c r="G662" s="17"/>
      <c r="H662" s="18"/>
      <c r="I662" s="18"/>
      <c r="J662" s="18"/>
      <c r="K662" s="30">
        <f t="shared" si="245"/>
        <v>0</v>
      </c>
      <c r="L662" s="17"/>
      <c r="M662" s="18"/>
      <c r="N662" s="18"/>
      <c r="O662" s="18"/>
      <c r="P662" s="30">
        <f t="shared" si="246"/>
        <v>0</v>
      </c>
      <c r="Q662" s="17"/>
      <c r="R662" s="18"/>
      <c r="S662" s="18"/>
      <c r="T662" s="18"/>
      <c r="U662" s="178">
        <f t="shared" si="247"/>
        <v>0</v>
      </c>
      <c r="V662" s="56">
        <f t="shared" si="248"/>
        <v>0</v>
      </c>
      <c r="W662" s="328"/>
      <c r="X662" s="326"/>
      <c r="Y662" s="326"/>
      <c r="Z662" s="326"/>
      <c r="AC662" s="276" t="s">
        <v>418</v>
      </c>
      <c r="AD662" s="54"/>
      <c r="AE662" s="55"/>
      <c r="AF662" s="55"/>
      <c r="AG662" s="55"/>
      <c r="AH662" s="56">
        <f t="shared" si="252"/>
        <v>0</v>
      </c>
      <c r="AI662" s="54"/>
      <c r="AJ662" s="55"/>
      <c r="AK662" s="55"/>
      <c r="AL662" s="55"/>
      <c r="AM662" s="56">
        <f t="shared" si="253"/>
        <v>0</v>
      </c>
      <c r="AN662" s="54"/>
      <c r="AO662" s="55"/>
      <c r="AP662" s="55"/>
      <c r="AQ662" s="55"/>
      <c r="AR662" s="56">
        <f t="shared" si="258"/>
        <v>0</v>
      </c>
      <c r="AS662" s="54"/>
      <c r="AT662" s="55">
        <v>7</v>
      </c>
      <c r="AU662" s="55"/>
      <c r="AV662" s="55"/>
      <c r="AW662" s="176">
        <f t="shared" si="259"/>
        <v>7</v>
      </c>
      <c r="AX662" s="56">
        <f t="shared" si="249"/>
        <v>7</v>
      </c>
      <c r="AY662" s="329">
        <v>44762</v>
      </c>
      <c r="AZ662" s="326"/>
      <c r="BE662" s="276"/>
      <c r="BF662" s="54"/>
      <c r="BG662" s="55"/>
      <c r="BH662" s="55"/>
      <c r="BI662" s="55"/>
      <c r="BJ662" s="56">
        <f t="shared" si="260"/>
        <v>0</v>
      </c>
      <c r="BL662" s="276"/>
      <c r="BM662" s="54"/>
      <c r="BN662" s="55"/>
      <c r="BO662" s="55"/>
      <c r="BP662" s="55"/>
      <c r="BQ662" s="56">
        <f t="shared" si="261"/>
        <v>0</v>
      </c>
    </row>
    <row r="663" spans="1:69" x14ac:dyDescent="0.15">
      <c r="A663" s="53"/>
      <c r="B663" s="54"/>
      <c r="C663" s="55"/>
      <c r="D663" s="55"/>
      <c r="E663" s="55"/>
      <c r="F663" s="56">
        <f t="shared" si="244"/>
        <v>0</v>
      </c>
      <c r="G663" s="54"/>
      <c r="H663" s="55"/>
      <c r="I663" s="55"/>
      <c r="J663" s="55"/>
      <c r="K663" s="56">
        <f t="shared" si="245"/>
        <v>0</v>
      </c>
      <c r="L663" s="54"/>
      <c r="M663" s="55"/>
      <c r="N663" s="55"/>
      <c r="O663" s="55"/>
      <c r="P663" s="56">
        <f t="shared" si="246"/>
        <v>0</v>
      </c>
      <c r="Q663" s="54"/>
      <c r="R663" s="55"/>
      <c r="S663" s="55"/>
      <c r="T663" s="55"/>
      <c r="U663" s="176">
        <f t="shared" si="247"/>
        <v>0</v>
      </c>
      <c r="V663" s="56">
        <f t="shared" si="248"/>
        <v>0</v>
      </c>
      <c r="W663" s="328"/>
      <c r="X663" s="326"/>
      <c r="Y663" s="326"/>
      <c r="Z663" s="326"/>
      <c r="AC663" s="276" t="s">
        <v>415</v>
      </c>
      <c r="AD663" s="54">
        <v>3</v>
      </c>
      <c r="AE663" s="55">
        <v>3</v>
      </c>
      <c r="AF663" s="55"/>
      <c r="AG663" s="55"/>
      <c r="AH663" s="56">
        <f t="shared" ref="AH663:AH665" si="262">SUM(AD663:AG663)</f>
        <v>6</v>
      </c>
      <c r="AI663" s="54">
        <v>7</v>
      </c>
      <c r="AJ663" s="55"/>
      <c r="AK663" s="55">
        <v>2</v>
      </c>
      <c r="AL663" s="55">
        <v>5</v>
      </c>
      <c r="AM663" s="56">
        <f t="shared" ref="AM663:AM665" si="263">SUM(AI663:AL663)</f>
        <v>14</v>
      </c>
      <c r="AN663" s="54"/>
      <c r="AO663" s="55"/>
      <c r="AP663" s="55"/>
      <c r="AQ663" s="55"/>
      <c r="AR663" s="56">
        <f t="shared" ref="AR663:AR665" si="264">SUM(AN663:AQ663)</f>
        <v>0</v>
      </c>
      <c r="AS663" s="54"/>
      <c r="AT663" s="55"/>
      <c r="AU663" s="55"/>
      <c r="AV663" s="55"/>
      <c r="AW663" s="176">
        <f t="shared" ref="AW663:AW665" si="265">SUM(AS663:AV663)</f>
        <v>0</v>
      </c>
      <c r="AX663" s="56">
        <f t="shared" si="249"/>
        <v>20</v>
      </c>
      <c r="AY663" s="329">
        <v>44762</v>
      </c>
      <c r="AZ663" s="326"/>
      <c r="BE663" s="277"/>
      <c r="BF663" s="54"/>
      <c r="BG663" s="55"/>
      <c r="BH663" s="55"/>
      <c r="BI663" s="55"/>
      <c r="BJ663" s="56">
        <f t="shared" si="260"/>
        <v>0</v>
      </c>
      <c r="BL663" s="277"/>
      <c r="BM663" s="54"/>
      <c r="BN663" s="55"/>
      <c r="BO663" s="55"/>
      <c r="BP663" s="55"/>
      <c r="BQ663" s="56">
        <f t="shared" si="261"/>
        <v>0</v>
      </c>
    </row>
    <row r="664" spans="1:69" x14ac:dyDescent="0.15">
      <c r="A664" s="53"/>
      <c r="B664" s="62"/>
      <c r="C664" s="63"/>
      <c r="D664" s="63"/>
      <c r="E664" s="63"/>
      <c r="F664" s="56">
        <f t="shared" si="244"/>
        <v>0</v>
      </c>
      <c r="G664" s="62"/>
      <c r="H664" s="63"/>
      <c r="I664" s="63"/>
      <c r="J664" s="63"/>
      <c r="K664" s="56">
        <f t="shared" si="245"/>
        <v>0</v>
      </c>
      <c r="L664" s="62"/>
      <c r="M664" s="63"/>
      <c r="N664" s="63"/>
      <c r="O664" s="63"/>
      <c r="P664" s="56">
        <f t="shared" si="246"/>
        <v>0</v>
      </c>
      <c r="Q664" s="62"/>
      <c r="R664" s="63"/>
      <c r="S664" s="63"/>
      <c r="T664" s="63"/>
      <c r="U664" s="176">
        <f t="shared" si="247"/>
        <v>0</v>
      </c>
      <c r="V664" s="56">
        <f t="shared" si="248"/>
        <v>0</v>
      </c>
      <c r="W664" s="329"/>
      <c r="X664" s="326"/>
      <c r="Y664" s="326"/>
      <c r="Z664" s="326"/>
      <c r="AC664" s="276" t="s">
        <v>416</v>
      </c>
      <c r="AD664" s="54"/>
      <c r="AE664" s="55"/>
      <c r="AF664" s="55">
        <v>2</v>
      </c>
      <c r="AG664" s="55"/>
      <c r="AH664" s="56">
        <f t="shared" si="262"/>
        <v>2</v>
      </c>
      <c r="AI664" s="54"/>
      <c r="AJ664" s="55"/>
      <c r="AK664" s="55"/>
      <c r="AL664" s="55"/>
      <c r="AM664" s="56">
        <f t="shared" si="263"/>
        <v>0</v>
      </c>
      <c r="AN664" s="54"/>
      <c r="AO664" s="55"/>
      <c r="AP664" s="55"/>
      <c r="AQ664" s="55"/>
      <c r="AR664" s="56">
        <f t="shared" si="264"/>
        <v>0</v>
      </c>
      <c r="AS664" s="54"/>
      <c r="AT664" s="55"/>
      <c r="AU664" s="55"/>
      <c r="AV664" s="55">
        <v>3</v>
      </c>
      <c r="AW664" s="176">
        <f t="shared" si="265"/>
        <v>3</v>
      </c>
      <c r="AX664" s="56">
        <f t="shared" si="249"/>
        <v>5</v>
      </c>
      <c r="AY664" s="329">
        <v>44762</v>
      </c>
      <c r="AZ664" s="326"/>
      <c r="BE664" s="268"/>
      <c r="BF664" s="62"/>
      <c r="BG664" s="63"/>
      <c r="BH664" s="63"/>
      <c r="BI664" s="63"/>
      <c r="BJ664" s="56">
        <f t="shared" si="260"/>
        <v>0</v>
      </c>
      <c r="BL664" s="268"/>
      <c r="BM664" s="62"/>
      <c r="BN664" s="63"/>
      <c r="BO664" s="63"/>
      <c r="BP664" s="63"/>
      <c r="BQ664" s="56">
        <f t="shared" si="261"/>
        <v>0</v>
      </c>
    </row>
    <row r="665" spans="1:69" x14ac:dyDescent="0.15">
      <c r="A665" s="53"/>
      <c r="B665" s="54"/>
      <c r="C665" s="55"/>
      <c r="D665" s="55"/>
      <c r="E665" s="55"/>
      <c r="F665" s="56">
        <f t="shared" si="244"/>
        <v>0</v>
      </c>
      <c r="G665" s="54"/>
      <c r="H665" s="55"/>
      <c r="I665" s="55"/>
      <c r="J665" s="55"/>
      <c r="K665" s="56">
        <f t="shared" si="245"/>
        <v>0</v>
      </c>
      <c r="L665" s="54"/>
      <c r="M665" s="55"/>
      <c r="N665" s="55"/>
      <c r="O665" s="55"/>
      <c r="P665" s="56">
        <f t="shared" si="246"/>
        <v>0</v>
      </c>
      <c r="Q665" s="54"/>
      <c r="R665" s="55"/>
      <c r="S665" s="55"/>
      <c r="T665" s="55"/>
      <c r="U665" s="176">
        <f t="shared" si="247"/>
        <v>0</v>
      </c>
      <c r="V665" s="56">
        <f t="shared" si="248"/>
        <v>0</v>
      </c>
      <c r="W665" s="328"/>
      <c r="X665" s="326"/>
      <c r="Y665" s="326"/>
      <c r="Z665" s="326"/>
      <c r="AC665" s="276" t="s">
        <v>417</v>
      </c>
      <c r="AD665" s="62"/>
      <c r="AE665" s="63"/>
      <c r="AF665" s="63"/>
      <c r="AG665" s="63"/>
      <c r="AH665" s="56">
        <f t="shared" si="262"/>
        <v>0</v>
      </c>
      <c r="AI665" s="62"/>
      <c r="AJ665" s="63"/>
      <c r="AK665" s="63"/>
      <c r="AL665" s="63"/>
      <c r="AM665" s="56">
        <f t="shared" si="263"/>
        <v>0</v>
      </c>
      <c r="AN665" s="62"/>
      <c r="AO665" s="63"/>
      <c r="AP665" s="63"/>
      <c r="AQ665" s="63"/>
      <c r="AR665" s="56">
        <f t="shared" si="264"/>
        <v>0</v>
      </c>
      <c r="AS665" s="62"/>
      <c r="AT665" s="63"/>
      <c r="AU665" s="63">
        <v>10</v>
      </c>
      <c r="AV665" s="63"/>
      <c r="AW665" s="176">
        <f t="shared" si="265"/>
        <v>10</v>
      </c>
      <c r="AX665" s="56">
        <f t="shared" si="249"/>
        <v>10</v>
      </c>
      <c r="AY665" s="329">
        <v>44767</v>
      </c>
      <c r="AZ665" s="326"/>
      <c r="BE665" s="268"/>
      <c r="BF665" s="54"/>
      <c r="BG665" s="55"/>
      <c r="BH665" s="55"/>
      <c r="BI665" s="55"/>
      <c r="BJ665" s="56">
        <f t="shared" si="260"/>
        <v>0</v>
      </c>
      <c r="BL665" s="268"/>
      <c r="BM665" s="54"/>
      <c r="BN665" s="55"/>
      <c r="BO665" s="55"/>
      <c r="BP665" s="55"/>
      <c r="BQ665" s="56">
        <f t="shared" si="261"/>
        <v>0</v>
      </c>
    </row>
    <row r="666" spans="1:69" x14ac:dyDescent="0.15">
      <c r="A666" s="53"/>
      <c r="B666" s="54"/>
      <c r="C666" s="55"/>
      <c r="D666" s="55"/>
      <c r="E666" s="55"/>
      <c r="F666" s="56">
        <f t="shared" si="244"/>
        <v>0</v>
      </c>
      <c r="G666" s="54"/>
      <c r="H666" s="55"/>
      <c r="I666" s="55"/>
      <c r="J666" s="55"/>
      <c r="K666" s="56">
        <f t="shared" si="245"/>
        <v>0</v>
      </c>
      <c r="L666" s="54"/>
      <c r="M666" s="55"/>
      <c r="N666" s="55"/>
      <c r="O666" s="55"/>
      <c r="P666" s="56">
        <f t="shared" si="246"/>
        <v>0</v>
      </c>
      <c r="Q666" s="54"/>
      <c r="R666" s="55"/>
      <c r="S666" s="55"/>
      <c r="T666" s="55"/>
      <c r="U666" s="176">
        <f t="shared" si="247"/>
        <v>0</v>
      </c>
      <c r="V666" s="56">
        <f t="shared" si="248"/>
        <v>0</v>
      </c>
      <c r="W666" s="329"/>
      <c r="X666" s="326"/>
      <c r="Y666" s="326"/>
      <c r="Z666" s="326"/>
      <c r="AC666" s="276" t="s">
        <v>419</v>
      </c>
      <c r="AD666" s="33"/>
      <c r="AE666" s="34"/>
      <c r="AF666" s="34"/>
      <c r="AG666" s="34"/>
      <c r="AH666" s="30">
        <f t="shared" si="252"/>
        <v>0</v>
      </c>
      <c r="AI666" s="33"/>
      <c r="AJ666" s="34">
        <v>7</v>
      </c>
      <c r="AK666" s="34"/>
      <c r="AL666" s="34"/>
      <c r="AM666" s="30">
        <f t="shared" si="253"/>
        <v>7</v>
      </c>
      <c r="AN666" s="33"/>
      <c r="AO666" s="34"/>
      <c r="AP666" s="34"/>
      <c r="AQ666" s="34"/>
      <c r="AR666" s="30">
        <f t="shared" si="258"/>
        <v>0</v>
      </c>
      <c r="AS666" s="33"/>
      <c r="AT666" s="34">
        <v>7</v>
      </c>
      <c r="AU666" s="34"/>
      <c r="AV666" s="34"/>
      <c r="AW666" s="178">
        <f t="shared" si="259"/>
        <v>7</v>
      </c>
      <c r="AX666" s="170">
        <f t="shared" si="249"/>
        <v>14</v>
      </c>
      <c r="AY666" s="329">
        <v>44767</v>
      </c>
      <c r="AZ666" s="326"/>
      <c r="BE666" s="268"/>
      <c r="BF666" s="62"/>
      <c r="BG666" s="63"/>
      <c r="BH666" s="63"/>
      <c r="BI666" s="63"/>
      <c r="BJ666" s="56">
        <f t="shared" si="260"/>
        <v>0</v>
      </c>
      <c r="BL666" s="268"/>
      <c r="BM666" s="62"/>
      <c r="BN666" s="63"/>
      <c r="BO666" s="63"/>
      <c r="BP666" s="63"/>
      <c r="BQ666" s="56">
        <f t="shared" si="261"/>
        <v>0</v>
      </c>
    </row>
    <row r="667" spans="1:69" x14ac:dyDescent="0.15">
      <c r="A667" s="53"/>
      <c r="B667" s="54"/>
      <c r="C667" s="55"/>
      <c r="D667" s="55"/>
      <c r="E667" s="55"/>
      <c r="F667" s="56">
        <f t="shared" si="244"/>
        <v>0</v>
      </c>
      <c r="G667" s="54"/>
      <c r="H667" s="55"/>
      <c r="I667" s="55"/>
      <c r="J667" s="55"/>
      <c r="K667" s="56">
        <f t="shared" si="245"/>
        <v>0</v>
      </c>
      <c r="L667" s="54"/>
      <c r="M667" s="55"/>
      <c r="N667" s="55"/>
      <c r="O667" s="55"/>
      <c r="P667" s="56">
        <f t="shared" si="246"/>
        <v>0</v>
      </c>
      <c r="Q667" s="54"/>
      <c r="R667" s="55"/>
      <c r="S667" s="55"/>
      <c r="T667" s="55"/>
      <c r="U667" s="176">
        <f t="shared" si="247"/>
        <v>0</v>
      </c>
      <c r="V667" s="56">
        <f t="shared" si="248"/>
        <v>0</v>
      </c>
      <c r="W667" s="328"/>
      <c r="X667" s="326"/>
      <c r="Y667" s="326"/>
      <c r="Z667" s="326"/>
      <c r="AC667" s="269" t="s">
        <v>420</v>
      </c>
      <c r="AD667" s="54"/>
      <c r="AE667" s="55"/>
      <c r="AF667" s="55"/>
      <c r="AG667" s="55"/>
      <c r="AH667" s="56">
        <f t="shared" si="252"/>
        <v>0</v>
      </c>
      <c r="AI667" s="54"/>
      <c r="AJ667" s="55"/>
      <c r="AK667" s="55">
        <v>7</v>
      </c>
      <c r="AL667" s="55"/>
      <c r="AM667" s="56">
        <f t="shared" si="253"/>
        <v>7</v>
      </c>
      <c r="AN667" s="54"/>
      <c r="AO667" s="55"/>
      <c r="AP667" s="55"/>
      <c r="AQ667" s="55"/>
      <c r="AR667" s="56">
        <f t="shared" si="258"/>
        <v>0</v>
      </c>
      <c r="AS667" s="54"/>
      <c r="AT667" s="55"/>
      <c r="AU667" s="55"/>
      <c r="AV667" s="55"/>
      <c r="AW667" s="176">
        <f t="shared" si="259"/>
        <v>0</v>
      </c>
      <c r="AX667" s="56">
        <f t="shared" si="249"/>
        <v>7</v>
      </c>
      <c r="AY667" s="329">
        <v>44762</v>
      </c>
      <c r="AZ667" s="326"/>
      <c r="BE667" s="277"/>
      <c r="BF667" s="54"/>
      <c r="BG667" s="55"/>
      <c r="BH667" s="55"/>
      <c r="BI667" s="55"/>
      <c r="BJ667" s="56">
        <f t="shared" si="260"/>
        <v>0</v>
      </c>
      <c r="BL667" s="277"/>
      <c r="BM667" s="54"/>
      <c r="BN667" s="55"/>
      <c r="BO667" s="55"/>
      <c r="BP667" s="55"/>
      <c r="BQ667" s="56">
        <f t="shared" si="261"/>
        <v>0</v>
      </c>
    </row>
    <row r="668" spans="1:69" ht="14.25" thickBot="1" x14ac:dyDescent="0.2">
      <c r="A668" s="53"/>
      <c r="B668" s="33"/>
      <c r="C668" s="34"/>
      <c r="D668" s="34"/>
      <c r="E668" s="34"/>
      <c r="F668" s="30">
        <f t="shared" si="244"/>
        <v>0</v>
      </c>
      <c r="G668" s="33"/>
      <c r="H668" s="34"/>
      <c r="I668" s="34"/>
      <c r="J668" s="34"/>
      <c r="K668" s="30">
        <f t="shared" si="245"/>
        <v>0</v>
      </c>
      <c r="L668" s="33"/>
      <c r="M668" s="34"/>
      <c r="N668" s="34"/>
      <c r="O668" s="34"/>
      <c r="P668" s="30">
        <f t="shared" si="246"/>
        <v>0</v>
      </c>
      <c r="Q668" s="33"/>
      <c r="R668" s="34"/>
      <c r="S668" s="34"/>
      <c r="T668" s="34"/>
      <c r="U668" s="178">
        <f t="shared" si="247"/>
        <v>0</v>
      </c>
      <c r="V668" s="170">
        <f t="shared" si="248"/>
        <v>0</v>
      </c>
      <c r="W668" s="328"/>
      <c r="X668" s="326"/>
      <c r="Y668" s="326"/>
      <c r="Z668" s="326"/>
      <c r="AC668" s="282" t="s">
        <v>421</v>
      </c>
      <c r="AD668" s="54"/>
      <c r="AE668" s="55">
        <v>5</v>
      </c>
      <c r="AF668" s="55">
        <v>5</v>
      </c>
      <c r="AG668" s="55"/>
      <c r="AH668" s="30">
        <f t="shared" si="252"/>
        <v>10</v>
      </c>
      <c r="AI668" s="54">
        <v>10</v>
      </c>
      <c r="AJ668" s="55">
        <v>10</v>
      </c>
      <c r="AK668" s="55">
        <v>5</v>
      </c>
      <c r="AL668" s="55"/>
      <c r="AM668" s="30">
        <f t="shared" si="253"/>
        <v>25</v>
      </c>
      <c r="AN668" s="54"/>
      <c r="AO668" s="55"/>
      <c r="AP668" s="55"/>
      <c r="AQ668" s="55"/>
      <c r="AR668" s="30">
        <f t="shared" si="258"/>
        <v>0</v>
      </c>
      <c r="AS668" s="54">
        <v>5</v>
      </c>
      <c r="AT668" s="55">
        <v>5</v>
      </c>
      <c r="AU668" s="55">
        <v>5</v>
      </c>
      <c r="AV668" s="55">
        <v>5</v>
      </c>
      <c r="AW668" s="178">
        <f t="shared" si="259"/>
        <v>20</v>
      </c>
      <c r="AX668" s="170">
        <f t="shared" si="249"/>
        <v>55</v>
      </c>
      <c r="AY668" s="329">
        <v>44762</v>
      </c>
      <c r="AZ668" s="326"/>
      <c r="BE668" s="282"/>
      <c r="BF668" s="33"/>
      <c r="BG668" s="34"/>
      <c r="BH668" s="34"/>
      <c r="BI668" s="34"/>
      <c r="BJ668" s="30">
        <f t="shared" si="260"/>
        <v>0</v>
      </c>
      <c r="BL668" s="282"/>
      <c r="BM668" s="33"/>
      <c r="BN668" s="34"/>
      <c r="BO668" s="34"/>
      <c r="BP668" s="34"/>
      <c r="BQ668" s="30">
        <f t="shared" si="261"/>
        <v>0</v>
      </c>
    </row>
    <row r="669" spans="1:69" ht="15" thickBot="1" x14ac:dyDescent="0.2">
      <c r="A669" s="9" t="s">
        <v>15</v>
      </c>
      <c r="B669" s="36">
        <f>SUM(B643:B668)</f>
        <v>5</v>
      </c>
      <c r="C669" s="37">
        <f>SUM(C643:C668)</f>
        <v>7</v>
      </c>
      <c r="D669" s="37">
        <f>SUM(D643:D668)</f>
        <v>6</v>
      </c>
      <c r="E669" s="38">
        <f>SUM(E643:E668)</f>
        <v>2</v>
      </c>
      <c r="F669" s="25">
        <f t="shared" si="244"/>
        <v>20</v>
      </c>
      <c r="G669" s="36">
        <f>SUM(G643:G668)</f>
        <v>13</v>
      </c>
      <c r="H669" s="37">
        <f>SUM(H643:H668)</f>
        <v>27</v>
      </c>
      <c r="I669" s="37">
        <f>SUM(I643:I668)</f>
        <v>13</v>
      </c>
      <c r="J669" s="38">
        <f>SUM(J643:J668)</f>
        <v>7</v>
      </c>
      <c r="K669" s="25">
        <f t="shared" si="245"/>
        <v>60</v>
      </c>
      <c r="L669" s="36">
        <f>SUM(L643:L668)</f>
        <v>2</v>
      </c>
      <c r="M669" s="37">
        <f>SUM(M643:M668)</f>
        <v>0</v>
      </c>
      <c r="N669" s="37">
        <f>SUM(N643:N668)</f>
        <v>3</v>
      </c>
      <c r="O669" s="38">
        <f>SUM(O643:O668)</f>
        <v>0</v>
      </c>
      <c r="P669" s="25">
        <f t="shared" si="246"/>
        <v>5</v>
      </c>
      <c r="Q669" s="36">
        <f>SUM(Q643:Q668)</f>
        <v>5</v>
      </c>
      <c r="R669" s="37">
        <f>SUM(R643:R668)</f>
        <v>30</v>
      </c>
      <c r="S669" s="37">
        <f>SUM(S643:S668)</f>
        <v>11</v>
      </c>
      <c r="T669" s="38">
        <f>SUM(T643:T668)</f>
        <v>13</v>
      </c>
      <c r="U669" s="36">
        <f t="shared" si="247"/>
        <v>59</v>
      </c>
      <c r="V669" s="77">
        <f t="shared" si="248"/>
        <v>144</v>
      </c>
      <c r="W669" s="325"/>
      <c r="X669" s="326"/>
      <c r="Y669" s="326"/>
      <c r="Z669" s="326"/>
      <c r="AC669" s="278" t="s">
        <v>15</v>
      </c>
      <c r="AD669" s="36">
        <f>SUM(AD643:AD668)</f>
        <v>21</v>
      </c>
      <c r="AE669" s="37">
        <f>SUM(AE643:AE668)</f>
        <v>57</v>
      </c>
      <c r="AF669" s="37">
        <f>SUM(AF643:AF668)</f>
        <v>19</v>
      </c>
      <c r="AG669" s="38">
        <f>SUM(AG643:AG668)</f>
        <v>7</v>
      </c>
      <c r="AH669" s="25">
        <f t="shared" si="252"/>
        <v>104</v>
      </c>
      <c r="AI669" s="36">
        <f>SUM(AI643:AI668)</f>
        <v>49</v>
      </c>
      <c r="AJ669" s="37">
        <f>SUM(AJ643:AJ668)</f>
        <v>56</v>
      </c>
      <c r="AK669" s="37">
        <f>SUM(AK643:AK668)</f>
        <v>41</v>
      </c>
      <c r="AL669" s="38">
        <f>SUM(AL643:AL668)</f>
        <v>10</v>
      </c>
      <c r="AM669" s="25">
        <f t="shared" si="253"/>
        <v>156</v>
      </c>
      <c r="AN669" s="36">
        <f>SUM(AN643:AN668)</f>
        <v>0</v>
      </c>
      <c r="AO669" s="37">
        <f>SUM(AO643:AO668)</f>
        <v>0</v>
      </c>
      <c r="AP669" s="37">
        <f>SUM(AP643:AP668)</f>
        <v>0</v>
      </c>
      <c r="AQ669" s="38">
        <f>SUM(AQ643:AQ668)</f>
        <v>0</v>
      </c>
      <c r="AR669" s="25">
        <f t="shared" si="258"/>
        <v>0</v>
      </c>
      <c r="AS669" s="36">
        <f>SUM(AS643:AS668)</f>
        <v>22</v>
      </c>
      <c r="AT669" s="37">
        <f>SUM(AT643:AT668)</f>
        <v>98</v>
      </c>
      <c r="AU669" s="37">
        <f>SUM(AU643:AU668)</f>
        <v>23</v>
      </c>
      <c r="AV669" s="38">
        <f>SUM(AV643:AV668)</f>
        <v>54</v>
      </c>
      <c r="AW669" s="36">
        <f t="shared" si="259"/>
        <v>197</v>
      </c>
      <c r="AX669" s="161">
        <f t="shared" si="249"/>
        <v>457</v>
      </c>
      <c r="AY669" s="325"/>
      <c r="AZ669" s="326"/>
      <c r="BE669" s="278" t="s">
        <v>15</v>
      </c>
      <c r="BF669" s="36">
        <f>SUM(BF643:BF668)</f>
        <v>8</v>
      </c>
      <c r="BG669" s="302">
        <f>SUM(BG643:BG668)</f>
        <v>0</v>
      </c>
      <c r="BH669" s="37">
        <f>SUM(BH643:BH668)</f>
        <v>7</v>
      </c>
      <c r="BI669" s="38">
        <f>SUM(BI643:BI668)</f>
        <v>4</v>
      </c>
      <c r="BJ669" s="25">
        <f t="shared" si="260"/>
        <v>19</v>
      </c>
      <c r="BL669" s="278" t="s">
        <v>15</v>
      </c>
      <c r="BM669" s="36">
        <f>SUM(BM643:BM668)</f>
        <v>8</v>
      </c>
      <c r="BN669" s="302">
        <f>SUM(BN643:BN668)</f>
        <v>0</v>
      </c>
      <c r="BO669" s="37">
        <f>SUM(BO643:BO668)</f>
        <v>3</v>
      </c>
      <c r="BP669" s="38">
        <f>SUM(BP643:BP668)</f>
        <v>0</v>
      </c>
      <c r="BQ669" s="25">
        <f t="shared" si="261"/>
        <v>11</v>
      </c>
    </row>
    <row r="670" spans="1:69" ht="14.25" thickBot="1" x14ac:dyDescent="0.2">
      <c r="A670" s="39" t="s">
        <v>16</v>
      </c>
      <c r="B670" s="40">
        <f>B642-B669</f>
        <v>7</v>
      </c>
      <c r="C670" s="41">
        <f>C642-C669</f>
        <v>9</v>
      </c>
      <c r="D670" s="41">
        <f>D642-D669</f>
        <v>10</v>
      </c>
      <c r="E670" s="42">
        <f>E642-E669</f>
        <v>9</v>
      </c>
      <c r="F670" s="171">
        <f t="shared" si="244"/>
        <v>35</v>
      </c>
      <c r="G670" s="40">
        <f>G642-G669</f>
        <v>12</v>
      </c>
      <c r="H670" s="41">
        <f>H642-H669</f>
        <v>11</v>
      </c>
      <c r="I670" s="41">
        <f>I642-I669</f>
        <v>8</v>
      </c>
      <c r="J670" s="42">
        <f>J642-J669</f>
        <v>5</v>
      </c>
      <c r="K670" s="171">
        <f t="shared" si="245"/>
        <v>36</v>
      </c>
      <c r="L670" s="40">
        <f>L642-L669</f>
        <v>8</v>
      </c>
      <c r="M670" s="41">
        <f>M642-M669</f>
        <v>10</v>
      </c>
      <c r="N670" s="41">
        <f>N642-N669</f>
        <v>6</v>
      </c>
      <c r="O670" s="42">
        <f>O642-O669</f>
        <v>9</v>
      </c>
      <c r="P670" s="171">
        <f t="shared" si="246"/>
        <v>33</v>
      </c>
      <c r="Q670" s="40">
        <f>Q642-Q669</f>
        <v>11</v>
      </c>
      <c r="R670" s="41">
        <f>R642-R669</f>
        <v>9</v>
      </c>
      <c r="S670" s="41">
        <f>S642-S669</f>
        <v>1</v>
      </c>
      <c r="T670" s="42">
        <f>T642-T669</f>
        <v>10</v>
      </c>
      <c r="U670" s="177">
        <f t="shared" si="247"/>
        <v>31</v>
      </c>
      <c r="V670" s="77">
        <f t="shared" si="248"/>
        <v>135</v>
      </c>
      <c r="W670" s="325"/>
      <c r="X670" s="326"/>
      <c r="Y670" s="326"/>
      <c r="Z670" s="326"/>
      <c r="AC670" s="279" t="s">
        <v>16</v>
      </c>
      <c r="AD670" s="40">
        <f>AD642-AD669</f>
        <v>95</v>
      </c>
      <c r="AE670" s="41">
        <f>AE642-AE669</f>
        <v>110</v>
      </c>
      <c r="AF670" s="41">
        <f>AF642-AF669</f>
        <v>161</v>
      </c>
      <c r="AG670" s="42">
        <f>AG642-AG669</f>
        <v>111</v>
      </c>
      <c r="AH670" s="171">
        <f t="shared" si="252"/>
        <v>477</v>
      </c>
      <c r="AI670" s="40">
        <f>AI642-AI669</f>
        <v>90</v>
      </c>
      <c r="AJ670" s="41">
        <f>AJ642-AJ669</f>
        <v>208</v>
      </c>
      <c r="AK670" s="41">
        <f>AK642-AK669</f>
        <v>124</v>
      </c>
      <c r="AL670" s="42">
        <f>AL642-AL669</f>
        <v>161</v>
      </c>
      <c r="AM670" s="171">
        <f t="shared" si="253"/>
        <v>583</v>
      </c>
      <c r="AN670" s="40">
        <f>AN642-AN669</f>
        <v>35</v>
      </c>
      <c r="AO670" s="41">
        <f>AO642-AO669</f>
        <v>82</v>
      </c>
      <c r="AP670" s="41">
        <f>AP642-AP669</f>
        <v>40</v>
      </c>
      <c r="AQ670" s="42">
        <f>AQ642-AQ669</f>
        <v>22</v>
      </c>
      <c r="AR670" s="171">
        <f t="shared" si="258"/>
        <v>179</v>
      </c>
      <c r="AS670" s="40">
        <f>AS642-AS669</f>
        <v>72</v>
      </c>
      <c r="AT670" s="41">
        <f>AT642-AT669</f>
        <v>44</v>
      </c>
      <c r="AU670" s="41">
        <f>AU642-AU669</f>
        <v>67</v>
      </c>
      <c r="AV670" s="42">
        <f>AV642-AV669</f>
        <v>24</v>
      </c>
      <c r="AW670" s="177">
        <f t="shared" si="259"/>
        <v>207</v>
      </c>
      <c r="AX670" s="77">
        <f t="shared" si="249"/>
        <v>1446</v>
      </c>
      <c r="AY670" s="325"/>
      <c r="AZ670" s="326"/>
      <c r="BE670" s="279" t="s">
        <v>16</v>
      </c>
      <c r="BF670" s="40">
        <f>BF642-BF669</f>
        <v>6</v>
      </c>
      <c r="BG670" s="303">
        <f>BG642-BG669</f>
        <v>0</v>
      </c>
      <c r="BH670" s="41">
        <f>BH642-BH669</f>
        <v>2</v>
      </c>
      <c r="BI670" s="42">
        <f>BI642-BI669</f>
        <v>4</v>
      </c>
      <c r="BJ670" s="171">
        <f t="shared" si="260"/>
        <v>12</v>
      </c>
      <c r="BL670" s="279" t="s">
        <v>16</v>
      </c>
      <c r="BM670" s="40">
        <f>BM642-BM669</f>
        <v>0</v>
      </c>
      <c r="BN670" s="303">
        <f>BN642-BN669</f>
        <v>0</v>
      </c>
      <c r="BO670" s="41">
        <f>BO642-BO669</f>
        <v>36</v>
      </c>
      <c r="BP670" s="42">
        <f>BP642-BP669</f>
        <v>11</v>
      </c>
      <c r="BQ670" s="171">
        <f t="shared" si="261"/>
        <v>47</v>
      </c>
    </row>
    <row r="671" spans="1:69" x14ac:dyDescent="0.15">
      <c r="W671" s="325"/>
      <c r="X671" s="326"/>
      <c r="Y671" s="326"/>
      <c r="Z671" s="326"/>
      <c r="AY671" s="325"/>
      <c r="AZ671" s="326"/>
    </row>
    <row r="672" spans="1:69" x14ac:dyDescent="0.15">
      <c r="W672" s="325"/>
      <c r="X672" s="326"/>
      <c r="Y672" s="326"/>
      <c r="Z672" s="326"/>
      <c r="AY672" s="325"/>
      <c r="AZ672" s="326"/>
    </row>
    <row r="673" spans="1:71" ht="19.5" thickBot="1" x14ac:dyDescent="0.25">
      <c r="A673" s="185" t="s">
        <v>19</v>
      </c>
      <c r="B673" s="186"/>
      <c r="C673" s="186"/>
      <c r="D673" s="186"/>
      <c r="E673" s="186"/>
      <c r="F673" s="18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325"/>
      <c r="X673" s="326"/>
      <c r="Y673" s="326"/>
      <c r="Z673" s="326"/>
      <c r="AC673" s="187" t="s">
        <v>73</v>
      </c>
      <c r="AD673" s="188"/>
      <c r="AE673" s="188"/>
      <c r="AF673" s="188"/>
      <c r="AG673" s="188"/>
      <c r="AH673" s="188"/>
      <c r="AI673" s="188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325"/>
      <c r="AZ673" s="326"/>
      <c r="BE673" s="185" t="s">
        <v>19</v>
      </c>
      <c r="BF673" s="186"/>
      <c r="BG673" s="186"/>
      <c r="BH673" s="186"/>
      <c r="BI673" s="186"/>
      <c r="BJ673" s="186"/>
      <c r="BL673" s="187" t="s">
        <v>73</v>
      </c>
      <c r="BM673" s="188"/>
      <c r="BN673" s="188"/>
      <c r="BO673" s="188"/>
      <c r="BP673" s="188"/>
      <c r="BQ673" s="188"/>
    </row>
    <row r="674" spans="1:71" ht="14.25" thickBot="1" x14ac:dyDescent="0.2">
      <c r="A674" s="3" t="s">
        <v>0</v>
      </c>
      <c r="B674" s="365" t="s">
        <v>17</v>
      </c>
      <c r="C674" s="366"/>
      <c r="D674" s="366"/>
      <c r="E674" s="366"/>
      <c r="F674" s="367"/>
      <c r="G674" s="368" t="s">
        <v>18</v>
      </c>
      <c r="H674" s="369"/>
      <c r="I674" s="369"/>
      <c r="J674" s="369"/>
      <c r="K674" s="370"/>
      <c r="L674" s="371" t="s">
        <v>320</v>
      </c>
      <c r="M674" s="372"/>
      <c r="N674" s="372"/>
      <c r="O674" s="372"/>
      <c r="P674" s="373"/>
      <c r="Q674" s="374" t="s">
        <v>75</v>
      </c>
      <c r="R674" s="356"/>
      <c r="S674" s="356"/>
      <c r="T674" s="356"/>
      <c r="U674" s="357"/>
      <c r="V674" s="360" t="s">
        <v>1</v>
      </c>
      <c r="W674" s="325"/>
      <c r="X674" s="326"/>
      <c r="Y674" s="326"/>
      <c r="Z674" s="326"/>
      <c r="AC674" s="271" t="s">
        <v>0</v>
      </c>
      <c r="AD674" s="365" t="s">
        <v>17</v>
      </c>
      <c r="AE674" s="366"/>
      <c r="AF674" s="366"/>
      <c r="AG674" s="366"/>
      <c r="AH674" s="367"/>
      <c r="AI674" s="368" t="s">
        <v>18</v>
      </c>
      <c r="AJ674" s="369"/>
      <c r="AK674" s="369"/>
      <c r="AL674" s="369"/>
      <c r="AM674" s="370"/>
      <c r="AN674" s="371" t="s">
        <v>320</v>
      </c>
      <c r="AO674" s="372"/>
      <c r="AP674" s="372"/>
      <c r="AQ674" s="372"/>
      <c r="AR674" s="373"/>
      <c r="AS674" s="374" t="s">
        <v>75</v>
      </c>
      <c r="AT674" s="356"/>
      <c r="AU674" s="356"/>
      <c r="AV674" s="356"/>
      <c r="AW674" s="357"/>
      <c r="AX674" s="360" t="s">
        <v>1</v>
      </c>
      <c r="AY674" s="325"/>
      <c r="AZ674" s="326"/>
      <c r="BE674" s="271" t="s">
        <v>0</v>
      </c>
      <c r="BF674" s="362" t="s">
        <v>38</v>
      </c>
      <c r="BG674" s="363"/>
      <c r="BH674" s="363"/>
      <c r="BI674" s="363"/>
      <c r="BJ674" s="364"/>
      <c r="BL674" s="271" t="s">
        <v>0</v>
      </c>
      <c r="BM674" s="362" t="s">
        <v>38</v>
      </c>
      <c r="BN674" s="363"/>
      <c r="BO674" s="363"/>
      <c r="BP674" s="363"/>
      <c r="BQ674" s="364"/>
    </row>
    <row r="675" spans="1:71" ht="14.25" thickBot="1" x14ac:dyDescent="0.2">
      <c r="A675" s="5" t="s">
        <v>2</v>
      </c>
      <c r="B675" s="6" t="s">
        <v>3</v>
      </c>
      <c r="C675" s="7" t="s">
        <v>4</v>
      </c>
      <c r="D675" s="7" t="s">
        <v>5</v>
      </c>
      <c r="E675" s="8" t="s">
        <v>6</v>
      </c>
      <c r="F675" s="5" t="s">
        <v>7</v>
      </c>
      <c r="G675" s="6" t="s">
        <v>3</v>
      </c>
      <c r="H675" s="7" t="s">
        <v>4</v>
      </c>
      <c r="I675" s="7" t="s">
        <v>5</v>
      </c>
      <c r="J675" s="8" t="s">
        <v>6</v>
      </c>
      <c r="K675" s="5" t="s">
        <v>7</v>
      </c>
      <c r="L675" s="6" t="s">
        <v>3</v>
      </c>
      <c r="M675" s="7" t="s">
        <v>4</v>
      </c>
      <c r="N675" s="7" t="s">
        <v>5</v>
      </c>
      <c r="O675" s="8" t="s">
        <v>6</v>
      </c>
      <c r="P675" s="5" t="s">
        <v>7</v>
      </c>
      <c r="Q675" s="6" t="s">
        <v>3</v>
      </c>
      <c r="R675" s="7" t="s">
        <v>4</v>
      </c>
      <c r="S675" s="7" t="s">
        <v>5</v>
      </c>
      <c r="T675" s="8" t="s">
        <v>6</v>
      </c>
      <c r="U675" s="5" t="s">
        <v>7</v>
      </c>
      <c r="V675" s="361"/>
      <c r="W675" s="325"/>
      <c r="X675" s="326"/>
      <c r="Y675" s="326"/>
      <c r="Z675" s="326"/>
      <c r="AC675" s="272" t="s">
        <v>2</v>
      </c>
      <c r="AD675" s="6" t="s">
        <v>3</v>
      </c>
      <c r="AE675" s="7" t="s">
        <v>4</v>
      </c>
      <c r="AF675" s="7" t="s">
        <v>5</v>
      </c>
      <c r="AG675" s="8" t="s">
        <v>6</v>
      </c>
      <c r="AH675" s="5" t="s">
        <v>7</v>
      </c>
      <c r="AI675" s="6" t="s">
        <v>3</v>
      </c>
      <c r="AJ675" s="7" t="s">
        <v>4</v>
      </c>
      <c r="AK675" s="7" t="s">
        <v>5</v>
      </c>
      <c r="AL675" s="8" t="s">
        <v>6</v>
      </c>
      <c r="AM675" s="5" t="s">
        <v>7</v>
      </c>
      <c r="AN675" s="6" t="s">
        <v>3</v>
      </c>
      <c r="AO675" s="7" t="s">
        <v>4</v>
      </c>
      <c r="AP675" s="7" t="s">
        <v>5</v>
      </c>
      <c r="AQ675" s="8" t="s">
        <v>6</v>
      </c>
      <c r="AR675" s="5" t="s">
        <v>7</v>
      </c>
      <c r="AS675" s="6" t="s">
        <v>3</v>
      </c>
      <c r="AT675" s="7" t="s">
        <v>4</v>
      </c>
      <c r="AU675" s="7" t="s">
        <v>5</v>
      </c>
      <c r="AV675" s="8" t="s">
        <v>6</v>
      </c>
      <c r="AW675" s="5" t="s">
        <v>7</v>
      </c>
      <c r="AX675" s="361"/>
      <c r="AY675" s="325"/>
      <c r="AZ675" s="326"/>
      <c r="BE675" s="272" t="s">
        <v>2</v>
      </c>
      <c r="BF675" s="6" t="s">
        <v>3</v>
      </c>
      <c r="BG675" s="7" t="s">
        <v>4</v>
      </c>
      <c r="BH675" s="7" t="s">
        <v>5</v>
      </c>
      <c r="BI675" s="8" t="s">
        <v>6</v>
      </c>
      <c r="BJ675" s="5" t="s">
        <v>7</v>
      </c>
      <c r="BL675" s="272" t="s">
        <v>2</v>
      </c>
      <c r="BM675" s="6" t="s">
        <v>3</v>
      </c>
      <c r="BN675" s="7" t="s">
        <v>4</v>
      </c>
      <c r="BO675" s="7" t="s">
        <v>5</v>
      </c>
      <c r="BP675" s="8" t="s">
        <v>6</v>
      </c>
      <c r="BQ675" s="5" t="s">
        <v>7</v>
      </c>
    </row>
    <row r="676" spans="1:71" ht="15" thickBot="1" x14ac:dyDescent="0.2">
      <c r="A676" s="291" t="s">
        <v>30</v>
      </c>
      <c r="B676" s="292">
        <f>B670</f>
        <v>7</v>
      </c>
      <c r="C676" s="292">
        <f>C670</f>
        <v>9</v>
      </c>
      <c r="D676" s="292">
        <f>D670</f>
        <v>10</v>
      </c>
      <c r="E676" s="293">
        <f>E670</f>
        <v>9</v>
      </c>
      <c r="F676" s="77">
        <f t="shared" ref="F676:F712" si="266">SUM(B676:E676)</f>
        <v>35</v>
      </c>
      <c r="G676" s="292">
        <f>G670</f>
        <v>12</v>
      </c>
      <c r="H676" s="292">
        <f>H670</f>
        <v>11</v>
      </c>
      <c r="I676" s="292">
        <f>I670</f>
        <v>8</v>
      </c>
      <c r="J676" s="293">
        <f>J670</f>
        <v>5</v>
      </c>
      <c r="K676" s="77">
        <f t="shared" ref="K676:K712" si="267">SUM(G676:J676)</f>
        <v>36</v>
      </c>
      <c r="L676" s="292">
        <f>L670</f>
        <v>8</v>
      </c>
      <c r="M676" s="292">
        <f>M670</f>
        <v>10</v>
      </c>
      <c r="N676" s="292">
        <f>N670</f>
        <v>6</v>
      </c>
      <c r="O676" s="293">
        <f>O670</f>
        <v>9</v>
      </c>
      <c r="P676" s="77">
        <f t="shared" ref="P676:P712" si="268">SUM(L676:O676)</f>
        <v>33</v>
      </c>
      <c r="Q676" s="292">
        <f>Q670</f>
        <v>11</v>
      </c>
      <c r="R676" s="292">
        <f>R670</f>
        <v>9</v>
      </c>
      <c r="S676" s="292">
        <f>S670</f>
        <v>1</v>
      </c>
      <c r="T676" s="293">
        <f>T670</f>
        <v>10</v>
      </c>
      <c r="U676" s="182">
        <f t="shared" ref="U676:U712" si="269">SUM(Q676:T676)</f>
        <v>31</v>
      </c>
      <c r="V676" s="77">
        <f t="shared" ref="V676:V712" si="270">F676+K676+P676+U676</f>
        <v>135</v>
      </c>
      <c r="W676" s="325"/>
      <c r="X676" s="326"/>
      <c r="Y676" s="326"/>
      <c r="Z676" s="326"/>
      <c r="AC676" s="294" t="s">
        <v>30</v>
      </c>
      <c r="AD676" s="292">
        <f>AD670</f>
        <v>95</v>
      </c>
      <c r="AE676" s="292">
        <f>AE670</f>
        <v>110</v>
      </c>
      <c r="AF676" s="292">
        <f>AF670</f>
        <v>161</v>
      </c>
      <c r="AG676" s="293">
        <f>AG670</f>
        <v>111</v>
      </c>
      <c r="AH676" s="77">
        <f>SUM(AD676:AG676)</f>
        <v>477</v>
      </c>
      <c r="AI676" s="292">
        <f>AI670</f>
        <v>90</v>
      </c>
      <c r="AJ676" s="292">
        <f>AJ670</f>
        <v>208</v>
      </c>
      <c r="AK676" s="292">
        <f>AK670</f>
        <v>124</v>
      </c>
      <c r="AL676" s="293">
        <f>AL670</f>
        <v>161</v>
      </c>
      <c r="AM676" s="77">
        <f>SUM(AI676:AL676)</f>
        <v>583</v>
      </c>
      <c r="AN676" s="292">
        <f>AN670</f>
        <v>35</v>
      </c>
      <c r="AO676" s="292">
        <f>AO670</f>
        <v>82</v>
      </c>
      <c r="AP676" s="292">
        <f>AP670</f>
        <v>40</v>
      </c>
      <c r="AQ676" s="293">
        <f>AQ670</f>
        <v>22</v>
      </c>
      <c r="AR676" s="77">
        <f>SUM(AN676:AQ676)</f>
        <v>179</v>
      </c>
      <c r="AS676" s="292">
        <f>AS670</f>
        <v>72</v>
      </c>
      <c r="AT676" s="292">
        <f>AT670</f>
        <v>44</v>
      </c>
      <c r="AU676" s="292">
        <f>AU670</f>
        <v>67</v>
      </c>
      <c r="AV676" s="293">
        <f>AV670</f>
        <v>24</v>
      </c>
      <c r="AW676" s="182">
        <f>SUM(AS676:AV676)</f>
        <v>207</v>
      </c>
      <c r="AX676" s="77">
        <f t="shared" ref="AX676:AX712" si="271">AH676+AM676+AR676+AW676</f>
        <v>1446</v>
      </c>
      <c r="AY676" s="325"/>
      <c r="AZ676" s="326"/>
      <c r="BE676" s="294" t="s">
        <v>30</v>
      </c>
      <c r="BF676" s="40">
        <f>BF670</f>
        <v>6</v>
      </c>
      <c r="BG676" s="303">
        <f t="shared" ref="BG676:BJ676" si="272">BG670</f>
        <v>0</v>
      </c>
      <c r="BH676" s="41">
        <f t="shared" si="272"/>
        <v>2</v>
      </c>
      <c r="BI676" s="42">
        <f t="shared" si="272"/>
        <v>4</v>
      </c>
      <c r="BJ676" s="171">
        <f t="shared" si="272"/>
        <v>12</v>
      </c>
      <c r="BL676" s="294" t="s">
        <v>30</v>
      </c>
      <c r="BM676" s="292">
        <f>BM670</f>
        <v>0</v>
      </c>
      <c r="BN676" s="305">
        <f t="shared" ref="BN676:BQ676" si="273">BN670</f>
        <v>0</v>
      </c>
      <c r="BO676" s="292">
        <f t="shared" si="273"/>
        <v>36</v>
      </c>
      <c r="BP676" s="292">
        <f t="shared" si="273"/>
        <v>11</v>
      </c>
      <c r="BQ676" s="77">
        <f t="shared" si="273"/>
        <v>47</v>
      </c>
    </row>
    <row r="677" spans="1:71" x14ac:dyDescent="0.15">
      <c r="A677" s="53" t="s">
        <v>392</v>
      </c>
      <c r="B677" s="51"/>
      <c r="C677" s="52"/>
      <c r="D677" s="52"/>
      <c r="E677" s="52"/>
      <c r="F677" s="49">
        <f t="shared" si="266"/>
        <v>0</v>
      </c>
      <c r="G677" s="51"/>
      <c r="H677" s="52"/>
      <c r="I677" s="52">
        <v>7</v>
      </c>
      <c r="J677" s="52"/>
      <c r="K677" s="49">
        <f t="shared" si="267"/>
        <v>7</v>
      </c>
      <c r="L677" s="51"/>
      <c r="M677" s="52"/>
      <c r="N677" s="52"/>
      <c r="O677" s="52"/>
      <c r="P677" s="49">
        <f t="shared" si="268"/>
        <v>0</v>
      </c>
      <c r="Q677" s="51"/>
      <c r="R677" s="52"/>
      <c r="S677" s="52"/>
      <c r="T677" s="52"/>
      <c r="U677" s="175">
        <f t="shared" si="269"/>
        <v>0</v>
      </c>
      <c r="V677" s="49">
        <f t="shared" si="270"/>
        <v>7</v>
      </c>
      <c r="W677" s="329">
        <v>44764</v>
      </c>
      <c r="X677" s="326"/>
      <c r="Y677" s="326"/>
      <c r="Z677" s="326"/>
      <c r="AC677" s="268" t="s">
        <v>28</v>
      </c>
      <c r="AD677" s="51"/>
      <c r="AE677" s="52"/>
      <c r="AF677" s="52"/>
      <c r="AG677" s="52"/>
      <c r="AH677" s="49">
        <f t="shared" ref="AH677:AH712" si="274">SUM(AD677:AG677)</f>
        <v>0</v>
      </c>
      <c r="AI677" s="51"/>
      <c r="AJ677" s="52"/>
      <c r="AK677" s="52"/>
      <c r="AL677" s="52"/>
      <c r="AM677" s="49">
        <f t="shared" ref="AM677:AM712" si="275">SUM(AI677:AL677)</f>
        <v>0</v>
      </c>
      <c r="AN677" s="51"/>
      <c r="AO677" s="52"/>
      <c r="AP677" s="52"/>
      <c r="AQ677" s="52"/>
      <c r="AR677" s="49">
        <f t="shared" ref="AR677:AR679" si="276">SUM(AN677:AQ677)</f>
        <v>0</v>
      </c>
      <c r="AS677" s="51"/>
      <c r="AT677" s="52"/>
      <c r="AU677" s="52"/>
      <c r="AV677" s="52"/>
      <c r="AW677" s="175">
        <f t="shared" ref="AW677:AW679" si="277">SUM(AS677:AV677)</f>
        <v>0</v>
      </c>
      <c r="AX677" s="49">
        <f t="shared" si="271"/>
        <v>0</v>
      </c>
      <c r="AY677" s="325"/>
      <c r="AZ677" s="326"/>
      <c r="BE677" s="268" t="s">
        <v>28</v>
      </c>
      <c r="BF677" s="51"/>
      <c r="BG677" s="52"/>
      <c r="BH677" s="52">
        <v>5</v>
      </c>
      <c r="BI677" s="52">
        <v>5</v>
      </c>
      <c r="BJ677" s="49">
        <f t="shared" ref="BJ677:BJ679" si="278">SUM(BF677:BI677)</f>
        <v>10</v>
      </c>
      <c r="BK677" s="306">
        <v>44770</v>
      </c>
      <c r="BL677" s="268" t="s">
        <v>28</v>
      </c>
      <c r="BM677" s="51"/>
      <c r="BN677" s="52"/>
      <c r="BO677" s="52"/>
      <c r="BP677" s="52"/>
      <c r="BQ677" s="49">
        <f t="shared" ref="BQ677:BQ679" si="279">SUM(BM677:BP677)</f>
        <v>0</v>
      </c>
    </row>
    <row r="678" spans="1:71" x14ac:dyDescent="0.15">
      <c r="A678" s="53" t="s">
        <v>392</v>
      </c>
      <c r="B678" s="55"/>
      <c r="C678" s="55"/>
      <c r="D678" s="55">
        <v>9</v>
      </c>
      <c r="E678" s="166">
        <v>9</v>
      </c>
      <c r="F678" s="49">
        <f t="shared" si="266"/>
        <v>18</v>
      </c>
      <c r="G678" s="55"/>
      <c r="H678" s="55"/>
      <c r="I678" s="55"/>
      <c r="J678" s="166">
        <v>7</v>
      </c>
      <c r="K678" s="49">
        <f t="shared" si="267"/>
        <v>7</v>
      </c>
      <c r="L678" s="55"/>
      <c r="M678" s="55"/>
      <c r="N678" s="55">
        <v>10</v>
      </c>
      <c r="O678" s="166">
        <v>9</v>
      </c>
      <c r="P678" s="49">
        <f t="shared" si="268"/>
        <v>19</v>
      </c>
      <c r="Q678" s="55"/>
      <c r="R678" s="55"/>
      <c r="S678" s="55">
        <v>5</v>
      </c>
      <c r="T678" s="166">
        <v>4</v>
      </c>
      <c r="U678" s="175">
        <f t="shared" si="269"/>
        <v>9</v>
      </c>
      <c r="V678" s="56">
        <f t="shared" si="270"/>
        <v>53</v>
      </c>
      <c r="W678" s="329">
        <v>44764</v>
      </c>
      <c r="X678" s="326"/>
      <c r="Y678" s="326"/>
      <c r="Z678" s="326"/>
      <c r="AC678" s="268" t="s">
        <v>28</v>
      </c>
      <c r="AD678" s="54"/>
      <c r="AE678" s="55"/>
      <c r="AF678" s="55"/>
      <c r="AG678" s="55"/>
      <c r="AH678" s="56">
        <f t="shared" si="274"/>
        <v>0</v>
      </c>
      <c r="AI678" s="54"/>
      <c r="AJ678" s="55"/>
      <c r="AK678" s="55"/>
      <c r="AL678" s="55"/>
      <c r="AM678" s="56">
        <f t="shared" si="275"/>
        <v>0</v>
      </c>
      <c r="AN678" s="54"/>
      <c r="AO678" s="55"/>
      <c r="AP678" s="55"/>
      <c r="AQ678" s="55"/>
      <c r="AR678" s="56">
        <f t="shared" si="276"/>
        <v>0</v>
      </c>
      <c r="AS678" s="54"/>
      <c r="AT678" s="55"/>
      <c r="AU678" s="55"/>
      <c r="AV678" s="55"/>
      <c r="AW678" s="176">
        <f t="shared" si="277"/>
        <v>0</v>
      </c>
      <c r="AX678" s="56">
        <f t="shared" si="271"/>
        <v>0</v>
      </c>
      <c r="AY678" s="325"/>
      <c r="AZ678" s="326"/>
      <c r="BE678" s="268" t="s">
        <v>28</v>
      </c>
      <c r="BF678" s="55"/>
      <c r="BG678" s="153"/>
      <c r="BH678" s="153">
        <v>5</v>
      </c>
      <c r="BI678" s="168">
        <v>6</v>
      </c>
      <c r="BJ678" s="56">
        <f t="shared" ref="BJ678" si="280">SUM(BF678:BI678)</f>
        <v>11</v>
      </c>
      <c r="BK678" s="306">
        <v>44782</v>
      </c>
      <c r="BL678" s="268" t="s">
        <v>28</v>
      </c>
      <c r="BM678" s="54"/>
      <c r="BN678" s="55"/>
      <c r="BO678" s="55"/>
      <c r="BP678" s="55"/>
      <c r="BQ678" s="56">
        <f t="shared" si="279"/>
        <v>0</v>
      </c>
    </row>
    <row r="679" spans="1:71" x14ac:dyDescent="0.15">
      <c r="A679" s="53" t="s">
        <v>111</v>
      </c>
      <c r="B679" s="55">
        <v>3</v>
      </c>
      <c r="C679" s="55"/>
      <c r="D679" s="55"/>
      <c r="E679" s="166"/>
      <c r="F679" s="49">
        <f t="shared" si="266"/>
        <v>3</v>
      </c>
      <c r="G679" s="55">
        <v>7</v>
      </c>
      <c r="H679" s="55"/>
      <c r="I679" s="55"/>
      <c r="J679" s="166">
        <v>5</v>
      </c>
      <c r="K679" s="49">
        <f t="shared" si="267"/>
        <v>12</v>
      </c>
      <c r="L679" s="55"/>
      <c r="M679" s="55"/>
      <c r="N679" s="55">
        <v>5</v>
      </c>
      <c r="O679" s="166"/>
      <c r="P679" s="49">
        <f t="shared" si="268"/>
        <v>5</v>
      </c>
      <c r="Q679" s="55"/>
      <c r="R679" s="55"/>
      <c r="S679" s="55">
        <v>5</v>
      </c>
      <c r="T679" s="166"/>
      <c r="U679" s="175">
        <f t="shared" si="269"/>
        <v>5</v>
      </c>
      <c r="V679" s="56">
        <f t="shared" si="270"/>
        <v>25</v>
      </c>
      <c r="W679" s="329">
        <v>44767</v>
      </c>
      <c r="X679" s="326"/>
      <c r="Y679" s="326"/>
      <c r="Z679" s="326"/>
      <c r="AC679" s="268" t="s">
        <v>28</v>
      </c>
      <c r="AD679" s="55"/>
      <c r="AE679" s="153"/>
      <c r="AF679" s="153"/>
      <c r="AG679" s="168"/>
      <c r="AH679" s="56">
        <f t="shared" si="274"/>
        <v>0</v>
      </c>
      <c r="AI679" s="54"/>
      <c r="AJ679" s="55"/>
      <c r="AK679" s="55"/>
      <c r="AL679" s="55"/>
      <c r="AM679" s="56">
        <f t="shared" si="275"/>
        <v>0</v>
      </c>
      <c r="AN679" s="54"/>
      <c r="AO679" s="55"/>
      <c r="AP679" s="55"/>
      <c r="AQ679" s="55"/>
      <c r="AR679" s="56">
        <f t="shared" si="276"/>
        <v>0</v>
      </c>
      <c r="AS679" s="55"/>
      <c r="AT679" s="153"/>
      <c r="AU679" s="153"/>
      <c r="AV679" s="168"/>
      <c r="AW679" s="176">
        <f t="shared" si="277"/>
        <v>0</v>
      </c>
      <c r="AX679" s="56">
        <f t="shared" si="271"/>
        <v>0</v>
      </c>
      <c r="AY679" s="330"/>
      <c r="AZ679" s="326"/>
      <c r="BE679" s="268" t="s">
        <v>28</v>
      </c>
      <c r="BF679" s="55"/>
      <c r="BG679" s="153"/>
      <c r="BH679" s="153"/>
      <c r="BI679" s="168"/>
      <c r="BJ679" s="56">
        <f t="shared" si="278"/>
        <v>0</v>
      </c>
      <c r="BL679" s="268" t="s">
        <v>28</v>
      </c>
      <c r="BM679" s="55"/>
      <c r="BN679" s="153"/>
      <c r="BO679" s="153"/>
      <c r="BP679" s="168"/>
      <c r="BQ679" s="56">
        <f t="shared" si="279"/>
        <v>0</v>
      </c>
    </row>
    <row r="680" spans="1:71" x14ac:dyDescent="0.15">
      <c r="A680" s="53" t="s">
        <v>111</v>
      </c>
      <c r="B680" s="63"/>
      <c r="C680" s="63"/>
      <c r="D680" s="63"/>
      <c r="E680" s="167"/>
      <c r="F680" s="64">
        <f t="shared" si="266"/>
        <v>0</v>
      </c>
      <c r="G680" s="63"/>
      <c r="H680" s="63">
        <v>5</v>
      </c>
      <c r="I680" s="63"/>
      <c r="J680" s="167"/>
      <c r="K680" s="64">
        <f t="shared" si="267"/>
        <v>5</v>
      </c>
      <c r="L680" s="63"/>
      <c r="M680" s="63"/>
      <c r="N680" s="63"/>
      <c r="O680" s="167"/>
      <c r="P680" s="64">
        <f t="shared" si="268"/>
        <v>0</v>
      </c>
      <c r="Q680" s="63"/>
      <c r="R680" s="63">
        <v>5</v>
      </c>
      <c r="S680" s="63">
        <v>5</v>
      </c>
      <c r="T680" s="167"/>
      <c r="U680" s="162">
        <f t="shared" si="269"/>
        <v>10</v>
      </c>
      <c r="V680" s="56">
        <f t="shared" si="270"/>
        <v>15</v>
      </c>
      <c r="W680" s="329">
        <v>44770</v>
      </c>
      <c r="X680" s="326"/>
      <c r="Y680" s="326"/>
      <c r="Z680" s="326"/>
      <c r="AC680" s="268" t="s">
        <v>28</v>
      </c>
      <c r="AD680" s="63"/>
      <c r="AE680" s="63"/>
      <c r="AF680" s="63"/>
      <c r="AG680" s="167"/>
      <c r="AH680" s="56">
        <f t="shared" si="274"/>
        <v>0</v>
      </c>
      <c r="AI680" s="63"/>
      <c r="AJ680" s="63"/>
      <c r="AK680" s="63"/>
      <c r="AL680" s="167"/>
      <c r="AM680" s="56">
        <f t="shared" si="275"/>
        <v>0</v>
      </c>
      <c r="AN680" s="63"/>
      <c r="AO680" s="63"/>
      <c r="AP680" s="63"/>
      <c r="AQ680" s="167"/>
      <c r="AR680" s="64">
        <v>0</v>
      </c>
      <c r="AS680" s="63"/>
      <c r="AT680" s="63"/>
      <c r="AU680" s="63"/>
      <c r="AV680" s="167"/>
      <c r="AW680" s="162">
        <v>0</v>
      </c>
      <c r="AX680" s="56">
        <f t="shared" si="271"/>
        <v>0</v>
      </c>
      <c r="AY680" s="330"/>
      <c r="AZ680" s="326"/>
      <c r="BE680" s="268" t="s">
        <v>28</v>
      </c>
      <c r="BF680" s="63"/>
      <c r="BG680" s="63"/>
      <c r="BH680" s="63"/>
      <c r="BI680" s="167"/>
      <c r="BJ680" s="64">
        <v>0</v>
      </c>
      <c r="BL680" s="268" t="s">
        <v>28</v>
      </c>
      <c r="BM680" s="63"/>
      <c r="BN680" s="63"/>
      <c r="BO680" s="63"/>
      <c r="BP680" s="167"/>
      <c r="BQ680" s="64">
        <v>0</v>
      </c>
    </row>
    <row r="681" spans="1:71" x14ac:dyDescent="0.15">
      <c r="A681" s="53" t="s">
        <v>111</v>
      </c>
      <c r="B681" s="55"/>
      <c r="C681" s="153"/>
      <c r="D681" s="153"/>
      <c r="E681" s="168"/>
      <c r="F681" s="56">
        <f t="shared" si="266"/>
        <v>0</v>
      </c>
      <c r="G681" s="55"/>
      <c r="H681" s="153"/>
      <c r="I681" s="153"/>
      <c r="J681" s="168">
        <v>5</v>
      </c>
      <c r="K681" s="56">
        <f t="shared" si="267"/>
        <v>5</v>
      </c>
      <c r="L681" s="55"/>
      <c r="M681" s="153"/>
      <c r="N681" s="153"/>
      <c r="O681" s="168"/>
      <c r="P681" s="56">
        <f t="shared" si="268"/>
        <v>0</v>
      </c>
      <c r="Q681" s="55">
        <v>5</v>
      </c>
      <c r="R681" s="153"/>
      <c r="S681" s="153"/>
      <c r="T681" s="168"/>
      <c r="U681" s="176">
        <f t="shared" si="269"/>
        <v>5</v>
      </c>
      <c r="V681" s="56">
        <f t="shared" si="270"/>
        <v>10</v>
      </c>
      <c r="W681" s="329">
        <v>44771</v>
      </c>
      <c r="X681" s="326"/>
      <c r="Y681" s="326"/>
      <c r="Z681" s="326"/>
      <c r="AC681" s="268" t="s">
        <v>28</v>
      </c>
      <c r="AD681" s="55"/>
      <c r="AE681" s="153"/>
      <c r="AF681" s="153"/>
      <c r="AG681" s="168"/>
      <c r="AH681" s="56">
        <f t="shared" si="274"/>
        <v>0</v>
      </c>
      <c r="AI681" s="55"/>
      <c r="AJ681" s="153"/>
      <c r="AK681" s="153"/>
      <c r="AL681" s="168"/>
      <c r="AM681" s="56">
        <f t="shared" si="275"/>
        <v>0</v>
      </c>
      <c r="AN681" s="55"/>
      <c r="AO681" s="153"/>
      <c r="AP681" s="153"/>
      <c r="AQ681" s="168"/>
      <c r="AR681" s="56">
        <f t="shared" ref="AR681:AR712" si="281">SUM(AN681:AQ681)</f>
        <v>0</v>
      </c>
      <c r="AS681" s="55"/>
      <c r="AT681" s="153"/>
      <c r="AU681" s="153"/>
      <c r="AV681" s="168"/>
      <c r="AW681" s="176">
        <f t="shared" ref="AW681:AW712" si="282">SUM(AS681:AV681)</f>
        <v>0</v>
      </c>
      <c r="AX681" s="56">
        <f t="shared" si="271"/>
        <v>0</v>
      </c>
      <c r="AY681" s="325"/>
      <c r="AZ681" s="326"/>
      <c r="BE681" s="268" t="s">
        <v>28</v>
      </c>
      <c r="BF681" s="55"/>
      <c r="BG681" s="153"/>
      <c r="BH681" s="153"/>
      <c r="BI681" s="168"/>
      <c r="BJ681" s="56">
        <f t="shared" ref="BJ681:BJ712" si="283">SUM(BF681:BI681)</f>
        <v>0</v>
      </c>
      <c r="BL681" s="268" t="s">
        <v>28</v>
      </c>
      <c r="BM681" s="55"/>
      <c r="BN681" s="153"/>
      <c r="BO681" s="153"/>
      <c r="BP681" s="168"/>
      <c r="BQ681" s="56">
        <f t="shared" ref="BQ681:BQ712" si="284">SUM(BM681:BP681)</f>
        <v>0</v>
      </c>
    </row>
    <row r="682" spans="1:71" x14ac:dyDescent="0.15">
      <c r="A682" s="53" t="s">
        <v>111</v>
      </c>
      <c r="B682" s="55">
        <v>5</v>
      </c>
      <c r="C682" s="153">
        <v>5</v>
      </c>
      <c r="D682" s="153"/>
      <c r="E682" s="168"/>
      <c r="F682" s="56">
        <f t="shared" si="266"/>
        <v>10</v>
      </c>
      <c r="G682" s="55">
        <v>6</v>
      </c>
      <c r="H682" s="153">
        <v>10</v>
      </c>
      <c r="I682" s="153"/>
      <c r="J682" s="168"/>
      <c r="K682" s="56">
        <f t="shared" si="267"/>
        <v>16</v>
      </c>
      <c r="L682" s="55"/>
      <c r="M682" s="153"/>
      <c r="N682" s="153"/>
      <c r="O682" s="168"/>
      <c r="P682" s="56">
        <f t="shared" si="268"/>
        <v>0</v>
      </c>
      <c r="Q682" s="55"/>
      <c r="R682" s="153">
        <v>5</v>
      </c>
      <c r="S682" s="153"/>
      <c r="T682" s="168"/>
      <c r="U682" s="176">
        <f t="shared" si="269"/>
        <v>5</v>
      </c>
      <c r="V682" s="56">
        <f t="shared" si="270"/>
        <v>31</v>
      </c>
      <c r="W682" s="329">
        <v>44775</v>
      </c>
      <c r="X682" s="326"/>
      <c r="Y682" s="326"/>
      <c r="Z682" s="326"/>
      <c r="AC682" s="268" t="s">
        <v>28</v>
      </c>
      <c r="AD682" s="55"/>
      <c r="AE682" s="153"/>
      <c r="AF682" s="153"/>
      <c r="AG682" s="168"/>
      <c r="AH682" s="56">
        <f t="shared" si="274"/>
        <v>0</v>
      </c>
      <c r="AI682" s="55"/>
      <c r="AJ682" s="153"/>
      <c r="AK682" s="153"/>
      <c r="AL682" s="168"/>
      <c r="AM682" s="56">
        <f t="shared" si="275"/>
        <v>0</v>
      </c>
      <c r="AN682" s="55"/>
      <c r="AO682" s="153"/>
      <c r="AP682" s="153"/>
      <c r="AQ682" s="168"/>
      <c r="AR682" s="56">
        <f t="shared" si="281"/>
        <v>0</v>
      </c>
      <c r="AS682" s="55"/>
      <c r="AT682" s="153"/>
      <c r="AU682" s="153"/>
      <c r="AV682" s="168"/>
      <c r="AW682" s="176">
        <f t="shared" si="282"/>
        <v>0</v>
      </c>
      <c r="AX682" s="56">
        <f t="shared" si="271"/>
        <v>0</v>
      </c>
      <c r="AY682" s="328"/>
      <c r="AZ682" s="326"/>
      <c r="BE682" s="268" t="s">
        <v>28</v>
      </c>
      <c r="BF682" s="55"/>
      <c r="BG682" s="153"/>
      <c r="BH682" s="153"/>
      <c r="BI682" s="168"/>
      <c r="BJ682" s="56">
        <f t="shared" si="283"/>
        <v>0</v>
      </c>
      <c r="BL682" s="268" t="s">
        <v>28</v>
      </c>
      <c r="BM682" s="55"/>
      <c r="BN682" s="153"/>
      <c r="BO682" s="153"/>
      <c r="BP682" s="168"/>
      <c r="BQ682" s="56">
        <f t="shared" si="284"/>
        <v>0</v>
      </c>
    </row>
    <row r="683" spans="1:71" ht="14.25" thickBot="1" x14ac:dyDescent="0.2">
      <c r="A683" s="53" t="s">
        <v>28</v>
      </c>
      <c r="B683" s="63"/>
      <c r="C683" s="164"/>
      <c r="D683" s="164"/>
      <c r="E683" s="169"/>
      <c r="F683" s="170">
        <f t="shared" si="266"/>
        <v>0</v>
      </c>
      <c r="G683" s="63"/>
      <c r="H683" s="164">
        <v>5</v>
      </c>
      <c r="I683" s="164"/>
      <c r="J683" s="169">
        <v>5</v>
      </c>
      <c r="K683" s="170">
        <f t="shared" si="267"/>
        <v>10</v>
      </c>
      <c r="L683" s="63"/>
      <c r="M683" s="164">
        <v>5</v>
      </c>
      <c r="N683" s="164"/>
      <c r="O683" s="169"/>
      <c r="P683" s="170">
        <f t="shared" si="268"/>
        <v>5</v>
      </c>
      <c r="Q683" s="63"/>
      <c r="R683" s="164">
        <v>5</v>
      </c>
      <c r="S683" s="164"/>
      <c r="T683" s="169"/>
      <c r="U683" s="179">
        <f t="shared" si="269"/>
        <v>5</v>
      </c>
      <c r="V683" s="170">
        <f t="shared" si="270"/>
        <v>20</v>
      </c>
      <c r="W683" s="329">
        <v>44776</v>
      </c>
      <c r="X683" s="326"/>
      <c r="Y683" s="326"/>
      <c r="Z683" s="326"/>
      <c r="AC683" s="307" t="s">
        <v>428</v>
      </c>
      <c r="AD683" s="308"/>
      <c r="AE683" s="309"/>
      <c r="AF683" s="309"/>
      <c r="AG683" s="310"/>
      <c r="AH683" s="163">
        <f t="shared" si="274"/>
        <v>0</v>
      </c>
      <c r="AI683" s="308"/>
      <c r="AJ683" s="309"/>
      <c r="AK683" s="309"/>
      <c r="AL683" s="310"/>
      <c r="AM683" s="163">
        <f t="shared" si="275"/>
        <v>0</v>
      </c>
      <c r="AN683" s="308"/>
      <c r="AO683" s="309"/>
      <c r="AP683" s="309"/>
      <c r="AQ683" s="310"/>
      <c r="AR683" s="163">
        <f t="shared" si="281"/>
        <v>0</v>
      </c>
      <c r="AS683" s="308"/>
      <c r="AT683" s="309"/>
      <c r="AU683" s="309"/>
      <c r="AV683" s="310">
        <v>-6</v>
      </c>
      <c r="AW683" s="311">
        <f t="shared" si="282"/>
        <v>-6</v>
      </c>
      <c r="AX683" s="163">
        <f t="shared" si="271"/>
        <v>-6</v>
      </c>
      <c r="AY683" s="327">
        <v>44768</v>
      </c>
      <c r="AZ683" s="326"/>
      <c r="BE683" s="274" t="s">
        <v>28</v>
      </c>
      <c r="BF683" s="63"/>
      <c r="BG683" s="164"/>
      <c r="BH683" s="164"/>
      <c r="BI683" s="169"/>
      <c r="BJ683" s="170">
        <f t="shared" si="283"/>
        <v>0</v>
      </c>
      <c r="BL683" s="274" t="s">
        <v>28</v>
      </c>
      <c r="BM683" s="63"/>
      <c r="BN683" s="164"/>
      <c r="BO683" s="164"/>
      <c r="BP683" s="169"/>
      <c r="BQ683" s="170">
        <f t="shared" si="284"/>
        <v>0</v>
      </c>
    </row>
    <row r="684" spans="1:71" ht="15" thickBot="1" x14ac:dyDescent="0.2">
      <c r="A684" s="181" t="s">
        <v>14</v>
      </c>
      <c r="B684" s="182">
        <f>SUM(B676:B683)</f>
        <v>15</v>
      </c>
      <c r="C684" s="183">
        <f>SUM(C676:C683)</f>
        <v>14</v>
      </c>
      <c r="D684" s="183">
        <f>SUM(D676:D683)</f>
        <v>19</v>
      </c>
      <c r="E684" s="184">
        <f>SUM(E676:E683)</f>
        <v>18</v>
      </c>
      <c r="F684" s="77">
        <f t="shared" si="266"/>
        <v>66</v>
      </c>
      <c r="G684" s="182">
        <f>SUM(G676:G683)</f>
        <v>25</v>
      </c>
      <c r="H684" s="183">
        <f>SUM(H676:H683)</f>
        <v>31</v>
      </c>
      <c r="I684" s="183">
        <f>SUM(I676:I683)</f>
        <v>15</v>
      </c>
      <c r="J684" s="184">
        <f>SUM(J676:J683)</f>
        <v>27</v>
      </c>
      <c r="K684" s="77">
        <f t="shared" si="267"/>
        <v>98</v>
      </c>
      <c r="L684" s="182">
        <f>SUM(L676:L683)</f>
        <v>8</v>
      </c>
      <c r="M684" s="183">
        <f>SUM(M676:M683)</f>
        <v>15</v>
      </c>
      <c r="N684" s="183">
        <f>SUM(N676:N683)</f>
        <v>21</v>
      </c>
      <c r="O684" s="184">
        <f>SUM(O676:O683)</f>
        <v>18</v>
      </c>
      <c r="P684" s="77">
        <f t="shared" si="268"/>
        <v>62</v>
      </c>
      <c r="Q684" s="182">
        <f>SUM(Q676:Q683)</f>
        <v>16</v>
      </c>
      <c r="R684" s="183">
        <f>SUM(R676:R683)</f>
        <v>24</v>
      </c>
      <c r="S684" s="183">
        <f>SUM(S676:S683)</f>
        <v>16</v>
      </c>
      <c r="T684" s="184">
        <f>SUM(T676:T683)</f>
        <v>14</v>
      </c>
      <c r="U684" s="182">
        <f t="shared" si="269"/>
        <v>70</v>
      </c>
      <c r="V684" s="77">
        <f t="shared" si="270"/>
        <v>296</v>
      </c>
      <c r="W684" s="325"/>
      <c r="X684" s="326"/>
      <c r="Y684" s="326"/>
      <c r="Z684" s="326"/>
      <c r="AC684" s="275" t="s">
        <v>14</v>
      </c>
      <c r="AD684" s="182">
        <f>SUM(AD676:AD683)</f>
        <v>95</v>
      </c>
      <c r="AE684" s="183">
        <f>SUM(AE676:AE683)</f>
        <v>110</v>
      </c>
      <c r="AF684" s="183">
        <f>SUM(AF676:AF683)</f>
        <v>161</v>
      </c>
      <c r="AG684" s="184">
        <f>SUM(AG676:AG683)</f>
        <v>111</v>
      </c>
      <c r="AH684" s="77">
        <f t="shared" si="274"/>
        <v>477</v>
      </c>
      <c r="AI684" s="182">
        <f>SUM(AI676:AI683)</f>
        <v>90</v>
      </c>
      <c r="AJ684" s="183">
        <f>SUM(AJ676:AJ683)</f>
        <v>208</v>
      </c>
      <c r="AK684" s="183">
        <f>SUM(AK676:AK683)</f>
        <v>124</v>
      </c>
      <c r="AL684" s="184">
        <f>SUM(AL676:AL683)</f>
        <v>161</v>
      </c>
      <c r="AM684" s="77">
        <f t="shared" si="275"/>
        <v>583</v>
      </c>
      <c r="AN684" s="182">
        <f>SUM(AN676:AN683)</f>
        <v>35</v>
      </c>
      <c r="AO684" s="183">
        <f>SUM(AO676:AO683)</f>
        <v>82</v>
      </c>
      <c r="AP684" s="183">
        <f>SUM(AP676:AP683)</f>
        <v>40</v>
      </c>
      <c r="AQ684" s="184">
        <f>SUM(AQ676:AQ683)</f>
        <v>22</v>
      </c>
      <c r="AR684" s="77">
        <f t="shared" si="281"/>
        <v>179</v>
      </c>
      <c r="AS684" s="182">
        <f>SUM(AS676:AS683)</f>
        <v>72</v>
      </c>
      <c r="AT684" s="183">
        <f>SUM(AT676:AT683)</f>
        <v>44</v>
      </c>
      <c r="AU684" s="183">
        <f>SUM(AU676:AU683)</f>
        <v>67</v>
      </c>
      <c r="AV684" s="184">
        <f>SUM(AV676:AV683)</f>
        <v>18</v>
      </c>
      <c r="AW684" s="182">
        <f t="shared" si="282"/>
        <v>201</v>
      </c>
      <c r="AX684" s="77">
        <f t="shared" si="271"/>
        <v>1440</v>
      </c>
      <c r="AY684" s="325"/>
      <c r="AZ684" s="326"/>
      <c r="BE684" s="275" t="s">
        <v>14</v>
      </c>
      <c r="BF684" s="182">
        <f>SUM(BF676:BF683)</f>
        <v>6</v>
      </c>
      <c r="BG684" s="183">
        <f>SUM(BG676:BG683)</f>
        <v>0</v>
      </c>
      <c r="BH684" s="183">
        <f>SUM(BH676:BH683)</f>
        <v>12</v>
      </c>
      <c r="BI684" s="184">
        <f>SUM(BI676:BI683)</f>
        <v>15</v>
      </c>
      <c r="BJ684" s="77">
        <f t="shared" si="283"/>
        <v>33</v>
      </c>
      <c r="BL684" s="275" t="s">
        <v>14</v>
      </c>
      <c r="BM684" s="182">
        <f>SUM(BM676:BM683)</f>
        <v>0</v>
      </c>
      <c r="BN684" s="183">
        <f>SUM(BN676:BN683)</f>
        <v>0</v>
      </c>
      <c r="BO684" s="183">
        <f>SUM(BO676:BO683)</f>
        <v>36</v>
      </c>
      <c r="BP684" s="184">
        <f>SUM(BP676:BP683)</f>
        <v>11</v>
      </c>
      <c r="BQ684" s="77">
        <f t="shared" si="284"/>
        <v>47</v>
      </c>
    </row>
    <row r="685" spans="1:71" x14ac:dyDescent="0.15">
      <c r="A685" s="53" t="s">
        <v>98</v>
      </c>
      <c r="B685" s="46"/>
      <c r="C685" s="47"/>
      <c r="D685" s="47"/>
      <c r="E685" s="47"/>
      <c r="F685" s="48">
        <f t="shared" si="266"/>
        <v>0</v>
      </c>
      <c r="G685" s="46"/>
      <c r="H685" s="47">
        <v>4</v>
      </c>
      <c r="I685" s="47"/>
      <c r="J685" s="47"/>
      <c r="K685" s="48">
        <f t="shared" si="267"/>
        <v>4</v>
      </c>
      <c r="L685" s="46"/>
      <c r="M685" s="47"/>
      <c r="N685" s="47"/>
      <c r="O685" s="47"/>
      <c r="P685" s="48">
        <f t="shared" si="268"/>
        <v>0</v>
      </c>
      <c r="Q685" s="46">
        <v>1</v>
      </c>
      <c r="R685" s="47">
        <v>2</v>
      </c>
      <c r="S685" s="47">
        <v>1</v>
      </c>
      <c r="T685" s="47"/>
      <c r="U685" s="180">
        <f t="shared" si="269"/>
        <v>4</v>
      </c>
      <c r="V685" s="49">
        <f t="shared" si="270"/>
        <v>8</v>
      </c>
      <c r="W685" s="329">
        <v>44762</v>
      </c>
      <c r="X685" s="326"/>
      <c r="Y685" s="326"/>
      <c r="Z685" s="326"/>
      <c r="AC685" s="269" t="s">
        <v>422</v>
      </c>
      <c r="AD685" s="55"/>
      <c r="AE685" s="153"/>
      <c r="AF685" s="153"/>
      <c r="AG685" s="168"/>
      <c r="AH685" s="56">
        <f t="shared" si="274"/>
        <v>0</v>
      </c>
      <c r="AI685" s="55"/>
      <c r="AJ685" s="153">
        <v>1</v>
      </c>
      <c r="AK685" s="153"/>
      <c r="AL685" s="168"/>
      <c r="AM685" s="56">
        <f t="shared" si="275"/>
        <v>1</v>
      </c>
      <c r="AN685" s="55"/>
      <c r="AO685" s="153"/>
      <c r="AP685" s="153"/>
      <c r="AQ685" s="168"/>
      <c r="AR685" s="56">
        <f t="shared" si="281"/>
        <v>0</v>
      </c>
      <c r="AS685" s="55"/>
      <c r="AT685" s="153"/>
      <c r="AU685" s="153"/>
      <c r="AV685" s="168"/>
      <c r="AW685" s="176">
        <f t="shared" si="282"/>
        <v>0</v>
      </c>
      <c r="AX685" s="56">
        <f t="shared" si="271"/>
        <v>1</v>
      </c>
      <c r="AY685" s="329">
        <v>44768</v>
      </c>
      <c r="AZ685" s="326"/>
      <c r="BE685" s="268" t="s">
        <v>98</v>
      </c>
      <c r="BF685" s="55"/>
      <c r="BG685" s="153"/>
      <c r="BH685" s="153"/>
      <c r="BI685" s="168">
        <v>1</v>
      </c>
      <c r="BJ685" s="56">
        <f t="shared" si="283"/>
        <v>1</v>
      </c>
      <c r="BK685" s="304">
        <v>44767</v>
      </c>
      <c r="BL685" s="268" t="s">
        <v>431</v>
      </c>
      <c r="BM685" s="55"/>
      <c r="BN685" s="153"/>
      <c r="BO685" s="153">
        <v>5</v>
      </c>
      <c r="BP685" s="168">
        <v>5</v>
      </c>
      <c r="BQ685" s="56">
        <f t="shared" si="284"/>
        <v>10</v>
      </c>
      <c r="BR685" s="306">
        <v>44770</v>
      </c>
      <c r="BS685" s="191"/>
    </row>
    <row r="686" spans="1:71" x14ac:dyDescent="0.15">
      <c r="A686" s="53" t="s">
        <v>98</v>
      </c>
      <c r="B686" s="54"/>
      <c r="C686" s="55"/>
      <c r="D686" s="55"/>
      <c r="E686" s="55"/>
      <c r="F686" s="56">
        <f t="shared" si="266"/>
        <v>0</v>
      </c>
      <c r="G686" s="54">
        <v>2</v>
      </c>
      <c r="H686" s="55"/>
      <c r="I686" s="55"/>
      <c r="J686" s="55">
        <v>1</v>
      </c>
      <c r="K686" s="56">
        <f t="shared" si="267"/>
        <v>3</v>
      </c>
      <c r="L686" s="54"/>
      <c r="M686" s="55"/>
      <c r="N686" s="55">
        <v>2</v>
      </c>
      <c r="O686" s="55"/>
      <c r="P686" s="56">
        <f t="shared" si="268"/>
        <v>2</v>
      </c>
      <c r="Q686" s="54"/>
      <c r="R686" s="55"/>
      <c r="S686" s="55">
        <v>1</v>
      </c>
      <c r="T686" s="55">
        <v>1</v>
      </c>
      <c r="U686" s="176">
        <f t="shared" si="269"/>
        <v>2</v>
      </c>
      <c r="V686" s="56">
        <f t="shared" si="270"/>
        <v>7</v>
      </c>
      <c r="W686" s="329">
        <v>44763</v>
      </c>
      <c r="X686" s="326"/>
      <c r="Y686" s="326"/>
      <c r="Z686" s="326"/>
      <c r="AC686" s="276" t="s">
        <v>423</v>
      </c>
      <c r="AD686" s="54"/>
      <c r="AE686" s="55">
        <v>8</v>
      </c>
      <c r="AF686" s="55"/>
      <c r="AG686" s="55"/>
      <c r="AH686" s="56">
        <f t="shared" ref="AH686:AH700" si="285">SUM(AD686:AG686)</f>
        <v>8</v>
      </c>
      <c r="AI686" s="54"/>
      <c r="AJ686" s="55">
        <v>3</v>
      </c>
      <c r="AK686" s="55"/>
      <c r="AL686" s="55"/>
      <c r="AM686" s="56">
        <f t="shared" ref="AM686:AM700" si="286">SUM(AI686:AL686)</f>
        <v>3</v>
      </c>
      <c r="AN686" s="54"/>
      <c r="AO686" s="55"/>
      <c r="AP686" s="55"/>
      <c r="AQ686" s="55"/>
      <c r="AR686" s="56">
        <f t="shared" ref="AR686:AR700" si="287">SUM(AN686:AQ686)</f>
        <v>0</v>
      </c>
      <c r="AS686" s="54"/>
      <c r="AT686" s="55"/>
      <c r="AU686" s="55"/>
      <c r="AV686" s="55"/>
      <c r="AW686" s="176">
        <f t="shared" ref="AW686:AW700" si="288">SUM(AS686:AV686)</f>
        <v>0</v>
      </c>
      <c r="AX686" s="56">
        <f t="shared" si="271"/>
        <v>11</v>
      </c>
      <c r="AY686" s="329">
        <v>44764</v>
      </c>
      <c r="AZ686" s="326"/>
      <c r="BE686" s="268" t="s">
        <v>98</v>
      </c>
      <c r="BF686" s="54">
        <v>1</v>
      </c>
      <c r="BG686" s="55"/>
      <c r="BH686" s="55"/>
      <c r="BI686" s="55">
        <v>1</v>
      </c>
      <c r="BJ686" s="56">
        <f t="shared" si="283"/>
        <v>2</v>
      </c>
      <c r="BK686" s="304">
        <v>44768</v>
      </c>
      <c r="BL686" s="268" t="s">
        <v>99</v>
      </c>
      <c r="BM686" s="54"/>
      <c r="BN686" s="55"/>
      <c r="BO686" s="55">
        <v>5</v>
      </c>
      <c r="BP686" s="55">
        <v>6</v>
      </c>
      <c r="BQ686" s="56">
        <f t="shared" si="284"/>
        <v>11</v>
      </c>
      <c r="BR686" s="306">
        <v>44782</v>
      </c>
    </row>
    <row r="687" spans="1:71" x14ac:dyDescent="0.15">
      <c r="A687" s="53"/>
      <c r="B687" s="54"/>
      <c r="C687" s="55"/>
      <c r="D687" s="55"/>
      <c r="E687" s="55"/>
      <c r="F687" s="56">
        <f t="shared" si="266"/>
        <v>0</v>
      </c>
      <c r="G687" s="54"/>
      <c r="H687" s="55"/>
      <c r="I687" s="55"/>
      <c r="J687" s="55"/>
      <c r="K687" s="56">
        <f t="shared" si="267"/>
        <v>0</v>
      </c>
      <c r="L687" s="54"/>
      <c r="M687" s="55"/>
      <c r="N687" s="55"/>
      <c r="O687" s="55"/>
      <c r="P687" s="56">
        <f t="shared" si="268"/>
        <v>0</v>
      </c>
      <c r="Q687" s="54"/>
      <c r="R687" s="55"/>
      <c r="S687" s="55"/>
      <c r="T687" s="55"/>
      <c r="U687" s="176">
        <f t="shared" si="269"/>
        <v>0</v>
      </c>
      <c r="V687" s="56">
        <f t="shared" si="270"/>
        <v>0</v>
      </c>
      <c r="W687" s="329"/>
      <c r="X687" s="326"/>
      <c r="Y687" s="326"/>
      <c r="Z687" s="326"/>
      <c r="AC687" s="276" t="s">
        <v>425</v>
      </c>
      <c r="AD687" s="54">
        <v>8</v>
      </c>
      <c r="AE687" s="55">
        <v>17</v>
      </c>
      <c r="AF687" s="55">
        <v>2</v>
      </c>
      <c r="AG687" s="55">
        <v>8</v>
      </c>
      <c r="AH687" s="56">
        <f t="shared" si="285"/>
        <v>35</v>
      </c>
      <c r="AI687" s="54">
        <v>11</v>
      </c>
      <c r="AJ687" s="55">
        <v>3</v>
      </c>
      <c r="AK687" s="55">
        <v>3</v>
      </c>
      <c r="AL687" s="55"/>
      <c r="AM687" s="56">
        <f t="shared" si="286"/>
        <v>17</v>
      </c>
      <c r="AN687" s="54"/>
      <c r="AO687" s="55"/>
      <c r="AP687" s="55"/>
      <c r="AQ687" s="55"/>
      <c r="AR687" s="56">
        <f t="shared" si="287"/>
        <v>0</v>
      </c>
      <c r="AS687" s="54">
        <v>9</v>
      </c>
      <c r="AT687" s="55">
        <v>5</v>
      </c>
      <c r="AU687" s="55">
        <v>5</v>
      </c>
      <c r="AV687" s="55">
        <v>0</v>
      </c>
      <c r="AW687" s="176">
        <f t="shared" si="288"/>
        <v>19</v>
      </c>
      <c r="AX687" s="56">
        <f t="shared" si="271"/>
        <v>71</v>
      </c>
      <c r="AY687" s="329">
        <v>44769</v>
      </c>
      <c r="AZ687" s="326"/>
      <c r="BE687" s="268" t="s">
        <v>98</v>
      </c>
      <c r="BF687" s="54"/>
      <c r="BG687" s="55"/>
      <c r="BH687" s="55">
        <v>1</v>
      </c>
      <c r="BI687" s="55"/>
      <c r="BJ687" s="56">
        <f t="shared" si="283"/>
        <v>1</v>
      </c>
      <c r="BK687" s="306">
        <v>44769</v>
      </c>
      <c r="BL687" s="276"/>
      <c r="BM687" s="54"/>
      <c r="BN687" s="55"/>
      <c r="BO687" s="55"/>
      <c r="BP687" s="55"/>
      <c r="BQ687" s="56">
        <f t="shared" si="284"/>
        <v>0</v>
      </c>
    </row>
    <row r="688" spans="1:71" x14ac:dyDescent="0.15">
      <c r="A688" s="53" t="s">
        <v>98</v>
      </c>
      <c r="B688" s="54"/>
      <c r="C688" s="55"/>
      <c r="D688" s="55"/>
      <c r="E688" s="55"/>
      <c r="F688" s="56">
        <f t="shared" si="266"/>
        <v>0</v>
      </c>
      <c r="G688" s="54">
        <v>1</v>
      </c>
      <c r="H688" s="55">
        <v>1</v>
      </c>
      <c r="I688" s="55"/>
      <c r="J688" s="55"/>
      <c r="K688" s="56">
        <f t="shared" si="267"/>
        <v>2</v>
      </c>
      <c r="L688" s="54"/>
      <c r="M688" s="55"/>
      <c r="N688" s="55">
        <v>1</v>
      </c>
      <c r="O688" s="55"/>
      <c r="P688" s="56">
        <f t="shared" si="268"/>
        <v>1</v>
      </c>
      <c r="Q688" s="54">
        <v>2</v>
      </c>
      <c r="R688" s="55"/>
      <c r="S688" s="55">
        <v>1</v>
      </c>
      <c r="T688" s="55">
        <f>1+1</f>
        <v>2</v>
      </c>
      <c r="U688" s="176">
        <f t="shared" si="269"/>
        <v>5</v>
      </c>
      <c r="V688" s="56">
        <f t="shared" si="270"/>
        <v>8</v>
      </c>
      <c r="W688" s="328">
        <v>44764</v>
      </c>
      <c r="X688" s="326"/>
      <c r="Y688" s="326"/>
      <c r="Z688" s="326"/>
      <c r="AC688" s="276" t="s">
        <v>424</v>
      </c>
      <c r="AD688" s="54">
        <v>4</v>
      </c>
      <c r="AE688" s="55"/>
      <c r="AF688" s="55"/>
      <c r="AG688" s="55"/>
      <c r="AH688" s="56">
        <f t="shared" si="285"/>
        <v>4</v>
      </c>
      <c r="AI688" s="54">
        <v>3</v>
      </c>
      <c r="AJ688" s="55"/>
      <c r="AK688" s="55">
        <v>1</v>
      </c>
      <c r="AL688" s="55">
        <v>3</v>
      </c>
      <c r="AM688" s="56">
        <f t="shared" si="286"/>
        <v>7</v>
      </c>
      <c r="AN688" s="54"/>
      <c r="AO688" s="55"/>
      <c r="AP688" s="55"/>
      <c r="AQ688" s="55"/>
      <c r="AR688" s="56">
        <f t="shared" si="287"/>
        <v>0</v>
      </c>
      <c r="AS688" s="54">
        <v>2</v>
      </c>
      <c r="AT688" s="55"/>
      <c r="AU688" s="55">
        <v>1</v>
      </c>
      <c r="AV688" s="55">
        <v>18</v>
      </c>
      <c r="AW688" s="56">
        <f t="shared" si="288"/>
        <v>21</v>
      </c>
      <c r="AX688" s="56">
        <f t="shared" si="271"/>
        <v>32</v>
      </c>
      <c r="AY688" s="329">
        <v>44769</v>
      </c>
      <c r="AZ688" s="326"/>
      <c r="BE688" s="268" t="s">
        <v>98</v>
      </c>
      <c r="BF688" s="54"/>
      <c r="BG688" s="55"/>
      <c r="BH688" s="55">
        <v>1</v>
      </c>
      <c r="BI688" s="55">
        <v>1</v>
      </c>
      <c r="BJ688" s="56">
        <f t="shared" si="283"/>
        <v>2</v>
      </c>
      <c r="BK688" s="306">
        <v>44772</v>
      </c>
      <c r="BL688" s="277"/>
      <c r="BM688" s="54"/>
      <c r="BN688" s="55"/>
      <c r="BO688" s="55"/>
      <c r="BP688" s="55"/>
      <c r="BQ688" s="56">
        <f t="shared" si="284"/>
        <v>0</v>
      </c>
    </row>
    <row r="689" spans="1:69" x14ac:dyDescent="0.15">
      <c r="A689" s="276" t="s">
        <v>427</v>
      </c>
      <c r="B689" s="54">
        <v>3</v>
      </c>
      <c r="C689" s="55"/>
      <c r="D689" s="55"/>
      <c r="E689" s="55"/>
      <c r="F689" s="56">
        <f t="shared" si="266"/>
        <v>3</v>
      </c>
      <c r="G689" s="54">
        <v>7</v>
      </c>
      <c r="H689" s="55"/>
      <c r="I689" s="55"/>
      <c r="J689" s="55"/>
      <c r="K689" s="56">
        <f t="shared" si="267"/>
        <v>7</v>
      </c>
      <c r="L689" s="54"/>
      <c r="M689" s="55"/>
      <c r="N689" s="55"/>
      <c r="O689" s="55"/>
      <c r="P689" s="56">
        <f t="shared" si="268"/>
        <v>0</v>
      </c>
      <c r="Q689" s="54"/>
      <c r="R689" s="55"/>
      <c r="S689" s="55"/>
      <c r="T689" s="55"/>
      <c r="U689" s="176">
        <f t="shared" si="269"/>
        <v>0</v>
      </c>
      <c r="V689" s="56">
        <f t="shared" si="270"/>
        <v>10</v>
      </c>
      <c r="W689" s="329">
        <v>44770</v>
      </c>
      <c r="X689" s="326"/>
      <c r="Y689" s="326"/>
      <c r="Z689" s="326"/>
      <c r="AC689" s="276" t="s">
        <v>426</v>
      </c>
      <c r="AD689" s="54"/>
      <c r="AE689" s="55"/>
      <c r="AF689" s="55">
        <v>8</v>
      </c>
      <c r="AG689" s="55"/>
      <c r="AH689" s="56">
        <f t="shared" si="285"/>
        <v>8</v>
      </c>
      <c r="AI689" s="54"/>
      <c r="AJ689" s="55">
        <v>12</v>
      </c>
      <c r="AK689" s="55"/>
      <c r="AL689" s="55"/>
      <c r="AM689" s="56">
        <f t="shared" si="286"/>
        <v>12</v>
      </c>
      <c r="AN689" s="54"/>
      <c r="AO689" s="55"/>
      <c r="AP689" s="55"/>
      <c r="AQ689" s="55"/>
      <c r="AR689" s="56">
        <f t="shared" si="287"/>
        <v>0</v>
      </c>
      <c r="AS689" s="54">
        <v>20</v>
      </c>
      <c r="AT689" s="55">
        <v>14</v>
      </c>
      <c r="AU689" s="55"/>
      <c r="AV689" s="55"/>
      <c r="AW689" s="176">
        <f t="shared" si="288"/>
        <v>34</v>
      </c>
      <c r="AX689" s="56">
        <f t="shared" si="271"/>
        <v>54</v>
      </c>
      <c r="AY689" s="329">
        <v>44770</v>
      </c>
      <c r="AZ689" s="326"/>
      <c r="BE689" s="268" t="s">
        <v>98</v>
      </c>
      <c r="BF689" s="51">
        <v>1</v>
      </c>
      <c r="BG689" s="52"/>
      <c r="BH689" s="52"/>
      <c r="BI689" s="52">
        <v>1</v>
      </c>
      <c r="BJ689" s="49">
        <f t="shared" si="283"/>
        <v>2</v>
      </c>
      <c r="BK689" s="304">
        <v>44774</v>
      </c>
      <c r="BL689" s="277"/>
      <c r="BM689" s="51"/>
      <c r="BN689" s="52"/>
      <c r="BO689" s="52"/>
      <c r="BP689" s="52"/>
      <c r="BQ689" s="49">
        <f t="shared" si="284"/>
        <v>0</v>
      </c>
    </row>
    <row r="690" spans="1:69" x14ac:dyDescent="0.15">
      <c r="A690" s="53" t="s">
        <v>98</v>
      </c>
      <c r="B690" s="54">
        <v>1</v>
      </c>
      <c r="C690" s="55">
        <v>1</v>
      </c>
      <c r="D690" s="55">
        <v>1</v>
      </c>
      <c r="E690" s="55"/>
      <c r="F690" s="56">
        <f t="shared" si="266"/>
        <v>3</v>
      </c>
      <c r="G690" s="54">
        <v>1</v>
      </c>
      <c r="H690" s="55">
        <v>1</v>
      </c>
      <c r="I690" s="55">
        <v>1</v>
      </c>
      <c r="J690" s="55">
        <f>1+3</f>
        <v>4</v>
      </c>
      <c r="K690" s="56">
        <f t="shared" si="267"/>
        <v>7</v>
      </c>
      <c r="L690" s="54">
        <v>1</v>
      </c>
      <c r="M690" s="55"/>
      <c r="N690" s="55"/>
      <c r="O690" s="55">
        <v>1</v>
      </c>
      <c r="P690" s="56">
        <f t="shared" si="268"/>
        <v>2</v>
      </c>
      <c r="Q690" s="54">
        <v>1</v>
      </c>
      <c r="R690" s="55">
        <v>4</v>
      </c>
      <c r="S690" s="55"/>
      <c r="T690" s="55">
        <v>2</v>
      </c>
      <c r="U690" s="176">
        <f t="shared" si="269"/>
        <v>7</v>
      </c>
      <c r="V690" s="56">
        <f t="shared" si="270"/>
        <v>19</v>
      </c>
      <c r="W690" s="329">
        <v>44767</v>
      </c>
      <c r="X690" s="326"/>
      <c r="Y690" s="326"/>
      <c r="Z690" s="326"/>
      <c r="AC690" s="276" t="s">
        <v>99</v>
      </c>
      <c r="AD690" s="54">
        <v>3</v>
      </c>
      <c r="AE690" s="55"/>
      <c r="AF690" s="55"/>
      <c r="AG690" s="55"/>
      <c r="AH690" s="56">
        <f t="shared" si="285"/>
        <v>3</v>
      </c>
      <c r="AI690" s="54">
        <v>7</v>
      </c>
      <c r="AJ690" s="55"/>
      <c r="AK690" s="55"/>
      <c r="AL690" s="55">
        <v>5</v>
      </c>
      <c r="AM690" s="56">
        <f t="shared" si="286"/>
        <v>12</v>
      </c>
      <c r="AN690" s="54"/>
      <c r="AO690" s="55"/>
      <c r="AP690" s="55">
        <v>5</v>
      </c>
      <c r="AQ690" s="55"/>
      <c r="AR690" s="56">
        <f t="shared" si="287"/>
        <v>5</v>
      </c>
      <c r="AS690" s="54"/>
      <c r="AT690" s="55"/>
      <c r="AU690" s="55">
        <v>5</v>
      </c>
      <c r="AV690" s="55"/>
      <c r="AW690" s="176">
        <f t="shared" si="288"/>
        <v>5</v>
      </c>
      <c r="AX690" s="56">
        <f t="shared" si="271"/>
        <v>25</v>
      </c>
      <c r="AY690" s="329">
        <v>44767</v>
      </c>
      <c r="AZ690" s="326"/>
      <c r="BE690" s="268" t="s">
        <v>98</v>
      </c>
      <c r="BF690" s="54">
        <v>1</v>
      </c>
      <c r="BG690" s="55"/>
      <c r="BH690" s="55">
        <f>1+1</f>
        <v>2</v>
      </c>
      <c r="BI690" s="55">
        <v>1</v>
      </c>
      <c r="BJ690" s="56">
        <f t="shared" si="283"/>
        <v>4</v>
      </c>
      <c r="BK690" s="304">
        <v>44778</v>
      </c>
      <c r="BL690" s="268"/>
      <c r="BM690" s="54"/>
      <c r="BN690" s="55"/>
      <c r="BO690" s="55"/>
      <c r="BP690" s="55"/>
      <c r="BQ690" s="56">
        <f t="shared" si="284"/>
        <v>0</v>
      </c>
    </row>
    <row r="691" spans="1:69" x14ac:dyDescent="0.15">
      <c r="A691" s="53" t="s">
        <v>121</v>
      </c>
      <c r="B691" s="54"/>
      <c r="C691" s="55"/>
      <c r="D691" s="55"/>
      <c r="E691" s="55"/>
      <c r="F691" s="56">
        <f t="shared" si="266"/>
        <v>0</v>
      </c>
      <c r="G691" s="54"/>
      <c r="H691" s="55"/>
      <c r="I691" s="55"/>
      <c r="J691" s="55">
        <v>-1</v>
      </c>
      <c r="K691" s="56">
        <f t="shared" si="267"/>
        <v>-1</v>
      </c>
      <c r="L691" s="54"/>
      <c r="M691" s="55"/>
      <c r="N691" s="55"/>
      <c r="O691" s="55"/>
      <c r="P691" s="56">
        <f t="shared" si="268"/>
        <v>0</v>
      </c>
      <c r="Q691" s="54"/>
      <c r="R691" s="55"/>
      <c r="S691" s="55"/>
      <c r="T691" s="55"/>
      <c r="U691" s="176">
        <f t="shared" si="269"/>
        <v>0</v>
      </c>
      <c r="V691" s="56">
        <f t="shared" si="270"/>
        <v>-1</v>
      </c>
      <c r="W691" s="329">
        <v>44768</v>
      </c>
      <c r="X691" s="326"/>
      <c r="Y691" s="326"/>
      <c r="Z691" s="326"/>
      <c r="AC691" s="269" t="s">
        <v>429</v>
      </c>
      <c r="AD691" s="55"/>
      <c r="AE691" s="55"/>
      <c r="AF691" s="55"/>
      <c r="AG691" s="166"/>
      <c r="AH691" s="49">
        <f t="shared" si="285"/>
        <v>0</v>
      </c>
      <c r="AI691" s="55">
        <v>10</v>
      </c>
      <c r="AJ691" s="55">
        <v>8</v>
      </c>
      <c r="AK691" s="55"/>
      <c r="AL691" s="166">
        <v>4</v>
      </c>
      <c r="AM691" s="49">
        <f t="shared" si="286"/>
        <v>22</v>
      </c>
      <c r="AN691" s="55"/>
      <c r="AO691" s="55"/>
      <c r="AP691" s="55"/>
      <c r="AQ691" s="166"/>
      <c r="AR691" s="49">
        <f t="shared" si="287"/>
        <v>0</v>
      </c>
      <c r="AS691" s="55"/>
      <c r="AT691" s="55"/>
      <c r="AU691" s="55"/>
      <c r="AV691" s="166"/>
      <c r="AW691" s="175">
        <f t="shared" si="288"/>
        <v>0</v>
      </c>
      <c r="AX691" s="56">
        <f t="shared" si="271"/>
        <v>22</v>
      </c>
      <c r="AY691" s="329">
        <v>44775</v>
      </c>
      <c r="AZ691" s="326"/>
      <c r="BE691" s="268" t="s">
        <v>98</v>
      </c>
      <c r="BF691" s="54"/>
      <c r="BG691" s="55"/>
      <c r="BH691" s="55">
        <v>1</v>
      </c>
      <c r="BI691" s="55">
        <v>2</v>
      </c>
      <c r="BJ691" s="56">
        <f t="shared" si="283"/>
        <v>3</v>
      </c>
      <c r="BK691" s="306">
        <v>44778</v>
      </c>
      <c r="BL691" s="268"/>
      <c r="BM691" s="54"/>
      <c r="BN691" s="55"/>
      <c r="BO691" s="55"/>
      <c r="BP691" s="55"/>
      <c r="BQ691" s="56">
        <f t="shared" si="284"/>
        <v>0</v>
      </c>
    </row>
    <row r="692" spans="1:69" x14ac:dyDescent="0.15">
      <c r="A692" s="53" t="s">
        <v>98</v>
      </c>
      <c r="B692" s="54"/>
      <c r="C692" s="55">
        <v>1</v>
      </c>
      <c r="D692" s="55"/>
      <c r="E692" s="55">
        <v>1</v>
      </c>
      <c r="F692" s="56">
        <f t="shared" si="266"/>
        <v>2</v>
      </c>
      <c r="G692" s="54"/>
      <c r="H692" s="55">
        <v>2</v>
      </c>
      <c r="I692" s="55">
        <v>1</v>
      </c>
      <c r="J692" s="55">
        <v>1</v>
      </c>
      <c r="K692" s="56">
        <f t="shared" si="267"/>
        <v>4</v>
      </c>
      <c r="L692" s="54"/>
      <c r="M692" s="55">
        <v>1</v>
      </c>
      <c r="N692" s="55"/>
      <c r="O692" s="55"/>
      <c r="P692" s="56">
        <f t="shared" si="268"/>
        <v>1</v>
      </c>
      <c r="Q692" s="54">
        <v>1</v>
      </c>
      <c r="R692" s="55">
        <v>2</v>
      </c>
      <c r="S692" s="55">
        <f>1+2</f>
        <v>3</v>
      </c>
      <c r="T692" s="55">
        <v>3</v>
      </c>
      <c r="U692" s="176">
        <f t="shared" si="269"/>
        <v>9</v>
      </c>
      <c r="V692" s="56">
        <f t="shared" si="270"/>
        <v>16</v>
      </c>
      <c r="W692" s="329">
        <v>44768</v>
      </c>
      <c r="X692" s="326"/>
      <c r="Y692" s="326"/>
      <c r="Z692" s="326"/>
      <c r="AC692" s="276" t="s">
        <v>430</v>
      </c>
      <c r="AD692" s="17">
        <v>18</v>
      </c>
      <c r="AE692" s="18">
        <v>8</v>
      </c>
      <c r="AF692" s="18">
        <v>9</v>
      </c>
      <c r="AG692" s="18">
        <v>9</v>
      </c>
      <c r="AH692" s="30">
        <f t="shared" si="285"/>
        <v>44</v>
      </c>
      <c r="AI692" s="17">
        <v>16</v>
      </c>
      <c r="AJ692" s="18">
        <v>6</v>
      </c>
      <c r="AK692" s="18">
        <v>6</v>
      </c>
      <c r="AL692" s="18"/>
      <c r="AM692" s="30">
        <f t="shared" si="286"/>
        <v>28</v>
      </c>
      <c r="AN692" s="17"/>
      <c r="AO692" s="18"/>
      <c r="AP692" s="18"/>
      <c r="AQ692" s="18"/>
      <c r="AR692" s="30">
        <f t="shared" si="287"/>
        <v>0</v>
      </c>
      <c r="AS692" s="17"/>
      <c r="AT692" s="18"/>
      <c r="AU692" s="18">
        <v>6</v>
      </c>
      <c r="AV692" s="18"/>
      <c r="AW692" s="178">
        <f t="shared" si="288"/>
        <v>6</v>
      </c>
      <c r="AX692" s="56">
        <f t="shared" si="271"/>
        <v>78</v>
      </c>
      <c r="AY692" s="329">
        <v>44771</v>
      </c>
      <c r="AZ692" s="326"/>
      <c r="BE692" s="268" t="s">
        <v>98</v>
      </c>
      <c r="BF692" s="55">
        <v>1</v>
      </c>
      <c r="BG692" s="55"/>
      <c r="BH692" s="55">
        <v>1</v>
      </c>
      <c r="BI692" s="166">
        <v>1</v>
      </c>
      <c r="BJ692" s="49">
        <f t="shared" si="283"/>
        <v>3</v>
      </c>
      <c r="BK692" s="304">
        <v>44781</v>
      </c>
      <c r="BL692" s="276"/>
      <c r="BM692" s="55"/>
      <c r="BN692" s="55"/>
      <c r="BO692" s="55"/>
      <c r="BP692" s="166"/>
      <c r="BQ692" s="49">
        <f t="shared" si="284"/>
        <v>0</v>
      </c>
    </row>
    <row r="693" spans="1:69" x14ac:dyDescent="0.15">
      <c r="A693" s="53" t="s">
        <v>98</v>
      </c>
      <c r="B693" s="17">
        <v>1</v>
      </c>
      <c r="C693" s="18"/>
      <c r="D693" s="18"/>
      <c r="E693" s="18">
        <v>1</v>
      </c>
      <c r="F693" s="30">
        <f t="shared" si="266"/>
        <v>2</v>
      </c>
      <c r="G693" s="17"/>
      <c r="H693" s="18">
        <f>2+1</f>
        <v>3</v>
      </c>
      <c r="I693" s="18">
        <v>1</v>
      </c>
      <c r="J693" s="18">
        <v>1</v>
      </c>
      <c r="K693" s="30">
        <f t="shared" si="267"/>
        <v>5</v>
      </c>
      <c r="L693" s="17">
        <v>1</v>
      </c>
      <c r="M693" s="18"/>
      <c r="N693" s="18"/>
      <c r="O693" s="18"/>
      <c r="P693" s="30">
        <f t="shared" si="268"/>
        <v>1</v>
      </c>
      <c r="Q693" s="17">
        <f>1+1+1</f>
        <v>3</v>
      </c>
      <c r="R693" s="18"/>
      <c r="S693" s="18">
        <v>1</v>
      </c>
      <c r="T693" s="18">
        <v>1</v>
      </c>
      <c r="U693" s="178">
        <f t="shared" si="269"/>
        <v>5</v>
      </c>
      <c r="V693" s="56">
        <f t="shared" si="270"/>
        <v>13</v>
      </c>
      <c r="W693" s="329">
        <v>44769</v>
      </c>
      <c r="X693" s="326"/>
      <c r="Y693" s="326"/>
      <c r="Z693" s="326"/>
      <c r="AC693" s="276" t="s">
        <v>432</v>
      </c>
      <c r="AD693" s="54"/>
      <c r="AE693" s="55"/>
      <c r="AF693" s="55"/>
      <c r="AG693" s="55"/>
      <c r="AH693" s="56">
        <f t="shared" si="285"/>
        <v>0</v>
      </c>
      <c r="AI693" s="54"/>
      <c r="AJ693" s="55"/>
      <c r="AK693" s="55"/>
      <c r="AL693" s="55">
        <v>6</v>
      </c>
      <c r="AM693" s="56">
        <f t="shared" si="286"/>
        <v>6</v>
      </c>
      <c r="AN693" s="54"/>
      <c r="AO693" s="55"/>
      <c r="AP693" s="55"/>
      <c r="AQ693" s="55"/>
      <c r="AR693" s="56">
        <f t="shared" si="287"/>
        <v>0</v>
      </c>
      <c r="AS693" s="54"/>
      <c r="AT693" s="55"/>
      <c r="AU693" s="55"/>
      <c r="AV693" s="55"/>
      <c r="AW693" s="176">
        <f t="shared" si="288"/>
        <v>0</v>
      </c>
      <c r="AX693" s="56">
        <f t="shared" si="271"/>
        <v>6</v>
      </c>
      <c r="AY693" s="329">
        <v>44771</v>
      </c>
      <c r="AZ693" s="326"/>
      <c r="BE693" s="277"/>
      <c r="BF693" s="17"/>
      <c r="BG693" s="18"/>
      <c r="BH693" s="18"/>
      <c r="BI693" s="18"/>
      <c r="BJ693" s="30">
        <f t="shared" si="283"/>
        <v>0</v>
      </c>
      <c r="BL693" s="277"/>
      <c r="BM693" s="17"/>
      <c r="BN693" s="18"/>
      <c r="BO693" s="18"/>
      <c r="BP693" s="18"/>
      <c r="BQ693" s="30">
        <f t="shared" si="284"/>
        <v>0</v>
      </c>
    </row>
    <row r="694" spans="1:69" x14ac:dyDescent="0.15">
      <c r="A694" s="53" t="s">
        <v>98</v>
      </c>
      <c r="B694" s="54"/>
      <c r="C694" s="55">
        <v>2</v>
      </c>
      <c r="D694" s="55">
        <v>2</v>
      </c>
      <c r="E694" s="55"/>
      <c r="F694" s="56">
        <f t="shared" si="266"/>
        <v>4</v>
      </c>
      <c r="G694" s="54"/>
      <c r="H694" s="55">
        <v>1</v>
      </c>
      <c r="I694" s="55"/>
      <c r="J694" s="55">
        <f>1+2</f>
        <v>3</v>
      </c>
      <c r="K694" s="56">
        <f t="shared" si="267"/>
        <v>4</v>
      </c>
      <c r="L694" s="54"/>
      <c r="M694" s="55"/>
      <c r="N694" s="55"/>
      <c r="O694" s="55"/>
      <c r="P694" s="56">
        <f t="shared" si="268"/>
        <v>0</v>
      </c>
      <c r="Q694" s="54">
        <v>1</v>
      </c>
      <c r="R694" s="55"/>
      <c r="S694" s="55">
        <v>2</v>
      </c>
      <c r="T694" s="55">
        <v>1</v>
      </c>
      <c r="U694" s="176">
        <f t="shared" si="269"/>
        <v>4</v>
      </c>
      <c r="V694" s="56">
        <f t="shared" si="270"/>
        <v>12</v>
      </c>
      <c r="W694" s="329">
        <v>44770</v>
      </c>
      <c r="X694" s="326"/>
      <c r="Y694" s="326"/>
      <c r="Z694" s="326"/>
      <c r="AC694" s="276" t="s">
        <v>99</v>
      </c>
      <c r="AD694" s="54"/>
      <c r="AE694" s="55"/>
      <c r="AF694" s="55"/>
      <c r="AG694" s="55"/>
      <c r="AH694" s="56">
        <f t="shared" si="285"/>
        <v>0</v>
      </c>
      <c r="AI694" s="54"/>
      <c r="AJ694" s="55">
        <v>5</v>
      </c>
      <c r="AK694" s="55"/>
      <c r="AL694" s="55"/>
      <c r="AM694" s="56">
        <f t="shared" si="286"/>
        <v>5</v>
      </c>
      <c r="AN694" s="54"/>
      <c r="AO694" s="55"/>
      <c r="AP694" s="55"/>
      <c r="AQ694" s="55"/>
      <c r="AR694" s="56">
        <f t="shared" si="287"/>
        <v>0</v>
      </c>
      <c r="AS694" s="54"/>
      <c r="AT694" s="55">
        <v>5</v>
      </c>
      <c r="AU694" s="55">
        <v>5</v>
      </c>
      <c r="AV694" s="55"/>
      <c r="AW694" s="176">
        <f t="shared" si="288"/>
        <v>10</v>
      </c>
      <c r="AX694" s="56">
        <f t="shared" si="271"/>
        <v>15</v>
      </c>
      <c r="AY694" s="329">
        <v>44770</v>
      </c>
      <c r="AZ694" s="326"/>
      <c r="BE694" s="276"/>
      <c r="BF694" s="54"/>
      <c r="BG694" s="55"/>
      <c r="BH694" s="55"/>
      <c r="BI694" s="55"/>
      <c r="BJ694" s="56">
        <f t="shared" si="283"/>
        <v>0</v>
      </c>
      <c r="BL694" s="276"/>
      <c r="BM694" s="54"/>
      <c r="BN694" s="55"/>
      <c r="BO694" s="55"/>
      <c r="BP694" s="55"/>
      <c r="BQ694" s="56">
        <f t="shared" si="284"/>
        <v>0</v>
      </c>
    </row>
    <row r="695" spans="1:69" x14ac:dyDescent="0.15">
      <c r="A695" s="53" t="s">
        <v>98</v>
      </c>
      <c r="B695" s="54">
        <v>1</v>
      </c>
      <c r="C695" s="55"/>
      <c r="D695" s="55"/>
      <c r="E695" s="55"/>
      <c r="F695" s="56">
        <f t="shared" si="266"/>
        <v>1</v>
      </c>
      <c r="G695" s="54">
        <f>1+2</f>
        <v>3</v>
      </c>
      <c r="H695" s="55"/>
      <c r="I695" s="55"/>
      <c r="J695" s="55"/>
      <c r="K695" s="56">
        <f t="shared" si="267"/>
        <v>3</v>
      </c>
      <c r="L695" s="54"/>
      <c r="M695" s="55"/>
      <c r="N695" s="55"/>
      <c r="O695" s="55"/>
      <c r="P695" s="56">
        <f t="shared" si="268"/>
        <v>0</v>
      </c>
      <c r="Q695" s="54"/>
      <c r="R695" s="55"/>
      <c r="S695" s="55">
        <v>1</v>
      </c>
      <c r="T695" s="55">
        <v>1</v>
      </c>
      <c r="U695" s="176">
        <f t="shared" si="269"/>
        <v>2</v>
      </c>
      <c r="V695" s="56">
        <f t="shared" si="270"/>
        <v>6</v>
      </c>
      <c r="W695" s="329">
        <v>44771</v>
      </c>
      <c r="X695" s="326"/>
      <c r="Y695" s="326"/>
      <c r="Z695" s="326"/>
      <c r="AC695" s="276" t="s">
        <v>99</v>
      </c>
      <c r="AD695" s="54"/>
      <c r="AE695" s="55"/>
      <c r="AF695" s="55"/>
      <c r="AG695" s="55"/>
      <c r="AH695" s="56">
        <f t="shared" si="285"/>
        <v>0</v>
      </c>
      <c r="AI695" s="54"/>
      <c r="AJ695" s="55"/>
      <c r="AK695" s="55"/>
      <c r="AL695" s="55">
        <v>5</v>
      </c>
      <c r="AM695" s="56">
        <f t="shared" si="286"/>
        <v>5</v>
      </c>
      <c r="AN695" s="54"/>
      <c r="AO695" s="55"/>
      <c r="AP695" s="55"/>
      <c r="AQ695" s="55"/>
      <c r="AR695" s="56">
        <f t="shared" si="287"/>
        <v>0</v>
      </c>
      <c r="AS695" s="54">
        <v>5</v>
      </c>
      <c r="AT695" s="55"/>
      <c r="AU695" s="55"/>
      <c r="AV695" s="55"/>
      <c r="AW695" s="176">
        <f t="shared" si="288"/>
        <v>5</v>
      </c>
      <c r="AX695" s="56">
        <f t="shared" si="271"/>
        <v>10</v>
      </c>
      <c r="AY695" s="329">
        <v>44771</v>
      </c>
      <c r="AZ695" s="326"/>
      <c r="BE695" s="277"/>
      <c r="BF695" s="54"/>
      <c r="BG695" s="55"/>
      <c r="BH695" s="55"/>
      <c r="BI695" s="55"/>
      <c r="BJ695" s="56">
        <f t="shared" si="283"/>
        <v>0</v>
      </c>
      <c r="BL695" s="277"/>
      <c r="BM695" s="54"/>
      <c r="BN695" s="55"/>
      <c r="BO695" s="55"/>
      <c r="BP695" s="55"/>
      <c r="BQ695" s="56">
        <f t="shared" si="284"/>
        <v>0</v>
      </c>
    </row>
    <row r="696" spans="1:69" x14ac:dyDescent="0.15">
      <c r="A696" s="53" t="s">
        <v>98</v>
      </c>
      <c r="B696" s="54"/>
      <c r="C696" s="55">
        <v>1</v>
      </c>
      <c r="D696" s="55">
        <v>1</v>
      </c>
      <c r="E696" s="55"/>
      <c r="F696" s="56">
        <f t="shared" si="266"/>
        <v>2</v>
      </c>
      <c r="G696" s="54"/>
      <c r="H696" s="55">
        <v>2</v>
      </c>
      <c r="I696" s="55"/>
      <c r="J696" s="55">
        <v>1</v>
      </c>
      <c r="K696" s="56">
        <f t="shared" si="267"/>
        <v>3</v>
      </c>
      <c r="L696" s="54"/>
      <c r="M696" s="55">
        <v>1</v>
      </c>
      <c r="N696" s="55"/>
      <c r="O696" s="55"/>
      <c r="P696" s="56">
        <f t="shared" si="268"/>
        <v>1</v>
      </c>
      <c r="Q696" s="54"/>
      <c r="R696" s="55">
        <v>2</v>
      </c>
      <c r="S696" s="55">
        <v>3</v>
      </c>
      <c r="T696" s="55">
        <v>1</v>
      </c>
      <c r="U696" s="176">
        <f t="shared" si="269"/>
        <v>6</v>
      </c>
      <c r="V696" s="56">
        <f t="shared" si="270"/>
        <v>12</v>
      </c>
      <c r="W696" s="329">
        <v>44772</v>
      </c>
      <c r="X696" s="326"/>
      <c r="Y696" s="326"/>
      <c r="Z696" s="326"/>
      <c r="AC696" s="276" t="s">
        <v>99</v>
      </c>
      <c r="AD696" s="63">
        <v>5</v>
      </c>
      <c r="AE696" s="63">
        <v>5</v>
      </c>
      <c r="AF696" s="63"/>
      <c r="AG696" s="167"/>
      <c r="AH696" s="64">
        <f t="shared" si="285"/>
        <v>10</v>
      </c>
      <c r="AI696" s="63">
        <v>6</v>
      </c>
      <c r="AJ696" s="63">
        <v>10</v>
      </c>
      <c r="AK696" s="63"/>
      <c r="AL696" s="167"/>
      <c r="AM696" s="64">
        <f t="shared" si="286"/>
        <v>16</v>
      </c>
      <c r="AN696" s="63"/>
      <c r="AO696" s="63"/>
      <c r="AP696" s="63"/>
      <c r="AQ696" s="167"/>
      <c r="AR696" s="64">
        <f t="shared" si="287"/>
        <v>0</v>
      </c>
      <c r="AS696" s="55"/>
      <c r="AT696" s="153">
        <v>5</v>
      </c>
      <c r="AU696" s="153"/>
      <c r="AV696" s="168"/>
      <c r="AW696" s="162">
        <f t="shared" si="288"/>
        <v>5</v>
      </c>
      <c r="AX696" s="56">
        <f t="shared" si="271"/>
        <v>31</v>
      </c>
      <c r="AY696" s="329">
        <v>44775</v>
      </c>
      <c r="AZ696" s="326"/>
      <c r="BE696" s="276"/>
      <c r="BF696" s="54"/>
      <c r="BG696" s="55"/>
      <c r="BH696" s="55"/>
      <c r="BI696" s="55"/>
      <c r="BJ696" s="56">
        <f t="shared" si="283"/>
        <v>0</v>
      </c>
      <c r="BL696" s="276"/>
      <c r="BM696" s="54"/>
      <c r="BN696" s="55"/>
      <c r="BO696" s="55"/>
      <c r="BP696" s="55"/>
      <c r="BQ696" s="56">
        <f t="shared" si="284"/>
        <v>0</v>
      </c>
    </row>
    <row r="697" spans="1:69" x14ac:dyDescent="0.15">
      <c r="A697" s="276" t="s">
        <v>433</v>
      </c>
      <c r="B697" s="54"/>
      <c r="C697" s="55"/>
      <c r="D697" s="55"/>
      <c r="E697" s="55">
        <v>6</v>
      </c>
      <c r="F697" s="56">
        <f t="shared" si="266"/>
        <v>6</v>
      </c>
      <c r="G697" s="54"/>
      <c r="H697" s="55"/>
      <c r="I697" s="55"/>
      <c r="J697" s="55"/>
      <c r="K697" s="56">
        <f t="shared" si="267"/>
        <v>0</v>
      </c>
      <c r="L697" s="54"/>
      <c r="M697" s="55"/>
      <c r="N697" s="55"/>
      <c r="O697" s="55"/>
      <c r="P697" s="56">
        <f t="shared" si="268"/>
        <v>0</v>
      </c>
      <c r="Q697" s="54"/>
      <c r="R697" s="55"/>
      <c r="S697" s="55"/>
      <c r="T697" s="55"/>
      <c r="U697" s="176">
        <f t="shared" si="269"/>
        <v>0</v>
      </c>
      <c r="V697" s="56">
        <f t="shared" si="270"/>
        <v>6</v>
      </c>
      <c r="W697" s="329">
        <v>44778</v>
      </c>
      <c r="X697" s="326"/>
      <c r="Y697" s="326"/>
      <c r="Z697" s="326"/>
      <c r="AC697" s="269" t="s">
        <v>434</v>
      </c>
      <c r="AD697" s="54"/>
      <c r="AE697" s="55"/>
      <c r="AF697" s="55"/>
      <c r="AG697" s="55"/>
      <c r="AH697" s="56">
        <f t="shared" si="285"/>
        <v>0</v>
      </c>
      <c r="AI697" s="54">
        <v>2</v>
      </c>
      <c r="AJ697" s="55">
        <v>4</v>
      </c>
      <c r="AK697" s="55"/>
      <c r="AL697" s="55">
        <v>2</v>
      </c>
      <c r="AM697" s="56">
        <f t="shared" si="286"/>
        <v>8</v>
      </c>
      <c r="AN697" s="54"/>
      <c r="AO697" s="55"/>
      <c r="AP697" s="55"/>
      <c r="AQ697" s="55"/>
      <c r="AR697" s="56">
        <f t="shared" si="287"/>
        <v>0</v>
      </c>
      <c r="AS697" s="54"/>
      <c r="AT697" s="55">
        <v>2</v>
      </c>
      <c r="AU697" s="55">
        <v>4</v>
      </c>
      <c r="AV697" s="55"/>
      <c r="AW697" s="176">
        <f t="shared" si="288"/>
        <v>6</v>
      </c>
      <c r="AX697" s="56">
        <f t="shared" si="271"/>
        <v>14</v>
      </c>
      <c r="AY697" s="329">
        <v>44781</v>
      </c>
      <c r="AZ697" s="326"/>
      <c r="BE697" s="277"/>
      <c r="BF697" s="54"/>
      <c r="BG697" s="55"/>
      <c r="BH697" s="55"/>
      <c r="BI697" s="55"/>
      <c r="BJ697" s="56">
        <f t="shared" si="283"/>
        <v>0</v>
      </c>
      <c r="BL697" s="277"/>
      <c r="BM697" s="54"/>
      <c r="BN697" s="55"/>
      <c r="BO697" s="55"/>
      <c r="BP697" s="55"/>
      <c r="BQ697" s="56">
        <f t="shared" si="284"/>
        <v>0</v>
      </c>
    </row>
    <row r="698" spans="1:69" x14ac:dyDescent="0.15">
      <c r="A698" s="53" t="s">
        <v>98</v>
      </c>
      <c r="B698" s="54"/>
      <c r="C698" s="55">
        <v>1</v>
      </c>
      <c r="D698" s="55">
        <v>1</v>
      </c>
      <c r="E698" s="55">
        <v>1</v>
      </c>
      <c r="F698" s="56">
        <f t="shared" si="266"/>
        <v>3</v>
      </c>
      <c r="G698" s="54">
        <f>1+1</f>
        <v>2</v>
      </c>
      <c r="H698" s="55">
        <v>2</v>
      </c>
      <c r="I698" s="55">
        <v>1</v>
      </c>
      <c r="J698" s="55">
        <f>1+4+1</f>
        <v>6</v>
      </c>
      <c r="K698" s="56">
        <f t="shared" si="267"/>
        <v>11</v>
      </c>
      <c r="L698" s="54"/>
      <c r="M698" s="55">
        <v>3</v>
      </c>
      <c r="N698" s="55">
        <v>1</v>
      </c>
      <c r="O698" s="55">
        <v>1</v>
      </c>
      <c r="P698" s="56">
        <f t="shared" si="268"/>
        <v>5</v>
      </c>
      <c r="Q698" s="54">
        <v>1</v>
      </c>
      <c r="R698" s="55">
        <f>1+3</f>
        <v>4</v>
      </c>
      <c r="S698" s="55">
        <v>1</v>
      </c>
      <c r="T698" s="55">
        <v>1</v>
      </c>
      <c r="U698" s="176">
        <f t="shared" si="269"/>
        <v>7</v>
      </c>
      <c r="V698" s="56">
        <f t="shared" si="270"/>
        <v>26</v>
      </c>
      <c r="W698" s="329">
        <v>44774</v>
      </c>
      <c r="X698" s="326"/>
      <c r="Y698" s="326"/>
      <c r="Z698" s="326"/>
      <c r="AC698" s="276" t="s">
        <v>99</v>
      </c>
      <c r="AD698" s="55"/>
      <c r="AE698" s="55"/>
      <c r="AF698" s="55"/>
      <c r="AG698" s="166"/>
      <c r="AH698" s="49">
        <f t="shared" si="285"/>
        <v>0</v>
      </c>
      <c r="AI698" s="55"/>
      <c r="AJ698" s="55">
        <v>5</v>
      </c>
      <c r="AK698" s="55"/>
      <c r="AL698" s="166">
        <v>5</v>
      </c>
      <c r="AM698" s="49">
        <f t="shared" si="286"/>
        <v>10</v>
      </c>
      <c r="AN698" s="55"/>
      <c r="AO698" s="55">
        <v>5</v>
      </c>
      <c r="AP698" s="55"/>
      <c r="AQ698" s="166"/>
      <c r="AR698" s="49">
        <f t="shared" si="287"/>
        <v>5</v>
      </c>
      <c r="AS698" s="55"/>
      <c r="AT698" s="55">
        <v>5</v>
      </c>
      <c r="AU698" s="55"/>
      <c r="AV698" s="166"/>
      <c r="AW698" s="175">
        <f t="shared" si="288"/>
        <v>5</v>
      </c>
      <c r="AX698" s="56">
        <f t="shared" si="271"/>
        <v>20</v>
      </c>
      <c r="AY698" s="329">
        <v>44776</v>
      </c>
      <c r="AZ698" s="326"/>
      <c r="BE698" s="276"/>
      <c r="BF698" s="54"/>
      <c r="BG698" s="55"/>
      <c r="BH698" s="55"/>
      <c r="BI698" s="55"/>
      <c r="BJ698" s="56">
        <f t="shared" si="283"/>
        <v>0</v>
      </c>
      <c r="BL698" s="276"/>
      <c r="BM698" s="54"/>
      <c r="BN698" s="55"/>
      <c r="BO698" s="55"/>
      <c r="BP698" s="55"/>
      <c r="BQ698" s="56">
        <f t="shared" si="284"/>
        <v>0</v>
      </c>
    </row>
    <row r="699" spans="1:69" x14ac:dyDescent="0.15">
      <c r="A699" s="53" t="s">
        <v>121</v>
      </c>
      <c r="B699" s="54"/>
      <c r="C699" s="55"/>
      <c r="D699" s="55"/>
      <c r="E699" s="55"/>
      <c r="F699" s="56">
        <f t="shared" si="266"/>
        <v>0</v>
      </c>
      <c r="G699" s="54"/>
      <c r="H699" s="55"/>
      <c r="I699" s="55"/>
      <c r="J699" s="55"/>
      <c r="K699" s="56">
        <f t="shared" si="267"/>
        <v>0</v>
      </c>
      <c r="L699" s="54"/>
      <c r="M699" s="55"/>
      <c r="N699" s="55"/>
      <c r="O699" s="55"/>
      <c r="P699" s="56">
        <f t="shared" si="268"/>
        <v>0</v>
      </c>
      <c r="Q699" s="54"/>
      <c r="R699" s="55"/>
      <c r="S699" s="55">
        <v>-1</v>
      </c>
      <c r="T699" s="55"/>
      <c r="U699" s="176">
        <f t="shared" si="269"/>
        <v>-1</v>
      </c>
      <c r="V699" s="56">
        <f t="shared" si="270"/>
        <v>-1</v>
      </c>
      <c r="W699" s="328">
        <v>44774</v>
      </c>
      <c r="X699" s="326"/>
      <c r="Y699" s="326"/>
      <c r="Z699" s="326"/>
      <c r="AC699" s="276" t="s">
        <v>99</v>
      </c>
      <c r="AD699" s="54"/>
      <c r="AE699" s="55"/>
      <c r="AF699" s="55"/>
      <c r="AG699" s="55"/>
      <c r="AH699" s="56">
        <f t="shared" si="285"/>
        <v>0</v>
      </c>
      <c r="AI699" s="54"/>
      <c r="AJ699" s="55"/>
      <c r="AK699" s="55"/>
      <c r="AL699" s="55"/>
      <c r="AM699" s="56">
        <f t="shared" si="286"/>
        <v>0</v>
      </c>
      <c r="AN699" s="54"/>
      <c r="AO699" s="55"/>
      <c r="AP699" s="55"/>
      <c r="AQ699" s="55"/>
      <c r="AR699" s="56">
        <f t="shared" si="287"/>
        <v>0</v>
      </c>
      <c r="AS699" s="54"/>
      <c r="AT699" s="55"/>
      <c r="AU699" s="55">
        <v>5</v>
      </c>
      <c r="AV699" s="55"/>
      <c r="AW699" s="176">
        <f t="shared" si="288"/>
        <v>5</v>
      </c>
      <c r="AX699" s="56">
        <f t="shared" si="271"/>
        <v>5</v>
      </c>
      <c r="AY699" s="329">
        <v>44777</v>
      </c>
      <c r="AZ699" s="326"/>
      <c r="BE699" s="277"/>
      <c r="BF699" s="55"/>
      <c r="BG699" s="55"/>
      <c r="BH699" s="55"/>
      <c r="BI699" s="166"/>
      <c r="BJ699" s="49">
        <f t="shared" si="283"/>
        <v>0</v>
      </c>
      <c r="BL699" s="277"/>
      <c r="BM699" s="55"/>
      <c r="BN699" s="55"/>
      <c r="BO699" s="55"/>
      <c r="BP699" s="166"/>
      <c r="BQ699" s="49">
        <f t="shared" si="284"/>
        <v>0</v>
      </c>
    </row>
    <row r="700" spans="1:69" x14ac:dyDescent="0.15">
      <c r="A700" s="53" t="s">
        <v>392</v>
      </c>
      <c r="B700" s="54"/>
      <c r="C700" s="55"/>
      <c r="D700" s="55"/>
      <c r="E700" s="55"/>
      <c r="F700" s="56">
        <f t="shared" si="266"/>
        <v>0</v>
      </c>
      <c r="G700" s="54"/>
      <c r="H700" s="55"/>
      <c r="I700" s="55">
        <v>-1</v>
      </c>
      <c r="J700" s="55"/>
      <c r="K700" s="56">
        <f t="shared" si="267"/>
        <v>-1</v>
      </c>
      <c r="L700" s="54"/>
      <c r="M700" s="55"/>
      <c r="N700" s="55"/>
      <c r="O700" s="55"/>
      <c r="P700" s="56">
        <f t="shared" si="268"/>
        <v>0</v>
      </c>
      <c r="Q700" s="54"/>
      <c r="R700" s="55"/>
      <c r="S700" s="55"/>
      <c r="T700" s="55"/>
      <c r="U700" s="176">
        <f t="shared" si="269"/>
        <v>0</v>
      </c>
      <c r="V700" s="56">
        <f t="shared" si="270"/>
        <v>-1</v>
      </c>
      <c r="W700" s="328">
        <v>44774</v>
      </c>
      <c r="X700" s="326"/>
      <c r="Y700" s="326"/>
      <c r="Z700" s="326"/>
      <c r="AC700" s="276" t="s">
        <v>438</v>
      </c>
      <c r="AD700" s="54"/>
      <c r="AE700" s="55"/>
      <c r="AF700" s="55"/>
      <c r="AG700" s="55"/>
      <c r="AH700" s="56">
        <f t="shared" si="285"/>
        <v>0</v>
      </c>
      <c r="AI700" s="54"/>
      <c r="AJ700" s="55">
        <v>10</v>
      </c>
      <c r="AK700" s="55"/>
      <c r="AL700" s="55"/>
      <c r="AM700" s="56">
        <f t="shared" si="286"/>
        <v>10</v>
      </c>
      <c r="AN700" s="54"/>
      <c r="AO700" s="55"/>
      <c r="AP700" s="55"/>
      <c r="AQ700" s="55"/>
      <c r="AR700" s="56">
        <f t="shared" si="287"/>
        <v>0</v>
      </c>
      <c r="AS700" s="54"/>
      <c r="AT700" s="55"/>
      <c r="AU700" s="55"/>
      <c r="AV700" s="55"/>
      <c r="AW700" s="176">
        <f t="shared" si="288"/>
        <v>0</v>
      </c>
      <c r="AX700" s="56">
        <f t="shared" si="271"/>
        <v>10</v>
      </c>
      <c r="AY700" s="329">
        <v>44789</v>
      </c>
      <c r="AZ700" s="326"/>
      <c r="BE700" s="277"/>
      <c r="BF700" s="54"/>
      <c r="BG700" s="55"/>
      <c r="BH700" s="55"/>
      <c r="BI700" s="55"/>
      <c r="BJ700" s="56">
        <f t="shared" si="283"/>
        <v>0</v>
      </c>
      <c r="BL700" s="277"/>
      <c r="BM700" s="54"/>
      <c r="BN700" s="55"/>
      <c r="BO700" s="55"/>
      <c r="BP700" s="55"/>
      <c r="BQ700" s="56">
        <f t="shared" si="284"/>
        <v>0</v>
      </c>
    </row>
    <row r="701" spans="1:69" x14ac:dyDescent="0.15">
      <c r="A701" s="53" t="s">
        <v>98</v>
      </c>
      <c r="B701" s="54">
        <v>1</v>
      </c>
      <c r="C701" s="55"/>
      <c r="D701" s="55">
        <v>1</v>
      </c>
      <c r="E701" s="55"/>
      <c r="F701" s="56">
        <f t="shared" si="266"/>
        <v>2</v>
      </c>
      <c r="G701" s="54"/>
      <c r="H701" s="55">
        <v>5</v>
      </c>
      <c r="I701" s="55">
        <v>1</v>
      </c>
      <c r="J701" s="55">
        <v>1</v>
      </c>
      <c r="K701" s="56">
        <f t="shared" si="267"/>
        <v>7</v>
      </c>
      <c r="L701" s="54"/>
      <c r="M701" s="55"/>
      <c r="N701" s="55"/>
      <c r="O701" s="55">
        <v>1</v>
      </c>
      <c r="P701" s="56">
        <f t="shared" si="268"/>
        <v>1</v>
      </c>
      <c r="Q701" s="54"/>
      <c r="R701" s="55">
        <v>1</v>
      </c>
      <c r="S701" s="55">
        <f>1+1</f>
        <v>2</v>
      </c>
      <c r="T701" s="55">
        <v>1</v>
      </c>
      <c r="U701" s="176">
        <f t="shared" si="269"/>
        <v>4</v>
      </c>
      <c r="V701" s="56">
        <f t="shared" si="270"/>
        <v>14</v>
      </c>
      <c r="W701" s="329">
        <v>44775</v>
      </c>
      <c r="X701" s="326"/>
      <c r="Y701" s="326"/>
      <c r="Z701" s="326"/>
      <c r="AC701" s="276" t="s">
        <v>99</v>
      </c>
      <c r="AD701" s="54">
        <v>5</v>
      </c>
      <c r="AE701" s="55">
        <v>5</v>
      </c>
      <c r="AF701" s="55"/>
      <c r="AG701" s="55"/>
      <c r="AH701" s="56">
        <f t="shared" si="274"/>
        <v>10</v>
      </c>
      <c r="AI701" s="54">
        <v>5</v>
      </c>
      <c r="AJ701" s="55">
        <v>10</v>
      </c>
      <c r="AK701" s="55"/>
      <c r="AL701" s="55"/>
      <c r="AM701" s="56">
        <f t="shared" si="275"/>
        <v>15</v>
      </c>
      <c r="AN701" s="54"/>
      <c r="AO701" s="55"/>
      <c r="AP701" s="55"/>
      <c r="AQ701" s="55"/>
      <c r="AR701" s="56">
        <f t="shared" si="281"/>
        <v>0</v>
      </c>
      <c r="AS701" s="54"/>
      <c r="AT701" s="55"/>
      <c r="AU701" s="55">
        <v>5</v>
      </c>
      <c r="AV701" s="55"/>
      <c r="AW701" s="176">
        <f t="shared" si="282"/>
        <v>5</v>
      </c>
      <c r="AX701" s="56">
        <f t="shared" si="271"/>
        <v>30</v>
      </c>
      <c r="AY701" s="329">
        <v>44779</v>
      </c>
      <c r="AZ701" s="326"/>
      <c r="BE701" s="276"/>
      <c r="BF701" s="54"/>
      <c r="BG701" s="55"/>
      <c r="BH701" s="55"/>
      <c r="BI701" s="55"/>
      <c r="BJ701" s="56">
        <f t="shared" si="283"/>
        <v>0</v>
      </c>
      <c r="BL701" s="276"/>
      <c r="BM701" s="54"/>
      <c r="BN701" s="55"/>
      <c r="BO701" s="55"/>
      <c r="BP701" s="55"/>
      <c r="BQ701" s="56">
        <f t="shared" si="284"/>
        <v>0</v>
      </c>
    </row>
    <row r="702" spans="1:69" x14ac:dyDescent="0.15">
      <c r="A702" s="53" t="s">
        <v>435</v>
      </c>
      <c r="B702" s="54"/>
      <c r="C702" s="55">
        <v>1</v>
      </c>
      <c r="D702" s="55">
        <v>1</v>
      </c>
      <c r="E702" s="55">
        <v>1</v>
      </c>
      <c r="F702" s="56">
        <f t="shared" si="266"/>
        <v>3</v>
      </c>
      <c r="G702" s="54">
        <v>3</v>
      </c>
      <c r="H702" s="55">
        <v>2</v>
      </c>
      <c r="I702" s="55">
        <v>1</v>
      </c>
      <c r="J702" s="55">
        <v>1</v>
      </c>
      <c r="K702" s="56">
        <f t="shared" si="267"/>
        <v>7</v>
      </c>
      <c r="L702" s="54"/>
      <c r="M702" s="55"/>
      <c r="N702" s="55">
        <v>1</v>
      </c>
      <c r="O702" s="55">
        <v>1</v>
      </c>
      <c r="P702" s="56">
        <f t="shared" si="268"/>
        <v>2</v>
      </c>
      <c r="Q702" s="54"/>
      <c r="R702" s="55"/>
      <c r="S702" s="55">
        <v>1</v>
      </c>
      <c r="T702" s="55"/>
      <c r="U702" s="176">
        <f t="shared" si="269"/>
        <v>1</v>
      </c>
      <c r="V702" s="56">
        <f t="shared" si="270"/>
        <v>13</v>
      </c>
      <c r="W702" s="329">
        <v>44781</v>
      </c>
      <c r="X702" s="326"/>
      <c r="Y702" s="326"/>
      <c r="Z702" s="326"/>
      <c r="AC702" s="276" t="s">
        <v>99</v>
      </c>
      <c r="AD702" s="63"/>
      <c r="AE702" s="63"/>
      <c r="AF702" s="63"/>
      <c r="AG702" s="167">
        <v>5</v>
      </c>
      <c r="AH702" s="64">
        <f t="shared" ref="AH702" si="289">SUM(AD702:AG702)</f>
        <v>5</v>
      </c>
      <c r="AI702" s="63">
        <v>10</v>
      </c>
      <c r="AJ702" s="63">
        <v>10</v>
      </c>
      <c r="AK702" s="63">
        <v>5</v>
      </c>
      <c r="AL702" s="167">
        <v>10</v>
      </c>
      <c r="AM702" s="64">
        <f t="shared" si="275"/>
        <v>35</v>
      </c>
      <c r="AN702" s="63">
        <v>5</v>
      </c>
      <c r="AO702" s="63"/>
      <c r="AP702" s="63"/>
      <c r="AQ702" s="167"/>
      <c r="AR702" s="64">
        <f t="shared" si="281"/>
        <v>5</v>
      </c>
      <c r="AS702" s="63">
        <v>5</v>
      </c>
      <c r="AT702" s="63">
        <v>5</v>
      </c>
      <c r="AU702" s="63">
        <v>5</v>
      </c>
      <c r="AV702" s="167"/>
      <c r="AW702" s="162">
        <f t="shared" si="282"/>
        <v>15</v>
      </c>
      <c r="AX702" s="56">
        <f t="shared" si="271"/>
        <v>60</v>
      </c>
      <c r="AY702" s="329">
        <v>44782</v>
      </c>
      <c r="AZ702" s="326"/>
      <c r="BE702" s="276"/>
      <c r="BF702" s="63"/>
      <c r="BG702" s="63"/>
      <c r="BH702" s="63"/>
      <c r="BI702" s="167"/>
      <c r="BJ702" s="64">
        <f t="shared" si="283"/>
        <v>0</v>
      </c>
      <c r="BL702" s="276"/>
      <c r="BM702" s="63"/>
      <c r="BN702" s="63"/>
      <c r="BO702" s="63"/>
      <c r="BP702" s="167"/>
      <c r="BQ702" s="64">
        <f t="shared" si="284"/>
        <v>0</v>
      </c>
    </row>
    <row r="703" spans="1:69" x14ac:dyDescent="0.15">
      <c r="A703" s="53" t="s">
        <v>98</v>
      </c>
      <c r="B703" s="54">
        <v>1</v>
      </c>
      <c r="C703" s="55"/>
      <c r="D703" s="55"/>
      <c r="E703" s="55"/>
      <c r="F703" s="56">
        <f t="shared" si="266"/>
        <v>1</v>
      </c>
      <c r="G703" s="54"/>
      <c r="H703" s="55">
        <v>2</v>
      </c>
      <c r="I703" s="55"/>
      <c r="J703" s="55">
        <v>1</v>
      </c>
      <c r="K703" s="56">
        <f t="shared" si="267"/>
        <v>3</v>
      </c>
      <c r="L703" s="54"/>
      <c r="M703" s="55">
        <v>1</v>
      </c>
      <c r="N703" s="55"/>
      <c r="O703" s="55"/>
      <c r="P703" s="56">
        <f t="shared" si="268"/>
        <v>1</v>
      </c>
      <c r="Q703" s="54"/>
      <c r="R703" s="55">
        <f>1+1</f>
        <v>2</v>
      </c>
      <c r="S703" s="55"/>
      <c r="T703" s="55"/>
      <c r="U703" s="176">
        <f t="shared" si="269"/>
        <v>2</v>
      </c>
      <c r="V703" s="56">
        <f t="shared" si="270"/>
        <v>7</v>
      </c>
      <c r="W703" s="329">
        <v>44776</v>
      </c>
      <c r="X703" s="326"/>
      <c r="Y703" s="326"/>
      <c r="Z703" s="326"/>
      <c r="AC703" s="269" t="s">
        <v>440</v>
      </c>
      <c r="AD703" s="54"/>
      <c r="AE703" s="55"/>
      <c r="AF703" s="55"/>
      <c r="AG703" s="55"/>
      <c r="AH703" s="56">
        <f t="shared" si="274"/>
        <v>0</v>
      </c>
      <c r="AI703" s="54"/>
      <c r="AJ703" s="55"/>
      <c r="AK703" s="55"/>
      <c r="AL703" s="55"/>
      <c r="AM703" s="56">
        <f t="shared" si="275"/>
        <v>0</v>
      </c>
      <c r="AN703" s="54"/>
      <c r="AO703" s="55"/>
      <c r="AP703" s="55"/>
      <c r="AQ703" s="55"/>
      <c r="AR703" s="56">
        <f t="shared" si="281"/>
        <v>0</v>
      </c>
      <c r="AS703" s="54"/>
      <c r="AT703" s="55">
        <v>2</v>
      </c>
      <c r="AU703" s="55">
        <v>2</v>
      </c>
      <c r="AV703" s="55"/>
      <c r="AW703" s="176">
        <f t="shared" si="282"/>
        <v>4</v>
      </c>
      <c r="AX703" s="56">
        <f t="shared" si="271"/>
        <v>4</v>
      </c>
      <c r="AY703" s="329">
        <v>44789</v>
      </c>
      <c r="AZ703" s="326"/>
      <c r="BE703" s="277"/>
      <c r="BF703" s="54"/>
      <c r="BG703" s="55"/>
      <c r="BH703" s="55"/>
      <c r="BI703" s="55"/>
      <c r="BJ703" s="56">
        <f t="shared" si="283"/>
        <v>0</v>
      </c>
      <c r="BL703" s="277"/>
      <c r="BM703" s="54"/>
      <c r="BN703" s="55"/>
      <c r="BO703" s="55"/>
      <c r="BP703" s="55"/>
      <c r="BQ703" s="56">
        <f t="shared" si="284"/>
        <v>0</v>
      </c>
    </row>
    <row r="704" spans="1:69" x14ac:dyDescent="0.15">
      <c r="A704" s="53" t="s">
        <v>437</v>
      </c>
      <c r="B704" s="17"/>
      <c r="C704" s="18"/>
      <c r="D704" s="18"/>
      <c r="E704" s="18"/>
      <c r="F704" s="30">
        <f t="shared" si="266"/>
        <v>0</v>
      </c>
      <c r="G704" s="17"/>
      <c r="H704" s="18"/>
      <c r="I704" s="18"/>
      <c r="J704" s="18"/>
      <c r="K704" s="30">
        <f t="shared" si="267"/>
        <v>0</v>
      </c>
      <c r="L704" s="17"/>
      <c r="M704" s="18"/>
      <c r="N704" s="18"/>
      <c r="O704" s="18"/>
      <c r="P704" s="30">
        <f t="shared" si="268"/>
        <v>0</v>
      </c>
      <c r="Q704" s="17"/>
      <c r="R704" s="18"/>
      <c r="S704" s="18">
        <v>-5</v>
      </c>
      <c r="T704" s="18"/>
      <c r="U704" s="178">
        <f t="shared" si="269"/>
        <v>-5</v>
      </c>
      <c r="V704" s="56">
        <f t="shared" si="270"/>
        <v>-5</v>
      </c>
      <c r="W704" s="329">
        <v>44777</v>
      </c>
      <c r="X704" s="326"/>
      <c r="Y704" s="326"/>
      <c r="Z704" s="326"/>
      <c r="AC704" s="276" t="s">
        <v>441</v>
      </c>
      <c r="AD704" s="54"/>
      <c r="AE704" s="55"/>
      <c r="AF704" s="55"/>
      <c r="AG704" s="55"/>
      <c r="AH704" s="56">
        <f t="shared" si="274"/>
        <v>0</v>
      </c>
      <c r="AI704" s="54"/>
      <c r="AJ704" s="55">
        <v>12</v>
      </c>
      <c r="AK704" s="55"/>
      <c r="AL704" s="55"/>
      <c r="AM704" s="56">
        <f t="shared" si="275"/>
        <v>12</v>
      </c>
      <c r="AN704" s="54"/>
      <c r="AO704" s="55"/>
      <c r="AP704" s="55"/>
      <c r="AQ704" s="55"/>
      <c r="AR704" s="56">
        <f t="shared" si="281"/>
        <v>0</v>
      </c>
      <c r="AS704" s="54"/>
      <c r="AT704" s="55"/>
      <c r="AU704" s="55"/>
      <c r="AV704" s="55"/>
      <c r="AW704" s="176">
        <f t="shared" si="282"/>
        <v>0</v>
      </c>
      <c r="AX704" s="56">
        <f t="shared" si="271"/>
        <v>12</v>
      </c>
      <c r="AY704" s="329">
        <v>44795</v>
      </c>
      <c r="AZ704" s="326"/>
      <c r="BE704" s="276"/>
      <c r="BF704" s="54"/>
      <c r="BG704" s="55"/>
      <c r="BH704" s="55"/>
      <c r="BI704" s="55"/>
      <c r="BJ704" s="56">
        <f t="shared" si="283"/>
        <v>0</v>
      </c>
      <c r="BL704" s="276"/>
      <c r="BM704" s="54"/>
      <c r="BN704" s="55"/>
      <c r="BO704" s="55"/>
      <c r="BP704" s="55"/>
      <c r="BQ704" s="56">
        <f t="shared" si="284"/>
        <v>0</v>
      </c>
    </row>
    <row r="705" spans="1:69" x14ac:dyDescent="0.15">
      <c r="A705" s="53" t="s">
        <v>98</v>
      </c>
      <c r="B705" s="54">
        <v>1</v>
      </c>
      <c r="C705" s="55"/>
      <c r="D705" s="55">
        <v>1</v>
      </c>
      <c r="E705" s="55">
        <v>1</v>
      </c>
      <c r="F705" s="56">
        <f t="shared" si="266"/>
        <v>3</v>
      </c>
      <c r="G705" s="54"/>
      <c r="H705" s="55">
        <v>1</v>
      </c>
      <c r="I705" s="55"/>
      <c r="J705" s="55"/>
      <c r="K705" s="56">
        <f t="shared" si="267"/>
        <v>1</v>
      </c>
      <c r="L705" s="54">
        <v>1</v>
      </c>
      <c r="M705" s="55">
        <v>2</v>
      </c>
      <c r="N705" s="55"/>
      <c r="O705" s="55"/>
      <c r="P705" s="56">
        <f t="shared" si="268"/>
        <v>3</v>
      </c>
      <c r="Q705" s="54"/>
      <c r="R705" s="55"/>
      <c r="S705" s="55">
        <v>2</v>
      </c>
      <c r="T705" s="55"/>
      <c r="U705" s="176">
        <f t="shared" si="269"/>
        <v>2</v>
      </c>
      <c r="V705" s="56">
        <f t="shared" si="270"/>
        <v>9</v>
      </c>
      <c r="W705" s="328">
        <v>44777</v>
      </c>
      <c r="X705" s="326"/>
      <c r="Y705" s="326"/>
      <c r="Z705" s="326"/>
      <c r="AC705" s="276"/>
      <c r="AD705" s="54"/>
      <c r="AE705" s="55"/>
      <c r="AF705" s="55"/>
      <c r="AG705" s="55"/>
      <c r="AH705" s="56">
        <f t="shared" si="274"/>
        <v>0</v>
      </c>
      <c r="AI705" s="54"/>
      <c r="AJ705" s="55"/>
      <c r="AK705" s="55"/>
      <c r="AL705" s="55"/>
      <c r="AM705" s="56">
        <f t="shared" si="275"/>
        <v>0</v>
      </c>
      <c r="AN705" s="54"/>
      <c r="AO705" s="55"/>
      <c r="AP705" s="55"/>
      <c r="AQ705" s="55"/>
      <c r="AR705" s="56">
        <f t="shared" si="281"/>
        <v>0</v>
      </c>
      <c r="AS705" s="54"/>
      <c r="AT705" s="55"/>
      <c r="AU705" s="55"/>
      <c r="AV705" s="55"/>
      <c r="AW705" s="176">
        <f t="shared" si="282"/>
        <v>0</v>
      </c>
      <c r="AX705" s="56">
        <f t="shared" si="271"/>
        <v>0</v>
      </c>
      <c r="AY705" s="330"/>
      <c r="AZ705" s="326"/>
      <c r="BE705" s="277"/>
      <c r="BF705" s="54"/>
      <c r="BG705" s="55"/>
      <c r="BH705" s="55"/>
      <c r="BI705" s="55"/>
      <c r="BJ705" s="56">
        <f t="shared" si="283"/>
        <v>0</v>
      </c>
      <c r="BL705" s="277"/>
      <c r="BM705" s="54"/>
      <c r="BN705" s="55"/>
      <c r="BO705" s="55"/>
      <c r="BP705" s="55"/>
      <c r="BQ705" s="56">
        <f t="shared" si="284"/>
        <v>0</v>
      </c>
    </row>
    <row r="706" spans="1:69" x14ac:dyDescent="0.15">
      <c r="A706" s="53" t="s">
        <v>98</v>
      </c>
      <c r="B706" s="62"/>
      <c r="C706" s="63">
        <v>1</v>
      </c>
      <c r="D706" s="63"/>
      <c r="E706" s="63">
        <v>1</v>
      </c>
      <c r="F706" s="56">
        <f t="shared" si="266"/>
        <v>2</v>
      </c>
      <c r="G706" s="62">
        <v>2</v>
      </c>
      <c r="H706" s="63">
        <v>4</v>
      </c>
      <c r="I706" s="63"/>
      <c r="J706" s="63">
        <v>3</v>
      </c>
      <c r="K706" s="56">
        <f t="shared" si="267"/>
        <v>9</v>
      </c>
      <c r="L706" s="62"/>
      <c r="M706" s="63"/>
      <c r="N706" s="63">
        <v>1</v>
      </c>
      <c r="O706" s="63"/>
      <c r="P706" s="56">
        <f t="shared" si="268"/>
        <v>1</v>
      </c>
      <c r="Q706" s="62"/>
      <c r="R706" s="63">
        <v>1</v>
      </c>
      <c r="S706" s="63">
        <v>2</v>
      </c>
      <c r="T706" s="63"/>
      <c r="U706" s="176">
        <f t="shared" si="269"/>
        <v>3</v>
      </c>
      <c r="V706" s="56">
        <f t="shared" si="270"/>
        <v>15</v>
      </c>
      <c r="W706" s="328">
        <v>44778</v>
      </c>
      <c r="X706" s="326"/>
      <c r="Y706" s="326"/>
      <c r="Z706" s="326"/>
      <c r="AC706" s="276" t="s">
        <v>325</v>
      </c>
      <c r="AD706" s="62"/>
      <c r="AE706" s="63"/>
      <c r="AF706" s="63"/>
      <c r="AG706" s="63"/>
      <c r="AH706" s="56">
        <f t="shared" si="274"/>
        <v>0</v>
      </c>
      <c r="AI706" s="62"/>
      <c r="AJ706" s="63"/>
      <c r="AK706" s="63"/>
      <c r="AL706" s="63"/>
      <c r="AM706" s="56">
        <f t="shared" si="275"/>
        <v>0</v>
      </c>
      <c r="AN706" s="62"/>
      <c r="AO706" s="63"/>
      <c r="AP706" s="63"/>
      <c r="AQ706" s="63"/>
      <c r="AR706" s="56">
        <f t="shared" si="281"/>
        <v>0</v>
      </c>
      <c r="AS706" s="62"/>
      <c r="AT706" s="63"/>
      <c r="AU706" s="63"/>
      <c r="AV706" s="63"/>
      <c r="AW706" s="176">
        <f t="shared" si="282"/>
        <v>0</v>
      </c>
      <c r="AX706" s="56">
        <f t="shared" si="271"/>
        <v>0</v>
      </c>
      <c r="AY706" s="330"/>
      <c r="AZ706" s="326"/>
      <c r="BE706" s="268"/>
      <c r="BF706" s="62"/>
      <c r="BG706" s="63"/>
      <c r="BH706" s="63"/>
      <c r="BI706" s="63"/>
      <c r="BJ706" s="56">
        <f t="shared" si="283"/>
        <v>0</v>
      </c>
      <c r="BL706" s="268"/>
      <c r="BM706" s="62"/>
      <c r="BN706" s="63"/>
      <c r="BO706" s="63"/>
      <c r="BP706" s="63"/>
      <c r="BQ706" s="56">
        <f t="shared" si="284"/>
        <v>0</v>
      </c>
    </row>
    <row r="707" spans="1:69" x14ac:dyDescent="0.15">
      <c r="A707" s="53" t="s">
        <v>439</v>
      </c>
      <c r="B707" s="54">
        <v>-5</v>
      </c>
      <c r="C707" s="55">
        <v>-5</v>
      </c>
      <c r="D707" s="55"/>
      <c r="E707" s="55"/>
      <c r="F707" s="56">
        <f t="shared" si="266"/>
        <v>-10</v>
      </c>
      <c r="G707" s="54">
        <v>-5</v>
      </c>
      <c r="H707" s="55">
        <v>-10</v>
      </c>
      <c r="I707" s="55"/>
      <c r="J707" s="55"/>
      <c r="K707" s="56">
        <f t="shared" si="267"/>
        <v>-15</v>
      </c>
      <c r="L707" s="54"/>
      <c r="M707" s="55"/>
      <c r="N707" s="55"/>
      <c r="O707" s="55"/>
      <c r="P707" s="56">
        <f t="shared" si="268"/>
        <v>0</v>
      </c>
      <c r="Q707" s="54"/>
      <c r="R707" s="55"/>
      <c r="S707" s="55">
        <v>-5</v>
      </c>
      <c r="T707" s="55"/>
      <c r="U707" s="176">
        <f t="shared" si="269"/>
        <v>-5</v>
      </c>
      <c r="V707" s="56">
        <f t="shared" si="270"/>
        <v>-30</v>
      </c>
      <c r="W707" s="329">
        <v>44779</v>
      </c>
      <c r="X707" s="326"/>
      <c r="Y707" s="326"/>
      <c r="Z707" s="326"/>
      <c r="AC707" s="276" t="s">
        <v>329</v>
      </c>
      <c r="AD707" s="54">
        <f>10-10</f>
        <v>0</v>
      </c>
      <c r="AE707" s="55">
        <v>0</v>
      </c>
      <c r="AF707" s="55">
        <v>0</v>
      </c>
      <c r="AG707" s="55">
        <v>0</v>
      </c>
      <c r="AH707" s="56">
        <f t="shared" si="274"/>
        <v>0</v>
      </c>
      <c r="AI707" s="54">
        <f>10-10</f>
        <v>0</v>
      </c>
      <c r="AJ707" s="55">
        <v>0</v>
      </c>
      <c r="AK707" s="55">
        <v>0</v>
      </c>
      <c r="AL707" s="55">
        <v>0</v>
      </c>
      <c r="AM707" s="56">
        <f t="shared" si="275"/>
        <v>0</v>
      </c>
      <c r="AN707" s="54">
        <f>10-10</f>
        <v>0</v>
      </c>
      <c r="AO707" s="55">
        <v>0</v>
      </c>
      <c r="AP707" s="55">
        <v>0</v>
      </c>
      <c r="AQ707" s="55">
        <v>0</v>
      </c>
      <c r="AR707" s="56">
        <f t="shared" si="281"/>
        <v>0</v>
      </c>
      <c r="AS707" s="54">
        <f>10-10</f>
        <v>0</v>
      </c>
      <c r="AT707" s="55">
        <v>0</v>
      </c>
      <c r="AU707" s="55">
        <v>0</v>
      </c>
      <c r="AV707" s="55">
        <v>0</v>
      </c>
      <c r="AW707" s="176">
        <f t="shared" si="282"/>
        <v>0</v>
      </c>
      <c r="AX707" s="56">
        <f t="shared" si="271"/>
        <v>0</v>
      </c>
      <c r="AY707" s="330" t="s">
        <v>335</v>
      </c>
      <c r="AZ707" s="326"/>
      <c r="BE707" s="268"/>
      <c r="BF707" s="54"/>
      <c r="BG707" s="55"/>
      <c r="BH707" s="55"/>
      <c r="BI707" s="55"/>
      <c r="BJ707" s="56">
        <f t="shared" si="283"/>
        <v>0</v>
      </c>
      <c r="BL707" s="268"/>
      <c r="BM707" s="54"/>
      <c r="BN707" s="55"/>
      <c r="BO707" s="55"/>
      <c r="BP707" s="55"/>
      <c r="BQ707" s="56">
        <f t="shared" si="284"/>
        <v>0</v>
      </c>
    </row>
    <row r="708" spans="1:69" x14ac:dyDescent="0.15">
      <c r="A708" s="53" t="s">
        <v>121</v>
      </c>
      <c r="B708" s="54"/>
      <c r="C708" s="55"/>
      <c r="D708" s="55"/>
      <c r="E708" s="55"/>
      <c r="F708" s="56">
        <f t="shared" si="266"/>
        <v>0</v>
      </c>
      <c r="G708" s="54">
        <v>-1</v>
      </c>
      <c r="H708" s="55"/>
      <c r="I708" s="55"/>
      <c r="J708" s="55"/>
      <c r="K708" s="56">
        <f t="shared" si="267"/>
        <v>-1</v>
      </c>
      <c r="L708" s="54"/>
      <c r="M708" s="55"/>
      <c r="N708" s="55"/>
      <c r="O708" s="55"/>
      <c r="P708" s="56">
        <f t="shared" si="268"/>
        <v>0</v>
      </c>
      <c r="Q708" s="54"/>
      <c r="R708" s="55"/>
      <c r="S708" s="55"/>
      <c r="T708" s="55"/>
      <c r="U708" s="176">
        <f t="shared" si="269"/>
        <v>0</v>
      </c>
      <c r="V708" s="56">
        <f t="shared" si="270"/>
        <v>-1</v>
      </c>
      <c r="W708" s="329">
        <v>44778</v>
      </c>
      <c r="X708" s="326"/>
      <c r="Y708" s="326"/>
      <c r="Z708" s="326"/>
      <c r="AC708" s="276" t="s">
        <v>330</v>
      </c>
      <c r="AD708" s="33">
        <v>0</v>
      </c>
      <c r="AE708" s="34">
        <f>10-3-3-3-1</f>
        <v>0</v>
      </c>
      <c r="AF708" s="34">
        <v>0</v>
      </c>
      <c r="AG708" s="34">
        <v>0</v>
      </c>
      <c r="AH708" s="30">
        <f t="shared" si="274"/>
        <v>0</v>
      </c>
      <c r="AI708" s="33">
        <v>0</v>
      </c>
      <c r="AJ708" s="34">
        <f>10-3-3-3-1</f>
        <v>0</v>
      </c>
      <c r="AK708" s="34">
        <v>0</v>
      </c>
      <c r="AL708" s="34">
        <v>0</v>
      </c>
      <c r="AM708" s="30">
        <f t="shared" si="275"/>
        <v>0</v>
      </c>
      <c r="AN708" s="33">
        <v>0</v>
      </c>
      <c r="AO708" s="34">
        <f>10-3-3-3-1</f>
        <v>0</v>
      </c>
      <c r="AP708" s="34">
        <v>0</v>
      </c>
      <c r="AQ708" s="34">
        <v>0</v>
      </c>
      <c r="AR708" s="30">
        <f t="shared" si="281"/>
        <v>0</v>
      </c>
      <c r="AS708" s="33">
        <v>0</v>
      </c>
      <c r="AT708" s="34">
        <f>10-3-3-3-1</f>
        <v>0</v>
      </c>
      <c r="AU708" s="34">
        <v>0</v>
      </c>
      <c r="AV708" s="34">
        <v>0</v>
      </c>
      <c r="AW708" s="178">
        <f t="shared" si="282"/>
        <v>0</v>
      </c>
      <c r="AX708" s="170">
        <f t="shared" si="271"/>
        <v>0</v>
      </c>
      <c r="AY708" s="330" t="s">
        <v>335</v>
      </c>
      <c r="AZ708" s="326"/>
      <c r="BE708" s="268"/>
      <c r="BF708" s="62"/>
      <c r="BG708" s="63"/>
      <c r="BH708" s="63"/>
      <c r="BI708" s="63"/>
      <c r="BJ708" s="56">
        <f t="shared" si="283"/>
        <v>0</v>
      </c>
      <c r="BL708" s="268"/>
      <c r="BM708" s="62"/>
      <c r="BN708" s="63"/>
      <c r="BO708" s="63"/>
      <c r="BP708" s="63"/>
      <c r="BQ708" s="56">
        <f t="shared" si="284"/>
        <v>0</v>
      </c>
    </row>
    <row r="709" spans="1:69" x14ac:dyDescent="0.15">
      <c r="A709" s="53" t="s">
        <v>98</v>
      </c>
      <c r="B709" s="54"/>
      <c r="C709" s="55"/>
      <c r="D709" s="55"/>
      <c r="E709" s="55"/>
      <c r="F709" s="56">
        <f t="shared" si="266"/>
        <v>0</v>
      </c>
      <c r="G709" s="54">
        <v>4</v>
      </c>
      <c r="H709" s="55">
        <v>1</v>
      </c>
      <c r="I709" s="55">
        <v>1</v>
      </c>
      <c r="J709" s="55"/>
      <c r="K709" s="56">
        <f t="shared" si="267"/>
        <v>6</v>
      </c>
      <c r="L709" s="54"/>
      <c r="M709" s="55"/>
      <c r="N709" s="55">
        <v>1</v>
      </c>
      <c r="O709" s="55"/>
      <c r="P709" s="56">
        <f t="shared" si="268"/>
        <v>1</v>
      </c>
      <c r="Q709" s="54"/>
      <c r="R709" s="55">
        <v>2</v>
      </c>
      <c r="S709" s="55">
        <v>1</v>
      </c>
      <c r="T709" s="55"/>
      <c r="U709" s="176">
        <f t="shared" si="269"/>
        <v>3</v>
      </c>
      <c r="V709" s="56">
        <f t="shared" si="270"/>
        <v>10</v>
      </c>
      <c r="W709" s="329">
        <v>44779</v>
      </c>
      <c r="X709" s="326"/>
      <c r="Y709" s="326"/>
      <c r="Z709" s="326"/>
      <c r="AC709" s="269" t="s">
        <v>332</v>
      </c>
      <c r="AD709" s="54">
        <f>10-10</f>
        <v>0</v>
      </c>
      <c r="AE709" s="55">
        <v>0</v>
      </c>
      <c r="AF709" s="55">
        <v>0</v>
      </c>
      <c r="AG709" s="55">
        <v>0</v>
      </c>
      <c r="AH709" s="56">
        <f t="shared" si="274"/>
        <v>0</v>
      </c>
      <c r="AI709" s="54">
        <f>10-10</f>
        <v>0</v>
      </c>
      <c r="AJ709" s="55">
        <v>0</v>
      </c>
      <c r="AK709" s="55">
        <v>0</v>
      </c>
      <c r="AL709" s="55">
        <v>0</v>
      </c>
      <c r="AM709" s="56">
        <f t="shared" si="275"/>
        <v>0</v>
      </c>
      <c r="AN709" s="54">
        <f>10-10</f>
        <v>0</v>
      </c>
      <c r="AO709" s="55">
        <v>0</v>
      </c>
      <c r="AP709" s="55">
        <v>0</v>
      </c>
      <c r="AQ709" s="55">
        <v>0</v>
      </c>
      <c r="AR709" s="56">
        <f t="shared" si="281"/>
        <v>0</v>
      </c>
      <c r="AS709" s="54">
        <f>10-10</f>
        <v>0</v>
      </c>
      <c r="AT709" s="55">
        <v>0</v>
      </c>
      <c r="AU709" s="55">
        <v>0</v>
      </c>
      <c r="AV709" s="55">
        <v>0</v>
      </c>
      <c r="AW709" s="176">
        <f t="shared" si="282"/>
        <v>0</v>
      </c>
      <c r="AX709" s="56">
        <f t="shared" si="271"/>
        <v>0</v>
      </c>
      <c r="AY709" s="330" t="s">
        <v>334</v>
      </c>
      <c r="AZ709" s="326"/>
      <c r="BE709" s="277"/>
      <c r="BF709" s="54"/>
      <c r="BG709" s="55"/>
      <c r="BH709" s="55"/>
      <c r="BI709" s="55"/>
      <c r="BJ709" s="56">
        <f t="shared" si="283"/>
        <v>0</v>
      </c>
      <c r="BL709" s="277"/>
      <c r="BM709" s="54"/>
      <c r="BN709" s="55"/>
      <c r="BO709" s="55"/>
      <c r="BP709" s="55"/>
      <c r="BQ709" s="56">
        <f t="shared" si="284"/>
        <v>0</v>
      </c>
    </row>
    <row r="710" spans="1:69" ht="14.25" thickBot="1" x14ac:dyDescent="0.2">
      <c r="A710" s="53" t="s">
        <v>98</v>
      </c>
      <c r="B710" s="33"/>
      <c r="C710" s="34">
        <v>1</v>
      </c>
      <c r="D710" s="34"/>
      <c r="E710" s="34">
        <v>1</v>
      </c>
      <c r="F710" s="30">
        <f t="shared" si="266"/>
        <v>2</v>
      </c>
      <c r="G710" s="33">
        <v>1</v>
      </c>
      <c r="H710" s="34">
        <f>5+1</f>
        <v>6</v>
      </c>
      <c r="I710" s="34">
        <v>2</v>
      </c>
      <c r="J710" s="34">
        <f>1+1</f>
        <v>2</v>
      </c>
      <c r="K710" s="30">
        <f t="shared" si="267"/>
        <v>11</v>
      </c>
      <c r="L710" s="33">
        <v>1</v>
      </c>
      <c r="M710" s="34"/>
      <c r="N710" s="34"/>
      <c r="O710" s="34">
        <v>1</v>
      </c>
      <c r="P710" s="30">
        <f t="shared" si="268"/>
        <v>2</v>
      </c>
      <c r="Q710" s="33">
        <v>2</v>
      </c>
      <c r="R710" s="34">
        <v>1</v>
      </c>
      <c r="S710" s="34">
        <v>3</v>
      </c>
      <c r="T710" s="34"/>
      <c r="U710" s="178">
        <f t="shared" si="269"/>
        <v>6</v>
      </c>
      <c r="V710" s="170">
        <f t="shared" si="270"/>
        <v>21</v>
      </c>
      <c r="W710" s="328">
        <v>44781</v>
      </c>
      <c r="X710" s="326"/>
      <c r="Y710" s="326"/>
      <c r="Z710" s="326"/>
      <c r="AC710" s="282" t="s">
        <v>333</v>
      </c>
      <c r="AD710" s="54">
        <f>10-10</f>
        <v>0</v>
      </c>
      <c r="AE710" s="55">
        <v>0</v>
      </c>
      <c r="AF710" s="55">
        <v>0</v>
      </c>
      <c r="AG710" s="55">
        <v>0</v>
      </c>
      <c r="AH710" s="30">
        <f t="shared" si="274"/>
        <v>0</v>
      </c>
      <c r="AI710" s="54">
        <f>10-10</f>
        <v>0</v>
      </c>
      <c r="AJ710" s="55">
        <v>0</v>
      </c>
      <c r="AK710" s="55">
        <v>0</v>
      </c>
      <c r="AL710" s="55">
        <v>0</v>
      </c>
      <c r="AM710" s="30">
        <f t="shared" si="275"/>
        <v>0</v>
      </c>
      <c r="AN710" s="54">
        <f>10-10</f>
        <v>0</v>
      </c>
      <c r="AO710" s="55">
        <v>0</v>
      </c>
      <c r="AP710" s="55">
        <v>0</v>
      </c>
      <c r="AQ710" s="55">
        <v>0</v>
      </c>
      <c r="AR710" s="30">
        <f t="shared" si="281"/>
        <v>0</v>
      </c>
      <c r="AS710" s="54">
        <f>10-10</f>
        <v>0</v>
      </c>
      <c r="AT710" s="55">
        <v>0</v>
      </c>
      <c r="AU710" s="55">
        <v>0</v>
      </c>
      <c r="AV710" s="55">
        <v>0</v>
      </c>
      <c r="AW710" s="178">
        <f t="shared" si="282"/>
        <v>0</v>
      </c>
      <c r="AX710" s="170">
        <f t="shared" si="271"/>
        <v>0</v>
      </c>
      <c r="AY710" s="330" t="s">
        <v>334</v>
      </c>
      <c r="AZ710" s="326"/>
      <c r="BE710" s="282"/>
      <c r="BF710" s="33"/>
      <c r="BG710" s="34"/>
      <c r="BH710" s="34"/>
      <c r="BI710" s="34"/>
      <c r="BJ710" s="30">
        <f t="shared" si="283"/>
        <v>0</v>
      </c>
      <c r="BL710" s="282"/>
      <c r="BM710" s="33"/>
      <c r="BN710" s="34"/>
      <c r="BO710" s="34"/>
      <c r="BP710" s="34"/>
      <c r="BQ710" s="30">
        <f t="shared" si="284"/>
        <v>0</v>
      </c>
    </row>
    <row r="711" spans="1:69" ht="15" thickBot="1" x14ac:dyDescent="0.2">
      <c r="A711" s="9" t="s">
        <v>15</v>
      </c>
      <c r="B711" s="36">
        <f>SUM(B685:B710)</f>
        <v>4</v>
      </c>
      <c r="C711" s="37">
        <f>SUM(C685:C710)</f>
        <v>4</v>
      </c>
      <c r="D711" s="37">
        <f>SUM(D685:D710)</f>
        <v>8</v>
      </c>
      <c r="E711" s="38">
        <f>SUM(E685:E710)</f>
        <v>13</v>
      </c>
      <c r="F711" s="25">
        <f t="shared" si="266"/>
        <v>29</v>
      </c>
      <c r="G711" s="36">
        <f>SUM(G685:G710)</f>
        <v>20</v>
      </c>
      <c r="H711" s="37">
        <f>SUM(H685:H710)</f>
        <v>27</v>
      </c>
      <c r="I711" s="37">
        <f>SUM(I685:I710)</f>
        <v>8</v>
      </c>
      <c r="J711" s="38">
        <f>SUM(J685:J710)</f>
        <v>24</v>
      </c>
      <c r="K711" s="25">
        <f t="shared" si="267"/>
        <v>79</v>
      </c>
      <c r="L711" s="36">
        <f>SUM(L685:L710)</f>
        <v>4</v>
      </c>
      <c r="M711" s="37">
        <f>SUM(M685:M710)</f>
        <v>8</v>
      </c>
      <c r="N711" s="37">
        <f>SUM(N685:N710)</f>
        <v>7</v>
      </c>
      <c r="O711" s="38">
        <f>SUM(O685:O710)</f>
        <v>5</v>
      </c>
      <c r="P711" s="25">
        <f t="shared" si="268"/>
        <v>24</v>
      </c>
      <c r="Q711" s="36">
        <f>SUM(Q685:Q710)</f>
        <v>12</v>
      </c>
      <c r="R711" s="37">
        <f>SUM(R685:R710)</f>
        <v>21</v>
      </c>
      <c r="S711" s="37">
        <f>SUM(S685:S710)</f>
        <v>14</v>
      </c>
      <c r="T711" s="38">
        <f>SUM(T685:T710)</f>
        <v>14</v>
      </c>
      <c r="U711" s="36">
        <f t="shared" si="269"/>
        <v>61</v>
      </c>
      <c r="V711" s="77">
        <f t="shared" si="270"/>
        <v>193</v>
      </c>
      <c r="W711" s="325"/>
      <c r="X711" s="326"/>
      <c r="Y711" s="326"/>
      <c r="Z711" s="326"/>
      <c r="AC711" s="278" t="s">
        <v>15</v>
      </c>
      <c r="AD711" s="36">
        <f>SUM(AD685:AD710)</f>
        <v>43</v>
      </c>
      <c r="AE711" s="37">
        <f>SUM(AE685:AE710)</f>
        <v>43</v>
      </c>
      <c r="AF711" s="37">
        <f>SUM(AF685:AF710)</f>
        <v>19</v>
      </c>
      <c r="AG711" s="38">
        <f>SUM(AG685:AG710)</f>
        <v>22</v>
      </c>
      <c r="AH711" s="25">
        <f t="shared" si="274"/>
        <v>127</v>
      </c>
      <c r="AI711" s="36">
        <f>SUM(AI685:AI710)</f>
        <v>70</v>
      </c>
      <c r="AJ711" s="37">
        <f>SUM(AJ685:AJ710)</f>
        <v>99</v>
      </c>
      <c r="AK711" s="37">
        <f>SUM(AK685:AK710)</f>
        <v>15</v>
      </c>
      <c r="AL711" s="38">
        <f>SUM(AL685:AL710)</f>
        <v>40</v>
      </c>
      <c r="AM711" s="25">
        <f t="shared" si="275"/>
        <v>224</v>
      </c>
      <c r="AN711" s="36">
        <f>SUM(AN685:AN710)</f>
        <v>5</v>
      </c>
      <c r="AO711" s="37">
        <f>SUM(AO685:AO710)</f>
        <v>5</v>
      </c>
      <c r="AP711" s="37">
        <f>SUM(AP685:AP710)</f>
        <v>5</v>
      </c>
      <c r="AQ711" s="38">
        <f>SUM(AQ685:AQ710)</f>
        <v>0</v>
      </c>
      <c r="AR711" s="25">
        <f t="shared" si="281"/>
        <v>15</v>
      </c>
      <c r="AS711" s="36">
        <f>SUM(AS685:AS710)</f>
        <v>41</v>
      </c>
      <c r="AT711" s="37">
        <f>SUM(AT685:AT710)</f>
        <v>43</v>
      </c>
      <c r="AU711" s="37">
        <f>SUM(AU685:AU710)</f>
        <v>43</v>
      </c>
      <c r="AV711" s="38">
        <f>SUM(AV685:AV710)</f>
        <v>18</v>
      </c>
      <c r="AW711" s="36">
        <f t="shared" si="282"/>
        <v>145</v>
      </c>
      <c r="AX711" s="161">
        <f t="shared" si="271"/>
        <v>511</v>
      </c>
      <c r="AY711" s="325"/>
      <c r="AZ711" s="326"/>
      <c r="BE711" s="278" t="s">
        <v>15</v>
      </c>
      <c r="BF711" s="36">
        <f>SUM(BF685:BF710)</f>
        <v>4</v>
      </c>
      <c r="BG711" s="302">
        <f>SUM(BG685:BG710)</f>
        <v>0</v>
      </c>
      <c r="BH711" s="37">
        <f>SUM(BH685:BH710)</f>
        <v>6</v>
      </c>
      <c r="BI711" s="38">
        <f>SUM(BI685:BI710)</f>
        <v>8</v>
      </c>
      <c r="BJ711" s="25">
        <f t="shared" si="283"/>
        <v>18</v>
      </c>
      <c r="BL711" s="278" t="s">
        <v>15</v>
      </c>
      <c r="BM711" s="312">
        <f>SUM(BM685:BM710)</f>
        <v>0</v>
      </c>
      <c r="BN711" s="302">
        <f>SUM(BN685:BN710)</f>
        <v>0</v>
      </c>
      <c r="BO711" s="37">
        <f>SUM(BO685:BO710)</f>
        <v>10</v>
      </c>
      <c r="BP711" s="38">
        <f>SUM(BP685:BP710)</f>
        <v>11</v>
      </c>
      <c r="BQ711" s="25">
        <f t="shared" si="284"/>
        <v>21</v>
      </c>
    </row>
    <row r="712" spans="1:69" ht="14.25" thickBot="1" x14ac:dyDescent="0.2">
      <c r="A712" s="39" t="s">
        <v>16</v>
      </c>
      <c r="B712" s="40">
        <f>B684-B711</f>
        <v>11</v>
      </c>
      <c r="C712" s="41">
        <f>C684-C711</f>
        <v>10</v>
      </c>
      <c r="D712" s="41">
        <f>D684-D711</f>
        <v>11</v>
      </c>
      <c r="E712" s="42">
        <f>E684-E711</f>
        <v>5</v>
      </c>
      <c r="F712" s="171">
        <f t="shared" si="266"/>
        <v>37</v>
      </c>
      <c r="G712" s="40">
        <f>G684-G711</f>
        <v>5</v>
      </c>
      <c r="H712" s="41">
        <f>H684-H711</f>
        <v>4</v>
      </c>
      <c r="I712" s="41">
        <f>I684-I711</f>
        <v>7</v>
      </c>
      <c r="J712" s="42">
        <f>J684-J711</f>
        <v>3</v>
      </c>
      <c r="K712" s="171">
        <f t="shared" si="267"/>
        <v>19</v>
      </c>
      <c r="L712" s="40">
        <f>L684-L711</f>
        <v>4</v>
      </c>
      <c r="M712" s="41">
        <f>M684-M711</f>
        <v>7</v>
      </c>
      <c r="N712" s="41">
        <f>N684-N711</f>
        <v>14</v>
      </c>
      <c r="O712" s="42">
        <f>O684-O711</f>
        <v>13</v>
      </c>
      <c r="P712" s="171">
        <f t="shared" si="268"/>
        <v>38</v>
      </c>
      <c r="Q712" s="40">
        <f>Q684-Q711</f>
        <v>4</v>
      </c>
      <c r="R712" s="41">
        <f>R684-R711</f>
        <v>3</v>
      </c>
      <c r="S712" s="41">
        <f>S684-S711</f>
        <v>2</v>
      </c>
      <c r="T712" s="284">
        <f>T684-T711</f>
        <v>0</v>
      </c>
      <c r="U712" s="177">
        <f t="shared" si="269"/>
        <v>9</v>
      </c>
      <c r="V712" s="77">
        <f t="shared" si="270"/>
        <v>103</v>
      </c>
      <c r="W712" s="325"/>
      <c r="X712" s="326"/>
      <c r="Y712" s="326"/>
      <c r="Z712" s="326"/>
      <c r="AC712" s="279" t="s">
        <v>16</v>
      </c>
      <c r="AD712" s="40">
        <f>AD684-AD711</f>
        <v>52</v>
      </c>
      <c r="AE712" s="41">
        <f>AE684-AE711</f>
        <v>67</v>
      </c>
      <c r="AF712" s="41">
        <f>AF684-AF711</f>
        <v>142</v>
      </c>
      <c r="AG712" s="42">
        <f>AG684-AG711</f>
        <v>89</v>
      </c>
      <c r="AH712" s="171">
        <f t="shared" si="274"/>
        <v>350</v>
      </c>
      <c r="AI712" s="40">
        <f>AI684-AI711</f>
        <v>20</v>
      </c>
      <c r="AJ712" s="41">
        <f>AJ684-AJ711</f>
        <v>109</v>
      </c>
      <c r="AK712" s="41">
        <f>AK684-AK711</f>
        <v>109</v>
      </c>
      <c r="AL712" s="42">
        <f>AL684-AL711</f>
        <v>121</v>
      </c>
      <c r="AM712" s="171">
        <f t="shared" si="275"/>
        <v>359</v>
      </c>
      <c r="AN712" s="40">
        <f>AN684-AN711</f>
        <v>30</v>
      </c>
      <c r="AO712" s="41">
        <f>AO684-AO711</f>
        <v>77</v>
      </c>
      <c r="AP712" s="41">
        <f>AP684-AP711</f>
        <v>35</v>
      </c>
      <c r="AQ712" s="42">
        <f>AQ684-AQ711</f>
        <v>22</v>
      </c>
      <c r="AR712" s="171">
        <f t="shared" si="281"/>
        <v>164</v>
      </c>
      <c r="AS712" s="40">
        <f>AS684-AS711</f>
        <v>31</v>
      </c>
      <c r="AT712" s="41">
        <f>AT684-AT711</f>
        <v>1</v>
      </c>
      <c r="AU712" s="41">
        <f>AU684-AU711</f>
        <v>24</v>
      </c>
      <c r="AV712" s="284">
        <f>AV684-AV711</f>
        <v>0</v>
      </c>
      <c r="AW712" s="177">
        <f t="shared" si="282"/>
        <v>56</v>
      </c>
      <c r="AX712" s="77">
        <f t="shared" si="271"/>
        <v>929</v>
      </c>
      <c r="AY712" s="325"/>
      <c r="AZ712" s="326"/>
      <c r="BE712" s="279" t="s">
        <v>16</v>
      </c>
      <c r="BF712" s="40">
        <f>BF684-BF711</f>
        <v>2</v>
      </c>
      <c r="BG712" s="303">
        <f>BG684-BG711</f>
        <v>0</v>
      </c>
      <c r="BH712" s="41">
        <f>BH684-BH711</f>
        <v>6</v>
      </c>
      <c r="BI712" s="42">
        <f>BI684-BI711</f>
        <v>7</v>
      </c>
      <c r="BJ712" s="171">
        <f t="shared" si="283"/>
        <v>15</v>
      </c>
      <c r="BL712" s="279" t="s">
        <v>16</v>
      </c>
      <c r="BM712" s="313">
        <f>BM684-BM711</f>
        <v>0</v>
      </c>
      <c r="BN712" s="303">
        <f>BN684-BN711</f>
        <v>0</v>
      </c>
      <c r="BO712" s="41">
        <f>BO684-BO711</f>
        <v>26</v>
      </c>
      <c r="BP712" s="42">
        <f>BP684-BP711</f>
        <v>0</v>
      </c>
      <c r="BQ712" s="171">
        <f t="shared" si="284"/>
        <v>26</v>
      </c>
    </row>
    <row r="713" spans="1:69" x14ac:dyDescent="0.15">
      <c r="W713" s="325"/>
      <c r="X713" s="326"/>
      <c r="Y713" s="326"/>
      <c r="Z713" s="326"/>
      <c r="AD713" s="296">
        <f>AD711+AD669+AD627+AD585+AD543+AD501</f>
        <v>132</v>
      </c>
      <c r="AE713" s="296">
        <f t="shared" ref="AE713:AW713" si="290">AE711+AE669+AE627+AE585+AE543+AE501</f>
        <v>177</v>
      </c>
      <c r="AF713" s="296">
        <f t="shared" si="290"/>
        <v>96</v>
      </c>
      <c r="AG713" s="296">
        <f t="shared" si="290"/>
        <v>79</v>
      </c>
      <c r="AH713" s="296">
        <f t="shared" si="290"/>
        <v>484</v>
      </c>
      <c r="AI713" s="296">
        <f t="shared" si="290"/>
        <v>222</v>
      </c>
      <c r="AJ713" s="296">
        <f t="shared" si="290"/>
        <v>285</v>
      </c>
      <c r="AK713" s="296">
        <f t="shared" si="290"/>
        <v>119</v>
      </c>
      <c r="AL713" s="296">
        <f t="shared" si="290"/>
        <v>127</v>
      </c>
      <c r="AM713" s="296">
        <f t="shared" si="290"/>
        <v>753</v>
      </c>
      <c r="AN713" s="296">
        <f t="shared" si="290"/>
        <v>70</v>
      </c>
      <c r="AO713" s="296">
        <f t="shared" si="290"/>
        <v>63</v>
      </c>
      <c r="AP713" s="296">
        <f t="shared" si="290"/>
        <v>55</v>
      </c>
      <c r="AQ713" s="296">
        <f t="shared" si="290"/>
        <v>48</v>
      </c>
      <c r="AR713" s="296">
        <f t="shared" si="290"/>
        <v>236</v>
      </c>
      <c r="AS713" s="296">
        <f t="shared" si="290"/>
        <v>173</v>
      </c>
      <c r="AT713" s="296">
        <f t="shared" si="290"/>
        <v>311</v>
      </c>
      <c r="AU713" s="296">
        <f t="shared" si="290"/>
        <v>197</v>
      </c>
      <c r="AV713" s="296">
        <f t="shared" si="290"/>
        <v>194</v>
      </c>
      <c r="AW713" s="296">
        <f t="shared" si="290"/>
        <v>875</v>
      </c>
      <c r="AX713" s="296">
        <f>AX711+AX669+AX627+AX585+AX543+AX501</f>
        <v>2348</v>
      </c>
      <c r="AY713" s="325"/>
      <c r="AZ713" s="326"/>
    </row>
    <row r="714" spans="1:69" x14ac:dyDescent="0.15">
      <c r="W714" s="325"/>
      <c r="X714" s="326"/>
      <c r="Y714" s="326"/>
      <c r="Z714" s="326"/>
      <c r="AD714" s="314">
        <f>AD713/$AH$713*100</f>
        <v>27.27272727272727</v>
      </c>
      <c r="AE714" s="314">
        <f t="shared" ref="AE714:AH714" si="291">AE713/$AH$713*100</f>
        <v>36.570247933884296</v>
      </c>
      <c r="AF714" s="314">
        <f t="shared" si="291"/>
        <v>19.834710743801654</v>
      </c>
      <c r="AG714" s="314">
        <f t="shared" si="291"/>
        <v>16.32231404958678</v>
      </c>
      <c r="AH714" s="314">
        <f t="shared" si="291"/>
        <v>100</v>
      </c>
      <c r="AI714" s="314">
        <f>AI713/$AM$713*100</f>
        <v>29.482071713147413</v>
      </c>
      <c r="AJ714" s="314">
        <f t="shared" ref="AJ714:AM714" si="292">AJ713/$AM$713*100</f>
        <v>37.848605577689241</v>
      </c>
      <c r="AK714" s="314">
        <f t="shared" si="292"/>
        <v>15.803452855245684</v>
      </c>
      <c r="AL714" s="314">
        <f t="shared" si="292"/>
        <v>16.865869853917662</v>
      </c>
      <c r="AM714" s="314">
        <f t="shared" si="292"/>
        <v>100</v>
      </c>
      <c r="AN714" s="314">
        <f>AN713/$AR$713*100</f>
        <v>29.66101694915254</v>
      </c>
      <c r="AO714" s="314">
        <f t="shared" ref="AO714:AR714" si="293">AO713/$AR$713*100</f>
        <v>26.694915254237291</v>
      </c>
      <c r="AP714" s="314">
        <f t="shared" si="293"/>
        <v>23.305084745762709</v>
      </c>
      <c r="AQ714" s="314">
        <f t="shared" si="293"/>
        <v>20.33898305084746</v>
      </c>
      <c r="AR714" s="314">
        <f t="shared" si="293"/>
        <v>100</v>
      </c>
      <c r="AS714" s="314">
        <f>AS713/$AW$713*100</f>
        <v>19.771428571428569</v>
      </c>
      <c r="AT714" s="314">
        <f t="shared" ref="AT714:AW714" si="294">AT713/$AW$713*100</f>
        <v>35.542857142857144</v>
      </c>
      <c r="AU714" s="314">
        <f t="shared" si="294"/>
        <v>22.514285714285716</v>
      </c>
      <c r="AV714" s="314">
        <f t="shared" si="294"/>
        <v>22.171428571428571</v>
      </c>
      <c r="AW714" s="314">
        <f t="shared" si="294"/>
        <v>100</v>
      </c>
      <c r="AY714" s="325"/>
      <c r="AZ714" s="326"/>
    </row>
    <row r="715" spans="1:69" ht="19.5" thickBot="1" x14ac:dyDescent="0.25">
      <c r="A715" s="185" t="s">
        <v>19</v>
      </c>
      <c r="B715" s="186"/>
      <c r="C715" s="186"/>
      <c r="D715" s="186"/>
      <c r="E715" s="186"/>
      <c r="F715" s="18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25"/>
      <c r="X715" s="326"/>
      <c r="Y715" s="326"/>
      <c r="Z715" s="326"/>
      <c r="AC715" s="187" t="s">
        <v>73</v>
      </c>
      <c r="AD715" s="188"/>
      <c r="AE715" s="188"/>
      <c r="AF715" s="188"/>
      <c r="AG715" s="188"/>
      <c r="AH715" s="188"/>
      <c r="AI715" s="188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325"/>
      <c r="AZ715" s="326"/>
      <c r="BE715" s="185" t="s">
        <v>19</v>
      </c>
      <c r="BF715" s="186"/>
      <c r="BG715" s="186"/>
      <c r="BH715" s="186"/>
      <c r="BI715" s="186"/>
      <c r="BJ715" s="186"/>
      <c r="BL715" s="187" t="s">
        <v>73</v>
      </c>
      <c r="BM715" s="188"/>
      <c r="BN715" s="188"/>
      <c r="BO715" s="188"/>
      <c r="BP715" s="188"/>
      <c r="BQ715" s="188"/>
    </row>
    <row r="716" spans="1:69" ht="14.25" thickBot="1" x14ac:dyDescent="0.2">
      <c r="A716" s="3" t="s">
        <v>0</v>
      </c>
      <c r="B716" s="365" t="s">
        <v>17</v>
      </c>
      <c r="C716" s="366"/>
      <c r="D716" s="366"/>
      <c r="E716" s="366"/>
      <c r="F716" s="367"/>
      <c r="G716" s="368" t="s">
        <v>18</v>
      </c>
      <c r="H716" s="369"/>
      <c r="I716" s="369"/>
      <c r="J716" s="369"/>
      <c r="K716" s="370"/>
      <c r="L716" s="371" t="s">
        <v>320</v>
      </c>
      <c r="M716" s="372"/>
      <c r="N716" s="372"/>
      <c r="O716" s="372"/>
      <c r="P716" s="373"/>
      <c r="Q716" s="374" t="s">
        <v>75</v>
      </c>
      <c r="R716" s="356"/>
      <c r="S716" s="356"/>
      <c r="T716" s="356"/>
      <c r="U716" s="357"/>
      <c r="V716" s="360" t="s">
        <v>1</v>
      </c>
      <c r="W716" s="325"/>
      <c r="X716" s="326"/>
      <c r="Y716" s="326"/>
      <c r="Z716" s="326"/>
      <c r="AC716" s="271" t="s">
        <v>0</v>
      </c>
      <c r="AD716" s="365" t="s">
        <v>17</v>
      </c>
      <c r="AE716" s="366"/>
      <c r="AF716" s="366"/>
      <c r="AG716" s="366"/>
      <c r="AH716" s="367"/>
      <c r="AI716" s="368" t="s">
        <v>18</v>
      </c>
      <c r="AJ716" s="369"/>
      <c r="AK716" s="369"/>
      <c r="AL716" s="369"/>
      <c r="AM716" s="370"/>
      <c r="AN716" s="371" t="s">
        <v>320</v>
      </c>
      <c r="AO716" s="372"/>
      <c r="AP716" s="372"/>
      <c r="AQ716" s="372"/>
      <c r="AR716" s="373"/>
      <c r="AS716" s="374" t="s">
        <v>75</v>
      </c>
      <c r="AT716" s="356"/>
      <c r="AU716" s="356"/>
      <c r="AV716" s="356"/>
      <c r="AW716" s="357"/>
      <c r="AX716" s="360" t="s">
        <v>1</v>
      </c>
      <c r="AY716" s="325"/>
      <c r="AZ716" s="326"/>
      <c r="BE716" s="271" t="s">
        <v>0</v>
      </c>
      <c r="BF716" s="362" t="s">
        <v>38</v>
      </c>
      <c r="BG716" s="363"/>
      <c r="BH716" s="363"/>
      <c r="BI716" s="363"/>
      <c r="BJ716" s="364"/>
      <c r="BL716" s="271" t="s">
        <v>0</v>
      </c>
      <c r="BM716" s="362" t="s">
        <v>38</v>
      </c>
      <c r="BN716" s="363"/>
      <c r="BO716" s="363"/>
      <c r="BP716" s="363"/>
      <c r="BQ716" s="364"/>
    </row>
    <row r="717" spans="1:69" ht="14.25" thickBot="1" x14ac:dyDescent="0.2">
      <c r="A717" s="5" t="s">
        <v>2</v>
      </c>
      <c r="B717" s="6" t="s">
        <v>3</v>
      </c>
      <c r="C717" s="7" t="s">
        <v>4</v>
      </c>
      <c r="D717" s="7" t="s">
        <v>5</v>
      </c>
      <c r="E717" s="8" t="s">
        <v>6</v>
      </c>
      <c r="F717" s="5" t="s">
        <v>7</v>
      </c>
      <c r="G717" s="6" t="s">
        <v>3</v>
      </c>
      <c r="H717" s="7" t="s">
        <v>4</v>
      </c>
      <c r="I717" s="7" t="s">
        <v>5</v>
      </c>
      <c r="J717" s="8" t="s">
        <v>6</v>
      </c>
      <c r="K717" s="5" t="s">
        <v>7</v>
      </c>
      <c r="L717" s="6" t="s">
        <v>3</v>
      </c>
      <c r="M717" s="7" t="s">
        <v>4</v>
      </c>
      <c r="N717" s="7" t="s">
        <v>5</v>
      </c>
      <c r="O717" s="8" t="s">
        <v>6</v>
      </c>
      <c r="P717" s="5" t="s">
        <v>7</v>
      </c>
      <c r="Q717" s="6" t="s">
        <v>3</v>
      </c>
      <c r="R717" s="7" t="s">
        <v>4</v>
      </c>
      <c r="S717" s="7" t="s">
        <v>5</v>
      </c>
      <c r="T717" s="8" t="s">
        <v>6</v>
      </c>
      <c r="U717" s="5" t="s">
        <v>7</v>
      </c>
      <c r="V717" s="361"/>
      <c r="W717" s="325"/>
      <c r="X717" s="326"/>
      <c r="Y717" s="326"/>
      <c r="Z717" s="326"/>
      <c r="AC717" s="272" t="s">
        <v>2</v>
      </c>
      <c r="AD717" s="6" t="s">
        <v>3</v>
      </c>
      <c r="AE717" s="7" t="s">
        <v>4</v>
      </c>
      <c r="AF717" s="7" t="s">
        <v>5</v>
      </c>
      <c r="AG717" s="8" t="s">
        <v>6</v>
      </c>
      <c r="AH717" s="5" t="s">
        <v>7</v>
      </c>
      <c r="AI717" s="6" t="s">
        <v>3</v>
      </c>
      <c r="AJ717" s="7" t="s">
        <v>4</v>
      </c>
      <c r="AK717" s="7" t="s">
        <v>5</v>
      </c>
      <c r="AL717" s="8" t="s">
        <v>6</v>
      </c>
      <c r="AM717" s="5" t="s">
        <v>7</v>
      </c>
      <c r="AN717" s="6" t="s">
        <v>3</v>
      </c>
      <c r="AO717" s="7" t="s">
        <v>4</v>
      </c>
      <c r="AP717" s="7" t="s">
        <v>5</v>
      </c>
      <c r="AQ717" s="8" t="s">
        <v>6</v>
      </c>
      <c r="AR717" s="5" t="s">
        <v>7</v>
      </c>
      <c r="AS717" s="6" t="s">
        <v>3</v>
      </c>
      <c r="AT717" s="7" t="s">
        <v>4</v>
      </c>
      <c r="AU717" s="7" t="s">
        <v>5</v>
      </c>
      <c r="AV717" s="8" t="s">
        <v>6</v>
      </c>
      <c r="AW717" s="5" t="s">
        <v>7</v>
      </c>
      <c r="AX717" s="361"/>
      <c r="AY717" s="325"/>
      <c r="AZ717" s="326"/>
      <c r="BE717" s="272" t="s">
        <v>2</v>
      </c>
      <c r="BF717" s="6" t="s">
        <v>3</v>
      </c>
      <c r="BG717" s="7" t="s">
        <v>4</v>
      </c>
      <c r="BH717" s="7" t="s">
        <v>5</v>
      </c>
      <c r="BI717" s="8" t="s">
        <v>6</v>
      </c>
      <c r="BJ717" s="5" t="s">
        <v>7</v>
      </c>
      <c r="BL717" s="272" t="s">
        <v>2</v>
      </c>
      <c r="BM717" s="6" t="s">
        <v>3</v>
      </c>
      <c r="BN717" s="7" t="s">
        <v>4</v>
      </c>
      <c r="BO717" s="7" t="s">
        <v>5</v>
      </c>
      <c r="BP717" s="8" t="s">
        <v>6</v>
      </c>
      <c r="BQ717" s="5" t="s">
        <v>7</v>
      </c>
    </row>
    <row r="718" spans="1:69" ht="15" thickBot="1" x14ac:dyDescent="0.2">
      <c r="A718" s="291" t="s">
        <v>30</v>
      </c>
      <c r="B718" s="292">
        <f>B712</f>
        <v>11</v>
      </c>
      <c r="C718" s="292">
        <f>C712</f>
        <v>10</v>
      </c>
      <c r="D718" s="292">
        <f>D712</f>
        <v>11</v>
      </c>
      <c r="E718" s="293">
        <f>E712</f>
        <v>5</v>
      </c>
      <c r="F718" s="77">
        <f t="shared" ref="F718:F754" si="295">SUM(B718:E718)</f>
        <v>37</v>
      </c>
      <c r="G718" s="292">
        <f>G712</f>
        <v>5</v>
      </c>
      <c r="H718" s="292">
        <f>H712</f>
        <v>4</v>
      </c>
      <c r="I718" s="292">
        <f>I712</f>
        <v>7</v>
      </c>
      <c r="J718" s="293">
        <f>J712</f>
        <v>3</v>
      </c>
      <c r="K718" s="77">
        <f t="shared" ref="K718:K754" si="296">SUM(G718:J718)</f>
        <v>19</v>
      </c>
      <c r="L718" s="292">
        <f>L712</f>
        <v>4</v>
      </c>
      <c r="M718" s="292">
        <f>M712</f>
        <v>7</v>
      </c>
      <c r="N718" s="292">
        <f>N712</f>
        <v>14</v>
      </c>
      <c r="O718" s="293">
        <f>O712</f>
        <v>13</v>
      </c>
      <c r="P718" s="77">
        <f t="shared" ref="P718:P754" si="297">SUM(L718:O718)</f>
        <v>38</v>
      </c>
      <c r="Q718" s="292">
        <f>Q712</f>
        <v>4</v>
      </c>
      <c r="R718" s="292">
        <f>R712</f>
        <v>3</v>
      </c>
      <c r="S718" s="292">
        <f>S712</f>
        <v>2</v>
      </c>
      <c r="T718" s="293">
        <f>T712</f>
        <v>0</v>
      </c>
      <c r="U718" s="182">
        <f t="shared" ref="U718:U754" si="298">SUM(Q718:T718)</f>
        <v>9</v>
      </c>
      <c r="V718" s="77">
        <f t="shared" ref="V718:V754" si="299">F718+K718+P718+U718</f>
        <v>103</v>
      </c>
      <c r="W718" s="325"/>
      <c r="X718" s="326"/>
      <c r="Y718" s="326"/>
      <c r="Z718" s="326"/>
      <c r="AC718" s="294" t="s">
        <v>30</v>
      </c>
      <c r="AD718" s="292">
        <f>AD712</f>
        <v>52</v>
      </c>
      <c r="AE718" s="292">
        <f>AE712</f>
        <v>67</v>
      </c>
      <c r="AF718" s="292">
        <f>AF712</f>
        <v>142</v>
      </c>
      <c r="AG718" s="293">
        <f>AG712</f>
        <v>89</v>
      </c>
      <c r="AH718" s="77">
        <f>SUM(AD718:AG718)</f>
        <v>350</v>
      </c>
      <c r="AI718" s="292">
        <f>AI712</f>
        <v>20</v>
      </c>
      <c r="AJ718" s="292">
        <f>AJ712</f>
        <v>109</v>
      </c>
      <c r="AK718" s="292">
        <f>AK712</f>
        <v>109</v>
      </c>
      <c r="AL718" s="293">
        <f>AL712</f>
        <v>121</v>
      </c>
      <c r="AM718" s="77">
        <f>SUM(AI718:AL718)</f>
        <v>359</v>
      </c>
      <c r="AN718" s="292">
        <f>AN712</f>
        <v>30</v>
      </c>
      <c r="AO718" s="292">
        <f>AO712</f>
        <v>77</v>
      </c>
      <c r="AP718" s="292">
        <f>AP712</f>
        <v>35</v>
      </c>
      <c r="AQ718" s="293">
        <f>AQ712</f>
        <v>22</v>
      </c>
      <c r="AR718" s="77">
        <f>SUM(AN718:AQ718)</f>
        <v>164</v>
      </c>
      <c r="AS718" s="292">
        <f>AS712</f>
        <v>31</v>
      </c>
      <c r="AT718" s="292">
        <f>AT712</f>
        <v>1</v>
      </c>
      <c r="AU718" s="292">
        <f>AU712</f>
        <v>24</v>
      </c>
      <c r="AV718" s="293">
        <f>AV712</f>
        <v>0</v>
      </c>
      <c r="AW718" s="182">
        <f>SUM(AS718:AV718)</f>
        <v>56</v>
      </c>
      <c r="AX718" s="77">
        <f t="shared" ref="AX718:AX754" si="300">AH718+AM718+AR718+AW718</f>
        <v>929</v>
      </c>
      <c r="AY718" s="325"/>
      <c r="AZ718" s="326"/>
      <c r="BE718" s="294" t="s">
        <v>30</v>
      </c>
      <c r="BF718" s="40">
        <f>BF712</f>
        <v>2</v>
      </c>
      <c r="BG718" s="303">
        <f t="shared" ref="BG718:BJ718" si="301">BG712</f>
        <v>0</v>
      </c>
      <c r="BH718" s="41">
        <f t="shared" si="301"/>
        <v>6</v>
      </c>
      <c r="BI718" s="42">
        <f t="shared" si="301"/>
        <v>7</v>
      </c>
      <c r="BJ718" s="171">
        <f t="shared" si="301"/>
        <v>15</v>
      </c>
      <c r="BL718" s="294" t="s">
        <v>30</v>
      </c>
      <c r="BM718" s="292">
        <f>BM712</f>
        <v>0</v>
      </c>
      <c r="BN718" s="305">
        <f t="shared" ref="BN718:BQ718" si="302">BN712</f>
        <v>0</v>
      </c>
      <c r="BO718" s="292">
        <f t="shared" si="302"/>
        <v>26</v>
      </c>
      <c r="BP718" s="292">
        <f t="shared" si="302"/>
        <v>0</v>
      </c>
      <c r="BQ718" s="77">
        <f t="shared" si="302"/>
        <v>26</v>
      </c>
    </row>
    <row r="719" spans="1:69" x14ac:dyDescent="0.15">
      <c r="A719" s="53" t="s">
        <v>111</v>
      </c>
      <c r="B719" s="51"/>
      <c r="C719" s="52"/>
      <c r="D719" s="52"/>
      <c r="E719" s="52">
        <v>5</v>
      </c>
      <c r="F719" s="49">
        <f t="shared" si="295"/>
        <v>5</v>
      </c>
      <c r="G719" s="51">
        <v>10</v>
      </c>
      <c r="H719" s="52">
        <v>10</v>
      </c>
      <c r="I719" s="52">
        <v>5</v>
      </c>
      <c r="J719" s="52">
        <v>10</v>
      </c>
      <c r="K719" s="49">
        <f t="shared" si="296"/>
        <v>35</v>
      </c>
      <c r="L719" s="51">
        <v>5</v>
      </c>
      <c r="M719" s="52"/>
      <c r="N719" s="52"/>
      <c r="O719" s="52"/>
      <c r="P719" s="49">
        <f t="shared" si="297"/>
        <v>5</v>
      </c>
      <c r="Q719" s="51">
        <v>5</v>
      </c>
      <c r="R719" s="52">
        <v>5</v>
      </c>
      <c r="S719" s="52">
        <v>5</v>
      </c>
      <c r="T719" s="52"/>
      <c r="U719" s="175">
        <f t="shared" si="298"/>
        <v>15</v>
      </c>
      <c r="V719" s="49">
        <f t="shared" si="299"/>
        <v>60</v>
      </c>
      <c r="W719" s="329">
        <v>44782</v>
      </c>
      <c r="X719" s="326"/>
      <c r="Y719" s="326"/>
      <c r="Z719" s="326"/>
      <c r="AC719" s="268" t="s">
        <v>61</v>
      </c>
      <c r="AD719" s="51"/>
      <c r="AE719" s="52"/>
      <c r="AF719" s="52"/>
      <c r="AG719" s="52"/>
      <c r="AH719" s="49">
        <f t="shared" ref="AH719:AH754" si="303">SUM(AD719:AG719)</f>
        <v>0</v>
      </c>
      <c r="AI719" s="51"/>
      <c r="AJ719" s="52"/>
      <c r="AK719" s="52"/>
      <c r="AL719" s="52"/>
      <c r="AM719" s="49">
        <f t="shared" ref="AM719:AM754" si="304">SUM(AI719:AL719)</f>
        <v>0</v>
      </c>
      <c r="AN719" s="51"/>
      <c r="AO719" s="52"/>
      <c r="AP719" s="52"/>
      <c r="AQ719" s="52"/>
      <c r="AR719" s="49">
        <f t="shared" ref="AR719:AR721" si="305">SUM(AN719:AQ719)</f>
        <v>0</v>
      </c>
      <c r="AS719" s="51"/>
      <c r="AT719" s="52">
        <v>1</v>
      </c>
      <c r="AU719" s="52"/>
      <c r="AV719" s="52"/>
      <c r="AW719" s="175">
        <f t="shared" ref="AW719:AW721" si="306">SUM(AS719:AV719)</f>
        <v>1</v>
      </c>
      <c r="AX719" s="49">
        <f t="shared" si="300"/>
        <v>1</v>
      </c>
      <c r="AY719" s="329">
        <v>44797</v>
      </c>
      <c r="AZ719" s="326"/>
      <c r="BE719" s="268" t="s">
        <v>28</v>
      </c>
      <c r="BF719" s="51"/>
      <c r="BG719" s="52"/>
      <c r="BH719" s="52">
        <v>5</v>
      </c>
      <c r="BI719" s="52"/>
      <c r="BJ719" s="49">
        <f t="shared" ref="BJ719:BJ721" si="307">SUM(BF719:BI719)</f>
        <v>5</v>
      </c>
      <c r="BK719" s="306">
        <v>44784</v>
      </c>
      <c r="BL719" s="268" t="s">
        <v>28</v>
      </c>
      <c r="BM719" s="51"/>
      <c r="BN719" s="52"/>
      <c r="BO719" s="52"/>
      <c r="BP719" s="52"/>
      <c r="BQ719" s="49">
        <f t="shared" ref="BQ719:BQ721" si="308">SUM(BM719:BP719)</f>
        <v>0</v>
      </c>
    </row>
    <row r="720" spans="1:69" x14ac:dyDescent="0.15">
      <c r="A720" s="53" t="s">
        <v>111</v>
      </c>
      <c r="B720" s="55"/>
      <c r="C720" s="55"/>
      <c r="D720" s="55"/>
      <c r="E720" s="166">
        <v>3</v>
      </c>
      <c r="F720" s="49">
        <f t="shared" si="295"/>
        <v>3</v>
      </c>
      <c r="G720" s="55"/>
      <c r="H720" s="55"/>
      <c r="I720" s="55"/>
      <c r="J720" s="166">
        <v>3</v>
      </c>
      <c r="K720" s="49">
        <f t="shared" si="296"/>
        <v>3</v>
      </c>
      <c r="L720" s="55">
        <v>3</v>
      </c>
      <c r="M720" s="55">
        <v>3</v>
      </c>
      <c r="N720" s="55"/>
      <c r="O720" s="166"/>
      <c r="P720" s="49">
        <f t="shared" si="297"/>
        <v>6</v>
      </c>
      <c r="Q720" s="55">
        <v>3</v>
      </c>
      <c r="R720" s="55">
        <v>3</v>
      </c>
      <c r="S720" s="55">
        <v>3</v>
      </c>
      <c r="T720" s="166"/>
      <c r="U720" s="175">
        <f t="shared" si="298"/>
        <v>9</v>
      </c>
      <c r="V720" s="56">
        <f t="shared" si="299"/>
        <v>21</v>
      </c>
      <c r="W720" s="329">
        <v>44784</v>
      </c>
      <c r="X720" s="326"/>
      <c r="Y720" s="326"/>
      <c r="Z720" s="326"/>
      <c r="AC720" s="268" t="s">
        <v>21</v>
      </c>
      <c r="AD720" s="17"/>
      <c r="AE720" s="18">
        <v>1</v>
      </c>
      <c r="AF720" s="18">
        <v>1</v>
      </c>
      <c r="AG720" s="18">
        <v>1</v>
      </c>
      <c r="AH720" s="30">
        <f t="shared" ref="AH720" si="309">SUM(AD720:AG720)</f>
        <v>3</v>
      </c>
      <c r="AI720" s="17"/>
      <c r="AJ720" s="18">
        <v>1</v>
      </c>
      <c r="AK720" s="18"/>
      <c r="AL720" s="18"/>
      <c r="AM720" s="30">
        <f t="shared" si="304"/>
        <v>1</v>
      </c>
      <c r="AN720" s="17"/>
      <c r="AO720" s="18"/>
      <c r="AP720" s="18"/>
      <c r="AQ720" s="18"/>
      <c r="AR720" s="30">
        <f t="shared" si="305"/>
        <v>0</v>
      </c>
      <c r="AS720" s="17">
        <v>1</v>
      </c>
      <c r="AT720" s="18"/>
      <c r="AU720" s="18"/>
      <c r="AV720" s="18"/>
      <c r="AW720" s="176">
        <f t="shared" si="306"/>
        <v>1</v>
      </c>
      <c r="AX720" s="56">
        <f t="shared" si="300"/>
        <v>5</v>
      </c>
      <c r="AY720" s="328">
        <v>44799</v>
      </c>
      <c r="AZ720" s="326"/>
      <c r="BE720" s="318" t="s">
        <v>448</v>
      </c>
      <c r="BF720" s="261">
        <v>-1</v>
      </c>
      <c r="BG720" s="319"/>
      <c r="BH720" s="319">
        <v>1</v>
      </c>
      <c r="BI720" s="320">
        <v>2</v>
      </c>
      <c r="BJ720" s="265">
        <f t="shared" si="307"/>
        <v>2</v>
      </c>
      <c r="BK720" s="321">
        <v>44797</v>
      </c>
      <c r="BL720" s="268" t="s">
        <v>28</v>
      </c>
      <c r="BM720" s="54"/>
      <c r="BN720" s="55"/>
      <c r="BO720" s="55"/>
      <c r="BP720" s="55"/>
      <c r="BQ720" s="56">
        <f t="shared" si="308"/>
        <v>0</v>
      </c>
    </row>
    <row r="721" spans="1:71" x14ac:dyDescent="0.15">
      <c r="A721" s="260" t="s">
        <v>449</v>
      </c>
      <c r="B721" s="261">
        <v>0</v>
      </c>
      <c r="C721" s="261">
        <v>0</v>
      </c>
      <c r="D721" s="261">
        <v>0</v>
      </c>
      <c r="E721" s="262">
        <v>0</v>
      </c>
      <c r="F721" s="263">
        <f t="shared" si="295"/>
        <v>0</v>
      </c>
      <c r="G721" s="261">
        <v>0</v>
      </c>
      <c r="H721" s="261">
        <v>-1</v>
      </c>
      <c r="I721" s="261">
        <v>1</v>
      </c>
      <c r="J721" s="262">
        <v>0</v>
      </c>
      <c r="K721" s="263">
        <f t="shared" si="296"/>
        <v>0</v>
      </c>
      <c r="L721" s="261">
        <v>0</v>
      </c>
      <c r="M721" s="261">
        <v>0</v>
      </c>
      <c r="N721" s="261">
        <v>1</v>
      </c>
      <c r="O721" s="262">
        <v>-1</v>
      </c>
      <c r="P721" s="263">
        <f t="shared" si="297"/>
        <v>0</v>
      </c>
      <c r="Q721" s="261">
        <v>0</v>
      </c>
      <c r="R721" s="261">
        <v>-1</v>
      </c>
      <c r="S721" s="261">
        <v>1</v>
      </c>
      <c r="T721" s="262">
        <v>0</v>
      </c>
      <c r="U721" s="264">
        <f t="shared" si="298"/>
        <v>0</v>
      </c>
      <c r="V721" s="265">
        <f t="shared" si="299"/>
        <v>0</v>
      </c>
      <c r="W721" s="331">
        <v>44797</v>
      </c>
      <c r="X721" s="326"/>
      <c r="Y721" s="326"/>
      <c r="Z721" s="326"/>
      <c r="AC721" s="268" t="s">
        <v>28</v>
      </c>
      <c r="AD721" s="55"/>
      <c r="AE721" s="153"/>
      <c r="AF721" s="153"/>
      <c r="AG721" s="168"/>
      <c r="AH721" s="56">
        <f t="shared" si="303"/>
        <v>0</v>
      </c>
      <c r="AI721" s="54"/>
      <c r="AJ721" s="55"/>
      <c r="AK721" s="55"/>
      <c r="AL721" s="55"/>
      <c r="AM721" s="56">
        <f t="shared" si="304"/>
        <v>0</v>
      </c>
      <c r="AN721" s="54"/>
      <c r="AO721" s="55"/>
      <c r="AP721" s="55"/>
      <c r="AQ721" s="55"/>
      <c r="AR721" s="56">
        <f t="shared" si="305"/>
        <v>0</v>
      </c>
      <c r="AS721" s="55"/>
      <c r="AT721" s="153"/>
      <c r="AU721" s="153"/>
      <c r="AV721" s="168"/>
      <c r="AW721" s="176">
        <f t="shared" si="306"/>
        <v>0</v>
      </c>
      <c r="AX721" s="56">
        <f t="shared" si="300"/>
        <v>0</v>
      </c>
      <c r="AY721" s="330"/>
      <c r="AZ721" s="326"/>
      <c r="BE721" s="268" t="s">
        <v>28</v>
      </c>
      <c r="BF721" s="55"/>
      <c r="BG721" s="153"/>
      <c r="BH721" s="153"/>
      <c r="BI721" s="168"/>
      <c r="BJ721" s="56">
        <f t="shared" si="307"/>
        <v>0</v>
      </c>
      <c r="BL721" s="268" t="s">
        <v>28</v>
      </c>
      <c r="BM721" s="55"/>
      <c r="BN721" s="153"/>
      <c r="BO721" s="153"/>
      <c r="BP721" s="168"/>
      <c r="BQ721" s="56">
        <f t="shared" si="308"/>
        <v>0</v>
      </c>
    </row>
    <row r="722" spans="1:71" x14ac:dyDescent="0.15">
      <c r="A722" s="53" t="s">
        <v>109</v>
      </c>
      <c r="B722" s="63"/>
      <c r="C722" s="63">
        <v>1</v>
      </c>
      <c r="D722" s="63">
        <v>1</v>
      </c>
      <c r="E722" s="167">
        <v>1</v>
      </c>
      <c r="F722" s="64">
        <f t="shared" si="295"/>
        <v>3</v>
      </c>
      <c r="G722" s="63"/>
      <c r="H722" s="63">
        <v>1</v>
      </c>
      <c r="I722" s="63"/>
      <c r="J722" s="167"/>
      <c r="K722" s="64">
        <f t="shared" si="296"/>
        <v>1</v>
      </c>
      <c r="L722" s="63"/>
      <c r="M722" s="63"/>
      <c r="N722" s="63"/>
      <c r="O722" s="167"/>
      <c r="P722" s="64">
        <f t="shared" si="297"/>
        <v>0</v>
      </c>
      <c r="Q722" s="63">
        <v>1</v>
      </c>
      <c r="R722" s="63"/>
      <c r="S722" s="63"/>
      <c r="T722" s="167">
        <v>1</v>
      </c>
      <c r="U722" s="162">
        <f t="shared" si="298"/>
        <v>2</v>
      </c>
      <c r="V722" s="56">
        <f t="shared" si="299"/>
        <v>6</v>
      </c>
      <c r="W722" s="328">
        <v>44799</v>
      </c>
      <c r="X722" s="326"/>
      <c r="Y722" s="326"/>
      <c r="Z722" s="326"/>
      <c r="AC722" s="268" t="s">
        <v>28</v>
      </c>
      <c r="AD722" s="63"/>
      <c r="AE722" s="63"/>
      <c r="AF722" s="63"/>
      <c r="AG722" s="167"/>
      <c r="AH722" s="56">
        <f t="shared" si="303"/>
        <v>0</v>
      </c>
      <c r="AI722" s="63"/>
      <c r="AJ722" s="63"/>
      <c r="AK722" s="63"/>
      <c r="AL722" s="167"/>
      <c r="AM722" s="56">
        <f t="shared" si="304"/>
        <v>0</v>
      </c>
      <c r="AN722" s="63"/>
      <c r="AO722" s="63"/>
      <c r="AP722" s="63"/>
      <c r="AQ722" s="167"/>
      <c r="AR722" s="64">
        <v>0</v>
      </c>
      <c r="AS722" s="63"/>
      <c r="AT722" s="63"/>
      <c r="AU722" s="63"/>
      <c r="AV722" s="167"/>
      <c r="AW722" s="162">
        <v>0</v>
      </c>
      <c r="AX722" s="56">
        <f t="shared" si="300"/>
        <v>0</v>
      </c>
      <c r="AY722" s="325"/>
      <c r="AZ722" s="326"/>
      <c r="BE722" s="268" t="s">
        <v>28</v>
      </c>
      <c r="BF722" s="63"/>
      <c r="BG722" s="63"/>
      <c r="BH722" s="63"/>
      <c r="BI722" s="167"/>
      <c r="BJ722" s="64">
        <v>0</v>
      </c>
      <c r="BL722" s="268" t="s">
        <v>28</v>
      </c>
      <c r="BM722" s="63"/>
      <c r="BN722" s="63"/>
      <c r="BO722" s="63"/>
      <c r="BP722" s="167"/>
      <c r="BQ722" s="64">
        <v>0</v>
      </c>
    </row>
    <row r="723" spans="1:71" x14ac:dyDescent="0.15">
      <c r="A723" s="53" t="s">
        <v>111</v>
      </c>
      <c r="B723" s="55"/>
      <c r="C723" s="153"/>
      <c r="D723" s="153"/>
      <c r="E723" s="168"/>
      <c r="F723" s="56">
        <f t="shared" si="295"/>
        <v>0</v>
      </c>
      <c r="G723" s="55"/>
      <c r="H723" s="153"/>
      <c r="I723" s="153"/>
      <c r="J723" s="168"/>
      <c r="K723" s="56">
        <f t="shared" si="296"/>
        <v>0</v>
      </c>
      <c r="L723" s="55"/>
      <c r="M723" s="153"/>
      <c r="N723" s="153"/>
      <c r="O723" s="168"/>
      <c r="P723" s="56">
        <f t="shared" si="297"/>
        <v>0</v>
      </c>
      <c r="Q723" s="55"/>
      <c r="R723" s="153"/>
      <c r="S723" s="153"/>
      <c r="T723" s="168"/>
      <c r="U723" s="176">
        <f t="shared" si="298"/>
        <v>0</v>
      </c>
      <c r="V723" s="56">
        <f t="shared" si="299"/>
        <v>0</v>
      </c>
      <c r="W723" s="325"/>
      <c r="X723" s="326"/>
      <c r="Y723" s="326"/>
      <c r="Z723" s="326"/>
      <c r="AC723" s="268" t="s">
        <v>28</v>
      </c>
      <c r="AD723" s="55"/>
      <c r="AE723" s="153"/>
      <c r="AF723" s="153"/>
      <c r="AG723" s="168"/>
      <c r="AH723" s="56">
        <f t="shared" si="303"/>
        <v>0</v>
      </c>
      <c r="AI723" s="55"/>
      <c r="AJ723" s="153"/>
      <c r="AK723" s="153"/>
      <c r="AL723" s="168"/>
      <c r="AM723" s="56">
        <f t="shared" si="304"/>
        <v>0</v>
      </c>
      <c r="AN723" s="55"/>
      <c r="AO723" s="153"/>
      <c r="AP723" s="153"/>
      <c r="AQ723" s="168"/>
      <c r="AR723" s="56">
        <f t="shared" ref="AR723:AR754" si="310">SUM(AN723:AQ723)</f>
        <v>0</v>
      </c>
      <c r="AS723" s="55"/>
      <c r="AT723" s="153"/>
      <c r="AU723" s="153"/>
      <c r="AV723" s="168"/>
      <c r="AW723" s="176">
        <f t="shared" ref="AW723:AW754" si="311">SUM(AS723:AV723)</f>
        <v>0</v>
      </c>
      <c r="AX723" s="56">
        <f t="shared" si="300"/>
        <v>0</v>
      </c>
      <c r="AY723" s="325"/>
      <c r="AZ723" s="326"/>
      <c r="BE723" s="268" t="s">
        <v>28</v>
      </c>
      <c r="BF723" s="55"/>
      <c r="BG723" s="153"/>
      <c r="BH723" s="153"/>
      <c r="BI723" s="168"/>
      <c r="BJ723" s="56">
        <f t="shared" ref="BJ723:BJ754" si="312">SUM(BF723:BI723)</f>
        <v>0</v>
      </c>
      <c r="BL723" s="268" t="s">
        <v>28</v>
      </c>
      <c r="BM723" s="55"/>
      <c r="BN723" s="153"/>
      <c r="BO723" s="153"/>
      <c r="BP723" s="168"/>
      <c r="BQ723" s="56">
        <f t="shared" ref="BQ723:BQ754" si="313">SUM(BM723:BP723)</f>
        <v>0</v>
      </c>
    </row>
    <row r="724" spans="1:71" x14ac:dyDescent="0.15">
      <c r="A724" s="53" t="s">
        <v>111</v>
      </c>
      <c r="B724" s="55"/>
      <c r="C724" s="153"/>
      <c r="D724" s="153"/>
      <c r="E724" s="168"/>
      <c r="F724" s="56">
        <f t="shared" si="295"/>
        <v>0</v>
      </c>
      <c r="G724" s="55"/>
      <c r="H724" s="153"/>
      <c r="I724" s="153"/>
      <c r="J724" s="168"/>
      <c r="K724" s="56">
        <f t="shared" si="296"/>
        <v>0</v>
      </c>
      <c r="L724" s="55"/>
      <c r="M724" s="153"/>
      <c r="N724" s="153"/>
      <c r="O724" s="168"/>
      <c r="P724" s="56">
        <f t="shared" si="297"/>
        <v>0</v>
      </c>
      <c r="Q724" s="55"/>
      <c r="R724" s="153"/>
      <c r="S724" s="153"/>
      <c r="T724" s="168"/>
      <c r="U724" s="176">
        <f t="shared" si="298"/>
        <v>0</v>
      </c>
      <c r="V724" s="56">
        <f t="shared" si="299"/>
        <v>0</v>
      </c>
      <c r="W724" s="330"/>
      <c r="X724" s="326"/>
      <c r="Y724" s="326"/>
      <c r="Z724" s="326"/>
      <c r="AC724" s="268" t="s">
        <v>28</v>
      </c>
      <c r="AD724" s="55"/>
      <c r="AE724" s="153"/>
      <c r="AF724" s="153"/>
      <c r="AG724" s="168"/>
      <c r="AH724" s="56">
        <f t="shared" si="303"/>
        <v>0</v>
      </c>
      <c r="AI724" s="55"/>
      <c r="AJ724" s="153"/>
      <c r="AK724" s="153"/>
      <c r="AL724" s="168"/>
      <c r="AM724" s="56">
        <f t="shared" si="304"/>
        <v>0</v>
      </c>
      <c r="AN724" s="55"/>
      <c r="AO724" s="153"/>
      <c r="AP724" s="153"/>
      <c r="AQ724" s="168"/>
      <c r="AR724" s="56">
        <f t="shared" si="310"/>
        <v>0</v>
      </c>
      <c r="AS724" s="55"/>
      <c r="AT724" s="153"/>
      <c r="AU724" s="153"/>
      <c r="AV724" s="168"/>
      <c r="AW724" s="176">
        <f t="shared" si="311"/>
        <v>0</v>
      </c>
      <c r="AX724" s="56">
        <f t="shared" si="300"/>
        <v>0</v>
      </c>
      <c r="AY724" s="325"/>
      <c r="AZ724" s="326"/>
      <c r="BE724" s="268" t="s">
        <v>28</v>
      </c>
      <c r="BF724" s="55"/>
      <c r="BG724" s="153"/>
      <c r="BH724" s="153"/>
      <c r="BI724" s="168"/>
      <c r="BJ724" s="56">
        <f t="shared" si="312"/>
        <v>0</v>
      </c>
      <c r="BL724" s="268" t="s">
        <v>28</v>
      </c>
      <c r="BM724" s="55"/>
      <c r="BN724" s="153"/>
      <c r="BO724" s="153"/>
      <c r="BP724" s="168"/>
      <c r="BQ724" s="56">
        <f t="shared" si="313"/>
        <v>0</v>
      </c>
    </row>
    <row r="725" spans="1:71" ht="14.25" thickBot="1" x14ac:dyDescent="0.2">
      <c r="A725" s="53" t="s">
        <v>111</v>
      </c>
      <c r="B725" s="63"/>
      <c r="C725" s="164"/>
      <c r="D725" s="164"/>
      <c r="E725" s="169"/>
      <c r="F725" s="170">
        <f t="shared" si="295"/>
        <v>0</v>
      </c>
      <c r="G725" s="63"/>
      <c r="H725" s="164"/>
      <c r="I725" s="164"/>
      <c r="J725" s="169"/>
      <c r="K725" s="170">
        <f t="shared" si="296"/>
        <v>0</v>
      </c>
      <c r="L725" s="63"/>
      <c r="M725" s="164"/>
      <c r="N725" s="164"/>
      <c r="O725" s="169"/>
      <c r="P725" s="170">
        <f t="shared" si="297"/>
        <v>0</v>
      </c>
      <c r="Q725" s="63"/>
      <c r="R725" s="164"/>
      <c r="S725" s="164"/>
      <c r="T725" s="169"/>
      <c r="U725" s="179">
        <f t="shared" si="298"/>
        <v>0</v>
      </c>
      <c r="V725" s="170">
        <f t="shared" si="299"/>
        <v>0</v>
      </c>
      <c r="W725" s="325"/>
      <c r="X725" s="326"/>
      <c r="Y725" s="326"/>
      <c r="Z725" s="326"/>
      <c r="AC725" s="268" t="s">
        <v>28</v>
      </c>
      <c r="AD725" s="63"/>
      <c r="AE725" s="164"/>
      <c r="AF725" s="164"/>
      <c r="AG725" s="169"/>
      <c r="AH725" s="170">
        <f t="shared" si="303"/>
        <v>0</v>
      </c>
      <c r="AI725" s="63"/>
      <c r="AJ725" s="164"/>
      <c r="AK725" s="164"/>
      <c r="AL725" s="169"/>
      <c r="AM725" s="170">
        <f t="shared" si="304"/>
        <v>0</v>
      </c>
      <c r="AN725" s="63"/>
      <c r="AO725" s="164"/>
      <c r="AP725" s="164"/>
      <c r="AQ725" s="169"/>
      <c r="AR725" s="170">
        <f t="shared" si="310"/>
        <v>0</v>
      </c>
      <c r="AS725" s="63"/>
      <c r="AT725" s="164"/>
      <c r="AU725" s="164"/>
      <c r="AV725" s="169"/>
      <c r="AW725" s="179">
        <f t="shared" si="311"/>
        <v>0</v>
      </c>
      <c r="AX725" s="170">
        <f t="shared" si="300"/>
        <v>0</v>
      </c>
      <c r="AY725" s="330"/>
      <c r="AZ725" s="326"/>
      <c r="BE725" s="274" t="s">
        <v>28</v>
      </c>
      <c r="BF725" s="63"/>
      <c r="BG725" s="164"/>
      <c r="BH725" s="164"/>
      <c r="BI725" s="169"/>
      <c r="BJ725" s="170">
        <f t="shared" si="312"/>
        <v>0</v>
      </c>
      <c r="BL725" s="274" t="s">
        <v>28</v>
      </c>
      <c r="BM725" s="63"/>
      <c r="BN725" s="164"/>
      <c r="BO725" s="164"/>
      <c r="BP725" s="169"/>
      <c r="BQ725" s="170">
        <f t="shared" si="313"/>
        <v>0</v>
      </c>
    </row>
    <row r="726" spans="1:71" ht="15" thickBot="1" x14ac:dyDescent="0.2">
      <c r="A726" s="181" t="s">
        <v>14</v>
      </c>
      <c r="B726" s="182">
        <f>SUM(B718:B725)</f>
        <v>11</v>
      </c>
      <c r="C726" s="183">
        <f>SUM(C718:C725)</f>
        <v>11</v>
      </c>
      <c r="D726" s="183">
        <f>SUM(D718:D725)</f>
        <v>12</v>
      </c>
      <c r="E726" s="184">
        <f>SUM(E718:E725)</f>
        <v>14</v>
      </c>
      <c r="F726" s="77">
        <f t="shared" si="295"/>
        <v>48</v>
      </c>
      <c r="G726" s="182">
        <f>SUM(G718:G725)</f>
        <v>15</v>
      </c>
      <c r="H726" s="183">
        <f>SUM(H718:H725)</f>
        <v>14</v>
      </c>
      <c r="I726" s="183">
        <f>SUM(I718:I725)</f>
        <v>13</v>
      </c>
      <c r="J726" s="184">
        <f>SUM(J718:J725)</f>
        <v>16</v>
      </c>
      <c r="K726" s="77">
        <f t="shared" si="296"/>
        <v>58</v>
      </c>
      <c r="L726" s="182">
        <f>SUM(L718:L725)</f>
        <v>12</v>
      </c>
      <c r="M726" s="183">
        <f>SUM(M718:M725)</f>
        <v>10</v>
      </c>
      <c r="N726" s="183">
        <f>SUM(N718:N725)</f>
        <v>15</v>
      </c>
      <c r="O726" s="184">
        <f>SUM(O718:O725)</f>
        <v>12</v>
      </c>
      <c r="P726" s="77">
        <f t="shared" si="297"/>
        <v>49</v>
      </c>
      <c r="Q726" s="182">
        <f>SUM(Q718:Q725)</f>
        <v>13</v>
      </c>
      <c r="R726" s="183">
        <f>SUM(R718:R725)</f>
        <v>10</v>
      </c>
      <c r="S726" s="183">
        <f>SUM(S718:S725)</f>
        <v>11</v>
      </c>
      <c r="T726" s="184">
        <f>SUM(T718:T725)</f>
        <v>1</v>
      </c>
      <c r="U726" s="182">
        <f t="shared" si="298"/>
        <v>35</v>
      </c>
      <c r="V726" s="77">
        <f t="shared" si="299"/>
        <v>190</v>
      </c>
      <c r="W726" s="325"/>
      <c r="X726" s="326"/>
      <c r="Y726" s="326"/>
      <c r="Z726" s="326"/>
      <c r="AC726" s="275" t="s">
        <v>14</v>
      </c>
      <c r="AD726" s="182">
        <f>SUM(AD718:AD725)</f>
        <v>52</v>
      </c>
      <c r="AE726" s="183">
        <f>SUM(AE718:AE725)</f>
        <v>68</v>
      </c>
      <c r="AF726" s="183">
        <f>SUM(AF718:AF725)</f>
        <v>143</v>
      </c>
      <c r="AG726" s="184">
        <f>SUM(AG718:AG725)</f>
        <v>90</v>
      </c>
      <c r="AH726" s="77">
        <f t="shared" si="303"/>
        <v>353</v>
      </c>
      <c r="AI726" s="182">
        <f>SUM(AI718:AI725)</f>
        <v>20</v>
      </c>
      <c r="AJ726" s="183">
        <f>SUM(AJ718:AJ725)</f>
        <v>110</v>
      </c>
      <c r="AK726" s="183">
        <f>SUM(AK718:AK725)</f>
        <v>109</v>
      </c>
      <c r="AL726" s="184">
        <f>SUM(AL718:AL725)</f>
        <v>121</v>
      </c>
      <c r="AM726" s="77">
        <f t="shared" si="304"/>
        <v>360</v>
      </c>
      <c r="AN726" s="182">
        <f>SUM(AN718:AN725)</f>
        <v>30</v>
      </c>
      <c r="AO726" s="183">
        <f>SUM(AO718:AO725)</f>
        <v>77</v>
      </c>
      <c r="AP726" s="183">
        <f>SUM(AP718:AP725)</f>
        <v>35</v>
      </c>
      <c r="AQ726" s="184">
        <f>SUM(AQ718:AQ725)</f>
        <v>22</v>
      </c>
      <c r="AR726" s="77">
        <f t="shared" si="310"/>
        <v>164</v>
      </c>
      <c r="AS726" s="182">
        <f>SUM(AS718:AS725)</f>
        <v>32</v>
      </c>
      <c r="AT726" s="183">
        <f>SUM(AT718:AT725)</f>
        <v>2</v>
      </c>
      <c r="AU726" s="183">
        <f>SUM(AU718:AU725)</f>
        <v>24</v>
      </c>
      <c r="AV726" s="184">
        <f>SUM(AV718:AV725)</f>
        <v>0</v>
      </c>
      <c r="AW726" s="182">
        <f t="shared" si="311"/>
        <v>58</v>
      </c>
      <c r="AX726" s="77">
        <f t="shared" si="300"/>
        <v>935</v>
      </c>
      <c r="AY726" s="325"/>
      <c r="AZ726" s="326"/>
      <c r="BE726" s="275" t="s">
        <v>14</v>
      </c>
      <c r="BF726" s="182">
        <f>SUM(BF718:BF725)</f>
        <v>1</v>
      </c>
      <c r="BG726" s="183">
        <f>SUM(BG718:BG725)</f>
        <v>0</v>
      </c>
      <c r="BH726" s="183">
        <f>SUM(BH718:BH725)</f>
        <v>12</v>
      </c>
      <c r="BI726" s="184">
        <f>SUM(BI718:BI725)</f>
        <v>9</v>
      </c>
      <c r="BJ726" s="77">
        <f t="shared" si="312"/>
        <v>22</v>
      </c>
      <c r="BL726" s="275" t="s">
        <v>14</v>
      </c>
      <c r="BM726" s="182">
        <f>SUM(BM718:BM725)</f>
        <v>0</v>
      </c>
      <c r="BN726" s="183">
        <f>SUM(BN718:BN725)</f>
        <v>0</v>
      </c>
      <c r="BO726" s="183">
        <f>SUM(BO718:BO725)</f>
        <v>26</v>
      </c>
      <c r="BP726" s="184">
        <f>SUM(BP718:BP725)</f>
        <v>0</v>
      </c>
      <c r="BQ726" s="77">
        <f t="shared" si="313"/>
        <v>26</v>
      </c>
    </row>
    <row r="727" spans="1:71" x14ac:dyDescent="0.15">
      <c r="A727" s="53" t="s">
        <v>121</v>
      </c>
      <c r="B727" s="46"/>
      <c r="C727" s="47"/>
      <c r="D727" s="47"/>
      <c r="E727" s="47"/>
      <c r="F727" s="48">
        <f t="shared" si="295"/>
        <v>0</v>
      </c>
      <c r="G727" s="46"/>
      <c r="H727" s="47"/>
      <c r="I727" s="47"/>
      <c r="J727" s="47"/>
      <c r="K727" s="48">
        <f t="shared" si="296"/>
        <v>0</v>
      </c>
      <c r="L727" s="46"/>
      <c r="M727" s="47"/>
      <c r="N727" s="47"/>
      <c r="O727" s="47"/>
      <c r="P727" s="48">
        <f t="shared" si="297"/>
        <v>0</v>
      </c>
      <c r="Q727" s="46"/>
      <c r="R727" s="47"/>
      <c r="S727" s="47">
        <v>-1</v>
      </c>
      <c r="T727" s="47"/>
      <c r="U727" s="180">
        <f t="shared" si="298"/>
        <v>-1</v>
      </c>
      <c r="V727" s="49">
        <f t="shared" si="299"/>
        <v>-1</v>
      </c>
      <c r="W727" s="328">
        <v>44781</v>
      </c>
      <c r="X727" s="326"/>
      <c r="Y727" s="326"/>
      <c r="Z727" s="326"/>
      <c r="AC727" s="269" t="s">
        <v>99</v>
      </c>
      <c r="AD727" s="55"/>
      <c r="AE727" s="153"/>
      <c r="AF727" s="153"/>
      <c r="AG727" s="168">
        <v>3</v>
      </c>
      <c r="AH727" s="56">
        <f t="shared" ref="AH727" si="314">SUM(AD727:AG727)</f>
        <v>3</v>
      </c>
      <c r="AI727" s="55"/>
      <c r="AJ727" s="153"/>
      <c r="AK727" s="153"/>
      <c r="AL727" s="168">
        <v>3</v>
      </c>
      <c r="AM727" s="56">
        <f t="shared" si="304"/>
        <v>3</v>
      </c>
      <c r="AN727" s="55">
        <v>3</v>
      </c>
      <c r="AO727" s="153">
        <v>3</v>
      </c>
      <c r="AP727" s="153"/>
      <c r="AQ727" s="168"/>
      <c r="AR727" s="56">
        <f t="shared" si="310"/>
        <v>6</v>
      </c>
      <c r="AS727" s="55">
        <v>3</v>
      </c>
      <c r="AT727" s="153"/>
      <c r="AU727" s="153">
        <v>3</v>
      </c>
      <c r="AV727" s="168"/>
      <c r="AW727" s="176">
        <f t="shared" si="311"/>
        <v>6</v>
      </c>
      <c r="AX727" s="56">
        <f t="shared" si="300"/>
        <v>18</v>
      </c>
      <c r="AY727" s="329">
        <v>44784</v>
      </c>
      <c r="AZ727" s="326"/>
      <c r="BE727" s="268" t="s">
        <v>98</v>
      </c>
      <c r="BF727" s="55"/>
      <c r="BG727" s="153"/>
      <c r="BH727" s="153">
        <v>1</v>
      </c>
      <c r="BI727" s="168">
        <v>1</v>
      </c>
      <c r="BJ727" s="56">
        <f t="shared" si="312"/>
        <v>2</v>
      </c>
      <c r="BK727" s="304">
        <v>44782</v>
      </c>
      <c r="BL727" s="268" t="s">
        <v>442</v>
      </c>
      <c r="BM727" s="54"/>
      <c r="BN727" s="55"/>
      <c r="BO727" s="55">
        <v>5</v>
      </c>
      <c r="BP727" s="55"/>
      <c r="BQ727" s="56">
        <f t="shared" si="313"/>
        <v>5</v>
      </c>
      <c r="BR727" s="306">
        <v>44784</v>
      </c>
      <c r="BS727" s="191"/>
    </row>
    <row r="728" spans="1:71" x14ac:dyDescent="0.15">
      <c r="A728" s="53" t="s">
        <v>98</v>
      </c>
      <c r="B728" s="54"/>
      <c r="C728" s="55"/>
      <c r="D728" s="55"/>
      <c r="E728" s="55">
        <v>1</v>
      </c>
      <c r="F728" s="56">
        <f t="shared" si="295"/>
        <v>1</v>
      </c>
      <c r="G728" s="54">
        <v>1</v>
      </c>
      <c r="H728" s="55"/>
      <c r="I728" s="55"/>
      <c r="J728" s="55"/>
      <c r="K728" s="56">
        <f t="shared" si="296"/>
        <v>1</v>
      </c>
      <c r="L728" s="54">
        <v>1</v>
      </c>
      <c r="M728" s="55"/>
      <c r="N728" s="55"/>
      <c r="O728" s="55"/>
      <c r="P728" s="56">
        <f t="shared" si="297"/>
        <v>1</v>
      </c>
      <c r="Q728" s="54"/>
      <c r="R728" s="55"/>
      <c r="S728" s="55"/>
      <c r="T728" s="55"/>
      <c r="U728" s="176">
        <f t="shared" si="298"/>
        <v>0</v>
      </c>
      <c r="V728" s="56">
        <f t="shared" si="299"/>
        <v>3</v>
      </c>
      <c r="W728" s="328">
        <v>44782</v>
      </c>
      <c r="X728" s="326"/>
      <c r="Y728" s="326"/>
      <c r="Z728" s="326"/>
      <c r="AC728" s="276" t="s">
        <v>444</v>
      </c>
      <c r="AD728" s="54">
        <v>8</v>
      </c>
      <c r="AE728" s="55"/>
      <c r="AF728" s="55"/>
      <c r="AG728" s="55"/>
      <c r="AH728" s="56">
        <f t="shared" si="303"/>
        <v>8</v>
      </c>
      <c r="AI728" s="54"/>
      <c r="AJ728" s="55"/>
      <c r="AK728" s="55"/>
      <c r="AL728" s="55"/>
      <c r="AM728" s="56">
        <f t="shared" si="304"/>
        <v>0</v>
      </c>
      <c r="AN728" s="54"/>
      <c r="AO728" s="55"/>
      <c r="AP728" s="55"/>
      <c r="AQ728" s="55"/>
      <c r="AR728" s="56">
        <f t="shared" si="310"/>
        <v>0</v>
      </c>
      <c r="AS728" s="54"/>
      <c r="AT728" s="55"/>
      <c r="AU728" s="55"/>
      <c r="AV728" s="55"/>
      <c r="AW728" s="176">
        <f t="shared" si="311"/>
        <v>0</v>
      </c>
      <c r="AX728" s="56">
        <f t="shared" si="300"/>
        <v>8</v>
      </c>
      <c r="AY728" s="329">
        <v>44796</v>
      </c>
      <c r="AZ728" s="326"/>
      <c r="BE728" s="268" t="s">
        <v>98</v>
      </c>
      <c r="BF728" s="54">
        <v>1</v>
      </c>
      <c r="BG728" s="55"/>
      <c r="BH728" s="55"/>
      <c r="BI728" s="55"/>
      <c r="BJ728" s="56">
        <f t="shared" si="312"/>
        <v>1</v>
      </c>
      <c r="BK728" s="304">
        <v>44783</v>
      </c>
      <c r="BL728" s="268"/>
      <c r="BM728" s="54"/>
      <c r="BN728" s="55"/>
      <c r="BO728" s="55"/>
      <c r="BP728" s="55"/>
      <c r="BQ728" s="56">
        <f t="shared" ref="BQ728:BQ732" si="315">SUM(BM728:BP728)</f>
        <v>0</v>
      </c>
      <c r="BR728" s="191"/>
    </row>
    <row r="729" spans="1:71" x14ac:dyDescent="0.15">
      <c r="A729" s="53" t="s">
        <v>98</v>
      </c>
      <c r="B729" s="54"/>
      <c r="C729" s="55"/>
      <c r="D729" s="55"/>
      <c r="E729" s="55"/>
      <c r="F729" s="56">
        <f t="shared" si="295"/>
        <v>0</v>
      </c>
      <c r="G729" s="54"/>
      <c r="H729" s="55">
        <v>1</v>
      </c>
      <c r="I729" s="55"/>
      <c r="J729" s="55">
        <v>2</v>
      </c>
      <c r="K729" s="56">
        <f t="shared" si="296"/>
        <v>3</v>
      </c>
      <c r="L729" s="54"/>
      <c r="M729" s="55">
        <v>1</v>
      </c>
      <c r="N729" s="55"/>
      <c r="O729" s="55"/>
      <c r="P729" s="56">
        <f t="shared" si="297"/>
        <v>1</v>
      </c>
      <c r="Q729" s="54"/>
      <c r="R729" s="55"/>
      <c r="S729" s="55"/>
      <c r="T729" s="55"/>
      <c r="U729" s="176">
        <f t="shared" si="298"/>
        <v>0</v>
      </c>
      <c r="V729" s="56">
        <f t="shared" si="299"/>
        <v>4</v>
      </c>
      <c r="W729" s="328">
        <v>44783</v>
      </c>
      <c r="X729" s="326"/>
      <c r="Y729" s="326"/>
      <c r="Z729" s="326"/>
      <c r="AC729" s="276" t="s">
        <v>445</v>
      </c>
      <c r="AD729" s="54">
        <v>5</v>
      </c>
      <c r="AE729" s="55"/>
      <c r="AF729" s="55"/>
      <c r="AG729" s="55">
        <v>5</v>
      </c>
      <c r="AH729" s="56">
        <f t="shared" si="303"/>
        <v>10</v>
      </c>
      <c r="AI729" s="54"/>
      <c r="AJ729" s="55">
        <v>16</v>
      </c>
      <c r="AK729" s="55"/>
      <c r="AL729" s="55"/>
      <c r="AM729" s="56">
        <f t="shared" si="304"/>
        <v>16</v>
      </c>
      <c r="AN729" s="54"/>
      <c r="AO729" s="55"/>
      <c r="AP729" s="55"/>
      <c r="AQ729" s="55"/>
      <c r="AR729" s="56">
        <f t="shared" si="310"/>
        <v>0</v>
      </c>
      <c r="AS729" s="54"/>
      <c r="AT729" s="55"/>
      <c r="AU729" s="55"/>
      <c r="AV729" s="55"/>
      <c r="AW729" s="176">
        <f t="shared" si="311"/>
        <v>0</v>
      </c>
      <c r="AX729" s="56">
        <f t="shared" si="300"/>
        <v>26</v>
      </c>
      <c r="AY729" s="329">
        <v>44803</v>
      </c>
      <c r="AZ729" s="326"/>
      <c r="BE729" s="268" t="s">
        <v>98</v>
      </c>
      <c r="BF729" s="54"/>
      <c r="BG729" s="55"/>
      <c r="BH729" s="55">
        <v>1</v>
      </c>
      <c r="BI729" s="55">
        <v>3</v>
      </c>
      <c r="BJ729" s="56">
        <f t="shared" si="312"/>
        <v>4</v>
      </c>
      <c r="BK729" s="306">
        <v>44790</v>
      </c>
      <c r="BL729" s="268"/>
      <c r="BM729" s="54"/>
      <c r="BN729" s="55"/>
      <c r="BO729" s="55"/>
      <c r="BP729" s="55"/>
      <c r="BQ729" s="56">
        <f t="shared" si="315"/>
        <v>0</v>
      </c>
    </row>
    <row r="730" spans="1:71" x14ac:dyDescent="0.15">
      <c r="A730" s="53" t="s">
        <v>98</v>
      </c>
      <c r="B730" s="54"/>
      <c r="C730" s="55">
        <v>1</v>
      </c>
      <c r="D730" s="55"/>
      <c r="E730" s="55"/>
      <c r="F730" s="56">
        <f t="shared" si="295"/>
        <v>1</v>
      </c>
      <c r="G730" s="54">
        <v>3</v>
      </c>
      <c r="H730" s="55"/>
      <c r="I730" s="55"/>
      <c r="J730" s="55">
        <v>1</v>
      </c>
      <c r="K730" s="56">
        <f t="shared" si="296"/>
        <v>4</v>
      </c>
      <c r="L730" s="54">
        <v>1</v>
      </c>
      <c r="M730" s="55"/>
      <c r="N730" s="55"/>
      <c r="O730" s="55">
        <f>1+1</f>
        <v>2</v>
      </c>
      <c r="P730" s="56">
        <f t="shared" si="297"/>
        <v>3</v>
      </c>
      <c r="Q730" s="54">
        <v>1</v>
      </c>
      <c r="R730" s="55"/>
      <c r="S730" s="55">
        <v>1</v>
      </c>
      <c r="T730" s="55"/>
      <c r="U730" s="176">
        <f t="shared" si="298"/>
        <v>2</v>
      </c>
      <c r="V730" s="56">
        <f t="shared" si="299"/>
        <v>10</v>
      </c>
      <c r="W730" s="328">
        <v>44784</v>
      </c>
      <c r="X730" s="326"/>
      <c r="Y730" s="326"/>
      <c r="Z730" s="326"/>
      <c r="AC730" s="269" t="s">
        <v>446</v>
      </c>
      <c r="AD730" s="54"/>
      <c r="AE730" s="55"/>
      <c r="AF730" s="55"/>
      <c r="AG730" s="55">
        <v>1</v>
      </c>
      <c r="AH730" s="56">
        <f t="shared" si="303"/>
        <v>1</v>
      </c>
      <c r="AI730" s="54"/>
      <c r="AJ730" s="55">
        <v>3</v>
      </c>
      <c r="AK730" s="55"/>
      <c r="AL730" s="55"/>
      <c r="AM730" s="56">
        <f t="shared" si="304"/>
        <v>3</v>
      </c>
      <c r="AN730" s="54"/>
      <c r="AO730" s="55"/>
      <c r="AP730" s="55"/>
      <c r="AQ730" s="55"/>
      <c r="AR730" s="56">
        <f t="shared" si="310"/>
        <v>0</v>
      </c>
      <c r="AS730" s="54"/>
      <c r="AT730" s="55">
        <v>2</v>
      </c>
      <c r="AU730" s="55"/>
      <c r="AV730" s="55"/>
      <c r="AW730" s="56">
        <f t="shared" si="311"/>
        <v>2</v>
      </c>
      <c r="AX730" s="56">
        <f t="shared" si="300"/>
        <v>6</v>
      </c>
      <c r="AY730" s="329">
        <v>44802</v>
      </c>
      <c r="AZ730" s="326"/>
      <c r="BE730" s="268" t="s">
        <v>98</v>
      </c>
      <c r="BF730" s="54"/>
      <c r="BG730" s="55"/>
      <c r="BH730" s="55"/>
      <c r="BI730" s="55">
        <v>2</v>
      </c>
      <c r="BJ730" s="56">
        <f t="shared" si="312"/>
        <v>2</v>
      </c>
      <c r="BK730" s="306">
        <v>44796</v>
      </c>
      <c r="BL730" s="268"/>
      <c r="BM730" s="54"/>
      <c r="BN730" s="55"/>
      <c r="BO730" s="55"/>
      <c r="BP730" s="55"/>
      <c r="BQ730" s="56">
        <f t="shared" si="315"/>
        <v>0</v>
      </c>
    </row>
    <row r="731" spans="1:71" x14ac:dyDescent="0.15">
      <c r="A731" s="53" t="s">
        <v>98</v>
      </c>
      <c r="B731" s="54">
        <v>1</v>
      </c>
      <c r="C731" s="55"/>
      <c r="D731" s="55">
        <v>1</v>
      </c>
      <c r="E731" s="55">
        <v>1</v>
      </c>
      <c r="F731" s="56">
        <f t="shared" si="295"/>
        <v>3</v>
      </c>
      <c r="G731" s="54">
        <v>3</v>
      </c>
      <c r="H731" s="55">
        <v>2</v>
      </c>
      <c r="I731" s="55"/>
      <c r="J731" s="55">
        <v>3</v>
      </c>
      <c r="K731" s="56">
        <f t="shared" si="296"/>
        <v>8</v>
      </c>
      <c r="L731" s="54"/>
      <c r="M731" s="55"/>
      <c r="N731" s="55"/>
      <c r="O731" s="55"/>
      <c r="P731" s="56">
        <f t="shared" si="297"/>
        <v>0</v>
      </c>
      <c r="Q731" s="54"/>
      <c r="R731" s="55">
        <v>2</v>
      </c>
      <c r="S731" s="55">
        <v>4</v>
      </c>
      <c r="T731" s="55"/>
      <c r="U731" s="176">
        <f t="shared" si="298"/>
        <v>6</v>
      </c>
      <c r="V731" s="56">
        <f t="shared" si="299"/>
        <v>17</v>
      </c>
      <c r="W731" s="328">
        <v>44790</v>
      </c>
      <c r="X731" s="326"/>
      <c r="Y731" s="326"/>
      <c r="Z731" s="326"/>
      <c r="AC731" s="269" t="s">
        <v>450</v>
      </c>
      <c r="AD731" s="54"/>
      <c r="AE731" s="55"/>
      <c r="AF731" s="55"/>
      <c r="AG731" s="55"/>
      <c r="AH731" s="56">
        <f t="shared" si="303"/>
        <v>0</v>
      </c>
      <c r="AI731" s="54"/>
      <c r="AJ731" s="55"/>
      <c r="AK731" s="55"/>
      <c r="AL731" s="55"/>
      <c r="AM731" s="56">
        <f t="shared" si="304"/>
        <v>0</v>
      </c>
      <c r="AN731" s="54"/>
      <c r="AO731" s="55"/>
      <c r="AP731" s="55"/>
      <c r="AQ731" s="55"/>
      <c r="AR731" s="56">
        <f t="shared" si="310"/>
        <v>0</v>
      </c>
      <c r="AS731" s="54"/>
      <c r="AT731" s="55"/>
      <c r="AU731" s="55">
        <v>1</v>
      </c>
      <c r="AV731" s="55"/>
      <c r="AW731" s="176">
        <f t="shared" si="311"/>
        <v>1</v>
      </c>
      <c r="AX731" s="56">
        <f t="shared" si="300"/>
        <v>1</v>
      </c>
      <c r="AY731" s="329">
        <v>44806</v>
      </c>
      <c r="AZ731" s="326"/>
      <c r="BE731" s="268"/>
      <c r="BF731" s="51"/>
      <c r="BG731" s="52"/>
      <c r="BH731" s="52"/>
      <c r="BI731" s="52"/>
      <c r="BJ731" s="49">
        <f t="shared" si="312"/>
        <v>0</v>
      </c>
      <c r="BK731" s="304"/>
      <c r="BL731" s="268"/>
      <c r="BM731" s="54"/>
      <c r="BN731" s="55"/>
      <c r="BO731" s="55"/>
      <c r="BP731" s="55"/>
      <c r="BQ731" s="56">
        <f t="shared" si="315"/>
        <v>0</v>
      </c>
    </row>
    <row r="732" spans="1:71" x14ac:dyDescent="0.15">
      <c r="A732" s="276" t="s">
        <v>433</v>
      </c>
      <c r="B732" s="54"/>
      <c r="C732" s="55"/>
      <c r="D732" s="55"/>
      <c r="E732" s="55"/>
      <c r="F732" s="56">
        <f t="shared" si="295"/>
        <v>0</v>
      </c>
      <c r="G732" s="54"/>
      <c r="H732" s="55"/>
      <c r="I732" s="55"/>
      <c r="J732" s="55"/>
      <c r="K732" s="56">
        <f t="shared" si="296"/>
        <v>0</v>
      </c>
      <c r="L732" s="54"/>
      <c r="M732" s="55"/>
      <c r="N732" s="55"/>
      <c r="O732" s="55">
        <v>4</v>
      </c>
      <c r="P732" s="56">
        <f t="shared" si="297"/>
        <v>4</v>
      </c>
      <c r="Q732" s="54"/>
      <c r="R732" s="55"/>
      <c r="S732" s="55"/>
      <c r="T732" s="55"/>
      <c r="U732" s="176">
        <f t="shared" si="298"/>
        <v>0</v>
      </c>
      <c r="V732" s="56">
        <f t="shared" si="299"/>
        <v>4</v>
      </c>
      <c r="W732" s="329">
        <v>44796</v>
      </c>
      <c r="X732" s="326"/>
      <c r="Y732" s="326"/>
      <c r="Z732" s="326"/>
      <c r="AC732" s="276"/>
      <c r="AD732" s="54"/>
      <c r="AE732" s="55"/>
      <c r="AF732" s="55"/>
      <c r="AG732" s="55"/>
      <c r="AH732" s="56">
        <f t="shared" si="303"/>
        <v>0</v>
      </c>
      <c r="AI732" s="54"/>
      <c r="AJ732" s="55"/>
      <c r="AK732" s="55"/>
      <c r="AL732" s="55"/>
      <c r="AM732" s="56">
        <f t="shared" si="304"/>
        <v>0</v>
      </c>
      <c r="AN732" s="54"/>
      <c r="AO732" s="55"/>
      <c r="AP732" s="55"/>
      <c r="AQ732" s="55"/>
      <c r="AR732" s="56">
        <f t="shared" si="310"/>
        <v>0</v>
      </c>
      <c r="AS732" s="54"/>
      <c r="AT732" s="55"/>
      <c r="AU732" s="55"/>
      <c r="AV732" s="55"/>
      <c r="AW732" s="176">
        <f t="shared" si="311"/>
        <v>0</v>
      </c>
      <c r="AX732" s="56">
        <f t="shared" si="300"/>
        <v>0</v>
      </c>
      <c r="AY732" s="325"/>
      <c r="AZ732" s="326"/>
      <c r="BE732" s="268"/>
      <c r="BF732" s="54"/>
      <c r="BG732" s="55"/>
      <c r="BH732" s="55"/>
      <c r="BI732" s="55"/>
      <c r="BJ732" s="56">
        <f t="shared" si="312"/>
        <v>0</v>
      </c>
      <c r="BK732" s="304"/>
      <c r="BL732" s="268"/>
      <c r="BM732" s="54"/>
      <c r="BN732" s="55"/>
      <c r="BO732" s="55"/>
      <c r="BP732" s="55"/>
      <c r="BQ732" s="56">
        <f t="shared" si="315"/>
        <v>0</v>
      </c>
    </row>
    <row r="733" spans="1:71" x14ac:dyDescent="0.15">
      <c r="A733" s="53" t="s">
        <v>121</v>
      </c>
      <c r="B733" s="54"/>
      <c r="C733" s="55"/>
      <c r="D733" s="55"/>
      <c r="E733" s="55"/>
      <c r="F733" s="56">
        <f t="shared" si="295"/>
        <v>0</v>
      </c>
      <c r="G733" s="54"/>
      <c r="H733" s="55">
        <v>-1</v>
      </c>
      <c r="I733" s="55"/>
      <c r="J733" s="55"/>
      <c r="K733" s="56">
        <f t="shared" si="296"/>
        <v>-1</v>
      </c>
      <c r="L733" s="54"/>
      <c r="M733" s="55"/>
      <c r="N733" s="55"/>
      <c r="O733" s="55"/>
      <c r="P733" s="56">
        <f t="shared" si="297"/>
        <v>0</v>
      </c>
      <c r="Q733" s="54"/>
      <c r="R733" s="55"/>
      <c r="S733" s="55"/>
      <c r="T733" s="55"/>
      <c r="U733" s="176">
        <f t="shared" si="298"/>
        <v>0</v>
      </c>
      <c r="V733" s="56">
        <f t="shared" si="299"/>
        <v>-1</v>
      </c>
      <c r="W733" s="328">
        <v>44790</v>
      </c>
      <c r="X733" s="326"/>
      <c r="Y733" s="326"/>
      <c r="Z733" s="326"/>
      <c r="AC733" s="269"/>
      <c r="AD733" s="55"/>
      <c r="AE733" s="55"/>
      <c r="AF733" s="55"/>
      <c r="AG733" s="166"/>
      <c r="AH733" s="49">
        <f t="shared" si="303"/>
        <v>0</v>
      </c>
      <c r="AI733" s="55"/>
      <c r="AJ733" s="55"/>
      <c r="AK733" s="55"/>
      <c r="AL733" s="166"/>
      <c r="AM733" s="49">
        <f t="shared" si="304"/>
        <v>0</v>
      </c>
      <c r="AN733" s="55"/>
      <c r="AO733" s="55"/>
      <c r="AP733" s="55"/>
      <c r="AQ733" s="166"/>
      <c r="AR733" s="49">
        <f t="shared" si="310"/>
        <v>0</v>
      </c>
      <c r="AS733" s="55"/>
      <c r="AT733" s="55"/>
      <c r="AU733" s="55"/>
      <c r="AV733" s="166"/>
      <c r="AW733" s="175">
        <f t="shared" si="311"/>
        <v>0</v>
      </c>
      <c r="AX733" s="56">
        <f t="shared" si="300"/>
        <v>0</v>
      </c>
      <c r="AY733" s="325"/>
      <c r="AZ733" s="326"/>
      <c r="BE733" s="268"/>
      <c r="BF733" s="54"/>
      <c r="BG733" s="55"/>
      <c r="BH733" s="55"/>
      <c r="BI733" s="55"/>
      <c r="BJ733" s="56">
        <f t="shared" si="312"/>
        <v>0</v>
      </c>
      <c r="BK733" s="306"/>
      <c r="BL733" s="268"/>
      <c r="BM733" s="54"/>
      <c r="BN733" s="55"/>
      <c r="BO733" s="55"/>
      <c r="BP733" s="55"/>
      <c r="BQ733" s="56">
        <f t="shared" si="313"/>
        <v>0</v>
      </c>
    </row>
    <row r="734" spans="1:71" x14ac:dyDescent="0.15">
      <c r="A734" s="53" t="s">
        <v>121</v>
      </c>
      <c r="B734" s="54"/>
      <c r="C734" s="55"/>
      <c r="D734" s="55"/>
      <c r="E734" s="55"/>
      <c r="F734" s="56">
        <f t="shared" si="295"/>
        <v>0</v>
      </c>
      <c r="G734" s="54">
        <v>-1</v>
      </c>
      <c r="H734" s="55"/>
      <c r="I734" s="55"/>
      <c r="J734" s="55"/>
      <c r="K734" s="56">
        <f t="shared" si="296"/>
        <v>-1</v>
      </c>
      <c r="L734" s="54"/>
      <c r="M734" s="55"/>
      <c r="N734" s="55"/>
      <c r="O734" s="55"/>
      <c r="P734" s="56">
        <f t="shared" si="297"/>
        <v>0</v>
      </c>
      <c r="Q734" s="54"/>
      <c r="R734" s="55"/>
      <c r="S734" s="55"/>
      <c r="T734" s="55"/>
      <c r="U734" s="176">
        <f t="shared" si="298"/>
        <v>0</v>
      </c>
      <c r="V734" s="56">
        <f t="shared" si="299"/>
        <v>-1</v>
      </c>
      <c r="W734" s="328">
        <v>44791</v>
      </c>
      <c r="X734" s="326"/>
      <c r="Y734" s="326"/>
      <c r="Z734" s="326"/>
      <c r="AC734" s="276"/>
      <c r="AD734" s="17"/>
      <c r="AE734" s="18"/>
      <c r="AF734" s="18"/>
      <c r="AG734" s="18"/>
      <c r="AH734" s="30">
        <f t="shared" si="303"/>
        <v>0</v>
      </c>
      <c r="AI734" s="17"/>
      <c r="AJ734" s="18"/>
      <c r="AK734" s="18"/>
      <c r="AL734" s="18"/>
      <c r="AM734" s="30">
        <f t="shared" si="304"/>
        <v>0</v>
      </c>
      <c r="AN734" s="17"/>
      <c r="AO734" s="18"/>
      <c r="AP734" s="18"/>
      <c r="AQ734" s="18"/>
      <c r="AR734" s="30">
        <f t="shared" si="310"/>
        <v>0</v>
      </c>
      <c r="AS734" s="17"/>
      <c r="AT734" s="18"/>
      <c r="AU734" s="18"/>
      <c r="AV734" s="18"/>
      <c r="AW734" s="178">
        <f t="shared" si="311"/>
        <v>0</v>
      </c>
      <c r="AX734" s="56">
        <f t="shared" si="300"/>
        <v>0</v>
      </c>
      <c r="AY734" s="325"/>
      <c r="AZ734" s="326"/>
      <c r="BE734" s="268"/>
      <c r="BF734" s="55"/>
      <c r="BG734" s="55"/>
      <c r="BH734" s="55"/>
      <c r="BI734" s="166"/>
      <c r="BJ734" s="49">
        <f t="shared" si="312"/>
        <v>0</v>
      </c>
      <c r="BL734" s="276"/>
      <c r="BM734" s="55"/>
      <c r="BN734" s="55"/>
      <c r="BO734" s="55"/>
      <c r="BP734" s="166"/>
      <c r="BQ734" s="49">
        <f t="shared" si="313"/>
        <v>0</v>
      </c>
    </row>
    <row r="735" spans="1:71" x14ac:dyDescent="0.15">
      <c r="A735" s="53" t="s">
        <v>98</v>
      </c>
      <c r="B735" s="17"/>
      <c r="C735" s="18"/>
      <c r="D735" s="18"/>
      <c r="E735" s="18"/>
      <c r="F735" s="30">
        <f t="shared" si="295"/>
        <v>0</v>
      </c>
      <c r="G735" s="54"/>
      <c r="H735" s="55"/>
      <c r="I735" s="55"/>
      <c r="J735" s="55">
        <v>1</v>
      </c>
      <c r="K735" s="56">
        <f t="shared" ref="K735:K737" si="316">SUM(G735:J735)</f>
        <v>1</v>
      </c>
      <c r="L735" s="54"/>
      <c r="M735" s="55"/>
      <c r="N735" s="55"/>
      <c r="O735" s="55"/>
      <c r="P735" s="56">
        <f t="shared" ref="P735:P737" si="317">SUM(L735:O735)</f>
        <v>0</v>
      </c>
      <c r="Q735" s="54"/>
      <c r="R735" s="55">
        <v>1</v>
      </c>
      <c r="S735" s="55"/>
      <c r="T735" s="55"/>
      <c r="U735" s="178">
        <f t="shared" si="298"/>
        <v>1</v>
      </c>
      <c r="V735" s="56">
        <f t="shared" si="299"/>
        <v>2</v>
      </c>
      <c r="W735" s="329">
        <v>44791</v>
      </c>
      <c r="X735" s="326"/>
      <c r="Y735" s="326"/>
      <c r="Z735" s="326"/>
      <c r="AC735" s="276"/>
      <c r="AD735" s="54"/>
      <c r="AE735" s="55"/>
      <c r="AF735" s="55"/>
      <c r="AG735" s="55"/>
      <c r="AH735" s="56">
        <f t="shared" si="303"/>
        <v>0</v>
      </c>
      <c r="AI735" s="54"/>
      <c r="AJ735" s="55"/>
      <c r="AK735" s="55"/>
      <c r="AL735" s="55"/>
      <c r="AM735" s="56">
        <f t="shared" si="304"/>
        <v>0</v>
      </c>
      <c r="AN735" s="54"/>
      <c r="AO735" s="55"/>
      <c r="AP735" s="55"/>
      <c r="AQ735" s="55"/>
      <c r="AR735" s="56">
        <f t="shared" si="310"/>
        <v>0</v>
      </c>
      <c r="AS735" s="54"/>
      <c r="AT735" s="55"/>
      <c r="AU735" s="55"/>
      <c r="AV735" s="55"/>
      <c r="AW735" s="176">
        <f t="shared" si="311"/>
        <v>0</v>
      </c>
      <c r="AX735" s="56">
        <f t="shared" si="300"/>
        <v>0</v>
      </c>
      <c r="AY735" s="325"/>
      <c r="AZ735" s="326"/>
      <c r="BE735" s="277"/>
      <c r="BF735" s="17"/>
      <c r="BG735" s="18"/>
      <c r="BH735" s="18"/>
      <c r="BI735" s="18"/>
      <c r="BJ735" s="30">
        <f t="shared" si="312"/>
        <v>0</v>
      </c>
      <c r="BL735" s="277"/>
      <c r="BM735" s="17"/>
      <c r="BN735" s="18"/>
      <c r="BO735" s="18"/>
      <c r="BP735" s="18"/>
      <c r="BQ735" s="30">
        <f t="shared" si="313"/>
        <v>0</v>
      </c>
    </row>
    <row r="736" spans="1:71" x14ac:dyDescent="0.15">
      <c r="A736" s="53" t="s">
        <v>443</v>
      </c>
      <c r="B736" s="54"/>
      <c r="C736" s="55"/>
      <c r="D736" s="55"/>
      <c r="E736" s="55"/>
      <c r="F736" s="56">
        <f t="shared" ref="F736:F737" si="318">SUM(B736:E736)</f>
        <v>0</v>
      </c>
      <c r="G736" s="54"/>
      <c r="H736" s="55">
        <v>1</v>
      </c>
      <c r="I736" s="55"/>
      <c r="J736" s="55"/>
      <c r="K736" s="56">
        <f t="shared" si="316"/>
        <v>1</v>
      </c>
      <c r="L736" s="54"/>
      <c r="M736" s="55"/>
      <c r="N736" s="55"/>
      <c r="O736" s="55"/>
      <c r="P736" s="56">
        <f t="shared" si="317"/>
        <v>0</v>
      </c>
      <c r="Q736" s="54"/>
      <c r="R736" s="55"/>
      <c r="S736" s="55"/>
      <c r="T736" s="55"/>
      <c r="U736" s="176">
        <f t="shared" ref="U736:U737" si="319">SUM(Q736:T736)</f>
        <v>0</v>
      </c>
      <c r="V736" s="56">
        <f t="shared" si="299"/>
        <v>1</v>
      </c>
      <c r="W736" s="329">
        <v>44792</v>
      </c>
      <c r="X736" s="326"/>
      <c r="Y736" s="326"/>
      <c r="Z736" s="326"/>
      <c r="AC736" s="276"/>
      <c r="AD736" s="54"/>
      <c r="AE736" s="55"/>
      <c r="AF736" s="55"/>
      <c r="AG736" s="55"/>
      <c r="AH736" s="56">
        <f t="shared" si="303"/>
        <v>0</v>
      </c>
      <c r="AI736" s="54"/>
      <c r="AJ736" s="55"/>
      <c r="AK736" s="55"/>
      <c r="AL736" s="55"/>
      <c r="AM736" s="56">
        <f t="shared" si="304"/>
        <v>0</v>
      </c>
      <c r="AN736" s="54"/>
      <c r="AO736" s="55"/>
      <c r="AP736" s="55"/>
      <c r="AQ736" s="55"/>
      <c r="AR736" s="56">
        <f t="shared" si="310"/>
        <v>0</v>
      </c>
      <c r="AS736" s="54"/>
      <c r="AT736" s="55"/>
      <c r="AU736" s="55"/>
      <c r="AV736" s="55"/>
      <c r="AW736" s="176">
        <f t="shared" si="311"/>
        <v>0</v>
      </c>
      <c r="AX736" s="56">
        <f t="shared" si="300"/>
        <v>0</v>
      </c>
      <c r="AY736" s="325"/>
      <c r="AZ736" s="326"/>
      <c r="BE736" s="276"/>
      <c r="BF736" s="54"/>
      <c r="BG736" s="55"/>
      <c r="BH736" s="55"/>
      <c r="BI736" s="55"/>
      <c r="BJ736" s="56">
        <f t="shared" si="312"/>
        <v>0</v>
      </c>
      <c r="BL736" s="276"/>
      <c r="BM736" s="54"/>
      <c r="BN736" s="55"/>
      <c r="BO736" s="55"/>
      <c r="BP736" s="55"/>
      <c r="BQ736" s="56">
        <f t="shared" si="313"/>
        <v>0</v>
      </c>
    </row>
    <row r="737" spans="1:69" x14ac:dyDescent="0.15">
      <c r="A737" s="53" t="s">
        <v>98</v>
      </c>
      <c r="B737" s="54"/>
      <c r="C737" s="55"/>
      <c r="D737" s="55"/>
      <c r="E737" s="55"/>
      <c r="F737" s="56">
        <f t="shared" si="318"/>
        <v>0</v>
      </c>
      <c r="G737" s="54">
        <v>1</v>
      </c>
      <c r="H737" s="55"/>
      <c r="I737" s="55">
        <v>1</v>
      </c>
      <c r="J737" s="55"/>
      <c r="K737" s="56">
        <f t="shared" si="316"/>
        <v>2</v>
      </c>
      <c r="L737" s="54"/>
      <c r="M737" s="55"/>
      <c r="N737" s="55"/>
      <c r="O737" s="55"/>
      <c r="P737" s="56">
        <f t="shared" si="317"/>
        <v>0</v>
      </c>
      <c r="Q737" s="54"/>
      <c r="R737" s="55"/>
      <c r="S737" s="55"/>
      <c r="T737" s="55"/>
      <c r="U737" s="176">
        <f t="shared" si="319"/>
        <v>0</v>
      </c>
      <c r="V737" s="56">
        <f t="shared" si="299"/>
        <v>2</v>
      </c>
      <c r="W737" s="328">
        <v>44792</v>
      </c>
      <c r="X737" s="326"/>
      <c r="Y737" s="326"/>
      <c r="Z737" s="326"/>
      <c r="AC737" s="276"/>
      <c r="AD737" s="54"/>
      <c r="AE737" s="55"/>
      <c r="AF737" s="55"/>
      <c r="AG737" s="55"/>
      <c r="AH737" s="56">
        <f t="shared" si="303"/>
        <v>0</v>
      </c>
      <c r="AI737" s="54"/>
      <c r="AJ737" s="55"/>
      <c r="AK737" s="55"/>
      <c r="AL737" s="55"/>
      <c r="AM737" s="56">
        <f t="shared" si="304"/>
        <v>0</v>
      </c>
      <c r="AN737" s="54"/>
      <c r="AO737" s="55"/>
      <c r="AP737" s="55"/>
      <c r="AQ737" s="55"/>
      <c r="AR737" s="56">
        <f t="shared" si="310"/>
        <v>0</v>
      </c>
      <c r="AS737" s="54"/>
      <c r="AT737" s="55"/>
      <c r="AU737" s="55"/>
      <c r="AV737" s="55"/>
      <c r="AW737" s="176">
        <f t="shared" si="311"/>
        <v>0</v>
      </c>
      <c r="AX737" s="56">
        <f t="shared" si="300"/>
        <v>0</v>
      </c>
      <c r="AY737" s="325"/>
      <c r="AZ737" s="326"/>
      <c r="BE737" s="277"/>
      <c r="BF737" s="54"/>
      <c r="BG737" s="55"/>
      <c r="BH737" s="55"/>
      <c r="BI737" s="55"/>
      <c r="BJ737" s="56">
        <f t="shared" si="312"/>
        <v>0</v>
      </c>
      <c r="BL737" s="277"/>
      <c r="BM737" s="54"/>
      <c r="BN737" s="55"/>
      <c r="BO737" s="55"/>
      <c r="BP737" s="55"/>
      <c r="BQ737" s="56">
        <f t="shared" si="313"/>
        <v>0</v>
      </c>
    </row>
    <row r="738" spans="1:69" x14ac:dyDescent="0.15">
      <c r="A738" s="53" t="s">
        <v>98</v>
      </c>
      <c r="B738" s="54"/>
      <c r="C738" s="55"/>
      <c r="D738" s="55"/>
      <c r="E738" s="55">
        <v>1</v>
      </c>
      <c r="F738" s="56">
        <f t="shared" si="295"/>
        <v>1</v>
      </c>
      <c r="G738" s="54"/>
      <c r="H738" s="55"/>
      <c r="I738" s="55"/>
      <c r="J738" s="55"/>
      <c r="K738" s="56">
        <f t="shared" si="296"/>
        <v>0</v>
      </c>
      <c r="L738" s="54"/>
      <c r="M738" s="55"/>
      <c r="N738" s="55"/>
      <c r="O738" s="55"/>
      <c r="P738" s="56">
        <f t="shared" si="297"/>
        <v>0</v>
      </c>
      <c r="Q738" s="54"/>
      <c r="R738" s="55"/>
      <c r="S738" s="55"/>
      <c r="T738" s="55"/>
      <c r="U738" s="176">
        <f t="shared" si="298"/>
        <v>0</v>
      </c>
      <c r="V738" s="56">
        <f t="shared" si="299"/>
        <v>1</v>
      </c>
      <c r="W738" s="328">
        <v>44793</v>
      </c>
      <c r="X738" s="326"/>
      <c r="Y738" s="326"/>
      <c r="Z738" s="326"/>
      <c r="AC738" s="276"/>
      <c r="AD738" s="63"/>
      <c r="AE738" s="63"/>
      <c r="AF738" s="63"/>
      <c r="AG738" s="167"/>
      <c r="AH738" s="64">
        <f t="shared" si="303"/>
        <v>0</v>
      </c>
      <c r="AI738" s="63"/>
      <c r="AJ738" s="63"/>
      <c r="AK738" s="63"/>
      <c r="AL738" s="167"/>
      <c r="AM738" s="64">
        <f t="shared" si="304"/>
        <v>0</v>
      </c>
      <c r="AN738" s="63"/>
      <c r="AO738" s="63"/>
      <c r="AP738" s="63"/>
      <c r="AQ738" s="167"/>
      <c r="AR738" s="64">
        <f t="shared" si="310"/>
        <v>0</v>
      </c>
      <c r="AS738" s="55"/>
      <c r="AT738" s="153"/>
      <c r="AU738" s="153"/>
      <c r="AV738" s="168"/>
      <c r="AW738" s="162">
        <f t="shared" si="311"/>
        <v>0</v>
      </c>
      <c r="AX738" s="56">
        <f t="shared" si="300"/>
        <v>0</v>
      </c>
      <c r="AY738" s="330"/>
      <c r="AZ738" s="326"/>
      <c r="BE738" s="276"/>
      <c r="BF738" s="54"/>
      <c r="BG738" s="55"/>
      <c r="BH738" s="55"/>
      <c r="BI738" s="55"/>
      <c r="BJ738" s="56">
        <f t="shared" si="312"/>
        <v>0</v>
      </c>
      <c r="BL738" s="276"/>
      <c r="BM738" s="54"/>
      <c r="BN738" s="55"/>
      <c r="BO738" s="55"/>
      <c r="BP738" s="55"/>
      <c r="BQ738" s="56">
        <f t="shared" si="313"/>
        <v>0</v>
      </c>
    </row>
    <row r="739" spans="1:69" x14ac:dyDescent="0.15">
      <c r="A739" s="53" t="s">
        <v>100</v>
      </c>
      <c r="B739" s="54"/>
      <c r="C739" s="55"/>
      <c r="D739" s="55"/>
      <c r="E739" s="55"/>
      <c r="F739" s="56">
        <f t="shared" si="295"/>
        <v>0</v>
      </c>
      <c r="G739" s="54">
        <v>2</v>
      </c>
      <c r="H739" s="55"/>
      <c r="I739" s="55">
        <v>1</v>
      </c>
      <c r="J739" s="55"/>
      <c r="K739" s="56">
        <f t="shared" si="296"/>
        <v>3</v>
      </c>
      <c r="L739" s="54"/>
      <c r="M739" s="55"/>
      <c r="N739" s="55"/>
      <c r="O739" s="55"/>
      <c r="P739" s="56">
        <f t="shared" si="297"/>
        <v>0</v>
      </c>
      <c r="Q739" s="54"/>
      <c r="R739" s="55"/>
      <c r="S739" s="55"/>
      <c r="T739" s="55"/>
      <c r="U739" s="176">
        <f t="shared" si="298"/>
        <v>0</v>
      </c>
      <c r="V739" s="56">
        <f t="shared" si="299"/>
        <v>3</v>
      </c>
      <c r="W739" s="329">
        <v>44796</v>
      </c>
      <c r="X739" s="326"/>
      <c r="Y739" s="326"/>
      <c r="Z739" s="326"/>
      <c r="AC739" s="269"/>
      <c r="AD739" s="54"/>
      <c r="AE739" s="55"/>
      <c r="AF739" s="55"/>
      <c r="AG739" s="55"/>
      <c r="AH739" s="56">
        <f t="shared" si="303"/>
        <v>0</v>
      </c>
      <c r="AI739" s="54"/>
      <c r="AJ739" s="55"/>
      <c r="AK739" s="55"/>
      <c r="AL739" s="55"/>
      <c r="AM739" s="56">
        <f t="shared" si="304"/>
        <v>0</v>
      </c>
      <c r="AN739" s="54"/>
      <c r="AO739" s="55"/>
      <c r="AP739" s="55"/>
      <c r="AQ739" s="55"/>
      <c r="AR739" s="56">
        <f t="shared" si="310"/>
        <v>0</v>
      </c>
      <c r="AS739" s="54"/>
      <c r="AT739" s="55"/>
      <c r="AU739" s="55"/>
      <c r="AV739" s="55"/>
      <c r="AW739" s="176">
        <f t="shared" si="311"/>
        <v>0</v>
      </c>
      <c r="AX739" s="56">
        <f t="shared" si="300"/>
        <v>0</v>
      </c>
      <c r="AY739" s="325"/>
      <c r="AZ739" s="326"/>
      <c r="BE739" s="277"/>
      <c r="BF739" s="54"/>
      <c r="BG739" s="55"/>
      <c r="BH739" s="55"/>
      <c r="BI739" s="55"/>
      <c r="BJ739" s="56">
        <f t="shared" si="312"/>
        <v>0</v>
      </c>
      <c r="BL739" s="277"/>
      <c r="BM739" s="54"/>
      <c r="BN739" s="55"/>
      <c r="BO739" s="55"/>
      <c r="BP739" s="55"/>
      <c r="BQ739" s="56">
        <f t="shared" si="313"/>
        <v>0</v>
      </c>
    </row>
    <row r="740" spans="1:69" x14ac:dyDescent="0.15">
      <c r="A740" s="53" t="s">
        <v>98</v>
      </c>
      <c r="B740" s="54"/>
      <c r="C740" s="55"/>
      <c r="D740" s="55"/>
      <c r="E740" s="55">
        <v>1</v>
      </c>
      <c r="F740" s="56">
        <f t="shared" si="295"/>
        <v>1</v>
      </c>
      <c r="G740" s="54"/>
      <c r="H740" s="55"/>
      <c r="I740" s="55">
        <v>1</v>
      </c>
      <c r="J740" s="55"/>
      <c r="K740" s="56">
        <f t="shared" si="296"/>
        <v>1</v>
      </c>
      <c r="L740" s="54"/>
      <c r="M740" s="55"/>
      <c r="N740" s="55"/>
      <c r="O740" s="55">
        <v>1</v>
      </c>
      <c r="P740" s="56">
        <f t="shared" si="297"/>
        <v>1</v>
      </c>
      <c r="Q740" s="54">
        <v>1</v>
      </c>
      <c r="R740" s="55">
        <v>1</v>
      </c>
      <c r="S740" s="55">
        <v>1</v>
      </c>
      <c r="T740" s="55"/>
      <c r="U740" s="176">
        <f t="shared" si="298"/>
        <v>3</v>
      </c>
      <c r="V740" s="56">
        <f t="shared" si="299"/>
        <v>6</v>
      </c>
      <c r="W740" s="328">
        <v>44795</v>
      </c>
      <c r="X740" s="326"/>
      <c r="Y740" s="326"/>
      <c r="Z740" s="326"/>
      <c r="AC740" s="269"/>
      <c r="AD740" s="55"/>
      <c r="AE740" s="55"/>
      <c r="AF740" s="55"/>
      <c r="AG740" s="166"/>
      <c r="AH740" s="49">
        <f t="shared" si="303"/>
        <v>0</v>
      </c>
      <c r="AI740" s="55"/>
      <c r="AJ740" s="55"/>
      <c r="AK740" s="55"/>
      <c r="AL740" s="166"/>
      <c r="AM740" s="49">
        <f t="shared" si="304"/>
        <v>0</v>
      </c>
      <c r="AN740" s="55"/>
      <c r="AO740" s="55"/>
      <c r="AP740" s="55"/>
      <c r="AQ740" s="166"/>
      <c r="AR740" s="49">
        <f t="shared" si="310"/>
        <v>0</v>
      </c>
      <c r="AS740" s="55"/>
      <c r="AT740" s="55"/>
      <c r="AU740" s="55"/>
      <c r="AV740" s="166"/>
      <c r="AW740" s="175">
        <f t="shared" si="311"/>
        <v>0</v>
      </c>
      <c r="AX740" s="56">
        <f t="shared" si="300"/>
        <v>0</v>
      </c>
      <c r="AY740" s="325"/>
      <c r="AZ740" s="326"/>
      <c r="BE740" s="276"/>
      <c r="BF740" s="54"/>
      <c r="BG740" s="55"/>
      <c r="BH740" s="55"/>
      <c r="BI740" s="55"/>
      <c r="BJ740" s="56">
        <f t="shared" si="312"/>
        <v>0</v>
      </c>
      <c r="BL740" s="276"/>
      <c r="BM740" s="54"/>
      <c r="BN740" s="55"/>
      <c r="BO740" s="55"/>
      <c r="BP740" s="55"/>
      <c r="BQ740" s="56">
        <f t="shared" si="313"/>
        <v>0</v>
      </c>
    </row>
    <row r="741" spans="1:69" x14ac:dyDescent="0.15">
      <c r="A741" s="53" t="s">
        <v>447</v>
      </c>
      <c r="B741" s="54"/>
      <c r="C741" s="55"/>
      <c r="D741" s="55"/>
      <c r="E741" s="55"/>
      <c r="F741" s="56">
        <f t="shared" si="295"/>
        <v>0</v>
      </c>
      <c r="G741" s="54"/>
      <c r="H741" s="55"/>
      <c r="I741" s="55"/>
      <c r="J741" s="55"/>
      <c r="K741" s="56">
        <f t="shared" si="296"/>
        <v>0</v>
      </c>
      <c r="L741" s="54"/>
      <c r="M741" s="55"/>
      <c r="N741" s="55"/>
      <c r="O741" s="55"/>
      <c r="P741" s="56">
        <f t="shared" si="297"/>
        <v>0</v>
      </c>
      <c r="Q741" s="54"/>
      <c r="R741" s="55">
        <v>1</v>
      </c>
      <c r="S741" s="55"/>
      <c r="T741" s="55"/>
      <c r="U741" s="176">
        <f t="shared" si="298"/>
        <v>1</v>
      </c>
      <c r="V741" s="56">
        <f t="shared" si="299"/>
        <v>1</v>
      </c>
      <c r="W741" s="329">
        <v>44797</v>
      </c>
      <c r="X741" s="326"/>
      <c r="Y741" s="326"/>
      <c r="Z741" s="326"/>
      <c r="AC741" s="269"/>
      <c r="AD741" s="54"/>
      <c r="AE741" s="55"/>
      <c r="AF741" s="55"/>
      <c r="AG741" s="55"/>
      <c r="AH741" s="56">
        <f t="shared" si="303"/>
        <v>0</v>
      </c>
      <c r="AI741" s="54"/>
      <c r="AJ741" s="55"/>
      <c r="AK741" s="55"/>
      <c r="AL741" s="55"/>
      <c r="AM741" s="56">
        <f t="shared" si="304"/>
        <v>0</v>
      </c>
      <c r="AN741" s="54"/>
      <c r="AO741" s="55"/>
      <c r="AP741" s="55"/>
      <c r="AQ741" s="55"/>
      <c r="AR741" s="56">
        <f t="shared" si="310"/>
        <v>0</v>
      </c>
      <c r="AS741" s="54"/>
      <c r="AT741" s="55"/>
      <c r="AU741" s="55"/>
      <c r="AV741" s="55"/>
      <c r="AW741" s="176">
        <f t="shared" si="311"/>
        <v>0</v>
      </c>
      <c r="AX741" s="56">
        <f t="shared" si="300"/>
        <v>0</v>
      </c>
      <c r="AY741" s="325"/>
      <c r="AZ741" s="326"/>
      <c r="BE741" s="277"/>
      <c r="BF741" s="55"/>
      <c r="BG741" s="55"/>
      <c r="BH741" s="55"/>
      <c r="BI741" s="166"/>
      <c r="BJ741" s="49">
        <f t="shared" si="312"/>
        <v>0</v>
      </c>
      <c r="BL741" s="277"/>
      <c r="BM741" s="55"/>
      <c r="BN741" s="55"/>
      <c r="BO741" s="55"/>
      <c r="BP741" s="166"/>
      <c r="BQ741" s="49">
        <f t="shared" si="313"/>
        <v>0</v>
      </c>
    </row>
    <row r="742" spans="1:69" x14ac:dyDescent="0.15">
      <c r="A742" s="53" t="s">
        <v>98</v>
      </c>
      <c r="B742" s="54"/>
      <c r="C742" s="55"/>
      <c r="D742" s="55"/>
      <c r="E742" s="55"/>
      <c r="F742" s="56">
        <f t="shared" si="295"/>
        <v>0</v>
      </c>
      <c r="G742" s="54"/>
      <c r="H742" s="55">
        <v>2</v>
      </c>
      <c r="I742" s="55"/>
      <c r="J742" s="55"/>
      <c r="K742" s="56">
        <f t="shared" si="296"/>
        <v>2</v>
      </c>
      <c r="L742" s="54"/>
      <c r="M742" s="55"/>
      <c r="N742" s="55"/>
      <c r="O742" s="55"/>
      <c r="P742" s="56">
        <f t="shared" si="297"/>
        <v>0</v>
      </c>
      <c r="Q742" s="54"/>
      <c r="R742" s="55">
        <v>1</v>
      </c>
      <c r="S742" s="55"/>
      <c r="T742" s="55"/>
      <c r="U742" s="176">
        <f t="shared" si="298"/>
        <v>1</v>
      </c>
      <c r="V742" s="56">
        <f t="shared" si="299"/>
        <v>3</v>
      </c>
      <c r="W742" s="328">
        <v>44796</v>
      </c>
      <c r="X742" s="326"/>
      <c r="Y742" s="326"/>
      <c r="Z742" s="326"/>
      <c r="AC742" s="276"/>
      <c r="AD742" s="54"/>
      <c r="AE742" s="55"/>
      <c r="AF742" s="55"/>
      <c r="AG742" s="55"/>
      <c r="AH742" s="56">
        <f t="shared" si="303"/>
        <v>0</v>
      </c>
      <c r="AI742" s="54"/>
      <c r="AJ742" s="55"/>
      <c r="AK742" s="55"/>
      <c r="AL742" s="55"/>
      <c r="AM742" s="56">
        <f t="shared" si="304"/>
        <v>0</v>
      </c>
      <c r="AN742" s="54"/>
      <c r="AO742" s="55"/>
      <c r="AP742" s="55"/>
      <c r="AQ742" s="55"/>
      <c r="AR742" s="56">
        <f t="shared" si="310"/>
        <v>0</v>
      </c>
      <c r="AS742" s="54"/>
      <c r="AT742" s="55"/>
      <c r="AU742" s="55"/>
      <c r="AV742" s="55"/>
      <c r="AW742" s="176">
        <f t="shared" si="311"/>
        <v>0</v>
      </c>
      <c r="AX742" s="56">
        <f t="shared" si="300"/>
        <v>0</v>
      </c>
      <c r="AY742" s="325"/>
      <c r="AZ742" s="326"/>
      <c r="BE742" s="277"/>
      <c r="BF742" s="54"/>
      <c r="BG742" s="55"/>
      <c r="BH742" s="55"/>
      <c r="BI742" s="55"/>
      <c r="BJ742" s="56">
        <f t="shared" si="312"/>
        <v>0</v>
      </c>
      <c r="BL742" s="277"/>
      <c r="BM742" s="54"/>
      <c r="BN742" s="55"/>
      <c r="BO742" s="55"/>
      <c r="BP742" s="55"/>
      <c r="BQ742" s="56">
        <f t="shared" si="313"/>
        <v>0</v>
      </c>
    </row>
    <row r="743" spans="1:69" x14ac:dyDescent="0.15">
      <c r="A743" s="53" t="s">
        <v>98</v>
      </c>
      <c r="B743" s="54"/>
      <c r="C743" s="55"/>
      <c r="D743" s="55"/>
      <c r="E743" s="55"/>
      <c r="F743" s="56">
        <f t="shared" si="295"/>
        <v>0</v>
      </c>
      <c r="G743" s="54"/>
      <c r="H743" s="55"/>
      <c r="I743" s="55"/>
      <c r="J743" s="55">
        <v>1</v>
      </c>
      <c r="K743" s="56">
        <f t="shared" si="296"/>
        <v>1</v>
      </c>
      <c r="L743" s="54"/>
      <c r="M743" s="55"/>
      <c r="N743" s="55"/>
      <c r="O743" s="55"/>
      <c r="P743" s="56">
        <f t="shared" si="297"/>
        <v>0</v>
      </c>
      <c r="Q743" s="54"/>
      <c r="R743" s="55"/>
      <c r="S743" s="55"/>
      <c r="T743" s="55"/>
      <c r="U743" s="176">
        <f t="shared" si="298"/>
        <v>0</v>
      </c>
      <c r="V743" s="56">
        <f t="shared" si="299"/>
        <v>1</v>
      </c>
      <c r="W743" s="328">
        <v>44797</v>
      </c>
      <c r="X743" s="326"/>
      <c r="Y743" s="326"/>
      <c r="Z743" s="326"/>
      <c r="AC743" s="276"/>
      <c r="AD743" s="54"/>
      <c r="AE743" s="55"/>
      <c r="AF743" s="55"/>
      <c r="AG743" s="55"/>
      <c r="AH743" s="56">
        <f t="shared" si="303"/>
        <v>0</v>
      </c>
      <c r="AI743" s="54"/>
      <c r="AJ743" s="55"/>
      <c r="AK743" s="55"/>
      <c r="AL743" s="55"/>
      <c r="AM743" s="56">
        <f t="shared" si="304"/>
        <v>0</v>
      </c>
      <c r="AN743" s="54"/>
      <c r="AO743" s="55"/>
      <c r="AP743" s="55"/>
      <c r="AQ743" s="55"/>
      <c r="AR743" s="56">
        <f t="shared" si="310"/>
        <v>0</v>
      </c>
      <c r="AS743" s="54"/>
      <c r="AT743" s="55"/>
      <c r="AU743" s="55"/>
      <c r="AV743" s="55"/>
      <c r="AW743" s="176">
        <f t="shared" si="311"/>
        <v>0</v>
      </c>
      <c r="AX743" s="56">
        <f t="shared" si="300"/>
        <v>0</v>
      </c>
      <c r="AY743" s="325"/>
      <c r="AZ743" s="326"/>
      <c r="BE743" s="276"/>
      <c r="BF743" s="54"/>
      <c r="BG743" s="55"/>
      <c r="BH743" s="55"/>
      <c r="BI743" s="55"/>
      <c r="BJ743" s="56">
        <f t="shared" si="312"/>
        <v>0</v>
      </c>
      <c r="BL743" s="276"/>
      <c r="BM743" s="54"/>
      <c r="BN743" s="55"/>
      <c r="BO743" s="55"/>
      <c r="BP743" s="55"/>
      <c r="BQ743" s="56">
        <f t="shared" si="313"/>
        <v>0</v>
      </c>
    </row>
    <row r="744" spans="1:69" x14ac:dyDescent="0.15">
      <c r="A744" s="53" t="s">
        <v>98</v>
      </c>
      <c r="B744" s="54"/>
      <c r="C744" s="55"/>
      <c r="D744" s="55"/>
      <c r="E744" s="55"/>
      <c r="F744" s="56">
        <f t="shared" si="295"/>
        <v>0</v>
      </c>
      <c r="G744" s="54"/>
      <c r="H744" s="55"/>
      <c r="I744" s="55"/>
      <c r="J744" s="55"/>
      <c r="K744" s="56">
        <f t="shared" si="296"/>
        <v>0</v>
      </c>
      <c r="L744" s="54"/>
      <c r="M744" s="55">
        <v>1</v>
      </c>
      <c r="N744" s="55"/>
      <c r="O744" s="55"/>
      <c r="P744" s="56">
        <f t="shared" si="297"/>
        <v>1</v>
      </c>
      <c r="Q744" s="54"/>
      <c r="R744" s="55"/>
      <c r="S744" s="55"/>
      <c r="T744" s="55"/>
      <c r="U744" s="176">
        <f t="shared" si="298"/>
        <v>0</v>
      </c>
      <c r="V744" s="56">
        <f t="shared" si="299"/>
        <v>1</v>
      </c>
      <c r="W744" s="328">
        <v>44798</v>
      </c>
      <c r="X744" s="326"/>
      <c r="Y744" s="326"/>
      <c r="Z744" s="326"/>
      <c r="AC744" s="276"/>
      <c r="AD744" s="63"/>
      <c r="AE744" s="63"/>
      <c r="AF744" s="63"/>
      <c r="AG744" s="167"/>
      <c r="AH744" s="64">
        <f t="shared" si="303"/>
        <v>0</v>
      </c>
      <c r="AI744" s="63"/>
      <c r="AJ744" s="63"/>
      <c r="AK744" s="63"/>
      <c r="AL744" s="167"/>
      <c r="AM744" s="64">
        <f t="shared" si="304"/>
        <v>0</v>
      </c>
      <c r="AN744" s="63"/>
      <c r="AO744" s="63"/>
      <c r="AP744" s="63"/>
      <c r="AQ744" s="167"/>
      <c r="AR744" s="64">
        <f t="shared" si="310"/>
        <v>0</v>
      </c>
      <c r="AS744" s="63"/>
      <c r="AT744" s="63"/>
      <c r="AU744" s="63"/>
      <c r="AV744" s="167"/>
      <c r="AW744" s="162">
        <f t="shared" si="311"/>
        <v>0</v>
      </c>
      <c r="AX744" s="56">
        <f t="shared" si="300"/>
        <v>0</v>
      </c>
      <c r="AY744" s="325"/>
      <c r="AZ744" s="326"/>
      <c r="BE744" s="276"/>
      <c r="BF744" s="63"/>
      <c r="BG744" s="63"/>
      <c r="BH744" s="63"/>
      <c r="BI744" s="167"/>
      <c r="BJ744" s="64">
        <f t="shared" si="312"/>
        <v>0</v>
      </c>
      <c r="BL744" s="276"/>
      <c r="BM744" s="63"/>
      <c r="BN744" s="63"/>
      <c r="BO744" s="63"/>
      <c r="BP744" s="167"/>
      <c r="BQ744" s="64">
        <f t="shared" si="313"/>
        <v>0</v>
      </c>
    </row>
    <row r="745" spans="1:69" x14ac:dyDescent="0.15">
      <c r="A745" s="53" t="s">
        <v>98</v>
      </c>
      <c r="B745" s="54"/>
      <c r="C745" s="55"/>
      <c r="D745" s="55"/>
      <c r="E745" s="55"/>
      <c r="F745" s="56">
        <f t="shared" si="295"/>
        <v>0</v>
      </c>
      <c r="G745" s="54">
        <v>1</v>
      </c>
      <c r="H745" s="55"/>
      <c r="I745" s="55">
        <v>1</v>
      </c>
      <c r="J745" s="55"/>
      <c r="K745" s="56">
        <f t="shared" si="296"/>
        <v>2</v>
      </c>
      <c r="L745" s="54"/>
      <c r="M745" s="55"/>
      <c r="N745" s="55"/>
      <c r="O745" s="55"/>
      <c r="P745" s="56">
        <f t="shared" si="297"/>
        <v>0</v>
      </c>
      <c r="Q745" s="54"/>
      <c r="R745" s="55">
        <v>1</v>
      </c>
      <c r="S745" s="55"/>
      <c r="T745" s="55"/>
      <c r="U745" s="176">
        <f t="shared" si="298"/>
        <v>1</v>
      </c>
      <c r="V745" s="56">
        <f t="shared" si="299"/>
        <v>3</v>
      </c>
      <c r="W745" s="328">
        <v>44799</v>
      </c>
      <c r="X745" s="326"/>
      <c r="Y745" s="326"/>
      <c r="Z745" s="326"/>
      <c r="AC745" s="276"/>
      <c r="AD745" s="54"/>
      <c r="AE745" s="55"/>
      <c r="AF745" s="55"/>
      <c r="AG745" s="55"/>
      <c r="AH745" s="56">
        <f t="shared" si="303"/>
        <v>0</v>
      </c>
      <c r="AI745" s="54"/>
      <c r="AJ745" s="55"/>
      <c r="AK745" s="55"/>
      <c r="AL745" s="55"/>
      <c r="AM745" s="56">
        <f t="shared" si="304"/>
        <v>0</v>
      </c>
      <c r="AN745" s="54"/>
      <c r="AO745" s="55"/>
      <c r="AP745" s="55"/>
      <c r="AQ745" s="55"/>
      <c r="AR745" s="56">
        <f t="shared" si="310"/>
        <v>0</v>
      </c>
      <c r="AS745" s="54"/>
      <c r="AT745" s="55"/>
      <c r="AU745" s="55"/>
      <c r="AV745" s="55"/>
      <c r="AW745" s="176">
        <f t="shared" si="311"/>
        <v>0</v>
      </c>
      <c r="AX745" s="56">
        <f t="shared" si="300"/>
        <v>0</v>
      </c>
      <c r="AY745" s="325"/>
      <c r="AZ745" s="326"/>
      <c r="BE745" s="277"/>
      <c r="BF745" s="54"/>
      <c r="BG745" s="55"/>
      <c r="BH745" s="55"/>
      <c r="BI745" s="55"/>
      <c r="BJ745" s="56">
        <f t="shared" si="312"/>
        <v>0</v>
      </c>
      <c r="BL745" s="277"/>
      <c r="BM745" s="54"/>
      <c r="BN745" s="55"/>
      <c r="BO745" s="55"/>
      <c r="BP745" s="55"/>
      <c r="BQ745" s="56">
        <f t="shared" si="313"/>
        <v>0</v>
      </c>
    </row>
    <row r="746" spans="1:69" x14ac:dyDescent="0.15">
      <c r="A746" s="53" t="s">
        <v>115</v>
      </c>
      <c r="B746" s="17"/>
      <c r="C746" s="18">
        <v>1</v>
      </c>
      <c r="D746" s="18">
        <v>1</v>
      </c>
      <c r="E746" s="18">
        <v>1</v>
      </c>
      <c r="F746" s="30">
        <f t="shared" si="295"/>
        <v>3</v>
      </c>
      <c r="G746" s="17"/>
      <c r="H746" s="18">
        <v>1</v>
      </c>
      <c r="I746" s="18"/>
      <c r="J746" s="18"/>
      <c r="K746" s="30">
        <f t="shared" si="296"/>
        <v>1</v>
      </c>
      <c r="L746" s="17"/>
      <c r="M746" s="18"/>
      <c r="N746" s="18"/>
      <c r="O746" s="18"/>
      <c r="P746" s="30">
        <f t="shared" si="297"/>
        <v>0</v>
      </c>
      <c r="Q746" s="17">
        <v>1</v>
      </c>
      <c r="R746" s="18"/>
      <c r="S746" s="18"/>
      <c r="T746" s="18"/>
      <c r="U746" s="178">
        <f t="shared" si="298"/>
        <v>1</v>
      </c>
      <c r="V746" s="56">
        <f t="shared" si="299"/>
        <v>5</v>
      </c>
      <c r="W746" s="328">
        <v>44799</v>
      </c>
      <c r="X746" s="326"/>
      <c r="Y746" s="326"/>
      <c r="Z746" s="326"/>
      <c r="AC746" s="269"/>
      <c r="AD746" s="54"/>
      <c r="AE746" s="55"/>
      <c r="AF746" s="55"/>
      <c r="AG746" s="55"/>
      <c r="AH746" s="56">
        <f t="shared" si="303"/>
        <v>0</v>
      </c>
      <c r="AI746" s="54"/>
      <c r="AJ746" s="55"/>
      <c r="AK746" s="55"/>
      <c r="AL746" s="55"/>
      <c r="AM746" s="56">
        <f t="shared" si="304"/>
        <v>0</v>
      </c>
      <c r="AN746" s="54"/>
      <c r="AO746" s="55"/>
      <c r="AP746" s="55"/>
      <c r="AQ746" s="55"/>
      <c r="AR746" s="56">
        <f t="shared" si="310"/>
        <v>0</v>
      </c>
      <c r="AS746" s="54"/>
      <c r="AT746" s="55"/>
      <c r="AU746" s="55"/>
      <c r="AV746" s="55"/>
      <c r="AW746" s="176">
        <f t="shared" si="311"/>
        <v>0</v>
      </c>
      <c r="AX746" s="56">
        <f t="shared" si="300"/>
        <v>0</v>
      </c>
      <c r="AY746" s="325"/>
      <c r="AZ746" s="326"/>
      <c r="BE746" s="276"/>
      <c r="BF746" s="54"/>
      <c r="BG746" s="55"/>
      <c r="BH746" s="55"/>
      <c r="BI746" s="55"/>
      <c r="BJ746" s="56">
        <f t="shared" si="312"/>
        <v>0</v>
      </c>
      <c r="BL746" s="276"/>
      <c r="BM746" s="54"/>
      <c r="BN746" s="55"/>
      <c r="BO746" s="55"/>
      <c r="BP746" s="55"/>
      <c r="BQ746" s="56">
        <f t="shared" si="313"/>
        <v>0</v>
      </c>
    </row>
    <row r="747" spans="1:69" x14ac:dyDescent="0.15">
      <c r="A747" s="53" t="s">
        <v>100</v>
      </c>
      <c r="B747" s="54"/>
      <c r="C747" s="55"/>
      <c r="D747" s="55"/>
      <c r="E747" s="55"/>
      <c r="F747" s="56">
        <f t="shared" si="295"/>
        <v>0</v>
      </c>
      <c r="G747" s="54">
        <v>1</v>
      </c>
      <c r="H747" s="55"/>
      <c r="I747" s="55"/>
      <c r="J747" s="55"/>
      <c r="K747" s="56">
        <f t="shared" si="296"/>
        <v>1</v>
      </c>
      <c r="L747" s="54"/>
      <c r="M747" s="55"/>
      <c r="N747" s="55"/>
      <c r="O747" s="55"/>
      <c r="P747" s="56">
        <f t="shared" si="297"/>
        <v>0</v>
      </c>
      <c r="Q747" s="54"/>
      <c r="R747" s="55"/>
      <c r="S747" s="55"/>
      <c r="T747" s="55"/>
      <c r="U747" s="176">
        <f t="shared" si="298"/>
        <v>0</v>
      </c>
      <c r="V747" s="56">
        <f t="shared" si="299"/>
        <v>1</v>
      </c>
      <c r="W747" s="329">
        <v>44803</v>
      </c>
      <c r="X747" s="326"/>
      <c r="Y747" s="326"/>
      <c r="Z747" s="326"/>
      <c r="AC747" s="276"/>
      <c r="AD747" s="54"/>
      <c r="AE747" s="55"/>
      <c r="AF747" s="55"/>
      <c r="AG747" s="55"/>
      <c r="AH747" s="56">
        <f t="shared" si="303"/>
        <v>0</v>
      </c>
      <c r="AI747" s="54"/>
      <c r="AJ747" s="55"/>
      <c r="AK747" s="55"/>
      <c r="AL747" s="55"/>
      <c r="AM747" s="56">
        <f t="shared" si="304"/>
        <v>0</v>
      </c>
      <c r="AN747" s="54"/>
      <c r="AO747" s="55"/>
      <c r="AP747" s="55"/>
      <c r="AQ747" s="55"/>
      <c r="AR747" s="56">
        <f t="shared" si="310"/>
        <v>0</v>
      </c>
      <c r="AS747" s="54"/>
      <c r="AT747" s="55"/>
      <c r="AU747" s="55"/>
      <c r="AV747" s="55"/>
      <c r="AW747" s="176">
        <f t="shared" si="311"/>
        <v>0</v>
      </c>
      <c r="AX747" s="56">
        <f t="shared" si="300"/>
        <v>0</v>
      </c>
      <c r="AY747" s="325"/>
      <c r="AZ747" s="326"/>
      <c r="BE747" s="277"/>
      <c r="BF747" s="54"/>
      <c r="BG747" s="55"/>
      <c r="BH747" s="55"/>
      <c r="BI747" s="55"/>
      <c r="BJ747" s="56">
        <f t="shared" si="312"/>
        <v>0</v>
      </c>
      <c r="BL747" s="277"/>
      <c r="BM747" s="54"/>
      <c r="BN747" s="55"/>
      <c r="BO747" s="55"/>
      <c r="BP747" s="55"/>
      <c r="BQ747" s="56">
        <f t="shared" si="313"/>
        <v>0</v>
      </c>
    </row>
    <row r="748" spans="1:69" x14ac:dyDescent="0.15">
      <c r="A748" s="53" t="s">
        <v>98</v>
      </c>
      <c r="B748" s="62"/>
      <c r="C748" s="63"/>
      <c r="D748" s="63"/>
      <c r="E748" s="63"/>
      <c r="F748" s="56">
        <f t="shared" si="295"/>
        <v>0</v>
      </c>
      <c r="G748" s="62"/>
      <c r="H748" s="63">
        <v>1</v>
      </c>
      <c r="I748" s="63"/>
      <c r="J748" s="63">
        <v>2</v>
      </c>
      <c r="K748" s="56">
        <f t="shared" si="296"/>
        <v>3</v>
      </c>
      <c r="L748" s="62"/>
      <c r="M748" s="63"/>
      <c r="N748" s="63"/>
      <c r="O748" s="63"/>
      <c r="P748" s="56">
        <f t="shared" si="297"/>
        <v>0</v>
      </c>
      <c r="Q748" s="62"/>
      <c r="R748" s="63"/>
      <c r="S748" s="63"/>
      <c r="T748" s="63"/>
      <c r="U748" s="176">
        <f t="shared" si="298"/>
        <v>0</v>
      </c>
      <c r="V748" s="56">
        <f t="shared" si="299"/>
        <v>3</v>
      </c>
      <c r="W748" s="328">
        <v>44802</v>
      </c>
      <c r="X748" s="326"/>
      <c r="Y748" s="326"/>
      <c r="Z748" s="326"/>
      <c r="AC748" s="276"/>
      <c r="AD748" s="62"/>
      <c r="AE748" s="63"/>
      <c r="AF748" s="63"/>
      <c r="AG748" s="63"/>
      <c r="AH748" s="56">
        <f t="shared" si="303"/>
        <v>0</v>
      </c>
      <c r="AI748" s="62"/>
      <c r="AJ748" s="63"/>
      <c r="AK748" s="63"/>
      <c r="AL748" s="63"/>
      <c r="AM748" s="56">
        <f t="shared" si="304"/>
        <v>0</v>
      </c>
      <c r="AN748" s="62"/>
      <c r="AO748" s="63"/>
      <c r="AP748" s="63"/>
      <c r="AQ748" s="63"/>
      <c r="AR748" s="56">
        <f t="shared" si="310"/>
        <v>0</v>
      </c>
      <c r="AS748" s="62"/>
      <c r="AT748" s="63"/>
      <c r="AU748" s="63"/>
      <c r="AV748" s="63"/>
      <c r="AW748" s="176">
        <f t="shared" si="311"/>
        <v>0</v>
      </c>
      <c r="AX748" s="56">
        <f t="shared" si="300"/>
        <v>0</v>
      </c>
      <c r="AY748" s="330"/>
      <c r="AZ748" s="326"/>
      <c r="BE748" s="268"/>
      <c r="BF748" s="62"/>
      <c r="BG748" s="63"/>
      <c r="BH748" s="63"/>
      <c r="BI748" s="63"/>
      <c r="BJ748" s="56">
        <f t="shared" si="312"/>
        <v>0</v>
      </c>
      <c r="BL748" s="268"/>
      <c r="BM748" s="62"/>
      <c r="BN748" s="63"/>
      <c r="BO748" s="63"/>
      <c r="BP748" s="63"/>
      <c r="BQ748" s="56">
        <f t="shared" si="313"/>
        <v>0</v>
      </c>
    </row>
    <row r="749" spans="1:69" x14ac:dyDescent="0.15">
      <c r="A749" s="53" t="s">
        <v>451</v>
      </c>
      <c r="B749" s="54"/>
      <c r="C749" s="55"/>
      <c r="D749" s="55"/>
      <c r="E749" s="55"/>
      <c r="F749" s="56">
        <f t="shared" si="295"/>
        <v>0</v>
      </c>
      <c r="G749" s="54"/>
      <c r="H749" s="55"/>
      <c r="I749" s="55"/>
      <c r="J749" s="55"/>
      <c r="K749" s="56">
        <f t="shared" si="296"/>
        <v>0</v>
      </c>
      <c r="L749" s="54"/>
      <c r="M749" s="55">
        <v>1</v>
      </c>
      <c r="N749" s="55"/>
      <c r="O749" s="55"/>
      <c r="P749" s="56">
        <f t="shared" si="297"/>
        <v>1</v>
      </c>
      <c r="Q749" s="54"/>
      <c r="R749" s="55"/>
      <c r="S749" s="55"/>
      <c r="T749" s="55"/>
      <c r="U749" s="176">
        <f t="shared" si="298"/>
        <v>0</v>
      </c>
      <c r="V749" s="56">
        <f t="shared" si="299"/>
        <v>1</v>
      </c>
      <c r="W749" s="328">
        <v>44804</v>
      </c>
      <c r="X749" s="326"/>
      <c r="Y749" s="326"/>
      <c r="Z749" s="326"/>
      <c r="AC749" s="276"/>
      <c r="AD749" s="54"/>
      <c r="AE749" s="55"/>
      <c r="AF749" s="55"/>
      <c r="AG749" s="55"/>
      <c r="AH749" s="56">
        <f t="shared" si="303"/>
        <v>0</v>
      </c>
      <c r="AI749" s="54"/>
      <c r="AJ749" s="55"/>
      <c r="AK749" s="55"/>
      <c r="AL749" s="55"/>
      <c r="AM749" s="56">
        <f t="shared" si="304"/>
        <v>0</v>
      </c>
      <c r="AN749" s="54"/>
      <c r="AO749" s="55"/>
      <c r="AP749" s="55"/>
      <c r="AQ749" s="55"/>
      <c r="AR749" s="56">
        <f t="shared" si="310"/>
        <v>0</v>
      </c>
      <c r="AS749" s="54"/>
      <c r="AT749" s="55"/>
      <c r="AU749" s="55"/>
      <c r="AV749" s="55"/>
      <c r="AW749" s="176">
        <f t="shared" si="311"/>
        <v>0</v>
      </c>
      <c r="AX749" s="56">
        <f t="shared" si="300"/>
        <v>0</v>
      </c>
      <c r="AY749" s="330"/>
      <c r="AZ749" s="326"/>
      <c r="BE749" s="268"/>
      <c r="BF749" s="54"/>
      <c r="BG749" s="55"/>
      <c r="BH749" s="55"/>
      <c r="BI749" s="55"/>
      <c r="BJ749" s="56">
        <f t="shared" si="312"/>
        <v>0</v>
      </c>
      <c r="BL749" s="268"/>
      <c r="BM749" s="54"/>
      <c r="BN749" s="55"/>
      <c r="BO749" s="55"/>
      <c r="BP749" s="55"/>
      <c r="BQ749" s="56">
        <f t="shared" si="313"/>
        <v>0</v>
      </c>
    </row>
    <row r="750" spans="1:69" x14ac:dyDescent="0.15">
      <c r="A750" s="53" t="s">
        <v>98</v>
      </c>
      <c r="B750" s="54"/>
      <c r="C750" s="55"/>
      <c r="D750" s="55"/>
      <c r="E750" s="55"/>
      <c r="F750" s="56">
        <f t="shared" si="295"/>
        <v>0</v>
      </c>
      <c r="G750" s="54"/>
      <c r="H750" s="55"/>
      <c r="I750" s="55"/>
      <c r="J750" s="55"/>
      <c r="K750" s="56">
        <f t="shared" si="296"/>
        <v>0</v>
      </c>
      <c r="L750" s="54"/>
      <c r="M750" s="55"/>
      <c r="N750" s="55"/>
      <c r="O750" s="55"/>
      <c r="P750" s="56">
        <f t="shared" si="297"/>
        <v>0</v>
      </c>
      <c r="Q750" s="54">
        <v>1</v>
      </c>
      <c r="R750" s="55">
        <v>1</v>
      </c>
      <c r="S750" s="55"/>
      <c r="T750" s="55"/>
      <c r="U750" s="176">
        <f t="shared" si="298"/>
        <v>2</v>
      </c>
      <c r="V750" s="56">
        <f t="shared" si="299"/>
        <v>2</v>
      </c>
      <c r="W750" s="328">
        <v>44804</v>
      </c>
      <c r="X750" s="326"/>
      <c r="Y750" s="326"/>
      <c r="Z750" s="326"/>
      <c r="AC750" s="276"/>
      <c r="AD750" s="33"/>
      <c r="AE750" s="34"/>
      <c r="AF750" s="34"/>
      <c r="AG750" s="34"/>
      <c r="AH750" s="30">
        <f t="shared" si="303"/>
        <v>0</v>
      </c>
      <c r="AI750" s="33"/>
      <c r="AJ750" s="34"/>
      <c r="AK750" s="34"/>
      <c r="AL750" s="34"/>
      <c r="AM750" s="30">
        <f t="shared" si="304"/>
        <v>0</v>
      </c>
      <c r="AN750" s="33"/>
      <c r="AO750" s="34"/>
      <c r="AP750" s="34"/>
      <c r="AQ750" s="34"/>
      <c r="AR750" s="30">
        <f t="shared" si="310"/>
        <v>0</v>
      </c>
      <c r="AS750" s="33"/>
      <c r="AT750" s="34"/>
      <c r="AU750" s="34"/>
      <c r="AV750" s="34"/>
      <c r="AW750" s="178">
        <f t="shared" si="311"/>
        <v>0</v>
      </c>
      <c r="AX750" s="170">
        <f t="shared" si="300"/>
        <v>0</v>
      </c>
      <c r="AY750" s="330"/>
      <c r="AZ750" s="326"/>
      <c r="BE750" s="268"/>
      <c r="BF750" s="62"/>
      <c r="BG750" s="63"/>
      <c r="BH750" s="63"/>
      <c r="BI750" s="63"/>
      <c r="BJ750" s="56">
        <f t="shared" si="312"/>
        <v>0</v>
      </c>
      <c r="BL750" s="268"/>
      <c r="BM750" s="62"/>
      <c r="BN750" s="63"/>
      <c r="BO750" s="63"/>
      <c r="BP750" s="63"/>
      <c r="BQ750" s="56">
        <f t="shared" si="313"/>
        <v>0</v>
      </c>
    </row>
    <row r="751" spans="1:69" x14ac:dyDescent="0.15">
      <c r="A751" s="53"/>
      <c r="B751" s="54"/>
      <c r="C751" s="55"/>
      <c r="D751" s="55"/>
      <c r="E751" s="55"/>
      <c r="F751" s="56">
        <f t="shared" si="295"/>
        <v>0</v>
      </c>
      <c r="G751" s="54"/>
      <c r="H751" s="55"/>
      <c r="I751" s="55"/>
      <c r="J751" s="55"/>
      <c r="K751" s="56">
        <f t="shared" si="296"/>
        <v>0</v>
      </c>
      <c r="L751" s="54"/>
      <c r="M751" s="55"/>
      <c r="N751" s="55"/>
      <c r="O751" s="55"/>
      <c r="P751" s="56">
        <f t="shared" si="297"/>
        <v>0</v>
      </c>
      <c r="Q751" s="54"/>
      <c r="R751" s="55"/>
      <c r="S751" s="55"/>
      <c r="T751" s="55"/>
      <c r="U751" s="176">
        <f t="shared" si="298"/>
        <v>0</v>
      </c>
      <c r="V751" s="56">
        <f t="shared" si="299"/>
        <v>0</v>
      </c>
      <c r="W751" s="325"/>
      <c r="X751" s="326"/>
      <c r="Y751" s="326"/>
      <c r="Z751" s="326"/>
      <c r="AC751" s="269"/>
      <c r="AD751" s="54"/>
      <c r="AE751" s="55"/>
      <c r="AF751" s="55"/>
      <c r="AG751" s="55"/>
      <c r="AH751" s="56">
        <f t="shared" si="303"/>
        <v>0</v>
      </c>
      <c r="AI751" s="54"/>
      <c r="AJ751" s="55"/>
      <c r="AK751" s="55"/>
      <c r="AL751" s="55"/>
      <c r="AM751" s="56">
        <f t="shared" si="304"/>
        <v>0</v>
      </c>
      <c r="AN751" s="54"/>
      <c r="AO751" s="55"/>
      <c r="AP751" s="55"/>
      <c r="AQ751" s="55"/>
      <c r="AR751" s="56">
        <f t="shared" si="310"/>
        <v>0</v>
      </c>
      <c r="AS751" s="54"/>
      <c r="AT751" s="55"/>
      <c r="AU751" s="55"/>
      <c r="AV751" s="55"/>
      <c r="AW751" s="176">
        <f t="shared" si="311"/>
        <v>0</v>
      </c>
      <c r="AX751" s="56">
        <f t="shared" si="300"/>
        <v>0</v>
      </c>
      <c r="AY751" s="330"/>
      <c r="AZ751" s="326"/>
      <c r="BE751" s="277"/>
      <c r="BF751" s="54"/>
      <c r="BG751" s="55"/>
      <c r="BH751" s="55"/>
      <c r="BI751" s="55"/>
      <c r="BJ751" s="56">
        <f t="shared" si="312"/>
        <v>0</v>
      </c>
      <c r="BL751" s="277"/>
      <c r="BM751" s="54"/>
      <c r="BN751" s="55"/>
      <c r="BO751" s="55"/>
      <c r="BP751" s="55"/>
      <c r="BQ751" s="56">
        <f t="shared" si="313"/>
        <v>0</v>
      </c>
    </row>
    <row r="752" spans="1:69" ht="14.25" thickBot="1" x14ac:dyDescent="0.2">
      <c r="A752" s="53"/>
      <c r="B752" s="33"/>
      <c r="C752" s="34"/>
      <c r="D752" s="34"/>
      <c r="E752" s="34"/>
      <c r="F752" s="30">
        <f t="shared" si="295"/>
        <v>0</v>
      </c>
      <c r="G752" s="33"/>
      <c r="H752" s="34"/>
      <c r="I752" s="34"/>
      <c r="J752" s="34"/>
      <c r="K752" s="30">
        <f t="shared" si="296"/>
        <v>0</v>
      </c>
      <c r="L752" s="33"/>
      <c r="M752" s="34"/>
      <c r="N752" s="34"/>
      <c r="O752" s="34"/>
      <c r="P752" s="30">
        <f t="shared" si="297"/>
        <v>0</v>
      </c>
      <c r="Q752" s="33"/>
      <c r="R752" s="34"/>
      <c r="S752" s="34"/>
      <c r="T752" s="34"/>
      <c r="U752" s="178">
        <f t="shared" si="298"/>
        <v>0</v>
      </c>
      <c r="V752" s="170">
        <f t="shared" si="299"/>
        <v>0</v>
      </c>
      <c r="W752" s="325"/>
      <c r="X752" s="326"/>
      <c r="Y752" s="326"/>
      <c r="Z752" s="326"/>
      <c r="AC752" s="282"/>
      <c r="AD752" s="54"/>
      <c r="AE752" s="55"/>
      <c r="AF752" s="55"/>
      <c r="AG752" s="55"/>
      <c r="AH752" s="30">
        <f t="shared" si="303"/>
        <v>0</v>
      </c>
      <c r="AI752" s="54"/>
      <c r="AJ752" s="55"/>
      <c r="AK752" s="55"/>
      <c r="AL752" s="55"/>
      <c r="AM752" s="30">
        <f t="shared" si="304"/>
        <v>0</v>
      </c>
      <c r="AN752" s="54"/>
      <c r="AO752" s="55"/>
      <c r="AP752" s="55"/>
      <c r="AQ752" s="55"/>
      <c r="AR752" s="30">
        <f t="shared" si="310"/>
        <v>0</v>
      </c>
      <c r="AS752" s="54"/>
      <c r="AT752" s="55"/>
      <c r="AU752" s="55"/>
      <c r="AV752" s="55"/>
      <c r="AW752" s="178">
        <f t="shared" si="311"/>
        <v>0</v>
      </c>
      <c r="AX752" s="170">
        <f t="shared" si="300"/>
        <v>0</v>
      </c>
      <c r="AY752" s="330"/>
      <c r="AZ752" s="326"/>
      <c r="BE752" s="282"/>
      <c r="BF752" s="33"/>
      <c r="BG752" s="34"/>
      <c r="BH752" s="34"/>
      <c r="BI752" s="34"/>
      <c r="BJ752" s="30">
        <f t="shared" si="312"/>
        <v>0</v>
      </c>
      <c r="BL752" s="282"/>
      <c r="BM752" s="33"/>
      <c r="BN752" s="34"/>
      <c r="BO752" s="34"/>
      <c r="BP752" s="34"/>
      <c r="BQ752" s="30">
        <f t="shared" si="313"/>
        <v>0</v>
      </c>
    </row>
    <row r="753" spans="1:69" ht="15" thickBot="1" x14ac:dyDescent="0.2">
      <c r="A753" s="9" t="s">
        <v>15</v>
      </c>
      <c r="B753" s="36">
        <f>SUM(B727:B752)</f>
        <v>1</v>
      </c>
      <c r="C753" s="37">
        <f>SUM(C727:C752)</f>
        <v>2</v>
      </c>
      <c r="D753" s="37">
        <f>SUM(D727:D752)</f>
        <v>2</v>
      </c>
      <c r="E753" s="38">
        <f>SUM(E727:E752)</f>
        <v>5</v>
      </c>
      <c r="F753" s="25">
        <f t="shared" si="295"/>
        <v>10</v>
      </c>
      <c r="G753" s="36">
        <f>SUM(G727:G752)</f>
        <v>11</v>
      </c>
      <c r="H753" s="37">
        <f>SUM(H727:H752)</f>
        <v>7</v>
      </c>
      <c r="I753" s="37">
        <f>SUM(I727:I752)</f>
        <v>4</v>
      </c>
      <c r="J753" s="38">
        <f>SUM(J727:J752)</f>
        <v>10</v>
      </c>
      <c r="K753" s="25">
        <f t="shared" si="296"/>
        <v>32</v>
      </c>
      <c r="L753" s="36">
        <f>SUM(L727:L752)</f>
        <v>2</v>
      </c>
      <c r="M753" s="37">
        <f>SUM(M727:M752)</f>
        <v>3</v>
      </c>
      <c r="N753" s="37">
        <f>SUM(N727:N752)</f>
        <v>0</v>
      </c>
      <c r="O753" s="38">
        <f>SUM(O727:O752)</f>
        <v>7</v>
      </c>
      <c r="P753" s="25">
        <f t="shared" si="297"/>
        <v>12</v>
      </c>
      <c r="Q753" s="36">
        <f>SUM(Q727:Q752)</f>
        <v>4</v>
      </c>
      <c r="R753" s="37">
        <f>SUM(R727:R752)</f>
        <v>8</v>
      </c>
      <c r="S753" s="37">
        <f>SUM(S727:S752)</f>
        <v>5</v>
      </c>
      <c r="T753" s="38">
        <f>SUM(T727:T752)</f>
        <v>0</v>
      </c>
      <c r="U753" s="36">
        <f t="shared" si="298"/>
        <v>17</v>
      </c>
      <c r="V753" s="161">
        <f t="shared" si="299"/>
        <v>71</v>
      </c>
      <c r="W753" s="325"/>
      <c r="X753" s="326"/>
      <c r="Y753" s="326"/>
      <c r="Z753" s="326"/>
      <c r="AC753" s="278" t="s">
        <v>15</v>
      </c>
      <c r="AD753" s="36">
        <f>SUM(AD727:AD752)</f>
        <v>13</v>
      </c>
      <c r="AE753" s="37">
        <f>SUM(AE727:AE752)</f>
        <v>0</v>
      </c>
      <c r="AF753" s="37">
        <f>SUM(AF727:AF752)</f>
        <v>0</v>
      </c>
      <c r="AG753" s="38">
        <f>SUM(AG727:AG752)</f>
        <v>9</v>
      </c>
      <c r="AH753" s="25">
        <f t="shared" si="303"/>
        <v>22</v>
      </c>
      <c r="AI753" s="36">
        <f>SUM(AI727:AI752)</f>
        <v>0</v>
      </c>
      <c r="AJ753" s="37">
        <f>SUM(AJ727:AJ752)</f>
        <v>19</v>
      </c>
      <c r="AK753" s="37">
        <f>SUM(AK727:AK752)</f>
        <v>0</v>
      </c>
      <c r="AL753" s="38">
        <f>SUM(AL727:AL752)</f>
        <v>3</v>
      </c>
      <c r="AM753" s="25">
        <f t="shared" si="304"/>
        <v>22</v>
      </c>
      <c r="AN753" s="36">
        <f>SUM(AN727:AN752)</f>
        <v>3</v>
      </c>
      <c r="AO753" s="37">
        <f>SUM(AO727:AO752)</f>
        <v>3</v>
      </c>
      <c r="AP753" s="37">
        <f>SUM(AP727:AP752)</f>
        <v>0</v>
      </c>
      <c r="AQ753" s="38">
        <f>SUM(AQ727:AQ752)</f>
        <v>0</v>
      </c>
      <c r="AR753" s="25">
        <f t="shared" si="310"/>
        <v>6</v>
      </c>
      <c r="AS753" s="36">
        <f>SUM(AS727:AS752)</f>
        <v>3</v>
      </c>
      <c r="AT753" s="37">
        <f>SUM(AT727:AT752)</f>
        <v>2</v>
      </c>
      <c r="AU753" s="37">
        <f>SUM(AU727:AU752)</f>
        <v>4</v>
      </c>
      <c r="AV753" s="38">
        <f>SUM(AV727:AV752)</f>
        <v>0</v>
      </c>
      <c r="AW753" s="36">
        <f t="shared" si="311"/>
        <v>9</v>
      </c>
      <c r="AX753" s="161">
        <f t="shared" si="300"/>
        <v>59</v>
      </c>
      <c r="AY753" s="325"/>
      <c r="AZ753" s="326"/>
      <c r="BE753" s="278" t="s">
        <v>15</v>
      </c>
      <c r="BF753" s="312">
        <f>SUM(BF727:BF752)</f>
        <v>1</v>
      </c>
      <c r="BG753" s="302">
        <f>SUM(BG727:BG752)</f>
        <v>0</v>
      </c>
      <c r="BH753" s="37">
        <f>SUM(BH727:BH752)</f>
        <v>2</v>
      </c>
      <c r="BI753" s="38">
        <f>SUM(BI727:BI752)</f>
        <v>6</v>
      </c>
      <c r="BJ753" s="25">
        <f t="shared" si="312"/>
        <v>9</v>
      </c>
      <c r="BL753" s="278" t="s">
        <v>15</v>
      </c>
      <c r="BM753" s="312">
        <f>SUM(BM727:BM752)</f>
        <v>0</v>
      </c>
      <c r="BN753" s="302">
        <f>SUM(BN727:BN752)</f>
        <v>0</v>
      </c>
      <c r="BO753" s="37">
        <f>SUM(BO727:BO752)</f>
        <v>5</v>
      </c>
      <c r="BP753" s="316">
        <f>SUM(BP727:BP752)</f>
        <v>0</v>
      </c>
      <c r="BQ753" s="25">
        <f t="shared" si="313"/>
        <v>5</v>
      </c>
    </row>
    <row r="754" spans="1:69" ht="14.25" thickBot="1" x14ac:dyDescent="0.2">
      <c r="A754" s="39" t="s">
        <v>16</v>
      </c>
      <c r="B754" s="40">
        <f>B726-B753</f>
        <v>10</v>
      </c>
      <c r="C754" s="41">
        <f>C726-C753</f>
        <v>9</v>
      </c>
      <c r="D754" s="41">
        <f>D726-D753</f>
        <v>10</v>
      </c>
      <c r="E754" s="42">
        <f>E726-E753</f>
        <v>9</v>
      </c>
      <c r="F754" s="171">
        <f t="shared" si="295"/>
        <v>38</v>
      </c>
      <c r="G754" s="40">
        <f>G726-G753</f>
        <v>4</v>
      </c>
      <c r="H754" s="41">
        <f>H726-H753</f>
        <v>7</v>
      </c>
      <c r="I754" s="41">
        <f>I726-I753</f>
        <v>9</v>
      </c>
      <c r="J754" s="42">
        <f>J726-J753</f>
        <v>6</v>
      </c>
      <c r="K754" s="171">
        <f t="shared" si="296"/>
        <v>26</v>
      </c>
      <c r="L754" s="40">
        <f>L726-L753</f>
        <v>10</v>
      </c>
      <c r="M754" s="41">
        <f>M726-M753</f>
        <v>7</v>
      </c>
      <c r="N754" s="41">
        <f>N726-N753</f>
        <v>15</v>
      </c>
      <c r="O754" s="42">
        <f>O726-O753</f>
        <v>5</v>
      </c>
      <c r="P754" s="171">
        <f t="shared" si="297"/>
        <v>37</v>
      </c>
      <c r="Q754" s="40">
        <f>Q726-Q753</f>
        <v>9</v>
      </c>
      <c r="R754" s="41">
        <f>R726-R753</f>
        <v>2</v>
      </c>
      <c r="S754" s="41">
        <f>S726-S753</f>
        <v>6</v>
      </c>
      <c r="T754" s="284">
        <f>T726-T753</f>
        <v>1</v>
      </c>
      <c r="U754" s="177">
        <f t="shared" si="298"/>
        <v>18</v>
      </c>
      <c r="V754" s="77">
        <f t="shared" si="299"/>
        <v>119</v>
      </c>
      <c r="W754" s="325"/>
      <c r="X754" s="326"/>
      <c r="Y754" s="326"/>
      <c r="Z754" s="326"/>
      <c r="AC754" s="279" t="s">
        <v>16</v>
      </c>
      <c r="AD754" s="40">
        <f>AD726-AD753</f>
        <v>39</v>
      </c>
      <c r="AE754" s="41">
        <f>AE726-AE753</f>
        <v>68</v>
      </c>
      <c r="AF754" s="41">
        <f>AF726-AF753</f>
        <v>143</v>
      </c>
      <c r="AG754" s="42">
        <f>AG726-AG753</f>
        <v>81</v>
      </c>
      <c r="AH754" s="171">
        <f t="shared" si="303"/>
        <v>331</v>
      </c>
      <c r="AI754" s="40">
        <f>AI726-AI753</f>
        <v>20</v>
      </c>
      <c r="AJ754" s="41">
        <f>AJ726-AJ753</f>
        <v>91</v>
      </c>
      <c r="AK754" s="41">
        <f>AK726-AK753</f>
        <v>109</v>
      </c>
      <c r="AL754" s="42">
        <f>AL726-AL753</f>
        <v>118</v>
      </c>
      <c r="AM754" s="171">
        <f t="shared" si="304"/>
        <v>338</v>
      </c>
      <c r="AN754" s="40">
        <f>AN726-AN753</f>
        <v>27</v>
      </c>
      <c r="AO754" s="41">
        <f>AO726-AO753</f>
        <v>74</v>
      </c>
      <c r="AP754" s="41">
        <f>AP726-AP753</f>
        <v>35</v>
      </c>
      <c r="AQ754" s="42">
        <f>AQ726-AQ753</f>
        <v>22</v>
      </c>
      <c r="AR754" s="171">
        <f t="shared" si="310"/>
        <v>158</v>
      </c>
      <c r="AS754" s="40">
        <f>AS726-AS753</f>
        <v>29</v>
      </c>
      <c r="AT754" s="41">
        <f>AT726-AT753</f>
        <v>0</v>
      </c>
      <c r="AU754" s="41">
        <f>AU726-AU753</f>
        <v>20</v>
      </c>
      <c r="AV754" s="284">
        <f>AV726-AV753</f>
        <v>0</v>
      </c>
      <c r="AW754" s="177">
        <f t="shared" si="311"/>
        <v>49</v>
      </c>
      <c r="AX754" s="77">
        <f t="shared" si="300"/>
        <v>876</v>
      </c>
      <c r="AY754" s="325"/>
      <c r="AZ754" s="326"/>
      <c r="BE754" s="279" t="s">
        <v>16</v>
      </c>
      <c r="BF754" s="313">
        <f>BF726-BF753</f>
        <v>0</v>
      </c>
      <c r="BG754" s="303">
        <f>BG726-BG753</f>
        <v>0</v>
      </c>
      <c r="BH754" s="41">
        <f>BH726-BH753</f>
        <v>10</v>
      </c>
      <c r="BI754" s="42">
        <f>BI726-BI753</f>
        <v>3</v>
      </c>
      <c r="BJ754" s="171">
        <f t="shared" si="312"/>
        <v>13</v>
      </c>
      <c r="BL754" s="279" t="s">
        <v>16</v>
      </c>
      <c r="BM754" s="313">
        <f>BM726-BM753</f>
        <v>0</v>
      </c>
      <c r="BN754" s="303">
        <f>BN726-BN753</f>
        <v>0</v>
      </c>
      <c r="BO754" s="41">
        <f>BO726-BO753</f>
        <v>21</v>
      </c>
      <c r="BP754" s="317">
        <f>BP726-BP753</f>
        <v>0</v>
      </c>
      <c r="BQ754" s="171">
        <f t="shared" si="313"/>
        <v>21</v>
      </c>
    </row>
    <row r="755" spans="1:69" x14ac:dyDescent="0.15">
      <c r="W755" s="325"/>
      <c r="X755" s="326"/>
      <c r="Y755" s="326"/>
      <c r="Z755" s="326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191"/>
      <c r="AO755" s="191"/>
      <c r="AP755" s="191"/>
      <c r="AQ755" s="191"/>
      <c r="AR755" s="191"/>
      <c r="AS755" s="315"/>
      <c r="AT755" s="315"/>
      <c r="AU755" s="315"/>
      <c r="AV755" s="315"/>
      <c r="AW755" s="315"/>
      <c r="AY755" s="325"/>
      <c r="AZ755" s="326"/>
    </row>
    <row r="756" spans="1:69" x14ac:dyDescent="0.15">
      <c r="W756" s="325"/>
      <c r="X756" s="326"/>
      <c r="Y756" s="326"/>
      <c r="Z756" s="326"/>
      <c r="AD756" s="191"/>
      <c r="AE756" s="191"/>
      <c r="AF756" s="191"/>
      <c r="AG756" s="191"/>
      <c r="AH756" s="191"/>
      <c r="AI756" s="191"/>
      <c r="AJ756" s="191"/>
      <c r="AK756" s="191"/>
      <c r="AL756" s="191"/>
      <c r="AM756" s="191"/>
      <c r="AN756" s="191"/>
      <c r="AO756" s="191"/>
      <c r="AP756" s="191"/>
      <c r="AQ756" s="191"/>
      <c r="AR756" s="191"/>
      <c r="AS756" s="191"/>
      <c r="AT756" s="191"/>
      <c r="AU756" s="191"/>
      <c r="AV756" s="191"/>
      <c r="AW756" s="191"/>
      <c r="AY756" s="325"/>
      <c r="AZ756" s="326"/>
    </row>
    <row r="757" spans="1:69" ht="19.5" thickBot="1" x14ac:dyDescent="0.25">
      <c r="A757" s="185" t="s">
        <v>19</v>
      </c>
      <c r="B757" s="186"/>
      <c r="C757" s="186"/>
      <c r="D757" s="186"/>
      <c r="E757" s="186"/>
      <c r="F757" s="18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325"/>
      <c r="X757" s="326"/>
      <c r="Y757" s="326"/>
      <c r="Z757" s="326"/>
      <c r="AC757" s="187" t="s">
        <v>73</v>
      </c>
      <c r="AD757" s="188"/>
      <c r="AE757" s="188"/>
      <c r="AF757" s="188"/>
      <c r="AG757" s="188"/>
      <c r="AH757" s="188"/>
      <c r="AI757" s="188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325"/>
      <c r="AZ757" s="326"/>
      <c r="BE757" s="185" t="s">
        <v>19</v>
      </c>
      <c r="BF757" s="186"/>
      <c r="BG757" s="186"/>
      <c r="BH757" s="186"/>
      <c r="BI757" s="186"/>
      <c r="BJ757" s="186"/>
      <c r="BL757" s="187" t="s">
        <v>73</v>
      </c>
      <c r="BM757" s="188"/>
      <c r="BN757" s="188"/>
      <c r="BO757" s="188"/>
      <c r="BP757" s="188"/>
      <c r="BQ757" s="188"/>
    </row>
    <row r="758" spans="1:69" ht="14.25" thickBot="1" x14ac:dyDescent="0.2">
      <c r="A758" s="3" t="s">
        <v>0</v>
      </c>
      <c r="B758" s="365" t="s">
        <v>17</v>
      </c>
      <c r="C758" s="366"/>
      <c r="D758" s="366"/>
      <c r="E758" s="366"/>
      <c r="F758" s="367"/>
      <c r="G758" s="368" t="s">
        <v>18</v>
      </c>
      <c r="H758" s="369"/>
      <c r="I758" s="369"/>
      <c r="J758" s="369"/>
      <c r="K758" s="370"/>
      <c r="L758" s="371" t="s">
        <v>320</v>
      </c>
      <c r="M758" s="372"/>
      <c r="N758" s="372"/>
      <c r="O758" s="372"/>
      <c r="P758" s="373"/>
      <c r="Q758" s="374" t="s">
        <v>75</v>
      </c>
      <c r="R758" s="356"/>
      <c r="S758" s="356"/>
      <c r="T758" s="356"/>
      <c r="U758" s="357"/>
      <c r="V758" s="360" t="s">
        <v>1</v>
      </c>
      <c r="W758" s="325"/>
      <c r="X758" s="326"/>
      <c r="Y758" s="326"/>
      <c r="Z758" s="326"/>
      <c r="AC758" s="271" t="s">
        <v>0</v>
      </c>
      <c r="AD758" s="365" t="s">
        <v>17</v>
      </c>
      <c r="AE758" s="366"/>
      <c r="AF758" s="366"/>
      <c r="AG758" s="366"/>
      <c r="AH758" s="367"/>
      <c r="AI758" s="368" t="s">
        <v>18</v>
      </c>
      <c r="AJ758" s="369"/>
      <c r="AK758" s="369"/>
      <c r="AL758" s="369"/>
      <c r="AM758" s="370"/>
      <c r="AN758" s="371" t="s">
        <v>320</v>
      </c>
      <c r="AO758" s="372"/>
      <c r="AP758" s="372"/>
      <c r="AQ758" s="372"/>
      <c r="AR758" s="373"/>
      <c r="AS758" s="374" t="s">
        <v>75</v>
      </c>
      <c r="AT758" s="356"/>
      <c r="AU758" s="356"/>
      <c r="AV758" s="356"/>
      <c r="AW758" s="357"/>
      <c r="AX758" s="360" t="s">
        <v>1</v>
      </c>
      <c r="AY758" s="325"/>
      <c r="AZ758" s="326"/>
      <c r="BE758" s="271" t="s">
        <v>0</v>
      </c>
      <c r="BF758" s="362" t="s">
        <v>38</v>
      </c>
      <c r="BG758" s="363"/>
      <c r="BH758" s="363"/>
      <c r="BI758" s="363"/>
      <c r="BJ758" s="364"/>
      <c r="BL758" s="271" t="s">
        <v>0</v>
      </c>
      <c r="BM758" s="362" t="s">
        <v>38</v>
      </c>
      <c r="BN758" s="363"/>
      <c r="BO758" s="363"/>
      <c r="BP758" s="363"/>
      <c r="BQ758" s="364"/>
    </row>
    <row r="759" spans="1:69" ht="14.25" thickBot="1" x14ac:dyDescent="0.2">
      <c r="A759" s="5" t="s">
        <v>2</v>
      </c>
      <c r="B759" s="6" t="s">
        <v>3</v>
      </c>
      <c r="C759" s="7" t="s">
        <v>4</v>
      </c>
      <c r="D759" s="7" t="s">
        <v>5</v>
      </c>
      <c r="E759" s="8" t="s">
        <v>6</v>
      </c>
      <c r="F759" s="5" t="s">
        <v>7</v>
      </c>
      <c r="G759" s="6" t="s">
        <v>3</v>
      </c>
      <c r="H759" s="7" t="s">
        <v>4</v>
      </c>
      <c r="I759" s="7" t="s">
        <v>5</v>
      </c>
      <c r="J759" s="8" t="s">
        <v>6</v>
      </c>
      <c r="K759" s="5" t="s">
        <v>7</v>
      </c>
      <c r="L759" s="6" t="s">
        <v>3</v>
      </c>
      <c r="M759" s="7" t="s">
        <v>4</v>
      </c>
      <c r="N759" s="7" t="s">
        <v>5</v>
      </c>
      <c r="O759" s="8" t="s">
        <v>6</v>
      </c>
      <c r="P759" s="5" t="s">
        <v>7</v>
      </c>
      <c r="Q759" s="6" t="s">
        <v>3</v>
      </c>
      <c r="R759" s="7" t="s">
        <v>4</v>
      </c>
      <c r="S759" s="7" t="s">
        <v>5</v>
      </c>
      <c r="T759" s="8" t="s">
        <v>6</v>
      </c>
      <c r="U759" s="5" t="s">
        <v>7</v>
      </c>
      <c r="V759" s="361"/>
      <c r="W759" s="325"/>
      <c r="X759" s="326"/>
      <c r="Y759" s="326"/>
      <c r="Z759" s="326"/>
      <c r="AC759" s="272" t="s">
        <v>2</v>
      </c>
      <c r="AD759" s="6" t="s">
        <v>3</v>
      </c>
      <c r="AE759" s="7" t="s">
        <v>4</v>
      </c>
      <c r="AF759" s="7" t="s">
        <v>5</v>
      </c>
      <c r="AG759" s="8" t="s">
        <v>6</v>
      </c>
      <c r="AH759" s="5" t="s">
        <v>7</v>
      </c>
      <c r="AI759" s="6" t="s">
        <v>3</v>
      </c>
      <c r="AJ759" s="7" t="s">
        <v>4</v>
      </c>
      <c r="AK759" s="7" t="s">
        <v>5</v>
      </c>
      <c r="AL759" s="8" t="s">
        <v>6</v>
      </c>
      <c r="AM759" s="5" t="s">
        <v>7</v>
      </c>
      <c r="AN759" s="6" t="s">
        <v>3</v>
      </c>
      <c r="AO759" s="7" t="s">
        <v>4</v>
      </c>
      <c r="AP759" s="7" t="s">
        <v>5</v>
      </c>
      <c r="AQ759" s="8" t="s">
        <v>6</v>
      </c>
      <c r="AR759" s="5" t="s">
        <v>7</v>
      </c>
      <c r="AS759" s="6" t="s">
        <v>3</v>
      </c>
      <c r="AT759" s="7" t="s">
        <v>4</v>
      </c>
      <c r="AU759" s="7" t="s">
        <v>5</v>
      </c>
      <c r="AV759" s="8" t="s">
        <v>6</v>
      </c>
      <c r="AW759" s="5" t="s">
        <v>7</v>
      </c>
      <c r="AX759" s="361"/>
      <c r="AY759" s="325"/>
      <c r="AZ759" s="326"/>
      <c r="BE759" s="272" t="s">
        <v>2</v>
      </c>
      <c r="BF759" s="6" t="s">
        <v>3</v>
      </c>
      <c r="BG759" s="7" t="s">
        <v>4</v>
      </c>
      <c r="BH759" s="7" t="s">
        <v>5</v>
      </c>
      <c r="BI759" s="8" t="s">
        <v>6</v>
      </c>
      <c r="BJ759" s="5" t="s">
        <v>7</v>
      </c>
      <c r="BL759" s="272" t="s">
        <v>2</v>
      </c>
      <c r="BM759" s="6" t="s">
        <v>3</v>
      </c>
      <c r="BN759" s="7" t="s">
        <v>4</v>
      </c>
      <c r="BO759" s="7" t="s">
        <v>5</v>
      </c>
      <c r="BP759" s="8" t="s">
        <v>6</v>
      </c>
      <c r="BQ759" s="5" t="s">
        <v>7</v>
      </c>
    </row>
    <row r="760" spans="1:69" ht="15" thickBot="1" x14ac:dyDescent="0.2">
      <c r="A760" s="291" t="s">
        <v>30</v>
      </c>
      <c r="B760" s="292">
        <f>B754</f>
        <v>10</v>
      </c>
      <c r="C760" s="292">
        <f>C754</f>
        <v>9</v>
      </c>
      <c r="D760" s="292">
        <f>D754</f>
        <v>10</v>
      </c>
      <c r="E760" s="293">
        <f>E754</f>
        <v>9</v>
      </c>
      <c r="F760" s="77">
        <f t="shared" ref="F760:F796" si="320">SUM(B760:E760)</f>
        <v>38</v>
      </c>
      <c r="G760" s="292">
        <f>G754</f>
        <v>4</v>
      </c>
      <c r="H760" s="292">
        <f>H754</f>
        <v>7</v>
      </c>
      <c r="I760" s="292">
        <f>I754</f>
        <v>9</v>
      </c>
      <c r="J760" s="293">
        <f>J754</f>
        <v>6</v>
      </c>
      <c r="K760" s="77">
        <f t="shared" ref="K760:K796" si="321">SUM(G760:J760)</f>
        <v>26</v>
      </c>
      <c r="L760" s="292">
        <f>L754</f>
        <v>10</v>
      </c>
      <c r="M760" s="292">
        <f>M754</f>
        <v>7</v>
      </c>
      <c r="N760" s="292">
        <f>N754</f>
        <v>15</v>
      </c>
      <c r="O760" s="293">
        <f>O754</f>
        <v>5</v>
      </c>
      <c r="P760" s="77">
        <f t="shared" ref="P760:P796" si="322">SUM(L760:O760)</f>
        <v>37</v>
      </c>
      <c r="Q760" s="292">
        <f>Q754</f>
        <v>9</v>
      </c>
      <c r="R760" s="292">
        <f>R754</f>
        <v>2</v>
      </c>
      <c r="S760" s="292">
        <f>S754</f>
        <v>6</v>
      </c>
      <c r="T760" s="293">
        <f>T754</f>
        <v>1</v>
      </c>
      <c r="U760" s="182">
        <f t="shared" ref="U760:U796" si="323">SUM(Q760:T760)</f>
        <v>18</v>
      </c>
      <c r="V760" s="77">
        <f t="shared" ref="V760:V796" si="324">F760+K760+P760+U760</f>
        <v>119</v>
      </c>
      <c r="W760" s="325"/>
      <c r="X760" s="326"/>
      <c r="Y760" s="326"/>
      <c r="Z760" s="326"/>
      <c r="AC760" s="294" t="s">
        <v>30</v>
      </c>
      <c r="AD760" s="292">
        <f>AD754</f>
        <v>39</v>
      </c>
      <c r="AE760" s="292">
        <f>AE754</f>
        <v>68</v>
      </c>
      <c r="AF760" s="292">
        <f>AF754</f>
        <v>143</v>
      </c>
      <c r="AG760" s="293">
        <f>AG754</f>
        <v>81</v>
      </c>
      <c r="AH760" s="77">
        <f>SUM(AD760:AG760)</f>
        <v>331</v>
      </c>
      <c r="AI760" s="292">
        <f>AI754</f>
        <v>20</v>
      </c>
      <c r="AJ760" s="292">
        <f>AJ754</f>
        <v>91</v>
      </c>
      <c r="AK760" s="292">
        <f>AK754</f>
        <v>109</v>
      </c>
      <c r="AL760" s="293">
        <f>AL754</f>
        <v>118</v>
      </c>
      <c r="AM760" s="77">
        <f>SUM(AI760:AL760)</f>
        <v>338</v>
      </c>
      <c r="AN760" s="292">
        <f>AN754</f>
        <v>27</v>
      </c>
      <c r="AO760" s="292">
        <f>AO754</f>
        <v>74</v>
      </c>
      <c r="AP760" s="292">
        <f>AP754</f>
        <v>35</v>
      </c>
      <c r="AQ760" s="293">
        <f>AQ754</f>
        <v>22</v>
      </c>
      <c r="AR760" s="77">
        <f>SUM(AN760:AQ760)</f>
        <v>158</v>
      </c>
      <c r="AS760" s="292">
        <f>AS754</f>
        <v>29</v>
      </c>
      <c r="AT760" s="292">
        <f>AT754</f>
        <v>0</v>
      </c>
      <c r="AU760" s="292">
        <f>AU754</f>
        <v>20</v>
      </c>
      <c r="AV760" s="293">
        <f>AV754</f>
        <v>0</v>
      </c>
      <c r="AW760" s="182">
        <f>SUM(AS760:AV760)</f>
        <v>49</v>
      </c>
      <c r="AX760" s="77">
        <f t="shared" ref="AX760:AX796" si="325">AH760+AM760+AR760+AW760</f>
        <v>876</v>
      </c>
      <c r="AY760" s="325"/>
      <c r="AZ760" s="326"/>
      <c r="BE760" s="294" t="s">
        <v>30</v>
      </c>
      <c r="BF760" s="40">
        <f>BF754</f>
        <v>0</v>
      </c>
      <c r="BG760" s="41">
        <f t="shared" ref="BG760:BJ760" si="326">BG754</f>
        <v>0</v>
      </c>
      <c r="BH760" s="41">
        <f t="shared" si="326"/>
        <v>10</v>
      </c>
      <c r="BI760" s="42">
        <f t="shared" si="326"/>
        <v>3</v>
      </c>
      <c r="BJ760" s="171">
        <f t="shared" si="326"/>
        <v>13</v>
      </c>
      <c r="BL760" s="294" t="s">
        <v>30</v>
      </c>
      <c r="BM760" s="292">
        <f>BM754</f>
        <v>0</v>
      </c>
      <c r="BN760" s="292">
        <f t="shared" ref="BN760:BQ760" si="327">BN754</f>
        <v>0</v>
      </c>
      <c r="BO760" s="292">
        <f t="shared" si="327"/>
        <v>21</v>
      </c>
      <c r="BP760" s="292">
        <f t="shared" si="327"/>
        <v>0</v>
      </c>
      <c r="BQ760" s="77">
        <f t="shared" si="327"/>
        <v>21</v>
      </c>
    </row>
    <row r="761" spans="1:69" x14ac:dyDescent="0.15">
      <c r="A761" s="53" t="s">
        <v>111</v>
      </c>
      <c r="B761" s="51"/>
      <c r="C761" s="52"/>
      <c r="D761" s="52"/>
      <c r="E761" s="52"/>
      <c r="F761" s="49">
        <f t="shared" si="320"/>
        <v>0</v>
      </c>
      <c r="G761" s="51"/>
      <c r="H761" s="52"/>
      <c r="I761" s="52"/>
      <c r="J761" s="52"/>
      <c r="K761" s="49">
        <f t="shared" si="321"/>
        <v>0</v>
      </c>
      <c r="L761" s="51"/>
      <c r="M761" s="52"/>
      <c r="N761" s="52"/>
      <c r="O761" s="52"/>
      <c r="P761" s="49">
        <f t="shared" si="322"/>
        <v>0</v>
      </c>
      <c r="Q761" s="51"/>
      <c r="R761" s="52"/>
      <c r="S761" s="52"/>
      <c r="T761" s="52">
        <v>1</v>
      </c>
      <c r="U761" s="175">
        <f t="shared" si="323"/>
        <v>1</v>
      </c>
      <c r="V761" s="49">
        <f t="shared" si="324"/>
        <v>1</v>
      </c>
      <c r="W761" s="328">
        <v>44807</v>
      </c>
      <c r="X761" s="326"/>
      <c r="Y761" s="326"/>
      <c r="Z761" s="326"/>
      <c r="AC761" s="268" t="s">
        <v>61</v>
      </c>
      <c r="AD761" s="51">
        <v>8</v>
      </c>
      <c r="AE761" s="52">
        <v>7</v>
      </c>
      <c r="AF761" s="52">
        <v>8</v>
      </c>
      <c r="AG761" s="52">
        <v>5</v>
      </c>
      <c r="AH761" s="49">
        <f t="shared" ref="AH761:AH796" si="328">SUM(AD761:AG761)</f>
        <v>28</v>
      </c>
      <c r="AI761" s="51"/>
      <c r="AJ761" s="52">
        <v>4</v>
      </c>
      <c r="AK761" s="52">
        <v>6</v>
      </c>
      <c r="AL761" s="52">
        <v>3</v>
      </c>
      <c r="AM761" s="49">
        <f t="shared" ref="AM761:AM796" si="329">SUM(AI761:AL761)</f>
        <v>13</v>
      </c>
      <c r="AN761" s="51">
        <v>6</v>
      </c>
      <c r="AO761" s="52">
        <v>3</v>
      </c>
      <c r="AP761" s="52"/>
      <c r="AQ761" s="52"/>
      <c r="AR761" s="49">
        <f t="shared" ref="AR761:AR764" si="330">SUM(AN761:AQ761)</f>
        <v>9</v>
      </c>
      <c r="AS761" s="51">
        <v>4</v>
      </c>
      <c r="AT761" s="52"/>
      <c r="AU761" s="52"/>
      <c r="AV761" s="52"/>
      <c r="AW761" s="175">
        <f t="shared" ref="AW761:AW764" si="331">SUM(AS761:AV761)</f>
        <v>4</v>
      </c>
      <c r="AX761" s="49">
        <f t="shared" si="325"/>
        <v>54</v>
      </c>
      <c r="AY761" s="328">
        <v>44812</v>
      </c>
      <c r="AZ761" s="326"/>
      <c r="BE761" s="268" t="s">
        <v>28</v>
      </c>
      <c r="BF761" s="51"/>
      <c r="BG761" s="52"/>
      <c r="BH761" s="52"/>
      <c r="BI761" s="52"/>
      <c r="BJ761" s="49">
        <f t="shared" ref="BJ761:BJ763" si="332">SUM(BF761:BI761)</f>
        <v>0</v>
      </c>
      <c r="BK761" s="306"/>
      <c r="BL761" s="268" t="s">
        <v>28</v>
      </c>
      <c r="BM761" s="51"/>
      <c r="BN761" s="52"/>
      <c r="BO761" s="52"/>
      <c r="BP761" s="52"/>
      <c r="BQ761" s="49">
        <f t="shared" ref="BQ761:BQ763" si="333">SUM(BM761:BP761)</f>
        <v>0</v>
      </c>
    </row>
    <row r="762" spans="1:69" ht="14.25" x14ac:dyDescent="0.15">
      <c r="A762" s="53" t="s">
        <v>111</v>
      </c>
      <c r="B762" s="55"/>
      <c r="C762" s="55"/>
      <c r="D762" s="55"/>
      <c r="E762" s="166"/>
      <c r="F762" s="49">
        <f t="shared" si="320"/>
        <v>0</v>
      </c>
      <c r="G762" s="55">
        <v>3</v>
      </c>
      <c r="H762" s="55"/>
      <c r="I762" s="55"/>
      <c r="J762" s="166"/>
      <c r="K762" s="49">
        <f t="shared" si="321"/>
        <v>3</v>
      </c>
      <c r="L762" s="55"/>
      <c r="M762" s="55"/>
      <c r="N762" s="55"/>
      <c r="O762" s="166"/>
      <c r="P762" s="49">
        <f t="shared" si="322"/>
        <v>0</v>
      </c>
      <c r="Q762" s="55"/>
      <c r="R762" s="55"/>
      <c r="S762" s="55"/>
      <c r="T762" s="166"/>
      <c r="U762" s="175">
        <f t="shared" si="323"/>
        <v>0</v>
      </c>
      <c r="V762" s="56">
        <f t="shared" si="324"/>
        <v>3</v>
      </c>
      <c r="W762" s="329">
        <v>44810</v>
      </c>
      <c r="X762" s="326"/>
      <c r="Y762" s="326"/>
      <c r="Z762" s="326"/>
      <c r="AC762" s="268" t="s">
        <v>61</v>
      </c>
      <c r="AD762" s="54">
        <v>9</v>
      </c>
      <c r="AE762" s="55">
        <v>5</v>
      </c>
      <c r="AF762" s="55">
        <v>6</v>
      </c>
      <c r="AG762" s="55">
        <v>4</v>
      </c>
      <c r="AH762" s="56">
        <f t="shared" ref="AH762:AH764" si="334">SUM(AD762:AG762)</f>
        <v>24</v>
      </c>
      <c r="AI762" s="54">
        <v>10</v>
      </c>
      <c r="AJ762" s="55">
        <v>2</v>
      </c>
      <c r="AK762" s="55">
        <v>3</v>
      </c>
      <c r="AL762" s="55">
        <v>2</v>
      </c>
      <c r="AM762" s="56">
        <f t="shared" ref="AM762:AM764" si="335">SUM(AI762:AL762)</f>
        <v>17</v>
      </c>
      <c r="AN762" s="54">
        <v>11</v>
      </c>
      <c r="AO762" s="55">
        <v>4</v>
      </c>
      <c r="AP762" s="55">
        <v>6</v>
      </c>
      <c r="AQ762" s="55">
        <v>5</v>
      </c>
      <c r="AR762" s="56">
        <f t="shared" si="330"/>
        <v>26</v>
      </c>
      <c r="AS762" s="54">
        <v>4</v>
      </c>
      <c r="AT762" s="55"/>
      <c r="AU762" s="55">
        <v>2</v>
      </c>
      <c r="AV762" s="55"/>
      <c r="AW762" s="176">
        <f t="shared" si="331"/>
        <v>6</v>
      </c>
      <c r="AX762" s="56">
        <f t="shared" si="325"/>
        <v>73</v>
      </c>
      <c r="AY762" s="337">
        <v>44898</v>
      </c>
      <c r="AZ762" s="326"/>
      <c r="BE762" s="268" t="s">
        <v>28</v>
      </c>
      <c r="BF762" s="55"/>
      <c r="BG762" s="153"/>
      <c r="BH762" s="153"/>
      <c r="BI762" s="168"/>
      <c r="BJ762" s="56">
        <f t="shared" si="332"/>
        <v>0</v>
      </c>
      <c r="BL762" s="268" t="s">
        <v>28</v>
      </c>
      <c r="BM762" s="54"/>
      <c r="BN762" s="55"/>
      <c r="BO762" s="55"/>
      <c r="BP762" s="55"/>
      <c r="BQ762" s="56">
        <f t="shared" si="333"/>
        <v>0</v>
      </c>
    </row>
    <row r="763" spans="1:69" x14ac:dyDescent="0.15">
      <c r="A763" s="53" t="s">
        <v>111</v>
      </c>
      <c r="B763" s="55">
        <v>2</v>
      </c>
      <c r="C763" s="55">
        <v>2</v>
      </c>
      <c r="D763" s="55">
        <v>2</v>
      </c>
      <c r="E763" s="166"/>
      <c r="F763" s="49">
        <f t="shared" si="320"/>
        <v>6</v>
      </c>
      <c r="G763" s="55"/>
      <c r="H763" s="55">
        <v>2</v>
      </c>
      <c r="I763" s="55">
        <v>2</v>
      </c>
      <c r="J763" s="166">
        <v>2</v>
      </c>
      <c r="K763" s="49">
        <f t="shared" si="321"/>
        <v>6</v>
      </c>
      <c r="L763" s="55"/>
      <c r="M763" s="55"/>
      <c r="N763" s="55">
        <v>2</v>
      </c>
      <c r="O763" s="166"/>
      <c r="P763" s="49">
        <f t="shared" si="322"/>
        <v>2</v>
      </c>
      <c r="Q763" s="55"/>
      <c r="R763" s="55"/>
      <c r="S763" s="55"/>
      <c r="T763" s="166"/>
      <c r="U763" s="175">
        <f t="shared" si="323"/>
        <v>0</v>
      </c>
      <c r="V763" s="56">
        <f t="shared" si="324"/>
        <v>14</v>
      </c>
      <c r="W763" s="329">
        <v>44816</v>
      </c>
      <c r="X763" s="326"/>
      <c r="Y763" s="326"/>
      <c r="Z763" s="326"/>
      <c r="AC763" s="268" t="s">
        <v>61</v>
      </c>
      <c r="AD763" s="17">
        <v>2</v>
      </c>
      <c r="AE763" s="18"/>
      <c r="AF763" s="18"/>
      <c r="AG763" s="18"/>
      <c r="AH763" s="30">
        <f t="shared" si="334"/>
        <v>2</v>
      </c>
      <c r="AI763" s="17"/>
      <c r="AJ763" s="18"/>
      <c r="AK763" s="18"/>
      <c r="AL763" s="18">
        <v>3</v>
      </c>
      <c r="AM763" s="30">
        <f t="shared" si="335"/>
        <v>3</v>
      </c>
      <c r="AN763" s="17">
        <f>11+8</f>
        <v>19</v>
      </c>
      <c r="AO763" s="18">
        <v>5</v>
      </c>
      <c r="AP763" s="18">
        <v>18</v>
      </c>
      <c r="AQ763" s="18">
        <v>14</v>
      </c>
      <c r="AR763" s="30">
        <f t="shared" si="330"/>
        <v>56</v>
      </c>
      <c r="AS763" s="17"/>
      <c r="AT763" s="18"/>
      <c r="AU763" s="18"/>
      <c r="AV763" s="18"/>
      <c r="AW763" s="176">
        <f t="shared" si="331"/>
        <v>0</v>
      </c>
      <c r="AX763" s="56">
        <f t="shared" ref="AX763:AX764" si="336">AH763+AM763+AR763+AW763</f>
        <v>61</v>
      </c>
      <c r="AY763" s="328">
        <v>44975</v>
      </c>
      <c r="AZ763" s="326"/>
      <c r="BE763" s="268" t="s">
        <v>28</v>
      </c>
      <c r="BF763" s="55"/>
      <c r="BG763" s="153"/>
      <c r="BH763" s="153"/>
      <c r="BI763" s="168"/>
      <c r="BJ763" s="56">
        <f t="shared" si="332"/>
        <v>0</v>
      </c>
      <c r="BL763" s="268" t="s">
        <v>28</v>
      </c>
      <c r="BM763" s="55"/>
      <c r="BN763" s="153"/>
      <c r="BO763" s="153"/>
      <c r="BP763" s="168"/>
      <c r="BQ763" s="56">
        <f t="shared" si="333"/>
        <v>0</v>
      </c>
    </row>
    <row r="764" spans="1:69" x14ac:dyDescent="0.15">
      <c r="A764" s="53" t="s">
        <v>111</v>
      </c>
      <c r="B764" s="63"/>
      <c r="C764" s="63"/>
      <c r="D764" s="63"/>
      <c r="E764" s="167"/>
      <c r="F764" s="64">
        <f t="shared" si="320"/>
        <v>0</v>
      </c>
      <c r="G764" s="63"/>
      <c r="H764" s="63">
        <v>5</v>
      </c>
      <c r="I764" s="63"/>
      <c r="J764" s="167"/>
      <c r="K764" s="64">
        <f t="shared" si="321"/>
        <v>5</v>
      </c>
      <c r="L764" s="63"/>
      <c r="M764" s="63"/>
      <c r="N764" s="63"/>
      <c r="O764" s="167"/>
      <c r="P764" s="64">
        <f t="shared" si="322"/>
        <v>0</v>
      </c>
      <c r="Q764" s="63"/>
      <c r="R764" s="63"/>
      <c r="S764" s="63"/>
      <c r="T764" s="167"/>
      <c r="U764" s="162">
        <f t="shared" si="323"/>
        <v>0</v>
      </c>
      <c r="V764" s="56">
        <f t="shared" si="324"/>
        <v>5</v>
      </c>
      <c r="W764" s="329">
        <v>44817</v>
      </c>
      <c r="X764" s="332"/>
      <c r="Y764" s="326"/>
      <c r="Z764" s="326"/>
      <c r="AC764" s="268" t="s">
        <v>28</v>
      </c>
      <c r="AD764" s="55"/>
      <c r="AE764" s="153"/>
      <c r="AF764" s="153"/>
      <c r="AG764" s="168"/>
      <c r="AH764" s="56">
        <f t="shared" si="334"/>
        <v>0</v>
      </c>
      <c r="AI764" s="55"/>
      <c r="AJ764" s="153"/>
      <c r="AK764" s="153"/>
      <c r="AL764" s="168"/>
      <c r="AM764" s="56">
        <f t="shared" si="335"/>
        <v>0</v>
      </c>
      <c r="AN764" s="55"/>
      <c r="AO764" s="153"/>
      <c r="AP764" s="153"/>
      <c r="AQ764" s="168"/>
      <c r="AR764" s="56">
        <f t="shared" si="330"/>
        <v>0</v>
      </c>
      <c r="AS764" s="55"/>
      <c r="AT764" s="153"/>
      <c r="AU764" s="153"/>
      <c r="AV764" s="168"/>
      <c r="AW764" s="176">
        <f t="shared" si="331"/>
        <v>0</v>
      </c>
      <c r="AX764" s="56">
        <f t="shared" si="336"/>
        <v>0</v>
      </c>
      <c r="AY764" s="325"/>
      <c r="AZ764" s="326"/>
      <c r="BE764" s="268" t="s">
        <v>28</v>
      </c>
      <c r="BF764" s="63"/>
      <c r="BG764" s="63"/>
      <c r="BH764" s="63"/>
      <c r="BI764" s="167"/>
      <c r="BJ764" s="64">
        <v>0</v>
      </c>
      <c r="BL764" s="268" t="s">
        <v>28</v>
      </c>
      <c r="BM764" s="63"/>
      <c r="BN764" s="63"/>
      <c r="BO764" s="63"/>
      <c r="BP764" s="167"/>
      <c r="BQ764" s="64">
        <v>0</v>
      </c>
    </row>
    <row r="765" spans="1:69" x14ac:dyDescent="0.15">
      <c r="A765" s="53" t="s">
        <v>109</v>
      </c>
      <c r="B765" s="55"/>
      <c r="C765" s="153"/>
      <c r="D765" s="153">
        <f>1+1</f>
        <v>2</v>
      </c>
      <c r="E765" s="168"/>
      <c r="F765" s="56">
        <f t="shared" si="320"/>
        <v>2</v>
      </c>
      <c r="G765" s="55"/>
      <c r="H765" s="153">
        <v>1</v>
      </c>
      <c r="I765" s="153">
        <v>1</v>
      </c>
      <c r="J765" s="168">
        <v>1</v>
      </c>
      <c r="K765" s="56">
        <f t="shared" si="321"/>
        <v>3</v>
      </c>
      <c r="L765" s="55">
        <v>1</v>
      </c>
      <c r="M765" s="153"/>
      <c r="N765" s="153"/>
      <c r="O765" s="168"/>
      <c r="P765" s="56">
        <f t="shared" si="322"/>
        <v>1</v>
      </c>
      <c r="Q765" s="55"/>
      <c r="R765" s="153"/>
      <c r="S765" s="153"/>
      <c r="T765" s="168">
        <v>1</v>
      </c>
      <c r="U765" s="176">
        <f t="shared" si="323"/>
        <v>1</v>
      </c>
      <c r="V765" s="56">
        <f t="shared" si="324"/>
        <v>7</v>
      </c>
      <c r="W765" s="329">
        <v>44821</v>
      </c>
      <c r="X765" s="332"/>
      <c r="Y765" s="326"/>
      <c r="Z765" s="326"/>
      <c r="AC765" s="268" t="s">
        <v>28</v>
      </c>
      <c r="AD765" s="55"/>
      <c r="AE765" s="153"/>
      <c r="AF765" s="153"/>
      <c r="AG765" s="168"/>
      <c r="AH765" s="56">
        <f t="shared" si="328"/>
        <v>0</v>
      </c>
      <c r="AI765" s="55"/>
      <c r="AJ765" s="153"/>
      <c r="AK765" s="153"/>
      <c r="AL765" s="168"/>
      <c r="AM765" s="56">
        <f t="shared" si="329"/>
        <v>0</v>
      </c>
      <c r="AN765" s="55"/>
      <c r="AO765" s="153"/>
      <c r="AP765" s="153"/>
      <c r="AQ765" s="168"/>
      <c r="AR765" s="56">
        <f t="shared" ref="AR765:AR796" si="337">SUM(AN765:AQ765)</f>
        <v>0</v>
      </c>
      <c r="AS765" s="55"/>
      <c r="AT765" s="153"/>
      <c r="AU765" s="153"/>
      <c r="AV765" s="168"/>
      <c r="AW765" s="176">
        <f t="shared" ref="AW765:AW796" si="338">SUM(AS765:AV765)</f>
        <v>0</v>
      </c>
      <c r="AX765" s="56">
        <f t="shared" si="325"/>
        <v>0</v>
      </c>
      <c r="AY765" s="325"/>
      <c r="AZ765" s="326"/>
      <c r="BE765" s="268" t="s">
        <v>28</v>
      </c>
      <c r="BF765" s="55"/>
      <c r="BG765" s="153"/>
      <c r="BH765" s="153"/>
      <c r="BI765" s="168"/>
      <c r="BJ765" s="56">
        <f t="shared" ref="BJ765:BJ796" si="339">SUM(BF765:BI765)</f>
        <v>0</v>
      </c>
      <c r="BL765" s="268" t="s">
        <v>28</v>
      </c>
      <c r="BM765" s="55"/>
      <c r="BN765" s="153"/>
      <c r="BO765" s="153"/>
      <c r="BP765" s="168"/>
      <c r="BQ765" s="56">
        <f t="shared" ref="BQ765:BQ796" si="340">SUM(BM765:BP765)</f>
        <v>0</v>
      </c>
    </row>
    <row r="766" spans="1:69" x14ac:dyDescent="0.15">
      <c r="A766" s="53" t="s">
        <v>111</v>
      </c>
      <c r="B766" s="55"/>
      <c r="C766" s="153"/>
      <c r="D766" s="153"/>
      <c r="E766" s="168"/>
      <c r="F766" s="56">
        <f t="shared" si="320"/>
        <v>0</v>
      </c>
      <c r="G766" s="55"/>
      <c r="H766" s="153"/>
      <c r="I766" s="153">
        <v>2</v>
      </c>
      <c r="J766" s="168"/>
      <c r="K766" s="56">
        <f t="shared" si="321"/>
        <v>2</v>
      </c>
      <c r="L766" s="55"/>
      <c r="M766" s="153"/>
      <c r="N766" s="153"/>
      <c r="O766" s="168"/>
      <c r="P766" s="56">
        <f t="shared" si="322"/>
        <v>0</v>
      </c>
      <c r="Q766" s="55"/>
      <c r="R766" s="153"/>
      <c r="S766" s="153"/>
      <c r="T766" s="168"/>
      <c r="U766" s="176">
        <f t="shared" si="323"/>
        <v>0</v>
      </c>
      <c r="V766" s="56">
        <f t="shared" si="324"/>
        <v>2</v>
      </c>
      <c r="W766" s="329">
        <v>44847</v>
      </c>
      <c r="X766" s="332"/>
      <c r="Y766" s="326"/>
      <c r="Z766" s="326"/>
      <c r="AC766" s="268" t="s">
        <v>28</v>
      </c>
      <c r="AD766" s="55"/>
      <c r="AE766" s="153"/>
      <c r="AF766" s="153"/>
      <c r="AG766" s="168"/>
      <c r="AH766" s="56">
        <f t="shared" si="328"/>
        <v>0</v>
      </c>
      <c r="AI766" s="55"/>
      <c r="AJ766" s="153"/>
      <c r="AK766" s="153"/>
      <c r="AL766" s="168"/>
      <c r="AM766" s="56">
        <f t="shared" si="329"/>
        <v>0</v>
      </c>
      <c r="AN766" s="55"/>
      <c r="AO766" s="153"/>
      <c r="AP766" s="153"/>
      <c r="AQ766" s="168"/>
      <c r="AR766" s="56">
        <f t="shared" si="337"/>
        <v>0</v>
      </c>
      <c r="AS766" s="55"/>
      <c r="AT766" s="153"/>
      <c r="AU766" s="153"/>
      <c r="AV766" s="168"/>
      <c r="AW766" s="176">
        <f t="shared" si="338"/>
        <v>0</v>
      </c>
      <c r="AX766" s="56">
        <f t="shared" si="325"/>
        <v>0</v>
      </c>
      <c r="AY766" s="328"/>
      <c r="AZ766" s="326"/>
      <c r="BE766" s="268" t="s">
        <v>28</v>
      </c>
      <c r="BF766" s="55"/>
      <c r="BG766" s="153"/>
      <c r="BH766" s="153"/>
      <c r="BI766" s="168"/>
      <c r="BJ766" s="56">
        <f t="shared" si="339"/>
        <v>0</v>
      </c>
      <c r="BL766" s="268" t="s">
        <v>28</v>
      </c>
      <c r="BM766" s="55"/>
      <c r="BN766" s="153"/>
      <c r="BO766" s="153"/>
      <c r="BP766" s="168"/>
      <c r="BQ766" s="56">
        <f t="shared" si="340"/>
        <v>0</v>
      </c>
    </row>
    <row r="767" spans="1:69" ht="14.25" thickBot="1" x14ac:dyDescent="0.2">
      <c r="A767" s="53" t="s">
        <v>109</v>
      </c>
      <c r="B767" s="63"/>
      <c r="C767" s="164"/>
      <c r="D767" s="164"/>
      <c r="E767" s="169"/>
      <c r="F767" s="170">
        <f t="shared" si="320"/>
        <v>0</v>
      </c>
      <c r="G767" s="63"/>
      <c r="H767" s="164"/>
      <c r="I767" s="164"/>
      <c r="J767" s="169"/>
      <c r="K767" s="170">
        <f t="shared" si="321"/>
        <v>0</v>
      </c>
      <c r="L767" s="63"/>
      <c r="M767" s="164"/>
      <c r="N767" s="164"/>
      <c r="O767" s="169"/>
      <c r="P767" s="170">
        <f t="shared" si="322"/>
        <v>0</v>
      </c>
      <c r="Q767" s="63"/>
      <c r="R767" s="164"/>
      <c r="S767" s="164">
        <v>1</v>
      </c>
      <c r="T767" s="169"/>
      <c r="U767" s="179">
        <f t="shared" si="323"/>
        <v>1</v>
      </c>
      <c r="V767" s="170">
        <f t="shared" si="324"/>
        <v>1</v>
      </c>
      <c r="W767" s="328">
        <v>44853</v>
      </c>
      <c r="X767" s="326"/>
      <c r="Y767" s="326"/>
      <c r="Z767" s="326"/>
      <c r="AC767" s="268" t="s">
        <v>436</v>
      </c>
      <c r="AD767" s="63">
        <v>-1</v>
      </c>
      <c r="AE767" s="164">
        <v>-1</v>
      </c>
      <c r="AF767" s="164"/>
      <c r="AG767" s="169"/>
      <c r="AH767" s="170">
        <f t="shared" si="328"/>
        <v>-2</v>
      </c>
      <c r="AI767" s="63"/>
      <c r="AJ767" s="164"/>
      <c r="AK767" s="164"/>
      <c r="AL767" s="169"/>
      <c r="AM767" s="170">
        <f t="shared" si="329"/>
        <v>0</v>
      </c>
      <c r="AN767" s="63"/>
      <c r="AO767" s="164"/>
      <c r="AP767" s="164"/>
      <c r="AQ767" s="169"/>
      <c r="AR767" s="170">
        <f t="shared" si="337"/>
        <v>0</v>
      </c>
      <c r="AS767" s="63"/>
      <c r="AT767" s="164"/>
      <c r="AU767" s="164"/>
      <c r="AV767" s="169"/>
      <c r="AW767" s="179">
        <f t="shared" si="338"/>
        <v>0</v>
      </c>
      <c r="AX767" s="170">
        <f t="shared" si="325"/>
        <v>-2</v>
      </c>
      <c r="AY767" s="330"/>
      <c r="AZ767" s="326"/>
      <c r="BE767" s="274" t="s">
        <v>28</v>
      </c>
      <c r="BF767" s="63"/>
      <c r="BG767" s="164"/>
      <c r="BH767" s="164"/>
      <c r="BI767" s="169"/>
      <c r="BJ767" s="170">
        <f t="shared" si="339"/>
        <v>0</v>
      </c>
      <c r="BL767" s="274" t="s">
        <v>28</v>
      </c>
      <c r="BM767" s="63"/>
      <c r="BN767" s="164"/>
      <c r="BO767" s="164"/>
      <c r="BP767" s="169"/>
      <c r="BQ767" s="170">
        <f t="shared" si="340"/>
        <v>0</v>
      </c>
    </row>
    <row r="768" spans="1:69" ht="15" thickBot="1" x14ac:dyDescent="0.2">
      <c r="A768" s="181" t="s">
        <v>14</v>
      </c>
      <c r="B768" s="182">
        <f>SUM(B760:B767)</f>
        <v>12</v>
      </c>
      <c r="C768" s="183">
        <f>SUM(C760:C767)</f>
        <v>11</v>
      </c>
      <c r="D768" s="183">
        <f>SUM(D760:D767)</f>
        <v>14</v>
      </c>
      <c r="E768" s="184">
        <f>SUM(E760:E767)</f>
        <v>9</v>
      </c>
      <c r="F768" s="77">
        <f t="shared" si="320"/>
        <v>46</v>
      </c>
      <c r="G768" s="182">
        <f>SUM(G760:G767)</f>
        <v>7</v>
      </c>
      <c r="H768" s="183">
        <f>SUM(H760:H767)</f>
        <v>15</v>
      </c>
      <c r="I768" s="183">
        <f>SUM(I760:I767)</f>
        <v>14</v>
      </c>
      <c r="J768" s="184">
        <f>SUM(J760:J767)</f>
        <v>9</v>
      </c>
      <c r="K768" s="77">
        <f t="shared" si="321"/>
        <v>45</v>
      </c>
      <c r="L768" s="182">
        <f>SUM(L760:L767)</f>
        <v>11</v>
      </c>
      <c r="M768" s="183">
        <f>SUM(M760:M767)</f>
        <v>7</v>
      </c>
      <c r="N768" s="183">
        <f>SUM(N760:N767)</f>
        <v>17</v>
      </c>
      <c r="O768" s="184">
        <f>SUM(O760:O767)</f>
        <v>5</v>
      </c>
      <c r="P768" s="77">
        <f t="shared" si="322"/>
        <v>40</v>
      </c>
      <c r="Q768" s="182">
        <f>SUM(Q760:Q767)</f>
        <v>9</v>
      </c>
      <c r="R768" s="183">
        <f>SUM(R760:R767)</f>
        <v>2</v>
      </c>
      <c r="S768" s="183">
        <f>SUM(S760:S767)</f>
        <v>7</v>
      </c>
      <c r="T768" s="184">
        <f>SUM(T760:T767)</f>
        <v>3</v>
      </c>
      <c r="U768" s="182">
        <f t="shared" si="323"/>
        <v>21</v>
      </c>
      <c r="V768" s="77">
        <f t="shared" si="324"/>
        <v>152</v>
      </c>
      <c r="W768" s="325"/>
      <c r="X768" s="326"/>
      <c r="Y768" s="326"/>
      <c r="Z768" s="326"/>
      <c r="AC768" s="275" t="s">
        <v>14</v>
      </c>
      <c r="AD768" s="182">
        <f>SUM(AD760:AD767)</f>
        <v>57</v>
      </c>
      <c r="AE768" s="183">
        <f>SUM(AE760:AE767)</f>
        <v>79</v>
      </c>
      <c r="AF768" s="183">
        <f>SUM(AF760:AF767)</f>
        <v>157</v>
      </c>
      <c r="AG768" s="184">
        <f>SUM(AG760:AG767)</f>
        <v>90</v>
      </c>
      <c r="AH768" s="77">
        <f t="shared" si="328"/>
        <v>383</v>
      </c>
      <c r="AI768" s="182">
        <f>SUM(AI760:AI767)</f>
        <v>30</v>
      </c>
      <c r="AJ768" s="183">
        <f>SUM(AJ760:AJ767)</f>
        <v>97</v>
      </c>
      <c r="AK768" s="183">
        <f>SUM(AK760:AK767)</f>
        <v>118</v>
      </c>
      <c r="AL768" s="184">
        <f>SUM(AL760:AL767)</f>
        <v>126</v>
      </c>
      <c r="AM768" s="77">
        <f t="shared" si="329"/>
        <v>371</v>
      </c>
      <c r="AN768" s="182">
        <f>SUM(AN760:AN767)</f>
        <v>63</v>
      </c>
      <c r="AO768" s="183">
        <f>SUM(AO760:AO767)</f>
        <v>86</v>
      </c>
      <c r="AP768" s="183">
        <f>SUM(AP760:AP767)</f>
        <v>59</v>
      </c>
      <c r="AQ768" s="184">
        <f>SUM(AQ760:AQ767)</f>
        <v>41</v>
      </c>
      <c r="AR768" s="77">
        <f t="shared" si="337"/>
        <v>249</v>
      </c>
      <c r="AS768" s="182">
        <f>SUM(AS760:AS767)</f>
        <v>37</v>
      </c>
      <c r="AT768" s="183">
        <f>SUM(AT760:AT767)</f>
        <v>0</v>
      </c>
      <c r="AU768" s="183">
        <f>SUM(AU760:AU767)</f>
        <v>22</v>
      </c>
      <c r="AV768" s="184">
        <f>SUM(AV760:AV767)</f>
        <v>0</v>
      </c>
      <c r="AW768" s="182">
        <f t="shared" si="338"/>
        <v>59</v>
      </c>
      <c r="AX768" s="77">
        <f t="shared" si="325"/>
        <v>1062</v>
      </c>
      <c r="AY768" s="325"/>
      <c r="AZ768" s="326"/>
      <c r="BE768" s="275" t="s">
        <v>14</v>
      </c>
      <c r="BF768" s="182">
        <f>SUM(BF760:BF767)</f>
        <v>0</v>
      </c>
      <c r="BG768" s="183">
        <f>SUM(BG760:BG767)</f>
        <v>0</v>
      </c>
      <c r="BH768" s="183">
        <f>SUM(BH760:BH767)</f>
        <v>10</v>
      </c>
      <c r="BI768" s="184">
        <f>SUM(BI760:BI767)</f>
        <v>3</v>
      </c>
      <c r="BJ768" s="77">
        <f t="shared" si="339"/>
        <v>13</v>
      </c>
      <c r="BL768" s="275" t="s">
        <v>14</v>
      </c>
      <c r="BM768" s="182">
        <f>SUM(BM760:BM767)</f>
        <v>0</v>
      </c>
      <c r="BN768" s="183">
        <f>SUM(BN760:BN767)</f>
        <v>0</v>
      </c>
      <c r="BO768" s="183">
        <f>SUM(BO760:BO767)</f>
        <v>21</v>
      </c>
      <c r="BP768" s="184">
        <f>SUM(BP760:BP767)</f>
        <v>0</v>
      </c>
      <c r="BQ768" s="77">
        <f t="shared" si="340"/>
        <v>21</v>
      </c>
    </row>
    <row r="769" spans="1:69" x14ac:dyDescent="0.15">
      <c r="A769" s="53" t="s">
        <v>98</v>
      </c>
      <c r="B769" s="46"/>
      <c r="C769" s="47"/>
      <c r="D769" s="47"/>
      <c r="E769" s="47"/>
      <c r="F769" s="48">
        <f t="shared" si="320"/>
        <v>0</v>
      </c>
      <c r="G769" s="46">
        <v>1</v>
      </c>
      <c r="H769" s="47"/>
      <c r="I769" s="47"/>
      <c r="J769" s="47"/>
      <c r="K769" s="48">
        <f t="shared" si="321"/>
        <v>1</v>
      </c>
      <c r="L769" s="46"/>
      <c r="M769" s="47"/>
      <c r="N769" s="47"/>
      <c r="O769" s="47"/>
      <c r="P769" s="48">
        <f t="shared" si="322"/>
        <v>0</v>
      </c>
      <c r="Q769" s="46"/>
      <c r="R769" s="47"/>
      <c r="S769" s="47"/>
      <c r="T769" s="47">
        <v>1</v>
      </c>
      <c r="U769" s="180">
        <f t="shared" si="323"/>
        <v>1</v>
      </c>
      <c r="V769" s="49">
        <f t="shared" si="324"/>
        <v>2</v>
      </c>
      <c r="W769" s="328">
        <v>44805</v>
      </c>
      <c r="X769" s="326"/>
      <c r="Y769" s="326"/>
      <c r="Z769" s="326"/>
      <c r="AC769" s="269" t="s">
        <v>452</v>
      </c>
      <c r="AD769" s="55"/>
      <c r="AE769" s="153"/>
      <c r="AF769" s="153"/>
      <c r="AG769" s="168"/>
      <c r="AH769" s="56">
        <f t="shared" si="328"/>
        <v>0</v>
      </c>
      <c r="AI769" s="55">
        <v>3</v>
      </c>
      <c r="AJ769" s="153"/>
      <c r="AK769" s="153"/>
      <c r="AL769" s="168"/>
      <c r="AM769" s="56">
        <f t="shared" si="329"/>
        <v>3</v>
      </c>
      <c r="AN769" s="55"/>
      <c r="AO769" s="153"/>
      <c r="AP769" s="153"/>
      <c r="AQ769" s="168"/>
      <c r="AR769" s="56">
        <f t="shared" si="337"/>
        <v>0</v>
      </c>
      <c r="AS769" s="55"/>
      <c r="AT769" s="153"/>
      <c r="AU769" s="153"/>
      <c r="AV769" s="168"/>
      <c r="AW769" s="176">
        <f t="shared" si="338"/>
        <v>0</v>
      </c>
      <c r="AX769" s="56">
        <f t="shared" si="325"/>
        <v>3</v>
      </c>
      <c r="AY769" s="329">
        <v>44810</v>
      </c>
      <c r="AZ769" s="326"/>
      <c r="BE769" s="268" t="s">
        <v>457</v>
      </c>
      <c r="BF769" s="55"/>
      <c r="BG769" s="153"/>
      <c r="BH769" s="153">
        <v>1</v>
      </c>
      <c r="BI769" s="168"/>
      <c r="BJ769" s="56">
        <f t="shared" si="339"/>
        <v>1</v>
      </c>
      <c r="BK769" s="306">
        <v>44834</v>
      </c>
      <c r="BL769" s="268"/>
      <c r="BM769" s="54"/>
      <c r="BN769" s="55"/>
      <c r="BO769" s="55"/>
      <c r="BP769" s="55"/>
      <c r="BQ769" s="56">
        <f t="shared" si="340"/>
        <v>0</v>
      </c>
    </row>
    <row r="770" spans="1:69" x14ac:dyDescent="0.15">
      <c r="A770" s="53" t="s">
        <v>121</v>
      </c>
      <c r="B770" s="54"/>
      <c r="C770" s="55"/>
      <c r="D770" s="55"/>
      <c r="E770" s="55"/>
      <c r="F770" s="56">
        <f t="shared" si="320"/>
        <v>0</v>
      </c>
      <c r="G770" s="54"/>
      <c r="H770" s="55"/>
      <c r="I770" s="55"/>
      <c r="J770" s="55"/>
      <c r="K770" s="56">
        <f t="shared" si="321"/>
        <v>0</v>
      </c>
      <c r="L770" s="54"/>
      <c r="M770" s="55"/>
      <c r="N770" s="55"/>
      <c r="O770" s="55"/>
      <c r="P770" s="56">
        <f t="shared" si="322"/>
        <v>0</v>
      </c>
      <c r="Q770" s="54"/>
      <c r="R770" s="55">
        <v>-1</v>
      </c>
      <c r="S770" s="55"/>
      <c r="T770" s="55"/>
      <c r="U770" s="176">
        <f t="shared" si="323"/>
        <v>-1</v>
      </c>
      <c r="V770" s="56">
        <f t="shared" si="324"/>
        <v>-1</v>
      </c>
      <c r="W770" s="328">
        <v>44806</v>
      </c>
      <c r="X770" s="326"/>
      <c r="Y770" s="326"/>
      <c r="Z770" s="326"/>
      <c r="AC770" s="276" t="s">
        <v>453</v>
      </c>
      <c r="AD770" s="54"/>
      <c r="AE770" s="55"/>
      <c r="AF770" s="55"/>
      <c r="AG770" s="55"/>
      <c r="AH770" s="56">
        <f t="shared" si="328"/>
        <v>0</v>
      </c>
      <c r="AI770" s="54"/>
      <c r="AJ770" s="55"/>
      <c r="AK770" s="55"/>
      <c r="AL770" s="55"/>
      <c r="AM770" s="56">
        <f t="shared" si="329"/>
        <v>0</v>
      </c>
      <c r="AN770" s="54"/>
      <c r="AO770" s="55"/>
      <c r="AP770" s="55"/>
      <c r="AQ770" s="55"/>
      <c r="AR770" s="56">
        <f t="shared" si="337"/>
        <v>0</v>
      </c>
      <c r="AS770" s="54"/>
      <c r="AT770" s="55"/>
      <c r="AU770" s="55">
        <f>4+2</f>
        <v>6</v>
      </c>
      <c r="AV770" s="55"/>
      <c r="AW770" s="176">
        <f t="shared" si="338"/>
        <v>6</v>
      </c>
      <c r="AX770" s="56">
        <f t="shared" si="325"/>
        <v>6</v>
      </c>
      <c r="AY770" s="329">
        <v>44824</v>
      </c>
      <c r="AZ770" s="326"/>
      <c r="BE770" s="268"/>
      <c r="BF770" s="54"/>
      <c r="BG770" s="55"/>
      <c r="BH770" s="55"/>
      <c r="BI770" s="55"/>
      <c r="BJ770" s="56">
        <f t="shared" si="339"/>
        <v>0</v>
      </c>
      <c r="BK770" s="304"/>
      <c r="BL770" s="268"/>
      <c r="BM770" s="54"/>
      <c r="BN770" s="55"/>
      <c r="BO770" s="55"/>
      <c r="BP770" s="55"/>
      <c r="BQ770" s="56">
        <f t="shared" si="340"/>
        <v>0</v>
      </c>
    </row>
    <row r="771" spans="1:69" x14ac:dyDescent="0.15">
      <c r="A771" s="53" t="s">
        <v>98</v>
      </c>
      <c r="B771" s="54"/>
      <c r="C771" s="55"/>
      <c r="D771" s="55"/>
      <c r="E771" s="55"/>
      <c r="F771" s="56">
        <f t="shared" si="320"/>
        <v>0</v>
      </c>
      <c r="G771" s="54">
        <v>1</v>
      </c>
      <c r="H771" s="55"/>
      <c r="I771" s="55"/>
      <c r="J771" s="55"/>
      <c r="K771" s="56">
        <f t="shared" si="321"/>
        <v>1</v>
      </c>
      <c r="L771" s="54"/>
      <c r="M771" s="55"/>
      <c r="N771" s="55"/>
      <c r="O771" s="55"/>
      <c r="P771" s="56">
        <f t="shared" si="322"/>
        <v>0</v>
      </c>
      <c r="Q771" s="54"/>
      <c r="R771" s="55"/>
      <c r="S771" s="55">
        <v>1</v>
      </c>
      <c r="T771" s="55"/>
      <c r="U771" s="176">
        <f t="shared" si="323"/>
        <v>1</v>
      </c>
      <c r="V771" s="56">
        <f t="shared" si="324"/>
        <v>2</v>
      </c>
      <c r="W771" s="328">
        <v>44806</v>
      </c>
      <c r="X771" s="326"/>
      <c r="Y771" s="326"/>
      <c r="Z771" s="326"/>
      <c r="AC771" s="269" t="s">
        <v>99</v>
      </c>
      <c r="AD771" s="54">
        <v>2</v>
      </c>
      <c r="AE771" s="55">
        <v>2</v>
      </c>
      <c r="AF771" s="55">
        <v>2</v>
      </c>
      <c r="AG771" s="55"/>
      <c r="AH771" s="56">
        <f t="shared" si="328"/>
        <v>6</v>
      </c>
      <c r="AI771" s="54"/>
      <c r="AJ771" s="55">
        <v>2</v>
      </c>
      <c r="AK771" s="55">
        <v>2</v>
      </c>
      <c r="AL771" s="55">
        <v>2</v>
      </c>
      <c r="AM771" s="56">
        <f t="shared" si="329"/>
        <v>6</v>
      </c>
      <c r="AN771" s="54"/>
      <c r="AO771" s="55"/>
      <c r="AP771" s="55">
        <v>2</v>
      </c>
      <c r="AQ771" s="55"/>
      <c r="AR771" s="56">
        <f t="shared" si="337"/>
        <v>2</v>
      </c>
      <c r="AS771" s="54"/>
      <c r="AT771" s="55"/>
      <c r="AU771" s="55"/>
      <c r="AV771" s="55"/>
      <c r="AW771" s="176">
        <f t="shared" si="338"/>
        <v>0</v>
      </c>
      <c r="AX771" s="56">
        <f t="shared" si="325"/>
        <v>14</v>
      </c>
      <c r="AY771" s="329">
        <v>44816</v>
      </c>
      <c r="AZ771" s="326"/>
      <c r="BE771" s="268"/>
      <c r="BF771" s="54"/>
      <c r="BG771" s="55"/>
      <c r="BH771" s="55"/>
      <c r="BI771" s="55"/>
      <c r="BJ771" s="56">
        <f t="shared" si="339"/>
        <v>0</v>
      </c>
      <c r="BK771" s="306"/>
      <c r="BL771" s="268"/>
      <c r="BM771" s="54"/>
      <c r="BN771" s="55"/>
      <c r="BO771" s="55"/>
      <c r="BP771" s="55"/>
      <c r="BQ771" s="56">
        <f t="shared" si="340"/>
        <v>0</v>
      </c>
    </row>
    <row r="772" spans="1:69" x14ac:dyDescent="0.15">
      <c r="A772" s="53" t="s">
        <v>98</v>
      </c>
      <c r="B772" s="54"/>
      <c r="C772" s="55">
        <v>1</v>
      </c>
      <c r="D772" s="55"/>
      <c r="E772" s="55">
        <v>1</v>
      </c>
      <c r="F772" s="56">
        <f t="shared" si="320"/>
        <v>2</v>
      </c>
      <c r="G772" s="54"/>
      <c r="H772" s="55">
        <v>1</v>
      </c>
      <c r="I772" s="55"/>
      <c r="J772" s="55">
        <v>1</v>
      </c>
      <c r="K772" s="56">
        <f t="shared" si="321"/>
        <v>2</v>
      </c>
      <c r="L772" s="54"/>
      <c r="M772" s="55"/>
      <c r="N772" s="55"/>
      <c r="O772" s="55"/>
      <c r="P772" s="56">
        <f t="shared" si="322"/>
        <v>0</v>
      </c>
      <c r="Q772" s="54">
        <v>1</v>
      </c>
      <c r="R772" s="55"/>
      <c r="S772" s="55">
        <v>1</v>
      </c>
      <c r="T772" s="55">
        <v>1</v>
      </c>
      <c r="U772" s="176">
        <f t="shared" si="323"/>
        <v>3</v>
      </c>
      <c r="V772" s="56">
        <f t="shared" si="324"/>
        <v>7</v>
      </c>
      <c r="W772" s="328">
        <v>44809</v>
      </c>
      <c r="X772" s="326"/>
      <c r="Y772" s="326"/>
      <c r="Z772" s="326"/>
      <c r="AC772" s="269" t="s">
        <v>99</v>
      </c>
      <c r="AD772" s="54"/>
      <c r="AE772" s="55"/>
      <c r="AF772" s="55"/>
      <c r="AG772" s="55"/>
      <c r="AH772" s="56">
        <f t="shared" si="328"/>
        <v>0</v>
      </c>
      <c r="AI772" s="54"/>
      <c r="AJ772" s="55">
        <v>5</v>
      </c>
      <c r="AK772" s="55"/>
      <c r="AL772" s="55"/>
      <c r="AM772" s="56">
        <f t="shared" si="329"/>
        <v>5</v>
      </c>
      <c r="AN772" s="54"/>
      <c r="AO772" s="55"/>
      <c r="AP772" s="55"/>
      <c r="AQ772" s="55"/>
      <c r="AR772" s="56">
        <f t="shared" si="337"/>
        <v>0</v>
      </c>
      <c r="AS772" s="54"/>
      <c r="AT772" s="55"/>
      <c r="AU772" s="55"/>
      <c r="AV772" s="55"/>
      <c r="AW772" s="56">
        <f t="shared" si="338"/>
        <v>0</v>
      </c>
      <c r="AX772" s="56">
        <f t="shared" si="325"/>
        <v>5</v>
      </c>
      <c r="AY772" s="329">
        <v>44817</v>
      </c>
      <c r="AZ772" s="326"/>
      <c r="BE772" s="268"/>
      <c r="BF772" s="54"/>
      <c r="BG772" s="55"/>
      <c r="BH772" s="55"/>
      <c r="BI772" s="55"/>
      <c r="BJ772" s="56">
        <f t="shared" si="339"/>
        <v>0</v>
      </c>
      <c r="BK772" s="306"/>
      <c r="BL772" s="268"/>
      <c r="BM772" s="54"/>
      <c r="BN772" s="55"/>
      <c r="BO772" s="55"/>
      <c r="BP772" s="55"/>
      <c r="BQ772" s="56">
        <f t="shared" si="340"/>
        <v>0</v>
      </c>
    </row>
    <row r="773" spans="1:69" x14ac:dyDescent="0.15">
      <c r="A773" s="53" t="s">
        <v>98</v>
      </c>
      <c r="B773" s="54"/>
      <c r="C773" s="55"/>
      <c r="D773" s="55"/>
      <c r="E773" s="55"/>
      <c r="F773" s="56">
        <f t="shared" si="320"/>
        <v>0</v>
      </c>
      <c r="G773" s="54"/>
      <c r="H773" s="55"/>
      <c r="I773" s="55"/>
      <c r="J773" s="55"/>
      <c r="K773" s="56">
        <f t="shared" si="321"/>
        <v>0</v>
      </c>
      <c r="L773" s="54">
        <v>1</v>
      </c>
      <c r="M773" s="55">
        <v>1</v>
      </c>
      <c r="N773" s="55"/>
      <c r="O773" s="55"/>
      <c r="P773" s="56">
        <f t="shared" si="322"/>
        <v>2</v>
      </c>
      <c r="Q773" s="54"/>
      <c r="R773" s="55">
        <v>1</v>
      </c>
      <c r="S773" s="55"/>
      <c r="T773" s="55"/>
      <c r="U773" s="176">
        <f t="shared" si="323"/>
        <v>1</v>
      </c>
      <c r="V773" s="56">
        <f t="shared" si="324"/>
        <v>3</v>
      </c>
      <c r="W773" s="328">
        <v>44810</v>
      </c>
      <c r="X773" s="326"/>
      <c r="Y773" s="326"/>
      <c r="Z773" s="326"/>
      <c r="AC773" s="269" t="s">
        <v>446</v>
      </c>
      <c r="AD773" s="54"/>
      <c r="AE773" s="55"/>
      <c r="AF773" s="55"/>
      <c r="AG773" s="55">
        <v>2</v>
      </c>
      <c r="AH773" s="56">
        <f t="shared" si="328"/>
        <v>2</v>
      </c>
      <c r="AI773" s="54"/>
      <c r="AJ773" s="55"/>
      <c r="AK773" s="55"/>
      <c r="AL773" s="55"/>
      <c r="AM773" s="56">
        <f t="shared" si="329"/>
        <v>0</v>
      </c>
      <c r="AN773" s="54"/>
      <c r="AO773" s="55"/>
      <c r="AP773" s="55"/>
      <c r="AQ773" s="55"/>
      <c r="AR773" s="56">
        <f t="shared" si="337"/>
        <v>0</v>
      </c>
      <c r="AS773" s="54"/>
      <c r="AT773" s="55"/>
      <c r="AU773" s="55"/>
      <c r="AV773" s="55"/>
      <c r="AW773" s="176">
        <f t="shared" si="338"/>
        <v>0</v>
      </c>
      <c r="AX773" s="56">
        <f t="shared" si="325"/>
        <v>2</v>
      </c>
      <c r="AY773" s="329">
        <v>44820</v>
      </c>
      <c r="AZ773" s="326"/>
      <c r="BE773" s="268"/>
      <c r="BF773" s="51"/>
      <c r="BG773" s="52"/>
      <c r="BH773" s="52"/>
      <c r="BI773" s="52"/>
      <c r="BJ773" s="49">
        <f t="shared" si="339"/>
        <v>0</v>
      </c>
      <c r="BK773" s="304"/>
      <c r="BL773" s="268"/>
      <c r="BM773" s="54"/>
      <c r="BN773" s="55"/>
      <c r="BO773" s="55"/>
      <c r="BP773" s="55"/>
      <c r="BQ773" s="56">
        <f t="shared" si="340"/>
        <v>0</v>
      </c>
    </row>
    <row r="774" spans="1:69" x14ac:dyDescent="0.15">
      <c r="A774" s="53" t="s">
        <v>454</v>
      </c>
      <c r="B774" s="54">
        <v>8</v>
      </c>
      <c r="C774" s="55">
        <v>7</v>
      </c>
      <c r="D774" s="55">
        <v>8</v>
      </c>
      <c r="E774" s="55">
        <v>5</v>
      </c>
      <c r="F774" s="56">
        <f t="shared" si="320"/>
        <v>28</v>
      </c>
      <c r="G774" s="54"/>
      <c r="H774" s="55">
        <v>4</v>
      </c>
      <c r="I774" s="55">
        <v>6</v>
      </c>
      <c r="J774" s="55">
        <v>3</v>
      </c>
      <c r="K774" s="56">
        <f t="shared" si="321"/>
        <v>13</v>
      </c>
      <c r="L774" s="54">
        <v>6</v>
      </c>
      <c r="M774" s="55">
        <v>3</v>
      </c>
      <c r="N774" s="55">
        <v>13</v>
      </c>
      <c r="O774" s="55">
        <v>3</v>
      </c>
      <c r="P774" s="56">
        <f t="shared" si="322"/>
        <v>25</v>
      </c>
      <c r="Q774" s="54">
        <v>4</v>
      </c>
      <c r="R774" s="55"/>
      <c r="S774" s="55"/>
      <c r="T774" s="55"/>
      <c r="U774" s="176">
        <f t="shared" si="323"/>
        <v>4</v>
      </c>
      <c r="V774" s="56">
        <f t="shared" si="324"/>
        <v>70</v>
      </c>
      <c r="W774" s="328">
        <v>44812</v>
      </c>
      <c r="X774" s="326"/>
      <c r="Y774" s="326"/>
      <c r="Z774" s="326"/>
      <c r="AC774" s="276" t="s">
        <v>455</v>
      </c>
      <c r="AD774" s="54"/>
      <c r="AE774" s="55"/>
      <c r="AF774" s="55"/>
      <c r="AG774" s="55"/>
      <c r="AH774" s="56">
        <f t="shared" si="328"/>
        <v>0</v>
      </c>
      <c r="AI774" s="54"/>
      <c r="AJ774" s="55"/>
      <c r="AK774" s="55"/>
      <c r="AL774" s="55"/>
      <c r="AM774" s="56">
        <f t="shared" si="329"/>
        <v>0</v>
      </c>
      <c r="AN774" s="54"/>
      <c r="AO774" s="55"/>
      <c r="AP774" s="55"/>
      <c r="AQ774" s="55"/>
      <c r="AR774" s="56">
        <f t="shared" si="337"/>
        <v>0</v>
      </c>
      <c r="AS774" s="54"/>
      <c r="AT774" s="55"/>
      <c r="AU774" s="55">
        <v>3</v>
      </c>
      <c r="AV774" s="55"/>
      <c r="AW774" s="176">
        <f t="shared" si="338"/>
        <v>3</v>
      </c>
      <c r="AX774" s="56">
        <f t="shared" si="325"/>
        <v>3</v>
      </c>
      <c r="AY774" s="329">
        <v>44820</v>
      </c>
      <c r="AZ774" s="326"/>
      <c r="BE774" s="268"/>
      <c r="BF774" s="54"/>
      <c r="BG774" s="55"/>
      <c r="BH774" s="55"/>
      <c r="BI774" s="55"/>
      <c r="BJ774" s="56">
        <f t="shared" si="339"/>
        <v>0</v>
      </c>
      <c r="BK774" s="304"/>
      <c r="BL774" s="268"/>
      <c r="BM774" s="54"/>
      <c r="BN774" s="55"/>
      <c r="BO774" s="55"/>
      <c r="BP774" s="55"/>
      <c r="BQ774" s="56">
        <f t="shared" si="340"/>
        <v>0</v>
      </c>
    </row>
    <row r="775" spans="1:69" x14ac:dyDescent="0.15">
      <c r="A775" s="53" t="s">
        <v>98</v>
      </c>
      <c r="B775" s="54"/>
      <c r="C775" s="55"/>
      <c r="D775" s="55"/>
      <c r="E775" s="55"/>
      <c r="F775" s="56">
        <f t="shared" si="320"/>
        <v>0</v>
      </c>
      <c r="G775" s="54"/>
      <c r="H775" s="55"/>
      <c r="I775" s="55">
        <v>1</v>
      </c>
      <c r="J775" s="55"/>
      <c r="K775" s="56">
        <f t="shared" si="321"/>
        <v>1</v>
      </c>
      <c r="L775" s="54"/>
      <c r="M775" s="55"/>
      <c r="N775" s="55"/>
      <c r="O775" s="55"/>
      <c r="P775" s="56">
        <f t="shared" si="322"/>
        <v>0</v>
      </c>
      <c r="Q775" s="54"/>
      <c r="R775" s="55"/>
      <c r="S775" s="55"/>
      <c r="T775" s="55"/>
      <c r="U775" s="176">
        <f t="shared" si="323"/>
        <v>0</v>
      </c>
      <c r="V775" s="56">
        <f t="shared" si="324"/>
        <v>1</v>
      </c>
      <c r="W775" s="328">
        <v>44812</v>
      </c>
      <c r="X775" s="326"/>
      <c r="Y775" s="326"/>
      <c r="Z775" s="326"/>
      <c r="AC775" s="269" t="s">
        <v>450</v>
      </c>
      <c r="AD775" s="55"/>
      <c r="AE775" s="55"/>
      <c r="AF775" s="55"/>
      <c r="AG775" s="166"/>
      <c r="AH775" s="49">
        <f t="shared" si="328"/>
        <v>0</v>
      </c>
      <c r="AI775" s="55"/>
      <c r="AJ775" s="55"/>
      <c r="AK775" s="55">
        <v>2</v>
      </c>
      <c r="AL775" s="166"/>
      <c r="AM775" s="49">
        <f t="shared" si="329"/>
        <v>2</v>
      </c>
      <c r="AN775" s="55"/>
      <c r="AO775" s="55"/>
      <c r="AP775" s="55"/>
      <c r="AQ775" s="166"/>
      <c r="AR775" s="49">
        <f t="shared" si="337"/>
        <v>0</v>
      </c>
      <c r="AS775" s="55"/>
      <c r="AT775" s="55"/>
      <c r="AU775" s="55"/>
      <c r="AV775" s="166"/>
      <c r="AW775" s="175">
        <f t="shared" si="338"/>
        <v>0</v>
      </c>
      <c r="AX775" s="56">
        <f t="shared" si="325"/>
        <v>2</v>
      </c>
      <c r="AY775" s="329">
        <v>44841</v>
      </c>
      <c r="AZ775" s="326"/>
      <c r="BE775" s="268"/>
      <c r="BF775" s="54"/>
      <c r="BG775" s="55"/>
      <c r="BH775" s="55"/>
      <c r="BI775" s="55"/>
      <c r="BJ775" s="56">
        <f t="shared" si="339"/>
        <v>0</v>
      </c>
      <c r="BK775" s="306"/>
      <c r="BL775" s="268"/>
      <c r="BM775" s="54"/>
      <c r="BN775" s="55"/>
      <c r="BO775" s="55"/>
      <c r="BP775" s="55"/>
      <c r="BQ775" s="56">
        <f t="shared" si="340"/>
        <v>0</v>
      </c>
    </row>
    <row r="776" spans="1:69" x14ac:dyDescent="0.15">
      <c r="A776" s="53" t="s">
        <v>98</v>
      </c>
      <c r="B776" s="54"/>
      <c r="C776" s="55"/>
      <c r="D776" s="55"/>
      <c r="E776" s="55"/>
      <c r="F776" s="56">
        <f t="shared" si="320"/>
        <v>0</v>
      </c>
      <c r="G776" s="54"/>
      <c r="H776" s="55"/>
      <c r="I776" s="55">
        <v>1</v>
      </c>
      <c r="J776" s="55"/>
      <c r="K776" s="56">
        <f t="shared" si="321"/>
        <v>1</v>
      </c>
      <c r="L776" s="54"/>
      <c r="M776" s="55"/>
      <c r="N776" s="55"/>
      <c r="O776" s="55"/>
      <c r="P776" s="56">
        <f t="shared" si="322"/>
        <v>0</v>
      </c>
      <c r="Q776" s="54"/>
      <c r="R776" s="55"/>
      <c r="S776" s="55"/>
      <c r="T776" s="55"/>
      <c r="U776" s="176">
        <f t="shared" si="323"/>
        <v>0</v>
      </c>
      <c r="V776" s="56">
        <f t="shared" si="324"/>
        <v>1</v>
      </c>
      <c r="W776" s="328">
        <v>44813</v>
      </c>
      <c r="X776" s="326"/>
      <c r="Y776" s="326"/>
      <c r="Z776" s="326"/>
      <c r="AC776" s="269" t="s">
        <v>461</v>
      </c>
      <c r="AD776" s="17"/>
      <c r="AE776" s="18"/>
      <c r="AF776" s="18"/>
      <c r="AG776" s="18">
        <v>3</v>
      </c>
      <c r="AH776" s="30">
        <f t="shared" si="328"/>
        <v>3</v>
      </c>
      <c r="AI776" s="17"/>
      <c r="AJ776" s="18">
        <v>1</v>
      </c>
      <c r="AK776" s="18">
        <v>1</v>
      </c>
      <c r="AL776" s="18"/>
      <c r="AM776" s="30">
        <f t="shared" si="329"/>
        <v>2</v>
      </c>
      <c r="AN776" s="17"/>
      <c r="AO776" s="18"/>
      <c r="AP776" s="18"/>
      <c r="AQ776" s="18"/>
      <c r="AR776" s="30">
        <f t="shared" si="337"/>
        <v>0</v>
      </c>
      <c r="AS776" s="17"/>
      <c r="AT776" s="18"/>
      <c r="AU776" s="18"/>
      <c r="AV776" s="18"/>
      <c r="AW776" s="178">
        <f t="shared" si="338"/>
        <v>0</v>
      </c>
      <c r="AX776" s="56">
        <f t="shared" si="325"/>
        <v>5</v>
      </c>
      <c r="AY776" s="329">
        <v>44848</v>
      </c>
      <c r="AZ776" s="326"/>
      <c r="BE776" s="268"/>
      <c r="BF776" s="55"/>
      <c r="BG776" s="55"/>
      <c r="BH776" s="55"/>
      <c r="BI776" s="166"/>
      <c r="BJ776" s="49">
        <f t="shared" si="339"/>
        <v>0</v>
      </c>
      <c r="BL776" s="276"/>
      <c r="BM776" s="55"/>
      <c r="BN776" s="55"/>
      <c r="BO776" s="55"/>
      <c r="BP776" s="166"/>
      <c r="BQ776" s="49">
        <f t="shared" si="340"/>
        <v>0</v>
      </c>
    </row>
    <row r="777" spans="1:69" x14ac:dyDescent="0.15">
      <c r="A777" s="53" t="s">
        <v>98</v>
      </c>
      <c r="B777" s="17"/>
      <c r="C777" s="18"/>
      <c r="D777" s="18"/>
      <c r="E777" s="18"/>
      <c r="F777" s="30">
        <f t="shared" si="320"/>
        <v>0</v>
      </c>
      <c r="G777" s="17"/>
      <c r="H777" s="18">
        <v>4</v>
      </c>
      <c r="I777" s="18"/>
      <c r="J777" s="18"/>
      <c r="K777" s="30">
        <f t="shared" si="321"/>
        <v>4</v>
      </c>
      <c r="L777" s="17"/>
      <c r="M777" s="18"/>
      <c r="N777" s="18"/>
      <c r="O777" s="18"/>
      <c r="P777" s="30">
        <f t="shared" si="322"/>
        <v>0</v>
      </c>
      <c r="Q777" s="17"/>
      <c r="R777" s="18"/>
      <c r="S777" s="18"/>
      <c r="T777" s="18"/>
      <c r="U777" s="178">
        <f t="shared" si="323"/>
        <v>0</v>
      </c>
      <c r="V777" s="56">
        <f t="shared" si="324"/>
        <v>4</v>
      </c>
      <c r="W777" s="328">
        <v>44816</v>
      </c>
      <c r="X777" s="326"/>
      <c r="Y777" s="326"/>
      <c r="Z777" s="326"/>
      <c r="AC777" s="269" t="s">
        <v>99</v>
      </c>
      <c r="AD777" s="54"/>
      <c r="AE777" s="55"/>
      <c r="AF777" s="55"/>
      <c r="AG777" s="55"/>
      <c r="AH777" s="56">
        <f t="shared" si="328"/>
        <v>0</v>
      </c>
      <c r="AI777" s="54"/>
      <c r="AJ777" s="55"/>
      <c r="AK777" s="55">
        <v>2</v>
      </c>
      <c r="AL777" s="55"/>
      <c r="AM777" s="56">
        <f t="shared" si="329"/>
        <v>2</v>
      </c>
      <c r="AN777" s="54"/>
      <c r="AO777" s="55"/>
      <c r="AP777" s="55"/>
      <c r="AQ777" s="55"/>
      <c r="AR777" s="56">
        <f t="shared" si="337"/>
        <v>0</v>
      </c>
      <c r="AS777" s="54"/>
      <c r="AT777" s="55"/>
      <c r="AU777" s="55"/>
      <c r="AV777" s="55"/>
      <c r="AW777" s="176">
        <f t="shared" si="338"/>
        <v>0</v>
      </c>
      <c r="AX777" s="56">
        <f t="shared" si="325"/>
        <v>2</v>
      </c>
      <c r="AY777" s="329">
        <v>44847</v>
      </c>
      <c r="AZ777" s="326"/>
      <c r="BE777" s="277"/>
      <c r="BF777" s="17"/>
      <c r="BG777" s="18"/>
      <c r="BH777" s="18"/>
      <c r="BI777" s="18"/>
      <c r="BJ777" s="30">
        <f t="shared" si="339"/>
        <v>0</v>
      </c>
      <c r="BL777" s="277"/>
      <c r="BM777" s="17"/>
      <c r="BN777" s="18"/>
      <c r="BO777" s="18"/>
      <c r="BP777" s="18"/>
      <c r="BQ777" s="30">
        <f t="shared" si="340"/>
        <v>0</v>
      </c>
    </row>
    <row r="778" spans="1:69" x14ac:dyDescent="0.15">
      <c r="A778" s="53" t="s">
        <v>98</v>
      </c>
      <c r="B778" s="54"/>
      <c r="C778" s="55"/>
      <c r="D778" s="55"/>
      <c r="E778" s="55"/>
      <c r="F778" s="56">
        <f t="shared" si="320"/>
        <v>0</v>
      </c>
      <c r="G778" s="54"/>
      <c r="H778" s="55"/>
      <c r="I778" s="55"/>
      <c r="J778" s="55"/>
      <c r="K778" s="56">
        <f t="shared" si="321"/>
        <v>0</v>
      </c>
      <c r="L778" s="54"/>
      <c r="M778" s="55"/>
      <c r="N778" s="55"/>
      <c r="O778" s="55"/>
      <c r="P778" s="56">
        <f t="shared" si="322"/>
        <v>0</v>
      </c>
      <c r="Q778" s="54"/>
      <c r="R778" s="55">
        <v>1</v>
      </c>
      <c r="S778" s="55"/>
      <c r="T778" s="55"/>
      <c r="U778" s="176">
        <f t="shared" si="323"/>
        <v>1</v>
      </c>
      <c r="V778" s="56">
        <f t="shared" si="324"/>
        <v>1</v>
      </c>
      <c r="W778" s="328">
        <v>44817</v>
      </c>
      <c r="X778" s="326"/>
      <c r="Y778" s="326"/>
      <c r="Z778" s="326"/>
      <c r="AC778" s="269" t="s">
        <v>462</v>
      </c>
      <c r="AD778" s="54"/>
      <c r="AE778" s="55"/>
      <c r="AF778" s="55"/>
      <c r="AG778" s="55"/>
      <c r="AH778" s="56">
        <f t="shared" si="328"/>
        <v>0</v>
      </c>
      <c r="AI778" s="54"/>
      <c r="AJ778" s="55"/>
      <c r="AK778" s="55"/>
      <c r="AL778" s="55">
        <v>1</v>
      </c>
      <c r="AM778" s="56">
        <f t="shared" si="329"/>
        <v>1</v>
      </c>
      <c r="AN778" s="54"/>
      <c r="AO778" s="55"/>
      <c r="AP778" s="55"/>
      <c r="AQ778" s="55"/>
      <c r="AR778" s="56">
        <f t="shared" si="337"/>
        <v>0</v>
      </c>
      <c r="AS778" s="54"/>
      <c r="AT778" s="55"/>
      <c r="AU778" s="55"/>
      <c r="AV778" s="55"/>
      <c r="AW778" s="176">
        <f t="shared" si="338"/>
        <v>0</v>
      </c>
      <c r="AX778" s="56">
        <f t="shared" si="325"/>
        <v>1</v>
      </c>
      <c r="AY778" s="329">
        <v>44855</v>
      </c>
      <c r="AZ778" s="326"/>
      <c r="BE778" s="276"/>
      <c r="BF778" s="54"/>
      <c r="BG778" s="55"/>
      <c r="BH778" s="55"/>
      <c r="BI778" s="55"/>
      <c r="BJ778" s="56">
        <f t="shared" si="339"/>
        <v>0</v>
      </c>
      <c r="BL778" s="276"/>
      <c r="BM778" s="54"/>
      <c r="BN778" s="55"/>
      <c r="BO778" s="55"/>
      <c r="BP778" s="55"/>
      <c r="BQ778" s="56">
        <f t="shared" si="340"/>
        <v>0</v>
      </c>
    </row>
    <row r="779" spans="1:69" x14ac:dyDescent="0.15">
      <c r="A779" s="53" t="s">
        <v>98</v>
      </c>
      <c r="B779" s="54"/>
      <c r="C779" s="55"/>
      <c r="D779" s="55"/>
      <c r="E779" s="55"/>
      <c r="F779" s="56">
        <f t="shared" si="320"/>
        <v>0</v>
      </c>
      <c r="G779" s="54"/>
      <c r="H779" s="55"/>
      <c r="I779" s="55"/>
      <c r="J779" s="55"/>
      <c r="K779" s="56">
        <f t="shared" si="321"/>
        <v>0</v>
      </c>
      <c r="L779" s="54"/>
      <c r="M779" s="55"/>
      <c r="N779" s="55"/>
      <c r="O779" s="55"/>
      <c r="P779" s="56">
        <f t="shared" si="322"/>
        <v>0</v>
      </c>
      <c r="Q779" s="54"/>
      <c r="R779" s="55"/>
      <c r="S779" s="55">
        <v>1</v>
      </c>
      <c r="T779" s="55"/>
      <c r="U779" s="176">
        <f t="shared" si="323"/>
        <v>1</v>
      </c>
      <c r="V779" s="56">
        <f t="shared" si="324"/>
        <v>1</v>
      </c>
      <c r="W779" s="328">
        <v>44818</v>
      </c>
      <c r="X779" s="326"/>
      <c r="Y779" s="326"/>
      <c r="Z779" s="326"/>
      <c r="AC779" s="276" t="s">
        <v>464</v>
      </c>
      <c r="AD779" s="54"/>
      <c r="AE779" s="55"/>
      <c r="AF779" s="55"/>
      <c r="AG779" s="55"/>
      <c r="AH779" s="56">
        <f t="shared" si="328"/>
        <v>0</v>
      </c>
      <c r="AI779" s="54"/>
      <c r="AJ779" s="55"/>
      <c r="AK779" s="55"/>
      <c r="AL779" s="55">
        <v>5</v>
      </c>
      <c r="AM779" s="56">
        <f t="shared" si="329"/>
        <v>5</v>
      </c>
      <c r="AN779" s="54"/>
      <c r="AO779" s="55"/>
      <c r="AP779" s="55"/>
      <c r="AQ779" s="55"/>
      <c r="AR779" s="56">
        <f t="shared" si="337"/>
        <v>0</v>
      </c>
      <c r="AS779" s="54"/>
      <c r="AT779" s="55"/>
      <c r="AU779" s="55"/>
      <c r="AV779" s="55"/>
      <c r="AW779" s="176">
        <f t="shared" si="338"/>
        <v>0</v>
      </c>
      <c r="AX779" s="56">
        <f t="shared" si="325"/>
        <v>5</v>
      </c>
      <c r="AY779" s="329">
        <v>44883</v>
      </c>
      <c r="AZ779" s="326"/>
      <c r="BE779" s="277"/>
      <c r="BF779" s="54"/>
      <c r="BG779" s="55"/>
      <c r="BH779" s="55"/>
      <c r="BI779" s="55"/>
      <c r="BJ779" s="56">
        <f t="shared" si="339"/>
        <v>0</v>
      </c>
      <c r="BL779" s="277"/>
      <c r="BM779" s="54"/>
      <c r="BN779" s="55"/>
      <c r="BO779" s="55"/>
      <c r="BP779" s="55"/>
      <c r="BQ779" s="56">
        <f t="shared" si="340"/>
        <v>0</v>
      </c>
    </row>
    <row r="780" spans="1:69" x14ac:dyDescent="0.15">
      <c r="A780" s="53" t="s">
        <v>98</v>
      </c>
      <c r="B780" s="54"/>
      <c r="C780" s="55"/>
      <c r="D780" s="55"/>
      <c r="E780" s="55"/>
      <c r="F780" s="56">
        <f t="shared" si="320"/>
        <v>0</v>
      </c>
      <c r="G780" s="54"/>
      <c r="H780" s="55"/>
      <c r="I780" s="55">
        <v>1</v>
      </c>
      <c r="J780" s="55"/>
      <c r="K780" s="56">
        <f t="shared" si="321"/>
        <v>1</v>
      </c>
      <c r="L780" s="54"/>
      <c r="M780" s="55"/>
      <c r="N780" s="55"/>
      <c r="O780" s="55"/>
      <c r="P780" s="56">
        <f t="shared" si="322"/>
        <v>0</v>
      </c>
      <c r="Q780" s="54"/>
      <c r="R780" s="55">
        <v>1</v>
      </c>
      <c r="S780" s="55"/>
      <c r="T780" s="55"/>
      <c r="U780" s="176">
        <f t="shared" si="323"/>
        <v>1</v>
      </c>
      <c r="V780" s="56">
        <f t="shared" si="324"/>
        <v>2</v>
      </c>
      <c r="W780" s="328">
        <v>44819</v>
      </c>
      <c r="X780" s="326"/>
      <c r="Y780" s="326"/>
      <c r="Z780" s="326"/>
      <c r="AC780" s="269" t="s">
        <v>99</v>
      </c>
      <c r="AD780" s="63"/>
      <c r="AE780" s="63"/>
      <c r="AF780" s="63"/>
      <c r="AG780" s="167">
        <v>2</v>
      </c>
      <c r="AH780" s="64">
        <f t="shared" si="328"/>
        <v>2</v>
      </c>
      <c r="AI780" s="63">
        <v>2</v>
      </c>
      <c r="AJ780" s="63"/>
      <c r="AK780" s="63">
        <v>2</v>
      </c>
      <c r="AL780" s="167"/>
      <c r="AM780" s="64">
        <f t="shared" si="329"/>
        <v>4</v>
      </c>
      <c r="AN780" s="63"/>
      <c r="AO780" s="63"/>
      <c r="AP780" s="63"/>
      <c r="AQ780" s="167">
        <v>2</v>
      </c>
      <c r="AR780" s="64">
        <f t="shared" si="337"/>
        <v>2</v>
      </c>
      <c r="AS780" s="55"/>
      <c r="AT780" s="153"/>
      <c r="AU780" s="153"/>
      <c r="AV780" s="168"/>
      <c r="AW780" s="162">
        <f t="shared" si="338"/>
        <v>0</v>
      </c>
      <c r="AX780" s="56">
        <f t="shared" si="325"/>
        <v>8</v>
      </c>
      <c r="AY780" s="329">
        <v>44937</v>
      </c>
      <c r="AZ780" s="326"/>
      <c r="BE780" s="276"/>
      <c r="BF780" s="54"/>
      <c r="BG780" s="55"/>
      <c r="BH780" s="55"/>
      <c r="BI780" s="55"/>
      <c r="BJ780" s="56">
        <f t="shared" si="339"/>
        <v>0</v>
      </c>
      <c r="BL780" s="276"/>
      <c r="BM780" s="54"/>
      <c r="BN780" s="55"/>
      <c r="BO780" s="55"/>
      <c r="BP780" s="55"/>
      <c r="BQ780" s="56">
        <f t="shared" si="340"/>
        <v>0</v>
      </c>
    </row>
    <row r="781" spans="1:69" x14ac:dyDescent="0.15">
      <c r="A781" s="53" t="s">
        <v>98</v>
      </c>
      <c r="B781" s="54"/>
      <c r="C781" s="55"/>
      <c r="D781" s="55"/>
      <c r="E781" s="55"/>
      <c r="F781" s="56">
        <f t="shared" si="320"/>
        <v>0</v>
      </c>
      <c r="G781" s="54"/>
      <c r="H781" s="55">
        <v>1</v>
      </c>
      <c r="I781" s="55"/>
      <c r="J781" s="55"/>
      <c r="K781" s="56">
        <f t="shared" si="321"/>
        <v>1</v>
      </c>
      <c r="L781" s="54"/>
      <c r="M781" s="55"/>
      <c r="N781" s="55"/>
      <c r="O781" s="55"/>
      <c r="P781" s="56">
        <f t="shared" si="322"/>
        <v>0</v>
      </c>
      <c r="Q781" s="54">
        <v>1</v>
      </c>
      <c r="R781" s="55"/>
      <c r="S781" s="55"/>
      <c r="T781" s="55"/>
      <c r="U781" s="176">
        <f t="shared" si="323"/>
        <v>1</v>
      </c>
      <c r="V781" s="56">
        <f t="shared" si="324"/>
        <v>2</v>
      </c>
      <c r="W781" s="329">
        <v>44820</v>
      </c>
      <c r="X781" s="326"/>
      <c r="Y781" s="326"/>
      <c r="Z781" s="326"/>
      <c r="AC781" s="269"/>
      <c r="AD781" s="54"/>
      <c r="AE781" s="55"/>
      <c r="AF781" s="55"/>
      <c r="AG781" s="55"/>
      <c r="AH781" s="56">
        <f t="shared" si="328"/>
        <v>0</v>
      </c>
      <c r="AI781" s="54"/>
      <c r="AJ781" s="55"/>
      <c r="AK781" s="55"/>
      <c r="AL781" s="55"/>
      <c r="AM781" s="56">
        <f t="shared" si="329"/>
        <v>0</v>
      </c>
      <c r="AN781" s="54"/>
      <c r="AO781" s="55"/>
      <c r="AP781" s="55"/>
      <c r="AQ781" s="55"/>
      <c r="AR781" s="56">
        <f t="shared" si="337"/>
        <v>0</v>
      </c>
      <c r="AS781" s="54"/>
      <c r="AT781" s="55"/>
      <c r="AU781" s="55"/>
      <c r="AV781" s="55"/>
      <c r="AW781" s="176">
        <f t="shared" si="338"/>
        <v>0</v>
      </c>
      <c r="AX781" s="56">
        <f t="shared" si="325"/>
        <v>0</v>
      </c>
      <c r="AY781" s="325"/>
      <c r="AZ781" s="326"/>
      <c r="BE781" s="277"/>
      <c r="BF781" s="54"/>
      <c r="BG781" s="55"/>
      <c r="BH781" s="55"/>
      <c r="BI781" s="55"/>
      <c r="BJ781" s="56">
        <f t="shared" si="339"/>
        <v>0</v>
      </c>
      <c r="BL781" s="277"/>
      <c r="BM781" s="54"/>
      <c r="BN781" s="55"/>
      <c r="BO781" s="55"/>
      <c r="BP781" s="55"/>
      <c r="BQ781" s="56">
        <f t="shared" si="340"/>
        <v>0</v>
      </c>
    </row>
    <row r="782" spans="1:69" x14ac:dyDescent="0.15">
      <c r="A782" s="53" t="s">
        <v>98</v>
      </c>
      <c r="B782" s="54"/>
      <c r="C782" s="55"/>
      <c r="D782" s="55"/>
      <c r="E782" s="55"/>
      <c r="F782" s="56">
        <f t="shared" si="320"/>
        <v>0</v>
      </c>
      <c r="G782" s="54"/>
      <c r="H782" s="55"/>
      <c r="I782" s="55"/>
      <c r="J782" s="55">
        <v>1</v>
      </c>
      <c r="K782" s="56">
        <f t="shared" si="321"/>
        <v>1</v>
      </c>
      <c r="L782" s="54"/>
      <c r="M782" s="55"/>
      <c r="N782" s="55"/>
      <c r="O782" s="55"/>
      <c r="P782" s="56">
        <f t="shared" si="322"/>
        <v>0</v>
      </c>
      <c r="Q782" s="54"/>
      <c r="R782" s="55"/>
      <c r="S782" s="55"/>
      <c r="T782" s="55"/>
      <c r="U782" s="176">
        <f t="shared" si="323"/>
        <v>0</v>
      </c>
      <c r="V782" s="56">
        <f t="shared" si="324"/>
        <v>1</v>
      </c>
      <c r="W782" s="328">
        <v>44825</v>
      </c>
      <c r="X782" s="326"/>
      <c r="Y782" s="326"/>
      <c r="Z782" s="326"/>
      <c r="AC782" s="269"/>
      <c r="AD782" s="55"/>
      <c r="AE782" s="55"/>
      <c r="AF782" s="55"/>
      <c r="AG782" s="166"/>
      <c r="AH782" s="49">
        <f t="shared" si="328"/>
        <v>0</v>
      </c>
      <c r="AI782" s="55"/>
      <c r="AJ782" s="55"/>
      <c r="AK782" s="55"/>
      <c r="AL782" s="166"/>
      <c r="AM782" s="49">
        <f t="shared" si="329"/>
        <v>0</v>
      </c>
      <c r="AN782" s="55"/>
      <c r="AO782" s="55"/>
      <c r="AP782" s="55"/>
      <c r="AQ782" s="166"/>
      <c r="AR782" s="49">
        <f t="shared" si="337"/>
        <v>0</v>
      </c>
      <c r="AS782" s="55"/>
      <c r="AT782" s="55"/>
      <c r="AU782" s="55"/>
      <c r="AV782" s="166"/>
      <c r="AW782" s="175">
        <f t="shared" si="338"/>
        <v>0</v>
      </c>
      <c r="AX782" s="56">
        <f t="shared" si="325"/>
        <v>0</v>
      </c>
      <c r="AY782" s="325"/>
      <c r="AZ782" s="326"/>
      <c r="BE782" s="276"/>
      <c r="BF782" s="54"/>
      <c r="BG782" s="55"/>
      <c r="BH782" s="55"/>
      <c r="BI782" s="55"/>
      <c r="BJ782" s="56">
        <f t="shared" si="339"/>
        <v>0</v>
      </c>
      <c r="BL782" s="276"/>
      <c r="BM782" s="54"/>
      <c r="BN782" s="55"/>
      <c r="BO782" s="55"/>
      <c r="BP782" s="55"/>
      <c r="BQ782" s="56">
        <f t="shared" si="340"/>
        <v>0</v>
      </c>
    </row>
    <row r="783" spans="1:69" x14ac:dyDescent="0.15">
      <c r="A783" s="53" t="s">
        <v>98</v>
      </c>
      <c r="B783" s="54"/>
      <c r="C783" s="55"/>
      <c r="D783" s="55"/>
      <c r="E783" s="55"/>
      <c r="F783" s="56">
        <f t="shared" si="320"/>
        <v>0</v>
      </c>
      <c r="G783" s="54">
        <v>1</v>
      </c>
      <c r="H783" s="55"/>
      <c r="I783" s="55"/>
      <c r="J783" s="55"/>
      <c r="K783" s="56">
        <f t="shared" si="321"/>
        <v>1</v>
      </c>
      <c r="L783" s="54"/>
      <c r="M783" s="55"/>
      <c r="N783" s="55"/>
      <c r="O783" s="55"/>
      <c r="P783" s="56">
        <f t="shared" si="322"/>
        <v>0</v>
      </c>
      <c r="Q783" s="54"/>
      <c r="R783" s="55"/>
      <c r="S783" s="55"/>
      <c r="T783" s="55"/>
      <c r="U783" s="176">
        <f t="shared" si="323"/>
        <v>0</v>
      </c>
      <c r="V783" s="56">
        <f t="shared" si="324"/>
        <v>1</v>
      </c>
      <c r="W783" s="328">
        <v>44833</v>
      </c>
      <c r="X783" s="326"/>
      <c r="Y783" s="326"/>
      <c r="Z783" s="326"/>
      <c r="AC783" s="269"/>
      <c r="AD783" s="54"/>
      <c r="AE783" s="55"/>
      <c r="AF783" s="55"/>
      <c r="AG783" s="55"/>
      <c r="AH783" s="56">
        <f t="shared" si="328"/>
        <v>0</v>
      </c>
      <c r="AI783" s="54"/>
      <c r="AJ783" s="55"/>
      <c r="AK783" s="55"/>
      <c r="AL783" s="55"/>
      <c r="AM783" s="56">
        <f t="shared" si="329"/>
        <v>0</v>
      </c>
      <c r="AN783" s="54"/>
      <c r="AO783" s="55"/>
      <c r="AP783" s="55"/>
      <c r="AQ783" s="55"/>
      <c r="AR783" s="56">
        <f t="shared" si="337"/>
        <v>0</v>
      </c>
      <c r="AS783" s="54"/>
      <c r="AT783" s="55"/>
      <c r="AU783" s="55"/>
      <c r="AV783" s="55"/>
      <c r="AW783" s="176">
        <f t="shared" si="338"/>
        <v>0</v>
      </c>
      <c r="AX783" s="56">
        <f t="shared" si="325"/>
        <v>0</v>
      </c>
      <c r="AY783" s="325"/>
      <c r="AZ783" s="326"/>
      <c r="BE783" s="277"/>
      <c r="BF783" s="55"/>
      <c r="BG783" s="55"/>
      <c r="BH783" s="55"/>
      <c r="BI783" s="166"/>
      <c r="BJ783" s="49">
        <f t="shared" si="339"/>
        <v>0</v>
      </c>
      <c r="BL783" s="277"/>
      <c r="BM783" s="55"/>
      <c r="BN783" s="55"/>
      <c r="BO783" s="55"/>
      <c r="BP783" s="166"/>
      <c r="BQ783" s="49">
        <f t="shared" si="340"/>
        <v>0</v>
      </c>
    </row>
    <row r="784" spans="1:69" x14ac:dyDescent="0.15">
      <c r="A784" s="53" t="s">
        <v>98</v>
      </c>
      <c r="B784" s="54">
        <v>1</v>
      </c>
      <c r="C784" s="55"/>
      <c r="D784" s="55"/>
      <c r="E784" s="55"/>
      <c r="F784" s="56">
        <f t="shared" si="320"/>
        <v>1</v>
      </c>
      <c r="G784" s="54"/>
      <c r="H784" s="55"/>
      <c r="I784" s="55"/>
      <c r="J784" s="55"/>
      <c r="K784" s="56">
        <f t="shared" si="321"/>
        <v>0</v>
      </c>
      <c r="L784" s="54"/>
      <c r="M784" s="55"/>
      <c r="N784" s="55"/>
      <c r="O784" s="55"/>
      <c r="P784" s="56">
        <f t="shared" si="322"/>
        <v>0</v>
      </c>
      <c r="Q784" s="54"/>
      <c r="R784" s="55"/>
      <c r="S784" s="55"/>
      <c r="T784" s="55"/>
      <c r="U784" s="176">
        <f t="shared" si="323"/>
        <v>0</v>
      </c>
      <c r="V784" s="56">
        <f t="shared" si="324"/>
        <v>1</v>
      </c>
      <c r="W784" s="328">
        <v>44834</v>
      </c>
      <c r="X784" s="326"/>
      <c r="Y784" s="326"/>
      <c r="Z784" s="326"/>
      <c r="AC784" s="276"/>
      <c r="AD784" s="54"/>
      <c r="AE784" s="55"/>
      <c r="AF784" s="55"/>
      <c r="AG784" s="55"/>
      <c r="AH784" s="56">
        <f t="shared" si="328"/>
        <v>0</v>
      </c>
      <c r="AI784" s="54"/>
      <c r="AJ784" s="55"/>
      <c r="AK784" s="55"/>
      <c r="AL784" s="55"/>
      <c r="AM784" s="56">
        <f t="shared" si="329"/>
        <v>0</v>
      </c>
      <c r="AN784" s="54"/>
      <c r="AO784" s="55"/>
      <c r="AP784" s="55"/>
      <c r="AQ784" s="55"/>
      <c r="AR784" s="56">
        <f t="shared" si="337"/>
        <v>0</v>
      </c>
      <c r="AS784" s="54"/>
      <c r="AT784" s="55"/>
      <c r="AU784" s="55"/>
      <c r="AV784" s="55"/>
      <c r="AW784" s="176">
        <f t="shared" si="338"/>
        <v>0</v>
      </c>
      <c r="AX784" s="56">
        <f t="shared" si="325"/>
        <v>0</v>
      </c>
      <c r="AY784" s="325"/>
      <c r="AZ784" s="326"/>
      <c r="BE784" s="277"/>
      <c r="BF784" s="54"/>
      <c r="BG784" s="55"/>
      <c r="BH784" s="55"/>
      <c r="BI784" s="55"/>
      <c r="BJ784" s="56">
        <f t="shared" si="339"/>
        <v>0</v>
      </c>
      <c r="BL784" s="277"/>
      <c r="BM784" s="54"/>
      <c r="BN784" s="55"/>
      <c r="BO784" s="55"/>
      <c r="BP784" s="55"/>
      <c r="BQ784" s="56">
        <f t="shared" si="340"/>
        <v>0</v>
      </c>
    </row>
    <row r="785" spans="1:69" x14ac:dyDescent="0.15">
      <c r="A785" s="53" t="s">
        <v>98</v>
      </c>
      <c r="B785" s="54"/>
      <c r="C785" s="55"/>
      <c r="D785" s="55"/>
      <c r="E785" s="55"/>
      <c r="F785" s="56">
        <f t="shared" si="320"/>
        <v>0</v>
      </c>
      <c r="G785" s="54"/>
      <c r="H785" s="55"/>
      <c r="I785" s="55">
        <v>1</v>
      </c>
      <c r="J785" s="55"/>
      <c r="K785" s="56">
        <f t="shared" si="321"/>
        <v>1</v>
      </c>
      <c r="L785" s="54"/>
      <c r="M785" s="55"/>
      <c r="N785" s="55"/>
      <c r="O785" s="55"/>
      <c r="P785" s="56">
        <f t="shared" si="322"/>
        <v>0</v>
      </c>
      <c r="Q785" s="54"/>
      <c r="R785" s="55"/>
      <c r="S785" s="55"/>
      <c r="T785" s="55"/>
      <c r="U785" s="176">
        <f t="shared" si="323"/>
        <v>0</v>
      </c>
      <c r="V785" s="56">
        <f t="shared" si="324"/>
        <v>1</v>
      </c>
      <c r="W785" s="328">
        <v>44838</v>
      </c>
      <c r="X785" s="326"/>
      <c r="Y785" s="326"/>
      <c r="Z785" s="326"/>
      <c r="AC785" s="276"/>
      <c r="AD785" s="54"/>
      <c r="AE785" s="55"/>
      <c r="AF785" s="55"/>
      <c r="AG785" s="55"/>
      <c r="AH785" s="56">
        <f t="shared" si="328"/>
        <v>0</v>
      </c>
      <c r="AI785" s="54"/>
      <c r="AJ785" s="55"/>
      <c r="AK785" s="55"/>
      <c r="AL785" s="55"/>
      <c r="AM785" s="56">
        <f t="shared" si="329"/>
        <v>0</v>
      </c>
      <c r="AN785" s="54"/>
      <c r="AO785" s="55"/>
      <c r="AP785" s="55"/>
      <c r="AQ785" s="55"/>
      <c r="AR785" s="56">
        <f t="shared" si="337"/>
        <v>0</v>
      </c>
      <c r="AS785" s="54"/>
      <c r="AT785" s="55"/>
      <c r="AU785" s="55"/>
      <c r="AV785" s="55"/>
      <c r="AW785" s="176">
        <f t="shared" si="338"/>
        <v>0</v>
      </c>
      <c r="AX785" s="56">
        <f t="shared" si="325"/>
        <v>0</v>
      </c>
      <c r="AY785" s="325"/>
      <c r="AZ785" s="326"/>
      <c r="BE785" s="276"/>
      <c r="BF785" s="54"/>
      <c r="BG785" s="55"/>
      <c r="BH785" s="55"/>
      <c r="BI785" s="55"/>
      <c r="BJ785" s="56">
        <f t="shared" si="339"/>
        <v>0</v>
      </c>
      <c r="BL785" s="276"/>
      <c r="BM785" s="54"/>
      <c r="BN785" s="55"/>
      <c r="BO785" s="55"/>
      <c r="BP785" s="55"/>
      <c r="BQ785" s="56">
        <f t="shared" si="340"/>
        <v>0</v>
      </c>
    </row>
    <row r="786" spans="1:69" x14ac:dyDescent="0.15">
      <c r="A786" s="53" t="s">
        <v>98</v>
      </c>
      <c r="B786" s="54"/>
      <c r="C786" s="55"/>
      <c r="D786" s="55"/>
      <c r="E786" s="55"/>
      <c r="F786" s="56">
        <f t="shared" si="320"/>
        <v>0</v>
      </c>
      <c r="G786" s="54"/>
      <c r="H786" s="55"/>
      <c r="I786" s="55">
        <v>1</v>
      </c>
      <c r="J786" s="55"/>
      <c r="K786" s="56">
        <f t="shared" si="321"/>
        <v>1</v>
      </c>
      <c r="L786" s="54"/>
      <c r="M786" s="55"/>
      <c r="N786" s="55"/>
      <c r="O786" s="55"/>
      <c r="P786" s="56">
        <f t="shared" si="322"/>
        <v>0</v>
      </c>
      <c r="Q786" s="54"/>
      <c r="R786" s="55"/>
      <c r="S786" s="55"/>
      <c r="T786" s="55"/>
      <c r="U786" s="176">
        <f t="shared" si="323"/>
        <v>0</v>
      </c>
      <c r="V786" s="56">
        <f t="shared" si="324"/>
        <v>1</v>
      </c>
      <c r="W786" s="328">
        <v>44840</v>
      </c>
      <c r="X786" s="326"/>
      <c r="Y786" s="326"/>
      <c r="Z786" s="326"/>
      <c r="AC786" s="276"/>
      <c r="AD786" s="63"/>
      <c r="AE786" s="63"/>
      <c r="AF786" s="63"/>
      <c r="AG786" s="167"/>
      <c r="AH786" s="64">
        <f t="shared" si="328"/>
        <v>0</v>
      </c>
      <c r="AI786" s="63"/>
      <c r="AJ786" s="63"/>
      <c r="AK786" s="63"/>
      <c r="AL786" s="167"/>
      <c r="AM786" s="64">
        <f t="shared" si="329"/>
        <v>0</v>
      </c>
      <c r="AN786" s="63"/>
      <c r="AO786" s="63"/>
      <c r="AP786" s="63"/>
      <c r="AQ786" s="167"/>
      <c r="AR786" s="64">
        <f t="shared" si="337"/>
        <v>0</v>
      </c>
      <c r="AS786" s="63"/>
      <c r="AT786" s="63"/>
      <c r="AU786" s="63"/>
      <c r="AV786" s="167"/>
      <c r="AW786" s="162">
        <f t="shared" si="338"/>
        <v>0</v>
      </c>
      <c r="AX786" s="56">
        <f t="shared" si="325"/>
        <v>0</v>
      </c>
      <c r="AY786" s="325"/>
      <c r="AZ786" s="326"/>
      <c r="BE786" s="276"/>
      <c r="BF786" s="63"/>
      <c r="BG786" s="63"/>
      <c r="BH786" s="63"/>
      <c r="BI786" s="167"/>
      <c r="BJ786" s="64">
        <f t="shared" si="339"/>
        <v>0</v>
      </c>
      <c r="BL786" s="276"/>
      <c r="BM786" s="63"/>
      <c r="BN786" s="63"/>
      <c r="BO786" s="63"/>
      <c r="BP786" s="167"/>
      <c r="BQ786" s="64">
        <f t="shared" si="340"/>
        <v>0</v>
      </c>
    </row>
    <row r="787" spans="1:69" x14ac:dyDescent="0.15">
      <c r="A787" s="53" t="s">
        <v>98</v>
      </c>
      <c r="B787" s="54"/>
      <c r="C787" s="55">
        <v>1</v>
      </c>
      <c r="D787" s="55"/>
      <c r="E787" s="55"/>
      <c r="F787" s="56">
        <f t="shared" si="320"/>
        <v>1</v>
      </c>
      <c r="G787" s="54"/>
      <c r="H787" s="55"/>
      <c r="I787" s="55"/>
      <c r="J787" s="55"/>
      <c r="K787" s="56">
        <f t="shared" si="321"/>
        <v>0</v>
      </c>
      <c r="L787" s="54"/>
      <c r="M787" s="55"/>
      <c r="N787" s="55"/>
      <c r="O787" s="55"/>
      <c r="P787" s="56">
        <f t="shared" si="322"/>
        <v>0</v>
      </c>
      <c r="Q787" s="54"/>
      <c r="R787" s="55"/>
      <c r="S787" s="55"/>
      <c r="T787" s="55"/>
      <c r="U787" s="176">
        <f t="shared" si="323"/>
        <v>0</v>
      </c>
      <c r="V787" s="56">
        <f t="shared" si="324"/>
        <v>1</v>
      </c>
      <c r="W787" s="328">
        <v>44849</v>
      </c>
      <c r="X787" s="326"/>
      <c r="Y787" s="326"/>
      <c r="Z787" s="326"/>
      <c r="AC787" s="276"/>
      <c r="AD787" s="54"/>
      <c r="AE787" s="55"/>
      <c r="AF787" s="55"/>
      <c r="AG787" s="55"/>
      <c r="AH787" s="56">
        <f t="shared" si="328"/>
        <v>0</v>
      </c>
      <c r="AI787" s="54"/>
      <c r="AJ787" s="55"/>
      <c r="AK787" s="55"/>
      <c r="AL787" s="55"/>
      <c r="AM787" s="56">
        <f t="shared" si="329"/>
        <v>0</v>
      </c>
      <c r="AN787" s="54"/>
      <c r="AO787" s="55"/>
      <c r="AP787" s="55"/>
      <c r="AQ787" s="55"/>
      <c r="AR787" s="56">
        <f t="shared" si="337"/>
        <v>0</v>
      </c>
      <c r="AS787" s="54"/>
      <c r="AT787" s="55"/>
      <c r="AU787" s="55"/>
      <c r="AV787" s="55"/>
      <c r="AW787" s="176">
        <f t="shared" si="338"/>
        <v>0</v>
      </c>
      <c r="AX787" s="56">
        <f t="shared" si="325"/>
        <v>0</v>
      </c>
      <c r="AY787" s="325"/>
      <c r="AZ787" s="326"/>
      <c r="BE787" s="277"/>
      <c r="BF787" s="54"/>
      <c r="BG787" s="55"/>
      <c r="BH787" s="55"/>
      <c r="BI787" s="55"/>
      <c r="BJ787" s="56">
        <f t="shared" si="339"/>
        <v>0</v>
      </c>
      <c r="BL787" s="277"/>
      <c r="BM787" s="54"/>
      <c r="BN787" s="55"/>
      <c r="BO787" s="55"/>
      <c r="BP787" s="55"/>
      <c r="BQ787" s="56">
        <f t="shared" si="340"/>
        <v>0</v>
      </c>
    </row>
    <row r="788" spans="1:69" x14ac:dyDescent="0.15">
      <c r="A788" s="53" t="s">
        <v>100</v>
      </c>
      <c r="B788" s="17"/>
      <c r="C788" s="18"/>
      <c r="D788" s="18"/>
      <c r="E788" s="18"/>
      <c r="F788" s="30">
        <f t="shared" si="320"/>
        <v>0</v>
      </c>
      <c r="G788" s="17">
        <v>1</v>
      </c>
      <c r="H788" s="18"/>
      <c r="I788" s="18"/>
      <c r="J788" s="18"/>
      <c r="K788" s="30">
        <f t="shared" si="321"/>
        <v>1</v>
      </c>
      <c r="L788" s="17"/>
      <c r="M788" s="18"/>
      <c r="N788" s="18"/>
      <c r="O788" s="18"/>
      <c r="P788" s="30">
        <f t="shared" si="322"/>
        <v>0</v>
      </c>
      <c r="Q788" s="17"/>
      <c r="R788" s="18"/>
      <c r="S788" s="18"/>
      <c r="T788" s="18"/>
      <c r="U788" s="178">
        <f t="shared" si="323"/>
        <v>0</v>
      </c>
      <c r="V788" s="56">
        <f t="shared" si="324"/>
        <v>1</v>
      </c>
      <c r="W788" s="329">
        <v>44863</v>
      </c>
      <c r="X788" s="326"/>
      <c r="Y788" s="326"/>
      <c r="Z788" s="326"/>
      <c r="AC788" s="269"/>
      <c r="AD788" s="54"/>
      <c r="AE788" s="55"/>
      <c r="AF788" s="55"/>
      <c r="AG788" s="55"/>
      <c r="AH788" s="56">
        <f t="shared" si="328"/>
        <v>0</v>
      </c>
      <c r="AI788" s="54"/>
      <c r="AJ788" s="55"/>
      <c r="AK788" s="55"/>
      <c r="AL788" s="55"/>
      <c r="AM788" s="56">
        <f t="shared" si="329"/>
        <v>0</v>
      </c>
      <c r="AN788" s="54"/>
      <c r="AO788" s="55"/>
      <c r="AP788" s="55"/>
      <c r="AQ788" s="55"/>
      <c r="AR788" s="56">
        <f t="shared" si="337"/>
        <v>0</v>
      </c>
      <c r="AS788" s="54"/>
      <c r="AT788" s="55"/>
      <c r="AU788" s="55"/>
      <c r="AV788" s="55"/>
      <c r="AW788" s="176">
        <f t="shared" si="338"/>
        <v>0</v>
      </c>
      <c r="AX788" s="56">
        <f t="shared" si="325"/>
        <v>0</v>
      </c>
      <c r="AY788" s="325"/>
      <c r="AZ788" s="326"/>
      <c r="BE788" s="276"/>
      <c r="BF788" s="54"/>
      <c r="BG788" s="55"/>
      <c r="BH788" s="55"/>
      <c r="BI788" s="55"/>
      <c r="BJ788" s="56">
        <f t="shared" si="339"/>
        <v>0</v>
      </c>
      <c r="BL788" s="276"/>
      <c r="BM788" s="54"/>
      <c r="BN788" s="55"/>
      <c r="BO788" s="55"/>
      <c r="BP788" s="55"/>
      <c r="BQ788" s="56">
        <f t="shared" si="340"/>
        <v>0</v>
      </c>
    </row>
    <row r="789" spans="1:69" x14ac:dyDescent="0.15">
      <c r="A789" s="53" t="s">
        <v>100</v>
      </c>
      <c r="B789" s="54"/>
      <c r="C789" s="55"/>
      <c r="D789" s="55"/>
      <c r="E789" s="55"/>
      <c r="F789" s="56">
        <f t="shared" si="320"/>
        <v>0</v>
      </c>
      <c r="G789" s="54"/>
      <c r="H789" s="55"/>
      <c r="I789" s="55">
        <v>1</v>
      </c>
      <c r="J789" s="55"/>
      <c r="K789" s="56">
        <f t="shared" si="321"/>
        <v>1</v>
      </c>
      <c r="L789" s="54"/>
      <c r="M789" s="55"/>
      <c r="N789" s="55"/>
      <c r="O789" s="55"/>
      <c r="P789" s="56">
        <f t="shared" si="322"/>
        <v>0</v>
      </c>
      <c r="Q789" s="54"/>
      <c r="R789" s="55"/>
      <c r="S789" s="55"/>
      <c r="T789" s="55"/>
      <c r="U789" s="176">
        <f t="shared" si="323"/>
        <v>0</v>
      </c>
      <c r="V789" s="56">
        <f t="shared" si="324"/>
        <v>1</v>
      </c>
      <c r="W789" s="328">
        <v>44866</v>
      </c>
      <c r="X789" s="326"/>
      <c r="Y789" s="326"/>
      <c r="Z789" s="326"/>
      <c r="AC789" s="276"/>
      <c r="AD789" s="54"/>
      <c r="AE789" s="55"/>
      <c r="AF789" s="55"/>
      <c r="AG789" s="55"/>
      <c r="AH789" s="56">
        <f t="shared" si="328"/>
        <v>0</v>
      </c>
      <c r="AI789" s="54"/>
      <c r="AJ789" s="55"/>
      <c r="AK789" s="55"/>
      <c r="AL789" s="55"/>
      <c r="AM789" s="56">
        <f t="shared" si="329"/>
        <v>0</v>
      </c>
      <c r="AN789" s="54"/>
      <c r="AO789" s="55"/>
      <c r="AP789" s="55"/>
      <c r="AQ789" s="55"/>
      <c r="AR789" s="56">
        <f t="shared" si="337"/>
        <v>0</v>
      </c>
      <c r="AS789" s="54"/>
      <c r="AT789" s="55"/>
      <c r="AU789" s="55"/>
      <c r="AV789" s="55"/>
      <c r="AW789" s="176">
        <f t="shared" si="338"/>
        <v>0</v>
      </c>
      <c r="AX789" s="56">
        <f t="shared" si="325"/>
        <v>0</v>
      </c>
      <c r="AY789" s="325"/>
      <c r="AZ789" s="326"/>
      <c r="BE789" s="277"/>
      <c r="BF789" s="54"/>
      <c r="BG789" s="55"/>
      <c r="BH789" s="55"/>
      <c r="BI789" s="55"/>
      <c r="BJ789" s="56">
        <f t="shared" si="339"/>
        <v>0</v>
      </c>
      <c r="BL789" s="277"/>
      <c r="BM789" s="54"/>
      <c r="BN789" s="55"/>
      <c r="BO789" s="55"/>
      <c r="BP789" s="55"/>
      <c r="BQ789" s="56">
        <f t="shared" si="340"/>
        <v>0</v>
      </c>
    </row>
    <row r="790" spans="1:69" x14ac:dyDescent="0.15">
      <c r="A790" s="53" t="s">
        <v>98</v>
      </c>
      <c r="B790" s="62"/>
      <c r="C790" s="63"/>
      <c r="D790" s="63"/>
      <c r="E790" s="63"/>
      <c r="F790" s="56">
        <f t="shared" si="320"/>
        <v>0</v>
      </c>
      <c r="G790" s="62">
        <v>1</v>
      </c>
      <c r="H790" s="63"/>
      <c r="I790" s="63"/>
      <c r="J790" s="63"/>
      <c r="K790" s="56">
        <f t="shared" si="321"/>
        <v>1</v>
      </c>
      <c r="L790" s="62"/>
      <c r="M790" s="63"/>
      <c r="N790" s="63"/>
      <c r="O790" s="63"/>
      <c r="P790" s="56">
        <f t="shared" si="322"/>
        <v>0</v>
      </c>
      <c r="Q790" s="62"/>
      <c r="R790" s="63"/>
      <c r="S790" s="63"/>
      <c r="T790" s="63"/>
      <c r="U790" s="176">
        <f t="shared" si="323"/>
        <v>0</v>
      </c>
      <c r="V790" s="56">
        <f t="shared" si="324"/>
        <v>1</v>
      </c>
      <c r="W790" s="328">
        <v>44870</v>
      </c>
      <c r="X790" s="326"/>
      <c r="Y790" s="326"/>
      <c r="Z790" s="326"/>
      <c r="AC790" s="276"/>
      <c r="AD790" s="62"/>
      <c r="AE790" s="63"/>
      <c r="AF790" s="63"/>
      <c r="AG790" s="63"/>
      <c r="AH790" s="56">
        <f t="shared" si="328"/>
        <v>0</v>
      </c>
      <c r="AI790" s="62"/>
      <c r="AJ790" s="63"/>
      <c r="AK790" s="63"/>
      <c r="AL790" s="63"/>
      <c r="AM790" s="56">
        <f t="shared" si="329"/>
        <v>0</v>
      </c>
      <c r="AN790" s="62"/>
      <c r="AO790" s="63"/>
      <c r="AP790" s="63"/>
      <c r="AQ790" s="63"/>
      <c r="AR790" s="56">
        <f t="shared" si="337"/>
        <v>0</v>
      </c>
      <c r="AS790" s="62"/>
      <c r="AT790" s="63"/>
      <c r="AU790" s="63"/>
      <c r="AV790" s="63"/>
      <c r="AW790" s="176">
        <f t="shared" si="338"/>
        <v>0</v>
      </c>
      <c r="AX790" s="56">
        <f t="shared" si="325"/>
        <v>0</v>
      </c>
      <c r="AY790" s="330"/>
      <c r="AZ790" s="326"/>
      <c r="BE790" s="268"/>
      <c r="BF790" s="62"/>
      <c r="BG790" s="63"/>
      <c r="BH790" s="63"/>
      <c r="BI790" s="63"/>
      <c r="BJ790" s="56">
        <f t="shared" si="339"/>
        <v>0</v>
      </c>
      <c r="BL790" s="268"/>
      <c r="BM790" s="62"/>
      <c r="BN790" s="63"/>
      <c r="BO790" s="63"/>
      <c r="BP790" s="63"/>
      <c r="BQ790" s="56">
        <f t="shared" si="340"/>
        <v>0</v>
      </c>
    </row>
    <row r="791" spans="1:69" x14ac:dyDescent="0.15">
      <c r="A791" s="53" t="s">
        <v>98</v>
      </c>
      <c r="B791" s="54"/>
      <c r="C791" s="55"/>
      <c r="D791" s="55"/>
      <c r="E791" s="55"/>
      <c r="F791" s="56">
        <f>SUM(B791:E791)</f>
        <v>0</v>
      </c>
      <c r="G791" s="54"/>
      <c r="H791" s="55">
        <v>1</v>
      </c>
      <c r="I791" s="55"/>
      <c r="J791" s="55"/>
      <c r="K791" s="56">
        <f t="shared" si="321"/>
        <v>1</v>
      </c>
      <c r="L791" s="54"/>
      <c r="M791" s="55"/>
      <c r="N791" s="55"/>
      <c r="O791" s="55"/>
      <c r="P791" s="56">
        <f t="shared" si="322"/>
        <v>0</v>
      </c>
      <c r="Q791" s="54"/>
      <c r="R791" s="55"/>
      <c r="S791" s="55"/>
      <c r="T791" s="55"/>
      <c r="U791" s="176">
        <f t="shared" si="323"/>
        <v>0</v>
      </c>
      <c r="V791" s="56">
        <f t="shared" si="324"/>
        <v>1</v>
      </c>
      <c r="W791" s="328">
        <v>44881</v>
      </c>
      <c r="X791" s="326"/>
      <c r="Y791" s="326"/>
      <c r="Z791" s="326"/>
      <c r="AC791" s="276"/>
      <c r="AD791" s="54"/>
      <c r="AE791" s="55"/>
      <c r="AF791" s="55"/>
      <c r="AG791" s="55"/>
      <c r="AH791" s="56">
        <f t="shared" si="328"/>
        <v>0</v>
      </c>
      <c r="AI791" s="54"/>
      <c r="AJ791" s="55"/>
      <c r="AK791" s="55"/>
      <c r="AL791" s="55"/>
      <c r="AM791" s="56">
        <f t="shared" si="329"/>
        <v>0</v>
      </c>
      <c r="AN791" s="54"/>
      <c r="AO791" s="55"/>
      <c r="AP791" s="55"/>
      <c r="AQ791" s="55"/>
      <c r="AR791" s="56">
        <f t="shared" si="337"/>
        <v>0</v>
      </c>
      <c r="AS791" s="54"/>
      <c r="AT791" s="55"/>
      <c r="AU791" s="55"/>
      <c r="AV791" s="55"/>
      <c r="AW791" s="176">
        <f t="shared" si="338"/>
        <v>0</v>
      </c>
      <c r="AX791" s="56">
        <f t="shared" si="325"/>
        <v>0</v>
      </c>
      <c r="AY791" s="330"/>
      <c r="AZ791" s="326"/>
      <c r="BE791" s="268"/>
      <c r="BF791" s="54"/>
      <c r="BG791" s="55"/>
      <c r="BH791" s="55"/>
      <c r="BI791" s="55"/>
      <c r="BJ791" s="56">
        <f t="shared" si="339"/>
        <v>0</v>
      </c>
      <c r="BL791" s="268"/>
      <c r="BM791" s="54"/>
      <c r="BN791" s="55"/>
      <c r="BO791" s="55"/>
      <c r="BP791" s="55"/>
      <c r="BQ791" s="56">
        <f t="shared" si="340"/>
        <v>0</v>
      </c>
    </row>
    <row r="792" spans="1:69" x14ac:dyDescent="0.15">
      <c r="A792" s="53" t="s">
        <v>109</v>
      </c>
      <c r="B792" s="54"/>
      <c r="C792" s="55"/>
      <c r="D792" s="55"/>
      <c r="E792" s="55"/>
      <c r="F792" s="56">
        <f t="shared" si="320"/>
        <v>0</v>
      </c>
      <c r="G792" s="54"/>
      <c r="H792" s="55"/>
      <c r="I792" s="55"/>
      <c r="J792" s="55">
        <v>-1</v>
      </c>
      <c r="K792" s="56">
        <f t="shared" si="321"/>
        <v>-1</v>
      </c>
      <c r="L792" s="54"/>
      <c r="M792" s="55"/>
      <c r="N792" s="55"/>
      <c r="O792" s="55"/>
      <c r="P792" s="56">
        <f t="shared" si="322"/>
        <v>0</v>
      </c>
      <c r="Q792" s="54"/>
      <c r="R792" s="55"/>
      <c r="S792" s="55"/>
      <c r="T792" s="55"/>
      <c r="U792" s="176">
        <f t="shared" si="323"/>
        <v>0</v>
      </c>
      <c r="V792" s="56">
        <f t="shared" si="324"/>
        <v>-1</v>
      </c>
      <c r="W792" s="328">
        <v>44882</v>
      </c>
      <c r="X792" s="326"/>
      <c r="Y792" s="326"/>
      <c r="Z792" s="326"/>
      <c r="AC792" s="276"/>
      <c r="AD792" s="33"/>
      <c r="AE792" s="34"/>
      <c r="AF792" s="34"/>
      <c r="AG792" s="34"/>
      <c r="AH792" s="30">
        <f t="shared" si="328"/>
        <v>0</v>
      </c>
      <c r="AI792" s="33"/>
      <c r="AJ792" s="34"/>
      <c r="AK792" s="34"/>
      <c r="AL792" s="34"/>
      <c r="AM792" s="30">
        <f t="shared" si="329"/>
        <v>0</v>
      </c>
      <c r="AN792" s="33"/>
      <c r="AO792" s="34"/>
      <c r="AP792" s="34"/>
      <c r="AQ792" s="34"/>
      <c r="AR792" s="30">
        <f t="shared" si="337"/>
        <v>0</v>
      </c>
      <c r="AS792" s="33"/>
      <c r="AT792" s="34"/>
      <c r="AU792" s="34"/>
      <c r="AV792" s="34"/>
      <c r="AW792" s="178">
        <f t="shared" si="338"/>
        <v>0</v>
      </c>
      <c r="AX792" s="170">
        <f t="shared" si="325"/>
        <v>0</v>
      </c>
      <c r="AY792" s="330"/>
      <c r="AZ792" s="326"/>
      <c r="BE792" s="268"/>
      <c r="BF792" s="62"/>
      <c r="BG792" s="63"/>
      <c r="BH792" s="63"/>
      <c r="BI792" s="63"/>
      <c r="BJ792" s="56">
        <f t="shared" si="339"/>
        <v>0</v>
      </c>
      <c r="BL792" s="268"/>
      <c r="BM792" s="62"/>
      <c r="BN792" s="63"/>
      <c r="BO792" s="63"/>
      <c r="BP792" s="63"/>
      <c r="BQ792" s="56">
        <f t="shared" si="340"/>
        <v>0</v>
      </c>
    </row>
    <row r="793" spans="1:69" x14ac:dyDescent="0.15">
      <c r="A793" s="53" t="s">
        <v>98</v>
      </c>
      <c r="B793" s="54"/>
      <c r="C793" s="55"/>
      <c r="D793" s="55"/>
      <c r="E793" s="55"/>
      <c r="F793" s="56">
        <f t="shared" si="320"/>
        <v>0</v>
      </c>
      <c r="G793" s="54"/>
      <c r="H793" s="55">
        <v>1</v>
      </c>
      <c r="I793" s="55"/>
      <c r="J793" s="55"/>
      <c r="K793" s="56">
        <f t="shared" si="321"/>
        <v>1</v>
      </c>
      <c r="L793" s="54"/>
      <c r="M793" s="55"/>
      <c r="N793" s="55"/>
      <c r="O793" s="55"/>
      <c r="P793" s="56">
        <f t="shared" si="322"/>
        <v>0</v>
      </c>
      <c r="Q793" s="54"/>
      <c r="R793" s="55"/>
      <c r="S793" s="55"/>
      <c r="T793" s="55"/>
      <c r="U793" s="176">
        <f t="shared" si="323"/>
        <v>0</v>
      </c>
      <c r="V793" s="56">
        <f t="shared" si="324"/>
        <v>1</v>
      </c>
      <c r="W793" s="328">
        <v>44890</v>
      </c>
      <c r="X793" s="326"/>
      <c r="Y793" s="326"/>
      <c r="Z793" s="326"/>
      <c r="AC793" s="269"/>
      <c r="AD793" s="54"/>
      <c r="AE793" s="55"/>
      <c r="AF793" s="55"/>
      <c r="AG793" s="55"/>
      <c r="AH793" s="56">
        <f t="shared" si="328"/>
        <v>0</v>
      </c>
      <c r="AI793" s="54"/>
      <c r="AJ793" s="55"/>
      <c r="AK793" s="55"/>
      <c r="AL793" s="55"/>
      <c r="AM793" s="56">
        <f t="shared" si="329"/>
        <v>0</v>
      </c>
      <c r="AN793" s="54"/>
      <c r="AO793" s="55"/>
      <c r="AP793" s="55"/>
      <c r="AQ793" s="55"/>
      <c r="AR793" s="56">
        <f t="shared" si="337"/>
        <v>0</v>
      </c>
      <c r="AS793" s="54"/>
      <c r="AT793" s="55"/>
      <c r="AU793" s="55"/>
      <c r="AV793" s="55"/>
      <c r="AW793" s="176">
        <f t="shared" si="338"/>
        <v>0</v>
      </c>
      <c r="AX793" s="56">
        <f t="shared" si="325"/>
        <v>0</v>
      </c>
      <c r="AY793" s="330"/>
      <c r="AZ793" s="326"/>
      <c r="BE793" s="277"/>
      <c r="BF793" s="54"/>
      <c r="BG793" s="55"/>
      <c r="BH793" s="55"/>
      <c r="BI793" s="55"/>
      <c r="BJ793" s="56">
        <f t="shared" si="339"/>
        <v>0</v>
      </c>
      <c r="BL793" s="277"/>
      <c r="BM793" s="54"/>
      <c r="BN793" s="55"/>
      <c r="BO793" s="55"/>
      <c r="BP793" s="55"/>
      <c r="BQ793" s="56">
        <f t="shared" si="340"/>
        <v>0</v>
      </c>
    </row>
    <row r="794" spans="1:69" ht="14.25" thickBot="1" x14ac:dyDescent="0.2">
      <c r="A794" s="53"/>
      <c r="B794" s="33"/>
      <c r="C794" s="34"/>
      <c r="D794" s="34"/>
      <c r="E794" s="34"/>
      <c r="F794" s="30">
        <f t="shared" si="320"/>
        <v>0</v>
      </c>
      <c r="G794" s="33"/>
      <c r="H794" s="34"/>
      <c r="I794" s="34"/>
      <c r="J794" s="34"/>
      <c r="K794" s="30">
        <f t="shared" si="321"/>
        <v>0</v>
      </c>
      <c r="L794" s="33"/>
      <c r="M794" s="34"/>
      <c r="N794" s="34"/>
      <c r="O794" s="34"/>
      <c r="P794" s="30">
        <f t="shared" si="322"/>
        <v>0</v>
      </c>
      <c r="Q794" s="33"/>
      <c r="R794" s="34"/>
      <c r="S794" s="34"/>
      <c r="T794" s="34"/>
      <c r="U794" s="178">
        <f t="shared" si="323"/>
        <v>0</v>
      </c>
      <c r="V794" s="170">
        <f t="shared" si="324"/>
        <v>0</v>
      </c>
      <c r="W794" s="325"/>
      <c r="X794" s="326"/>
      <c r="Y794" s="326"/>
      <c r="Z794" s="326"/>
      <c r="AC794" s="282"/>
      <c r="AD794" s="54"/>
      <c r="AE794" s="55"/>
      <c r="AF794" s="55"/>
      <c r="AG794" s="55"/>
      <c r="AH794" s="30">
        <f t="shared" si="328"/>
        <v>0</v>
      </c>
      <c r="AI794" s="54"/>
      <c r="AJ794" s="55"/>
      <c r="AK794" s="55"/>
      <c r="AL794" s="55"/>
      <c r="AM794" s="30">
        <f t="shared" si="329"/>
        <v>0</v>
      </c>
      <c r="AN794" s="54"/>
      <c r="AO794" s="55"/>
      <c r="AP794" s="55"/>
      <c r="AQ794" s="55"/>
      <c r="AR794" s="30">
        <f t="shared" si="337"/>
        <v>0</v>
      </c>
      <c r="AS794" s="54"/>
      <c r="AT794" s="55"/>
      <c r="AU794" s="55"/>
      <c r="AV794" s="55"/>
      <c r="AW794" s="178">
        <f t="shared" si="338"/>
        <v>0</v>
      </c>
      <c r="AX794" s="170">
        <f t="shared" si="325"/>
        <v>0</v>
      </c>
      <c r="AY794" s="330"/>
      <c r="AZ794" s="326"/>
      <c r="BE794" s="282"/>
      <c r="BF794" s="33"/>
      <c r="BG794" s="34"/>
      <c r="BH794" s="34"/>
      <c r="BI794" s="34"/>
      <c r="BJ794" s="30">
        <f t="shared" si="339"/>
        <v>0</v>
      </c>
      <c r="BL794" s="282"/>
      <c r="BM794" s="33"/>
      <c r="BN794" s="34"/>
      <c r="BO794" s="34"/>
      <c r="BP794" s="34"/>
      <c r="BQ794" s="30">
        <f t="shared" si="340"/>
        <v>0</v>
      </c>
    </row>
    <row r="795" spans="1:69" ht="15" thickBot="1" x14ac:dyDescent="0.2">
      <c r="A795" s="9" t="s">
        <v>15</v>
      </c>
      <c r="B795" s="36">
        <f>SUM(B769:B794)</f>
        <v>9</v>
      </c>
      <c r="C795" s="37">
        <f>SUM(C769:C794)</f>
        <v>9</v>
      </c>
      <c r="D795" s="37">
        <f>SUM(D769:D794)</f>
        <v>8</v>
      </c>
      <c r="E795" s="38">
        <f>SUM(E769:E794)</f>
        <v>6</v>
      </c>
      <c r="F795" s="25">
        <f t="shared" si="320"/>
        <v>32</v>
      </c>
      <c r="G795" s="36">
        <f>SUM(G769:G794)</f>
        <v>5</v>
      </c>
      <c r="H795" s="37">
        <f>SUM(H769:H794)</f>
        <v>12</v>
      </c>
      <c r="I795" s="37">
        <f>SUM(I769:I794)</f>
        <v>12</v>
      </c>
      <c r="J795" s="38">
        <f>SUM(J769:J794)</f>
        <v>4</v>
      </c>
      <c r="K795" s="25">
        <f t="shared" si="321"/>
        <v>33</v>
      </c>
      <c r="L795" s="36">
        <f>SUM(L769:L794)</f>
        <v>7</v>
      </c>
      <c r="M795" s="37">
        <f>SUM(M769:M794)</f>
        <v>4</v>
      </c>
      <c r="N795" s="37">
        <f>SUM(N769:N794)</f>
        <v>13</v>
      </c>
      <c r="O795" s="38">
        <f>SUM(O769:O794)</f>
        <v>3</v>
      </c>
      <c r="P795" s="25">
        <f t="shared" si="322"/>
        <v>27</v>
      </c>
      <c r="Q795" s="36">
        <f>SUM(Q769:Q794)</f>
        <v>6</v>
      </c>
      <c r="R795" s="37">
        <f>SUM(R769:R794)</f>
        <v>2</v>
      </c>
      <c r="S795" s="37">
        <f>SUM(S769:S794)</f>
        <v>3</v>
      </c>
      <c r="T795" s="38">
        <f>SUM(T769:T794)</f>
        <v>2</v>
      </c>
      <c r="U795" s="36">
        <f t="shared" si="323"/>
        <v>13</v>
      </c>
      <c r="V795" s="161">
        <f t="shared" si="324"/>
        <v>105</v>
      </c>
      <c r="W795" s="325"/>
      <c r="X795" s="326"/>
      <c r="Y795" s="326"/>
      <c r="Z795" s="326"/>
      <c r="AC795" s="278" t="s">
        <v>15</v>
      </c>
      <c r="AD795" s="36">
        <f>SUM(AD769:AD794)</f>
        <v>2</v>
      </c>
      <c r="AE795" s="37">
        <f>SUM(AE769:AE794)</f>
        <v>2</v>
      </c>
      <c r="AF795" s="37">
        <f>SUM(AF769:AF794)</f>
        <v>2</v>
      </c>
      <c r="AG795" s="38">
        <f>SUM(AG769:AG794)</f>
        <v>7</v>
      </c>
      <c r="AH795" s="25">
        <f t="shared" si="328"/>
        <v>13</v>
      </c>
      <c r="AI795" s="36">
        <f>SUM(AI769:AI794)</f>
        <v>5</v>
      </c>
      <c r="AJ795" s="37">
        <f>SUM(AJ769:AJ794)</f>
        <v>8</v>
      </c>
      <c r="AK795" s="37">
        <f>SUM(AK769:AK794)</f>
        <v>9</v>
      </c>
      <c r="AL795" s="38">
        <f>SUM(AL769:AL794)</f>
        <v>8</v>
      </c>
      <c r="AM795" s="25">
        <f t="shared" si="329"/>
        <v>30</v>
      </c>
      <c r="AN795" s="36">
        <f>SUM(AN769:AN794)</f>
        <v>0</v>
      </c>
      <c r="AO795" s="37">
        <f>SUM(AO769:AO794)</f>
        <v>0</v>
      </c>
      <c r="AP795" s="37">
        <f>SUM(AP769:AP794)</f>
        <v>2</v>
      </c>
      <c r="AQ795" s="38">
        <f>SUM(AQ769:AQ794)</f>
        <v>2</v>
      </c>
      <c r="AR795" s="25">
        <f t="shared" si="337"/>
        <v>4</v>
      </c>
      <c r="AS795" s="36">
        <f>SUM(AS769:AS794)</f>
        <v>0</v>
      </c>
      <c r="AT795" s="37">
        <f>SUM(AT769:AT794)</f>
        <v>0</v>
      </c>
      <c r="AU795" s="37">
        <f>SUM(AU769:AU794)</f>
        <v>9</v>
      </c>
      <c r="AV795" s="38">
        <f>SUM(AV769:AV794)</f>
        <v>0</v>
      </c>
      <c r="AW795" s="36">
        <f t="shared" si="338"/>
        <v>9</v>
      </c>
      <c r="AX795" s="161">
        <f t="shared" si="325"/>
        <v>56</v>
      </c>
      <c r="AY795" s="325"/>
      <c r="AZ795" s="326"/>
      <c r="BE795" s="278" t="s">
        <v>15</v>
      </c>
      <c r="BF795" s="312">
        <f>SUM(BF769:BF794)</f>
        <v>0</v>
      </c>
      <c r="BG795" s="302">
        <f>SUM(BG769:BG794)</f>
        <v>0</v>
      </c>
      <c r="BH795" s="37">
        <f>SUM(BH769:BH794)</f>
        <v>1</v>
      </c>
      <c r="BI795" s="38">
        <f>SUM(BI769:BI794)</f>
        <v>0</v>
      </c>
      <c r="BJ795" s="25">
        <f t="shared" si="339"/>
        <v>1</v>
      </c>
      <c r="BL795" s="278" t="s">
        <v>15</v>
      </c>
      <c r="BM795" s="312">
        <f>SUM(BM769:BM794)</f>
        <v>0</v>
      </c>
      <c r="BN795" s="302">
        <f>SUM(BN769:BN794)</f>
        <v>0</v>
      </c>
      <c r="BO795" s="37">
        <f>SUM(BO769:BO794)</f>
        <v>0</v>
      </c>
      <c r="BP795" s="316">
        <f>SUM(BP769:BP794)</f>
        <v>0</v>
      </c>
      <c r="BQ795" s="25">
        <f t="shared" si="340"/>
        <v>0</v>
      </c>
    </row>
    <row r="796" spans="1:69" ht="14.25" thickBot="1" x14ac:dyDescent="0.2">
      <c r="A796" s="39" t="s">
        <v>16</v>
      </c>
      <c r="B796" s="40">
        <f>B768-B795</f>
        <v>3</v>
      </c>
      <c r="C796" s="41">
        <f>C768-C795</f>
        <v>2</v>
      </c>
      <c r="D796" s="41">
        <f>D768-D795</f>
        <v>6</v>
      </c>
      <c r="E796" s="42">
        <f>E768-E795</f>
        <v>3</v>
      </c>
      <c r="F796" s="171">
        <f t="shared" si="320"/>
        <v>14</v>
      </c>
      <c r="G796" s="40">
        <f>G768-G795</f>
        <v>2</v>
      </c>
      <c r="H796" s="41">
        <f>H768-H795</f>
        <v>3</v>
      </c>
      <c r="I796" s="41">
        <f>I768-I795</f>
        <v>2</v>
      </c>
      <c r="J796" s="42">
        <f>J768-J795</f>
        <v>5</v>
      </c>
      <c r="K796" s="171">
        <f t="shared" si="321"/>
        <v>12</v>
      </c>
      <c r="L796" s="40">
        <f>L768-L795</f>
        <v>4</v>
      </c>
      <c r="M796" s="41">
        <f>M768-M795</f>
        <v>3</v>
      </c>
      <c r="N796" s="41">
        <f>N768-N795</f>
        <v>4</v>
      </c>
      <c r="O796" s="42">
        <f>O768-O795</f>
        <v>2</v>
      </c>
      <c r="P796" s="171">
        <f t="shared" si="322"/>
        <v>13</v>
      </c>
      <c r="Q796" s="40">
        <f>Q768-Q795</f>
        <v>3</v>
      </c>
      <c r="R796" s="41">
        <f>R768-R795</f>
        <v>0</v>
      </c>
      <c r="S796" s="41">
        <f>S768-S795</f>
        <v>4</v>
      </c>
      <c r="T796" s="284">
        <f>T768-T795</f>
        <v>1</v>
      </c>
      <c r="U796" s="177">
        <f t="shared" si="323"/>
        <v>8</v>
      </c>
      <c r="V796" s="77">
        <f t="shared" si="324"/>
        <v>47</v>
      </c>
      <c r="W796" s="325"/>
      <c r="X796" s="326"/>
      <c r="Y796" s="326"/>
      <c r="Z796" s="326"/>
      <c r="AC796" s="279" t="s">
        <v>16</v>
      </c>
      <c r="AD796" s="40">
        <f>AD768-AD795</f>
        <v>55</v>
      </c>
      <c r="AE796" s="41">
        <f>AE768-AE795</f>
        <v>77</v>
      </c>
      <c r="AF796" s="41">
        <f>AF768-AF795</f>
        <v>155</v>
      </c>
      <c r="AG796" s="42">
        <f>AG768-AG795</f>
        <v>83</v>
      </c>
      <c r="AH796" s="171">
        <f t="shared" si="328"/>
        <v>370</v>
      </c>
      <c r="AI796" s="40">
        <f>AI768-AI795</f>
        <v>25</v>
      </c>
      <c r="AJ796" s="41">
        <f>AJ768-AJ795</f>
        <v>89</v>
      </c>
      <c r="AK796" s="41">
        <f>AK768-AK795</f>
        <v>109</v>
      </c>
      <c r="AL796" s="42">
        <f>AL768-AL795</f>
        <v>118</v>
      </c>
      <c r="AM796" s="171">
        <f t="shared" si="329"/>
        <v>341</v>
      </c>
      <c r="AN796" s="40">
        <f>AN768-AN795</f>
        <v>63</v>
      </c>
      <c r="AO796" s="41">
        <f>AO768-AO795</f>
        <v>86</v>
      </c>
      <c r="AP796" s="41">
        <f>AP768-AP795</f>
        <v>57</v>
      </c>
      <c r="AQ796" s="42">
        <f>AQ768-AQ795</f>
        <v>39</v>
      </c>
      <c r="AR796" s="171">
        <f t="shared" si="337"/>
        <v>245</v>
      </c>
      <c r="AS796" s="40">
        <f>AS768-AS795</f>
        <v>37</v>
      </c>
      <c r="AT796" s="41">
        <f>AT768-AT795</f>
        <v>0</v>
      </c>
      <c r="AU796" s="41">
        <f>AU768-AU795</f>
        <v>13</v>
      </c>
      <c r="AV796" s="42">
        <f>AV768-AV795</f>
        <v>0</v>
      </c>
      <c r="AW796" s="177">
        <f t="shared" si="338"/>
        <v>50</v>
      </c>
      <c r="AX796" s="77">
        <f t="shared" si="325"/>
        <v>1006</v>
      </c>
      <c r="AY796" s="325"/>
      <c r="AZ796" s="326"/>
      <c r="BE796" s="279" t="s">
        <v>16</v>
      </c>
      <c r="BF796" s="313">
        <f>BF768-BF795</f>
        <v>0</v>
      </c>
      <c r="BG796" s="303">
        <f>BG768-BG795</f>
        <v>0</v>
      </c>
      <c r="BH796" s="41">
        <f>BH768-BH795</f>
        <v>9</v>
      </c>
      <c r="BI796" s="42">
        <f>BI768-BI795</f>
        <v>3</v>
      </c>
      <c r="BJ796" s="171">
        <f t="shared" si="339"/>
        <v>12</v>
      </c>
      <c r="BL796" s="279" t="s">
        <v>16</v>
      </c>
      <c r="BM796" s="313">
        <f>BM768-BM795</f>
        <v>0</v>
      </c>
      <c r="BN796" s="303">
        <f>BN768-BN795</f>
        <v>0</v>
      </c>
      <c r="BO796" s="41">
        <f>BO768-BO795</f>
        <v>21</v>
      </c>
      <c r="BP796" s="317">
        <f>BP768-BP795</f>
        <v>0</v>
      </c>
      <c r="BQ796" s="171">
        <f t="shared" si="340"/>
        <v>21</v>
      </c>
    </row>
    <row r="797" spans="1:69" x14ac:dyDescent="0.15">
      <c r="AD797" s="314">
        <f>AD796/$AH$796*100</f>
        <v>14.864864864864865</v>
      </c>
      <c r="AE797" s="314">
        <f t="shared" ref="AE797:AH797" si="341">AE796/$AH$796*100</f>
        <v>20.810810810810811</v>
      </c>
      <c r="AF797" s="314">
        <f t="shared" si="341"/>
        <v>41.891891891891895</v>
      </c>
      <c r="AG797" s="314">
        <f t="shared" si="341"/>
        <v>22.432432432432435</v>
      </c>
      <c r="AH797" s="314">
        <f t="shared" si="341"/>
        <v>100</v>
      </c>
      <c r="AI797" s="314">
        <f>AI796/$AM$796*100</f>
        <v>7.3313782991202352</v>
      </c>
      <c r="AJ797" s="314">
        <f t="shared" ref="AJ797:AM797" si="342">AJ796/$AM$796*100</f>
        <v>26.099706744868033</v>
      </c>
      <c r="AK797" s="314">
        <f t="shared" si="342"/>
        <v>31.964809384164223</v>
      </c>
      <c r="AL797" s="314">
        <f t="shared" si="342"/>
        <v>34.604105571847512</v>
      </c>
      <c r="AM797" s="314">
        <f t="shared" si="342"/>
        <v>100</v>
      </c>
      <c r="AN797" s="314">
        <f>AN796/$AR$796*100</f>
        <v>25.714285714285712</v>
      </c>
      <c r="AO797" s="314">
        <f t="shared" ref="AO797:AR797" si="343">AO796/$AR$796*100</f>
        <v>35.102040816326529</v>
      </c>
      <c r="AP797" s="314">
        <f t="shared" si="343"/>
        <v>23.26530612244898</v>
      </c>
      <c r="AQ797" s="314">
        <f t="shared" si="343"/>
        <v>15.918367346938775</v>
      </c>
      <c r="AR797" s="314">
        <f t="shared" si="343"/>
        <v>100</v>
      </c>
      <c r="AS797" s="314">
        <f>AS796/$AW$796*100</f>
        <v>74</v>
      </c>
      <c r="AT797" s="314">
        <f t="shared" ref="AT797:AW797" si="344">AT796/$AW$796*100</f>
        <v>0</v>
      </c>
      <c r="AU797" s="314">
        <f t="shared" si="344"/>
        <v>26</v>
      </c>
      <c r="AV797" s="314">
        <f t="shared" si="344"/>
        <v>0</v>
      </c>
      <c r="AW797" s="314">
        <f t="shared" si="344"/>
        <v>100</v>
      </c>
      <c r="AX797" s="314"/>
      <c r="AY797" s="314"/>
      <c r="AZ797" s="314"/>
      <c r="BA797" s="314"/>
      <c r="BB797" s="314"/>
    </row>
    <row r="798" spans="1:69" x14ac:dyDescent="0.15">
      <c r="AD798">
        <v>27.1</v>
      </c>
      <c r="AE798">
        <v>36.700000000000003</v>
      </c>
      <c r="AF798">
        <v>20.5</v>
      </c>
      <c r="AG798">
        <v>15.8</v>
      </c>
      <c r="AH798">
        <f>SUM(AD798:AG798)</f>
        <v>100.10000000000001</v>
      </c>
      <c r="AI798">
        <v>30.4</v>
      </c>
      <c r="AJ798">
        <v>35.700000000000003</v>
      </c>
      <c r="AK798">
        <v>16.7</v>
      </c>
      <c r="AL798">
        <v>17.2</v>
      </c>
      <c r="AM798">
        <f>SUM(AI798:AL798)</f>
        <v>100</v>
      </c>
      <c r="AN798">
        <v>28.1</v>
      </c>
      <c r="AO798">
        <v>27.3</v>
      </c>
      <c r="AP798">
        <v>23.8</v>
      </c>
      <c r="AQ798">
        <v>20.8</v>
      </c>
      <c r="AR798">
        <f>SUM(AN798:AQ798)</f>
        <v>100</v>
      </c>
      <c r="AS798">
        <v>19.7</v>
      </c>
      <c r="AT798">
        <v>35.700000000000003</v>
      </c>
      <c r="AU798">
        <v>21.7</v>
      </c>
      <c r="AV798">
        <v>22.8</v>
      </c>
      <c r="AW798">
        <f>SUM(AS798:AV798)</f>
        <v>99.9</v>
      </c>
    </row>
    <row r="799" spans="1:69" ht="19.5" thickBot="1" x14ac:dyDescent="0.25">
      <c r="A799" s="185" t="s">
        <v>19</v>
      </c>
      <c r="B799" s="186"/>
      <c r="C799" s="186"/>
      <c r="D799" s="186"/>
      <c r="E799" s="186"/>
      <c r="F799" s="18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C799" s="187" t="s">
        <v>73</v>
      </c>
      <c r="AD799" s="188"/>
      <c r="AE799" s="188"/>
      <c r="AF799" s="188"/>
      <c r="AG799" s="188"/>
      <c r="AH799" s="188"/>
      <c r="AI799" s="188"/>
      <c r="AJ799" s="2"/>
      <c r="AK799" s="2"/>
      <c r="AL799" s="2"/>
      <c r="AM799" s="2"/>
      <c r="AN799" s="2"/>
      <c r="AO799" s="2"/>
      <c r="AP799" s="2"/>
      <c r="AQ799" s="2"/>
      <c r="AR799" s="2"/>
      <c r="AS799" s="2">
        <v>200</v>
      </c>
      <c r="AT799" s="2">
        <v>260</v>
      </c>
      <c r="AU799" s="2">
        <v>210</v>
      </c>
      <c r="AV799" s="2">
        <v>210</v>
      </c>
      <c r="AW799" s="2"/>
      <c r="AX799" s="2"/>
      <c r="AY799" s="2"/>
      <c r="AZ799" s="2"/>
      <c r="BA799" s="2"/>
      <c r="BB799" s="2"/>
      <c r="BC799" s="2"/>
      <c r="BE799" s="185" t="s">
        <v>19</v>
      </c>
      <c r="BF799" s="186"/>
      <c r="BG799" s="186"/>
      <c r="BH799" s="186"/>
      <c r="BI799" s="186"/>
      <c r="BJ799" s="186"/>
      <c r="BL799" s="187" t="s">
        <v>73</v>
      </c>
      <c r="BM799" s="188"/>
      <c r="BN799" s="188"/>
      <c r="BO799" s="188"/>
      <c r="BP799" s="188"/>
      <c r="BQ799" s="188"/>
    </row>
    <row r="800" spans="1:69" ht="14.25" thickBot="1" x14ac:dyDescent="0.2">
      <c r="A800" s="3" t="s">
        <v>0</v>
      </c>
      <c r="B800" s="365" t="s">
        <v>17</v>
      </c>
      <c r="C800" s="366"/>
      <c r="D800" s="366"/>
      <c r="E800" s="366"/>
      <c r="F800" s="367"/>
      <c r="G800" s="368" t="s">
        <v>18</v>
      </c>
      <c r="H800" s="369"/>
      <c r="I800" s="369"/>
      <c r="J800" s="369"/>
      <c r="K800" s="370"/>
      <c r="L800" s="371" t="s">
        <v>320</v>
      </c>
      <c r="M800" s="372"/>
      <c r="N800" s="372"/>
      <c r="O800" s="372"/>
      <c r="P800" s="373"/>
      <c r="Q800" s="355" t="s">
        <v>75</v>
      </c>
      <c r="R800" s="356"/>
      <c r="S800" s="356"/>
      <c r="T800" s="356"/>
      <c r="U800" s="357"/>
      <c r="V800" s="358" t="s">
        <v>456</v>
      </c>
      <c r="W800" s="358"/>
      <c r="X800" s="358"/>
      <c r="Y800" s="358"/>
      <c r="Z800" s="359"/>
      <c r="AA800" s="360" t="s">
        <v>1</v>
      </c>
      <c r="AC800" s="271" t="s">
        <v>0</v>
      </c>
      <c r="AD800" s="365" t="s">
        <v>17</v>
      </c>
      <c r="AE800" s="366"/>
      <c r="AF800" s="366"/>
      <c r="AG800" s="366"/>
      <c r="AH800" s="367"/>
      <c r="AI800" s="368" t="s">
        <v>18</v>
      </c>
      <c r="AJ800" s="369"/>
      <c r="AK800" s="369"/>
      <c r="AL800" s="369"/>
      <c r="AM800" s="370"/>
      <c r="AN800" s="371" t="s">
        <v>320</v>
      </c>
      <c r="AO800" s="372"/>
      <c r="AP800" s="372"/>
      <c r="AQ800" s="372"/>
      <c r="AR800" s="373"/>
      <c r="AS800" s="355" t="s">
        <v>75</v>
      </c>
      <c r="AT800" s="356"/>
      <c r="AU800" s="356"/>
      <c r="AV800" s="356"/>
      <c r="AW800" s="357"/>
      <c r="AX800" s="358" t="s">
        <v>456</v>
      </c>
      <c r="AY800" s="358"/>
      <c r="AZ800" s="358"/>
      <c r="BA800" s="358"/>
      <c r="BB800" s="359"/>
      <c r="BC800" s="360" t="s">
        <v>1</v>
      </c>
      <c r="BE800" s="271" t="s">
        <v>0</v>
      </c>
      <c r="BF800" s="362" t="s">
        <v>38</v>
      </c>
      <c r="BG800" s="363"/>
      <c r="BH800" s="363"/>
      <c r="BI800" s="363"/>
      <c r="BJ800" s="364"/>
      <c r="BL800" s="271" t="s">
        <v>0</v>
      </c>
      <c r="BM800" s="362" t="s">
        <v>38</v>
      </c>
      <c r="BN800" s="363"/>
      <c r="BO800" s="363"/>
      <c r="BP800" s="363"/>
      <c r="BQ800" s="364"/>
    </row>
    <row r="801" spans="1:69" ht="14.25" thickBot="1" x14ac:dyDescent="0.2">
      <c r="A801" s="5" t="s">
        <v>2</v>
      </c>
      <c r="B801" s="6" t="s">
        <v>3</v>
      </c>
      <c r="C801" s="7" t="s">
        <v>4</v>
      </c>
      <c r="D801" s="7" t="s">
        <v>5</v>
      </c>
      <c r="E801" s="8" t="s">
        <v>6</v>
      </c>
      <c r="F801" s="5" t="s">
        <v>7</v>
      </c>
      <c r="G801" s="6" t="s">
        <v>3</v>
      </c>
      <c r="H801" s="7" t="s">
        <v>4</v>
      </c>
      <c r="I801" s="7" t="s">
        <v>5</v>
      </c>
      <c r="J801" s="8" t="s">
        <v>6</v>
      </c>
      <c r="K801" s="5" t="s">
        <v>7</v>
      </c>
      <c r="L801" s="6" t="s">
        <v>3</v>
      </c>
      <c r="M801" s="7" t="s">
        <v>4</v>
      </c>
      <c r="N801" s="7" t="s">
        <v>5</v>
      </c>
      <c r="O801" s="8" t="s">
        <v>6</v>
      </c>
      <c r="P801" s="5" t="s">
        <v>7</v>
      </c>
      <c r="Q801" s="6" t="s">
        <v>3</v>
      </c>
      <c r="R801" s="7" t="s">
        <v>4</v>
      </c>
      <c r="S801" s="7" t="s">
        <v>5</v>
      </c>
      <c r="T801" s="8" t="s">
        <v>6</v>
      </c>
      <c r="U801" s="5" t="s">
        <v>7</v>
      </c>
      <c r="V801" s="7" t="s">
        <v>3</v>
      </c>
      <c r="W801" s="7" t="s">
        <v>4</v>
      </c>
      <c r="X801" s="7" t="s">
        <v>5</v>
      </c>
      <c r="Y801" s="8" t="s">
        <v>6</v>
      </c>
      <c r="Z801" s="5" t="s">
        <v>7</v>
      </c>
      <c r="AA801" s="361"/>
      <c r="AC801" s="272" t="s">
        <v>2</v>
      </c>
      <c r="AD801" s="6" t="s">
        <v>3</v>
      </c>
      <c r="AE801" s="7" t="s">
        <v>4</v>
      </c>
      <c r="AF801" s="7" t="s">
        <v>5</v>
      </c>
      <c r="AG801" s="8" t="s">
        <v>6</v>
      </c>
      <c r="AH801" s="5" t="s">
        <v>7</v>
      </c>
      <c r="AI801" s="6" t="s">
        <v>3</v>
      </c>
      <c r="AJ801" s="7" t="s">
        <v>4</v>
      </c>
      <c r="AK801" s="7" t="s">
        <v>5</v>
      </c>
      <c r="AL801" s="8" t="s">
        <v>6</v>
      </c>
      <c r="AM801" s="5" t="s">
        <v>7</v>
      </c>
      <c r="AN801" s="6" t="s">
        <v>3</v>
      </c>
      <c r="AO801" s="7" t="s">
        <v>4</v>
      </c>
      <c r="AP801" s="7" t="s">
        <v>5</v>
      </c>
      <c r="AQ801" s="8" t="s">
        <v>6</v>
      </c>
      <c r="AR801" s="5" t="s">
        <v>7</v>
      </c>
      <c r="AS801" s="6" t="s">
        <v>3</v>
      </c>
      <c r="AT801" s="7" t="s">
        <v>4</v>
      </c>
      <c r="AU801" s="7" t="s">
        <v>5</v>
      </c>
      <c r="AV801" s="8" t="s">
        <v>6</v>
      </c>
      <c r="AW801" s="5" t="s">
        <v>7</v>
      </c>
      <c r="AX801" s="7" t="s">
        <v>3</v>
      </c>
      <c r="AY801" s="7" t="s">
        <v>4</v>
      </c>
      <c r="AZ801" s="7" t="s">
        <v>5</v>
      </c>
      <c r="BA801" s="8" t="s">
        <v>6</v>
      </c>
      <c r="BB801" s="5" t="s">
        <v>7</v>
      </c>
      <c r="BC801" s="361"/>
      <c r="BE801" s="272" t="s">
        <v>2</v>
      </c>
      <c r="BF801" s="6" t="s">
        <v>3</v>
      </c>
      <c r="BG801" s="7" t="s">
        <v>4</v>
      </c>
      <c r="BH801" s="7" t="s">
        <v>5</v>
      </c>
      <c r="BI801" s="8" t="s">
        <v>6</v>
      </c>
      <c r="BJ801" s="5" t="s">
        <v>7</v>
      </c>
      <c r="BL801" s="272" t="s">
        <v>2</v>
      </c>
      <c r="BM801" s="6" t="s">
        <v>3</v>
      </c>
      <c r="BN801" s="7" t="s">
        <v>4</v>
      </c>
      <c r="BO801" s="7" t="s">
        <v>5</v>
      </c>
      <c r="BP801" s="8" t="s">
        <v>6</v>
      </c>
      <c r="BQ801" s="5" t="s">
        <v>7</v>
      </c>
    </row>
    <row r="802" spans="1:69" ht="15" thickBot="1" x14ac:dyDescent="0.2">
      <c r="A802" s="291" t="s">
        <v>30</v>
      </c>
      <c r="B802" s="292">
        <f>B796</f>
        <v>3</v>
      </c>
      <c r="C802" s="292">
        <f>C796</f>
        <v>2</v>
      </c>
      <c r="D802" s="292">
        <f>D796</f>
        <v>6</v>
      </c>
      <c r="E802" s="293">
        <f>E796</f>
        <v>3</v>
      </c>
      <c r="F802" s="77">
        <f t="shared" ref="F802:F838" si="345">SUM(B802:E802)</f>
        <v>14</v>
      </c>
      <c r="G802" s="292">
        <f>G796</f>
        <v>2</v>
      </c>
      <c r="H802" s="292">
        <f>H796</f>
        <v>3</v>
      </c>
      <c r="I802" s="292">
        <f>I796</f>
        <v>2</v>
      </c>
      <c r="J802" s="293">
        <f>J796</f>
        <v>5</v>
      </c>
      <c r="K802" s="77">
        <f t="shared" ref="K802:K838" si="346">SUM(G802:J802)</f>
        <v>12</v>
      </c>
      <c r="L802" s="292">
        <f>L796</f>
        <v>4</v>
      </c>
      <c r="M802" s="292">
        <f>M796</f>
        <v>3</v>
      </c>
      <c r="N802" s="292">
        <f>N796</f>
        <v>4</v>
      </c>
      <c r="O802" s="293">
        <f>O796</f>
        <v>2</v>
      </c>
      <c r="P802" s="77">
        <f t="shared" ref="P802:P838" si="347">SUM(L802:O802)</f>
        <v>13</v>
      </c>
      <c r="Q802" s="324">
        <f>Q796</f>
        <v>3</v>
      </c>
      <c r="R802" s="292">
        <f>R796</f>
        <v>0</v>
      </c>
      <c r="S802" s="292">
        <f>S796</f>
        <v>4</v>
      </c>
      <c r="T802" s="293">
        <f>T796</f>
        <v>1</v>
      </c>
      <c r="U802" s="77">
        <f t="shared" ref="U802:U838" si="348">SUM(Q802:T802)</f>
        <v>8</v>
      </c>
      <c r="V802" s="292">
        <v>0</v>
      </c>
      <c r="W802" s="292">
        <v>0</v>
      </c>
      <c r="X802" s="292">
        <v>0</v>
      </c>
      <c r="Y802" s="293">
        <v>0</v>
      </c>
      <c r="Z802" s="77">
        <f t="shared" ref="Z802:Z838" si="349">SUM(V802:Y802)</f>
        <v>0</v>
      </c>
      <c r="AA802" s="77">
        <f>F802+K802+P802+U802+Z802</f>
        <v>47</v>
      </c>
      <c r="AC802" s="294" t="s">
        <v>30</v>
      </c>
      <c r="AD802" s="292">
        <f>AD796</f>
        <v>55</v>
      </c>
      <c r="AE802" s="292">
        <f>AE796</f>
        <v>77</v>
      </c>
      <c r="AF802" s="292">
        <f>AF796</f>
        <v>155</v>
      </c>
      <c r="AG802" s="293">
        <f>AG796</f>
        <v>83</v>
      </c>
      <c r="AH802" s="77">
        <f>SUM(AD802:AG802)</f>
        <v>370</v>
      </c>
      <c r="AI802" s="292">
        <f>AI796</f>
        <v>25</v>
      </c>
      <c r="AJ802" s="292">
        <f>AJ796</f>
        <v>89</v>
      </c>
      <c r="AK802" s="292">
        <f>AK796</f>
        <v>109</v>
      </c>
      <c r="AL802" s="293">
        <f>AL796</f>
        <v>118</v>
      </c>
      <c r="AM802" s="77">
        <f>SUM(AI802:AL802)</f>
        <v>341</v>
      </c>
      <c r="AN802" s="292">
        <f>AN796</f>
        <v>63</v>
      </c>
      <c r="AO802" s="292">
        <f>AO796</f>
        <v>86</v>
      </c>
      <c r="AP802" s="292">
        <f>AP796</f>
        <v>57</v>
      </c>
      <c r="AQ802" s="293">
        <f>AQ796</f>
        <v>39</v>
      </c>
      <c r="AR802" s="77">
        <f>SUM(AN802:AQ802)</f>
        <v>245</v>
      </c>
      <c r="AS802" s="324">
        <f>AS796</f>
        <v>37</v>
      </c>
      <c r="AT802" s="292">
        <f>AT796</f>
        <v>0</v>
      </c>
      <c r="AU802" s="292">
        <f>AU796</f>
        <v>13</v>
      </c>
      <c r="AV802" s="293">
        <f>AV796</f>
        <v>0</v>
      </c>
      <c r="AW802" s="77">
        <f>SUM(AS802:AV802)</f>
        <v>50</v>
      </c>
      <c r="AX802" s="292">
        <v>0</v>
      </c>
      <c r="AY802" s="292">
        <v>0</v>
      </c>
      <c r="AZ802" s="292">
        <v>0</v>
      </c>
      <c r="BA802" s="293">
        <v>0</v>
      </c>
      <c r="BB802" s="77">
        <f t="shared" ref="BB802:BB838" si="350">SUM(AX802:BA802)</f>
        <v>0</v>
      </c>
      <c r="BC802" s="77">
        <f>AH802+AM802+AR802+AW802+BB802</f>
        <v>1006</v>
      </c>
      <c r="BE802" s="294" t="s">
        <v>30</v>
      </c>
      <c r="BF802" s="40">
        <f>BF796</f>
        <v>0</v>
      </c>
      <c r="BG802" s="41">
        <f t="shared" ref="BG802:BJ802" si="351">BG796</f>
        <v>0</v>
      </c>
      <c r="BH802" s="41">
        <f t="shared" si="351"/>
        <v>9</v>
      </c>
      <c r="BI802" s="42">
        <f t="shared" si="351"/>
        <v>3</v>
      </c>
      <c r="BJ802" s="171">
        <f t="shared" si="351"/>
        <v>12</v>
      </c>
      <c r="BL802" s="294" t="s">
        <v>30</v>
      </c>
      <c r="BM802" s="292">
        <f>BM796</f>
        <v>0</v>
      </c>
      <c r="BN802" s="292">
        <f t="shared" ref="BN802:BQ802" si="352">BN796</f>
        <v>0</v>
      </c>
      <c r="BO802" s="292">
        <f t="shared" si="352"/>
        <v>21</v>
      </c>
      <c r="BP802" s="292">
        <f t="shared" si="352"/>
        <v>0</v>
      </c>
      <c r="BQ802" s="77">
        <f t="shared" si="352"/>
        <v>21</v>
      </c>
    </row>
    <row r="803" spans="1:69" x14ac:dyDescent="0.15">
      <c r="A803" s="268" t="s">
        <v>463</v>
      </c>
      <c r="B803" s="63">
        <v>4</v>
      </c>
      <c r="C803" s="63">
        <v>6</v>
      </c>
      <c r="D803" s="63">
        <v>6</v>
      </c>
      <c r="E803" s="167">
        <v>3</v>
      </c>
      <c r="F803" s="49">
        <f t="shared" si="345"/>
        <v>19</v>
      </c>
      <c r="G803" s="63">
        <v>8</v>
      </c>
      <c r="H803" s="63">
        <v>2</v>
      </c>
      <c r="I803" s="63">
        <v>2</v>
      </c>
      <c r="J803" s="167">
        <v>2</v>
      </c>
      <c r="K803" s="49">
        <f t="shared" si="346"/>
        <v>14</v>
      </c>
      <c r="L803" s="63">
        <v>5</v>
      </c>
      <c r="M803" s="63">
        <v>4</v>
      </c>
      <c r="N803" s="63">
        <v>5</v>
      </c>
      <c r="O803" s="167">
        <v>5</v>
      </c>
      <c r="P803" s="49">
        <f t="shared" si="347"/>
        <v>19</v>
      </c>
      <c r="Q803" s="63">
        <v>3</v>
      </c>
      <c r="R803" s="63">
        <v>1</v>
      </c>
      <c r="S803" s="63">
        <v>2</v>
      </c>
      <c r="T803" s="167"/>
      <c r="U803" s="49">
        <f t="shared" si="348"/>
        <v>6</v>
      </c>
      <c r="V803" s="52"/>
      <c r="W803" s="52"/>
      <c r="X803" s="52"/>
      <c r="Y803" s="52"/>
      <c r="Z803" s="49">
        <f t="shared" si="349"/>
        <v>0</v>
      </c>
      <c r="AA803" s="49">
        <f>F803+K803+P803+U803+Z803</f>
        <v>58</v>
      </c>
      <c r="AB803" s="298">
        <v>44889</v>
      </c>
      <c r="AC803" s="268" t="s">
        <v>28</v>
      </c>
      <c r="AD803" s="51"/>
      <c r="AE803" s="52"/>
      <c r="AF803" s="52"/>
      <c r="AG803" s="52"/>
      <c r="AH803" s="49">
        <f t="shared" ref="AH803:AH838" si="353">SUM(AD803:AG803)</f>
        <v>0</v>
      </c>
      <c r="AI803" s="51"/>
      <c r="AJ803" s="52"/>
      <c r="AK803" s="52"/>
      <c r="AL803" s="52"/>
      <c r="AM803" s="49">
        <f t="shared" ref="AM803:AM838" si="354">SUM(AI803:AL803)</f>
        <v>0</v>
      </c>
      <c r="AN803" s="51"/>
      <c r="AO803" s="52"/>
      <c r="AP803" s="52"/>
      <c r="AQ803" s="52"/>
      <c r="AR803" s="49">
        <f t="shared" ref="AR803:AR805" si="355">SUM(AN803:AQ803)</f>
        <v>0</v>
      </c>
      <c r="AS803" s="51"/>
      <c r="AT803" s="52"/>
      <c r="AU803" s="52"/>
      <c r="AV803" s="52"/>
      <c r="AW803" s="49">
        <f t="shared" ref="AW803:AW805" si="356">SUM(AS803:AV803)</f>
        <v>0</v>
      </c>
      <c r="AX803" s="52"/>
      <c r="AY803" s="52"/>
      <c r="AZ803" s="52"/>
      <c r="BA803" s="52"/>
      <c r="BB803" s="49">
        <f t="shared" si="350"/>
        <v>0</v>
      </c>
      <c r="BC803" s="49">
        <f>AH803+AM803+AR803+AW803+BB803</f>
        <v>0</v>
      </c>
      <c r="BE803" s="268" t="s">
        <v>28</v>
      </c>
      <c r="BF803" s="51"/>
      <c r="BG803" s="52"/>
      <c r="BH803" s="52"/>
      <c r="BI803" s="52"/>
      <c r="BJ803" s="49">
        <f t="shared" ref="BJ803:BJ805" si="357">SUM(BF803:BI803)</f>
        <v>0</v>
      </c>
      <c r="BK803" s="306"/>
      <c r="BL803" s="268" t="s">
        <v>28</v>
      </c>
      <c r="BM803" s="51"/>
      <c r="BN803" s="52"/>
      <c r="BO803" s="52"/>
      <c r="BP803" s="52"/>
      <c r="BQ803" s="49">
        <f t="shared" ref="BQ803:BQ805" si="358">SUM(BM803:BP803)</f>
        <v>0</v>
      </c>
    </row>
    <row r="804" spans="1:69" x14ac:dyDescent="0.15">
      <c r="A804" s="268" t="s">
        <v>463</v>
      </c>
      <c r="B804" s="63">
        <v>5</v>
      </c>
      <c r="C804" s="63"/>
      <c r="D804" s="63"/>
      <c r="E804" s="167"/>
      <c r="F804" s="49">
        <f t="shared" si="345"/>
        <v>5</v>
      </c>
      <c r="G804" s="63">
        <v>2</v>
      </c>
      <c r="H804" s="63"/>
      <c r="I804" s="63">
        <v>1</v>
      </c>
      <c r="J804" s="167"/>
      <c r="K804" s="49">
        <f t="shared" si="346"/>
        <v>3</v>
      </c>
      <c r="L804" s="63">
        <v>6</v>
      </c>
      <c r="M804" s="63"/>
      <c r="N804" s="63">
        <v>1</v>
      </c>
      <c r="O804" s="167"/>
      <c r="P804" s="49">
        <f t="shared" si="347"/>
        <v>7</v>
      </c>
      <c r="Q804" s="63">
        <v>1</v>
      </c>
      <c r="R804" s="63"/>
      <c r="S804" s="63"/>
      <c r="T804" s="167"/>
      <c r="U804" s="49">
        <f t="shared" si="348"/>
        <v>1</v>
      </c>
      <c r="V804" s="55"/>
      <c r="W804" s="55"/>
      <c r="X804" s="55"/>
      <c r="Y804" s="166"/>
      <c r="Z804" s="49">
        <f t="shared" si="349"/>
        <v>0</v>
      </c>
      <c r="AA804" s="49">
        <f t="shared" ref="AA804:AA809" si="359">F804+K804+P804+U804+Z804</f>
        <v>16</v>
      </c>
      <c r="AB804" s="298">
        <v>44889</v>
      </c>
      <c r="AC804" s="268" t="s">
        <v>28</v>
      </c>
      <c r="AD804" s="54"/>
      <c r="AE804" s="55"/>
      <c r="AF804" s="55"/>
      <c r="AG804" s="55"/>
      <c r="AH804" s="56">
        <f t="shared" si="353"/>
        <v>0</v>
      </c>
      <c r="AI804" s="54"/>
      <c r="AJ804" s="55"/>
      <c r="AK804" s="55"/>
      <c r="AL804" s="55"/>
      <c r="AM804" s="56">
        <f t="shared" si="354"/>
        <v>0</v>
      </c>
      <c r="AN804" s="54"/>
      <c r="AO804" s="55"/>
      <c r="AP804" s="55"/>
      <c r="AQ804" s="55"/>
      <c r="AR804" s="56">
        <f t="shared" si="355"/>
        <v>0</v>
      </c>
      <c r="AS804" s="54"/>
      <c r="AT804" s="55"/>
      <c r="AU804" s="55"/>
      <c r="AV804" s="55"/>
      <c r="AW804" s="56">
        <f t="shared" si="356"/>
        <v>0</v>
      </c>
      <c r="AX804" s="55"/>
      <c r="AY804" s="55"/>
      <c r="AZ804" s="55"/>
      <c r="BA804" s="166"/>
      <c r="BB804" s="49">
        <f t="shared" si="350"/>
        <v>0</v>
      </c>
      <c r="BC804" s="49">
        <f t="shared" ref="BC804:BC809" si="360">AH804+AM804+AR804+AW804+BB804</f>
        <v>0</v>
      </c>
      <c r="BE804" s="268" t="s">
        <v>28</v>
      </c>
      <c r="BF804" s="55"/>
      <c r="BG804" s="153"/>
      <c r="BH804" s="153"/>
      <c r="BI804" s="168"/>
      <c r="BJ804" s="56">
        <f t="shared" si="357"/>
        <v>0</v>
      </c>
      <c r="BL804" s="268" t="s">
        <v>28</v>
      </c>
      <c r="BM804" s="54"/>
      <c r="BN804" s="55"/>
      <c r="BO804" s="55"/>
      <c r="BP804" s="55"/>
      <c r="BQ804" s="56">
        <f t="shared" si="358"/>
        <v>0</v>
      </c>
    </row>
    <row r="805" spans="1:69" x14ac:dyDescent="0.15">
      <c r="A805" s="53" t="s">
        <v>111</v>
      </c>
      <c r="B805" s="55"/>
      <c r="C805" s="55"/>
      <c r="D805" s="55"/>
      <c r="E805" s="166">
        <v>2</v>
      </c>
      <c r="F805" s="49">
        <f t="shared" si="345"/>
        <v>2</v>
      </c>
      <c r="G805" s="55">
        <v>2</v>
      </c>
      <c r="H805" s="55"/>
      <c r="I805" s="55">
        <v>2</v>
      </c>
      <c r="J805" s="166"/>
      <c r="K805" s="49">
        <f t="shared" si="346"/>
        <v>4</v>
      </c>
      <c r="L805" s="55"/>
      <c r="M805" s="55"/>
      <c r="N805" s="55"/>
      <c r="O805" s="166">
        <v>2</v>
      </c>
      <c r="P805" s="49">
        <f t="shared" si="347"/>
        <v>2</v>
      </c>
      <c r="Q805" s="54"/>
      <c r="R805" s="55"/>
      <c r="S805" s="55"/>
      <c r="T805" s="166"/>
      <c r="U805" s="49">
        <f t="shared" si="348"/>
        <v>0</v>
      </c>
      <c r="V805" s="55"/>
      <c r="W805" s="55"/>
      <c r="X805" s="55"/>
      <c r="Y805" s="166"/>
      <c r="Z805" s="49">
        <f t="shared" si="349"/>
        <v>0</v>
      </c>
      <c r="AA805" s="49">
        <f t="shared" si="359"/>
        <v>8</v>
      </c>
      <c r="AB805" s="298">
        <v>44938</v>
      </c>
      <c r="AC805" s="268" t="s">
        <v>28</v>
      </c>
      <c r="AD805" s="55">
        <v>0</v>
      </c>
      <c r="AE805" s="153">
        <v>0</v>
      </c>
      <c r="AF805" s="153">
        <v>0</v>
      </c>
      <c r="AG805" s="168">
        <v>0</v>
      </c>
      <c r="AH805" s="56">
        <f t="shared" ref="AH805" si="361">SUM(AD805:AG805)</f>
        <v>0</v>
      </c>
      <c r="AI805" s="54">
        <v>100</v>
      </c>
      <c r="AJ805" s="55">
        <v>110</v>
      </c>
      <c r="AK805" s="55">
        <v>20</v>
      </c>
      <c r="AL805" s="55">
        <v>20</v>
      </c>
      <c r="AM805" s="56">
        <f t="shared" si="354"/>
        <v>250</v>
      </c>
      <c r="AN805" s="54">
        <v>0</v>
      </c>
      <c r="AO805" s="55">
        <v>0</v>
      </c>
      <c r="AP805" s="55">
        <v>0</v>
      </c>
      <c r="AQ805" s="55">
        <v>0</v>
      </c>
      <c r="AR805" s="56">
        <f t="shared" si="355"/>
        <v>0</v>
      </c>
      <c r="AS805" s="54">
        <v>85</v>
      </c>
      <c r="AT805" s="153">
        <v>180</v>
      </c>
      <c r="AU805" s="153">
        <v>90</v>
      </c>
      <c r="AV805" s="168">
        <v>95</v>
      </c>
      <c r="AW805" s="56">
        <f t="shared" si="356"/>
        <v>450</v>
      </c>
      <c r="AX805" s="55">
        <v>90</v>
      </c>
      <c r="AY805" s="55">
        <v>100</v>
      </c>
      <c r="AZ805" s="55">
        <v>55</v>
      </c>
      <c r="BA805" s="166">
        <v>55</v>
      </c>
      <c r="BB805" s="49">
        <f>SUM(AX805:BA805)</f>
        <v>300</v>
      </c>
      <c r="BC805" s="49">
        <f t="shared" si="360"/>
        <v>1000</v>
      </c>
      <c r="BD805" s="298" t="s">
        <v>475</v>
      </c>
      <c r="BE805" s="268" t="s">
        <v>28</v>
      </c>
      <c r="BF805" s="55"/>
      <c r="BG805" s="153"/>
      <c r="BH805" s="153"/>
      <c r="BI805" s="168"/>
      <c r="BJ805" s="56">
        <f t="shared" si="357"/>
        <v>0</v>
      </c>
      <c r="BL805" s="268" t="s">
        <v>28</v>
      </c>
      <c r="BM805" s="55"/>
      <c r="BN805" s="153"/>
      <c r="BO805" s="153"/>
      <c r="BP805" s="168"/>
      <c r="BQ805" s="56">
        <f t="shared" si="358"/>
        <v>0</v>
      </c>
    </row>
    <row r="806" spans="1:69" x14ac:dyDescent="0.15">
      <c r="A806" s="53" t="s">
        <v>111</v>
      </c>
      <c r="B806" s="63"/>
      <c r="C806" s="63"/>
      <c r="D806" s="63"/>
      <c r="E806" s="167"/>
      <c r="F806" s="64">
        <f t="shared" si="345"/>
        <v>0</v>
      </c>
      <c r="G806" s="63"/>
      <c r="H806" s="63">
        <v>2</v>
      </c>
      <c r="I806" s="63">
        <v>2</v>
      </c>
      <c r="J806" s="167"/>
      <c r="K806" s="64">
        <f t="shared" si="346"/>
        <v>4</v>
      </c>
      <c r="L806" s="63"/>
      <c r="M806" s="63"/>
      <c r="N806" s="63"/>
      <c r="O806" s="167"/>
      <c r="P806" s="64">
        <f t="shared" si="347"/>
        <v>0</v>
      </c>
      <c r="Q806" s="62"/>
      <c r="R806" s="63"/>
      <c r="S806" s="63"/>
      <c r="T806" s="167"/>
      <c r="U806" s="64">
        <f t="shared" si="348"/>
        <v>0</v>
      </c>
      <c r="V806" s="63"/>
      <c r="W806" s="63"/>
      <c r="X806" s="63"/>
      <c r="Y806" s="167"/>
      <c r="Z806" s="64">
        <f t="shared" si="349"/>
        <v>0</v>
      </c>
      <c r="AA806" s="49">
        <f t="shared" si="359"/>
        <v>4</v>
      </c>
      <c r="AB806" s="298">
        <v>44967</v>
      </c>
      <c r="AC806" s="277" t="s">
        <v>28</v>
      </c>
      <c r="AD806" s="55"/>
      <c r="AE806" s="55"/>
      <c r="AF806" s="55"/>
      <c r="AG806" s="166"/>
      <c r="AH806" s="56">
        <f t="shared" si="353"/>
        <v>0</v>
      </c>
      <c r="AI806" s="55"/>
      <c r="AJ806" s="55"/>
      <c r="AK806" s="55"/>
      <c r="AL806" s="166"/>
      <c r="AM806" s="56">
        <f t="shared" si="354"/>
        <v>0</v>
      </c>
      <c r="AN806" s="55"/>
      <c r="AO806" s="55"/>
      <c r="AP806" s="55"/>
      <c r="AQ806" s="166"/>
      <c r="AR806" s="56">
        <v>0</v>
      </c>
      <c r="AS806" s="54"/>
      <c r="AT806" s="55"/>
      <c r="AU806" s="55"/>
      <c r="AV806" s="166"/>
      <c r="AW806" s="56">
        <v>0</v>
      </c>
      <c r="AX806" s="55"/>
      <c r="AY806" s="55"/>
      <c r="AZ806" s="55"/>
      <c r="BA806" s="166"/>
      <c r="BB806" s="56">
        <f>SUM(AX806:BA806)</f>
        <v>0</v>
      </c>
      <c r="BC806" s="56">
        <f t="shared" si="360"/>
        <v>0</v>
      </c>
      <c r="BD806" s="300" t="s">
        <v>467</v>
      </c>
      <c r="BE806" s="268" t="s">
        <v>28</v>
      </c>
      <c r="BF806" s="63"/>
      <c r="BG806" s="63"/>
      <c r="BH806" s="63"/>
      <c r="BI806" s="167"/>
      <c r="BJ806" s="64">
        <v>0</v>
      </c>
      <c r="BL806" s="268" t="s">
        <v>28</v>
      </c>
      <c r="BM806" s="63"/>
      <c r="BN806" s="63"/>
      <c r="BO806" s="63"/>
      <c r="BP806" s="167"/>
      <c r="BQ806" s="64">
        <v>0</v>
      </c>
    </row>
    <row r="807" spans="1:69" x14ac:dyDescent="0.15">
      <c r="A807" s="53" t="s">
        <v>109</v>
      </c>
      <c r="B807" s="55">
        <v>2</v>
      </c>
      <c r="C807" s="153"/>
      <c r="D807" s="153"/>
      <c r="E807" s="168"/>
      <c r="F807" s="56">
        <f t="shared" si="345"/>
        <v>2</v>
      </c>
      <c r="G807" s="55"/>
      <c r="H807" s="153"/>
      <c r="I807" s="153"/>
      <c r="J807" s="168">
        <v>3</v>
      </c>
      <c r="K807" s="56">
        <f t="shared" si="346"/>
        <v>3</v>
      </c>
      <c r="L807" s="55">
        <v>19</v>
      </c>
      <c r="M807" s="153">
        <v>5</v>
      </c>
      <c r="N807" s="153">
        <v>18</v>
      </c>
      <c r="O807" s="168">
        <v>14</v>
      </c>
      <c r="P807" s="56">
        <f t="shared" si="347"/>
        <v>56</v>
      </c>
      <c r="Q807" s="54"/>
      <c r="R807" s="153"/>
      <c r="S807" s="153"/>
      <c r="T807" s="168"/>
      <c r="U807" s="56">
        <f t="shared" si="348"/>
        <v>0</v>
      </c>
      <c r="V807" s="55"/>
      <c r="W807" s="153"/>
      <c r="X807" s="153"/>
      <c r="Y807" s="168"/>
      <c r="Z807" s="56">
        <f t="shared" si="349"/>
        <v>0</v>
      </c>
      <c r="AA807" s="49">
        <f t="shared" si="359"/>
        <v>61</v>
      </c>
      <c r="AB807" s="299">
        <v>44970</v>
      </c>
      <c r="AC807" s="268" t="s">
        <v>28</v>
      </c>
      <c r="AD807" s="335"/>
      <c r="AE807" s="335"/>
      <c r="AF807" s="335"/>
      <c r="AG807" s="74"/>
      <c r="AH807" s="49">
        <f t="shared" ref="AH807" si="362">SUM(AD807:AG807)</f>
        <v>0</v>
      </c>
      <c r="AI807" s="335"/>
      <c r="AJ807" s="335"/>
      <c r="AK807" s="335"/>
      <c r="AL807" s="74"/>
      <c r="AM807" s="49">
        <f t="shared" ref="AM807" si="363">SUM(AI807:AL807)</f>
        <v>0</v>
      </c>
      <c r="AN807" s="335"/>
      <c r="AO807" s="335"/>
      <c r="AP807" s="335"/>
      <c r="AQ807" s="74"/>
      <c r="AR807" s="64">
        <v>0</v>
      </c>
      <c r="AS807" s="336"/>
      <c r="AT807" s="335"/>
      <c r="AU807" s="335"/>
      <c r="AV807" s="74"/>
      <c r="AW807" s="64">
        <v>0</v>
      </c>
      <c r="AX807" s="335"/>
      <c r="AY807" s="335"/>
      <c r="AZ807" s="335"/>
      <c r="BA807" s="74"/>
      <c r="BB807" s="49">
        <f>SUM(AX807:BA807)</f>
        <v>0</v>
      </c>
      <c r="BC807" s="49">
        <f t="shared" ref="BC807" si="364">AH807+AM807+AR807+AW807+BB807</f>
        <v>0</v>
      </c>
      <c r="BE807" s="268" t="s">
        <v>28</v>
      </c>
      <c r="BF807" s="55"/>
      <c r="BG807" s="153"/>
      <c r="BH807" s="153"/>
      <c r="BI807" s="168"/>
      <c r="BJ807" s="56">
        <f t="shared" ref="BJ807:BJ838" si="365">SUM(BF807:BI807)</f>
        <v>0</v>
      </c>
      <c r="BL807" s="268" t="s">
        <v>28</v>
      </c>
      <c r="BM807" s="55"/>
      <c r="BN807" s="153"/>
      <c r="BO807" s="153"/>
      <c r="BP807" s="168"/>
      <c r="BQ807" s="56">
        <f t="shared" ref="BQ807:BQ838" si="366">SUM(BM807:BP807)</f>
        <v>0</v>
      </c>
    </row>
    <row r="808" spans="1:69" x14ac:dyDescent="0.15">
      <c r="A808" s="53" t="s">
        <v>472</v>
      </c>
      <c r="B808" s="55">
        <v>1</v>
      </c>
      <c r="C808" s="153">
        <v>1</v>
      </c>
      <c r="D808" s="153"/>
      <c r="E808" s="168"/>
      <c r="F808" s="56">
        <f t="shared" si="345"/>
        <v>2</v>
      </c>
      <c r="G808" s="55">
        <v>1</v>
      </c>
      <c r="H808" s="153">
        <v>1</v>
      </c>
      <c r="I808" s="153">
        <v>1</v>
      </c>
      <c r="J808" s="168">
        <v>1</v>
      </c>
      <c r="K808" s="56">
        <f t="shared" si="346"/>
        <v>4</v>
      </c>
      <c r="L808" s="55"/>
      <c r="M808" s="153"/>
      <c r="N808" s="153"/>
      <c r="O808" s="168"/>
      <c r="P808" s="56">
        <f t="shared" si="347"/>
        <v>0</v>
      </c>
      <c r="Q808" s="54">
        <v>1</v>
      </c>
      <c r="R808" s="153">
        <v>1</v>
      </c>
      <c r="S808" s="153">
        <v>1</v>
      </c>
      <c r="T808" s="168">
        <v>2</v>
      </c>
      <c r="U808" s="56">
        <f t="shared" si="348"/>
        <v>5</v>
      </c>
      <c r="V808" s="55">
        <v>1</v>
      </c>
      <c r="W808" s="153">
        <v>1</v>
      </c>
      <c r="X808" s="153">
        <v>1</v>
      </c>
      <c r="Y808" s="168">
        <v>1</v>
      </c>
      <c r="Z808" s="56">
        <f t="shared" si="349"/>
        <v>4</v>
      </c>
      <c r="AA808" s="49">
        <f t="shared" si="359"/>
        <v>15</v>
      </c>
      <c r="AB808" s="298">
        <v>44991</v>
      </c>
      <c r="AC808" s="268" t="s">
        <v>28</v>
      </c>
      <c r="AD808" s="55">
        <v>50</v>
      </c>
      <c r="AE808" s="153">
        <v>50</v>
      </c>
      <c r="AF808" s="153">
        <v>0</v>
      </c>
      <c r="AG808" s="168">
        <v>0</v>
      </c>
      <c r="AH808" s="56">
        <f t="shared" ref="AH808" si="367">SUM(AD808:AG808)</f>
        <v>100</v>
      </c>
      <c r="AI808" s="54">
        <f>100-1</f>
        <v>99</v>
      </c>
      <c r="AJ808" s="55">
        <v>110</v>
      </c>
      <c r="AK808" s="55">
        <v>20</v>
      </c>
      <c r="AL808" s="55">
        <v>20</v>
      </c>
      <c r="AM808" s="56">
        <f t="shared" ref="AM808" si="368">SUM(AI808:AL808)</f>
        <v>249</v>
      </c>
      <c r="AN808" s="54">
        <v>0</v>
      </c>
      <c r="AO808" s="55">
        <v>0</v>
      </c>
      <c r="AP808" s="55">
        <v>0</v>
      </c>
      <c r="AQ808" s="55">
        <v>0</v>
      </c>
      <c r="AR808" s="56">
        <f t="shared" ref="AR808" si="369">SUM(AN808:AQ808)</f>
        <v>0</v>
      </c>
      <c r="AS808" s="54">
        <v>85</v>
      </c>
      <c r="AT808" s="153">
        <f>180-1</f>
        <v>179</v>
      </c>
      <c r="AU808" s="153">
        <v>90</v>
      </c>
      <c r="AV808" s="168">
        <f>95-1</f>
        <v>94</v>
      </c>
      <c r="AW808" s="56">
        <f t="shared" ref="AW808" si="370">SUM(AS808:AV808)</f>
        <v>448</v>
      </c>
      <c r="AX808" s="55">
        <v>90</v>
      </c>
      <c r="AY808" s="55">
        <v>100</v>
      </c>
      <c r="AZ808" s="55">
        <v>55</v>
      </c>
      <c r="BA808" s="166">
        <v>55</v>
      </c>
      <c r="BB808" s="49">
        <f>SUM(AX808:BA808)</f>
        <v>300</v>
      </c>
      <c r="BC808" s="49">
        <f t="shared" ref="BC808" si="371">AH808+AM808+AR808+AW808+BB808</f>
        <v>1097</v>
      </c>
      <c r="BD808" s="298" t="s">
        <v>475</v>
      </c>
      <c r="BE808" s="268" t="s">
        <v>28</v>
      </c>
      <c r="BF808" s="55"/>
      <c r="BG808" s="153"/>
      <c r="BH808" s="153"/>
      <c r="BI808" s="168"/>
      <c r="BJ808" s="56">
        <f t="shared" si="365"/>
        <v>0</v>
      </c>
      <c r="BL808" s="268" t="s">
        <v>28</v>
      </c>
      <c r="BM808" s="55"/>
      <c r="BN808" s="153"/>
      <c r="BO808" s="153"/>
      <c r="BP808" s="168"/>
      <c r="BQ808" s="56">
        <f t="shared" si="366"/>
        <v>0</v>
      </c>
    </row>
    <row r="809" spans="1:69" ht="14.25" thickBot="1" x14ac:dyDescent="0.2">
      <c r="A809" s="53" t="s">
        <v>111</v>
      </c>
      <c r="B809" s="63"/>
      <c r="C809" s="164"/>
      <c r="D809" s="164"/>
      <c r="E809" s="169"/>
      <c r="F809" s="170">
        <f t="shared" si="345"/>
        <v>0</v>
      </c>
      <c r="G809" s="63">
        <v>3</v>
      </c>
      <c r="H809" s="164">
        <v>3</v>
      </c>
      <c r="I809" s="164"/>
      <c r="J809" s="169"/>
      <c r="K809" s="170">
        <f t="shared" si="346"/>
        <v>6</v>
      </c>
      <c r="L809" s="63"/>
      <c r="M809" s="164"/>
      <c r="N809" s="164"/>
      <c r="O809" s="169"/>
      <c r="P809" s="170">
        <f t="shared" si="347"/>
        <v>0</v>
      </c>
      <c r="Q809" s="62"/>
      <c r="R809" s="164">
        <v>5</v>
      </c>
      <c r="S809" s="164">
        <v>5</v>
      </c>
      <c r="T809" s="169">
        <v>3</v>
      </c>
      <c r="U809" s="170">
        <f t="shared" si="348"/>
        <v>13</v>
      </c>
      <c r="V809" s="63">
        <v>5</v>
      </c>
      <c r="W809" s="164">
        <v>5</v>
      </c>
      <c r="X809" s="164">
        <v>5</v>
      </c>
      <c r="Y809" s="169">
        <v>5</v>
      </c>
      <c r="Z809" s="170">
        <f t="shared" si="349"/>
        <v>20</v>
      </c>
      <c r="AA809" s="49">
        <f t="shared" si="359"/>
        <v>39</v>
      </c>
      <c r="AB809" s="298">
        <v>44992</v>
      </c>
      <c r="AC809" s="268" t="s">
        <v>28</v>
      </c>
      <c r="AD809" s="63"/>
      <c r="AE809" s="164"/>
      <c r="AF809" s="164"/>
      <c r="AG809" s="169"/>
      <c r="AH809" s="170">
        <f t="shared" si="353"/>
        <v>0</v>
      </c>
      <c r="AI809" s="63"/>
      <c r="AJ809" s="164"/>
      <c r="AK809" s="164"/>
      <c r="AL809" s="169"/>
      <c r="AM809" s="170">
        <f t="shared" si="354"/>
        <v>0</v>
      </c>
      <c r="AN809" s="63"/>
      <c r="AO809" s="164"/>
      <c r="AP809" s="164"/>
      <c r="AQ809" s="169"/>
      <c r="AR809" s="170">
        <f t="shared" ref="AR809:AR838" si="372">SUM(AN809:AQ809)</f>
        <v>0</v>
      </c>
      <c r="AS809" s="62"/>
      <c r="AT809" s="164"/>
      <c r="AU809" s="164"/>
      <c r="AV809" s="169"/>
      <c r="AW809" s="170">
        <f t="shared" ref="AW809:AW838" si="373">SUM(AS809:AV809)</f>
        <v>0</v>
      </c>
      <c r="AX809" s="63"/>
      <c r="AY809" s="164"/>
      <c r="AZ809" s="164"/>
      <c r="BA809" s="169"/>
      <c r="BB809" s="170">
        <f t="shared" si="350"/>
        <v>0</v>
      </c>
      <c r="BC809" s="49">
        <f t="shared" si="360"/>
        <v>0</v>
      </c>
      <c r="BD809" s="300" t="s">
        <v>468</v>
      </c>
      <c r="BE809" s="274" t="s">
        <v>28</v>
      </c>
      <c r="BF809" s="63"/>
      <c r="BG809" s="164"/>
      <c r="BH809" s="164"/>
      <c r="BI809" s="169"/>
      <c r="BJ809" s="170">
        <f t="shared" si="365"/>
        <v>0</v>
      </c>
      <c r="BL809" s="274" t="s">
        <v>28</v>
      </c>
      <c r="BM809" s="63"/>
      <c r="BN809" s="164"/>
      <c r="BO809" s="164"/>
      <c r="BP809" s="169"/>
      <c r="BQ809" s="170">
        <f t="shared" si="366"/>
        <v>0</v>
      </c>
    </row>
    <row r="810" spans="1:69" ht="15" thickBot="1" x14ac:dyDescent="0.2">
      <c r="A810" s="181" t="s">
        <v>14</v>
      </c>
      <c r="B810" s="182">
        <f>SUM(B802:B809)</f>
        <v>15</v>
      </c>
      <c r="C810" s="183">
        <f>SUM(C802:C809)</f>
        <v>9</v>
      </c>
      <c r="D810" s="183">
        <f>SUM(D802:D809)</f>
        <v>12</v>
      </c>
      <c r="E810" s="184">
        <f>SUM(E802:E809)</f>
        <v>8</v>
      </c>
      <c r="F810" s="77">
        <f t="shared" si="345"/>
        <v>44</v>
      </c>
      <c r="G810" s="182">
        <f>SUM(G802:G809)</f>
        <v>18</v>
      </c>
      <c r="H810" s="183">
        <f>SUM(H802:H809)</f>
        <v>11</v>
      </c>
      <c r="I810" s="183">
        <f>SUM(I802:I809)</f>
        <v>10</v>
      </c>
      <c r="J810" s="184">
        <f>SUM(J802:J809)</f>
        <v>11</v>
      </c>
      <c r="K810" s="77">
        <f t="shared" si="346"/>
        <v>50</v>
      </c>
      <c r="L810" s="182">
        <f>SUM(L802:L809)</f>
        <v>34</v>
      </c>
      <c r="M810" s="183">
        <f>SUM(M802:M809)</f>
        <v>12</v>
      </c>
      <c r="N810" s="183">
        <f>SUM(N802:N809)</f>
        <v>28</v>
      </c>
      <c r="O810" s="184">
        <f>SUM(O802:O809)</f>
        <v>23</v>
      </c>
      <c r="P810" s="77">
        <f t="shared" si="347"/>
        <v>97</v>
      </c>
      <c r="Q810" s="182">
        <f>SUM(Q802:Q809)</f>
        <v>8</v>
      </c>
      <c r="R810" s="183">
        <f>SUM(R802:R809)</f>
        <v>7</v>
      </c>
      <c r="S810" s="183">
        <f>SUM(S802:S809)</f>
        <v>12</v>
      </c>
      <c r="T810" s="184">
        <f>SUM(T802:T809)</f>
        <v>6</v>
      </c>
      <c r="U810" s="77">
        <f t="shared" si="348"/>
        <v>33</v>
      </c>
      <c r="V810" s="293">
        <f>SUM(V802:V809)</f>
        <v>6</v>
      </c>
      <c r="W810" s="183">
        <f>SUM(W802:W809)</f>
        <v>6</v>
      </c>
      <c r="X810" s="183">
        <f>SUM(X802:X809)</f>
        <v>6</v>
      </c>
      <c r="Y810" s="184">
        <f>SUM(Y802:Y809)</f>
        <v>6</v>
      </c>
      <c r="Z810" s="77">
        <f t="shared" si="349"/>
        <v>24</v>
      </c>
      <c r="AA810" s="77">
        <f>F810+K810+P810+U810+Z810</f>
        <v>248</v>
      </c>
      <c r="AC810" s="275" t="s">
        <v>14</v>
      </c>
      <c r="AD810" s="182">
        <f>SUM(AD802:AD809)</f>
        <v>105</v>
      </c>
      <c r="AE810" s="183">
        <f>SUM(AE802:AE809)</f>
        <v>127</v>
      </c>
      <c r="AF810" s="183">
        <f>SUM(AF802:AF809)</f>
        <v>155</v>
      </c>
      <c r="AG810" s="184">
        <f>SUM(AG802:AG809)</f>
        <v>83</v>
      </c>
      <c r="AH810" s="77">
        <f t="shared" si="353"/>
        <v>470</v>
      </c>
      <c r="AI810" s="182">
        <f>SUM(AI802:AI809)</f>
        <v>224</v>
      </c>
      <c r="AJ810" s="183">
        <f>SUM(AJ802:AJ809)</f>
        <v>309</v>
      </c>
      <c r="AK810" s="183">
        <f>SUM(AK802:AK809)</f>
        <v>149</v>
      </c>
      <c r="AL810" s="184">
        <f>SUM(AL802:AL809)</f>
        <v>158</v>
      </c>
      <c r="AM810" s="77">
        <f t="shared" si="354"/>
        <v>840</v>
      </c>
      <c r="AN810" s="182">
        <f>SUM(AN802:AN809)</f>
        <v>63</v>
      </c>
      <c r="AO810" s="183">
        <f>SUM(AO802:AO809)</f>
        <v>86</v>
      </c>
      <c r="AP810" s="183">
        <f>SUM(AP802:AP809)</f>
        <v>57</v>
      </c>
      <c r="AQ810" s="184">
        <f>SUM(AQ802:AQ809)</f>
        <v>39</v>
      </c>
      <c r="AR810" s="77">
        <f t="shared" si="372"/>
        <v>245</v>
      </c>
      <c r="AS810" s="182">
        <f>SUM(AS802:AS809)</f>
        <v>207</v>
      </c>
      <c r="AT810" s="183">
        <f>SUM(AT802:AT809)</f>
        <v>359</v>
      </c>
      <c r="AU810" s="183">
        <f>SUM(AU802:AU809)</f>
        <v>193</v>
      </c>
      <c r="AV810" s="184">
        <f>SUM(AV802:AV809)</f>
        <v>189</v>
      </c>
      <c r="AW810" s="77">
        <f t="shared" si="373"/>
        <v>948</v>
      </c>
      <c r="AX810" s="293">
        <f>SUM(AX802:AX809)</f>
        <v>180</v>
      </c>
      <c r="AY810" s="183">
        <f>SUM(AY802:AY809)</f>
        <v>200</v>
      </c>
      <c r="AZ810" s="183">
        <f>SUM(AZ802:AZ809)</f>
        <v>110</v>
      </c>
      <c r="BA810" s="184">
        <f>SUM(BA802:BA809)</f>
        <v>110</v>
      </c>
      <c r="BB810" s="77">
        <f t="shared" si="350"/>
        <v>600</v>
      </c>
      <c r="BC810" s="77">
        <f>AH810+AM810+AR810+AW810+BB810</f>
        <v>3103</v>
      </c>
      <c r="BE810" s="275" t="s">
        <v>14</v>
      </c>
      <c r="BF810" s="182">
        <f>SUM(BF802:BF809)</f>
        <v>0</v>
      </c>
      <c r="BG810" s="183">
        <f>SUM(BG802:BG809)</f>
        <v>0</v>
      </c>
      <c r="BH810" s="183">
        <f>SUM(BH802:BH809)</f>
        <v>9</v>
      </c>
      <c r="BI810" s="184">
        <f>SUM(BI802:BI809)</f>
        <v>3</v>
      </c>
      <c r="BJ810" s="77">
        <f t="shared" si="365"/>
        <v>12</v>
      </c>
      <c r="BL810" s="275" t="s">
        <v>14</v>
      </c>
      <c r="BM810" s="182">
        <f>SUM(BM802:BM809)</f>
        <v>0</v>
      </c>
      <c r="BN810" s="183">
        <f>SUM(BN802:BN809)</f>
        <v>0</v>
      </c>
      <c r="BO810" s="183">
        <f>SUM(BO802:BO809)</f>
        <v>21</v>
      </c>
      <c r="BP810" s="184">
        <f>SUM(BP802:BP809)</f>
        <v>0</v>
      </c>
      <c r="BQ810" s="77">
        <f t="shared" si="366"/>
        <v>21</v>
      </c>
    </row>
    <row r="811" spans="1:69" x14ac:dyDescent="0.15">
      <c r="A811" s="276" t="s">
        <v>115</v>
      </c>
      <c r="B811" s="54">
        <v>9</v>
      </c>
      <c r="C811" s="55">
        <v>5</v>
      </c>
      <c r="D811" s="55">
        <v>6</v>
      </c>
      <c r="E811" s="55">
        <v>4</v>
      </c>
      <c r="F811" s="56">
        <f t="shared" ref="F811:F814" si="374">SUM(B811:E811)</f>
        <v>24</v>
      </c>
      <c r="G811" s="54">
        <v>10</v>
      </c>
      <c r="H811" s="55">
        <v>2</v>
      </c>
      <c r="I811" s="55">
        <v>3</v>
      </c>
      <c r="J811" s="55">
        <v>2</v>
      </c>
      <c r="K811" s="56">
        <f t="shared" ref="K811:K814" si="375">SUM(G811:J811)</f>
        <v>17</v>
      </c>
      <c r="L811" s="54">
        <v>11</v>
      </c>
      <c r="M811" s="55">
        <v>4</v>
      </c>
      <c r="N811" s="55">
        <v>6</v>
      </c>
      <c r="O811" s="55">
        <v>5</v>
      </c>
      <c r="P811" s="56">
        <f t="shared" ref="P811:P814" si="376">SUM(L811:O811)</f>
        <v>26</v>
      </c>
      <c r="Q811" s="54">
        <v>4</v>
      </c>
      <c r="R811" s="55"/>
      <c r="S811" s="55">
        <v>2</v>
      </c>
      <c r="T811" s="55"/>
      <c r="U811" s="56">
        <f t="shared" ref="U811:U814" si="377">SUM(Q811:T811)</f>
        <v>6</v>
      </c>
      <c r="V811" s="55"/>
      <c r="W811" s="55"/>
      <c r="X811" s="55"/>
      <c r="Y811" s="55"/>
      <c r="Z811" s="56">
        <f t="shared" si="349"/>
        <v>0</v>
      </c>
      <c r="AA811" s="56">
        <f>F811+K811+P811+U811+Z811</f>
        <v>73</v>
      </c>
      <c r="AB811" s="299">
        <v>44898</v>
      </c>
      <c r="AC811" s="269" t="s">
        <v>469</v>
      </c>
      <c r="AD811" s="55">
        <v>30</v>
      </c>
      <c r="AE811" s="153">
        <v>25</v>
      </c>
      <c r="AF811" s="153">
        <v>15</v>
      </c>
      <c r="AG811" s="168">
        <v>10</v>
      </c>
      <c r="AH811" s="56">
        <f t="shared" si="353"/>
        <v>80</v>
      </c>
      <c r="AI811" s="55">
        <v>10</v>
      </c>
      <c r="AJ811" s="153">
        <v>18</v>
      </c>
      <c r="AK811" s="153">
        <v>10</v>
      </c>
      <c r="AL811" s="168">
        <v>10</v>
      </c>
      <c r="AM811" s="56">
        <f t="shared" si="354"/>
        <v>48</v>
      </c>
      <c r="AN811" s="55"/>
      <c r="AO811" s="153"/>
      <c r="AP811" s="153"/>
      <c r="AQ811" s="168"/>
      <c r="AR811" s="56">
        <f t="shared" si="372"/>
        <v>0</v>
      </c>
      <c r="AS811" s="54">
        <v>20</v>
      </c>
      <c r="AT811" s="153">
        <v>40</v>
      </c>
      <c r="AU811" s="153">
        <v>30</v>
      </c>
      <c r="AV811" s="168">
        <v>30</v>
      </c>
      <c r="AW811" s="56">
        <f t="shared" si="373"/>
        <v>120</v>
      </c>
      <c r="AX811" s="55">
        <v>20</v>
      </c>
      <c r="AY811" s="55">
        <v>30</v>
      </c>
      <c r="AZ811" s="55">
        <v>20</v>
      </c>
      <c r="BA811" s="55">
        <v>20</v>
      </c>
      <c r="BB811" s="56">
        <f t="shared" si="350"/>
        <v>90</v>
      </c>
      <c r="BC811" s="56">
        <f>AH811+AM811+AR811+AW811+BB811</f>
        <v>338</v>
      </c>
      <c r="BD811" s="298">
        <v>44993</v>
      </c>
      <c r="BE811" s="268"/>
      <c r="BF811" s="55"/>
      <c r="BG811" s="153"/>
      <c r="BH811" s="153"/>
      <c r="BI811" s="168"/>
      <c r="BJ811" s="56">
        <f t="shared" si="365"/>
        <v>0</v>
      </c>
      <c r="BK811" s="304"/>
      <c r="BL811" s="268"/>
      <c r="BM811" s="54"/>
      <c r="BN811" s="55"/>
      <c r="BO811" s="55"/>
      <c r="BP811" s="55"/>
      <c r="BQ811" s="56">
        <f t="shared" si="366"/>
        <v>0</v>
      </c>
    </row>
    <row r="812" spans="1:69" x14ac:dyDescent="0.15">
      <c r="A812" s="53" t="s">
        <v>98</v>
      </c>
      <c r="B812" s="54"/>
      <c r="C812" s="55"/>
      <c r="D812" s="55"/>
      <c r="E812" s="55"/>
      <c r="F812" s="56">
        <f t="shared" si="374"/>
        <v>0</v>
      </c>
      <c r="G812" s="54"/>
      <c r="H812" s="55"/>
      <c r="I812" s="55"/>
      <c r="J812" s="55"/>
      <c r="K812" s="56">
        <f t="shared" si="375"/>
        <v>0</v>
      </c>
      <c r="L812" s="54"/>
      <c r="M812" s="55"/>
      <c r="N812" s="55"/>
      <c r="O812" s="55"/>
      <c r="P812" s="56">
        <f t="shared" si="376"/>
        <v>0</v>
      </c>
      <c r="Q812" s="54"/>
      <c r="R812" s="55"/>
      <c r="S812" s="55">
        <v>1</v>
      </c>
      <c r="T812" s="55"/>
      <c r="U812" s="56">
        <f t="shared" si="377"/>
        <v>1</v>
      </c>
      <c r="V812" s="55"/>
      <c r="W812" s="55"/>
      <c r="X812" s="55"/>
      <c r="Y812" s="55"/>
      <c r="Z812" s="56">
        <f t="shared" si="349"/>
        <v>0</v>
      </c>
      <c r="AA812" s="56">
        <f t="shared" ref="AA812:AA835" si="378">F812+K812+P812+U812+Z812</f>
        <v>1</v>
      </c>
      <c r="AB812" s="299">
        <v>44922</v>
      </c>
      <c r="AC812" s="269" t="s">
        <v>470</v>
      </c>
      <c r="AD812" s="54">
        <v>20</v>
      </c>
      <c r="AE812" s="55">
        <v>20</v>
      </c>
      <c r="AF812" s="55">
        <v>10</v>
      </c>
      <c r="AG812" s="55">
        <v>10</v>
      </c>
      <c r="AH812" s="56">
        <f t="shared" si="353"/>
        <v>60</v>
      </c>
      <c r="AI812" s="54">
        <v>6</v>
      </c>
      <c r="AJ812" s="55">
        <v>8</v>
      </c>
      <c r="AK812" s="55">
        <v>5</v>
      </c>
      <c r="AL812" s="55">
        <v>5</v>
      </c>
      <c r="AM812" s="56">
        <f t="shared" si="354"/>
        <v>24</v>
      </c>
      <c r="AN812" s="54"/>
      <c r="AO812" s="55"/>
      <c r="AP812" s="55"/>
      <c r="AQ812" s="55"/>
      <c r="AR812" s="56">
        <f t="shared" si="372"/>
        <v>0</v>
      </c>
      <c r="AS812" s="54">
        <v>30</v>
      </c>
      <c r="AT812" s="55">
        <v>60</v>
      </c>
      <c r="AU812" s="55">
        <v>40</v>
      </c>
      <c r="AV812" s="55">
        <v>40</v>
      </c>
      <c r="AW812" s="56">
        <f t="shared" si="373"/>
        <v>170</v>
      </c>
      <c r="AX812" s="55">
        <v>30</v>
      </c>
      <c r="AY812" s="55">
        <v>40</v>
      </c>
      <c r="AZ812" s="55">
        <v>15</v>
      </c>
      <c r="BA812" s="55">
        <v>20</v>
      </c>
      <c r="BB812" s="56">
        <f t="shared" si="350"/>
        <v>105</v>
      </c>
      <c r="BC812" s="56">
        <f t="shared" ref="BC812:BC833" si="379">AH812+AM812+AR812+AW812+BB812</f>
        <v>359</v>
      </c>
      <c r="BD812" s="298">
        <v>44993</v>
      </c>
      <c r="BE812" s="268"/>
      <c r="BF812" s="54"/>
      <c r="BG812" s="55"/>
      <c r="BH812" s="55"/>
      <c r="BI812" s="55"/>
      <c r="BJ812" s="56">
        <f t="shared" si="365"/>
        <v>0</v>
      </c>
      <c r="BK812" s="304"/>
      <c r="BL812" s="268"/>
      <c r="BM812" s="54"/>
      <c r="BN812" s="55"/>
      <c r="BO812" s="55"/>
      <c r="BP812" s="55"/>
      <c r="BQ812" s="56">
        <f t="shared" si="366"/>
        <v>0</v>
      </c>
    </row>
    <row r="813" spans="1:69" x14ac:dyDescent="0.15">
      <c r="A813" s="53" t="s">
        <v>98</v>
      </c>
      <c r="B813" s="54"/>
      <c r="C813" s="55"/>
      <c r="D813" s="55"/>
      <c r="E813" s="55"/>
      <c r="F813" s="56">
        <f t="shared" si="374"/>
        <v>0</v>
      </c>
      <c r="G813" s="54"/>
      <c r="H813" s="55"/>
      <c r="I813" s="55">
        <v>1</v>
      </c>
      <c r="J813" s="55"/>
      <c r="K813" s="56">
        <f t="shared" si="375"/>
        <v>1</v>
      </c>
      <c r="L813" s="54"/>
      <c r="M813" s="55"/>
      <c r="N813" s="55"/>
      <c r="O813" s="55"/>
      <c r="P813" s="56">
        <f t="shared" si="376"/>
        <v>0</v>
      </c>
      <c r="Q813" s="54"/>
      <c r="R813" s="55"/>
      <c r="S813" s="55"/>
      <c r="T813" s="55"/>
      <c r="U813" s="56">
        <f t="shared" si="377"/>
        <v>0</v>
      </c>
      <c r="V813" s="55"/>
      <c r="W813" s="55"/>
      <c r="X813" s="55"/>
      <c r="Y813" s="55"/>
      <c r="Z813" s="56">
        <f t="shared" si="349"/>
        <v>0</v>
      </c>
      <c r="AA813" s="56">
        <f t="shared" si="378"/>
        <v>1</v>
      </c>
      <c r="AB813" s="299">
        <v>44936</v>
      </c>
      <c r="AC813" s="269" t="s">
        <v>99</v>
      </c>
      <c r="AD813" s="54"/>
      <c r="AE813" s="55"/>
      <c r="AF813" s="55"/>
      <c r="AG813" s="55"/>
      <c r="AH813" s="56">
        <f t="shared" ref="AH813" si="380">SUM(AD813:AG813)</f>
        <v>0</v>
      </c>
      <c r="AI813" s="54"/>
      <c r="AJ813" s="55">
        <v>2</v>
      </c>
      <c r="AK813" s="55">
        <v>2</v>
      </c>
      <c r="AL813" s="55"/>
      <c r="AM813" s="56">
        <f t="shared" ref="AM813" si="381">SUM(AI813:AL813)</f>
        <v>4</v>
      </c>
      <c r="AN813" s="54"/>
      <c r="AO813" s="55"/>
      <c r="AP813" s="55"/>
      <c r="AQ813" s="55"/>
      <c r="AR813" s="56">
        <f t="shared" si="372"/>
        <v>0</v>
      </c>
      <c r="AS813" s="54"/>
      <c r="AT813" s="55"/>
      <c r="AU813" s="55"/>
      <c r="AV813" s="55"/>
      <c r="AW813" s="56">
        <f t="shared" si="373"/>
        <v>0</v>
      </c>
      <c r="AX813" s="55"/>
      <c r="AY813" s="55"/>
      <c r="AZ813" s="55"/>
      <c r="BA813" s="55"/>
      <c r="BB813" s="56">
        <f t="shared" ref="BB813" si="382">SUM(AX813:BA813)</f>
        <v>0</v>
      </c>
      <c r="BC813" s="56">
        <f t="shared" si="379"/>
        <v>4</v>
      </c>
      <c r="BD813" s="298">
        <v>44967</v>
      </c>
      <c r="BE813" s="268"/>
      <c r="BF813" s="54"/>
      <c r="BG813" s="55"/>
      <c r="BH813" s="55"/>
      <c r="BI813" s="55"/>
      <c r="BJ813" s="56">
        <f t="shared" si="365"/>
        <v>0</v>
      </c>
      <c r="BK813" s="306"/>
      <c r="BL813" s="268"/>
      <c r="BM813" s="54"/>
      <c r="BN813" s="55"/>
      <c r="BO813" s="55"/>
      <c r="BP813" s="55"/>
      <c r="BQ813" s="56">
        <f t="shared" si="366"/>
        <v>0</v>
      </c>
    </row>
    <row r="814" spans="1:69" x14ac:dyDescent="0.15">
      <c r="A814" s="53" t="s">
        <v>98</v>
      </c>
      <c r="B814" s="54"/>
      <c r="C814" s="55"/>
      <c r="D814" s="55"/>
      <c r="E814" s="55"/>
      <c r="F814" s="56">
        <f t="shared" si="374"/>
        <v>0</v>
      </c>
      <c r="G814" s="54"/>
      <c r="H814" s="55"/>
      <c r="I814" s="55">
        <v>1</v>
      </c>
      <c r="J814" s="55"/>
      <c r="K814" s="56">
        <f t="shared" si="375"/>
        <v>1</v>
      </c>
      <c r="L814" s="54">
        <v>1</v>
      </c>
      <c r="M814" s="55"/>
      <c r="N814" s="55"/>
      <c r="O814" s="55"/>
      <c r="P814" s="56">
        <f t="shared" si="376"/>
        <v>1</v>
      </c>
      <c r="Q814" s="54"/>
      <c r="R814" s="55"/>
      <c r="S814" s="55">
        <v>1</v>
      </c>
      <c r="T814" s="55"/>
      <c r="U814" s="56">
        <f t="shared" si="377"/>
        <v>1</v>
      </c>
      <c r="V814" s="55"/>
      <c r="W814" s="55"/>
      <c r="X814" s="55"/>
      <c r="Y814" s="55"/>
      <c r="Z814" s="56">
        <f t="shared" si="349"/>
        <v>0</v>
      </c>
      <c r="AA814" s="56">
        <f t="shared" si="378"/>
        <v>3</v>
      </c>
      <c r="AB814" s="299">
        <v>44943</v>
      </c>
      <c r="AC814" s="276" t="s">
        <v>471</v>
      </c>
      <c r="AD814" s="54">
        <v>2</v>
      </c>
      <c r="AE814" s="55">
        <v>2</v>
      </c>
      <c r="AF814" s="55">
        <v>2</v>
      </c>
      <c r="AG814" s="55">
        <v>1</v>
      </c>
      <c r="AH814" s="56">
        <f t="shared" si="353"/>
        <v>7</v>
      </c>
      <c r="AI814" s="54">
        <v>5</v>
      </c>
      <c r="AJ814" s="55">
        <v>7</v>
      </c>
      <c r="AK814" s="55">
        <v>8</v>
      </c>
      <c r="AL814" s="55">
        <v>8</v>
      </c>
      <c r="AM814" s="56">
        <f t="shared" si="354"/>
        <v>28</v>
      </c>
      <c r="AN814" s="54"/>
      <c r="AO814" s="55"/>
      <c r="AP814" s="55"/>
      <c r="AQ814" s="55"/>
      <c r="AR814" s="56">
        <f t="shared" si="372"/>
        <v>0</v>
      </c>
      <c r="AS814" s="54"/>
      <c r="AT814" s="55"/>
      <c r="AU814" s="55"/>
      <c r="AV814" s="55"/>
      <c r="AW814" s="56">
        <f t="shared" si="373"/>
        <v>0</v>
      </c>
      <c r="AX814" s="55"/>
      <c r="AY814" s="55"/>
      <c r="AZ814" s="55"/>
      <c r="BA814" s="55"/>
      <c r="BB814" s="56">
        <f t="shared" si="350"/>
        <v>0</v>
      </c>
      <c r="BC814" s="56">
        <f t="shared" si="379"/>
        <v>35</v>
      </c>
      <c r="BD814" s="298">
        <v>44985</v>
      </c>
      <c r="BE814" s="268"/>
      <c r="BF814" s="54"/>
      <c r="BG814" s="55"/>
      <c r="BH814" s="55"/>
      <c r="BI814" s="55"/>
      <c r="BJ814" s="56">
        <f t="shared" si="365"/>
        <v>0</v>
      </c>
      <c r="BK814" s="306"/>
      <c r="BL814" s="268"/>
      <c r="BM814" s="54"/>
      <c r="BN814" s="55"/>
      <c r="BO814" s="55"/>
      <c r="BP814" s="55"/>
      <c r="BQ814" s="56">
        <f t="shared" si="366"/>
        <v>0</v>
      </c>
    </row>
    <row r="815" spans="1:69" x14ac:dyDescent="0.15">
      <c r="A815" s="53" t="s">
        <v>98</v>
      </c>
      <c r="B815" s="54"/>
      <c r="C815" s="55"/>
      <c r="D815" s="55"/>
      <c r="E815" s="55"/>
      <c r="F815" s="56">
        <f t="shared" si="345"/>
        <v>0</v>
      </c>
      <c r="G815" s="54"/>
      <c r="H815" s="55">
        <v>1</v>
      </c>
      <c r="I815" s="55"/>
      <c r="J815" s="55"/>
      <c r="K815" s="56">
        <f t="shared" si="346"/>
        <v>1</v>
      </c>
      <c r="L815" s="54"/>
      <c r="M815" s="55"/>
      <c r="N815" s="55"/>
      <c r="O815" s="55"/>
      <c r="P815" s="56">
        <f t="shared" si="347"/>
        <v>0</v>
      </c>
      <c r="Q815" s="54"/>
      <c r="R815" s="55"/>
      <c r="S815" s="55"/>
      <c r="T815" s="55"/>
      <c r="U815" s="56">
        <f t="shared" si="348"/>
        <v>0</v>
      </c>
      <c r="V815" s="55"/>
      <c r="W815" s="55"/>
      <c r="X815" s="55"/>
      <c r="Y815" s="55"/>
      <c r="Z815" s="56">
        <f t="shared" si="349"/>
        <v>0</v>
      </c>
      <c r="AA815" s="56">
        <f t="shared" si="378"/>
        <v>1</v>
      </c>
      <c r="AB815" s="299">
        <v>44956</v>
      </c>
      <c r="AC815" s="269" t="s">
        <v>473</v>
      </c>
      <c r="AD815" s="54">
        <v>4</v>
      </c>
      <c r="AE815" s="55">
        <v>4</v>
      </c>
      <c r="AF815" s="55">
        <v>2</v>
      </c>
      <c r="AG815" s="55">
        <v>2</v>
      </c>
      <c r="AH815" s="56">
        <f t="shared" si="353"/>
        <v>12</v>
      </c>
      <c r="AI815" s="54">
        <v>4</v>
      </c>
      <c r="AJ815" s="55">
        <v>4</v>
      </c>
      <c r="AK815" s="55">
        <v>2</v>
      </c>
      <c r="AL815" s="55">
        <v>2</v>
      </c>
      <c r="AM815" s="56">
        <f t="shared" si="354"/>
        <v>12</v>
      </c>
      <c r="AN815" s="54">
        <v>4</v>
      </c>
      <c r="AO815" s="55">
        <v>4</v>
      </c>
      <c r="AP815" s="55">
        <v>2</v>
      </c>
      <c r="AQ815" s="55">
        <v>2</v>
      </c>
      <c r="AR815" s="56">
        <f t="shared" si="372"/>
        <v>12</v>
      </c>
      <c r="AS815" s="54">
        <v>4</v>
      </c>
      <c r="AT815" s="55">
        <v>4</v>
      </c>
      <c r="AU815" s="55">
        <v>2</v>
      </c>
      <c r="AV815" s="55">
        <v>2</v>
      </c>
      <c r="AW815" s="56">
        <f t="shared" si="373"/>
        <v>12</v>
      </c>
      <c r="AX815" s="55"/>
      <c r="AY815" s="55"/>
      <c r="AZ815" s="55"/>
      <c r="BA815" s="55"/>
      <c r="BB815" s="56">
        <f t="shared" si="350"/>
        <v>0</v>
      </c>
      <c r="BC815" s="56">
        <f t="shared" si="379"/>
        <v>48</v>
      </c>
      <c r="BD815" s="298">
        <v>45009</v>
      </c>
      <c r="BE815" s="268"/>
      <c r="BF815" s="51"/>
      <c r="BG815" s="52"/>
      <c r="BH815" s="52"/>
      <c r="BI815" s="52"/>
      <c r="BJ815" s="49">
        <f t="shared" si="365"/>
        <v>0</v>
      </c>
      <c r="BK815" s="304"/>
      <c r="BL815" s="268"/>
      <c r="BM815" s="54"/>
      <c r="BN815" s="55"/>
      <c r="BO815" s="55"/>
      <c r="BP815" s="55"/>
      <c r="BQ815" s="56">
        <f t="shared" si="366"/>
        <v>0</v>
      </c>
    </row>
    <row r="816" spans="1:69" x14ac:dyDescent="0.15">
      <c r="A816" s="53" t="s">
        <v>98</v>
      </c>
      <c r="B816" s="54"/>
      <c r="C816" s="55"/>
      <c r="D816" s="55"/>
      <c r="E816" s="55"/>
      <c r="F816" s="56">
        <f t="shared" si="345"/>
        <v>0</v>
      </c>
      <c r="G816" s="54">
        <v>1</v>
      </c>
      <c r="H816" s="55"/>
      <c r="I816" s="55"/>
      <c r="J816" s="55"/>
      <c r="K816" s="56">
        <f t="shared" si="346"/>
        <v>1</v>
      </c>
      <c r="L816" s="54"/>
      <c r="M816" s="55"/>
      <c r="N816" s="55"/>
      <c r="O816" s="55"/>
      <c r="P816" s="56">
        <f t="shared" si="347"/>
        <v>0</v>
      </c>
      <c r="Q816" s="54"/>
      <c r="R816" s="55"/>
      <c r="S816" s="55"/>
      <c r="T816" s="55"/>
      <c r="U816" s="56">
        <f t="shared" si="348"/>
        <v>0</v>
      </c>
      <c r="V816" s="55"/>
      <c r="W816" s="55"/>
      <c r="X816" s="55"/>
      <c r="Y816" s="55"/>
      <c r="Z816" s="56">
        <f t="shared" si="349"/>
        <v>0</v>
      </c>
      <c r="AA816" s="56">
        <f t="shared" si="378"/>
        <v>1</v>
      </c>
      <c r="AB816" s="299">
        <v>44957</v>
      </c>
      <c r="AC816" s="269" t="s">
        <v>474</v>
      </c>
      <c r="AD816" s="54">
        <v>4</v>
      </c>
      <c r="AE816" s="55">
        <v>4</v>
      </c>
      <c r="AF816" s="55">
        <v>2</v>
      </c>
      <c r="AG816" s="55">
        <v>2</v>
      </c>
      <c r="AH816" s="56">
        <f t="shared" si="353"/>
        <v>12</v>
      </c>
      <c r="AI816" s="54">
        <v>4</v>
      </c>
      <c r="AJ816" s="55">
        <v>4</v>
      </c>
      <c r="AK816" s="55">
        <v>2</v>
      </c>
      <c r="AL816" s="55">
        <v>2</v>
      </c>
      <c r="AM816" s="56">
        <f t="shared" si="354"/>
        <v>12</v>
      </c>
      <c r="AN816" s="54">
        <v>4</v>
      </c>
      <c r="AO816" s="55">
        <v>4</v>
      </c>
      <c r="AP816" s="55">
        <v>2</v>
      </c>
      <c r="AQ816" s="55">
        <v>2</v>
      </c>
      <c r="AR816" s="56">
        <f t="shared" si="372"/>
        <v>12</v>
      </c>
      <c r="AS816" s="54">
        <v>4</v>
      </c>
      <c r="AT816" s="55">
        <v>4</v>
      </c>
      <c r="AU816" s="55">
        <v>2</v>
      </c>
      <c r="AV816" s="55">
        <v>2</v>
      </c>
      <c r="AW816" s="56">
        <f t="shared" si="373"/>
        <v>12</v>
      </c>
      <c r="AX816" s="55"/>
      <c r="AY816" s="55"/>
      <c r="AZ816" s="55"/>
      <c r="BA816" s="55"/>
      <c r="BB816" s="56">
        <f t="shared" si="350"/>
        <v>0</v>
      </c>
      <c r="BC816" s="56">
        <f t="shared" si="379"/>
        <v>48</v>
      </c>
      <c r="BD816" s="298">
        <v>45009</v>
      </c>
      <c r="BE816" s="268"/>
      <c r="BF816" s="54"/>
      <c r="BG816" s="55"/>
      <c r="BH816" s="55"/>
      <c r="BI816" s="55"/>
      <c r="BJ816" s="56">
        <f t="shared" si="365"/>
        <v>0</v>
      </c>
      <c r="BK816" s="304"/>
      <c r="BL816" s="268"/>
      <c r="BM816" s="54"/>
      <c r="BN816" s="55"/>
      <c r="BO816" s="55"/>
      <c r="BP816" s="55"/>
      <c r="BQ816" s="56">
        <f t="shared" si="366"/>
        <v>0</v>
      </c>
    </row>
    <row r="817" spans="1:69" x14ac:dyDescent="0.15">
      <c r="A817" s="53" t="s">
        <v>98</v>
      </c>
      <c r="B817" s="54"/>
      <c r="C817" s="55"/>
      <c r="D817" s="55"/>
      <c r="E817" s="55"/>
      <c r="F817" s="56">
        <f t="shared" si="345"/>
        <v>0</v>
      </c>
      <c r="G817" s="54"/>
      <c r="H817" s="55"/>
      <c r="I817" s="55"/>
      <c r="J817" s="55">
        <v>1</v>
      </c>
      <c r="K817" s="56">
        <f t="shared" si="346"/>
        <v>1</v>
      </c>
      <c r="L817" s="54"/>
      <c r="M817" s="55"/>
      <c r="N817" s="55"/>
      <c r="O817" s="55"/>
      <c r="P817" s="56">
        <f t="shared" si="347"/>
        <v>0</v>
      </c>
      <c r="Q817" s="54"/>
      <c r="R817" s="55"/>
      <c r="S817" s="55"/>
      <c r="T817" s="55"/>
      <c r="U817" s="56">
        <f t="shared" si="348"/>
        <v>0</v>
      </c>
      <c r="V817" s="55"/>
      <c r="W817" s="55"/>
      <c r="X817" s="55"/>
      <c r="Y817" s="55"/>
      <c r="Z817" s="56">
        <f t="shared" si="349"/>
        <v>0</v>
      </c>
      <c r="AA817" s="56">
        <f t="shared" si="378"/>
        <v>1</v>
      </c>
      <c r="AB817" s="299">
        <v>44959</v>
      </c>
      <c r="AC817" s="269" t="s">
        <v>99</v>
      </c>
      <c r="AD817" s="54"/>
      <c r="AE817" s="55"/>
      <c r="AF817" s="55"/>
      <c r="AG817" s="55"/>
      <c r="AH817" s="56">
        <f t="shared" ref="AH817" si="383">SUM(AD817:AG817)</f>
        <v>0</v>
      </c>
      <c r="AI817" s="54">
        <v>3</v>
      </c>
      <c r="AJ817" s="55">
        <v>3</v>
      </c>
      <c r="AK817" s="55"/>
      <c r="AL817" s="55"/>
      <c r="AM817" s="56">
        <f t="shared" ref="AM817" si="384">SUM(AI817:AL817)</f>
        <v>6</v>
      </c>
      <c r="AN817" s="54"/>
      <c r="AO817" s="55"/>
      <c r="AP817" s="55"/>
      <c r="AQ817" s="55"/>
      <c r="AR817" s="56">
        <f t="shared" si="372"/>
        <v>0</v>
      </c>
      <c r="AS817" s="54"/>
      <c r="AT817" s="55">
        <v>5</v>
      </c>
      <c r="AU817" s="55">
        <v>5</v>
      </c>
      <c r="AV817" s="55">
        <v>3</v>
      </c>
      <c r="AW817" s="56">
        <f t="shared" si="373"/>
        <v>13</v>
      </c>
      <c r="AX817" s="18">
        <v>5</v>
      </c>
      <c r="AY817" s="18">
        <v>5</v>
      </c>
      <c r="AZ817" s="18">
        <v>5</v>
      </c>
      <c r="BA817" s="18">
        <v>5</v>
      </c>
      <c r="BB817" s="30">
        <f t="shared" ref="BB817" si="385">SUM(AX817:BA817)</f>
        <v>20</v>
      </c>
      <c r="BC817" s="56">
        <f t="shared" si="379"/>
        <v>39</v>
      </c>
      <c r="BD817" s="298">
        <v>44992</v>
      </c>
      <c r="BE817" s="268"/>
      <c r="BF817" s="54"/>
      <c r="BG817" s="55"/>
      <c r="BH817" s="55"/>
      <c r="BI817" s="55"/>
      <c r="BJ817" s="56">
        <f t="shared" si="365"/>
        <v>0</v>
      </c>
      <c r="BK817" s="306"/>
      <c r="BL817" s="268"/>
      <c r="BM817" s="54"/>
      <c r="BN817" s="55"/>
      <c r="BO817" s="55"/>
      <c r="BP817" s="55"/>
      <c r="BQ817" s="56">
        <f t="shared" si="366"/>
        <v>0</v>
      </c>
    </row>
    <row r="818" spans="1:69" x14ac:dyDescent="0.15">
      <c r="A818" s="53" t="s">
        <v>98</v>
      </c>
      <c r="B818" s="54"/>
      <c r="C818" s="55"/>
      <c r="D818" s="55"/>
      <c r="E818" s="55"/>
      <c r="F818" s="56">
        <f t="shared" si="345"/>
        <v>0</v>
      </c>
      <c r="G818" s="54"/>
      <c r="H818" s="55"/>
      <c r="I818" s="55"/>
      <c r="J818" s="55"/>
      <c r="K818" s="56">
        <f t="shared" si="346"/>
        <v>0</v>
      </c>
      <c r="L818" s="54"/>
      <c r="M818" s="55"/>
      <c r="N818" s="55"/>
      <c r="O818" s="55"/>
      <c r="P818" s="56">
        <f t="shared" si="347"/>
        <v>0</v>
      </c>
      <c r="Q818" s="54"/>
      <c r="R818" s="55"/>
      <c r="S818" s="55">
        <v>1</v>
      </c>
      <c r="T818" s="55"/>
      <c r="U818" s="56">
        <f t="shared" si="348"/>
        <v>1</v>
      </c>
      <c r="V818" s="55"/>
      <c r="W818" s="55"/>
      <c r="X818" s="55"/>
      <c r="Y818" s="55"/>
      <c r="Z818" s="56">
        <f t="shared" si="349"/>
        <v>0</v>
      </c>
      <c r="AA818" s="56">
        <f t="shared" si="378"/>
        <v>1</v>
      </c>
      <c r="AB818" s="299">
        <v>44973</v>
      </c>
      <c r="AC818" s="276" t="s">
        <v>477</v>
      </c>
      <c r="AD818" s="54"/>
      <c r="AE818" s="55">
        <v>4</v>
      </c>
      <c r="AF818" s="55">
        <v>3</v>
      </c>
      <c r="AG818" s="55">
        <v>6</v>
      </c>
      <c r="AH818" s="56">
        <f t="shared" ref="AH818" si="386">SUM(AD818:AG818)</f>
        <v>13</v>
      </c>
      <c r="AI818" s="54">
        <v>8</v>
      </c>
      <c r="AJ818" s="55">
        <v>3</v>
      </c>
      <c r="AK818" s="55">
        <v>2</v>
      </c>
      <c r="AL818" s="55">
        <v>4</v>
      </c>
      <c r="AM818" s="56">
        <f t="shared" ref="AM818" si="387">SUM(AI818:AL818)</f>
        <v>17</v>
      </c>
      <c r="AN818" s="54"/>
      <c r="AO818" s="55"/>
      <c r="AP818" s="55"/>
      <c r="AQ818" s="55"/>
      <c r="AR818" s="56">
        <f t="shared" ref="AR818" si="388">SUM(AN818:AQ818)</f>
        <v>0</v>
      </c>
      <c r="AS818" s="54"/>
      <c r="AT818" s="55"/>
      <c r="AU818" s="55"/>
      <c r="AV818" s="55"/>
      <c r="AW818" s="56">
        <f t="shared" ref="AW818" si="389">SUM(AS818:AV818)</f>
        <v>0</v>
      </c>
      <c r="AX818" s="18"/>
      <c r="AY818" s="18"/>
      <c r="AZ818" s="18"/>
      <c r="BA818" s="18"/>
      <c r="BB818" s="30">
        <f t="shared" ref="BB818" si="390">SUM(AX818:BA818)</f>
        <v>0</v>
      </c>
      <c r="BC818" s="56">
        <f t="shared" ref="BC818" si="391">AH818+AM818+AR818+AW818+BB818</f>
        <v>30</v>
      </c>
      <c r="BD818" s="298">
        <v>45035</v>
      </c>
      <c r="BE818" s="268"/>
      <c r="BF818" s="55"/>
      <c r="BG818" s="55"/>
      <c r="BH818" s="55"/>
      <c r="BI818" s="166"/>
      <c r="BJ818" s="49">
        <f t="shared" si="365"/>
        <v>0</v>
      </c>
      <c r="BL818" s="276"/>
      <c r="BM818" s="55"/>
      <c r="BN818" s="55"/>
      <c r="BO818" s="55"/>
      <c r="BP818" s="166"/>
      <c r="BQ818" s="49">
        <f t="shared" si="366"/>
        <v>0</v>
      </c>
    </row>
    <row r="819" spans="1:69" x14ac:dyDescent="0.15">
      <c r="A819" s="276" t="s">
        <v>115</v>
      </c>
      <c r="B819" s="17">
        <v>2</v>
      </c>
      <c r="C819" s="18"/>
      <c r="D819" s="18"/>
      <c r="E819" s="18"/>
      <c r="F819" s="30">
        <f t="shared" si="345"/>
        <v>2</v>
      </c>
      <c r="G819" s="17"/>
      <c r="H819" s="18"/>
      <c r="I819" s="18"/>
      <c r="J819" s="18">
        <v>3</v>
      </c>
      <c r="K819" s="30">
        <f t="shared" si="346"/>
        <v>3</v>
      </c>
      <c r="L819" s="17">
        <f>11+8</f>
        <v>19</v>
      </c>
      <c r="M819" s="18">
        <v>5</v>
      </c>
      <c r="N819" s="18">
        <v>18</v>
      </c>
      <c r="O819" s="18">
        <v>14</v>
      </c>
      <c r="P819" s="30">
        <f t="shared" si="347"/>
        <v>56</v>
      </c>
      <c r="Q819" s="17"/>
      <c r="R819" s="18"/>
      <c r="S819" s="18"/>
      <c r="T819" s="18"/>
      <c r="U819" s="30">
        <f t="shared" si="348"/>
        <v>0</v>
      </c>
      <c r="V819" s="18"/>
      <c r="W819" s="18"/>
      <c r="X819" s="18"/>
      <c r="Y819" s="18"/>
      <c r="Z819" s="30">
        <f t="shared" si="349"/>
        <v>0</v>
      </c>
      <c r="AA819" s="56">
        <f t="shared" si="378"/>
        <v>61</v>
      </c>
      <c r="AB819" s="299">
        <v>44975</v>
      </c>
      <c r="AC819" s="269" t="s">
        <v>478</v>
      </c>
      <c r="AD819" s="54"/>
      <c r="AE819" s="55"/>
      <c r="AF819" s="55">
        <v>1</v>
      </c>
      <c r="AG819" s="55"/>
      <c r="AH819" s="56">
        <f t="shared" si="353"/>
        <v>1</v>
      </c>
      <c r="AI819" s="54"/>
      <c r="AJ819" s="55"/>
      <c r="AK819" s="55"/>
      <c r="AL819" s="55"/>
      <c r="AM819" s="56">
        <f t="shared" si="354"/>
        <v>0</v>
      </c>
      <c r="AN819" s="54"/>
      <c r="AO819" s="55"/>
      <c r="AP819" s="55"/>
      <c r="AQ819" s="55"/>
      <c r="AR819" s="56">
        <f t="shared" si="372"/>
        <v>0</v>
      </c>
      <c r="AS819" s="54"/>
      <c r="AT819" s="55"/>
      <c r="AU819" s="55"/>
      <c r="AV819" s="55"/>
      <c r="AW819" s="56">
        <f t="shared" si="373"/>
        <v>0</v>
      </c>
      <c r="AX819" s="18"/>
      <c r="AY819" s="18"/>
      <c r="AZ819" s="18"/>
      <c r="BA819" s="18"/>
      <c r="BB819" s="30">
        <f t="shared" si="350"/>
        <v>0</v>
      </c>
      <c r="BC819" s="56">
        <f t="shared" si="379"/>
        <v>1</v>
      </c>
      <c r="BD819" s="298">
        <v>45030</v>
      </c>
      <c r="BE819" s="277"/>
      <c r="BF819" s="17"/>
      <c r="BG819" s="18"/>
      <c r="BH819" s="18"/>
      <c r="BI819" s="18"/>
      <c r="BJ819" s="30">
        <f t="shared" si="365"/>
        <v>0</v>
      </c>
      <c r="BL819" s="277"/>
      <c r="BM819" s="17"/>
      <c r="BN819" s="18"/>
      <c r="BO819" s="18"/>
      <c r="BP819" s="18"/>
      <c r="BQ819" s="30">
        <f t="shared" si="366"/>
        <v>0</v>
      </c>
    </row>
    <row r="820" spans="1:69" x14ac:dyDescent="0.15">
      <c r="A820" s="53" t="s">
        <v>98</v>
      </c>
      <c r="B820" s="54"/>
      <c r="C820" s="55"/>
      <c r="D820" s="55"/>
      <c r="E820" s="55"/>
      <c r="F820" s="56">
        <f t="shared" si="345"/>
        <v>0</v>
      </c>
      <c r="G820" s="54"/>
      <c r="H820" s="55"/>
      <c r="I820" s="55">
        <v>1</v>
      </c>
      <c r="J820" s="55"/>
      <c r="K820" s="56">
        <f t="shared" si="346"/>
        <v>1</v>
      </c>
      <c r="L820" s="54"/>
      <c r="M820" s="55">
        <v>1</v>
      </c>
      <c r="N820" s="55"/>
      <c r="O820" s="55"/>
      <c r="P820" s="56">
        <f t="shared" si="347"/>
        <v>1</v>
      </c>
      <c r="Q820" s="54"/>
      <c r="R820" s="55"/>
      <c r="S820" s="55"/>
      <c r="T820" s="55"/>
      <c r="U820" s="56">
        <f t="shared" si="348"/>
        <v>0</v>
      </c>
      <c r="V820" s="55"/>
      <c r="W820" s="55"/>
      <c r="X820" s="55"/>
      <c r="Y820" s="55"/>
      <c r="Z820" s="56">
        <f t="shared" si="349"/>
        <v>0</v>
      </c>
      <c r="AA820" s="56">
        <f t="shared" si="378"/>
        <v>2</v>
      </c>
      <c r="AB820" s="299">
        <v>44984</v>
      </c>
      <c r="AC820" s="269" t="s">
        <v>398</v>
      </c>
      <c r="AD820" s="54"/>
      <c r="AE820" s="55"/>
      <c r="AF820" s="55">
        <v>1</v>
      </c>
      <c r="AG820" s="55"/>
      <c r="AH820" s="56">
        <f t="shared" si="353"/>
        <v>1</v>
      </c>
      <c r="AI820" s="54"/>
      <c r="AJ820" s="55"/>
      <c r="AK820" s="55">
        <v>1</v>
      </c>
      <c r="AL820" s="55"/>
      <c r="AM820" s="56">
        <f t="shared" si="354"/>
        <v>1</v>
      </c>
      <c r="AN820" s="54"/>
      <c r="AO820" s="55"/>
      <c r="AP820" s="55"/>
      <c r="AQ820" s="55"/>
      <c r="AR820" s="56">
        <f t="shared" si="372"/>
        <v>0</v>
      </c>
      <c r="AS820" s="54"/>
      <c r="AT820" s="55"/>
      <c r="AU820" s="55"/>
      <c r="AV820" s="55"/>
      <c r="AW820" s="56">
        <f t="shared" si="373"/>
        <v>0</v>
      </c>
      <c r="AX820" s="55"/>
      <c r="AY820" s="55"/>
      <c r="AZ820" s="55"/>
      <c r="BA820" s="55"/>
      <c r="BB820" s="56">
        <f t="shared" si="350"/>
        <v>0</v>
      </c>
      <c r="BC820" s="56">
        <f t="shared" si="379"/>
        <v>2</v>
      </c>
      <c r="BD820" s="298">
        <v>45037</v>
      </c>
      <c r="BE820" s="276"/>
      <c r="BF820" s="54"/>
      <c r="BG820" s="55"/>
      <c r="BH820" s="55"/>
      <c r="BI820" s="55"/>
      <c r="BJ820" s="56">
        <f t="shared" si="365"/>
        <v>0</v>
      </c>
      <c r="BL820" s="276"/>
      <c r="BM820" s="54"/>
      <c r="BN820" s="55"/>
      <c r="BO820" s="55"/>
      <c r="BP820" s="55"/>
      <c r="BQ820" s="56">
        <f t="shared" si="366"/>
        <v>0</v>
      </c>
    </row>
    <row r="821" spans="1:69" x14ac:dyDescent="0.15">
      <c r="A821" s="53" t="s">
        <v>98</v>
      </c>
      <c r="B821" s="54"/>
      <c r="C821" s="55"/>
      <c r="D821" s="55"/>
      <c r="E821" s="55"/>
      <c r="F821" s="56">
        <f t="shared" si="345"/>
        <v>0</v>
      </c>
      <c r="G821" s="54">
        <v>1</v>
      </c>
      <c r="H821" s="55"/>
      <c r="I821" s="55"/>
      <c r="J821" s="55"/>
      <c r="K821" s="56">
        <f t="shared" si="346"/>
        <v>1</v>
      </c>
      <c r="L821" s="54"/>
      <c r="M821" s="55"/>
      <c r="N821" s="55"/>
      <c r="O821" s="55"/>
      <c r="P821" s="56">
        <f t="shared" si="347"/>
        <v>0</v>
      </c>
      <c r="Q821" s="54"/>
      <c r="R821" s="55"/>
      <c r="S821" s="55"/>
      <c r="T821" s="55"/>
      <c r="U821" s="56">
        <f t="shared" si="348"/>
        <v>0</v>
      </c>
      <c r="V821" s="55"/>
      <c r="W821" s="55"/>
      <c r="X821" s="55"/>
      <c r="Y821" s="55"/>
      <c r="Z821" s="56">
        <f t="shared" si="349"/>
        <v>0</v>
      </c>
      <c r="AA821" s="56">
        <f t="shared" si="378"/>
        <v>1</v>
      </c>
      <c r="AB821" s="299">
        <v>44986</v>
      </c>
      <c r="AC821" s="276"/>
      <c r="AD821" s="54"/>
      <c r="AE821" s="55"/>
      <c r="AF821" s="55"/>
      <c r="AG821" s="55"/>
      <c r="AH821" s="56">
        <f t="shared" si="353"/>
        <v>0</v>
      </c>
      <c r="AI821" s="54"/>
      <c r="AJ821" s="55"/>
      <c r="AK821" s="55"/>
      <c r="AL821" s="55"/>
      <c r="AM821" s="56">
        <f t="shared" si="354"/>
        <v>0</v>
      </c>
      <c r="AN821" s="54"/>
      <c r="AO821" s="55"/>
      <c r="AP821" s="55"/>
      <c r="AQ821" s="55"/>
      <c r="AR821" s="56">
        <f t="shared" si="372"/>
        <v>0</v>
      </c>
      <c r="AS821" s="54"/>
      <c r="AT821" s="55"/>
      <c r="AU821" s="55"/>
      <c r="AV821" s="55"/>
      <c r="AW821" s="56">
        <f t="shared" si="373"/>
        <v>0</v>
      </c>
      <c r="AX821" s="55"/>
      <c r="AY821" s="55"/>
      <c r="AZ821" s="55"/>
      <c r="BA821" s="55"/>
      <c r="BB821" s="56">
        <f t="shared" si="350"/>
        <v>0</v>
      </c>
      <c r="BC821" s="56">
        <f t="shared" si="379"/>
        <v>0</v>
      </c>
      <c r="BE821" s="277"/>
      <c r="BF821" s="54"/>
      <c r="BG821" s="55"/>
      <c r="BH821" s="55"/>
      <c r="BI821" s="55"/>
      <c r="BJ821" s="56">
        <f t="shared" si="365"/>
        <v>0</v>
      </c>
      <c r="BL821" s="277"/>
      <c r="BM821" s="54"/>
      <c r="BN821" s="55"/>
      <c r="BO821" s="55"/>
      <c r="BP821" s="55"/>
      <c r="BQ821" s="56">
        <f t="shared" si="366"/>
        <v>0</v>
      </c>
    </row>
    <row r="822" spans="1:69" x14ac:dyDescent="0.15">
      <c r="A822" s="53" t="s">
        <v>98</v>
      </c>
      <c r="B822" s="54"/>
      <c r="C822" s="55"/>
      <c r="D822" s="55"/>
      <c r="E822" s="55"/>
      <c r="F822" s="56">
        <f t="shared" si="345"/>
        <v>0</v>
      </c>
      <c r="G822" s="54"/>
      <c r="H822" s="55">
        <v>1</v>
      </c>
      <c r="I822" s="55"/>
      <c r="J822" s="55"/>
      <c r="K822" s="56">
        <f t="shared" si="346"/>
        <v>1</v>
      </c>
      <c r="L822" s="54"/>
      <c r="M822" s="55"/>
      <c r="N822" s="55"/>
      <c r="O822" s="55"/>
      <c r="P822" s="56">
        <f t="shared" si="347"/>
        <v>0</v>
      </c>
      <c r="Q822" s="54"/>
      <c r="R822" s="55"/>
      <c r="S822" s="55"/>
      <c r="T822" s="55"/>
      <c r="U822" s="56">
        <f t="shared" si="348"/>
        <v>0</v>
      </c>
      <c r="V822" s="55"/>
      <c r="W822" s="55"/>
      <c r="X822" s="55"/>
      <c r="Y822" s="55"/>
      <c r="Z822" s="56">
        <f t="shared" si="349"/>
        <v>0</v>
      </c>
      <c r="AA822" s="56">
        <f t="shared" si="378"/>
        <v>1</v>
      </c>
      <c r="AB822" s="299">
        <v>44987</v>
      </c>
      <c r="AC822" s="276"/>
      <c r="AD822" s="63"/>
      <c r="AE822" s="63"/>
      <c r="AF822" s="63"/>
      <c r="AG822" s="167"/>
      <c r="AH822" s="64">
        <f t="shared" si="353"/>
        <v>0</v>
      </c>
      <c r="AI822" s="63"/>
      <c r="AJ822" s="63"/>
      <c r="AK822" s="63"/>
      <c r="AL822" s="167"/>
      <c r="AM822" s="64">
        <f t="shared" si="354"/>
        <v>0</v>
      </c>
      <c r="AN822" s="63"/>
      <c r="AO822" s="63"/>
      <c r="AP822" s="63"/>
      <c r="AQ822" s="167"/>
      <c r="AR822" s="64">
        <f t="shared" si="372"/>
        <v>0</v>
      </c>
      <c r="AS822" s="54"/>
      <c r="AT822" s="153"/>
      <c r="AU822" s="153"/>
      <c r="AV822" s="168"/>
      <c r="AW822" s="64">
        <f t="shared" si="373"/>
        <v>0</v>
      </c>
      <c r="AX822" s="55"/>
      <c r="AY822" s="55"/>
      <c r="AZ822" s="55"/>
      <c r="BA822" s="55"/>
      <c r="BB822" s="56">
        <f t="shared" si="350"/>
        <v>0</v>
      </c>
      <c r="BC822" s="56">
        <f t="shared" si="379"/>
        <v>0</v>
      </c>
      <c r="BD822" s="300"/>
      <c r="BE822" s="276"/>
      <c r="BF822" s="54"/>
      <c r="BG822" s="55"/>
      <c r="BH822" s="55"/>
      <c r="BI822" s="55"/>
      <c r="BJ822" s="56">
        <f t="shared" si="365"/>
        <v>0</v>
      </c>
      <c r="BL822" s="276"/>
      <c r="BM822" s="54"/>
      <c r="BN822" s="55"/>
      <c r="BO822" s="55"/>
      <c r="BP822" s="55"/>
      <c r="BQ822" s="56">
        <f t="shared" si="366"/>
        <v>0</v>
      </c>
    </row>
    <row r="823" spans="1:69" x14ac:dyDescent="0.15">
      <c r="A823" s="53" t="s">
        <v>314</v>
      </c>
      <c r="B823" s="54"/>
      <c r="C823" s="55"/>
      <c r="D823" s="55"/>
      <c r="E823" s="55"/>
      <c r="F823" s="56">
        <f t="shared" si="345"/>
        <v>0</v>
      </c>
      <c r="G823" s="54"/>
      <c r="H823" s="55">
        <v>1</v>
      </c>
      <c r="I823" s="55"/>
      <c r="J823" s="55"/>
      <c r="K823" s="56">
        <f t="shared" si="346"/>
        <v>1</v>
      </c>
      <c r="L823" s="54"/>
      <c r="M823" s="55">
        <v>-1</v>
      </c>
      <c r="N823" s="55"/>
      <c r="O823" s="55"/>
      <c r="P823" s="56">
        <f t="shared" si="347"/>
        <v>-1</v>
      </c>
      <c r="Q823" s="54"/>
      <c r="R823" s="55"/>
      <c r="S823" s="55"/>
      <c r="T823" s="55"/>
      <c r="U823" s="56">
        <f t="shared" si="348"/>
        <v>0</v>
      </c>
      <c r="V823" s="55"/>
      <c r="W823" s="55"/>
      <c r="X823" s="55"/>
      <c r="Y823" s="55"/>
      <c r="Z823" s="56">
        <f t="shared" si="349"/>
        <v>0</v>
      </c>
      <c r="AA823" s="56">
        <f t="shared" si="378"/>
        <v>0</v>
      </c>
      <c r="AB823" s="298">
        <v>44988</v>
      </c>
      <c r="AC823" s="269"/>
      <c r="AD823" s="54"/>
      <c r="AE823" s="55"/>
      <c r="AF823" s="55"/>
      <c r="AG823" s="55"/>
      <c r="AH823" s="56">
        <f t="shared" si="353"/>
        <v>0</v>
      </c>
      <c r="AI823" s="54"/>
      <c r="AJ823" s="55"/>
      <c r="AK823" s="55"/>
      <c r="AL823" s="55"/>
      <c r="AM823" s="56">
        <f t="shared" si="354"/>
        <v>0</v>
      </c>
      <c r="AN823" s="54"/>
      <c r="AO823" s="55"/>
      <c r="AP823" s="55"/>
      <c r="AQ823" s="55"/>
      <c r="AR823" s="56">
        <f t="shared" si="372"/>
        <v>0</v>
      </c>
      <c r="AS823" s="54"/>
      <c r="AT823" s="55"/>
      <c r="AU823" s="55"/>
      <c r="AV823" s="55"/>
      <c r="AW823" s="56">
        <f t="shared" si="373"/>
        <v>0</v>
      </c>
      <c r="AX823" s="55"/>
      <c r="AY823" s="55"/>
      <c r="AZ823" s="55"/>
      <c r="BA823" s="55"/>
      <c r="BB823" s="56">
        <f t="shared" si="350"/>
        <v>0</v>
      </c>
      <c r="BC823" s="56">
        <f t="shared" si="379"/>
        <v>0</v>
      </c>
      <c r="BE823" s="277"/>
      <c r="BF823" s="54"/>
      <c r="BG823" s="55"/>
      <c r="BH823" s="55"/>
      <c r="BI823" s="55"/>
      <c r="BJ823" s="56">
        <f t="shared" si="365"/>
        <v>0</v>
      </c>
      <c r="BL823" s="277"/>
      <c r="BM823" s="54"/>
      <c r="BN823" s="55"/>
      <c r="BO823" s="55"/>
      <c r="BP823" s="55"/>
      <c r="BQ823" s="56">
        <f t="shared" si="366"/>
        <v>0</v>
      </c>
    </row>
    <row r="824" spans="1:69" x14ac:dyDescent="0.15">
      <c r="A824" s="53" t="s">
        <v>98</v>
      </c>
      <c r="B824" s="54"/>
      <c r="C824" s="55"/>
      <c r="D824" s="55"/>
      <c r="E824" s="55"/>
      <c r="F824" s="56">
        <f t="shared" si="345"/>
        <v>0</v>
      </c>
      <c r="G824" s="54"/>
      <c r="H824" s="55"/>
      <c r="I824" s="55"/>
      <c r="J824" s="55"/>
      <c r="K824" s="56">
        <f t="shared" si="346"/>
        <v>0</v>
      </c>
      <c r="L824" s="54"/>
      <c r="M824" s="55"/>
      <c r="N824" s="55"/>
      <c r="O824" s="55"/>
      <c r="P824" s="56">
        <f t="shared" si="347"/>
        <v>0</v>
      </c>
      <c r="Q824" s="54"/>
      <c r="R824" s="55"/>
      <c r="S824" s="55">
        <v>1</v>
      </c>
      <c r="T824" s="55"/>
      <c r="U824" s="56">
        <f t="shared" si="348"/>
        <v>1</v>
      </c>
      <c r="V824" s="55"/>
      <c r="W824" s="55"/>
      <c r="X824" s="55"/>
      <c r="Y824" s="55"/>
      <c r="Z824" s="56">
        <f t="shared" si="349"/>
        <v>0</v>
      </c>
      <c r="AA824" s="56">
        <f t="shared" si="378"/>
        <v>1</v>
      </c>
      <c r="AB824" s="299">
        <v>44991</v>
      </c>
      <c r="AC824" s="269"/>
      <c r="AD824" s="55"/>
      <c r="AE824" s="55"/>
      <c r="AF824" s="55"/>
      <c r="AG824" s="166"/>
      <c r="AH824" s="49">
        <f t="shared" si="353"/>
        <v>0</v>
      </c>
      <c r="AI824" s="55"/>
      <c r="AJ824" s="55"/>
      <c r="AK824" s="55"/>
      <c r="AL824" s="166"/>
      <c r="AM824" s="49">
        <f t="shared" si="354"/>
        <v>0</v>
      </c>
      <c r="AN824" s="55"/>
      <c r="AO824" s="55"/>
      <c r="AP824" s="55"/>
      <c r="AQ824" s="166"/>
      <c r="AR824" s="49">
        <f t="shared" si="372"/>
        <v>0</v>
      </c>
      <c r="AS824" s="54"/>
      <c r="AT824" s="55"/>
      <c r="AU824" s="55"/>
      <c r="AV824" s="166"/>
      <c r="AW824" s="49">
        <f t="shared" si="373"/>
        <v>0</v>
      </c>
      <c r="AX824" s="55"/>
      <c r="AY824" s="55"/>
      <c r="AZ824" s="55"/>
      <c r="BA824" s="55"/>
      <c r="BB824" s="56">
        <f t="shared" si="350"/>
        <v>0</v>
      </c>
      <c r="BC824" s="56">
        <f t="shared" si="379"/>
        <v>0</v>
      </c>
      <c r="BE824" s="276"/>
      <c r="BF824" s="54"/>
      <c r="BG824" s="55"/>
      <c r="BH824" s="55"/>
      <c r="BI824" s="55"/>
      <c r="BJ824" s="56">
        <f t="shared" si="365"/>
        <v>0</v>
      </c>
      <c r="BL824" s="276"/>
      <c r="BM824" s="54"/>
      <c r="BN824" s="55"/>
      <c r="BO824" s="55"/>
      <c r="BP824" s="55"/>
      <c r="BQ824" s="56">
        <f t="shared" si="366"/>
        <v>0</v>
      </c>
    </row>
    <row r="825" spans="1:69" x14ac:dyDescent="0.15">
      <c r="A825" s="53" t="s">
        <v>98</v>
      </c>
      <c r="B825" s="54"/>
      <c r="C825" s="55"/>
      <c r="D825" s="55"/>
      <c r="E825" s="55"/>
      <c r="F825" s="56">
        <f t="shared" si="345"/>
        <v>0</v>
      </c>
      <c r="G825" s="54"/>
      <c r="H825" s="55"/>
      <c r="I825" s="55"/>
      <c r="J825" s="55"/>
      <c r="K825" s="56">
        <f t="shared" si="346"/>
        <v>0</v>
      </c>
      <c r="L825" s="54"/>
      <c r="M825" s="55"/>
      <c r="N825" s="55"/>
      <c r="O825" s="55"/>
      <c r="P825" s="56">
        <f t="shared" si="347"/>
        <v>0</v>
      </c>
      <c r="Q825" s="54"/>
      <c r="R825" s="55"/>
      <c r="S825" s="55"/>
      <c r="T825" s="55"/>
      <c r="U825" s="56">
        <f t="shared" si="348"/>
        <v>0</v>
      </c>
      <c r="V825" s="55"/>
      <c r="W825" s="55">
        <v>1</v>
      </c>
      <c r="X825" s="55">
        <v>1</v>
      </c>
      <c r="Y825" s="55"/>
      <c r="Z825" s="56">
        <f t="shared" si="349"/>
        <v>2</v>
      </c>
      <c r="AA825" s="56">
        <f t="shared" si="378"/>
        <v>2</v>
      </c>
      <c r="AB825" s="299">
        <v>44992</v>
      </c>
      <c r="AC825" s="269"/>
      <c r="AD825" s="54"/>
      <c r="AE825" s="55"/>
      <c r="AF825" s="55"/>
      <c r="AG825" s="55"/>
      <c r="AH825" s="56">
        <f t="shared" si="353"/>
        <v>0</v>
      </c>
      <c r="AI825" s="54"/>
      <c r="AJ825" s="55"/>
      <c r="AK825" s="55"/>
      <c r="AL825" s="55"/>
      <c r="AM825" s="56">
        <f t="shared" si="354"/>
        <v>0</v>
      </c>
      <c r="AN825" s="54"/>
      <c r="AO825" s="55"/>
      <c r="AP825" s="55"/>
      <c r="AQ825" s="55"/>
      <c r="AR825" s="56">
        <f t="shared" si="372"/>
        <v>0</v>
      </c>
      <c r="AS825" s="54"/>
      <c r="AT825" s="55"/>
      <c r="AU825" s="55"/>
      <c r="AV825" s="55"/>
      <c r="AW825" s="56">
        <f t="shared" si="373"/>
        <v>0</v>
      </c>
      <c r="AX825" s="55"/>
      <c r="AY825" s="55"/>
      <c r="AZ825" s="55"/>
      <c r="BA825" s="55"/>
      <c r="BB825" s="56">
        <f t="shared" si="350"/>
        <v>0</v>
      </c>
      <c r="BC825" s="56">
        <f t="shared" si="379"/>
        <v>0</v>
      </c>
      <c r="BE825" s="277"/>
      <c r="BF825" s="55"/>
      <c r="BG825" s="55"/>
      <c r="BH825" s="55"/>
      <c r="BI825" s="166"/>
      <c r="BJ825" s="49">
        <f t="shared" si="365"/>
        <v>0</v>
      </c>
      <c r="BL825" s="277"/>
      <c r="BM825" s="55"/>
      <c r="BN825" s="55"/>
      <c r="BO825" s="55"/>
      <c r="BP825" s="166"/>
      <c r="BQ825" s="49">
        <f t="shared" si="366"/>
        <v>0</v>
      </c>
    </row>
    <row r="826" spans="1:69" x14ac:dyDescent="0.15">
      <c r="A826" s="53" t="s">
        <v>109</v>
      </c>
      <c r="B826" s="54"/>
      <c r="C826" s="55"/>
      <c r="D826" s="55"/>
      <c r="E826" s="55"/>
      <c r="F826" s="56">
        <f t="shared" si="345"/>
        <v>0</v>
      </c>
      <c r="G826" s="54"/>
      <c r="H826" s="55"/>
      <c r="I826" s="55"/>
      <c r="J826" s="55"/>
      <c r="K826" s="56">
        <f t="shared" si="346"/>
        <v>0</v>
      </c>
      <c r="L826" s="54"/>
      <c r="M826" s="55"/>
      <c r="N826" s="55"/>
      <c r="O826" s="55"/>
      <c r="P826" s="56">
        <f t="shared" si="347"/>
        <v>0</v>
      </c>
      <c r="Q826" s="54">
        <v>-1</v>
      </c>
      <c r="R826" s="55"/>
      <c r="S826" s="55"/>
      <c r="T826" s="55"/>
      <c r="U826" s="56">
        <f t="shared" si="348"/>
        <v>-1</v>
      </c>
      <c r="V826" s="55"/>
      <c r="W826" s="55">
        <v>-1</v>
      </c>
      <c r="X826" s="55"/>
      <c r="Y826" s="55"/>
      <c r="Z826" s="56">
        <f t="shared" si="349"/>
        <v>-1</v>
      </c>
      <c r="AA826" s="56">
        <f t="shared" si="378"/>
        <v>-2</v>
      </c>
      <c r="AB826" s="299">
        <v>44999</v>
      </c>
      <c r="AC826" s="276"/>
      <c r="AD826" s="54"/>
      <c r="AE826" s="55"/>
      <c r="AF826" s="55"/>
      <c r="AG826" s="55"/>
      <c r="AH826" s="56">
        <f t="shared" si="353"/>
        <v>0</v>
      </c>
      <c r="AI826" s="54"/>
      <c r="AJ826" s="55"/>
      <c r="AK826" s="55"/>
      <c r="AL826" s="55"/>
      <c r="AM826" s="56">
        <f t="shared" si="354"/>
        <v>0</v>
      </c>
      <c r="AN826" s="54"/>
      <c r="AO826" s="55"/>
      <c r="AP826" s="55"/>
      <c r="AQ826" s="55"/>
      <c r="AR826" s="56">
        <f t="shared" si="372"/>
        <v>0</v>
      </c>
      <c r="AS826" s="54"/>
      <c r="AT826" s="55"/>
      <c r="AU826" s="55"/>
      <c r="AV826" s="55"/>
      <c r="AW826" s="56">
        <f t="shared" si="373"/>
        <v>0</v>
      </c>
      <c r="AX826" s="55"/>
      <c r="AY826" s="55"/>
      <c r="AZ826" s="55"/>
      <c r="BA826" s="55"/>
      <c r="BB826" s="56">
        <f t="shared" si="350"/>
        <v>0</v>
      </c>
      <c r="BC826" s="56">
        <f t="shared" si="379"/>
        <v>0</v>
      </c>
      <c r="BE826" s="277"/>
      <c r="BF826" s="54"/>
      <c r="BG826" s="55"/>
      <c r="BH826" s="55"/>
      <c r="BI826" s="55"/>
      <c r="BJ826" s="56">
        <f t="shared" si="365"/>
        <v>0</v>
      </c>
      <c r="BL826" s="277"/>
      <c r="BM826" s="54"/>
      <c r="BN826" s="55"/>
      <c r="BO826" s="55"/>
      <c r="BP826" s="55"/>
      <c r="BQ826" s="56">
        <f t="shared" si="366"/>
        <v>0</v>
      </c>
    </row>
    <row r="827" spans="1:69" x14ac:dyDescent="0.15">
      <c r="A827" s="53" t="s">
        <v>476</v>
      </c>
      <c r="B827" s="54"/>
      <c r="C827" s="55"/>
      <c r="D827" s="55"/>
      <c r="E827" s="55"/>
      <c r="F827" s="56">
        <f t="shared" si="345"/>
        <v>0</v>
      </c>
      <c r="G827" s="54"/>
      <c r="H827" s="55">
        <v>1</v>
      </c>
      <c r="I827" s="55"/>
      <c r="J827" s="55"/>
      <c r="K827" s="56">
        <f t="shared" si="346"/>
        <v>1</v>
      </c>
      <c r="L827" s="54"/>
      <c r="M827" s="55"/>
      <c r="N827" s="55"/>
      <c r="O827" s="55"/>
      <c r="P827" s="56">
        <f t="shared" si="347"/>
        <v>0</v>
      </c>
      <c r="Q827" s="54"/>
      <c r="R827" s="55"/>
      <c r="S827" s="55"/>
      <c r="T827" s="55"/>
      <c r="U827" s="56">
        <f t="shared" si="348"/>
        <v>0</v>
      </c>
      <c r="V827" s="55"/>
      <c r="W827" s="55"/>
      <c r="X827" s="55"/>
      <c r="Y827" s="55"/>
      <c r="Z827" s="56">
        <f t="shared" si="349"/>
        <v>0</v>
      </c>
      <c r="AA827" s="56">
        <f t="shared" si="378"/>
        <v>1</v>
      </c>
      <c r="AB827" s="298">
        <v>45006</v>
      </c>
      <c r="AC827" s="276"/>
      <c r="AD827" s="54"/>
      <c r="AE827" s="55"/>
      <c r="AF827" s="55"/>
      <c r="AG827" s="55"/>
      <c r="AH827" s="56">
        <f t="shared" si="353"/>
        <v>0</v>
      </c>
      <c r="AI827" s="54"/>
      <c r="AJ827" s="55"/>
      <c r="AK827" s="55"/>
      <c r="AL827" s="55"/>
      <c r="AM827" s="56">
        <f t="shared" si="354"/>
        <v>0</v>
      </c>
      <c r="AN827" s="54"/>
      <c r="AO827" s="55"/>
      <c r="AP827" s="55"/>
      <c r="AQ827" s="55"/>
      <c r="AR827" s="56">
        <f t="shared" si="372"/>
        <v>0</v>
      </c>
      <c r="AS827" s="54"/>
      <c r="AT827" s="55"/>
      <c r="AU827" s="55"/>
      <c r="AV827" s="55"/>
      <c r="AW827" s="56">
        <f t="shared" si="373"/>
        <v>0</v>
      </c>
      <c r="AX827" s="55"/>
      <c r="AY827" s="55"/>
      <c r="AZ827" s="55"/>
      <c r="BA827" s="55"/>
      <c r="BB827" s="56">
        <f t="shared" si="350"/>
        <v>0</v>
      </c>
      <c r="BC827" s="56">
        <f t="shared" si="379"/>
        <v>0</v>
      </c>
      <c r="BE827" s="276"/>
      <c r="BF827" s="54"/>
      <c r="BG827" s="55"/>
      <c r="BH827" s="55"/>
      <c r="BI827" s="55"/>
      <c r="BJ827" s="56">
        <f t="shared" si="365"/>
        <v>0</v>
      </c>
      <c r="BL827" s="276"/>
      <c r="BM827" s="54"/>
      <c r="BN827" s="55"/>
      <c r="BO827" s="55"/>
      <c r="BP827" s="55"/>
      <c r="BQ827" s="56">
        <f t="shared" si="366"/>
        <v>0</v>
      </c>
    </row>
    <row r="828" spans="1:69" x14ac:dyDescent="0.15">
      <c r="A828" s="53" t="s">
        <v>98</v>
      </c>
      <c r="B828" s="54"/>
      <c r="C828" s="55"/>
      <c r="D828" s="55"/>
      <c r="E828" s="55"/>
      <c r="F828" s="56">
        <f t="shared" si="345"/>
        <v>0</v>
      </c>
      <c r="G828" s="54"/>
      <c r="H828" s="55"/>
      <c r="I828" s="55"/>
      <c r="J828" s="55"/>
      <c r="K828" s="56">
        <f t="shared" si="346"/>
        <v>0</v>
      </c>
      <c r="L828" s="54"/>
      <c r="M828" s="55"/>
      <c r="N828" s="55"/>
      <c r="O828" s="55"/>
      <c r="P828" s="56">
        <f t="shared" si="347"/>
        <v>0</v>
      </c>
      <c r="Q828" s="54"/>
      <c r="R828" s="55"/>
      <c r="S828" s="55">
        <v>1</v>
      </c>
      <c r="T828" s="55"/>
      <c r="U828" s="56">
        <f t="shared" si="348"/>
        <v>1</v>
      </c>
      <c r="V828" s="55"/>
      <c r="W828" s="55"/>
      <c r="X828" s="55"/>
      <c r="Y828" s="55"/>
      <c r="Z828" s="56">
        <f t="shared" si="349"/>
        <v>0</v>
      </c>
      <c r="AA828" s="56">
        <f t="shared" si="378"/>
        <v>1</v>
      </c>
      <c r="AB828" s="299">
        <v>45012</v>
      </c>
      <c r="AC828" s="276"/>
      <c r="AD828" s="63"/>
      <c r="AE828" s="63"/>
      <c r="AF828" s="63"/>
      <c r="AG828" s="167"/>
      <c r="AH828" s="64">
        <f t="shared" si="353"/>
        <v>0</v>
      </c>
      <c r="AI828" s="63"/>
      <c r="AJ828" s="63"/>
      <c r="AK828" s="63"/>
      <c r="AL828" s="167"/>
      <c r="AM828" s="64">
        <f t="shared" si="354"/>
        <v>0</v>
      </c>
      <c r="AN828" s="63"/>
      <c r="AO828" s="63"/>
      <c r="AP828" s="63"/>
      <c r="AQ828" s="167"/>
      <c r="AR828" s="64">
        <f t="shared" si="372"/>
        <v>0</v>
      </c>
      <c r="AS828" s="62"/>
      <c r="AT828" s="63"/>
      <c r="AU828" s="63"/>
      <c r="AV828" s="167"/>
      <c r="AW828" s="64">
        <f t="shared" si="373"/>
        <v>0</v>
      </c>
      <c r="AX828" s="55"/>
      <c r="AY828" s="55"/>
      <c r="AZ828" s="55"/>
      <c r="BA828" s="55"/>
      <c r="BB828" s="56">
        <f t="shared" si="350"/>
        <v>0</v>
      </c>
      <c r="BC828" s="56">
        <f t="shared" si="379"/>
        <v>0</v>
      </c>
      <c r="BE828" s="276"/>
      <c r="BF828" s="63"/>
      <c r="BG828" s="63"/>
      <c r="BH828" s="63"/>
      <c r="BI828" s="167"/>
      <c r="BJ828" s="64">
        <f t="shared" si="365"/>
        <v>0</v>
      </c>
      <c r="BL828" s="276"/>
      <c r="BM828" s="63"/>
      <c r="BN828" s="63"/>
      <c r="BO828" s="63"/>
      <c r="BP828" s="167"/>
      <c r="BQ828" s="64">
        <f t="shared" si="366"/>
        <v>0</v>
      </c>
    </row>
    <row r="829" spans="1:69" x14ac:dyDescent="0.15">
      <c r="A829" s="53" t="s">
        <v>100</v>
      </c>
      <c r="B829" s="54"/>
      <c r="C829" s="55"/>
      <c r="D829" s="55"/>
      <c r="E829" s="55"/>
      <c r="F829" s="56">
        <f t="shared" si="345"/>
        <v>0</v>
      </c>
      <c r="G829" s="54"/>
      <c r="H829" s="55">
        <v>1</v>
      </c>
      <c r="I829" s="55"/>
      <c r="J829" s="55"/>
      <c r="K829" s="56">
        <f t="shared" si="346"/>
        <v>1</v>
      </c>
      <c r="L829" s="54"/>
      <c r="M829" s="55"/>
      <c r="N829" s="55"/>
      <c r="O829" s="55"/>
      <c r="P829" s="56">
        <f t="shared" si="347"/>
        <v>0</v>
      </c>
      <c r="Q829" s="54"/>
      <c r="R829" s="55"/>
      <c r="S829" s="55"/>
      <c r="T829" s="55"/>
      <c r="U829" s="56">
        <f t="shared" si="348"/>
        <v>0</v>
      </c>
      <c r="V829" s="55"/>
      <c r="W829" s="55"/>
      <c r="X829" s="55"/>
      <c r="Y829" s="55"/>
      <c r="Z829" s="56">
        <f t="shared" si="349"/>
        <v>0</v>
      </c>
      <c r="AA829" s="56">
        <f t="shared" si="378"/>
        <v>1</v>
      </c>
      <c r="AB829" s="298">
        <v>45020</v>
      </c>
      <c r="AC829" s="276"/>
      <c r="AD829" s="54"/>
      <c r="AE829" s="55"/>
      <c r="AF829" s="55"/>
      <c r="AG829" s="55"/>
      <c r="AH829" s="56">
        <f t="shared" si="353"/>
        <v>0</v>
      </c>
      <c r="AI829" s="54"/>
      <c r="AJ829" s="55"/>
      <c r="AK829" s="55"/>
      <c r="AL829" s="55"/>
      <c r="AM829" s="56">
        <f t="shared" si="354"/>
        <v>0</v>
      </c>
      <c r="AN829" s="54"/>
      <c r="AO829" s="55"/>
      <c r="AP829" s="55"/>
      <c r="AQ829" s="55"/>
      <c r="AR829" s="56">
        <f t="shared" si="372"/>
        <v>0</v>
      </c>
      <c r="AS829" s="54"/>
      <c r="AT829" s="55"/>
      <c r="AU829" s="55"/>
      <c r="AV829" s="55"/>
      <c r="AW829" s="56">
        <f t="shared" si="373"/>
        <v>0</v>
      </c>
      <c r="AX829" s="55"/>
      <c r="AY829" s="55"/>
      <c r="AZ829" s="55"/>
      <c r="BA829" s="55"/>
      <c r="BB829" s="56">
        <f t="shared" si="350"/>
        <v>0</v>
      </c>
      <c r="BC829" s="56">
        <f t="shared" si="379"/>
        <v>0</v>
      </c>
      <c r="BE829" s="277"/>
      <c r="BF829" s="54"/>
      <c r="BG829" s="55"/>
      <c r="BH829" s="55"/>
      <c r="BI829" s="55"/>
      <c r="BJ829" s="56">
        <f t="shared" si="365"/>
        <v>0</v>
      </c>
      <c r="BL829" s="277"/>
      <c r="BM829" s="54"/>
      <c r="BN829" s="55"/>
      <c r="BO829" s="55"/>
      <c r="BP829" s="55"/>
      <c r="BQ829" s="56">
        <f t="shared" si="366"/>
        <v>0</v>
      </c>
    </row>
    <row r="830" spans="1:69" x14ac:dyDescent="0.15">
      <c r="A830" s="53" t="s">
        <v>98</v>
      </c>
      <c r="B830" s="17"/>
      <c r="C830" s="18"/>
      <c r="D830" s="18"/>
      <c r="E830" s="18"/>
      <c r="F830" s="30">
        <f t="shared" si="345"/>
        <v>0</v>
      </c>
      <c r="G830" s="17"/>
      <c r="H830" s="18"/>
      <c r="I830" s="18"/>
      <c r="J830" s="18"/>
      <c r="K830" s="30">
        <f t="shared" si="346"/>
        <v>0</v>
      </c>
      <c r="L830" s="17"/>
      <c r="M830" s="18"/>
      <c r="N830" s="18"/>
      <c r="O830" s="18"/>
      <c r="P830" s="30">
        <f t="shared" si="347"/>
        <v>0</v>
      </c>
      <c r="Q830" s="17"/>
      <c r="R830" s="18"/>
      <c r="S830" s="18"/>
      <c r="T830" s="18"/>
      <c r="U830" s="30">
        <f t="shared" si="348"/>
        <v>0</v>
      </c>
      <c r="V830" s="18"/>
      <c r="W830" s="18">
        <v>1</v>
      </c>
      <c r="X830" s="18"/>
      <c r="Y830" s="18"/>
      <c r="Z830" s="30">
        <f t="shared" si="349"/>
        <v>1</v>
      </c>
      <c r="AA830" s="56">
        <f t="shared" si="378"/>
        <v>1</v>
      </c>
      <c r="AB830" s="299">
        <v>45019</v>
      </c>
      <c r="AC830" s="269"/>
      <c r="AD830" s="54"/>
      <c r="AE830" s="55"/>
      <c r="AF830" s="55"/>
      <c r="AG830" s="55"/>
      <c r="AH830" s="56">
        <f t="shared" si="353"/>
        <v>0</v>
      </c>
      <c r="AI830" s="54"/>
      <c r="AJ830" s="55"/>
      <c r="AK830" s="55"/>
      <c r="AL830" s="55"/>
      <c r="AM830" s="56">
        <f t="shared" si="354"/>
        <v>0</v>
      </c>
      <c r="AN830" s="54"/>
      <c r="AO830" s="55"/>
      <c r="AP830" s="55"/>
      <c r="AQ830" s="55"/>
      <c r="AR830" s="56">
        <f t="shared" si="372"/>
        <v>0</v>
      </c>
      <c r="AS830" s="54"/>
      <c r="AT830" s="55"/>
      <c r="AU830" s="55"/>
      <c r="AV830" s="55"/>
      <c r="AW830" s="56">
        <f t="shared" si="373"/>
        <v>0</v>
      </c>
      <c r="AX830" s="18"/>
      <c r="AY830" s="18"/>
      <c r="AZ830" s="18"/>
      <c r="BA830" s="18"/>
      <c r="BB830" s="30">
        <f t="shared" si="350"/>
        <v>0</v>
      </c>
      <c r="BC830" s="56">
        <f t="shared" si="379"/>
        <v>0</v>
      </c>
      <c r="BE830" s="276"/>
      <c r="BF830" s="54"/>
      <c r="BG830" s="55"/>
      <c r="BH830" s="55"/>
      <c r="BI830" s="55"/>
      <c r="BJ830" s="56">
        <f t="shared" si="365"/>
        <v>0</v>
      </c>
      <c r="BL830" s="276"/>
      <c r="BM830" s="54"/>
      <c r="BN830" s="55"/>
      <c r="BO830" s="55"/>
      <c r="BP830" s="55"/>
      <c r="BQ830" s="56">
        <f t="shared" si="366"/>
        <v>0</v>
      </c>
    </row>
    <row r="831" spans="1:69" x14ac:dyDescent="0.15">
      <c r="A831" s="53" t="s">
        <v>98</v>
      </c>
      <c r="B831" s="54"/>
      <c r="C831" s="55"/>
      <c r="D831" s="55"/>
      <c r="E831" s="55"/>
      <c r="F831" s="56">
        <f t="shared" si="345"/>
        <v>0</v>
      </c>
      <c r="G831" s="54"/>
      <c r="H831" s="55"/>
      <c r="I831" s="55"/>
      <c r="J831" s="55"/>
      <c r="K831" s="56">
        <f t="shared" si="346"/>
        <v>0</v>
      </c>
      <c r="L831" s="54"/>
      <c r="M831" s="55"/>
      <c r="N831" s="55"/>
      <c r="O831" s="55"/>
      <c r="P831" s="56">
        <f t="shared" si="347"/>
        <v>0</v>
      </c>
      <c r="Q831" s="54"/>
      <c r="R831" s="55">
        <v>1</v>
      </c>
      <c r="S831" s="55"/>
      <c r="T831" s="55"/>
      <c r="U831" s="56">
        <f t="shared" si="348"/>
        <v>1</v>
      </c>
      <c r="V831" s="55"/>
      <c r="W831" s="55"/>
      <c r="X831" s="55"/>
      <c r="Y831" s="55"/>
      <c r="Z831" s="56">
        <f t="shared" si="349"/>
        <v>0</v>
      </c>
      <c r="AA831" s="56">
        <f t="shared" si="378"/>
        <v>1</v>
      </c>
      <c r="AB831" s="299">
        <v>45020</v>
      </c>
      <c r="AC831" s="276"/>
      <c r="AD831" s="54"/>
      <c r="AE831" s="55"/>
      <c r="AF831" s="55"/>
      <c r="AG831" s="55"/>
      <c r="AH831" s="56">
        <f t="shared" si="353"/>
        <v>0</v>
      </c>
      <c r="AI831" s="54"/>
      <c r="AJ831" s="55"/>
      <c r="AK831" s="55"/>
      <c r="AL831" s="55"/>
      <c r="AM831" s="56">
        <f t="shared" si="354"/>
        <v>0</v>
      </c>
      <c r="AN831" s="54"/>
      <c r="AO831" s="55"/>
      <c r="AP831" s="55"/>
      <c r="AQ831" s="55"/>
      <c r="AR831" s="56">
        <f t="shared" si="372"/>
        <v>0</v>
      </c>
      <c r="AS831" s="54"/>
      <c r="AT831" s="55"/>
      <c r="AU831" s="55"/>
      <c r="AV831" s="55"/>
      <c r="AW831" s="56">
        <f t="shared" si="373"/>
        <v>0</v>
      </c>
      <c r="AX831" s="55"/>
      <c r="AY831" s="55"/>
      <c r="AZ831" s="55"/>
      <c r="BA831" s="55"/>
      <c r="BB831" s="56">
        <f t="shared" si="350"/>
        <v>0</v>
      </c>
      <c r="BC831" s="56">
        <f t="shared" si="379"/>
        <v>0</v>
      </c>
      <c r="BE831" s="277"/>
      <c r="BF831" s="54"/>
      <c r="BG831" s="55"/>
      <c r="BH831" s="55"/>
      <c r="BI831" s="55"/>
      <c r="BJ831" s="56">
        <f t="shared" si="365"/>
        <v>0</v>
      </c>
      <c r="BL831" s="277"/>
      <c r="BM831" s="54"/>
      <c r="BN831" s="55"/>
      <c r="BO831" s="55"/>
      <c r="BP831" s="55"/>
      <c r="BQ831" s="56">
        <f t="shared" si="366"/>
        <v>0</v>
      </c>
    </row>
    <row r="832" spans="1:69" x14ac:dyDescent="0.15">
      <c r="A832" s="53" t="s">
        <v>98</v>
      </c>
      <c r="B832" s="62"/>
      <c r="C832" s="63"/>
      <c r="D832" s="63"/>
      <c r="E832" s="63"/>
      <c r="F832" s="56">
        <f t="shared" si="345"/>
        <v>0</v>
      </c>
      <c r="G832" s="62"/>
      <c r="H832" s="63">
        <v>1</v>
      </c>
      <c r="I832" s="63"/>
      <c r="J832" s="63"/>
      <c r="K832" s="56">
        <f t="shared" si="346"/>
        <v>1</v>
      </c>
      <c r="L832" s="62"/>
      <c r="M832" s="63"/>
      <c r="N832" s="63"/>
      <c r="O832" s="63"/>
      <c r="P832" s="56">
        <f t="shared" si="347"/>
        <v>0</v>
      </c>
      <c r="Q832" s="62"/>
      <c r="R832" s="63"/>
      <c r="S832" s="63"/>
      <c r="T832" s="63"/>
      <c r="U832" s="56">
        <f t="shared" si="348"/>
        <v>0</v>
      </c>
      <c r="V832" s="63"/>
      <c r="W832" s="63"/>
      <c r="X832" s="63"/>
      <c r="Y832" s="63"/>
      <c r="Z832" s="56">
        <f t="shared" si="349"/>
        <v>0</v>
      </c>
      <c r="AA832" s="56">
        <f t="shared" si="378"/>
        <v>1</v>
      </c>
      <c r="AB832" s="299">
        <v>45021</v>
      </c>
      <c r="AC832" s="276"/>
      <c r="AD832" s="62"/>
      <c r="AE832" s="63"/>
      <c r="AF832" s="63"/>
      <c r="AG832" s="63"/>
      <c r="AH832" s="56">
        <f t="shared" si="353"/>
        <v>0</v>
      </c>
      <c r="AI832" s="62"/>
      <c r="AJ832" s="63"/>
      <c r="AK832" s="63"/>
      <c r="AL832" s="63"/>
      <c r="AM832" s="56">
        <f t="shared" si="354"/>
        <v>0</v>
      </c>
      <c r="AN832" s="62"/>
      <c r="AO832" s="63"/>
      <c r="AP832" s="63"/>
      <c r="AQ832" s="63"/>
      <c r="AR832" s="56">
        <f t="shared" si="372"/>
        <v>0</v>
      </c>
      <c r="AS832" s="62"/>
      <c r="AT832" s="63"/>
      <c r="AU832" s="63"/>
      <c r="AV832" s="63"/>
      <c r="AW832" s="56">
        <f t="shared" si="373"/>
        <v>0</v>
      </c>
      <c r="AX832" s="63"/>
      <c r="AY832" s="63"/>
      <c r="AZ832" s="63"/>
      <c r="BA832" s="63"/>
      <c r="BB832" s="56">
        <f t="shared" si="350"/>
        <v>0</v>
      </c>
      <c r="BC832" s="56">
        <f t="shared" si="379"/>
        <v>0</v>
      </c>
      <c r="BD832" s="300"/>
      <c r="BE832" s="268"/>
      <c r="BF832" s="62"/>
      <c r="BG832" s="63"/>
      <c r="BH832" s="63"/>
      <c r="BI832" s="63"/>
      <c r="BJ832" s="56">
        <f t="shared" si="365"/>
        <v>0</v>
      </c>
      <c r="BL832" s="268"/>
      <c r="BM832" s="62"/>
      <c r="BN832" s="63"/>
      <c r="BO832" s="63"/>
      <c r="BP832" s="63"/>
      <c r="BQ832" s="56">
        <f t="shared" si="366"/>
        <v>0</v>
      </c>
    </row>
    <row r="833" spans="1:69" x14ac:dyDescent="0.15">
      <c r="A833" s="53" t="s">
        <v>98</v>
      </c>
      <c r="B833" s="54"/>
      <c r="C833" s="55"/>
      <c r="D833" s="55">
        <v>1</v>
      </c>
      <c r="E833" s="55"/>
      <c r="F833" s="56">
        <f t="shared" si="345"/>
        <v>1</v>
      </c>
      <c r="G833" s="54"/>
      <c r="H833" s="55">
        <v>1</v>
      </c>
      <c r="I833" s="55"/>
      <c r="J833" s="55"/>
      <c r="K833" s="56">
        <f t="shared" si="346"/>
        <v>1</v>
      </c>
      <c r="L833" s="54"/>
      <c r="M833" s="55"/>
      <c r="N833" s="55"/>
      <c r="O833" s="55"/>
      <c r="P833" s="56">
        <f t="shared" si="347"/>
        <v>0</v>
      </c>
      <c r="Q833" s="54"/>
      <c r="R833" s="55"/>
      <c r="S833" s="55"/>
      <c r="T833" s="55"/>
      <c r="U833" s="56">
        <f t="shared" si="348"/>
        <v>0</v>
      </c>
      <c r="V833" s="55"/>
      <c r="W833" s="55"/>
      <c r="X833" s="55"/>
      <c r="Y833" s="55"/>
      <c r="Z833" s="56">
        <f t="shared" si="349"/>
        <v>0</v>
      </c>
      <c r="AA833" s="56">
        <f t="shared" si="378"/>
        <v>2</v>
      </c>
      <c r="AB833" s="299">
        <v>45026</v>
      </c>
      <c r="AC833" s="338"/>
      <c r="AD833" s="54"/>
      <c r="AE833" s="55"/>
      <c r="AF833" s="55"/>
      <c r="AG833" s="55"/>
      <c r="AH833" s="56">
        <f t="shared" si="353"/>
        <v>0</v>
      </c>
      <c r="AI833" s="54"/>
      <c r="AJ833" s="55"/>
      <c r="AK833" s="55"/>
      <c r="AL833" s="55"/>
      <c r="AM833" s="56">
        <f t="shared" si="354"/>
        <v>0</v>
      </c>
      <c r="AN833" s="54"/>
      <c r="AO833" s="55"/>
      <c r="AP833" s="55"/>
      <c r="AQ833" s="55"/>
      <c r="AR833" s="56">
        <f t="shared" si="372"/>
        <v>0</v>
      </c>
      <c r="AS833" s="54"/>
      <c r="AT833" s="55"/>
      <c r="AU833" s="55"/>
      <c r="AV833" s="55"/>
      <c r="AW833" s="56">
        <f t="shared" si="373"/>
        <v>0</v>
      </c>
      <c r="AX833" s="55"/>
      <c r="AY833" s="55"/>
      <c r="AZ833" s="55"/>
      <c r="BA833" s="55"/>
      <c r="BB833" s="56">
        <f t="shared" si="350"/>
        <v>0</v>
      </c>
      <c r="BC833" s="56">
        <f t="shared" si="379"/>
        <v>0</v>
      </c>
      <c r="BD833" s="300"/>
      <c r="BE833" s="268"/>
      <c r="BF833" s="54"/>
      <c r="BG833" s="55"/>
      <c r="BH833" s="55"/>
      <c r="BI833" s="55"/>
      <c r="BJ833" s="56">
        <f t="shared" si="365"/>
        <v>0</v>
      </c>
      <c r="BL833" s="268"/>
      <c r="BM833" s="54"/>
      <c r="BN833" s="55"/>
      <c r="BO833" s="55"/>
      <c r="BP833" s="55"/>
      <c r="BQ833" s="56">
        <f t="shared" si="366"/>
        <v>0</v>
      </c>
    </row>
    <row r="834" spans="1:69" x14ac:dyDescent="0.15">
      <c r="A834" s="53" t="s">
        <v>98</v>
      </c>
      <c r="B834" s="54"/>
      <c r="C834" s="55"/>
      <c r="D834" s="55"/>
      <c r="E834" s="55"/>
      <c r="F834" s="56">
        <f t="shared" si="345"/>
        <v>0</v>
      </c>
      <c r="G834" s="54"/>
      <c r="H834" s="55"/>
      <c r="I834" s="55"/>
      <c r="J834" s="55"/>
      <c r="K834" s="56">
        <f t="shared" si="346"/>
        <v>0</v>
      </c>
      <c r="L834" s="54"/>
      <c r="M834" s="55"/>
      <c r="N834" s="55"/>
      <c r="O834" s="55"/>
      <c r="P834" s="56">
        <f t="shared" si="347"/>
        <v>0</v>
      </c>
      <c r="Q834" s="54"/>
      <c r="R834" s="55"/>
      <c r="S834" s="55">
        <v>1</v>
      </c>
      <c r="T834" s="55"/>
      <c r="U834" s="56">
        <f t="shared" si="348"/>
        <v>1</v>
      </c>
      <c r="V834" s="55"/>
      <c r="W834" s="55"/>
      <c r="X834" s="55"/>
      <c r="Y834" s="55"/>
      <c r="Z834" s="56">
        <f t="shared" si="349"/>
        <v>0</v>
      </c>
      <c r="AA834" s="56">
        <f t="shared" si="378"/>
        <v>1</v>
      </c>
      <c r="AB834" s="299">
        <v>45027</v>
      </c>
      <c r="AC834" s="338"/>
      <c r="AD834" s="54"/>
      <c r="AE834" s="55"/>
      <c r="AF834" s="55"/>
      <c r="AG834" s="55"/>
      <c r="AH834" s="56">
        <f t="shared" ref="AH834:AH836" si="392">SUM(AD834:AG834)</f>
        <v>0</v>
      </c>
      <c r="AI834" s="54"/>
      <c r="AJ834" s="55"/>
      <c r="AK834" s="55"/>
      <c r="AL834" s="55"/>
      <c r="AM834" s="56">
        <f t="shared" ref="AM834:AM836" si="393">SUM(AI834:AL834)</f>
        <v>0</v>
      </c>
      <c r="AN834" s="54"/>
      <c r="AO834" s="55"/>
      <c r="AP834" s="55"/>
      <c r="AQ834" s="55"/>
      <c r="AR834" s="56">
        <f t="shared" ref="AR834:AR836" si="394">SUM(AN834:AQ834)</f>
        <v>0</v>
      </c>
      <c r="AS834" s="54"/>
      <c r="AT834" s="55"/>
      <c r="AU834" s="55"/>
      <c r="AV834" s="55"/>
      <c r="AW834" s="56">
        <f t="shared" ref="AW834:AW836" si="395">SUM(AS834:AV834)</f>
        <v>0</v>
      </c>
      <c r="AX834" s="55"/>
      <c r="AY834" s="55"/>
      <c r="AZ834" s="55"/>
      <c r="BA834" s="55"/>
      <c r="BB834" s="56">
        <f t="shared" ref="BB834:BB836" si="396">SUM(AX834:BA834)</f>
        <v>0</v>
      </c>
      <c r="BC834" s="56">
        <f t="shared" ref="BC834:BC836" si="397">AH834+AM834+AR834+AW834+BB834</f>
        <v>0</v>
      </c>
      <c r="BD834" s="300"/>
      <c r="BE834" s="268"/>
      <c r="BF834" s="62"/>
      <c r="BG834" s="63"/>
      <c r="BH834" s="63"/>
      <c r="BI834" s="63"/>
      <c r="BJ834" s="56">
        <f t="shared" si="365"/>
        <v>0</v>
      </c>
      <c r="BL834" s="268"/>
      <c r="BM834" s="62"/>
      <c r="BN834" s="63"/>
      <c r="BO834" s="63"/>
      <c r="BP834" s="63"/>
      <c r="BQ834" s="56">
        <f t="shared" si="366"/>
        <v>0</v>
      </c>
    </row>
    <row r="835" spans="1:69" x14ac:dyDescent="0.15">
      <c r="A835" s="53" t="s">
        <v>98</v>
      </c>
      <c r="B835" s="54"/>
      <c r="C835" s="55"/>
      <c r="D835" s="55"/>
      <c r="E835" s="55"/>
      <c r="F835" s="56">
        <f t="shared" si="345"/>
        <v>0</v>
      </c>
      <c r="G835" s="54"/>
      <c r="H835" s="55"/>
      <c r="I835" s="55"/>
      <c r="J835" s="55"/>
      <c r="K835" s="56">
        <f t="shared" si="346"/>
        <v>0</v>
      </c>
      <c r="L835" s="54"/>
      <c r="M835" s="55"/>
      <c r="N835" s="55"/>
      <c r="O835" s="55"/>
      <c r="P835" s="56">
        <f t="shared" si="347"/>
        <v>0</v>
      </c>
      <c r="Q835" s="54"/>
      <c r="R835" s="55"/>
      <c r="S835" s="55"/>
      <c r="T835" s="55"/>
      <c r="U835" s="56">
        <f t="shared" si="348"/>
        <v>0</v>
      </c>
      <c r="V835" s="55"/>
      <c r="W835" s="55">
        <v>1</v>
      </c>
      <c r="X835" s="55"/>
      <c r="Y835" s="55"/>
      <c r="Z835" s="56">
        <f t="shared" si="349"/>
        <v>1</v>
      </c>
      <c r="AA835" s="56">
        <f t="shared" si="378"/>
        <v>1</v>
      </c>
      <c r="AB835" s="299">
        <v>45028</v>
      </c>
      <c r="AC835" s="338"/>
      <c r="AD835" s="54"/>
      <c r="AE835" s="55"/>
      <c r="AF835" s="55"/>
      <c r="AG835" s="55"/>
      <c r="AH835" s="56">
        <f t="shared" si="392"/>
        <v>0</v>
      </c>
      <c r="AI835" s="54"/>
      <c r="AJ835" s="55"/>
      <c r="AK835" s="55"/>
      <c r="AL835" s="55"/>
      <c r="AM835" s="56">
        <f t="shared" si="393"/>
        <v>0</v>
      </c>
      <c r="AN835" s="54"/>
      <c r="AO835" s="55"/>
      <c r="AP835" s="55"/>
      <c r="AQ835" s="55"/>
      <c r="AR835" s="56">
        <f t="shared" si="394"/>
        <v>0</v>
      </c>
      <c r="AS835" s="54"/>
      <c r="AT835" s="55"/>
      <c r="AU835" s="55"/>
      <c r="AV835" s="55"/>
      <c r="AW835" s="56">
        <f t="shared" si="395"/>
        <v>0</v>
      </c>
      <c r="AX835" s="55"/>
      <c r="AY835" s="55"/>
      <c r="AZ835" s="55"/>
      <c r="BA835" s="55"/>
      <c r="BB835" s="56">
        <f t="shared" si="396"/>
        <v>0</v>
      </c>
      <c r="BC835" s="56">
        <f t="shared" si="397"/>
        <v>0</v>
      </c>
      <c r="BD835" s="300"/>
      <c r="BE835" s="277"/>
      <c r="BF835" s="54"/>
      <c r="BG835" s="55"/>
      <c r="BH835" s="55"/>
      <c r="BI835" s="55"/>
      <c r="BJ835" s="56">
        <f t="shared" si="365"/>
        <v>0</v>
      </c>
      <c r="BL835" s="277"/>
      <c r="BM835" s="54"/>
      <c r="BN835" s="55"/>
      <c r="BO835" s="55"/>
      <c r="BP835" s="55"/>
      <c r="BQ835" s="56">
        <f t="shared" si="366"/>
        <v>0</v>
      </c>
    </row>
    <row r="836" spans="1:69" ht="14.25" thickBot="1" x14ac:dyDescent="0.2">
      <c r="A836" s="53" t="s">
        <v>98</v>
      </c>
      <c r="B836" s="33"/>
      <c r="C836" s="34"/>
      <c r="D836" s="34"/>
      <c r="E836" s="34"/>
      <c r="F836" s="30">
        <f t="shared" si="345"/>
        <v>0</v>
      </c>
      <c r="G836" s="33"/>
      <c r="H836" s="34"/>
      <c r="I836" s="34"/>
      <c r="J836" s="34">
        <v>1</v>
      </c>
      <c r="K836" s="30">
        <f t="shared" si="346"/>
        <v>1</v>
      </c>
      <c r="L836" s="33"/>
      <c r="M836" s="34"/>
      <c r="N836" s="34"/>
      <c r="O836" s="34"/>
      <c r="P836" s="30">
        <f t="shared" si="347"/>
        <v>0</v>
      </c>
      <c r="Q836" s="33"/>
      <c r="R836" s="34"/>
      <c r="S836" s="34"/>
      <c r="T836" s="34"/>
      <c r="U836" s="30">
        <f t="shared" si="348"/>
        <v>0</v>
      </c>
      <c r="V836" s="34"/>
      <c r="W836" s="34"/>
      <c r="X836" s="34"/>
      <c r="Y836" s="34"/>
      <c r="Z836" s="30">
        <f t="shared" si="349"/>
        <v>0</v>
      </c>
      <c r="AA836" s="56">
        <f>F836+K836+P836+U836+Z836</f>
        <v>1</v>
      </c>
      <c r="AB836" s="299">
        <v>45030</v>
      </c>
      <c r="AC836" s="338"/>
      <c r="AD836" s="54"/>
      <c r="AE836" s="55"/>
      <c r="AF836" s="55"/>
      <c r="AG836" s="55"/>
      <c r="AH836" s="56">
        <f t="shared" si="392"/>
        <v>0</v>
      </c>
      <c r="AI836" s="54"/>
      <c r="AJ836" s="55"/>
      <c r="AK836" s="55"/>
      <c r="AL836" s="55"/>
      <c r="AM836" s="56">
        <f t="shared" si="393"/>
        <v>0</v>
      </c>
      <c r="AN836" s="54"/>
      <c r="AO836" s="55"/>
      <c r="AP836" s="55"/>
      <c r="AQ836" s="55"/>
      <c r="AR836" s="56">
        <f t="shared" si="394"/>
        <v>0</v>
      </c>
      <c r="AS836" s="54"/>
      <c r="AT836" s="55"/>
      <c r="AU836" s="55"/>
      <c r="AV836" s="55"/>
      <c r="AW836" s="56">
        <f t="shared" si="395"/>
        <v>0</v>
      </c>
      <c r="AX836" s="55"/>
      <c r="AY836" s="55"/>
      <c r="AZ836" s="55"/>
      <c r="BA836" s="55"/>
      <c r="BB836" s="56">
        <f t="shared" si="396"/>
        <v>0</v>
      </c>
      <c r="BC836" s="56">
        <f t="shared" si="397"/>
        <v>0</v>
      </c>
      <c r="BD836" s="300"/>
      <c r="BE836" s="282"/>
      <c r="BF836" s="33"/>
      <c r="BG836" s="34"/>
      <c r="BH836" s="34"/>
      <c r="BI836" s="34"/>
      <c r="BJ836" s="30">
        <f t="shared" si="365"/>
        <v>0</v>
      </c>
      <c r="BL836" s="282"/>
      <c r="BM836" s="33"/>
      <c r="BN836" s="34"/>
      <c r="BO836" s="34"/>
      <c r="BP836" s="34"/>
      <c r="BQ836" s="30">
        <f t="shared" si="366"/>
        <v>0</v>
      </c>
    </row>
    <row r="837" spans="1:69" ht="15" thickBot="1" x14ac:dyDescent="0.2">
      <c r="A837" s="9" t="s">
        <v>15</v>
      </c>
      <c r="B837" s="36">
        <f>SUM(B811:B836)</f>
        <v>11</v>
      </c>
      <c r="C837" s="37">
        <f>SUM(C811:C836)</f>
        <v>5</v>
      </c>
      <c r="D837" s="37">
        <f>SUM(D811:D836)</f>
        <v>7</v>
      </c>
      <c r="E837" s="38">
        <f>SUM(E811:E836)</f>
        <v>4</v>
      </c>
      <c r="F837" s="25">
        <f t="shared" si="345"/>
        <v>27</v>
      </c>
      <c r="G837" s="36">
        <f>SUM(G811:G836)</f>
        <v>12</v>
      </c>
      <c r="H837" s="37">
        <f>SUM(H811:H836)</f>
        <v>9</v>
      </c>
      <c r="I837" s="37">
        <f>SUM(I811:I836)</f>
        <v>6</v>
      </c>
      <c r="J837" s="38">
        <f>SUM(J811:J836)</f>
        <v>7</v>
      </c>
      <c r="K837" s="25">
        <f t="shared" si="346"/>
        <v>34</v>
      </c>
      <c r="L837" s="36">
        <f>SUM(L811:L836)</f>
        <v>31</v>
      </c>
      <c r="M837" s="37">
        <f>SUM(M811:M836)</f>
        <v>9</v>
      </c>
      <c r="N837" s="37">
        <f>SUM(N811:N836)</f>
        <v>24</v>
      </c>
      <c r="O837" s="38">
        <f>SUM(O811:O836)</f>
        <v>19</v>
      </c>
      <c r="P837" s="25">
        <f t="shared" si="347"/>
        <v>83</v>
      </c>
      <c r="Q837" s="36">
        <f>SUM(Q811:Q836)</f>
        <v>3</v>
      </c>
      <c r="R837" s="37">
        <f>SUM(R811:R836)</f>
        <v>1</v>
      </c>
      <c r="S837" s="37">
        <f>SUM(S811:S836)</f>
        <v>8</v>
      </c>
      <c r="T837" s="38">
        <f>SUM(T811:T836)</f>
        <v>0</v>
      </c>
      <c r="U837" s="25">
        <f t="shared" si="348"/>
        <v>12</v>
      </c>
      <c r="V837" s="322">
        <f>SUM(V811:V836)</f>
        <v>0</v>
      </c>
      <c r="W837" s="37">
        <f>SUM(W811:W836)</f>
        <v>2</v>
      </c>
      <c r="X837" s="37">
        <f>SUM(X811:X836)</f>
        <v>1</v>
      </c>
      <c r="Y837" s="38">
        <f>SUM(Y811:Y836)</f>
        <v>0</v>
      </c>
      <c r="Z837" s="25">
        <f t="shared" si="349"/>
        <v>3</v>
      </c>
      <c r="AA837" s="161">
        <f>F837+K837+P837+U837+Z837</f>
        <v>159</v>
      </c>
      <c r="AC837" s="278" t="s">
        <v>15</v>
      </c>
      <c r="AD837" s="36">
        <f>SUM(AD811:AD836)</f>
        <v>60</v>
      </c>
      <c r="AE837" s="37">
        <f>SUM(AE811:AE836)</f>
        <v>59</v>
      </c>
      <c r="AF837" s="37">
        <f>SUM(AF811:AF836)</f>
        <v>36</v>
      </c>
      <c r="AG837" s="38">
        <f>SUM(AG811:AG836)</f>
        <v>31</v>
      </c>
      <c r="AH837" s="25">
        <f t="shared" si="353"/>
        <v>186</v>
      </c>
      <c r="AI837" s="36">
        <f>SUM(AI811:AI836)</f>
        <v>40</v>
      </c>
      <c r="AJ837" s="37">
        <f>SUM(AJ811:AJ836)</f>
        <v>49</v>
      </c>
      <c r="AK837" s="37">
        <f>SUM(AK811:AK836)</f>
        <v>32</v>
      </c>
      <c r="AL837" s="38">
        <f>SUM(AL811:AL836)</f>
        <v>31</v>
      </c>
      <c r="AM837" s="25">
        <f t="shared" si="354"/>
        <v>152</v>
      </c>
      <c r="AN837" s="36">
        <f>SUM(AN811:AN836)</f>
        <v>8</v>
      </c>
      <c r="AO837" s="37">
        <f>SUM(AO811:AO836)</f>
        <v>8</v>
      </c>
      <c r="AP837" s="37">
        <f>SUM(AP811:AP836)</f>
        <v>4</v>
      </c>
      <c r="AQ837" s="38">
        <f>SUM(AQ811:AQ836)</f>
        <v>4</v>
      </c>
      <c r="AR837" s="25">
        <f t="shared" si="372"/>
        <v>24</v>
      </c>
      <c r="AS837" s="36">
        <f>SUM(AS811:AS836)</f>
        <v>58</v>
      </c>
      <c r="AT837" s="37">
        <f>SUM(AT811:AT836)</f>
        <v>113</v>
      </c>
      <c r="AU837" s="37">
        <f>SUM(AU811:AU836)</f>
        <v>79</v>
      </c>
      <c r="AV837" s="38">
        <f>SUM(AV811:AV836)</f>
        <v>77</v>
      </c>
      <c r="AW837" s="25">
        <f t="shared" si="373"/>
        <v>327</v>
      </c>
      <c r="AX837" s="322">
        <f>SUM(AX811:AX836)</f>
        <v>55</v>
      </c>
      <c r="AY837" s="37">
        <f>SUM(AY811:AY836)</f>
        <v>75</v>
      </c>
      <c r="AZ837" s="37">
        <f>SUM(AZ811:AZ836)</f>
        <v>40</v>
      </c>
      <c r="BA837" s="38">
        <f>SUM(BA811:BA836)</f>
        <v>45</v>
      </c>
      <c r="BB837" s="25">
        <f t="shared" si="350"/>
        <v>215</v>
      </c>
      <c r="BC837" s="161">
        <f>AH837+AM837+AR837+AW837+BB837</f>
        <v>904</v>
      </c>
      <c r="BE837" s="278" t="s">
        <v>15</v>
      </c>
      <c r="BF837" s="312">
        <f>SUM(BF811:BF836)</f>
        <v>0</v>
      </c>
      <c r="BG837" s="302">
        <f>SUM(BG811:BG836)</f>
        <v>0</v>
      </c>
      <c r="BH837" s="37">
        <f>SUM(BH811:BH836)</f>
        <v>0</v>
      </c>
      <c r="BI837" s="38">
        <f>SUM(BI811:BI836)</f>
        <v>0</v>
      </c>
      <c r="BJ837" s="25">
        <f t="shared" si="365"/>
        <v>0</v>
      </c>
      <c r="BL837" s="278" t="s">
        <v>15</v>
      </c>
      <c r="BM837" s="312">
        <f>SUM(BM811:BM836)</f>
        <v>0</v>
      </c>
      <c r="BN837" s="302">
        <f>SUM(BN811:BN836)</f>
        <v>0</v>
      </c>
      <c r="BO837" s="37">
        <f>SUM(BO811:BO836)</f>
        <v>0</v>
      </c>
      <c r="BP837" s="316">
        <f>SUM(BP811:BP836)</f>
        <v>0</v>
      </c>
      <c r="BQ837" s="25">
        <f t="shared" si="366"/>
        <v>0</v>
      </c>
    </row>
    <row r="838" spans="1:69" ht="14.25" thickBot="1" x14ac:dyDescent="0.2">
      <c r="A838" s="39" t="s">
        <v>16</v>
      </c>
      <c r="B838" s="40">
        <f>B810-B837</f>
        <v>4</v>
      </c>
      <c r="C838" s="41">
        <f>C810-C837</f>
        <v>4</v>
      </c>
      <c r="D838" s="41">
        <f>D810-D837</f>
        <v>5</v>
      </c>
      <c r="E838" s="42">
        <f>E810-E837</f>
        <v>4</v>
      </c>
      <c r="F838" s="171">
        <f t="shared" si="345"/>
        <v>17</v>
      </c>
      <c r="G838" s="40">
        <f>G810-G837</f>
        <v>6</v>
      </c>
      <c r="H838" s="41">
        <f>H810-H837</f>
        <v>2</v>
      </c>
      <c r="I838" s="41">
        <f>I810-I837</f>
        <v>4</v>
      </c>
      <c r="J838" s="42">
        <f>J810-J837</f>
        <v>4</v>
      </c>
      <c r="K838" s="171">
        <f t="shared" si="346"/>
        <v>16</v>
      </c>
      <c r="L838" s="40">
        <f>L810-L837</f>
        <v>3</v>
      </c>
      <c r="M838" s="41">
        <f>M810-M837</f>
        <v>3</v>
      </c>
      <c r="N838" s="41">
        <f>N810-N837</f>
        <v>4</v>
      </c>
      <c r="O838" s="42">
        <f>O810-O837</f>
        <v>4</v>
      </c>
      <c r="P838" s="171">
        <f t="shared" si="347"/>
        <v>14</v>
      </c>
      <c r="Q838" s="40">
        <f>Q810-Q837</f>
        <v>5</v>
      </c>
      <c r="R838" s="41">
        <f>R810-R837</f>
        <v>6</v>
      </c>
      <c r="S838" s="41">
        <f>S810-S837</f>
        <v>4</v>
      </c>
      <c r="T838" s="42">
        <f>T810-T837</f>
        <v>6</v>
      </c>
      <c r="U838" s="171">
        <f t="shared" si="348"/>
        <v>21</v>
      </c>
      <c r="V838" s="323">
        <f>V810-V837</f>
        <v>6</v>
      </c>
      <c r="W838" s="41">
        <f>W810-W837</f>
        <v>4</v>
      </c>
      <c r="X838" s="41">
        <f>X810-X837</f>
        <v>5</v>
      </c>
      <c r="Y838" s="42">
        <f>Y810-Y837</f>
        <v>6</v>
      </c>
      <c r="Z838" s="171">
        <f t="shared" si="349"/>
        <v>21</v>
      </c>
      <c r="AA838" s="77">
        <f>F838+K838+P838+U838+Z838</f>
        <v>89</v>
      </c>
      <c r="AC838" s="279" t="s">
        <v>16</v>
      </c>
      <c r="AD838" s="40">
        <f>AD810-AD837</f>
        <v>45</v>
      </c>
      <c r="AE838" s="41">
        <f>AE810-AE837</f>
        <v>68</v>
      </c>
      <c r="AF838" s="41">
        <f>AF810-AF837</f>
        <v>119</v>
      </c>
      <c r="AG838" s="42">
        <f>AG810-AG837</f>
        <v>52</v>
      </c>
      <c r="AH838" s="171">
        <f t="shared" si="353"/>
        <v>284</v>
      </c>
      <c r="AI838" s="40">
        <f>AI810-AI837</f>
        <v>184</v>
      </c>
      <c r="AJ838" s="41">
        <f>AJ810-AJ837</f>
        <v>260</v>
      </c>
      <c r="AK838" s="41">
        <f>AK810-AK837</f>
        <v>117</v>
      </c>
      <c r="AL838" s="42">
        <f>AL810-AL837</f>
        <v>127</v>
      </c>
      <c r="AM838" s="171">
        <f t="shared" si="354"/>
        <v>688</v>
      </c>
      <c r="AN838" s="40">
        <f>AN810-AN837</f>
        <v>55</v>
      </c>
      <c r="AO838" s="41">
        <f>AO810-AO837</f>
        <v>78</v>
      </c>
      <c r="AP838" s="41">
        <f>AP810-AP837</f>
        <v>53</v>
      </c>
      <c r="AQ838" s="42">
        <f>AQ810-AQ837</f>
        <v>35</v>
      </c>
      <c r="AR838" s="171">
        <f t="shared" si="372"/>
        <v>221</v>
      </c>
      <c r="AS838" s="40">
        <f>AS810-AS837</f>
        <v>149</v>
      </c>
      <c r="AT838" s="41">
        <f>AT810-AT837</f>
        <v>246</v>
      </c>
      <c r="AU838" s="41">
        <f>AU810-AU837</f>
        <v>114</v>
      </c>
      <c r="AV838" s="42">
        <f>AV810-AV837</f>
        <v>112</v>
      </c>
      <c r="AW838" s="171">
        <f t="shared" si="373"/>
        <v>621</v>
      </c>
      <c r="AX838" s="323">
        <f>AX810-AX837</f>
        <v>125</v>
      </c>
      <c r="AY838" s="41">
        <f>AY810-AY837</f>
        <v>125</v>
      </c>
      <c r="AZ838" s="41">
        <f>AZ810-AZ837</f>
        <v>70</v>
      </c>
      <c r="BA838" s="42">
        <f>BA810-BA837</f>
        <v>65</v>
      </c>
      <c r="BB838" s="171">
        <f t="shared" si="350"/>
        <v>385</v>
      </c>
      <c r="BC838" s="77">
        <f>AH838+AM838+AR838+AW838+BB838</f>
        <v>2199</v>
      </c>
      <c r="BE838" s="279" t="s">
        <v>16</v>
      </c>
      <c r="BF838" s="313">
        <f>BF810-BF837</f>
        <v>0</v>
      </c>
      <c r="BG838" s="303">
        <f>BG810-BG837</f>
        <v>0</v>
      </c>
      <c r="BH838" s="41">
        <f>BH810-BH837</f>
        <v>9</v>
      </c>
      <c r="BI838" s="42">
        <f>BI810-BI837</f>
        <v>3</v>
      </c>
      <c r="BJ838" s="171">
        <f t="shared" si="365"/>
        <v>12</v>
      </c>
      <c r="BL838" s="279" t="s">
        <v>16</v>
      </c>
      <c r="BM838" s="313">
        <f>BM810-BM837</f>
        <v>0</v>
      </c>
      <c r="BN838" s="303">
        <f>BN810-BN837</f>
        <v>0</v>
      </c>
      <c r="BO838" s="41">
        <f>BO810-BO837</f>
        <v>21</v>
      </c>
      <c r="BP838" s="317">
        <f>BP810-BP837</f>
        <v>0</v>
      </c>
      <c r="BQ838" s="171">
        <f t="shared" si="366"/>
        <v>21</v>
      </c>
    </row>
    <row r="839" spans="1:69" x14ac:dyDescent="0.15">
      <c r="AD839" s="314"/>
      <c r="AE839" s="314"/>
      <c r="AF839" s="314"/>
      <c r="AG839" s="314"/>
      <c r="AH839" s="314"/>
      <c r="AI839" s="314"/>
      <c r="AJ839" s="314"/>
      <c r="AK839" s="314"/>
      <c r="AL839" s="314"/>
      <c r="AM839" s="314"/>
      <c r="AN839" s="314"/>
      <c r="AO839" s="314"/>
      <c r="AP839" s="314"/>
      <c r="AQ839" s="314"/>
      <c r="AR839" s="314"/>
      <c r="AS839" s="314"/>
      <c r="AT839" s="314"/>
      <c r="AU839" s="314"/>
      <c r="AV839" s="314"/>
      <c r="AW839" s="314"/>
      <c r="AX839" s="314"/>
      <c r="AY839" s="314"/>
      <c r="AZ839" s="314"/>
      <c r="BA839" s="314"/>
      <c r="BB839" s="314"/>
    </row>
    <row r="841" spans="1:69" ht="19.5" thickBot="1" x14ac:dyDescent="0.25">
      <c r="A841" s="185" t="s">
        <v>19</v>
      </c>
      <c r="B841" s="186"/>
      <c r="C841" s="186"/>
      <c r="D841" s="186"/>
      <c r="E841" s="186"/>
      <c r="F841" s="18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C841" s="187" t="s">
        <v>73</v>
      </c>
      <c r="AD841" s="188"/>
      <c r="AE841" s="188"/>
      <c r="AF841" s="188"/>
      <c r="AG841" s="188"/>
      <c r="AH841" s="188"/>
      <c r="AI841" s="188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E841" s="185" t="s">
        <v>19</v>
      </c>
      <c r="BF841" s="186"/>
      <c r="BG841" s="186"/>
      <c r="BH841" s="186"/>
      <c r="BI841" s="186"/>
      <c r="BJ841" s="186"/>
      <c r="BL841" s="187" t="s">
        <v>73</v>
      </c>
      <c r="BM841" s="188"/>
      <c r="BN841" s="188"/>
      <c r="BO841" s="188"/>
      <c r="BP841" s="188"/>
      <c r="BQ841" s="188"/>
    </row>
    <row r="842" spans="1:69" ht="14.25" thickBot="1" x14ac:dyDescent="0.2">
      <c r="A842" s="3" t="s">
        <v>0</v>
      </c>
      <c r="B842" s="365" t="s">
        <v>17</v>
      </c>
      <c r="C842" s="366"/>
      <c r="D842" s="366"/>
      <c r="E842" s="366"/>
      <c r="F842" s="367"/>
      <c r="G842" s="368" t="s">
        <v>18</v>
      </c>
      <c r="H842" s="369"/>
      <c r="I842" s="369"/>
      <c r="J842" s="369"/>
      <c r="K842" s="370"/>
      <c r="L842" s="371" t="s">
        <v>320</v>
      </c>
      <c r="M842" s="372"/>
      <c r="N842" s="372"/>
      <c r="O842" s="372"/>
      <c r="P842" s="373"/>
      <c r="Q842" s="355" t="s">
        <v>75</v>
      </c>
      <c r="R842" s="356"/>
      <c r="S842" s="356"/>
      <c r="T842" s="356"/>
      <c r="U842" s="357"/>
      <c r="V842" s="358" t="s">
        <v>456</v>
      </c>
      <c r="W842" s="358"/>
      <c r="X842" s="358"/>
      <c r="Y842" s="358"/>
      <c r="Z842" s="359"/>
      <c r="AA842" s="360" t="s">
        <v>1</v>
      </c>
      <c r="AC842" s="271" t="s">
        <v>0</v>
      </c>
      <c r="AD842" s="365" t="s">
        <v>17</v>
      </c>
      <c r="AE842" s="366"/>
      <c r="AF842" s="366"/>
      <c r="AG842" s="366"/>
      <c r="AH842" s="367"/>
      <c r="AI842" s="368" t="s">
        <v>18</v>
      </c>
      <c r="AJ842" s="369"/>
      <c r="AK842" s="369"/>
      <c r="AL842" s="369"/>
      <c r="AM842" s="370"/>
      <c r="AN842" s="371" t="s">
        <v>320</v>
      </c>
      <c r="AO842" s="372"/>
      <c r="AP842" s="372"/>
      <c r="AQ842" s="372"/>
      <c r="AR842" s="373"/>
      <c r="AS842" s="355" t="s">
        <v>75</v>
      </c>
      <c r="AT842" s="356"/>
      <c r="AU842" s="356"/>
      <c r="AV842" s="356"/>
      <c r="AW842" s="357"/>
      <c r="AX842" s="358" t="s">
        <v>456</v>
      </c>
      <c r="AY842" s="358"/>
      <c r="AZ842" s="358"/>
      <c r="BA842" s="358"/>
      <c r="BB842" s="359"/>
      <c r="BC842" s="360" t="s">
        <v>1</v>
      </c>
      <c r="BE842" s="271" t="s">
        <v>0</v>
      </c>
      <c r="BF842" s="362" t="s">
        <v>38</v>
      </c>
      <c r="BG842" s="363"/>
      <c r="BH842" s="363"/>
      <c r="BI842" s="363"/>
      <c r="BJ842" s="364"/>
      <c r="BL842" s="271" t="s">
        <v>0</v>
      </c>
      <c r="BM842" s="362" t="s">
        <v>38</v>
      </c>
      <c r="BN842" s="363"/>
      <c r="BO842" s="363"/>
      <c r="BP842" s="363"/>
      <c r="BQ842" s="364"/>
    </row>
    <row r="843" spans="1:69" ht="14.25" thickBot="1" x14ac:dyDescent="0.2">
      <c r="A843" s="5" t="s">
        <v>2</v>
      </c>
      <c r="B843" s="6" t="s">
        <v>3</v>
      </c>
      <c r="C843" s="7" t="s">
        <v>4</v>
      </c>
      <c r="D843" s="7" t="s">
        <v>5</v>
      </c>
      <c r="E843" s="8" t="s">
        <v>6</v>
      </c>
      <c r="F843" s="5" t="s">
        <v>7</v>
      </c>
      <c r="G843" s="6" t="s">
        <v>3</v>
      </c>
      <c r="H843" s="7" t="s">
        <v>4</v>
      </c>
      <c r="I843" s="7" t="s">
        <v>5</v>
      </c>
      <c r="J843" s="8" t="s">
        <v>6</v>
      </c>
      <c r="K843" s="5" t="s">
        <v>7</v>
      </c>
      <c r="L843" s="6" t="s">
        <v>3</v>
      </c>
      <c r="M843" s="7" t="s">
        <v>4</v>
      </c>
      <c r="N843" s="7" t="s">
        <v>5</v>
      </c>
      <c r="O843" s="8" t="s">
        <v>6</v>
      </c>
      <c r="P843" s="5" t="s">
        <v>7</v>
      </c>
      <c r="Q843" s="6" t="s">
        <v>3</v>
      </c>
      <c r="R843" s="7" t="s">
        <v>4</v>
      </c>
      <c r="S843" s="7" t="s">
        <v>5</v>
      </c>
      <c r="T843" s="8" t="s">
        <v>6</v>
      </c>
      <c r="U843" s="5" t="s">
        <v>7</v>
      </c>
      <c r="V843" s="7" t="s">
        <v>3</v>
      </c>
      <c r="W843" s="7" t="s">
        <v>4</v>
      </c>
      <c r="X843" s="7" t="s">
        <v>5</v>
      </c>
      <c r="Y843" s="8" t="s">
        <v>6</v>
      </c>
      <c r="Z843" s="5" t="s">
        <v>7</v>
      </c>
      <c r="AA843" s="361"/>
      <c r="AC843" s="272" t="s">
        <v>2</v>
      </c>
      <c r="AD843" s="6" t="s">
        <v>3</v>
      </c>
      <c r="AE843" s="7" t="s">
        <v>4</v>
      </c>
      <c r="AF843" s="7" t="s">
        <v>5</v>
      </c>
      <c r="AG843" s="8" t="s">
        <v>6</v>
      </c>
      <c r="AH843" s="5" t="s">
        <v>7</v>
      </c>
      <c r="AI843" s="6" t="s">
        <v>3</v>
      </c>
      <c r="AJ843" s="7" t="s">
        <v>4</v>
      </c>
      <c r="AK843" s="7" t="s">
        <v>5</v>
      </c>
      <c r="AL843" s="8" t="s">
        <v>6</v>
      </c>
      <c r="AM843" s="5" t="s">
        <v>7</v>
      </c>
      <c r="AN843" s="6" t="s">
        <v>3</v>
      </c>
      <c r="AO843" s="7" t="s">
        <v>4</v>
      </c>
      <c r="AP843" s="7" t="s">
        <v>5</v>
      </c>
      <c r="AQ843" s="8" t="s">
        <v>6</v>
      </c>
      <c r="AR843" s="5" t="s">
        <v>7</v>
      </c>
      <c r="AS843" s="6" t="s">
        <v>3</v>
      </c>
      <c r="AT843" s="7" t="s">
        <v>4</v>
      </c>
      <c r="AU843" s="7" t="s">
        <v>5</v>
      </c>
      <c r="AV843" s="8" t="s">
        <v>6</v>
      </c>
      <c r="AW843" s="5" t="s">
        <v>7</v>
      </c>
      <c r="AX843" s="7" t="s">
        <v>3</v>
      </c>
      <c r="AY843" s="7" t="s">
        <v>4</v>
      </c>
      <c r="AZ843" s="7" t="s">
        <v>5</v>
      </c>
      <c r="BA843" s="8" t="s">
        <v>6</v>
      </c>
      <c r="BB843" s="5" t="s">
        <v>7</v>
      </c>
      <c r="BC843" s="361"/>
      <c r="BE843" s="272" t="s">
        <v>2</v>
      </c>
      <c r="BF843" s="6" t="s">
        <v>3</v>
      </c>
      <c r="BG843" s="7" t="s">
        <v>4</v>
      </c>
      <c r="BH843" s="7" t="s">
        <v>5</v>
      </c>
      <c r="BI843" s="8" t="s">
        <v>6</v>
      </c>
      <c r="BJ843" s="5" t="s">
        <v>7</v>
      </c>
      <c r="BL843" s="272" t="s">
        <v>2</v>
      </c>
      <c r="BM843" s="6" t="s">
        <v>3</v>
      </c>
      <c r="BN843" s="7" t="s">
        <v>4</v>
      </c>
      <c r="BO843" s="7" t="s">
        <v>5</v>
      </c>
      <c r="BP843" s="8" t="s">
        <v>6</v>
      </c>
      <c r="BQ843" s="5" t="s">
        <v>7</v>
      </c>
    </row>
    <row r="844" spans="1:69" ht="15" thickBot="1" x14ac:dyDescent="0.2">
      <c r="A844" s="291" t="s">
        <v>30</v>
      </c>
      <c r="B844" s="292">
        <f>B838</f>
        <v>4</v>
      </c>
      <c r="C844" s="292">
        <f>C838</f>
        <v>4</v>
      </c>
      <c r="D844" s="292">
        <f>D838</f>
        <v>5</v>
      </c>
      <c r="E844" s="293">
        <f>E838</f>
        <v>4</v>
      </c>
      <c r="F844" s="77">
        <f t="shared" ref="F844:F880" si="398">SUM(B844:E844)</f>
        <v>17</v>
      </c>
      <c r="G844" s="292">
        <f>G838</f>
        <v>6</v>
      </c>
      <c r="H844" s="292">
        <f>H838</f>
        <v>2</v>
      </c>
      <c r="I844" s="292">
        <f>I838</f>
        <v>4</v>
      </c>
      <c r="J844" s="293">
        <f>J838</f>
        <v>4</v>
      </c>
      <c r="K844" s="77">
        <f t="shared" ref="K844:K880" si="399">SUM(G844:J844)</f>
        <v>16</v>
      </c>
      <c r="L844" s="292">
        <f>L838</f>
        <v>3</v>
      </c>
      <c r="M844" s="292">
        <f>M838</f>
        <v>3</v>
      </c>
      <c r="N844" s="292">
        <f>N838</f>
        <v>4</v>
      </c>
      <c r="O844" s="293">
        <f>O838</f>
        <v>4</v>
      </c>
      <c r="P844" s="77">
        <f t="shared" ref="P844:P880" si="400">SUM(L844:O844)</f>
        <v>14</v>
      </c>
      <c r="Q844" s="324">
        <f>Q838</f>
        <v>5</v>
      </c>
      <c r="R844" s="292">
        <f>R838</f>
        <v>6</v>
      </c>
      <c r="S844" s="292">
        <f>S838</f>
        <v>4</v>
      </c>
      <c r="T844" s="293">
        <f>T838</f>
        <v>6</v>
      </c>
      <c r="U844" s="77">
        <f t="shared" ref="U844:U880" si="401">SUM(Q844:T844)</f>
        <v>21</v>
      </c>
      <c r="V844" s="324">
        <f>V838</f>
        <v>6</v>
      </c>
      <c r="W844" s="292">
        <f>W838</f>
        <v>4</v>
      </c>
      <c r="X844" s="292">
        <f>X838</f>
        <v>5</v>
      </c>
      <c r="Y844" s="293">
        <f>Y838</f>
        <v>6</v>
      </c>
      <c r="Z844" s="77">
        <f t="shared" ref="Z844" si="402">SUM(V844:Y844)</f>
        <v>21</v>
      </c>
      <c r="AA844" s="77">
        <f>F844+K844+P844+U844+Z844</f>
        <v>89</v>
      </c>
      <c r="AC844" s="294" t="s">
        <v>30</v>
      </c>
      <c r="AD844" s="292">
        <f>AD838</f>
        <v>45</v>
      </c>
      <c r="AE844" s="292">
        <f>AE838</f>
        <v>68</v>
      </c>
      <c r="AF844" s="292">
        <f>AF838</f>
        <v>119</v>
      </c>
      <c r="AG844" s="293">
        <f>AG838</f>
        <v>52</v>
      </c>
      <c r="AH844" s="77">
        <f>SUM(AD844:AG844)</f>
        <v>284</v>
      </c>
      <c r="AI844" s="292">
        <f>AI838</f>
        <v>184</v>
      </c>
      <c r="AJ844" s="292">
        <f>AJ838</f>
        <v>260</v>
      </c>
      <c r="AK844" s="292">
        <f>AK838</f>
        <v>117</v>
      </c>
      <c r="AL844" s="293">
        <f>AL838</f>
        <v>127</v>
      </c>
      <c r="AM844" s="77">
        <f>SUM(AI844:AL844)</f>
        <v>688</v>
      </c>
      <c r="AN844" s="292">
        <f>AN838</f>
        <v>55</v>
      </c>
      <c r="AO844" s="292">
        <f>AO838</f>
        <v>78</v>
      </c>
      <c r="AP844" s="292">
        <f>AP838</f>
        <v>53</v>
      </c>
      <c r="AQ844" s="293">
        <f>AQ838</f>
        <v>35</v>
      </c>
      <c r="AR844" s="77">
        <f>SUM(AN844:AQ844)</f>
        <v>221</v>
      </c>
      <c r="AS844" s="324">
        <f>AS838</f>
        <v>149</v>
      </c>
      <c r="AT844" s="292">
        <f>AT838</f>
        <v>246</v>
      </c>
      <c r="AU844" s="292">
        <f>AU838</f>
        <v>114</v>
      </c>
      <c r="AV844" s="293">
        <f>AV838</f>
        <v>112</v>
      </c>
      <c r="AW844" s="77">
        <f>SUM(AS844:AV844)</f>
        <v>621</v>
      </c>
      <c r="AX844" s="324">
        <f>AX838</f>
        <v>125</v>
      </c>
      <c r="AY844" s="292">
        <f>AY838</f>
        <v>125</v>
      </c>
      <c r="AZ844" s="292">
        <f>AZ838</f>
        <v>70</v>
      </c>
      <c r="BA844" s="293">
        <f>BA838</f>
        <v>65</v>
      </c>
      <c r="BB844" s="77">
        <f>SUM(AX844:BA844)</f>
        <v>385</v>
      </c>
      <c r="BC844" s="77">
        <f>AH844+AM844+AR844+AW844+BB844</f>
        <v>2199</v>
      </c>
      <c r="BE844" s="294" t="s">
        <v>30</v>
      </c>
      <c r="BF844" s="40">
        <f>BF838</f>
        <v>0</v>
      </c>
      <c r="BG844" s="41">
        <f t="shared" ref="BG844:BJ844" si="403">BG838</f>
        <v>0</v>
      </c>
      <c r="BH844" s="41">
        <f t="shared" si="403"/>
        <v>9</v>
      </c>
      <c r="BI844" s="42">
        <f t="shared" si="403"/>
        <v>3</v>
      </c>
      <c r="BJ844" s="171">
        <f t="shared" si="403"/>
        <v>12</v>
      </c>
      <c r="BL844" s="294" t="s">
        <v>30</v>
      </c>
      <c r="BM844" s="292">
        <f>BM838</f>
        <v>0</v>
      </c>
      <c r="BN844" s="292">
        <f t="shared" ref="BN844:BQ844" si="404">BN838</f>
        <v>0</v>
      </c>
      <c r="BO844" s="292">
        <f t="shared" si="404"/>
        <v>21</v>
      </c>
      <c r="BP844" s="292">
        <f t="shared" si="404"/>
        <v>0</v>
      </c>
      <c r="BQ844" s="77">
        <f t="shared" si="404"/>
        <v>21</v>
      </c>
    </row>
    <row r="845" spans="1:69" x14ac:dyDescent="0.15">
      <c r="A845" s="53" t="s">
        <v>111</v>
      </c>
      <c r="B845" s="51"/>
      <c r="C845" s="52"/>
      <c r="D845" s="52"/>
      <c r="E845" s="52"/>
      <c r="F845" s="49">
        <f t="shared" si="398"/>
        <v>0</v>
      </c>
      <c r="G845" s="51"/>
      <c r="H845" s="52">
        <v>3</v>
      </c>
      <c r="I845" s="52">
        <v>3</v>
      </c>
      <c r="J845" s="52"/>
      <c r="K845" s="49">
        <f t="shared" si="399"/>
        <v>6</v>
      </c>
      <c r="L845" s="51"/>
      <c r="M845" s="52"/>
      <c r="N845" s="52"/>
      <c r="O845" s="52"/>
      <c r="P845" s="49">
        <f t="shared" si="400"/>
        <v>0</v>
      </c>
      <c r="Q845" s="51"/>
      <c r="R845" s="52"/>
      <c r="S845" s="52"/>
      <c r="T845" s="52">
        <v>3</v>
      </c>
      <c r="U845" s="49">
        <f t="shared" si="401"/>
        <v>3</v>
      </c>
      <c r="V845" s="52"/>
      <c r="W845" s="52">
        <v>5</v>
      </c>
      <c r="X845" s="52"/>
      <c r="Y845" s="52"/>
      <c r="Z845" s="49">
        <f t="shared" ref="Z845:Z879" si="405">SUM(V845:Y845)</f>
        <v>5</v>
      </c>
      <c r="AA845" s="49">
        <f>F845+K845+P845+U845+Z845</f>
        <v>14</v>
      </c>
      <c r="AB845" s="298">
        <v>45035</v>
      </c>
      <c r="AC845" s="268" t="s">
        <v>28</v>
      </c>
      <c r="AD845" s="51"/>
      <c r="AE845" s="52"/>
      <c r="AF845" s="52"/>
      <c r="AG845" s="52"/>
      <c r="AH845" s="49">
        <f t="shared" ref="AH845:AH880" si="406">SUM(AD845:AG845)</f>
        <v>0</v>
      </c>
      <c r="AI845" s="51"/>
      <c r="AJ845" s="52"/>
      <c r="AK845" s="52"/>
      <c r="AL845" s="52"/>
      <c r="AM845" s="49">
        <f t="shared" ref="AM845:AM880" si="407">SUM(AI845:AL845)</f>
        <v>0</v>
      </c>
      <c r="AN845" s="51"/>
      <c r="AO845" s="52"/>
      <c r="AP845" s="52"/>
      <c r="AQ845" s="52"/>
      <c r="AR845" s="49">
        <f t="shared" ref="AR845:AR847" si="408">SUM(AN845:AQ845)</f>
        <v>0</v>
      </c>
      <c r="AS845" s="51"/>
      <c r="AT845" s="52"/>
      <c r="AU845" s="52"/>
      <c r="AV845" s="52"/>
      <c r="AW845" s="49">
        <f t="shared" ref="AW845:AW847" si="409">SUM(AS845:AV845)</f>
        <v>0</v>
      </c>
      <c r="AX845" s="52"/>
      <c r="AY845" s="52"/>
      <c r="AZ845" s="52"/>
      <c r="BA845" s="52"/>
      <c r="BB845" s="49">
        <f t="shared" ref="BB845" si="410">SUM(AX845:BA845)</f>
        <v>0</v>
      </c>
      <c r="BC845" s="49">
        <f>AH845+AM845+AR845+AW845+BB845</f>
        <v>0</v>
      </c>
      <c r="BE845" s="268" t="s">
        <v>28</v>
      </c>
      <c r="BF845" s="51"/>
      <c r="BG845" s="52"/>
      <c r="BH845" s="52"/>
      <c r="BI845" s="52"/>
      <c r="BJ845" s="49">
        <f t="shared" ref="BJ845:BJ847" si="411">SUM(BF845:BI845)</f>
        <v>0</v>
      </c>
      <c r="BK845" s="306"/>
      <c r="BL845" s="268" t="s">
        <v>28</v>
      </c>
      <c r="BM845" s="51"/>
      <c r="BN845" s="52"/>
      <c r="BO845" s="52"/>
      <c r="BP845" s="52"/>
      <c r="BQ845" s="49">
        <f t="shared" ref="BQ845:BQ847" si="412">SUM(BM845:BP845)</f>
        <v>0</v>
      </c>
    </row>
    <row r="846" spans="1:69" x14ac:dyDescent="0.15">
      <c r="A846" s="53" t="s">
        <v>109</v>
      </c>
      <c r="B846" s="55"/>
      <c r="C846" s="55"/>
      <c r="D846" s="55"/>
      <c r="E846" s="166"/>
      <c r="F846" s="49">
        <f t="shared" si="398"/>
        <v>0</v>
      </c>
      <c r="G846" s="55"/>
      <c r="H846" s="55"/>
      <c r="I846" s="55">
        <v>1</v>
      </c>
      <c r="J846" s="166"/>
      <c r="K846" s="49">
        <f t="shared" si="399"/>
        <v>1</v>
      </c>
      <c r="L846" s="55"/>
      <c r="M846" s="55"/>
      <c r="N846" s="55"/>
      <c r="O846" s="166"/>
      <c r="P846" s="49">
        <f t="shared" si="400"/>
        <v>0</v>
      </c>
      <c r="Q846" s="54"/>
      <c r="R846" s="55">
        <v>1</v>
      </c>
      <c r="S846" s="55">
        <v>1</v>
      </c>
      <c r="T846" s="166">
        <v>2</v>
      </c>
      <c r="U846" s="49">
        <f t="shared" si="401"/>
        <v>4</v>
      </c>
      <c r="V846" s="55"/>
      <c r="W846" s="55"/>
      <c r="X846" s="55"/>
      <c r="Y846" s="166"/>
      <c r="Z846" s="49">
        <f t="shared" si="405"/>
        <v>0</v>
      </c>
      <c r="AA846" s="49">
        <f t="shared" ref="AA846:AA851" si="413">F846+K846+P846+U846+Z846</f>
        <v>5</v>
      </c>
      <c r="AB846" s="298">
        <v>45044</v>
      </c>
      <c r="AC846" s="268" t="s">
        <v>28</v>
      </c>
      <c r="AD846" s="55"/>
      <c r="AE846" s="153"/>
      <c r="AF846" s="153"/>
      <c r="AG846" s="168"/>
      <c r="AH846" s="56">
        <f t="shared" ref="AH846" si="414">SUM(AD846:AG846)</f>
        <v>0</v>
      </c>
      <c r="AI846" s="54"/>
      <c r="AJ846" s="55"/>
      <c r="AK846" s="55"/>
      <c r="AL846" s="55"/>
      <c r="AM846" s="56">
        <f t="shared" ref="AM846" si="415">SUM(AI846:AL846)</f>
        <v>0</v>
      </c>
      <c r="AN846" s="54"/>
      <c r="AO846" s="55"/>
      <c r="AP846" s="55"/>
      <c r="AQ846" s="55"/>
      <c r="AR846" s="56">
        <f t="shared" ref="AR846" si="416">SUM(AN846:AQ846)</f>
        <v>0</v>
      </c>
      <c r="AS846" s="54"/>
      <c r="AT846" s="153"/>
      <c r="AU846" s="153"/>
      <c r="AV846" s="168"/>
      <c r="AW846" s="56">
        <f t="shared" ref="AW846" si="417">SUM(AS846:AV846)</f>
        <v>0</v>
      </c>
      <c r="AX846" s="55"/>
      <c r="AY846" s="55"/>
      <c r="AZ846" s="55"/>
      <c r="BA846" s="166"/>
      <c r="BB846" s="49">
        <f>SUM(AX846:BA846)</f>
        <v>0</v>
      </c>
      <c r="BC846" s="49">
        <f t="shared" ref="BC846" si="418">AH846+AM846+AR846+AW846+BB846</f>
        <v>0</v>
      </c>
      <c r="BD846" s="300"/>
      <c r="BE846" s="268" t="s">
        <v>28</v>
      </c>
      <c r="BF846" s="55"/>
      <c r="BG846" s="153"/>
      <c r="BH846" s="153"/>
      <c r="BI846" s="168"/>
      <c r="BJ846" s="56">
        <f t="shared" si="411"/>
        <v>0</v>
      </c>
      <c r="BL846" s="268" t="s">
        <v>28</v>
      </c>
      <c r="BM846" s="54"/>
      <c r="BN846" s="55"/>
      <c r="BO846" s="55"/>
      <c r="BP846" s="55"/>
      <c r="BQ846" s="56">
        <f t="shared" si="412"/>
        <v>0</v>
      </c>
    </row>
    <row r="847" spans="1:69" x14ac:dyDescent="0.15">
      <c r="A847" s="53" t="s">
        <v>111</v>
      </c>
      <c r="B847" s="55"/>
      <c r="C847" s="55">
        <v>2</v>
      </c>
      <c r="D847" s="55"/>
      <c r="E847" s="166"/>
      <c r="F847" s="49">
        <f t="shared" si="398"/>
        <v>2</v>
      </c>
      <c r="G847" s="55"/>
      <c r="H847" s="55"/>
      <c r="I847" s="55"/>
      <c r="J847" s="166"/>
      <c r="K847" s="49">
        <f t="shared" si="399"/>
        <v>0</v>
      </c>
      <c r="L847" s="55"/>
      <c r="M847" s="55"/>
      <c r="N847" s="55"/>
      <c r="O847" s="166"/>
      <c r="P847" s="49">
        <f t="shared" si="400"/>
        <v>0</v>
      </c>
      <c r="Q847" s="54">
        <v>2</v>
      </c>
      <c r="R847" s="55">
        <v>5</v>
      </c>
      <c r="S847" s="55">
        <v>2</v>
      </c>
      <c r="T847" s="166"/>
      <c r="U847" s="49">
        <f t="shared" si="401"/>
        <v>9</v>
      </c>
      <c r="V847" s="55"/>
      <c r="W847" s="55"/>
      <c r="X847" s="55"/>
      <c r="Y847" s="166"/>
      <c r="Z847" s="49">
        <f t="shared" si="405"/>
        <v>0</v>
      </c>
      <c r="AA847" s="49">
        <f t="shared" si="413"/>
        <v>11</v>
      </c>
      <c r="AB847" s="298">
        <v>45048</v>
      </c>
      <c r="AC847" s="268" t="s">
        <v>28</v>
      </c>
      <c r="AD847" s="55"/>
      <c r="AE847" s="153"/>
      <c r="AF847" s="153"/>
      <c r="AG847" s="168"/>
      <c r="AH847" s="56">
        <f t="shared" si="406"/>
        <v>0</v>
      </c>
      <c r="AI847" s="54"/>
      <c r="AJ847" s="55"/>
      <c r="AK847" s="55"/>
      <c r="AL847" s="55"/>
      <c r="AM847" s="56">
        <f t="shared" si="407"/>
        <v>0</v>
      </c>
      <c r="AN847" s="54"/>
      <c r="AO847" s="55"/>
      <c r="AP847" s="55"/>
      <c r="AQ847" s="55"/>
      <c r="AR847" s="56">
        <f t="shared" si="408"/>
        <v>0</v>
      </c>
      <c r="AS847" s="54"/>
      <c r="AT847" s="153"/>
      <c r="AU847" s="153"/>
      <c r="AV847" s="168"/>
      <c r="AW847" s="56">
        <f t="shared" si="409"/>
        <v>0</v>
      </c>
      <c r="AX847" s="55"/>
      <c r="AY847" s="55"/>
      <c r="AZ847" s="55"/>
      <c r="BA847" s="166"/>
      <c r="BB847" s="49">
        <f>SUM(AX847:BA847)</f>
        <v>0</v>
      </c>
      <c r="BC847" s="49">
        <f t="shared" ref="BC847:BC851" si="419">AH847+AM847+AR847+AW847+BB847</f>
        <v>0</v>
      </c>
      <c r="BD847" s="300"/>
      <c r="BE847" s="268" t="s">
        <v>28</v>
      </c>
      <c r="BF847" s="55"/>
      <c r="BG847" s="153"/>
      <c r="BH847" s="153"/>
      <c r="BI847" s="168"/>
      <c r="BJ847" s="56">
        <f t="shared" si="411"/>
        <v>0</v>
      </c>
      <c r="BL847" s="268" t="s">
        <v>28</v>
      </c>
      <c r="BM847" s="55"/>
      <c r="BN847" s="153"/>
      <c r="BO847" s="153"/>
      <c r="BP847" s="168"/>
      <c r="BQ847" s="56">
        <f t="shared" si="412"/>
        <v>0</v>
      </c>
    </row>
    <row r="848" spans="1:69" x14ac:dyDescent="0.15">
      <c r="A848" s="53" t="s">
        <v>488</v>
      </c>
      <c r="B848" s="63"/>
      <c r="C848" s="63">
        <v>1</v>
      </c>
      <c r="D848" s="63"/>
      <c r="E848" s="167"/>
      <c r="F848" s="64">
        <f t="shared" si="398"/>
        <v>1</v>
      </c>
      <c r="G848" s="63"/>
      <c r="H848" s="63"/>
      <c r="I848" s="63"/>
      <c r="J848" s="167">
        <v>1</v>
      </c>
      <c r="K848" s="64">
        <f t="shared" si="399"/>
        <v>1</v>
      </c>
      <c r="L848" s="63"/>
      <c r="M848" s="63"/>
      <c r="N848" s="63"/>
      <c r="O848" s="167"/>
      <c r="P848" s="64">
        <f t="shared" si="400"/>
        <v>0</v>
      </c>
      <c r="Q848" s="62"/>
      <c r="R848" s="63"/>
      <c r="S848" s="63"/>
      <c r="T848" s="167"/>
      <c r="U848" s="64">
        <f t="shared" si="401"/>
        <v>0</v>
      </c>
      <c r="V848" s="63"/>
      <c r="W848" s="63"/>
      <c r="X848" s="63"/>
      <c r="Y848" s="167"/>
      <c r="Z848" s="64">
        <f t="shared" si="405"/>
        <v>0</v>
      </c>
      <c r="AA848" s="49">
        <f t="shared" si="413"/>
        <v>2</v>
      </c>
      <c r="AB848" s="298">
        <v>45063</v>
      </c>
      <c r="AC848" s="268" t="s">
        <v>28</v>
      </c>
      <c r="AD848" s="63"/>
      <c r="AE848" s="63"/>
      <c r="AF848" s="63"/>
      <c r="AG848" s="167"/>
      <c r="AH848" s="56">
        <f t="shared" si="406"/>
        <v>0</v>
      </c>
      <c r="AI848" s="63"/>
      <c r="AJ848" s="63"/>
      <c r="AK848" s="63"/>
      <c r="AL848" s="167"/>
      <c r="AM848" s="56">
        <f t="shared" si="407"/>
        <v>0</v>
      </c>
      <c r="AN848" s="63"/>
      <c r="AO848" s="63"/>
      <c r="AP848" s="63"/>
      <c r="AQ848" s="167"/>
      <c r="AR848" s="64">
        <v>0</v>
      </c>
      <c r="AS848" s="62"/>
      <c r="AT848" s="63"/>
      <c r="AU848" s="63"/>
      <c r="AV848" s="167"/>
      <c r="AW848" s="64">
        <v>0</v>
      </c>
      <c r="AX848" s="63"/>
      <c r="AY848" s="63"/>
      <c r="AZ848" s="63"/>
      <c r="BA848" s="167"/>
      <c r="BB848" s="49">
        <f>SUM(AX848:BA848)</f>
        <v>0</v>
      </c>
      <c r="BC848" s="49">
        <f t="shared" si="419"/>
        <v>0</v>
      </c>
      <c r="BE848" s="268" t="s">
        <v>28</v>
      </c>
      <c r="BF848" s="63"/>
      <c r="BG848" s="63"/>
      <c r="BH848" s="63"/>
      <c r="BI848" s="167"/>
      <c r="BJ848" s="64">
        <v>0</v>
      </c>
      <c r="BL848" s="268" t="s">
        <v>28</v>
      </c>
      <c r="BM848" s="63"/>
      <c r="BN848" s="63"/>
      <c r="BO848" s="63"/>
      <c r="BP848" s="167"/>
      <c r="BQ848" s="64">
        <v>0</v>
      </c>
    </row>
    <row r="849" spans="1:69" x14ac:dyDescent="0.15">
      <c r="A849" s="53" t="s">
        <v>111</v>
      </c>
      <c r="B849" s="55"/>
      <c r="C849" s="153"/>
      <c r="D849" s="153"/>
      <c r="E849" s="168"/>
      <c r="F849" s="56">
        <f t="shared" si="398"/>
        <v>0</v>
      </c>
      <c r="G849" s="55">
        <v>3</v>
      </c>
      <c r="H849" s="153">
        <v>3</v>
      </c>
      <c r="I849" s="153"/>
      <c r="J849" s="168"/>
      <c r="K849" s="56">
        <f t="shared" si="399"/>
        <v>6</v>
      </c>
      <c r="L849" s="55"/>
      <c r="M849" s="153">
        <v>3</v>
      </c>
      <c r="N849" s="153"/>
      <c r="O849" s="168"/>
      <c r="P849" s="56">
        <f t="shared" si="400"/>
        <v>3</v>
      </c>
      <c r="Q849" s="54"/>
      <c r="R849" s="153"/>
      <c r="S849" s="153">
        <v>3</v>
      </c>
      <c r="T849" s="168"/>
      <c r="U849" s="56">
        <f t="shared" si="401"/>
        <v>3</v>
      </c>
      <c r="V849" s="55"/>
      <c r="W849" s="153"/>
      <c r="X849" s="153"/>
      <c r="Y849" s="168"/>
      <c r="Z849" s="56">
        <f t="shared" si="405"/>
        <v>0</v>
      </c>
      <c r="AA849" s="49">
        <f t="shared" si="413"/>
        <v>12</v>
      </c>
      <c r="AB849" s="298">
        <v>45063</v>
      </c>
      <c r="AC849" s="268" t="s">
        <v>28</v>
      </c>
      <c r="AD849" s="55"/>
      <c r="AE849" s="153"/>
      <c r="AF849" s="153"/>
      <c r="AG849" s="168"/>
      <c r="AH849" s="56">
        <f t="shared" si="406"/>
        <v>0</v>
      </c>
      <c r="AI849" s="55"/>
      <c r="AJ849" s="153"/>
      <c r="AK849" s="153"/>
      <c r="AL849" s="168"/>
      <c r="AM849" s="56">
        <f t="shared" si="407"/>
        <v>0</v>
      </c>
      <c r="AN849" s="55"/>
      <c r="AO849" s="153"/>
      <c r="AP849" s="153"/>
      <c r="AQ849" s="168"/>
      <c r="AR849" s="56">
        <f t="shared" ref="AR849:AR880" si="420">SUM(AN849:AQ849)</f>
        <v>0</v>
      </c>
      <c r="AS849" s="54"/>
      <c r="AT849" s="153"/>
      <c r="AU849" s="153"/>
      <c r="AV849" s="168"/>
      <c r="AW849" s="56">
        <f t="shared" ref="AW849:AW880" si="421">SUM(AS849:AV849)</f>
        <v>0</v>
      </c>
      <c r="AX849" s="55"/>
      <c r="AY849" s="153"/>
      <c r="AZ849" s="153"/>
      <c r="BA849" s="168"/>
      <c r="BB849" s="49">
        <f t="shared" ref="BB849:BB879" si="422">SUM(AX849:BA849)</f>
        <v>0</v>
      </c>
      <c r="BC849" s="49">
        <f t="shared" si="419"/>
        <v>0</v>
      </c>
      <c r="BE849" s="268" t="s">
        <v>28</v>
      </c>
      <c r="BF849" s="55"/>
      <c r="BG849" s="153"/>
      <c r="BH849" s="153"/>
      <c r="BI849" s="168"/>
      <c r="BJ849" s="56">
        <f t="shared" ref="BJ849:BJ880" si="423">SUM(BF849:BI849)</f>
        <v>0</v>
      </c>
      <c r="BL849" s="268" t="s">
        <v>28</v>
      </c>
      <c r="BM849" s="55"/>
      <c r="BN849" s="153"/>
      <c r="BO849" s="153"/>
      <c r="BP849" s="168"/>
      <c r="BQ849" s="56">
        <f t="shared" ref="BQ849:BQ880" si="424">SUM(BM849:BP849)</f>
        <v>0</v>
      </c>
    </row>
    <row r="850" spans="1:69" x14ac:dyDescent="0.15">
      <c r="A850" s="53" t="s">
        <v>111</v>
      </c>
      <c r="B850" s="55"/>
      <c r="C850" s="153"/>
      <c r="D850" s="153"/>
      <c r="E850" s="168"/>
      <c r="F850" s="56">
        <f t="shared" si="398"/>
        <v>0</v>
      </c>
      <c r="G850" s="55"/>
      <c r="H850" s="153"/>
      <c r="I850" s="153"/>
      <c r="J850" s="168"/>
      <c r="K850" s="56">
        <f t="shared" si="399"/>
        <v>0</v>
      </c>
      <c r="L850" s="55"/>
      <c r="M850" s="153"/>
      <c r="N850" s="153"/>
      <c r="O850" s="168"/>
      <c r="P850" s="56">
        <f t="shared" si="400"/>
        <v>0</v>
      </c>
      <c r="Q850" s="54"/>
      <c r="R850" s="153"/>
      <c r="S850" s="153"/>
      <c r="T850" s="168"/>
      <c r="U850" s="56">
        <f t="shared" si="401"/>
        <v>0</v>
      </c>
      <c r="V850" s="55"/>
      <c r="W850" s="153">
        <v>5</v>
      </c>
      <c r="X850" s="153">
        <v>3</v>
      </c>
      <c r="Y850" s="168"/>
      <c r="Z850" s="56">
        <f t="shared" si="405"/>
        <v>8</v>
      </c>
      <c r="AA850" s="49">
        <f t="shared" si="413"/>
        <v>8</v>
      </c>
      <c r="AB850" s="298">
        <v>45064</v>
      </c>
      <c r="AC850" s="268" t="s">
        <v>28</v>
      </c>
      <c r="AD850" s="55"/>
      <c r="AE850" s="153"/>
      <c r="AF850" s="153"/>
      <c r="AG850" s="168"/>
      <c r="AH850" s="56">
        <f t="shared" si="406"/>
        <v>0</v>
      </c>
      <c r="AI850" s="55"/>
      <c r="AJ850" s="153"/>
      <c r="AK850" s="153"/>
      <c r="AL850" s="168"/>
      <c r="AM850" s="56">
        <f t="shared" si="407"/>
        <v>0</v>
      </c>
      <c r="AN850" s="55"/>
      <c r="AO850" s="153"/>
      <c r="AP850" s="153"/>
      <c r="AQ850" s="168"/>
      <c r="AR850" s="56">
        <f t="shared" si="420"/>
        <v>0</v>
      </c>
      <c r="AS850" s="54"/>
      <c r="AT850" s="153"/>
      <c r="AU850" s="153"/>
      <c r="AV850" s="168"/>
      <c r="AW850" s="56">
        <f t="shared" si="421"/>
        <v>0</v>
      </c>
      <c r="AX850" s="55"/>
      <c r="AY850" s="153"/>
      <c r="AZ850" s="153"/>
      <c r="BA850" s="168"/>
      <c r="BB850" s="56">
        <f t="shared" si="422"/>
        <v>0</v>
      </c>
      <c r="BC850" s="49">
        <f t="shared" si="419"/>
        <v>0</v>
      </c>
      <c r="BD850" s="299"/>
      <c r="BE850" s="268" t="s">
        <v>28</v>
      </c>
      <c r="BF850" s="55"/>
      <c r="BG850" s="153"/>
      <c r="BH850" s="153"/>
      <c r="BI850" s="168"/>
      <c r="BJ850" s="56">
        <f t="shared" si="423"/>
        <v>0</v>
      </c>
      <c r="BL850" s="268" t="s">
        <v>28</v>
      </c>
      <c r="BM850" s="55"/>
      <c r="BN850" s="153"/>
      <c r="BO850" s="153"/>
      <c r="BP850" s="168"/>
      <c r="BQ850" s="56">
        <f t="shared" si="424"/>
        <v>0</v>
      </c>
    </row>
    <row r="851" spans="1:69" ht="14.25" thickBot="1" x14ac:dyDescent="0.2">
      <c r="A851" s="53" t="s">
        <v>111</v>
      </c>
      <c r="B851" s="63"/>
      <c r="C851" s="164"/>
      <c r="D851" s="164"/>
      <c r="E851" s="169"/>
      <c r="F851" s="170">
        <f t="shared" si="398"/>
        <v>0</v>
      </c>
      <c r="G851" s="63"/>
      <c r="H851" s="164"/>
      <c r="I851" s="164"/>
      <c r="J851" s="169"/>
      <c r="K851" s="170">
        <f t="shared" si="399"/>
        <v>0</v>
      </c>
      <c r="L851" s="63"/>
      <c r="M851" s="164"/>
      <c r="N851" s="164"/>
      <c r="O851" s="169"/>
      <c r="P851" s="170">
        <f t="shared" si="400"/>
        <v>0</v>
      </c>
      <c r="Q851" s="62"/>
      <c r="R851" s="164"/>
      <c r="S851" s="164"/>
      <c r="T851" s="169"/>
      <c r="U851" s="170">
        <f t="shared" si="401"/>
        <v>0</v>
      </c>
      <c r="V851" s="63"/>
      <c r="W851" s="164"/>
      <c r="X851" s="164"/>
      <c r="Y851" s="169"/>
      <c r="Z851" s="170">
        <f t="shared" si="405"/>
        <v>0</v>
      </c>
      <c r="AA851" s="49">
        <f t="shared" si="413"/>
        <v>0</v>
      </c>
      <c r="AB851" s="300"/>
      <c r="AC851" s="268" t="s">
        <v>28</v>
      </c>
      <c r="AD851" s="63"/>
      <c r="AE851" s="164"/>
      <c r="AF851" s="164"/>
      <c r="AG851" s="169"/>
      <c r="AH851" s="170">
        <f t="shared" si="406"/>
        <v>0</v>
      </c>
      <c r="AI851" s="63"/>
      <c r="AJ851" s="164"/>
      <c r="AK851" s="164"/>
      <c r="AL851" s="169"/>
      <c r="AM851" s="170">
        <f t="shared" si="407"/>
        <v>0</v>
      </c>
      <c r="AN851" s="63"/>
      <c r="AO851" s="164"/>
      <c r="AP851" s="164"/>
      <c r="AQ851" s="169"/>
      <c r="AR851" s="170">
        <f t="shared" si="420"/>
        <v>0</v>
      </c>
      <c r="AS851" s="62"/>
      <c r="AT851" s="164"/>
      <c r="AU851" s="164"/>
      <c r="AV851" s="169"/>
      <c r="AW851" s="170">
        <f t="shared" si="421"/>
        <v>0</v>
      </c>
      <c r="AX851" s="63"/>
      <c r="AY851" s="164"/>
      <c r="AZ851" s="164"/>
      <c r="BA851" s="169"/>
      <c r="BB851" s="170">
        <f t="shared" si="422"/>
        <v>0</v>
      </c>
      <c r="BC851" s="49">
        <f t="shared" si="419"/>
        <v>0</v>
      </c>
      <c r="BD851" s="300"/>
      <c r="BE851" s="274" t="s">
        <v>28</v>
      </c>
      <c r="BF851" s="63"/>
      <c r="BG851" s="164"/>
      <c r="BH851" s="164"/>
      <c r="BI851" s="169"/>
      <c r="BJ851" s="170">
        <f t="shared" si="423"/>
        <v>0</v>
      </c>
      <c r="BL851" s="274" t="s">
        <v>28</v>
      </c>
      <c r="BM851" s="63"/>
      <c r="BN851" s="164"/>
      <c r="BO851" s="164"/>
      <c r="BP851" s="169"/>
      <c r="BQ851" s="170">
        <f t="shared" si="424"/>
        <v>0</v>
      </c>
    </row>
    <row r="852" spans="1:69" ht="15" thickBot="1" x14ac:dyDescent="0.2">
      <c r="A852" s="181" t="s">
        <v>14</v>
      </c>
      <c r="B852" s="182">
        <f>SUM(B844:B851)</f>
        <v>4</v>
      </c>
      <c r="C852" s="183">
        <f>SUM(C844:C851)</f>
        <v>7</v>
      </c>
      <c r="D852" s="183">
        <f>SUM(D844:D851)</f>
        <v>5</v>
      </c>
      <c r="E852" s="184">
        <f>SUM(E844:E851)</f>
        <v>4</v>
      </c>
      <c r="F852" s="77">
        <f t="shared" si="398"/>
        <v>20</v>
      </c>
      <c r="G852" s="182">
        <f>SUM(G844:G851)</f>
        <v>9</v>
      </c>
      <c r="H852" s="183">
        <f>SUM(H844:H851)</f>
        <v>8</v>
      </c>
      <c r="I852" s="183">
        <f>SUM(I844:I851)</f>
        <v>8</v>
      </c>
      <c r="J852" s="184">
        <f>SUM(J844:J851)</f>
        <v>5</v>
      </c>
      <c r="K852" s="77">
        <f t="shared" si="399"/>
        <v>30</v>
      </c>
      <c r="L852" s="182">
        <f>SUM(L844:L851)</f>
        <v>3</v>
      </c>
      <c r="M852" s="183">
        <f>SUM(M844:M851)</f>
        <v>6</v>
      </c>
      <c r="N852" s="183">
        <f>SUM(N844:N851)</f>
        <v>4</v>
      </c>
      <c r="O852" s="184">
        <f>SUM(O844:O851)</f>
        <v>4</v>
      </c>
      <c r="P852" s="77">
        <f t="shared" si="400"/>
        <v>17</v>
      </c>
      <c r="Q852" s="182">
        <f>SUM(Q844:Q851)</f>
        <v>7</v>
      </c>
      <c r="R852" s="183">
        <f>SUM(R844:R851)</f>
        <v>12</v>
      </c>
      <c r="S852" s="183">
        <f>SUM(S844:S851)</f>
        <v>10</v>
      </c>
      <c r="T852" s="184">
        <f>SUM(T844:T851)</f>
        <v>11</v>
      </c>
      <c r="U852" s="77">
        <f t="shared" si="401"/>
        <v>40</v>
      </c>
      <c r="V852" s="293">
        <f>SUM(V844:V851)</f>
        <v>6</v>
      </c>
      <c r="W852" s="183">
        <f>SUM(W844:W851)</f>
        <v>14</v>
      </c>
      <c r="X852" s="183">
        <f>SUM(X844:X851)</f>
        <v>8</v>
      </c>
      <c r="Y852" s="184">
        <f>SUM(Y844:Y851)</f>
        <v>6</v>
      </c>
      <c r="Z852" s="77">
        <f t="shared" si="405"/>
        <v>34</v>
      </c>
      <c r="AA852" s="77">
        <f>F852+K852+P852+U852+Z852</f>
        <v>141</v>
      </c>
      <c r="AC852" s="275" t="s">
        <v>14</v>
      </c>
      <c r="AD852" s="182">
        <f>SUM(AD844:AD851)</f>
        <v>45</v>
      </c>
      <c r="AE852" s="183">
        <f>SUM(AE844:AE851)</f>
        <v>68</v>
      </c>
      <c r="AF852" s="183">
        <f>SUM(AF844:AF851)</f>
        <v>119</v>
      </c>
      <c r="AG852" s="184">
        <f>SUM(AG844:AG851)</f>
        <v>52</v>
      </c>
      <c r="AH852" s="77">
        <f t="shared" si="406"/>
        <v>284</v>
      </c>
      <c r="AI852" s="182">
        <f>SUM(AI844:AI851)</f>
        <v>184</v>
      </c>
      <c r="AJ852" s="183">
        <f>SUM(AJ844:AJ851)</f>
        <v>260</v>
      </c>
      <c r="AK852" s="183">
        <f>SUM(AK844:AK851)</f>
        <v>117</v>
      </c>
      <c r="AL852" s="184">
        <f>SUM(AL844:AL851)</f>
        <v>127</v>
      </c>
      <c r="AM852" s="77">
        <f t="shared" si="407"/>
        <v>688</v>
      </c>
      <c r="AN852" s="182">
        <f>SUM(AN844:AN851)</f>
        <v>55</v>
      </c>
      <c r="AO852" s="183">
        <f>SUM(AO844:AO851)</f>
        <v>78</v>
      </c>
      <c r="AP852" s="183">
        <f>SUM(AP844:AP851)</f>
        <v>53</v>
      </c>
      <c r="AQ852" s="184">
        <f>SUM(AQ844:AQ851)</f>
        <v>35</v>
      </c>
      <c r="AR852" s="77">
        <f t="shared" si="420"/>
        <v>221</v>
      </c>
      <c r="AS852" s="182">
        <f>SUM(AS844:AS851)</f>
        <v>149</v>
      </c>
      <c r="AT852" s="183">
        <f>SUM(AT844:AT851)</f>
        <v>246</v>
      </c>
      <c r="AU852" s="183">
        <f>SUM(AU844:AU851)</f>
        <v>114</v>
      </c>
      <c r="AV852" s="184">
        <f>SUM(AV844:AV851)</f>
        <v>112</v>
      </c>
      <c r="AW852" s="77">
        <f t="shared" si="421"/>
        <v>621</v>
      </c>
      <c r="AX852" s="293">
        <f>SUM(AX844:AX851)</f>
        <v>125</v>
      </c>
      <c r="AY852" s="183">
        <f>SUM(AY844:AY851)</f>
        <v>125</v>
      </c>
      <c r="AZ852" s="183">
        <f>SUM(AZ844:AZ851)</f>
        <v>70</v>
      </c>
      <c r="BA852" s="184">
        <f>SUM(BA844:BA851)</f>
        <v>65</v>
      </c>
      <c r="BB852" s="77">
        <f t="shared" si="422"/>
        <v>385</v>
      </c>
      <c r="BC852" s="77">
        <f>AH852+AM852+AR852+AW852+BB852</f>
        <v>2199</v>
      </c>
      <c r="BE852" s="275" t="s">
        <v>14</v>
      </c>
      <c r="BF852" s="182">
        <f>SUM(BF844:BF851)</f>
        <v>0</v>
      </c>
      <c r="BG852" s="183">
        <f>SUM(BG844:BG851)</f>
        <v>0</v>
      </c>
      <c r="BH852" s="183">
        <f>SUM(BH844:BH851)</f>
        <v>9</v>
      </c>
      <c r="BI852" s="184">
        <f>SUM(BI844:BI851)</f>
        <v>3</v>
      </c>
      <c r="BJ852" s="77">
        <f t="shared" si="423"/>
        <v>12</v>
      </c>
      <c r="BL852" s="275" t="s">
        <v>14</v>
      </c>
      <c r="BM852" s="182">
        <f>SUM(BM844:BM851)</f>
        <v>0</v>
      </c>
      <c r="BN852" s="183">
        <f>SUM(BN844:BN851)</f>
        <v>0</v>
      </c>
      <c r="BO852" s="183">
        <f>SUM(BO844:BO851)</f>
        <v>21</v>
      </c>
      <c r="BP852" s="184">
        <f>SUM(BP844:BP851)</f>
        <v>0</v>
      </c>
      <c r="BQ852" s="77">
        <f t="shared" si="424"/>
        <v>21</v>
      </c>
    </row>
    <row r="853" spans="1:69" x14ac:dyDescent="0.15">
      <c r="A853" s="53" t="s">
        <v>98</v>
      </c>
      <c r="B853" s="54"/>
      <c r="C853" s="55"/>
      <c r="D853" s="55"/>
      <c r="E853" s="55"/>
      <c r="F853" s="56">
        <f t="shared" si="398"/>
        <v>0</v>
      </c>
      <c r="G853" s="54"/>
      <c r="H853" s="55"/>
      <c r="I853" s="55">
        <v>1</v>
      </c>
      <c r="J853" s="55"/>
      <c r="K853" s="56">
        <f t="shared" si="399"/>
        <v>1</v>
      </c>
      <c r="L853" s="54"/>
      <c r="M853" s="55"/>
      <c r="N853" s="55"/>
      <c r="O853" s="55"/>
      <c r="P853" s="56">
        <f t="shared" si="400"/>
        <v>0</v>
      </c>
      <c r="Q853" s="54">
        <v>1</v>
      </c>
      <c r="R853" s="55">
        <v>1</v>
      </c>
      <c r="S853" s="55"/>
      <c r="T853" s="55">
        <v>1</v>
      </c>
      <c r="U853" s="56">
        <f t="shared" si="401"/>
        <v>3</v>
      </c>
      <c r="V853" s="55"/>
      <c r="W853" s="55"/>
      <c r="X853" s="55"/>
      <c r="Y853" s="55"/>
      <c r="Z853" s="56">
        <f t="shared" si="405"/>
        <v>0</v>
      </c>
      <c r="AA853" s="56">
        <f>F853+K853+P853+U853+Z853</f>
        <v>4</v>
      </c>
      <c r="AB853" s="299">
        <v>45031</v>
      </c>
      <c r="AC853" s="276" t="s">
        <v>479</v>
      </c>
      <c r="AD853" s="55">
        <v>3</v>
      </c>
      <c r="AE853" s="153">
        <v>2</v>
      </c>
      <c r="AF853" s="153">
        <v>3</v>
      </c>
      <c r="AG853" s="168">
        <v>2</v>
      </c>
      <c r="AH853" s="56">
        <f t="shared" si="406"/>
        <v>10</v>
      </c>
      <c r="AI853" s="55">
        <v>5</v>
      </c>
      <c r="AJ853" s="153">
        <v>9</v>
      </c>
      <c r="AK853" s="153">
        <v>11</v>
      </c>
      <c r="AL853" s="168">
        <v>12</v>
      </c>
      <c r="AM853" s="56">
        <f t="shared" si="407"/>
        <v>37</v>
      </c>
      <c r="AN853" s="55"/>
      <c r="AO853" s="153"/>
      <c r="AP853" s="153"/>
      <c r="AQ853" s="168"/>
      <c r="AR853" s="56">
        <f t="shared" si="420"/>
        <v>0</v>
      </c>
      <c r="AS853" s="54"/>
      <c r="AT853" s="153"/>
      <c r="AU853" s="153"/>
      <c r="AV853" s="168"/>
      <c r="AW853" s="56">
        <f t="shared" si="421"/>
        <v>0</v>
      </c>
      <c r="AX853" s="55"/>
      <c r="AY853" s="55"/>
      <c r="AZ853" s="55"/>
      <c r="BA853" s="55"/>
      <c r="BB853" s="56">
        <f t="shared" si="422"/>
        <v>0</v>
      </c>
      <c r="BC853" s="56">
        <f>AH853+AM853+AR853+AW853+BB853</f>
        <v>47</v>
      </c>
      <c r="BD853" s="298">
        <v>45057</v>
      </c>
      <c r="BE853" s="268" t="s">
        <v>481</v>
      </c>
      <c r="BF853" s="55"/>
      <c r="BG853" s="153"/>
      <c r="BH853" s="153">
        <v>1</v>
      </c>
      <c r="BI853" s="168"/>
      <c r="BJ853" s="56">
        <f t="shared" si="423"/>
        <v>1</v>
      </c>
      <c r="BK853" s="304">
        <v>45040</v>
      </c>
      <c r="BL853" s="268"/>
      <c r="BM853" s="54"/>
      <c r="BN853" s="55"/>
      <c r="BO853" s="55"/>
      <c r="BP853" s="55"/>
      <c r="BQ853" s="56">
        <f t="shared" si="424"/>
        <v>0</v>
      </c>
    </row>
    <row r="854" spans="1:69" x14ac:dyDescent="0.15">
      <c r="A854" s="53" t="s">
        <v>98</v>
      </c>
      <c r="B854" s="54"/>
      <c r="C854" s="55"/>
      <c r="D854" s="55"/>
      <c r="E854" s="55"/>
      <c r="F854" s="56">
        <f t="shared" si="398"/>
        <v>0</v>
      </c>
      <c r="G854" s="54"/>
      <c r="H854" s="55"/>
      <c r="I854" s="55"/>
      <c r="J854" s="55"/>
      <c r="K854" s="56">
        <f t="shared" si="399"/>
        <v>0</v>
      </c>
      <c r="L854" s="54"/>
      <c r="M854" s="55"/>
      <c r="N854" s="55"/>
      <c r="O854" s="55"/>
      <c r="P854" s="56">
        <f t="shared" si="400"/>
        <v>0</v>
      </c>
      <c r="Q854" s="54"/>
      <c r="R854" s="55"/>
      <c r="S854" s="55"/>
      <c r="T854" s="55">
        <v>1</v>
      </c>
      <c r="U854" s="56">
        <f t="shared" si="401"/>
        <v>1</v>
      </c>
      <c r="V854" s="55"/>
      <c r="W854" s="55">
        <v>1</v>
      </c>
      <c r="X854" s="55"/>
      <c r="Y854" s="55"/>
      <c r="Z854" s="56">
        <f t="shared" si="405"/>
        <v>1</v>
      </c>
      <c r="AA854" s="56">
        <f t="shared" ref="AA854:AA877" si="425">F854+K854+P854+U854+Z854</f>
        <v>2</v>
      </c>
      <c r="AB854" s="299">
        <v>45033</v>
      </c>
      <c r="AC854" s="269" t="s">
        <v>99</v>
      </c>
      <c r="AD854" s="54"/>
      <c r="AE854" s="55"/>
      <c r="AF854" s="55"/>
      <c r="AG854" s="55"/>
      <c r="AH854" s="56">
        <f t="shared" ref="AH854" si="426">SUM(AD854:AG854)</f>
        <v>0</v>
      </c>
      <c r="AI854" s="54"/>
      <c r="AJ854" s="55">
        <v>3</v>
      </c>
      <c r="AK854" s="55">
        <v>3</v>
      </c>
      <c r="AL854" s="55"/>
      <c r="AM854" s="56">
        <f t="shared" si="407"/>
        <v>6</v>
      </c>
      <c r="AN854" s="54"/>
      <c r="AO854" s="55"/>
      <c r="AP854" s="55"/>
      <c r="AQ854" s="55"/>
      <c r="AR854" s="56">
        <f t="shared" ref="AR854" si="427">SUM(AN854:AQ854)</f>
        <v>0</v>
      </c>
      <c r="AS854" s="54"/>
      <c r="AT854" s="55"/>
      <c r="AU854" s="55"/>
      <c r="AV854" s="55">
        <v>3</v>
      </c>
      <c r="AW854" s="56">
        <f t="shared" ref="AW854" si="428">SUM(AS854:AV854)</f>
        <v>3</v>
      </c>
      <c r="AX854" s="55"/>
      <c r="AY854" s="55">
        <v>5</v>
      </c>
      <c r="AZ854" s="55"/>
      <c r="BA854" s="55"/>
      <c r="BB854" s="56">
        <f t="shared" ref="BB854" si="429">SUM(AX854:BA854)</f>
        <v>5</v>
      </c>
      <c r="BC854" s="56">
        <f>AH854+AM854+AR854+AW854+BB854</f>
        <v>14</v>
      </c>
      <c r="BD854" s="298">
        <v>45035</v>
      </c>
      <c r="BE854" s="268"/>
      <c r="BF854" s="54"/>
      <c r="BG854" s="55"/>
      <c r="BH854" s="55"/>
      <c r="BI854" s="55"/>
      <c r="BJ854" s="56">
        <f t="shared" si="423"/>
        <v>0</v>
      </c>
      <c r="BK854" s="304"/>
      <c r="BL854" s="268"/>
      <c r="BM854" s="54"/>
      <c r="BN854" s="55"/>
      <c r="BO854" s="55"/>
      <c r="BP854" s="55"/>
      <c r="BQ854" s="56">
        <f t="shared" si="424"/>
        <v>0</v>
      </c>
    </row>
    <row r="855" spans="1:69" x14ac:dyDescent="0.15">
      <c r="A855" s="53" t="s">
        <v>314</v>
      </c>
      <c r="B855" s="54"/>
      <c r="C855" s="55"/>
      <c r="D855" s="55"/>
      <c r="E855" s="55"/>
      <c r="F855" s="56">
        <f t="shared" si="398"/>
        <v>0</v>
      </c>
      <c r="G855" s="54"/>
      <c r="H855" s="55"/>
      <c r="I855" s="55"/>
      <c r="J855" s="55"/>
      <c r="K855" s="56">
        <f t="shared" si="399"/>
        <v>0</v>
      </c>
      <c r="L855" s="54"/>
      <c r="M855" s="55"/>
      <c r="N855" s="55"/>
      <c r="O855" s="55"/>
      <c r="P855" s="56">
        <f t="shared" si="400"/>
        <v>0</v>
      </c>
      <c r="Q855" s="54"/>
      <c r="R855" s="55"/>
      <c r="S855" s="55">
        <v>-1</v>
      </c>
      <c r="T855" s="55">
        <v>1</v>
      </c>
      <c r="U855" s="56">
        <f t="shared" si="401"/>
        <v>0</v>
      </c>
      <c r="V855" s="55"/>
      <c r="W855" s="55"/>
      <c r="X855" s="55"/>
      <c r="Y855" s="55"/>
      <c r="Z855" s="56">
        <f t="shared" si="405"/>
        <v>0</v>
      </c>
      <c r="AA855" s="56">
        <f t="shared" si="425"/>
        <v>0</v>
      </c>
      <c r="AB855" s="299">
        <v>45033</v>
      </c>
      <c r="AC855" s="276" t="s">
        <v>480</v>
      </c>
      <c r="AD855" s="54"/>
      <c r="AE855" s="55"/>
      <c r="AF855" s="55"/>
      <c r="AG855" s="55"/>
      <c r="AH855" s="56">
        <f t="shared" si="406"/>
        <v>0</v>
      </c>
      <c r="AI855" s="54">
        <v>3</v>
      </c>
      <c r="AJ855" s="55"/>
      <c r="AK855" s="55"/>
      <c r="AL855" s="55"/>
      <c r="AM855" s="56">
        <f t="shared" si="407"/>
        <v>3</v>
      </c>
      <c r="AN855" s="54"/>
      <c r="AO855" s="55"/>
      <c r="AP855" s="55"/>
      <c r="AQ855" s="55"/>
      <c r="AR855" s="56">
        <f t="shared" si="420"/>
        <v>0</v>
      </c>
      <c r="AS855" s="54"/>
      <c r="AT855" s="55"/>
      <c r="AU855" s="55"/>
      <c r="AV855" s="55"/>
      <c r="AW855" s="56">
        <f t="shared" si="421"/>
        <v>0</v>
      </c>
      <c r="AX855" s="55"/>
      <c r="AY855" s="55"/>
      <c r="AZ855" s="55"/>
      <c r="BA855" s="55"/>
      <c r="BB855" s="56">
        <f t="shared" si="422"/>
        <v>0</v>
      </c>
      <c r="BC855" s="56">
        <f t="shared" ref="BC855:BC875" si="430">AH855+AM855+AR855+AW855+BB855</f>
        <v>3</v>
      </c>
      <c r="BD855" s="298">
        <v>45064</v>
      </c>
      <c r="BE855" s="268"/>
      <c r="BF855" s="54"/>
      <c r="BG855" s="55"/>
      <c r="BH855" s="55"/>
      <c r="BI855" s="55"/>
      <c r="BJ855" s="56">
        <f t="shared" si="423"/>
        <v>0</v>
      </c>
      <c r="BK855" s="306"/>
      <c r="BL855" s="268"/>
      <c r="BM855" s="54"/>
      <c r="BN855" s="55"/>
      <c r="BO855" s="55"/>
      <c r="BP855" s="55"/>
      <c r="BQ855" s="56">
        <f t="shared" si="424"/>
        <v>0</v>
      </c>
    </row>
    <row r="856" spans="1:69" x14ac:dyDescent="0.15">
      <c r="A856" s="53" t="s">
        <v>98</v>
      </c>
      <c r="B856" s="54"/>
      <c r="C856" s="55"/>
      <c r="D856" s="55"/>
      <c r="E856" s="55"/>
      <c r="F856" s="56">
        <f t="shared" si="398"/>
        <v>0</v>
      </c>
      <c r="G856" s="54"/>
      <c r="H856" s="55"/>
      <c r="I856" s="55"/>
      <c r="J856" s="55"/>
      <c r="K856" s="56">
        <f t="shared" si="399"/>
        <v>0</v>
      </c>
      <c r="L856" s="54"/>
      <c r="M856" s="55"/>
      <c r="N856" s="55"/>
      <c r="O856" s="55"/>
      <c r="P856" s="56">
        <f t="shared" si="400"/>
        <v>0</v>
      </c>
      <c r="Q856" s="54"/>
      <c r="R856" s="55"/>
      <c r="S856" s="55"/>
      <c r="T856" s="55"/>
      <c r="U856" s="56">
        <f t="shared" si="401"/>
        <v>0</v>
      </c>
      <c r="V856" s="55"/>
      <c r="W856" s="55">
        <f>1+1</f>
        <v>2</v>
      </c>
      <c r="X856" s="55"/>
      <c r="Y856" s="55"/>
      <c r="Z856" s="56">
        <f t="shared" si="405"/>
        <v>2</v>
      </c>
      <c r="AA856" s="56">
        <f t="shared" si="425"/>
        <v>2</v>
      </c>
      <c r="AB856" s="299">
        <v>45034</v>
      </c>
      <c r="AC856" s="269" t="s">
        <v>482</v>
      </c>
      <c r="AD856" s="54"/>
      <c r="AE856" s="55"/>
      <c r="AF856" s="55">
        <v>2</v>
      </c>
      <c r="AG856" s="55"/>
      <c r="AH856" s="56">
        <f t="shared" si="406"/>
        <v>2</v>
      </c>
      <c r="AI856" s="54"/>
      <c r="AJ856" s="55"/>
      <c r="AK856" s="55"/>
      <c r="AL856" s="55"/>
      <c r="AM856" s="56">
        <f t="shared" si="407"/>
        <v>0</v>
      </c>
      <c r="AN856" s="54"/>
      <c r="AO856" s="55"/>
      <c r="AP856" s="55"/>
      <c r="AQ856" s="55"/>
      <c r="AR856" s="56">
        <f t="shared" si="420"/>
        <v>0</v>
      </c>
      <c r="AS856" s="54"/>
      <c r="AT856" s="55"/>
      <c r="AU856" s="55">
        <v>2</v>
      </c>
      <c r="AV856" s="55"/>
      <c r="AW856" s="56">
        <f t="shared" si="421"/>
        <v>2</v>
      </c>
      <c r="AX856" s="55"/>
      <c r="AY856" s="55"/>
      <c r="AZ856" s="55"/>
      <c r="BA856" s="55"/>
      <c r="BB856" s="56">
        <f t="shared" si="422"/>
        <v>0</v>
      </c>
      <c r="BC856" s="56">
        <f t="shared" si="430"/>
        <v>4</v>
      </c>
      <c r="BD856" s="298">
        <v>45044</v>
      </c>
      <c r="BE856" s="268"/>
      <c r="BF856" s="54"/>
      <c r="BG856" s="55"/>
      <c r="BH856" s="55"/>
      <c r="BI856" s="55"/>
      <c r="BJ856" s="56">
        <f t="shared" si="423"/>
        <v>0</v>
      </c>
      <c r="BK856" s="306"/>
      <c r="BL856" s="268"/>
      <c r="BM856" s="54"/>
      <c r="BN856" s="55"/>
      <c r="BO856" s="55"/>
      <c r="BP856" s="55"/>
      <c r="BQ856" s="56">
        <f t="shared" si="424"/>
        <v>0</v>
      </c>
    </row>
    <row r="857" spans="1:69" x14ac:dyDescent="0.15">
      <c r="A857" s="53" t="s">
        <v>121</v>
      </c>
      <c r="B857" s="54"/>
      <c r="C857" s="55"/>
      <c r="D857" s="55"/>
      <c r="E857" s="55"/>
      <c r="F857" s="56">
        <f t="shared" si="398"/>
        <v>0</v>
      </c>
      <c r="G857" s="54"/>
      <c r="H857" s="55"/>
      <c r="I857" s="55"/>
      <c r="J857" s="55"/>
      <c r="K857" s="56">
        <f t="shared" si="399"/>
        <v>0</v>
      </c>
      <c r="L857" s="54"/>
      <c r="M857" s="55"/>
      <c r="N857" s="55"/>
      <c r="O857" s="55"/>
      <c r="P857" s="56">
        <f t="shared" si="400"/>
        <v>0</v>
      </c>
      <c r="Q857" s="54"/>
      <c r="R857" s="55"/>
      <c r="S857" s="55"/>
      <c r="T857" s="55">
        <v>-1</v>
      </c>
      <c r="U857" s="56">
        <f t="shared" si="401"/>
        <v>-1</v>
      </c>
      <c r="V857" s="55"/>
      <c r="W857" s="55"/>
      <c r="X857" s="55"/>
      <c r="Y857" s="55"/>
      <c r="Z857" s="56">
        <f t="shared" si="405"/>
        <v>0</v>
      </c>
      <c r="AA857" s="56">
        <f t="shared" si="425"/>
        <v>-1</v>
      </c>
      <c r="AB857" s="299">
        <v>45036</v>
      </c>
      <c r="AC857" s="269" t="s">
        <v>483</v>
      </c>
      <c r="AD857" s="54"/>
      <c r="AE857" s="55"/>
      <c r="AF857" s="55"/>
      <c r="AG857" s="55"/>
      <c r="AH857" s="56">
        <f t="shared" si="406"/>
        <v>0</v>
      </c>
      <c r="AI857" s="54"/>
      <c r="AJ857" s="55">
        <v>1</v>
      </c>
      <c r="AK857" s="55"/>
      <c r="AL857" s="55"/>
      <c r="AM857" s="56">
        <f t="shared" si="407"/>
        <v>1</v>
      </c>
      <c r="AN857" s="54"/>
      <c r="AO857" s="55"/>
      <c r="AP857" s="55"/>
      <c r="AQ857" s="55"/>
      <c r="AR857" s="56">
        <f t="shared" si="420"/>
        <v>0</v>
      </c>
      <c r="AS857" s="54"/>
      <c r="AT857" s="55"/>
      <c r="AU857" s="55">
        <v>3</v>
      </c>
      <c r="AV857" s="55">
        <v>3</v>
      </c>
      <c r="AW857" s="56">
        <f t="shared" si="421"/>
        <v>6</v>
      </c>
      <c r="AX857" s="55"/>
      <c r="AY857" s="55"/>
      <c r="AZ857" s="55"/>
      <c r="BA857" s="55"/>
      <c r="BB857" s="56">
        <f t="shared" si="422"/>
        <v>0</v>
      </c>
      <c r="BC857" s="56">
        <f t="shared" si="430"/>
        <v>7</v>
      </c>
      <c r="BD857" s="298">
        <v>45044</v>
      </c>
      <c r="BE857" s="268"/>
      <c r="BF857" s="51"/>
      <c r="BG857" s="52"/>
      <c r="BH857" s="52"/>
      <c r="BI857" s="52"/>
      <c r="BJ857" s="49">
        <f t="shared" si="423"/>
        <v>0</v>
      </c>
      <c r="BK857" s="304"/>
      <c r="BL857" s="268"/>
      <c r="BM857" s="54"/>
      <c r="BN857" s="55"/>
      <c r="BO857" s="55"/>
      <c r="BP857" s="55"/>
      <c r="BQ857" s="56">
        <f t="shared" si="424"/>
        <v>0</v>
      </c>
    </row>
    <row r="858" spans="1:69" x14ac:dyDescent="0.15">
      <c r="A858" s="53" t="s">
        <v>98</v>
      </c>
      <c r="B858" s="54"/>
      <c r="C858" s="55"/>
      <c r="D858" s="55"/>
      <c r="E858" s="55"/>
      <c r="F858" s="56">
        <f t="shared" si="398"/>
        <v>0</v>
      </c>
      <c r="G858" s="54"/>
      <c r="H858" s="55"/>
      <c r="I858" s="55"/>
      <c r="J858" s="55"/>
      <c r="K858" s="56">
        <f t="shared" si="399"/>
        <v>0</v>
      </c>
      <c r="L858" s="54"/>
      <c r="M858" s="55"/>
      <c r="N858" s="55"/>
      <c r="O858" s="55"/>
      <c r="P858" s="56">
        <f t="shared" si="400"/>
        <v>0</v>
      </c>
      <c r="Q858" s="54"/>
      <c r="R858" s="55">
        <v>1</v>
      </c>
      <c r="S858" s="55"/>
      <c r="T858" s="55"/>
      <c r="U858" s="56">
        <f t="shared" si="401"/>
        <v>1</v>
      </c>
      <c r="V858" s="55"/>
      <c r="W858" s="55"/>
      <c r="X858" s="55"/>
      <c r="Y858" s="55"/>
      <c r="Z858" s="56">
        <f t="shared" si="405"/>
        <v>0</v>
      </c>
      <c r="AA858" s="56">
        <f t="shared" si="425"/>
        <v>1</v>
      </c>
      <c r="AB858" s="299">
        <v>45036</v>
      </c>
      <c r="AC858" s="269" t="s">
        <v>484</v>
      </c>
      <c r="AD858" s="54"/>
      <c r="AE858" s="55"/>
      <c r="AF858" s="55"/>
      <c r="AG858" s="55"/>
      <c r="AH858" s="56">
        <f t="shared" si="406"/>
        <v>0</v>
      </c>
      <c r="AI858" s="54">
        <v>5</v>
      </c>
      <c r="AJ858" s="55"/>
      <c r="AK858" s="55"/>
      <c r="AL858" s="55"/>
      <c r="AM858" s="56">
        <f t="shared" si="407"/>
        <v>5</v>
      </c>
      <c r="AN858" s="54"/>
      <c r="AO858" s="55"/>
      <c r="AP858" s="55"/>
      <c r="AQ858" s="55"/>
      <c r="AR858" s="56">
        <f t="shared" si="420"/>
        <v>0</v>
      </c>
      <c r="AS858" s="54"/>
      <c r="AT858" s="55"/>
      <c r="AU858" s="55"/>
      <c r="AV858" s="55"/>
      <c r="AW858" s="56">
        <f t="shared" si="421"/>
        <v>0</v>
      </c>
      <c r="AX858" s="55"/>
      <c r="AY858" s="55"/>
      <c r="AZ858" s="55"/>
      <c r="BA858" s="55"/>
      <c r="BB858" s="56">
        <f t="shared" si="422"/>
        <v>0</v>
      </c>
      <c r="BC858" s="56">
        <f t="shared" si="430"/>
        <v>5</v>
      </c>
      <c r="BD858" s="298">
        <v>45047</v>
      </c>
      <c r="BE858" s="268"/>
      <c r="BF858" s="54"/>
      <c r="BG858" s="55"/>
      <c r="BH858" s="55"/>
      <c r="BI858" s="55"/>
      <c r="BJ858" s="56">
        <f t="shared" si="423"/>
        <v>0</v>
      </c>
      <c r="BK858" s="304"/>
      <c r="BL858" s="268"/>
      <c r="BM858" s="54"/>
      <c r="BN858" s="55"/>
      <c r="BO858" s="55"/>
      <c r="BP858" s="55"/>
      <c r="BQ858" s="56">
        <f t="shared" si="424"/>
        <v>0</v>
      </c>
    </row>
    <row r="859" spans="1:69" x14ac:dyDescent="0.15">
      <c r="A859" s="53" t="s">
        <v>98</v>
      </c>
      <c r="B859" s="54"/>
      <c r="C859" s="55"/>
      <c r="D859" s="55"/>
      <c r="E859" s="55"/>
      <c r="F859" s="56">
        <f t="shared" si="398"/>
        <v>0</v>
      </c>
      <c r="G859" s="54"/>
      <c r="H859" s="55"/>
      <c r="I859" s="55"/>
      <c r="J859" s="55"/>
      <c r="K859" s="56">
        <f t="shared" si="399"/>
        <v>0</v>
      </c>
      <c r="L859" s="54"/>
      <c r="M859" s="55"/>
      <c r="N859" s="55"/>
      <c r="O859" s="55"/>
      <c r="P859" s="56">
        <f t="shared" si="400"/>
        <v>0</v>
      </c>
      <c r="Q859" s="54"/>
      <c r="R859" s="55"/>
      <c r="S859" s="55">
        <v>1</v>
      </c>
      <c r="T859" s="55"/>
      <c r="U859" s="56">
        <f t="shared" si="401"/>
        <v>1</v>
      </c>
      <c r="V859" s="55"/>
      <c r="W859" s="55"/>
      <c r="X859" s="55">
        <v>1</v>
      </c>
      <c r="Y859" s="55"/>
      <c r="Z859" s="56">
        <f t="shared" si="405"/>
        <v>1</v>
      </c>
      <c r="AA859" s="56">
        <f t="shared" si="425"/>
        <v>2</v>
      </c>
      <c r="AB859" s="299">
        <v>45037</v>
      </c>
      <c r="AC859" s="269" t="s">
        <v>99</v>
      </c>
      <c r="AD859" s="55"/>
      <c r="AE859" s="55">
        <v>2</v>
      </c>
      <c r="AF859" s="55"/>
      <c r="AG859" s="166"/>
      <c r="AH859" s="56">
        <f t="shared" si="406"/>
        <v>2</v>
      </c>
      <c r="AI859" s="55"/>
      <c r="AJ859" s="55"/>
      <c r="AK859" s="55"/>
      <c r="AL859" s="166"/>
      <c r="AM859" s="49">
        <f t="shared" si="407"/>
        <v>0</v>
      </c>
      <c r="AN859" s="55"/>
      <c r="AO859" s="55"/>
      <c r="AP859" s="55"/>
      <c r="AQ859" s="166"/>
      <c r="AR859" s="49">
        <f t="shared" ref="AR859" si="431">SUM(AN859:AQ859)</f>
        <v>0</v>
      </c>
      <c r="AS859" s="54">
        <v>2</v>
      </c>
      <c r="AT859" s="55">
        <v>5</v>
      </c>
      <c r="AU859" s="55">
        <v>2</v>
      </c>
      <c r="AV859" s="166"/>
      <c r="AW859" s="49">
        <f t="shared" ref="AW859" si="432">SUM(AS859:AV859)</f>
        <v>9</v>
      </c>
      <c r="AX859" s="55"/>
      <c r="AY859" s="55"/>
      <c r="AZ859" s="55"/>
      <c r="BA859" s="55"/>
      <c r="BB859" s="56">
        <f t="shared" ref="BB859" si="433">SUM(AX859:BA859)</f>
        <v>0</v>
      </c>
      <c r="BC859" s="56">
        <f t="shared" si="430"/>
        <v>11</v>
      </c>
      <c r="BD859" s="298">
        <v>45048</v>
      </c>
      <c r="BE859" s="268"/>
      <c r="BF859" s="54"/>
      <c r="BG859" s="55"/>
      <c r="BH859" s="55"/>
      <c r="BI859" s="55"/>
      <c r="BJ859" s="56">
        <f t="shared" si="423"/>
        <v>0</v>
      </c>
      <c r="BK859" s="306"/>
      <c r="BL859" s="268"/>
      <c r="BM859" s="54"/>
      <c r="BN859" s="55"/>
      <c r="BO859" s="55"/>
      <c r="BP859" s="55"/>
      <c r="BQ859" s="56">
        <f t="shared" si="424"/>
        <v>0</v>
      </c>
    </row>
    <row r="860" spans="1:69" x14ac:dyDescent="0.15">
      <c r="A860" s="53" t="s">
        <v>98</v>
      </c>
      <c r="B860" s="17"/>
      <c r="C860" s="18"/>
      <c r="D860" s="18"/>
      <c r="E860" s="18"/>
      <c r="F860" s="30">
        <f t="shared" ref="F860:F869" si="434">SUM(B860:E860)</f>
        <v>0</v>
      </c>
      <c r="G860" s="17"/>
      <c r="H860" s="18">
        <v>1</v>
      </c>
      <c r="I860" s="18"/>
      <c r="J860" s="18"/>
      <c r="K860" s="30">
        <f t="shared" ref="K860:K869" si="435">SUM(G860:J860)</f>
        <v>1</v>
      </c>
      <c r="L860" s="17"/>
      <c r="M860" s="18"/>
      <c r="N860" s="18"/>
      <c r="O860" s="18"/>
      <c r="P860" s="30">
        <f t="shared" ref="P860:P869" si="436">SUM(L860:O860)</f>
        <v>0</v>
      </c>
      <c r="Q860" s="17"/>
      <c r="R860" s="18">
        <v>1</v>
      </c>
      <c r="S860" s="18">
        <v>1</v>
      </c>
      <c r="T860" s="18"/>
      <c r="U860" s="30">
        <f t="shared" ref="U860:U869" si="437">SUM(Q860:T860)</f>
        <v>2</v>
      </c>
      <c r="V860" s="18"/>
      <c r="W860" s="18"/>
      <c r="X860" s="18"/>
      <c r="Y860" s="18"/>
      <c r="Z860" s="30">
        <f t="shared" ref="Z860:Z869" si="438">SUM(V860:Y860)</f>
        <v>0</v>
      </c>
      <c r="AA860" s="56">
        <f t="shared" ref="AA860:AA869" si="439">F860+K860+P860+U860+Z860</f>
        <v>3</v>
      </c>
      <c r="AB860" s="299">
        <v>45040</v>
      </c>
      <c r="AC860" s="276" t="s">
        <v>486</v>
      </c>
      <c r="AD860" s="17"/>
      <c r="AE860" s="18">
        <v>4</v>
      </c>
      <c r="AF860" s="18"/>
      <c r="AG860" s="18"/>
      <c r="AH860" s="30">
        <f t="shared" si="406"/>
        <v>4</v>
      </c>
      <c r="AI860" s="17"/>
      <c r="AJ860" s="18">
        <v>4</v>
      </c>
      <c r="AK860" s="18">
        <v>3</v>
      </c>
      <c r="AL860" s="18">
        <v>3</v>
      </c>
      <c r="AM860" s="30">
        <f t="shared" si="407"/>
        <v>10</v>
      </c>
      <c r="AN860" s="17"/>
      <c r="AO860" s="18"/>
      <c r="AP860" s="18"/>
      <c r="AQ860" s="18"/>
      <c r="AR860" s="30">
        <f t="shared" si="420"/>
        <v>0</v>
      </c>
      <c r="AS860" s="17"/>
      <c r="AT860" s="18"/>
      <c r="AU860" s="18"/>
      <c r="AV860" s="18"/>
      <c r="AW860" s="30">
        <f t="shared" si="421"/>
        <v>0</v>
      </c>
      <c r="AX860" s="55"/>
      <c r="AY860" s="55"/>
      <c r="AZ860" s="55"/>
      <c r="BA860" s="55"/>
      <c r="BB860" s="56">
        <f t="shared" si="422"/>
        <v>0</v>
      </c>
      <c r="BC860" s="56">
        <f t="shared" si="430"/>
        <v>14</v>
      </c>
      <c r="BD860" s="298">
        <v>45066</v>
      </c>
      <c r="BE860" s="268"/>
      <c r="BF860" s="55"/>
      <c r="BG860" s="55"/>
      <c r="BH860" s="55"/>
      <c r="BI860" s="166"/>
      <c r="BJ860" s="49">
        <f t="shared" si="423"/>
        <v>0</v>
      </c>
      <c r="BL860" s="276"/>
      <c r="BM860" s="55"/>
      <c r="BN860" s="55"/>
      <c r="BO860" s="55"/>
      <c r="BP860" s="166"/>
      <c r="BQ860" s="49">
        <f t="shared" si="424"/>
        <v>0</v>
      </c>
    </row>
    <row r="861" spans="1:69" x14ac:dyDescent="0.15">
      <c r="A861" s="53" t="s">
        <v>98</v>
      </c>
      <c r="B861" s="54"/>
      <c r="C861" s="55"/>
      <c r="D861" s="55"/>
      <c r="E861" s="55"/>
      <c r="F861" s="56">
        <f t="shared" si="434"/>
        <v>0</v>
      </c>
      <c r="G861" s="54"/>
      <c r="H861" s="55"/>
      <c r="I861" s="55"/>
      <c r="J861" s="55"/>
      <c r="K861" s="56">
        <f t="shared" si="435"/>
        <v>0</v>
      </c>
      <c r="L861" s="54"/>
      <c r="M861" s="55"/>
      <c r="N861" s="55"/>
      <c r="O861" s="55"/>
      <c r="P861" s="56">
        <f t="shared" si="436"/>
        <v>0</v>
      </c>
      <c r="Q861" s="54"/>
      <c r="R861" s="55">
        <v>1</v>
      </c>
      <c r="S861" s="55"/>
      <c r="T861" s="55"/>
      <c r="U861" s="56">
        <f t="shared" si="437"/>
        <v>1</v>
      </c>
      <c r="V861" s="55"/>
      <c r="W861" s="55"/>
      <c r="X861" s="55"/>
      <c r="Y861" s="55"/>
      <c r="Z861" s="56">
        <f t="shared" si="438"/>
        <v>0</v>
      </c>
      <c r="AA861" s="56">
        <f t="shared" si="439"/>
        <v>1</v>
      </c>
      <c r="AB861" s="299">
        <v>45041</v>
      </c>
      <c r="AC861" s="269" t="s">
        <v>487</v>
      </c>
      <c r="AD861" s="54"/>
      <c r="AE861" s="55"/>
      <c r="AF861" s="55"/>
      <c r="AG861" s="55"/>
      <c r="AH861" s="56">
        <f t="shared" si="406"/>
        <v>0</v>
      </c>
      <c r="AI861" s="54"/>
      <c r="AJ861" s="55"/>
      <c r="AK861" s="55"/>
      <c r="AL861" s="55"/>
      <c r="AM861" s="56">
        <f t="shared" si="407"/>
        <v>0</v>
      </c>
      <c r="AN861" s="54"/>
      <c r="AO861" s="55">
        <v>1</v>
      </c>
      <c r="AP861" s="55"/>
      <c r="AQ861" s="55"/>
      <c r="AR861" s="56">
        <f t="shared" si="420"/>
        <v>1</v>
      </c>
      <c r="AS861" s="54"/>
      <c r="AT861" s="55"/>
      <c r="AU861" s="55">
        <v>2</v>
      </c>
      <c r="AV861" s="55"/>
      <c r="AW861" s="56">
        <f t="shared" si="421"/>
        <v>2</v>
      </c>
      <c r="AX861" s="18"/>
      <c r="AY861" s="18"/>
      <c r="AZ861" s="18"/>
      <c r="BA861" s="18"/>
      <c r="BB861" s="30">
        <f t="shared" si="422"/>
        <v>0</v>
      </c>
      <c r="BC861" s="56">
        <f t="shared" si="430"/>
        <v>3</v>
      </c>
      <c r="BD861" s="298">
        <v>45056</v>
      </c>
      <c r="BE861" s="277"/>
      <c r="BF861" s="17"/>
      <c r="BG861" s="18"/>
      <c r="BH861" s="18"/>
      <c r="BI861" s="18"/>
      <c r="BJ861" s="30">
        <f t="shared" si="423"/>
        <v>0</v>
      </c>
      <c r="BL861" s="277"/>
      <c r="BM861" s="17"/>
      <c r="BN861" s="18"/>
      <c r="BO861" s="18"/>
      <c r="BP861" s="18"/>
      <c r="BQ861" s="30">
        <f t="shared" si="424"/>
        <v>0</v>
      </c>
    </row>
    <row r="862" spans="1:69" x14ac:dyDescent="0.15">
      <c r="A862" s="53" t="s">
        <v>98</v>
      </c>
      <c r="B862" s="54"/>
      <c r="C862" s="55"/>
      <c r="D862" s="55"/>
      <c r="E862" s="55"/>
      <c r="F862" s="56">
        <f t="shared" si="434"/>
        <v>0</v>
      </c>
      <c r="G862" s="54">
        <v>2</v>
      </c>
      <c r="H862" s="55"/>
      <c r="I862" s="55"/>
      <c r="J862" s="55"/>
      <c r="K862" s="56">
        <f t="shared" si="435"/>
        <v>2</v>
      </c>
      <c r="L862" s="54"/>
      <c r="M862" s="55"/>
      <c r="N862" s="55"/>
      <c r="O862" s="55"/>
      <c r="P862" s="56">
        <f t="shared" si="436"/>
        <v>0</v>
      </c>
      <c r="Q862" s="54"/>
      <c r="R862" s="55"/>
      <c r="S862" s="55"/>
      <c r="T862" s="55"/>
      <c r="U862" s="56">
        <f t="shared" si="437"/>
        <v>0</v>
      </c>
      <c r="V862" s="55"/>
      <c r="W862" s="55"/>
      <c r="X862" s="55"/>
      <c r="Y862" s="55"/>
      <c r="Z862" s="56">
        <f t="shared" si="438"/>
        <v>0</v>
      </c>
      <c r="AA862" s="56">
        <f t="shared" si="439"/>
        <v>2</v>
      </c>
      <c r="AB862" s="299">
        <v>45042</v>
      </c>
      <c r="AC862" s="276" t="s">
        <v>489</v>
      </c>
      <c r="AD862" s="54"/>
      <c r="AE862" s="55"/>
      <c r="AF862" s="55"/>
      <c r="AG862" s="55"/>
      <c r="AH862" s="56">
        <f t="shared" si="406"/>
        <v>0</v>
      </c>
      <c r="AI862" s="54">
        <v>4</v>
      </c>
      <c r="AJ862" s="55"/>
      <c r="AK862" s="55">
        <v>2</v>
      </c>
      <c r="AL862" s="55"/>
      <c r="AM862" s="56">
        <f t="shared" si="407"/>
        <v>6</v>
      </c>
      <c r="AN862" s="54"/>
      <c r="AO862" s="55"/>
      <c r="AP862" s="55"/>
      <c r="AQ862" s="55"/>
      <c r="AR862" s="56">
        <f t="shared" si="420"/>
        <v>0</v>
      </c>
      <c r="AS862" s="54"/>
      <c r="AT862" s="55"/>
      <c r="AU862" s="55"/>
      <c r="AV862" s="55"/>
      <c r="AW862" s="56">
        <f t="shared" si="421"/>
        <v>0</v>
      </c>
      <c r="AX862" s="55"/>
      <c r="AY862" s="55"/>
      <c r="AZ862" s="55"/>
      <c r="BA862" s="55"/>
      <c r="BB862" s="56">
        <f t="shared" si="422"/>
        <v>0</v>
      </c>
      <c r="BC862" s="56">
        <f t="shared" si="430"/>
        <v>6</v>
      </c>
      <c r="BD862" s="298">
        <v>45072</v>
      </c>
      <c r="BE862" s="276"/>
      <c r="BF862" s="54"/>
      <c r="BG862" s="55"/>
      <c r="BH862" s="55"/>
      <c r="BI862" s="55"/>
      <c r="BJ862" s="56">
        <f t="shared" si="423"/>
        <v>0</v>
      </c>
      <c r="BL862" s="276"/>
      <c r="BM862" s="54"/>
      <c r="BN862" s="55"/>
      <c r="BO862" s="55"/>
      <c r="BP862" s="55"/>
      <c r="BQ862" s="56">
        <f t="shared" si="424"/>
        <v>0</v>
      </c>
    </row>
    <row r="863" spans="1:69" x14ac:dyDescent="0.15">
      <c r="A863" s="53" t="s">
        <v>485</v>
      </c>
      <c r="B863" s="54"/>
      <c r="C863" s="55"/>
      <c r="D863" s="55"/>
      <c r="E863" s="55"/>
      <c r="F863" s="56">
        <f t="shared" si="434"/>
        <v>0</v>
      </c>
      <c r="G863" s="54"/>
      <c r="H863" s="55"/>
      <c r="I863" s="55"/>
      <c r="J863" s="55"/>
      <c r="K863" s="56">
        <f t="shared" si="435"/>
        <v>0</v>
      </c>
      <c r="L863" s="54"/>
      <c r="M863" s="55"/>
      <c r="N863" s="55"/>
      <c r="O863" s="55"/>
      <c r="P863" s="56">
        <f t="shared" si="436"/>
        <v>0</v>
      </c>
      <c r="Q863" s="54">
        <v>1</v>
      </c>
      <c r="R863" s="55"/>
      <c r="S863" s="55"/>
      <c r="T863" s="55"/>
      <c r="U863" s="56">
        <f t="shared" si="437"/>
        <v>1</v>
      </c>
      <c r="V863" s="55"/>
      <c r="W863" s="55"/>
      <c r="X863" s="55"/>
      <c r="Y863" s="55"/>
      <c r="Z863" s="56">
        <f t="shared" si="438"/>
        <v>0</v>
      </c>
      <c r="AA863" s="56">
        <f t="shared" si="439"/>
        <v>1</v>
      </c>
      <c r="AB863" s="298">
        <v>45048</v>
      </c>
      <c r="AC863" s="269" t="s">
        <v>490</v>
      </c>
      <c r="AD863" s="54"/>
      <c r="AE863" s="55"/>
      <c r="AF863" s="55"/>
      <c r="AG863" s="55"/>
      <c r="AH863" s="56">
        <f t="shared" si="406"/>
        <v>0</v>
      </c>
      <c r="AI863" s="54"/>
      <c r="AJ863" s="55"/>
      <c r="AK863" s="55"/>
      <c r="AL863" s="55">
        <v>5</v>
      </c>
      <c r="AM863" s="56">
        <f t="shared" si="407"/>
        <v>5</v>
      </c>
      <c r="AN863" s="54"/>
      <c r="AO863" s="55"/>
      <c r="AP863" s="55"/>
      <c r="AQ863" s="55"/>
      <c r="AR863" s="56">
        <f t="shared" si="420"/>
        <v>0</v>
      </c>
      <c r="AS863" s="54"/>
      <c r="AT863" s="55"/>
      <c r="AU863" s="55"/>
      <c r="AV863" s="55"/>
      <c r="AW863" s="56">
        <f t="shared" si="421"/>
        <v>0</v>
      </c>
      <c r="AX863" s="55"/>
      <c r="AY863" s="55"/>
      <c r="AZ863" s="55"/>
      <c r="BA863" s="55"/>
      <c r="BB863" s="56">
        <f t="shared" si="422"/>
        <v>0</v>
      </c>
      <c r="BC863" s="56">
        <f t="shared" si="430"/>
        <v>5</v>
      </c>
      <c r="BD863" s="298">
        <v>45057</v>
      </c>
      <c r="BE863" s="277"/>
      <c r="BF863" s="54"/>
      <c r="BG863" s="55"/>
      <c r="BH863" s="55"/>
      <c r="BI863" s="55"/>
      <c r="BJ863" s="56">
        <f t="shared" si="423"/>
        <v>0</v>
      </c>
      <c r="BL863" s="277"/>
      <c r="BM863" s="54"/>
      <c r="BN863" s="55"/>
      <c r="BO863" s="55"/>
      <c r="BP863" s="55"/>
      <c r="BQ863" s="56">
        <f t="shared" si="424"/>
        <v>0</v>
      </c>
    </row>
    <row r="864" spans="1:69" x14ac:dyDescent="0.15">
      <c r="A864" s="53" t="s">
        <v>98</v>
      </c>
      <c r="B864" s="54"/>
      <c r="C864" s="55">
        <v>1</v>
      </c>
      <c r="D864" s="55"/>
      <c r="E864" s="55"/>
      <c r="F864" s="56">
        <f t="shared" si="434"/>
        <v>1</v>
      </c>
      <c r="G864" s="54"/>
      <c r="H864" s="55"/>
      <c r="I864" s="55"/>
      <c r="J864" s="55"/>
      <c r="K864" s="56">
        <f t="shared" si="435"/>
        <v>0</v>
      </c>
      <c r="L864" s="54"/>
      <c r="M864" s="55"/>
      <c r="N864" s="55"/>
      <c r="O864" s="55"/>
      <c r="P864" s="56">
        <f t="shared" si="436"/>
        <v>0</v>
      </c>
      <c r="Q864" s="54"/>
      <c r="R864" s="55">
        <v>2</v>
      </c>
      <c r="S864" s="55">
        <v>1</v>
      </c>
      <c r="T864" s="55"/>
      <c r="U864" s="56">
        <f t="shared" si="437"/>
        <v>3</v>
      </c>
      <c r="V864" s="55"/>
      <c r="W864" s="55">
        <v>1</v>
      </c>
      <c r="X864" s="55"/>
      <c r="Y864" s="55"/>
      <c r="Z864" s="56">
        <f t="shared" si="438"/>
        <v>1</v>
      </c>
      <c r="AA864" s="56">
        <f t="shared" si="439"/>
        <v>5</v>
      </c>
      <c r="AB864" s="298">
        <v>45047</v>
      </c>
      <c r="AC864" s="269" t="s">
        <v>491</v>
      </c>
      <c r="AD864" s="63"/>
      <c r="AE864" s="63"/>
      <c r="AF864" s="63"/>
      <c r="AG864" s="167"/>
      <c r="AH864" s="64">
        <f t="shared" si="406"/>
        <v>0</v>
      </c>
      <c r="AI864" s="63"/>
      <c r="AJ864" s="63">
        <v>1</v>
      </c>
      <c r="AK864" s="63">
        <v>1</v>
      </c>
      <c r="AL864" s="167"/>
      <c r="AM864" s="64">
        <f t="shared" si="407"/>
        <v>2</v>
      </c>
      <c r="AN864" s="63"/>
      <c r="AO864" s="63"/>
      <c r="AP864" s="63">
        <v>1</v>
      </c>
      <c r="AQ864" s="167"/>
      <c r="AR864" s="64">
        <f t="shared" si="420"/>
        <v>1</v>
      </c>
      <c r="AS864" s="54"/>
      <c r="AT864" s="153">
        <v>1</v>
      </c>
      <c r="AU864" s="153">
        <v>1</v>
      </c>
      <c r="AV864" s="168">
        <v>1</v>
      </c>
      <c r="AW864" s="64">
        <f t="shared" si="421"/>
        <v>3</v>
      </c>
      <c r="AX864" s="55"/>
      <c r="AY864" s="55"/>
      <c r="AZ864" s="55"/>
      <c r="BA864" s="55"/>
      <c r="BB864" s="56">
        <f t="shared" si="422"/>
        <v>0</v>
      </c>
      <c r="BC864" s="56">
        <f t="shared" si="430"/>
        <v>6</v>
      </c>
      <c r="BD864" s="298">
        <v>45058</v>
      </c>
      <c r="BE864" s="276"/>
      <c r="BF864" s="54"/>
      <c r="BG864" s="55"/>
      <c r="BH864" s="55"/>
      <c r="BI864" s="55"/>
      <c r="BJ864" s="56">
        <f t="shared" si="423"/>
        <v>0</v>
      </c>
      <c r="BL864" s="276"/>
      <c r="BM864" s="54"/>
      <c r="BN864" s="55"/>
      <c r="BO864" s="55"/>
      <c r="BP864" s="55"/>
      <c r="BQ864" s="56">
        <f t="shared" si="424"/>
        <v>0</v>
      </c>
    </row>
    <row r="865" spans="1:69" x14ac:dyDescent="0.15">
      <c r="A865" s="53" t="s">
        <v>100</v>
      </c>
      <c r="B865" s="54"/>
      <c r="C865" s="55"/>
      <c r="D865" s="55"/>
      <c r="E865" s="55"/>
      <c r="F865" s="56">
        <f t="shared" si="434"/>
        <v>0</v>
      </c>
      <c r="G865" s="54"/>
      <c r="H865" s="55"/>
      <c r="I865" s="55"/>
      <c r="J865" s="55"/>
      <c r="K865" s="56">
        <f t="shared" si="435"/>
        <v>0</v>
      </c>
      <c r="L865" s="54"/>
      <c r="M865" s="55"/>
      <c r="N865" s="55"/>
      <c r="O865" s="55"/>
      <c r="P865" s="56">
        <f t="shared" si="436"/>
        <v>0</v>
      </c>
      <c r="Q865" s="54"/>
      <c r="R865" s="55"/>
      <c r="S865" s="55">
        <v>1</v>
      </c>
      <c r="T865" s="55"/>
      <c r="U865" s="56">
        <f t="shared" si="437"/>
        <v>1</v>
      </c>
      <c r="V865" s="55"/>
      <c r="W865" s="55"/>
      <c r="X865" s="55"/>
      <c r="Y865" s="55"/>
      <c r="Z865" s="56">
        <f t="shared" si="438"/>
        <v>0</v>
      </c>
      <c r="AA865" s="56">
        <f t="shared" si="439"/>
        <v>1</v>
      </c>
      <c r="AB865" s="298">
        <v>45052</v>
      </c>
      <c r="AC865" s="269" t="s">
        <v>492</v>
      </c>
      <c r="AD865" s="54"/>
      <c r="AE865" s="55">
        <v>1</v>
      </c>
      <c r="AF865" s="55"/>
      <c r="AG865" s="55">
        <v>1</v>
      </c>
      <c r="AH865" s="56">
        <f t="shared" si="406"/>
        <v>2</v>
      </c>
      <c r="AI865" s="54">
        <v>2</v>
      </c>
      <c r="AJ865" s="55">
        <v>3</v>
      </c>
      <c r="AK865" s="55"/>
      <c r="AL865" s="55"/>
      <c r="AM865" s="56">
        <f t="shared" si="407"/>
        <v>5</v>
      </c>
      <c r="AN865" s="54"/>
      <c r="AO865" s="55"/>
      <c r="AP865" s="55"/>
      <c r="AQ865" s="55"/>
      <c r="AR865" s="56">
        <f t="shared" si="420"/>
        <v>0</v>
      </c>
      <c r="AS865" s="54">
        <v>1</v>
      </c>
      <c r="AT865" s="55"/>
      <c r="AU865" s="55"/>
      <c r="AV865" s="55">
        <v>1</v>
      </c>
      <c r="AW865" s="56">
        <f t="shared" si="421"/>
        <v>2</v>
      </c>
      <c r="AX865" s="55"/>
      <c r="AY865" s="55"/>
      <c r="AZ865" s="55"/>
      <c r="BA865" s="55"/>
      <c r="BB865" s="56">
        <f t="shared" si="422"/>
        <v>0</v>
      </c>
      <c r="BC865" s="56">
        <f t="shared" si="430"/>
        <v>9</v>
      </c>
      <c r="BD865" s="298">
        <v>45058</v>
      </c>
      <c r="BE865" s="277"/>
      <c r="BF865" s="54"/>
      <c r="BG865" s="55"/>
      <c r="BH865" s="55"/>
      <c r="BI865" s="55"/>
      <c r="BJ865" s="56">
        <f t="shared" si="423"/>
        <v>0</v>
      </c>
      <c r="BL865" s="277"/>
      <c r="BM865" s="54"/>
      <c r="BN865" s="55"/>
      <c r="BO865" s="55"/>
      <c r="BP865" s="55"/>
      <c r="BQ865" s="56">
        <f t="shared" si="424"/>
        <v>0</v>
      </c>
    </row>
    <row r="866" spans="1:69" x14ac:dyDescent="0.15">
      <c r="A866" s="53" t="s">
        <v>98</v>
      </c>
      <c r="B866" s="54"/>
      <c r="C866" s="55">
        <v>1</v>
      </c>
      <c r="D866" s="55"/>
      <c r="E866" s="55"/>
      <c r="F866" s="56">
        <f t="shared" si="434"/>
        <v>1</v>
      </c>
      <c r="G866" s="54"/>
      <c r="H866" s="55"/>
      <c r="I866" s="55"/>
      <c r="J866" s="55"/>
      <c r="K866" s="56">
        <f t="shared" si="435"/>
        <v>0</v>
      </c>
      <c r="L866" s="54"/>
      <c r="M866" s="55"/>
      <c r="N866" s="55"/>
      <c r="O866" s="55"/>
      <c r="P866" s="56">
        <f t="shared" si="436"/>
        <v>0</v>
      </c>
      <c r="Q866" s="54"/>
      <c r="R866" s="55"/>
      <c r="S866" s="55"/>
      <c r="T866" s="55"/>
      <c r="U866" s="56">
        <f t="shared" si="437"/>
        <v>0</v>
      </c>
      <c r="V866" s="55"/>
      <c r="W866" s="55"/>
      <c r="X866" s="55"/>
      <c r="Y866" s="55"/>
      <c r="Z866" s="56">
        <f t="shared" si="438"/>
        <v>0</v>
      </c>
      <c r="AA866" s="56">
        <f t="shared" si="439"/>
        <v>1</v>
      </c>
      <c r="AB866" s="299">
        <v>45054</v>
      </c>
      <c r="AC866" s="276" t="s">
        <v>493</v>
      </c>
      <c r="AD866" s="55"/>
      <c r="AE866" s="55"/>
      <c r="AF866" s="55">
        <v>2</v>
      </c>
      <c r="AG866" s="166"/>
      <c r="AH866" s="49">
        <f t="shared" si="406"/>
        <v>2</v>
      </c>
      <c r="AI866" s="55"/>
      <c r="AJ866" s="55">
        <v>2</v>
      </c>
      <c r="AK866" s="55"/>
      <c r="AL866" s="166">
        <v>2</v>
      </c>
      <c r="AM866" s="49">
        <f t="shared" si="407"/>
        <v>4</v>
      </c>
      <c r="AN866" s="55"/>
      <c r="AO866" s="55"/>
      <c r="AP866" s="55"/>
      <c r="AQ866" s="166"/>
      <c r="AR866" s="49">
        <f t="shared" si="420"/>
        <v>0</v>
      </c>
      <c r="AS866" s="54"/>
      <c r="AT866" s="55"/>
      <c r="AU866" s="55"/>
      <c r="AV866" s="166"/>
      <c r="AW866" s="49">
        <f t="shared" si="421"/>
        <v>0</v>
      </c>
      <c r="AX866" s="55"/>
      <c r="AY866" s="55"/>
      <c r="AZ866" s="55"/>
      <c r="BA866" s="55"/>
      <c r="BB866" s="56">
        <f t="shared" si="422"/>
        <v>0</v>
      </c>
      <c r="BC866" s="56">
        <f t="shared" si="430"/>
        <v>6</v>
      </c>
      <c r="BD866" s="298">
        <v>45069</v>
      </c>
      <c r="BE866" s="276"/>
      <c r="BF866" s="54"/>
      <c r="BG866" s="55"/>
      <c r="BH866" s="55"/>
      <c r="BI866" s="55"/>
      <c r="BJ866" s="56">
        <f t="shared" si="423"/>
        <v>0</v>
      </c>
      <c r="BL866" s="276"/>
      <c r="BM866" s="54"/>
      <c r="BN866" s="55"/>
      <c r="BO866" s="55"/>
      <c r="BP866" s="55"/>
      <c r="BQ866" s="56">
        <f t="shared" si="424"/>
        <v>0</v>
      </c>
    </row>
    <row r="867" spans="1:69" x14ac:dyDescent="0.15">
      <c r="A867" s="53" t="s">
        <v>98</v>
      </c>
      <c r="B867" s="54"/>
      <c r="C867" s="55"/>
      <c r="D867" s="55"/>
      <c r="E867" s="55"/>
      <c r="F867" s="56">
        <f t="shared" si="434"/>
        <v>0</v>
      </c>
      <c r="G867" s="54"/>
      <c r="H867" s="55">
        <v>1</v>
      </c>
      <c r="I867" s="55"/>
      <c r="J867" s="55"/>
      <c r="K867" s="56">
        <f t="shared" si="435"/>
        <v>1</v>
      </c>
      <c r="L867" s="54"/>
      <c r="M867" s="55"/>
      <c r="N867" s="55"/>
      <c r="O867" s="55"/>
      <c r="P867" s="56">
        <f t="shared" si="436"/>
        <v>0</v>
      </c>
      <c r="Q867" s="54"/>
      <c r="R867" s="55"/>
      <c r="S867" s="55"/>
      <c r="T867" s="55"/>
      <c r="U867" s="56">
        <f t="shared" si="437"/>
        <v>0</v>
      </c>
      <c r="V867" s="55"/>
      <c r="W867" s="55">
        <v>1</v>
      </c>
      <c r="X867" s="55"/>
      <c r="Y867" s="55"/>
      <c r="Z867" s="56">
        <f t="shared" si="438"/>
        <v>1</v>
      </c>
      <c r="AA867" s="56">
        <f t="shared" si="439"/>
        <v>2</v>
      </c>
      <c r="AB867" s="299">
        <v>45056</v>
      </c>
      <c r="AC867" s="269" t="s">
        <v>99</v>
      </c>
      <c r="AD867" s="54"/>
      <c r="AE867" s="55"/>
      <c r="AF867" s="55"/>
      <c r="AG867" s="55"/>
      <c r="AH867" s="56">
        <f t="shared" ref="AH867" si="440">SUM(AD867:AG867)</f>
        <v>0</v>
      </c>
      <c r="AI867" s="54">
        <v>3</v>
      </c>
      <c r="AJ867" s="55">
        <v>3</v>
      </c>
      <c r="AK867" s="55"/>
      <c r="AL867" s="55"/>
      <c r="AM867" s="56">
        <f t="shared" si="407"/>
        <v>6</v>
      </c>
      <c r="AN867" s="54"/>
      <c r="AO867" s="55">
        <v>3</v>
      </c>
      <c r="AP867" s="55"/>
      <c r="AQ867" s="55"/>
      <c r="AR867" s="56">
        <f t="shared" ref="AR867" si="441">SUM(AN867:AQ867)</f>
        <v>3</v>
      </c>
      <c r="AS867" s="54"/>
      <c r="AT867" s="55"/>
      <c r="AU867" s="55">
        <v>3</v>
      </c>
      <c r="AV867" s="55"/>
      <c r="AW867" s="56">
        <f t="shared" ref="AW867" si="442">SUM(AS867:AV867)</f>
        <v>3</v>
      </c>
      <c r="AX867" s="55"/>
      <c r="AY867" s="55"/>
      <c r="AZ867" s="55"/>
      <c r="BA867" s="55"/>
      <c r="BB867" s="56">
        <f t="shared" ref="BB867" si="443">SUM(AX867:BA867)</f>
        <v>0</v>
      </c>
      <c r="BC867" s="56">
        <f t="shared" si="430"/>
        <v>12</v>
      </c>
      <c r="BD867" s="298">
        <v>45063</v>
      </c>
      <c r="BE867" s="277"/>
      <c r="BF867" s="55"/>
      <c r="BG867" s="55"/>
      <c r="BH867" s="55"/>
      <c r="BI867" s="166"/>
      <c r="BJ867" s="49">
        <f t="shared" si="423"/>
        <v>0</v>
      </c>
      <c r="BL867" s="277"/>
      <c r="BM867" s="55"/>
      <c r="BN867" s="55"/>
      <c r="BO867" s="55"/>
      <c r="BP867" s="166"/>
      <c r="BQ867" s="49">
        <f t="shared" si="424"/>
        <v>0</v>
      </c>
    </row>
    <row r="868" spans="1:69" x14ac:dyDescent="0.15">
      <c r="A868" s="53" t="s">
        <v>98</v>
      </c>
      <c r="B868" s="54"/>
      <c r="C868" s="55"/>
      <c r="D868" s="55"/>
      <c r="E868" s="55"/>
      <c r="F868" s="56">
        <f t="shared" si="434"/>
        <v>0</v>
      </c>
      <c r="G868" s="54"/>
      <c r="H868" s="55"/>
      <c r="I868" s="55"/>
      <c r="J868" s="55"/>
      <c r="K868" s="56">
        <f t="shared" si="435"/>
        <v>0</v>
      </c>
      <c r="L868" s="54"/>
      <c r="M868" s="55"/>
      <c r="N868" s="55"/>
      <c r="O868" s="55"/>
      <c r="P868" s="56">
        <f t="shared" si="436"/>
        <v>0</v>
      </c>
      <c r="Q868" s="54"/>
      <c r="R868" s="55">
        <v>1</v>
      </c>
      <c r="S868" s="55"/>
      <c r="T868" s="55"/>
      <c r="U868" s="56">
        <f t="shared" si="437"/>
        <v>1</v>
      </c>
      <c r="V868" s="55"/>
      <c r="W868" s="55"/>
      <c r="X868" s="55"/>
      <c r="Y868" s="55"/>
      <c r="Z868" s="56">
        <f t="shared" si="438"/>
        <v>0</v>
      </c>
      <c r="AA868" s="56">
        <f t="shared" si="439"/>
        <v>1</v>
      </c>
      <c r="AB868" s="299">
        <v>45057</v>
      </c>
      <c r="AC868" s="269" t="s">
        <v>99</v>
      </c>
      <c r="AD868" s="54"/>
      <c r="AE868" s="55"/>
      <c r="AF868" s="55"/>
      <c r="AG868" s="55"/>
      <c r="AH868" s="56">
        <f t="shared" ref="AH868" si="444">SUM(AD868:AG868)</f>
        <v>0</v>
      </c>
      <c r="AI868" s="54"/>
      <c r="AJ868" s="55"/>
      <c r="AK868" s="55"/>
      <c r="AL868" s="55"/>
      <c r="AM868" s="56">
        <f t="shared" si="407"/>
        <v>0</v>
      </c>
      <c r="AN868" s="54"/>
      <c r="AO868" s="55"/>
      <c r="AP868" s="55"/>
      <c r="AQ868" s="55"/>
      <c r="AR868" s="56">
        <f t="shared" ref="AR868" si="445">SUM(AN868:AQ868)</f>
        <v>0</v>
      </c>
      <c r="AS868" s="54"/>
      <c r="AT868" s="55"/>
      <c r="AU868" s="55"/>
      <c r="AV868" s="55"/>
      <c r="AW868" s="56">
        <f t="shared" ref="AW868" si="446">SUM(AS868:AV868)</f>
        <v>0</v>
      </c>
      <c r="AX868" s="55"/>
      <c r="AY868" s="55">
        <v>5</v>
      </c>
      <c r="AZ868" s="55">
        <v>3</v>
      </c>
      <c r="BA868" s="55"/>
      <c r="BB868" s="56">
        <f t="shared" ref="BB868" si="447">SUM(AX868:BA868)</f>
        <v>8</v>
      </c>
      <c r="BC868" s="56">
        <f t="shared" si="430"/>
        <v>8</v>
      </c>
      <c r="BD868" s="298">
        <v>45064</v>
      </c>
      <c r="BE868" s="277"/>
      <c r="BF868" s="54"/>
      <c r="BG868" s="55"/>
      <c r="BH868" s="55"/>
      <c r="BI868" s="55"/>
      <c r="BJ868" s="56">
        <f t="shared" si="423"/>
        <v>0</v>
      </c>
      <c r="BL868" s="277"/>
      <c r="BM868" s="54"/>
      <c r="BN868" s="55"/>
      <c r="BO868" s="55"/>
      <c r="BP868" s="55"/>
      <c r="BQ868" s="56">
        <f t="shared" si="424"/>
        <v>0</v>
      </c>
    </row>
    <row r="869" spans="1:69" x14ac:dyDescent="0.15">
      <c r="A869" s="53" t="s">
        <v>98</v>
      </c>
      <c r="B869" s="54"/>
      <c r="C869" s="55"/>
      <c r="D869" s="55"/>
      <c r="E869" s="55"/>
      <c r="F869" s="56">
        <f t="shared" si="434"/>
        <v>0</v>
      </c>
      <c r="G869" s="54"/>
      <c r="H869" s="55"/>
      <c r="I869" s="55"/>
      <c r="J869" s="55"/>
      <c r="K869" s="56">
        <f t="shared" si="435"/>
        <v>0</v>
      </c>
      <c r="L869" s="54"/>
      <c r="M869" s="55">
        <v>1</v>
      </c>
      <c r="N869" s="55"/>
      <c r="O869" s="55"/>
      <c r="P869" s="56">
        <f t="shared" si="436"/>
        <v>1</v>
      </c>
      <c r="Q869" s="54"/>
      <c r="R869" s="55"/>
      <c r="S869" s="55"/>
      <c r="T869" s="55"/>
      <c r="U869" s="56">
        <f t="shared" si="437"/>
        <v>0</v>
      </c>
      <c r="V869" s="55"/>
      <c r="W869" s="55"/>
      <c r="X869" s="55"/>
      <c r="Y869" s="55"/>
      <c r="Z869" s="56">
        <f t="shared" si="438"/>
        <v>0</v>
      </c>
      <c r="AA869" s="56">
        <f t="shared" si="439"/>
        <v>1</v>
      </c>
      <c r="AB869" s="299">
        <v>45058</v>
      </c>
      <c r="AC869" s="269" t="s">
        <v>495</v>
      </c>
      <c r="AD869" s="54"/>
      <c r="AE869" s="55"/>
      <c r="AF869" s="55"/>
      <c r="AG869" s="55"/>
      <c r="AH869" s="56">
        <f t="shared" si="406"/>
        <v>0</v>
      </c>
      <c r="AI869" s="54"/>
      <c r="AJ869" s="55">
        <v>4</v>
      </c>
      <c r="AK869" s="55"/>
      <c r="AL869" s="55">
        <v>4</v>
      </c>
      <c r="AM869" s="56">
        <f t="shared" si="407"/>
        <v>8</v>
      </c>
      <c r="AN869" s="54"/>
      <c r="AO869" s="55"/>
      <c r="AP869" s="55"/>
      <c r="AQ869" s="55"/>
      <c r="AR869" s="56">
        <f t="shared" si="420"/>
        <v>0</v>
      </c>
      <c r="AS869" s="54"/>
      <c r="AT869" s="55"/>
      <c r="AU869" s="55"/>
      <c r="AV869" s="55"/>
      <c r="AW869" s="56">
        <f t="shared" si="421"/>
        <v>0</v>
      </c>
      <c r="AX869" s="55"/>
      <c r="AY869" s="55"/>
      <c r="AZ869" s="55"/>
      <c r="BA869" s="55"/>
      <c r="BB869" s="56">
        <f t="shared" si="422"/>
        <v>0</v>
      </c>
      <c r="BC869" s="56">
        <f t="shared" si="430"/>
        <v>8</v>
      </c>
      <c r="BD869" s="298">
        <v>45075</v>
      </c>
      <c r="BE869" s="276"/>
      <c r="BF869" s="54"/>
      <c r="BG869" s="55"/>
      <c r="BH869" s="55"/>
      <c r="BI869" s="55"/>
      <c r="BJ869" s="56">
        <f t="shared" si="423"/>
        <v>0</v>
      </c>
      <c r="BL869" s="276"/>
      <c r="BM869" s="54"/>
      <c r="BN869" s="55"/>
      <c r="BO869" s="55"/>
      <c r="BP869" s="55"/>
      <c r="BQ869" s="56">
        <f t="shared" si="424"/>
        <v>0</v>
      </c>
    </row>
    <row r="870" spans="1:69" x14ac:dyDescent="0.15">
      <c r="A870" s="53" t="s">
        <v>98</v>
      </c>
      <c r="B870" s="54"/>
      <c r="C870" s="55"/>
      <c r="D870" s="55"/>
      <c r="E870" s="55"/>
      <c r="F870" s="56">
        <f t="shared" si="398"/>
        <v>0</v>
      </c>
      <c r="G870" s="54"/>
      <c r="H870" s="55"/>
      <c r="I870" s="55"/>
      <c r="J870" s="55">
        <v>1</v>
      </c>
      <c r="K870" s="56">
        <f t="shared" si="399"/>
        <v>1</v>
      </c>
      <c r="L870" s="54"/>
      <c r="M870" s="55"/>
      <c r="N870" s="55"/>
      <c r="O870" s="55"/>
      <c r="P870" s="56">
        <f t="shared" si="400"/>
        <v>0</v>
      </c>
      <c r="Q870" s="54">
        <v>1</v>
      </c>
      <c r="R870" s="55"/>
      <c r="S870" s="55">
        <v>1</v>
      </c>
      <c r="T870" s="55"/>
      <c r="U870" s="56">
        <f t="shared" si="401"/>
        <v>2</v>
      </c>
      <c r="V870" s="55"/>
      <c r="W870" s="55">
        <v>1</v>
      </c>
      <c r="X870" s="55"/>
      <c r="Y870" s="55"/>
      <c r="Z870" s="56">
        <f t="shared" si="405"/>
        <v>1</v>
      </c>
      <c r="AA870" s="56">
        <f t="shared" si="425"/>
        <v>4</v>
      </c>
      <c r="AB870" s="299">
        <v>45062</v>
      </c>
      <c r="AC870" s="269" t="s">
        <v>496</v>
      </c>
      <c r="AD870" s="63"/>
      <c r="AE870" s="63"/>
      <c r="AF870" s="63"/>
      <c r="AG870" s="167"/>
      <c r="AH870" s="64">
        <f t="shared" si="406"/>
        <v>0</v>
      </c>
      <c r="AI870" s="63">
        <v>1</v>
      </c>
      <c r="AJ870" s="63"/>
      <c r="AK870" s="63"/>
      <c r="AL870" s="167"/>
      <c r="AM870" s="64">
        <f t="shared" si="407"/>
        <v>1</v>
      </c>
      <c r="AN870" s="63"/>
      <c r="AO870" s="63"/>
      <c r="AP870" s="63"/>
      <c r="AQ870" s="167"/>
      <c r="AR870" s="64">
        <f t="shared" si="420"/>
        <v>0</v>
      </c>
      <c r="AS870" s="62"/>
      <c r="AT870" s="63"/>
      <c r="AU870" s="63"/>
      <c r="AV870" s="167"/>
      <c r="AW870" s="64">
        <f t="shared" si="421"/>
        <v>0</v>
      </c>
      <c r="AX870" s="55"/>
      <c r="AY870" s="55"/>
      <c r="AZ870" s="55"/>
      <c r="BA870" s="55"/>
      <c r="BB870" s="56">
        <f t="shared" si="422"/>
        <v>0</v>
      </c>
      <c r="BC870" s="56">
        <f t="shared" si="430"/>
        <v>1</v>
      </c>
      <c r="BD870" s="298">
        <v>45069</v>
      </c>
      <c r="BE870" s="276"/>
      <c r="BF870" s="63"/>
      <c r="BG870" s="63"/>
      <c r="BH870" s="63"/>
      <c r="BI870" s="167"/>
      <c r="BJ870" s="64">
        <f t="shared" si="423"/>
        <v>0</v>
      </c>
      <c r="BL870" s="276"/>
      <c r="BM870" s="63"/>
      <c r="BN870" s="63"/>
      <c r="BO870" s="63"/>
      <c r="BP870" s="167"/>
      <c r="BQ870" s="64">
        <f t="shared" si="424"/>
        <v>0</v>
      </c>
    </row>
    <row r="871" spans="1:69" x14ac:dyDescent="0.15">
      <c r="A871" s="269" t="s">
        <v>494</v>
      </c>
      <c r="B871" s="54"/>
      <c r="C871" s="55"/>
      <c r="D871" s="55">
        <v>1</v>
      </c>
      <c r="E871" s="55"/>
      <c r="F871" s="56">
        <f t="shared" si="398"/>
        <v>1</v>
      </c>
      <c r="G871" s="54">
        <v>1</v>
      </c>
      <c r="H871" s="55"/>
      <c r="I871" s="55">
        <v>1</v>
      </c>
      <c r="J871" s="55"/>
      <c r="K871" s="56">
        <f t="shared" si="399"/>
        <v>2</v>
      </c>
      <c r="L871" s="54"/>
      <c r="M871" s="55"/>
      <c r="N871" s="55"/>
      <c r="O871" s="55"/>
      <c r="P871" s="56">
        <f t="shared" si="400"/>
        <v>0</v>
      </c>
      <c r="Q871" s="54"/>
      <c r="R871" s="55"/>
      <c r="S871" s="55">
        <v>1</v>
      </c>
      <c r="T871" s="55"/>
      <c r="U871" s="56">
        <f t="shared" si="401"/>
        <v>1</v>
      </c>
      <c r="V871" s="55"/>
      <c r="W871" s="55"/>
      <c r="X871" s="55"/>
      <c r="Y871" s="55"/>
      <c r="Z871" s="56">
        <f t="shared" si="405"/>
        <v>0</v>
      </c>
      <c r="AA871" s="56">
        <f t="shared" si="425"/>
        <v>4</v>
      </c>
      <c r="AB871" s="298">
        <v>45065</v>
      </c>
      <c r="AC871" s="269" t="s">
        <v>497</v>
      </c>
      <c r="AD871" s="54"/>
      <c r="AE871" s="55"/>
      <c r="AF871" s="55"/>
      <c r="AG871" s="55"/>
      <c r="AH871" s="56">
        <f t="shared" si="406"/>
        <v>0</v>
      </c>
      <c r="AI871" s="54">
        <v>5</v>
      </c>
      <c r="AJ871" s="55"/>
      <c r="AK871" s="55"/>
      <c r="AL871" s="55"/>
      <c r="AM871" s="56">
        <f t="shared" si="407"/>
        <v>5</v>
      </c>
      <c r="AN871" s="54"/>
      <c r="AO871" s="55"/>
      <c r="AP871" s="55"/>
      <c r="AQ871" s="55"/>
      <c r="AR871" s="56">
        <f t="shared" si="420"/>
        <v>0</v>
      </c>
      <c r="AS871" s="54"/>
      <c r="AT871" s="55"/>
      <c r="AU871" s="55"/>
      <c r="AV871" s="55"/>
      <c r="AW871" s="56">
        <f t="shared" si="421"/>
        <v>0</v>
      </c>
      <c r="AX871" s="55"/>
      <c r="AY871" s="55"/>
      <c r="AZ871" s="55"/>
      <c r="BA871" s="55"/>
      <c r="BB871" s="56">
        <f t="shared" si="422"/>
        <v>0</v>
      </c>
      <c r="BC871" s="56">
        <f t="shared" si="430"/>
        <v>5</v>
      </c>
      <c r="BD871" s="298">
        <v>45082</v>
      </c>
      <c r="BE871" s="277"/>
      <c r="BF871" s="54"/>
      <c r="BG871" s="55"/>
      <c r="BH871" s="55"/>
      <c r="BI871" s="55"/>
      <c r="BJ871" s="56">
        <f t="shared" si="423"/>
        <v>0</v>
      </c>
      <c r="BL871" s="277"/>
      <c r="BM871" s="54"/>
      <c r="BN871" s="55"/>
      <c r="BO871" s="55"/>
      <c r="BP871" s="55"/>
      <c r="BQ871" s="56">
        <f t="shared" si="424"/>
        <v>0</v>
      </c>
    </row>
    <row r="872" spans="1:69" x14ac:dyDescent="0.15">
      <c r="A872" s="53" t="s">
        <v>98</v>
      </c>
      <c r="B872" s="17"/>
      <c r="C872" s="18"/>
      <c r="D872" s="18"/>
      <c r="E872" s="18"/>
      <c r="F872" s="30">
        <f t="shared" si="398"/>
        <v>0</v>
      </c>
      <c r="G872" s="17"/>
      <c r="H872" s="18"/>
      <c r="I872" s="18"/>
      <c r="J872" s="18"/>
      <c r="K872" s="30">
        <f t="shared" si="399"/>
        <v>0</v>
      </c>
      <c r="L872" s="17"/>
      <c r="M872" s="18"/>
      <c r="N872" s="18"/>
      <c r="O872" s="18"/>
      <c r="P872" s="30">
        <f t="shared" si="400"/>
        <v>0</v>
      </c>
      <c r="Q872" s="17"/>
      <c r="R872" s="18"/>
      <c r="S872" s="18"/>
      <c r="T872" s="18">
        <v>1</v>
      </c>
      <c r="U872" s="30">
        <f t="shared" si="401"/>
        <v>1</v>
      </c>
      <c r="V872" s="18"/>
      <c r="W872" s="18">
        <v>1</v>
      </c>
      <c r="X872" s="18"/>
      <c r="Y872" s="18"/>
      <c r="Z872" s="30">
        <f t="shared" si="405"/>
        <v>1</v>
      </c>
      <c r="AA872" s="56">
        <f t="shared" si="425"/>
        <v>2</v>
      </c>
      <c r="AB872" s="299">
        <v>45062</v>
      </c>
      <c r="AC872" s="276" t="s">
        <v>498</v>
      </c>
      <c r="AD872" s="54"/>
      <c r="AE872" s="55">
        <v>2</v>
      </c>
      <c r="AF872" s="55"/>
      <c r="AG872" s="55">
        <v>1</v>
      </c>
      <c r="AH872" s="56">
        <f t="shared" si="406"/>
        <v>3</v>
      </c>
      <c r="AI872" s="54">
        <v>3</v>
      </c>
      <c r="AJ872" s="55">
        <v>3</v>
      </c>
      <c r="AK872" s="55">
        <v>5</v>
      </c>
      <c r="AL872" s="55">
        <v>1</v>
      </c>
      <c r="AM872" s="56">
        <f t="shared" si="407"/>
        <v>12</v>
      </c>
      <c r="AN872" s="54"/>
      <c r="AO872" s="55"/>
      <c r="AP872" s="55"/>
      <c r="AQ872" s="55"/>
      <c r="AR872" s="56">
        <f t="shared" si="420"/>
        <v>0</v>
      </c>
      <c r="AS872" s="54"/>
      <c r="AT872" s="55"/>
      <c r="AU872" s="55"/>
      <c r="AV872" s="55"/>
      <c r="AW872" s="56">
        <f t="shared" si="421"/>
        <v>0</v>
      </c>
      <c r="AX872" s="18"/>
      <c r="AY872" s="18"/>
      <c r="AZ872" s="18"/>
      <c r="BA872" s="18"/>
      <c r="BB872" s="30">
        <f t="shared" si="422"/>
        <v>0</v>
      </c>
      <c r="BC872" s="56">
        <f t="shared" si="430"/>
        <v>15</v>
      </c>
      <c r="BD872" s="298">
        <v>45085</v>
      </c>
      <c r="BE872" s="276"/>
      <c r="BF872" s="54"/>
      <c r="BG872" s="55"/>
      <c r="BH872" s="55"/>
      <c r="BI872" s="55"/>
      <c r="BJ872" s="56">
        <f t="shared" si="423"/>
        <v>0</v>
      </c>
      <c r="BL872" s="276"/>
      <c r="BM872" s="54"/>
      <c r="BN872" s="55"/>
      <c r="BO872" s="55"/>
      <c r="BP872" s="55"/>
      <c r="BQ872" s="56">
        <f t="shared" si="424"/>
        <v>0</v>
      </c>
    </row>
    <row r="873" spans="1:69" x14ac:dyDescent="0.15">
      <c r="A873" s="53" t="s">
        <v>98</v>
      </c>
      <c r="B873" s="54"/>
      <c r="C873" s="55"/>
      <c r="D873" s="55"/>
      <c r="E873" s="55"/>
      <c r="F873" s="56">
        <f t="shared" si="398"/>
        <v>0</v>
      </c>
      <c r="G873" s="54"/>
      <c r="H873" s="55"/>
      <c r="I873" s="55"/>
      <c r="J873" s="55"/>
      <c r="K873" s="56">
        <f t="shared" si="399"/>
        <v>0</v>
      </c>
      <c r="L873" s="54"/>
      <c r="M873" s="55"/>
      <c r="N873" s="55"/>
      <c r="O873" s="55"/>
      <c r="P873" s="56">
        <f t="shared" si="400"/>
        <v>0</v>
      </c>
      <c r="Q873" s="54"/>
      <c r="R873" s="55"/>
      <c r="S873" s="55"/>
      <c r="T873" s="55"/>
      <c r="U873" s="56">
        <f t="shared" si="401"/>
        <v>0</v>
      </c>
      <c r="V873" s="55">
        <v>1</v>
      </c>
      <c r="W873" s="55">
        <v>1</v>
      </c>
      <c r="X873" s="55">
        <v>1</v>
      </c>
      <c r="Y873" s="55"/>
      <c r="Z873" s="56">
        <f t="shared" si="405"/>
        <v>3</v>
      </c>
      <c r="AA873" s="56">
        <f t="shared" si="425"/>
        <v>3</v>
      </c>
      <c r="AB873" s="299">
        <v>45063</v>
      </c>
      <c r="AC873" s="269" t="s">
        <v>499</v>
      </c>
      <c r="AD873" s="54"/>
      <c r="AE873" s="55"/>
      <c r="AF873" s="55"/>
      <c r="AG873" s="55"/>
      <c r="AH873" s="56">
        <f t="shared" si="406"/>
        <v>0</v>
      </c>
      <c r="AI873" s="54"/>
      <c r="AJ873" s="55"/>
      <c r="AK873" s="55">
        <v>2</v>
      </c>
      <c r="AL873" s="55"/>
      <c r="AM873" s="56">
        <f t="shared" si="407"/>
        <v>2</v>
      </c>
      <c r="AN873" s="54"/>
      <c r="AO873" s="55"/>
      <c r="AP873" s="55"/>
      <c r="AQ873" s="55"/>
      <c r="AR873" s="56">
        <f t="shared" si="420"/>
        <v>0</v>
      </c>
      <c r="AS873" s="54"/>
      <c r="AT873" s="55"/>
      <c r="AU873" s="55"/>
      <c r="AV873" s="55"/>
      <c r="AW873" s="56">
        <f t="shared" si="421"/>
        <v>0</v>
      </c>
      <c r="AX873" s="55"/>
      <c r="AY873" s="55"/>
      <c r="AZ873" s="55"/>
      <c r="BA873" s="55"/>
      <c r="BB873" s="56">
        <f t="shared" si="422"/>
        <v>0</v>
      </c>
      <c r="BC873" s="56">
        <f t="shared" si="430"/>
        <v>2</v>
      </c>
      <c r="BD873" s="298">
        <v>45072</v>
      </c>
      <c r="BE873" s="277"/>
      <c r="BF873" s="54"/>
      <c r="BG873" s="55"/>
      <c r="BH873" s="55"/>
      <c r="BI873" s="55"/>
      <c r="BJ873" s="56">
        <f t="shared" si="423"/>
        <v>0</v>
      </c>
      <c r="BL873" s="277"/>
      <c r="BM873" s="54"/>
      <c r="BN873" s="55"/>
      <c r="BO873" s="55"/>
      <c r="BP873" s="55"/>
      <c r="BQ873" s="56">
        <f t="shared" si="424"/>
        <v>0</v>
      </c>
    </row>
    <row r="874" spans="1:69" x14ac:dyDescent="0.15">
      <c r="A874" s="53" t="s">
        <v>98</v>
      </c>
      <c r="B874" s="62"/>
      <c r="C874" s="63"/>
      <c r="D874" s="63"/>
      <c r="E874" s="63"/>
      <c r="F874" s="56">
        <f t="shared" si="398"/>
        <v>0</v>
      </c>
      <c r="G874" s="62"/>
      <c r="H874" s="63"/>
      <c r="I874" s="63"/>
      <c r="J874" s="63"/>
      <c r="K874" s="56">
        <f t="shared" si="399"/>
        <v>0</v>
      </c>
      <c r="L874" s="62"/>
      <c r="M874" s="63"/>
      <c r="N874" s="63"/>
      <c r="O874" s="63"/>
      <c r="P874" s="56">
        <f t="shared" si="400"/>
        <v>0</v>
      </c>
      <c r="Q874" s="62"/>
      <c r="R874" s="63">
        <v>1</v>
      </c>
      <c r="S874" s="63"/>
      <c r="T874" s="63"/>
      <c r="U874" s="56">
        <f t="shared" si="401"/>
        <v>1</v>
      </c>
      <c r="V874" s="63"/>
      <c r="W874" s="63"/>
      <c r="X874" s="63"/>
      <c r="Y874" s="63"/>
      <c r="Z874" s="56">
        <f t="shared" si="405"/>
        <v>0</v>
      </c>
      <c r="AA874" s="56">
        <f t="shared" si="425"/>
        <v>1</v>
      </c>
      <c r="AB874" s="299">
        <v>45064</v>
      </c>
      <c r="AC874" s="269" t="s">
        <v>500</v>
      </c>
      <c r="AD874" s="62"/>
      <c r="AE874" s="63"/>
      <c r="AF874" s="63"/>
      <c r="AG874" s="63"/>
      <c r="AH874" s="56">
        <f t="shared" si="406"/>
        <v>0</v>
      </c>
      <c r="AI874" s="62">
        <v>6</v>
      </c>
      <c r="AJ874" s="63">
        <v>6</v>
      </c>
      <c r="AK874" s="63"/>
      <c r="AL874" s="63"/>
      <c r="AM874" s="56">
        <f t="shared" si="407"/>
        <v>12</v>
      </c>
      <c r="AN874" s="62"/>
      <c r="AO874" s="63"/>
      <c r="AP874" s="63"/>
      <c r="AQ874" s="63"/>
      <c r="AR874" s="56">
        <f t="shared" si="420"/>
        <v>0</v>
      </c>
      <c r="AS874" s="62"/>
      <c r="AT874" s="63"/>
      <c r="AU874" s="63"/>
      <c r="AV874" s="63"/>
      <c r="AW874" s="56">
        <f t="shared" si="421"/>
        <v>0</v>
      </c>
      <c r="AX874" s="63"/>
      <c r="AY874" s="63"/>
      <c r="AZ874" s="63">
        <v>6</v>
      </c>
      <c r="BA874" s="63"/>
      <c r="BB874" s="56">
        <f t="shared" si="422"/>
        <v>6</v>
      </c>
      <c r="BC874" s="56">
        <f t="shared" si="430"/>
        <v>18</v>
      </c>
      <c r="BD874" s="298">
        <v>45082</v>
      </c>
      <c r="BE874" s="268"/>
      <c r="BF874" s="62"/>
      <c r="BG874" s="63"/>
      <c r="BH874" s="63"/>
      <c r="BI874" s="63"/>
      <c r="BJ874" s="56">
        <f t="shared" si="423"/>
        <v>0</v>
      </c>
      <c r="BL874" s="268"/>
      <c r="BM874" s="62"/>
      <c r="BN874" s="63"/>
      <c r="BO874" s="63"/>
      <c r="BP874" s="63"/>
      <c r="BQ874" s="56">
        <f t="shared" si="424"/>
        <v>0</v>
      </c>
    </row>
    <row r="875" spans="1:69" x14ac:dyDescent="0.15">
      <c r="A875" s="53" t="s">
        <v>98</v>
      </c>
      <c r="B875" s="54"/>
      <c r="C875" s="55"/>
      <c r="D875" s="55"/>
      <c r="E875" s="55"/>
      <c r="F875" s="56">
        <f t="shared" si="398"/>
        <v>0</v>
      </c>
      <c r="G875" s="54"/>
      <c r="H875" s="55"/>
      <c r="I875" s="55"/>
      <c r="J875" s="55"/>
      <c r="K875" s="56">
        <f t="shared" si="399"/>
        <v>0</v>
      </c>
      <c r="L875" s="54"/>
      <c r="M875" s="55"/>
      <c r="N875" s="55"/>
      <c r="O875" s="55"/>
      <c r="P875" s="56">
        <f t="shared" si="400"/>
        <v>0</v>
      </c>
      <c r="Q875" s="54"/>
      <c r="R875" s="55"/>
      <c r="S875" s="55"/>
      <c r="T875" s="55">
        <v>1</v>
      </c>
      <c r="U875" s="56">
        <f t="shared" si="401"/>
        <v>1</v>
      </c>
      <c r="V875" s="55"/>
      <c r="W875" s="55"/>
      <c r="X875" s="55"/>
      <c r="Y875" s="55"/>
      <c r="Z875" s="56">
        <f t="shared" si="405"/>
        <v>0</v>
      </c>
      <c r="AA875" s="56">
        <f t="shared" si="425"/>
        <v>1</v>
      </c>
      <c r="AB875" s="299">
        <v>45068</v>
      </c>
      <c r="AC875" s="276" t="s">
        <v>501</v>
      </c>
      <c r="AD875" s="54"/>
      <c r="AE875" s="55"/>
      <c r="AF875" s="55"/>
      <c r="AG875" s="55"/>
      <c r="AH875" s="56">
        <f t="shared" si="406"/>
        <v>0</v>
      </c>
      <c r="AI875" s="54">
        <v>2</v>
      </c>
      <c r="AJ875" s="55">
        <v>2</v>
      </c>
      <c r="AK875" s="55"/>
      <c r="AL875" s="55">
        <v>3</v>
      </c>
      <c r="AM875" s="56">
        <f t="shared" si="407"/>
        <v>7</v>
      </c>
      <c r="AN875" s="54"/>
      <c r="AO875" s="55"/>
      <c r="AP875" s="55"/>
      <c r="AQ875" s="55"/>
      <c r="AR875" s="56">
        <f t="shared" si="420"/>
        <v>0</v>
      </c>
      <c r="AS875" s="54"/>
      <c r="AT875" s="55"/>
      <c r="AU875" s="55"/>
      <c r="AV875" s="55"/>
      <c r="AW875" s="56">
        <f t="shared" si="421"/>
        <v>0</v>
      </c>
      <c r="AX875" s="55"/>
      <c r="AY875" s="55"/>
      <c r="AZ875" s="55"/>
      <c r="BA875" s="55"/>
      <c r="BB875" s="56">
        <f t="shared" si="422"/>
        <v>0</v>
      </c>
      <c r="BC875" s="56">
        <f t="shared" si="430"/>
        <v>7</v>
      </c>
      <c r="BD875" s="298">
        <v>45087</v>
      </c>
      <c r="BE875" s="268"/>
      <c r="BF875" s="54"/>
      <c r="BG875" s="55"/>
      <c r="BH875" s="55"/>
      <c r="BI875" s="55"/>
      <c r="BJ875" s="56">
        <f t="shared" si="423"/>
        <v>0</v>
      </c>
      <c r="BL875" s="268"/>
      <c r="BM875" s="54"/>
      <c r="BN875" s="55"/>
      <c r="BO875" s="55"/>
      <c r="BP875" s="55"/>
      <c r="BQ875" s="56">
        <f t="shared" si="424"/>
        <v>0</v>
      </c>
    </row>
    <row r="876" spans="1:69" x14ac:dyDescent="0.15">
      <c r="A876" s="53" t="s">
        <v>502</v>
      </c>
      <c r="B876" s="54"/>
      <c r="C876" s="55"/>
      <c r="D876" s="55"/>
      <c r="E876" s="55"/>
      <c r="F876" s="56">
        <f t="shared" si="398"/>
        <v>0</v>
      </c>
      <c r="G876" s="54"/>
      <c r="H876" s="55"/>
      <c r="I876" s="55"/>
      <c r="J876" s="55"/>
      <c r="K876" s="56">
        <f t="shared" si="399"/>
        <v>0</v>
      </c>
      <c r="L876" s="54"/>
      <c r="M876" s="55"/>
      <c r="N876" s="55"/>
      <c r="O876" s="55"/>
      <c r="P876" s="56">
        <f t="shared" si="400"/>
        <v>0</v>
      </c>
      <c r="Q876" s="54"/>
      <c r="R876" s="55">
        <v>1</v>
      </c>
      <c r="S876" s="55"/>
      <c r="T876" s="55"/>
      <c r="U876" s="56">
        <f t="shared" si="401"/>
        <v>1</v>
      </c>
      <c r="V876" s="55"/>
      <c r="W876" s="55"/>
      <c r="X876" s="55"/>
      <c r="Y876" s="55"/>
      <c r="Z876" s="56">
        <f t="shared" si="405"/>
        <v>0</v>
      </c>
      <c r="AA876" s="56">
        <f t="shared" si="425"/>
        <v>1</v>
      </c>
      <c r="AB876" s="298">
        <v>45076</v>
      </c>
      <c r="AC876" s="269" t="s">
        <v>99</v>
      </c>
      <c r="AD876" s="54"/>
      <c r="AE876" s="55"/>
      <c r="AF876" s="55"/>
      <c r="AG876" s="55"/>
      <c r="AH876" s="56">
        <f t="shared" ref="AH876" si="448">SUM(AD876:AG876)</f>
        <v>0</v>
      </c>
      <c r="AI876" s="54"/>
      <c r="AJ876" s="55"/>
      <c r="AK876" s="55"/>
      <c r="AL876" s="55"/>
      <c r="AM876" s="56">
        <f t="shared" si="407"/>
        <v>0</v>
      </c>
      <c r="AN876" s="54">
        <v>3</v>
      </c>
      <c r="AO876" s="55"/>
      <c r="AP876" s="55"/>
      <c r="AQ876" s="55">
        <v>3</v>
      </c>
      <c r="AR876" s="56">
        <f t="shared" ref="AR876" si="449">SUM(AN876:AQ876)</f>
        <v>6</v>
      </c>
      <c r="AS876" s="54"/>
      <c r="AT876" s="55">
        <v>3</v>
      </c>
      <c r="AU876" s="55"/>
      <c r="AV876" s="55"/>
      <c r="AW876" s="56">
        <f t="shared" ref="AW876" si="450">SUM(AS876:AV876)</f>
        <v>3</v>
      </c>
      <c r="AX876" s="55"/>
      <c r="AY876" s="55"/>
      <c r="AZ876" s="55"/>
      <c r="BA876" s="55"/>
      <c r="BB876" s="56">
        <f t="shared" ref="BB876" si="451">SUM(AX876:BA876)</f>
        <v>0</v>
      </c>
      <c r="BC876" s="56">
        <f>AH876+AM876+AR876+AW876+BB876</f>
        <v>9</v>
      </c>
      <c r="BD876" s="298">
        <v>45079</v>
      </c>
      <c r="BE876" s="268"/>
      <c r="BF876" s="62"/>
      <c r="BG876" s="63"/>
      <c r="BH876" s="63"/>
      <c r="BI876" s="63"/>
      <c r="BJ876" s="56">
        <f t="shared" si="423"/>
        <v>0</v>
      </c>
      <c r="BL876" s="268"/>
      <c r="BM876" s="62"/>
      <c r="BN876" s="63"/>
      <c r="BO876" s="63"/>
      <c r="BP876" s="63"/>
      <c r="BQ876" s="56">
        <f t="shared" si="424"/>
        <v>0</v>
      </c>
    </row>
    <row r="877" spans="1:69" x14ac:dyDescent="0.15">
      <c r="A877" s="53" t="s">
        <v>98</v>
      </c>
      <c r="B877" s="54"/>
      <c r="C877" s="55"/>
      <c r="D877" s="55"/>
      <c r="E877" s="55"/>
      <c r="F877" s="56">
        <f t="shared" si="398"/>
        <v>0</v>
      </c>
      <c r="G877" s="54"/>
      <c r="H877" s="55"/>
      <c r="I877" s="55">
        <v>1</v>
      </c>
      <c r="J877" s="55"/>
      <c r="K877" s="56">
        <f t="shared" si="399"/>
        <v>1</v>
      </c>
      <c r="L877" s="54">
        <v>1</v>
      </c>
      <c r="M877" s="55"/>
      <c r="N877" s="55"/>
      <c r="O877" s="55"/>
      <c r="P877" s="56">
        <f t="shared" si="400"/>
        <v>1</v>
      </c>
      <c r="Q877" s="54"/>
      <c r="R877" s="55"/>
      <c r="S877" s="55"/>
      <c r="T877" s="55"/>
      <c r="U877" s="56">
        <f t="shared" si="401"/>
        <v>0</v>
      </c>
      <c r="V877" s="55"/>
      <c r="W877" s="55"/>
      <c r="X877" s="55"/>
      <c r="Y877" s="55"/>
      <c r="Z877" s="56">
        <f t="shared" si="405"/>
        <v>0</v>
      </c>
      <c r="AA877" s="56">
        <f t="shared" si="425"/>
        <v>2</v>
      </c>
      <c r="AB877" s="299">
        <v>45075</v>
      </c>
      <c r="AC877" s="276" t="s">
        <v>503</v>
      </c>
      <c r="AD877" s="54"/>
      <c r="AE877" s="55"/>
      <c r="AF877" s="55"/>
      <c r="AG877" s="55"/>
      <c r="AH877" s="56">
        <f t="shared" ref="AH877:AH878" si="452">SUM(AD877:AG877)</f>
        <v>0</v>
      </c>
      <c r="AI877" s="54">
        <v>2</v>
      </c>
      <c r="AJ877" s="55">
        <v>2</v>
      </c>
      <c r="AK877" s="55">
        <v>2</v>
      </c>
      <c r="AL877" s="55">
        <v>6</v>
      </c>
      <c r="AM877" s="56">
        <f t="shared" ref="AM877:AM878" si="453">SUM(AI877:AL877)</f>
        <v>12</v>
      </c>
      <c r="AN877" s="54"/>
      <c r="AO877" s="55"/>
      <c r="AP877" s="55"/>
      <c r="AQ877" s="55"/>
      <c r="AR877" s="56">
        <f t="shared" ref="AR877:AR878" si="454">SUM(AN877:AQ877)</f>
        <v>0</v>
      </c>
      <c r="AS877" s="54"/>
      <c r="AT877" s="55"/>
      <c r="AU877" s="55"/>
      <c r="AV877" s="55"/>
      <c r="AW877" s="56">
        <f t="shared" ref="AW877:AW878" si="455">SUM(AS877:AV877)</f>
        <v>0</v>
      </c>
      <c r="AX877" s="55"/>
      <c r="AY877" s="55"/>
      <c r="AZ877" s="55"/>
      <c r="BA877" s="55"/>
      <c r="BB877" s="56">
        <f t="shared" ref="BB877:BB878" si="456">SUM(AX877:BA877)</f>
        <v>0</v>
      </c>
      <c r="BC877" s="56">
        <f t="shared" ref="BC877:BC878" si="457">AH877+AM877+AR877+AW877+BB877</f>
        <v>12</v>
      </c>
      <c r="BD877" s="298">
        <v>45091</v>
      </c>
      <c r="BE877" s="277"/>
      <c r="BF877" s="54"/>
      <c r="BG877" s="55"/>
      <c r="BH877" s="55"/>
      <c r="BI877" s="55"/>
      <c r="BJ877" s="56">
        <f t="shared" si="423"/>
        <v>0</v>
      </c>
      <c r="BL877" s="277"/>
      <c r="BM877" s="54"/>
      <c r="BN877" s="55"/>
      <c r="BO877" s="55"/>
      <c r="BP877" s="55"/>
      <c r="BQ877" s="56">
        <f t="shared" si="424"/>
        <v>0</v>
      </c>
    </row>
    <row r="878" spans="1:69" ht="14.25" thickBot="1" x14ac:dyDescent="0.2">
      <c r="A878" s="53" t="s">
        <v>98</v>
      </c>
      <c r="B878" s="33"/>
      <c r="C878" s="34"/>
      <c r="D878" s="34"/>
      <c r="E878" s="34"/>
      <c r="F878" s="30">
        <f t="shared" si="398"/>
        <v>0</v>
      </c>
      <c r="G878" s="33"/>
      <c r="H878" s="34"/>
      <c r="I878" s="34"/>
      <c r="J878" s="34"/>
      <c r="K878" s="30">
        <f t="shared" si="399"/>
        <v>0</v>
      </c>
      <c r="L878" s="33"/>
      <c r="M878" s="34"/>
      <c r="N878" s="34"/>
      <c r="O878" s="34">
        <v>1</v>
      </c>
      <c r="P878" s="30">
        <f t="shared" si="400"/>
        <v>1</v>
      </c>
      <c r="Q878" s="33"/>
      <c r="R878" s="34"/>
      <c r="S878" s="34"/>
      <c r="T878" s="34"/>
      <c r="U878" s="30">
        <f t="shared" si="401"/>
        <v>0</v>
      </c>
      <c r="V878" s="34"/>
      <c r="W878" s="34"/>
      <c r="X878" s="34"/>
      <c r="Y878" s="34"/>
      <c r="Z878" s="30">
        <f t="shared" si="405"/>
        <v>0</v>
      </c>
      <c r="AA878" s="56">
        <f>F878+K878+P878+U878+Z878</f>
        <v>1</v>
      </c>
      <c r="AB878" s="299">
        <v>45076</v>
      </c>
      <c r="AC878" s="276"/>
      <c r="AD878" s="54"/>
      <c r="AE878" s="55"/>
      <c r="AF878" s="55"/>
      <c r="AG878" s="55"/>
      <c r="AH878" s="56">
        <f t="shared" si="452"/>
        <v>0</v>
      </c>
      <c r="AI878" s="54"/>
      <c r="AJ878" s="55"/>
      <c r="AK878" s="55"/>
      <c r="AL878" s="55"/>
      <c r="AM878" s="56">
        <f t="shared" si="453"/>
        <v>0</v>
      </c>
      <c r="AN878" s="54"/>
      <c r="AO878" s="55"/>
      <c r="AP878" s="55"/>
      <c r="AQ878" s="55"/>
      <c r="AR878" s="56">
        <f t="shared" si="454"/>
        <v>0</v>
      </c>
      <c r="AS878" s="54"/>
      <c r="AT878" s="55"/>
      <c r="AU878" s="55"/>
      <c r="AV878" s="55"/>
      <c r="AW878" s="56">
        <f t="shared" si="455"/>
        <v>0</v>
      </c>
      <c r="AX878" s="55"/>
      <c r="AY878" s="55"/>
      <c r="AZ878" s="55"/>
      <c r="BA878" s="55"/>
      <c r="BB878" s="56">
        <f t="shared" si="456"/>
        <v>0</v>
      </c>
      <c r="BC878" s="56">
        <f t="shared" si="457"/>
        <v>0</v>
      </c>
      <c r="BD878" s="300"/>
      <c r="BE878" s="282"/>
      <c r="BF878" s="33"/>
      <c r="BG878" s="34"/>
      <c r="BH878" s="34"/>
      <c r="BI878" s="34"/>
      <c r="BJ878" s="30">
        <f t="shared" si="423"/>
        <v>0</v>
      </c>
      <c r="BL878" s="282"/>
      <c r="BM878" s="33"/>
      <c r="BN878" s="34"/>
      <c r="BO878" s="34"/>
      <c r="BP878" s="34"/>
      <c r="BQ878" s="30">
        <f t="shared" si="424"/>
        <v>0</v>
      </c>
    </row>
    <row r="879" spans="1:69" ht="15" thickBot="1" x14ac:dyDescent="0.2">
      <c r="A879" s="9" t="s">
        <v>15</v>
      </c>
      <c r="B879" s="36">
        <f>SUM(B853:B878)</f>
        <v>0</v>
      </c>
      <c r="C879" s="37">
        <f>SUM(C853:C878)</f>
        <v>2</v>
      </c>
      <c r="D879" s="37">
        <f>SUM(D853:D878)</f>
        <v>1</v>
      </c>
      <c r="E879" s="38">
        <f>SUM(E853:E878)</f>
        <v>0</v>
      </c>
      <c r="F879" s="25">
        <f t="shared" si="398"/>
        <v>3</v>
      </c>
      <c r="G879" s="36">
        <f>SUM(G853:G878)</f>
        <v>3</v>
      </c>
      <c r="H879" s="37">
        <f>SUM(H853:H878)</f>
        <v>2</v>
      </c>
      <c r="I879" s="37">
        <f>SUM(I853:I878)</f>
        <v>3</v>
      </c>
      <c r="J879" s="38">
        <f>SUM(J853:J878)</f>
        <v>1</v>
      </c>
      <c r="K879" s="25">
        <f t="shared" si="399"/>
        <v>9</v>
      </c>
      <c r="L879" s="36">
        <f>SUM(L853:L878)</f>
        <v>1</v>
      </c>
      <c r="M879" s="37">
        <f>SUM(M853:M878)</f>
        <v>1</v>
      </c>
      <c r="N879" s="37">
        <f>SUM(N853:N878)</f>
        <v>0</v>
      </c>
      <c r="O879" s="38">
        <f>SUM(O853:O878)</f>
        <v>1</v>
      </c>
      <c r="P879" s="25">
        <f t="shared" si="400"/>
        <v>3</v>
      </c>
      <c r="Q879" s="36">
        <f>SUM(Q853:Q878)</f>
        <v>3</v>
      </c>
      <c r="R879" s="37">
        <f>SUM(R853:R878)</f>
        <v>9</v>
      </c>
      <c r="S879" s="37">
        <f>SUM(S853:S878)</f>
        <v>5</v>
      </c>
      <c r="T879" s="38">
        <f>SUM(T853:T878)</f>
        <v>4</v>
      </c>
      <c r="U879" s="25">
        <f t="shared" si="401"/>
        <v>21</v>
      </c>
      <c r="V879" s="322">
        <f>SUM(V853:V878)</f>
        <v>1</v>
      </c>
      <c r="W879" s="37">
        <f>SUM(W853:W878)</f>
        <v>8</v>
      </c>
      <c r="X879" s="37">
        <f>SUM(X853:X878)</f>
        <v>2</v>
      </c>
      <c r="Y879" s="38">
        <f>SUM(Y853:Y878)</f>
        <v>0</v>
      </c>
      <c r="Z879" s="25">
        <f t="shared" si="405"/>
        <v>11</v>
      </c>
      <c r="AA879" s="161">
        <f>F879+K879+P879+U879+Z879</f>
        <v>47</v>
      </c>
      <c r="AC879" s="278" t="s">
        <v>15</v>
      </c>
      <c r="AD879" s="36">
        <f>SUM(AD853:AD878)</f>
        <v>3</v>
      </c>
      <c r="AE879" s="37">
        <f>SUM(AE853:AE878)</f>
        <v>11</v>
      </c>
      <c r="AF879" s="37">
        <f>SUM(AF853:AF878)</f>
        <v>7</v>
      </c>
      <c r="AG879" s="38">
        <f>SUM(AG853:AG878)</f>
        <v>4</v>
      </c>
      <c r="AH879" s="25">
        <f t="shared" si="406"/>
        <v>25</v>
      </c>
      <c r="AI879" s="36">
        <f>SUM(AI853:AI878)</f>
        <v>41</v>
      </c>
      <c r="AJ879" s="37">
        <f>SUM(AJ853:AJ878)</f>
        <v>43</v>
      </c>
      <c r="AK879" s="37">
        <f>SUM(AK853:AK878)</f>
        <v>29</v>
      </c>
      <c r="AL879" s="38">
        <f>SUM(AL853:AL878)</f>
        <v>36</v>
      </c>
      <c r="AM879" s="25">
        <f t="shared" si="407"/>
        <v>149</v>
      </c>
      <c r="AN879" s="36">
        <f>SUM(AN853:AN878)</f>
        <v>3</v>
      </c>
      <c r="AO879" s="37">
        <f>SUM(AO853:AO878)</f>
        <v>4</v>
      </c>
      <c r="AP879" s="37">
        <f>SUM(AP853:AP878)</f>
        <v>1</v>
      </c>
      <c r="AQ879" s="38">
        <f>SUM(AQ853:AQ878)</f>
        <v>3</v>
      </c>
      <c r="AR879" s="25">
        <f t="shared" si="420"/>
        <v>11</v>
      </c>
      <c r="AS879" s="36">
        <f>SUM(AS853:AS878)</f>
        <v>3</v>
      </c>
      <c r="AT879" s="37">
        <f>SUM(AT853:AT878)</f>
        <v>9</v>
      </c>
      <c r="AU879" s="37">
        <f>SUM(AU853:AU878)</f>
        <v>13</v>
      </c>
      <c r="AV879" s="38">
        <f>SUM(AV853:AV878)</f>
        <v>8</v>
      </c>
      <c r="AW879" s="25">
        <f t="shared" si="421"/>
        <v>33</v>
      </c>
      <c r="AX879" s="322">
        <f>SUM(AX853:AX878)</f>
        <v>0</v>
      </c>
      <c r="AY879" s="37">
        <f>SUM(AY853:AY878)</f>
        <v>10</v>
      </c>
      <c r="AZ879" s="37">
        <f>SUM(AZ853:AZ878)</f>
        <v>9</v>
      </c>
      <c r="BA879" s="38">
        <f>SUM(BA853:BA878)</f>
        <v>0</v>
      </c>
      <c r="BB879" s="25">
        <f t="shared" si="422"/>
        <v>19</v>
      </c>
      <c r="BC879" s="161">
        <f>AH879+AM879+AR879+AW879+BB879</f>
        <v>237</v>
      </c>
      <c r="BE879" s="278" t="s">
        <v>15</v>
      </c>
      <c r="BF879" s="312">
        <f>SUM(BF853:BF878)</f>
        <v>0</v>
      </c>
      <c r="BG879" s="302">
        <f>SUM(BG853:BG878)</f>
        <v>0</v>
      </c>
      <c r="BH879" s="37">
        <f>SUM(BH853:BH878)</f>
        <v>1</v>
      </c>
      <c r="BI879" s="38">
        <f>SUM(BI853:BI878)</f>
        <v>0</v>
      </c>
      <c r="BJ879" s="25">
        <f t="shared" si="423"/>
        <v>1</v>
      </c>
      <c r="BL879" s="278" t="s">
        <v>15</v>
      </c>
      <c r="BM879" s="312">
        <f>SUM(BM853:BM878)</f>
        <v>0</v>
      </c>
      <c r="BN879" s="302">
        <f>SUM(BN853:BN878)</f>
        <v>0</v>
      </c>
      <c r="BO879" s="37">
        <f>SUM(BO853:BO878)</f>
        <v>0</v>
      </c>
      <c r="BP879" s="316">
        <f>SUM(BP853:BP878)</f>
        <v>0</v>
      </c>
      <c r="BQ879" s="25">
        <f t="shared" si="424"/>
        <v>0</v>
      </c>
    </row>
    <row r="880" spans="1:69" ht="14.25" thickBot="1" x14ac:dyDescent="0.2">
      <c r="A880" s="39" t="s">
        <v>16</v>
      </c>
      <c r="B880" s="40">
        <f>B852-B879</f>
        <v>4</v>
      </c>
      <c r="C880" s="41">
        <f>C852-C879</f>
        <v>5</v>
      </c>
      <c r="D880" s="41">
        <f>D852-D879</f>
        <v>4</v>
      </c>
      <c r="E880" s="42">
        <f>E852-E879</f>
        <v>4</v>
      </c>
      <c r="F880" s="171">
        <f t="shared" si="398"/>
        <v>17</v>
      </c>
      <c r="G880" s="40">
        <f>G852-G879</f>
        <v>6</v>
      </c>
      <c r="H880" s="41">
        <f>H852-H879</f>
        <v>6</v>
      </c>
      <c r="I880" s="41">
        <f>I852-I879</f>
        <v>5</v>
      </c>
      <c r="J880" s="42">
        <f>J852-J879</f>
        <v>4</v>
      </c>
      <c r="K880" s="171">
        <f t="shared" si="399"/>
        <v>21</v>
      </c>
      <c r="L880" s="40">
        <f>L852-L879</f>
        <v>2</v>
      </c>
      <c r="M880" s="41">
        <f>M852-M879</f>
        <v>5</v>
      </c>
      <c r="N880" s="41">
        <f>N852-N879</f>
        <v>4</v>
      </c>
      <c r="O880" s="42">
        <f>O852-O879</f>
        <v>3</v>
      </c>
      <c r="P880" s="171">
        <f t="shared" si="400"/>
        <v>14</v>
      </c>
      <c r="Q880" s="40">
        <f>Q852-Q879</f>
        <v>4</v>
      </c>
      <c r="R880" s="41">
        <f>R852-R879</f>
        <v>3</v>
      </c>
      <c r="S880" s="41">
        <f>S852-S879</f>
        <v>5</v>
      </c>
      <c r="T880" s="42">
        <f>T852-T879</f>
        <v>7</v>
      </c>
      <c r="U880" s="171">
        <f t="shared" si="401"/>
        <v>19</v>
      </c>
      <c r="V880" s="323">
        <f>V852-V879</f>
        <v>5</v>
      </c>
      <c r="W880" s="41">
        <f>W852-W879</f>
        <v>6</v>
      </c>
      <c r="X880" s="41">
        <f>X852-X879</f>
        <v>6</v>
      </c>
      <c r="Y880" s="42">
        <f>Y852-Y879</f>
        <v>6</v>
      </c>
      <c r="Z880" s="171">
        <f>SUM(V880:Y880)</f>
        <v>23</v>
      </c>
      <c r="AA880" s="77">
        <f>F880+K880+P880+U880+Z880</f>
        <v>94</v>
      </c>
      <c r="AC880" s="279" t="s">
        <v>16</v>
      </c>
      <c r="AD880" s="40">
        <f>AD852-AD879</f>
        <v>42</v>
      </c>
      <c r="AE880" s="41">
        <f>AE852-AE879</f>
        <v>57</v>
      </c>
      <c r="AF880" s="41">
        <f>AF852-AF879</f>
        <v>112</v>
      </c>
      <c r="AG880" s="42">
        <f>AG852-AG879</f>
        <v>48</v>
      </c>
      <c r="AH880" s="171">
        <f t="shared" si="406"/>
        <v>259</v>
      </c>
      <c r="AI880" s="40">
        <f>AI852-AI879</f>
        <v>143</v>
      </c>
      <c r="AJ880" s="41">
        <f>AJ852-AJ879</f>
        <v>217</v>
      </c>
      <c r="AK880" s="41">
        <f>AK852-AK879</f>
        <v>88</v>
      </c>
      <c r="AL880" s="42">
        <f>AL852-AL879</f>
        <v>91</v>
      </c>
      <c r="AM880" s="171">
        <f t="shared" si="407"/>
        <v>539</v>
      </c>
      <c r="AN880" s="40">
        <f>AN852-AN879</f>
        <v>52</v>
      </c>
      <c r="AO880" s="41">
        <f>AO852-AO879</f>
        <v>74</v>
      </c>
      <c r="AP880" s="41">
        <f>AP852-AP879</f>
        <v>52</v>
      </c>
      <c r="AQ880" s="42">
        <f>AQ852-AQ879</f>
        <v>32</v>
      </c>
      <c r="AR880" s="171">
        <f t="shared" si="420"/>
        <v>210</v>
      </c>
      <c r="AS880" s="40">
        <f>AS852-AS879</f>
        <v>146</v>
      </c>
      <c r="AT880" s="41">
        <f>AT852-AT879</f>
        <v>237</v>
      </c>
      <c r="AU880" s="41">
        <f>AU852-AU879</f>
        <v>101</v>
      </c>
      <c r="AV880" s="42">
        <f>AV852-AV879</f>
        <v>104</v>
      </c>
      <c r="AW880" s="171">
        <f t="shared" si="421"/>
        <v>588</v>
      </c>
      <c r="AX880" s="323">
        <f>AX852-AX879</f>
        <v>125</v>
      </c>
      <c r="AY880" s="41">
        <f>AY852-AY879</f>
        <v>115</v>
      </c>
      <c r="AZ880" s="41">
        <f>AZ852-AZ879</f>
        <v>61</v>
      </c>
      <c r="BA880" s="42">
        <f>BA852-BA879</f>
        <v>65</v>
      </c>
      <c r="BB880" s="171">
        <f>SUM(AX880:BA880)</f>
        <v>366</v>
      </c>
      <c r="BC880" s="77">
        <f>AH880+AM880+AR880+AW880+BB880</f>
        <v>1962</v>
      </c>
      <c r="BE880" s="279" t="s">
        <v>16</v>
      </c>
      <c r="BF880" s="313">
        <f>BF852-BF879</f>
        <v>0</v>
      </c>
      <c r="BG880" s="303">
        <f>BG852-BG879</f>
        <v>0</v>
      </c>
      <c r="BH880" s="41">
        <f>BH852-BH879</f>
        <v>8</v>
      </c>
      <c r="BI880" s="42">
        <f>BI852-BI879</f>
        <v>3</v>
      </c>
      <c r="BJ880" s="171">
        <f t="shared" si="423"/>
        <v>11</v>
      </c>
      <c r="BL880" s="279" t="s">
        <v>16</v>
      </c>
      <c r="BM880" s="313">
        <f>BM852-BM879</f>
        <v>0</v>
      </c>
      <c r="BN880" s="303">
        <f>BN852-BN879</f>
        <v>0</v>
      </c>
      <c r="BO880" s="41">
        <f>BO852-BO879</f>
        <v>21</v>
      </c>
      <c r="BP880" s="317">
        <f>BP852-BP879</f>
        <v>0</v>
      </c>
      <c r="BQ880" s="171">
        <f t="shared" si="424"/>
        <v>21</v>
      </c>
    </row>
    <row r="881" spans="1:69" x14ac:dyDescent="0.15">
      <c r="AD881" s="314"/>
      <c r="AE881" s="314"/>
      <c r="AF881" s="314"/>
      <c r="AG881" s="314"/>
      <c r="AH881" s="314"/>
      <c r="AI881" s="314"/>
      <c r="AJ881" s="314"/>
      <c r="AK881" s="314"/>
      <c r="AL881" s="314"/>
      <c r="AM881" s="314"/>
      <c r="AN881" s="314"/>
      <c r="AO881" s="314"/>
      <c r="AP881" s="314"/>
      <c r="AQ881" s="314"/>
      <c r="AR881" s="314"/>
      <c r="AS881" s="314"/>
      <c r="AT881" s="314"/>
      <c r="AU881" s="314"/>
      <c r="AV881" s="314"/>
      <c r="AW881" s="314"/>
      <c r="AX881" s="314"/>
      <c r="AY881" s="314"/>
      <c r="AZ881" s="314"/>
      <c r="BA881" s="314"/>
      <c r="BB881" s="314"/>
    </row>
    <row r="883" spans="1:69" ht="19.5" thickBot="1" x14ac:dyDescent="0.25">
      <c r="A883" s="185" t="s">
        <v>19</v>
      </c>
      <c r="B883" s="186"/>
      <c r="C883" s="186"/>
      <c r="D883" s="186"/>
      <c r="E883" s="186"/>
      <c r="F883" s="18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C883" s="187" t="s">
        <v>73</v>
      </c>
      <c r="AD883" s="188"/>
      <c r="AE883" s="188"/>
      <c r="AF883" s="188"/>
      <c r="AG883" s="188"/>
      <c r="AH883" s="188"/>
      <c r="AI883" s="188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E883" s="185" t="s">
        <v>19</v>
      </c>
      <c r="BF883" s="186"/>
      <c r="BG883" s="186"/>
      <c r="BH883" s="186"/>
      <c r="BI883" s="186"/>
      <c r="BJ883" s="186"/>
      <c r="BL883" s="187" t="s">
        <v>73</v>
      </c>
      <c r="BM883" s="188"/>
      <c r="BN883" s="188"/>
      <c r="BO883" s="188"/>
      <c r="BP883" s="188"/>
      <c r="BQ883" s="188"/>
    </row>
    <row r="884" spans="1:69" ht="14.25" thickBot="1" x14ac:dyDescent="0.2">
      <c r="A884" s="3" t="s">
        <v>0</v>
      </c>
      <c r="B884" s="365" t="s">
        <v>17</v>
      </c>
      <c r="C884" s="366"/>
      <c r="D884" s="366"/>
      <c r="E884" s="366"/>
      <c r="F884" s="367"/>
      <c r="G884" s="368" t="s">
        <v>18</v>
      </c>
      <c r="H884" s="369"/>
      <c r="I884" s="369"/>
      <c r="J884" s="369"/>
      <c r="K884" s="370"/>
      <c r="L884" s="371" t="s">
        <v>320</v>
      </c>
      <c r="M884" s="372"/>
      <c r="N884" s="372"/>
      <c r="O884" s="372"/>
      <c r="P884" s="373"/>
      <c r="Q884" s="355" t="s">
        <v>75</v>
      </c>
      <c r="R884" s="356"/>
      <c r="S884" s="356"/>
      <c r="T884" s="356"/>
      <c r="U884" s="357"/>
      <c r="V884" s="358" t="s">
        <v>456</v>
      </c>
      <c r="W884" s="358"/>
      <c r="X884" s="358"/>
      <c r="Y884" s="358"/>
      <c r="Z884" s="359"/>
      <c r="AA884" s="360" t="s">
        <v>1</v>
      </c>
      <c r="AC884" s="271" t="s">
        <v>0</v>
      </c>
      <c r="AD884" s="365" t="s">
        <v>17</v>
      </c>
      <c r="AE884" s="366"/>
      <c r="AF884" s="366"/>
      <c r="AG884" s="366"/>
      <c r="AH884" s="367"/>
      <c r="AI884" s="368" t="s">
        <v>18</v>
      </c>
      <c r="AJ884" s="369"/>
      <c r="AK884" s="369"/>
      <c r="AL884" s="369"/>
      <c r="AM884" s="370"/>
      <c r="AN884" s="371" t="s">
        <v>320</v>
      </c>
      <c r="AO884" s="372"/>
      <c r="AP884" s="372"/>
      <c r="AQ884" s="372"/>
      <c r="AR884" s="373"/>
      <c r="AS884" s="355" t="s">
        <v>75</v>
      </c>
      <c r="AT884" s="356"/>
      <c r="AU884" s="356"/>
      <c r="AV884" s="356"/>
      <c r="AW884" s="357"/>
      <c r="AX884" s="358" t="s">
        <v>456</v>
      </c>
      <c r="AY884" s="358"/>
      <c r="AZ884" s="358"/>
      <c r="BA884" s="358"/>
      <c r="BB884" s="359"/>
      <c r="BC884" s="360" t="s">
        <v>1</v>
      </c>
      <c r="BE884" s="271" t="s">
        <v>0</v>
      </c>
      <c r="BF884" s="362" t="s">
        <v>38</v>
      </c>
      <c r="BG884" s="363"/>
      <c r="BH884" s="363"/>
      <c r="BI884" s="363"/>
      <c r="BJ884" s="364"/>
      <c r="BL884" s="271" t="s">
        <v>0</v>
      </c>
      <c r="BM884" s="362" t="s">
        <v>38</v>
      </c>
      <c r="BN884" s="363"/>
      <c r="BO884" s="363"/>
      <c r="BP884" s="363"/>
      <c r="BQ884" s="364"/>
    </row>
    <row r="885" spans="1:69" ht="14.25" thickBot="1" x14ac:dyDescent="0.2">
      <c r="A885" s="5" t="s">
        <v>2</v>
      </c>
      <c r="B885" s="6" t="s">
        <v>3</v>
      </c>
      <c r="C885" s="7" t="s">
        <v>4</v>
      </c>
      <c r="D885" s="7" t="s">
        <v>5</v>
      </c>
      <c r="E885" s="8" t="s">
        <v>6</v>
      </c>
      <c r="F885" s="5" t="s">
        <v>7</v>
      </c>
      <c r="G885" s="6" t="s">
        <v>3</v>
      </c>
      <c r="H885" s="7" t="s">
        <v>4</v>
      </c>
      <c r="I885" s="7" t="s">
        <v>5</v>
      </c>
      <c r="J885" s="8" t="s">
        <v>6</v>
      </c>
      <c r="K885" s="5" t="s">
        <v>7</v>
      </c>
      <c r="L885" s="6" t="s">
        <v>3</v>
      </c>
      <c r="M885" s="7" t="s">
        <v>4</v>
      </c>
      <c r="N885" s="7" t="s">
        <v>5</v>
      </c>
      <c r="O885" s="8" t="s">
        <v>6</v>
      </c>
      <c r="P885" s="5" t="s">
        <v>7</v>
      </c>
      <c r="Q885" s="6" t="s">
        <v>3</v>
      </c>
      <c r="R885" s="7" t="s">
        <v>4</v>
      </c>
      <c r="S885" s="7" t="s">
        <v>5</v>
      </c>
      <c r="T885" s="8" t="s">
        <v>6</v>
      </c>
      <c r="U885" s="5" t="s">
        <v>7</v>
      </c>
      <c r="V885" s="7" t="s">
        <v>3</v>
      </c>
      <c r="W885" s="7" t="s">
        <v>4</v>
      </c>
      <c r="X885" s="7" t="s">
        <v>5</v>
      </c>
      <c r="Y885" s="8" t="s">
        <v>6</v>
      </c>
      <c r="Z885" s="5" t="s">
        <v>7</v>
      </c>
      <c r="AA885" s="361"/>
      <c r="AC885" s="272" t="s">
        <v>2</v>
      </c>
      <c r="AD885" s="6" t="s">
        <v>3</v>
      </c>
      <c r="AE885" s="7" t="s">
        <v>4</v>
      </c>
      <c r="AF885" s="7" t="s">
        <v>5</v>
      </c>
      <c r="AG885" s="8" t="s">
        <v>6</v>
      </c>
      <c r="AH885" s="5" t="s">
        <v>7</v>
      </c>
      <c r="AI885" s="6" t="s">
        <v>3</v>
      </c>
      <c r="AJ885" s="7" t="s">
        <v>4</v>
      </c>
      <c r="AK885" s="7" t="s">
        <v>5</v>
      </c>
      <c r="AL885" s="8" t="s">
        <v>6</v>
      </c>
      <c r="AM885" s="5" t="s">
        <v>7</v>
      </c>
      <c r="AN885" s="6" t="s">
        <v>3</v>
      </c>
      <c r="AO885" s="7" t="s">
        <v>4</v>
      </c>
      <c r="AP885" s="7" t="s">
        <v>5</v>
      </c>
      <c r="AQ885" s="8" t="s">
        <v>6</v>
      </c>
      <c r="AR885" s="5" t="s">
        <v>7</v>
      </c>
      <c r="AS885" s="6" t="s">
        <v>3</v>
      </c>
      <c r="AT885" s="7" t="s">
        <v>4</v>
      </c>
      <c r="AU885" s="7" t="s">
        <v>5</v>
      </c>
      <c r="AV885" s="8" t="s">
        <v>6</v>
      </c>
      <c r="AW885" s="5" t="s">
        <v>7</v>
      </c>
      <c r="AX885" s="7" t="s">
        <v>3</v>
      </c>
      <c r="AY885" s="7" t="s">
        <v>4</v>
      </c>
      <c r="AZ885" s="7" t="s">
        <v>5</v>
      </c>
      <c r="BA885" s="8" t="s">
        <v>6</v>
      </c>
      <c r="BB885" s="5" t="s">
        <v>7</v>
      </c>
      <c r="BC885" s="361"/>
      <c r="BE885" s="272" t="s">
        <v>2</v>
      </c>
      <c r="BF885" s="6" t="s">
        <v>3</v>
      </c>
      <c r="BG885" s="7" t="s">
        <v>4</v>
      </c>
      <c r="BH885" s="7" t="s">
        <v>5</v>
      </c>
      <c r="BI885" s="8" t="s">
        <v>6</v>
      </c>
      <c r="BJ885" s="5" t="s">
        <v>7</v>
      </c>
      <c r="BL885" s="272" t="s">
        <v>2</v>
      </c>
      <c r="BM885" s="6" t="s">
        <v>3</v>
      </c>
      <c r="BN885" s="7" t="s">
        <v>4</v>
      </c>
      <c r="BO885" s="7" t="s">
        <v>5</v>
      </c>
      <c r="BP885" s="8" t="s">
        <v>6</v>
      </c>
      <c r="BQ885" s="5" t="s">
        <v>7</v>
      </c>
    </row>
    <row r="886" spans="1:69" ht="15" thickBot="1" x14ac:dyDescent="0.2">
      <c r="A886" s="291" t="s">
        <v>30</v>
      </c>
      <c r="B886" s="292">
        <f>B880</f>
        <v>4</v>
      </c>
      <c r="C886" s="292">
        <f>C880</f>
        <v>5</v>
      </c>
      <c r="D886" s="292">
        <f>D880</f>
        <v>4</v>
      </c>
      <c r="E886" s="293">
        <f>E880</f>
        <v>4</v>
      </c>
      <c r="F886" s="77">
        <f t="shared" ref="F886:F917" si="458">SUM(B886:E886)</f>
        <v>17</v>
      </c>
      <c r="G886" s="292">
        <f>G880</f>
        <v>6</v>
      </c>
      <c r="H886" s="292">
        <f>H880</f>
        <v>6</v>
      </c>
      <c r="I886" s="292">
        <f>I880</f>
        <v>5</v>
      </c>
      <c r="J886" s="293">
        <f>J880</f>
        <v>4</v>
      </c>
      <c r="K886" s="77">
        <f t="shared" ref="K886:K917" si="459">SUM(G886:J886)</f>
        <v>21</v>
      </c>
      <c r="L886" s="292">
        <f>L880</f>
        <v>2</v>
      </c>
      <c r="M886" s="292">
        <f>M880</f>
        <v>5</v>
      </c>
      <c r="N886" s="292">
        <f>N880</f>
        <v>4</v>
      </c>
      <c r="O886" s="293">
        <f>O880</f>
        <v>3</v>
      </c>
      <c r="P886" s="77">
        <f t="shared" ref="P886:P917" si="460">SUM(L886:O886)</f>
        <v>14</v>
      </c>
      <c r="Q886" s="324">
        <f>Q880</f>
        <v>4</v>
      </c>
      <c r="R886" s="292">
        <f>R880</f>
        <v>3</v>
      </c>
      <c r="S886" s="292">
        <f>S880</f>
        <v>5</v>
      </c>
      <c r="T886" s="293">
        <f>T880</f>
        <v>7</v>
      </c>
      <c r="U886" s="77">
        <f t="shared" ref="U886:U917" si="461">SUM(Q886:T886)</f>
        <v>19</v>
      </c>
      <c r="V886" s="324">
        <f>V880</f>
        <v>5</v>
      </c>
      <c r="W886" s="292">
        <f>W880</f>
        <v>6</v>
      </c>
      <c r="X886" s="292">
        <f>X880</f>
        <v>6</v>
      </c>
      <c r="Y886" s="293">
        <f>Y880</f>
        <v>6</v>
      </c>
      <c r="Z886" s="77">
        <f t="shared" ref="Z886" si="462">SUM(V886:Y886)</f>
        <v>23</v>
      </c>
      <c r="AA886" s="77">
        <f>F886+K886+P886+U886+Z886</f>
        <v>94</v>
      </c>
      <c r="AC886" s="294" t="s">
        <v>30</v>
      </c>
      <c r="AD886" s="292">
        <f>AD880</f>
        <v>42</v>
      </c>
      <c r="AE886" s="292">
        <f>AE880</f>
        <v>57</v>
      </c>
      <c r="AF886" s="292">
        <f>AF880</f>
        <v>112</v>
      </c>
      <c r="AG886" s="293">
        <f>AG880</f>
        <v>48</v>
      </c>
      <c r="AH886" s="77">
        <f>SUM(AD886:AG886)</f>
        <v>259</v>
      </c>
      <c r="AI886" s="292">
        <f>AI880</f>
        <v>143</v>
      </c>
      <c r="AJ886" s="292">
        <f>AJ880</f>
        <v>217</v>
      </c>
      <c r="AK886" s="292">
        <f>AK880</f>
        <v>88</v>
      </c>
      <c r="AL886" s="293">
        <f>AL880</f>
        <v>91</v>
      </c>
      <c r="AM886" s="77">
        <f>SUM(AI886:AL886)</f>
        <v>539</v>
      </c>
      <c r="AN886" s="292">
        <f>AN880</f>
        <v>52</v>
      </c>
      <c r="AO886" s="292">
        <f>AO880</f>
        <v>74</v>
      </c>
      <c r="AP886" s="292">
        <f>AP880</f>
        <v>52</v>
      </c>
      <c r="AQ886" s="293">
        <f>AQ880</f>
        <v>32</v>
      </c>
      <c r="AR886" s="77">
        <f>SUM(AN886:AQ886)</f>
        <v>210</v>
      </c>
      <c r="AS886" s="324">
        <f>AS880</f>
        <v>146</v>
      </c>
      <c r="AT886" s="292">
        <f>AT880</f>
        <v>237</v>
      </c>
      <c r="AU886" s="292">
        <f>AU880</f>
        <v>101</v>
      </c>
      <c r="AV886" s="293">
        <f>AV880</f>
        <v>104</v>
      </c>
      <c r="AW886" s="77">
        <f>SUM(AS886:AV886)</f>
        <v>588</v>
      </c>
      <c r="AX886" s="324">
        <f>AX880</f>
        <v>125</v>
      </c>
      <c r="AY886" s="292">
        <f>AY880</f>
        <v>115</v>
      </c>
      <c r="AZ886" s="292">
        <f>AZ880</f>
        <v>61</v>
      </c>
      <c r="BA886" s="293">
        <f>BA880</f>
        <v>65</v>
      </c>
      <c r="BB886" s="77">
        <f>SUM(AX886:BA886)</f>
        <v>366</v>
      </c>
      <c r="BC886" s="77">
        <f>AH886+AM886+AR886+AW886+BB886</f>
        <v>1962</v>
      </c>
      <c r="BE886" s="294" t="s">
        <v>30</v>
      </c>
      <c r="BF886" s="40">
        <f>BF880</f>
        <v>0</v>
      </c>
      <c r="BG886" s="41">
        <f t="shared" ref="BG886:BJ886" si="463">BG880</f>
        <v>0</v>
      </c>
      <c r="BH886" s="41">
        <f t="shared" si="463"/>
        <v>8</v>
      </c>
      <c r="BI886" s="42">
        <f t="shared" si="463"/>
        <v>3</v>
      </c>
      <c r="BJ886" s="171">
        <f t="shared" si="463"/>
        <v>11</v>
      </c>
      <c r="BL886" s="294" t="s">
        <v>30</v>
      </c>
      <c r="BM886" s="292">
        <f>BM880</f>
        <v>0</v>
      </c>
      <c r="BN886" s="292">
        <f t="shared" ref="BN886:BQ886" si="464">BN880</f>
        <v>0</v>
      </c>
      <c r="BO886" s="292">
        <f t="shared" si="464"/>
        <v>21</v>
      </c>
      <c r="BP886" s="292">
        <f t="shared" si="464"/>
        <v>0</v>
      </c>
      <c r="BQ886" s="77">
        <f t="shared" si="464"/>
        <v>21</v>
      </c>
    </row>
    <row r="887" spans="1:69" x14ac:dyDescent="0.15">
      <c r="A887" s="53" t="s">
        <v>111</v>
      </c>
      <c r="B887" s="51"/>
      <c r="C887" s="52"/>
      <c r="D887" s="52"/>
      <c r="E887" s="52"/>
      <c r="F887" s="49">
        <f t="shared" si="458"/>
        <v>0</v>
      </c>
      <c r="G887" s="51"/>
      <c r="H887" s="52"/>
      <c r="I887" s="52"/>
      <c r="J887" s="52"/>
      <c r="K887" s="49">
        <f t="shared" si="459"/>
        <v>0</v>
      </c>
      <c r="L887" s="51">
        <v>3</v>
      </c>
      <c r="M887" s="52"/>
      <c r="N887" s="52"/>
      <c r="O887" s="52">
        <v>3</v>
      </c>
      <c r="P887" s="49">
        <f t="shared" si="460"/>
        <v>6</v>
      </c>
      <c r="Q887" s="51"/>
      <c r="R887" s="52">
        <v>3</v>
      </c>
      <c r="S887" s="52"/>
      <c r="T887" s="52"/>
      <c r="U887" s="49">
        <f t="shared" si="461"/>
        <v>3</v>
      </c>
      <c r="V887" s="52"/>
      <c r="W887" s="52"/>
      <c r="X887" s="52"/>
      <c r="Y887" s="52"/>
      <c r="Z887" s="49">
        <f t="shared" ref="Z887:Z917" si="465">SUM(V887:Y887)</f>
        <v>0</v>
      </c>
      <c r="AA887" s="49">
        <f>F887+K887+P887+U887+Z887</f>
        <v>9</v>
      </c>
      <c r="AB887" s="298">
        <v>45079</v>
      </c>
      <c r="AC887" s="268" t="s">
        <v>28</v>
      </c>
      <c r="AD887" s="51"/>
      <c r="AE887" s="52"/>
      <c r="AF887" s="52"/>
      <c r="AG887" s="52"/>
      <c r="AH887" s="49">
        <f t="shared" ref="AH887" si="466">SUM(AD887:AG887)</f>
        <v>0</v>
      </c>
      <c r="AI887" s="51"/>
      <c r="AJ887" s="52"/>
      <c r="AK887" s="52"/>
      <c r="AL887" s="52"/>
      <c r="AM887" s="49">
        <f t="shared" ref="AM887" si="467">SUM(AI887:AL887)</f>
        <v>0</v>
      </c>
      <c r="AN887" s="51"/>
      <c r="AO887" s="52"/>
      <c r="AP887" s="52"/>
      <c r="AQ887" s="52"/>
      <c r="AR887" s="49">
        <f t="shared" ref="AR887" si="468">SUM(AN887:AQ887)</f>
        <v>0</v>
      </c>
      <c r="AS887" s="51"/>
      <c r="AT887" s="52"/>
      <c r="AU887" s="52"/>
      <c r="AV887" s="52"/>
      <c r="AW887" s="49">
        <f t="shared" ref="AW887" si="469">SUM(AS887:AV887)</f>
        <v>0</v>
      </c>
      <c r="AX887" s="52"/>
      <c r="AY887" s="52"/>
      <c r="AZ887" s="52"/>
      <c r="BA887" s="52"/>
      <c r="BB887" s="49">
        <f t="shared" ref="BB887" si="470">SUM(AX887:BA887)</f>
        <v>0</v>
      </c>
      <c r="BC887" s="49">
        <f>AH887+AM887+AR887+AW887+BB887</f>
        <v>0</v>
      </c>
      <c r="BE887" s="268" t="s">
        <v>28</v>
      </c>
      <c r="BF887" s="51"/>
      <c r="BG887" s="52"/>
      <c r="BH887" s="52"/>
      <c r="BI887" s="52"/>
      <c r="BJ887" s="49">
        <f t="shared" ref="BJ887:BJ889" si="471">SUM(BF887:BI887)</f>
        <v>0</v>
      </c>
      <c r="BK887" s="306"/>
      <c r="BL887" s="268" t="s">
        <v>28</v>
      </c>
      <c r="BM887" s="51"/>
      <c r="BN887" s="52"/>
      <c r="BO887" s="52"/>
      <c r="BP887" s="52"/>
      <c r="BQ887" s="49">
        <f t="shared" ref="BQ887:BQ889" si="472">SUM(BM887:BP887)</f>
        <v>0</v>
      </c>
    </row>
    <row r="888" spans="1:69" x14ac:dyDescent="0.15">
      <c r="A888" s="53" t="s">
        <v>108</v>
      </c>
      <c r="B888" s="55">
        <v>1</v>
      </c>
      <c r="C888" s="55"/>
      <c r="D888" s="55">
        <v>1</v>
      </c>
      <c r="E888" s="166"/>
      <c r="F888" s="49">
        <f t="shared" si="458"/>
        <v>2</v>
      </c>
      <c r="G888" s="55">
        <v>1</v>
      </c>
      <c r="H888" s="55">
        <v>2</v>
      </c>
      <c r="I888" s="55">
        <v>1</v>
      </c>
      <c r="J888" s="166">
        <v>1</v>
      </c>
      <c r="K888" s="49">
        <f t="shared" si="459"/>
        <v>5</v>
      </c>
      <c r="L888" s="55"/>
      <c r="M888" s="55"/>
      <c r="N888" s="55"/>
      <c r="O888" s="166"/>
      <c r="P888" s="49">
        <f t="shared" si="460"/>
        <v>0</v>
      </c>
      <c r="Q888" s="54"/>
      <c r="R888" s="55"/>
      <c r="S888" s="55"/>
      <c r="T888" s="166"/>
      <c r="U888" s="49">
        <f t="shared" si="461"/>
        <v>0</v>
      </c>
      <c r="V888" s="55"/>
      <c r="W888" s="55"/>
      <c r="X888" s="55"/>
      <c r="Y888" s="166"/>
      <c r="Z888" s="49">
        <f t="shared" si="465"/>
        <v>0</v>
      </c>
      <c r="AA888" s="49">
        <f t="shared" ref="AA888:AA893" si="473">F888+K888+P888+U888+Z888</f>
        <v>7</v>
      </c>
      <c r="AB888" s="298">
        <v>45091</v>
      </c>
      <c r="AC888" s="268" t="s">
        <v>28</v>
      </c>
      <c r="AD888" s="55"/>
      <c r="AE888" s="153"/>
      <c r="AF888" s="153"/>
      <c r="AG888" s="168"/>
      <c r="AH888" s="56">
        <f t="shared" ref="AH888" si="474">SUM(AD888:AG888)</f>
        <v>0</v>
      </c>
      <c r="AI888" s="54"/>
      <c r="AJ888" s="55"/>
      <c r="AK888" s="55"/>
      <c r="AL888" s="55"/>
      <c r="AM888" s="56">
        <f t="shared" ref="AM888" si="475">SUM(AI888:AL888)</f>
        <v>0</v>
      </c>
      <c r="AN888" s="54"/>
      <c r="AO888" s="55"/>
      <c r="AP888" s="55"/>
      <c r="AQ888" s="55"/>
      <c r="AR888" s="56">
        <f t="shared" ref="AR888" si="476">SUM(AN888:AQ888)</f>
        <v>0</v>
      </c>
      <c r="AS888" s="54"/>
      <c r="AT888" s="153"/>
      <c r="AU888" s="153"/>
      <c r="AV888" s="168"/>
      <c r="AW888" s="56">
        <f t="shared" ref="AW888" si="477">SUM(AS888:AV888)</f>
        <v>0</v>
      </c>
      <c r="AX888" s="55"/>
      <c r="AY888" s="55"/>
      <c r="AZ888" s="55"/>
      <c r="BA888" s="166"/>
      <c r="BB888" s="49">
        <f>SUM(AX888:BA888)</f>
        <v>0</v>
      </c>
      <c r="BC888" s="49">
        <f t="shared" ref="BC888:BC893" si="478">AH888+AM888+AR888+AW888+BB888</f>
        <v>0</v>
      </c>
      <c r="BD888" s="300"/>
      <c r="BE888" s="268" t="s">
        <v>28</v>
      </c>
      <c r="BF888" s="55"/>
      <c r="BG888" s="153"/>
      <c r="BH888" s="153"/>
      <c r="BI888" s="168"/>
      <c r="BJ888" s="56">
        <f t="shared" si="471"/>
        <v>0</v>
      </c>
      <c r="BL888" s="268" t="s">
        <v>28</v>
      </c>
      <c r="BM888" s="54"/>
      <c r="BN888" s="55"/>
      <c r="BO888" s="55"/>
      <c r="BP888" s="55"/>
      <c r="BQ888" s="56">
        <f t="shared" si="472"/>
        <v>0</v>
      </c>
    </row>
    <row r="889" spans="1:69" x14ac:dyDescent="0.15">
      <c r="A889" s="53" t="s">
        <v>109</v>
      </c>
      <c r="B889" s="55"/>
      <c r="C889" s="55"/>
      <c r="D889" s="55"/>
      <c r="E889" s="166"/>
      <c r="F889" s="49">
        <f t="shared" si="458"/>
        <v>0</v>
      </c>
      <c r="G889" s="55"/>
      <c r="H889" s="55"/>
      <c r="I889" s="55"/>
      <c r="J889" s="166"/>
      <c r="K889" s="49">
        <f t="shared" si="459"/>
        <v>0</v>
      </c>
      <c r="L889" s="55"/>
      <c r="M889" s="55"/>
      <c r="N889" s="55"/>
      <c r="O889" s="166"/>
      <c r="P889" s="49">
        <f t="shared" si="460"/>
        <v>0</v>
      </c>
      <c r="Q889" s="54"/>
      <c r="R889" s="55"/>
      <c r="S889" s="55"/>
      <c r="T889" s="166"/>
      <c r="U889" s="49">
        <f t="shared" si="461"/>
        <v>0</v>
      </c>
      <c r="V889" s="55"/>
      <c r="W889" s="55">
        <v>1</v>
      </c>
      <c r="X889" s="55">
        <v>1</v>
      </c>
      <c r="Y889" s="166"/>
      <c r="Z889" s="49">
        <f t="shared" si="465"/>
        <v>2</v>
      </c>
      <c r="AA889" s="49">
        <f t="shared" si="473"/>
        <v>2</v>
      </c>
      <c r="AB889" s="298">
        <v>45086</v>
      </c>
      <c r="AC889" s="268" t="s">
        <v>28</v>
      </c>
      <c r="AD889" s="55"/>
      <c r="AE889" s="153"/>
      <c r="AF889" s="153"/>
      <c r="AG889" s="168"/>
      <c r="AH889" s="56">
        <f t="shared" ref="AH889:AH916" si="479">SUM(AD889:AG889)</f>
        <v>0</v>
      </c>
      <c r="AI889" s="54"/>
      <c r="AJ889" s="55"/>
      <c r="AK889" s="55"/>
      <c r="AL889" s="55"/>
      <c r="AM889" s="56">
        <f t="shared" ref="AM889:AM922" si="480">SUM(AI889:AL889)</f>
        <v>0</v>
      </c>
      <c r="AN889" s="54"/>
      <c r="AO889" s="55"/>
      <c r="AP889" s="55"/>
      <c r="AQ889" s="55"/>
      <c r="AR889" s="56">
        <f t="shared" ref="AR889" si="481">SUM(AN889:AQ889)</f>
        <v>0</v>
      </c>
      <c r="AS889" s="54"/>
      <c r="AT889" s="153"/>
      <c r="AU889" s="153"/>
      <c r="AV889" s="168"/>
      <c r="AW889" s="56">
        <f t="shared" ref="AW889" si="482">SUM(AS889:AV889)</f>
        <v>0</v>
      </c>
      <c r="AX889" s="55"/>
      <c r="AY889" s="55"/>
      <c r="AZ889" s="55"/>
      <c r="BA889" s="166"/>
      <c r="BB889" s="49">
        <f>SUM(AX889:BA889)</f>
        <v>0</v>
      </c>
      <c r="BC889" s="49">
        <f t="shared" si="478"/>
        <v>0</v>
      </c>
      <c r="BD889" s="300"/>
      <c r="BE889" s="268" t="s">
        <v>28</v>
      </c>
      <c r="BF889" s="55"/>
      <c r="BG889" s="153"/>
      <c r="BH889" s="153"/>
      <c r="BI889" s="168"/>
      <c r="BJ889" s="56">
        <f t="shared" si="471"/>
        <v>0</v>
      </c>
      <c r="BL889" s="268" t="s">
        <v>28</v>
      </c>
      <c r="BM889" s="55"/>
      <c r="BN889" s="153"/>
      <c r="BO889" s="153"/>
      <c r="BP889" s="168"/>
      <c r="BQ889" s="56">
        <f t="shared" si="472"/>
        <v>0</v>
      </c>
    </row>
    <row r="890" spans="1:69" x14ac:dyDescent="0.15">
      <c r="A890" s="53" t="s">
        <v>111</v>
      </c>
      <c r="B890" s="63"/>
      <c r="C890" s="63"/>
      <c r="D890" s="63"/>
      <c r="E890" s="167"/>
      <c r="F890" s="64">
        <f t="shared" si="458"/>
        <v>0</v>
      </c>
      <c r="G890" s="63"/>
      <c r="H890" s="63"/>
      <c r="I890" s="63"/>
      <c r="J890" s="167"/>
      <c r="K890" s="64">
        <f t="shared" si="459"/>
        <v>0</v>
      </c>
      <c r="L890" s="63"/>
      <c r="M890" s="63"/>
      <c r="N890" s="63"/>
      <c r="O890" s="167"/>
      <c r="P890" s="64">
        <f t="shared" si="460"/>
        <v>0</v>
      </c>
      <c r="Q890" s="62">
        <v>3</v>
      </c>
      <c r="R890" s="63"/>
      <c r="S890" s="63">
        <v>3</v>
      </c>
      <c r="T890" s="167"/>
      <c r="U890" s="64">
        <f t="shared" si="461"/>
        <v>6</v>
      </c>
      <c r="V890" s="63"/>
      <c r="W890" s="63"/>
      <c r="X890" s="63"/>
      <c r="Y890" s="167"/>
      <c r="Z890" s="64">
        <f t="shared" si="465"/>
        <v>0</v>
      </c>
      <c r="AA890" s="49">
        <f t="shared" si="473"/>
        <v>6</v>
      </c>
      <c r="AB890" s="298">
        <v>45089</v>
      </c>
      <c r="AC890" s="268" t="s">
        <v>28</v>
      </c>
      <c r="AD890" s="63"/>
      <c r="AE890" s="63"/>
      <c r="AF890" s="63"/>
      <c r="AG890" s="167"/>
      <c r="AH890" s="56">
        <f t="shared" si="479"/>
        <v>0</v>
      </c>
      <c r="AI890" s="63"/>
      <c r="AJ890" s="63"/>
      <c r="AK890" s="63"/>
      <c r="AL890" s="167"/>
      <c r="AM890" s="56">
        <f t="shared" si="480"/>
        <v>0</v>
      </c>
      <c r="AN890" s="63"/>
      <c r="AO890" s="63"/>
      <c r="AP890" s="63"/>
      <c r="AQ890" s="167"/>
      <c r="AR890" s="64">
        <v>0</v>
      </c>
      <c r="AS890" s="62"/>
      <c r="AT890" s="63"/>
      <c r="AU890" s="63"/>
      <c r="AV890" s="167"/>
      <c r="AW890" s="64">
        <v>0</v>
      </c>
      <c r="AX890" s="63"/>
      <c r="AY890" s="63"/>
      <c r="AZ890" s="63"/>
      <c r="BA890" s="167"/>
      <c r="BB890" s="49">
        <f>SUM(AX890:BA890)</f>
        <v>0</v>
      </c>
      <c r="BC890" s="49">
        <f t="shared" si="478"/>
        <v>0</v>
      </c>
      <c r="BE890" s="268" t="s">
        <v>28</v>
      </c>
      <c r="BF890" s="63"/>
      <c r="BG890" s="63"/>
      <c r="BH890" s="63"/>
      <c r="BI890" s="167"/>
      <c r="BJ890" s="64">
        <v>0</v>
      </c>
      <c r="BL890" s="268" t="s">
        <v>28</v>
      </c>
      <c r="BM890" s="63"/>
      <c r="BN890" s="63"/>
      <c r="BO890" s="63"/>
      <c r="BP890" s="167"/>
      <c r="BQ890" s="64">
        <v>0</v>
      </c>
    </row>
    <row r="891" spans="1:69" x14ac:dyDescent="0.15">
      <c r="A891" s="53" t="s">
        <v>111</v>
      </c>
      <c r="B891" s="55"/>
      <c r="C891" s="153"/>
      <c r="D891" s="153">
        <v>2</v>
      </c>
      <c r="E891" s="168">
        <v>2</v>
      </c>
      <c r="F891" s="56">
        <f t="shared" si="458"/>
        <v>4</v>
      </c>
      <c r="G891" s="55"/>
      <c r="H891" s="153"/>
      <c r="I891" s="153"/>
      <c r="J891" s="168">
        <v>2</v>
      </c>
      <c r="K891" s="56">
        <f t="shared" si="459"/>
        <v>2</v>
      </c>
      <c r="L891" s="55"/>
      <c r="M891" s="153"/>
      <c r="N891" s="153">
        <v>2</v>
      </c>
      <c r="O891" s="168"/>
      <c r="P891" s="56">
        <f t="shared" si="460"/>
        <v>2</v>
      </c>
      <c r="Q891" s="54"/>
      <c r="R891" s="153"/>
      <c r="S891" s="153"/>
      <c r="T891" s="168"/>
      <c r="U891" s="56">
        <f t="shared" si="461"/>
        <v>0</v>
      </c>
      <c r="V891" s="55"/>
      <c r="W891" s="153"/>
      <c r="X891" s="153"/>
      <c r="Y891" s="168"/>
      <c r="Z891" s="56">
        <f t="shared" si="465"/>
        <v>0</v>
      </c>
      <c r="AA891" s="49">
        <f t="shared" si="473"/>
        <v>8</v>
      </c>
      <c r="AB891" s="298">
        <v>45091</v>
      </c>
      <c r="AC891" s="268" t="s">
        <v>28</v>
      </c>
      <c r="AD891" s="55"/>
      <c r="AE891" s="153"/>
      <c r="AF891" s="153"/>
      <c r="AG891" s="168"/>
      <c r="AH891" s="56">
        <f t="shared" si="479"/>
        <v>0</v>
      </c>
      <c r="AI891" s="55"/>
      <c r="AJ891" s="153"/>
      <c r="AK891" s="153"/>
      <c r="AL891" s="168"/>
      <c r="AM891" s="56">
        <f t="shared" si="480"/>
        <v>0</v>
      </c>
      <c r="AN891" s="55"/>
      <c r="AO891" s="153"/>
      <c r="AP891" s="153"/>
      <c r="AQ891" s="168"/>
      <c r="AR891" s="56">
        <f t="shared" ref="AR891:AR922" si="483">SUM(AN891:AQ891)</f>
        <v>0</v>
      </c>
      <c r="AS891" s="54"/>
      <c r="AT891" s="153"/>
      <c r="AU891" s="153"/>
      <c r="AV891" s="168"/>
      <c r="AW891" s="56">
        <f t="shared" ref="AW891:AW922" si="484">SUM(AS891:AV891)</f>
        <v>0</v>
      </c>
      <c r="AX891" s="55"/>
      <c r="AY891" s="153"/>
      <c r="AZ891" s="153"/>
      <c r="BA891" s="168"/>
      <c r="BB891" s="49">
        <f t="shared" ref="BB891:BB921" si="485">SUM(AX891:BA891)</f>
        <v>0</v>
      </c>
      <c r="BC891" s="49">
        <f t="shared" si="478"/>
        <v>0</v>
      </c>
      <c r="BE891" s="268" t="s">
        <v>28</v>
      </c>
      <c r="BF891" s="55"/>
      <c r="BG891" s="153"/>
      <c r="BH891" s="153"/>
      <c r="BI891" s="168"/>
      <c r="BJ891" s="56">
        <f t="shared" ref="BJ891:BJ922" si="486">SUM(BF891:BI891)</f>
        <v>0</v>
      </c>
      <c r="BL891" s="268" t="s">
        <v>28</v>
      </c>
      <c r="BM891" s="55"/>
      <c r="BN891" s="153"/>
      <c r="BO891" s="153"/>
      <c r="BP891" s="168"/>
      <c r="BQ891" s="56">
        <f t="shared" ref="BQ891:BQ922" si="487">SUM(BM891:BP891)</f>
        <v>0</v>
      </c>
    </row>
    <row r="892" spans="1:69" x14ac:dyDescent="0.15">
      <c r="A892" s="53" t="s">
        <v>111</v>
      </c>
      <c r="B892" s="55"/>
      <c r="C892" s="153"/>
      <c r="D892" s="153"/>
      <c r="E892" s="168"/>
      <c r="F892" s="56">
        <f t="shared" si="458"/>
        <v>0</v>
      </c>
      <c r="G892" s="55">
        <v>3</v>
      </c>
      <c r="H892" s="153">
        <v>3</v>
      </c>
      <c r="I892" s="153">
        <v>3</v>
      </c>
      <c r="J892" s="168">
        <v>3</v>
      </c>
      <c r="K892" s="56">
        <f t="shared" si="459"/>
        <v>12</v>
      </c>
      <c r="L892" s="55"/>
      <c r="M892" s="153"/>
      <c r="N892" s="153"/>
      <c r="O892" s="168"/>
      <c r="P892" s="56">
        <f t="shared" si="460"/>
        <v>0</v>
      </c>
      <c r="Q892" s="54"/>
      <c r="R892" s="153">
        <v>3</v>
      </c>
      <c r="S892" s="153"/>
      <c r="T892" s="168">
        <v>5</v>
      </c>
      <c r="U892" s="56">
        <f t="shared" si="461"/>
        <v>8</v>
      </c>
      <c r="V892" s="55"/>
      <c r="W892" s="153"/>
      <c r="X892" s="153"/>
      <c r="Y892" s="168"/>
      <c r="Z892" s="56">
        <f t="shared" si="465"/>
        <v>0</v>
      </c>
      <c r="AA892" s="49">
        <f t="shared" si="473"/>
        <v>20</v>
      </c>
      <c r="AB892" s="298">
        <v>45105</v>
      </c>
      <c r="AC892" s="268" t="s">
        <v>28</v>
      </c>
      <c r="AD892" s="55"/>
      <c r="AE892" s="153"/>
      <c r="AF892" s="153"/>
      <c r="AG892" s="168"/>
      <c r="AH892" s="56">
        <f t="shared" si="479"/>
        <v>0</v>
      </c>
      <c r="AI892" s="55"/>
      <c r="AJ892" s="153"/>
      <c r="AK892" s="153"/>
      <c r="AL892" s="168"/>
      <c r="AM892" s="56">
        <f t="shared" si="480"/>
        <v>0</v>
      </c>
      <c r="AN892" s="55"/>
      <c r="AO892" s="153"/>
      <c r="AP892" s="153"/>
      <c r="AQ892" s="168"/>
      <c r="AR892" s="56">
        <f t="shared" si="483"/>
        <v>0</v>
      </c>
      <c r="AS892" s="54"/>
      <c r="AT892" s="153"/>
      <c r="AU892" s="153"/>
      <c r="AV892" s="168"/>
      <c r="AW892" s="56">
        <f t="shared" si="484"/>
        <v>0</v>
      </c>
      <c r="AX892" s="55"/>
      <c r="AY892" s="153"/>
      <c r="AZ892" s="153"/>
      <c r="BA892" s="168"/>
      <c r="BB892" s="56">
        <f t="shared" si="485"/>
        <v>0</v>
      </c>
      <c r="BC892" s="49">
        <f t="shared" si="478"/>
        <v>0</v>
      </c>
      <c r="BD892" s="299"/>
      <c r="BE892" s="268" t="s">
        <v>28</v>
      </c>
      <c r="BF892" s="55"/>
      <c r="BG892" s="153"/>
      <c r="BH892" s="153"/>
      <c r="BI892" s="168"/>
      <c r="BJ892" s="56">
        <f t="shared" si="486"/>
        <v>0</v>
      </c>
      <c r="BL892" s="268" t="s">
        <v>28</v>
      </c>
      <c r="BM892" s="55"/>
      <c r="BN892" s="153"/>
      <c r="BO892" s="153"/>
      <c r="BP892" s="168"/>
      <c r="BQ892" s="56">
        <f t="shared" si="487"/>
        <v>0</v>
      </c>
    </row>
    <row r="893" spans="1:69" ht="14.25" thickBot="1" x14ac:dyDescent="0.2">
      <c r="A893" s="53" t="s">
        <v>109</v>
      </c>
      <c r="B893" s="63"/>
      <c r="C893" s="164"/>
      <c r="D893" s="164"/>
      <c r="E893" s="169"/>
      <c r="F893" s="170">
        <f t="shared" si="458"/>
        <v>0</v>
      </c>
      <c r="G893" s="63"/>
      <c r="H893" s="164"/>
      <c r="I893" s="164"/>
      <c r="J893" s="169"/>
      <c r="K893" s="170">
        <f t="shared" si="459"/>
        <v>0</v>
      </c>
      <c r="L893" s="63"/>
      <c r="M893" s="164"/>
      <c r="N893" s="164"/>
      <c r="O893" s="169"/>
      <c r="P893" s="170">
        <f t="shared" si="460"/>
        <v>0</v>
      </c>
      <c r="Q893" s="62"/>
      <c r="R893" s="164">
        <v>1</v>
      </c>
      <c r="S893" s="164">
        <v>1</v>
      </c>
      <c r="T893" s="169">
        <v>1</v>
      </c>
      <c r="U893" s="170">
        <f t="shared" si="461"/>
        <v>3</v>
      </c>
      <c r="V893" s="63"/>
      <c r="W893" s="164"/>
      <c r="X893" s="164">
        <v>1</v>
      </c>
      <c r="Y893" s="169"/>
      <c r="Z893" s="170">
        <f t="shared" si="465"/>
        <v>1</v>
      </c>
      <c r="AA893" s="49">
        <f t="shared" si="473"/>
        <v>4</v>
      </c>
      <c r="AB893" s="298">
        <v>45104</v>
      </c>
      <c r="AC893" s="268" t="s">
        <v>28</v>
      </c>
      <c r="AD893" s="63"/>
      <c r="AE893" s="164"/>
      <c r="AF893" s="164"/>
      <c r="AG893" s="169"/>
      <c r="AH893" s="170">
        <f t="shared" si="479"/>
        <v>0</v>
      </c>
      <c r="AI893" s="63"/>
      <c r="AJ893" s="164"/>
      <c r="AK893" s="164"/>
      <c r="AL893" s="169"/>
      <c r="AM893" s="170">
        <f t="shared" si="480"/>
        <v>0</v>
      </c>
      <c r="AN893" s="63"/>
      <c r="AO893" s="164"/>
      <c r="AP893" s="164"/>
      <c r="AQ893" s="169"/>
      <c r="AR893" s="170">
        <f t="shared" si="483"/>
        <v>0</v>
      </c>
      <c r="AS893" s="62"/>
      <c r="AT893" s="164"/>
      <c r="AU893" s="164"/>
      <c r="AV893" s="169"/>
      <c r="AW893" s="170">
        <f t="shared" si="484"/>
        <v>0</v>
      </c>
      <c r="AX893" s="63"/>
      <c r="AY893" s="164"/>
      <c r="AZ893" s="164"/>
      <c r="BA893" s="169"/>
      <c r="BB893" s="170">
        <f t="shared" si="485"/>
        <v>0</v>
      </c>
      <c r="BC893" s="49">
        <f t="shared" si="478"/>
        <v>0</v>
      </c>
      <c r="BD893" s="300"/>
      <c r="BE893" s="274" t="s">
        <v>28</v>
      </c>
      <c r="BF893" s="63"/>
      <c r="BG893" s="164"/>
      <c r="BH893" s="164"/>
      <c r="BI893" s="169"/>
      <c r="BJ893" s="170">
        <f t="shared" si="486"/>
        <v>0</v>
      </c>
      <c r="BL893" s="274" t="s">
        <v>28</v>
      </c>
      <c r="BM893" s="63"/>
      <c r="BN893" s="164"/>
      <c r="BO893" s="164"/>
      <c r="BP893" s="169"/>
      <c r="BQ893" s="170">
        <f t="shared" si="487"/>
        <v>0</v>
      </c>
    </row>
    <row r="894" spans="1:69" ht="15" thickBot="1" x14ac:dyDescent="0.2">
      <c r="A894" s="181" t="s">
        <v>14</v>
      </c>
      <c r="B894" s="182">
        <f>SUM(B886:B893)</f>
        <v>5</v>
      </c>
      <c r="C894" s="183">
        <f>SUM(C886:C893)</f>
        <v>5</v>
      </c>
      <c r="D894" s="183">
        <f>SUM(D886:D893)</f>
        <v>7</v>
      </c>
      <c r="E894" s="184">
        <f>SUM(E886:E893)</f>
        <v>6</v>
      </c>
      <c r="F894" s="77">
        <f t="shared" si="458"/>
        <v>23</v>
      </c>
      <c r="G894" s="182">
        <f>SUM(G886:G893)</f>
        <v>10</v>
      </c>
      <c r="H894" s="183">
        <f>SUM(H886:H893)</f>
        <v>11</v>
      </c>
      <c r="I894" s="183">
        <f>SUM(I886:I893)</f>
        <v>9</v>
      </c>
      <c r="J894" s="184">
        <f>SUM(J886:J893)</f>
        <v>10</v>
      </c>
      <c r="K894" s="77">
        <f t="shared" si="459"/>
        <v>40</v>
      </c>
      <c r="L894" s="182">
        <f>SUM(L886:L893)</f>
        <v>5</v>
      </c>
      <c r="M894" s="183">
        <f>SUM(M886:M893)</f>
        <v>5</v>
      </c>
      <c r="N894" s="183">
        <f>SUM(N886:N893)</f>
        <v>6</v>
      </c>
      <c r="O894" s="184">
        <f>SUM(O886:O893)</f>
        <v>6</v>
      </c>
      <c r="P894" s="77">
        <f t="shared" si="460"/>
        <v>22</v>
      </c>
      <c r="Q894" s="182">
        <f>SUM(Q886:Q893)</f>
        <v>7</v>
      </c>
      <c r="R894" s="183">
        <f>SUM(R886:R893)</f>
        <v>10</v>
      </c>
      <c r="S894" s="183">
        <f>SUM(S886:S893)</f>
        <v>9</v>
      </c>
      <c r="T894" s="184">
        <f>SUM(T886:T893)</f>
        <v>13</v>
      </c>
      <c r="U894" s="77">
        <f t="shared" si="461"/>
        <v>39</v>
      </c>
      <c r="V894" s="293">
        <f>SUM(V886:V893)</f>
        <v>5</v>
      </c>
      <c r="W894" s="183">
        <f>SUM(W886:W893)</f>
        <v>7</v>
      </c>
      <c r="X894" s="183">
        <f>SUM(X886:X893)</f>
        <v>8</v>
      </c>
      <c r="Y894" s="184">
        <f>SUM(Y886:Y893)</f>
        <v>6</v>
      </c>
      <c r="Z894" s="77">
        <f t="shared" si="465"/>
        <v>26</v>
      </c>
      <c r="AA894" s="77">
        <f>F894+K894+P894+U894+Z894</f>
        <v>150</v>
      </c>
      <c r="AC894" s="275" t="s">
        <v>14</v>
      </c>
      <c r="AD894" s="182">
        <f>SUM(AD886:AD893)</f>
        <v>42</v>
      </c>
      <c r="AE894" s="183">
        <f>SUM(AE886:AE893)</f>
        <v>57</v>
      </c>
      <c r="AF894" s="183">
        <f>SUM(AF886:AF893)</f>
        <v>112</v>
      </c>
      <c r="AG894" s="184">
        <f>SUM(AG886:AG893)</f>
        <v>48</v>
      </c>
      <c r="AH894" s="77">
        <f t="shared" si="479"/>
        <v>259</v>
      </c>
      <c r="AI894" s="182">
        <f>SUM(AI886:AI893)</f>
        <v>143</v>
      </c>
      <c r="AJ894" s="183">
        <f>SUM(AJ886:AJ893)</f>
        <v>217</v>
      </c>
      <c r="AK894" s="183">
        <f>SUM(AK886:AK893)</f>
        <v>88</v>
      </c>
      <c r="AL894" s="184">
        <f>SUM(AL886:AL893)</f>
        <v>91</v>
      </c>
      <c r="AM894" s="77">
        <f t="shared" si="480"/>
        <v>539</v>
      </c>
      <c r="AN894" s="182">
        <f>SUM(AN886:AN893)</f>
        <v>52</v>
      </c>
      <c r="AO894" s="183">
        <f>SUM(AO886:AO893)</f>
        <v>74</v>
      </c>
      <c r="AP894" s="183">
        <f>SUM(AP886:AP893)</f>
        <v>52</v>
      </c>
      <c r="AQ894" s="184">
        <f>SUM(AQ886:AQ893)</f>
        <v>32</v>
      </c>
      <c r="AR894" s="77">
        <f t="shared" si="483"/>
        <v>210</v>
      </c>
      <c r="AS894" s="182">
        <f>SUM(AS886:AS893)</f>
        <v>146</v>
      </c>
      <c r="AT894" s="183">
        <f>SUM(AT886:AT893)</f>
        <v>237</v>
      </c>
      <c r="AU894" s="183">
        <f>SUM(AU886:AU893)</f>
        <v>101</v>
      </c>
      <c r="AV894" s="184">
        <f>SUM(AV886:AV893)</f>
        <v>104</v>
      </c>
      <c r="AW894" s="77">
        <f t="shared" si="484"/>
        <v>588</v>
      </c>
      <c r="AX894" s="293">
        <f>SUM(AX886:AX893)</f>
        <v>125</v>
      </c>
      <c r="AY894" s="183">
        <f>SUM(AY886:AY893)</f>
        <v>115</v>
      </c>
      <c r="AZ894" s="183">
        <f>SUM(AZ886:AZ893)</f>
        <v>61</v>
      </c>
      <c r="BA894" s="184">
        <f>SUM(BA886:BA893)</f>
        <v>65</v>
      </c>
      <c r="BB894" s="77">
        <f t="shared" si="485"/>
        <v>366</v>
      </c>
      <c r="BC894" s="77">
        <f>AH894+AM894+AR894+AW894+BB894</f>
        <v>1962</v>
      </c>
      <c r="BE894" s="275" t="s">
        <v>14</v>
      </c>
      <c r="BF894" s="182">
        <f>SUM(BF886:BF893)</f>
        <v>0</v>
      </c>
      <c r="BG894" s="183">
        <f>SUM(BG886:BG893)</f>
        <v>0</v>
      </c>
      <c r="BH894" s="183">
        <f>SUM(BH886:BH893)</f>
        <v>8</v>
      </c>
      <c r="BI894" s="184">
        <f>SUM(BI886:BI893)</f>
        <v>3</v>
      </c>
      <c r="BJ894" s="77">
        <f t="shared" si="486"/>
        <v>11</v>
      </c>
      <c r="BL894" s="275" t="s">
        <v>14</v>
      </c>
      <c r="BM894" s="182">
        <f>SUM(BM886:BM893)</f>
        <v>0</v>
      </c>
      <c r="BN894" s="183">
        <f>SUM(BN886:BN893)</f>
        <v>0</v>
      </c>
      <c r="BO894" s="183">
        <f>SUM(BO886:BO893)</f>
        <v>21</v>
      </c>
      <c r="BP894" s="184">
        <f>SUM(BP886:BP893)</f>
        <v>0</v>
      </c>
      <c r="BQ894" s="77">
        <f t="shared" si="487"/>
        <v>21</v>
      </c>
    </row>
    <row r="895" spans="1:69" x14ac:dyDescent="0.15">
      <c r="A895" s="53" t="s">
        <v>98</v>
      </c>
      <c r="B895" s="54"/>
      <c r="C895" s="55"/>
      <c r="D895" s="55"/>
      <c r="E895" s="55"/>
      <c r="F895" s="56">
        <f t="shared" si="458"/>
        <v>0</v>
      </c>
      <c r="G895" s="54"/>
      <c r="H895" s="55"/>
      <c r="I895" s="55"/>
      <c r="J895" s="55"/>
      <c r="K895" s="56">
        <f t="shared" si="459"/>
        <v>0</v>
      </c>
      <c r="L895" s="54"/>
      <c r="M895" s="55"/>
      <c r="N895" s="55"/>
      <c r="O895" s="55"/>
      <c r="P895" s="56">
        <f t="shared" si="460"/>
        <v>0</v>
      </c>
      <c r="Q895" s="54"/>
      <c r="R895" s="55"/>
      <c r="S895" s="55">
        <v>1</v>
      </c>
      <c r="T895" s="55"/>
      <c r="U895" s="56">
        <f t="shared" si="461"/>
        <v>1</v>
      </c>
      <c r="V895" s="55"/>
      <c r="W895" s="55"/>
      <c r="X895" s="55"/>
      <c r="Y895" s="55"/>
      <c r="Z895" s="56">
        <f t="shared" si="465"/>
        <v>0</v>
      </c>
      <c r="AA895" s="56">
        <f t="shared" ref="AA895:AA917" si="488">F895+K895+P895+U895+Z895</f>
        <v>1</v>
      </c>
      <c r="AB895" s="299">
        <v>45077</v>
      </c>
      <c r="AC895" s="269" t="s">
        <v>504</v>
      </c>
      <c r="AD895" s="54"/>
      <c r="AE895" s="55"/>
      <c r="AF895" s="55">
        <v>1</v>
      </c>
      <c r="AG895" s="55"/>
      <c r="AH895" s="56">
        <f t="shared" si="479"/>
        <v>1</v>
      </c>
      <c r="AI895" s="54">
        <v>4</v>
      </c>
      <c r="AJ895" s="55"/>
      <c r="AK895" s="55"/>
      <c r="AL895" s="55"/>
      <c r="AM895" s="56">
        <f t="shared" ref="AM895:AM916" si="489">SUM(AI895:AL895)</f>
        <v>4</v>
      </c>
      <c r="AN895" s="54"/>
      <c r="AO895" s="55"/>
      <c r="AP895" s="55"/>
      <c r="AQ895" s="55"/>
      <c r="AR895" s="56">
        <f t="shared" ref="AR895:AR916" si="490">SUM(AN895:AQ895)</f>
        <v>0</v>
      </c>
      <c r="AS895" s="54"/>
      <c r="AT895" s="55"/>
      <c r="AU895" s="55"/>
      <c r="AV895" s="55"/>
      <c r="AW895" s="56">
        <f t="shared" ref="AW895:AW916" si="491">SUM(AS895:AV895)</f>
        <v>0</v>
      </c>
      <c r="AX895" s="55"/>
      <c r="AY895" s="55"/>
      <c r="AZ895" s="55"/>
      <c r="BA895" s="55"/>
      <c r="BB895" s="56">
        <f t="shared" ref="BB895:BB916" si="492">SUM(AX895:BA895)</f>
        <v>0</v>
      </c>
      <c r="BC895" s="56">
        <f t="shared" ref="BC895:BC916" si="493">AH895+AM895+AR895+AW895+BB895</f>
        <v>5</v>
      </c>
      <c r="BD895" s="298">
        <v>45086</v>
      </c>
      <c r="BE895" s="268" t="s">
        <v>516</v>
      </c>
      <c r="BF895" s="54"/>
      <c r="BG895" s="55"/>
      <c r="BH895" s="55"/>
      <c r="BI895" s="55">
        <v>1</v>
      </c>
      <c r="BJ895" s="56">
        <f t="shared" ref="BJ895" si="494">SUM(BF895:BI895)</f>
        <v>1</v>
      </c>
      <c r="BK895" s="304">
        <v>45112</v>
      </c>
      <c r="BL895" s="268"/>
      <c r="BM895" s="54"/>
      <c r="BN895" s="55"/>
      <c r="BO895" s="55"/>
      <c r="BP895" s="55"/>
      <c r="BQ895" s="56">
        <f t="shared" si="487"/>
        <v>0</v>
      </c>
    </row>
    <row r="896" spans="1:69" x14ac:dyDescent="0.15">
      <c r="A896" s="53" t="s">
        <v>98</v>
      </c>
      <c r="B896" s="54"/>
      <c r="C896" s="55"/>
      <c r="D896" s="55"/>
      <c r="E896" s="55"/>
      <c r="F896" s="56">
        <f t="shared" si="458"/>
        <v>0</v>
      </c>
      <c r="G896" s="54"/>
      <c r="H896" s="55"/>
      <c r="I896" s="55"/>
      <c r="J896" s="55">
        <v>1</v>
      </c>
      <c r="K896" s="56">
        <f t="shared" si="459"/>
        <v>1</v>
      </c>
      <c r="L896" s="54"/>
      <c r="M896" s="55">
        <v>1</v>
      </c>
      <c r="N896" s="55"/>
      <c r="O896" s="55"/>
      <c r="P896" s="56">
        <f t="shared" si="460"/>
        <v>1</v>
      </c>
      <c r="Q896" s="54">
        <v>1</v>
      </c>
      <c r="R896" s="55">
        <v>1</v>
      </c>
      <c r="S896" s="55"/>
      <c r="T896" s="55"/>
      <c r="U896" s="56">
        <f t="shared" si="461"/>
        <v>2</v>
      </c>
      <c r="V896" s="55"/>
      <c r="W896" s="55"/>
      <c r="X896" s="55"/>
      <c r="Y896" s="55"/>
      <c r="Z896" s="56">
        <f t="shared" si="465"/>
        <v>0</v>
      </c>
      <c r="AA896" s="56">
        <f t="shared" si="488"/>
        <v>4</v>
      </c>
      <c r="AB896" s="299">
        <v>45082</v>
      </c>
      <c r="AC896" s="269" t="s">
        <v>494</v>
      </c>
      <c r="AD896" s="54"/>
      <c r="AE896" s="55"/>
      <c r="AF896" s="55"/>
      <c r="AG896" s="55"/>
      <c r="AH896" s="56">
        <f t="shared" si="479"/>
        <v>0</v>
      </c>
      <c r="AI896" s="54">
        <v>1</v>
      </c>
      <c r="AJ896" s="55"/>
      <c r="AK896" s="55"/>
      <c r="AL896" s="55"/>
      <c r="AM896" s="56">
        <f t="shared" si="489"/>
        <v>1</v>
      </c>
      <c r="AN896" s="54"/>
      <c r="AO896" s="55"/>
      <c r="AP896" s="55"/>
      <c r="AQ896" s="55"/>
      <c r="AR896" s="56">
        <f t="shared" si="490"/>
        <v>0</v>
      </c>
      <c r="AS896" s="54"/>
      <c r="AT896" s="55">
        <v>2</v>
      </c>
      <c r="AU896" s="55"/>
      <c r="AV896" s="55"/>
      <c r="AW896" s="56">
        <f t="shared" si="491"/>
        <v>2</v>
      </c>
      <c r="AX896" s="55"/>
      <c r="AY896" s="55"/>
      <c r="AZ896" s="55"/>
      <c r="BA896" s="55"/>
      <c r="BB896" s="56">
        <f t="shared" si="492"/>
        <v>0</v>
      </c>
      <c r="BC896" s="56">
        <f t="shared" si="493"/>
        <v>3</v>
      </c>
      <c r="BD896" s="298">
        <v>45086</v>
      </c>
      <c r="BE896" s="268"/>
      <c r="BF896" s="54"/>
      <c r="BG896" s="55"/>
      <c r="BH896" s="55"/>
      <c r="BI896" s="55"/>
      <c r="BJ896" s="56">
        <f t="shared" si="486"/>
        <v>0</v>
      </c>
      <c r="BK896" s="304"/>
      <c r="BL896" s="268"/>
      <c r="BM896" s="54"/>
      <c r="BN896" s="55"/>
      <c r="BO896" s="55"/>
      <c r="BP896" s="55"/>
      <c r="BQ896" s="56">
        <f t="shared" si="487"/>
        <v>0</v>
      </c>
    </row>
    <row r="897" spans="1:69" x14ac:dyDescent="0.15">
      <c r="A897" s="53" t="s">
        <v>505</v>
      </c>
      <c r="B897" s="54"/>
      <c r="C897" s="55"/>
      <c r="D897" s="55"/>
      <c r="E897" s="55"/>
      <c r="F897" s="56">
        <f t="shared" si="458"/>
        <v>0</v>
      </c>
      <c r="G897" s="54"/>
      <c r="H897" s="55"/>
      <c r="I897" s="55"/>
      <c r="J897" s="55"/>
      <c r="K897" s="56">
        <f t="shared" si="459"/>
        <v>0</v>
      </c>
      <c r="L897" s="54"/>
      <c r="M897" s="55"/>
      <c r="N897" s="55"/>
      <c r="O897" s="55"/>
      <c r="P897" s="56">
        <f t="shared" si="460"/>
        <v>0</v>
      </c>
      <c r="Q897" s="54"/>
      <c r="R897" s="55"/>
      <c r="S897" s="55">
        <v>1</v>
      </c>
      <c r="T897" s="55"/>
      <c r="U897" s="56">
        <f t="shared" si="461"/>
        <v>1</v>
      </c>
      <c r="V897" s="55"/>
      <c r="W897" s="55"/>
      <c r="X897" s="55"/>
      <c r="Y897" s="55"/>
      <c r="Z897" s="56">
        <f t="shared" si="465"/>
        <v>0</v>
      </c>
      <c r="AA897" s="56">
        <f t="shared" si="488"/>
        <v>1</v>
      </c>
      <c r="AB897" s="298">
        <v>45084</v>
      </c>
      <c r="AC897" s="269" t="s">
        <v>99</v>
      </c>
      <c r="AD897" s="54"/>
      <c r="AE897" s="55"/>
      <c r="AF897" s="55"/>
      <c r="AG897" s="55"/>
      <c r="AH897" s="56">
        <f t="shared" ref="AH897" si="495">SUM(AD897:AG897)</f>
        <v>0</v>
      </c>
      <c r="AI897" s="54"/>
      <c r="AJ897" s="55"/>
      <c r="AK897" s="55"/>
      <c r="AL897" s="55"/>
      <c r="AM897" s="56">
        <f t="shared" ref="AM897" si="496">SUM(AI897:AL897)</f>
        <v>0</v>
      </c>
      <c r="AN897" s="54"/>
      <c r="AO897" s="55"/>
      <c r="AP897" s="55"/>
      <c r="AQ897" s="55"/>
      <c r="AR897" s="56">
        <f t="shared" ref="AR897" si="497">SUM(AN897:AQ897)</f>
        <v>0</v>
      </c>
      <c r="AS897" s="54">
        <v>3</v>
      </c>
      <c r="AT897" s="55"/>
      <c r="AU897" s="55">
        <v>3</v>
      </c>
      <c r="AV897" s="55"/>
      <c r="AW897" s="56">
        <f t="shared" ref="AW897" si="498">SUM(AS897:AV897)</f>
        <v>6</v>
      </c>
      <c r="AX897" s="55"/>
      <c r="AY897" s="55"/>
      <c r="AZ897" s="55"/>
      <c r="BA897" s="55"/>
      <c r="BB897" s="56">
        <f t="shared" ref="BB897" si="499">SUM(AX897:BA897)</f>
        <v>0</v>
      </c>
      <c r="BC897" s="56">
        <f t="shared" si="493"/>
        <v>6</v>
      </c>
      <c r="BD897" s="298">
        <v>45089</v>
      </c>
      <c r="BE897" s="268"/>
      <c r="BF897" s="54"/>
      <c r="BG897" s="55"/>
      <c r="BH897" s="55"/>
      <c r="BI897" s="55"/>
      <c r="BJ897" s="56">
        <f t="shared" si="486"/>
        <v>0</v>
      </c>
      <c r="BK897" s="306"/>
      <c r="BL897" s="268"/>
      <c r="BM897" s="54"/>
      <c r="BN897" s="55"/>
      <c r="BO897" s="55"/>
      <c r="BP897" s="55"/>
      <c r="BQ897" s="56">
        <f t="shared" si="487"/>
        <v>0</v>
      </c>
    </row>
    <row r="898" spans="1:69" x14ac:dyDescent="0.15">
      <c r="A898" s="53" t="s">
        <v>98</v>
      </c>
      <c r="B898" s="54"/>
      <c r="C898" s="55"/>
      <c r="D898" s="55"/>
      <c r="E898" s="55"/>
      <c r="F898" s="56">
        <f t="shared" si="458"/>
        <v>0</v>
      </c>
      <c r="G898" s="54"/>
      <c r="H898" s="55">
        <v>1</v>
      </c>
      <c r="I898" s="55"/>
      <c r="J898" s="55"/>
      <c r="K898" s="56">
        <f t="shared" si="459"/>
        <v>1</v>
      </c>
      <c r="L898" s="54"/>
      <c r="M898" s="55"/>
      <c r="N898" s="55"/>
      <c r="O898" s="55"/>
      <c r="P898" s="56">
        <f t="shared" si="460"/>
        <v>0</v>
      </c>
      <c r="Q898" s="54"/>
      <c r="R898" s="55"/>
      <c r="S898" s="55"/>
      <c r="T898" s="55"/>
      <c r="U898" s="56">
        <f t="shared" si="461"/>
        <v>0</v>
      </c>
      <c r="V898" s="55"/>
      <c r="W898" s="55"/>
      <c r="X898" s="55"/>
      <c r="Y898" s="55"/>
      <c r="Z898" s="56">
        <f t="shared" si="465"/>
        <v>0</v>
      </c>
      <c r="AA898" s="56">
        <f t="shared" si="488"/>
        <v>1</v>
      </c>
      <c r="AB898" s="299">
        <v>45083</v>
      </c>
      <c r="AC898" s="276" t="s">
        <v>506</v>
      </c>
      <c r="AD898" s="54"/>
      <c r="AE898" s="55">
        <v>6</v>
      </c>
      <c r="AF898" s="55"/>
      <c r="AG898" s="55"/>
      <c r="AH898" s="56">
        <f t="shared" si="479"/>
        <v>6</v>
      </c>
      <c r="AI898" s="54">
        <v>1</v>
      </c>
      <c r="AJ898" s="55"/>
      <c r="AK898" s="55"/>
      <c r="AL898" s="55">
        <v>4</v>
      </c>
      <c r="AM898" s="56">
        <f t="shared" si="489"/>
        <v>5</v>
      </c>
      <c r="AN898" s="54"/>
      <c r="AO898" s="55"/>
      <c r="AP898" s="55"/>
      <c r="AQ898" s="55"/>
      <c r="AR898" s="56">
        <f t="shared" si="490"/>
        <v>0</v>
      </c>
      <c r="AS898" s="54"/>
      <c r="AT898" s="55"/>
      <c r="AU898" s="55"/>
      <c r="AV898" s="55"/>
      <c r="AW898" s="56">
        <f t="shared" si="491"/>
        <v>0</v>
      </c>
      <c r="AX898" s="55"/>
      <c r="AY898" s="55"/>
      <c r="AZ898" s="55"/>
      <c r="BA898" s="55"/>
      <c r="BB898" s="56">
        <f t="shared" si="492"/>
        <v>0</v>
      </c>
      <c r="BC898" s="56">
        <f t="shared" si="493"/>
        <v>11</v>
      </c>
      <c r="BD898" s="298">
        <v>45094</v>
      </c>
      <c r="BE898" s="268"/>
      <c r="BF898" s="54"/>
      <c r="BG898" s="55"/>
      <c r="BH898" s="55"/>
      <c r="BI898" s="55"/>
      <c r="BJ898" s="56">
        <f t="shared" si="486"/>
        <v>0</v>
      </c>
      <c r="BK898" s="306"/>
      <c r="BL898" s="268"/>
      <c r="BM898" s="54"/>
      <c r="BN898" s="55"/>
      <c r="BO898" s="55"/>
      <c r="BP898" s="55"/>
      <c r="BQ898" s="56">
        <f t="shared" si="487"/>
        <v>0</v>
      </c>
    </row>
    <row r="899" spans="1:69" x14ac:dyDescent="0.15">
      <c r="A899" s="53" t="s">
        <v>98</v>
      </c>
      <c r="B899" s="54"/>
      <c r="C899" s="55"/>
      <c r="D899" s="55"/>
      <c r="E899" s="55"/>
      <c r="F899" s="56">
        <f t="shared" si="458"/>
        <v>0</v>
      </c>
      <c r="G899" s="54">
        <v>1</v>
      </c>
      <c r="H899" s="55">
        <v>1</v>
      </c>
      <c r="I899" s="55"/>
      <c r="J899" s="55"/>
      <c r="K899" s="56">
        <f t="shared" si="459"/>
        <v>2</v>
      </c>
      <c r="L899" s="54"/>
      <c r="M899" s="55"/>
      <c r="N899" s="55"/>
      <c r="O899" s="55"/>
      <c r="P899" s="56">
        <f t="shared" si="460"/>
        <v>0</v>
      </c>
      <c r="Q899" s="54"/>
      <c r="R899" s="55"/>
      <c r="S899" s="55"/>
      <c r="T899" s="55"/>
      <c r="U899" s="56">
        <f t="shared" si="461"/>
        <v>0</v>
      </c>
      <c r="V899" s="55"/>
      <c r="W899" s="55"/>
      <c r="X899" s="55"/>
      <c r="Y899" s="55"/>
      <c r="Z899" s="56">
        <f t="shared" si="465"/>
        <v>0</v>
      </c>
      <c r="AA899" s="56">
        <f t="shared" si="488"/>
        <v>2</v>
      </c>
      <c r="AB899" s="299">
        <v>45084</v>
      </c>
      <c r="AC899" s="269" t="s">
        <v>507</v>
      </c>
      <c r="AD899" s="54"/>
      <c r="AE899" s="55"/>
      <c r="AF899" s="55"/>
      <c r="AG899" s="55"/>
      <c r="AH899" s="56">
        <f t="shared" si="479"/>
        <v>0</v>
      </c>
      <c r="AI899" s="54">
        <v>2</v>
      </c>
      <c r="AJ899" s="55">
        <v>1</v>
      </c>
      <c r="AK899" s="55">
        <v>3</v>
      </c>
      <c r="AL899" s="55"/>
      <c r="AM899" s="56">
        <f t="shared" si="489"/>
        <v>6</v>
      </c>
      <c r="AN899" s="54">
        <v>2</v>
      </c>
      <c r="AO899" s="55"/>
      <c r="AP899" s="55"/>
      <c r="AQ899" s="55"/>
      <c r="AR899" s="56">
        <f t="shared" si="490"/>
        <v>2</v>
      </c>
      <c r="AS899" s="54"/>
      <c r="AT899" s="55"/>
      <c r="AU899" s="55"/>
      <c r="AV899" s="55"/>
      <c r="AW899" s="56">
        <f t="shared" si="491"/>
        <v>0</v>
      </c>
      <c r="AX899" s="55"/>
      <c r="AY899" s="55"/>
      <c r="AZ899" s="55"/>
      <c r="BA899" s="55"/>
      <c r="BB899" s="56">
        <f t="shared" si="492"/>
        <v>0</v>
      </c>
      <c r="BC899" s="56">
        <f t="shared" si="493"/>
        <v>8</v>
      </c>
      <c r="BD899" s="298">
        <v>45093</v>
      </c>
      <c r="BE899" s="268"/>
      <c r="BF899" s="51"/>
      <c r="BG899" s="52"/>
      <c r="BH899" s="52"/>
      <c r="BI899" s="52"/>
      <c r="BJ899" s="49">
        <f t="shared" si="486"/>
        <v>0</v>
      </c>
      <c r="BK899" s="304"/>
      <c r="BL899" s="268"/>
      <c r="BM899" s="54"/>
      <c r="BN899" s="55"/>
      <c r="BO899" s="55"/>
      <c r="BP899" s="55"/>
      <c r="BQ899" s="56">
        <f t="shared" si="487"/>
        <v>0</v>
      </c>
    </row>
    <row r="900" spans="1:69" x14ac:dyDescent="0.15">
      <c r="A900" s="53" t="s">
        <v>98</v>
      </c>
      <c r="B900" s="54"/>
      <c r="C900" s="55"/>
      <c r="D900" s="55"/>
      <c r="E900" s="55"/>
      <c r="F900" s="56">
        <f t="shared" si="458"/>
        <v>0</v>
      </c>
      <c r="G900" s="54">
        <v>1</v>
      </c>
      <c r="H900" s="55"/>
      <c r="I900" s="55"/>
      <c r="J900" s="55"/>
      <c r="K900" s="56">
        <f t="shared" si="459"/>
        <v>1</v>
      </c>
      <c r="L900" s="54"/>
      <c r="M900" s="55"/>
      <c r="N900" s="55"/>
      <c r="O900" s="55"/>
      <c r="P900" s="56">
        <f t="shared" si="460"/>
        <v>0</v>
      </c>
      <c r="Q900" s="54"/>
      <c r="R900" s="55"/>
      <c r="S900" s="55"/>
      <c r="T900" s="55"/>
      <c r="U900" s="56">
        <f t="shared" si="461"/>
        <v>0</v>
      </c>
      <c r="V900" s="55"/>
      <c r="W900" s="55"/>
      <c r="X900" s="55"/>
      <c r="Y900" s="55"/>
      <c r="Z900" s="56">
        <f t="shared" si="465"/>
        <v>0</v>
      </c>
      <c r="AA900" s="56">
        <f t="shared" si="488"/>
        <v>1</v>
      </c>
      <c r="AB900" s="299">
        <v>45086</v>
      </c>
      <c r="AC900" s="276" t="s">
        <v>508</v>
      </c>
      <c r="AD900" s="54">
        <v>2</v>
      </c>
      <c r="AE900" s="55"/>
      <c r="AF900" s="55"/>
      <c r="AG900" s="55"/>
      <c r="AH900" s="56">
        <f t="shared" si="479"/>
        <v>2</v>
      </c>
      <c r="AI900" s="54"/>
      <c r="AJ900" s="55"/>
      <c r="AK900" s="55"/>
      <c r="AL900" s="55"/>
      <c r="AM900" s="56">
        <f t="shared" si="489"/>
        <v>0</v>
      </c>
      <c r="AN900" s="54"/>
      <c r="AO900" s="55"/>
      <c r="AP900" s="55"/>
      <c r="AQ900" s="55"/>
      <c r="AR900" s="56">
        <f t="shared" si="490"/>
        <v>0</v>
      </c>
      <c r="AS900" s="54"/>
      <c r="AT900" s="55"/>
      <c r="AU900" s="55"/>
      <c r="AV900" s="55"/>
      <c r="AW900" s="56">
        <f t="shared" si="491"/>
        <v>0</v>
      </c>
      <c r="AX900" s="55"/>
      <c r="AY900" s="55"/>
      <c r="AZ900" s="55"/>
      <c r="BA900" s="55"/>
      <c r="BB900" s="56">
        <f t="shared" si="492"/>
        <v>0</v>
      </c>
      <c r="BC900" s="56">
        <f t="shared" si="493"/>
        <v>2</v>
      </c>
      <c r="BD900" s="298">
        <v>45098</v>
      </c>
      <c r="BE900" s="268"/>
      <c r="BF900" s="54"/>
      <c r="BG900" s="55"/>
      <c r="BH900" s="55"/>
      <c r="BI900" s="55"/>
      <c r="BJ900" s="56">
        <f t="shared" si="486"/>
        <v>0</v>
      </c>
      <c r="BK900" s="304"/>
      <c r="BL900" s="268"/>
      <c r="BM900" s="54"/>
      <c r="BN900" s="55"/>
      <c r="BO900" s="55"/>
      <c r="BP900" s="55"/>
      <c r="BQ900" s="56">
        <f t="shared" si="487"/>
        <v>0</v>
      </c>
    </row>
    <row r="901" spans="1:69" x14ac:dyDescent="0.15">
      <c r="A901" s="53" t="s">
        <v>100</v>
      </c>
      <c r="B901" s="54"/>
      <c r="C901" s="55"/>
      <c r="D901" s="55"/>
      <c r="E901" s="55"/>
      <c r="F901" s="56">
        <f t="shared" si="458"/>
        <v>0</v>
      </c>
      <c r="G901" s="54"/>
      <c r="H901" s="55"/>
      <c r="I901" s="55"/>
      <c r="J901" s="55">
        <v>1</v>
      </c>
      <c r="K901" s="56">
        <f t="shared" si="459"/>
        <v>1</v>
      </c>
      <c r="L901" s="54"/>
      <c r="M901" s="55"/>
      <c r="N901" s="55"/>
      <c r="O901" s="55"/>
      <c r="P901" s="56">
        <f t="shared" si="460"/>
        <v>0</v>
      </c>
      <c r="Q901" s="54"/>
      <c r="R901" s="55"/>
      <c r="S901" s="55"/>
      <c r="T901" s="55"/>
      <c r="U901" s="56">
        <f t="shared" si="461"/>
        <v>0</v>
      </c>
      <c r="V901" s="55"/>
      <c r="W901" s="55"/>
      <c r="X901" s="55"/>
      <c r="Y901" s="55"/>
      <c r="Z901" s="56">
        <f t="shared" si="465"/>
        <v>0</v>
      </c>
      <c r="AA901" s="56">
        <f t="shared" si="488"/>
        <v>1</v>
      </c>
      <c r="AB901" s="298">
        <v>45090</v>
      </c>
      <c r="AC901" s="269" t="s">
        <v>99</v>
      </c>
      <c r="AD901" s="54"/>
      <c r="AE901" s="55"/>
      <c r="AF901" s="55">
        <v>2</v>
      </c>
      <c r="AG901" s="55">
        <v>2</v>
      </c>
      <c r="AH901" s="56">
        <f t="shared" ref="AH901" si="500">SUM(AD901:AG901)</f>
        <v>4</v>
      </c>
      <c r="AI901" s="54"/>
      <c r="AJ901" s="55"/>
      <c r="AK901" s="55"/>
      <c r="AL901" s="55">
        <v>2</v>
      </c>
      <c r="AM901" s="56">
        <f t="shared" ref="AM901" si="501">SUM(AI901:AL901)</f>
        <v>2</v>
      </c>
      <c r="AN901" s="54"/>
      <c r="AO901" s="55"/>
      <c r="AP901" s="55">
        <v>2</v>
      </c>
      <c r="AQ901" s="55"/>
      <c r="AR901" s="56">
        <f t="shared" ref="AR901" si="502">SUM(AN901:AQ901)</f>
        <v>2</v>
      </c>
      <c r="AS901" s="54"/>
      <c r="AT901" s="55"/>
      <c r="AU901" s="55"/>
      <c r="AV901" s="55"/>
      <c r="AW901" s="56">
        <f t="shared" ref="AW901" si="503">SUM(AS901:AV901)</f>
        <v>0</v>
      </c>
      <c r="AX901" s="55"/>
      <c r="AY901" s="55"/>
      <c r="AZ901" s="55"/>
      <c r="BA901" s="55"/>
      <c r="BB901" s="56">
        <f t="shared" ref="BB901" si="504">SUM(AX901:BA901)</f>
        <v>0</v>
      </c>
      <c r="BC901" s="56">
        <f t="shared" si="493"/>
        <v>8</v>
      </c>
      <c r="BD901" s="298">
        <v>45091</v>
      </c>
      <c r="BE901" s="268"/>
      <c r="BF901" s="54"/>
      <c r="BG901" s="55"/>
      <c r="BH901" s="55"/>
      <c r="BI901" s="55"/>
      <c r="BJ901" s="56">
        <f t="shared" si="486"/>
        <v>0</v>
      </c>
      <c r="BK901" s="306"/>
      <c r="BL901" s="268"/>
      <c r="BM901" s="54"/>
      <c r="BN901" s="55"/>
      <c r="BO901" s="55"/>
      <c r="BP901" s="55"/>
      <c r="BQ901" s="56">
        <f t="shared" si="487"/>
        <v>0</v>
      </c>
    </row>
    <row r="902" spans="1:69" x14ac:dyDescent="0.15">
      <c r="A902" s="53" t="s">
        <v>98</v>
      </c>
      <c r="B902" s="54"/>
      <c r="C902" s="55"/>
      <c r="D902" s="55">
        <v>1</v>
      </c>
      <c r="E902" s="55"/>
      <c r="F902" s="56">
        <f t="shared" si="458"/>
        <v>1</v>
      </c>
      <c r="G902" s="54">
        <v>1</v>
      </c>
      <c r="H902" s="55"/>
      <c r="I902" s="55"/>
      <c r="J902" s="55">
        <v>1</v>
      </c>
      <c r="K902" s="56">
        <f t="shared" si="459"/>
        <v>2</v>
      </c>
      <c r="L902" s="54"/>
      <c r="M902" s="55"/>
      <c r="N902" s="55">
        <v>1</v>
      </c>
      <c r="O902" s="55"/>
      <c r="P902" s="56">
        <f t="shared" si="460"/>
        <v>1</v>
      </c>
      <c r="Q902" s="54"/>
      <c r="R902" s="55"/>
      <c r="S902" s="55">
        <v>1</v>
      </c>
      <c r="T902" s="55"/>
      <c r="U902" s="56">
        <f t="shared" si="461"/>
        <v>1</v>
      </c>
      <c r="V902" s="55"/>
      <c r="W902" s="55"/>
      <c r="X902" s="55"/>
      <c r="Y902" s="55"/>
      <c r="Z902" s="56">
        <f t="shared" si="465"/>
        <v>0</v>
      </c>
      <c r="AA902" s="56">
        <f t="shared" si="488"/>
        <v>5</v>
      </c>
      <c r="AB902" s="299">
        <v>45089</v>
      </c>
      <c r="AC902" s="276" t="s">
        <v>509</v>
      </c>
      <c r="AD902" s="54"/>
      <c r="AE902" s="55"/>
      <c r="AF902" s="55"/>
      <c r="AG902" s="55"/>
      <c r="AH902" s="56">
        <f t="shared" si="479"/>
        <v>0</v>
      </c>
      <c r="AI902" s="54"/>
      <c r="AJ902" s="55">
        <v>3</v>
      </c>
      <c r="AK902" s="55">
        <v>2</v>
      </c>
      <c r="AL902" s="55">
        <v>4</v>
      </c>
      <c r="AM902" s="56">
        <f t="shared" si="489"/>
        <v>9</v>
      </c>
      <c r="AN902" s="54"/>
      <c r="AO902" s="55"/>
      <c r="AP902" s="55"/>
      <c r="AQ902" s="55"/>
      <c r="AR902" s="56">
        <f t="shared" si="490"/>
        <v>0</v>
      </c>
      <c r="AS902" s="54"/>
      <c r="AT902" s="55"/>
      <c r="AU902" s="55"/>
      <c r="AV902" s="55"/>
      <c r="AW902" s="56">
        <f t="shared" si="491"/>
        <v>0</v>
      </c>
      <c r="AX902" s="55"/>
      <c r="AY902" s="55"/>
      <c r="AZ902" s="55"/>
      <c r="BA902" s="55"/>
      <c r="BB902" s="56">
        <f t="shared" si="492"/>
        <v>0</v>
      </c>
      <c r="BC902" s="56">
        <f t="shared" si="493"/>
        <v>9</v>
      </c>
      <c r="BD902" s="298">
        <v>45106</v>
      </c>
      <c r="BE902" s="268"/>
      <c r="BF902" s="55"/>
      <c r="BG902" s="55"/>
      <c r="BH902" s="55"/>
      <c r="BI902" s="166"/>
      <c r="BJ902" s="49">
        <f t="shared" si="486"/>
        <v>0</v>
      </c>
      <c r="BL902" s="276"/>
      <c r="BM902" s="55"/>
      <c r="BN902" s="55"/>
      <c r="BO902" s="55"/>
      <c r="BP902" s="166"/>
      <c r="BQ902" s="49">
        <f t="shared" si="487"/>
        <v>0</v>
      </c>
    </row>
    <row r="903" spans="1:69" x14ac:dyDescent="0.15">
      <c r="A903" s="53" t="s">
        <v>98</v>
      </c>
      <c r="B903" s="54"/>
      <c r="C903" s="55"/>
      <c r="D903" s="55"/>
      <c r="E903" s="55"/>
      <c r="F903" s="56">
        <f t="shared" si="458"/>
        <v>0</v>
      </c>
      <c r="G903" s="54"/>
      <c r="H903" s="55"/>
      <c r="I903" s="55"/>
      <c r="J903" s="55"/>
      <c r="K903" s="56">
        <f t="shared" si="459"/>
        <v>0</v>
      </c>
      <c r="L903" s="54"/>
      <c r="M903" s="55"/>
      <c r="N903" s="55"/>
      <c r="O903" s="55"/>
      <c r="P903" s="56">
        <f t="shared" si="460"/>
        <v>0</v>
      </c>
      <c r="Q903" s="54"/>
      <c r="R903" s="55"/>
      <c r="S903" s="55"/>
      <c r="T903" s="55">
        <v>1</v>
      </c>
      <c r="U903" s="56">
        <f t="shared" si="461"/>
        <v>1</v>
      </c>
      <c r="V903" s="55"/>
      <c r="W903" s="55"/>
      <c r="X903" s="55"/>
      <c r="Y903" s="55"/>
      <c r="Z903" s="56">
        <f t="shared" si="465"/>
        <v>0</v>
      </c>
      <c r="AA903" s="56">
        <f t="shared" si="488"/>
        <v>1</v>
      </c>
      <c r="AB903" s="299">
        <v>45090</v>
      </c>
      <c r="AC903" s="269" t="s">
        <v>510</v>
      </c>
      <c r="AD903" s="54"/>
      <c r="AE903" s="55"/>
      <c r="AF903" s="55"/>
      <c r="AG903" s="55"/>
      <c r="AH903" s="56">
        <f t="shared" si="479"/>
        <v>0</v>
      </c>
      <c r="AI903" s="54">
        <v>2</v>
      </c>
      <c r="AJ903" s="55">
        <v>3</v>
      </c>
      <c r="AK903" s="55"/>
      <c r="AL903" s="55"/>
      <c r="AM903" s="56">
        <f t="shared" si="489"/>
        <v>5</v>
      </c>
      <c r="AN903" s="54"/>
      <c r="AO903" s="55"/>
      <c r="AP903" s="55"/>
      <c r="AQ903" s="55"/>
      <c r="AR903" s="56">
        <f t="shared" si="490"/>
        <v>0</v>
      </c>
      <c r="AS903" s="54"/>
      <c r="AT903" s="55">
        <v>1</v>
      </c>
      <c r="AU903" s="55"/>
      <c r="AV903" s="55">
        <v>1</v>
      </c>
      <c r="AW903" s="56">
        <f t="shared" si="491"/>
        <v>2</v>
      </c>
      <c r="AX903" s="55"/>
      <c r="AY903" s="55"/>
      <c r="AZ903" s="55"/>
      <c r="BA903" s="55"/>
      <c r="BB903" s="56">
        <f t="shared" si="492"/>
        <v>0</v>
      </c>
      <c r="BC903" s="56">
        <f t="shared" si="493"/>
        <v>7</v>
      </c>
      <c r="BD903" s="298">
        <v>45100</v>
      </c>
      <c r="BE903" s="277"/>
      <c r="BF903" s="17"/>
      <c r="BG903" s="18"/>
      <c r="BH903" s="18"/>
      <c r="BI903" s="18"/>
      <c r="BJ903" s="30">
        <f t="shared" si="486"/>
        <v>0</v>
      </c>
      <c r="BL903" s="277"/>
      <c r="BM903" s="17"/>
      <c r="BN903" s="18"/>
      <c r="BO903" s="18"/>
      <c r="BP903" s="18"/>
      <c r="BQ903" s="30">
        <f t="shared" si="487"/>
        <v>0</v>
      </c>
    </row>
    <row r="904" spans="1:69" x14ac:dyDescent="0.15">
      <c r="A904" s="53" t="s">
        <v>98</v>
      </c>
      <c r="B904" s="54"/>
      <c r="C904" s="55"/>
      <c r="D904" s="55"/>
      <c r="E904" s="55"/>
      <c r="F904" s="56">
        <f t="shared" si="458"/>
        <v>0</v>
      </c>
      <c r="G904" s="54"/>
      <c r="H904" s="55"/>
      <c r="I904" s="55"/>
      <c r="J904" s="55"/>
      <c r="K904" s="56">
        <f t="shared" si="459"/>
        <v>0</v>
      </c>
      <c r="L904" s="54"/>
      <c r="M904" s="55"/>
      <c r="N904" s="55"/>
      <c r="O904" s="55"/>
      <c r="P904" s="56">
        <f t="shared" si="460"/>
        <v>0</v>
      </c>
      <c r="Q904" s="54"/>
      <c r="R904" s="55"/>
      <c r="S904" s="55"/>
      <c r="T904" s="55">
        <v>1</v>
      </c>
      <c r="U904" s="56">
        <f t="shared" si="461"/>
        <v>1</v>
      </c>
      <c r="V904" s="55"/>
      <c r="W904" s="55"/>
      <c r="X904" s="55"/>
      <c r="Y904" s="55"/>
      <c r="Z904" s="56">
        <f t="shared" si="465"/>
        <v>0</v>
      </c>
      <c r="AA904" s="56">
        <f t="shared" si="488"/>
        <v>1</v>
      </c>
      <c r="AB904" s="299">
        <v>45091</v>
      </c>
      <c r="AC904" s="276" t="s">
        <v>511</v>
      </c>
      <c r="AD904" s="54"/>
      <c r="AE904" s="55"/>
      <c r="AF904" s="55"/>
      <c r="AG904" s="55"/>
      <c r="AH904" s="56">
        <f t="shared" si="479"/>
        <v>0</v>
      </c>
      <c r="AI904" s="54"/>
      <c r="AJ904" s="55"/>
      <c r="AK904" s="55"/>
      <c r="AL904" s="55"/>
      <c r="AM904" s="56">
        <f t="shared" si="489"/>
        <v>0</v>
      </c>
      <c r="AN904" s="54"/>
      <c r="AO904" s="55">
        <v>1</v>
      </c>
      <c r="AP904" s="55">
        <v>1</v>
      </c>
      <c r="AQ904" s="55"/>
      <c r="AR904" s="56">
        <f t="shared" si="490"/>
        <v>2</v>
      </c>
      <c r="AS904" s="54"/>
      <c r="AT904" s="55"/>
      <c r="AU904" s="55"/>
      <c r="AV904" s="55"/>
      <c r="AW904" s="56">
        <f t="shared" si="491"/>
        <v>0</v>
      </c>
      <c r="AX904" s="55"/>
      <c r="AY904" s="55"/>
      <c r="AZ904" s="55"/>
      <c r="BA904" s="55"/>
      <c r="BB904" s="56">
        <f t="shared" si="492"/>
        <v>0</v>
      </c>
      <c r="BC904" s="56">
        <f t="shared" si="493"/>
        <v>2</v>
      </c>
      <c r="BD904" s="298">
        <v>45100</v>
      </c>
      <c r="BE904" s="276"/>
      <c r="BF904" s="54"/>
      <c r="BG904" s="55"/>
      <c r="BH904" s="55"/>
      <c r="BI904" s="55"/>
      <c r="BJ904" s="56">
        <f t="shared" si="486"/>
        <v>0</v>
      </c>
      <c r="BL904" s="276"/>
      <c r="BM904" s="54"/>
      <c r="BN904" s="55"/>
      <c r="BO904" s="55"/>
      <c r="BP904" s="55"/>
      <c r="BQ904" s="56">
        <f t="shared" si="487"/>
        <v>0</v>
      </c>
    </row>
    <row r="905" spans="1:69" x14ac:dyDescent="0.15">
      <c r="A905" s="53" t="s">
        <v>98</v>
      </c>
      <c r="B905" s="54"/>
      <c r="C905" s="55"/>
      <c r="D905" s="55"/>
      <c r="E905" s="55"/>
      <c r="F905" s="56">
        <f t="shared" si="458"/>
        <v>0</v>
      </c>
      <c r="G905" s="54"/>
      <c r="H905" s="55"/>
      <c r="I905" s="55"/>
      <c r="J905" s="55"/>
      <c r="K905" s="56">
        <f t="shared" si="459"/>
        <v>0</v>
      </c>
      <c r="L905" s="54"/>
      <c r="M905" s="55"/>
      <c r="N905" s="55"/>
      <c r="O905" s="55"/>
      <c r="P905" s="56">
        <f t="shared" si="460"/>
        <v>0</v>
      </c>
      <c r="Q905" s="54"/>
      <c r="R905" s="55"/>
      <c r="S905" s="55"/>
      <c r="T905" s="55">
        <v>1</v>
      </c>
      <c r="U905" s="56">
        <f t="shared" si="461"/>
        <v>1</v>
      </c>
      <c r="V905" s="55"/>
      <c r="W905" s="55"/>
      <c r="X905" s="55"/>
      <c r="Y905" s="55"/>
      <c r="Z905" s="56">
        <f t="shared" si="465"/>
        <v>0</v>
      </c>
      <c r="AA905" s="56">
        <f t="shared" si="488"/>
        <v>1</v>
      </c>
      <c r="AB905" s="299">
        <v>45096</v>
      </c>
      <c r="AC905" s="269" t="s">
        <v>99</v>
      </c>
      <c r="AD905" s="54"/>
      <c r="AE905" s="55"/>
      <c r="AF905" s="55"/>
      <c r="AG905" s="55"/>
      <c r="AH905" s="56">
        <f t="shared" ref="AH905" si="505">SUM(AD905:AG905)</f>
        <v>0</v>
      </c>
      <c r="AI905" s="54">
        <v>3</v>
      </c>
      <c r="AJ905" s="55">
        <v>3</v>
      </c>
      <c r="AK905" s="55">
        <v>3</v>
      </c>
      <c r="AL905" s="55">
        <v>3</v>
      </c>
      <c r="AM905" s="56">
        <f t="shared" ref="AM905" si="506">SUM(AI905:AL905)</f>
        <v>12</v>
      </c>
      <c r="AN905" s="54"/>
      <c r="AO905" s="55"/>
      <c r="AP905" s="55"/>
      <c r="AQ905" s="55"/>
      <c r="AR905" s="56">
        <f t="shared" ref="AR905" si="507">SUM(AN905:AQ905)</f>
        <v>0</v>
      </c>
      <c r="AS905" s="54"/>
      <c r="AT905" s="55">
        <v>3</v>
      </c>
      <c r="AU905" s="55"/>
      <c r="AV905" s="55">
        <v>5</v>
      </c>
      <c r="AW905" s="56">
        <f t="shared" ref="AW905" si="508">SUM(AS905:AV905)</f>
        <v>8</v>
      </c>
      <c r="AX905" s="55"/>
      <c r="AY905" s="55"/>
      <c r="AZ905" s="55"/>
      <c r="BA905" s="55"/>
      <c r="BB905" s="56">
        <f t="shared" ref="BB905" si="509">SUM(AX905:BA905)</f>
        <v>0</v>
      </c>
      <c r="BC905" s="56">
        <f t="shared" si="493"/>
        <v>20</v>
      </c>
      <c r="BD905" s="298">
        <v>45105</v>
      </c>
      <c r="BE905" s="277"/>
      <c r="BF905" s="54"/>
      <c r="BG905" s="55"/>
      <c r="BH905" s="55"/>
      <c r="BI905" s="55"/>
      <c r="BJ905" s="56">
        <f t="shared" si="486"/>
        <v>0</v>
      </c>
      <c r="BL905" s="277"/>
      <c r="BM905" s="54"/>
      <c r="BN905" s="55"/>
      <c r="BO905" s="55"/>
      <c r="BP905" s="55"/>
      <c r="BQ905" s="56">
        <f t="shared" si="487"/>
        <v>0</v>
      </c>
    </row>
    <row r="906" spans="1:69" x14ac:dyDescent="0.15">
      <c r="A906" s="53" t="s">
        <v>98</v>
      </c>
      <c r="B906" s="54"/>
      <c r="C906" s="55"/>
      <c r="D906" s="55"/>
      <c r="E906" s="55"/>
      <c r="F906" s="56">
        <f t="shared" si="458"/>
        <v>0</v>
      </c>
      <c r="G906" s="54"/>
      <c r="H906" s="55"/>
      <c r="I906" s="55">
        <v>1</v>
      </c>
      <c r="J906" s="55"/>
      <c r="K906" s="56">
        <f t="shared" si="459"/>
        <v>1</v>
      </c>
      <c r="L906" s="54"/>
      <c r="M906" s="55"/>
      <c r="N906" s="55"/>
      <c r="O906" s="55"/>
      <c r="P906" s="56">
        <f t="shared" si="460"/>
        <v>0</v>
      </c>
      <c r="Q906" s="54"/>
      <c r="R906" s="55">
        <v>1</v>
      </c>
      <c r="S906" s="55"/>
      <c r="T906" s="55"/>
      <c r="U906" s="56">
        <f t="shared" si="461"/>
        <v>1</v>
      </c>
      <c r="V906" s="55"/>
      <c r="W906" s="55"/>
      <c r="X906" s="55"/>
      <c r="Y906" s="55"/>
      <c r="Z906" s="56">
        <f t="shared" si="465"/>
        <v>0</v>
      </c>
      <c r="AA906" s="56">
        <f t="shared" si="488"/>
        <v>2</v>
      </c>
      <c r="AB906" s="299">
        <v>45098</v>
      </c>
      <c r="AC906" s="269" t="s">
        <v>514</v>
      </c>
      <c r="AD906" s="54"/>
      <c r="AE906" s="55"/>
      <c r="AF906" s="55"/>
      <c r="AG906" s="55"/>
      <c r="AH906" s="56">
        <f t="shared" si="479"/>
        <v>0</v>
      </c>
      <c r="AI906" s="54"/>
      <c r="AJ906" s="55"/>
      <c r="AK906" s="55"/>
      <c r="AL906" s="55">
        <v>2</v>
      </c>
      <c r="AM906" s="56">
        <f t="shared" si="489"/>
        <v>2</v>
      </c>
      <c r="AN906" s="54"/>
      <c r="AO906" s="55"/>
      <c r="AP906" s="55"/>
      <c r="AQ906" s="55"/>
      <c r="AR906" s="56">
        <f t="shared" si="490"/>
        <v>0</v>
      </c>
      <c r="AS906" s="54"/>
      <c r="AT906" s="55"/>
      <c r="AU906" s="55"/>
      <c r="AV906" s="55">
        <v>2</v>
      </c>
      <c r="AW906" s="56">
        <f t="shared" si="491"/>
        <v>2</v>
      </c>
      <c r="AX906" s="55"/>
      <c r="AY906" s="55"/>
      <c r="AZ906" s="55"/>
      <c r="BA906" s="55"/>
      <c r="BB906" s="56">
        <f t="shared" si="492"/>
        <v>0</v>
      </c>
      <c r="BC906" s="56">
        <f t="shared" si="493"/>
        <v>4</v>
      </c>
      <c r="BD906" s="298">
        <v>45114</v>
      </c>
      <c r="BE906" s="276"/>
      <c r="BF906" s="54"/>
      <c r="BG906" s="55"/>
      <c r="BH906" s="55"/>
      <c r="BI906" s="55"/>
      <c r="BJ906" s="56">
        <f t="shared" si="486"/>
        <v>0</v>
      </c>
      <c r="BL906" s="276"/>
      <c r="BM906" s="54"/>
      <c r="BN906" s="55"/>
      <c r="BO906" s="55"/>
      <c r="BP906" s="55"/>
      <c r="BQ906" s="56">
        <f t="shared" si="487"/>
        <v>0</v>
      </c>
    </row>
    <row r="907" spans="1:69" x14ac:dyDescent="0.15">
      <c r="A907" s="53" t="s">
        <v>98</v>
      </c>
      <c r="B907" s="54"/>
      <c r="C907" s="55">
        <v>1</v>
      </c>
      <c r="D907" s="55"/>
      <c r="E907" s="55"/>
      <c r="F907" s="56">
        <f t="shared" si="458"/>
        <v>1</v>
      </c>
      <c r="G907" s="54"/>
      <c r="H907" s="55"/>
      <c r="I907" s="55"/>
      <c r="J907" s="55"/>
      <c r="K907" s="56">
        <f t="shared" si="459"/>
        <v>0</v>
      </c>
      <c r="L907" s="54"/>
      <c r="M907" s="55"/>
      <c r="N907" s="55"/>
      <c r="O907" s="55"/>
      <c r="P907" s="56">
        <f t="shared" si="460"/>
        <v>0</v>
      </c>
      <c r="Q907" s="54"/>
      <c r="R907" s="55"/>
      <c r="S907" s="55"/>
      <c r="T907" s="55"/>
      <c r="U907" s="56">
        <f t="shared" si="461"/>
        <v>0</v>
      </c>
      <c r="V907" s="55"/>
      <c r="W907" s="55"/>
      <c r="X907" s="55"/>
      <c r="Y907" s="55"/>
      <c r="Z907" s="56">
        <f t="shared" si="465"/>
        <v>0</v>
      </c>
      <c r="AA907" s="56">
        <f t="shared" si="488"/>
        <v>1</v>
      </c>
      <c r="AB907" s="299">
        <v>45100</v>
      </c>
      <c r="AC907" s="276" t="s">
        <v>515</v>
      </c>
      <c r="AD907" s="54"/>
      <c r="AE907" s="55"/>
      <c r="AF907" s="55"/>
      <c r="AG907" s="55"/>
      <c r="AH907" s="56">
        <f t="shared" si="479"/>
        <v>0</v>
      </c>
      <c r="AI907" s="54"/>
      <c r="AJ907" s="55"/>
      <c r="AK907" s="55"/>
      <c r="AL907" s="55"/>
      <c r="AM907" s="56">
        <f t="shared" si="489"/>
        <v>0</v>
      </c>
      <c r="AN907" s="54"/>
      <c r="AO907" s="55">
        <v>2</v>
      </c>
      <c r="AP907" s="55"/>
      <c r="AQ907" s="55"/>
      <c r="AR907" s="56">
        <f t="shared" si="490"/>
        <v>2</v>
      </c>
      <c r="AS907" s="54"/>
      <c r="AT907" s="55"/>
      <c r="AU907" s="55"/>
      <c r="AV907" s="55">
        <v>2</v>
      </c>
      <c r="AW907" s="56">
        <f t="shared" si="491"/>
        <v>2</v>
      </c>
      <c r="AX907" s="55"/>
      <c r="AY907" s="55"/>
      <c r="AZ907" s="55"/>
      <c r="BA907" s="55"/>
      <c r="BB907" s="56">
        <f t="shared" si="492"/>
        <v>0</v>
      </c>
      <c r="BC907" s="56">
        <f t="shared" si="493"/>
        <v>4</v>
      </c>
      <c r="BD907" s="298">
        <v>45114</v>
      </c>
      <c r="BE907" s="277"/>
      <c r="BF907" s="54"/>
      <c r="BG907" s="55"/>
      <c r="BH907" s="55"/>
      <c r="BI907" s="55"/>
      <c r="BJ907" s="56">
        <f t="shared" si="486"/>
        <v>0</v>
      </c>
      <c r="BL907" s="277"/>
      <c r="BM907" s="54"/>
      <c r="BN907" s="55"/>
      <c r="BO907" s="55"/>
      <c r="BP907" s="55"/>
      <c r="BQ907" s="56">
        <f t="shared" si="487"/>
        <v>0</v>
      </c>
    </row>
    <row r="908" spans="1:69" x14ac:dyDescent="0.15">
      <c r="A908" s="53" t="s">
        <v>98</v>
      </c>
      <c r="B908" s="54"/>
      <c r="C908" s="55"/>
      <c r="D908" s="55"/>
      <c r="E908" s="55"/>
      <c r="F908" s="56">
        <f t="shared" si="458"/>
        <v>0</v>
      </c>
      <c r="G908" s="54"/>
      <c r="H908" s="55"/>
      <c r="I908" s="55"/>
      <c r="J908" s="55"/>
      <c r="K908" s="56">
        <f t="shared" si="459"/>
        <v>0</v>
      </c>
      <c r="L908" s="54"/>
      <c r="M908" s="55">
        <v>1</v>
      </c>
      <c r="N908" s="55"/>
      <c r="O908" s="55"/>
      <c r="P908" s="56">
        <f t="shared" si="460"/>
        <v>1</v>
      </c>
      <c r="Q908" s="54">
        <v>1</v>
      </c>
      <c r="R908" s="55"/>
      <c r="S908" s="55"/>
      <c r="T908" s="55"/>
      <c r="U908" s="56">
        <f t="shared" si="461"/>
        <v>1</v>
      </c>
      <c r="V908" s="55"/>
      <c r="W908" s="55">
        <v>1</v>
      </c>
      <c r="X908" s="55">
        <v>1</v>
      </c>
      <c r="Y908" s="55"/>
      <c r="Z908" s="56">
        <f t="shared" si="465"/>
        <v>2</v>
      </c>
      <c r="AA908" s="56">
        <f t="shared" si="488"/>
        <v>4</v>
      </c>
      <c r="AB908" s="299">
        <v>45103</v>
      </c>
      <c r="AC908" s="269" t="s">
        <v>99</v>
      </c>
      <c r="AD908" s="54"/>
      <c r="AE908" s="55">
        <v>3</v>
      </c>
      <c r="AF908" s="55"/>
      <c r="AG908" s="55"/>
      <c r="AH908" s="56">
        <f t="shared" si="479"/>
        <v>3</v>
      </c>
      <c r="AI908" s="54"/>
      <c r="AJ908" s="55"/>
      <c r="AK908" s="55"/>
      <c r="AL908" s="55">
        <v>3</v>
      </c>
      <c r="AM908" s="56">
        <f t="shared" si="489"/>
        <v>3</v>
      </c>
      <c r="AN908" s="54"/>
      <c r="AO908" s="55">
        <v>3</v>
      </c>
      <c r="AP908" s="55"/>
      <c r="AQ908" s="55"/>
      <c r="AR908" s="56">
        <f t="shared" si="490"/>
        <v>3</v>
      </c>
      <c r="AS908" s="54">
        <v>3</v>
      </c>
      <c r="AT908" s="55">
        <v>3</v>
      </c>
      <c r="AU908" s="55"/>
      <c r="AV908" s="55"/>
      <c r="AW908" s="56">
        <f t="shared" si="491"/>
        <v>6</v>
      </c>
      <c r="AX908" s="55"/>
      <c r="AY908" s="55"/>
      <c r="AZ908" s="55"/>
      <c r="BA908" s="55"/>
      <c r="BB908" s="56">
        <f t="shared" si="492"/>
        <v>0</v>
      </c>
      <c r="BC908" s="56">
        <f t="shared" si="493"/>
        <v>15</v>
      </c>
      <c r="BD908" s="298">
        <v>45113</v>
      </c>
      <c r="BE908" s="276"/>
      <c r="BF908" s="54"/>
      <c r="BG908" s="55"/>
      <c r="BH908" s="55"/>
      <c r="BI908" s="55"/>
      <c r="BJ908" s="56">
        <f t="shared" si="486"/>
        <v>0</v>
      </c>
      <c r="BL908" s="276"/>
      <c r="BM908" s="54"/>
      <c r="BN908" s="55"/>
      <c r="BO908" s="55"/>
      <c r="BP908" s="55"/>
      <c r="BQ908" s="56">
        <f t="shared" si="487"/>
        <v>0</v>
      </c>
    </row>
    <row r="909" spans="1:69" x14ac:dyDescent="0.15">
      <c r="A909" s="269" t="s">
        <v>512</v>
      </c>
      <c r="B909" s="54"/>
      <c r="C909" s="55"/>
      <c r="D909" s="55"/>
      <c r="E909" s="55"/>
      <c r="F909" s="56">
        <f t="shared" si="458"/>
        <v>0</v>
      </c>
      <c r="G909" s="54"/>
      <c r="H909" s="55"/>
      <c r="I909" s="55"/>
      <c r="J909" s="55"/>
      <c r="K909" s="56">
        <f t="shared" si="459"/>
        <v>0</v>
      </c>
      <c r="L909" s="54"/>
      <c r="M909" s="55"/>
      <c r="N909" s="55"/>
      <c r="O909" s="55">
        <v>1</v>
      </c>
      <c r="P909" s="56">
        <f t="shared" si="460"/>
        <v>1</v>
      </c>
      <c r="Q909" s="54"/>
      <c r="R909" s="55"/>
      <c r="S909" s="55"/>
      <c r="T909" s="55"/>
      <c r="U909" s="56">
        <f t="shared" si="461"/>
        <v>0</v>
      </c>
      <c r="V909" s="55"/>
      <c r="W909" s="55"/>
      <c r="X909" s="55"/>
      <c r="Y909" s="55"/>
      <c r="Z909" s="56">
        <f t="shared" si="465"/>
        <v>0</v>
      </c>
      <c r="AA909" s="56">
        <f t="shared" si="488"/>
        <v>1</v>
      </c>
      <c r="AB909" s="298">
        <v>45107</v>
      </c>
      <c r="AC909" s="269" t="s">
        <v>99</v>
      </c>
      <c r="AD909" s="54"/>
      <c r="AE909" s="55"/>
      <c r="AF909" s="55"/>
      <c r="AG909" s="55"/>
      <c r="AH909" s="56">
        <f t="shared" ref="AH909" si="510">SUM(AD909:AG909)</f>
        <v>0</v>
      </c>
      <c r="AI909" s="54"/>
      <c r="AJ909" s="55"/>
      <c r="AK909" s="55"/>
      <c r="AL909" s="55"/>
      <c r="AM909" s="56">
        <f t="shared" ref="AM909" si="511">SUM(AI909:AL909)</f>
        <v>0</v>
      </c>
      <c r="AN909" s="54"/>
      <c r="AO909" s="55"/>
      <c r="AP909" s="55"/>
      <c r="AQ909" s="55"/>
      <c r="AR909" s="56">
        <f t="shared" ref="AR909" si="512">SUM(AN909:AQ909)</f>
        <v>0</v>
      </c>
      <c r="AS909" s="54">
        <v>3</v>
      </c>
      <c r="AT909" s="55">
        <v>3</v>
      </c>
      <c r="AU909" s="55">
        <v>3</v>
      </c>
      <c r="AV909" s="55">
        <v>5</v>
      </c>
      <c r="AW909" s="56">
        <f t="shared" ref="AW909" si="513">SUM(AS909:AV909)</f>
        <v>14</v>
      </c>
      <c r="AX909" s="55"/>
      <c r="AY909" s="55"/>
      <c r="AZ909" s="55"/>
      <c r="BA909" s="55"/>
      <c r="BB909" s="56">
        <f t="shared" ref="BB909" si="514">SUM(AX909:BA909)</f>
        <v>0</v>
      </c>
      <c r="BC909" s="56">
        <f t="shared" si="493"/>
        <v>14</v>
      </c>
      <c r="BD909" s="298">
        <v>45117</v>
      </c>
      <c r="BE909" s="277"/>
      <c r="BF909" s="55"/>
      <c r="BG909" s="55"/>
      <c r="BH909" s="55"/>
      <c r="BI909" s="166"/>
      <c r="BJ909" s="49">
        <f t="shared" si="486"/>
        <v>0</v>
      </c>
      <c r="BL909" s="277"/>
      <c r="BM909" s="55"/>
      <c r="BN909" s="55"/>
      <c r="BO909" s="55"/>
      <c r="BP909" s="166"/>
      <c r="BQ909" s="49">
        <f t="shared" si="487"/>
        <v>0</v>
      </c>
    </row>
    <row r="910" spans="1:69" x14ac:dyDescent="0.15">
      <c r="A910" s="276" t="s">
        <v>513</v>
      </c>
      <c r="B910" s="54"/>
      <c r="C910" s="55"/>
      <c r="D910" s="55"/>
      <c r="E910" s="55"/>
      <c r="F910" s="56">
        <f t="shared" si="458"/>
        <v>0</v>
      </c>
      <c r="G910" s="54">
        <v>1</v>
      </c>
      <c r="H910" s="55">
        <v>2</v>
      </c>
      <c r="I910" s="55">
        <v>2</v>
      </c>
      <c r="J910" s="55">
        <v>1</v>
      </c>
      <c r="K910" s="56">
        <f t="shared" si="459"/>
        <v>6</v>
      </c>
      <c r="L910" s="54">
        <v>1</v>
      </c>
      <c r="M910" s="55"/>
      <c r="N910" s="55"/>
      <c r="O910" s="55">
        <v>1</v>
      </c>
      <c r="P910" s="56">
        <f t="shared" si="460"/>
        <v>2</v>
      </c>
      <c r="Q910" s="54"/>
      <c r="R910" s="55"/>
      <c r="S910" s="55"/>
      <c r="T910" s="55">
        <v>1</v>
      </c>
      <c r="U910" s="56">
        <f t="shared" si="461"/>
        <v>1</v>
      </c>
      <c r="V910" s="55"/>
      <c r="W910" s="55"/>
      <c r="X910" s="55"/>
      <c r="Y910" s="55"/>
      <c r="Z910" s="56">
        <f t="shared" si="465"/>
        <v>0</v>
      </c>
      <c r="AA910" s="56">
        <f t="shared" si="488"/>
        <v>9</v>
      </c>
      <c r="AB910" s="298">
        <v>45107</v>
      </c>
      <c r="AC910" s="276" t="s">
        <v>518</v>
      </c>
      <c r="AD910" s="54"/>
      <c r="AE910" s="55"/>
      <c r="AF910" s="55"/>
      <c r="AG910" s="55"/>
      <c r="AH910" s="56">
        <f t="shared" si="479"/>
        <v>0</v>
      </c>
      <c r="AI910" s="54">
        <v>2</v>
      </c>
      <c r="AJ910" s="55"/>
      <c r="AK910" s="55"/>
      <c r="AL910" s="55"/>
      <c r="AM910" s="56">
        <f t="shared" si="489"/>
        <v>2</v>
      </c>
      <c r="AN910" s="54"/>
      <c r="AO910" s="55"/>
      <c r="AP910" s="55"/>
      <c r="AQ910" s="55"/>
      <c r="AR910" s="56">
        <f t="shared" si="490"/>
        <v>0</v>
      </c>
      <c r="AS910" s="54"/>
      <c r="AT910" s="55"/>
      <c r="AU910" s="55"/>
      <c r="AV910" s="55"/>
      <c r="AW910" s="56">
        <f t="shared" si="491"/>
        <v>0</v>
      </c>
      <c r="AX910" s="55"/>
      <c r="AY910" s="55"/>
      <c r="AZ910" s="55"/>
      <c r="BA910" s="55"/>
      <c r="BB910" s="56">
        <f t="shared" si="492"/>
        <v>0</v>
      </c>
      <c r="BC910" s="56">
        <f t="shared" si="493"/>
        <v>2</v>
      </c>
      <c r="BD910" s="298">
        <v>45128</v>
      </c>
      <c r="BE910" s="277"/>
      <c r="BF910" s="54"/>
      <c r="BG910" s="55"/>
      <c r="BH910" s="55"/>
      <c r="BI910" s="55"/>
      <c r="BJ910" s="56">
        <f t="shared" si="486"/>
        <v>0</v>
      </c>
      <c r="BL910" s="277"/>
      <c r="BM910" s="54"/>
      <c r="BN910" s="55"/>
      <c r="BO910" s="55"/>
      <c r="BP910" s="55"/>
      <c r="BQ910" s="56">
        <f t="shared" si="487"/>
        <v>0</v>
      </c>
    </row>
    <row r="911" spans="1:69" x14ac:dyDescent="0.15">
      <c r="A911" s="53" t="s">
        <v>98</v>
      </c>
      <c r="B911" s="54"/>
      <c r="C911" s="55"/>
      <c r="D911" s="55"/>
      <c r="E911" s="55"/>
      <c r="F911" s="56">
        <f t="shared" si="458"/>
        <v>0</v>
      </c>
      <c r="G911" s="54"/>
      <c r="H911" s="55">
        <v>1</v>
      </c>
      <c r="I911" s="55"/>
      <c r="J911" s="55"/>
      <c r="K911" s="56">
        <f t="shared" si="459"/>
        <v>1</v>
      </c>
      <c r="L911" s="54"/>
      <c r="M911" s="55"/>
      <c r="N911" s="55"/>
      <c r="O911" s="55"/>
      <c r="P911" s="56">
        <f t="shared" si="460"/>
        <v>0</v>
      </c>
      <c r="Q911" s="54"/>
      <c r="R911" s="55">
        <v>1</v>
      </c>
      <c r="S911" s="55">
        <v>1</v>
      </c>
      <c r="T911" s="55">
        <v>2</v>
      </c>
      <c r="U911" s="56">
        <f t="shared" si="461"/>
        <v>4</v>
      </c>
      <c r="V911" s="55"/>
      <c r="W911" s="55"/>
      <c r="X911" s="55"/>
      <c r="Y911" s="55"/>
      <c r="Z911" s="56">
        <f t="shared" si="465"/>
        <v>0</v>
      </c>
      <c r="AA911" s="56">
        <f t="shared" si="488"/>
        <v>5</v>
      </c>
      <c r="AB911" s="299">
        <v>45104</v>
      </c>
      <c r="AC911" s="269" t="s">
        <v>519</v>
      </c>
      <c r="AD911" s="54"/>
      <c r="AE911" s="55">
        <v>2</v>
      </c>
      <c r="AF911" s="55"/>
      <c r="AG911" s="55">
        <v>3</v>
      </c>
      <c r="AH911" s="56">
        <f t="shared" si="479"/>
        <v>5</v>
      </c>
      <c r="AI911" s="54">
        <v>2</v>
      </c>
      <c r="AJ911" s="55"/>
      <c r="AK911" s="55">
        <v>3</v>
      </c>
      <c r="AL911" s="55">
        <v>3</v>
      </c>
      <c r="AM911" s="56">
        <f t="shared" si="489"/>
        <v>8</v>
      </c>
      <c r="AN911" s="54"/>
      <c r="AO911" s="55"/>
      <c r="AP911" s="55">
        <v>3</v>
      </c>
      <c r="AQ911" s="55">
        <v>3</v>
      </c>
      <c r="AR911" s="56">
        <f t="shared" si="490"/>
        <v>6</v>
      </c>
      <c r="AS911" s="54"/>
      <c r="AT911" s="55"/>
      <c r="AU911" s="55"/>
      <c r="AV911" s="55">
        <v>3</v>
      </c>
      <c r="AW911" s="56">
        <f t="shared" si="491"/>
        <v>3</v>
      </c>
      <c r="AX911" s="55"/>
      <c r="AY911" s="55"/>
      <c r="AZ911" s="55"/>
      <c r="BA911" s="55"/>
      <c r="BB911" s="56">
        <f t="shared" si="492"/>
        <v>0</v>
      </c>
      <c r="BC911" s="56">
        <f t="shared" si="493"/>
        <v>22</v>
      </c>
      <c r="BD911" s="298">
        <v>45121</v>
      </c>
      <c r="BE911" s="276"/>
      <c r="BF911" s="54"/>
      <c r="BG911" s="55"/>
      <c r="BH911" s="55"/>
      <c r="BI911" s="55"/>
      <c r="BJ911" s="56">
        <f t="shared" si="486"/>
        <v>0</v>
      </c>
      <c r="BL911" s="276"/>
      <c r="BM911" s="54"/>
      <c r="BN911" s="55"/>
      <c r="BO911" s="55"/>
      <c r="BP911" s="55"/>
      <c r="BQ911" s="56">
        <f t="shared" si="487"/>
        <v>0</v>
      </c>
    </row>
    <row r="912" spans="1:69" x14ac:dyDescent="0.15">
      <c r="A912" s="53" t="s">
        <v>98</v>
      </c>
      <c r="B912" s="54"/>
      <c r="C912" s="55"/>
      <c r="D912" s="55"/>
      <c r="E912" s="55"/>
      <c r="F912" s="56">
        <f t="shared" si="458"/>
        <v>0</v>
      </c>
      <c r="G912" s="54"/>
      <c r="H912" s="55"/>
      <c r="I912" s="55"/>
      <c r="J912" s="55"/>
      <c r="K912" s="56">
        <f t="shared" si="459"/>
        <v>0</v>
      </c>
      <c r="L912" s="54"/>
      <c r="M912" s="55"/>
      <c r="N912" s="55"/>
      <c r="O912" s="55"/>
      <c r="P912" s="56">
        <f t="shared" si="460"/>
        <v>0</v>
      </c>
      <c r="Q912" s="54">
        <v>1</v>
      </c>
      <c r="R912" s="55"/>
      <c r="S912" s="55"/>
      <c r="T912" s="55"/>
      <c r="U912" s="56">
        <f t="shared" si="461"/>
        <v>1</v>
      </c>
      <c r="V912" s="55"/>
      <c r="W912" s="55"/>
      <c r="X912" s="55"/>
      <c r="Y912" s="55"/>
      <c r="Z912" s="56">
        <f t="shared" si="465"/>
        <v>0</v>
      </c>
      <c r="AA912" s="56">
        <f t="shared" si="488"/>
        <v>1</v>
      </c>
      <c r="AB912" s="299">
        <v>45105</v>
      </c>
      <c r="AC912" s="276" t="s">
        <v>520</v>
      </c>
      <c r="AD912" s="54"/>
      <c r="AE912" s="55">
        <v>1</v>
      </c>
      <c r="AF912" s="55"/>
      <c r="AG912" s="55"/>
      <c r="AH912" s="56">
        <f t="shared" si="479"/>
        <v>1</v>
      </c>
      <c r="AI912" s="54"/>
      <c r="AJ912" s="55">
        <v>1</v>
      </c>
      <c r="AK912" s="55"/>
      <c r="AL912" s="55">
        <v>2</v>
      </c>
      <c r="AM912" s="56">
        <f t="shared" si="489"/>
        <v>3</v>
      </c>
      <c r="AN912" s="54">
        <v>3</v>
      </c>
      <c r="AO912" s="55"/>
      <c r="AP912" s="55"/>
      <c r="AQ912" s="55">
        <v>1</v>
      </c>
      <c r="AR912" s="56">
        <f t="shared" si="490"/>
        <v>4</v>
      </c>
      <c r="AS912" s="54">
        <v>3</v>
      </c>
      <c r="AT912" s="55">
        <v>1</v>
      </c>
      <c r="AU912" s="55">
        <v>1</v>
      </c>
      <c r="AV912" s="55">
        <v>3</v>
      </c>
      <c r="AW912" s="56">
        <f t="shared" si="491"/>
        <v>8</v>
      </c>
      <c r="AX912" s="55"/>
      <c r="AY912" s="55"/>
      <c r="AZ912" s="55"/>
      <c r="BA912" s="55"/>
      <c r="BB912" s="56">
        <f t="shared" si="492"/>
        <v>0</v>
      </c>
      <c r="BC912" s="56">
        <f t="shared" si="493"/>
        <v>16</v>
      </c>
      <c r="BD912" s="298">
        <v>45121</v>
      </c>
      <c r="BE912" s="276"/>
      <c r="BF912" s="63"/>
      <c r="BG912" s="63"/>
      <c r="BH912" s="63"/>
      <c r="BI912" s="167"/>
      <c r="BJ912" s="64">
        <f t="shared" si="486"/>
        <v>0</v>
      </c>
      <c r="BL912" s="276"/>
      <c r="BM912" s="63"/>
      <c r="BN912" s="63"/>
      <c r="BO912" s="63"/>
      <c r="BP912" s="167"/>
      <c r="BQ912" s="64">
        <f t="shared" si="487"/>
        <v>0</v>
      </c>
    </row>
    <row r="913" spans="1:69" x14ac:dyDescent="0.15">
      <c r="A913" s="53" t="s">
        <v>98</v>
      </c>
      <c r="B913" s="54"/>
      <c r="C913" s="55"/>
      <c r="D913" s="55"/>
      <c r="E913" s="55"/>
      <c r="F913" s="56">
        <f t="shared" si="458"/>
        <v>0</v>
      </c>
      <c r="G913" s="54"/>
      <c r="H913" s="55"/>
      <c r="I913" s="55"/>
      <c r="J913" s="55"/>
      <c r="K913" s="56">
        <f t="shared" si="459"/>
        <v>0</v>
      </c>
      <c r="L913" s="54"/>
      <c r="M913" s="55"/>
      <c r="N913" s="55"/>
      <c r="O913" s="55"/>
      <c r="P913" s="56">
        <f t="shared" si="460"/>
        <v>0</v>
      </c>
      <c r="Q913" s="54"/>
      <c r="R913" s="55">
        <v>1</v>
      </c>
      <c r="S913" s="55"/>
      <c r="T913" s="55"/>
      <c r="U913" s="56">
        <f t="shared" si="461"/>
        <v>1</v>
      </c>
      <c r="V913" s="55"/>
      <c r="W913" s="55"/>
      <c r="X913" s="55"/>
      <c r="Y913" s="55"/>
      <c r="Z913" s="56">
        <f t="shared" si="465"/>
        <v>0</v>
      </c>
      <c r="AA913" s="56">
        <f t="shared" si="488"/>
        <v>1</v>
      </c>
      <c r="AB913" s="299">
        <v>45106</v>
      </c>
      <c r="AC913" s="269" t="s">
        <v>99</v>
      </c>
      <c r="AD913" s="54"/>
      <c r="AE913" s="55"/>
      <c r="AF913" s="55"/>
      <c r="AG913" s="55"/>
      <c r="AH913" s="56">
        <f t="shared" ref="AH913" si="515">SUM(AD913:AG913)</f>
        <v>0</v>
      </c>
      <c r="AI913" s="54">
        <v>5</v>
      </c>
      <c r="AJ913" s="55"/>
      <c r="AK913" s="55"/>
      <c r="AL913" s="55"/>
      <c r="AM913" s="56">
        <f t="shared" ref="AM913" si="516">SUM(AI913:AL913)</f>
        <v>5</v>
      </c>
      <c r="AN913" s="54"/>
      <c r="AO913" s="55"/>
      <c r="AP913" s="55"/>
      <c r="AQ913" s="55"/>
      <c r="AR913" s="56">
        <f t="shared" ref="AR913" si="517">SUM(AN913:AQ913)</f>
        <v>0</v>
      </c>
      <c r="AS913" s="54"/>
      <c r="AT913" s="55"/>
      <c r="AU913" s="55"/>
      <c r="AV913" s="55"/>
      <c r="AW913" s="56">
        <f t="shared" ref="AW913" si="518">SUM(AS913:AV913)</f>
        <v>0</v>
      </c>
      <c r="AX913" s="55"/>
      <c r="AY913" s="55"/>
      <c r="AZ913" s="55">
        <v>5</v>
      </c>
      <c r="BA913" s="55"/>
      <c r="BB913" s="56">
        <f t="shared" ref="BB913" si="519">SUM(AX913:BA913)</f>
        <v>5</v>
      </c>
      <c r="BC913" s="56">
        <f t="shared" si="493"/>
        <v>10</v>
      </c>
      <c r="BD913" s="298">
        <v>45120</v>
      </c>
      <c r="BE913" s="277"/>
      <c r="BF913" s="54"/>
      <c r="BG913" s="55"/>
      <c r="BH913" s="55"/>
      <c r="BI913" s="55"/>
      <c r="BJ913" s="56">
        <f t="shared" si="486"/>
        <v>0</v>
      </c>
      <c r="BL913" s="277"/>
      <c r="BM913" s="54"/>
      <c r="BN913" s="55"/>
      <c r="BO913" s="55"/>
      <c r="BP913" s="55"/>
      <c r="BQ913" s="56">
        <f t="shared" si="487"/>
        <v>0</v>
      </c>
    </row>
    <row r="914" spans="1:69" x14ac:dyDescent="0.15">
      <c r="A914" s="53" t="s">
        <v>98</v>
      </c>
      <c r="B914" s="54"/>
      <c r="C914" s="55"/>
      <c r="D914" s="55"/>
      <c r="E914" s="55"/>
      <c r="F914" s="56">
        <f t="shared" si="458"/>
        <v>0</v>
      </c>
      <c r="G914" s="54"/>
      <c r="H914" s="55"/>
      <c r="I914" s="55"/>
      <c r="J914" s="55">
        <v>1</v>
      </c>
      <c r="K914" s="56">
        <f t="shared" si="459"/>
        <v>1</v>
      </c>
      <c r="L914" s="54"/>
      <c r="M914" s="55"/>
      <c r="N914" s="55"/>
      <c r="O914" s="55"/>
      <c r="P914" s="56">
        <f t="shared" si="460"/>
        <v>0</v>
      </c>
      <c r="Q914" s="54"/>
      <c r="R914" s="55"/>
      <c r="S914" s="55"/>
      <c r="T914" s="55"/>
      <c r="U914" s="56">
        <f t="shared" si="461"/>
        <v>0</v>
      </c>
      <c r="V914" s="55">
        <v>1</v>
      </c>
      <c r="W914" s="55"/>
      <c r="X914" s="55"/>
      <c r="Y914" s="55"/>
      <c r="Z914" s="56">
        <f t="shared" si="465"/>
        <v>1</v>
      </c>
      <c r="AA914" s="56">
        <f t="shared" si="488"/>
        <v>2</v>
      </c>
      <c r="AB914" s="299">
        <v>45107</v>
      </c>
      <c r="AC914" s="276" t="s">
        <v>521</v>
      </c>
      <c r="AD914" s="54">
        <v>2</v>
      </c>
      <c r="AE914" s="55"/>
      <c r="AF914" s="55"/>
      <c r="AG914" s="55"/>
      <c r="AH914" s="56">
        <f t="shared" si="479"/>
        <v>2</v>
      </c>
      <c r="AI914" s="54"/>
      <c r="AJ914" s="55">
        <v>2</v>
      </c>
      <c r="AK914" s="55"/>
      <c r="AL914" s="55"/>
      <c r="AM914" s="56">
        <f t="shared" si="489"/>
        <v>2</v>
      </c>
      <c r="AN914" s="54"/>
      <c r="AO914" s="55"/>
      <c r="AP914" s="55"/>
      <c r="AQ914" s="55"/>
      <c r="AR914" s="56">
        <f t="shared" si="490"/>
        <v>0</v>
      </c>
      <c r="AS914" s="54"/>
      <c r="AT914" s="55"/>
      <c r="AU914" s="55"/>
      <c r="AV914" s="55"/>
      <c r="AW914" s="56">
        <f t="shared" si="491"/>
        <v>0</v>
      </c>
      <c r="AX914" s="55"/>
      <c r="AY914" s="55"/>
      <c r="AZ914" s="55"/>
      <c r="BA914" s="55"/>
      <c r="BB914" s="56">
        <f t="shared" si="492"/>
        <v>0</v>
      </c>
      <c r="BC914" s="56">
        <f t="shared" si="493"/>
        <v>4</v>
      </c>
      <c r="BD914" s="298">
        <v>45134</v>
      </c>
      <c r="BE914" s="276"/>
      <c r="BF914" s="54"/>
      <c r="BG914" s="55"/>
      <c r="BH914" s="55"/>
      <c r="BI914" s="55"/>
      <c r="BJ914" s="56">
        <f t="shared" si="486"/>
        <v>0</v>
      </c>
      <c r="BL914" s="276"/>
      <c r="BM914" s="54"/>
      <c r="BN914" s="55"/>
      <c r="BO914" s="55"/>
      <c r="BP914" s="55"/>
      <c r="BQ914" s="56">
        <f t="shared" si="487"/>
        <v>0</v>
      </c>
    </row>
    <row r="915" spans="1:69" x14ac:dyDescent="0.15">
      <c r="A915" s="53" t="s">
        <v>98</v>
      </c>
      <c r="B915" s="54"/>
      <c r="C915" s="55"/>
      <c r="D915" s="55"/>
      <c r="E915" s="55"/>
      <c r="F915" s="56">
        <f t="shared" si="458"/>
        <v>0</v>
      </c>
      <c r="G915" s="54"/>
      <c r="H915" s="55"/>
      <c r="I915" s="55"/>
      <c r="J915" s="55"/>
      <c r="K915" s="56">
        <f t="shared" si="459"/>
        <v>0</v>
      </c>
      <c r="L915" s="54"/>
      <c r="M915" s="55"/>
      <c r="N915" s="55"/>
      <c r="O915" s="55"/>
      <c r="P915" s="56">
        <f t="shared" si="460"/>
        <v>0</v>
      </c>
      <c r="Q915" s="54"/>
      <c r="R915" s="55"/>
      <c r="S915" s="55"/>
      <c r="T915" s="55">
        <v>1</v>
      </c>
      <c r="U915" s="56">
        <f t="shared" si="461"/>
        <v>1</v>
      </c>
      <c r="V915" s="55"/>
      <c r="W915" s="55"/>
      <c r="X915" s="55"/>
      <c r="Y915" s="55"/>
      <c r="Z915" s="56">
        <f t="shared" si="465"/>
        <v>0</v>
      </c>
      <c r="AA915" s="56">
        <f t="shared" si="488"/>
        <v>1</v>
      </c>
      <c r="AB915" s="299">
        <v>45108</v>
      </c>
      <c r="AC915" s="269" t="s">
        <v>99</v>
      </c>
      <c r="AD915" s="54"/>
      <c r="AE915" s="55"/>
      <c r="AF915" s="55"/>
      <c r="AG915" s="55"/>
      <c r="AH915" s="56">
        <f t="shared" ref="AH915" si="520">SUM(AD915:AG915)</f>
        <v>0</v>
      </c>
      <c r="AI915" s="54">
        <v>3</v>
      </c>
      <c r="AJ915" s="55"/>
      <c r="AK915" s="55">
        <v>3</v>
      </c>
      <c r="AL915" s="55"/>
      <c r="AM915" s="56">
        <f t="shared" ref="AM915" si="521">SUM(AI915:AL915)</f>
        <v>6</v>
      </c>
      <c r="AN915" s="54"/>
      <c r="AO915" s="55"/>
      <c r="AP915" s="55"/>
      <c r="AQ915" s="55"/>
      <c r="AR915" s="56">
        <f t="shared" ref="AR915" si="522">SUM(AN915:AQ915)</f>
        <v>0</v>
      </c>
      <c r="AS915" s="54"/>
      <c r="AT915" s="55">
        <v>10</v>
      </c>
      <c r="AU915" s="55"/>
      <c r="AV915" s="55"/>
      <c r="AW915" s="56">
        <f t="shared" ref="AW915" si="523">SUM(AS915:AV915)</f>
        <v>10</v>
      </c>
      <c r="AX915" s="55">
        <v>3</v>
      </c>
      <c r="AY915" s="55"/>
      <c r="AZ915" s="55"/>
      <c r="BA915" s="55"/>
      <c r="BB915" s="56">
        <f t="shared" ref="BB915" si="524">SUM(AX915:BA915)</f>
        <v>3</v>
      </c>
      <c r="BC915" s="56">
        <f t="shared" si="493"/>
        <v>19</v>
      </c>
      <c r="BD915" s="298">
        <v>45126</v>
      </c>
      <c r="BE915" s="277"/>
      <c r="BF915" s="54"/>
      <c r="BG915" s="55"/>
      <c r="BH915" s="55"/>
      <c r="BI915" s="55"/>
      <c r="BJ915" s="56">
        <f t="shared" si="486"/>
        <v>0</v>
      </c>
      <c r="BL915" s="277"/>
      <c r="BM915" s="54"/>
      <c r="BN915" s="55"/>
      <c r="BO915" s="55"/>
      <c r="BP915" s="55"/>
      <c r="BQ915" s="56">
        <f t="shared" si="487"/>
        <v>0</v>
      </c>
    </row>
    <row r="916" spans="1:69" x14ac:dyDescent="0.15">
      <c r="A916" s="53" t="s">
        <v>98</v>
      </c>
      <c r="B916" s="54"/>
      <c r="C916" s="55"/>
      <c r="D916" s="55"/>
      <c r="E916" s="55"/>
      <c r="F916" s="56">
        <f t="shared" si="458"/>
        <v>0</v>
      </c>
      <c r="G916" s="54"/>
      <c r="H916" s="55"/>
      <c r="I916" s="55"/>
      <c r="J916" s="55"/>
      <c r="K916" s="56">
        <f t="shared" si="459"/>
        <v>0</v>
      </c>
      <c r="L916" s="54"/>
      <c r="M916" s="55"/>
      <c r="N916" s="55"/>
      <c r="O916" s="55"/>
      <c r="P916" s="56">
        <f t="shared" si="460"/>
        <v>0</v>
      </c>
      <c r="Q916" s="54">
        <v>1</v>
      </c>
      <c r="R916" s="55"/>
      <c r="S916" s="55"/>
      <c r="T916" s="55">
        <v>1</v>
      </c>
      <c r="U916" s="56">
        <f t="shared" si="461"/>
        <v>2</v>
      </c>
      <c r="V916" s="55"/>
      <c r="W916" s="55"/>
      <c r="X916" s="55"/>
      <c r="Y916" s="55">
        <v>2</v>
      </c>
      <c r="Z916" s="56">
        <f t="shared" si="465"/>
        <v>2</v>
      </c>
      <c r="AA916" s="56">
        <f t="shared" si="488"/>
        <v>4</v>
      </c>
      <c r="AB916" s="299">
        <v>45110</v>
      </c>
      <c r="AC916" s="276"/>
      <c r="AD916" s="54"/>
      <c r="AE916" s="55"/>
      <c r="AF916" s="55"/>
      <c r="AG916" s="55"/>
      <c r="AH916" s="56">
        <f t="shared" si="479"/>
        <v>0</v>
      </c>
      <c r="AI916" s="54"/>
      <c r="AJ916" s="55"/>
      <c r="AK916" s="55"/>
      <c r="AL916" s="55"/>
      <c r="AM916" s="56">
        <f t="shared" si="489"/>
        <v>0</v>
      </c>
      <c r="AN916" s="54"/>
      <c r="AO916" s="55"/>
      <c r="AP916" s="55"/>
      <c r="AQ916" s="55"/>
      <c r="AR916" s="56">
        <f t="shared" si="490"/>
        <v>0</v>
      </c>
      <c r="AS916" s="54"/>
      <c r="AT916" s="55"/>
      <c r="AU916" s="55"/>
      <c r="AV916" s="55"/>
      <c r="AW916" s="56">
        <f t="shared" si="491"/>
        <v>0</v>
      </c>
      <c r="AX916" s="55"/>
      <c r="AY916" s="55"/>
      <c r="AZ916" s="55"/>
      <c r="BA916" s="55"/>
      <c r="BB916" s="56">
        <f t="shared" si="492"/>
        <v>0</v>
      </c>
      <c r="BC916" s="56">
        <f t="shared" si="493"/>
        <v>0</v>
      </c>
      <c r="BD916" s="300"/>
      <c r="BE916" s="268"/>
      <c r="BF916" s="62"/>
      <c r="BG916" s="63"/>
      <c r="BH916" s="63"/>
      <c r="BI916" s="63"/>
      <c r="BJ916" s="56">
        <f t="shared" si="486"/>
        <v>0</v>
      </c>
      <c r="BL916" s="268"/>
      <c r="BM916" s="62"/>
      <c r="BN916" s="63"/>
      <c r="BO916" s="63"/>
      <c r="BP916" s="63"/>
      <c r="BQ916" s="56">
        <f t="shared" si="487"/>
        <v>0</v>
      </c>
    </row>
    <row r="917" spans="1:69" x14ac:dyDescent="0.15">
      <c r="A917" s="53" t="s">
        <v>98</v>
      </c>
      <c r="B917" s="54"/>
      <c r="C917" s="55"/>
      <c r="D917" s="55"/>
      <c r="E917" s="55"/>
      <c r="F917" s="56">
        <f t="shared" si="458"/>
        <v>0</v>
      </c>
      <c r="G917" s="54"/>
      <c r="H917" s="55"/>
      <c r="I917" s="55"/>
      <c r="J917" s="55"/>
      <c r="K917" s="56">
        <f t="shared" si="459"/>
        <v>0</v>
      </c>
      <c r="L917" s="54"/>
      <c r="M917" s="55"/>
      <c r="N917" s="55"/>
      <c r="O917" s="55"/>
      <c r="P917" s="56">
        <f t="shared" si="460"/>
        <v>0</v>
      </c>
      <c r="Q917" s="54"/>
      <c r="R917" s="55">
        <v>1</v>
      </c>
      <c r="S917" s="55"/>
      <c r="T917" s="55"/>
      <c r="U917" s="56">
        <f t="shared" si="461"/>
        <v>1</v>
      </c>
      <c r="V917" s="55"/>
      <c r="W917" s="55"/>
      <c r="X917" s="55"/>
      <c r="Y917" s="55"/>
      <c r="Z917" s="56">
        <f t="shared" si="465"/>
        <v>0</v>
      </c>
      <c r="AA917" s="56">
        <f t="shared" si="488"/>
        <v>1</v>
      </c>
      <c r="AB917" s="299">
        <v>45111</v>
      </c>
      <c r="AC917" s="276"/>
      <c r="AD917" s="54"/>
      <c r="AE917" s="55"/>
      <c r="AF917" s="55"/>
      <c r="AG917" s="55"/>
      <c r="AH917" s="56">
        <f t="shared" ref="AH917" si="525">SUM(AD917:AG917)</f>
        <v>0</v>
      </c>
      <c r="AI917" s="54"/>
      <c r="AJ917" s="55"/>
      <c r="AK917" s="55"/>
      <c r="AL917" s="55"/>
      <c r="AM917" s="56">
        <f t="shared" si="480"/>
        <v>0</v>
      </c>
      <c r="AN917" s="54"/>
      <c r="AO917" s="55"/>
      <c r="AP917" s="55"/>
      <c r="AQ917" s="55"/>
      <c r="AR917" s="56">
        <f t="shared" si="483"/>
        <v>0</v>
      </c>
      <c r="AS917" s="54"/>
      <c r="AT917" s="55"/>
      <c r="AU917" s="55"/>
      <c r="AV917" s="55"/>
      <c r="AW917" s="56">
        <f t="shared" si="484"/>
        <v>0</v>
      </c>
      <c r="AX917" s="55"/>
      <c r="AY917" s="55"/>
      <c r="AZ917" s="55"/>
      <c r="BA917" s="55"/>
      <c r="BB917" s="56">
        <f t="shared" si="485"/>
        <v>0</v>
      </c>
      <c r="BC917" s="56">
        <f t="shared" ref="BC917" si="526">AH917+AM917+AR917+AW917+BB917</f>
        <v>0</v>
      </c>
      <c r="BD917" s="300"/>
      <c r="BE917" s="268"/>
      <c r="BF917" s="54"/>
      <c r="BG917" s="55"/>
      <c r="BH917" s="55"/>
      <c r="BI917" s="55"/>
      <c r="BJ917" s="56">
        <f t="shared" si="486"/>
        <v>0</v>
      </c>
      <c r="BL917" s="268"/>
      <c r="BM917" s="54"/>
      <c r="BN917" s="55"/>
      <c r="BO917" s="55"/>
      <c r="BP917" s="55"/>
      <c r="BQ917" s="56">
        <f t="shared" si="487"/>
        <v>0</v>
      </c>
    </row>
    <row r="918" spans="1:69" x14ac:dyDescent="0.15">
      <c r="A918" s="53" t="s">
        <v>98</v>
      </c>
      <c r="B918" s="54"/>
      <c r="C918" s="55"/>
      <c r="D918" s="55"/>
      <c r="E918" s="55"/>
      <c r="F918" s="56">
        <f t="shared" ref="F918:F922" si="527">SUM(B918:E918)</f>
        <v>0</v>
      </c>
      <c r="G918" s="54"/>
      <c r="H918" s="55"/>
      <c r="I918" s="55"/>
      <c r="J918" s="55">
        <v>1</v>
      </c>
      <c r="K918" s="56">
        <f t="shared" ref="K918:K922" si="528">SUM(G918:J918)</f>
        <v>1</v>
      </c>
      <c r="L918" s="54"/>
      <c r="M918" s="55"/>
      <c r="N918" s="55"/>
      <c r="O918" s="55"/>
      <c r="P918" s="56">
        <f t="shared" ref="P918:P922" si="529">SUM(L918:O918)</f>
        <v>0</v>
      </c>
      <c r="Q918" s="54"/>
      <c r="R918" s="55">
        <v>1</v>
      </c>
      <c r="S918" s="55"/>
      <c r="T918" s="55"/>
      <c r="U918" s="56">
        <f t="shared" ref="U918:U922" si="530">SUM(Q918:T918)</f>
        <v>1</v>
      </c>
      <c r="V918" s="55"/>
      <c r="W918" s="55"/>
      <c r="X918" s="55">
        <v>1</v>
      </c>
      <c r="Y918" s="55"/>
      <c r="Z918" s="56">
        <f t="shared" ref="Z918:Z921" si="531">SUM(V918:Y918)</f>
        <v>1</v>
      </c>
      <c r="AA918" s="56">
        <f t="shared" ref="AA918:AA919" si="532">F918+K918+P918+U918+Z918</f>
        <v>3</v>
      </c>
      <c r="AB918" s="298">
        <v>45112</v>
      </c>
      <c r="AC918" s="276"/>
      <c r="AD918" s="54"/>
      <c r="AE918" s="55"/>
      <c r="AF918" s="55"/>
      <c r="AG918" s="55"/>
      <c r="AH918" s="56">
        <f t="shared" ref="AH918:AH920" si="533">SUM(AD918:AG918)</f>
        <v>0</v>
      </c>
      <c r="AI918" s="54"/>
      <c r="AJ918" s="55"/>
      <c r="AK918" s="55"/>
      <c r="AL918" s="55"/>
      <c r="AM918" s="56">
        <f t="shared" ref="AM918:AM920" si="534">SUM(AI918:AL918)</f>
        <v>0</v>
      </c>
      <c r="AN918" s="54"/>
      <c r="AO918" s="55"/>
      <c r="AP918" s="55"/>
      <c r="AQ918" s="55"/>
      <c r="AR918" s="56">
        <f t="shared" ref="AR918:AR920" si="535">SUM(AN918:AQ918)</f>
        <v>0</v>
      </c>
      <c r="AS918" s="54"/>
      <c r="AT918" s="55"/>
      <c r="AU918" s="55"/>
      <c r="AV918" s="55"/>
      <c r="AW918" s="56">
        <f t="shared" ref="AW918:AW920" si="536">SUM(AS918:AV918)</f>
        <v>0</v>
      </c>
      <c r="AX918" s="55"/>
      <c r="AY918" s="55"/>
      <c r="AZ918" s="55"/>
      <c r="BA918" s="55"/>
      <c r="BB918" s="56">
        <f t="shared" ref="BB918:BB920" si="537">SUM(AX918:BA918)</f>
        <v>0</v>
      </c>
      <c r="BC918" s="56">
        <f t="shared" ref="BC918:BC920" si="538">AH918+AM918+AR918+AW918+BB918</f>
        <v>0</v>
      </c>
      <c r="BD918" s="300"/>
      <c r="BE918" s="268"/>
      <c r="BF918" s="62"/>
      <c r="BG918" s="63"/>
      <c r="BH918" s="63"/>
      <c r="BI918" s="63"/>
      <c r="BJ918" s="56">
        <f t="shared" si="486"/>
        <v>0</v>
      </c>
      <c r="BL918" s="268"/>
      <c r="BM918" s="62"/>
      <c r="BN918" s="63"/>
      <c r="BO918" s="63"/>
      <c r="BP918" s="63"/>
      <c r="BQ918" s="56">
        <f t="shared" si="487"/>
        <v>0</v>
      </c>
    </row>
    <row r="919" spans="1:69" x14ac:dyDescent="0.15">
      <c r="A919" s="53" t="s">
        <v>517</v>
      </c>
      <c r="B919" s="54"/>
      <c r="C919" s="55">
        <v>-3</v>
      </c>
      <c r="D919" s="55"/>
      <c r="E919" s="55"/>
      <c r="F919" s="56">
        <f t="shared" si="527"/>
        <v>-3</v>
      </c>
      <c r="G919" s="54"/>
      <c r="H919" s="55"/>
      <c r="I919" s="55"/>
      <c r="J919" s="55">
        <v>-3</v>
      </c>
      <c r="K919" s="56">
        <f t="shared" si="528"/>
        <v>-3</v>
      </c>
      <c r="L919" s="54"/>
      <c r="M919" s="55">
        <v>-3</v>
      </c>
      <c r="N919" s="55"/>
      <c r="O919" s="55"/>
      <c r="P919" s="56">
        <f t="shared" si="529"/>
        <v>-3</v>
      </c>
      <c r="Q919" s="54">
        <v>-3</v>
      </c>
      <c r="R919" s="55">
        <v>-3</v>
      </c>
      <c r="S919" s="55"/>
      <c r="T919" s="55"/>
      <c r="U919" s="56">
        <f t="shared" si="530"/>
        <v>-6</v>
      </c>
      <c r="V919" s="55"/>
      <c r="W919" s="55"/>
      <c r="X919" s="55"/>
      <c r="Y919" s="55"/>
      <c r="Z919" s="56">
        <f t="shared" si="531"/>
        <v>0</v>
      </c>
      <c r="AA919" s="56">
        <f t="shared" si="532"/>
        <v>-15</v>
      </c>
      <c r="AB919" s="298">
        <v>45113</v>
      </c>
      <c r="AC919" s="276"/>
      <c r="AD919" s="54"/>
      <c r="AE919" s="55"/>
      <c r="AF919" s="55"/>
      <c r="AG919" s="55"/>
      <c r="AH919" s="56">
        <f t="shared" si="533"/>
        <v>0</v>
      </c>
      <c r="AI919" s="54"/>
      <c r="AJ919" s="55"/>
      <c r="AK919" s="55"/>
      <c r="AL919" s="55"/>
      <c r="AM919" s="56">
        <f t="shared" si="534"/>
        <v>0</v>
      </c>
      <c r="AN919" s="54"/>
      <c r="AO919" s="55"/>
      <c r="AP919" s="55"/>
      <c r="AQ919" s="55"/>
      <c r="AR919" s="56">
        <f t="shared" si="535"/>
        <v>0</v>
      </c>
      <c r="AS919" s="54"/>
      <c r="AT919" s="55"/>
      <c r="AU919" s="55"/>
      <c r="AV919" s="55"/>
      <c r="AW919" s="56">
        <f t="shared" si="536"/>
        <v>0</v>
      </c>
      <c r="AX919" s="55"/>
      <c r="AY919" s="55"/>
      <c r="AZ919" s="55"/>
      <c r="BA919" s="55"/>
      <c r="BB919" s="56">
        <f t="shared" si="537"/>
        <v>0</v>
      </c>
      <c r="BC919" s="56">
        <f t="shared" si="538"/>
        <v>0</v>
      </c>
      <c r="BD919" s="300"/>
      <c r="BE919" s="277"/>
      <c r="BF919" s="54"/>
      <c r="BG919" s="55"/>
      <c r="BH919" s="55"/>
      <c r="BI919" s="55"/>
      <c r="BJ919" s="56">
        <f t="shared" si="486"/>
        <v>0</v>
      </c>
      <c r="BL919" s="277"/>
      <c r="BM919" s="54"/>
      <c r="BN919" s="55"/>
      <c r="BO919" s="55"/>
      <c r="BP919" s="55"/>
      <c r="BQ919" s="56">
        <f t="shared" si="487"/>
        <v>0</v>
      </c>
    </row>
    <row r="920" spans="1:69" ht="14.25" thickBot="1" x14ac:dyDescent="0.2">
      <c r="A920" s="53" t="s">
        <v>98</v>
      </c>
      <c r="B920" s="33"/>
      <c r="C920" s="34"/>
      <c r="D920" s="34"/>
      <c r="E920" s="34"/>
      <c r="F920" s="30">
        <f t="shared" si="527"/>
        <v>0</v>
      </c>
      <c r="G920" s="33"/>
      <c r="H920" s="34"/>
      <c r="I920" s="34"/>
      <c r="J920" s="34"/>
      <c r="K920" s="30">
        <f t="shared" si="528"/>
        <v>0</v>
      </c>
      <c r="L920" s="33"/>
      <c r="M920" s="34"/>
      <c r="N920" s="34"/>
      <c r="O920" s="34"/>
      <c r="P920" s="30">
        <f t="shared" si="529"/>
        <v>0</v>
      </c>
      <c r="Q920" s="33"/>
      <c r="R920" s="34">
        <v>1</v>
      </c>
      <c r="S920" s="34"/>
      <c r="T920" s="34">
        <f>1+2</f>
        <v>3</v>
      </c>
      <c r="U920" s="30">
        <f t="shared" si="530"/>
        <v>4</v>
      </c>
      <c r="V920" s="34"/>
      <c r="W920" s="34">
        <v>2</v>
      </c>
      <c r="X920" s="34"/>
      <c r="Y920" s="34"/>
      <c r="Z920" s="30">
        <f t="shared" si="531"/>
        <v>2</v>
      </c>
      <c r="AA920" s="56">
        <f>F920+K920+P920+U920+Z920</f>
        <v>6</v>
      </c>
      <c r="AB920" s="299">
        <v>45113</v>
      </c>
      <c r="AC920" s="276"/>
      <c r="AD920" s="54"/>
      <c r="AE920" s="55"/>
      <c r="AF920" s="55"/>
      <c r="AG920" s="55"/>
      <c r="AH920" s="56">
        <f t="shared" si="533"/>
        <v>0</v>
      </c>
      <c r="AI920" s="54"/>
      <c r="AJ920" s="55"/>
      <c r="AK920" s="55"/>
      <c r="AL920" s="55"/>
      <c r="AM920" s="56">
        <f t="shared" si="534"/>
        <v>0</v>
      </c>
      <c r="AN920" s="54"/>
      <c r="AO920" s="55"/>
      <c r="AP920" s="55"/>
      <c r="AQ920" s="55"/>
      <c r="AR920" s="56">
        <f t="shared" si="535"/>
        <v>0</v>
      </c>
      <c r="AS920" s="54"/>
      <c r="AT920" s="55"/>
      <c r="AU920" s="55"/>
      <c r="AV920" s="55"/>
      <c r="AW920" s="56">
        <f t="shared" si="536"/>
        <v>0</v>
      </c>
      <c r="AX920" s="55"/>
      <c r="AY920" s="55"/>
      <c r="AZ920" s="55"/>
      <c r="BA920" s="55"/>
      <c r="BB920" s="56">
        <f t="shared" si="537"/>
        <v>0</v>
      </c>
      <c r="BC920" s="56">
        <f t="shared" si="538"/>
        <v>0</v>
      </c>
      <c r="BD920" s="300"/>
      <c r="BE920" s="282"/>
      <c r="BF920" s="33"/>
      <c r="BG920" s="34"/>
      <c r="BH920" s="34"/>
      <c r="BI920" s="34"/>
      <c r="BJ920" s="30">
        <f t="shared" si="486"/>
        <v>0</v>
      </c>
      <c r="BL920" s="282"/>
      <c r="BM920" s="33"/>
      <c r="BN920" s="34"/>
      <c r="BO920" s="34"/>
      <c r="BP920" s="34"/>
      <c r="BQ920" s="30">
        <f t="shared" si="487"/>
        <v>0</v>
      </c>
    </row>
    <row r="921" spans="1:69" ht="15" thickBot="1" x14ac:dyDescent="0.2">
      <c r="A921" s="9" t="s">
        <v>15</v>
      </c>
      <c r="B921" s="36">
        <f>SUM(B895:B920)</f>
        <v>0</v>
      </c>
      <c r="C921" s="37">
        <f>SUM(C895:C920)</f>
        <v>-2</v>
      </c>
      <c r="D921" s="37">
        <f>SUM(D895:D920)</f>
        <v>1</v>
      </c>
      <c r="E921" s="38">
        <f>SUM(E895:E920)</f>
        <v>0</v>
      </c>
      <c r="F921" s="25">
        <f t="shared" si="527"/>
        <v>-1</v>
      </c>
      <c r="G921" s="36">
        <f>SUM(G895:G920)</f>
        <v>4</v>
      </c>
      <c r="H921" s="37">
        <f>SUM(H895:H920)</f>
        <v>5</v>
      </c>
      <c r="I921" s="37">
        <f>SUM(I895:I920)</f>
        <v>3</v>
      </c>
      <c r="J921" s="38">
        <f>SUM(J895:J920)</f>
        <v>3</v>
      </c>
      <c r="K921" s="25">
        <f t="shared" si="528"/>
        <v>15</v>
      </c>
      <c r="L921" s="36">
        <f>SUM(L895:L920)</f>
        <v>1</v>
      </c>
      <c r="M921" s="37">
        <f>SUM(M895:M920)</f>
        <v>-1</v>
      </c>
      <c r="N921" s="37">
        <f>SUM(N895:N920)</f>
        <v>1</v>
      </c>
      <c r="O921" s="38">
        <f>SUM(O895:O920)</f>
        <v>2</v>
      </c>
      <c r="P921" s="25">
        <f t="shared" si="529"/>
        <v>3</v>
      </c>
      <c r="Q921" s="36">
        <f>SUM(Q895:Q920)</f>
        <v>1</v>
      </c>
      <c r="R921" s="37">
        <f>SUM(R895:R920)</f>
        <v>4</v>
      </c>
      <c r="S921" s="37">
        <f>SUM(S895:S920)</f>
        <v>4</v>
      </c>
      <c r="T921" s="38">
        <f>SUM(T895:T920)</f>
        <v>11</v>
      </c>
      <c r="U921" s="25">
        <f t="shared" si="530"/>
        <v>20</v>
      </c>
      <c r="V921" s="322">
        <f>SUM(V895:V920)</f>
        <v>1</v>
      </c>
      <c r="W921" s="37">
        <f>SUM(W895:W920)</f>
        <v>3</v>
      </c>
      <c r="X921" s="37">
        <f>SUM(X895:X920)</f>
        <v>2</v>
      </c>
      <c r="Y921" s="38">
        <f>SUM(Y895:Y920)</f>
        <v>2</v>
      </c>
      <c r="Z921" s="25">
        <f t="shared" si="531"/>
        <v>8</v>
      </c>
      <c r="AA921" s="161">
        <f>F921+K921+P921+U921+Z921</f>
        <v>45</v>
      </c>
      <c r="AC921" s="278" t="s">
        <v>15</v>
      </c>
      <c r="AD921" s="36">
        <f>SUM(AD895:AD920)</f>
        <v>4</v>
      </c>
      <c r="AE921" s="37">
        <f>SUM(AE895:AE920)</f>
        <v>12</v>
      </c>
      <c r="AF921" s="37">
        <f>SUM(AF895:AF920)</f>
        <v>3</v>
      </c>
      <c r="AG921" s="38">
        <f>SUM(AG895:AG920)</f>
        <v>5</v>
      </c>
      <c r="AH921" s="25">
        <f t="shared" ref="AH921:AH922" si="539">SUM(AD921:AG921)</f>
        <v>24</v>
      </c>
      <c r="AI921" s="36">
        <f>SUM(AI895:AI920)</f>
        <v>25</v>
      </c>
      <c r="AJ921" s="37">
        <f>SUM(AJ895:AJ920)</f>
        <v>13</v>
      </c>
      <c r="AK921" s="37">
        <f>SUM(AK895:AK920)</f>
        <v>14</v>
      </c>
      <c r="AL921" s="38">
        <f>SUM(AL895:AL920)</f>
        <v>23</v>
      </c>
      <c r="AM921" s="25">
        <f t="shared" si="480"/>
        <v>75</v>
      </c>
      <c r="AN921" s="36">
        <f>SUM(AN895:AN920)</f>
        <v>5</v>
      </c>
      <c r="AO921" s="37">
        <f>SUM(AO895:AO920)</f>
        <v>6</v>
      </c>
      <c r="AP921" s="37">
        <f>SUM(AP895:AP920)</f>
        <v>6</v>
      </c>
      <c r="AQ921" s="38">
        <f>SUM(AQ895:AQ920)</f>
        <v>4</v>
      </c>
      <c r="AR921" s="25">
        <f t="shared" si="483"/>
        <v>21</v>
      </c>
      <c r="AS921" s="36">
        <f>SUM(AS895:AS920)</f>
        <v>12</v>
      </c>
      <c r="AT921" s="37">
        <f>SUM(AT895:AT920)</f>
        <v>23</v>
      </c>
      <c r="AU921" s="37">
        <f>SUM(AU895:AU920)</f>
        <v>7</v>
      </c>
      <c r="AV921" s="38">
        <f>SUM(AV895:AV920)</f>
        <v>21</v>
      </c>
      <c r="AW921" s="25">
        <f t="shared" si="484"/>
        <v>63</v>
      </c>
      <c r="AX921" s="322">
        <f>SUM(AX895:AX920)</f>
        <v>3</v>
      </c>
      <c r="AY921" s="37">
        <f>SUM(AY895:AY920)</f>
        <v>0</v>
      </c>
      <c r="AZ921" s="37">
        <f>SUM(AZ895:AZ920)</f>
        <v>5</v>
      </c>
      <c r="BA921" s="38">
        <f>SUM(BA895:BA920)</f>
        <v>0</v>
      </c>
      <c r="BB921" s="25">
        <f t="shared" si="485"/>
        <v>8</v>
      </c>
      <c r="BC921" s="161">
        <f>AH921+AM921+AR921+AW921+BB921</f>
        <v>191</v>
      </c>
      <c r="BE921" s="278" t="s">
        <v>15</v>
      </c>
      <c r="BF921" s="312">
        <f>SUM(BF895:BF920)</f>
        <v>0</v>
      </c>
      <c r="BG921" s="302">
        <f>SUM(BG895:BG920)</f>
        <v>0</v>
      </c>
      <c r="BH921" s="37">
        <f>SUM(BH895:BH920)</f>
        <v>0</v>
      </c>
      <c r="BI921" s="38">
        <f>SUM(BI895:BI920)</f>
        <v>1</v>
      </c>
      <c r="BJ921" s="25">
        <f t="shared" si="486"/>
        <v>1</v>
      </c>
      <c r="BL921" s="278" t="s">
        <v>15</v>
      </c>
      <c r="BM921" s="312">
        <f>SUM(BM895:BM920)</f>
        <v>0</v>
      </c>
      <c r="BN921" s="302">
        <f>SUM(BN895:BN920)</f>
        <v>0</v>
      </c>
      <c r="BO921" s="37">
        <f>SUM(BO895:BO920)</f>
        <v>0</v>
      </c>
      <c r="BP921" s="316">
        <f>SUM(BP895:BP920)</f>
        <v>0</v>
      </c>
      <c r="BQ921" s="25">
        <f t="shared" si="487"/>
        <v>0</v>
      </c>
    </row>
    <row r="922" spans="1:69" ht="14.25" thickBot="1" x14ac:dyDescent="0.2">
      <c r="A922" s="39" t="s">
        <v>16</v>
      </c>
      <c r="B922" s="40">
        <f>B894-B921</f>
        <v>5</v>
      </c>
      <c r="C922" s="41">
        <f>C894-C921</f>
        <v>7</v>
      </c>
      <c r="D922" s="41">
        <f>D894-D921</f>
        <v>6</v>
      </c>
      <c r="E922" s="42">
        <f>E894-E921</f>
        <v>6</v>
      </c>
      <c r="F922" s="171">
        <f t="shared" si="527"/>
        <v>24</v>
      </c>
      <c r="G922" s="40">
        <f>G894-G921</f>
        <v>6</v>
      </c>
      <c r="H922" s="41">
        <f>H894-H921</f>
        <v>6</v>
      </c>
      <c r="I922" s="41">
        <f>I894-I921</f>
        <v>6</v>
      </c>
      <c r="J922" s="42">
        <f>J894-J921</f>
        <v>7</v>
      </c>
      <c r="K922" s="171">
        <f t="shared" si="528"/>
        <v>25</v>
      </c>
      <c r="L922" s="40">
        <f>L894-L921</f>
        <v>4</v>
      </c>
      <c r="M922" s="41">
        <f>M894-M921</f>
        <v>6</v>
      </c>
      <c r="N922" s="41">
        <f>N894-N921</f>
        <v>5</v>
      </c>
      <c r="O922" s="42">
        <f>O894-O921</f>
        <v>4</v>
      </c>
      <c r="P922" s="171">
        <f t="shared" si="529"/>
        <v>19</v>
      </c>
      <c r="Q922" s="40">
        <f>Q894-Q921</f>
        <v>6</v>
      </c>
      <c r="R922" s="41">
        <f>R894-R921</f>
        <v>6</v>
      </c>
      <c r="S922" s="41">
        <f>S894-S921</f>
        <v>5</v>
      </c>
      <c r="T922" s="42">
        <f>T894-T921</f>
        <v>2</v>
      </c>
      <c r="U922" s="171">
        <f t="shared" si="530"/>
        <v>19</v>
      </c>
      <c r="V922" s="323">
        <f>V894-V921</f>
        <v>4</v>
      </c>
      <c r="W922" s="41">
        <f>W894-W921</f>
        <v>4</v>
      </c>
      <c r="X922" s="41">
        <f>X894-X921</f>
        <v>6</v>
      </c>
      <c r="Y922" s="42">
        <f>Y894-Y921</f>
        <v>4</v>
      </c>
      <c r="Z922" s="171">
        <f>SUM(V922:Y922)</f>
        <v>18</v>
      </c>
      <c r="AA922" s="77">
        <f>F922+K922+P922+U922+Z922</f>
        <v>105</v>
      </c>
      <c r="AC922" s="279" t="s">
        <v>16</v>
      </c>
      <c r="AD922" s="40">
        <f>AD894-AD921</f>
        <v>38</v>
      </c>
      <c r="AE922" s="41">
        <f>AE894-AE921</f>
        <v>45</v>
      </c>
      <c r="AF922" s="41">
        <f>AF894-AF921</f>
        <v>109</v>
      </c>
      <c r="AG922" s="42">
        <f>AG894-AG921</f>
        <v>43</v>
      </c>
      <c r="AH922" s="171">
        <f t="shared" si="539"/>
        <v>235</v>
      </c>
      <c r="AI922" s="40">
        <f>AI894-AI921</f>
        <v>118</v>
      </c>
      <c r="AJ922" s="41">
        <f>AJ894-AJ921</f>
        <v>204</v>
      </c>
      <c r="AK922" s="41">
        <f>AK894-AK921</f>
        <v>74</v>
      </c>
      <c r="AL922" s="42">
        <f>AL894-AL921</f>
        <v>68</v>
      </c>
      <c r="AM922" s="171">
        <f t="shared" si="480"/>
        <v>464</v>
      </c>
      <c r="AN922" s="40">
        <f>AN894-AN921</f>
        <v>47</v>
      </c>
      <c r="AO922" s="41">
        <f>AO894-AO921</f>
        <v>68</v>
      </c>
      <c r="AP922" s="41">
        <f>AP894-AP921</f>
        <v>46</v>
      </c>
      <c r="AQ922" s="42">
        <f>AQ894-AQ921</f>
        <v>28</v>
      </c>
      <c r="AR922" s="171">
        <f t="shared" si="483"/>
        <v>189</v>
      </c>
      <c r="AS922" s="40">
        <f>AS894-AS921</f>
        <v>134</v>
      </c>
      <c r="AT922" s="41">
        <f>AT894-AT921</f>
        <v>214</v>
      </c>
      <c r="AU922" s="41">
        <f>AU894-AU921</f>
        <v>94</v>
      </c>
      <c r="AV922" s="42">
        <f>AV894-AV921</f>
        <v>83</v>
      </c>
      <c r="AW922" s="171">
        <f t="shared" si="484"/>
        <v>525</v>
      </c>
      <c r="AX922" s="323">
        <f>AX894-AX921</f>
        <v>122</v>
      </c>
      <c r="AY922" s="41">
        <f>AY894-AY921</f>
        <v>115</v>
      </c>
      <c r="AZ922" s="41">
        <f>AZ894-AZ921</f>
        <v>56</v>
      </c>
      <c r="BA922" s="42">
        <f>BA894-BA921</f>
        <v>65</v>
      </c>
      <c r="BB922" s="171">
        <f>SUM(AX922:BA922)</f>
        <v>358</v>
      </c>
      <c r="BC922" s="77">
        <f>AH922+AM922+AR922+AW922+BB922</f>
        <v>1771</v>
      </c>
      <c r="BE922" s="279" t="s">
        <v>16</v>
      </c>
      <c r="BF922" s="313">
        <f>BF894-BF921</f>
        <v>0</v>
      </c>
      <c r="BG922" s="303">
        <f>BG894-BG921</f>
        <v>0</v>
      </c>
      <c r="BH922" s="41">
        <f>BH894-BH921</f>
        <v>8</v>
      </c>
      <c r="BI922" s="42">
        <f>BI894-BI921</f>
        <v>2</v>
      </c>
      <c r="BJ922" s="171">
        <f t="shared" si="486"/>
        <v>10</v>
      </c>
      <c r="BL922" s="279" t="s">
        <v>16</v>
      </c>
      <c r="BM922" s="313">
        <f>BM894-BM921</f>
        <v>0</v>
      </c>
      <c r="BN922" s="303">
        <f>BN894-BN921</f>
        <v>0</v>
      </c>
      <c r="BO922" s="41">
        <f>BO894-BO921</f>
        <v>21</v>
      </c>
      <c r="BP922" s="317">
        <f>BP894-BP921</f>
        <v>0</v>
      </c>
      <c r="BQ922" s="171">
        <f t="shared" si="487"/>
        <v>21</v>
      </c>
    </row>
    <row r="923" spans="1:69" x14ac:dyDescent="0.15">
      <c r="AD923" s="314"/>
      <c r="AE923" s="314"/>
      <c r="AF923" s="314"/>
      <c r="AG923" s="314"/>
      <c r="AH923" s="314"/>
      <c r="AI923" s="314"/>
      <c r="AJ923" s="314"/>
      <c r="AK923" s="314"/>
      <c r="AL923" s="314"/>
      <c r="AM923" s="314"/>
      <c r="AN923" s="314"/>
      <c r="AO923" s="314"/>
      <c r="AP923" s="314"/>
      <c r="AQ923" s="314"/>
      <c r="AR923" s="314"/>
      <c r="AS923" s="314"/>
      <c r="AT923" s="314"/>
      <c r="AU923" s="314"/>
      <c r="AV923" s="314"/>
      <c r="AW923" s="314"/>
      <c r="AX923" s="314"/>
      <c r="AY923" s="314"/>
      <c r="AZ923" s="314"/>
      <c r="BA923" s="314"/>
      <c r="BB923" s="314"/>
    </row>
    <row r="925" spans="1:69" ht="19.5" thickBot="1" x14ac:dyDescent="0.25">
      <c r="A925" s="185" t="s">
        <v>19</v>
      </c>
      <c r="B925" s="186"/>
      <c r="C925" s="186"/>
      <c r="D925" s="186"/>
      <c r="E925" s="186"/>
      <c r="F925" s="18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C925" s="187" t="s">
        <v>73</v>
      </c>
      <c r="AD925" s="188"/>
      <c r="AE925" s="188"/>
      <c r="AF925" s="188"/>
      <c r="AG925" s="188"/>
      <c r="AH925" s="188"/>
      <c r="AI925" s="188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E925" s="185" t="s">
        <v>19</v>
      </c>
      <c r="BF925" s="186"/>
      <c r="BG925" s="186"/>
      <c r="BH925" s="186"/>
      <c r="BI925" s="186"/>
      <c r="BJ925" s="186"/>
      <c r="BL925" s="187" t="s">
        <v>73</v>
      </c>
      <c r="BM925" s="188"/>
      <c r="BN925" s="188"/>
      <c r="BO925" s="188"/>
      <c r="BP925" s="188"/>
      <c r="BQ925" s="188"/>
    </row>
    <row r="926" spans="1:69" ht="14.25" thickBot="1" x14ac:dyDescent="0.2">
      <c r="A926" s="3" t="s">
        <v>0</v>
      </c>
      <c r="B926" s="365" t="s">
        <v>17</v>
      </c>
      <c r="C926" s="366"/>
      <c r="D926" s="366"/>
      <c r="E926" s="366"/>
      <c r="F926" s="367"/>
      <c r="G926" s="368" t="s">
        <v>18</v>
      </c>
      <c r="H926" s="369"/>
      <c r="I926" s="369"/>
      <c r="J926" s="369"/>
      <c r="K926" s="370"/>
      <c r="L926" s="371" t="s">
        <v>320</v>
      </c>
      <c r="M926" s="372"/>
      <c r="N926" s="372"/>
      <c r="O926" s="372"/>
      <c r="P926" s="373"/>
      <c r="Q926" s="355" t="s">
        <v>75</v>
      </c>
      <c r="R926" s="356"/>
      <c r="S926" s="356"/>
      <c r="T926" s="356"/>
      <c r="U926" s="357"/>
      <c r="V926" s="358" t="s">
        <v>456</v>
      </c>
      <c r="W926" s="358"/>
      <c r="X926" s="358"/>
      <c r="Y926" s="358"/>
      <c r="Z926" s="359"/>
      <c r="AA926" s="360" t="s">
        <v>1</v>
      </c>
      <c r="AC926" s="271" t="s">
        <v>0</v>
      </c>
      <c r="AD926" s="365" t="s">
        <v>17</v>
      </c>
      <c r="AE926" s="366"/>
      <c r="AF926" s="366"/>
      <c r="AG926" s="366"/>
      <c r="AH926" s="367"/>
      <c r="AI926" s="368" t="s">
        <v>18</v>
      </c>
      <c r="AJ926" s="369"/>
      <c r="AK926" s="369"/>
      <c r="AL926" s="369"/>
      <c r="AM926" s="370"/>
      <c r="AN926" s="371" t="s">
        <v>320</v>
      </c>
      <c r="AO926" s="372"/>
      <c r="AP926" s="372"/>
      <c r="AQ926" s="372"/>
      <c r="AR926" s="373"/>
      <c r="AS926" s="355" t="s">
        <v>75</v>
      </c>
      <c r="AT926" s="356"/>
      <c r="AU926" s="356"/>
      <c r="AV926" s="356"/>
      <c r="AW926" s="357"/>
      <c r="AX926" s="358" t="s">
        <v>456</v>
      </c>
      <c r="AY926" s="358"/>
      <c r="AZ926" s="358"/>
      <c r="BA926" s="358"/>
      <c r="BB926" s="359"/>
      <c r="BC926" s="360" t="s">
        <v>1</v>
      </c>
      <c r="BE926" s="271" t="s">
        <v>0</v>
      </c>
      <c r="BF926" s="362" t="s">
        <v>38</v>
      </c>
      <c r="BG926" s="363"/>
      <c r="BH926" s="363"/>
      <c r="BI926" s="363"/>
      <c r="BJ926" s="364"/>
      <c r="BL926" s="271" t="s">
        <v>0</v>
      </c>
      <c r="BM926" s="362" t="s">
        <v>38</v>
      </c>
      <c r="BN926" s="363"/>
      <c r="BO926" s="363"/>
      <c r="BP926" s="363"/>
      <c r="BQ926" s="364"/>
    </row>
    <row r="927" spans="1:69" ht="14.25" thickBot="1" x14ac:dyDescent="0.2">
      <c r="A927" s="5" t="s">
        <v>2</v>
      </c>
      <c r="B927" s="6" t="s">
        <v>3</v>
      </c>
      <c r="C927" s="7" t="s">
        <v>4</v>
      </c>
      <c r="D927" s="7" t="s">
        <v>5</v>
      </c>
      <c r="E927" s="8" t="s">
        <v>6</v>
      </c>
      <c r="F927" s="5" t="s">
        <v>7</v>
      </c>
      <c r="G927" s="6" t="s">
        <v>3</v>
      </c>
      <c r="H927" s="7" t="s">
        <v>4</v>
      </c>
      <c r="I927" s="7" t="s">
        <v>5</v>
      </c>
      <c r="J927" s="8" t="s">
        <v>6</v>
      </c>
      <c r="K927" s="5" t="s">
        <v>7</v>
      </c>
      <c r="L927" s="6" t="s">
        <v>3</v>
      </c>
      <c r="M927" s="7" t="s">
        <v>4</v>
      </c>
      <c r="N927" s="7" t="s">
        <v>5</v>
      </c>
      <c r="O927" s="8" t="s">
        <v>6</v>
      </c>
      <c r="P927" s="5" t="s">
        <v>7</v>
      </c>
      <c r="Q927" s="6" t="s">
        <v>3</v>
      </c>
      <c r="R927" s="7" t="s">
        <v>4</v>
      </c>
      <c r="S927" s="7" t="s">
        <v>5</v>
      </c>
      <c r="T927" s="8" t="s">
        <v>6</v>
      </c>
      <c r="U927" s="5" t="s">
        <v>7</v>
      </c>
      <c r="V927" s="7" t="s">
        <v>3</v>
      </c>
      <c r="W927" s="7" t="s">
        <v>4</v>
      </c>
      <c r="X927" s="7" t="s">
        <v>5</v>
      </c>
      <c r="Y927" s="8" t="s">
        <v>6</v>
      </c>
      <c r="Z927" s="5" t="s">
        <v>7</v>
      </c>
      <c r="AA927" s="361"/>
      <c r="AC927" s="272" t="s">
        <v>2</v>
      </c>
      <c r="AD927" s="6" t="s">
        <v>3</v>
      </c>
      <c r="AE927" s="7" t="s">
        <v>4</v>
      </c>
      <c r="AF927" s="7" t="s">
        <v>5</v>
      </c>
      <c r="AG927" s="8" t="s">
        <v>6</v>
      </c>
      <c r="AH927" s="5" t="s">
        <v>7</v>
      </c>
      <c r="AI927" s="6" t="s">
        <v>3</v>
      </c>
      <c r="AJ927" s="7" t="s">
        <v>4</v>
      </c>
      <c r="AK927" s="7" t="s">
        <v>5</v>
      </c>
      <c r="AL927" s="8" t="s">
        <v>6</v>
      </c>
      <c r="AM927" s="5" t="s">
        <v>7</v>
      </c>
      <c r="AN927" s="6" t="s">
        <v>3</v>
      </c>
      <c r="AO927" s="7" t="s">
        <v>4</v>
      </c>
      <c r="AP927" s="7" t="s">
        <v>5</v>
      </c>
      <c r="AQ927" s="8" t="s">
        <v>6</v>
      </c>
      <c r="AR927" s="5" t="s">
        <v>7</v>
      </c>
      <c r="AS927" s="6" t="s">
        <v>3</v>
      </c>
      <c r="AT927" s="7" t="s">
        <v>4</v>
      </c>
      <c r="AU927" s="7" t="s">
        <v>5</v>
      </c>
      <c r="AV927" s="8" t="s">
        <v>6</v>
      </c>
      <c r="AW927" s="5" t="s">
        <v>7</v>
      </c>
      <c r="AX927" s="7" t="s">
        <v>3</v>
      </c>
      <c r="AY927" s="7" t="s">
        <v>4</v>
      </c>
      <c r="AZ927" s="7" t="s">
        <v>5</v>
      </c>
      <c r="BA927" s="8" t="s">
        <v>6</v>
      </c>
      <c r="BB927" s="5" t="s">
        <v>7</v>
      </c>
      <c r="BC927" s="361"/>
      <c r="BE927" s="272" t="s">
        <v>2</v>
      </c>
      <c r="BF927" s="6" t="s">
        <v>3</v>
      </c>
      <c r="BG927" s="7" t="s">
        <v>4</v>
      </c>
      <c r="BH927" s="7" t="s">
        <v>5</v>
      </c>
      <c r="BI927" s="8" t="s">
        <v>6</v>
      </c>
      <c r="BJ927" s="5" t="s">
        <v>7</v>
      </c>
      <c r="BL927" s="272" t="s">
        <v>2</v>
      </c>
      <c r="BM927" s="6" t="s">
        <v>3</v>
      </c>
      <c r="BN927" s="7" t="s">
        <v>4</v>
      </c>
      <c r="BO927" s="7" t="s">
        <v>5</v>
      </c>
      <c r="BP927" s="8" t="s">
        <v>6</v>
      </c>
      <c r="BQ927" s="5" t="s">
        <v>7</v>
      </c>
    </row>
    <row r="928" spans="1:69" ht="15" thickBot="1" x14ac:dyDescent="0.2">
      <c r="A928" s="291" t="s">
        <v>30</v>
      </c>
      <c r="B928" s="292">
        <f>B922</f>
        <v>5</v>
      </c>
      <c r="C928" s="292">
        <f>C922</f>
        <v>7</v>
      </c>
      <c r="D928" s="292">
        <f>D922</f>
        <v>6</v>
      </c>
      <c r="E928" s="293">
        <f>E922</f>
        <v>6</v>
      </c>
      <c r="F928" s="77">
        <f t="shared" ref="F928:F936" si="540">SUM(B928:E928)</f>
        <v>24</v>
      </c>
      <c r="G928" s="292">
        <f>G922</f>
        <v>6</v>
      </c>
      <c r="H928" s="292">
        <f>H922</f>
        <v>6</v>
      </c>
      <c r="I928" s="292">
        <f>I922</f>
        <v>6</v>
      </c>
      <c r="J928" s="293">
        <f>J922</f>
        <v>7</v>
      </c>
      <c r="K928" s="77">
        <f t="shared" ref="K928:K936" si="541">SUM(G928:J928)</f>
        <v>25</v>
      </c>
      <c r="L928" s="292">
        <f>L922</f>
        <v>4</v>
      </c>
      <c r="M928" s="292">
        <f>M922</f>
        <v>6</v>
      </c>
      <c r="N928" s="292">
        <f>N922</f>
        <v>5</v>
      </c>
      <c r="O928" s="293">
        <f>O922</f>
        <v>4</v>
      </c>
      <c r="P928" s="77">
        <f t="shared" ref="P928:P936" si="542">SUM(L928:O928)</f>
        <v>19</v>
      </c>
      <c r="Q928" s="324">
        <f>Q922</f>
        <v>6</v>
      </c>
      <c r="R928" s="292">
        <f>R922</f>
        <v>6</v>
      </c>
      <c r="S928" s="292">
        <f>S922</f>
        <v>5</v>
      </c>
      <c r="T928" s="293">
        <f>T922</f>
        <v>2</v>
      </c>
      <c r="U928" s="77">
        <f t="shared" ref="U928:U936" si="543">SUM(Q928:T928)</f>
        <v>19</v>
      </c>
      <c r="V928" s="324">
        <f>V922</f>
        <v>4</v>
      </c>
      <c r="W928" s="292">
        <f>W922</f>
        <v>4</v>
      </c>
      <c r="X928" s="292">
        <f>X922</f>
        <v>6</v>
      </c>
      <c r="Y928" s="293">
        <f>Y922</f>
        <v>4</v>
      </c>
      <c r="Z928" s="77">
        <f t="shared" ref="Z928" si="544">SUM(V928:Y928)</f>
        <v>18</v>
      </c>
      <c r="AA928" s="77">
        <f>F928+K928+P928+U928+Z928</f>
        <v>105</v>
      </c>
      <c r="AC928" s="294" t="s">
        <v>30</v>
      </c>
      <c r="AD928" s="292">
        <f>AD922</f>
        <v>38</v>
      </c>
      <c r="AE928" s="292">
        <f>AE922</f>
        <v>45</v>
      </c>
      <c r="AF928" s="292">
        <f>AF922</f>
        <v>109</v>
      </c>
      <c r="AG928" s="293">
        <f>AG922</f>
        <v>43</v>
      </c>
      <c r="AH928" s="77">
        <f>SUM(AD928:AG928)</f>
        <v>235</v>
      </c>
      <c r="AI928" s="292">
        <f>AI922</f>
        <v>118</v>
      </c>
      <c r="AJ928" s="292">
        <f>AJ922</f>
        <v>204</v>
      </c>
      <c r="AK928" s="292">
        <f>AK922</f>
        <v>74</v>
      </c>
      <c r="AL928" s="293">
        <f>AL922</f>
        <v>68</v>
      </c>
      <c r="AM928" s="77">
        <f>SUM(AI928:AL928)</f>
        <v>464</v>
      </c>
      <c r="AN928" s="292">
        <f>AN922</f>
        <v>47</v>
      </c>
      <c r="AO928" s="292">
        <f>AO922</f>
        <v>68</v>
      </c>
      <c r="AP928" s="292">
        <f>AP922</f>
        <v>46</v>
      </c>
      <c r="AQ928" s="293">
        <f>AQ922</f>
        <v>28</v>
      </c>
      <c r="AR928" s="77">
        <f>SUM(AN928:AQ928)</f>
        <v>189</v>
      </c>
      <c r="AS928" s="324">
        <f>AS922</f>
        <v>134</v>
      </c>
      <c r="AT928" s="292">
        <f>AT922</f>
        <v>214</v>
      </c>
      <c r="AU928" s="292">
        <f>AU922</f>
        <v>94</v>
      </c>
      <c r="AV928" s="293">
        <f>AV922</f>
        <v>83</v>
      </c>
      <c r="AW928" s="77">
        <f>SUM(AS928:AV928)</f>
        <v>525</v>
      </c>
      <c r="AX928" s="324">
        <f>AX922</f>
        <v>122</v>
      </c>
      <c r="AY928" s="292">
        <f>AY922</f>
        <v>115</v>
      </c>
      <c r="AZ928" s="292">
        <f>AZ922</f>
        <v>56</v>
      </c>
      <c r="BA928" s="293">
        <f>BA922</f>
        <v>65</v>
      </c>
      <c r="BB928" s="77">
        <f>SUM(AX928:BA928)</f>
        <v>358</v>
      </c>
      <c r="BC928" s="77">
        <f>AH928+AM928+AR928+AW928+BB928</f>
        <v>1771</v>
      </c>
      <c r="BE928" s="294" t="s">
        <v>30</v>
      </c>
      <c r="BF928" s="40">
        <f>BF922</f>
        <v>0</v>
      </c>
      <c r="BG928" s="41">
        <f t="shared" ref="BG928:BJ928" si="545">BG922</f>
        <v>0</v>
      </c>
      <c r="BH928" s="41">
        <f t="shared" si="545"/>
        <v>8</v>
      </c>
      <c r="BI928" s="42">
        <f t="shared" si="545"/>
        <v>2</v>
      </c>
      <c r="BJ928" s="171">
        <f t="shared" si="545"/>
        <v>10</v>
      </c>
      <c r="BL928" s="294" t="s">
        <v>30</v>
      </c>
      <c r="BM928" s="292">
        <f>BM922</f>
        <v>0</v>
      </c>
      <c r="BN928" s="292">
        <f t="shared" ref="BN928:BQ928" si="546">BN922</f>
        <v>0</v>
      </c>
      <c r="BO928" s="292">
        <f t="shared" si="546"/>
        <v>21</v>
      </c>
      <c r="BP928" s="292">
        <f t="shared" si="546"/>
        <v>0</v>
      </c>
      <c r="BQ928" s="77">
        <f t="shared" si="546"/>
        <v>21</v>
      </c>
    </row>
    <row r="929" spans="1:69" x14ac:dyDescent="0.15">
      <c r="A929" s="53" t="s">
        <v>111</v>
      </c>
      <c r="B929" s="55"/>
      <c r="C929" s="153"/>
      <c r="D929" s="153"/>
      <c r="E929" s="168"/>
      <c r="F929" s="56">
        <f t="shared" si="540"/>
        <v>0</v>
      </c>
      <c r="G929" s="55"/>
      <c r="H929" s="153"/>
      <c r="I929" s="153"/>
      <c r="J929" s="168"/>
      <c r="K929" s="56">
        <f t="shared" si="541"/>
        <v>0</v>
      </c>
      <c r="L929" s="55"/>
      <c r="M929" s="153"/>
      <c r="N929" s="153"/>
      <c r="O929" s="168"/>
      <c r="P929" s="56">
        <f t="shared" si="542"/>
        <v>0</v>
      </c>
      <c r="Q929" s="54">
        <v>3</v>
      </c>
      <c r="R929" s="153">
        <v>3</v>
      </c>
      <c r="S929" s="153">
        <v>3</v>
      </c>
      <c r="T929" s="168">
        <v>5</v>
      </c>
      <c r="U929" s="56">
        <f t="shared" si="543"/>
        <v>14</v>
      </c>
      <c r="V929" s="55"/>
      <c r="W929" s="153"/>
      <c r="X929" s="153"/>
      <c r="Y929" s="168">
        <v>3</v>
      </c>
      <c r="Z929" s="56">
        <f t="shared" ref="Z929:Z933" si="547">SUM(V929:Y929)</f>
        <v>3</v>
      </c>
      <c r="AA929" s="49">
        <f t="shared" ref="AA929:AA933" si="548">F929+K929+P929+U929+Z929</f>
        <v>17</v>
      </c>
      <c r="AB929" s="298">
        <v>45117</v>
      </c>
      <c r="AC929" s="268" t="s">
        <v>436</v>
      </c>
      <c r="AD929" s="51"/>
      <c r="AE929" s="52"/>
      <c r="AF929" s="52"/>
      <c r="AG929" s="52"/>
      <c r="AH929" s="49">
        <f t="shared" ref="AH929" si="549">SUM(AD929:AG929)</f>
        <v>0</v>
      </c>
      <c r="AI929" s="51"/>
      <c r="AJ929" s="52">
        <v>4</v>
      </c>
      <c r="AK929" s="52"/>
      <c r="AL929" s="52"/>
      <c r="AM929" s="49">
        <f t="shared" ref="AM929" si="550">SUM(AI929:AL929)</f>
        <v>4</v>
      </c>
      <c r="AN929" s="51"/>
      <c r="AO929" s="52"/>
      <c r="AP929" s="52"/>
      <c r="AQ929" s="52"/>
      <c r="AR929" s="49">
        <f t="shared" ref="AR929" si="551">SUM(AN929:AQ929)</f>
        <v>0</v>
      </c>
      <c r="AS929" s="51"/>
      <c r="AT929" s="52"/>
      <c r="AU929" s="52"/>
      <c r="AV929" s="52"/>
      <c r="AW929" s="49">
        <f t="shared" ref="AW929" si="552">SUM(AS929:AV929)</f>
        <v>0</v>
      </c>
      <c r="AX929" s="52"/>
      <c r="AY929" s="52"/>
      <c r="AZ929" s="52"/>
      <c r="BA929" s="52">
        <v>-3</v>
      </c>
      <c r="BB929" s="49">
        <f t="shared" ref="BB929" si="553">SUM(AX929:BA929)</f>
        <v>-3</v>
      </c>
      <c r="BC929" s="49">
        <f>AH929+AM929+AR929+AW929+BB929</f>
        <v>1</v>
      </c>
      <c r="BD929" s="299">
        <v>45136</v>
      </c>
      <c r="BE929" s="268" t="s">
        <v>28</v>
      </c>
      <c r="BF929" s="51"/>
      <c r="BG929" s="52"/>
      <c r="BH929" s="52"/>
      <c r="BI929" s="52"/>
      <c r="BJ929" s="49">
        <f t="shared" ref="BJ929:BJ931" si="554">SUM(BF929:BI929)</f>
        <v>0</v>
      </c>
      <c r="BK929" s="306"/>
      <c r="BL929" s="268" t="s">
        <v>28</v>
      </c>
      <c r="BM929" s="51"/>
      <c r="BN929" s="52"/>
      <c r="BO929" s="52"/>
      <c r="BP929" s="52"/>
      <c r="BQ929" s="49">
        <f t="shared" ref="BQ929:BQ931" si="555">SUM(BM929:BP929)</f>
        <v>0</v>
      </c>
    </row>
    <row r="930" spans="1:69" x14ac:dyDescent="0.15">
      <c r="A930" s="53" t="s">
        <v>111</v>
      </c>
      <c r="B930" s="55"/>
      <c r="C930" s="153"/>
      <c r="D930" s="153"/>
      <c r="E930" s="168"/>
      <c r="F930" s="56">
        <f t="shared" ref="F930:F933" si="556">SUM(B930:E930)</f>
        <v>0</v>
      </c>
      <c r="G930" s="55">
        <v>5</v>
      </c>
      <c r="H930" s="153"/>
      <c r="I930" s="153"/>
      <c r="J930" s="168"/>
      <c r="K930" s="56">
        <f t="shared" ref="K930:K933" si="557">SUM(G930:J930)</f>
        <v>5</v>
      </c>
      <c r="L930" s="55"/>
      <c r="M930" s="153"/>
      <c r="N930" s="153"/>
      <c r="O930" s="168"/>
      <c r="P930" s="56">
        <f t="shared" ref="P930:P933" si="558">SUM(L930:O930)</f>
        <v>0</v>
      </c>
      <c r="Q930" s="54"/>
      <c r="R930" s="153"/>
      <c r="S930" s="153"/>
      <c r="T930" s="168"/>
      <c r="U930" s="56">
        <f t="shared" ref="U930:U933" si="559">SUM(Q930:T930)</f>
        <v>0</v>
      </c>
      <c r="V930" s="55"/>
      <c r="W930" s="153"/>
      <c r="X930" s="153">
        <v>5</v>
      </c>
      <c r="Y930" s="168"/>
      <c r="Z930" s="56">
        <f t="shared" si="547"/>
        <v>5</v>
      </c>
      <c r="AA930" s="49">
        <f t="shared" si="548"/>
        <v>10</v>
      </c>
      <c r="AB930" s="298">
        <v>45120</v>
      </c>
      <c r="AC930" s="268" t="s">
        <v>28</v>
      </c>
      <c r="AD930" s="55"/>
      <c r="AE930" s="153"/>
      <c r="AF930" s="153"/>
      <c r="AG930" s="168"/>
      <c r="AH930" s="56">
        <f t="shared" ref="AH930:AH954" si="560">SUM(AD930:AG930)</f>
        <v>0</v>
      </c>
      <c r="AI930" s="54"/>
      <c r="AJ930" s="55"/>
      <c r="AK930" s="55"/>
      <c r="AL930" s="55"/>
      <c r="AM930" s="56">
        <f t="shared" ref="AM930:AM964" si="561">SUM(AI930:AL930)</f>
        <v>0</v>
      </c>
      <c r="AN930" s="54"/>
      <c r="AO930" s="55"/>
      <c r="AP930" s="55"/>
      <c r="AQ930" s="55"/>
      <c r="AR930" s="56">
        <f t="shared" ref="AR930:AR931" si="562">SUM(AN930:AQ930)</f>
        <v>0</v>
      </c>
      <c r="AS930" s="54"/>
      <c r="AT930" s="153"/>
      <c r="AU930" s="153"/>
      <c r="AV930" s="168"/>
      <c r="AW930" s="56">
        <f t="shared" ref="AW930:AW931" si="563">SUM(AS930:AV930)</f>
        <v>0</v>
      </c>
      <c r="AX930" s="55"/>
      <c r="AY930" s="55"/>
      <c r="AZ930" s="55"/>
      <c r="BA930" s="166"/>
      <c r="BB930" s="49">
        <f>SUM(AX930:BA930)</f>
        <v>0</v>
      </c>
      <c r="BC930" s="49">
        <f t="shared" ref="BC930:BC935" si="564">AH930+AM930+AR930+AW930+BB930</f>
        <v>0</v>
      </c>
      <c r="BD930" s="300"/>
      <c r="BE930" s="268" t="s">
        <v>28</v>
      </c>
      <c r="BF930" s="55"/>
      <c r="BG930" s="153"/>
      <c r="BH930" s="153"/>
      <c r="BI930" s="168"/>
      <c r="BJ930" s="56">
        <f t="shared" si="554"/>
        <v>0</v>
      </c>
      <c r="BL930" s="268" t="s">
        <v>28</v>
      </c>
      <c r="BM930" s="54"/>
      <c r="BN930" s="55"/>
      <c r="BO930" s="55"/>
      <c r="BP930" s="55"/>
      <c r="BQ930" s="56">
        <f t="shared" si="555"/>
        <v>0</v>
      </c>
    </row>
    <row r="931" spans="1:69" x14ac:dyDescent="0.15">
      <c r="A931" s="53" t="s">
        <v>108</v>
      </c>
      <c r="B931" s="55"/>
      <c r="C931" s="153"/>
      <c r="D931" s="153"/>
      <c r="E931" s="168">
        <v>1</v>
      </c>
      <c r="F931" s="56">
        <f t="shared" si="556"/>
        <v>1</v>
      </c>
      <c r="G931" s="55"/>
      <c r="H931" s="153"/>
      <c r="I931" s="153">
        <v>3</v>
      </c>
      <c r="J931" s="168">
        <v>1</v>
      </c>
      <c r="K931" s="56">
        <f t="shared" si="557"/>
        <v>4</v>
      </c>
      <c r="L931" s="55"/>
      <c r="M931" s="153"/>
      <c r="N931" s="153"/>
      <c r="O931" s="168"/>
      <c r="P931" s="56">
        <f t="shared" si="558"/>
        <v>0</v>
      </c>
      <c r="Q931" s="54"/>
      <c r="R931" s="153"/>
      <c r="S931" s="153"/>
      <c r="T931" s="168"/>
      <c r="U931" s="56">
        <f t="shared" si="559"/>
        <v>0</v>
      </c>
      <c r="V931" s="55"/>
      <c r="W931" s="153"/>
      <c r="X931" s="153"/>
      <c r="Y931" s="168"/>
      <c r="Z931" s="56">
        <f t="shared" si="547"/>
        <v>0</v>
      </c>
      <c r="AA931" s="49">
        <f t="shared" si="548"/>
        <v>5</v>
      </c>
      <c r="AB931" s="298">
        <v>45120</v>
      </c>
      <c r="AC931" s="268" t="s">
        <v>28</v>
      </c>
      <c r="AD931" s="55"/>
      <c r="AE931" s="153"/>
      <c r="AF931" s="153"/>
      <c r="AG931" s="168"/>
      <c r="AH931" s="56">
        <f t="shared" si="560"/>
        <v>0</v>
      </c>
      <c r="AI931" s="54"/>
      <c r="AJ931" s="55"/>
      <c r="AK931" s="55"/>
      <c r="AL931" s="55"/>
      <c r="AM931" s="56">
        <f t="shared" si="561"/>
        <v>0</v>
      </c>
      <c r="AN931" s="54"/>
      <c r="AO931" s="55"/>
      <c r="AP931" s="55"/>
      <c r="AQ931" s="55"/>
      <c r="AR931" s="56">
        <f t="shared" si="562"/>
        <v>0</v>
      </c>
      <c r="AS931" s="54"/>
      <c r="AT931" s="153"/>
      <c r="AU931" s="153"/>
      <c r="AV931" s="168"/>
      <c r="AW931" s="56">
        <f t="shared" si="563"/>
        <v>0</v>
      </c>
      <c r="AX931" s="55"/>
      <c r="AY931" s="55"/>
      <c r="AZ931" s="55"/>
      <c r="BA931" s="166"/>
      <c r="BB931" s="49">
        <f>SUM(AX931:BA931)</f>
        <v>0</v>
      </c>
      <c r="BC931" s="49">
        <f t="shared" si="564"/>
        <v>0</v>
      </c>
      <c r="BD931" s="300"/>
      <c r="BE931" s="268" t="s">
        <v>28</v>
      </c>
      <c r="BF931" s="55"/>
      <c r="BG931" s="153"/>
      <c r="BH931" s="153"/>
      <c r="BI931" s="168"/>
      <c r="BJ931" s="56">
        <f t="shared" si="554"/>
        <v>0</v>
      </c>
      <c r="BL931" s="268" t="s">
        <v>28</v>
      </c>
      <c r="BM931" s="55"/>
      <c r="BN931" s="153"/>
      <c r="BO931" s="153"/>
      <c r="BP931" s="168"/>
      <c r="BQ931" s="56">
        <f t="shared" si="555"/>
        <v>0</v>
      </c>
    </row>
    <row r="932" spans="1:69" x14ac:dyDescent="0.15">
      <c r="A932" s="53" t="s">
        <v>111</v>
      </c>
      <c r="B932" s="55"/>
      <c r="C932" s="153"/>
      <c r="D932" s="153"/>
      <c r="E932" s="168"/>
      <c r="F932" s="56">
        <f t="shared" si="556"/>
        <v>0</v>
      </c>
      <c r="G932" s="55">
        <v>3</v>
      </c>
      <c r="H932" s="153"/>
      <c r="I932" s="153">
        <v>3</v>
      </c>
      <c r="J932" s="168"/>
      <c r="K932" s="56">
        <f t="shared" si="557"/>
        <v>6</v>
      </c>
      <c r="L932" s="55"/>
      <c r="M932" s="153"/>
      <c r="N932" s="153"/>
      <c r="O932" s="168"/>
      <c r="P932" s="56">
        <f t="shared" si="558"/>
        <v>0</v>
      </c>
      <c r="Q932" s="54"/>
      <c r="R932" s="153">
        <v>10</v>
      </c>
      <c r="S932" s="153"/>
      <c r="T932" s="168"/>
      <c r="U932" s="56">
        <f t="shared" si="559"/>
        <v>10</v>
      </c>
      <c r="V932" s="55">
        <v>3</v>
      </c>
      <c r="W932" s="153"/>
      <c r="X932" s="153"/>
      <c r="Y932" s="168"/>
      <c r="Z932" s="56">
        <f t="shared" si="547"/>
        <v>3</v>
      </c>
      <c r="AA932" s="49">
        <f t="shared" si="548"/>
        <v>19</v>
      </c>
      <c r="AB932" s="298">
        <v>45126</v>
      </c>
      <c r="AC932" s="268" t="s">
        <v>28</v>
      </c>
      <c r="AD932" s="63"/>
      <c r="AE932" s="63"/>
      <c r="AF932" s="63"/>
      <c r="AG932" s="167"/>
      <c r="AH932" s="56">
        <f t="shared" si="560"/>
        <v>0</v>
      </c>
      <c r="AI932" s="63"/>
      <c r="AJ932" s="63"/>
      <c r="AK932" s="63"/>
      <c r="AL932" s="167"/>
      <c r="AM932" s="56">
        <f t="shared" si="561"/>
        <v>0</v>
      </c>
      <c r="AN932" s="63"/>
      <c r="AO932" s="63"/>
      <c r="AP932" s="63"/>
      <c r="AQ932" s="167"/>
      <c r="AR932" s="64">
        <v>0</v>
      </c>
      <c r="AS932" s="62"/>
      <c r="AT932" s="63"/>
      <c r="AU932" s="63"/>
      <c r="AV932" s="167"/>
      <c r="AW932" s="64">
        <v>0</v>
      </c>
      <c r="AX932" s="63"/>
      <c r="AY932" s="63"/>
      <c r="AZ932" s="63"/>
      <c r="BA932" s="167"/>
      <c r="BB932" s="49">
        <f>SUM(AX932:BA932)</f>
        <v>0</v>
      </c>
      <c r="BC932" s="49">
        <f t="shared" si="564"/>
        <v>0</v>
      </c>
      <c r="BE932" s="268" t="s">
        <v>28</v>
      </c>
      <c r="BF932" s="63"/>
      <c r="BG932" s="63"/>
      <c r="BH932" s="63"/>
      <c r="BI932" s="167"/>
      <c r="BJ932" s="64">
        <v>0</v>
      </c>
      <c r="BL932" s="268" t="s">
        <v>28</v>
      </c>
      <c r="BM932" s="63"/>
      <c r="BN932" s="63"/>
      <c r="BO932" s="63"/>
      <c r="BP932" s="167"/>
      <c r="BQ932" s="64">
        <v>0</v>
      </c>
    </row>
    <row r="933" spans="1:69" x14ac:dyDescent="0.15">
      <c r="A933" s="53" t="s">
        <v>111</v>
      </c>
      <c r="B933" s="55"/>
      <c r="C933" s="153"/>
      <c r="D933" s="153"/>
      <c r="E933" s="168"/>
      <c r="F933" s="56">
        <f t="shared" si="556"/>
        <v>0</v>
      </c>
      <c r="G933" s="55"/>
      <c r="H933" s="153">
        <v>5</v>
      </c>
      <c r="I933" s="153">
        <v>5</v>
      </c>
      <c r="J933" s="168"/>
      <c r="K933" s="56">
        <f t="shared" si="557"/>
        <v>10</v>
      </c>
      <c r="L933" s="55"/>
      <c r="M933" s="153"/>
      <c r="N933" s="153"/>
      <c r="O933" s="168"/>
      <c r="P933" s="56">
        <f t="shared" si="558"/>
        <v>0</v>
      </c>
      <c r="Q933" s="54"/>
      <c r="R933" s="153"/>
      <c r="S933" s="153">
        <v>5</v>
      </c>
      <c r="T933" s="168">
        <v>5</v>
      </c>
      <c r="U933" s="56">
        <f t="shared" si="559"/>
        <v>10</v>
      </c>
      <c r="V933" s="55"/>
      <c r="W933" s="153">
        <v>3</v>
      </c>
      <c r="X933" s="153"/>
      <c r="Y933" s="168"/>
      <c r="Z933" s="56">
        <f t="shared" si="547"/>
        <v>3</v>
      </c>
      <c r="AA933" s="49">
        <f t="shared" si="548"/>
        <v>23</v>
      </c>
      <c r="AB933" s="298">
        <v>45128</v>
      </c>
      <c r="AC933" s="268" t="s">
        <v>28</v>
      </c>
      <c r="AD933" s="55"/>
      <c r="AE933" s="153"/>
      <c r="AF933" s="153"/>
      <c r="AG933" s="168"/>
      <c r="AH933" s="56">
        <f t="shared" si="560"/>
        <v>0</v>
      </c>
      <c r="AI933" s="55"/>
      <c r="AJ933" s="153"/>
      <c r="AK933" s="153"/>
      <c r="AL933" s="168"/>
      <c r="AM933" s="56">
        <f t="shared" si="561"/>
        <v>0</v>
      </c>
      <c r="AN933" s="55"/>
      <c r="AO933" s="153"/>
      <c r="AP933" s="153"/>
      <c r="AQ933" s="168"/>
      <c r="AR933" s="56">
        <f t="shared" ref="AR933:AR964" si="565">SUM(AN933:AQ933)</f>
        <v>0</v>
      </c>
      <c r="AS933" s="54"/>
      <c r="AT933" s="153"/>
      <c r="AU933" s="153"/>
      <c r="AV933" s="168"/>
      <c r="AW933" s="56">
        <f t="shared" ref="AW933:AW964" si="566">SUM(AS933:AV933)</f>
        <v>0</v>
      </c>
      <c r="AX933" s="55"/>
      <c r="AY933" s="153"/>
      <c r="AZ933" s="153"/>
      <c r="BA933" s="168"/>
      <c r="BB933" s="49">
        <f t="shared" ref="BB933:BB963" si="567">SUM(AX933:BA933)</f>
        <v>0</v>
      </c>
      <c r="BC933" s="49">
        <f t="shared" si="564"/>
        <v>0</v>
      </c>
      <c r="BE933" s="268" t="s">
        <v>28</v>
      </c>
      <c r="BF933" s="55"/>
      <c r="BG933" s="153"/>
      <c r="BH933" s="153"/>
      <c r="BI933" s="168"/>
      <c r="BJ933" s="56">
        <f t="shared" ref="BJ933:BJ964" si="568">SUM(BF933:BI933)</f>
        <v>0</v>
      </c>
      <c r="BL933" s="268" t="s">
        <v>28</v>
      </c>
      <c r="BM933" s="55"/>
      <c r="BN933" s="153"/>
      <c r="BO933" s="153"/>
      <c r="BP933" s="168"/>
      <c r="BQ933" s="56">
        <f t="shared" ref="BQ933:BQ964" si="569">SUM(BM933:BP933)</f>
        <v>0</v>
      </c>
    </row>
    <row r="934" spans="1:69" x14ac:dyDescent="0.15">
      <c r="A934" s="53" t="s">
        <v>111</v>
      </c>
      <c r="B934" s="55"/>
      <c r="C934" s="153"/>
      <c r="D934" s="153"/>
      <c r="E934" s="168"/>
      <c r="F934" s="56">
        <f t="shared" si="540"/>
        <v>0</v>
      </c>
      <c r="G934" s="55">
        <v>6</v>
      </c>
      <c r="H934" s="153"/>
      <c r="I934" s="153"/>
      <c r="J934" s="168"/>
      <c r="K934" s="56">
        <f t="shared" si="541"/>
        <v>6</v>
      </c>
      <c r="L934" s="55"/>
      <c r="M934" s="153"/>
      <c r="N934" s="153"/>
      <c r="O934" s="168"/>
      <c r="P934" s="56">
        <f t="shared" si="542"/>
        <v>0</v>
      </c>
      <c r="Q934" s="54"/>
      <c r="R934" s="153"/>
      <c r="S934" s="153"/>
      <c r="T934" s="168"/>
      <c r="U934" s="56">
        <f t="shared" si="543"/>
        <v>0</v>
      </c>
      <c r="V934" s="55"/>
      <c r="W934" s="153"/>
      <c r="X934" s="153"/>
      <c r="Y934" s="168"/>
      <c r="Z934" s="56">
        <f t="shared" ref="Z934:Z936" si="570">SUM(V934:Y934)</f>
        <v>0</v>
      </c>
      <c r="AA934" s="49">
        <f t="shared" ref="AA934" si="571">F934+K934+P934+U934+Z934</f>
        <v>6</v>
      </c>
      <c r="AB934" s="298">
        <v>45132</v>
      </c>
      <c r="AC934" s="268" t="s">
        <v>28</v>
      </c>
      <c r="AD934" s="55"/>
      <c r="AE934" s="153"/>
      <c r="AF934" s="153"/>
      <c r="AG934" s="168"/>
      <c r="AH934" s="56">
        <f t="shared" si="560"/>
        <v>0</v>
      </c>
      <c r="AI934" s="55"/>
      <c r="AJ934" s="153"/>
      <c r="AK934" s="153"/>
      <c r="AL934" s="168"/>
      <c r="AM934" s="56">
        <f t="shared" si="561"/>
        <v>0</v>
      </c>
      <c r="AN934" s="55"/>
      <c r="AO934" s="153"/>
      <c r="AP934" s="153"/>
      <c r="AQ934" s="168"/>
      <c r="AR934" s="56">
        <f t="shared" si="565"/>
        <v>0</v>
      </c>
      <c r="AS934" s="54"/>
      <c r="AT934" s="153"/>
      <c r="AU934" s="153"/>
      <c r="AV934" s="168"/>
      <c r="AW934" s="56">
        <f t="shared" si="566"/>
        <v>0</v>
      </c>
      <c r="AX934" s="55"/>
      <c r="AY934" s="153"/>
      <c r="AZ934" s="153"/>
      <c r="BA934" s="168"/>
      <c r="BB934" s="56">
        <f t="shared" si="567"/>
        <v>0</v>
      </c>
      <c r="BC934" s="49">
        <f t="shared" si="564"/>
        <v>0</v>
      </c>
      <c r="BD934" s="299"/>
      <c r="BE934" s="268" t="s">
        <v>28</v>
      </c>
      <c r="BF934" s="55"/>
      <c r="BG934" s="153"/>
      <c r="BH934" s="153"/>
      <c r="BI934" s="168"/>
      <c r="BJ934" s="56">
        <f t="shared" si="568"/>
        <v>0</v>
      </c>
      <c r="BL934" s="268" t="s">
        <v>28</v>
      </c>
      <c r="BM934" s="55"/>
      <c r="BN934" s="153"/>
      <c r="BO934" s="153"/>
      <c r="BP934" s="168"/>
      <c r="BQ934" s="56">
        <f t="shared" si="569"/>
        <v>0</v>
      </c>
    </row>
    <row r="935" spans="1:69" ht="14.25" thickBot="1" x14ac:dyDescent="0.2">
      <c r="A935" s="53" t="s">
        <v>111</v>
      </c>
      <c r="B935" s="55">
        <v>3</v>
      </c>
      <c r="C935" s="153"/>
      <c r="D935" s="153"/>
      <c r="E935" s="168"/>
      <c r="F935" s="56">
        <f t="shared" ref="F935" si="572">SUM(B935:E935)</f>
        <v>3</v>
      </c>
      <c r="G935" s="55"/>
      <c r="H935" s="153"/>
      <c r="I935" s="153"/>
      <c r="J935" s="168"/>
      <c r="K935" s="56">
        <f t="shared" ref="K935" si="573">SUM(G935:J935)</f>
        <v>0</v>
      </c>
      <c r="L935" s="55">
        <v>3</v>
      </c>
      <c r="M935" s="153"/>
      <c r="N935" s="153"/>
      <c r="O935" s="168"/>
      <c r="P935" s="56">
        <f t="shared" ref="P935" si="574">SUM(L935:O935)</f>
        <v>3</v>
      </c>
      <c r="Q935" s="54"/>
      <c r="R935" s="153"/>
      <c r="S935" s="153"/>
      <c r="T935" s="168"/>
      <c r="U935" s="56">
        <f t="shared" ref="U935" si="575">SUM(Q935:T935)</f>
        <v>0</v>
      </c>
      <c r="V935" s="55"/>
      <c r="W935" s="153"/>
      <c r="X935" s="153"/>
      <c r="Y935" s="168"/>
      <c r="Z935" s="56">
        <f t="shared" ref="Z935" si="576">SUM(V935:Y935)</f>
        <v>0</v>
      </c>
      <c r="AA935" s="49">
        <f t="shared" ref="AA935" si="577">F935+K935+P935+U935+Z935</f>
        <v>6</v>
      </c>
      <c r="AB935" s="298">
        <v>45136</v>
      </c>
      <c r="AC935" s="268" t="s">
        <v>28</v>
      </c>
      <c r="AD935" s="63"/>
      <c r="AE935" s="164"/>
      <c r="AF935" s="164"/>
      <c r="AG935" s="169"/>
      <c r="AH935" s="170">
        <f t="shared" si="560"/>
        <v>0</v>
      </c>
      <c r="AI935" s="63"/>
      <c r="AJ935" s="164"/>
      <c r="AK935" s="164"/>
      <c r="AL935" s="169"/>
      <c r="AM935" s="170">
        <f t="shared" si="561"/>
        <v>0</v>
      </c>
      <c r="AN935" s="63"/>
      <c r="AO935" s="164"/>
      <c r="AP935" s="164"/>
      <c r="AQ935" s="169"/>
      <c r="AR935" s="170">
        <f t="shared" si="565"/>
        <v>0</v>
      </c>
      <c r="AS935" s="62"/>
      <c r="AT935" s="164"/>
      <c r="AU935" s="164"/>
      <c r="AV935" s="169"/>
      <c r="AW935" s="170">
        <f t="shared" si="566"/>
        <v>0</v>
      </c>
      <c r="AX935" s="63"/>
      <c r="AY935" s="164"/>
      <c r="AZ935" s="164"/>
      <c r="BA935" s="169"/>
      <c r="BB935" s="170">
        <f t="shared" si="567"/>
        <v>0</v>
      </c>
      <c r="BC935" s="49">
        <f t="shared" si="564"/>
        <v>0</v>
      </c>
      <c r="BD935" s="300"/>
      <c r="BE935" s="274" t="s">
        <v>28</v>
      </c>
      <c r="BF935" s="63"/>
      <c r="BG935" s="164"/>
      <c r="BH935" s="164"/>
      <c r="BI935" s="169"/>
      <c r="BJ935" s="170">
        <f t="shared" si="568"/>
        <v>0</v>
      </c>
      <c r="BL935" s="274" t="s">
        <v>28</v>
      </c>
      <c r="BM935" s="63"/>
      <c r="BN935" s="164"/>
      <c r="BO935" s="164"/>
      <c r="BP935" s="169"/>
      <c r="BQ935" s="170">
        <f t="shared" si="569"/>
        <v>0</v>
      </c>
    </row>
    <row r="936" spans="1:69" ht="15" thickBot="1" x14ac:dyDescent="0.2">
      <c r="A936" s="181" t="s">
        <v>14</v>
      </c>
      <c r="B936" s="182">
        <f>SUM(B928:B935)</f>
        <v>8</v>
      </c>
      <c r="C936" s="183">
        <f>SUM(C928:C935)</f>
        <v>7</v>
      </c>
      <c r="D936" s="183">
        <f>SUM(D928:D935)</f>
        <v>6</v>
      </c>
      <c r="E936" s="184">
        <f>SUM(E928:E935)</f>
        <v>7</v>
      </c>
      <c r="F936" s="77">
        <f t="shared" si="540"/>
        <v>28</v>
      </c>
      <c r="G936" s="182">
        <f>SUM(G928:G935)</f>
        <v>20</v>
      </c>
      <c r="H936" s="183">
        <f>SUM(H928:H935)</f>
        <v>11</v>
      </c>
      <c r="I936" s="183">
        <f>SUM(I928:I935)</f>
        <v>17</v>
      </c>
      <c r="J936" s="184">
        <f>SUM(J928:J935)</f>
        <v>8</v>
      </c>
      <c r="K936" s="77">
        <f t="shared" si="541"/>
        <v>56</v>
      </c>
      <c r="L936" s="182">
        <f>SUM(L928:L935)</f>
        <v>7</v>
      </c>
      <c r="M936" s="183">
        <f>SUM(M928:M935)</f>
        <v>6</v>
      </c>
      <c r="N936" s="183">
        <f>SUM(N928:N935)</f>
        <v>5</v>
      </c>
      <c r="O936" s="184">
        <f>SUM(O928:O935)</f>
        <v>4</v>
      </c>
      <c r="P936" s="77">
        <f t="shared" si="542"/>
        <v>22</v>
      </c>
      <c r="Q936" s="182">
        <f>SUM(Q928:Q935)</f>
        <v>9</v>
      </c>
      <c r="R936" s="183">
        <f>SUM(R928:R935)</f>
        <v>19</v>
      </c>
      <c r="S936" s="183">
        <f>SUM(S928:S935)</f>
        <v>13</v>
      </c>
      <c r="T936" s="184">
        <f>SUM(T928:T935)</f>
        <v>12</v>
      </c>
      <c r="U936" s="77">
        <f t="shared" si="543"/>
        <v>53</v>
      </c>
      <c r="V936" s="293">
        <f>SUM(V928:V935)</f>
        <v>7</v>
      </c>
      <c r="W936" s="183">
        <f>SUM(W928:W935)</f>
        <v>7</v>
      </c>
      <c r="X936" s="183">
        <f>SUM(X928:X935)</f>
        <v>11</v>
      </c>
      <c r="Y936" s="184">
        <f>SUM(Y928:Y935)</f>
        <v>7</v>
      </c>
      <c r="Z936" s="77">
        <f t="shared" si="570"/>
        <v>32</v>
      </c>
      <c r="AA936" s="77">
        <f>F936+K936+P936+U936+Z936</f>
        <v>191</v>
      </c>
      <c r="AC936" s="275" t="s">
        <v>14</v>
      </c>
      <c r="AD936" s="182">
        <f>SUM(AD928:AD935)</f>
        <v>38</v>
      </c>
      <c r="AE936" s="183">
        <f>SUM(AE928:AE935)</f>
        <v>45</v>
      </c>
      <c r="AF936" s="183">
        <f>SUM(AF928:AF935)</f>
        <v>109</v>
      </c>
      <c r="AG936" s="184">
        <f>SUM(AG928:AG935)</f>
        <v>43</v>
      </c>
      <c r="AH936" s="77">
        <f t="shared" si="560"/>
        <v>235</v>
      </c>
      <c r="AI936" s="182">
        <f>SUM(AI928:AI935)</f>
        <v>118</v>
      </c>
      <c r="AJ936" s="183">
        <f>SUM(AJ928:AJ935)</f>
        <v>208</v>
      </c>
      <c r="AK936" s="183">
        <f>SUM(AK928:AK935)</f>
        <v>74</v>
      </c>
      <c r="AL936" s="184">
        <f>SUM(AL928:AL935)</f>
        <v>68</v>
      </c>
      <c r="AM936" s="77">
        <f t="shared" si="561"/>
        <v>468</v>
      </c>
      <c r="AN936" s="182">
        <f>SUM(AN928:AN935)</f>
        <v>47</v>
      </c>
      <c r="AO936" s="183">
        <f>SUM(AO928:AO935)</f>
        <v>68</v>
      </c>
      <c r="AP936" s="183">
        <f>SUM(AP928:AP935)</f>
        <v>46</v>
      </c>
      <c r="AQ936" s="184">
        <f>SUM(AQ928:AQ935)</f>
        <v>28</v>
      </c>
      <c r="AR936" s="77">
        <f t="shared" si="565"/>
        <v>189</v>
      </c>
      <c r="AS936" s="182">
        <f>SUM(AS928:AS935)</f>
        <v>134</v>
      </c>
      <c r="AT936" s="183">
        <f>SUM(AT928:AT935)</f>
        <v>214</v>
      </c>
      <c r="AU936" s="183">
        <f>SUM(AU928:AU935)</f>
        <v>94</v>
      </c>
      <c r="AV936" s="184">
        <f>SUM(AV928:AV935)</f>
        <v>83</v>
      </c>
      <c r="AW936" s="77">
        <f t="shared" si="566"/>
        <v>525</v>
      </c>
      <c r="AX936" s="293">
        <f>SUM(AX928:AX935)</f>
        <v>122</v>
      </c>
      <c r="AY936" s="183">
        <f>SUM(AY928:AY935)</f>
        <v>115</v>
      </c>
      <c r="AZ936" s="183">
        <f>SUM(AZ928:AZ935)</f>
        <v>56</v>
      </c>
      <c r="BA936" s="184">
        <f>SUM(BA928:BA935)</f>
        <v>62</v>
      </c>
      <c r="BB936" s="77">
        <f t="shared" si="567"/>
        <v>355</v>
      </c>
      <c r="BC936" s="77">
        <f>AH936+AM936+AR936+AW936+BB936</f>
        <v>1772</v>
      </c>
      <c r="BE936" s="275" t="s">
        <v>14</v>
      </c>
      <c r="BF936" s="182">
        <f>SUM(BF928:BF935)</f>
        <v>0</v>
      </c>
      <c r="BG936" s="183">
        <f>SUM(BG928:BG935)</f>
        <v>0</v>
      </c>
      <c r="BH936" s="183">
        <f>SUM(BH928:BH935)</f>
        <v>8</v>
      </c>
      <c r="BI936" s="184">
        <f>SUM(BI928:BI935)</f>
        <v>2</v>
      </c>
      <c r="BJ936" s="77">
        <f t="shared" si="568"/>
        <v>10</v>
      </c>
      <c r="BL936" s="275" t="s">
        <v>14</v>
      </c>
      <c r="BM936" s="182">
        <f>SUM(BM928:BM935)</f>
        <v>0</v>
      </c>
      <c r="BN936" s="183">
        <f>SUM(BN928:BN935)</f>
        <v>0</v>
      </c>
      <c r="BO936" s="183">
        <f>SUM(BO928:BO935)</f>
        <v>21</v>
      </c>
      <c r="BP936" s="184">
        <f>SUM(BP928:BP935)</f>
        <v>0</v>
      </c>
      <c r="BQ936" s="77">
        <f t="shared" si="569"/>
        <v>21</v>
      </c>
    </row>
    <row r="937" spans="1:69" x14ac:dyDescent="0.15">
      <c r="A937" s="53" t="s">
        <v>98</v>
      </c>
      <c r="B937" s="54"/>
      <c r="C937" s="55"/>
      <c r="D937" s="55"/>
      <c r="E937" s="55"/>
      <c r="F937" s="56">
        <f t="shared" ref="F937:F960" si="578">SUM(B937:E937)</f>
        <v>0</v>
      </c>
      <c r="G937" s="54"/>
      <c r="H937" s="55"/>
      <c r="I937" s="55"/>
      <c r="J937" s="55"/>
      <c r="K937" s="56">
        <f t="shared" ref="K937:K960" si="579">SUM(G937:J937)</f>
        <v>0</v>
      </c>
      <c r="L937" s="54"/>
      <c r="M937" s="55"/>
      <c r="N937" s="55"/>
      <c r="O937" s="55"/>
      <c r="P937" s="56">
        <f t="shared" ref="P937:P960" si="580">SUM(L937:O937)</f>
        <v>0</v>
      </c>
      <c r="Q937" s="54"/>
      <c r="R937" s="55">
        <v>1</v>
      </c>
      <c r="S937" s="55"/>
      <c r="T937" s="55"/>
      <c r="U937" s="56">
        <f t="shared" ref="U937:U960" si="581">SUM(Q937:T937)</f>
        <v>1</v>
      </c>
      <c r="V937" s="55"/>
      <c r="W937" s="55"/>
      <c r="X937" s="55"/>
      <c r="Y937" s="55">
        <v>1</v>
      </c>
      <c r="Z937" s="56">
        <f t="shared" ref="Z937:Z960" si="582">SUM(V937:Y937)</f>
        <v>1</v>
      </c>
      <c r="AA937" s="56">
        <f t="shared" ref="AA937:AA960" si="583">F937+K937+P937+U937+Z937</f>
        <v>2</v>
      </c>
      <c r="AB937" s="299">
        <v>45114</v>
      </c>
      <c r="AC937" s="269" t="s">
        <v>522</v>
      </c>
      <c r="AD937" s="54"/>
      <c r="AE937" s="55">
        <v>3</v>
      </c>
      <c r="AF937" s="55">
        <v>4</v>
      </c>
      <c r="AG937" s="55"/>
      <c r="AH937" s="56">
        <f t="shared" ref="AH937:AH952" si="584">SUM(AD937:AG937)</f>
        <v>7</v>
      </c>
      <c r="AI937" s="54">
        <v>4</v>
      </c>
      <c r="AJ937" s="55">
        <v>2</v>
      </c>
      <c r="AK937" s="55"/>
      <c r="AL937" s="55">
        <v>2</v>
      </c>
      <c r="AM937" s="56">
        <f t="shared" ref="AM937:AM952" si="585">SUM(AI937:AL937)</f>
        <v>8</v>
      </c>
      <c r="AN937" s="54"/>
      <c r="AO937" s="55">
        <v>4</v>
      </c>
      <c r="AP937" s="55"/>
      <c r="AQ937" s="55"/>
      <c r="AR937" s="56">
        <f t="shared" ref="AR937:AR952" si="586">SUM(AN937:AQ937)</f>
        <v>4</v>
      </c>
      <c r="AS937" s="54">
        <v>1</v>
      </c>
      <c r="AT937" s="55">
        <v>4</v>
      </c>
      <c r="AU937" s="55">
        <v>2</v>
      </c>
      <c r="AV937" s="55"/>
      <c r="AW937" s="56">
        <f t="shared" ref="AW937:AW952" si="587">SUM(AS937:AV937)</f>
        <v>7</v>
      </c>
      <c r="AX937" s="55"/>
      <c r="AY937" s="55"/>
      <c r="AZ937" s="55"/>
      <c r="BA937" s="55"/>
      <c r="BB937" s="56">
        <f t="shared" ref="BB937:BB952" si="588">SUM(AX937:BA937)</f>
        <v>0</v>
      </c>
      <c r="BC937" s="56">
        <f t="shared" ref="BC937:BC952" si="589">AH937+AM937+AR937+AW937+BB937</f>
        <v>26</v>
      </c>
      <c r="BD937" s="298">
        <v>45131</v>
      </c>
      <c r="BE937" s="277" t="s">
        <v>528</v>
      </c>
      <c r="BF937" s="54"/>
      <c r="BG937" s="55"/>
      <c r="BH937" s="55">
        <v>1</v>
      </c>
      <c r="BI937" s="55"/>
      <c r="BJ937" s="56">
        <f t="shared" ref="BJ937:BJ946" si="590">SUM(BF937:BI937)</f>
        <v>1</v>
      </c>
      <c r="BK937" s="304">
        <v>45132</v>
      </c>
      <c r="BL937" s="277"/>
      <c r="BM937" s="54"/>
      <c r="BN937" s="55"/>
      <c r="BO937" s="55"/>
      <c r="BP937" s="55"/>
      <c r="BQ937" s="56">
        <f t="shared" ref="BQ937:BQ946" si="591">SUM(BM937:BP937)</f>
        <v>0</v>
      </c>
    </row>
    <row r="938" spans="1:69" x14ac:dyDescent="0.15">
      <c r="A938" s="53" t="s">
        <v>100</v>
      </c>
      <c r="B938" s="54"/>
      <c r="C938" s="55"/>
      <c r="D938" s="55"/>
      <c r="E938" s="55"/>
      <c r="F938" s="56">
        <f t="shared" si="578"/>
        <v>0</v>
      </c>
      <c r="G938" s="54">
        <v>1</v>
      </c>
      <c r="H938" s="55"/>
      <c r="I938" s="55"/>
      <c r="J938" s="55"/>
      <c r="K938" s="56">
        <f t="shared" si="579"/>
        <v>1</v>
      </c>
      <c r="L938" s="54"/>
      <c r="M938" s="55"/>
      <c r="N938" s="55"/>
      <c r="O938" s="55"/>
      <c r="P938" s="56">
        <f t="shared" si="580"/>
        <v>0</v>
      </c>
      <c r="Q938" s="54"/>
      <c r="R938" s="55"/>
      <c r="S938" s="55"/>
      <c r="T938" s="55"/>
      <c r="U938" s="56">
        <f t="shared" si="581"/>
        <v>0</v>
      </c>
      <c r="V938" s="55"/>
      <c r="W938" s="55"/>
      <c r="X938" s="55"/>
      <c r="Y938" s="55"/>
      <c r="Z938" s="56">
        <f t="shared" si="582"/>
        <v>0</v>
      </c>
      <c r="AA938" s="56">
        <f t="shared" si="583"/>
        <v>1</v>
      </c>
      <c r="AB938" s="298">
        <v>45118</v>
      </c>
      <c r="AC938" s="276" t="s">
        <v>523</v>
      </c>
      <c r="AD938" s="54"/>
      <c r="AE938" s="55"/>
      <c r="AF938" s="55">
        <v>2</v>
      </c>
      <c r="AG938" s="55">
        <v>2</v>
      </c>
      <c r="AH938" s="56">
        <f t="shared" si="584"/>
        <v>4</v>
      </c>
      <c r="AI938" s="54">
        <v>2</v>
      </c>
      <c r="AJ938" s="55">
        <v>2</v>
      </c>
      <c r="AK938" s="55"/>
      <c r="AL938" s="55">
        <v>2</v>
      </c>
      <c r="AM938" s="56">
        <f t="shared" si="585"/>
        <v>6</v>
      </c>
      <c r="AN938" s="54">
        <v>1</v>
      </c>
      <c r="AO938" s="55">
        <v>1</v>
      </c>
      <c r="AP938" s="55"/>
      <c r="AQ938" s="55">
        <v>2</v>
      </c>
      <c r="AR938" s="56">
        <f t="shared" si="586"/>
        <v>4</v>
      </c>
      <c r="AS938" s="54"/>
      <c r="AT938" s="55">
        <v>3</v>
      </c>
      <c r="AU938" s="55">
        <v>2</v>
      </c>
      <c r="AV938" s="55">
        <v>4</v>
      </c>
      <c r="AW938" s="56">
        <f t="shared" si="587"/>
        <v>9</v>
      </c>
      <c r="AX938" s="55"/>
      <c r="AY938" s="55"/>
      <c r="AZ938" s="55"/>
      <c r="BA938" s="55"/>
      <c r="BB938" s="56">
        <f t="shared" si="588"/>
        <v>0</v>
      </c>
      <c r="BC938" s="56">
        <f t="shared" si="589"/>
        <v>23</v>
      </c>
      <c r="BD938" s="298">
        <v>45131</v>
      </c>
      <c r="BE938" s="277" t="s">
        <v>98</v>
      </c>
      <c r="BF938" s="54"/>
      <c r="BG938" s="55"/>
      <c r="BH938" s="55">
        <v>1</v>
      </c>
      <c r="BI938" s="55"/>
      <c r="BJ938" s="56">
        <f t="shared" si="590"/>
        <v>1</v>
      </c>
      <c r="BK938" s="304">
        <v>45138</v>
      </c>
      <c r="BL938" s="277"/>
      <c r="BM938" s="54"/>
      <c r="BN938" s="55"/>
      <c r="BO938" s="55"/>
      <c r="BP938" s="55"/>
      <c r="BQ938" s="56">
        <f t="shared" si="591"/>
        <v>0</v>
      </c>
    </row>
    <row r="939" spans="1:69" x14ac:dyDescent="0.15">
      <c r="A939" s="53" t="s">
        <v>98</v>
      </c>
      <c r="B939" s="54"/>
      <c r="C939" s="55">
        <v>1</v>
      </c>
      <c r="D939" s="55"/>
      <c r="E939" s="55"/>
      <c r="F939" s="56">
        <f t="shared" si="578"/>
        <v>1</v>
      </c>
      <c r="G939" s="54">
        <v>1</v>
      </c>
      <c r="H939" s="55"/>
      <c r="I939" s="55"/>
      <c r="J939" s="55"/>
      <c r="K939" s="56">
        <f t="shared" si="579"/>
        <v>1</v>
      </c>
      <c r="L939" s="54"/>
      <c r="M939" s="55"/>
      <c r="N939" s="55"/>
      <c r="O939" s="55"/>
      <c r="P939" s="56">
        <f t="shared" si="580"/>
        <v>0</v>
      </c>
      <c r="Q939" s="54"/>
      <c r="R939" s="55"/>
      <c r="S939" s="55"/>
      <c r="T939" s="55"/>
      <c r="U939" s="56">
        <f t="shared" si="581"/>
        <v>0</v>
      </c>
      <c r="V939" s="55"/>
      <c r="W939" s="55"/>
      <c r="X939" s="55">
        <v>2</v>
      </c>
      <c r="Y939" s="55"/>
      <c r="Z939" s="56">
        <f t="shared" si="582"/>
        <v>2</v>
      </c>
      <c r="AA939" s="56">
        <f t="shared" si="583"/>
        <v>4</v>
      </c>
      <c r="AB939" s="299">
        <v>45117</v>
      </c>
      <c r="AC939" s="269" t="s">
        <v>99</v>
      </c>
      <c r="AD939" s="54"/>
      <c r="AE939" s="55"/>
      <c r="AF939" s="55"/>
      <c r="AG939" s="55"/>
      <c r="AH939" s="56">
        <f t="shared" ref="AH939" si="592">SUM(AD939:AG939)</f>
        <v>0</v>
      </c>
      <c r="AI939" s="54"/>
      <c r="AJ939" s="55">
        <v>5</v>
      </c>
      <c r="AK939" s="55">
        <v>5</v>
      </c>
      <c r="AL939" s="55"/>
      <c r="AM939" s="56">
        <f t="shared" ref="AM939" si="593">SUM(AI939:AL939)</f>
        <v>10</v>
      </c>
      <c r="AN939" s="54"/>
      <c r="AO939" s="55"/>
      <c r="AP939" s="55"/>
      <c r="AQ939" s="55"/>
      <c r="AR939" s="56">
        <f t="shared" ref="AR939" si="594">SUM(AN939:AQ939)</f>
        <v>0</v>
      </c>
      <c r="AS939" s="54"/>
      <c r="AT939" s="55"/>
      <c r="AU939" s="55">
        <v>5</v>
      </c>
      <c r="AV939" s="55">
        <v>5</v>
      </c>
      <c r="AW939" s="56">
        <f t="shared" ref="AW939" si="595">SUM(AS939:AV939)</f>
        <v>10</v>
      </c>
      <c r="AX939" s="55"/>
      <c r="AY939" s="55">
        <v>3</v>
      </c>
      <c r="AZ939" s="55"/>
      <c r="BA939" s="55"/>
      <c r="BB939" s="56">
        <f t="shared" ref="BB939" si="596">SUM(AX939:BA939)</f>
        <v>3</v>
      </c>
      <c r="BC939" s="56">
        <f t="shared" si="589"/>
        <v>23</v>
      </c>
      <c r="BD939" s="298">
        <v>45128</v>
      </c>
      <c r="BE939" s="277"/>
      <c r="BF939" s="54"/>
      <c r="BG939" s="55"/>
      <c r="BH939" s="55"/>
      <c r="BI939" s="55"/>
      <c r="BJ939" s="56">
        <f t="shared" si="590"/>
        <v>0</v>
      </c>
      <c r="BL939" s="277"/>
      <c r="BM939" s="54"/>
      <c r="BN939" s="55"/>
      <c r="BO939" s="55"/>
      <c r="BP939" s="55"/>
      <c r="BQ939" s="56">
        <f t="shared" si="591"/>
        <v>0</v>
      </c>
    </row>
    <row r="940" spans="1:69" x14ac:dyDescent="0.15">
      <c r="A940" s="53" t="s">
        <v>100</v>
      </c>
      <c r="B940" s="54"/>
      <c r="C940" s="55"/>
      <c r="D940" s="55"/>
      <c r="E940" s="55"/>
      <c r="F940" s="56">
        <f t="shared" si="578"/>
        <v>0</v>
      </c>
      <c r="G940" s="54"/>
      <c r="H940" s="55"/>
      <c r="I940" s="55"/>
      <c r="J940" s="55"/>
      <c r="K940" s="56">
        <f t="shared" si="579"/>
        <v>0</v>
      </c>
      <c r="L940" s="54"/>
      <c r="M940" s="55"/>
      <c r="N940" s="55"/>
      <c r="O940" s="55"/>
      <c r="P940" s="56">
        <f t="shared" si="580"/>
        <v>0</v>
      </c>
      <c r="Q940" s="54"/>
      <c r="R940" s="55"/>
      <c r="S940" s="55"/>
      <c r="T940" s="55">
        <v>1</v>
      </c>
      <c r="U940" s="56">
        <f t="shared" si="581"/>
        <v>1</v>
      </c>
      <c r="V940" s="55"/>
      <c r="W940" s="55"/>
      <c r="X940" s="55"/>
      <c r="Y940" s="55"/>
      <c r="Z940" s="56">
        <f t="shared" si="582"/>
        <v>0</v>
      </c>
      <c r="AA940" s="56">
        <f t="shared" si="583"/>
        <v>1</v>
      </c>
      <c r="AB940" s="298">
        <v>45119</v>
      </c>
      <c r="AC940" s="276" t="s">
        <v>524</v>
      </c>
      <c r="AD940" s="54"/>
      <c r="AE940" s="55"/>
      <c r="AF940" s="55"/>
      <c r="AG940" s="55"/>
      <c r="AH940" s="56">
        <f t="shared" si="584"/>
        <v>0</v>
      </c>
      <c r="AI940" s="54"/>
      <c r="AJ940" s="55">
        <v>2</v>
      </c>
      <c r="AK940" s="55"/>
      <c r="AL940" s="55"/>
      <c r="AM940" s="56">
        <f t="shared" si="585"/>
        <v>2</v>
      </c>
      <c r="AN940" s="54"/>
      <c r="AO940" s="55"/>
      <c r="AP940" s="55"/>
      <c r="AQ940" s="55"/>
      <c r="AR940" s="56">
        <f t="shared" si="586"/>
        <v>0</v>
      </c>
      <c r="AS940" s="54"/>
      <c r="AT940" s="55"/>
      <c r="AU940" s="55"/>
      <c r="AV940" s="55"/>
      <c r="AW940" s="56">
        <f t="shared" si="587"/>
        <v>0</v>
      </c>
      <c r="AX940" s="55"/>
      <c r="AY940" s="55"/>
      <c r="AZ940" s="55"/>
      <c r="BA940" s="55"/>
      <c r="BB940" s="56">
        <f t="shared" si="588"/>
        <v>0</v>
      </c>
      <c r="BC940" s="56">
        <f t="shared" si="589"/>
        <v>2</v>
      </c>
      <c r="BD940" s="298">
        <v>45141</v>
      </c>
      <c r="BE940" s="277"/>
      <c r="BF940" s="54"/>
      <c r="BG940" s="55"/>
      <c r="BH940" s="55"/>
      <c r="BI940" s="55"/>
      <c r="BJ940" s="56">
        <f t="shared" si="590"/>
        <v>0</v>
      </c>
      <c r="BL940" s="277"/>
      <c r="BM940" s="54"/>
      <c r="BN940" s="55"/>
      <c r="BO940" s="55"/>
      <c r="BP940" s="55"/>
      <c r="BQ940" s="56">
        <f t="shared" si="591"/>
        <v>0</v>
      </c>
    </row>
    <row r="941" spans="1:69" x14ac:dyDescent="0.15">
      <c r="A941" s="53" t="s">
        <v>98</v>
      </c>
      <c r="B941" s="54"/>
      <c r="C941" s="55"/>
      <c r="D941" s="55"/>
      <c r="E941" s="55"/>
      <c r="F941" s="56">
        <f t="shared" si="578"/>
        <v>0</v>
      </c>
      <c r="G941" s="54">
        <v>1</v>
      </c>
      <c r="H941" s="55"/>
      <c r="I941" s="55"/>
      <c r="J941" s="55"/>
      <c r="K941" s="56">
        <f t="shared" si="579"/>
        <v>1</v>
      </c>
      <c r="L941" s="54"/>
      <c r="M941" s="55"/>
      <c r="N941" s="55"/>
      <c r="O941" s="55"/>
      <c r="P941" s="56">
        <f t="shared" si="580"/>
        <v>0</v>
      </c>
      <c r="Q941" s="54"/>
      <c r="R941" s="55">
        <v>1</v>
      </c>
      <c r="S941" s="55">
        <f>1+1</f>
        <v>2</v>
      </c>
      <c r="T941" s="55"/>
      <c r="U941" s="56">
        <f t="shared" si="581"/>
        <v>3</v>
      </c>
      <c r="V941" s="55"/>
      <c r="W941" s="55"/>
      <c r="X941" s="55">
        <v>1</v>
      </c>
      <c r="Y941" s="55"/>
      <c r="Z941" s="56">
        <f t="shared" si="582"/>
        <v>1</v>
      </c>
      <c r="AA941" s="56">
        <f t="shared" si="583"/>
        <v>5</v>
      </c>
      <c r="AB941" s="299">
        <v>45118</v>
      </c>
      <c r="AC941" s="269" t="s">
        <v>99</v>
      </c>
      <c r="AD941" s="54"/>
      <c r="AE941" s="55"/>
      <c r="AF941" s="55"/>
      <c r="AG941" s="55"/>
      <c r="AH941" s="56">
        <f t="shared" si="584"/>
        <v>0</v>
      </c>
      <c r="AI941" s="54">
        <v>6</v>
      </c>
      <c r="AJ941" s="55"/>
      <c r="AK941" s="55"/>
      <c r="AL941" s="55"/>
      <c r="AM941" s="56">
        <f t="shared" si="585"/>
        <v>6</v>
      </c>
      <c r="AN941" s="54"/>
      <c r="AO941" s="55"/>
      <c r="AP941" s="55"/>
      <c r="AQ941" s="55"/>
      <c r="AR941" s="56">
        <f t="shared" si="586"/>
        <v>0</v>
      </c>
      <c r="AS941" s="54"/>
      <c r="AT941" s="55"/>
      <c r="AU941" s="55"/>
      <c r="AV941" s="55"/>
      <c r="AW941" s="56">
        <f t="shared" si="587"/>
        <v>0</v>
      </c>
      <c r="AX941" s="55"/>
      <c r="AY941" s="55"/>
      <c r="AZ941" s="55"/>
      <c r="BA941" s="55"/>
      <c r="BB941" s="56">
        <f t="shared" si="588"/>
        <v>0</v>
      </c>
      <c r="BC941" s="56">
        <f t="shared" si="589"/>
        <v>6</v>
      </c>
      <c r="BD941" s="298">
        <v>45132</v>
      </c>
      <c r="BE941" s="277"/>
      <c r="BF941" s="54"/>
      <c r="BG941" s="55"/>
      <c r="BH941" s="55"/>
      <c r="BI941" s="55"/>
      <c r="BJ941" s="56">
        <f t="shared" si="590"/>
        <v>0</v>
      </c>
      <c r="BL941" s="277"/>
      <c r="BM941" s="54"/>
      <c r="BN941" s="55"/>
      <c r="BO941" s="55"/>
      <c r="BP941" s="55"/>
      <c r="BQ941" s="56">
        <f t="shared" si="591"/>
        <v>0</v>
      </c>
    </row>
    <row r="942" spans="1:69" x14ac:dyDescent="0.15">
      <c r="A942" s="53" t="s">
        <v>98</v>
      </c>
      <c r="B942" s="54"/>
      <c r="C942" s="55"/>
      <c r="D942" s="55"/>
      <c r="E942" s="55"/>
      <c r="F942" s="56">
        <f t="shared" si="578"/>
        <v>0</v>
      </c>
      <c r="G942" s="54">
        <v>1</v>
      </c>
      <c r="H942" s="55"/>
      <c r="I942" s="55">
        <v>1</v>
      </c>
      <c r="J942" s="55"/>
      <c r="K942" s="56">
        <f t="shared" si="579"/>
        <v>2</v>
      </c>
      <c r="L942" s="54"/>
      <c r="M942" s="55"/>
      <c r="N942" s="55"/>
      <c r="O942" s="55"/>
      <c r="P942" s="56">
        <f t="shared" si="580"/>
        <v>0</v>
      </c>
      <c r="Q942" s="54"/>
      <c r="R942" s="55"/>
      <c r="S942" s="55"/>
      <c r="T942" s="55"/>
      <c r="U942" s="56">
        <f t="shared" si="581"/>
        <v>0</v>
      </c>
      <c r="V942" s="55"/>
      <c r="W942" s="55"/>
      <c r="X942" s="55">
        <v>1</v>
      </c>
      <c r="Y942" s="55"/>
      <c r="Z942" s="56">
        <f t="shared" si="582"/>
        <v>1</v>
      </c>
      <c r="AA942" s="56">
        <f t="shared" si="583"/>
        <v>3</v>
      </c>
      <c r="AB942" s="299">
        <v>45119</v>
      </c>
      <c r="AC942" s="269" t="s">
        <v>526</v>
      </c>
      <c r="AD942" s="54">
        <v>3</v>
      </c>
      <c r="AE942" s="55">
        <v>2</v>
      </c>
      <c r="AF942" s="55"/>
      <c r="AG942" s="55"/>
      <c r="AH942" s="56">
        <f t="shared" si="584"/>
        <v>5</v>
      </c>
      <c r="AI942" s="54"/>
      <c r="AJ942" s="55"/>
      <c r="AK942" s="55"/>
      <c r="AL942" s="55">
        <v>1</v>
      </c>
      <c r="AM942" s="56">
        <f t="shared" si="585"/>
        <v>1</v>
      </c>
      <c r="AN942" s="54"/>
      <c r="AO942" s="55"/>
      <c r="AP942" s="55"/>
      <c r="AQ942" s="55"/>
      <c r="AR942" s="56">
        <f t="shared" si="586"/>
        <v>0</v>
      </c>
      <c r="AS942" s="54">
        <v>2</v>
      </c>
      <c r="AT942" s="55"/>
      <c r="AU942" s="55"/>
      <c r="AV942" s="55">
        <v>1</v>
      </c>
      <c r="AW942" s="56">
        <f t="shared" si="587"/>
        <v>3</v>
      </c>
      <c r="AX942" s="55"/>
      <c r="AY942" s="55"/>
      <c r="AZ942" s="55"/>
      <c r="BA942" s="55"/>
      <c r="BB942" s="56">
        <f t="shared" si="588"/>
        <v>0</v>
      </c>
      <c r="BC942" s="56">
        <f t="shared" si="589"/>
        <v>9</v>
      </c>
      <c r="BD942" s="298">
        <v>45135</v>
      </c>
      <c r="BE942" s="277"/>
      <c r="BF942" s="54"/>
      <c r="BG942" s="55"/>
      <c r="BH942" s="55"/>
      <c r="BI942" s="55"/>
      <c r="BJ942" s="56">
        <f t="shared" si="590"/>
        <v>0</v>
      </c>
      <c r="BL942" s="277"/>
      <c r="BM942" s="54"/>
      <c r="BN942" s="55"/>
      <c r="BO942" s="55"/>
      <c r="BP942" s="55"/>
      <c r="BQ942" s="56">
        <f t="shared" si="591"/>
        <v>0</v>
      </c>
    </row>
    <row r="943" spans="1:69" x14ac:dyDescent="0.15">
      <c r="A943" s="53" t="s">
        <v>98</v>
      </c>
      <c r="B943" s="54"/>
      <c r="C943" s="55"/>
      <c r="D943" s="55"/>
      <c r="E943" s="55"/>
      <c r="F943" s="56">
        <f t="shared" si="578"/>
        <v>0</v>
      </c>
      <c r="G943" s="54">
        <v>1</v>
      </c>
      <c r="H943" s="55">
        <v>1</v>
      </c>
      <c r="I943" s="55"/>
      <c r="J943" s="55"/>
      <c r="K943" s="56">
        <f t="shared" si="579"/>
        <v>2</v>
      </c>
      <c r="L943" s="54"/>
      <c r="M943" s="55"/>
      <c r="N943" s="55"/>
      <c r="O943" s="55"/>
      <c r="P943" s="56">
        <f t="shared" si="580"/>
        <v>0</v>
      </c>
      <c r="Q943" s="54"/>
      <c r="R943" s="55"/>
      <c r="S943" s="55"/>
      <c r="T943" s="55"/>
      <c r="U943" s="56">
        <f t="shared" si="581"/>
        <v>0</v>
      </c>
      <c r="V943" s="55"/>
      <c r="W943" s="55"/>
      <c r="X943" s="55"/>
      <c r="Y943" s="55"/>
      <c r="Z943" s="56">
        <f t="shared" si="582"/>
        <v>0</v>
      </c>
      <c r="AA943" s="56">
        <f t="shared" si="583"/>
        <v>2</v>
      </c>
      <c r="AB943" s="299">
        <v>45120</v>
      </c>
      <c r="AC943" s="276" t="s">
        <v>527</v>
      </c>
      <c r="AD943" s="54"/>
      <c r="AE943" s="55">
        <v>3</v>
      </c>
      <c r="AF943" s="55"/>
      <c r="AG943" s="55"/>
      <c r="AH943" s="56">
        <f t="shared" si="584"/>
        <v>3</v>
      </c>
      <c r="AI943" s="54"/>
      <c r="AJ943" s="55"/>
      <c r="AK943" s="55"/>
      <c r="AL943" s="55"/>
      <c r="AM943" s="56">
        <f t="shared" si="585"/>
        <v>0</v>
      </c>
      <c r="AN943" s="54">
        <v>1</v>
      </c>
      <c r="AO943" s="55"/>
      <c r="AP943" s="55"/>
      <c r="AQ943" s="55"/>
      <c r="AR943" s="56">
        <f t="shared" si="586"/>
        <v>1</v>
      </c>
      <c r="AS943" s="54">
        <v>3</v>
      </c>
      <c r="AT943" s="55"/>
      <c r="AU943" s="55"/>
      <c r="AV943" s="55"/>
      <c r="AW943" s="56">
        <f t="shared" si="587"/>
        <v>3</v>
      </c>
      <c r="AX943" s="55"/>
      <c r="AY943" s="55"/>
      <c r="AZ943" s="55"/>
      <c r="BA943" s="55"/>
      <c r="BB943" s="56">
        <f t="shared" si="588"/>
        <v>0</v>
      </c>
      <c r="BC943" s="56">
        <f t="shared" si="589"/>
        <v>7</v>
      </c>
      <c r="BD943" s="298">
        <v>45135</v>
      </c>
      <c r="BE943" s="277"/>
      <c r="BF943" s="54"/>
      <c r="BG943" s="55"/>
      <c r="BH943" s="55"/>
      <c r="BI943" s="55"/>
      <c r="BJ943" s="56">
        <f t="shared" si="590"/>
        <v>0</v>
      </c>
      <c r="BL943" s="277"/>
      <c r="BM943" s="54"/>
      <c r="BN943" s="55"/>
      <c r="BO943" s="55"/>
      <c r="BP943" s="55"/>
      <c r="BQ943" s="56">
        <f t="shared" si="591"/>
        <v>0</v>
      </c>
    </row>
    <row r="944" spans="1:69" x14ac:dyDescent="0.15">
      <c r="A944" s="53" t="s">
        <v>98</v>
      </c>
      <c r="B944" s="54"/>
      <c r="C944" s="55"/>
      <c r="D944" s="55"/>
      <c r="E944" s="55"/>
      <c r="F944" s="56">
        <f t="shared" si="578"/>
        <v>0</v>
      </c>
      <c r="G944" s="54"/>
      <c r="H944" s="55"/>
      <c r="I944" s="55"/>
      <c r="J944" s="55"/>
      <c r="K944" s="56">
        <f t="shared" si="579"/>
        <v>0</v>
      </c>
      <c r="L944" s="54"/>
      <c r="M944" s="55"/>
      <c r="N944" s="55"/>
      <c r="O944" s="55"/>
      <c r="P944" s="56">
        <f t="shared" si="580"/>
        <v>0</v>
      </c>
      <c r="Q944" s="54">
        <v>1</v>
      </c>
      <c r="R944" s="55">
        <v>1</v>
      </c>
      <c r="S944" s="55"/>
      <c r="T944" s="55">
        <v>1</v>
      </c>
      <c r="U944" s="56">
        <f t="shared" si="581"/>
        <v>3</v>
      </c>
      <c r="V944" s="55"/>
      <c r="W944" s="55"/>
      <c r="X944" s="55"/>
      <c r="Y944" s="55"/>
      <c r="Z944" s="56">
        <f t="shared" si="582"/>
        <v>0</v>
      </c>
      <c r="AA944" s="56">
        <f t="shared" si="583"/>
        <v>3</v>
      </c>
      <c r="AB944" s="299">
        <v>45121</v>
      </c>
      <c r="AC944" s="269" t="s">
        <v>529</v>
      </c>
      <c r="AD944" s="54"/>
      <c r="AE944" s="55"/>
      <c r="AF944" s="55"/>
      <c r="AG944" s="55"/>
      <c r="AH944" s="56">
        <f t="shared" ref="AH944" si="597">SUM(AD944:AG944)</f>
        <v>0</v>
      </c>
      <c r="AI944" s="54"/>
      <c r="AJ944" s="55"/>
      <c r="AK944" s="55">
        <v>8</v>
      </c>
      <c r="AL944" s="55">
        <v>4</v>
      </c>
      <c r="AM944" s="56">
        <f t="shared" ref="AM944" si="598">SUM(AI944:AL944)</f>
        <v>12</v>
      </c>
      <c r="AN944" s="54"/>
      <c r="AO944" s="55"/>
      <c r="AP944" s="55"/>
      <c r="AQ944" s="55"/>
      <c r="AR944" s="56">
        <f t="shared" ref="AR944" si="599">SUM(AN944:AQ944)</f>
        <v>0</v>
      </c>
      <c r="AS944" s="54"/>
      <c r="AT944" s="55"/>
      <c r="AU944" s="55"/>
      <c r="AV944" s="55"/>
      <c r="AW944" s="56">
        <f t="shared" ref="AW944" si="600">SUM(AS944:AV944)</f>
        <v>0</v>
      </c>
      <c r="AX944" s="55"/>
      <c r="AY944" s="55"/>
      <c r="AZ944" s="55"/>
      <c r="BA944" s="55"/>
      <c r="BB944" s="56">
        <f t="shared" ref="BB944" si="601">SUM(AX944:BA944)</f>
        <v>0</v>
      </c>
      <c r="BC944" s="56">
        <f t="shared" si="589"/>
        <v>12</v>
      </c>
      <c r="BD944" s="298">
        <v>45138</v>
      </c>
      <c r="BE944" s="277"/>
      <c r="BF944" s="54"/>
      <c r="BG944" s="55"/>
      <c r="BH944" s="55"/>
      <c r="BI944" s="55"/>
      <c r="BJ944" s="56">
        <f t="shared" si="590"/>
        <v>0</v>
      </c>
      <c r="BL944" s="277"/>
      <c r="BM944" s="54"/>
      <c r="BN944" s="55"/>
      <c r="BO944" s="55"/>
      <c r="BP944" s="55"/>
      <c r="BQ944" s="56">
        <f t="shared" si="591"/>
        <v>0</v>
      </c>
    </row>
    <row r="945" spans="1:69" x14ac:dyDescent="0.15">
      <c r="A945" s="53" t="s">
        <v>100</v>
      </c>
      <c r="B945" s="54"/>
      <c r="C945" s="55"/>
      <c r="D945" s="55"/>
      <c r="E945" s="55"/>
      <c r="F945" s="56">
        <f t="shared" si="578"/>
        <v>0</v>
      </c>
      <c r="G945" s="54">
        <v>1</v>
      </c>
      <c r="H945" s="55"/>
      <c r="I945" s="55"/>
      <c r="J945" s="55"/>
      <c r="K945" s="56">
        <f t="shared" si="579"/>
        <v>1</v>
      </c>
      <c r="L945" s="54"/>
      <c r="M945" s="55"/>
      <c r="N945" s="55"/>
      <c r="O945" s="55"/>
      <c r="P945" s="56">
        <f t="shared" si="580"/>
        <v>0</v>
      </c>
      <c r="Q945" s="54"/>
      <c r="R945" s="55"/>
      <c r="S945" s="55"/>
      <c r="T945" s="55"/>
      <c r="U945" s="56">
        <f t="shared" si="581"/>
        <v>0</v>
      </c>
      <c r="V945" s="55"/>
      <c r="W945" s="55"/>
      <c r="X945" s="55"/>
      <c r="Y945" s="55"/>
      <c r="Z945" s="56">
        <f t="shared" si="582"/>
        <v>0</v>
      </c>
      <c r="AA945" s="56">
        <f t="shared" si="583"/>
        <v>1</v>
      </c>
      <c r="AB945" s="298">
        <v>45126</v>
      </c>
      <c r="AC945" s="269" t="s">
        <v>99</v>
      </c>
      <c r="AD945" s="54">
        <v>3</v>
      </c>
      <c r="AE945" s="55"/>
      <c r="AF945" s="55"/>
      <c r="AG945" s="55"/>
      <c r="AH945" s="56">
        <f t="shared" si="584"/>
        <v>3</v>
      </c>
      <c r="AI945" s="54"/>
      <c r="AJ945" s="55"/>
      <c r="AK945" s="55"/>
      <c r="AL945" s="55"/>
      <c r="AM945" s="56">
        <f t="shared" si="585"/>
        <v>0</v>
      </c>
      <c r="AN945" s="54">
        <v>3</v>
      </c>
      <c r="AO945" s="55"/>
      <c r="AP945" s="55"/>
      <c r="AQ945" s="55"/>
      <c r="AR945" s="56">
        <f t="shared" si="586"/>
        <v>3</v>
      </c>
      <c r="AS945" s="54"/>
      <c r="AT945" s="55"/>
      <c r="AU945" s="55"/>
      <c r="AV945" s="55"/>
      <c r="AW945" s="56">
        <f t="shared" si="587"/>
        <v>0</v>
      </c>
      <c r="AX945" s="55"/>
      <c r="AY945" s="55"/>
      <c r="AZ945" s="55"/>
      <c r="BA945" s="55"/>
      <c r="BB945" s="56">
        <f t="shared" si="588"/>
        <v>0</v>
      </c>
      <c r="BC945" s="56">
        <f t="shared" si="589"/>
        <v>6</v>
      </c>
      <c r="BD945" s="298">
        <v>45136</v>
      </c>
      <c r="BE945" s="277"/>
      <c r="BF945" s="54"/>
      <c r="BG945" s="55"/>
      <c r="BH945" s="55"/>
      <c r="BI945" s="55"/>
      <c r="BJ945" s="56">
        <f t="shared" si="590"/>
        <v>0</v>
      </c>
      <c r="BL945" s="277"/>
      <c r="BM945" s="54"/>
      <c r="BN945" s="55"/>
      <c r="BO945" s="55"/>
      <c r="BP945" s="55"/>
      <c r="BQ945" s="56">
        <f t="shared" si="591"/>
        <v>0</v>
      </c>
    </row>
    <row r="946" spans="1:69" x14ac:dyDescent="0.15">
      <c r="A946" s="53" t="s">
        <v>98</v>
      </c>
      <c r="B946" s="54"/>
      <c r="C946" s="55"/>
      <c r="D946" s="55"/>
      <c r="E946" s="55"/>
      <c r="F946" s="56">
        <f t="shared" si="578"/>
        <v>0</v>
      </c>
      <c r="G946" s="54">
        <v>2</v>
      </c>
      <c r="H946" s="55"/>
      <c r="I946" s="55">
        <v>1</v>
      </c>
      <c r="J946" s="55"/>
      <c r="K946" s="56">
        <f t="shared" si="579"/>
        <v>3</v>
      </c>
      <c r="L946" s="54">
        <v>1</v>
      </c>
      <c r="M946" s="55">
        <v>1</v>
      </c>
      <c r="N946" s="55"/>
      <c r="O946" s="55"/>
      <c r="P946" s="56">
        <f t="shared" si="580"/>
        <v>2</v>
      </c>
      <c r="Q946" s="54"/>
      <c r="R946" s="55">
        <f>2+3</f>
        <v>5</v>
      </c>
      <c r="S946" s="55"/>
      <c r="T946" s="55"/>
      <c r="U946" s="56">
        <f t="shared" si="581"/>
        <v>5</v>
      </c>
      <c r="V946" s="55">
        <v>1</v>
      </c>
      <c r="W946" s="55"/>
      <c r="X946" s="55"/>
      <c r="Y946" s="55"/>
      <c r="Z946" s="56">
        <f t="shared" si="582"/>
        <v>1</v>
      </c>
      <c r="AA946" s="56">
        <f t="shared" si="583"/>
        <v>11</v>
      </c>
      <c r="AB946" s="299">
        <v>45125</v>
      </c>
      <c r="AC946" s="276" t="s">
        <v>530</v>
      </c>
      <c r="AD946" s="54"/>
      <c r="AE946" s="55"/>
      <c r="AF946" s="55"/>
      <c r="AG946" s="55"/>
      <c r="AH946" s="56">
        <f t="shared" si="584"/>
        <v>0</v>
      </c>
      <c r="AI946" s="54"/>
      <c r="AJ946" s="55">
        <v>2</v>
      </c>
      <c r="AK946" s="55"/>
      <c r="AL946" s="55"/>
      <c r="AM946" s="56">
        <f t="shared" si="585"/>
        <v>2</v>
      </c>
      <c r="AN946" s="54"/>
      <c r="AO946" s="55"/>
      <c r="AP946" s="55"/>
      <c r="AQ946" s="55"/>
      <c r="AR946" s="56">
        <f t="shared" si="586"/>
        <v>0</v>
      </c>
      <c r="AS946" s="54"/>
      <c r="AT946" s="55"/>
      <c r="AU946" s="55"/>
      <c r="AV946" s="55"/>
      <c r="AW946" s="56">
        <f t="shared" si="587"/>
        <v>0</v>
      </c>
      <c r="AX946" s="55"/>
      <c r="AY946" s="55"/>
      <c r="AZ946" s="55"/>
      <c r="BA946" s="55"/>
      <c r="BB946" s="56">
        <f t="shared" si="588"/>
        <v>0</v>
      </c>
      <c r="BC946" s="56">
        <f t="shared" si="589"/>
        <v>2</v>
      </c>
      <c r="BD946" s="298">
        <v>45145</v>
      </c>
      <c r="BE946" s="277"/>
      <c r="BF946" s="54"/>
      <c r="BG946" s="55"/>
      <c r="BH946" s="55"/>
      <c r="BI946" s="55"/>
      <c r="BJ946" s="56">
        <f t="shared" si="590"/>
        <v>0</v>
      </c>
      <c r="BL946" s="277"/>
      <c r="BM946" s="54"/>
      <c r="BN946" s="55"/>
      <c r="BO946" s="55"/>
      <c r="BP946" s="55"/>
      <c r="BQ946" s="56">
        <f t="shared" si="591"/>
        <v>0</v>
      </c>
    </row>
    <row r="947" spans="1:69" x14ac:dyDescent="0.15">
      <c r="A947" s="53" t="s">
        <v>314</v>
      </c>
      <c r="B947" s="54"/>
      <c r="C947" s="55"/>
      <c r="D947" s="55"/>
      <c r="E947" s="55"/>
      <c r="F947" s="56">
        <f t="shared" si="578"/>
        <v>0</v>
      </c>
      <c r="G947" s="54"/>
      <c r="H947" s="55"/>
      <c r="I947" s="55"/>
      <c r="J947" s="55"/>
      <c r="K947" s="56">
        <f t="shared" si="579"/>
        <v>0</v>
      </c>
      <c r="L947" s="54"/>
      <c r="M947" s="55"/>
      <c r="N947" s="55"/>
      <c r="O947" s="55"/>
      <c r="P947" s="56">
        <f t="shared" si="580"/>
        <v>0</v>
      </c>
      <c r="Q947" s="54"/>
      <c r="R947" s="55"/>
      <c r="S947" s="55">
        <v>-1</v>
      </c>
      <c r="T947" s="55">
        <v>1</v>
      </c>
      <c r="U947" s="56">
        <f t="shared" si="581"/>
        <v>0</v>
      </c>
      <c r="V947" s="55"/>
      <c r="W947" s="55"/>
      <c r="X947" s="55"/>
      <c r="Y947" s="55"/>
      <c r="Z947" s="56">
        <f t="shared" si="582"/>
        <v>0</v>
      </c>
      <c r="AA947" s="56">
        <f t="shared" si="583"/>
        <v>0</v>
      </c>
      <c r="AB947" s="299">
        <v>45126</v>
      </c>
      <c r="AC947" s="276"/>
      <c r="AD947" s="54"/>
      <c r="AE947" s="55"/>
      <c r="AF947" s="55"/>
      <c r="AG947" s="55"/>
      <c r="AH947" s="56">
        <f t="shared" si="584"/>
        <v>0</v>
      </c>
      <c r="AI947" s="54"/>
      <c r="AJ947" s="55"/>
      <c r="AK947" s="55"/>
      <c r="AL947" s="55"/>
      <c r="AM947" s="56">
        <f t="shared" si="585"/>
        <v>0</v>
      </c>
      <c r="AN947" s="54"/>
      <c r="AO947" s="55"/>
      <c r="AP947" s="55"/>
      <c r="AQ947" s="55"/>
      <c r="AR947" s="56">
        <f t="shared" si="586"/>
        <v>0</v>
      </c>
      <c r="AS947" s="54"/>
      <c r="AT947" s="55"/>
      <c r="AU947" s="55"/>
      <c r="AV947" s="55"/>
      <c r="AW947" s="56">
        <f t="shared" si="587"/>
        <v>0</v>
      </c>
      <c r="AX947" s="55"/>
      <c r="AY947" s="55"/>
      <c r="AZ947" s="55"/>
      <c r="BA947" s="55"/>
      <c r="BB947" s="56">
        <f t="shared" si="588"/>
        <v>0</v>
      </c>
      <c r="BC947" s="56">
        <f t="shared" si="589"/>
        <v>0</v>
      </c>
      <c r="BD947" s="300"/>
      <c r="BE947" s="277"/>
      <c r="BF947" s="54"/>
      <c r="BG947" s="55"/>
      <c r="BH947" s="55"/>
      <c r="BI947" s="55"/>
      <c r="BJ947" s="56">
        <f t="shared" si="568"/>
        <v>0</v>
      </c>
      <c r="BL947" s="277"/>
      <c r="BM947" s="54"/>
      <c r="BN947" s="55"/>
      <c r="BO947" s="55"/>
      <c r="BP947" s="55"/>
      <c r="BQ947" s="56">
        <f t="shared" si="569"/>
        <v>0</v>
      </c>
    </row>
    <row r="948" spans="1:69" x14ac:dyDescent="0.15">
      <c r="A948" s="53" t="s">
        <v>98</v>
      </c>
      <c r="B948" s="54"/>
      <c r="C948" s="55"/>
      <c r="D948" s="55"/>
      <c r="E948" s="55"/>
      <c r="F948" s="56">
        <f t="shared" si="578"/>
        <v>0</v>
      </c>
      <c r="G948" s="54"/>
      <c r="H948" s="55">
        <v>2</v>
      </c>
      <c r="I948" s="55"/>
      <c r="J948" s="55"/>
      <c r="K948" s="56">
        <f t="shared" si="579"/>
        <v>2</v>
      </c>
      <c r="L948" s="54"/>
      <c r="M948" s="55"/>
      <c r="N948" s="55"/>
      <c r="O948" s="55"/>
      <c r="P948" s="56">
        <f t="shared" si="580"/>
        <v>0</v>
      </c>
      <c r="Q948" s="54"/>
      <c r="R948" s="55"/>
      <c r="S948" s="55"/>
      <c r="T948" s="55"/>
      <c r="U948" s="56">
        <f t="shared" si="581"/>
        <v>0</v>
      </c>
      <c r="V948" s="55"/>
      <c r="W948" s="55"/>
      <c r="X948" s="55"/>
      <c r="Y948" s="55">
        <v>1</v>
      </c>
      <c r="Z948" s="56">
        <f t="shared" si="582"/>
        <v>1</v>
      </c>
      <c r="AA948" s="56">
        <f t="shared" si="583"/>
        <v>3</v>
      </c>
      <c r="AB948" s="299">
        <v>45127</v>
      </c>
      <c r="AC948" s="276"/>
      <c r="AD948" s="54"/>
      <c r="AE948" s="55"/>
      <c r="AF948" s="55"/>
      <c r="AG948" s="55"/>
      <c r="AH948" s="56">
        <f t="shared" si="584"/>
        <v>0</v>
      </c>
      <c r="AI948" s="54"/>
      <c r="AJ948" s="55"/>
      <c r="AK948" s="55"/>
      <c r="AL948" s="55"/>
      <c r="AM948" s="56">
        <f t="shared" si="585"/>
        <v>0</v>
      </c>
      <c r="AN948" s="54"/>
      <c r="AO948" s="55"/>
      <c r="AP948" s="55"/>
      <c r="AQ948" s="55"/>
      <c r="AR948" s="56">
        <f t="shared" si="586"/>
        <v>0</v>
      </c>
      <c r="AS948" s="54"/>
      <c r="AT948" s="55"/>
      <c r="AU948" s="55"/>
      <c r="AV948" s="55"/>
      <c r="AW948" s="56">
        <f t="shared" si="587"/>
        <v>0</v>
      </c>
      <c r="AX948" s="55"/>
      <c r="AY948" s="55"/>
      <c r="AZ948" s="55"/>
      <c r="BA948" s="55"/>
      <c r="BB948" s="56">
        <f t="shared" si="588"/>
        <v>0</v>
      </c>
      <c r="BC948" s="56">
        <f t="shared" si="589"/>
        <v>0</v>
      </c>
      <c r="BD948" s="300"/>
      <c r="BE948" s="276"/>
      <c r="BF948" s="54"/>
      <c r="BG948" s="55"/>
      <c r="BH948" s="55"/>
      <c r="BI948" s="55"/>
      <c r="BJ948" s="56">
        <f t="shared" si="568"/>
        <v>0</v>
      </c>
      <c r="BL948" s="276"/>
      <c r="BM948" s="54"/>
      <c r="BN948" s="55"/>
      <c r="BO948" s="55"/>
      <c r="BP948" s="55"/>
      <c r="BQ948" s="56">
        <f t="shared" si="569"/>
        <v>0</v>
      </c>
    </row>
    <row r="949" spans="1:69" x14ac:dyDescent="0.15">
      <c r="A949" s="53" t="s">
        <v>98</v>
      </c>
      <c r="B949" s="54"/>
      <c r="C949" s="55"/>
      <c r="D949" s="55"/>
      <c r="E949" s="55"/>
      <c r="F949" s="56">
        <f t="shared" si="578"/>
        <v>0</v>
      </c>
      <c r="G949" s="54"/>
      <c r="H949" s="55">
        <v>2</v>
      </c>
      <c r="I949" s="55"/>
      <c r="J949" s="55"/>
      <c r="K949" s="56">
        <f t="shared" si="579"/>
        <v>2</v>
      </c>
      <c r="L949" s="54"/>
      <c r="M949" s="55"/>
      <c r="N949" s="55"/>
      <c r="O949" s="55"/>
      <c r="P949" s="56">
        <f t="shared" si="580"/>
        <v>0</v>
      </c>
      <c r="Q949" s="54"/>
      <c r="R949" s="55"/>
      <c r="S949" s="55"/>
      <c r="T949" s="55"/>
      <c r="U949" s="56">
        <f t="shared" si="581"/>
        <v>0</v>
      </c>
      <c r="V949" s="55"/>
      <c r="W949" s="55"/>
      <c r="X949" s="55"/>
      <c r="Y949" s="55">
        <v>1</v>
      </c>
      <c r="Z949" s="56">
        <f t="shared" si="582"/>
        <v>1</v>
      </c>
      <c r="AA949" s="56">
        <f t="shared" si="583"/>
        <v>3</v>
      </c>
      <c r="AB949" s="299">
        <v>45128</v>
      </c>
      <c r="AC949" s="276"/>
      <c r="AD949" s="54"/>
      <c r="AE949" s="55"/>
      <c r="AF949" s="55"/>
      <c r="AG949" s="55"/>
      <c r="AH949" s="56">
        <f t="shared" si="584"/>
        <v>0</v>
      </c>
      <c r="AI949" s="54"/>
      <c r="AJ949" s="55"/>
      <c r="AK949" s="55"/>
      <c r="AL949" s="55"/>
      <c r="AM949" s="56">
        <f t="shared" si="585"/>
        <v>0</v>
      </c>
      <c r="AN949" s="54"/>
      <c r="AO949" s="55"/>
      <c r="AP949" s="55"/>
      <c r="AQ949" s="55"/>
      <c r="AR949" s="56">
        <f t="shared" si="586"/>
        <v>0</v>
      </c>
      <c r="AS949" s="54"/>
      <c r="AT949" s="55"/>
      <c r="AU949" s="55"/>
      <c r="AV949" s="55"/>
      <c r="AW949" s="56">
        <f t="shared" si="587"/>
        <v>0</v>
      </c>
      <c r="AX949" s="55"/>
      <c r="AY949" s="55"/>
      <c r="AZ949" s="55"/>
      <c r="BA949" s="55"/>
      <c r="BB949" s="56">
        <f t="shared" si="588"/>
        <v>0</v>
      </c>
      <c r="BC949" s="56">
        <f t="shared" si="589"/>
        <v>0</v>
      </c>
      <c r="BD949" s="300"/>
      <c r="BE949" s="277"/>
      <c r="BF949" s="54"/>
      <c r="BG949" s="55"/>
      <c r="BH949" s="55"/>
      <c r="BI949" s="55"/>
      <c r="BJ949" s="56">
        <f t="shared" si="568"/>
        <v>0</v>
      </c>
      <c r="BL949" s="277"/>
      <c r="BM949" s="54"/>
      <c r="BN949" s="55"/>
      <c r="BO949" s="55"/>
      <c r="BP949" s="55"/>
      <c r="BQ949" s="56">
        <f t="shared" si="569"/>
        <v>0</v>
      </c>
    </row>
    <row r="950" spans="1:69" x14ac:dyDescent="0.15">
      <c r="A950" s="53" t="s">
        <v>98</v>
      </c>
      <c r="B950" s="54">
        <v>1</v>
      </c>
      <c r="C950" s="55"/>
      <c r="D950" s="55"/>
      <c r="E950" s="55"/>
      <c r="F950" s="56">
        <f t="shared" si="578"/>
        <v>1</v>
      </c>
      <c r="G950" s="54"/>
      <c r="H950" s="55"/>
      <c r="I950" s="55"/>
      <c r="J950" s="55"/>
      <c r="K950" s="56">
        <f t="shared" si="579"/>
        <v>0</v>
      </c>
      <c r="L950" s="54"/>
      <c r="M950" s="55"/>
      <c r="N950" s="55"/>
      <c r="O950" s="55"/>
      <c r="P950" s="56">
        <f t="shared" si="580"/>
        <v>0</v>
      </c>
      <c r="Q950" s="54"/>
      <c r="R950" s="55">
        <v>1</v>
      </c>
      <c r="S950" s="55">
        <v>2</v>
      </c>
      <c r="T950" s="55"/>
      <c r="U950" s="56">
        <f t="shared" si="581"/>
        <v>3</v>
      </c>
      <c r="V950" s="55"/>
      <c r="W950" s="55"/>
      <c r="X950" s="55"/>
      <c r="Y950" s="55"/>
      <c r="Z950" s="56">
        <f t="shared" si="582"/>
        <v>0</v>
      </c>
      <c r="AA950" s="56">
        <f t="shared" si="583"/>
        <v>4</v>
      </c>
      <c r="AB950" s="299">
        <v>45131</v>
      </c>
      <c r="AC950" s="276"/>
      <c r="AD950" s="54"/>
      <c r="AE950" s="55"/>
      <c r="AF950" s="55"/>
      <c r="AG950" s="55"/>
      <c r="AH950" s="56">
        <f t="shared" si="584"/>
        <v>0</v>
      </c>
      <c r="AI950" s="54"/>
      <c r="AJ950" s="55"/>
      <c r="AK950" s="55"/>
      <c r="AL950" s="55"/>
      <c r="AM950" s="56">
        <f t="shared" si="585"/>
        <v>0</v>
      </c>
      <c r="AN950" s="54"/>
      <c r="AO950" s="55"/>
      <c r="AP950" s="55"/>
      <c r="AQ950" s="55"/>
      <c r="AR950" s="56">
        <f t="shared" si="586"/>
        <v>0</v>
      </c>
      <c r="AS950" s="54"/>
      <c r="AT950" s="55"/>
      <c r="AU950" s="55"/>
      <c r="AV950" s="55"/>
      <c r="AW950" s="56">
        <f t="shared" si="587"/>
        <v>0</v>
      </c>
      <c r="AX950" s="55"/>
      <c r="AY950" s="55"/>
      <c r="AZ950" s="55"/>
      <c r="BA950" s="55"/>
      <c r="BB950" s="56">
        <f t="shared" si="588"/>
        <v>0</v>
      </c>
      <c r="BC950" s="56">
        <f t="shared" si="589"/>
        <v>0</v>
      </c>
      <c r="BD950" s="300"/>
      <c r="BE950" s="276"/>
      <c r="BF950" s="54"/>
      <c r="BG950" s="55"/>
      <c r="BH950" s="55"/>
      <c r="BI950" s="55"/>
      <c r="BJ950" s="56">
        <f t="shared" si="568"/>
        <v>0</v>
      </c>
      <c r="BL950" s="276"/>
      <c r="BM950" s="54"/>
      <c r="BN950" s="55"/>
      <c r="BO950" s="55"/>
      <c r="BP950" s="55"/>
      <c r="BQ950" s="56">
        <f t="shared" si="569"/>
        <v>0</v>
      </c>
    </row>
    <row r="951" spans="1:69" x14ac:dyDescent="0.15">
      <c r="A951" s="53" t="s">
        <v>98</v>
      </c>
      <c r="B951" s="54"/>
      <c r="C951" s="55"/>
      <c r="D951" s="55"/>
      <c r="E951" s="55"/>
      <c r="F951" s="56">
        <f t="shared" si="578"/>
        <v>0</v>
      </c>
      <c r="G951" s="54"/>
      <c r="H951" s="55"/>
      <c r="I951" s="55"/>
      <c r="J951" s="55"/>
      <c r="K951" s="56">
        <f t="shared" si="579"/>
        <v>0</v>
      </c>
      <c r="L951" s="54"/>
      <c r="M951" s="55"/>
      <c r="N951" s="55">
        <v>1</v>
      </c>
      <c r="O951" s="55"/>
      <c r="P951" s="56">
        <f t="shared" si="580"/>
        <v>1</v>
      </c>
      <c r="Q951" s="54">
        <v>1</v>
      </c>
      <c r="R951" s="55">
        <v>1</v>
      </c>
      <c r="S951" s="55"/>
      <c r="T951" s="55"/>
      <c r="U951" s="56">
        <f t="shared" si="581"/>
        <v>2</v>
      </c>
      <c r="V951" s="55">
        <v>1</v>
      </c>
      <c r="W951" s="55">
        <v>1</v>
      </c>
      <c r="X951" s="55"/>
      <c r="Y951" s="55"/>
      <c r="Z951" s="56">
        <f t="shared" si="582"/>
        <v>2</v>
      </c>
      <c r="AA951" s="56">
        <f t="shared" ref="AA951:AA952" si="602">F951+K951+P951+U951+Z951</f>
        <v>5</v>
      </c>
      <c r="AB951" s="299">
        <v>45132</v>
      </c>
      <c r="AC951" s="276"/>
      <c r="AD951" s="54"/>
      <c r="AE951" s="55"/>
      <c r="AF951" s="55"/>
      <c r="AG951" s="55"/>
      <c r="AH951" s="56">
        <f t="shared" si="584"/>
        <v>0</v>
      </c>
      <c r="AI951" s="54"/>
      <c r="AJ951" s="55"/>
      <c r="AK951" s="55"/>
      <c r="AL951" s="55"/>
      <c r="AM951" s="56">
        <f t="shared" si="585"/>
        <v>0</v>
      </c>
      <c r="AN951" s="54"/>
      <c r="AO951" s="55"/>
      <c r="AP951" s="55"/>
      <c r="AQ951" s="55"/>
      <c r="AR951" s="56">
        <f t="shared" si="586"/>
        <v>0</v>
      </c>
      <c r="AS951" s="54"/>
      <c r="AT951" s="55"/>
      <c r="AU951" s="55"/>
      <c r="AV951" s="55"/>
      <c r="AW951" s="56">
        <f t="shared" si="587"/>
        <v>0</v>
      </c>
      <c r="AX951" s="55"/>
      <c r="AY951" s="55"/>
      <c r="AZ951" s="55"/>
      <c r="BA951" s="55"/>
      <c r="BB951" s="56">
        <f t="shared" si="588"/>
        <v>0</v>
      </c>
      <c r="BC951" s="56">
        <f t="shared" si="589"/>
        <v>0</v>
      </c>
      <c r="BD951" s="300"/>
      <c r="BE951" s="277"/>
      <c r="BF951" s="55"/>
      <c r="BG951" s="55"/>
      <c r="BH951" s="55"/>
      <c r="BI951" s="166"/>
      <c r="BJ951" s="49">
        <f t="shared" si="568"/>
        <v>0</v>
      </c>
      <c r="BL951" s="277"/>
      <c r="BM951" s="55"/>
      <c r="BN951" s="55"/>
      <c r="BO951" s="55"/>
      <c r="BP951" s="166"/>
      <c r="BQ951" s="49">
        <f t="shared" si="569"/>
        <v>0</v>
      </c>
    </row>
    <row r="952" spans="1:69" x14ac:dyDescent="0.15">
      <c r="A952" s="269" t="s">
        <v>525</v>
      </c>
      <c r="B952" s="54"/>
      <c r="C952" s="55"/>
      <c r="D952" s="55"/>
      <c r="E952" s="55"/>
      <c r="F952" s="56">
        <f t="shared" ref="F952" si="603">SUM(B952:E952)</f>
        <v>0</v>
      </c>
      <c r="G952" s="54">
        <v>6</v>
      </c>
      <c r="H952" s="55"/>
      <c r="I952" s="55"/>
      <c r="J952" s="55"/>
      <c r="K952" s="56">
        <f t="shared" ref="K952" si="604">SUM(G952:J952)</f>
        <v>6</v>
      </c>
      <c r="L952" s="54"/>
      <c r="M952" s="55"/>
      <c r="N952" s="55"/>
      <c r="O952" s="55"/>
      <c r="P952" s="56">
        <f t="shared" ref="P952" si="605">SUM(L952:O952)</f>
        <v>0</v>
      </c>
      <c r="Q952" s="54"/>
      <c r="R952" s="55"/>
      <c r="S952" s="55"/>
      <c r="T952" s="55"/>
      <c r="U952" s="56">
        <f t="shared" ref="U952" si="606">SUM(Q952:T952)</f>
        <v>0</v>
      </c>
      <c r="V952" s="55"/>
      <c r="W952" s="55"/>
      <c r="X952" s="55"/>
      <c r="Y952" s="55"/>
      <c r="Z952" s="56">
        <f t="shared" ref="Z952" si="607">SUM(V952:Y952)</f>
        <v>0</v>
      </c>
      <c r="AA952" s="56">
        <f t="shared" si="602"/>
        <v>6</v>
      </c>
      <c r="AB952" s="298">
        <v>45135</v>
      </c>
      <c r="AC952" s="276"/>
      <c r="AD952" s="54"/>
      <c r="AE952" s="55"/>
      <c r="AF952" s="55"/>
      <c r="AG952" s="55"/>
      <c r="AH952" s="56">
        <f t="shared" si="584"/>
        <v>0</v>
      </c>
      <c r="AI952" s="54"/>
      <c r="AJ952" s="55"/>
      <c r="AK952" s="55"/>
      <c r="AL952" s="55"/>
      <c r="AM952" s="56">
        <f t="shared" si="585"/>
        <v>0</v>
      </c>
      <c r="AN952" s="54"/>
      <c r="AO952" s="55"/>
      <c r="AP952" s="55"/>
      <c r="AQ952" s="55"/>
      <c r="AR952" s="56">
        <f t="shared" si="586"/>
        <v>0</v>
      </c>
      <c r="AS952" s="54"/>
      <c r="AT952" s="55"/>
      <c r="AU952" s="55"/>
      <c r="AV952" s="55"/>
      <c r="AW952" s="56">
        <f t="shared" si="587"/>
        <v>0</v>
      </c>
      <c r="AX952" s="55"/>
      <c r="AY952" s="55"/>
      <c r="AZ952" s="55"/>
      <c r="BA952" s="55"/>
      <c r="BB952" s="56">
        <f t="shared" si="588"/>
        <v>0</v>
      </c>
      <c r="BC952" s="56">
        <f t="shared" si="589"/>
        <v>0</v>
      </c>
      <c r="BD952" s="300"/>
      <c r="BE952" s="277"/>
      <c r="BF952" s="54"/>
      <c r="BG952" s="55"/>
      <c r="BH952" s="55"/>
      <c r="BI952" s="55"/>
      <c r="BJ952" s="56">
        <f t="shared" si="568"/>
        <v>0</v>
      </c>
      <c r="BL952" s="277"/>
      <c r="BM952" s="54"/>
      <c r="BN952" s="55"/>
      <c r="BO952" s="55"/>
      <c r="BP952" s="55"/>
      <c r="BQ952" s="56">
        <f t="shared" si="569"/>
        <v>0</v>
      </c>
    </row>
    <row r="953" spans="1:69" x14ac:dyDescent="0.15">
      <c r="A953" s="53" t="s">
        <v>98</v>
      </c>
      <c r="B953" s="54"/>
      <c r="C953" s="55"/>
      <c r="D953" s="55"/>
      <c r="E953" s="55"/>
      <c r="F953" s="56">
        <f t="shared" si="578"/>
        <v>0</v>
      </c>
      <c r="G953" s="54">
        <v>1</v>
      </c>
      <c r="H953" s="55"/>
      <c r="I953" s="55"/>
      <c r="J953" s="55"/>
      <c r="K953" s="56">
        <f t="shared" si="579"/>
        <v>1</v>
      </c>
      <c r="L953" s="54"/>
      <c r="M953" s="55"/>
      <c r="N953" s="55"/>
      <c r="O953" s="55"/>
      <c r="P953" s="56">
        <f t="shared" si="580"/>
        <v>0</v>
      </c>
      <c r="Q953" s="54"/>
      <c r="R953" s="55">
        <v>1</v>
      </c>
      <c r="S953" s="55"/>
      <c r="T953" s="55"/>
      <c r="U953" s="56">
        <f t="shared" si="581"/>
        <v>1</v>
      </c>
      <c r="V953" s="55"/>
      <c r="W953" s="55"/>
      <c r="X953" s="55"/>
      <c r="Y953" s="55"/>
      <c r="Z953" s="56">
        <f t="shared" si="582"/>
        <v>0</v>
      </c>
      <c r="AA953" s="56">
        <f t="shared" si="583"/>
        <v>2</v>
      </c>
      <c r="AB953" s="299">
        <v>45133</v>
      </c>
      <c r="AC953" s="276"/>
      <c r="AD953" s="54"/>
      <c r="AE953" s="55"/>
      <c r="AF953" s="55"/>
      <c r="AG953" s="55"/>
      <c r="AH953" s="56">
        <f t="shared" si="560"/>
        <v>0</v>
      </c>
      <c r="AI953" s="54"/>
      <c r="AJ953" s="55"/>
      <c r="AK953" s="55"/>
      <c r="AL953" s="55"/>
      <c r="AM953" s="56">
        <f t="shared" si="561"/>
        <v>0</v>
      </c>
      <c r="AN953" s="54"/>
      <c r="AO953" s="55"/>
      <c r="AP953" s="55"/>
      <c r="AQ953" s="55"/>
      <c r="AR953" s="56">
        <f t="shared" si="565"/>
        <v>0</v>
      </c>
      <c r="AS953" s="54"/>
      <c r="AT953" s="55"/>
      <c r="AU953" s="55"/>
      <c r="AV953" s="55"/>
      <c r="AW953" s="56">
        <f t="shared" si="566"/>
        <v>0</v>
      </c>
      <c r="AX953" s="55"/>
      <c r="AY953" s="55"/>
      <c r="AZ953" s="55"/>
      <c r="BA953" s="55"/>
      <c r="BB953" s="56">
        <f t="shared" si="567"/>
        <v>0</v>
      </c>
      <c r="BC953" s="56">
        <f t="shared" ref="BC953:BC954" si="608">AH953+AM953+AR953+AW953+BB953</f>
        <v>0</v>
      </c>
      <c r="BD953" s="300"/>
      <c r="BE953" s="276"/>
      <c r="BF953" s="54"/>
      <c r="BG953" s="55"/>
      <c r="BH953" s="55"/>
      <c r="BI953" s="55"/>
      <c r="BJ953" s="56">
        <f t="shared" si="568"/>
        <v>0</v>
      </c>
      <c r="BL953" s="276"/>
      <c r="BM953" s="54"/>
      <c r="BN953" s="55"/>
      <c r="BO953" s="55"/>
      <c r="BP953" s="55"/>
      <c r="BQ953" s="56">
        <f t="shared" si="569"/>
        <v>0</v>
      </c>
    </row>
    <row r="954" spans="1:69" x14ac:dyDescent="0.15">
      <c r="A954" s="53" t="s">
        <v>98</v>
      </c>
      <c r="B954" s="54">
        <v>1</v>
      </c>
      <c r="C954" s="55"/>
      <c r="D954" s="55"/>
      <c r="E954" s="55"/>
      <c r="F954" s="56">
        <f t="shared" si="578"/>
        <v>1</v>
      </c>
      <c r="G954" s="54"/>
      <c r="H954" s="55">
        <v>1</v>
      </c>
      <c r="I954" s="55"/>
      <c r="J954" s="55"/>
      <c r="K954" s="56">
        <f t="shared" si="579"/>
        <v>1</v>
      </c>
      <c r="L954" s="54"/>
      <c r="M954" s="55"/>
      <c r="N954" s="55"/>
      <c r="O954" s="55"/>
      <c r="P954" s="56">
        <f t="shared" si="580"/>
        <v>0</v>
      </c>
      <c r="Q954" s="54"/>
      <c r="R954" s="55"/>
      <c r="S954" s="55"/>
      <c r="T954" s="55"/>
      <c r="U954" s="56">
        <f t="shared" si="581"/>
        <v>0</v>
      </c>
      <c r="V954" s="55"/>
      <c r="W954" s="55"/>
      <c r="X954" s="55"/>
      <c r="Y954" s="55"/>
      <c r="Z954" s="56">
        <f t="shared" si="582"/>
        <v>0</v>
      </c>
      <c r="AA954" s="56">
        <f t="shared" si="583"/>
        <v>2</v>
      </c>
      <c r="AB954" s="299">
        <v>45134</v>
      </c>
      <c r="AC954" s="276"/>
      <c r="AD954" s="54"/>
      <c r="AE954" s="55"/>
      <c r="AF954" s="55"/>
      <c r="AG954" s="55"/>
      <c r="AH954" s="56">
        <f t="shared" si="560"/>
        <v>0</v>
      </c>
      <c r="AI954" s="54"/>
      <c r="AJ954" s="55"/>
      <c r="AK954" s="55"/>
      <c r="AL954" s="55"/>
      <c r="AM954" s="56">
        <f t="shared" si="561"/>
        <v>0</v>
      </c>
      <c r="AN954" s="54"/>
      <c r="AO954" s="55"/>
      <c r="AP954" s="55"/>
      <c r="AQ954" s="55"/>
      <c r="AR954" s="56">
        <f t="shared" si="565"/>
        <v>0</v>
      </c>
      <c r="AS954" s="54"/>
      <c r="AT954" s="55"/>
      <c r="AU954" s="55"/>
      <c r="AV954" s="55"/>
      <c r="AW954" s="56">
        <f t="shared" si="566"/>
        <v>0</v>
      </c>
      <c r="AX954" s="55"/>
      <c r="AY954" s="55"/>
      <c r="AZ954" s="55"/>
      <c r="BA954" s="55"/>
      <c r="BB954" s="56">
        <f t="shared" si="567"/>
        <v>0</v>
      </c>
      <c r="BC954" s="56">
        <f t="shared" si="608"/>
        <v>0</v>
      </c>
      <c r="BD954" s="300"/>
      <c r="BE954" s="276"/>
      <c r="BF954" s="63"/>
      <c r="BG954" s="63"/>
      <c r="BH954" s="63"/>
      <c r="BI954" s="167"/>
      <c r="BJ954" s="64">
        <f t="shared" si="568"/>
        <v>0</v>
      </c>
      <c r="BL954" s="276"/>
      <c r="BM954" s="63"/>
      <c r="BN954" s="63"/>
      <c r="BO954" s="63"/>
      <c r="BP954" s="167"/>
      <c r="BQ954" s="64">
        <f t="shared" si="569"/>
        <v>0</v>
      </c>
    </row>
    <row r="955" spans="1:69" x14ac:dyDescent="0.15">
      <c r="A955" s="53" t="s">
        <v>98</v>
      </c>
      <c r="B955" s="54"/>
      <c r="C955" s="55"/>
      <c r="D955" s="55"/>
      <c r="E955" s="55"/>
      <c r="F955" s="56">
        <f t="shared" si="578"/>
        <v>0</v>
      </c>
      <c r="G955" s="54">
        <v>2</v>
      </c>
      <c r="H955" s="55"/>
      <c r="I955" s="55"/>
      <c r="J955" s="55"/>
      <c r="K955" s="56">
        <f t="shared" si="579"/>
        <v>2</v>
      </c>
      <c r="L955" s="54"/>
      <c r="M955" s="55"/>
      <c r="N955" s="55"/>
      <c r="O955" s="55"/>
      <c r="P955" s="56">
        <f t="shared" si="580"/>
        <v>0</v>
      </c>
      <c r="Q955" s="54"/>
      <c r="R955" s="55"/>
      <c r="S955" s="55"/>
      <c r="T955" s="55"/>
      <c r="U955" s="56">
        <f t="shared" si="581"/>
        <v>0</v>
      </c>
      <c r="V955" s="55"/>
      <c r="W955" s="55"/>
      <c r="X955" s="55"/>
      <c r="Y955" s="55"/>
      <c r="Z955" s="56">
        <f t="shared" si="582"/>
        <v>0</v>
      </c>
      <c r="AA955" s="56">
        <f t="shared" si="583"/>
        <v>2</v>
      </c>
      <c r="AB955" s="299">
        <v>45136</v>
      </c>
      <c r="AC955" s="276"/>
      <c r="AD955" s="54"/>
      <c r="AE955" s="55"/>
      <c r="AF955" s="55"/>
      <c r="AG955" s="55"/>
      <c r="AH955" s="56">
        <f t="shared" ref="AH955:AH962" si="609">SUM(AD955:AG955)</f>
        <v>0</v>
      </c>
      <c r="AI955" s="54"/>
      <c r="AJ955" s="55"/>
      <c r="AK955" s="55"/>
      <c r="AL955" s="55"/>
      <c r="AM955" s="56">
        <f t="shared" ref="AM955:AM962" si="610">SUM(AI955:AL955)</f>
        <v>0</v>
      </c>
      <c r="AN955" s="54"/>
      <c r="AO955" s="55"/>
      <c r="AP955" s="55"/>
      <c r="AQ955" s="55"/>
      <c r="AR955" s="56">
        <f t="shared" ref="AR955:AR962" si="611">SUM(AN955:AQ955)</f>
        <v>0</v>
      </c>
      <c r="AS955" s="54"/>
      <c r="AT955" s="55"/>
      <c r="AU955" s="55"/>
      <c r="AV955" s="55"/>
      <c r="AW955" s="56">
        <f t="shared" ref="AW955:AW962" si="612">SUM(AS955:AV955)</f>
        <v>0</v>
      </c>
      <c r="AX955" s="55"/>
      <c r="AY955" s="55"/>
      <c r="AZ955" s="55"/>
      <c r="BA955" s="55"/>
      <c r="BB955" s="56">
        <f t="shared" ref="BB955:BB962" si="613">SUM(AX955:BA955)</f>
        <v>0</v>
      </c>
      <c r="BC955" s="56">
        <f t="shared" ref="BC955:BC962" si="614">AH955+AM955+AR955+AW955+BB955</f>
        <v>0</v>
      </c>
      <c r="BD955" s="300"/>
      <c r="BE955" s="277"/>
      <c r="BF955" s="54"/>
      <c r="BG955" s="55"/>
      <c r="BH955" s="55"/>
      <c r="BI955" s="55"/>
      <c r="BJ955" s="56">
        <f t="shared" si="568"/>
        <v>0</v>
      </c>
      <c r="BL955" s="277"/>
      <c r="BM955" s="54"/>
      <c r="BN955" s="55"/>
      <c r="BO955" s="55"/>
      <c r="BP955" s="55"/>
      <c r="BQ955" s="56">
        <f t="shared" si="569"/>
        <v>0</v>
      </c>
    </row>
    <row r="956" spans="1:69" x14ac:dyDescent="0.15">
      <c r="A956" s="53" t="s">
        <v>98</v>
      </c>
      <c r="B956" s="54"/>
      <c r="C956" s="55"/>
      <c r="D956" s="55"/>
      <c r="E956" s="55"/>
      <c r="F956" s="56">
        <f t="shared" si="578"/>
        <v>0</v>
      </c>
      <c r="G956" s="54">
        <v>1</v>
      </c>
      <c r="H956" s="55">
        <v>1</v>
      </c>
      <c r="I956" s="55"/>
      <c r="J956" s="55"/>
      <c r="K956" s="56">
        <f t="shared" si="579"/>
        <v>2</v>
      </c>
      <c r="L956" s="54"/>
      <c r="M956" s="55"/>
      <c r="N956" s="55"/>
      <c r="O956" s="55"/>
      <c r="P956" s="56">
        <f t="shared" si="580"/>
        <v>0</v>
      </c>
      <c r="Q956" s="54">
        <v>1</v>
      </c>
      <c r="R956" s="55">
        <v>1</v>
      </c>
      <c r="S956" s="55"/>
      <c r="T956" s="55">
        <v>3</v>
      </c>
      <c r="U956" s="56">
        <f t="shared" si="581"/>
        <v>5</v>
      </c>
      <c r="V956" s="55">
        <v>2</v>
      </c>
      <c r="W956" s="55"/>
      <c r="X956" s="55"/>
      <c r="Y956" s="55"/>
      <c r="Z956" s="56">
        <f t="shared" si="582"/>
        <v>2</v>
      </c>
      <c r="AA956" s="56">
        <f t="shared" si="583"/>
        <v>9</v>
      </c>
      <c r="AB956" s="299">
        <v>45138</v>
      </c>
      <c r="AC956" s="276"/>
      <c r="AD956" s="54"/>
      <c r="AE956" s="55"/>
      <c r="AF956" s="55"/>
      <c r="AG956" s="55"/>
      <c r="AH956" s="56">
        <f t="shared" si="609"/>
        <v>0</v>
      </c>
      <c r="AI956" s="54"/>
      <c r="AJ956" s="55"/>
      <c r="AK956" s="55"/>
      <c r="AL956" s="55"/>
      <c r="AM956" s="56">
        <f t="shared" si="610"/>
        <v>0</v>
      </c>
      <c r="AN956" s="54"/>
      <c r="AO956" s="55"/>
      <c r="AP956" s="55"/>
      <c r="AQ956" s="55"/>
      <c r="AR956" s="56">
        <f t="shared" si="611"/>
        <v>0</v>
      </c>
      <c r="AS956" s="54"/>
      <c r="AT956" s="55"/>
      <c r="AU956" s="55"/>
      <c r="AV956" s="55"/>
      <c r="AW956" s="56">
        <f t="shared" si="612"/>
        <v>0</v>
      </c>
      <c r="AX956" s="55"/>
      <c r="AY956" s="55"/>
      <c r="AZ956" s="55"/>
      <c r="BA956" s="55"/>
      <c r="BB956" s="56">
        <f t="shared" si="613"/>
        <v>0</v>
      </c>
      <c r="BC956" s="56">
        <f t="shared" si="614"/>
        <v>0</v>
      </c>
      <c r="BD956" s="300"/>
      <c r="BE956" s="276"/>
      <c r="BF956" s="54"/>
      <c r="BG956" s="55"/>
      <c r="BH956" s="55"/>
      <c r="BI956" s="55"/>
      <c r="BJ956" s="56">
        <f t="shared" si="568"/>
        <v>0</v>
      </c>
      <c r="BL956" s="276"/>
      <c r="BM956" s="54"/>
      <c r="BN956" s="55"/>
      <c r="BO956" s="55"/>
      <c r="BP956" s="55"/>
      <c r="BQ956" s="56">
        <f t="shared" si="569"/>
        <v>0</v>
      </c>
    </row>
    <row r="957" spans="1:69" x14ac:dyDescent="0.15">
      <c r="A957" s="53" t="s">
        <v>98</v>
      </c>
      <c r="B957" s="54"/>
      <c r="C957" s="55"/>
      <c r="D957" s="55"/>
      <c r="E957" s="55"/>
      <c r="F957" s="56">
        <f t="shared" si="578"/>
        <v>0</v>
      </c>
      <c r="G957" s="54"/>
      <c r="H957" s="55"/>
      <c r="I957" s="55"/>
      <c r="J957" s="55"/>
      <c r="K957" s="56">
        <f t="shared" si="579"/>
        <v>0</v>
      </c>
      <c r="L957" s="54"/>
      <c r="M957" s="55"/>
      <c r="N957" s="55"/>
      <c r="O957" s="55"/>
      <c r="P957" s="56">
        <f t="shared" si="580"/>
        <v>0</v>
      </c>
      <c r="Q957" s="54"/>
      <c r="R957" s="55"/>
      <c r="S957" s="55"/>
      <c r="T957" s="55"/>
      <c r="U957" s="56">
        <f t="shared" si="581"/>
        <v>0</v>
      </c>
      <c r="V957" s="55"/>
      <c r="W957" s="55">
        <v>2</v>
      </c>
      <c r="X957" s="55">
        <v>1</v>
      </c>
      <c r="Y957" s="55"/>
      <c r="Z957" s="56">
        <f t="shared" si="582"/>
        <v>3</v>
      </c>
      <c r="AA957" s="56">
        <f t="shared" si="583"/>
        <v>3</v>
      </c>
      <c r="AB957" s="299">
        <v>45140</v>
      </c>
      <c r="AC957" s="276"/>
      <c r="AD957" s="54"/>
      <c r="AE957" s="55"/>
      <c r="AF957" s="55"/>
      <c r="AG957" s="55"/>
      <c r="AH957" s="56">
        <f t="shared" si="609"/>
        <v>0</v>
      </c>
      <c r="AI957" s="54"/>
      <c r="AJ957" s="55"/>
      <c r="AK957" s="55"/>
      <c r="AL957" s="55"/>
      <c r="AM957" s="56">
        <f t="shared" si="610"/>
        <v>0</v>
      </c>
      <c r="AN957" s="54"/>
      <c r="AO957" s="55"/>
      <c r="AP957" s="55"/>
      <c r="AQ957" s="55"/>
      <c r="AR957" s="56">
        <f t="shared" si="611"/>
        <v>0</v>
      </c>
      <c r="AS957" s="54"/>
      <c r="AT957" s="55"/>
      <c r="AU957" s="55"/>
      <c r="AV957" s="55"/>
      <c r="AW957" s="56">
        <f t="shared" si="612"/>
        <v>0</v>
      </c>
      <c r="AX957" s="55"/>
      <c r="AY957" s="55"/>
      <c r="AZ957" s="55"/>
      <c r="BA957" s="55"/>
      <c r="BB957" s="56">
        <f t="shared" si="613"/>
        <v>0</v>
      </c>
      <c r="BC957" s="56">
        <f t="shared" si="614"/>
        <v>0</v>
      </c>
      <c r="BD957" s="300"/>
      <c r="BE957" s="277"/>
      <c r="BF957" s="54"/>
      <c r="BG957" s="55"/>
      <c r="BH957" s="55"/>
      <c r="BI957" s="55"/>
      <c r="BJ957" s="56">
        <f t="shared" si="568"/>
        <v>0</v>
      </c>
      <c r="BL957" s="277"/>
      <c r="BM957" s="54"/>
      <c r="BN957" s="55"/>
      <c r="BO957" s="55"/>
      <c r="BP957" s="55"/>
      <c r="BQ957" s="56">
        <f t="shared" si="569"/>
        <v>0</v>
      </c>
    </row>
    <row r="958" spans="1:69" x14ac:dyDescent="0.15">
      <c r="A958" s="53"/>
      <c r="B958" s="54"/>
      <c r="C958" s="55"/>
      <c r="D958" s="55"/>
      <c r="E958" s="55"/>
      <c r="F958" s="56">
        <f t="shared" si="578"/>
        <v>0</v>
      </c>
      <c r="G958" s="54"/>
      <c r="H958" s="55"/>
      <c r="I958" s="55"/>
      <c r="J958" s="55"/>
      <c r="K958" s="56">
        <f t="shared" si="579"/>
        <v>0</v>
      </c>
      <c r="L958" s="54"/>
      <c r="M958" s="55"/>
      <c r="N958" s="55"/>
      <c r="O958" s="55"/>
      <c r="P958" s="56">
        <f t="shared" si="580"/>
        <v>0</v>
      </c>
      <c r="Q958" s="54"/>
      <c r="R958" s="55"/>
      <c r="S958" s="55"/>
      <c r="T958" s="55"/>
      <c r="U958" s="56">
        <f t="shared" si="581"/>
        <v>0</v>
      </c>
      <c r="V958" s="55"/>
      <c r="W958" s="55"/>
      <c r="X958" s="55"/>
      <c r="Y958" s="55"/>
      <c r="Z958" s="56">
        <f t="shared" si="582"/>
        <v>0</v>
      </c>
      <c r="AA958" s="56">
        <f t="shared" si="583"/>
        <v>0</v>
      </c>
      <c r="AC958" s="276"/>
      <c r="AD958" s="54"/>
      <c r="AE958" s="55"/>
      <c r="AF958" s="55"/>
      <c r="AG958" s="55"/>
      <c r="AH958" s="56">
        <f t="shared" si="609"/>
        <v>0</v>
      </c>
      <c r="AI958" s="54"/>
      <c r="AJ958" s="55"/>
      <c r="AK958" s="55"/>
      <c r="AL958" s="55"/>
      <c r="AM958" s="56">
        <f t="shared" si="610"/>
        <v>0</v>
      </c>
      <c r="AN958" s="54"/>
      <c r="AO958" s="55"/>
      <c r="AP958" s="55"/>
      <c r="AQ958" s="55"/>
      <c r="AR958" s="56">
        <f t="shared" si="611"/>
        <v>0</v>
      </c>
      <c r="AS958" s="54"/>
      <c r="AT958" s="55"/>
      <c r="AU958" s="55"/>
      <c r="AV958" s="55"/>
      <c r="AW958" s="56">
        <f t="shared" si="612"/>
        <v>0</v>
      </c>
      <c r="AX958" s="55"/>
      <c r="AY958" s="55"/>
      <c r="AZ958" s="55"/>
      <c r="BA958" s="55"/>
      <c r="BB958" s="56">
        <f t="shared" si="613"/>
        <v>0</v>
      </c>
      <c r="BC958" s="56">
        <f t="shared" si="614"/>
        <v>0</v>
      </c>
      <c r="BD958" s="300"/>
      <c r="BE958" s="268"/>
      <c r="BF958" s="62"/>
      <c r="BG958" s="63"/>
      <c r="BH958" s="63"/>
      <c r="BI958" s="63"/>
      <c r="BJ958" s="56">
        <f t="shared" si="568"/>
        <v>0</v>
      </c>
      <c r="BL958" s="268"/>
      <c r="BM958" s="62"/>
      <c r="BN958" s="63"/>
      <c r="BO958" s="63"/>
      <c r="BP958" s="63"/>
      <c r="BQ958" s="56">
        <f t="shared" si="569"/>
        <v>0</v>
      </c>
    </row>
    <row r="959" spans="1:69" x14ac:dyDescent="0.15">
      <c r="A959" s="53"/>
      <c r="B959" s="54"/>
      <c r="C959" s="55"/>
      <c r="D959" s="55"/>
      <c r="E959" s="55"/>
      <c r="F959" s="56">
        <f t="shared" si="578"/>
        <v>0</v>
      </c>
      <c r="G959" s="54"/>
      <c r="H959" s="55"/>
      <c r="I959" s="55"/>
      <c r="J959" s="55"/>
      <c r="K959" s="56">
        <f t="shared" si="579"/>
        <v>0</v>
      </c>
      <c r="L959" s="54"/>
      <c r="M959" s="55"/>
      <c r="N959" s="55"/>
      <c r="O959" s="55"/>
      <c r="P959" s="56">
        <f t="shared" si="580"/>
        <v>0</v>
      </c>
      <c r="Q959" s="54"/>
      <c r="R959" s="55"/>
      <c r="S959" s="55"/>
      <c r="T959" s="55"/>
      <c r="U959" s="56">
        <f t="shared" si="581"/>
        <v>0</v>
      </c>
      <c r="V959" s="55"/>
      <c r="W959" s="55"/>
      <c r="X959" s="55"/>
      <c r="Y959" s="55"/>
      <c r="Z959" s="56">
        <f t="shared" si="582"/>
        <v>0</v>
      </c>
      <c r="AA959" s="56">
        <f t="shared" si="583"/>
        <v>0</v>
      </c>
      <c r="AC959" s="276"/>
      <c r="AD959" s="54"/>
      <c r="AE959" s="55"/>
      <c r="AF959" s="55"/>
      <c r="AG959" s="55"/>
      <c r="AH959" s="56">
        <f t="shared" si="609"/>
        <v>0</v>
      </c>
      <c r="AI959" s="54"/>
      <c r="AJ959" s="55"/>
      <c r="AK959" s="55"/>
      <c r="AL959" s="55"/>
      <c r="AM959" s="56">
        <f t="shared" si="610"/>
        <v>0</v>
      </c>
      <c r="AN959" s="54"/>
      <c r="AO959" s="55"/>
      <c r="AP959" s="55"/>
      <c r="AQ959" s="55"/>
      <c r="AR959" s="56">
        <f t="shared" si="611"/>
        <v>0</v>
      </c>
      <c r="AS959" s="54"/>
      <c r="AT959" s="55"/>
      <c r="AU959" s="55"/>
      <c r="AV959" s="55"/>
      <c r="AW959" s="56">
        <f t="shared" si="612"/>
        <v>0</v>
      </c>
      <c r="AX959" s="55"/>
      <c r="AY959" s="55"/>
      <c r="AZ959" s="55"/>
      <c r="BA959" s="55"/>
      <c r="BB959" s="56">
        <f t="shared" si="613"/>
        <v>0</v>
      </c>
      <c r="BC959" s="56">
        <f t="shared" si="614"/>
        <v>0</v>
      </c>
      <c r="BD959" s="300"/>
      <c r="BE959" s="268"/>
      <c r="BF959" s="54"/>
      <c r="BG959" s="55"/>
      <c r="BH959" s="55"/>
      <c r="BI959" s="55"/>
      <c r="BJ959" s="56">
        <f t="shared" si="568"/>
        <v>0</v>
      </c>
      <c r="BL959" s="268"/>
      <c r="BM959" s="54"/>
      <c r="BN959" s="55"/>
      <c r="BO959" s="55"/>
      <c r="BP959" s="55"/>
      <c r="BQ959" s="56">
        <f t="shared" si="569"/>
        <v>0</v>
      </c>
    </row>
    <row r="960" spans="1:69" x14ac:dyDescent="0.15">
      <c r="A960" s="53"/>
      <c r="B960" s="54"/>
      <c r="C960" s="55"/>
      <c r="D960" s="55"/>
      <c r="E960" s="55"/>
      <c r="F960" s="56">
        <f t="shared" si="578"/>
        <v>0</v>
      </c>
      <c r="G960" s="54"/>
      <c r="H960" s="55"/>
      <c r="I960" s="55"/>
      <c r="J960" s="55"/>
      <c r="K960" s="56">
        <f t="shared" si="579"/>
        <v>0</v>
      </c>
      <c r="L960" s="54"/>
      <c r="M960" s="55"/>
      <c r="N960" s="55"/>
      <c r="O960" s="55"/>
      <c r="P960" s="56">
        <f t="shared" si="580"/>
        <v>0</v>
      </c>
      <c r="Q960" s="54"/>
      <c r="R960" s="55"/>
      <c r="S960" s="55"/>
      <c r="T960" s="55"/>
      <c r="U960" s="56">
        <f t="shared" si="581"/>
        <v>0</v>
      </c>
      <c r="V960" s="55"/>
      <c r="W960" s="55"/>
      <c r="X960" s="55"/>
      <c r="Y960" s="55"/>
      <c r="Z960" s="56">
        <f t="shared" si="582"/>
        <v>0</v>
      </c>
      <c r="AA960" s="56">
        <f t="shared" si="583"/>
        <v>0</v>
      </c>
      <c r="AC960" s="276"/>
      <c r="AD960" s="54"/>
      <c r="AE960" s="55"/>
      <c r="AF960" s="55"/>
      <c r="AG960" s="55"/>
      <c r="AH960" s="56">
        <f t="shared" si="609"/>
        <v>0</v>
      </c>
      <c r="AI960" s="54"/>
      <c r="AJ960" s="55"/>
      <c r="AK960" s="55"/>
      <c r="AL960" s="55"/>
      <c r="AM960" s="56">
        <f t="shared" si="610"/>
        <v>0</v>
      </c>
      <c r="AN960" s="54"/>
      <c r="AO960" s="55"/>
      <c r="AP960" s="55"/>
      <c r="AQ960" s="55"/>
      <c r="AR960" s="56">
        <f t="shared" si="611"/>
        <v>0</v>
      </c>
      <c r="AS960" s="54"/>
      <c r="AT960" s="55"/>
      <c r="AU960" s="55"/>
      <c r="AV960" s="55"/>
      <c r="AW960" s="56">
        <f t="shared" si="612"/>
        <v>0</v>
      </c>
      <c r="AX960" s="55"/>
      <c r="AY960" s="55"/>
      <c r="AZ960" s="55"/>
      <c r="BA960" s="55"/>
      <c r="BB960" s="56">
        <f t="shared" si="613"/>
        <v>0</v>
      </c>
      <c r="BC960" s="56">
        <f t="shared" si="614"/>
        <v>0</v>
      </c>
      <c r="BD960" s="300"/>
      <c r="BE960" s="268"/>
      <c r="BF960" s="62"/>
      <c r="BG960" s="63"/>
      <c r="BH960" s="63"/>
      <c r="BI960" s="63"/>
      <c r="BJ960" s="56">
        <f t="shared" si="568"/>
        <v>0</v>
      </c>
      <c r="BL960" s="268"/>
      <c r="BM960" s="62"/>
      <c r="BN960" s="63"/>
      <c r="BO960" s="63"/>
      <c r="BP960" s="63"/>
      <c r="BQ960" s="56">
        <f t="shared" si="569"/>
        <v>0</v>
      </c>
    </row>
    <row r="961" spans="1:69" x14ac:dyDescent="0.15">
      <c r="A961" s="53"/>
      <c r="B961" s="54"/>
      <c r="C961" s="55"/>
      <c r="D961" s="55"/>
      <c r="E961" s="55"/>
      <c r="F961" s="56">
        <f t="shared" ref="F961:F964" si="615">SUM(B961:E961)</f>
        <v>0</v>
      </c>
      <c r="G961" s="54"/>
      <c r="H961" s="55"/>
      <c r="I961" s="55"/>
      <c r="J961" s="55"/>
      <c r="K961" s="56">
        <f t="shared" ref="K961:K964" si="616">SUM(G961:J961)</f>
        <v>0</v>
      </c>
      <c r="L961" s="54"/>
      <c r="M961" s="55"/>
      <c r="N961" s="55"/>
      <c r="O961" s="55"/>
      <c r="P961" s="56">
        <f t="shared" ref="P961:P964" si="617">SUM(L961:O961)</f>
        <v>0</v>
      </c>
      <c r="Q961" s="54"/>
      <c r="R961" s="55"/>
      <c r="S961" s="55"/>
      <c r="T961" s="55"/>
      <c r="U961" s="56">
        <f t="shared" ref="U961:U964" si="618">SUM(Q961:T961)</f>
        <v>0</v>
      </c>
      <c r="V961" s="55"/>
      <c r="W961" s="55"/>
      <c r="X961" s="55"/>
      <c r="Y961" s="55"/>
      <c r="Z961" s="56">
        <f t="shared" ref="Z961:Z963" si="619">SUM(V961:Y961)</f>
        <v>0</v>
      </c>
      <c r="AA961" s="56">
        <f t="shared" ref="AA961" si="620">F961+K961+P961+U961+Z961</f>
        <v>0</v>
      </c>
      <c r="AC961" s="276"/>
      <c r="AD961" s="54"/>
      <c r="AE961" s="55"/>
      <c r="AF961" s="55"/>
      <c r="AG961" s="55"/>
      <c r="AH961" s="56">
        <f t="shared" si="609"/>
        <v>0</v>
      </c>
      <c r="AI961" s="54"/>
      <c r="AJ961" s="55"/>
      <c r="AK961" s="55"/>
      <c r="AL961" s="55"/>
      <c r="AM961" s="56">
        <f t="shared" si="610"/>
        <v>0</v>
      </c>
      <c r="AN961" s="54"/>
      <c r="AO961" s="55"/>
      <c r="AP961" s="55"/>
      <c r="AQ961" s="55"/>
      <c r="AR961" s="56">
        <f t="shared" si="611"/>
        <v>0</v>
      </c>
      <c r="AS961" s="54"/>
      <c r="AT961" s="55"/>
      <c r="AU961" s="55"/>
      <c r="AV961" s="55"/>
      <c r="AW961" s="56">
        <f t="shared" si="612"/>
        <v>0</v>
      </c>
      <c r="AX961" s="55"/>
      <c r="AY961" s="55"/>
      <c r="AZ961" s="55"/>
      <c r="BA961" s="55"/>
      <c r="BB961" s="56">
        <f t="shared" si="613"/>
        <v>0</v>
      </c>
      <c r="BC961" s="56">
        <f t="shared" si="614"/>
        <v>0</v>
      </c>
      <c r="BD961" s="300"/>
      <c r="BE961" s="277"/>
      <c r="BF961" s="54"/>
      <c r="BG961" s="55"/>
      <c r="BH961" s="55"/>
      <c r="BI961" s="55"/>
      <c r="BJ961" s="56">
        <f t="shared" si="568"/>
        <v>0</v>
      </c>
      <c r="BL961" s="277"/>
      <c r="BM961" s="54"/>
      <c r="BN961" s="55"/>
      <c r="BO961" s="55"/>
      <c r="BP961" s="55"/>
      <c r="BQ961" s="56">
        <f t="shared" si="569"/>
        <v>0</v>
      </c>
    </row>
    <row r="962" spans="1:69" ht="14.25" thickBot="1" x14ac:dyDescent="0.2">
      <c r="A962" s="53"/>
      <c r="B962" s="33"/>
      <c r="C962" s="34"/>
      <c r="D962" s="34"/>
      <c r="E962" s="34"/>
      <c r="F962" s="30">
        <f t="shared" si="615"/>
        <v>0</v>
      </c>
      <c r="G962" s="33"/>
      <c r="H962" s="34"/>
      <c r="I962" s="34"/>
      <c r="J962" s="34"/>
      <c r="K962" s="30">
        <f t="shared" si="616"/>
        <v>0</v>
      </c>
      <c r="L962" s="33"/>
      <c r="M962" s="34"/>
      <c r="N962" s="34"/>
      <c r="O962" s="34"/>
      <c r="P962" s="30">
        <f t="shared" si="617"/>
        <v>0</v>
      </c>
      <c r="Q962" s="33"/>
      <c r="R962" s="34"/>
      <c r="S962" s="34"/>
      <c r="T962" s="34"/>
      <c r="U962" s="30">
        <f t="shared" si="618"/>
        <v>0</v>
      </c>
      <c r="V962" s="34"/>
      <c r="W962" s="34"/>
      <c r="X962" s="34"/>
      <c r="Y962" s="34"/>
      <c r="Z962" s="30">
        <f t="shared" si="619"/>
        <v>0</v>
      </c>
      <c r="AA962" s="56">
        <f>F962+K962+P962+U962+Z962</f>
        <v>0</v>
      </c>
      <c r="AC962" s="276"/>
      <c r="AD962" s="54"/>
      <c r="AE962" s="55"/>
      <c r="AF962" s="55"/>
      <c r="AG962" s="55"/>
      <c r="AH962" s="56">
        <f t="shared" si="609"/>
        <v>0</v>
      </c>
      <c r="AI962" s="54"/>
      <c r="AJ962" s="55"/>
      <c r="AK962" s="55"/>
      <c r="AL962" s="55"/>
      <c r="AM962" s="56">
        <f t="shared" si="610"/>
        <v>0</v>
      </c>
      <c r="AN962" s="54"/>
      <c r="AO962" s="55"/>
      <c r="AP962" s="55"/>
      <c r="AQ962" s="55"/>
      <c r="AR962" s="56">
        <f t="shared" si="611"/>
        <v>0</v>
      </c>
      <c r="AS962" s="54"/>
      <c r="AT962" s="55"/>
      <c r="AU962" s="55"/>
      <c r="AV962" s="55"/>
      <c r="AW962" s="56">
        <f t="shared" si="612"/>
        <v>0</v>
      </c>
      <c r="AX962" s="55"/>
      <c r="AY962" s="55"/>
      <c r="AZ962" s="55"/>
      <c r="BA962" s="55"/>
      <c r="BB962" s="56">
        <f t="shared" si="613"/>
        <v>0</v>
      </c>
      <c r="BC962" s="56">
        <f t="shared" si="614"/>
        <v>0</v>
      </c>
      <c r="BD962" s="300"/>
      <c r="BE962" s="282"/>
      <c r="BF962" s="33"/>
      <c r="BG962" s="34"/>
      <c r="BH962" s="34"/>
      <c r="BI962" s="34"/>
      <c r="BJ962" s="30">
        <f t="shared" si="568"/>
        <v>0</v>
      </c>
      <c r="BL962" s="282"/>
      <c r="BM962" s="33"/>
      <c r="BN962" s="34"/>
      <c r="BO962" s="34"/>
      <c r="BP962" s="34"/>
      <c r="BQ962" s="30">
        <f t="shared" si="569"/>
        <v>0</v>
      </c>
    </row>
    <row r="963" spans="1:69" ht="15" thickBot="1" x14ac:dyDescent="0.2">
      <c r="A963" s="9" t="s">
        <v>15</v>
      </c>
      <c r="B963" s="36">
        <f>SUM(B937:B962)</f>
        <v>2</v>
      </c>
      <c r="C963" s="37">
        <f>SUM(C937:C962)</f>
        <v>1</v>
      </c>
      <c r="D963" s="37">
        <f>SUM(D937:D962)</f>
        <v>0</v>
      </c>
      <c r="E963" s="38">
        <f>SUM(E937:E962)</f>
        <v>0</v>
      </c>
      <c r="F963" s="25">
        <f t="shared" si="615"/>
        <v>3</v>
      </c>
      <c r="G963" s="36">
        <f>SUM(G937:G962)</f>
        <v>18</v>
      </c>
      <c r="H963" s="37">
        <f>SUM(H937:H962)</f>
        <v>7</v>
      </c>
      <c r="I963" s="37">
        <f>SUM(I937:I962)</f>
        <v>2</v>
      </c>
      <c r="J963" s="38">
        <f>SUM(J937:J962)</f>
        <v>0</v>
      </c>
      <c r="K963" s="25">
        <f t="shared" si="616"/>
        <v>27</v>
      </c>
      <c r="L963" s="36">
        <f>SUM(L937:L962)</f>
        <v>1</v>
      </c>
      <c r="M963" s="37">
        <f>SUM(M937:M962)</f>
        <v>1</v>
      </c>
      <c r="N963" s="37">
        <f>SUM(N937:N962)</f>
        <v>1</v>
      </c>
      <c r="O963" s="38">
        <f>SUM(O937:O962)</f>
        <v>0</v>
      </c>
      <c r="P963" s="25">
        <f t="shared" si="617"/>
        <v>3</v>
      </c>
      <c r="Q963" s="36">
        <f>SUM(Q937:Q962)</f>
        <v>3</v>
      </c>
      <c r="R963" s="37">
        <f>SUM(R937:R962)</f>
        <v>12</v>
      </c>
      <c r="S963" s="37">
        <f>SUM(S937:S962)</f>
        <v>3</v>
      </c>
      <c r="T963" s="38">
        <f>SUM(T937:T962)</f>
        <v>6</v>
      </c>
      <c r="U963" s="25">
        <f t="shared" si="618"/>
        <v>24</v>
      </c>
      <c r="V963" s="322">
        <f>SUM(V937:V962)</f>
        <v>4</v>
      </c>
      <c r="W963" s="37">
        <f>SUM(W937:W962)</f>
        <v>3</v>
      </c>
      <c r="X963" s="37">
        <f>SUM(X937:X962)</f>
        <v>5</v>
      </c>
      <c r="Y963" s="38">
        <f>SUM(Y937:Y962)</f>
        <v>3</v>
      </c>
      <c r="Z963" s="25">
        <f t="shared" si="619"/>
        <v>15</v>
      </c>
      <c r="AA963" s="161">
        <f>F963+K963+P963+U963+Z963</f>
        <v>72</v>
      </c>
      <c r="AC963" s="278" t="s">
        <v>15</v>
      </c>
      <c r="AD963" s="36">
        <f>SUM(AD937:AD962)</f>
        <v>6</v>
      </c>
      <c r="AE963" s="37">
        <f>SUM(AE937:AE962)</f>
        <v>8</v>
      </c>
      <c r="AF963" s="37">
        <f>SUM(AF937:AF962)</f>
        <v>6</v>
      </c>
      <c r="AG963" s="38">
        <f>SUM(AG937:AG962)</f>
        <v>2</v>
      </c>
      <c r="AH963" s="25">
        <f t="shared" ref="AH963:AH964" si="621">SUM(AD963:AG963)</f>
        <v>22</v>
      </c>
      <c r="AI963" s="36">
        <f>SUM(AI937:AI962)</f>
        <v>12</v>
      </c>
      <c r="AJ963" s="37">
        <f>SUM(AJ937:AJ962)</f>
        <v>13</v>
      </c>
      <c r="AK963" s="37">
        <f>SUM(AK937:AK962)</f>
        <v>13</v>
      </c>
      <c r="AL963" s="38">
        <f>SUM(AL937:AL962)</f>
        <v>9</v>
      </c>
      <c r="AM963" s="25">
        <f t="shared" si="561"/>
        <v>47</v>
      </c>
      <c r="AN963" s="36">
        <f>SUM(AN937:AN962)</f>
        <v>5</v>
      </c>
      <c r="AO963" s="37">
        <f>SUM(AO937:AO962)</f>
        <v>5</v>
      </c>
      <c r="AP963" s="37">
        <f>SUM(AP937:AP962)</f>
        <v>0</v>
      </c>
      <c r="AQ963" s="38">
        <f>SUM(AQ937:AQ962)</f>
        <v>2</v>
      </c>
      <c r="AR963" s="25">
        <f t="shared" si="565"/>
        <v>12</v>
      </c>
      <c r="AS963" s="36">
        <f>SUM(AS937:AS962)</f>
        <v>6</v>
      </c>
      <c r="AT963" s="37">
        <f>SUM(AT937:AT962)</f>
        <v>7</v>
      </c>
      <c r="AU963" s="37">
        <f>SUM(AU937:AU962)</f>
        <v>9</v>
      </c>
      <c r="AV963" s="38">
        <f>SUM(AV937:AV962)</f>
        <v>10</v>
      </c>
      <c r="AW963" s="25">
        <f t="shared" si="566"/>
        <v>32</v>
      </c>
      <c r="AX963" s="322">
        <f>SUM(AX937:AX962)</f>
        <v>0</v>
      </c>
      <c r="AY963" s="37">
        <f>SUM(AY937:AY962)</f>
        <v>3</v>
      </c>
      <c r="AZ963" s="37">
        <f>SUM(AZ937:AZ962)</f>
        <v>0</v>
      </c>
      <c r="BA963" s="38">
        <f>SUM(BA937:BA962)</f>
        <v>0</v>
      </c>
      <c r="BB963" s="25">
        <f t="shared" si="567"/>
        <v>3</v>
      </c>
      <c r="BC963" s="161">
        <f>AH963+AM963+AR963+AW963+BB963</f>
        <v>116</v>
      </c>
      <c r="BE963" s="278" t="s">
        <v>15</v>
      </c>
      <c r="BF963" s="312">
        <f>SUM(BF937:BF962)</f>
        <v>0</v>
      </c>
      <c r="BG963" s="302">
        <f>SUM(BG937:BG962)</f>
        <v>0</v>
      </c>
      <c r="BH963" s="37">
        <f>SUM(BH937:BH962)</f>
        <v>2</v>
      </c>
      <c r="BI963" s="38">
        <f>SUM(BI937:BI962)</f>
        <v>0</v>
      </c>
      <c r="BJ963" s="25">
        <f t="shared" si="568"/>
        <v>2</v>
      </c>
      <c r="BL963" s="278" t="s">
        <v>15</v>
      </c>
      <c r="BM963" s="312">
        <f>SUM(BM937:BM962)</f>
        <v>0</v>
      </c>
      <c r="BN963" s="302">
        <f>SUM(BN937:BN962)</f>
        <v>0</v>
      </c>
      <c r="BO963" s="37">
        <f>SUM(BO937:BO962)</f>
        <v>0</v>
      </c>
      <c r="BP963" s="316">
        <f>SUM(BP937:BP962)</f>
        <v>0</v>
      </c>
      <c r="BQ963" s="25">
        <f t="shared" si="569"/>
        <v>0</v>
      </c>
    </row>
    <row r="964" spans="1:69" ht="14.25" thickBot="1" x14ac:dyDescent="0.2">
      <c r="A964" s="39" t="s">
        <v>16</v>
      </c>
      <c r="B964" s="40">
        <f>B936-B963</f>
        <v>6</v>
      </c>
      <c r="C964" s="41">
        <f>C936-C963</f>
        <v>6</v>
      </c>
      <c r="D964" s="41">
        <f>D936-D963</f>
        <v>6</v>
      </c>
      <c r="E964" s="42">
        <f>E936-E963</f>
        <v>7</v>
      </c>
      <c r="F964" s="171">
        <f t="shared" si="615"/>
        <v>25</v>
      </c>
      <c r="G964" s="40">
        <f>G936-G963</f>
        <v>2</v>
      </c>
      <c r="H964" s="41">
        <f>H936-H963</f>
        <v>4</v>
      </c>
      <c r="I964" s="41">
        <f>I936-I963</f>
        <v>15</v>
      </c>
      <c r="J964" s="42">
        <f>J936-J963</f>
        <v>8</v>
      </c>
      <c r="K964" s="171">
        <f t="shared" si="616"/>
        <v>29</v>
      </c>
      <c r="L964" s="40">
        <f>L936-L963</f>
        <v>6</v>
      </c>
      <c r="M964" s="41">
        <f>M936-M963</f>
        <v>5</v>
      </c>
      <c r="N964" s="41">
        <f>N936-N963</f>
        <v>4</v>
      </c>
      <c r="O964" s="42">
        <f>O936-O963</f>
        <v>4</v>
      </c>
      <c r="P964" s="171">
        <f t="shared" si="617"/>
        <v>19</v>
      </c>
      <c r="Q964" s="40">
        <f>Q936-Q963</f>
        <v>6</v>
      </c>
      <c r="R964" s="41">
        <f>R936-R963</f>
        <v>7</v>
      </c>
      <c r="S964" s="41">
        <f>S936-S963</f>
        <v>10</v>
      </c>
      <c r="T964" s="42">
        <f>T936-T963</f>
        <v>6</v>
      </c>
      <c r="U964" s="171">
        <f t="shared" si="618"/>
        <v>29</v>
      </c>
      <c r="V964" s="323">
        <f>V936-V963</f>
        <v>3</v>
      </c>
      <c r="W964" s="41">
        <f>W936-W963</f>
        <v>4</v>
      </c>
      <c r="X964" s="41">
        <f>X936-X963</f>
        <v>6</v>
      </c>
      <c r="Y964" s="42">
        <f>Y936-Y963</f>
        <v>4</v>
      </c>
      <c r="Z964" s="171">
        <f>SUM(V964:Y964)</f>
        <v>17</v>
      </c>
      <c r="AA964" s="77">
        <f>F964+K964+P964+U964+Z964</f>
        <v>119</v>
      </c>
      <c r="AC964" s="279" t="s">
        <v>16</v>
      </c>
      <c r="AD964" s="40">
        <f>AD936-AD963</f>
        <v>32</v>
      </c>
      <c r="AE964" s="41">
        <f>AE936-AE963</f>
        <v>37</v>
      </c>
      <c r="AF964" s="41">
        <f>AF936-AF963</f>
        <v>103</v>
      </c>
      <c r="AG964" s="42">
        <f>AG936-AG963</f>
        <v>41</v>
      </c>
      <c r="AH964" s="171">
        <f t="shared" si="621"/>
        <v>213</v>
      </c>
      <c r="AI964" s="40">
        <f>AI936-AI963</f>
        <v>106</v>
      </c>
      <c r="AJ964" s="41">
        <f>AJ936-AJ963</f>
        <v>195</v>
      </c>
      <c r="AK964" s="41">
        <f>AK936-AK963</f>
        <v>61</v>
      </c>
      <c r="AL964" s="42">
        <f>AL936-AL963</f>
        <v>59</v>
      </c>
      <c r="AM964" s="171">
        <f t="shared" si="561"/>
        <v>421</v>
      </c>
      <c r="AN964" s="40">
        <f>AN936-AN963</f>
        <v>42</v>
      </c>
      <c r="AO964" s="41">
        <f>AO936-AO963</f>
        <v>63</v>
      </c>
      <c r="AP964" s="41">
        <f>AP936-AP963</f>
        <v>46</v>
      </c>
      <c r="AQ964" s="42">
        <f>AQ936-AQ963</f>
        <v>26</v>
      </c>
      <c r="AR964" s="171">
        <f t="shared" si="565"/>
        <v>177</v>
      </c>
      <c r="AS964" s="40">
        <f>AS936-AS963</f>
        <v>128</v>
      </c>
      <c r="AT964" s="41">
        <f>AT936-AT963</f>
        <v>207</v>
      </c>
      <c r="AU964" s="41">
        <f>AU936-AU963</f>
        <v>85</v>
      </c>
      <c r="AV964" s="42">
        <f>AV936-AV963</f>
        <v>73</v>
      </c>
      <c r="AW964" s="171">
        <f t="shared" si="566"/>
        <v>493</v>
      </c>
      <c r="AX964" s="323">
        <f>AX936-AX963</f>
        <v>122</v>
      </c>
      <c r="AY964" s="41">
        <f>AY936-AY963</f>
        <v>112</v>
      </c>
      <c r="AZ964" s="41">
        <f>AZ936-AZ963</f>
        <v>56</v>
      </c>
      <c r="BA964" s="42">
        <f>BA936-BA963</f>
        <v>62</v>
      </c>
      <c r="BB964" s="171">
        <f>SUM(AX964:BA964)</f>
        <v>352</v>
      </c>
      <c r="BC964" s="77">
        <f>AH964+AM964+AR964+AW964+BB964</f>
        <v>1656</v>
      </c>
      <c r="BE964" s="279" t="s">
        <v>16</v>
      </c>
      <c r="BF964" s="313">
        <f>BF936-BF963</f>
        <v>0</v>
      </c>
      <c r="BG964" s="303">
        <f>BG936-BG963</f>
        <v>0</v>
      </c>
      <c r="BH964" s="41">
        <f>BH936-BH963</f>
        <v>6</v>
      </c>
      <c r="BI964" s="42">
        <f>BI936-BI963</f>
        <v>2</v>
      </c>
      <c r="BJ964" s="171">
        <f t="shared" si="568"/>
        <v>8</v>
      </c>
      <c r="BL964" s="279" t="s">
        <v>16</v>
      </c>
      <c r="BM964" s="313">
        <f>BM936-BM963</f>
        <v>0</v>
      </c>
      <c r="BN964" s="303">
        <f>BN936-BN963</f>
        <v>0</v>
      </c>
      <c r="BO964" s="41">
        <f>BO936-BO963</f>
        <v>21</v>
      </c>
      <c r="BP964" s="317">
        <f>BP936-BP963</f>
        <v>0</v>
      </c>
      <c r="BQ964" s="171">
        <f t="shared" si="569"/>
        <v>21</v>
      </c>
    </row>
    <row r="965" spans="1:69" x14ac:dyDescent="0.15">
      <c r="AD965" s="314"/>
      <c r="AE965" s="314"/>
      <c r="AF965" s="314"/>
      <c r="AG965" s="314"/>
      <c r="AH965" s="314"/>
      <c r="AI965" s="314"/>
      <c r="AJ965" s="314"/>
      <c r="AK965" s="314"/>
      <c r="AL965" s="314"/>
      <c r="AM965" s="314"/>
      <c r="AN965" s="314"/>
      <c r="AO965" s="314"/>
      <c r="AP965" s="314"/>
      <c r="AQ965" s="314"/>
      <c r="AR965" s="314"/>
      <c r="AS965" s="314"/>
      <c r="AT965" s="314"/>
      <c r="AU965" s="314"/>
      <c r="AV965" s="314"/>
      <c r="AW965" s="314"/>
      <c r="AX965" s="314"/>
      <c r="AY965" s="314"/>
      <c r="AZ965" s="314"/>
      <c r="BA965" s="314"/>
      <c r="BB965" s="314"/>
    </row>
    <row r="967" spans="1:69" ht="19.5" thickBot="1" x14ac:dyDescent="0.25">
      <c r="A967" s="185" t="s">
        <v>19</v>
      </c>
      <c r="B967" s="186"/>
      <c r="C967" s="186"/>
      <c r="D967" s="186"/>
      <c r="E967" s="186"/>
      <c r="F967" s="18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C967" s="187" t="s">
        <v>73</v>
      </c>
      <c r="AD967" s="188"/>
      <c r="AE967" s="188"/>
      <c r="AF967" s="188"/>
      <c r="AG967" s="188"/>
      <c r="AH967" s="188"/>
      <c r="AI967" s="188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E967" s="185" t="s">
        <v>19</v>
      </c>
      <c r="BF967" s="186"/>
      <c r="BG967" s="186"/>
      <c r="BH967" s="186"/>
      <c r="BI967" s="186"/>
      <c r="BJ967" s="186"/>
      <c r="BL967" s="187" t="s">
        <v>73</v>
      </c>
      <c r="BM967" s="188"/>
      <c r="BN967" s="188"/>
      <c r="BO967" s="188"/>
      <c r="BP967" s="188"/>
      <c r="BQ967" s="188"/>
    </row>
    <row r="968" spans="1:69" ht="14.25" thickBot="1" x14ac:dyDescent="0.2">
      <c r="A968" s="3" t="s">
        <v>0</v>
      </c>
      <c r="B968" s="365" t="s">
        <v>17</v>
      </c>
      <c r="C968" s="366"/>
      <c r="D968" s="366"/>
      <c r="E968" s="366"/>
      <c r="F968" s="367"/>
      <c r="G968" s="368" t="s">
        <v>18</v>
      </c>
      <c r="H968" s="369"/>
      <c r="I968" s="369"/>
      <c r="J968" s="369"/>
      <c r="K968" s="370"/>
      <c r="L968" s="371" t="s">
        <v>320</v>
      </c>
      <c r="M968" s="372"/>
      <c r="N968" s="372"/>
      <c r="O968" s="372"/>
      <c r="P968" s="373"/>
      <c r="Q968" s="355" t="s">
        <v>75</v>
      </c>
      <c r="R968" s="356"/>
      <c r="S968" s="356"/>
      <c r="T968" s="356"/>
      <c r="U968" s="357"/>
      <c r="V968" s="358" t="s">
        <v>456</v>
      </c>
      <c r="W968" s="358"/>
      <c r="X968" s="358"/>
      <c r="Y968" s="358"/>
      <c r="Z968" s="359"/>
      <c r="AA968" s="360" t="s">
        <v>1</v>
      </c>
      <c r="AC968" s="271" t="s">
        <v>0</v>
      </c>
      <c r="AD968" s="365" t="s">
        <v>17</v>
      </c>
      <c r="AE968" s="366"/>
      <c r="AF968" s="366"/>
      <c r="AG968" s="366"/>
      <c r="AH968" s="367"/>
      <c r="AI968" s="368" t="s">
        <v>18</v>
      </c>
      <c r="AJ968" s="369"/>
      <c r="AK968" s="369"/>
      <c r="AL968" s="369"/>
      <c r="AM968" s="370"/>
      <c r="AN968" s="371" t="s">
        <v>320</v>
      </c>
      <c r="AO968" s="372"/>
      <c r="AP968" s="372"/>
      <c r="AQ968" s="372"/>
      <c r="AR968" s="373"/>
      <c r="AS968" s="355" t="s">
        <v>75</v>
      </c>
      <c r="AT968" s="356"/>
      <c r="AU968" s="356"/>
      <c r="AV968" s="356"/>
      <c r="AW968" s="357"/>
      <c r="AX968" s="358" t="s">
        <v>456</v>
      </c>
      <c r="AY968" s="358"/>
      <c r="AZ968" s="358"/>
      <c r="BA968" s="358"/>
      <c r="BB968" s="359"/>
      <c r="BC968" s="360" t="s">
        <v>1</v>
      </c>
      <c r="BE968" s="271" t="s">
        <v>0</v>
      </c>
      <c r="BF968" s="362" t="s">
        <v>38</v>
      </c>
      <c r="BG968" s="363"/>
      <c r="BH968" s="363"/>
      <c r="BI968" s="363"/>
      <c r="BJ968" s="364"/>
      <c r="BL968" s="271" t="s">
        <v>0</v>
      </c>
      <c r="BM968" s="362" t="s">
        <v>38</v>
      </c>
      <c r="BN968" s="363"/>
      <c r="BO968" s="363"/>
      <c r="BP968" s="363"/>
      <c r="BQ968" s="364"/>
    </row>
    <row r="969" spans="1:69" ht="14.25" thickBot="1" x14ac:dyDescent="0.2">
      <c r="A969" s="5" t="s">
        <v>2</v>
      </c>
      <c r="B969" s="6" t="s">
        <v>3</v>
      </c>
      <c r="C969" s="7" t="s">
        <v>4</v>
      </c>
      <c r="D969" s="7" t="s">
        <v>5</v>
      </c>
      <c r="E969" s="8" t="s">
        <v>6</v>
      </c>
      <c r="F969" s="5" t="s">
        <v>7</v>
      </c>
      <c r="G969" s="6" t="s">
        <v>3</v>
      </c>
      <c r="H969" s="7" t="s">
        <v>4</v>
      </c>
      <c r="I969" s="7" t="s">
        <v>5</v>
      </c>
      <c r="J969" s="8" t="s">
        <v>6</v>
      </c>
      <c r="K969" s="5" t="s">
        <v>7</v>
      </c>
      <c r="L969" s="6" t="s">
        <v>3</v>
      </c>
      <c r="M969" s="7" t="s">
        <v>4</v>
      </c>
      <c r="N969" s="7" t="s">
        <v>5</v>
      </c>
      <c r="O969" s="8" t="s">
        <v>6</v>
      </c>
      <c r="P969" s="5" t="s">
        <v>7</v>
      </c>
      <c r="Q969" s="6" t="s">
        <v>3</v>
      </c>
      <c r="R969" s="7" t="s">
        <v>4</v>
      </c>
      <c r="S969" s="7" t="s">
        <v>5</v>
      </c>
      <c r="T969" s="8" t="s">
        <v>6</v>
      </c>
      <c r="U969" s="5" t="s">
        <v>7</v>
      </c>
      <c r="V969" s="7" t="s">
        <v>3</v>
      </c>
      <c r="W969" s="7" t="s">
        <v>4</v>
      </c>
      <c r="X969" s="7" t="s">
        <v>5</v>
      </c>
      <c r="Y969" s="8" t="s">
        <v>6</v>
      </c>
      <c r="Z969" s="5" t="s">
        <v>7</v>
      </c>
      <c r="AA969" s="361"/>
      <c r="AC969" s="272" t="s">
        <v>2</v>
      </c>
      <c r="AD969" s="6" t="s">
        <v>3</v>
      </c>
      <c r="AE969" s="7" t="s">
        <v>4</v>
      </c>
      <c r="AF969" s="7" t="s">
        <v>5</v>
      </c>
      <c r="AG969" s="8" t="s">
        <v>6</v>
      </c>
      <c r="AH969" s="5" t="s">
        <v>7</v>
      </c>
      <c r="AI969" s="6" t="s">
        <v>3</v>
      </c>
      <c r="AJ969" s="7" t="s">
        <v>4</v>
      </c>
      <c r="AK969" s="7" t="s">
        <v>5</v>
      </c>
      <c r="AL969" s="8" t="s">
        <v>6</v>
      </c>
      <c r="AM969" s="5" t="s">
        <v>7</v>
      </c>
      <c r="AN969" s="6" t="s">
        <v>3</v>
      </c>
      <c r="AO969" s="7" t="s">
        <v>4</v>
      </c>
      <c r="AP969" s="7" t="s">
        <v>5</v>
      </c>
      <c r="AQ969" s="8" t="s">
        <v>6</v>
      </c>
      <c r="AR969" s="5" t="s">
        <v>7</v>
      </c>
      <c r="AS969" s="6" t="s">
        <v>3</v>
      </c>
      <c r="AT969" s="7" t="s">
        <v>4</v>
      </c>
      <c r="AU969" s="7" t="s">
        <v>5</v>
      </c>
      <c r="AV969" s="8" t="s">
        <v>6</v>
      </c>
      <c r="AW969" s="5" t="s">
        <v>7</v>
      </c>
      <c r="AX969" s="7" t="s">
        <v>3</v>
      </c>
      <c r="AY969" s="7" t="s">
        <v>4</v>
      </c>
      <c r="AZ969" s="7" t="s">
        <v>5</v>
      </c>
      <c r="BA969" s="8" t="s">
        <v>6</v>
      </c>
      <c r="BB969" s="5" t="s">
        <v>7</v>
      </c>
      <c r="BC969" s="361"/>
      <c r="BE969" s="272" t="s">
        <v>2</v>
      </c>
      <c r="BF969" s="6" t="s">
        <v>3</v>
      </c>
      <c r="BG969" s="7" t="s">
        <v>4</v>
      </c>
      <c r="BH969" s="7" t="s">
        <v>5</v>
      </c>
      <c r="BI969" s="8" t="s">
        <v>6</v>
      </c>
      <c r="BJ969" s="5" t="s">
        <v>7</v>
      </c>
      <c r="BL969" s="272" t="s">
        <v>2</v>
      </c>
      <c r="BM969" s="6" t="s">
        <v>3</v>
      </c>
      <c r="BN969" s="7" t="s">
        <v>4</v>
      </c>
      <c r="BO969" s="7" t="s">
        <v>5</v>
      </c>
      <c r="BP969" s="8" t="s">
        <v>6</v>
      </c>
      <c r="BQ969" s="5" t="s">
        <v>7</v>
      </c>
    </row>
    <row r="970" spans="1:69" ht="15" thickBot="1" x14ac:dyDescent="0.2">
      <c r="A970" s="291" t="s">
        <v>30</v>
      </c>
      <c r="B970" s="292">
        <f>B964</f>
        <v>6</v>
      </c>
      <c r="C970" s="292">
        <f>C964</f>
        <v>6</v>
      </c>
      <c r="D970" s="292">
        <f>D964</f>
        <v>6</v>
      </c>
      <c r="E970" s="293">
        <f>E964</f>
        <v>7</v>
      </c>
      <c r="F970" s="77">
        <f t="shared" ref="F970:F971" si="622">SUM(B970:E970)</f>
        <v>25</v>
      </c>
      <c r="G970" s="292">
        <f>G964</f>
        <v>2</v>
      </c>
      <c r="H970" s="292">
        <f>H964</f>
        <v>4</v>
      </c>
      <c r="I970" s="292">
        <f>I964</f>
        <v>15</v>
      </c>
      <c r="J970" s="293">
        <f>J964</f>
        <v>8</v>
      </c>
      <c r="K970" s="77">
        <f t="shared" ref="K970:K976" si="623">SUM(G970:J970)</f>
        <v>29</v>
      </c>
      <c r="L970" s="292">
        <f>L964</f>
        <v>6</v>
      </c>
      <c r="M970" s="292">
        <f>M964</f>
        <v>5</v>
      </c>
      <c r="N970" s="292">
        <f>N964</f>
        <v>4</v>
      </c>
      <c r="O970" s="293">
        <f>O964</f>
        <v>4</v>
      </c>
      <c r="P970" s="77">
        <f t="shared" ref="P970:P976" si="624">SUM(L970:O970)</f>
        <v>19</v>
      </c>
      <c r="Q970" s="324">
        <f>Q964</f>
        <v>6</v>
      </c>
      <c r="R970" s="292">
        <f>R964</f>
        <v>7</v>
      </c>
      <c r="S970" s="292">
        <f>S964</f>
        <v>10</v>
      </c>
      <c r="T970" s="293">
        <f>T964</f>
        <v>6</v>
      </c>
      <c r="U970" s="77">
        <f t="shared" ref="U970:U976" si="625">SUM(Q970:T970)</f>
        <v>29</v>
      </c>
      <c r="V970" s="324">
        <f>V964</f>
        <v>3</v>
      </c>
      <c r="W970" s="292">
        <f>W964</f>
        <v>4</v>
      </c>
      <c r="X970" s="292">
        <f>X964</f>
        <v>6</v>
      </c>
      <c r="Y970" s="293">
        <f>Y964</f>
        <v>4</v>
      </c>
      <c r="Z970" s="77">
        <f t="shared" ref="Z970" si="626">SUM(V970:Y970)</f>
        <v>17</v>
      </c>
      <c r="AA970" s="77">
        <f>F970+K970+P970+U970+Z970</f>
        <v>119</v>
      </c>
      <c r="AC970" s="294" t="s">
        <v>30</v>
      </c>
      <c r="AD970" s="292">
        <f>AD964</f>
        <v>32</v>
      </c>
      <c r="AE970" s="292">
        <f>AE964</f>
        <v>37</v>
      </c>
      <c r="AF970" s="292">
        <f>AF964</f>
        <v>103</v>
      </c>
      <c r="AG970" s="293">
        <f>AG964</f>
        <v>41</v>
      </c>
      <c r="AH970" s="77">
        <f>SUM(AD970:AG970)</f>
        <v>213</v>
      </c>
      <c r="AI970" s="292">
        <f>AI964</f>
        <v>106</v>
      </c>
      <c r="AJ970" s="292">
        <f>AJ964</f>
        <v>195</v>
      </c>
      <c r="AK970" s="292">
        <f>AK964</f>
        <v>61</v>
      </c>
      <c r="AL970" s="293">
        <f>AL964</f>
        <v>59</v>
      </c>
      <c r="AM970" s="77">
        <f>SUM(AI970:AL970)</f>
        <v>421</v>
      </c>
      <c r="AN970" s="292">
        <f>AN964</f>
        <v>42</v>
      </c>
      <c r="AO970" s="292">
        <f>AO964</f>
        <v>63</v>
      </c>
      <c r="AP970" s="292">
        <f>AP964</f>
        <v>46</v>
      </c>
      <c r="AQ970" s="293">
        <f>AQ964</f>
        <v>26</v>
      </c>
      <c r="AR970" s="77">
        <f>SUM(AN970:AQ970)</f>
        <v>177</v>
      </c>
      <c r="AS970" s="324">
        <f>AS964</f>
        <v>128</v>
      </c>
      <c r="AT970" s="292">
        <f>AT964</f>
        <v>207</v>
      </c>
      <c r="AU970" s="292">
        <f>AU964</f>
        <v>85</v>
      </c>
      <c r="AV970" s="293">
        <f>AV964</f>
        <v>73</v>
      </c>
      <c r="AW970" s="77">
        <f>SUM(AS970:AV970)</f>
        <v>493</v>
      </c>
      <c r="AX970" s="324">
        <f>AX964</f>
        <v>122</v>
      </c>
      <c r="AY970" s="292">
        <f>AY964</f>
        <v>112</v>
      </c>
      <c r="AZ970" s="292">
        <f>AZ964</f>
        <v>56</v>
      </c>
      <c r="BA970" s="293">
        <f>BA964</f>
        <v>62</v>
      </c>
      <c r="BB970" s="77">
        <f>SUM(AX970:BA970)</f>
        <v>352</v>
      </c>
      <c r="BC970" s="77">
        <f>AH970+AM970+AR970+AW970+BB970</f>
        <v>1656</v>
      </c>
      <c r="BE970" s="294" t="s">
        <v>30</v>
      </c>
      <c r="BF970" s="40">
        <f>BF964</f>
        <v>0</v>
      </c>
      <c r="BG970" s="41">
        <f t="shared" ref="BG970:BJ970" si="627">BG964</f>
        <v>0</v>
      </c>
      <c r="BH970" s="41">
        <f t="shared" si="627"/>
        <v>6</v>
      </c>
      <c r="BI970" s="42">
        <f t="shared" si="627"/>
        <v>2</v>
      </c>
      <c r="BJ970" s="171">
        <f t="shared" si="627"/>
        <v>8</v>
      </c>
      <c r="BL970" s="294" t="s">
        <v>30</v>
      </c>
      <c r="BM970" s="292">
        <f>BM964</f>
        <v>0</v>
      </c>
      <c r="BN970" s="292">
        <f t="shared" ref="BN970:BQ970" si="628">BN964</f>
        <v>0</v>
      </c>
      <c r="BO970" s="292">
        <f t="shared" si="628"/>
        <v>21</v>
      </c>
      <c r="BP970" s="292">
        <f t="shared" si="628"/>
        <v>0</v>
      </c>
      <c r="BQ970" s="77">
        <f t="shared" si="628"/>
        <v>21</v>
      </c>
    </row>
    <row r="971" spans="1:69" x14ac:dyDescent="0.15">
      <c r="A971" s="53" t="s">
        <v>111</v>
      </c>
      <c r="B971" s="55"/>
      <c r="C971" s="153"/>
      <c r="D971" s="153"/>
      <c r="E971" s="168"/>
      <c r="F971" s="56">
        <f t="shared" si="622"/>
        <v>0</v>
      </c>
      <c r="G971" s="55">
        <v>5</v>
      </c>
      <c r="H971" s="153">
        <v>5</v>
      </c>
      <c r="I971" s="153"/>
      <c r="J971" s="168"/>
      <c r="K971" s="56">
        <f t="shared" si="623"/>
        <v>10</v>
      </c>
      <c r="L971" s="55"/>
      <c r="M971" s="153"/>
      <c r="N971" s="153"/>
      <c r="O971" s="168"/>
      <c r="P971" s="56">
        <f t="shared" si="624"/>
        <v>0</v>
      </c>
      <c r="Q971" s="54"/>
      <c r="R971" s="153"/>
      <c r="S971" s="153"/>
      <c r="T971" s="168"/>
      <c r="U971" s="56">
        <f t="shared" si="625"/>
        <v>0</v>
      </c>
      <c r="V971" s="55">
        <v>5</v>
      </c>
      <c r="W971" s="153"/>
      <c r="X971" s="153"/>
      <c r="Y971" s="168"/>
      <c r="Z971" s="56">
        <f t="shared" ref="Z971:Z975" si="629">SUM(V971:Y971)</f>
        <v>5</v>
      </c>
      <c r="AA971" s="49">
        <f t="shared" ref="AA971:AA977" si="630">F971+K971+P971+U971+Z971</f>
        <v>15</v>
      </c>
      <c r="AB971" s="298">
        <v>45139</v>
      </c>
      <c r="AC971" s="268" t="s">
        <v>28</v>
      </c>
      <c r="AD971" s="55"/>
      <c r="AE971" s="153"/>
      <c r="AF971" s="153"/>
      <c r="AG971" s="168"/>
      <c r="AH971" s="56">
        <f t="shared" ref="AH971" si="631">SUM(AD971:AG971)</f>
        <v>0</v>
      </c>
      <c r="AI971" s="54"/>
      <c r="AJ971" s="55"/>
      <c r="AK971" s="55"/>
      <c r="AL971" s="55"/>
      <c r="AM971" s="56">
        <f t="shared" ref="AM971" si="632">SUM(AI971:AL971)</f>
        <v>0</v>
      </c>
      <c r="AN971" s="54"/>
      <c r="AO971" s="55"/>
      <c r="AP971" s="55"/>
      <c r="AQ971" s="55"/>
      <c r="AR971" s="56">
        <f t="shared" ref="AR971" si="633">SUM(AN971:AQ971)</f>
        <v>0</v>
      </c>
      <c r="AS971" s="54"/>
      <c r="AT971" s="153"/>
      <c r="AU971" s="153"/>
      <c r="AV971" s="168"/>
      <c r="AW971" s="56">
        <f t="shared" ref="AW971" si="634">SUM(AS971:AV971)</f>
        <v>0</v>
      </c>
      <c r="AX971" s="55"/>
      <c r="AY971" s="55"/>
      <c r="AZ971" s="55"/>
      <c r="BA971" s="166"/>
      <c r="BB971" s="49">
        <f>SUM(AX971:BA971)</f>
        <v>0</v>
      </c>
      <c r="BC971" s="49">
        <f t="shared" ref="BC971" si="635">AH971+AM971+AR971+AW971+BB971</f>
        <v>0</v>
      </c>
      <c r="BE971" s="268" t="s">
        <v>436</v>
      </c>
      <c r="BF971" s="51"/>
      <c r="BG971" s="52"/>
      <c r="BH971" s="52"/>
      <c r="BI971" s="52">
        <v>-2</v>
      </c>
      <c r="BJ971" s="49">
        <f t="shared" ref="BJ971:BJ973" si="636">SUM(BF971:BI971)</f>
        <v>-2</v>
      </c>
      <c r="BK971" s="306">
        <v>45163</v>
      </c>
      <c r="BL971" s="268" t="s">
        <v>28</v>
      </c>
      <c r="BM971" s="51"/>
      <c r="BN971" s="52"/>
      <c r="BO971" s="52"/>
      <c r="BP971" s="52"/>
      <c r="BQ971" s="49">
        <f t="shared" ref="BQ971:BQ973" si="637">SUM(BM971:BP971)</f>
        <v>0</v>
      </c>
    </row>
    <row r="972" spans="1:69" x14ac:dyDescent="0.15">
      <c r="A972" s="53" t="s">
        <v>111</v>
      </c>
      <c r="B972" s="55"/>
      <c r="C972" s="153"/>
      <c r="D972" s="153"/>
      <c r="E972" s="168"/>
      <c r="F972" s="56">
        <f t="shared" ref="F972:F975" si="638">SUM(B972:E972)</f>
        <v>0</v>
      </c>
      <c r="G972" s="55"/>
      <c r="H972" s="153"/>
      <c r="I972" s="153"/>
      <c r="J972" s="168"/>
      <c r="K972" s="56">
        <f t="shared" si="623"/>
        <v>0</v>
      </c>
      <c r="L972" s="55"/>
      <c r="M972" s="153"/>
      <c r="N972" s="153"/>
      <c r="O972" s="168"/>
      <c r="P972" s="56">
        <f t="shared" si="624"/>
        <v>0</v>
      </c>
      <c r="Q972" s="54"/>
      <c r="R972" s="153"/>
      <c r="S972" s="153"/>
      <c r="T972" s="168"/>
      <c r="U972" s="56">
        <f t="shared" si="625"/>
        <v>0</v>
      </c>
      <c r="V972" s="55">
        <v>3</v>
      </c>
      <c r="W972" s="153"/>
      <c r="X972" s="153"/>
      <c r="Y972" s="168">
        <v>5</v>
      </c>
      <c r="Z972" s="56">
        <f t="shared" si="629"/>
        <v>8</v>
      </c>
      <c r="AA972" s="49">
        <f t="shared" si="630"/>
        <v>8</v>
      </c>
      <c r="AB972" s="298">
        <v>45146</v>
      </c>
      <c r="AC972" s="268" t="s">
        <v>28</v>
      </c>
      <c r="AD972" s="55"/>
      <c r="AE972" s="153"/>
      <c r="AF972" s="153"/>
      <c r="AG972" s="168"/>
      <c r="AH972" s="56">
        <f t="shared" ref="AH972:AH978" si="639">SUM(AD972:AG972)</f>
        <v>0</v>
      </c>
      <c r="AI972" s="54"/>
      <c r="AJ972" s="55"/>
      <c r="AK972" s="55"/>
      <c r="AL972" s="55"/>
      <c r="AM972" s="56">
        <f t="shared" ref="AM972:AM978" si="640">SUM(AI972:AL972)</f>
        <v>0</v>
      </c>
      <c r="AN972" s="54"/>
      <c r="AO972" s="55"/>
      <c r="AP972" s="55"/>
      <c r="AQ972" s="55"/>
      <c r="AR972" s="56">
        <f t="shared" ref="AR972:AR973" si="641">SUM(AN972:AQ972)</f>
        <v>0</v>
      </c>
      <c r="AS972" s="54"/>
      <c r="AT972" s="153"/>
      <c r="AU972" s="153"/>
      <c r="AV972" s="168"/>
      <c r="AW972" s="56">
        <f t="shared" ref="AW972:AW973" si="642">SUM(AS972:AV972)</f>
        <v>0</v>
      </c>
      <c r="AX972" s="55"/>
      <c r="AY972" s="55"/>
      <c r="AZ972" s="55"/>
      <c r="BA972" s="166"/>
      <c r="BB972" s="49">
        <f>SUM(AX972:BA972)</f>
        <v>0</v>
      </c>
      <c r="BC972" s="49">
        <f t="shared" ref="BC972:BC977" si="643">AH972+AM972+AR972+AW972+BB972</f>
        <v>0</v>
      </c>
      <c r="BE972" s="268" t="s">
        <v>28</v>
      </c>
      <c r="BF972" s="55"/>
      <c r="BG972" s="153"/>
      <c r="BH972" s="153"/>
      <c r="BI972" s="168"/>
      <c r="BJ972" s="56">
        <f t="shared" si="636"/>
        <v>0</v>
      </c>
      <c r="BL972" s="268" t="s">
        <v>28</v>
      </c>
      <c r="BM972" s="54"/>
      <c r="BN972" s="55"/>
      <c r="BO972" s="55"/>
      <c r="BP972" s="55"/>
      <c r="BQ972" s="56">
        <f t="shared" si="637"/>
        <v>0</v>
      </c>
    </row>
    <row r="973" spans="1:69" x14ac:dyDescent="0.15">
      <c r="A973" s="53" t="s">
        <v>111</v>
      </c>
      <c r="B973" s="55"/>
      <c r="C973" s="153">
        <v>5</v>
      </c>
      <c r="D973" s="153"/>
      <c r="E973" s="168"/>
      <c r="F973" s="56">
        <f t="shared" si="638"/>
        <v>5</v>
      </c>
      <c r="G973" s="55"/>
      <c r="H973" s="153"/>
      <c r="I973" s="153"/>
      <c r="J973" s="168"/>
      <c r="K973" s="56">
        <f t="shared" si="623"/>
        <v>0</v>
      </c>
      <c r="L973" s="55"/>
      <c r="M973" s="153"/>
      <c r="N973" s="153"/>
      <c r="O973" s="168"/>
      <c r="P973" s="56">
        <f t="shared" si="624"/>
        <v>0</v>
      </c>
      <c r="Q973" s="54"/>
      <c r="R973" s="153">
        <v>3</v>
      </c>
      <c r="S973" s="153"/>
      <c r="T973" s="168"/>
      <c r="U973" s="56">
        <f t="shared" si="625"/>
        <v>3</v>
      </c>
      <c r="V973" s="55"/>
      <c r="W973" s="153">
        <v>5</v>
      </c>
      <c r="X973" s="153">
        <v>3</v>
      </c>
      <c r="Y973" s="168"/>
      <c r="Z973" s="56">
        <f t="shared" si="629"/>
        <v>8</v>
      </c>
      <c r="AA973" s="49">
        <f t="shared" si="630"/>
        <v>16</v>
      </c>
      <c r="AB973" s="298">
        <v>45149</v>
      </c>
      <c r="AC973" s="268" t="s">
        <v>28</v>
      </c>
      <c r="AD973" s="55"/>
      <c r="AE973" s="153"/>
      <c r="AF973" s="153"/>
      <c r="AG973" s="168"/>
      <c r="AH973" s="56">
        <f t="shared" si="639"/>
        <v>0</v>
      </c>
      <c r="AI973" s="54"/>
      <c r="AJ973" s="55"/>
      <c r="AK973" s="55"/>
      <c r="AL973" s="55"/>
      <c r="AM973" s="56">
        <f t="shared" si="640"/>
        <v>0</v>
      </c>
      <c r="AN973" s="54"/>
      <c r="AO973" s="55"/>
      <c r="AP973" s="55"/>
      <c r="AQ973" s="55"/>
      <c r="AR973" s="56">
        <f t="shared" si="641"/>
        <v>0</v>
      </c>
      <c r="AS973" s="54"/>
      <c r="AT973" s="153"/>
      <c r="AU973" s="153"/>
      <c r="AV973" s="168"/>
      <c r="AW973" s="56">
        <f t="shared" si="642"/>
        <v>0</v>
      </c>
      <c r="AX973" s="55"/>
      <c r="AY973" s="55"/>
      <c r="AZ973" s="55"/>
      <c r="BA973" s="166"/>
      <c r="BB973" s="49">
        <f>SUM(AX973:BA973)</f>
        <v>0</v>
      </c>
      <c r="BC973" s="49">
        <f t="shared" si="643"/>
        <v>0</v>
      </c>
      <c r="BE973" s="268" t="s">
        <v>28</v>
      </c>
      <c r="BF973" s="55"/>
      <c r="BG973" s="153"/>
      <c r="BH973" s="153"/>
      <c r="BI973" s="168"/>
      <c r="BJ973" s="56">
        <f t="shared" si="636"/>
        <v>0</v>
      </c>
      <c r="BL973" s="268" t="s">
        <v>28</v>
      </c>
      <c r="BM973" s="55"/>
      <c r="BN973" s="153"/>
      <c r="BO973" s="153"/>
      <c r="BP973" s="168"/>
      <c r="BQ973" s="56">
        <f t="shared" si="637"/>
        <v>0</v>
      </c>
    </row>
    <row r="974" spans="1:69" x14ac:dyDescent="0.15">
      <c r="A974" s="53" t="s">
        <v>108</v>
      </c>
      <c r="B974" s="55">
        <v>2</v>
      </c>
      <c r="C974" s="153"/>
      <c r="D974" s="153"/>
      <c r="E974" s="168">
        <v>1</v>
      </c>
      <c r="F974" s="56">
        <f t="shared" si="638"/>
        <v>3</v>
      </c>
      <c r="G974" s="55">
        <v>1</v>
      </c>
      <c r="H974" s="153">
        <v>2</v>
      </c>
      <c r="I974" s="153">
        <v>3</v>
      </c>
      <c r="J974" s="168">
        <v>2</v>
      </c>
      <c r="K974" s="56">
        <f t="shared" si="623"/>
        <v>8</v>
      </c>
      <c r="L974" s="55"/>
      <c r="M974" s="153"/>
      <c r="N974" s="153"/>
      <c r="O974" s="168"/>
      <c r="P974" s="56">
        <f t="shared" si="624"/>
        <v>0</v>
      </c>
      <c r="Q974" s="54"/>
      <c r="R974" s="153"/>
      <c r="S974" s="153"/>
      <c r="T974" s="168"/>
      <c r="U974" s="56">
        <f t="shared" si="625"/>
        <v>0</v>
      </c>
      <c r="V974" s="55"/>
      <c r="W974" s="153"/>
      <c r="X974" s="153"/>
      <c r="Y974" s="168"/>
      <c r="Z974" s="56">
        <f t="shared" si="629"/>
        <v>0</v>
      </c>
      <c r="AA974" s="49">
        <f t="shared" si="630"/>
        <v>11</v>
      </c>
      <c r="AB974" s="298">
        <v>45155</v>
      </c>
      <c r="AC974" s="268" t="s">
        <v>28</v>
      </c>
      <c r="AD974" s="63"/>
      <c r="AE974" s="63"/>
      <c r="AF974" s="63"/>
      <c r="AG974" s="167"/>
      <c r="AH974" s="56">
        <f t="shared" si="639"/>
        <v>0</v>
      </c>
      <c r="AI974" s="63"/>
      <c r="AJ974" s="63"/>
      <c r="AK974" s="63"/>
      <c r="AL974" s="167"/>
      <c r="AM974" s="56">
        <f t="shared" si="640"/>
        <v>0</v>
      </c>
      <c r="AN974" s="63"/>
      <c r="AO974" s="63"/>
      <c r="AP974" s="63"/>
      <c r="AQ974" s="167"/>
      <c r="AR974" s="64">
        <v>0</v>
      </c>
      <c r="AS974" s="62"/>
      <c r="AT974" s="63"/>
      <c r="AU974" s="63"/>
      <c r="AV974" s="167"/>
      <c r="AW974" s="64">
        <v>0</v>
      </c>
      <c r="AX974" s="63"/>
      <c r="AY974" s="63"/>
      <c r="AZ974" s="63"/>
      <c r="BA974" s="167"/>
      <c r="BB974" s="49">
        <f>SUM(AX974:BA974)</f>
        <v>0</v>
      </c>
      <c r="BC974" s="49">
        <f t="shared" si="643"/>
        <v>0</v>
      </c>
      <c r="BE974" s="268" t="s">
        <v>28</v>
      </c>
      <c r="BF974" s="63"/>
      <c r="BG974" s="63"/>
      <c r="BH974" s="63"/>
      <c r="BI974" s="167"/>
      <c r="BJ974" s="64">
        <v>0</v>
      </c>
      <c r="BL974" s="268" t="s">
        <v>28</v>
      </c>
      <c r="BM974" s="63"/>
      <c r="BN974" s="63"/>
      <c r="BO974" s="63"/>
      <c r="BP974" s="167"/>
      <c r="BQ974" s="64">
        <v>0</v>
      </c>
    </row>
    <row r="975" spans="1:69" x14ac:dyDescent="0.15">
      <c r="A975" s="53" t="s">
        <v>109</v>
      </c>
      <c r="B975" s="55"/>
      <c r="C975" s="153"/>
      <c r="D975" s="153"/>
      <c r="E975" s="168"/>
      <c r="F975" s="56">
        <f t="shared" si="638"/>
        <v>0</v>
      </c>
      <c r="G975" s="55"/>
      <c r="H975" s="153"/>
      <c r="I975" s="153"/>
      <c r="J975" s="168"/>
      <c r="K975" s="56">
        <f t="shared" si="623"/>
        <v>0</v>
      </c>
      <c r="L975" s="55"/>
      <c r="M975" s="153"/>
      <c r="N975" s="153"/>
      <c r="O975" s="168"/>
      <c r="P975" s="56">
        <f t="shared" si="624"/>
        <v>0</v>
      </c>
      <c r="Q975" s="54"/>
      <c r="R975" s="153">
        <v>1</v>
      </c>
      <c r="S975" s="153"/>
      <c r="T975" s="168"/>
      <c r="U975" s="56">
        <f t="shared" si="625"/>
        <v>1</v>
      </c>
      <c r="V975" s="55"/>
      <c r="W975" s="153"/>
      <c r="X975" s="153"/>
      <c r="Y975" s="168"/>
      <c r="Z975" s="56">
        <f t="shared" si="629"/>
        <v>0</v>
      </c>
      <c r="AA975" s="49">
        <f t="shared" si="630"/>
        <v>1</v>
      </c>
      <c r="AB975" s="298">
        <v>45156</v>
      </c>
      <c r="AC975" s="268" t="s">
        <v>28</v>
      </c>
      <c r="AD975" s="55"/>
      <c r="AE975" s="153"/>
      <c r="AF975" s="153"/>
      <c r="AG975" s="168"/>
      <c r="AH975" s="56">
        <f t="shared" si="639"/>
        <v>0</v>
      </c>
      <c r="AI975" s="55"/>
      <c r="AJ975" s="153"/>
      <c r="AK975" s="153"/>
      <c r="AL975" s="168"/>
      <c r="AM975" s="56">
        <f t="shared" si="640"/>
        <v>0</v>
      </c>
      <c r="AN975" s="55"/>
      <c r="AO975" s="153"/>
      <c r="AP975" s="153"/>
      <c r="AQ975" s="168"/>
      <c r="AR975" s="56">
        <f t="shared" ref="AR975:AR1006" si="644">SUM(AN975:AQ975)</f>
        <v>0</v>
      </c>
      <c r="AS975" s="54"/>
      <c r="AT975" s="153"/>
      <c r="AU975" s="153"/>
      <c r="AV975" s="168"/>
      <c r="AW975" s="56">
        <f t="shared" ref="AW975:AW1006" si="645">SUM(AS975:AV975)</f>
        <v>0</v>
      </c>
      <c r="AX975" s="55"/>
      <c r="AY975" s="153"/>
      <c r="AZ975" s="153"/>
      <c r="BA975" s="168"/>
      <c r="BB975" s="49">
        <f t="shared" ref="BB975:BB1005" si="646">SUM(AX975:BA975)</f>
        <v>0</v>
      </c>
      <c r="BC975" s="49">
        <f t="shared" si="643"/>
        <v>0</v>
      </c>
      <c r="BE975" s="268" t="s">
        <v>28</v>
      </c>
      <c r="BF975" s="55"/>
      <c r="BG975" s="153"/>
      <c r="BH975" s="153"/>
      <c r="BI975" s="168"/>
      <c r="BJ975" s="56">
        <f t="shared" ref="BJ975:BJ1006" si="647">SUM(BF975:BI975)</f>
        <v>0</v>
      </c>
      <c r="BL975" s="268" t="s">
        <v>28</v>
      </c>
      <c r="BM975" s="55"/>
      <c r="BN975" s="153"/>
      <c r="BO975" s="153"/>
      <c r="BP975" s="168"/>
      <c r="BQ975" s="56">
        <f t="shared" ref="BQ975:BQ1006" si="648">SUM(BM975:BP975)</f>
        <v>0</v>
      </c>
    </row>
    <row r="976" spans="1:69" x14ac:dyDescent="0.15">
      <c r="A976" s="53" t="s">
        <v>111</v>
      </c>
      <c r="B976" s="55"/>
      <c r="C976" s="153"/>
      <c r="D976" s="153"/>
      <c r="E976" s="168"/>
      <c r="F976" s="56">
        <f t="shared" ref="F976" si="649">SUM(B976:E976)</f>
        <v>0</v>
      </c>
      <c r="G976" s="55"/>
      <c r="H976" s="153"/>
      <c r="I976" s="153"/>
      <c r="J976" s="168"/>
      <c r="K976" s="56">
        <f t="shared" si="623"/>
        <v>0</v>
      </c>
      <c r="L976" s="55"/>
      <c r="M976" s="153"/>
      <c r="N976" s="153"/>
      <c r="O976" s="168"/>
      <c r="P976" s="56">
        <f t="shared" si="624"/>
        <v>0</v>
      </c>
      <c r="Q976" s="54"/>
      <c r="R976" s="153">
        <v>2</v>
      </c>
      <c r="S976" s="153"/>
      <c r="T976" s="168"/>
      <c r="U976" s="56">
        <f t="shared" si="625"/>
        <v>2</v>
      </c>
      <c r="V976" s="55"/>
      <c r="W976" s="153"/>
      <c r="X976" s="153"/>
      <c r="Y976" s="168">
        <v>2</v>
      </c>
      <c r="Z976" s="56">
        <f t="shared" ref="Z976:Z978" si="650">SUM(V976:Y976)</f>
        <v>2</v>
      </c>
      <c r="AA976" s="49">
        <f t="shared" si="630"/>
        <v>4</v>
      </c>
      <c r="AB976" s="298">
        <v>45163</v>
      </c>
      <c r="AC976" s="268" t="s">
        <v>28</v>
      </c>
      <c r="AD976" s="55"/>
      <c r="AE976" s="153"/>
      <c r="AF976" s="153"/>
      <c r="AG976" s="168"/>
      <c r="AH976" s="56">
        <f t="shared" si="639"/>
        <v>0</v>
      </c>
      <c r="AI976" s="55"/>
      <c r="AJ976" s="153"/>
      <c r="AK976" s="153"/>
      <c r="AL976" s="168"/>
      <c r="AM976" s="56">
        <f t="shared" si="640"/>
        <v>0</v>
      </c>
      <c r="AN976" s="55"/>
      <c r="AO976" s="153"/>
      <c r="AP976" s="153"/>
      <c r="AQ976" s="168"/>
      <c r="AR976" s="56">
        <f t="shared" si="644"/>
        <v>0</v>
      </c>
      <c r="AS976" s="54"/>
      <c r="AT976" s="153"/>
      <c r="AU976" s="153"/>
      <c r="AV976" s="168"/>
      <c r="AW976" s="56">
        <f t="shared" si="645"/>
        <v>0</v>
      </c>
      <c r="AX976" s="55"/>
      <c r="AY976" s="153"/>
      <c r="AZ976" s="153"/>
      <c r="BA976" s="168"/>
      <c r="BB976" s="56">
        <f t="shared" si="646"/>
        <v>0</v>
      </c>
      <c r="BC976" s="49">
        <f t="shared" si="643"/>
        <v>0</v>
      </c>
      <c r="BE976" s="268" t="s">
        <v>28</v>
      </c>
      <c r="BF976" s="55"/>
      <c r="BG976" s="153"/>
      <c r="BH976" s="153"/>
      <c r="BI976" s="168"/>
      <c r="BJ976" s="56">
        <f t="shared" si="647"/>
        <v>0</v>
      </c>
      <c r="BL976" s="268" t="s">
        <v>28</v>
      </c>
      <c r="BM976" s="55"/>
      <c r="BN976" s="153"/>
      <c r="BO976" s="153"/>
      <c r="BP976" s="168"/>
      <c r="BQ976" s="56">
        <f t="shared" si="648"/>
        <v>0</v>
      </c>
    </row>
    <row r="977" spans="1:69" ht="14.25" thickBot="1" x14ac:dyDescent="0.2">
      <c r="A977" s="53" t="s">
        <v>547</v>
      </c>
      <c r="B977" s="55">
        <v>0</v>
      </c>
      <c r="C977" s="153">
        <v>0</v>
      </c>
      <c r="D977" s="153">
        <v>0</v>
      </c>
      <c r="E977" s="168">
        <v>0</v>
      </c>
      <c r="F977" s="56">
        <f t="shared" ref="F977" si="651">SUM(B977:E977)</f>
        <v>0</v>
      </c>
      <c r="G977" s="55">
        <v>0</v>
      </c>
      <c r="H977" s="153">
        <v>0</v>
      </c>
      <c r="I977" s="153">
        <v>0</v>
      </c>
      <c r="J977" s="168">
        <v>0</v>
      </c>
      <c r="K977" s="56">
        <f t="shared" ref="K977" si="652">SUM(G977:J977)</f>
        <v>0</v>
      </c>
      <c r="L977" s="55">
        <v>0</v>
      </c>
      <c r="M977" s="153">
        <v>0</v>
      </c>
      <c r="N977" s="153">
        <v>0</v>
      </c>
      <c r="O977" s="168">
        <v>0</v>
      </c>
      <c r="P977" s="56">
        <f t="shared" ref="P977" si="653">SUM(L977:O977)</f>
        <v>0</v>
      </c>
      <c r="Q977" s="54">
        <v>0</v>
      </c>
      <c r="R977" s="153">
        <v>0</v>
      </c>
      <c r="S977" s="153">
        <v>0</v>
      </c>
      <c r="T977" s="168">
        <v>0</v>
      </c>
      <c r="U977" s="56">
        <f t="shared" ref="U977" si="654">SUM(Q977:T977)</f>
        <v>0</v>
      </c>
      <c r="V977" s="55">
        <v>0</v>
      </c>
      <c r="W977" s="153">
        <v>0</v>
      </c>
      <c r="X977" s="153">
        <v>0</v>
      </c>
      <c r="Y977" s="168">
        <v>0</v>
      </c>
      <c r="Z977" s="56">
        <f t="shared" si="650"/>
        <v>0</v>
      </c>
      <c r="AA977" s="49">
        <f t="shared" si="630"/>
        <v>0</v>
      </c>
      <c r="AB977" s="298">
        <v>45162</v>
      </c>
      <c r="AC977" s="268" t="s">
        <v>28</v>
      </c>
      <c r="AD977" s="63"/>
      <c r="AE977" s="164"/>
      <c r="AF977" s="164"/>
      <c r="AG977" s="169"/>
      <c r="AH977" s="170">
        <f t="shared" si="639"/>
        <v>0</v>
      </c>
      <c r="AI977" s="63"/>
      <c r="AJ977" s="164"/>
      <c r="AK977" s="164"/>
      <c r="AL977" s="169"/>
      <c r="AM977" s="170">
        <f t="shared" si="640"/>
        <v>0</v>
      </c>
      <c r="AN977" s="63"/>
      <c r="AO977" s="164"/>
      <c r="AP977" s="164"/>
      <c r="AQ977" s="169"/>
      <c r="AR977" s="170">
        <f t="shared" si="644"/>
        <v>0</v>
      </c>
      <c r="AS977" s="62"/>
      <c r="AT977" s="164"/>
      <c r="AU977" s="164"/>
      <c r="AV977" s="169"/>
      <c r="AW977" s="170">
        <f t="shared" si="645"/>
        <v>0</v>
      </c>
      <c r="AX977" s="63"/>
      <c r="AY977" s="164"/>
      <c r="AZ977" s="164"/>
      <c r="BA977" s="169"/>
      <c r="BB977" s="170">
        <f t="shared" si="646"/>
        <v>0</v>
      </c>
      <c r="BC977" s="49">
        <f t="shared" si="643"/>
        <v>0</v>
      </c>
      <c r="BE977" s="274" t="s">
        <v>28</v>
      </c>
      <c r="BF977" s="63"/>
      <c r="BG977" s="164"/>
      <c r="BH977" s="164"/>
      <c r="BI977" s="169"/>
      <c r="BJ977" s="170">
        <f t="shared" si="647"/>
        <v>0</v>
      </c>
      <c r="BL977" s="274" t="s">
        <v>28</v>
      </c>
      <c r="BM977" s="63"/>
      <c r="BN977" s="164"/>
      <c r="BO977" s="164"/>
      <c r="BP977" s="169"/>
      <c r="BQ977" s="170">
        <f t="shared" si="648"/>
        <v>0</v>
      </c>
    </row>
    <row r="978" spans="1:69" ht="15" thickBot="1" x14ac:dyDescent="0.2">
      <c r="A978" s="181" t="s">
        <v>14</v>
      </c>
      <c r="B978" s="182">
        <f>SUM(B970:B977)</f>
        <v>8</v>
      </c>
      <c r="C978" s="183">
        <f>SUM(C970:C977)</f>
        <v>11</v>
      </c>
      <c r="D978" s="183">
        <f>SUM(D970:D977)</f>
        <v>6</v>
      </c>
      <c r="E978" s="184">
        <f>SUM(E970:E977)</f>
        <v>8</v>
      </c>
      <c r="F978" s="77">
        <f t="shared" ref="F978" si="655">SUM(B978:E978)</f>
        <v>33</v>
      </c>
      <c r="G978" s="182">
        <f>SUM(G970:G977)</f>
        <v>8</v>
      </c>
      <c r="H978" s="183">
        <f>SUM(H970:H977)</f>
        <v>11</v>
      </c>
      <c r="I978" s="183">
        <f>SUM(I970:I977)</f>
        <v>18</v>
      </c>
      <c r="J978" s="184">
        <f>SUM(J970:J977)</f>
        <v>10</v>
      </c>
      <c r="K978" s="77">
        <f t="shared" ref="K978:K998" si="656">SUM(G978:J978)</f>
        <v>47</v>
      </c>
      <c r="L978" s="182">
        <f>SUM(L970:L977)</f>
        <v>6</v>
      </c>
      <c r="M978" s="183">
        <f>SUM(M970:M977)</f>
        <v>5</v>
      </c>
      <c r="N978" s="183">
        <f>SUM(N970:N977)</f>
        <v>4</v>
      </c>
      <c r="O978" s="184">
        <f>SUM(O970:O977)</f>
        <v>4</v>
      </c>
      <c r="P978" s="77">
        <f t="shared" ref="P978:P998" si="657">SUM(L978:O978)</f>
        <v>19</v>
      </c>
      <c r="Q978" s="182">
        <f>SUM(Q970:Q977)</f>
        <v>6</v>
      </c>
      <c r="R978" s="183">
        <f>SUM(R970:R977)</f>
        <v>13</v>
      </c>
      <c r="S978" s="183">
        <f>SUM(S970:S977)</f>
        <v>10</v>
      </c>
      <c r="T978" s="184">
        <f>SUM(T970:T977)</f>
        <v>6</v>
      </c>
      <c r="U978" s="77">
        <f t="shared" ref="U978:U998" si="658">SUM(Q978:T978)</f>
        <v>35</v>
      </c>
      <c r="V978" s="293">
        <f>SUM(V970:V977)</f>
        <v>11</v>
      </c>
      <c r="W978" s="183">
        <f>SUM(W970:W977)</f>
        <v>9</v>
      </c>
      <c r="X978" s="183">
        <f>SUM(X970:X977)</f>
        <v>9</v>
      </c>
      <c r="Y978" s="184">
        <f>SUM(Y970:Y977)</f>
        <v>11</v>
      </c>
      <c r="Z978" s="77">
        <f t="shared" si="650"/>
        <v>40</v>
      </c>
      <c r="AA978" s="77">
        <f>F978+K978+P978+U978+Z978</f>
        <v>174</v>
      </c>
      <c r="AC978" s="275" t="s">
        <v>14</v>
      </c>
      <c r="AD978" s="182">
        <f>SUM(AD970:AD977)</f>
        <v>32</v>
      </c>
      <c r="AE978" s="183">
        <f>SUM(AE970:AE977)</f>
        <v>37</v>
      </c>
      <c r="AF978" s="183">
        <f>SUM(AF970:AF977)</f>
        <v>103</v>
      </c>
      <c r="AG978" s="184">
        <f>SUM(AG970:AG977)</f>
        <v>41</v>
      </c>
      <c r="AH978" s="77">
        <f t="shared" si="639"/>
        <v>213</v>
      </c>
      <c r="AI978" s="182">
        <f>SUM(AI970:AI977)</f>
        <v>106</v>
      </c>
      <c r="AJ978" s="183">
        <f>SUM(AJ970:AJ977)</f>
        <v>195</v>
      </c>
      <c r="AK978" s="183">
        <f>SUM(AK970:AK977)</f>
        <v>61</v>
      </c>
      <c r="AL978" s="184">
        <f>SUM(AL970:AL977)</f>
        <v>59</v>
      </c>
      <c r="AM978" s="77">
        <f t="shared" si="640"/>
        <v>421</v>
      </c>
      <c r="AN978" s="182">
        <f>SUM(AN970:AN977)</f>
        <v>42</v>
      </c>
      <c r="AO978" s="183">
        <f>SUM(AO970:AO977)</f>
        <v>63</v>
      </c>
      <c r="AP978" s="183">
        <f>SUM(AP970:AP977)</f>
        <v>46</v>
      </c>
      <c r="AQ978" s="184">
        <f>SUM(AQ970:AQ977)</f>
        <v>26</v>
      </c>
      <c r="AR978" s="77">
        <f t="shared" si="644"/>
        <v>177</v>
      </c>
      <c r="AS978" s="182">
        <f>SUM(AS970:AS977)</f>
        <v>128</v>
      </c>
      <c r="AT978" s="183">
        <f>SUM(AT970:AT977)</f>
        <v>207</v>
      </c>
      <c r="AU978" s="183">
        <f>SUM(AU970:AU977)</f>
        <v>85</v>
      </c>
      <c r="AV978" s="184">
        <f>SUM(AV970:AV977)</f>
        <v>73</v>
      </c>
      <c r="AW978" s="77">
        <f t="shared" si="645"/>
        <v>493</v>
      </c>
      <c r="AX978" s="293">
        <f>SUM(AX970:AX977)</f>
        <v>122</v>
      </c>
      <c r="AY978" s="183">
        <f>SUM(AY970:AY977)</f>
        <v>112</v>
      </c>
      <c r="AZ978" s="183">
        <f>SUM(AZ970:AZ977)</f>
        <v>56</v>
      </c>
      <c r="BA978" s="184">
        <f>SUM(BA970:BA977)</f>
        <v>62</v>
      </c>
      <c r="BB978" s="77">
        <f t="shared" si="646"/>
        <v>352</v>
      </c>
      <c r="BC978" s="77">
        <f>AH978+AM978+AR978+AW978+BB978</f>
        <v>1656</v>
      </c>
      <c r="BE978" s="275" t="s">
        <v>14</v>
      </c>
      <c r="BF978" s="182">
        <f>SUM(BF970:BF977)</f>
        <v>0</v>
      </c>
      <c r="BG978" s="183">
        <f>SUM(BG970:BG977)</f>
        <v>0</v>
      </c>
      <c r="BH978" s="183">
        <f>SUM(BH970:BH977)</f>
        <v>6</v>
      </c>
      <c r="BI978" s="184">
        <f>SUM(BI970:BI977)</f>
        <v>0</v>
      </c>
      <c r="BJ978" s="77">
        <f t="shared" si="647"/>
        <v>6</v>
      </c>
      <c r="BL978" s="275" t="s">
        <v>14</v>
      </c>
      <c r="BM978" s="182">
        <f>SUM(BM970:BM977)</f>
        <v>0</v>
      </c>
      <c r="BN978" s="183">
        <f>SUM(BN970:BN977)</f>
        <v>0</v>
      </c>
      <c r="BO978" s="183">
        <f>SUM(BO970:BO977)</f>
        <v>21</v>
      </c>
      <c r="BP978" s="184">
        <f>SUM(BP970:BP977)</f>
        <v>0</v>
      </c>
      <c r="BQ978" s="77">
        <f t="shared" si="648"/>
        <v>21</v>
      </c>
    </row>
    <row r="979" spans="1:69" x14ac:dyDescent="0.15">
      <c r="A979" s="53" t="s">
        <v>98</v>
      </c>
      <c r="B979" s="54"/>
      <c r="C979" s="55"/>
      <c r="D979" s="55"/>
      <c r="E979" s="55"/>
      <c r="F979" s="56">
        <f t="shared" ref="F979:F998" si="659">SUM(B979:E979)</f>
        <v>0</v>
      </c>
      <c r="G979" s="54"/>
      <c r="H979" s="55">
        <v>1</v>
      </c>
      <c r="I979" s="55"/>
      <c r="J979" s="55"/>
      <c r="K979" s="56">
        <f t="shared" si="656"/>
        <v>1</v>
      </c>
      <c r="L979" s="54"/>
      <c r="M979" s="55">
        <v>1</v>
      </c>
      <c r="N979" s="55"/>
      <c r="O979" s="55"/>
      <c r="P979" s="56">
        <f t="shared" si="657"/>
        <v>1</v>
      </c>
      <c r="Q979" s="54"/>
      <c r="R979" s="55">
        <v>1</v>
      </c>
      <c r="S979" s="55"/>
      <c r="T979" s="55"/>
      <c r="U979" s="56">
        <f t="shared" si="658"/>
        <v>1</v>
      </c>
      <c r="V979" s="55"/>
      <c r="W979" s="55"/>
      <c r="X979" s="55"/>
      <c r="Y979" s="55">
        <v>1</v>
      </c>
      <c r="Z979" s="56">
        <f t="shared" ref="Z979:Z998" si="660">SUM(V979:Y979)</f>
        <v>1</v>
      </c>
      <c r="AA979" s="56">
        <f t="shared" ref="AA979:AA998" si="661">F979+K979+P979+U979+Z979</f>
        <v>4</v>
      </c>
      <c r="AB979" s="299">
        <v>45139</v>
      </c>
      <c r="AC979" s="276" t="s">
        <v>531</v>
      </c>
      <c r="AD979" s="54"/>
      <c r="AE979" s="55"/>
      <c r="AF979" s="55"/>
      <c r="AG979" s="55"/>
      <c r="AH979" s="56">
        <f t="shared" ref="AH979:AH988" si="662">SUM(AD979:AG979)</f>
        <v>0</v>
      </c>
      <c r="AI979" s="54">
        <v>5</v>
      </c>
      <c r="AJ979" s="55">
        <v>5</v>
      </c>
      <c r="AK979" s="55"/>
      <c r="AL979" s="55"/>
      <c r="AM979" s="56">
        <f t="shared" ref="AM979:AM988" si="663">SUM(AI979:AL979)</f>
        <v>10</v>
      </c>
      <c r="AN979" s="54"/>
      <c r="AO979" s="55"/>
      <c r="AP979" s="55"/>
      <c r="AQ979" s="55"/>
      <c r="AR979" s="56">
        <f t="shared" ref="AR979:AR988" si="664">SUM(AN979:AQ979)</f>
        <v>0</v>
      </c>
      <c r="AS979" s="54"/>
      <c r="AT979" s="55"/>
      <c r="AU979" s="55"/>
      <c r="AV979" s="55"/>
      <c r="AW979" s="56">
        <f t="shared" ref="AW979:AW988" si="665">SUM(AS979:AV979)</f>
        <v>0</v>
      </c>
      <c r="AX979" s="55">
        <v>5</v>
      </c>
      <c r="AY979" s="55"/>
      <c r="AZ979" s="55"/>
      <c r="BA979" s="55"/>
      <c r="BB979" s="56">
        <f t="shared" ref="BB979:BB988" si="666">SUM(AX979:BA979)</f>
        <v>5</v>
      </c>
      <c r="BC979" s="56">
        <f t="shared" ref="BC979:BC988" si="667">AH979+AM979+AR979+AW979+BB979</f>
        <v>15</v>
      </c>
      <c r="BD979" s="298">
        <v>45139</v>
      </c>
      <c r="BE979" s="277" t="s">
        <v>537</v>
      </c>
      <c r="BF979" s="54"/>
      <c r="BG979" s="55"/>
      <c r="BH979" s="55">
        <v>1</v>
      </c>
      <c r="BI979" s="55"/>
      <c r="BJ979" s="56">
        <f t="shared" ref="BJ979:BJ987" si="668">SUM(BF979:BI979)</f>
        <v>1</v>
      </c>
      <c r="BK979" s="304">
        <v>45145</v>
      </c>
      <c r="BL979" s="277"/>
      <c r="BM979" s="54"/>
      <c r="BN979" s="55"/>
      <c r="BO979" s="55"/>
      <c r="BP979" s="55"/>
      <c r="BQ979" s="56">
        <f t="shared" ref="BQ979:BQ987" si="669">SUM(BM979:BP979)</f>
        <v>0</v>
      </c>
    </row>
    <row r="980" spans="1:69" x14ac:dyDescent="0.15">
      <c r="A980" s="53" t="s">
        <v>98</v>
      </c>
      <c r="B980" s="54"/>
      <c r="C980" s="55">
        <v>1</v>
      </c>
      <c r="D980" s="55"/>
      <c r="E980" s="55"/>
      <c r="F980" s="56">
        <f t="shared" si="659"/>
        <v>1</v>
      </c>
      <c r="G980" s="54"/>
      <c r="H980" s="55">
        <v>1</v>
      </c>
      <c r="I980" s="55"/>
      <c r="J980" s="55"/>
      <c r="K980" s="56">
        <f t="shared" si="656"/>
        <v>1</v>
      </c>
      <c r="L980" s="54"/>
      <c r="M980" s="55"/>
      <c r="N980" s="55"/>
      <c r="O980" s="55"/>
      <c r="P980" s="56">
        <f t="shared" si="657"/>
        <v>0</v>
      </c>
      <c r="Q980" s="54"/>
      <c r="R980" s="55"/>
      <c r="S980" s="55"/>
      <c r="T980" s="55"/>
      <c r="U980" s="56">
        <f t="shared" si="658"/>
        <v>0</v>
      </c>
      <c r="V980" s="55">
        <v>2</v>
      </c>
      <c r="W980" s="55"/>
      <c r="X980" s="55"/>
      <c r="Y980" s="55"/>
      <c r="Z980" s="56">
        <f t="shared" si="660"/>
        <v>2</v>
      </c>
      <c r="AA980" s="56">
        <f t="shared" si="661"/>
        <v>4</v>
      </c>
      <c r="AB980" s="299">
        <v>45141</v>
      </c>
      <c r="AC980" s="269" t="s">
        <v>532</v>
      </c>
      <c r="AD980" s="54"/>
      <c r="AE980" s="55">
        <v>1</v>
      </c>
      <c r="AF980" s="55"/>
      <c r="AG980" s="55"/>
      <c r="AH980" s="56">
        <f t="shared" si="662"/>
        <v>1</v>
      </c>
      <c r="AI980" s="54">
        <v>2</v>
      </c>
      <c r="AJ980" s="55">
        <v>4</v>
      </c>
      <c r="AK980" s="55">
        <v>4</v>
      </c>
      <c r="AL980" s="55">
        <v>1</v>
      </c>
      <c r="AM980" s="56">
        <f t="shared" si="663"/>
        <v>11</v>
      </c>
      <c r="AN980" s="54"/>
      <c r="AO980" s="55"/>
      <c r="AP980" s="55">
        <v>3</v>
      </c>
      <c r="AQ980" s="55"/>
      <c r="AR980" s="56">
        <f t="shared" si="664"/>
        <v>3</v>
      </c>
      <c r="AS980" s="54">
        <v>2</v>
      </c>
      <c r="AT980" s="55"/>
      <c r="AU980" s="55">
        <v>4</v>
      </c>
      <c r="AV980" s="55">
        <v>1</v>
      </c>
      <c r="AW980" s="56">
        <f t="shared" si="665"/>
        <v>7</v>
      </c>
      <c r="AX980" s="55"/>
      <c r="AY980" s="55"/>
      <c r="AZ980" s="55"/>
      <c r="BA980" s="55"/>
      <c r="BB980" s="56">
        <f t="shared" si="666"/>
        <v>0</v>
      </c>
      <c r="BC980" s="56">
        <f t="shared" si="667"/>
        <v>22</v>
      </c>
      <c r="BD980" s="298">
        <v>45142</v>
      </c>
      <c r="BE980" s="277" t="s">
        <v>98</v>
      </c>
      <c r="BF980" s="54"/>
      <c r="BG980" s="55"/>
      <c r="BH980" s="55">
        <v>1</v>
      </c>
      <c r="BI980" s="55"/>
      <c r="BJ980" s="56">
        <f t="shared" si="668"/>
        <v>1</v>
      </c>
      <c r="BK980" s="304">
        <v>45154</v>
      </c>
      <c r="BL980" s="277"/>
      <c r="BM980" s="54"/>
      <c r="BN980" s="55"/>
      <c r="BO980" s="55"/>
      <c r="BP980" s="55"/>
      <c r="BQ980" s="56">
        <f t="shared" si="669"/>
        <v>0</v>
      </c>
    </row>
    <row r="981" spans="1:69" x14ac:dyDescent="0.15">
      <c r="A981" s="53" t="s">
        <v>98</v>
      </c>
      <c r="B981" s="54"/>
      <c r="C981" s="55"/>
      <c r="D981" s="55"/>
      <c r="E981" s="55"/>
      <c r="F981" s="56">
        <f t="shared" si="659"/>
        <v>0</v>
      </c>
      <c r="G981" s="54">
        <v>1</v>
      </c>
      <c r="H981" s="55"/>
      <c r="I981" s="55"/>
      <c r="J981" s="55"/>
      <c r="K981" s="56">
        <f t="shared" si="656"/>
        <v>1</v>
      </c>
      <c r="L981" s="54"/>
      <c r="M981" s="55"/>
      <c r="N981" s="55"/>
      <c r="O981" s="55"/>
      <c r="P981" s="56">
        <f t="shared" si="657"/>
        <v>0</v>
      </c>
      <c r="Q981" s="54"/>
      <c r="R981" s="55">
        <v>1</v>
      </c>
      <c r="S981" s="55">
        <v>1</v>
      </c>
      <c r="T981" s="55"/>
      <c r="U981" s="56">
        <f t="shared" si="658"/>
        <v>2</v>
      </c>
      <c r="V981" s="55"/>
      <c r="W981" s="55"/>
      <c r="X981" s="55"/>
      <c r="Y981" s="55"/>
      <c r="Z981" s="56">
        <f t="shared" si="660"/>
        <v>0</v>
      </c>
      <c r="AA981" s="56">
        <f t="shared" si="661"/>
        <v>3</v>
      </c>
      <c r="AB981" s="299">
        <v>45142</v>
      </c>
      <c r="AC981" s="276" t="s">
        <v>533</v>
      </c>
      <c r="AD981" s="54">
        <v>1</v>
      </c>
      <c r="AE981" s="55"/>
      <c r="AF981" s="55"/>
      <c r="AG981" s="55">
        <v>1</v>
      </c>
      <c r="AH981" s="56">
        <f t="shared" si="662"/>
        <v>2</v>
      </c>
      <c r="AI981" s="54">
        <v>1</v>
      </c>
      <c r="AJ981" s="55">
        <v>1</v>
      </c>
      <c r="AK981" s="55">
        <v>4</v>
      </c>
      <c r="AL981" s="55">
        <v>1</v>
      </c>
      <c r="AM981" s="56">
        <f t="shared" si="663"/>
        <v>7</v>
      </c>
      <c r="AN981" s="54"/>
      <c r="AO981" s="55"/>
      <c r="AP981" s="55">
        <v>1</v>
      </c>
      <c r="AQ981" s="55"/>
      <c r="AR981" s="56">
        <f t="shared" si="664"/>
        <v>1</v>
      </c>
      <c r="AS981" s="54">
        <v>3</v>
      </c>
      <c r="AT981" s="55">
        <v>6</v>
      </c>
      <c r="AU981" s="55">
        <v>3</v>
      </c>
      <c r="AV981" s="55">
        <v>2</v>
      </c>
      <c r="AW981" s="56">
        <f t="shared" si="665"/>
        <v>14</v>
      </c>
      <c r="AX981" s="55"/>
      <c r="AY981" s="55"/>
      <c r="AZ981" s="55"/>
      <c r="BA981" s="55"/>
      <c r="BB981" s="56">
        <f t="shared" si="666"/>
        <v>0</v>
      </c>
      <c r="BC981" s="56">
        <f t="shared" si="667"/>
        <v>24</v>
      </c>
      <c r="BD981" s="298">
        <v>45142</v>
      </c>
      <c r="BE981" s="277"/>
      <c r="BF981" s="54"/>
      <c r="BG981" s="55"/>
      <c r="BH981" s="55"/>
      <c r="BI981" s="55"/>
      <c r="BJ981" s="56">
        <f t="shared" si="668"/>
        <v>0</v>
      </c>
      <c r="BL981" s="277"/>
      <c r="BM981" s="54"/>
      <c r="BN981" s="55"/>
      <c r="BO981" s="55"/>
      <c r="BP981" s="55"/>
      <c r="BQ981" s="56">
        <f t="shared" si="669"/>
        <v>0</v>
      </c>
    </row>
    <row r="982" spans="1:69" x14ac:dyDescent="0.15">
      <c r="A982" s="53" t="s">
        <v>98</v>
      </c>
      <c r="B982" s="54"/>
      <c r="C982" s="55"/>
      <c r="D982" s="55">
        <v>1</v>
      </c>
      <c r="E982" s="55"/>
      <c r="F982" s="56">
        <f t="shared" si="659"/>
        <v>1</v>
      </c>
      <c r="G982" s="54"/>
      <c r="H982" s="55">
        <v>2</v>
      </c>
      <c r="I982" s="55"/>
      <c r="J982" s="55"/>
      <c r="K982" s="56">
        <f t="shared" si="656"/>
        <v>2</v>
      </c>
      <c r="L982" s="54"/>
      <c r="M982" s="55"/>
      <c r="N982" s="55"/>
      <c r="O982" s="55"/>
      <c r="P982" s="56">
        <f t="shared" si="657"/>
        <v>0</v>
      </c>
      <c r="Q982" s="54"/>
      <c r="R982" s="55"/>
      <c r="S982" s="55"/>
      <c r="T982" s="55"/>
      <c r="U982" s="56">
        <f t="shared" si="658"/>
        <v>0</v>
      </c>
      <c r="V982" s="55"/>
      <c r="W982" s="55"/>
      <c r="X982" s="55">
        <v>1</v>
      </c>
      <c r="Y982" s="55"/>
      <c r="Z982" s="56">
        <f t="shared" si="660"/>
        <v>1</v>
      </c>
      <c r="AA982" s="56">
        <f t="shared" si="661"/>
        <v>4</v>
      </c>
      <c r="AB982" s="299">
        <v>45143</v>
      </c>
      <c r="AC982" s="269" t="s">
        <v>534</v>
      </c>
      <c r="AD982" s="54"/>
      <c r="AE982" s="55"/>
      <c r="AF982" s="55"/>
      <c r="AG982" s="55"/>
      <c r="AH982" s="56">
        <f t="shared" si="662"/>
        <v>0</v>
      </c>
      <c r="AI982" s="54">
        <v>6</v>
      </c>
      <c r="AJ982" s="55"/>
      <c r="AK982" s="55"/>
      <c r="AL982" s="55"/>
      <c r="AM982" s="56">
        <f t="shared" si="663"/>
        <v>6</v>
      </c>
      <c r="AN982" s="54"/>
      <c r="AO982" s="55"/>
      <c r="AP982" s="55"/>
      <c r="AQ982" s="55"/>
      <c r="AR982" s="56">
        <f t="shared" si="664"/>
        <v>0</v>
      </c>
      <c r="AS982" s="54"/>
      <c r="AT982" s="55"/>
      <c r="AU982" s="55"/>
      <c r="AV982" s="55"/>
      <c r="AW982" s="56">
        <f t="shared" si="665"/>
        <v>0</v>
      </c>
      <c r="AX982" s="55">
        <v>6</v>
      </c>
      <c r="AY982" s="55"/>
      <c r="AZ982" s="55"/>
      <c r="BA982" s="55">
        <v>6</v>
      </c>
      <c r="BB982" s="56">
        <f t="shared" si="666"/>
        <v>12</v>
      </c>
      <c r="BC982" s="56">
        <f t="shared" si="667"/>
        <v>18</v>
      </c>
      <c r="BD982" s="298">
        <v>45159</v>
      </c>
      <c r="BE982" s="277"/>
      <c r="BF982" s="54"/>
      <c r="BG982" s="55"/>
      <c r="BH982" s="55"/>
      <c r="BI982" s="55"/>
      <c r="BJ982" s="56">
        <f t="shared" si="668"/>
        <v>0</v>
      </c>
      <c r="BL982" s="277"/>
      <c r="BM982" s="54"/>
      <c r="BN982" s="55"/>
      <c r="BO982" s="55"/>
      <c r="BP982" s="55"/>
      <c r="BQ982" s="56">
        <f t="shared" si="669"/>
        <v>0</v>
      </c>
    </row>
    <row r="983" spans="1:69" x14ac:dyDescent="0.15">
      <c r="A983" s="53" t="s">
        <v>98</v>
      </c>
      <c r="B983" s="54"/>
      <c r="C983" s="55"/>
      <c r="D983" s="55"/>
      <c r="E983" s="55"/>
      <c r="F983" s="56">
        <f t="shared" si="659"/>
        <v>0</v>
      </c>
      <c r="G983" s="54"/>
      <c r="H983" s="55">
        <f>1+1</f>
        <v>2</v>
      </c>
      <c r="I983" s="55"/>
      <c r="J983" s="55">
        <v>1</v>
      </c>
      <c r="K983" s="56">
        <f t="shared" si="656"/>
        <v>3</v>
      </c>
      <c r="L983" s="54">
        <v>1</v>
      </c>
      <c r="M983" s="55"/>
      <c r="N983" s="55"/>
      <c r="O983" s="55"/>
      <c r="P983" s="56">
        <f t="shared" si="657"/>
        <v>1</v>
      </c>
      <c r="Q983" s="54"/>
      <c r="R983" s="55"/>
      <c r="S983" s="55">
        <f>1+1</f>
        <v>2</v>
      </c>
      <c r="T983" s="55"/>
      <c r="U983" s="56">
        <f t="shared" si="658"/>
        <v>2</v>
      </c>
      <c r="V983" s="55">
        <f>2+1</f>
        <v>3</v>
      </c>
      <c r="W983" s="55"/>
      <c r="X983" s="55">
        <v>1</v>
      </c>
      <c r="Y983" s="55">
        <f>1+1</f>
        <v>2</v>
      </c>
      <c r="Z983" s="56">
        <f t="shared" si="660"/>
        <v>6</v>
      </c>
      <c r="AA983" s="56">
        <f t="shared" si="661"/>
        <v>12</v>
      </c>
      <c r="AB983" s="299">
        <v>45145</v>
      </c>
      <c r="AC983" s="276" t="s">
        <v>535</v>
      </c>
      <c r="AD983" s="54"/>
      <c r="AE983" s="55"/>
      <c r="AF983" s="55"/>
      <c r="AG983" s="55"/>
      <c r="AH983" s="56">
        <f t="shared" si="662"/>
        <v>0</v>
      </c>
      <c r="AI983" s="54"/>
      <c r="AJ983" s="55">
        <v>2</v>
      </c>
      <c r="AK983" s="55"/>
      <c r="AL983" s="55"/>
      <c r="AM983" s="56">
        <f t="shared" si="663"/>
        <v>2</v>
      </c>
      <c r="AN983" s="54"/>
      <c r="AO983" s="55"/>
      <c r="AP983" s="55"/>
      <c r="AQ983" s="55"/>
      <c r="AR983" s="56">
        <f t="shared" si="664"/>
        <v>0</v>
      </c>
      <c r="AS983" s="54"/>
      <c r="AT983" s="55"/>
      <c r="AU983" s="55"/>
      <c r="AV983" s="55"/>
      <c r="AW983" s="56">
        <f t="shared" si="665"/>
        <v>0</v>
      </c>
      <c r="AX983" s="55"/>
      <c r="AY983" s="55"/>
      <c r="AZ983" s="55"/>
      <c r="BA983" s="55"/>
      <c r="BB983" s="56">
        <f t="shared" si="666"/>
        <v>0</v>
      </c>
      <c r="BC983" s="56">
        <f t="shared" si="667"/>
        <v>2</v>
      </c>
      <c r="BD983" s="298">
        <v>45157</v>
      </c>
      <c r="BE983" s="277"/>
      <c r="BF983" s="54"/>
      <c r="BG983" s="55"/>
      <c r="BH983" s="55"/>
      <c r="BI983" s="55"/>
      <c r="BJ983" s="56">
        <f t="shared" si="668"/>
        <v>0</v>
      </c>
      <c r="BL983" s="277"/>
      <c r="BM983" s="54"/>
      <c r="BN983" s="55"/>
      <c r="BO983" s="55"/>
      <c r="BP983" s="55"/>
      <c r="BQ983" s="56">
        <f t="shared" si="669"/>
        <v>0</v>
      </c>
    </row>
    <row r="984" spans="1:69" x14ac:dyDescent="0.15">
      <c r="A984" s="53" t="s">
        <v>536</v>
      </c>
      <c r="B984" s="54"/>
      <c r="C984" s="55"/>
      <c r="D984" s="55"/>
      <c r="E984" s="55">
        <v>1</v>
      </c>
      <c r="F984" s="56">
        <f t="shared" si="659"/>
        <v>1</v>
      </c>
      <c r="G984" s="54"/>
      <c r="H984" s="55"/>
      <c r="I984" s="55">
        <v>1</v>
      </c>
      <c r="J984" s="55"/>
      <c r="K984" s="56">
        <f t="shared" si="656"/>
        <v>1</v>
      </c>
      <c r="L984" s="54"/>
      <c r="M984" s="55"/>
      <c r="N984" s="55"/>
      <c r="O984" s="55"/>
      <c r="P984" s="56">
        <f t="shared" si="657"/>
        <v>0</v>
      </c>
      <c r="Q984" s="54"/>
      <c r="R984" s="55"/>
      <c r="S984" s="55"/>
      <c r="T984" s="55"/>
      <c r="U984" s="56">
        <f t="shared" si="658"/>
        <v>0</v>
      </c>
      <c r="V984" s="55"/>
      <c r="W984" s="55"/>
      <c r="X984" s="55"/>
      <c r="Y984" s="55"/>
      <c r="Z984" s="56">
        <f t="shared" si="660"/>
        <v>0</v>
      </c>
      <c r="AA984" s="56">
        <f t="shared" si="661"/>
        <v>2</v>
      </c>
      <c r="AB984" s="298">
        <v>45146</v>
      </c>
      <c r="AC984" s="269" t="s">
        <v>538</v>
      </c>
      <c r="AD984" s="54"/>
      <c r="AE984" s="55">
        <v>1</v>
      </c>
      <c r="AF984" s="55"/>
      <c r="AG984" s="55"/>
      <c r="AH984" s="56">
        <f t="shared" si="662"/>
        <v>1</v>
      </c>
      <c r="AI984" s="54">
        <v>6</v>
      </c>
      <c r="AJ984" s="55"/>
      <c r="AK984" s="55">
        <v>4</v>
      </c>
      <c r="AL984" s="55"/>
      <c r="AM984" s="56">
        <f t="shared" si="663"/>
        <v>10</v>
      </c>
      <c r="AN984" s="54"/>
      <c r="AO984" s="55"/>
      <c r="AP984" s="55"/>
      <c r="AQ984" s="55"/>
      <c r="AR984" s="56">
        <f t="shared" si="664"/>
        <v>0</v>
      </c>
      <c r="AS984" s="54"/>
      <c r="AT984" s="55"/>
      <c r="AU984" s="55"/>
      <c r="AV984" s="55">
        <v>1</v>
      </c>
      <c r="AW984" s="56">
        <f t="shared" si="665"/>
        <v>1</v>
      </c>
      <c r="AX984" s="55"/>
      <c r="AY984" s="55"/>
      <c r="AZ984" s="55"/>
      <c r="BA984" s="55"/>
      <c r="BB984" s="56">
        <f t="shared" si="666"/>
        <v>0</v>
      </c>
      <c r="BC984" s="56">
        <f t="shared" si="667"/>
        <v>12</v>
      </c>
      <c r="BD984" s="298">
        <v>45148</v>
      </c>
      <c r="BE984" s="277"/>
      <c r="BF984" s="54"/>
      <c r="BG984" s="55"/>
      <c r="BH984" s="55"/>
      <c r="BI984" s="55"/>
      <c r="BJ984" s="56">
        <f t="shared" si="668"/>
        <v>0</v>
      </c>
      <c r="BL984" s="277"/>
      <c r="BM984" s="54"/>
      <c r="BN984" s="55"/>
      <c r="BO984" s="55"/>
      <c r="BP984" s="55"/>
      <c r="BQ984" s="56">
        <f t="shared" si="669"/>
        <v>0</v>
      </c>
    </row>
    <row r="985" spans="1:69" x14ac:dyDescent="0.15">
      <c r="A985" s="53" t="s">
        <v>98</v>
      </c>
      <c r="B985" s="54"/>
      <c r="C985" s="55">
        <v>1</v>
      </c>
      <c r="D985" s="55"/>
      <c r="E985" s="55"/>
      <c r="F985" s="56">
        <f t="shared" si="659"/>
        <v>1</v>
      </c>
      <c r="G985" s="54"/>
      <c r="H985" s="55"/>
      <c r="I985" s="55"/>
      <c r="J985" s="55"/>
      <c r="K985" s="56">
        <f t="shared" si="656"/>
        <v>0</v>
      </c>
      <c r="L985" s="54">
        <v>1</v>
      </c>
      <c r="M985" s="55"/>
      <c r="N985" s="55"/>
      <c r="O985" s="55"/>
      <c r="P985" s="56">
        <f t="shared" si="657"/>
        <v>1</v>
      </c>
      <c r="Q985" s="54"/>
      <c r="R985" s="55"/>
      <c r="S985" s="55">
        <v>1</v>
      </c>
      <c r="T985" s="55"/>
      <c r="U985" s="56">
        <f t="shared" si="658"/>
        <v>1</v>
      </c>
      <c r="V985" s="55"/>
      <c r="W985" s="55">
        <v>1</v>
      </c>
      <c r="X985" s="55"/>
      <c r="Y985" s="55"/>
      <c r="Z985" s="56">
        <f t="shared" si="660"/>
        <v>1</v>
      </c>
      <c r="AA985" s="56">
        <f t="shared" si="661"/>
        <v>4</v>
      </c>
      <c r="AB985" s="298">
        <v>45146</v>
      </c>
      <c r="AC985" s="276" t="s">
        <v>539</v>
      </c>
      <c r="AD985" s="54">
        <v>2</v>
      </c>
      <c r="AE985" s="55">
        <v>1</v>
      </c>
      <c r="AF985" s="55"/>
      <c r="AG985" s="55"/>
      <c r="AH985" s="56">
        <f t="shared" si="662"/>
        <v>3</v>
      </c>
      <c r="AI985" s="54">
        <v>3</v>
      </c>
      <c r="AJ985" s="55">
        <v>3</v>
      </c>
      <c r="AK985" s="55"/>
      <c r="AL985" s="55">
        <v>1</v>
      </c>
      <c r="AM985" s="56">
        <f t="shared" si="663"/>
        <v>7</v>
      </c>
      <c r="AN985" s="54"/>
      <c r="AO985" s="55">
        <v>1</v>
      </c>
      <c r="AP985" s="55"/>
      <c r="AQ985" s="55"/>
      <c r="AR985" s="56">
        <f t="shared" si="664"/>
        <v>1</v>
      </c>
      <c r="AS985" s="54">
        <v>1</v>
      </c>
      <c r="AT985" s="55"/>
      <c r="AU985" s="55">
        <v>4</v>
      </c>
      <c r="AV985" s="55">
        <v>2</v>
      </c>
      <c r="AW985" s="56">
        <f t="shared" si="665"/>
        <v>7</v>
      </c>
      <c r="AX985" s="55"/>
      <c r="AY985" s="55"/>
      <c r="AZ985" s="55"/>
      <c r="BA985" s="55"/>
      <c r="BB985" s="56">
        <f t="shared" si="666"/>
        <v>0</v>
      </c>
      <c r="BC985" s="56">
        <f t="shared" si="667"/>
        <v>18</v>
      </c>
      <c r="BD985" s="298">
        <v>45148</v>
      </c>
      <c r="BE985" s="277"/>
      <c r="BF985" s="54"/>
      <c r="BG985" s="55"/>
      <c r="BH985" s="55"/>
      <c r="BI985" s="55"/>
      <c r="BJ985" s="56">
        <f t="shared" si="668"/>
        <v>0</v>
      </c>
      <c r="BL985" s="277"/>
      <c r="BM985" s="54"/>
      <c r="BN985" s="55"/>
      <c r="BO985" s="55"/>
      <c r="BP985" s="55"/>
      <c r="BQ985" s="56">
        <f t="shared" si="669"/>
        <v>0</v>
      </c>
    </row>
    <row r="986" spans="1:69" x14ac:dyDescent="0.15">
      <c r="A986" s="53" t="s">
        <v>98</v>
      </c>
      <c r="B986" s="54"/>
      <c r="C986" s="55"/>
      <c r="D986" s="55"/>
      <c r="E986" s="55"/>
      <c r="F986" s="56">
        <f t="shared" si="659"/>
        <v>0</v>
      </c>
      <c r="G986" s="54">
        <v>1</v>
      </c>
      <c r="H986" s="55"/>
      <c r="I986" s="55"/>
      <c r="J986" s="55"/>
      <c r="K986" s="56">
        <f t="shared" si="656"/>
        <v>1</v>
      </c>
      <c r="L986" s="54"/>
      <c r="M986" s="55"/>
      <c r="N986" s="55"/>
      <c r="O986" s="55"/>
      <c r="P986" s="56">
        <f t="shared" si="657"/>
        <v>0</v>
      </c>
      <c r="Q986" s="54"/>
      <c r="R986" s="55"/>
      <c r="S986" s="55"/>
      <c r="T986" s="55"/>
      <c r="U986" s="56">
        <f t="shared" si="658"/>
        <v>0</v>
      </c>
      <c r="V986" s="55"/>
      <c r="W986" s="55"/>
      <c r="X986" s="55"/>
      <c r="Y986" s="55"/>
      <c r="Z986" s="56">
        <f t="shared" si="660"/>
        <v>0</v>
      </c>
      <c r="AA986" s="56">
        <f t="shared" si="661"/>
        <v>1</v>
      </c>
      <c r="AB986" s="299">
        <v>45147</v>
      </c>
      <c r="AC986" s="276" t="s">
        <v>99</v>
      </c>
      <c r="AD986" s="54"/>
      <c r="AE986" s="55"/>
      <c r="AF986" s="55"/>
      <c r="AG986" s="55"/>
      <c r="AH986" s="56">
        <f t="shared" si="662"/>
        <v>0</v>
      </c>
      <c r="AI986" s="54"/>
      <c r="AJ986" s="55"/>
      <c r="AK986" s="55"/>
      <c r="AL986" s="55"/>
      <c r="AM986" s="56">
        <f t="shared" ref="AM986" si="670">SUM(AI986:AL986)</f>
        <v>0</v>
      </c>
      <c r="AN986" s="54"/>
      <c r="AO986" s="55"/>
      <c r="AP986" s="55"/>
      <c r="AQ986" s="55"/>
      <c r="AR986" s="56">
        <f t="shared" ref="AR986" si="671">SUM(AN986:AQ986)</f>
        <v>0</v>
      </c>
      <c r="AS986" s="54"/>
      <c r="AT986" s="55"/>
      <c r="AU986" s="55"/>
      <c r="AV986" s="55"/>
      <c r="AW986" s="56">
        <f t="shared" ref="AW986" si="672">SUM(AS986:AV986)</f>
        <v>0</v>
      </c>
      <c r="AX986" s="55">
        <v>3</v>
      </c>
      <c r="AY986" s="55"/>
      <c r="AZ986" s="55"/>
      <c r="BA986" s="55">
        <v>5</v>
      </c>
      <c r="BB986" s="56">
        <f t="shared" ref="BB986" si="673">SUM(AX986:BA986)</f>
        <v>8</v>
      </c>
      <c r="BC986" s="56">
        <f t="shared" si="667"/>
        <v>8</v>
      </c>
      <c r="BD986" s="299">
        <v>45146</v>
      </c>
      <c r="BE986" s="277"/>
      <c r="BF986" s="54"/>
      <c r="BG986" s="55"/>
      <c r="BH986" s="55"/>
      <c r="BI986" s="55"/>
      <c r="BJ986" s="56">
        <f t="shared" si="668"/>
        <v>0</v>
      </c>
      <c r="BL986" s="277"/>
      <c r="BM986" s="54"/>
      <c r="BN986" s="55"/>
      <c r="BO986" s="55"/>
      <c r="BP986" s="55"/>
      <c r="BQ986" s="56">
        <f t="shared" si="669"/>
        <v>0</v>
      </c>
    </row>
    <row r="987" spans="1:69" x14ac:dyDescent="0.15">
      <c r="A987" s="53" t="s">
        <v>98</v>
      </c>
      <c r="B987" s="54"/>
      <c r="C987" s="55">
        <v>1</v>
      </c>
      <c r="D987" s="55"/>
      <c r="E987" s="55">
        <v>1</v>
      </c>
      <c r="F987" s="56">
        <f t="shared" si="659"/>
        <v>2</v>
      </c>
      <c r="G987" s="54"/>
      <c r="H987" s="55"/>
      <c r="I987" s="55"/>
      <c r="J987" s="55"/>
      <c r="K987" s="56">
        <f t="shared" si="656"/>
        <v>0</v>
      </c>
      <c r="L987" s="54"/>
      <c r="M987" s="55"/>
      <c r="N987" s="55"/>
      <c r="O987" s="55"/>
      <c r="P987" s="56">
        <f t="shared" si="657"/>
        <v>0</v>
      </c>
      <c r="Q987" s="54"/>
      <c r="R987" s="55"/>
      <c r="S987" s="55">
        <v>1</v>
      </c>
      <c r="T987" s="55">
        <v>1</v>
      </c>
      <c r="U987" s="56">
        <f t="shared" si="658"/>
        <v>2</v>
      </c>
      <c r="V987" s="55"/>
      <c r="W987" s="55">
        <v>1</v>
      </c>
      <c r="X987" s="55"/>
      <c r="Y987" s="55"/>
      <c r="Z987" s="56">
        <f t="shared" si="660"/>
        <v>1</v>
      </c>
      <c r="AA987" s="56">
        <f t="shared" si="661"/>
        <v>5</v>
      </c>
      <c r="AB987" s="299">
        <v>45148</v>
      </c>
      <c r="AC987" s="276" t="s">
        <v>540</v>
      </c>
      <c r="AD987" s="54"/>
      <c r="AE987" s="55"/>
      <c r="AF987" s="55"/>
      <c r="AG987" s="55"/>
      <c r="AH987" s="56">
        <f t="shared" si="662"/>
        <v>0</v>
      </c>
      <c r="AI987" s="54"/>
      <c r="AJ987" s="55"/>
      <c r="AK987" s="55"/>
      <c r="AL987" s="55">
        <v>2</v>
      </c>
      <c r="AM987" s="56">
        <f t="shared" si="663"/>
        <v>2</v>
      </c>
      <c r="AN987" s="54"/>
      <c r="AO987" s="55"/>
      <c r="AP987" s="55"/>
      <c r="AQ987" s="55"/>
      <c r="AR987" s="56">
        <f t="shared" si="664"/>
        <v>0</v>
      </c>
      <c r="AS987" s="54"/>
      <c r="AT987" s="55"/>
      <c r="AU987" s="55"/>
      <c r="AV987" s="55"/>
      <c r="AW987" s="56">
        <f t="shared" si="665"/>
        <v>0</v>
      </c>
      <c r="AX987" s="55"/>
      <c r="AY987" s="55"/>
      <c r="AZ987" s="55"/>
      <c r="BA987" s="55"/>
      <c r="BB987" s="56">
        <f t="shared" si="666"/>
        <v>0</v>
      </c>
      <c r="BC987" s="56">
        <f t="shared" si="667"/>
        <v>2</v>
      </c>
      <c r="BD987" s="298">
        <v>45157</v>
      </c>
      <c r="BE987" s="277"/>
      <c r="BF987" s="54"/>
      <c r="BG987" s="55"/>
      <c r="BH987" s="55"/>
      <c r="BI987" s="55"/>
      <c r="BJ987" s="56">
        <f t="shared" si="668"/>
        <v>0</v>
      </c>
      <c r="BL987" s="277"/>
      <c r="BM987" s="54"/>
      <c r="BN987" s="55"/>
      <c r="BO987" s="55"/>
      <c r="BP987" s="55"/>
      <c r="BQ987" s="56">
        <f t="shared" si="669"/>
        <v>0</v>
      </c>
    </row>
    <row r="988" spans="1:69" x14ac:dyDescent="0.15">
      <c r="A988" s="53" t="s">
        <v>98</v>
      </c>
      <c r="B988" s="54"/>
      <c r="C988" s="55"/>
      <c r="D988" s="55"/>
      <c r="E988" s="55"/>
      <c r="F988" s="56">
        <f t="shared" si="659"/>
        <v>0</v>
      </c>
      <c r="G988" s="54"/>
      <c r="H988" s="55"/>
      <c r="I988" s="55"/>
      <c r="J988" s="55"/>
      <c r="K988" s="56">
        <f t="shared" si="656"/>
        <v>0</v>
      </c>
      <c r="L988" s="54"/>
      <c r="M988" s="55">
        <v>1</v>
      </c>
      <c r="N988" s="55"/>
      <c r="O988" s="55"/>
      <c r="P988" s="56">
        <f t="shared" si="657"/>
        <v>1</v>
      </c>
      <c r="Q988" s="54"/>
      <c r="R988" s="55"/>
      <c r="S988" s="55">
        <v>1</v>
      </c>
      <c r="T988" s="55"/>
      <c r="U988" s="56">
        <f t="shared" si="658"/>
        <v>1</v>
      </c>
      <c r="V988" s="55"/>
      <c r="W988" s="55">
        <v>1</v>
      </c>
      <c r="X988" s="55"/>
      <c r="Y988" s="55"/>
      <c r="Z988" s="56">
        <f t="shared" si="660"/>
        <v>1</v>
      </c>
      <c r="AA988" s="56">
        <f t="shared" si="661"/>
        <v>3</v>
      </c>
      <c r="AB988" s="299">
        <v>45149</v>
      </c>
      <c r="AC988" s="269" t="s">
        <v>541</v>
      </c>
      <c r="AD988" s="54"/>
      <c r="AE988" s="55"/>
      <c r="AF988" s="55"/>
      <c r="AG988" s="55"/>
      <c r="AH988" s="56">
        <f t="shared" si="662"/>
        <v>0</v>
      </c>
      <c r="AI988" s="54"/>
      <c r="AJ988" s="55">
        <v>6</v>
      </c>
      <c r="AK988" s="55"/>
      <c r="AL988" s="55"/>
      <c r="AM988" s="56">
        <f t="shared" si="663"/>
        <v>6</v>
      </c>
      <c r="AN988" s="54"/>
      <c r="AO988" s="55"/>
      <c r="AP988" s="55"/>
      <c r="AQ988" s="55"/>
      <c r="AR988" s="56">
        <f t="shared" si="664"/>
        <v>0</v>
      </c>
      <c r="AS988" s="54"/>
      <c r="AT988" s="55"/>
      <c r="AU988" s="55"/>
      <c r="AV988" s="55"/>
      <c r="AW988" s="56">
        <f t="shared" si="665"/>
        <v>0</v>
      </c>
      <c r="AX988" s="55"/>
      <c r="AY988" s="55"/>
      <c r="AZ988" s="55"/>
      <c r="BA988" s="55"/>
      <c r="BB988" s="56">
        <f t="shared" si="666"/>
        <v>0</v>
      </c>
      <c r="BC988" s="56">
        <f t="shared" si="667"/>
        <v>6</v>
      </c>
      <c r="BD988" s="298">
        <v>45155</v>
      </c>
      <c r="BE988" s="277"/>
      <c r="BF988" s="54"/>
      <c r="BG988" s="55"/>
      <c r="BH988" s="55"/>
      <c r="BI988" s="55"/>
      <c r="BJ988" s="56">
        <f t="shared" si="647"/>
        <v>0</v>
      </c>
      <c r="BL988" s="277"/>
      <c r="BM988" s="54"/>
      <c r="BN988" s="55"/>
      <c r="BO988" s="55"/>
      <c r="BP988" s="55"/>
      <c r="BQ988" s="56">
        <f t="shared" si="648"/>
        <v>0</v>
      </c>
    </row>
    <row r="989" spans="1:69" x14ac:dyDescent="0.15">
      <c r="A989" s="53" t="s">
        <v>98</v>
      </c>
      <c r="B989" s="54"/>
      <c r="C989" s="55"/>
      <c r="D989" s="55"/>
      <c r="E989" s="55"/>
      <c r="F989" s="56">
        <f t="shared" si="659"/>
        <v>0</v>
      </c>
      <c r="G989" s="54"/>
      <c r="H989" s="55">
        <v>1</v>
      </c>
      <c r="I989" s="55"/>
      <c r="J989" s="55"/>
      <c r="K989" s="56">
        <f t="shared" si="656"/>
        <v>1</v>
      </c>
      <c r="L989" s="54"/>
      <c r="M989" s="55"/>
      <c r="N989" s="55"/>
      <c r="O989" s="55">
        <v>1</v>
      </c>
      <c r="P989" s="56">
        <f t="shared" si="657"/>
        <v>1</v>
      </c>
      <c r="Q989" s="54"/>
      <c r="R989" s="55">
        <v>3</v>
      </c>
      <c r="S989" s="55"/>
      <c r="T989" s="55"/>
      <c r="U989" s="56">
        <f t="shared" si="658"/>
        <v>3</v>
      </c>
      <c r="V989" s="55"/>
      <c r="W989" s="55"/>
      <c r="X989" s="55">
        <v>1</v>
      </c>
      <c r="Y989" s="55"/>
      <c r="Z989" s="56">
        <f t="shared" si="660"/>
        <v>1</v>
      </c>
      <c r="AA989" s="56">
        <f t="shared" si="661"/>
        <v>6</v>
      </c>
      <c r="AB989" s="299">
        <v>45154</v>
      </c>
      <c r="AC989" s="276" t="s">
        <v>99</v>
      </c>
      <c r="AD989" s="54"/>
      <c r="AE989" s="55">
        <v>5</v>
      </c>
      <c r="AF989" s="55"/>
      <c r="AG989" s="55"/>
      <c r="AH989" s="56">
        <f t="shared" ref="AH989:AH995" si="674">SUM(AD989:AG989)</f>
        <v>5</v>
      </c>
      <c r="AI989" s="54"/>
      <c r="AJ989" s="55"/>
      <c r="AK989" s="55"/>
      <c r="AL989" s="55"/>
      <c r="AM989" s="56">
        <f t="shared" ref="AM989:AM994" si="675">SUM(AI989:AL989)</f>
        <v>0</v>
      </c>
      <c r="AN989" s="54"/>
      <c r="AO989" s="55"/>
      <c r="AP989" s="55"/>
      <c r="AQ989" s="55"/>
      <c r="AR989" s="56">
        <f t="shared" si="644"/>
        <v>0</v>
      </c>
      <c r="AS989" s="54"/>
      <c r="AT989" s="55">
        <v>3</v>
      </c>
      <c r="AU989" s="55"/>
      <c r="AV989" s="55"/>
      <c r="AW989" s="56">
        <f t="shared" si="645"/>
        <v>3</v>
      </c>
      <c r="AX989" s="55"/>
      <c r="AY989" s="55">
        <v>5</v>
      </c>
      <c r="AZ989" s="55">
        <v>3</v>
      </c>
      <c r="BA989" s="55"/>
      <c r="BB989" s="56">
        <f t="shared" si="646"/>
        <v>8</v>
      </c>
      <c r="BC989" s="56">
        <f t="shared" ref="BC989:BC1003" si="676">AH989+AM989+AR989+AW989+BB989</f>
        <v>16</v>
      </c>
      <c r="BD989" s="298">
        <v>45149</v>
      </c>
      <c r="BE989" s="277"/>
      <c r="BF989" s="54"/>
      <c r="BG989" s="55"/>
      <c r="BH989" s="55"/>
      <c r="BI989" s="55"/>
      <c r="BJ989" s="56">
        <f t="shared" si="647"/>
        <v>0</v>
      </c>
      <c r="BL989" s="277"/>
      <c r="BM989" s="54"/>
      <c r="BN989" s="55"/>
      <c r="BO989" s="55"/>
      <c r="BP989" s="55"/>
      <c r="BQ989" s="56">
        <f t="shared" si="648"/>
        <v>0</v>
      </c>
    </row>
    <row r="990" spans="1:69" x14ac:dyDescent="0.15">
      <c r="A990" s="53" t="s">
        <v>314</v>
      </c>
      <c r="B990" s="54"/>
      <c r="C990" s="55"/>
      <c r="D990" s="55"/>
      <c r="E990" s="55"/>
      <c r="F990" s="56">
        <f t="shared" si="659"/>
        <v>0</v>
      </c>
      <c r="G990" s="54"/>
      <c r="H990" s="55"/>
      <c r="I990" s="55"/>
      <c r="J990" s="55"/>
      <c r="K990" s="56">
        <f t="shared" si="656"/>
        <v>0</v>
      </c>
      <c r="L990" s="54"/>
      <c r="M990" s="55"/>
      <c r="N990" s="55"/>
      <c r="O990" s="55"/>
      <c r="P990" s="56">
        <f t="shared" si="657"/>
        <v>0</v>
      </c>
      <c r="Q990" s="54"/>
      <c r="R990" s="55">
        <v>1</v>
      </c>
      <c r="S990" s="55">
        <v>-1</v>
      </c>
      <c r="T990" s="55"/>
      <c r="U990" s="56">
        <f t="shared" si="658"/>
        <v>0</v>
      </c>
      <c r="V990" s="55"/>
      <c r="W990" s="55"/>
      <c r="X990" s="55"/>
      <c r="Y990" s="55"/>
      <c r="Z990" s="56">
        <f t="shared" si="660"/>
        <v>0</v>
      </c>
      <c r="AA990" s="56">
        <f t="shared" si="661"/>
        <v>0</v>
      </c>
      <c r="AB990" s="299">
        <v>45155</v>
      </c>
      <c r="AC990" s="276" t="s">
        <v>542</v>
      </c>
      <c r="AD990" s="54"/>
      <c r="AE990" s="55"/>
      <c r="AF990" s="55"/>
      <c r="AG990" s="55"/>
      <c r="AH990" s="56">
        <f t="shared" si="674"/>
        <v>0</v>
      </c>
      <c r="AI990" s="54"/>
      <c r="AJ990" s="55"/>
      <c r="AK990" s="55">
        <v>2</v>
      </c>
      <c r="AL990" s="55"/>
      <c r="AM990" s="56">
        <f t="shared" si="675"/>
        <v>2</v>
      </c>
      <c r="AN990" s="54"/>
      <c r="AO990" s="55"/>
      <c r="AP990" s="55"/>
      <c r="AQ990" s="55"/>
      <c r="AR990" s="56">
        <f t="shared" si="644"/>
        <v>0</v>
      </c>
      <c r="AS990" s="54"/>
      <c r="AT990" s="55"/>
      <c r="AU990" s="55"/>
      <c r="AV990" s="55"/>
      <c r="AW990" s="56">
        <f t="shared" si="645"/>
        <v>0</v>
      </c>
      <c r="AX990" s="55"/>
      <c r="AY990" s="55"/>
      <c r="AZ990" s="55"/>
      <c r="BA990" s="55"/>
      <c r="BB990" s="56">
        <f t="shared" si="646"/>
        <v>0</v>
      </c>
      <c r="BC990" s="56">
        <f t="shared" si="676"/>
        <v>2</v>
      </c>
      <c r="BD990" s="298">
        <v>45162</v>
      </c>
      <c r="BE990" s="276"/>
      <c r="BF990" s="54"/>
      <c r="BG990" s="55"/>
      <c r="BH990" s="55"/>
      <c r="BI990" s="55"/>
      <c r="BJ990" s="56">
        <f t="shared" si="647"/>
        <v>0</v>
      </c>
      <c r="BL990" s="276"/>
      <c r="BM990" s="54"/>
      <c r="BN990" s="55"/>
      <c r="BO990" s="55"/>
      <c r="BP990" s="55"/>
      <c r="BQ990" s="56">
        <f t="shared" si="648"/>
        <v>0</v>
      </c>
    </row>
    <row r="991" spans="1:69" x14ac:dyDescent="0.15">
      <c r="A991" s="53" t="s">
        <v>98</v>
      </c>
      <c r="B991" s="54">
        <v>1</v>
      </c>
      <c r="C991" s="55"/>
      <c r="D991" s="55"/>
      <c r="E991" s="55"/>
      <c r="F991" s="56">
        <f t="shared" si="659"/>
        <v>1</v>
      </c>
      <c r="G991" s="54">
        <v>1</v>
      </c>
      <c r="H991" s="55"/>
      <c r="I991" s="55"/>
      <c r="J991" s="55"/>
      <c r="K991" s="56">
        <f t="shared" si="656"/>
        <v>1</v>
      </c>
      <c r="L991" s="54"/>
      <c r="M991" s="55"/>
      <c r="N991" s="55"/>
      <c r="O991" s="55"/>
      <c r="P991" s="56">
        <f t="shared" si="657"/>
        <v>0</v>
      </c>
      <c r="Q991" s="54">
        <v>1</v>
      </c>
      <c r="R991" s="55"/>
      <c r="S991" s="55"/>
      <c r="T991" s="55"/>
      <c r="U991" s="56">
        <f t="shared" si="658"/>
        <v>1</v>
      </c>
      <c r="V991" s="55"/>
      <c r="W991" s="55"/>
      <c r="X991" s="55">
        <v>1</v>
      </c>
      <c r="Y991" s="55"/>
      <c r="Z991" s="56">
        <f t="shared" si="660"/>
        <v>1</v>
      </c>
      <c r="AA991" s="56">
        <f t="shared" si="661"/>
        <v>4</v>
      </c>
      <c r="AB991" s="299">
        <v>45155</v>
      </c>
      <c r="AC991" s="269" t="s">
        <v>543</v>
      </c>
      <c r="AD991" s="54"/>
      <c r="AE991" s="55">
        <v>1</v>
      </c>
      <c r="AF991" s="55"/>
      <c r="AG991" s="55"/>
      <c r="AH991" s="56">
        <f t="shared" si="674"/>
        <v>1</v>
      </c>
      <c r="AI991" s="54"/>
      <c r="AJ991" s="55">
        <v>3</v>
      </c>
      <c r="AK991" s="55">
        <v>1</v>
      </c>
      <c r="AL991" s="55"/>
      <c r="AM991" s="56">
        <f t="shared" si="675"/>
        <v>4</v>
      </c>
      <c r="AN991" s="54"/>
      <c r="AO991" s="55"/>
      <c r="AP991" s="55"/>
      <c r="AQ991" s="55"/>
      <c r="AR991" s="56">
        <f t="shared" si="644"/>
        <v>0</v>
      </c>
      <c r="AS991" s="54"/>
      <c r="AT991" s="55"/>
      <c r="AU991" s="55"/>
      <c r="AV991" s="55"/>
      <c r="AW991" s="56">
        <f t="shared" si="645"/>
        <v>0</v>
      </c>
      <c r="AX991" s="55"/>
      <c r="AY991" s="55"/>
      <c r="AZ991" s="55"/>
      <c r="BA991" s="55"/>
      <c r="BB991" s="56">
        <f t="shared" si="646"/>
        <v>0</v>
      </c>
      <c r="BC991" s="56">
        <f t="shared" si="676"/>
        <v>5</v>
      </c>
      <c r="BD991" s="298">
        <v>45160</v>
      </c>
      <c r="BE991" s="277"/>
      <c r="BF991" s="54"/>
      <c r="BG991" s="55"/>
      <c r="BH991" s="55"/>
      <c r="BI991" s="55"/>
      <c r="BJ991" s="56">
        <f t="shared" si="647"/>
        <v>0</v>
      </c>
      <c r="BL991" s="277"/>
      <c r="BM991" s="54"/>
      <c r="BN991" s="55"/>
      <c r="BO991" s="55"/>
      <c r="BP991" s="55"/>
      <c r="BQ991" s="56">
        <f t="shared" si="648"/>
        <v>0</v>
      </c>
    </row>
    <row r="992" spans="1:69" x14ac:dyDescent="0.15">
      <c r="A992" s="53" t="s">
        <v>98</v>
      </c>
      <c r="B992" s="54"/>
      <c r="C992" s="55"/>
      <c r="D992" s="55"/>
      <c r="E992" s="55"/>
      <c r="F992" s="56">
        <f t="shared" si="659"/>
        <v>0</v>
      </c>
      <c r="G992" s="54"/>
      <c r="H992" s="55"/>
      <c r="I992" s="55"/>
      <c r="J992" s="55"/>
      <c r="K992" s="56">
        <f t="shared" si="656"/>
        <v>0</v>
      </c>
      <c r="L992" s="54"/>
      <c r="M992" s="55"/>
      <c r="N992" s="55"/>
      <c r="O992" s="55"/>
      <c r="P992" s="56">
        <f t="shared" si="657"/>
        <v>0</v>
      </c>
      <c r="Q992" s="54"/>
      <c r="R992" s="55"/>
      <c r="S992" s="55"/>
      <c r="T992" s="55">
        <v>1</v>
      </c>
      <c r="U992" s="56">
        <f t="shared" si="658"/>
        <v>1</v>
      </c>
      <c r="V992" s="55"/>
      <c r="W992" s="55"/>
      <c r="X992" s="55"/>
      <c r="Y992" s="55"/>
      <c r="Z992" s="56">
        <f t="shared" si="660"/>
        <v>0</v>
      </c>
      <c r="AA992" s="56">
        <f t="shared" si="661"/>
        <v>1</v>
      </c>
      <c r="AB992" s="299">
        <v>45156</v>
      </c>
      <c r="AC992" s="276" t="s">
        <v>544</v>
      </c>
      <c r="AD992" s="54"/>
      <c r="AE992" s="55"/>
      <c r="AF992" s="55"/>
      <c r="AG992" s="55">
        <v>1</v>
      </c>
      <c r="AH992" s="56">
        <f t="shared" si="674"/>
        <v>1</v>
      </c>
      <c r="AI992" s="54">
        <v>1</v>
      </c>
      <c r="AJ992" s="55">
        <v>1</v>
      </c>
      <c r="AK992" s="55">
        <v>1</v>
      </c>
      <c r="AL992" s="55">
        <v>1</v>
      </c>
      <c r="AM992" s="56">
        <f t="shared" si="675"/>
        <v>4</v>
      </c>
      <c r="AN992" s="54"/>
      <c r="AO992" s="55"/>
      <c r="AP992" s="55"/>
      <c r="AQ992" s="55"/>
      <c r="AR992" s="56">
        <f t="shared" si="644"/>
        <v>0</v>
      </c>
      <c r="AS992" s="54"/>
      <c r="AT992" s="55">
        <v>2</v>
      </c>
      <c r="AU992" s="55"/>
      <c r="AV992" s="55"/>
      <c r="AW992" s="56">
        <f t="shared" si="645"/>
        <v>2</v>
      </c>
      <c r="AX992" s="55"/>
      <c r="AY992" s="55"/>
      <c r="AZ992" s="55"/>
      <c r="BA992" s="55"/>
      <c r="BB992" s="56">
        <f t="shared" si="646"/>
        <v>0</v>
      </c>
      <c r="BC992" s="56">
        <f t="shared" si="676"/>
        <v>7</v>
      </c>
      <c r="BD992" s="298">
        <v>45160</v>
      </c>
      <c r="BE992" s="276"/>
      <c r="BF992" s="54"/>
      <c r="BG992" s="55"/>
      <c r="BH992" s="55"/>
      <c r="BI992" s="55"/>
      <c r="BJ992" s="56">
        <f t="shared" si="647"/>
        <v>0</v>
      </c>
      <c r="BL992" s="276"/>
      <c r="BM992" s="54"/>
      <c r="BN992" s="55"/>
      <c r="BO992" s="55"/>
      <c r="BP992" s="55"/>
      <c r="BQ992" s="56">
        <f t="shared" si="648"/>
        <v>0</v>
      </c>
    </row>
    <row r="993" spans="1:69" x14ac:dyDescent="0.15">
      <c r="A993" s="53" t="s">
        <v>100</v>
      </c>
      <c r="B993" s="54"/>
      <c r="C993" s="55"/>
      <c r="D993" s="55"/>
      <c r="E993" s="55"/>
      <c r="F993" s="56">
        <f t="shared" si="659"/>
        <v>0</v>
      </c>
      <c r="G993" s="54"/>
      <c r="H993" s="55"/>
      <c r="I993" s="55"/>
      <c r="J993" s="55"/>
      <c r="K993" s="56">
        <f t="shared" si="656"/>
        <v>0</v>
      </c>
      <c r="L993" s="54"/>
      <c r="M993" s="55"/>
      <c r="N993" s="55"/>
      <c r="O993" s="55"/>
      <c r="P993" s="56">
        <f t="shared" si="657"/>
        <v>0</v>
      </c>
      <c r="Q993" s="54"/>
      <c r="R993" s="55"/>
      <c r="S993" s="55"/>
      <c r="T993" s="55"/>
      <c r="U993" s="56">
        <f t="shared" si="658"/>
        <v>0</v>
      </c>
      <c r="V993" s="55"/>
      <c r="W993" s="55"/>
      <c r="X993" s="55"/>
      <c r="Y993" s="55">
        <v>1</v>
      </c>
      <c r="Z993" s="56">
        <f t="shared" si="660"/>
        <v>1</v>
      </c>
      <c r="AA993" s="56">
        <f t="shared" si="661"/>
        <v>1</v>
      </c>
      <c r="AB993" s="298">
        <v>45160</v>
      </c>
      <c r="AC993" s="276" t="s">
        <v>545</v>
      </c>
      <c r="AD993" s="54"/>
      <c r="AE993" s="55"/>
      <c r="AF993" s="55">
        <v>2</v>
      </c>
      <c r="AG993" s="55"/>
      <c r="AH993" s="56">
        <f t="shared" si="674"/>
        <v>2</v>
      </c>
      <c r="AI993" s="54"/>
      <c r="AJ993" s="55"/>
      <c r="AK993" s="55"/>
      <c r="AL993" s="55"/>
      <c r="AM993" s="56">
        <f t="shared" si="675"/>
        <v>0</v>
      </c>
      <c r="AN993" s="54"/>
      <c r="AO993" s="55"/>
      <c r="AP993" s="55"/>
      <c r="AQ993" s="55"/>
      <c r="AR993" s="56">
        <f t="shared" si="644"/>
        <v>0</v>
      </c>
      <c r="AS993" s="54"/>
      <c r="AT993" s="55"/>
      <c r="AU993" s="55"/>
      <c r="AV993" s="55"/>
      <c r="AW993" s="56">
        <f t="shared" si="645"/>
        <v>0</v>
      </c>
      <c r="AX993" s="55"/>
      <c r="AY993" s="55"/>
      <c r="AZ993" s="55"/>
      <c r="BA993" s="55"/>
      <c r="BB993" s="56">
        <f t="shared" si="646"/>
        <v>0</v>
      </c>
      <c r="BC993" s="56">
        <f t="shared" si="676"/>
        <v>2</v>
      </c>
      <c r="BD993" s="298">
        <v>45168</v>
      </c>
      <c r="BE993" s="277"/>
      <c r="BF993" s="55"/>
      <c r="BG993" s="55"/>
      <c r="BH993" s="55"/>
      <c r="BI993" s="166"/>
      <c r="BJ993" s="49">
        <f t="shared" si="647"/>
        <v>0</v>
      </c>
      <c r="BL993" s="277"/>
      <c r="BM993" s="55"/>
      <c r="BN993" s="55"/>
      <c r="BO993" s="55"/>
      <c r="BP993" s="166"/>
      <c r="BQ993" s="49">
        <f t="shared" si="648"/>
        <v>0</v>
      </c>
    </row>
    <row r="994" spans="1:69" x14ac:dyDescent="0.15">
      <c r="A994" s="53" t="s">
        <v>98</v>
      </c>
      <c r="B994" s="54"/>
      <c r="C994" s="55">
        <v>1</v>
      </c>
      <c r="D994" s="55">
        <v>1</v>
      </c>
      <c r="E994" s="55">
        <v>1</v>
      </c>
      <c r="F994" s="56">
        <f t="shared" si="659"/>
        <v>3</v>
      </c>
      <c r="G994" s="54"/>
      <c r="H994" s="55"/>
      <c r="I994" s="55"/>
      <c r="J994" s="55"/>
      <c r="K994" s="56">
        <f t="shared" si="656"/>
        <v>0</v>
      </c>
      <c r="L994" s="54"/>
      <c r="M994" s="55"/>
      <c r="N994" s="55"/>
      <c r="O994" s="55"/>
      <c r="P994" s="56">
        <f t="shared" si="657"/>
        <v>0</v>
      </c>
      <c r="Q994" s="54"/>
      <c r="R994" s="55"/>
      <c r="S994" s="55"/>
      <c r="T994" s="55"/>
      <c r="U994" s="56">
        <f t="shared" si="658"/>
        <v>0</v>
      </c>
      <c r="V994" s="55">
        <v>1</v>
      </c>
      <c r="W994" s="55"/>
      <c r="X994" s="55"/>
      <c r="Y994" s="55">
        <f>1+1</f>
        <v>2</v>
      </c>
      <c r="Z994" s="56">
        <f t="shared" si="660"/>
        <v>3</v>
      </c>
      <c r="AA994" s="56">
        <f t="shared" si="661"/>
        <v>6</v>
      </c>
      <c r="AB994" s="298">
        <v>45159</v>
      </c>
      <c r="AC994" s="276" t="s">
        <v>546</v>
      </c>
      <c r="AD994" s="54"/>
      <c r="AE994" s="55"/>
      <c r="AF994" s="55"/>
      <c r="AG994" s="55"/>
      <c r="AH994" s="56">
        <f t="shared" si="674"/>
        <v>0</v>
      </c>
      <c r="AI994" s="54"/>
      <c r="AJ994" s="55"/>
      <c r="AK994" s="55"/>
      <c r="AL994" s="55">
        <v>4</v>
      </c>
      <c r="AM994" s="56">
        <f t="shared" si="675"/>
        <v>4</v>
      </c>
      <c r="AN994" s="54"/>
      <c r="AO994" s="55"/>
      <c r="AP994" s="55"/>
      <c r="AQ994" s="55"/>
      <c r="AR994" s="56">
        <f t="shared" si="644"/>
        <v>0</v>
      </c>
      <c r="AS994" s="54"/>
      <c r="AT994" s="55"/>
      <c r="AU994" s="55"/>
      <c r="AV994" s="55"/>
      <c r="AW994" s="56">
        <f t="shared" si="645"/>
        <v>0</v>
      </c>
      <c r="AX994" s="55"/>
      <c r="AY994" s="55"/>
      <c r="AZ994" s="55"/>
      <c r="BA994" s="55"/>
      <c r="BB994" s="56">
        <f t="shared" si="646"/>
        <v>0</v>
      </c>
      <c r="BC994" s="56">
        <f t="shared" si="676"/>
        <v>4</v>
      </c>
      <c r="BD994" s="298">
        <v>45168</v>
      </c>
      <c r="BE994" s="277"/>
      <c r="BF994" s="54"/>
      <c r="BG994" s="55"/>
      <c r="BH994" s="55"/>
      <c r="BI994" s="55"/>
      <c r="BJ994" s="56">
        <f t="shared" si="647"/>
        <v>0</v>
      </c>
      <c r="BL994" s="277"/>
      <c r="BM994" s="54"/>
      <c r="BN994" s="55"/>
      <c r="BO994" s="55"/>
      <c r="BP994" s="55"/>
      <c r="BQ994" s="56">
        <f t="shared" si="648"/>
        <v>0</v>
      </c>
    </row>
    <row r="995" spans="1:69" x14ac:dyDescent="0.15">
      <c r="A995" s="53" t="s">
        <v>98</v>
      </c>
      <c r="B995" s="54"/>
      <c r="C995" s="55"/>
      <c r="D995" s="55"/>
      <c r="E995" s="55"/>
      <c r="F995" s="56">
        <f t="shared" si="659"/>
        <v>0</v>
      </c>
      <c r="G995" s="54"/>
      <c r="H995" s="55">
        <v>1</v>
      </c>
      <c r="I995" s="55"/>
      <c r="J995" s="55">
        <v>1</v>
      </c>
      <c r="K995" s="56">
        <f t="shared" si="656"/>
        <v>2</v>
      </c>
      <c r="L995" s="54"/>
      <c r="M995" s="55"/>
      <c r="N995" s="55"/>
      <c r="O995" s="55"/>
      <c r="P995" s="56">
        <f t="shared" si="657"/>
        <v>0</v>
      </c>
      <c r="Q995" s="54"/>
      <c r="R995" s="55">
        <v>1</v>
      </c>
      <c r="S995" s="55"/>
      <c r="T995" s="55"/>
      <c r="U995" s="56">
        <f t="shared" si="658"/>
        <v>1</v>
      </c>
      <c r="V995" s="55"/>
      <c r="W995" s="55"/>
      <c r="X995" s="55"/>
      <c r="Y995" s="55">
        <v>1</v>
      </c>
      <c r="Z995" s="56">
        <f t="shared" si="660"/>
        <v>1</v>
      </c>
      <c r="AA995" s="56">
        <f t="shared" si="661"/>
        <v>4</v>
      </c>
      <c r="AB995" s="298">
        <v>45160</v>
      </c>
      <c r="AC995" s="276" t="s">
        <v>99</v>
      </c>
      <c r="AD995" s="54"/>
      <c r="AE995" s="55"/>
      <c r="AF995" s="55"/>
      <c r="AG995" s="55"/>
      <c r="AH995" s="56">
        <f t="shared" si="674"/>
        <v>0</v>
      </c>
      <c r="AI995" s="54"/>
      <c r="AJ995" s="55"/>
      <c r="AK995" s="55"/>
      <c r="AL995" s="55"/>
      <c r="AM995" s="56">
        <f t="shared" ref="AM995" si="677">SUM(AI995:AL995)</f>
        <v>0</v>
      </c>
      <c r="AN995" s="54"/>
      <c r="AO995" s="55"/>
      <c r="AP995" s="55"/>
      <c r="AQ995" s="55"/>
      <c r="AR995" s="56">
        <f t="shared" ref="AR995" si="678">SUM(AN995:AQ995)</f>
        <v>0</v>
      </c>
      <c r="AS995" s="54"/>
      <c r="AT995" s="55">
        <v>2</v>
      </c>
      <c r="AU995" s="55"/>
      <c r="AV995" s="55"/>
      <c r="AW995" s="56">
        <f t="shared" ref="AW995" si="679">SUM(AS995:AV995)</f>
        <v>2</v>
      </c>
      <c r="AX995" s="55"/>
      <c r="AY995" s="55"/>
      <c r="AZ995" s="55"/>
      <c r="BA995" s="55">
        <v>2</v>
      </c>
      <c r="BB995" s="56">
        <f t="shared" si="646"/>
        <v>2</v>
      </c>
      <c r="BC995" s="56">
        <f t="shared" si="676"/>
        <v>4</v>
      </c>
      <c r="BD995" s="298">
        <v>45163</v>
      </c>
      <c r="BE995" s="276"/>
      <c r="BF995" s="54"/>
      <c r="BG995" s="55"/>
      <c r="BH995" s="55"/>
      <c r="BI995" s="55"/>
      <c r="BJ995" s="56">
        <f t="shared" si="647"/>
        <v>0</v>
      </c>
      <c r="BL995" s="276"/>
      <c r="BM995" s="54"/>
      <c r="BN995" s="55"/>
      <c r="BO995" s="55"/>
      <c r="BP995" s="55"/>
      <c r="BQ995" s="56">
        <f t="shared" si="648"/>
        <v>0</v>
      </c>
    </row>
    <row r="996" spans="1:69" x14ac:dyDescent="0.15">
      <c r="A996" s="53" t="s">
        <v>98</v>
      </c>
      <c r="B996" s="54"/>
      <c r="C996" s="55"/>
      <c r="D996" s="55"/>
      <c r="E996" s="55"/>
      <c r="F996" s="56">
        <f t="shared" si="659"/>
        <v>0</v>
      </c>
      <c r="G996" s="54"/>
      <c r="H996" s="55"/>
      <c r="I996" s="55"/>
      <c r="J996" s="55"/>
      <c r="K996" s="56">
        <f t="shared" si="656"/>
        <v>0</v>
      </c>
      <c r="L996" s="54"/>
      <c r="M996" s="55"/>
      <c r="N996" s="55"/>
      <c r="O996" s="55"/>
      <c r="P996" s="56">
        <f t="shared" si="657"/>
        <v>0</v>
      </c>
      <c r="Q996" s="54"/>
      <c r="R996" s="55">
        <v>1</v>
      </c>
      <c r="S996" s="55">
        <v>1</v>
      </c>
      <c r="T996" s="55"/>
      <c r="U996" s="56">
        <f t="shared" si="658"/>
        <v>2</v>
      </c>
      <c r="V996" s="55"/>
      <c r="W996" s="55"/>
      <c r="X996" s="55"/>
      <c r="Y996" s="55"/>
      <c r="Z996" s="56">
        <f t="shared" si="660"/>
        <v>0</v>
      </c>
      <c r="AA996" s="56">
        <f t="shared" si="661"/>
        <v>2</v>
      </c>
      <c r="AB996" s="298">
        <v>45161</v>
      </c>
      <c r="AC996" s="276" t="s">
        <v>548</v>
      </c>
      <c r="AD996" s="54"/>
      <c r="AE996" s="55"/>
      <c r="AF996" s="55"/>
      <c r="AG996" s="55"/>
      <c r="AH996" s="56">
        <f t="shared" ref="AH996:AH997" si="680">SUM(AD996:AG996)</f>
        <v>0</v>
      </c>
      <c r="AI996" s="54"/>
      <c r="AJ996" s="55"/>
      <c r="AK996" s="55">
        <v>4</v>
      </c>
      <c r="AL996" s="55"/>
      <c r="AM996" s="56">
        <f t="shared" ref="AM996:AM997" si="681">SUM(AI996:AL996)</f>
        <v>4</v>
      </c>
      <c r="AN996" s="54"/>
      <c r="AO996" s="55"/>
      <c r="AP996" s="55"/>
      <c r="AQ996" s="55"/>
      <c r="AR996" s="56">
        <f t="shared" si="644"/>
        <v>0</v>
      </c>
      <c r="AS996" s="54"/>
      <c r="AT996" s="55"/>
      <c r="AU996" s="55"/>
      <c r="AV996" s="55"/>
      <c r="AW996" s="56">
        <f t="shared" si="645"/>
        <v>0</v>
      </c>
      <c r="AX996" s="55"/>
      <c r="AY996" s="55"/>
      <c r="AZ996" s="55"/>
      <c r="BA996" s="55"/>
      <c r="BB996" s="56">
        <f t="shared" si="646"/>
        <v>0</v>
      </c>
      <c r="BC996" s="56">
        <f t="shared" si="676"/>
        <v>4</v>
      </c>
      <c r="BD996" s="298">
        <v>45171</v>
      </c>
      <c r="BE996" s="276"/>
      <c r="BF996" s="63"/>
      <c r="BG996" s="63"/>
      <c r="BH996" s="63"/>
      <c r="BI996" s="167"/>
      <c r="BJ996" s="64">
        <f t="shared" si="647"/>
        <v>0</v>
      </c>
      <c r="BL996" s="276"/>
      <c r="BM996" s="63"/>
      <c r="BN996" s="63"/>
      <c r="BO996" s="63"/>
      <c r="BP996" s="167"/>
      <c r="BQ996" s="64">
        <f t="shared" si="648"/>
        <v>0</v>
      </c>
    </row>
    <row r="997" spans="1:69" x14ac:dyDescent="0.15">
      <c r="A997" s="53" t="s">
        <v>98</v>
      </c>
      <c r="B997" s="54"/>
      <c r="C997" s="55"/>
      <c r="D997" s="55"/>
      <c r="E997" s="55"/>
      <c r="F997" s="56">
        <f t="shared" si="659"/>
        <v>0</v>
      </c>
      <c r="G997" s="54"/>
      <c r="H997" s="55"/>
      <c r="I997" s="55"/>
      <c r="J997" s="55"/>
      <c r="K997" s="56">
        <f t="shared" si="656"/>
        <v>0</v>
      </c>
      <c r="L997" s="54"/>
      <c r="M997" s="55"/>
      <c r="N997" s="55"/>
      <c r="O997" s="55"/>
      <c r="P997" s="56">
        <f t="shared" si="657"/>
        <v>0</v>
      </c>
      <c r="Q997" s="54"/>
      <c r="R997" s="55"/>
      <c r="S997" s="55"/>
      <c r="T997" s="55"/>
      <c r="U997" s="56">
        <f t="shared" si="658"/>
        <v>0</v>
      </c>
      <c r="V997" s="55"/>
      <c r="W997" s="55">
        <v>1</v>
      </c>
      <c r="X997" s="55"/>
      <c r="Y997" s="55"/>
      <c r="Z997" s="56">
        <f t="shared" si="660"/>
        <v>1</v>
      </c>
      <c r="AA997" s="56">
        <f t="shared" si="661"/>
        <v>1</v>
      </c>
      <c r="AB997" s="299">
        <v>45163</v>
      </c>
      <c r="AC997" s="276" t="s">
        <v>99</v>
      </c>
      <c r="AD997" s="54"/>
      <c r="AE997" s="55"/>
      <c r="AF997" s="55"/>
      <c r="AG997" s="55"/>
      <c r="AH997" s="56">
        <f t="shared" si="680"/>
        <v>0</v>
      </c>
      <c r="AI997" s="54"/>
      <c r="AJ997" s="55">
        <v>2</v>
      </c>
      <c r="AK997" s="55"/>
      <c r="AL997" s="55"/>
      <c r="AM997" s="56">
        <f t="shared" si="681"/>
        <v>2</v>
      </c>
      <c r="AN997" s="54"/>
      <c r="AO997" s="55"/>
      <c r="AP997" s="55"/>
      <c r="AQ997" s="55"/>
      <c r="AR997" s="56">
        <f t="shared" si="644"/>
        <v>0</v>
      </c>
      <c r="AS997" s="54"/>
      <c r="AT997" s="55"/>
      <c r="AU997" s="55">
        <v>2</v>
      </c>
      <c r="AV997" s="55"/>
      <c r="AW997" s="56">
        <f t="shared" si="645"/>
        <v>2</v>
      </c>
      <c r="AX997" s="55"/>
      <c r="AY997" s="55"/>
      <c r="AZ997" s="55"/>
      <c r="BA997" s="55">
        <v>2</v>
      </c>
      <c r="BB997" s="56">
        <f t="shared" si="646"/>
        <v>2</v>
      </c>
      <c r="BC997" s="56">
        <f t="shared" si="676"/>
        <v>6</v>
      </c>
      <c r="BD997" s="298">
        <v>45167</v>
      </c>
      <c r="BE997" s="277"/>
      <c r="BF997" s="54"/>
      <c r="BG997" s="55"/>
      <c r="BH997" s="55"/>
      <c r="BI997" s="55"/>
      <c r="BJ997" s="56">
        <f t="shared" si="647"/>
        <v>0</v>
      </c>
      <c r="BL997" s="277"/>
      <c r="BM997" s="54"/>
      <c r="BN997" s="55"/>
      <c r="BO997" s="55"/>
      <c r="BP997" s="55"/>
      <c r="BQ997" s="56">
        <f t="shared" si="648"/>
        <v>0</v>
      </c>
    </row>
    <row r="998" spans="1:69" x14ac:dyDescent="0.15">
      <c r="A998" s="53" t="s">
        <v>98</v>
      </c>
      <c r="B998" s="54"/>
      <c r="C998" s="55"/>
      <c r="D998" s="55"/>
      <c r="E998" s="55"/>
      <c r="F998" s="56">
        <f t="shared" si="659"/>
        <v>0</v>
      </c>
      <c r="G998" s="54"/>
      <c r="H998" s="55"/>
      <c r="I998" s="55"/>
      <c r="J998" s="55"/>
      <c r="K998" s="56">
        <f t="shared" si="656"/>
        <v>0</v>
      </c>
      <c r="L998" s="54"/>
      <c r="M998" s="55"/>
      <c r="N998" s="55"/>
      <c r="O998" s="55"/>
      <c r="P998" s="56">
        <f t="shared" si="657"/>
        <v>0</v>
      </c>
      <c r="Q998" s="54">
        <v>1</v>
      </c>
      <c r="R998" s="55"/>
      <c r="S998" s="55">
        <v>1</v>
      </c>
      <c r="T998" s="55"/>
      <c r="U998" s="56">
        <f t="shared" si="658"/>
        <v>2</v>
      </c>
      <c r="V998" s="55">
        <v>1</v>
      </c>
      <c r="W998" s="55"/>
      <c r="X998" s="55"/>
      <c r="Y998" s="55">
        <v>3</v>
      </c>
      <c r="Z998" s="56">
        <f t="shared" si="660"/>
        <v>4</v>
      </c>
      <c r="AA998" s="56">
        <f t="shared" si="661"/>
        <v>6</v>
      </c>
      <c r="AB998" s="299">
        <v>45166</v>
      </c>
      <c r="AC998" s="269" t="s">
        <v>550</v>
      </c>
      <c r="AD998" s="54"/>
      <c r="AE998" s="55"/>
      <c r="AF998" s="55"/>
      <c r="AG998" s="55"/>
      <c r="AH998" s="56">
        <f t="shared" ref="AH998:AH1004" si="682">SUM(AD998:AG998)</f>
        <v>0</v>
      </c>
      <c r="AI998" s="54"/>
      <c r="AJ998" s="55"/>
      <c r="AK998" s="55"/>
      <c r="AL998" s="55"/>
      <c r="AM998" s="56">
        <f t="shared" ref="AM998:AM1004" si="683">SUM(AI998:AL998)</f>
        <v>0</v>
      </c>
      <c r="AN998" s="54"/>
      <c r="AO998" s="55"/>
      <c r="AP998" s="55"/>
      <c r="AQ998" s="55"/>
      <c r="AR998" s="56">
        <f t="shared" si="644"/>
        <v>0</v>
      </c>
      <c r="AS998" s="54"/>
      <c r="AT998" s="55"/>
      <c r="AU998" s="55"/>
      <c r="AV998" s="55"/>
      <c r="AW998" s="56">
        <f t="shared" si="645"/>
        <v>0</v>
      </c>
      <c r="AX998" s="55"/>
      <c r="AY998" s="55">
        <v>7</v>
      </c>
      <c r="AZ998" s="55"/>
      <c r="BA998" s="55"/>
      <c r="BB998" s="56">
        <f t="shared" si="646"/>
        <v>7</v>
      </c>
      <c r="BC998" s="56">
        <f t="shared" si="676"/>
        <v>7</v>
      </c>
      <c r="BD998" s="298">
        <v>45174</v>
      </c>
      <c r="BE998" s="276"/>
      <c r="BF998" s="54"/>
      <c r="BG998" s="55"/>
      <c r="BH998" s="55"/>
      <c r="BI998" s="55"/>
      <c r="BJ998" s="56">
        <f t="shared" si="647"/>
        <v>0</v>
      </c>
      <c r="BL998" s="276"/>
      <c r="BM998" s="54"/>
      <c r="BN998" s="55"/>
      <c r="BO998" s="55"/>
      <c r="BP998" s="55"/>
      <c r="BQ998" s="56">
        <f t="shared" si="648"/>
        <v>0</v>
      </c>
    </row>
    <row r="999" spans="1:69" x14ac:dyDescent="0.15">
      <c r="A999" s="53" t="s">
        <v>549</v>
      </c>
      <c r="B999" s="54"/>
      <c r="C999" s="55"/>
      <c r="D999" s="55"/>
      <c r="E999" s="55"/>
      <c r="F999" s="56">
        <f t="shared" ref="F999:F1002" si="684">SUM(B999:E999)</f>
        <v>0</v>
      </c>
      <c r="G999" s="54"/>
      <c r="H999" s="55">
        <v>-2</v>
      </c>
      <c r="I999" s="55"/>
      <c r="J999" s="55"/>
      <c r="K999" s="56">
        <f t="shared" ref="K999:K1002" si="685">SUM(G999:J999)</f>
        <v>-2</v>
      </c>
      <c r="L999" s="54"/>
      <c r="M999" s="55"/>
      <c r="N999" s="55"/>
      <c r="O999" s="55"/>
      <c r="P999" s="56">
        <f t="shared" ref="P999:P1002" si="686">SUM(L999:O999)</f>
        <v>0</v>
      </c>
      <c r="Q999" s="54"/>
      <c r="R999" s="55"/>
      <c r="S999" s="55">
        <v>-2</v>
      </c>
      <c r="T999" s="55"/>
      <c r="U999" s="56">
        <f t="shared" ref="U999:U1002" si="687">SUM(Q999:T999)</f>
        <v>-2</v>
      </c>
      <c r="V999" s="55"/>
      <c r="W999" s="55"/>
      <c r="X999" s="55"/>
      <c r="Y999" s="55">
        <v>-2</v>
      </c>
      <c r="Z999" s="56">
        <f t="shared" ref="Z999:Z1002" si="688">SUM(V999:Y999)</f>
        <v>-2</v>
      </c>
      <c r="AA999" s="56">
        <f t="shared" ref="AA999:AA1003" si="689">F999+K999+P999+U999+Z999</f>
        <v>-6</v>
      </c>
      <c r="AB999" s="298">
        <v>45167</v>
      </c>
      <c r="AC999" s="276" t="s">
        <v>99</v>
      </c>
      <c r="AD999" s="54"/>
      <c r="AE999" s="55"/>
      <c r="AF999" s="55"/>
      <c r="AG999" s="55"/>
      <c r="AH999" s="56">
        <f t="shared" si="682"/>
        <v>0</v>
      </c>
      <c r="AI999" s="54"/>
      <c r="AJ999" s="55"/>
      <c r="AK999" s="55"/>
      <c r="AL999" s="55"/>
      <c r="AM999" s="56">
        <f t="shared" si="683"/>
        <v>0</v>
      </c>
      <c r="AN999" s="54"/>
      <c r="AO999" s="55"/>
      <c r="AP999" s="55"/>
      <c r="AQ999" s="55"/>
      <c r="AR999" s="56">
        <f t="shared" si="644"/>
        <v>0</v>
      </c>
      <c r="AS999" s="54">
        <v>2</v>
      </c>
      <c r="AT999" s="55"/>
      <c r="AU999" s="55">
        <v>2</v>
      </c>
      <c r="AV999" s="55">
        <v>2</v>
      </c>
      <c r="AW999" s="56">
        <f t="shared" si="645"/>
        <v>6</v>
      </c>
      <c r="AX999" s="55"/>
      <c r="AY999" s="55"/>
      <c r="AZ999" s="55"/>
      <c r="BA999" s="55"/>
      <c r="BB999" s="56">
        <f t="shared" si="646"/>
        <v>0</v>
      </c>
      <c r="BC999" s="56">
        <f t="shared" si="676"/>
        <v>6</v>
      </c>
      <c r="BD999" s="298">
        <v>45180</v>
      </c>
      <c r="BE999" s="277"/>
      <c r="BF999" s="54"/>
      <c r="BG999" s="55"/>
      <c r="BH999" s="55"/>
      <c r="BI999" s="55"/>
      <c r="BJ999" s="56">
        <f t="shared" si="647"/>
        <v>0</v>
      </c>
      <c r="BL999" s="277"/>
      <c r="BM999" s="54"/>
      <c r="BN999" s="55"/>
      <c r="BO999" s="55"/>
      <c r="BP999" s="55"/>
      <c r="BQ999" s="56">
        <f t="shared" si="648"/>
        <v>0</v>
      </c>
    </row>
    <row r="1000" spans="1:69" x14ac:dyDescent="0.15">
      <c r="A1000" s="53" t="s">
        <v>98</v>
      </c>
      <c r="B1000" s="54"/>
      <c r="C1000" s="55"/>
      <c r="D1000" s="55"/>
      <c r="E1000" s="55"/>
      <c r="F1000" s="56">
        <f t="shared" si="684"/>
        <v>0</v>
      </c>
      <c r="G1000" s="54"/>
      <c r="H1000" s="55"/>
      <c r="I1000" s="55"/>
      <c r="J1000" s="55"/>
      <c r="K1000" s="56">
        <f t="shared" si="685"/>
        <v>0</v>
      </c>
      <c r="L1000" s="54"/>
      <c r="M1000" s="55"/>
      <c r="N1000" s="55"/>
      <c r="O1000" s="55"/>
      <c r="P1000" s="56">
        <f t="shared" si="686"/>
        <v>0</v>
      </c>
      <c r="Q1000" s="54"/>
      <c r="R1000" s="55"/>
      <c r="S1000" s="55"/>
      <c r="T1000" s="55">
        <v>1</v>
      </c>
      <c r="U1000" s="56">
        <f t="shared" si="687"/>
        <v>1</v>
      </c>
      <c r="V1000" s="55"/>
      <c r="W1000" s="55"/>
      <c r="X1000" s="55"/>
      <c r="Y1000" s="55"/>
      <c r="Z1000" s="56">
        <f t="shared" si="688"/>
        <v>0</v>
      </c>
      <c r="AA1000" s="56">
        <f t="shared" si="689"/>
        <v>1</v>
      </c>
      <c r="AB1000" s="299">
        <v>45167</v>
      </c>
      <c r="AC1000" s="276" t="s">
        <v>552</v>
      </c>
      <c r="AD1000" s="54"/>
      <c r="AE1000" s="55"/>
      <c r="AF1000" s="55"/>
      <c r="AG1000" s="55"/>
      <c r="AH1000" s="56">
        <f t="shared" si="682"/>
        <v>0</v>
      </c>
      <c r="AI1000" s="54"/>
      <c r="AJ1000" s="55"/>
      <c r="AK1000" s="55"/>
      <c r="AL1000" s="55">
        <v>1</v>
      </c>
      <c r="AM1000" s="56">
        <f t="shared" si="683"/>
        <v>1</v>
      </c>
      <c r="AN1000" s="54"/>
      <c r="AO1000" s="55"/>
      <c r="AP1000" s="55"/>
      <c r="AQ1000" s="55"/>
      <c r="AR1000" s="56">
        <f t="shared" si="644"/>
        <v>0</v>
      </c>
      <c r="AS1000" s="54"/>
      <c r="AT1000" s="55"/>
      <c r="AU1000" s="55"/>
      <c r="AV1000" s="55"/>
      <c r="AW1000" s="56">
        <f t="shared" si="645"/>
        <v>0</v>
      </c>
      <c r="AX1000" s="55"/>
      <c r="AY1000" s="55"/>
      <c r="AZ1000" s="55"/>
      <c r="BA1000" s="55"/>
      <c r="BB1000" s="56">
        <f t="shared" si="646"/>
        <v>0</v>
      </c>
      <c r="BC1000" s="56">
        <f t="shared" si="676"/>
        <v>1</v>
      </c>
      <c r="BD1000" s="299">
        <v>45192</v>
      </c>
      <c r="BE1000" s="268"/>
      <c r="BF1000" s="62"/>
      <c r="BG1000" s="63"/>
      <c r="BH1000" s="63"/>
      <c r="BI1000" s="63"/>
      <c r="BJ1000" s="56">
        <f t="shared" si="647"/>
        <v>0</v>
      </c>
      <c r="BL1000" s="268"/>
      <c r="BM1000" s="62"/>
      <c r="BN1000" s="63"/>
      <c r="BO1000" s="63"/>
      <c r="BP1000" s="63"/>
      <c r="BQ1000" s="56">
        <f t="shared" si="648"/>
        <v>0</v>
      </c>
    </row>
    <row r="1001" spans="1:69" x14ac:dyDescent="0.15">
      <c r="A1001" s="53" t="s">
        <v>98</v>
      </c>
      <c r="B1001" s="54"/>
      <c r="C1001" s="55"/>
      <c r="D1001" s="55"/>
      <c r="E1001" s="55"/>
      <c r="F1001" s="56">
        <f t="shared" si="684"/>
        <v>0</v>
      </c>
      <c r="G1001" s="54"/>
      <c r="H1001" s="55"/>
      <c r="I1001" s="55"/>
      <c r="J1001" s="55">
        <v>2</v>
      </c>
      <c r="K1001" s="56">
        <f t="shared" si="685"/>
        <v>2</v>
      </c>
      <c r="L1001" s="54"/>
      <c r="M1001" s="55"/>
      <c r="N1001" s="55"/>
      <c r="O1001" s="55"/>
      <c r="P1001" s="56">
        <f t="shared" si="686"/>
        <v>0</v>
      </c>
      <c r="Q1001" s="54"/>
      <c r="R1001" s="55"/>
      <c r="S1001" s="55"/>
      <c r="T1001" s="55"/>
      <c r="U1001" s="56">
        <f t="shared" si="687"/>
        <v>0</v>
      </c>
      <c r="V1001" s="55"/>
      <c r="W1001" s="55"/>
      <c r="X1001" s="55"/>
      <c r="Y1001" s="55"/>
      <c r="Z1001" s="56">
        <f t="shared" si="688"/>
        <v>0</v>
      </c>
      <c r="AA1001" s="56">
        <f t="shared" si="689"/>
        <v>2</v>
      </c>
      <c r="AB1001" s="299">
        <v>45168</v>
      </c>
      <c r="AC1001" s="276"/>
      <c r="AD1001" s="54"/>
      <c r="AE1001" s="55"/>
      <c r="AF1001" s="55"/>
      <c r="AG1001" s="55"/>
      <c r="AH1001" s="56">
        <f t="shared" si="682"/>
        <v>0</v>
      </c>
      <c r="AI1001" s="54"/>
      <c r="AJ1001" s="55"/>
      <c r="AK1001" s="55"/>
      <c r="AL1001" s="55"/>
      <c r="AM1001" s="56">
        <f t="shared" si="683"/>
        <v>0</v>
      </c>
      <c r="AN1001" s="54"/>
      <c r="AO1001" s="55"/>
      <c r="AP1001" s="55"/>
      <c r="AQ1001" s="55"/>
      <c r="AR1001" s="56">
        <f t="shared" si="644"/>
        <v>0</v>
      </c>
      <c r="AS1001" s="54"/>
      <c r="AT1001" s="55"/>
      <c r="AU1001" s="55"/>
      <c r="AV1001" s="55"/>
      <c r="AW1001" s="56">
        <f t="shared" si="645"/>
        <v>0</v>
      </c>
      <c r="AX1001" s="55"/>
      <c r="AY1001" s="55"/>
      <c r="AZ1001" s="55"/>
      <c r="BA1001" s="55"/>
      <c r="BB1001" s="56">
        <f t="shared" si="646"/>
        <v>0</v>
      </c>
      <c r="BC1001" s="56">
        <f t="shared" si="676"/>
        <v>0</v>
      </c>
      <c r="BE1001" s="268"/>
      <c r="BF1001" s="54"/>
      <c r="BG1001" s="55"/>
      <c r="BH1001" s="55"/>
      <c r="BI1001" s="55"/>
      <c r="BJ1001" s="56">
        <f t="shared" si="647"/>
        <v>0</v>
      </c>
      <c r="BL1001" s="268"/>
      <c r="BM1001" s="54"/>
      <c r="BN1001" s="55"/>
      <c r="BO1001" s="55"/>
      <c r="BP1001" s="55"/>
      <c r="BQ1001" s="56">
        <f t="shared" si="648"/>
        <v>0</v>
      </c>
    </row>
    <row r="1002" spans="1:69" x14ac:dyDescent="0.15">
      <c r="A1002" s="53"/>
      <c r="B1002" s="54"/>
      <c r="C1002" s="55"/>
      <c r="D1002" s="55"/>
      <c r="E1002" s="55"/>
      <c r="F1002" s="56">
        <f t="shared" si="684"/>
        <v>0</v>
      </c>
      <c r="G1002" s="54"/>
      <c r="H1002" s="55"/>
      <c r="I1002" s="55"/>
      <c r="J1002" s="55"/>
      <c r="K1002" s="56">
        <f t="shared" si="685"/>
        <v>0</v>
      </c>
      <c r="L1002" s="54"/>
      <c r="M1002" s="55"/>
      <c r="N1002" s="55"/>
      <c r="O1002" s="55"/>
      <c r="P1002" s="56">
        <f t="shared" si="686"/>
        <v>0</v>
      </c>
      <c r="Q1002" s="54"/>
      <c r="R1002" s="55"/>
      <c r="S1002" s="55"/>
      <c r="T1002" s="55"/>
      <c r="U1002" s="56">
        <f t="shared" si="687"/>
        <v>0</v>
      </c>
      <c r="V1002" s="55"/>
      <c r="W1002" s="55"/>
      <c r="X1002" s="55"/>
      <c r="Y1002" s="55"/>
      <c r="Z1002" s="56">
        <f t="shared" si="688"/>
        <v>0</v>
      </c>
      <c r="AA1002" s="56">
        <f t="shared" ref="AA1002" si="690">F1002+K1002+P1002+U1002+Z1002</f>
        <v>0</v>
      </c>
      <c r="AC1002" s="269" t="s">
        <v>459</v>
      </c>
      <c r="AD1002" s="33"/>
      <c r="AE1002" s="34"/>
      <c r="AF1002" s="34"/>
      <c r="AG1002" s="34"/>
      <c r="AH1002" s="30">
        <f t="shared" si="682"/>
        <v>0</v>
      </c>
      <c r="AI1002" s="33"/>
      <c r="AJ1002" s="34"/>
      <c r="AK1002" s="34"/>
      <c r="AL1002" s="34"/>
      <c r="AM1002" s="30">
        <f t="shared" si="683"/>
        <v>0</v>
      </c>
      <c r="AN1002" s="33"/>
      <c r="AO1002" s="34"/>
      <c r="AP1002" s="34"/>
      <c r="AQ1002" s="34"/>
      <c r="AR1002" s="30">
        <f t="shared" si="644"/>
        <v>0</v>
      </c>
      <c r="AS1002" s="33"/>
      <c r="AT1002" s="34"/>
      <c r="AU1002" s="34"/>
      <c r="AV1002" s="34"/>
      <c r="AW1002" s="30">
        <f t="shared" si="645"/>
        <v>0</v>
      </c>
      <c r="AX1002" s="55"/>
      <c r="AY1002" s="55"/>
      <c r="AZ1002" s="55"/>
      <c r="BA1002" s="55"/>
      <c r="BB1002" s="56">
        <f t="shared" si="646"/>
        <v>0</v>
      </c>
      <c r="BC1002" s="56">
        <f t="shared" si="676"/>
        <v>0</v>
      </c>
      <c r="BD1002" s="300" t="s">
        <v>465</v>
      </c>
      <c r="BE1002" s="268"/>
      <c r="BF1002" s="62"/>
      <c r="BG1002" s="63"/>
      <c r="BH1002" s="63"/>
      <c r="BI1002" s="63"/>
      <c r="BJ1002" s="56">
        <f t="shared" si="647"/>
        <v>0</v>
      </c>
      <c r="BL1002" s="268"/>
      <c r="BM1002" s="62"/>
      <c r="BN1002" s="63"/>
      <c r="BO1002" s="63"/>
      <c r="BP1002" s="63"/>
      <c r="BQ1002" s="56">
        <f t="shared" si="648"/>
        <v>0</v>
      </c>
    </row>
    <row r="1003" spans="1:69" x14ac:dyDescent="0.15">
      <c r="A1003" s="53"/>
      <c r="B1003" s="54"/>
      <c r="C1003" s="55"/>
      <c r="D1003" s="55"/>
      <c r="E1003" s="55"/>
      <c r="F1003" s="56">
        <f t="shared" ref="F1003:F1006" si="691">SUM(B1003:E1003)</f>
        <v>0</v>
      </c>
      <c r="G1003" s="54"/>
      <c r="H1003" s="55"/>
      <c r="I1003" s="55"/>
      <c r="J1003" s="55"/>
      <c r="K1003" s="56">
        <f t="shared" ref="K1003:K1006" si="692">SUM(G1003:J1003)</f>
        <v>0</v>
      </c>
      <c r="L1003" s="54"/>
      <c r="M1003" s="55"/>
      <c r="N1003" s="55"/>
      <c r="O1003" s="55"/>
      <c r="P1003" s="56">
        <f t="shared" ref="P1003:P1006" si="693">SUM(L1003:O1003)</f>
        <v>0</v>
      </c>
      <c r="Q1003" s="54"/>
      <c r="R1003" s="55"/>
      <c r="S1003" s="55"/>
      <c r="T1003" s="55"/>
      <c r="U1003" s="56">
        <f t="shared" ref="U1003:U1006" si="694">SUM(Q1003:T1003)</f>
        <v>0</v>
      </c>
      <c r="V1003" s="55"/>
      <c r="W1003" s="55"/>
      <c r="X1003" s="55"/>
      <c r="Y1003" s="55"/>
      <c r="Z1003" s="56">
        <f t="shared" ref="Z1003:Z1005" si="695">SUM(V1003:Y1003)</f>
        <v>0</v>
      </c>
      <c r="AA1003" s="56">
        <f t="shared" si="689"/>
        <v>0</v>
      </c>
      <c r="AC1003" s="269" t="s">
        <v>460</v>
      </c>
      <c r="AD1003" s="54"/>
      <c r="AE1003" s="55"/>
      <c r="AF1003" s="55"/>
      <c r="AG1003" s="55"/>
      <c r="AH1003" s="56">
        <f t="shared" si="682"/>
        <v>0</v>
      </c>
      <c r="AI1003" s="54"/>
      <c r="AJ1003" s="55"/>
      <c r="AK1003" s="55"/>
      <c r="AL1003" s="55"/>
      <c r="AM1003" s="56">
        <f t="shared" si="683"/>
        <v>0</v>
      </c>
      <c r="AN1003" s="54"/>
      <c r="AO1003" s="55"/>
      <c r="AP1003" s="55"/>
      <c r="AQ1003" s="55"/>
      <c r="AR1003" s="56">
        <f t="shared" si="644"/>
        <v>0</v>
      </c>
      <c r="AS1003" s="54"/>
      <c r="AT1003" s="55"/>
      <c r="AU1003" s="255"/>
      <c r="AV1003" s="255"/>
      <c r="AW1003" s="56">
        <f t="shared" si="645"/>
        <v>0</v>
      </c>
      <c r="AX1003" s="55"/>
      <c r="AY1003" s="55"/>
      <c r="AZ1003" s="55"/>
      <c r="BA1003" s="55"/>
      <c r="BB1003" s="56">
        <f t="shared" si="646"/>
        <v>0</v>
      </c>
      <c r="BC1003" s="56">
        <f t="shared" si="676"/>
        <v>0</v>
      </c>
      <c r="BD1003" s="300" t="s">
        <v>465</v>
      </c>
      <c r="BE1003" s="277"/>
      <c r="BF1003" s="54"/>
      <c r="BG1003" s="55"/>
      <c r="BH1003" s="55"/>
      <c r="BI1003" s="55"/>
      <c r="BJ1003" s="56">
        <f t="shared" si="647"/>
        <v>0</v>
      </c>
      <c r="BL1003" s="277"/>
      <c r="BM1003" s="54"/>
      <c r="BN1003" s="55"/>
      <c r="BO1003" s="55"/>
      <c r="BP1003" s="55"/>
      <c r="BQ1003" s="56">
        <f t="shared" si="648"/>
        <v>0</v>
      </c>
    </row>
    <row r="1004" spans="1:69" ht="14.25" thickBot="1" x14ac:dyDescent="0.2">
      <c r="A1004" s="53"/>
      <c r="B1004" s="33"/>
      <c r="C1004" s="34"/>
      <c r="D1004" s="34"/>
      <c r="E1004" s="34"/>
      <c r="F1004" s="30">
        <f t="shared" si="691"/>
        <v>0</v>
      </c>
      <c r="G1004" s="33"/>
      <c r="H1004" s="34"/>
      <c r="I1004" s="34"/>
      <c r="J1004" s="34"/>
      <c r="K1004" s="30">
        <f t="shared" si="692"/>
        <v>0</v>
      </c>
      <c r="L1004" s="33"/>
      <c r="M1004" s="34"/>
      <c r="N1004" s="34"/>
      <c r="O1004" s="34"/>
      <c r="P1004" s="30">
        <f t="shared" si="693"/>
        <v>0</v>
      </c>
      <c r="Q1004" s="33"/>
      <c r="R1004" s="34"/>
      <c r="S1004" s="34"/>
      <c r="T1004" s="34"/>
      <c r="U1004" s="30">
        <f t="shared" si="694"/>
        <v>0</v>
      </c>
      <c r="V1004" s="34"/>
      <c r="W1004" s="34"/>
      <c r="X1004" s="34"/>
      <c r="Y1004" s="34"/>
      <c r="Z1004" s="30">
        <f t="shared" si="695"/>
        <v>0</v>
      </c>
      <c r="AA1004" s="56">
        <f>F1004+K1004+P1004+U1004+Z1004</f>
        <v>0</v>
      </c>
      <c r="AC1004" s="282" t="s">
        <v>458</v>
      </c>
      <c r="AD1004" s="54"/>
      <c r="AE1004" s="55"/>
      <c r="AF1004" s="55"/>
      <c r="AG1004" s="55"/>
      <c r="AH1004" s="30">
        <f t="shared" si="682"/>
        <v>0</v>
      </c>
      <c r="AI1004" s="54"/>
      <c r="AJ1004" s="55"/>
      <c r="AK1004" s="55"/>
      <c r="AL1004" s="55"/>
      <c r="AM1004" s="30">
        <f t="shared" si="683"/>
        <v>0</v>
      </c>
      <c r="AN1004" s="339"/>
      <c r="AO1004" s="340"/>
      <c r="AP1004" s="340"/>
      <c r="AQ1004" s="340"/>
      <c r="AR1004" s="30">
        <f t="shared" si="644"/>
        <v>0</v>
      </c>
      <c r="AS1004" s="339"/>
      <c r="AT1004" s="340"/>
      <c r="AU1004" s="340"/>
      <c r="AV1004" s="340"/>
      <c r="AW1004" s="30">
        <f t="shared" si="645"/>
        <v>0</v>
      </c>
      <c r="AX1004" s="341"/>
      <c r="AY1004" s="341"/>
      <c r="AZ1004" s="341"/>
      <c r="BA1004" s="341"/>
      <c r="BB1004" s="30">
        <f t="shared" si="646"/>
        <v>0</v>
      </c>
      <c r="BC1004" s="56">
        <f>AH1004+AM1004+AR1004+AW1004+BB1004</f>
        <v>0</v>
      </c>
      <c r="BD1004" s="300" t="s">
        <v>466</v>
      </c>
      <c r="BE1004" s="282"/>
      <c r="BF1004" s="33"/>
      <c r="BG1004" s="34"/>
      <c r="BH1004" s="34"/>
      <c r="BI1004" s="34"/>
      <c r="BJ1004" s="30">
        <f t="shared" si="647"/>
        <v>0</v>
      </c>
      <c r="BL1004" s="282"/>
      <c r="BM1004" s="33"/>
      <c r="BN1004" s="34"/>
      <c r="BO1004" s="34"/>
      <c r="BP1004" s="34"/>
      <c r="BQ1004" s="30">
        <f t="shared" si="648"/>
        <v>0</v>
      </c>
    </row>
    <row r="1005" spans="1:69" ht="15" thickBot="1" x14ac:dyDescent="0.2">
      <c r="A1005" s="9" t="s">
        <v>15</v>
      </c>
      <c r="B1005" s="36">
        <f>SUM(B979:B1004)</f>
        <v>1</v>
      </c>
      <c r="C1005" s="37">
        <f>SUM(C979:C1004)</f>
        <v>4</v>
      </c>
      <c r="D1005" s="37">
        <f>SUM(D979:D1004)</f>
        <v>2</v>
      </c>
      <c r="E1005" s="38">
        <f>SUM(E979:E1004)</f>
        <v>3</v>
      </c>
      <c r="F1005" s="25">
        <f t="shared" si="691"/>
        <v>10</v>
      </c>
      <c r="G1005" s="36">
        <f>SUM(G979:G1004)</f>
        <v>3</v>
      </c>
      <c r="H1005" s="37">
        <f>SUM(H979:H1004)</f>
        <v>6</v>
      </c>
      <c r="I1005" s="37">
        <f>SUM(I979:I1004)</f>
        <v>1</v>
      </c>
      <c r="J1005" s="38">
        <f>SUM(J979:J1004)</f>
        <v>4</v>
      </c>
      <c r="K1005" s="25">
        <f t="shared" si="692"/>
        <v>14</v>
      </c>
      <c r="L1005" s="36">
        <f>SUM(L979:L1004)</f>
        <v>2</v>
      </c>
      <c r="M1005" s="37">
        <f>SUM(M979:M1004)</f>
        <v>2</v>
      </c>
      <c r="N1005" s="37">
        <f>SUM(N979:N1004)</f>
        <v>0</v>
      </c>
      <c r="O1005" s="38">
        <f>SUM(O979:O1004)</f>
        <v>1</v>
      </c>
      <c r="P1005" s="25">
        <f t="shared" si="693"/>
        <v>5</v>
      </c>
      <c r="Q1005" s="36">
        <f>SUM(Q979:Q1004)</f>
        <v>2</v>
      </c>
      <c r="R1005" s="37">
        <f>SUM(R979:R1004)</f>
        <v>8</v>
      </c>
      <c r="S1005" s="37">
        <f>SUM(S979:S1004)</f>
        <v>5</v>
      </c>
      <c r="T1005" s="38">
        <f>SUM(T979:T1004)</f>
        <v>3</v>
      </c>
      <c r="U1005" s="25">
        <f t="shared" si="694"/>
        <v>18</v>
      </c>
      <c r="V1005" s="322">
        <f>SUM(V979:V1004)</f>
        <v>7</v>
      </c>
      <c r="W1005" s="37">
        <f>SUM(W979:W1004)</f>
        <v>4</v>
      </c>
      <c r="X1005" s="37">
        <f>SUM(X979:X1004)</f>
        <v>4</v>
      </c>
      <c r="Y1005" s="38">
        <f>SUM(Y979:Y1004)</f>
        <v>8</v>
      </c>
      <c r="Z1005" s="25">
        <f t="shared" si="695"/>
        <v>23</v>
      </c>
      <c r="AA1005" s="161">
        <f>F1005+K1005+P1005+U1005+Z1005</f>
        <v>70</v>
      </c>
      <c r="AC1005" s="278" t="s">
        <v>15</v>
      </c>
      <c r="AD1005" s="36">
        <f>SUM(AD979:AD1004)</f>
        <v>3</v>
      </c>
      <c r="AE1005" s="37">
        <f>SUM(AE979:AE1004)</f>
        <v>9</v>
      </c>
      <c r="AF1005" s="37">
        <f>SUM(AF979:AF1004)</f>
        <v>2</v>
      </c>
      <c r="AG1005" s="38">
        <f>SUM(AG979:AG1004)</f>
        <v>2</v>
      </c>
      <c r="AH1005" s="25">
        <f t="shared" ref="AH1005:AH1006" si="696">SUM(AD1005:AG1005)</f>
        <v>16</v>
      </c>
      <c r="AI1005" s="36">
        <f>SUM(AI979:AI1004)</f>
        <v>24</v>
      </c>
      <c r="AJ1005" s="37">
        <f>SUM(AJ979:AJ1004)</f>
        <v>27</v>
      </c>
      <c r="AK1005" s="37">
        <f>SUM(AK979:AK1004)</f>
        <v>20</v>
      </c>
      <c r="AL1005" s="38">
        <f>SUM(AL979:AL1004)</f>
        <v>11</v>
      </c>
      <c r="AM1005" s="25">
        <f t="shared" ref="AM1005:AM1006" si="697">SUM(AI1005:AL1005)</f>
        <v>82</v>
      </c>
      <c r="AN1005" s="36">
        <f>SUM(AN979:AN1004)</f>
        <v>0</v>
      </c>
      <c r="AO1005" s="37">
        <f>SUM(AO979:AO1004)</f>
        <v>1</v>
      </c>
      <c r="AP1005" s="37">
        <f>SUM(AP979:AP1004)</f>
        <v>4</v>
      </c>
      <c r="AQ1005" s="38">
        <f>SUM(AQ979:AQ1004)</f>
        <v>0</v>
      </c>
      <c r="AR1005" s="25">
        <f t="shared" si="644"/>
        <v>5</v>
      </c>
      <c r="AS1005" s="36">
        <f>SUM(AS979:AS1004)</f>
        <v>8</v>
      </c>
      <c r="AT1005" s="37">
        <f>SUM(AT979:AT1004)</f>
        <v>13</v>
      </c>
      <c r="AU1005" s="37">
        <f>SUM(AU979:AU1004)</f>
        <v>15</v>
      </c>
      <c r="AV1005" s="38">
        <f>SUM(AV979:AV1004)</f>
        <v>8</v>
      </c>
      <c r="AW1005" s="25">
        <f t="shared" si="645"/>
        <v>44</v>
      </c>
      <c r="AX1005" s="322">
        <f>SUM(AX979:AX1004)</f>
        <v>14</v>
      </c>
      <c r="AY1005" s="37">
        <f>SUM(AY979:AY1004)</f>
        <v>12</v>
      </c>
      <c r="AZ1005" s="37">
        <f>SUM(AZ979:AZ1004)</f>
        <v>3</v>
      </c>
      <c r="BA1005" s="38">
        <f>SUM(BA979:BA1004)</f>
        <v>15</v>
      </c>
      <c r="BB1005" s="25">
        <f t="shared" si="646"/>
        <v>44</v>
      </c>
      <c r="BC1005" s="161">
        <f>AH1005+AM1005+AR1005+AW1005+BB1005</f>
        <v>191</v>
      </c>
      <c r="BE1005" s="278" t="s">
        <v>15</v>
      </c>
      <c r="BF1005" s="312">
        <f>SUM(BF979:BF1004)</f>
        <v>0</v>
      </c>
      <c r="BG1005" s="302">
        <f>SUM(BG979:BG1004)</f>
        <v>0</v>
      </c>
      <c r="BH1005" s="37">
        <f>SUM(BH979:BH1004)</f>
        <v>2</v>
      </c>
      <c r="BI1005" s="38">
        <f>SUM(BI979:BI1004)</f>
        <v>0</v>
      </c>
      <c r="BJ1005" s="25">
        <f t="shared" si="647"/>
        <v>2</v>
      </c>
      <c r="BL1005" s="278" t="s">
        <v>15</v>
      </c>
      <c r="BM1005" s="312">
        <f>SUM(BM979:BM1004)</f>
        <v>0</v>
      </c>
      <c r="BN1005" s="302">
        <f>SUM(BN979:BN1004)</f>
        <v>0</v>
      </c>
      <c r="BO1005" s="37">
        <f>SUM(BO979:BO1004)</f>
        <v>0</v>
      </c>
      <c r="BP1005" s="316">
        <f>SUM(BP979:BP1004)</f>
        <v>0</v>
      </c>
      <c r="BQ1005" s="25">
        <f t="shared" si="648"/>
        <v>0</v>
      </c>
    </row>
    <row r="1006" spans="1:69" ht="14.25" thickBot="1" x14ac:dyDescent="0.2">
      <c r="A1006" s="39" t="s">
        <v>16</v>
      </c>
      <c r="B1006" s="40">
        <f>B978-B1005</f>
        <v>7</v>
      </c>
      <c r="C1006" s="41">
        <f>C978-C1005</f>
        <v>7</v>
      </c>
      <c r="D1006" s="41">
        <f>D978-D1005</f>
        <v>4</v>
      </c>
      <c r="E1006" s="42">
        <f>E978-E1005</f>
        <v>5</v>
      </c>
      <c r="F1006" s="171">
        <f t="shared" si="691"/>
        <v>23</v>
      </c>
      <c r="G1006" s="40">
        <f>G978-G1005</f>
        <v>5</v>
      </c>
      <c r="H1006" s="41">
        <f>H978-H1005</f>
        <v>5</v>
      </c>
      <c r="I1006" s="41">
        <f>I978-I1005</f>
        <v>17</v>
      </c>
      <c r="J1006" s="42">
        <f>J978-J1005</f>
        <v>6</v>
      </c>
      <c r="K1006" s="171">
        <f t="shared" si="692"/>
        <v>33</v>
      </c>
      <c r="L1006" s="40">
        <f>L978-L1005</f>
        <v>4</v>
      </c>
      <c r="M1006" s="41">
        <f>M978-M1005</f>
        <v>3</v>
      </c>
      <c r="N1006" s="41">
        <f>N978-N1005</f>
        <v>4</v>
      </c>
      <c r="O1006" s="42">
        <f>O978-O1005</f>
        <v>3</v>
      </c>
      <c r="P1006" s="171">
        <f t="shared" si="693"/>
        <v>14</v>
      </c>
      <c r="Q1006" s="40">
        <f>Q978-Q1005</f>
        <v>4</v>
      </c>
      <c r="R1006" s="41">
        <f>R978-R1005</f>
        <v>5</v>
      </c>
      <c r="S1006" s="41">
        <f>S978-S1005</f>
        <v>5</v>
      </c>
      <c r="T1006" s="42">
        <f>T978-T1005</f>
        <v>3</v>
      </c>
      <c r="U1006" s="171">
        <f t="shared" si="694"/>
        <v>17</v>
      </c>
      <c r="V1006" s="323">
        <f>V978-V1005</f>
        <v>4</v>
      </c>
      <c r="W1006" s="41">
        <f>W978-W1005</f>
        <v>5</v>
      </c>
      <c r="X1006" s="41">
        <f>X978-X1005</f>
        <v>5</v>
      </c>
      <c r="Y1006" s="42">
        <f>Y978-Y1005</f>
        <v>3</v>
      </c>
      <c r="Z1006" s="171">
        <f>SUM(V1006:Y1006)</f>
        <v>17</v>
      </c>
      <c r="AA1006" s="77">
        <f>F1006+K1006+P1006+U1006+Z1006</f>
        <v>104</v>
      </c>
      <c r="AC1006" s="279" t="s">
        <v>16</v>
      </c>
      <c r="AD1006" s="40">
        <f>AD978-AD1005</f>
        <v>29</v>
      </c>
      <c r="AE1006" s="41">
        <f>AE978-AE1005</f>
        <v>28</v>
      </c>
      <c r="AF1006" s="41">
        <f>AF978-AF1005</f>
        <v>101</v>
      </c>
      <c r="AG1006" s="42">
        <f>AG978-AG1005</f>
        <v>39</v>
      </c>
      <c r="AH1006" s="171">
        <f t="shared" si="696"/>
        <v>197</v>
      </c>
      <c r="AI1006" s="40">
        <f>AI978-AI1005</f>
        <v>82</v>
      </c>
      <c r="AJ1006" s="41">
        <f>AJ978-AJ1005</f>
        <v>168</v>
      </c>
      <c r="AK1006" s="41">
        <f>AK978-AK1005</f>
        <v>41</v>
      </c>
      <c r="AL1006" s="42">
        <f>AL978-AL1005</f>
        <v>48</v>
      </c>
      <c r="AM1006" s="171">
        <f t="shared" si="697"/>
        <v>339</v>
      </c>
      <c r="AN1006" s="40">
        <f>AN978-AN1005</f>
        <v>42</v>
      </c>
      <c r="AO1006" s="41">
        <f>AO978-AO1005</f>
        <v>62</v>
      </c>
      <c r="AP1006" s="41">
        <f>AP978-AP1005</f>
        <v>42</v>
      </c>
      <c r="AQ1006" s="42">
        <f>AQ978-AQ1005</f>
        <v>26</v>
      </c>
      <c r="AR1006" s="171">
        <f t="shared" si="644"/>
        <v>172</v>
      </c>
      <c r="AS1006" s="40">
        <f>AS978-AS1005</f>
        <v>120</v>
      </c>
      <c r="AT1006" s="41">
        <f>AT978-AT1005</f>
        <v>194</v>
      </c>
      <c r="AU1006" s="41">
        <f>AU978-AU1005</f>
        <v>70</v>
      </c>
      <c r="AV1006" s="42">
        <f>AV978-AV1005</f>
        <v>65</v>
      </c>
      <c r="AW1006" s="171">
        <f t="shared" si="645"/>
        <v>449</v>
      </c>
      <c r="AX1006" s="323">
        <f>AX978-AX1005</f>
        <v>108</v>
      </c>
      <c r="AY1006" s="41">
        <f>AY978-AY1005</f>
        <v>100</v>
      </c>
      <c r="AZ1006" s="41">
        <f>AZ978-AZ1005</f>
        <v>53</v>
      </c>
      <c r="BA1006" s="42">
        <f>BA978-BA1005</f>
        <v>47</v>
      </c>
      <c r="BB1006" s="171">
        <f>SUM(AX1006:BA1006)</f>
        <v>308</v>
      </c>
      <c r="BC1006" s="77">
        <f>AH1006+AM1006+AR1006+AW1006+BB1006</f>
        <v>1465</v>
      </c>
      <c r="BE1006" s="279" t="s">
        <v>16</v>
      </c>
      <c r="BF1006" s="313">
        <f>BF978-BF1005</f>
        <v>0</v>
      </c>
      <c r="BG1006" s="303">
        <f>BG978-BG1005</f>
        <v>0</v>
      </c>
      <c r="BH1006" s="41">
        <f>BH978-BH1005</f>
        <v>4</v>
      </c>
      <c r="BI1006" s="42">
        <f>BI978-BI1005</f>
        <v>0</v>
      </c>
      <c r="BJ1006" s="171">
        <f t="shared" si="647"/>
        <v>4</v>
      </c>
      <c r="BL1006" s="279" t="s">
        <v>16</v>
      </c>
      <c r="BM1006" s="313">
        <f>BM978-BM1005</f>
        <v>0</v>
      </c>
      <c r="BN1006" s="303">
        <f>BN978-BN1005</f>
        <v>0</v>
      </c>
      <c r="BO1006" s="41">
        <f>BO978-BO1005</f>
        <v>21</v>
      </c>
      <c r="BP1006" s="317">
        <f>BP978-BP1005</f>
        <v>0</v>
      </c>
      <c r="BQ1006" s="171">
        <f t="shared" si="648"/>
        <v>21</v>
      </c>
    </row>
    <row r="1009" spans="1:70" ht="19.5" thickBot="1" x14ac:dyDescent="0.25">
      <c r="A1009" s="185" t="s">
        <v>19</v>
      </c>
      <c r="B1009" s="186"/>
      <c r="C1009" s="186"/>
      <c r="D1009" s="186"/>
      <c r="E1009" s="186"/>
      <c r="F1009" s="186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C1009" s="187" t="s">
        <v>73</v>
      </c>
      <c r="AD1009" s="188"/>
      <c r="AE1009" s="188"/>
      <c r="AF1009" s="188"/>
      <c r="AG1009" s="188"/>
      <c r="AH1009" s="188"/>
      <c r="AI1009" s="188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E1009" s="185" t="s">
        <v>19</v>
      </c>
      <c r="BF1009" s="186"/>
      <c r="BG1009" s="186"/>
      <c r="BH1009" s="186"/>
      <c r="BI1009" s="186"/>
      <c r="BJ1009" s="186"/>
      <c r="BL1009" s="187" t="s">
        <v>73</v>
      </c>
      <c r="BM1009" s="188"/>
      <c r="BN1009" s="188"/>
      <c r="BO1009" s="188"/>
      <c r="BP1009" s="188"/>
      <c r="BQ1009" s="188"/>
    </row>
    <row r="1010" spans="1:70" ht="14.25" thickBot="1" x14ac:dyDescent="0.2">
      <c r="A1010" s="3" t="s">
        <v>0</v>
      </c>
      <c r="B1010" s="365" t="s">
        <v>17</v>
      </c>
      <c r="C1010" s="366"/>
      <c r="D1010" s="366"/>
      <c r="E1010" s="366"/>
      <c r="F1010" s="367"/>
      <c r="G1010" s="368" t="s">
        <v>18</v>
      </c>
      <c r="H1010" s="369"/>
      <c r="I1010" s="369"/>
      <c r="J1010" s="369"/>
      <c r="K1010" s="370"/>
      <c r="L1010" s="371" t="s">
        <v>320</v>
      </c>
      <c r="M1010" s="372"/>
      <c r="N1010" s="372"/>
      <c r="O1010" s="372"/>
      <c r="P1010" s="373"/>
      <c r="Q1010" s="355" t="s">
        <v>75</v>
      </c>
      <c r="R1010" s="356"/>
      <c r="S1010" s="356"/>
      <c r="T1010" s="356"/>
      <c r="U1010" s="357"/>
      <c r="V1010" s="358" t="s">
        <v>456</v>
      </c>
      <c r="W1010" s="358"/>
      <c r="X1010" s="358"/>
      <c r="Y1010" s="358"/>
      <c r="Z1010" s="359"/>
      <c r="AA1010" s="360" t="s">
        <v>1</v>
      </c>
      <c r="AC1010" s="271" t="s">
        <v>0</v>
      </c>
      <c r="AD1010" s="365" t="s">
        <v>17</v>
      </c>
      <c r="AE1010" s="366"/>
      <c r="AF1010" s="366"/>
      <c r="AG1010" s="366"/>
      <c r="AH1010" s="367"/>
      <c r="AI1010" s="368" t="s">
        <v>18</v>
      </c>
      <c r="AJ1010" s="369"/>
      <c r="AK1010" s="369"/>
      <c r="AL1010" s="369"/>
      <c r="AM1010" s="370"/>
      <c r="AN1010" s="371" t="s">
        <v>320</v>
      </c>
      <c r="AO1010" s="372"/>
      <c r="AP1010" s="372"/>
      <c r="AQ1010" s="372"/>
      <c r="AR1010" s="373"/>
      <c r="AS1010" s="355" t="s">
        <v>75</v>
      </c>
      <c r="AT1010" s="356"/>
      <c r="AU1010" s="356"/>
      <c r="AV1010" s="356"/>
      <c r="AW1010" s="357"/>
      <c r="AX1010" s="358" t="s">
        <v>456</v>
      </c>
      <c r="AY1010" s="358"/>
      <c r="AZ1010" s="358"/>
      <c r="BA1010" s="358"/>
      <c r="BB1010" s="359"/>
      <c r="BC1010" s="360" t="s">
        <v>1</v>
      </c>
      <c r="BE1010" s="271" t="s">
        <v>0</v>
      </c>
      <c r="BF1010" s="362" t="s">
        <v>38</v>
      </c>
      <c r="BG1010" s="363"/>
      <c r="BH1010" s="363"/>
      <c r="BI1010" s="363"/>
      <c r="BJ1010" s="364"/>
      <c r="BL1010" s="271" t="s">
        <v>0</v>
      </c>
      <c r="BM1010" s="362" t="s">
        <v>38</v>
      </c>
      <c r="BN1010" s="363"/>
      <c r="BO1010" s="363"/>
      <c r="BP1010" s="363"/>
      <c r="BQ1010" s="364"/>
    </row>
    <row r="1011" spans="1:70" ht="14.25" thickBot="1" x14ac:dyDescent="0.2">
      <c r="A1011" s="5" t="s">
        <v>2</v>
      </c>
      <c r="B1011" s="6" t="s">
        <v>3</v>
      </c>
      <c r="C1011" s="7" t="s">
        <v>4</v>
      </c>
      <c r="D1011" s="7" t="s">
        <v>5</v>
      </c>
      <c r="E1011" s="8" t="s">
        <v>6</v>
      </c>
      <c r="F1011" s="5" t="s">
        <v>7</v>
      </c>
      <c r="G1011" s="6" t="s">
        <v>3</v>
      </c>
      <c r="H1011" s="7" t="s">
        <v>4</v>
      </c>
      <c r="I1011" s="7" t="s">
        <v>5</v>
      </c>
      <c r="J1011" s="8" t="s">
        <v>6</v>
      </c>
      <c r="K1011" s="5" t="s">
        <v>7</v>
      </c>
      <c r="L1011" s="6" t="s">
        <v>3</v>
      </c>
      <c r="M1011" s="7" t="s">
        <v>4</v>
      </c>
      <c r="N1011" s="7" t="s">
        <v>5</v>
      </c>
      <c r="O1011" s="8" t="s">
        <v>6</v>
      </c>
      <c r="P1011" s="5" t="s">
        <v>7</v>
      </c>
      <c r="Q1011" s="6" t="s">
        <v>3</v>
      </c>
      <c r="R1011" s="7" t="s">
        <v>4</v>
      </c>
      <c r="S1011" s="7" t="s">
        <v>5</v>
      </c>
      <c r="T1011" s="8" t="s">
        <v>6</v>
      </c>
      <c r="U1011" s="5" t="s">
        <v>7</v>
      </c>
      <c r="V1011" s="7" t="s">
        <v>3</v>
      </c>
      <c r="W1011" s="7" t="s">
        <v>4</v>
      </c>
      <c r="X1011" s="7" t="s">
        <v>5</v>
      </c>
      <c r="Y1011" s="8" t="s">
        <v>6</v>
      </c>
      <c r="Z1011" s="5" t="s">
        <v>7</v>
      </c>
      <c r="AA1011" s="361"/>
      <c r="AC1011" s="272" t="s">
        <v>2</v>
      </c>
      <c r="AD1011" s="6" t="s">
        <v>3</v>
      </c>
      <c r="AE1011" s="7" t="s">
        <v>4</v>
      </c>
      <c r="AF1011" s="7" t="s">
        <v>5</v>
      </c>
      <c r="AG1011" s="8" t="s">
        <v>6</v>
      </c>
      <c r="AH1011" s="5" t="s">
        <v>7</v>
      </c>
      <c r="AI1011" s="6" t="s">
        <v>3</v>
      </c>
      <c r="AJ1011" s="7" t="s">
        <v>4</v>
      </c>
      <c r="AK1011" s="7" t="s">
        <v>5</v>
      </c>
      <c r="AL1011" s="8" t="s">
        <v>6</v>
      </c>
      <c r="AM1011" s="5" t="s">
        <v>7</v>
      </c>
      <c r="AN1011" s="6" t="s">
        <v>3</v>
      </c>
      <c r="AO1011" s="7" t="s">
        <v>4</v>
      </c>
      <c r="AP1011" s="7" t="s">
        <v>5</v>
      </c>
      <c r="AQ1011" s="8" t="s">
        <v>6</v>
      </c>
      <c r="AR1011" s="5" t="s">
        <v>7</v>
      </c>
      <c r="AS1011" s="6" t="s">
        <v>3</v>
      </c>
      <c r="AT1011" s="7" t="s">
        <v>4</v>
      </c>
      <c r="AU1011" s="7" t="s">
        <v>5</v>
      </c>
      <c r="AV1011" s="8" t="s">
        <v>6</v>
      </c>
      <c r="AW1011" s="5" t="s">
        <v>7</v>
      </c>
      <c r="AX1011" s="7" t="s">
        <v>3</v>
      </c>
      <c r="AY1011" s="7" t="s">
        <v>4</v>
      </c>
      <c r="AZ1011" s="7" t="s">
        <v>5</v>
      </c>
      <c r="BA1011" s="8" t="s">
        <v>6</v>
      </c>
      <c r="BB1011" s="5" t="s">
        <v>7</v>
      </c>
      <c r="BC1011" s="361"/>
      <c r="BE1011" s="272" t="s">
        <v>2</v>
      </c>
      <c r="BF1011" s="6" t="s">
        <v>3</v>
      </c>
      <c r="BG1011" s="7" t="s">
        <v>4</v>
      </c>
      <c r="BH1011" s="7" t="s">
        <v>5</v>
      </c>
      <c r="BI1011" s="8" t="s">
        <v>6</v>
      </c>
      <c r="BJ1011" s="5" t="s">
        <v>7</v>
      </c>
      <c r="BL1011" s="272" t="s">
        <v>2</v>
      </c>
      <c r="BM1011" s="6" t="s">
        <v>3</v>
      </c>
      <c r="BN1011" s="7" t="s">
        <v>4</v>
      </c>
      <c r="BO1011" s="7" t="s">
        <v>5</v>
      </c>
      <c r="BP1011" s="8" t="s">
        <v>6</v>
      </c>
      <c r="BQ1011" s="5" t="s">
        <v>7</v>
      </c>
    </row>
    <row r="1012" spans="1:70" ht="15" thickBot="1" x14ac:dyDescent="0.2">
      <c r="A1012" s="291" t="s">
        <v>30</v>
      </c>
      <c r="B1012" s="292">
        <f>B1006</f>
        <v>7</v>
      </c>
      <c r="C1012" s="292">
        <f>C1006</f>
        <v>7</v>
      </c>
      <c r="D1012" s="292">
        <f>D1006</f>
        <v>4</v>
      </c>
      <c r="E1012" s="293">
        <f>E1006</f>
        <v>5</v>
      </c>
      <c r="F1012" s="77">
        <f t="shared" ref="F1012" si="698">SUM(B1012:E1012)</f>
        <v>23</v>
      </c>
      <c r="G1012" s="292">
        <f>G1006</f>
        <v>5</v>
      </c>
      <c r="H1012" s="292">
        <f>H1006</f>
        <v>5</v>
      </c>
      <c r="I1012" s="292">
        <f>I1006</f>
        <v>17</v>
      </c>
      <c r="J1012" s="293">
        <f>J1006</f>
        <v>6</v>
      </c>
      <c r="K1012" s="77">
        <f t="shared" ref="K1012" si="699">SUM(G1012:J1012)</f>
        <v>33</v>
      </c>
      <c r="L1012" s="292">
        <f>L1006</f>
        <v>4</v>
      </c>
      <c r="M1012" s="292">
        <f>M1006</f>
        <v>3</v>
      </c>
      <c r="N1012" s="292">
        <f>N1006</f>
        <v>4</v>
      </c>
      <c r="O1012" s="293">
        <f>O1006</f>
        <v>3</v>
      </c>
      <c r="P1012" s="77">
        <f t="shared" ref="P1012" si="700">SUM(L1012:O1012)</f>
        <v>14</v>
      </c>
      <c r="Q1012" s="324">
        <f>Q1006</f>
        <v>4</v>
      </c>
      <c r="R1012" s="292">
        <f>R1006</f>
        <v>5</v>
      </c>
      <c r="S1012" s="292">
        <f>S1006</f>
        <v>5</v>
      </c>
      <c r="T1012" s="293">
        <f>T1006</f>
        <v>3</v>
      </c>
      <c r="U1012" s="77">
        <f t="shared" ref="U1012" si="701">SUM(Q1012:T1012)</f>
        <v>17</v>
      </c>
      <c r="V1012" s="324">
        <f>V1006</f>
        <v>4</v>
      </c>
      <c r="W1012" s="292">
        <f>W1006</f>
        <v>5</v>
      </c>
      <c r="X1012" s="292">
        <f>X1006</f>
        <v>5</v>
      </c>
      <c r="Y1012" s="293">
        <f>Y1006</f>
        <v>3</v>
      </c>
      <c r="Z1012" s="77">
        <f t="shared" ref="Z1012" si="702">SUM(V1012:Y1012)</f>
        <v>17</v>
      </c>
      <c r="AA1012" s="77">
        <f>F1012+K1012+P1012+U1012+Z1012</f>
        <v>104</v>
      </c>
      <c r="AC1012" s="294" t="s">
        <v>30</v>
      </c>
      <c r="AD1012" s="292">
        <f>AD1006</f>
        <v>29</v>
      </c>
      <c r="AE1012" s="292">
        <f>AE1006</f>
        <v>28</v>
      </c>
      <c r="AF1012" s="292">
        <f>AF1006</f>
        <v>101</v>
      </c>
      <c r="AG1012" s="293">
        <f>AG1006</f>
        <v>39</v>
      </c>
      <c r="AH1012" s="77">
        <f>SUM(AD1012:AG1012)</f>
        <v>197</v>
      </c>
      <c r="AI1012" s="292">
        <f>AI1006</f>
        <v>82</v>
      </c>
      <c r="AJ1012" s="292">
        <f>AJ1006</f>
        <v>168</v>
      </c>
      <c r="AK1012" s="292">
        <f>AK1006</f>
        <v>41</v>
      </c>
      <c r="AL1012" s="293">
        <f>AL1006</f>
        <v>48</v>
      </c>
      <c r="AM1012" s="77">
        <f>SUM(AI1012:AL1012)</f>
        <v>339</v>
      </c>
      <c r="AN1012" s="292">
        <f>AN1006</f>
        <v>42</v>
      </c>
      <c r="AO1012" s="292">
        <f>AO1006</f>
        <v>62</v>
      </c>
      <c r="AP1012" s="292">
        <f>AP1006</f>
        <v>42</v>
      </c>
      <c r="AQ1012" s="293">
        <f>AQ1006</f>
        <v>26</v>
      </c>
      <c r="AR1012" s="77">
        <f>SUM(AN1012:AQ1012)</f>
        <v>172</v>
      </c>
      <c r="AS1012" s="324">
        <f>AS1006</f>
        <v>120</v>
      </c>
      <c r="AT1012" s="292">
        <f>AT1006</f>
        <v>194</v>
      </c>
      <c r="AU1012" s="292">
        <f>AU1006</f>
        <v>70</v>
      </c>
      <c r="AV1012" s="293">
        <f>AV1006</f>
        <v>65</v>
      </c>
      <c r="AW1012" s="77">
        <f>SUM(AS1012:AV1012)</f>
        <v>449</v>
      </c>
      <c r="AX1012" s="324">
        <f>AX1006</f>
        <v>108</v>
      </c>
      <c r="AY1012" s="292">
        <f>AY1006</f>
        <v>100</v>
      </c>
      <c r="AZ1012" s="292">
        <f>AZ1006</f>
        <v>53</v>
      </c>
      <c r="BA1012" s="293">
        <f>BA1006</f>
        <v>47</v>
      </c>
      <c r="BB1012" s="77">
        <f>SUM(AX1012:BA1012)</f>
        <v>308</v>
      </c>
      <c r="BC1012" s="77">
        <f>AH1012+AM1012+AR1012+AW1012+BB1012</f>
        <v>1465</v>
      </c>
      <c r="BE1012" s="294" t="s">
        <v>30</v>
      </c>
      <c r="BF1012" s="40">
        <f>BF1006</f>
        <v>0</v>
      </c>
      <c r="BG1012" s="41">
        <f t="shared" ref="BG1012:BJ1012" si="703">BG1006</f>
        <v>0</v>
      </c>
      <c r="BH1012" s="41">
        <f t="shared" si="703"/>
        <v>4</v>
      </c>
      <c r="BI1012" s="42">
        <f t="shared" si="703"/>
        <v>0</v>
      </c>
      <c r="BJ1012" s="171">
        <f t="shared" si="703"/>
        <v>4</v>
      </c>
      <c r="BL1012" s="294" t="s">
        <v>30</v>
      </c>
      <c r="BM1012" s="292">
        <f>BM1006</f>
        <v>0</v>
      </c>
      <c r="BN1012" s="292">
        <f t="shared" ref="BN1012:BQ1012" si="704">BN1006</f>
        <v>0</v>
      </c>
      <c r="BO1012" s="292">
        <f t="shared" si="704"/>
        <v>21</v>
      </c>
      <c r="BP1012" s="292">
        <f t="shared" si="704"/>
        <v>0</v>
      </c>
      <c r="BQ1012" s="77">
        <f t="shared" si="704"/>
        <v>21</v>
      </c>
    </row>
    <row r="1013" spans="1:70" x14ac:dyDescent="0.15">
      <c r="A1013" s="53" t="s">
        <v>108</v>
      </c>
      <c r="B1013" s="55">
        <v>1</v>
      </c>
      <c r="C1013" s="153">
        <v>1</v>
      </c>
      <c r="D1013" s="153"/>
      <c r="E1013" s="168"/>
      <c r="F1013" s="56">
        <f t="shared" ref="F1013" si="705">SUM(B1013:E1013)</f>
        <v>2</v>
      </c>
      <c r="G1013" s="55"/>
      <c r="H1013" s="153"/>
      <c r="I1013" s="153"/>
      <c r="J1013" s="168"/>
      <c r="K1013" s="56">
        <f t="shared" ref="K1013" si="706">SUM(G1013:J1013)</f>
        <v>0</v>
      </c>
      <c r="L1013" s="55"/>
      <c r="M1013" s="153"/>
      <c r="N1013" s="153"/>
      <c r="O1013" s="168"/>
      <c r="P1013" s="56">
        <f t="shared" ref="P1013" si="707">SUM(L1013:O1013)</f>
        <v>0</v>
      </c>
      <c r="Q1013" s="54"/>
      <c r="R1013" s="153"/>
      <c r="S1013" s="153"/>
      <c r="T1013" s="168"/>
      <c r="U1013" s="56">
        <f t="shared" ref="U1013" si="708">SUM(Q1013:T1013)</f>
        <v>0</v>
      </c>
      <c r="V1013" s="55"/>
      <c r="W1013" s="153"/>
      <c r="X1013" s="153"/>
      <c r="Y1013" s="168"/>
      <c r="Z1013" s="56">
        <f t="shared" ref="Z1013" si="709">SUM(V1013:Y1013)</f>
        <v>0</v>
      </c>
      <c r="AA1013" s="49">
        <f t="shared" ref="AA1013" si="710">F1013+K1013+P1013+U1013+Z1013</f>
        <v>2</v>
      </c>
      <c r="AB1013" s="298">
        <v>45183</v>
      </c>
      <c r="AC1013" s="268" t="s">
        <v>21</v>
      </c>
      <c r="AD1013" s="55">
        <v>5</v>
      </c>
      <c r="AE1013" s="153">
        <v>3</v>
      </c>
      <c r="AF1013" s="153"/>
      <c r="AG1013" s="168"/>
      <c r="AH1013" s="56">
        <f t="shared" ref="AH1013" si="711">SUM(AD1013:AG1013)</f>
        <v>8</v>
      </c>
      <c r="AI1013" s="54"/>
      <c r="AJ1013" s="55"/>
      <c r="AK1013" s="55">
        <v>10</v>
      </c>
      <c r="AL1013" s="55"/>
      <c r="AM1013" s="56">
        <f t="shared" ref="AM1013" si="712">SUM(AI1013:AL1013)</f>
        <v>10</v>
      </c>
      <c r="AN1013" s="54"/>
      <c r="AO1013" s="55"/>
      <c r="AP1013" s="55"/>
      <c r="AQ1013" s="55"/>
      <c r="AR1013" s="56">
        <f t="shared" ref="AR1013" si="713">SUM(AN1013:AQ1013)</f>
        <v>0</v>
      </c>
      <c r="AS1013" s="54"/>
      <c r="AT1013" s="153"/>
      <c r="AU1013" s="153"/>
      <c r="AV1013" s="168"/>
      <c r="AW1013" s="56">
        <f t="shared" ref="AW1013" si="714">SUM(AS1013:AV1013)</f>
        <v>0</v>
      </c>
      <c r="AX1013" s="55"/>
      <c r="AY1013" s="55"/>
      <c r="AZ1013" s="55"/>
      <c r="BA1013" s="166"/>
      <c r="BB1013" s="49">
        <f t="shared" ref="BB1013" si="715">SUM(AX1013:BA1013)</f>
        <v>0</v>
      </c>
      <c r="BC1013" s="49">
        <f t="shared" ref="BC1013:BC1015" si="716">AH1013+AM1013+AR1013+AW1013+BB1013</f>
        <v>18</v>
      </c>
      <c r="BD1013" s="299">
        <v>45199</v>
      </c>
      <c r="BE1013" s="268" t="s">
        <v>28</v>
      </c>
      <c r="BF1013" s="55"/>
      <c r="BG1013" s="153"/>
      <c r="BH1013" s="153">
        <v>2</v>
      </c>
      <c r="BI1013" s="168"/>
      <c r="BJ1013" s="56">
        <f t="shared" ref="BJ1013" si="717">SUM(BF1013:BI1013)</f>
        <v>2</v>
      </c>
      <c r="BK1013" s="306">
        <v>45329</v>
      </c>
      <c r="BL1013" s="268" t="s">
        <v>28</v>
      </c>
      <c r="BM1013" s="51"/>
      <c r="BN1013" s="52"/>
      <c r="BO1013" s="52">
        <v>2</v>
      </c>
      <c r="BP1013" s="52"/>
      <c r="BQ1013" s="49">
        <f t="shared" ref="BQ1013:BQ1015" si="718">SUM(BM1013:BP1013)</f>
        <v>2</v>
      </c>
      <c r="BR1013" s="304">
        <v>45199</v>
      </c>
    </row>
    <row r="1014" spans="1:70" x14ac:dyDescent="0.15">
      <c r="A1014" s="53" t="s">
        <v>111</v>
      </c>
      <c r="B1014" s="55"/>
      <c r="C1014" s="153"/>
      <c r="D1014" s="153"/>
      <c r="E1014" s="168"/>
      <c r="F1014" s="56">
        <f t="shared" ref="F1014:F1019" si="719">SUM(B1014:E1014)</f>
        <v>0</v>
      </c>
      <c r="G1014" s="55"/>
      <c r="H1014" s="153"/>
      <c r="I1014" s="153"/>
      <c r="J1014" s="168"/>
      <c r="K1014" s="56">
        <f t="shared" ref="K1014:K1019" si="720">SUM(G1014:J1014)</f>
        <v>0</v>
      </c>
      <c r="L1014" s="55"/>
      <c r="M1014" s="153"/>
      <c r="N1014" s="153"/>
      <c r="O1014" s="168"/>
      <c r="P1014" s="56">
        <f t="shared" ref="P1014:P1019" si="721">SUM(L1014:O1014)</f>
        <v>0</v>
      </c>
      <c r="Q1014" s="54">
        <v>2</v>
      </c>
      <c r="R1014" s="153"/>
      <c r="S1014" s="153">
        <v>2</v>
      </c>
      <c r="T1014" s="168">
        <v>2</v>
      </c>
      <c r="U1014" s="56">
        <f t="shared" ref="U1014:U1019" si="722">SUM(Q1014:T1014)</f>
        <v>6</v>
      </c>
      <c r="V1014" s="55"/>
      <c r="W1014" s="153"/>
      <c r="X1014" s="153"/>
      <c r="Y1014" s="168"/>
      <c r="Z1014" s="56">
        <f t="shared" ref="Z1014:Z1019" si="723">SUM(V1014:Y1014)</f>
        <v>0</v>
      </c>
      <c r="AA1014" s="49">
        <f t="shared" ref="AA1014:AA1019" si="724">F1014+K1014+P1014+U1014+Z1014</f>
        <v>6</v>
      </c>
      <c r="AB1014" s="298">
        <v>45180</v>
      </c>
      <c r="AC1014" s="268" t="s">
        <v>28</v>
      </c>
      <c r="AD1014" s="55"/>
      <c r="AE1014" s="153"/>
      <c r="AF1014" s="153">
        <v>1</v>
      </c>
      <c r="AG1014" s="168"/>
      <c r="AH1014" s="56">
        <f t="shared" ref="AH1014:AH1043" si="725">SUM(AD1014:AG1014)</f>
        <v>1</v>
      </c>
      <c r="AI1014" s="54">
        <v>1</v>
      </c>
      <c r="AJ1014" s="55"/>
      <c r="AK1014" s="55"/>
      <c r="AL1014" s="55">
        <v>3</v>
      </c>
      <c r="AM1014" s="56">
        <f t="shared" ref="AM1014:AM1043" si="726">SUM(AI1014:AL1014)</f>
        <v>4</v>
      </c>
      <c r="AN1014" s="54"/>
      <c r="AO1014" s="55"/>
      <c r="AP1014" s="55"/>
      <c r="AQ1014" s="55"/>
      <c r="AR1014" s="56">
        <f t="shared" ref="AR1014:AR1017" si="727">SUM(AN1014:AQ1014)</f>
        <v>0</v>
      </c>
      <c r="AS1014" s="54"/>
      <c r="AT1014" s="153"/>
      <c r="AU1014" s="153"/>
      <c r="AV1014" s="168"/>
      <c r="AW1014" s="56">
        <f>SUM(AS1014:AV1014)</f>
        <v>0</v>
      </c>
      <c r="AX1014" s="55"/>
      <c r="AY1014" s="55"/>
      <c r="AZ1014" s="55"/>
      <c r="BA1014" s="166"/>
      <c r="BB1014" s="49">
        <f t="shared" ref="BB1014:BB1019" si="728">SUM(AX1014:BA1014)</f>
        <v>0</v>
      </c>
      <c r="BC1014" s="49">
        <f t="shared" si="716"/>
        <v>5</v>
      </c>
      <c r="BD1014" s="298">
        <v>45220</v>
      </c>
      <c r="BE1014" s="268" t="s">
        <v>28</v>
      </c>
      <c r="BF1014" s="55"/>
      <c r="BG1014" s="153"/>
      <c r="BH1014" s="153"/>
      <c r="BI1014" s="168"/>
      <c r="BJ1014" s="56">
        <f t="shared" ref="BJ1014:BJ1015" si="729">SUM(BF1014:BI1014)</f>
        <v>0</v>
      </c>
      <c r="BL1014" s="268" t="s">
        <v>28</v>
      </c>
      <c r="BM1014" s="54"/>
      <c r="BN1014" s="55"/>
      <c r="BO1014" s="55"/>
      <c r="BP1014" s="55"/>
      <c r="BQ1014" s="56">
        <f t="shared" si="718"/>
        <v>0</v>
      </c>
    </row>
    <row r="1015" spans="1:70" x14ac:dyDescent="0.15">
      <c r="A1015" s="53" t="s">
        <v>109</v>
      </c>
      <c r="B1015" s="55">
        <v>1</v>
      </c>
      <c r="C1015" s="153"/>
      <c r="D1015" s="153"/>
      <c r="E1015" s="168"/>
      <c r="F1015" s="56">
        <f t="shared" si="719"/>
        <v>1</v>
      </c>
      <c r="G1015" s="55">
        <v>1</v>
      </c>
      <c r="H1015" s="153"/>
      <c r="I1015" s="153"/>
      <c r="J1015" s="168">
        <v>2</v>
      </c>
      <c r="K1015" s="56">
        <f t="shared" si="720"/>
        <v>3</v>
      </c>
      <c r="L1015" s="55"/>
      <c r="M1015" s="153"/>
      <c r="N1015" s="153"/>
      <c r="O1015" s="168"/>
      <c r="P1015" s="56">
        <f t="shared" si="721"/>
        <v>0</v>
      </c>
      <c r="Q1015" s="54"/>
      <c r="R1015" s="153"/>
      <c r="S1015" s="153"/>
      <c r="T1015" s="168"/>
      <c r="U1015" s="56">
        <f t="shared" si="722"/>
        <v>0</v>
      </c>
      <c r="V1015" s="55">
        <v>2</v>
      </c>
      <c r="W1015" s="153"/>
      <c r="X1015" s="153"/>
      <c r="Y1015" s="168">
        <v>1</v>
      </c>
      <c r="Z1015" s="56">
        <f t="shared" si="723"/>
        <v>3</v>
      </c>
      <c r="AA1015" s="49">
        <f t="shared" si="724"/>
        <v>7</v>
      </c>
      <c r="AB1015" s="299">
        <v>45190</v>
      </c>
      <c r="AC1015" s="268" t="s">
        <v>28</v>
      </c>
      <c r="AD1015" s="55"/>
      <c r="AE1015" s="153">
        <v>1</v>
      </c>
      <c r="AF1015" s="153">
        <v>2</v>
      </c>
      <c r="AG1015" s="168">
        <v>3</v>
      </c>
      <c r="AH1015" s="56">
        <f t="shared" si="725"/>
        <v>6</v>
      </c>
      <c r="AI1015" s="54">
        <v>2</v>
      </c>
      <c r="AJ1015" s="55">
        <v>1</v>
      </c>
      <c r="AK1015" s="55">
        <v>6</v>
      </c>
      <c r="AL1015" s="55">
        <v>4</v>
      </c>
      <c r="AM1015" s="56">
        <f t="shared" ref="AM1015" si="730">SUM(AI1015:AL1015)</f>
        <v>13</v>
      </c>
      <c r="AN1015" s="54">
        <v>2</v>
      </c>
      <c r="AO1015" s="55"/>
      <c r="AP1015" s="55">
        <v>2</v>
      </c>
      <c r="AQ1015" s="55">
        <v>1</v>
      </c>
      <c r="AR1015" s="56">
        <f t="shared" ref="AR1015" si="731">SUM(AN1015:AQ1015)</f>
        <v>5</v>
      </c>
      <c r="AS1015" s="54">
        <v>1</v>
      </c>
      <c r="AT1015" s="153">
        <v>1</v>
      </c>
      <c r="AU1015" s="153">
        <v>2</v>
      </c>
      <c r="AV1015" s="168">
        <v>1</v>
      </c>
      <c r="AW1015" s="56">
        <f t="shared" ref="AW1015" si="732">SUM(AS1015:AV1015)</f>
        <v>5</v>
      </c>
      <c r="AX1015" s="55">
        <v>4</v>
      </c>
      <c r="AY1015" s="55">
        <v>4</v>
      </c>
      <c r="AZ1015" s="55">
        <v>3</v>
      </c>
      <c r="BA1015" s="166">
        <v>1</v>
      </c>
      <c r="BB1015" s="49">
        <f t="shared" si="728"/>
        <v>12</v>
      </c>
      <c r="BC1015" s="49">
        <f t="shared" si="716"/>
        <v>41</v>
      </c>
      <c r="BD1015" s="299">
        <v>45234</v>
      </c>
      <c r="BE1015" s="268" t="s">
        <v>28</v>
      </c>
      <c r="BF1015" s="55"/>
      <c r="BG1015" s="153"/>
      <c r="BH1015" s="153"/>
      <c r="BI1015" s="168"/>
      <c r="BJ1015" s="56">
        <f t="shared" si="729"/>
        <v>0</v>
      </c>
      <c r="BL1015" s="268" t="s">
        <v>28</v>
      </c>
      <c r="BM1015" s="55"/>
      <c r="BN1015" s="153"/>
      <c r="BO1015" s="153"/>
      <c r="BP1015" s="168"/>
      <c r="BQ1015" s="56">
        <f t="shared" si="718"/>
        <v>0</v>
      </c>
    </row>
    <row r="1016" spans="1:70" x14ac:dyDescent="0.15">
      <c r="A1016" s="53" t="s">
        <v>108</v>
      </c>
      <c r="B1016" s="55"/>
      <c r="C1016" s="153"/>
      <c r="D1016" s="153">
        <v>1</v>
      </c>
      <c r="E1016" s="168"/>
      <c r="F1016" s="56">
        <f t="shared" si="719"/>
        <v>1</v>
      </c>
      <c r="G1016" s="55"/>
      <c r="H1016" s="153"/>
      <c r="I1016" s="153"/>
      <c r="J1016" s="168">
        <v>3</v>
      </c>
      <c r="K1016" s="56">
        <f t="shared" si="720"/>
        <v>3</v>
      </c>
      <c r="L1016" s="55"/>
      <c r="M1016" s="153"/>
      <c r="N1016" s="153"/>
      <c r="O1016" s="168"/>
      <c r="P1016" s="56">
        <f t="shared" si="721"/>
        <v>0</v>
      </c>
      <c r="Q1016" s="54"/>
      <c r="R1016" s="153"/>
      <c r="S1016" s="153"/>
      <c r="T1016" s="168"/>
      <c r="U1016" s="56">
        <f t="shared" si="722"/>
        <v>0</v>
      </c>
      <c r="V1016" s="55"/>
      <c r="W1016" s="153"/>
      <c r="X1016" s="153"/>
      <c r="Y1016" s="168"/>
      <c r="Z1016" s="56">
        <f t="shared" si="723"/>
        <v>0</v>
      </c>
      <c r="AA1016" s="49">
        <f t="shared" si="724"/>
        <v>4</v>
      </c>
      <c r="AB1016" s="298">
        <v>45218</v>
      </c>
      <c r="AC1016" s="268" t="s">
        <v>554</v>
      </c>
      <c r="AD1016" s="63">
        <v>3</v>
      </c>
      <c r="AE1016" s="63">
        <v>2</v>
      </c>
      <c r="AF1016" s="63">
        <v>2</v>
      </c>
      <c r="AG1016" s="167">
        <v>2</v>
      </c>
      <c r="AH1016" s="56">
        <f t="shared" si="725"/>
        <v>9</v>
      </c>
      <c r="AI1016" s="63">
        <v>4</v>
      </c>
      <c r="AJ1016" s="63">
        <v>3</v>
      </c>
      <c r="AK1016" s="63">
        <v>3</v>
      </c>
      <c r="AL1016" s="167">
        <v>1</v>
      </c>
      <c r="AM1016" s="56">
        <f t="shared" si="726"/>
        <v>11</v>
      </c>
      <c r="AN1016" s="63">
        <v>2</v>
      </c>
      <c r="AO1016" s="63">
        <v>1</v>
      </c>
      <c r="AP1016" s="63">
        <v>1</v>
      </c>
      <c r="AQ1016" s="167">
        <v>2</v>
      </c>
      <c r="AR1016" s="56">
        <f t="shared" si="727"/>
        <v>6</v>
      </c>
      <c r="AS1016" s="62"/>
      <c r="AT1016" s="63">
        <v>3</v>
      </c>
      <c r="AU1016" s="63">
        <v>3</v>
      </c>
      <c r="AV1016" s="167">
        <v>2</v>
      </c>
      <c r="AW1016" s="56">
        <f t="shared" ref="AW1016:AW1017" si="733">SUM(AS1016:AV1016)</f>
        <v>8</v>
      </c>
      <c r="AX1016" s="63"/>
      <c r="AY1016" s="63"/>
      <c r="AZ1016" s="63"/>
      <c r="BA1016" s="167"/>
      <c r="BB1016" s="49">
        <f t="shared" si="728"/>
        <v>0</v>
      </c>
      <c r="BC1016" s="49">
        <f>AH1016+AM1016+AR1016+AW1016+BB1016</f>
        <v>34</v>
      </c>
      <c r="BD1016" s="298">
        <v>45247</v>
      </c>
      <c r="BE1016" s="268" t="s">
        <v>28</v>
      </c>
      <c r="BF1016" s="63"/>
      <c r="BG1016" s="63"/>
      <c r="BH1016" s="63"/>
      <c r="BI1016" s="167"/>
      <c r="BJ1016" s="64">
        <v>0</v>
      </c>
      <c r="BL1016" s="268" t="s">
        <v>28</v>
      </c>
      <c r="BM1016" s="63"/>
      <c r="BN1016" s="63"/>
      <c r="BO1016" s="63"/>
      <c r="BP1016" s="167"/>
      <c r="BQ1016" s="64">
        <v>0</v>
      </c>
    </row>
    <row r="1017" spans="1:70" x14ac:dyDescent="0.15">
      <c r="A1017" s="53" t="s">
        <v>109</v>
      </c>
      <c r="B1017" s="55"/>
      <c r="C1017" s="153"/>
      <c r="D1017" s="153"/>
      <c r="E1017" s="168"/>
      <c r="F1017" s="56">
        <f t="shared" si="719"/>
        <v>0</v>
      </c>
      <c r="G1017" s="55">
        <v>1</v>
      </c>
      <c r="H1017" s="153"/>
      <c r="I1017" s="153"/>
      <c r="J1017" s="168"/>
      <c r="K1017" s="56">
        <f t="shared" si="720"/>
        <v>1</v>
      </c>
      <c r="L1017" s="55"/>
      <c r="M1017" s="153"/>
      <c r="N1017" s="153"/>
      <c r="O1017" s="168"/>
      <c r="P1017" s="56">
        <f t="shared" si="721"/>
        <v>0</v>
      </c>
      <c r="Q1017" s="54"/>
      <c r="R1017" s="153"/>
      <c r="S1017" s="153"/>
      <c r="T1017" s="168"/>
      <c r="U1017" s="56">
        <f t="shared" si="722"/>
        <v>0</v>
      </c>
      <c r="V1017" s="55"/>
      <c r="W1017" s="153"/>
      <c r="X1017" s="153"/>
      <c r="Y1017" s="168"/>
      <c r="Z1017" s="56">
        <f t="shared" si="723"/>
        <v>0</v>
      </c>
      <c r="AA1017" s="49">
        <f t="shared" si="724"/>
        <v>1</v>
      </c>
      <c r="AB1017" s="299">
        <v>45218</v>
      </c>
      <c r="AC1017" s="268" t="s">
        <v>554</v>
      </c>
      <c r="AD1017" s="55">
        <v>2</v>
      </c>
      <c r="AE1017" s="153">
        <v>3</v>
      </c>
      <c r="AF1017" s="153">
        <v>3</v>
      </c>
      <c r="AG1017" s="168">
        <v>1</v>
      </c>
      <c r="AH1017" s="56">
        <f t="shared" si="725"/>
        <v>9</v>
      </c>
      <c r="AI1017" s="55">
        <v>6</v>
      </c>
      <c r="AJ1017" s="153">
        <v>2</v>
      </c>
      <c r="AK1017" s="153">
        <v>4</v>
      </c>
      <c r="AL1017" s="168">
        <v>2</v>
      </c>
      <c r="AM1017" s="56">
        <f t="shared" si="726"/>
        <v>14</v>
      </c>
      <c r="AN1017" s="55"/>
      <c r="AO1017" s="153">
        <v>2</v>
      </c>
      <c r="AP1017" s="153">
        <v>5</v>
      </c>
      <c r="AQ1017" s="168">
        <v>2</v>
      </c>
      <c r="AR1017" s="56">
        <f t="shared" si="727"/>
        <v>9</v>
      </c>
      <c r="AS1017" s="54">
        <v>1</v>
      </c>
      <c r="AT1017" s="153">
        <v>1</v>
      </c>
      <c r="AU1017" s="153">
        <v>3</v>
      </c>
      <c r="AV1017" s="168"/>
      <c r="AW1017" s="56">
        <f t="shared" si="733"/>
        <v>5</v>
      </c>
      <c r="AX1017" s="55"/>
      <c r="AY1017" s="153"/>
      <c r="AZ1017" s="153"/>
      <c r="BA1017" s="168"/>
      <c r="BB1017" s="49">
        <f t="shared" si="728"/>
        <v>0</v>
      </c>
      <c r="BC1017" s="49">
        <f t="shared" ref="BC1017:BC1019" si="734">AH1017+AM1017+AR1017+AW1017+BB1017</f>
        <v>37</v>
      </c>
      <c r="BD1017" s="298">
        <v>45247</v>
      </c>
      <c r="BE1017" s="268" t="s">
        <v>28</v>
      </c>
      <c r="BF1017" s="55"/>
      <c r="BG1017" s="153"/>
      <c r="BH1017" s="153"/>
      <c r="BI1017" s="168"/>
      <c r="BJ1017" s="56">
        <f t="shared" ref="BJ1017:BJ1048" si="735">SUM(BF1017:BI1017)</f>
        <v>0</v>
      </c>
      <c r="BL1017" s="268" t="s">
        <v>28</v>
      </c>
      <c r="BM1017" s="55"/>
      <c r="BN1017" s="153"/>
      <c r="BO1017" s="153"/>
      <c r="BP1017" s="168"/>
      <c r="BQ1017" s="56">
        <f t="shared" ref="BQ1017:BQ1048" si="736">SUM(BM1017:BP1017)</f>
        <v>0</v>
      </c>
    </row>
    <row r="1018" spans="1:70" x14ac:dyDescent="0.15">
      <c r="A1018" s="53" t="s">
        <v>111</v>
      </c>
      <c r="B1018" s="55"/>
      <c r="C1018" s="153"/>
      <c r="D1018" s="153"/>
      <c r="E1018" s="168"/>
      <c r="F1018" s="56">
        <f t="shared" si="719"/>
        <v>0</v>
      </c>
      <c r="G1018" s="55"/>
      <c r="H1018" s="153"/>
      <c r="I1018" s="153"/>
      <c r="J1018" s="168"/>
      <c r="K1018" s="56">
        <f t="shared" si="720"/>
        <v>0</v>
      </c>
      <c r="L1018" s="55"/>
      <c r="M1018" s="153"/>
      <c r="N1018" s="153"/>
      <c r="O1018" s="168"/>
      <c r="P1018" s="56">
        <f t="shared" si="721"/>
        <v>0</v>
      </c>
      <c r="Q1018" s="54"/>
      <c r="R1018" s="153"/>
      <c r="S1018" s="153">
        <v>2</v>
      </c>
      <c r="T1018" s="168">
        <v>2</v>
      </c>
      <c r="U1018" s="56">
        <f t="shared" si="722"/>
        <v>4</v>
      </c>
      <c r="V1018" s="55"/>
      <c r="W1018" s="153"/>
      <c r="X1018" s="153"/>
      <c r="Y1018" s="168"/>
      <c r="Z1018" s="56">
        <f t="shared" si="723"/>
        <v>0</v>
      </c>
      <c r="AA1018" s="49">
        <f t="shared" si="724"/>
        <v>4</v>
      </c>
      <c r="AB1018" s="298">
        <v>45240</v>
      </c>
      <c r="AC1018" s="53" t="s">
        <v>109</v>
      </c>
      <c r="AD1018" s="55">
        <f>36+16</f>
        <v>52</v>
      </c>
      <c r="AE1018" s="153">
        <f>40+12</f>
        <v>52</v>
      </c>
      <c r="AF1018" s="153">
        <f>25+9</f>
        <v>34</v>
      </c>
      <c r="AG1018" s="168">
        <f>20+5</f>
        <v>25</v>
      </c>
      <c r="AH1018" s="56">
        <f t="shared" si="725"/>
        <v>163</v>
      </c>
      <c r="AI1018" s="55"/>
      <c r="AJ1018" s="153"/>
      <c r="AK1018" s="153"/>
      <c r="AL1018" s="168"/>
      <c r="AM1018" s="56">
        <f t="shared" si="726"/>
        <v>0</v>
      </c>
      <c r="AN1018" s="55"/>
      <c r="AO1018" s="153"/>
      <c r="AP1018" s="153"/>
      <c r="AQ1018" s="168"/>
      <c r="AR1018" s="56">
        <f t="shared" ref="AR1018:AR1048" si="737">SUM(AN1018:AQ1018)</f>
        <v>0</v>
      </c>
      <c r="AS1018" s="54"/>
      <c r="AT1018" s="153"/>
      <c r="AU1018" s="153"/>
      <c r="AV1018" s="168"/>
      <c r="AW1018" s="56">
        <f t="shared" ref="AW1018:AW1048" si="738">SUM(AS1018:AV1018)</f>
        <v>0</v>
      </c>
      <c r="AX1018" s="55"/>
      <c r="AY1018" s="153"/>
      <c r="AZ1018" s="153"/>
      <c r="BA1018" s="168"/>
      <c r="BB1018" s="49">
        <f t="shared" si="728"/>
        <v>0</v>
      </c>
      <c r="BC1018" s="49">
        <f t="shared" si="734"/>
        <v>163</v>
      </c>
      <c r="BD1018" s="299">
        <v>45257</v>
      </c>
      <c r="BE1018" s="268" t="s">
        <v>28</v>
      </c>
      <c r="BF1018" s="55"/>
      <c r="BG1018" s="153"/>
      <c r="BH1018" s="153"/>
      <c r="BI1018" s="168"/>
      <c r="BJ1018" s="56">
        <f t="shared" si="735"/>
        <v>0</v>
      </c>
      <c r="BL1018" s="268" t="s">
        <v>28</v>
      </c>
      <c r="BM1018" s="55"/>
      <c r="BN1018" s="153"/>
      <c r="BO1018" s="153"/>
      <c r="BP1018" s="168"/>
      <c r="BQ1018" s="56">
        <f t="shared" si="736"/>
        <v>0</v>
      </c>
    </row>
    <row r="1019" spans="1:70" ht="14.25" thickBot="1" x14ac:dyDescent="0.2">
      <c r="A1019" s="53" t="s">
        <v>547</v>
      </c>
      <c r="B1019" s="55">
        <v>-1</v>
      </c>
      <c r="C1019" s="153">
        <v>-1</v>
      </c>
      <c r="D1019" s="153"/>
      <c r="E1019" s="168"/>
      <c r="F1019" s="56">
        <f t="shared" si="719"/>
        <v>-2</v>
      </c>
      <c r="G1019" s="55">
        <v>1</v>
      </c>
      <c r="H1019" s="153">
        <v>1</v>
      </c>
      <c r="I1019" s="153">
        <v>1</v>
      </c>
      <c r="J1019" s="168"/>
      <c r="K1019" s="56">
        <f t="shared" si="720"/>
        <v>3</v>
      </c>
      <c r="L1019" s="55"/>
      <c r="M1019" s="153"/>
      <c r="N1019" s="153"/>
      <c r="O1019" s="168"/>
      <c r="P1019" s="56">
        <f t="shared" si="721"/>
        <v>0</v>
      </c>
      <c r="Q1019" s="54"/>
      <c r="R1019" s="153"/>
      <c r="S1019" s="153"/>
      <c r="T1019" s="168"/>
      <c r="U1019" s="56">
        <f t="shared" si="722"/>
        <v>0</v>
      </c>
      <c r="V1019" s="55"/>
      <c r="W1019" s="153">
        <v>1</v>
      </c>
      <c r="X1019" s="153"/>
      <c r="Y1019" s="168">
        <v>1</v>
      </c>
      <c r="Z1019" s="56">
        <f t="shared" si="723"/>
        <v>2</v>
      </c>
      <c r="AA1019" s="49">
        <f t="shared" si="724"/>
        <v>3</v>
      </c>
      <c r="AB1019" s="299">
        <v>45231</v>
      </c>
      <c r="AC1019" s="268" t="s">
        <v>21</v>
      </c>
      <c r="AD1019" s="63">
        <v>1</v>
      </c>
      <c r="AE1019" s="164">
        <v>1</v>
      </c>
      <c r="AF1019" s="164">
        <v>1</v>
      </c>
      <c r="AG1019" s="169"/>
      <c r="AH1019" s="170">
        <f t="shared" si="725"/>
        <v>3</v>
      </c>
      <c r="AI1019" s="63"/>
      <c r="AJ1019" s="164"/>
      <c r="AK1019" s="164">
        <v>2</v>
      </c>
      <c r="AL1019" s="169"/>
      <c r="AM1019" s="170">
        <f t="shared" ref="AM1019" si="739">SUM(AI1019:AL1019)</f>
        <v>2</v>
      </c>
      <c r="AN1019" s="63"/>
      <c r="AO1019" s="164"/>
      <c r="AP1019" s="164"/>
      <c r="AQ1019" s="169"/>
      <c r="AR1019" s="170">
        <f t="shared" ref="AR1019" si="740">SUM(AN1019:AQ1019)</f>
        <v>0</v>
      </c>
      <c r="AS1019" s="62"/>
      <c r="AT1019" s="164"/>
      <c r="AU1019" s="164"/>
      <c r="AV1019" s="169"/>
      <c r="AW1019" s="170">
        <f t="shared" ref="AW1019" si="741">SUM(AS1019:AV1019)</f>
        <v>0</v>
      </c>
      <c r="AX1019" s="63"/>
      <c r="AY1019" s="164"/>
      <c r="AZ1019" s="164"/>
      <c r="BA1019" s="169"/>
      <c r="BB1019" s="170">
        <f t="shared" si="728"/>
        <v>0</v>
      </c>
      <c r="BC1019" s="49">
        <f t="shared" si="734"/>
        <v>5</v>
      </c>
      <c r="BD1019" s="299">
        <v>45276</v>
      </c>
      <c r="BE1019" s="274" t="s">
        <v>28</v>
      </c>
      <c r="BF1019" s="63"/>
      <c r="BG1019" s="164"/>
      <c r="BH1019" s="164"/>
      <c r="BI1019" s="169"/>
      <c r="BJ1019" s="170">
        <f t="shared" si="735"/>
        <v>0</v>
      </c>
      <c r="BL1019" s="274" t="s">
        <v>28</v>
      </c>
      <c r="BM1019" s="63"/>
      <c r="BN1019" s="164"/>
      <c r="BO1019" s="164"/>
      <c r="BP1019" s="169"/>
      <c r="BQ1019" s="170">
        <f t="shared" si="736"/>
        <v>0</v>
      </c>
    </row>
    <row r="1020" spans="1:70" ht="15" thickBot="1" x14ac:dyDescent="0.2">
      <c r="A1020" s="181" t="s">
        <v>14</v>
      </c>
      <c r="B1020" s="182">
        <f>SUM(B1012:B1019)</f>
        <v>8</v>
      </c>
      <c r="C1020" s="183">
        <f>SUM(C1012:C1019)</f>
        <v>7</v>
      </c>
      <c r="D1020" s="183">
        <f>SUM(D1012:D1019)</f>
        <v>5</v>
      </c>
      <c r="E1020" s="184">
        <f>SUM(E1012:E1019)</f>
        <v>5</v>
      </c>
      <c r="F1020" s="77">
        <f t="shared" ref="F1020:F1043" si="742">SUM(B1020:E1020)</f>
        <v>25</v>
      </c>
      <c r="G1020" s="182">
        <f>SUM(G1012:G1019)</f>
        <v>8</v>
      </c>
      <c r="H1020" s="183">
        <f>SUM(H1012:H1019)</f>
        <v>6</v>
      </c>
      <c r="I1020" s="183">
        <f>SUM(I1012:I1019)</f>
        <v>18</v>
      </c>
      <c r="J1020" s="184">
        <f>SUM(J1012:J1019)</f>
        <v>11</v>
      </c>
      <c r="K1020" s="77">
        <f t="shared" ref="K1020:K1048" si="743">SUM(G1020:J1020)</f>
        <v>43</v>
      </c>
      <c r="L1020" s="182">
        <f>SUM(L1012:L1019)</f>
        <v>4</v>
      </c>
      <c r="M1020" s="183">
        <f>SUM(M1012:M1019)</f>
        <v>3</v>
      </c>
      <c r="N1020" s="183">
        <f>SUM(N1012:N1019)</f>
        <v>4</v>
      </c>
      <c r="O1020" s="184">
        <f>SUM(O1012:O1019)</f>
        <v>3</v>
      </c>
      <c r="P1020" s="77">
        <f t="shared" ref="P1020:P1048" si="744">SUM(L1020:O1020)</f>
        <v>14</v>
      </c>
      <c r="Q1020" s="182">
        <f>SUM(Q1012:Q1019)</f>
        <v>6</v>
      </c>
      <c r="R1020" s="183">
        <f>SUM(R1012:R1019)</f>
        <v>5</v>
      </c>
      <c r="S1020" s="183">
        <f>SUM(S1012:S1019)</f>
        <v>9</v>
      </c>
      <c r="T1020" s="184">
        <f>SUM(T1012:T1019)</f>
        <v>7</v>
      </c>
      <c r="U1020" s="77">
        <f t="shared" ref="U1020:U1048" si="745">SUM(Q1020:T1020)</f>
        <v>27</v>
      </c>
      <c r="V1020" s="293">
        <f>SUM(V1012:V1019)</f>
        <v>6</v>
      </c>
      <c r="W1020" s="183">
        <f>SUM(W1012:W1019)</f>
        <v>6</v>
      </c>
      <c r="X1020" s="183">
        <f>SUM(X1012:X1019)</f>
        <v>5</v>
      </c>
      <c r="Y1020" s="184">
        <f>SUM(Y1012:Y1019)</f>
        <v>5</v>
      </c>
      <c r="Z1020" s="77">
        <f t="shared" ref="Z1020:Z1043" si="746">SUM(V1020:Y1020)</f>
        <v>22</v>
      </c>
      <c r="AA1020" s="77">
        <f>F1020+K1020+P1020+U1020+Z1020</f>
        <v>131</v>
      </c>
      <c r="AC1020" s="275" t="s">
        <v>14</v>
      </c>
      <c r="AD1020" s="182">
        <f>SUM(AD1012:AD1019)</f>
        <v>92</v>
      </c>
      <c r="AE1020" s="183">
        <f>SUM(AE1012:AE1019)</f>
        <v>90</v>
      </c>
      <c r="AF1020" s="183">
        <f>SUM(AF1012:AF1019)</f>
        <v>144</v>
      </c>
      <c r="AG1020" s="184">
        <f>SUM(AG1012:AG1019)</f>
        <v>70</v>
      </c>
      <c r="AH1020" s="77">
        <f t="shared" si="725"/>
        <v>396</v>
      </c>
      <c r="AI1020" s="182">
        <f>SUM(AI1012:AI1019)</f>
        <v>95</v>
      </c>
      <c r="AJ1020" s="183">
        <f>SUM(AJ1012:AJ1019)</f>
        <v>174</v>
      </c>
      <c r="AK1020" s="183">
        <f>SUM(AK1012:AK1019)</f>
        <v>66</v>
      </c>
      <c r="AL1020" s="184">
        <f>SUM(AL1012:AL1019)</f>
        <v>58</v>
      </c>
      <c r="AM1020" s="77">
        <f t="shared" si="726"/>
        <v>393</v>
      </c>
      <c r="AN1020" s="182">
        <f>SUM(AN1012:AN1019)</f>
        <v>46</v>
      </c>
      <c r="AO1020" s="183">
        <f>SUM(AO1012:AO1019)</f>
        <v>65</v>
      </c>
      <c r="AP1020" s="183">
        <f>SUM(AP1012:AP1019)</f>
        <v>50</v>
      </c>
      <c r="AQ1020" s="184">
        <f>SUM(AQ1012:AQ1019)</f>
        <v>31</v>
      </c>
      <c r="AR1020" s="77">
        <f t="shared" si="737"/>
        <v>192</v>
      </c>
      <c r="AS1020" s="182">
        <f>SUM(AS1012:AS1019)</f>
        <v>122</v>
      </c>
      <c r="AT1020" s="183">
        <f>SUM(AT1012:AT1019)</f>
        <v>199</v>
      </c>
      <c r="AU1020" s="183">
        <f>SUM(AU1012:AU1019)</f>
        <v>78</v>
      </c>
      <c r="AV1020" s="184">
        <f>SUM(AV1012:AV1019)</f>
        <v>68</v>
      </c>
      <c r="AW1020" s="77">
        <f t="shared" si="738"/>
        <v>467</v>
      </c>
      <c r="AX1020" s="293">
        <f>SUM(AX1012:AX1019)</f>
        <v>112</v>
      </c>
      <c r="AY1020" s="183">
        <f>SUM(AY1012:AY1019)</f>
        <v>104</v>
      </c>
      <c r="AZ1020" s="183">
        <f>SUM(AZ1012:AZ1019)</f>
        <v>56</v>
      </c>
      <c r="BA1020" s="184">
        <f>SUM(BA1012:BA1019)</f>
        <v>48</v>
      </c>
      <c r="BB1020" s="77">
        <f t="shared" ref="BB1020:BB1047" si="747">SUM(AX1020:BA1020)</f>
        <v>320</v>
      </c>
      <c r="BC1020" s="77">
        <f>AH1020+AM1020+AR1020+AW1020+BB1020</f>
        <v>1768</v>
      </c>
      <c r="BE1020" s="275" t="s">
        <v>14</v>
      </c>
      <c r="BF1020" s="182">
        <f>SUM(BF1012:BF1019)</f>
        <v>0</v>
      </c>
      <c r="BG1020" s="183">
        <f>SUM(BG1012:BG1019)</f>
        <v>0</v>
      </c>
      <c r="BH1020" s="183">
        <f>SUM(BH1012:BH1019)</f>
        <v>6</v>
      </c>
      <c r="BI1020" s="184">
        <f>SUM(BI1012:BI1019)</f>
        <v>0</v>
      </c>
      <c r="BJ1020" s="77">
        <f t="shared" si="735"/>
        <v>6</v>
      </c>
      <c r="BL1020" s="275" t="s">
        <v>14</v>
      </c>
      <c r="BM1020" s="182">
        <f>SUM(BM1012:BM1019)</f>
        <v>0</v>
      </c>
      <c r="BN1020" s="183">
        <f>SUM(BN1012:BN1019)</f>
        <v>0</v>
      </c>
      <c r="BO1020" s="183">
        <f>SUM(BO1012:BO1019)</f>
        <v>23</v>
      </c>
      <c r="BP1020" s="184">
        <f>SUM(BP1012:BP1019)</f>
        <v>0</v>
      </c>
      <c r="BQ1020" s="77">
        <f t="shared" si="736"/>
        <v>23</v>
      </c>
    </row>
    <row r="1021" spans="1:70" x14ac:dyDescent="0.15">
      <c r="A1021" s="53" t="s">
        <v>98</v>
      </c>
      <c r="B1021" s="54"/>
      <c r="C1021" s="55"/>
      <c r="D1021" s="55"/>
      <c r="E1021" s="55"/>
      <c r="F1021" s="56">
        <f t="shared" si="742"/>
        <v>0</v>
      </c>
      <c r="G1021" s="54"/>
      <c r="H1021" s="55"/>
      <c r="I1021" s="55"/>
      <c r="J1021" s="55"/>
      <c r="K1021" s="56">
        <f t="shared" ref="K1021:K1043" si="748">SUM(G1021:J1021)</f>
        <v>0</v>
      </c>
      <c r="L1021" s="54"/>
      <c r="M1021" s="55"/>
      <c r="N1021" s="55"/>
      <c r="O1021" s="55"/>
      <c r="P1021" s="56">
        <f t="shared" ref="P1021:P1043" si="749">SUM(L1021:O1021)</f>
        <v>0</v>
      </c>
      <c r="Q1021" s="54">
        <v>1</v>
      </c>
      <c r="R1021" s="55"/>
      <c r="S1021" s="55"/>
      <c r="T1021" s="55"/>
      <c r="U1021" s="56">
        <f t="shared" ref="U1021:U1043" si="750">SUM(Q1021:T1021)</f>
        <v>1</v>
      </c>
      <c r="V1021" s="55"/>
      <c r="W1021" s="55"/>
      <c r="X1021" s="55"/>
      <c r="Y1021" s="55"/>
      <c r="Z1021" s="56">
        <f t="shared" si="746"/>
        <v>0</v>
      </c>
      <c r="AA1021" s="56">
        <f t="shared" ref="AA1021:AA1043" si="751">F1021+K1021+P1021+U1021+Z1021</f>
        <v>1</v>
      </c>
      <c r="AB1021" s="299">
        <v>45170</v>
      </c>
      <c r="AC1021" s="269" t="s">
        <v>551</v>
      </c>
      <c r="AD1021" s="54"/>
      <c r="AE1021" s="55"/>
      <c r="AF1021" s="55"/>
      <c r="AG1021" s="55"/>
      <c r="AH1021" s="56">
        <f t="shared" si="725"/>
        <v>0</v>
      </c>
      <c r="AI1021" s="54"/>
      <c r="AJ1021" s="55"/>
      <c r="AK1021" s="55"/>
      <c r="AL1021" s="55"/>
      <c r="AM1021" s="56">
        <f t="shared" si="726"/>
        <v>0</v>
      </c>
      <c r="AN1021" s="54"/>
      <c r="AO1021" s="55"/>
      <c r="AP1021" s="55"/>
      <c r="AQ1021" s="55"/>
      <c r="AR1021" s="56">
        <f t="shared" si="737"/>
        <v>0</v>
      </c>
      <c r="AS1021" s="54"/>
      <c r="AT1021" s="55"/>
      <c r="AU1021" s="55"/>
      <c r="AV1021" s="55"/>
      <c r="AW1021" s="56">
        <f t="shared" si="738"/>
        <v>0</v>
      </c>
      <c r="AX1021" s="55"/>
      <c r="AY1021" s="55">
        <v>2</v>
      </c>
      <c r="AZ1021" s="55"/>
      <c r="BA1021" s="55"/>
      <c r="BB1021" s="56">
        <f t="shared" si="747"/>
        <v>2</v>
      </c>
      <c r="BC1021" s="56">
        <f t="shared" ref="BC1021:BC1023" si="752">AH1021+AM1021+AR1021+AW1021+BB1021</f>
        <v>2</v>
      </c>
      <c r="BD1021" s="298">
        <v>45201</v>
      </c>
      <c r="BE1021" s="277" t="s">
        <v>553</v>
      </c>
      <c r="BF1021" s="54"/>
      <c r="BG1021" s="55"/>
      <c r="BH1021" s="55">
        <v>2</v>
      </c>
      <c r="BI1021" s="55"/>
      <c r="BJ1021" s="56">
        <f t="shared" si="735"/>
        <v>2</v>
      </c>
      <c r="BK1021" s="304">
        <v>45199</v>
      </c>
      <c r="BL1021" s="277" t="s">
        <v>565</v>
      </c>
      <c r="BM1021" s="54"/>
      <c r="BN1021" s="55"/>
      <c r="BO1021" s="55">
        <v>2</v>
      </c>
      <c r="BP1021" s="55"/>
      <c r="BQ1021" s="56">
        <f t="shared" si="736"/>
        <v>2</v>
      </c>
      <c r="BR1021" s="306">
        <v>45329</v>
      </c>
    </row>
    <row r="1022" spans="1:70" x14ac:dyDescent="0.15">
      <c r="A1022" s="53" t="s">
        <v>98</v>
      </c>
      <c r="B1022" s="54"/>
      <c r="C1022" s="55"/>
      <c r="D1022" s="55"/>
      <c r="E1022" s="55"/>
      <c r="F1022" s="56">
        <f t="shared" si="742"/>
        <v>0</v>
      </c>
      <c r="G1022" s="54"/>
      <c r="H1022" s="55"/>
      <c r="I1022" s="55"/>
      <c r="J1022" s="55"/>
      <c r="K1022" s="56">
        <f t="shared" ref="K1022" si="753">SUM(G1022:J1022)</f>
        <v>0</v>
      </c>
      <c r="L1022" s="54"/>
      <c r="M1022" s="55"/>
      <c r="N1022" s="55"/>
      <c r="O1022" s="55"/>
      <c r="P1022" s="56">
        <f t="shared" ref="P1022" si="754">SUM(L1022:O1022)</f>
        <v>0</v>
      </c>
      <c r="Q1022" s="54"/>
      <c r="R1022" s="55"/>
      <c r="S1022" s="55">
        <v>2</v>
      </c>
      <c r="T1022" s="55"/>
      <c r="U1022" s="56">
        <f t="shared" ref="U1022" si="755">SUM(Q1022:T1022)</f>
        <v>2</v>
      </c>
      <c r="V1022" s="55"/>
      <c r="W1022" s="55"/>
      <c r="X1022" s="55"/>
      <c r="Y1022" s="55"/>
      <c r="Z1022" s="56">
        <f t="shared" si="746"/>
        <v>0</v>
      </c>
      <c r="AA1022" s="56">
        <f t="shared" si="751"/>
        <v>2</v>
      </c>
      <c r="AB1022" s="299">
        <v>45174</v>
      </c>
      <c r="AC1022" s="276" t="s">
        <v>99</v>
      </c>
      <c r="AD1022" s="54"/>
      <c r="AE1022" s="55"/>
      <c r="AF1022" s="55"/>
      <c r="AG1022" s="55"/>
      <c r="AH1022" s="56">
        <f t="shared" si="725"/>
        <v>0</v>
      </c>
      <c r="AI1022" s="54"/>
      <c r="AJ1022" s="55"/>
      <c r="AK1022" s="55"/>
      <c r="AL1022" s="55"/>
      <c r="AM1022" s="56">
        <f t="shared" si="726"/>
        <v>0</v>
      </c>
      <c r="AN1022" s="54"/>
      <c r="AO1022" s="55"/>
      <c r="AP1022" s="55"/>
      <c r="AQ1022" s="55"/>
      <c r="AR1022" s="56">
        <f t="shared" si="737"/>
        <v>0</v>
      </c>
      <c r="AS1022" s="54"/>
      <c r="AT1022" s="55"/>
      <c r="AU1022" s="55">
        <v>2</v>
      </c>
      <c r="AV1022" s="55">
        <v>2</v>
      </c>
      <c r="AW1022" s="56">
        <f t="shared" si="738"/>
        <v>4</v>
      </c>
      <c r="AX1022" s="55"/>
      <c r="AY1022" s="55"/>
      <c r="AZ1022" s="55"/>
      <c r="BA1022" s="55"/>
      <c r="BB1022" s="56">
        <f t="shared" si="747"/>
        <v>0</v>
      </c>
      <c r="BC1022" s="56">
        <f t="shared" si="752"/>
        <v>4</v>
      </c>
      <c r="BD1022" s="298">
        <v>45240</v>
      </c>
      <c r="BE1022" s="277" t="s">
        <v>564</v>
      </c>
      <c r="BF1022" s="54"/>
      <c r="BG1022" s="55"/>
      <c r="BH1022" s="55">
        <v>1</v>
      </c>
      <c r="BI1022" s="55"/>
      <c r="BJ1022" s="56">
        <f t="shared" si="735"/>
        <v>1</v>
      </c>
      <c r="BK1022" s="304">
        <v>45328</v>
      </c>
      <c r="BL1022" s="277"/>
      <c r="BM1022" s="54"/>
      <c r="BN1022" s="55"/>
      <c r="BO1022" s="55"/>
      <c r="BP1022" s="55"/>
      <c r="BQ1022" s="56">
        <f t="shared" si="736"/>
        <v>0</v>
      </c>
      <c r="BR1022" s="191"/>
    </row>
    <row r="1023" spans="1:70" x14ac:dyDescent="0.15">
      <c r="A1023" s="53" t="s">
        <v>98</v>
      </c>
      <c r="B1023" s="54"/>
      <c r="C1023" s="55"/>
      <c r="D1023" s="55"/>
      <c r="E1023" s="55"/>
      <c r="F1023" s="56">
        <f t="shared" si="742"/>
        <v>0</v>
      </c>
      <c r="G1023" s="54"/>
      <c r="H1023" s="55"/>
      <c r="I1023" s="55"/>
      <c r="J1023" s="55"/>
      <c r="K1023" s="56">
        <f t="shared" si="748"/>
        <v>0</v>
      </c>
      <c r="L1023" s="54"/>
      <c r="M1023" s="55"/>
      <c r="N1023" s="55"/>
      <c r="O1023" s="55"/>
      <c r="P1023" s="56">
        <f t="shared" si="749"/>
        <v>0</v>
      </c>
      <c r="Q1023" s="54">
        <v>1</v>
      </c>
      <c r="R1023" s="55"/>
      <c r="S1023" s="55"/>
      <c r="T1023" s="55"/>
      <c r="U1023" s="56">
        <f t="shared" si="750"/>
        <v>1</v>
      </c>
      <c r="V1023" s="55"/>
      <c r="W1023" s="55"/>
      <c r="X1023" s="55"/>
      <c r="Y1023" s="55"/>
      <c r="Z1023" s="56">
        <f t="shared" si="746"/>
        <v>0</v>
      </c>
      <c r="AA1023" s="56">
        <f t="shared" si="751"/>
        <v>1</v>
      </c>
      <c r="AB1023" s="299">
        <v>45175</v>
      </c>
      <c r="AC1023" s="276" t="s">
        <v>99</v>
      </c>
      <c r="AD1023" s="54"/>
      <c r="AE1023" s="55"/>
      <c r="AF1023" s="55"/>
      <c r="AG1023" s="55"/>
      <c r="AH1023" s="56">
        <f t="shared" ref="AH1023" si="756">SUM(AD1023:AG1023)</f>
        <v>0</v>
      </c>
      <c r="AI1023" s="54"/>
      <c r="AJ1023" s="55">
        <v>2</v>
      </c>
      <c r="AK1023" s="55"/>
      <c r="AL1023" s="55"/>
      <c r="AM1023" s="56">
        <f t="shared" si="726"/>
        <v>2</v>
      </c>
      <c r="AN1023" s="54"/>
      <c r="AO1023" s="55"/>
      <c r="AP1023" s="55"/>
      <c r="AQ1023" s="55"/>
      <c r="AR1023" s="56">
        <f t="shared" si="737"/>
        <v>0</v>
      </c>
      <c r="AS1023" s="54"/>
      <c r="AT1023" s="55"/>
      <c r="AU1023" s="55"/>
      <c r="AV1023" s="55"/>
      <c r="AW1023" s="56">
        <f t="shared" si="738"/>
        <v>0</v>
      </c>
      <c r="AX1023" s="55"/>
      <c r="AY1023" s="55"/>
      <c r="AZ1023" s="55"/>
      <c r="BA1023" s="55"/>
      <c r="BB1023" s="56">
        <f t="shared" ref="BB1023" si="757">SUM(AX1023:BA1023)</f>
        <v>0</v>
      </c>
      <c r="BC1023" s="56">
        <f t="shared" si="752"/>
        <v>2</v>
      </c>
      <c r="BD1023" s="298">
        <v>45286</v>
      </c>
      <c r="BE1023" s="277"/>
      <c r="BF1023" s="54"/>
      <c r="BG1023" s="55"/>
      <c r="BH1023" s="55"/>
      <c r="BI1023" s="55"/>
      <c r="BJ1023" s="56">
        <f t="shared" si="735"/>
        <v>0</v>
      </c>
      <c r="BL1023" s="277"/>
      <c r="BM1023" s="54"/>
      <c r="BN1023" s="55"/>
      <c r="BO1023" s="55"/>
      <c r="BP1023" s="55"/>
      <c r="BQ1023" s="56">
        <f t="shared" si="736"/>
        <v>0</v>
      </c>
    </row>
    <row r="1024" spans="1:70" x14ac:dyDescent="0.15">
      <c r="A1024" s="53" t="s">
        <v>98</v>
      </c>
      <c r="B1024" s="54"/>
      <c r="C1024" s="55"/>
      <c r="D1024" s="55"/>
      <c r="E1024" s="55"/>
      <c r="F1024" s="56">
        <f t="shared" si="742"/>
        <v>0</v>
      </c>
      <c r="G1024" s="54"/>
      <c r="H1024" s="55"/>
      <c r="I1024" s="55"/>
      <c r="J1024" s="55"/>
      <c r="K1024" s="56">
        <f t="shared" si="748"/>
        <v>0</v>
      </c>
      <c r="L1024" s="54"/>
      <c r="M1024" s="55">
        <v>1</v>
      </c>
      <c r="N1024" s="55"/>
      <c r="O1024" s="55"/>
      <c r="P1024" s="56">
        <f t="shared" si="749"/>
        <v>1</v>
      </c>
      <c r="Q1024" s="54"/>
      <c r="R1024" s="55"/>
      <c r="S1024" s="55"/>
      <c r="T1024" s="55"/>
      <c r="U1024" s="56">
        <f t="shared" si="750"/>
        <v>0</v>
      </c>
      <c r="V1024" s="55"/>
      <c r="W1024" s="55"/>
      <c r="X1024" s="55"/>
      <c r="Y1024" s="55"/>
      <c r="Z1024" s="56">
        <f t="shared" si="746"/>
        <v>0</v>
      </c>
      <c r="AA1024" s="56">
        <f t="shared" si="751"/>
        <v>1</v>
      </c>
      <c r="AB1024" s="299">
        <v>45176</v>
      </c>
      <c r="AC1024" s="269" t="s">
        <v>560</v>
      </c>
      <c r="AD1024" s="54"/>
      <c r="AE1024" s="55"/>
      <c r="AF1024" s="55"/>
      <c r="AG1024" s="55">
        <v>1</v>
      </c>
      <c r="AH1024" s="56">
        <f t="shared" ref="AH1024:AH1039" si="758">SUM(AD1024:AG1024)</f>
        <v>1</v>
      </c>
      <c r="AI1024" s="54"/>
      <c r="AJ1024" s="55"/>
      <c r="AK1024" s="55"/>
      <c r="AL1024" s="55"/>
      <c r="AM1024" s="56">
        <f t="shared" ref="AM1024:AM1039" si="759">SUM(AI1024:AL1024)</f>
        <v>0</v>
      </c>
      <c r="AN1024" s="54"/>
      <c r="AO1024" s="55"/>
      <c r="AP1024" s="55"/>
      <c r="AQ1024" s="55"/>
      <c r="AR1024" s="56">
        <f t="shared" ref="AR1024:AR1039" si="760">SUM(AN1024:AQ1024)</f>
        <v>0</v>
      </c>
      <c r="AS1024" s="54"/>
      <c r="AT1024" s="55"/>
      <c r="AU1024" s="55"/>
      <c r="AV1024" s="55"/>
      <c r="AW1024" s="56">
        <f t="shared" ref="AW1024:AW1039" si="761">SUM(AS1024:AV1024)</f>
        <v>0</v>
      </c>
      <c r="AX1024" s="55"/>
      <c r="AY1024" s="55"/>
      <c r="AZ1024" s="55"/>
      <c r="BA1024" s="55"/>
      <c r="BB1024" s="56">
        <f t="shared" ref="BB1024:BB1039" si="762">SUM(AX1024:BA1024)</f>
        <v>0</v>
      </c>
      <c r="BC1024" s="56">
        <f t="shared" ref="BC1024:BC1039" si="763">AH1024+AM1024+AR1024+AW1024+BB1024</f>
        <v>1</v>
      </c>
      <c r="BD1024" s="298">
        <v>45316</v>
      </c>
      <c r="BE1024" s="277"/>
      <c r="BF1024" s="54"/>
      <c r="BG1024" s="55"/>
      <c r="BH1024" s="55"/>
      <c r="BI1024" s="55"/>
      <c r="BJ1024" s="56">
        <f t="shared" si="735"/>
        <v>0</v>
      </c>
      <c r="BL1024" s="277"/>
      <c r="BM1024" s="54"/>
      <c r="BN1024" s="55"/>
      <c r="BO1024" s="55"/>
      <c r="BP1024" s="55"/>
      <c r="BQ1024" s="56">
        <f t="shared" si="736"/>
        <v>0</v>
      </c>
    </row>
    <row r="1025" spans="1:69" x14ac:dyDescent="0.15">
      <c r="A1025" s="53" t="s">
        <v>98</v>
      </c>
      <c r="B1025" s="54"/>
      <c r="C1025" s="55"/>
      <c r="D1025" s="55"/>
      <c r="E1025" s="55"/>
      <c r="F1025" s="56">
        <f t="shared" si="742"/>
        <v>0</v>
      </c>
      <c r="G1025" s="54"/>
      <c r="H1025" s="55"/>
      <c r="I1025" s="55"/>
      <c r="J1025" s="55"/>
      <c r="K1025" s="56">
        <f t="shared" si="748"/>
        <v>0</v>
      </c>
      <c r="L1025" s="54"/>
      <c r="M1025" s="55"/>
      <c r="N1025" s="55"/>
      <c r="O1025" s="55"/>
      <c r="P1025" s="56">
        <f t="shared" si="749"/>
        <v>0</v>
      </c>
      <c r="Q1025" s="54"/>
      <c r="R1025" s="55"/>
      <c r="S1025" s="55"/>
      <c r="T1025" s="55">
        <v>1</v>
      </c>
      <c r="U1025" s="56">
        <f t="shared" si="750"/>
        <v>1</v>
      </c>
      <c r="V1025" s="55"/>
      <c r="W1025" s="55"/>
      <c r="X1025" s="55"/>
      <c r="Y1025" s="55"/>
      <c r="Z1025" s="56">
        <f t="shared" si="746"/>
        <v>0</v>
      </c>
      <c r="AA1025" s="56">
        <f t="shared" si="751"/>
        <v>1</v>
      </c>
      <c r="AB1025" s="299">
        <v>45177</v>
      </c>
      <c r="AC1025" s="276" t="s">
        <v>99</v>
      </c>
      <c r="AD1025" s="54"/>
      <c r="AE1025" s="55"/>
      <c r="AF1025" s="55"/>
      <c r="AG1025" s="55">
        <v>2</v>
      </c>
      <c r="AH1025" s="56">
        <f t="shared" si="758"/>
        <v>2</v>
      </c>
      <c r="AI1025" s="54"/>
      <c r="AJ1025" s="55"/>
      <c r="AK1025" s="55"/>
      <c r="AL1025" s="55"/>
      <c r="AM1025" s="56">
        <f t="shared" si="759"/>
        <v>0</v>
      </c>
      <c r="AN1025" s="54"/>
      <c r="AO1025" s="55"/>
      <c r="AP1025" s="55"/>
      <c r="AQ1025" s="55"/>
      <c r="AR1025" s="56">
        <f t="shared" si="760"/>
        <v>0</v>
      </c>
      <c r="AS1025" s="54"/>
      <c r="AT1025" s="55">
        <v>2</v>
      </c>
      <c r="AU1025" s="55"/>
      <c r="AV1025" s="55"/>
      <c r="AW1025" s="56">
        <f t="shared" si="761"/>
        <v>2</v>
      </c>
      <c r="AX1025" s="55"/>
      <c r="AY1025" s="55"/>
      <c r="AZ1025" s="55">
        <v>2</v>
      </c>
      <c r="BA1025" s="55">
        <v>2</v>
      </c>
      <c r="BB1025" s="56">
        <f t="shared" si="762"/>
        <v>4</v>
      </c>
      <c r="BC1025" s="56">
        <f t="shared" si="763"/>
        <v>8</v>
      </c>
      <c r="BD1025" s="298">
        <v>45320</v>
      </c>
      <c r="BE1025" s="277"/>
      <c r="BF1025" s="54"/>
      <c r="BG1025" s="55"/>
      <c r="BH1025" s="55"/>
      <c r="BI1025" s="55"/>
      <c r="BJ1025" s="56">
        <f t="shared" si="735"/>
        <v>0</v>
      </c>
      <c r="BL1025" s="277"/>
      <c r="BM1025" s="54"/>
      <c r="BN1025" s="55"/>
      <c r="BO1025" s="55"/>
      <c r="BP1025" s="55"/>
      <c r="BQ1025" s="56">
        <f t="shared" si="736"/>
        <v>0</v>
      </c>
    </row>
    <row r="1026" spans="1:69" x14ac:dyDescent="0.15">
      <c r="A1026" s="53" t="s">
        <v>98</v>
      </c>
      <c r="B1026" s="54"/>
      <c r="C1026" s="55"/>
      <c r="D1026" s="55"/>
      <c r="E1026" s="55"/>
      <c r="F1026" s="56">
        <f t="shared" si="742"/>
        <v>0</v>
      </c>
      <c r="G1026" s="54">
        <v>1</v>
      </c>
      <c r="H1026" s="55"/>
      <c r="I1026" s="55"/>
      <c r="J1026" s="55">
        <v>1</v>
      </c>
      <c r="K1026" s="56">
        <f t="shared" si="748"/>
        <v>2</v>
      </c>
      <c r="L1026" s="54"/>
      <c r="M1026" s="55"/>
      <c r="N1026" s="55"/>
      <c r="O1026" s="55"/>
      <c r="P1026" s="56">
        <f t="shared" si="749"/>
        <v>0</v>
      </c>
      <c r="Q1026" s="54"/>
      <c r="R1026" s="55">
        <v>1</v>
      </c>
      <c r="S1026" s="55"/>
      <c r="T1026" s="55"/>
      <c r="U1026" s="56">
        <f t="shared" si="750"/>
        <v>1</v>
      </c>
      <c r="V1026" s="55"/>
      <c r="W1026" s="55"/>
      <c r="X1026" s="55"/>
      <c r="Y1026" s="55"/>
      <c r="Z1026" s="56">
        <f t="shared" si="746"/>
        <v>0</v>
      </c>
      <c r="AA1026" s="56">
        <f t="shared" si="751"/>
        <v>3</v>
      </c>
      <c r="AB1026" s="299">
        <v>45180</v>
      </c>
      <c r="AC1026" s="276" t="s">
        <v>99</v>
      </c>
      <c r="AD1026" s="54"/>
      <c r="AE1026" s="55"/>
      <c r="AF1026" s="55"/>
      <c r="AG1026" s="55"/>
      <c r="AH1026" s="56">
        <f t="shared" si="758"/>
        <v>0</v>
      </c>
      <c r="AI1026" s="54"/>
      <c r="AJ1026" s="55"/>
      <c r="AK1026" s="55"/>
      <c r="AL1026" s="55"/>
      <c r="AM1026" s="56">
        <f t="shared" si="759"/>
        <v>0</v>
      </c>
      <c r="AN1026" s="54"/>
      <c r="AO1026" s="55"/>
      <c r="AP1026" s="55"/>
      <c r="AQ1026" s="55"/>
      <c r="AR1026" s="56">
        <f t="shared" si="760"/>
        <v>0</v>
      </c>
      <c r="AS1026" s="54"/>
      <c r="AT1026" s="55"/>
      <c r="AU1026" s="55"/>
      <c r="AV1026" s="55">
        <v>3</v>
      </c>
      <c r="AW1026" s="56">
        <f t="shared" si="761"/>
        <v>3</v>
      </c>
      <c r="AX1026" s="55"/>
      <c r="AY1026" s="55"/>
      <c r="AZ1026" s="55"/>
      <c r="BA1026" s="55">
        <v>3</v>
      </c>
      <c r="BB1026" s="56">
        <f t="shared" si="762"/>
        <v>3</v>
      </c>
      <c r="BC1026" s="56">
        <f t="shared" si="763"/>
        <v>6</v>
      </c>
      <c r="BD1026" s="298">
        <v>45329</v>
      </c>
      <c r="BE1026" s="277"/>
      <c r="BF1026" s="54"/>
      <c r="BG1026" s="55"/>
      <c r="BH1026" s="55"/>
      <c r="BI1026" s="55"/>
      <c r="BJ1026" s="56">
        <f t="shared" si="735"/>
        <v>0</v>
      </c>
      <c r="BL1026" s="277"/>
      <c r="BM1026" s="54"/>
      <c r="BN1026" s="55"/>
      <c r="BO1026" s="55"/>
      <c r="BP1026" s="55"/>
      <c r="BQ1026" s="56">
        <f t="shared" si="736"/>
        <v>0</v>
      </c>
    </row>
    <row r="1027" spans="1:69" x14ac:dyDescent="0.15">
      <c r="A1027" s="53" t="s">
        <v>98</v>
      </c>
      <c r="B1027" s="54"/>
      <c r="C1027" s="55"/>
      <c r="D1027" s="55"/>
      <c r="E1027" s="55"/>
      <c r="F1027" s="56">
        <f t="shared" si="742"/>
        <v>0</v>
      </c>
      <c r="G1027" s="54"/>
      <c r="H1027" s="55">
        <v>1</v>
      </c>
      <c r="I1027" s="55"/>
      <c r="J1027" s="55"/>
      <c r="K1027" s="56">
        <f t="shared" si="748"/>
        <v>1</v>
      </c>
      <c r="L1027" s="54"/>
      <c r="M1027" s="55"/>
      <c r="N1027" s="55"/>
      <c r="O1027" s="55"/>
      <c r="P1027" s="56">
        <f t="shared" si="749"/>
        <v>0</v>
      </c>
      <c r="Q1027" s="54"/>
      <c r="R1027" s="55"/>
      <c r="S1027" s="55"/>
      <c r="T1027" s="55"/>
      <c r="U1027" s="56">
        <f t="shared" si="750"/>
        <v>0</v>
      </c>
      <c r="V1027" s="55"/>
      <c r="W1027" s="55"/>
      <c r="X1027" s="55"/>
      <c r="Y1027" s="55"/>
      <c r="Z1027" s="56">
        <f t="shared" si="746"/>
        <v>0</v>
      </c>
      <c r="AA1027" s="56">
        <f t="shared" si="751"/>
        <v>1</v>
      </c>
      <c r="AB1027" s="299">
        <v>45181</v>
      </c>
      <c r="AC1027" s="276" t="s">
        <v>568</v>
      </c>
      <c r="AD1027" s="54"/>
      <c r="AE1027" s="55"/>
      <c r="AF1027" s="55"/>
      <c r="AG1027" s="55"/>
      <c r="AH1027" s="56">
        <f t="shared" si="758"/>
        <v>0</v>
      </c>
      <c r="AI1027" s="54">
        <v>2</v>
      </c>
      <c r="AJ1027" s="55">
        <v>2</v>
      </c>
      <c r="AK1027" s="55"/>
      <c r="AL1027" s="55"/>
      <c r="AM1027" s="56">
        <f t="shared" si="759"/>
        <v>4</v>
      </c>
      <c r="AN1027" s="54"/>
      <c r="AO1027" s="55"/>
      <c r="AP1027" s="55"/>
      <c r="AQ1027" s="55"/>
      <c r="AR1027" s="56">
        <f t="shared" si="760"/>
        <v>0</v>
      </c>
      <c r="AS1027" s="54"/>
      <c r="AT1027" s="55"/>
      <c r="AU1027" s="55"/>
      <c r="AV1027" s="55"/>
      <c r="AW1027" s="56">
        <f t="shared" si="761"/>
        <v>0</v>
      </c>
      <c r="AX1027" s="55"/>
      <c r="AY1027" s="55"/>
      <c r="AZ1027" s="55"/>
      <c r="BA1027" s="55"/>
      <c r="BB1027" s="56">
        <f t="shared" si="762"/>
        <v>0</v>
      </c>
      <c r="BC1027" s="56">
        <f t="shared" si="763"/>
        <v>4</v>
      </c>
      <c r="BD1027" s="299">
        <v>45344</v>
      </c>
      <c r="BE1027" s="277"/>
      <c r="BF1027" s="54"/>
      <c r="BG1027" s="55"/>
      <c r="BH1027" s="55"/>
      <c r="BI1027" s="55"/>
      <c r="BJ1027" s="56">
        <f t="shared" si="735"/>
        <v>0</v>
      </c>
      <c r="BL1027" s="277"/>
      <c r="BM1027" s="54"/>
      <c r="BN1027" s="55"/>
      <c r="BO1027" s="55"/>
      <c r="BP1027" s="55"/>
      <c r="BQ1027" s="56">
        <f t="shared" si="736"/>
        <v>0</v>
      </c>
    </row>
    <row r="1028" spans="1:69" x14ac:dyDescent="0.15">
      <c r="A1028" s="53" t="s">
        <v>98</v>
      </c>
      <c r="B1028" s="54"/>
      <c r="C1028" s="55">
        <v>1</v>
      </c>
      <c r="D1028" s="55"/>
      <c r="E1028" s="55"/>
      <c r="F1028" s="56">
        <f t="shared" si="742"/>
        <v>1</v>
      </c>
      <c r="G1028" s="54"/>
      <c r="H1028" s="55"/>
      <c r="I1028" s="55"/>
      <c r="J1028" s="55">
        <v>1</v>
      </c>
      <c r="K1028" s="56">
        <f t="shared" si="748"/>
        <v>1</v>
      </c>
      <c r="L1028" s="54"/>
      <c r="M1028" s="55"/>
      <c r="N1028" s="55"/>
      <c r="O1028" s="55"/>
      <c r="P1028" s="56">
        <f t="shared" si="749"/>
        <v>0</v>
      </c>
      <c r="Q1028" s="54"/>
      <c r="R1028" s="55">
        <v>1</v>
      </c>
      <c r="S1028" s="55"/>
      <c r="T1028" s="55"/>
      <c r="U1028" s="56">
        <f t="shared" si="750"/>
        <v>1</v>
      </c>
      <c r="V1028" s="55"/>
      <c r="W1028" s="55"/>
      <c r="X1028" s="55"/>
      <c r="Y1028" s="55"/>
      <c r="Z1028" s="56">
        <f t="shared" si="746"/>
        <v>0</v>
      </c>
      <c r="AA1028" s="56">
        <f t="shared" si="751"/>
        <v>3</v>
      </c>
      <c r="AB1028" s="299">
        <v>45183</v>
      </c>
      <c r="AC1028" s="276"/>
      <c r="AD1028" s="54"/>
      <c r="AE1028" s="55"/>
      <c r="AF1028" s="55"/>
      <c r="AG1028" s="55"/>
      <c r="AH1028" s="56">
        <f t="shared" si="758"/>
        <v>0</v>
      </c>
      <c r="AI1028" s="54"/>
      <c r="AJ1028" s="55"/>
      <c r="AK1028" s="55"/>
      <c r="AL1028" s="55"/>
      <c r="AM1028" s="56">
        <f t="shared" si="759"/>
        <v>0</v>
      </c>
      <c r="AN1028" s="54"/>
      <c r="AO1028" s="55"/>
      <c r="AP1028" s="55"/>
      <c r="AQ1028" s="55"/>
      <c r="AR1028" s="56">
        <f t="shared" si="760"/>
        <v>0</v>
      </c>
      <c r="AS1028" s="54"/>
      <c r="AT1028" s="55"/>
      <c r="AU1028" s="55"/>
      <c r="AV1028" s="55"/>
      <c r="AW1028" s="56">
        <f t="shared" si="761"/>
        <v>0</v>
      </c>
      <c r="AX1028" s="55"/>
      <c r="AY1028" s="55"/>
      <c r="AZ1028" s="55"/>
      <c r="BA1028" s="55"/>
      <c r="BB1028" s="56">
        <f t="shared" si="762"/>
        <v>0</v>
      </c>
      <c r="BC1028" s="56">
        <f t="shared" si="763"/>
        <v>0</v>
      </c>
      <c r="BE1028" s="277"/>
      <c r="BF1028" s="54"/>
      <c r="BG1028" s="55"/>
      <c r="BH1028" s="55"/>
      <c r="BI1028" s="55"/>
      <c r="BJ1028" s="56">
        <f t="shared" si="735"/>
        <v>0</v>
      </c>
      <c r="BL1028" s="277"/>
      <c r="BM1028" s="54"/>
      <c r="BN1028" s="55"/>
      <c r="BO1028" s="55"/>
      <c r="BP1028" s="55"/>
      <c r="BQ1028" s="56">
        <f t="shared" si="736"/>
        <v>0</v>
      </c>
    </row>
    <row r="1029" spans="1:69" x14ac:dyDescent="0.15">
      <c r="A1029" s="53" t="s">
        <v>98</v>
      </c>
      <c r="B1029" s="54"/>
      <c r="C1029" s="55"/>
      <c r="D1029" s="55"/>
      <c r="E1029" s="55"/>
      <c r="F1029" s="56">
        <f t="shared" si="742"/>
        <v>0</v>
      </c>
      <c r="G1029" s="54"/>
      <c r="H1029" s="55"/>
      <c r="I1029" s="55"/>
      <c r="J1029" s="55"/>
      <c r="K1029" s="56">
        <f t="shared" si="748"/>
        <v>0</v>
      </c>
      <c r="L1029" s="54"/>
      <c r="M1029" s="55"/>
      <c r="N1029" s="55"/>
      <c r="O1029" s="55"/>
      <c r="P1029" s="56">
        <f t="shared" si="749"/>
        <v>0</v>
      </c>
      <c r="Q1029" s="54"/>
      <c r="R1029" s="55"/>
      <c r="S1029" s="55"/>
      <c r="T1029" s="55"/>
      <c r="U1029" s="56">
        <f t="shared" si="750"/>
        <v>0</v>
      </c>
      <c r="V1029" s="55"/>
      <c r="W1029" s="55"/>
      <c r="X1029" s="55"/>
      <c r="Y1029" s="55">
        <v>1</v>
      </c>
      <c r="Z1029" s="56">
        <f t="shared" si="746"/>
        <v>1</v>
      </c>
      <c r="AA1029" s="56">
        <f t="shared" si="751"/>
        <v>1</v>
      </c>
      <c r="AB1029" s="299">
        <v>45184</v>
      </c>
      <c r="AC1029" s="276"/>
      <c r="AD1029" s="54"/>
      <c r="AE1029" s="55"/>
      <c r="AF1029" s="55"/>
      <c r="AG1029" s="55"/>
      <c r="AH1029" s="56">
        <f t="shared" si="758"/>
        <v>0</v>
      </c>
      <c r="AI1029" s="54"/>
      <c r="AJ1029" s="55"/>
      <c r="AK1029" s="55"/>
      <c r="AL1029" s="55"/>
      <c r="AM1029" s="56">
        <f t="shared" si="759"/>
        <v>0</v>
      </c>
      <c r="AN1029" s="54"/>
      <c r="AO1029" s="55"/>
      <c r="AP1029" s="55"/>
      <c r="AQ1029" s="55"/>
      <c r="AR1029" s="56">
        <f t="shared" si="760"/>
        <v>0</v>
      </c>
      <c r="AS1029" s="54"/>
      <c r="AT1029" s="55"/>
      <c r="AU1029" s="55"/>
      <c r="AV1029" s="55"/>
      <c r="AW1029" s="56">
        <f t="shared" si="761"/>
        <v>0</v>
      </c>
      <c r="AX1029" s="55"/>
      <c r="AY1029" s="55"/>
      <c r="AZ1029" s="55"/>
      <c r="BA1029" s="55"/>
      <c r="BB1029" s="56">
        <f t="shared" si="762"/>
        <v>0</v>
      </c>
      <c r="BC1029" s="56">
        <f t="shared" si="763"/>
        <v>0</v>
      </c>
      <c r="BE1029" s="277"/>
      <c r="BF1029" s="54"/>
      <c r="BG1029" s="55"/>
      <c r="BH1029" s="55"/>
      <c r="BI1029" s="55"/>
      <c r="BJ1029" s="56">
        <f t="shared" si="735"/>
        <v>0</v>
      </c>
      <c r="BL1029" s="277"/>
      <c r="BM1029" s="54"/>
      <c r="BN1029" s="55"/>
      <c r="BO1029" s="55"/>
      <c r="BP1029" s="55"/>
      <c r="BQ1029" s="56">
        <f t="shared" si="736"/>
        <v>0</v>
      </c>
    </row>
    <row r="1030" spans="1:69" x14ac:dyDescent="0.15">
      <c r="A1030" s="53" t="s">
        <v>98</v>
      </c>
      <c r="B1030" s="54"/>
      <c r="C1030" s="55"/>
      <c r="D1030" s="55"/>
      <c r="E1030" s="55"/>
      <c r="F1030" s="56">
        <f t="shared" si="742"/>
        <v>0</v>
      </c>
      <c r="G1030" s="54">
        <v>1</v>
      </c>
      <c r="H1030" s="55"/>
      <c r="I1030" s="55"/>
      <c r="J1030" s="55"/>
      <c r="K1030" s="56">
        <f t="shared" si="748"/>
        <v>1</v>
      </c>
      <c r="L1030" s="54"/>
      <c r="M1030" s="55"/>
      <c r="N1030" s="55"/>
      <c r="O1030" s="55"/>
      <c r="P1030" s="56">
        <f t="shared" si="749"/>
        <v>0</v>
      </c>
      <c r="Q1030" s="54"/>
      <c r="R1030" s="55"/>
      <c r="S1030" s="55"/>
      <c r="T1030" s="55">
        <v>1</v>
      </c>
      <c r="U1030" s="56">
        <f t="shared" si="750"/>
        <v>1</v>
      </c>
      <c r="V1030" s="55"/>
      <c r="W1030" s="55"/>
      <c r="X1030" s="55"/>
      <c r="Y1030" s="55"/>
      <c r="Z1030" s="56">
        <f t="shared" si="746"/>
        <v>0</v>
      </c>
      <c r="AA1030" s="56">
        <f t="shared" si="751"/>
        <v>2</v>
      </c>
      <c r="AB1030" s="299">
        <v>45188</v>
      </c>
      <c r="AC1030" s="276"/>
      <c r="AD1030" s="54"/>
      <c r="AE1030" s="55"/>
      <c r="AF1030" s="55"/>
      <c r="AG1030" s="55"/>
      <c r="AH1030" s="56">
        <f t="shared" si="758"/>
        <v>0</v>
      </c>
      <c r="AI1030" s="54"/>
      <c r="AJ1030" s="55"/>
      <c r="AK1030" s="55"/>
      <c r="AL1030" s="55"/>
      <c r="AM1030" s="56">
        <f t="shared" si="759"/>
        <v>0</v>
      </c>
      <c r="AN1030" s="54"/>
      <c r="AO1030" s="55"/>
      <c r="AP1030" s="55"/>
      <c r="AQ1030" s="55"/>
      <c r="AR1030" s="56">
        <f t="shared" si="760"/>
        <v>0</v>
      </c>
      <c r="AS1030" s="54"/>
      <c r="AT1030" s="55"/>
      <c r="AU1030" s="55"/>
      <c r="AV1030" s="55"/>
      <c r="AW1030" s="56">
        <f t="shared" si="761"/>
        <v>0</v>
      </c>
      <c r="AX1030" s="55"/>
      <c r="AY1030" s="55"/>
      <c r="AZ1030" s="55"/>
      <c r="BA1030" s="55"/>
      <c r="BB1030" s="56">
        <f t="shared" si="762"/>
        <v>0</v>
      </c>
      <c r="BC1030" s="56">
        <f t="shared" si="763"/>
        <v>0</v>
      </c>
      <c r="BE1030" s="277"/>
      <c r="BF1030" s="54"/>
      <c r="BG1030" s="55"/>
      <c r="BH1030" s="55"/>
      <c r="BI1030" s="55"/>
      <c r="BJ1030" s="56">
        <f t="shared" si="735"/>
        <v>0</v>
      </c>
      <c r="BL1030" s="277"/>
      <c r="BM1030" s="54"/>
      <c r="BN1030" s="55"/>
      <c r="BO1030" s="55"/>
      <c r="BP1030" s="55"/>
      <c r="BQ1030" s="56">
        <f t="shared" si="736"/>
        <v>0</v>
      </c>
    </row>
    <row r="1031" spans="1:69" x14ac:dyDescent="0.15">
      <c r="A1031" s="53" t="s">
        <v>98</v>
      </c>
      <c r="B1031" s="54"/>
      <c r="C1031" s="55"/>
      <c r="D1031" s="55"/>
      <c r="E1031" s="55"/>
      <c r="F1031" s="56">
        <f t="shared" si="742"/>
        <v>0</v>
      </c>
      <c r="G1031" s="54"/>
      <c r="H1031" s="55"/>
      <c r="I1031" s="55"/>
      <c r="J1031" s="55"/>
      <c r="K1031" s="56">
        <f t="shared" si="748"/>
        <v>0</v>
      </c>
      <c r="L1031" s="54"/>
      <c r="M1031" s="55"/>
      <c r="N1031" s="55"/>
      <c r="O1031" s="55"/>
      <c r="P1031" s="56">
        <f t="shared" si="749"/>
        <v>0</v>
      </c>
      <c r="Q1031" s="54"/>
      <c r="R1031" s="55"/>
      <c r="S1031" s="55"/>
      <c r="T1031" s="55"/>
      <c r="U1031" s="56">
        <f t="shared" si="750"/>
        <v>0</v>
      </c>
      <c r="V1031" s="55"/>
      <c r="W1031" s="55"/>
      <c r="X1031" s="55"/>
      <c r="Y1031" s="55">
        <v>1</v>
      </c>
      <c r="Z1031" s="56">
        <f t="shared" si="746"/>
        <v>1</v>
      </c>
      <c r="AA1031" s="56">
        <f t="shared" si="751"/>
        <v>1</v>
      </c>
      <c r="AB1031" s="299">
        <v>45195</v>
      </c>
      <c r="AC1031" s="276"/>
      <c r="AD1031" s="54"/>
      <c r="AE1031" s="55"/>
      <c r="AF1031" s="55"/>
      <c r="AG1031" s="55"/>
      <c r="AH1031" s="56">
        <f t="shared" si="758"/>
        <v>0</v>
      </c>
      <c r="AI1031" s="54"/>
      <c r="AJ1031" s="55"/>
      <c r="AK1031" s="55"/>
      <c r="AL1031" s="55"/>
      <c r="AM1031" s="56">
        <f t="shared" si="759"/>
        <v>0</v>
      </c>
      <c r="AN1031" s="54"/>
      <c r="AO1031" s="55"/>
      <c r="AP1031" s="55"/>
      <c r="AQ1031" s="55"/>
      <c r="AR1031" s="56">
        <f t="shared" si="760"/>
        <v>0</v>
      </c>
      <c r="AS1031" s="54"/>
      <c r="AT1031" s="55"/>
      <c r="AU1031" s="55"/>
      <c r="AV1031" s="55"/>
      <c r="AW1031" s="56">
        <f t="shared" si="761"/>
        <v>0</v>
      </c>
      <c r="AX1031" s="55"/>
      <c r="AY1031" s="55"/>
      <c r="AZ1031" s="55"/>
      <c r="BA1031" s="55"/>
      <c r="BB1031" s="56">
        <f t="shared" si="762"/>
        <v>0</v>
      </c>
      <c r="BC1031" s="56">
        <f t="shared" si="763"/>
        <v>0</v>
      </c>
      <c r="BE1031" s="277"/>
      <c r="BF1031" s="54"/>
      <c r="BG1031" s="55"/>
      <c r="BH1031" s="55"/>
      <c r="BI1031" s="55"/>
      <c r="BJ1031" s="56">
        <f t="shared" si="735"/>
        <v>0</v>
      </c>
      <c r="BL1031" s="277"/>
      <c r="BM1031" s="54"/>
      <c r="BN1031" s="55"/>
      <c r="BO1031" s="55"/>
      <c r="BP1031" s="55"/>
      <c r="BQ1031" s="56">
        <f t="shared" si="736"/>
        <v>0</v>
      </c>
    </row>
    <row r="1032" spans="1:69" x14ac:dyDescent="0.15">
      <c r="A1032" s="53" t="s">
        <v>553</v>
      </c>
      <c r="B1032" s="54">
        <v>5</v>
      </c>
      <c r="C1032" s="55">
        <v>3</v>
      </c>
      <c r="D1032" s="55"/>
      <c r="E1032" s="55"/>
      <c r="F1032" s="56">
        <f t="shared" si="742"/>
        <v>8</v>
      </c>
      <c r="G1032" s="54"/>
      <c r="H1032" s="55"/>
      <c r="I1032" s="55">
        <v>10</v>
      </c>
      <c r="J1032" s="55"/>
      <c r="K1032" s="56">
        <f t="shared" si="748"/>
        <v>10</v>
      </c>
      <c r="L1032" s="54"/>
      <c r="M1032" s="55"/>
      <c r="N1032" s="55"/>
      <c r="O1032" s="55"/>
      <c r="P1032" s="56">
        <f t="shared" si="749"/>
        <v>0</v>
      </c>
      <c r="Q1032" s="54"/>
      <c r="R1032" s="55"/>
      <c r="S1032" s="55"/>
      <c r="T1032" s="55"/>
      <c r="U1032" s="56">
        <f t="shared" si="750"/>
        <v>0</v>
      </c>
      <c r="V1032" s="55"/>
      <c r="W1032" s="55"/>
      <c r="X1032" s="55"/>
      <c r="Y1032" s="55"/>
      <c r="Z1032" s="56">
        <f t="shared" si="746"/>
        <v>0</v>
      </c>
      <c r="AA1032" s="56">
        <f t="shared" si="751"/>
        <v>18</v>
      </c>
      <c r="AB1032" s="299">
        <v>45199</v>
      </c>
      <c r="AC1032" s="276"/>
      <c r="AD1032" s="54"/>
      <c r="AE1032" s="55"/>
      <c r="AF1032" s="55"/>
      <c r="AG1032" s="55"/>
      <c r="AH1032" s="56">
        <f t="shared" si="758"/>
        <v>0</v>
      </c>
      <c r="AI1032" s="54"/>
      <c r="AJ1032" s="55"/>
      <c r="AK1032" s="55"/>
      <c r="AL1032" s="55"/>
      <c r="AM1032" s="56">
        <f t="shared" si="759"/>
        <v>0</v>
      </c>
      <c r="AN1032" s="54"/>
      <c r="AO1032" s="55"/>
      <c r="AP1032" s="55"/>
      <c r="AQ1032" s="55"/>
      <c r="AR1032" s="56">
        <f t="shared" si="760"/>
        <v>0</v>
      </c>
      <c r="AS1032" s="54"/>
      <c r="AT1032" s="55"/>
      <c r="AU1032" s="55"/>
      <c r="AV1032" s="55"/>
      <c r="AW1032" s="56">
        <f t="shared" si="761"/>
        <v>0</v>
      </c>
      <c r="AX1032" s="55"/>
      <c r="AY1032" s="55"/>
      <c r="AZ1032" s="55"/>
      <c r="BA1032" s="55"/>
      <c r="BB1032" s="56">
        <f t="shared" si="762"/>
        <v>0</v>
      </c>
      <c r="BC1032" s="56">
        <f t="shared" si="763"/>
        <v>0</v>
      </c>
      <c r="BE1032" s="276"/>
      <c r="BF1032" s="54"/>
      <c r="BG1032" s="55"/>
      <c r="BH1032" s="55"/>
      <c r="BI1032" s="55"/>
      <c r="BJ1032" s="56">
        <f t="shared" si="735"/>
        <v>0</v>
      </c>
      <c r="BL1032" s="276"/>
      <c r="BM1032" s="54"/>
      <c r="BN1032" s="55"/>
      <c r="BO1032" s="55"/>
      <c r="BP1032" s="55"/>
      <c r="BQ1032" s="56">
        <f t="shared" si="736"/>
        <v>0</v>
      </c>
    </row>
    <row r="1033" spans="1:69" x14ac:dyDescent="0.15">
      <c r="A1033" s="53" t="s">
        <v>121</v>
      </c>
      <c r="B1033" s="54"/>
      <c r="C1033" s="55"/>
      <c r="D1033" s="55"/>
      <c r="E1033" s="55"/>
      <c r="F1033" s="56">
        <f t="shared" si="742"/>
        <v>0</v>
      </c>
      <c r="G1033" s="54"/>
      <c r="H1033" s="55"/>
      <c r="I1033" s="55"/>
      <c r="J1033" s="55"/>
      <c r="K1033" s="56">
        <f t="shared" si="748"/>
        <v>0</v>
      </c>
      <c r="L1033" s="54"/>
      <c r="M1033" s="55"/>
      <c r="N1033" s="55"/>
      <c r="O1033" s="55"/>
      <c r="P1033" s="56">
        <f t="shared" si="749"/>
        <v>0</v>
      </c>
      <c r="Q1033" s="54"/>
      <c r="R1033" s="55"/>
      <c r="S1033" s="55"/>
      <c r="T1033" s="55"/>
      <c r="U1033" s="56">
        <f t="shared" si="750"/>
        <v>0</v>
      </c>
      <c r="V1033" s="55"/>
      <c r="W1033" s="55"/>
      <c r="X1033" s="55"/>
      <c r="Y1033" s="55">
        <v>-1</v>
      </c>
      <c r="Z1033" s="56">
        <f t="shared" si="746"/>
        <v>-1</v>
      </c>
      <c r="AA1033" s="56">
        <f t="shared" si="751"/>
        <v>-1</v>
      </c>
      <c r="AB1033" s="299">
        <v>45199</v>
      </c>
      <c r="AC1033" s="276"/>
      <c r="AD1033" s="54"/>
      <c r="AE1033" s="55"/>
      <c r="AF1033" s="55"/>
      <c r="AG1033" s="55"/>
      <c r="AH1033" s="56">
        <f t="shared" si="758"/>
        <v>0</v>
      </c>
      <c r="AI1033" s="54"/>
      <c r="AJ1033" s="55"/>
      <c r="AK1033" s="55"/>
      <c r="AL1033" s="55"/>
      <c r="AM1033" s="56">
        <f t="shared" si="759"/>
        <v>0</v>
      </c>
      <c r="AN1033" s="54"/>
      <c r="AO1033" s="55"/>
      <c r="AP1033" s="55"/>
      <c r="AQ1033" s="55"/>
      <c r="AR1033" s="56">
        <f t="shared" si="760"/>
        <v>0</v>
      </c>
      <c r="AS1033" s="54"/>
      <c r="AT1033" s="55"/>
      <c r="AU1033" s="55"/>
      <c r="AV1033" s="55"/>
      <c r="AW1033" s="56">
        <f t="shared" si="761"/>
        <v>0</v>
      </c>
      <c r="AX1033" s="55"/>
      <c r="AY1033" s="55"/>
      <c r="AZ1033" s="55"/>
      <c r="BA1033" s="55"/>
      <c r="BB1033" s="56">
        <f t="shared" si="762"/>
        <v>0</v>
      </c>
      <c r="BC1033" s="56">
        <f t="shared" si="763"/>
        <v>0</v>
      </c>
      <c r="BE1033" s="277"/>
      <c r="BF1033" s="54"/>
      <c r="BG1033" s="55"/>
      <c r="BH1033" s="55"/>
      <c r="BI1033" s="55"/>
      <c r="BJ1033" s="56">
        <f t="shared" si="735"/>
        <v>0</v>
      </c>
      <c r="BL1033" s="277"/>
      <c r="BM1033" s="54"/>
      <c r="BN1033" s="55"/>
      <c r="BO1033" s="55"/>
      <c r="BP1033" s="55"/>
      <c r="BQ1033" s="56">
        <f t="shared" si="736"/>
        <v>0</v>
      </c>
    </row>
    <row r="1034" spans="1:69" x14ac:dyDescent="0.15">
      <c r="A1034" s="53" t="s">
        <v>98</v>
      </c>
      <c r="B1034" s="54"/>
      <c r="C1034" s="55"/>
      <c r="D1034" s="55"/>
      <c r="E1034" s="55"/>
      <c r="F1034" s="56">
        <f t="shared" si="742"/>
        <v>0</v>
      </c>
      <c r="G1034" s="54"/>
      <c r="H1034" s="55">
        <v>1</v>
      </c>
      <c r="I1034" s="55"/>
      <c r="J1034" s="55"/>
      <c r="K1034" s="56">
        <f t="shared" si="748"/>
        <v>1</v>
      </c>
      <c r="L1034" s="54"/>
      <c r="M1034" s="55"/>
      <c r="N1034" s="55"/>
      <c r="O1034" s="55"/>
      <c r="P1034" s="56">
        <f t="shared" si="749"/>
        <v>0</v>
      </c>
      <c r="Q1034" s="54"/>
      <c r="R1034" s="55"/>
      <c r="S1034" s="55"/>
      <c r="T1034" s="55"/>
      <c r="U1034" s="56">
        <f t="shared" si="750"/>
        <v>0</v>
      </c>
      <c r="V1034" s="55"/>
      <c r="W1034" s="55"/>
      <c r="X1034" s="55"/>
      <c r="Y1034" s="55"/>
      <c r="Z1034" s="56">
        <f t="shared" si="746"/>
        <v>0</v>
      </c>
      <c r="AA1034" s="56">
        <f t="shared" si="751"/>
        <v>1</v>
      </c>
      <c r="AB1034" s="299">
        <v>45206</v>
      </c>
      <c r="AC1034" s="276"/>
      <c r="AD1034" s="54"/>
      <c r="AE1034" s="55"/>
      <c r="AF1034" s="55"/>
      <c r="AG1034" s="55"/>
      <c r="AH1034" s="56">
        <f t="shared" si="758"/>
        <v>0</v>
      </c>
      <c r="AI1034" s="54"/>
      <c r="AJ1034" s="55"/>
      <c r="AK1034" s="55"/>
      <c r="AL1034" s="55"/>
      <c r="AM1034" s="56">
        <f t="shared" si="759"/>
        <v>0</v>
      </c>
      <c r="AN1034" s="54"/>
      <c r="AO1034" s="55"/>
      <c r="AP1034" s="55"/>
      <c r="AQ1034" s="55"/>
      <c r="AR1034" s="56">
        <f t="shared" si="760"/>
        <v>0</v>
      </c>
      <c r="AS1034" s="54"/>
      <c r="AT1034" s="55"/>
      <c r="AU1034" s="55"/>
      <c r="AV1034" s="55"/>
      <c r="AW1034" s="56">
        <f t="shared" si="761"/>
        <v>0</v>
      </c>
      <c r="AX1034" s="55"/>
      <c r="AY1034" s="55"/>
      <c r="AZ1034" s="55"/>
      <c r="BA1034" s="55"/>
      <c r="BB1034" s="56">
        <f t="shared" si="762"/>
        <v>0</v>
      </c>
      <c r="BC1034" s="56">
        <f t="shared" si="763"/>
        <v>0</v>
      </c>
      <c r="BE1034" s="276"/>
      <c r="BF1034" s="54"/>
      <c r="BG1034" s="55"/>
      <c r="BH1034" s="55"/>
      <c r="BI1034" s="55"/>
      <c r="BJ1034" s="56">
        <f t="shared" si="735"/>
        <v>0</v>
      </c>
      <c r="BL1034" s="276"/>
      <c r="BM1034" s="54"/>
      <c r="BN1034" s="55"/>
      <c r="BO1034" s="55"/>
      <c r="BP1034" s="55"/>
      <c r="BQ1034" s="56">
        <f t="shared" si="736"/>
        <v>0</v>
      </c>
    </row>
    <row r="1035" spans="1:69" x14ac:dyDescent="0.15">
      <c r="A1035" s="53" t="s">
        <v>98</v>
      </c>
      <c r="B1035" s="54"/>
      <c r="C1035" s="55"/>
      <c r="D1035" s="55"/>
      <c r="E1035" s="55"/>
      <c r="F1035" s="56">
        <f t="shared" si="742"/>
        <v>0</v>
      </c>
      <c r="G1035" s="54"/>
      <c r="H1035" s="55"/>
      <c r="I1035" s="55"/>
      <c r="J1035" s="55"/>
      <c r="K1035" s="56">
        <f t="shared" si="748"/>
        <v>0</v>
      </c>
      <c r="L1035" s="54"/>
      <c r="M1035" s="55"/>
      <c r="N1035" s="55"/>
      <c r="O1035" s="55"/>
      <c r="P1035" s="56">
        <f t="shared" si="749"/>
        <v>0</v>
      </c>
      <c r="Q1035" s="54"/>
      <c r="R1035" s="55"/>
      <c r="S1035" s="55">
        <v>1</v>
      </c>
      <c r="T1035" s="55"/>
      <c r="U1035" s="56">
        <f t="shared" si="750"/>
        <v>1</v>
      </c>
      <c r="V1035" s="55"/>
      <c r="W1035" s="55"/>
      <c r="X1035" s="55"/>
      <c r="Y1035" s="55">
        <v>1</v>
      </c>
      <c r="Z1035" s="56">
        <f t="shared" si="746"/>
        <v>1</v>
      </c>
      <c r="AA1035" s="56">
        <f t="shared" si="751"/>
        <v>2</v>
      </c>
      <c r="AB1035" s="299">
        <v>45209</v>
      </c>
      <c r="AC1035" s="276"/>
      <c r="AD1035" s="54"/>
      <c r="AE1035" s="55"/>
      <c r="AF1035" s="55"/>
      <c r="AG1035" s="55"/>
      <c r="AH1035" s="56">
        <f t="shared" si="758"/>
        <v>0</v>
      </c>
      <c r="AI1035" s="54"/>
      <c r="AJ1035" s="55"/>
      <c r="AK1035" s="55"/>
      <c r="AL1035" s="55"/>
      <c r="AM1035" s="56">
        <f t="shared" si="759"/>
        <v>0</v>
      </c>
      <c r="AN1035" s="54"/>
      <c r="AO1035" s="55"/>
      <c r="AP1035" s="55"/>
      <c r="AQ1035" s="55"/>
      <c r="AR1035" s="56">
        <f t="shared" si="760"/>
        <v>0</v>
      </c>
      <c r="AS1035" s="54"/>
      <c r="AT1035" s="55"/>
      <c r="AU1035" s="55"/>
      <c r="AV1035" s="55"/>
      <c r="AW1035" s="56">
        <f t="shared" si="761"/>
        <v>0</v>
      </c>
      <c r="AX1035" s="55"/>
      <c r="AY1035" s="55"/>
      <c r="AZ1035" s="55"/>
      <c r="BA1035" s="55"/>
      <c r="BB1035" s="56">
        <f t="shared" si="762"/>
        <v>0</v>
      </c>
      <c r="BC1035" s="56">
        <f t="shared" si="763"/>
        <v>0</v>
      </c>
      <c r="BE1035" s="277"/>
      <c r="BF1035" s="55"/>
      <c r="BG1035" s="55"/>
      <c r="BH1035" s="55"/>
      <c r="BI1035" s="166"/>
      <c r="BJ1035" s="49">
        <f t="shared" si="735"/>
        <v>0</v>
      </c>
      <c r="BL1035" s="277"/>
      <c r="BM1035" s="55"/>
      <c r="BN1035" s="55"/>
      <c r="BO1035" s="55"/>
      <c r="BP1035" s="166"/>
      <c r="BQ1035" s="49">
        <f t="shared" si="736"/>
        <v>0</v>
      </c>
    </row>
    <row r="1036" spans="1:69" x14ac:dyDescent="0.15">
      <c r="A1036" s="53" t="s">
        <v>98</v>
      </c>
      <c r="B1036" s="54"/>
      <c r="C1036" s="55"/>
      <c r="D1036" s="55"/>
      <c r="E1036" s="55"/>
      <c r="F1036" s="56">
        <f t="shared" si="742"/>
        <v>0</v>
      </c>
      <c r="G1036" s="54"/>
      <c r="H1036" s="55">
        <v>1</v>
      </c>
      <c r="I1036" s="55"/>
      <c r="J1036" s="55"/>
      <c r="K1036" s="56">
        <f t="shared" si="748"/>
        <v>1</v>
      </c>
      <c r="L1036" s="54"/>
      <c r="M1036" s="55"/>
      <c r="N1036" s="55"/>
      <c r="O1036" s="55"/>
      <c r="P1036" s="56">
        <f t="shared" si="749"/>
        <v>0</v>
      </c>
      <c r="Q1036" s="54"/>
      <c r="R1036" s="55"/>
      <c r="S1036" s="55"/>
      <c r="T1036" s="55"/>
      <c r="U1036" s="56">
        <f t="shared" si="750"/>
        <v>0</v>
      </c>
      <c r="V1036" s="55"/>
      <c r="W1036" s="55"/>
      <c r="X1036" s="55"/>
      <c r="Y1036" s="55"/>
      <c r="Z1036" s="56">
        <f t="shared" si="746"/>
        <v>0</v>
      </c>
      <c r="AA1036" s="56">
        <f t="shared" si="751"/>
        <v>1</v>
      </c>
      <c r="AB1036" s="299">
        <v>45215</v>
      </c>
      <c r="AC1036" s="276"/>
      <c r="AD1036" s="54"/>
      <c r="AE1036" s="55"/>
      <c r="AF1036" s="55"/>
      <c r="AG1036" s="55"/>
      <c r="AH1036" s="56">
        <f t="shared" si="758"/>
        <v>0</v>
      </c>
      <c r="AI1036" s="54"/>
      <c r="AJ1036" s="55"/>
      <c r="AK1036" s="55"/>
      <c r="AL1036" s="55"/>
      <c r="AM1036" s="56">
        <f t="shared" si="759"/>
        <v>0</v>
      </c>
      <c r="AN1036" s="54"/>
      <c r="AO1036" s="55"/>
      <c r="AP1036" s="55"/>
      <c r="AQ1036" s="55"/>
      <c r="AR1036" s="56">
        <f t="shared" si="760"/>
        <v>0</v>
      </c>
      <c r="AS1036" s="54"/>
      <c r="AT1036" s="55"/>
      <c r="AU1036" s="55"/>
      <c r="AV1036" s="55"/>
      <c r="AW1036" s="56">
        <f t="shared" si="761"/>
        <v>0</v>
      </c>
      <c r="AX1036" s="55"/>
      <c r="AY1036" s="55"/>
      <c r="AZ1036" s="55"/>
      <c r="BA1036" s="55"/>
      <c r="BB1036" s="56">
        <f t="shared" si="762"/>
        <v>0</v>
      </c>
      <c r="BC1036" s="56">
        <f t="shared" si="763"/>
        <v>0</v>
      </c>
      <c r="BE1036" s="277"/>
      <c r="BF1036" s="54"/>
      <c r="BG1036" s="55"/>
      <c r="BH1036" s="55"/>
      <c r="BI1036" s="55"/>
      <c r="BJ1036" s="56">
        <f t="shared" si="735"/>
        <v>0</v>
      </c>
      <c r="BL1036" s="277"/>
      <c r="BM1036" s="54"/>
      <c r="BN1036" s="55"/>
      <c r="BO1036" s="55"/>
      <c r="BP1036" s="55"/>
      <c r="BQ1036" s="56">
        <f t="shared" si="736"/>
        <v>0</v>
      </c>
    </row>
    <row r="1037" spans="1:69" x14ac:dyDescent="0.15">
      <c r="A1037" s="53" t="s">
        <v>98</v>
      </c>
      <c r="B1037" s="54">
        <v>1</v>
      </c>
      <c r="C1037" s="55"/>
      <c r="D1037" s="55"/>
      <c r="E1037" s="55"/>
      <c r="F1037" s="56">
        <f t="shared" si="742"/>
        <v>1</v>
      </c>
      <c r="G1037" s="54"/>
      <c r="H1037" s="55"/>
      <c r="I1037" s="55"/>
      <c r="J1037" s="55"/>
      <c r="K1037" s="56">
        <f t="shared" si="748"/>
        <v>0</v>
      </c>
      <c r="L1037" s="54"/>
      <c r="M1037" s="55"/>
      <c r="N1037" s="55"/>
      <c r="O1037" s="55"/>
      <c r="P1037" s="56">
        <f t="shared" si="749"/>
        <v>0</v>
      </c>
      <c r="Q1037" s="54"/>
      <c r="R1037" s="55"/>
      <c r="S1037" s="55"/>
      <c r="T1037" s="55"/>
      <c r="U1037" s="56">
        <f t="shared" si="750"/>
        <v>0</v>
      </c>
      <c r="V1037" s="55"/>
      <c r="W1037" s="55"/>
      <c r="X1037" s="55"/>
      <c r="Y1037" s="55"/>
      <c r="Z1037" s="56">
        <f t="shared" si="746"/>
        <v>0</v>
      </c>
      <c r="AA1037" s="56">
        <f t="shared" si="751"/>
        <v>1</v>
      </c>
      <c r="AB1037" s="299">
        <v>45216</v>
      </c>
      <c r="AC1037" s="276"/>
      <c r="AD1037" s="54"/>
      <c r="AE1037" s="55"/>
      <c r="AF1037" s="55"/>
      <c r="AG1037" s="55"/>
      <c r="AH1037" s="56">
        <f t="shared" si="758"/>
        <v>0</v>
      </c>
      <c r="AI1037" s="54"/>
      <c r="AJ1037" s="55"/>
      <c r="AK1037" s="55"/>
      <c r="AL1037" s="55"/>
      <c r="AM1037" s="56">
        <f t="shared" si="759"/>
        <v>0</v>
      </c>
      <c r="AN1037" s="54"/>
      <c r="AO1037" s="55"/>
      <c r="AP1037" s="55"/>
      <c r="AQ1037" s="55"/>
      <c r="AR1037" s="56">
        <f t="shared" si="760"/>
        <v>0</v>
      </c>
      <c r="AS1037" s="54"/>
      <c r="AT1037" s="55"/>
      <c r="AU1037" s="55"/>
      <c r="AV1037" s="55"/>
      <c r="AW1037" s="56">
        <f t="shared" si="761"/>
        <v>0</v>
      </c>
      <c r="AX1037" s="55"/>
      <c r="AY1037" s="55"/>
      <c r="AZ1037" s="55"/>
      <c r="BA1037" s="55"/>
      <c r="BB1037" s="56">
        <f t="shared" si="762"/>
        <v>0</v>
      </c>
      <c r="BC1037" s="56">
        <f t="shared" si="763"/>
        <v>0</v>
      </c>
      <c r="BE1037" s="276"/>
      <c r="BF1037" s="54"/>
      <c r="BG1037" s="55"/>
      <c r="BH1037" s="55"/>
      <c r="BI1037" s="55"/>
      <c r="BJ1037" s="56">
        <f t="shared" si="735"/>
        <v>0</v>
      </c>
      <c r="BL1037" s="276"/>
      <c r="BM1037" s="54"/>
      <c r="BN1037" s="55"/>
      <c r="BO1037" s="55"/>
      <c r="BP1037" s="55"/>
      <c r="BQ1037" s="56">
        <f t="shared" si="736"/>
        <v>0</v>
      </c>
    </row>
    <row r="1038" spans="1:69" x14ac:dyDescent="0.15">
      <c r="A1038" s="53" t="s">
        <v>310</v>
      </c>
      <c r="B1038" s="54"/>
      <c r="C1038" s="55"/>
      <c r="D1038" s="55">
        <v>1</v>
      </c>
      <c r="E1038" s="55"/>
      <c r="F1038" s="56">
        <f t="shared" si="742"/>
        <v>1</v>
      </c>
      <c r="G1038" s="54">
        <v>1</v>
      </c>
      <c r="H1038" s="55"/>
      <c r="I1038" s="55"/>
      <c r="J1038" s="55">
        <v>3</v>
      </c>
      <c r="K1038" s="56">
        <f t="shared" si="748"/>
        <v>4</v>
      </c>
      <c r="L1038" s="54"/>
      <c r="M1038" s="55"/>
      <c r="N1038" s="55"/>
      <c r="O1038" s="55"/>
      <c r="P1038" s="56">
        <f t="shared" si="749"/>
        <v>0</v>
      </c>
      <c r="Q1038" s="54"/>
      <c r="R1038" s="55"/>
      <c r="S1038" s="55"/>
      <c r="T1038" s="55"/>
      <c r="U1038" s="56">
        <f t="shared" si="750"/>
        <v>0</v>
      </c>
      <c r="V1038" s="55"/>
      <c r="W1038" s="55"/>
      <c r="X1038" s="55"/>
      <c r="Y1038" s="55"/>
      <c r="Z1038" s="56">
        <f t="shared" si="746"/>
        <v>0</v>
      </c>
      <c r="AA1038" s="56">
        <f t="shared" si="751"/>
        <v>5</v>
      </c>
      <c r="AB1038" s="299">
        <v>45220</v>
      </c>
      <c r="AC1038" s="276"/>
      <c r="AD1038" s="54"/>
      <c r="AE1038" s="55"/>
      <c r="AF1038" s="55"/>
      <c r="AG1038" s="55"/>
      <c r="AH1038" s="56">
        <f t="shared" si="758"/>
        <v>0</v>
      </c>
      <c r="AI1038" s="54"/>
      <c r="AJ1038" s="55"/>
      <c r="AK1038" s="55"/>
      <c r="AL1038" s="55"/>
      <c r="AM1038" s="56">
        <f t="shared" si="759"/>
        <v>0</v>
      </c>
      <c r="AN1038" s="54"/>
      <c r="AO1038" s="55"/>
      <c r="AP1038" s="55"/>
      <c r="AQ1038" s="55"/>
      <c r="AR1038" s="56">
        <f t="shared" si="760"/>
        <v>0</v>
      </c>
      <c r="AS1038" s="54"/>
      <c r="AT1038" s="55"/>
      <c r="AU1038" s="55"/>
      <c r="AV1038" s="55"/>
      <c r="AW1038" s="56">
        <f t="shared" si="761"/>
        <v>0</v>
      </c>
      <c r="AX1038" s="55"/>
      <c r="AY1038" s="55"/>
      <c r="AZ1038" s="55"/>
      <c r="BA1038" s="55"/>
      <c r="BB1038" s="56">
        <f t="shared" si="762"/>
        <v>0</v>
      </c>
      <c r="BC1038" s="56">
        <f t="shared" si="763"/>
        <v>0</v>
      </c>
      <c r="BE1038" s="276"/>
      <c r="BF1038" s="63"/>
      <c r="BG1038" s="63"/>
      <c r="BH1038" s="63"/>
      <c r="BI1038" s="167"/>
      <c r="BJ1038" s="64">
        <f t="shared" si="735"/>
        <v>0</v>
      </c>
      <c r="BL1038" s="276"/>
      <c r="BM1038" s="63"/>
      <c r="BN1038" s="63"/>
      <c r="BO1038" s="63"/>
      <c r="BP1038" s="167"/>
      <c r="BQ1038" s="64">
        <f t="shared" si="736"/>
        <v>0</v>
      </c>
    </row>
    <row r="1039" spans="1:69" x14ac:dyDescent="0.15">
      <c r="A1039" s="53" t="s">
        <v>98</v>
      </c>
      <c r="B1039" s="54"/>
      <c r="C1039" s="55"/>
      <c r="D1039" s="55"/>
      <c r="E1039" s="55"/>
      <c r="F1039" s="56">
        <f t="shared" si="742"/>
        <v>0</v>
      </c>
      <c r="G1039" s="54">
        <v>1</v>
      </c>
      <c r="H1039" s="55"/>
      <c r="I1039" s="55"/>
      <c r="J1039" s="55"/>
      <c r="K1039" s="56">
        <f t="shared" si="748"/>
        <v>1</v>
      </c>
      <c r="L1039" s="54"/>
      <c r="M1039" s="55"/>
      <c r="N1039" s="55"/>
      <c r="O1039" s="55"/>
      <c r="P1039" s="56">
        <f t="shared" si="749"/>
        <v>0</v>
      </c>
      <c r="Q1039" s="54"/>
      <c r="R1039" s="55"/>
      <c r="S1039" s="55"/>
      <c r="T1039" s="55"/>
      <c r="U1039" s="56">
        <f t="shared" si="750"/>
        <v>0</v>
      </c>
      <c r="V1039" s="55"/>
      <c r="W1039" s="55"/>
      <c r="X1039" s="55"/>
      <c r="Y1039" s="55"/>
      <c r="Z1039" s="56">
        <f t="shared" si="746"/>
        <v>0</v>
      </c>
      <c r="AA1039" s="56">
        <f t="shared" si="751"/>
        <v>1</v>
      </c>
      <c r="AB1039" s="299">
        <v>45222</v>
      </c>
      <c r="AC1039" s="276"/>
      <c r="AD1039" s="54"/>
      <c r="AE1039" s="55"/>
      <c r="AF1039" s="55"/>
      <c r="AG1039" s="55"/>
      <c r="AH1039" s="56">
        <f t="shared" si="758"/>
        <v>0</v>
      </c>
      <c r="AI1039" s="54"/>
      <c r="AJ1039" s="55"/>
      <c r="AK1039" s="55"/>
      <c r="AL1039" s="55"/>
      <c r="AM1039" s="56">
        <f t="shared" si="759"/>
        <v>0</v>
      </c>
      <c r="AN1039" s="54"/>
      <c r="AO1039" s="55"/>
      <c r="AP1039" s="55"/>
      <c r="AQ1039" s="55"/>
      <c r="AR1039" s="56">
        <f t="shared" si="760"/>
        <v>0</v>
      </c>
      <c r="AS1039" s="54"/>
      <c r="AT1039" s="55"/>
      <c r="AU1039" s="55"/>
      <c r="AV1039" s="55"/>
      <c r="AW1039" s="56">
        <f t="shared" si="761"/>
        <v>0</v>
      </c>
      <c r="AX1039" s="55"/>
      <c r="AY1039" s="55"/>
      <c r="AZ1039" s="55"/>
      <c r="BA1039" s="55"/>
      <c r="BB1039" s="56">
        <f t="shared" si="762"/>
        <v>0</v>
      </c>
      <c r="BC1039" s="56">
        <f t="shared" si="763"/>
        <v>0</v>
      </c>
      <c r="BE1039" s="277"/>
      <c r="BF1039" s="54"/>
      <c r="BG1039" s="55"/>
      <c r="BH1039" s="55"/>
      <c r="BI1039" s="55"/>
      <c r="BJ1039" s="56">
        <f t="shared" si="735"/>
        <v>0</v>
      </c>
      <c r="BL1039" s="277"/>
      <c r="BM1039" s="54"/>
      <c r="BN1039" s="55"/>
      <c r="BO1039" s="55"/>
      <c r="BP1039" s="55"/>
      <c r="BQ1039" s="56">
        <f t="shared" si="736"/>
        <v>0</v>
      </c>
    </row>
    <row r="1040" spans="1:69" x14ac:dyDescent="0.15">
      <c r="A1040" s="53" t="s">
        <v>98</v>
      </c>
      <c r="B1040" s="54"/>
      <c r="C1040" s="55"/>
      <c r="D1040" s="55"/>
      <c r="E1040" s="55"/>
      <c r="F1040" s="56">
        <f t="shared" si="742"/>
        <v>0</v>
      </c>
      <c r="G1040" s="54"/>
      <c r="H1040" s="55"/>
      <c r="I1040" s="55"/>
      <c r="J1040" s="55"/>
      <c r="K1040" s="56">
        <f t="shared" si="748"/>
        <v>0</v>
      </c>
      <c r="L1040" s="54"/>
      <c r="M1040" s="55"/>
      <c r="N1040" s="55"/>
      <c r="O1040" s="55"/>
      <c r="P1040" s="56">
        <f t="shared" si="749"/>
        <v>0</v>
      </c>
      <c r="Q1040" s="54">
        <v>1</v>
      </c>
      <c r="R1040" s="55"/>
      <c r="S1040" s="55"/>
      <c r="T1040" s="55"/>
      <c r="U1040" s="56">
        <f t="shared" si="750"/>
        <v>1</v>
      </c>
      <c r="V1040" s="55"/>
      <c r="W1040" s="55"/>
      <c r="X1040" s="55"/>
      <c r="Y1040" s="55"/>
      <c r="Z1040" s="56">
        <f t="shared" si="746"/>
        <v>0</v>
      </c>
      <c r="AA1040" s="56">
        <f t="shared" si="751"/>
        <v>1</v>
      </c>
      <c r="AB1040" s="299">
        <v>45226</v>
      </c>
      <c r="AC1040" s="276"/>
      <c r="AD1040" s="54"/>
      <c r="AE1040" s="55"/>
      <c r="AF1040" s="55"/>
      <c r="AG1040" s="55"/>
      <c r="AH1040" s="56">
        <f t="shared" si="725"/>
        <v>0</v>
      </c>
      <c r="AI1040" s="54"/>
      <c r="AJ1040" s="55"/>
      <c r="AK1040" s="55"/>
      <c r="AL1040" s="55"/>
      <c r="AM1040" s="56">
        <f t="shared" si="726"/>
        <v>0</v>
      </c>
      <c r="AN1040" s="54"/>
      <c r="AO1040" s="55"/>
      <c r="AP1040" s="55"/>
      <c r="AQ1040" s="55"/>
      <c r="AR1040" s="56">
        <f t="shared" si="737"/>
        <v>0</v>
      </c>
      <c r="AS1040" s="54"/>
      <c r="AT1040" s="55"/>
      <c r="AU1040" s="55"/>
      <c r="AV1040" s="55"/>
      <c r="AW1040" s="56">
        <f t="shared" si="738"/>
        <v>0</v>
      </c>
      <c r="AX1040" s="55"/>
      <c r="AY1040" s="55"/>
      <c r="AZ1040" s="55"/>
      <c r="BA1040" s="55"/>
      <c r="BB1040" s="56">
        <f t="shared" si="747"/>
        <v>0</v>
      </c>
      <c r="BC1040" s="56">
        <f t="shared" ref="BC1040:BC1043" si="764">AH1040+AM1040+AR1040+AW1040+BB1040</f>
        <v>0</v>
      </c>
      <c r="BE1040" s="276"/>
      <c r="BF1040" s="54"/>
      <c r="BG1040" s="55"/>
      <c r="BH1040" s="55"/>
      <c r="BI1040" s="55"/>
      <c r="BJ1040" s="56">
        <f t="shared" si="735"/>
        <v>0</v>
      </c>
      <c r="BL1040" s="276"/>
      <c r="BM1040" s="54"/>
      <c r="BN1040" s="55"/>
      <c r="BO1040" s="55"/>
      <c r="BP1040" s="55"/>
      <c r="BQ1040" s="56">
        <f t="shared" si="736"/>
        <v>0</v>
      </c>
    </row>
    <row r="1041" spans="1:70" x14ac:dyDescent="0.15">
      <c r="A1041" s="53" t="s">
        <v>310</v>
      </c>
      <c r="B1041" s="54"/>
      <c r="C1041" s="55">
        <v>1</v>
      </c>
      <c r="D1041" s="55">
        <v>2</v>
      </c>
      <c r="E1041" s="55">
        <v>3</v>
      </c>
      <c r="F1041" s="56">
        <f t="shared" si="742"/>
        <v>6</v>
      </c>
      <c r="G1041" s="54">
        <v>2</v>
      </c>
      <c r="H1041" s="55">
        <v>1</v>
      </c>
      <c r="I1041" s="55">
        <v>6</v>
      </c>
      <c r="J1041" s="55">
        <v>4</v>
      </c>
      <c r="K1041" s="56">
        <f t="shared" si="748"/>
        <v>13</v>
      </c>
      <c r="L1041" s="54">
        <v>2</v>
      </c>
      <c r="M1041" s="55"/>
      <c r="N1041" s="55">
        <v>2</v>
      </c>
      <c r="O1041" s="55">
        <v>1</v>
      </c>
      <c r="P1041" s="56">
        <f t="shared" si="749"/>
        <v>5</v>
      </c>
      <c r="Q1041" s="54">
        <v>1</v>
      </c>
      <c r="R1041" s="55">
        <v>1</v>
      </c>
      <c r="S1041" s="55">
        <v>2</v>
      </c>
      <c r="T1041" s="55">
        <v>1</v>
      </c>
      <c r="U1041" s="56">
        <f t="shared" si="750"/>
        <v>5</v>
      </c>
      <c r="V1041" s="55">
        <v>4</v>
      </c>
      <c r="W1041" s="55">
        <v>4</v>
      </c>
      <c r="X1041" s="55">
        <v>3</v>
      </c>
      <c r="Y1041" s="55">
        <v>1</v>
      </c>
      <c r="Z1041" s="56">
        <f t="shared" si="746"/>
        <v>12</v>
      </c>
      <c r="AA1041" s="56">
        <f t="shared" si="751"/>
        <v>41</v>
      </c>
      <c r="AB1041" s="299">
        <v>45234</v>
      </c>
      <c r="AC1041" s="276"/>
      <c r="AD1041" s="54"/>
      <c r="AE1041" s="55"/>
      <c r="AF1041" s="55"/>
      <c r="AG1041" s="55"/>
      <c r="AH1041" s="56">
        <f t="shared" si="725"/>
        <v>0</v>
      </c>
      <c r="AI1041" s="54"/>
      <c r="AJ1041" s="55"/>
      <c r="AK1041" s="55"/>
      <c r="AL1041" s="55"/>
      <c r="AM1041" s="56">
        <f t="shared" si="726"/>
        <v>0</v>
      </c>
      <c r="AN1041" s="54"/>
      <c r="AO1041" s="55"/>
      <c r="AP1041" s="55"/>
      <c r="AQ1041" s="55"/>
      <c r="AR1041" s="56">
        <f t="shared" si="737"/>
        <v>0</v>
      </c>
      <c r="AS1041" s="54"/>
      <c r="AT1041" s="55"/>
      <c r="AU1041" s="55"/>
      <c r="AV1041" s="55"/>
      <c r="AW1041" s="56">
        <f t="shared" si="738"/>
        <v>0</v>
      </c>
      <c r="AX1041" s="55"/>
      <c r="AY1041" s="55"/>
      <c r="AZ1041" s="55"/>
      <c r="BA1041" s="55"/>
      <c r="BB1041" s="56">
        <f t="shared" si="747"/>
        <v>0</v>
      </c>
      <c r="BC1041" s="56">
        <f t="shared" si="764"/>
        <v>0</v>
      </c>
      <c r="BE1041" s="277"/>
      <c r="BF1041" s="54"/>
      <c r="BG1041" s="55"/>
      <c r="BH1041" s="55"/>
      <c r="BI1041" s="55"/>
      <c r="BJ1041" s="56">
        <f t="shared" si="735"/>
        <v>0</v>
      </c>
      <c r="BL1041" s="277"/>
      <c r="BM1041" s="54"/>
      <c r="BN1041" s="55"/>
      <c r="BO1041" s="55"/>
      <c r="BP1041" s="55"/>
      <c r="BQ1041" s="56">
        <f t="shared" si="736"/>
        <v>0</v>
      </c>
    </row>
    <row r="1042" spans="1:70" x14ac:dyDescent="0.15">
      <c r="A1042" s="53" t="s">
        <v>98</v>
      </c>
      <c r="B1042" s="54"/>
      <c r="C1042" s="55"/>
      <c r="D1042" s="55"/>
      <c r="E1042" s="55"/>
      <c r="F1042" s="56">
        <f t="shared" si="742"/>
        <v>0</v>
      </c>
      <c r="G1042" s="54"/>
      <c r="H1042" s="55"/>
      <c r="I1042" s="55"/>
      <c r="J1042" s="55"/>
      <c r="K1042" s="56">
        <f t="shared" si="748"/>
        <v>0</v>
      </c>
      <c r="L1042" s="54"/>
      <c r="M1042" s="55"/>
      <c r="N1042" s="55"/>
      <c r="O1042" s="55"/>
      <c r="P1042" s="56">
        <f t="shared" si="749"/>
        <v>0</v>
      </c>
      <c r="Q1042" s="54"/>
      <c r="R1042" s="55"/>
      <c r="S1042" s="55">
        <v>1</v>
      </c>
      <c r="T1042" s="55">
        <v>1</v>
      </c>
      <c r="U1042" s="56">
        <f t="shared" si="750"/>
        <v>2</v>
      </c>
      <c r="V1042" s="55"/>
      <c r="W1042" s="55"/>
      <c r="X1042" s="55"/>
      <c r="Y1042" s="55"/>
      <c r="Z1042" s="56">
        <f t="shared" si="746"/>
        <v>0</v>
      </c>
      <c r="AA1042" s="56">
        <f t="shared" si="751"/>
        <v>2</v>
      </c>
      <c r="AB1042" s="299">
        <v>45236</v>
      </c>
      <c r="AC1042" s="276"/>
      <c r="AD1042" s="54"/>
      <c r="AE1042" s="55"/>
      <c r="AF1042" s="55"/>
      <c r="AG1042" s="55"/>
      <c r="AH1042" s="56">
        <f t="shared" si="725"/>
        <v>0</v>
      </c>
      <c r="AI1042" s="54"/>
      <c r="AJ1042" s="55"/>
      <c r="AK1042" s="55"/>
      <c r="AL1042" s="55"/>
      <c r="AM1042" s="56">
        <f t="shared" si="726"/>
        <v>0</v>
      </c>
      <c r="AN1042" s="54"/>
      <c r="AO1042" s="55"/>
      <c r="AP1042" s="55"/>
      <c r="AQ1042" s="55"/>
      <c r="AR1042" s="56">
        <f t="shared" si="737"/>
        <v>0</v>
      </c>
      <c r="AS1042" s="54"/>
      <c r="AT1042" s="55"/>
      <c r="AU1042" s="55"/>
      <c r="AV1042" s="55"/>
      <c r="AW1042" s="56">
        <f t="shared" si="738"/>
        <v>0</v>
      </c>
      <c r="AX1042" s="55"/>
      <c r="AY1042" s="55"/>
      <c r="AZ1042" s="55"/>
      <c r="BA1042" s="55"/>
      <c r="BB1042" s="56">
        <f t="shared" si="747"/>
        <v>0</v>
      </c>
      <c r="BC1042" s="56">
        <f t="shared" si="764"/>
        <v>0</v>
      </c>
      <c r="BE1042" s="268"/>
      <c r="BF1042" s="62"/>
      <c r="BG1042" s="63"/>
      <c r="BH1042" s="63"/>
      <c r="BI1042" s="63"/>
      <c r="BJ1042" s="56">
        <f t="shared" si="735"/>
        <v>0</v>
      </c>
      <c r="BL1042" s="268"/>
      <c r="BM1042" s="62"/>
      <c r="BN1042" s="63"/>
      <c r="BO1042" s="63"/>
      <c r="BP1042" s="63"/>
      <c r="BQ1042" s="56">
        <f t="shared" si="736"/>
        <v>0</v>
      </c>
    </row>
    <row r="1043" spans="1:70" x14ac:dyDescent="0.15">
      <c r="A1043" s="53" t="s">
        <v>555</v>
      </c>
      <c r="B1043" s="54"/>
      <c r="C1043" s="55"/>
      <c r="D1043" s="55"/>
      <c r="E1043" s="55"/>
      <c r="F1043" s="56">
        <f t="shared" si="742"/>
        <v>0</v>
      </c>
      <c r="G1043" s="54"/>
      <c r="H1043" s="55"/>
      <c r="I1043" s="55"/>
      <c r="J1043" s="55"/>
      <c r="K1043" s="56">
        <f t="shared" si="748"/>
        <v>0</v>
      </c>
      <c r="L1043" s="54"/>
      <c r="M1043" s="55"/>
      <c r="N1043" s="55"/>
      <c r="O1043" s="55"/>
      <c r="P1043" s="56">
        <f t="shared" si="749"/>
        <v>0</v>
      </c>
      <c r="Q1043" s="54"/>
      <c r="R1043" s="55">
        <v>-1</v>
      </c>
      <c r="S1043" s="55"/>
      <c r="T1043" s="55"/>
      <c r="U1043" s="56">
        <f t="shared" si="750"/>
        <v>-1</v>
      </c>
      <c r="V1043" s="55"/>
      <c r="W1043" s="55"/>
      <c r="X1043" s="55"/>
      <c r="Y1043" s="55"/>
      <c r="Z1043" s="56">
        <f t="shared" si="746"/>
        <v>0</v>
      </c>
      <c r="AA1043" s="56">
        <f t="shared" si="751"/>
        <v>-1</v>
      </c>
      <c r="AB1043" s="299">
        <v>45251</v>
      </c>
      <c r="AC1043" s="276"/>
      <c r="AD1043" s="54"/>
      <c r="AE1043" s="55"/>
      <c r="AF1043" s="55"/>
      <c r="AG1043" s="55"/>
      <c r="AH1043" s="56">
        <f t="shared" si="725"/>
        <v>0</v>
      </c>
      <c r="AI1043" s="54"/>
      <c r="AJ1043" s="55"/>
      <c r="AK1043" s="55"/>
      <c r="AL1043" s="55"/>
      <c r="AM1043" s="56">
        <f t="shared" si="726"/>
        <v>0</v>
      </c>
      <c r="AN1043" s="54"/>
      <c r="AO1043" s="55"/>
      <c r="AP1043" s="55"/>
      <c r="AQ1043" s="55"/>
      <c r="AR1043" s="56">
        <f t="shared" si="737"/>
        <v>0</v>
      </c>
      <c r="AS1043" s="54"/>
      <c r="AT1043" s="55"/>
      <c r="AU1043" s="55"/>
      <c r="AV1043" s="55"/>
      <c r="AW1043" s="56">
        <f t="shared" si="738"/>
        <v>0</v>
      </c>
      <c r="AX1043" s="55"/>
      <c r="AY1043" s="55"/>
      <c r="AZ1043" s="55"/>
      <c r="BA1043" s="55"/>
      <c r="BB1043" s="56">
        <f t="shared" si="747"/>
        <v>0</v>
      </c>
      <c r="BC1043" s="56">
        <f t="shared" si="764"/>
        <v>0</v>
      </c>
      <c r="BE1043" s="268"/>
      <c r="BF1043" s="54"/>
      <c r="BG1043" s="55"/>
      <c r="BH1043" s="55"/>
      <c r="BI1043" s="55"/>
      <c r="BJ1043" s="56">
        <f t="shared" si="735"/>
        <v>0</v>
      </c>
      <c r="BL1043" s="268"/>
      <c r="BM1043" s="54"/>
      <c r="BN1043" s="55"/>
      <c r="BO1043" s="55"/>
      <c r="BP1043" s="55"/>
      <c r="BQ1043" s="56">
        <f t="shared" si="736"/>
        <v>0</v>
      </c>
    </row>
    <row r="1044" spans="1:70" x14ac:dyDescent="0.15">
      <c r="A1044" s="53" t="s">
        <v>98</v>
      </c>
      <c r="B1044" s="54"/>
      <c r="C1044" s="55"/>
      <c r="D1044" s="55"/>
      <c r="E1044" s="55"/>
      <c r="F1044" s="56">
        <f t="shared" ref="F1044:F1048" si="765">SUM(B1044:E1044)</f>
        <v>0</v>
      </c>
      <c r="G1044" s="54"/>
      <c r="H1044" s="55">
        <v>1</v>
      </c>
      <c r="I1044" s="55"/>
      <c r="J1044" s="55"/>
      <c r="K1044" s="56">
        <f t="shared" si="743"/>
        <v>1</v>
      </c>
      <c r="L1044" s="54"/>
      <c r="M1044" s="55"/>
      <c r="N1044" s="55"/>
      <c r="O1044" s="55"/>
      <c r="P1044" s="56">
        <f t="shared" si="744"/>
        <v>0</v>
      </c>
      <c r="Q1044" s="54"/>
      <c r="R1044" s="55"/>
      <c r="S1044" s="55"/>
      <c r="T1044" s="55"/>
      <c r="U1044" s="56">
        <f t="shared" si="745"/>
        <v>0</v>
      </c>
      <c r="V1044" s="55"/>
      <c r="W1044" s="55"/>
      <c r="X1044" s="55"/>
      <c r="Y1044" s="55"/>
      <c r="Z1044" s="56">
        <f t="shared" ref="Z1044:Z1047" si="766">SUM(V1044:Y1044)</f>
        <v>0</v>
      </c>
      <c r="AA1044" s="56">
        <f t="shared" ref="AA1044:AA1045" si="767">F1044+K1044+P1044+U1044+Z1044</f>
        <v>1</v>
      </c>
      <c r="AB1044" s="299">
        <v>45258</v>
      </c>
      <c r="AC1044" s="276"/>
      <c r="AD1044" s="54"/>
      <c r="AE1044" s="55"/>
      <c r="AF1044" s="55"/>
      <c r="AG1044" s="55"/>
      <c r="AH1044" s="56">
        <f t="shared" ref="AH1044:AH1046" si="768">SUM(AD1044:AG1044)</f>
        <v>0</v>
      </c>
      <c r="AI1044" s="54"/>
      <c r="AJ1044" s="55"/>
      <c r="AK1044" s="55"/>
      <c r="AL1044" s="55"/>
      <c r="AM1044" s="56">
        <f t="shared" ref="AM1044:AM1046" si="769">SUM(AI1044:AL1044)</f>
        <v>0</v>
      </c>
      <c r="AN1044" s="54"/>
      <c r="AO1044" s="55"/>
      <c r="AP1044" s="55"/>
      <c r="AQ1044" s="55"/>
      <c r="AR1044" s="56">
        <f t="shared" ref="AR1044:AR1046" si="770">SUM(AN1044:AQ1044)</f>
        <v>0</v>
      </c>
      <c r="AS1044" s="54"/>
      <c r="AT1044" s="55"/>
      <c r="AU1044" s="55"/>
      <c r="AV1044" s="55"/>
      <c r="AW1044" s="56">
        <f t="shared" ref="AW1044:AW1046" si="771">SUM(AS1044:AV1044)</f>
        <v>0</v>
      </c>
      <c r="AX1044" s="55"/>
      <c r="AY1044" s="55"/>
      <c r="AZ1044" s="55"/>
      <c r="BA1044" s="55"/>
      <c r="BB1044" s="56">
        <f t="shared" ref="BB1044:BB1046" si="772">SUM(AX1044:BA1044)</f>
        <v>0</v>
      </c>
      <c r="BC1044" s="56">
        <f t="shared" ref="BC1044:BC1046" si="773">AH1044+AM1044+AR1044+AW1044+BB1044</f>
        <v>0</v>
      </c>
      <c r="BE1044" s="268"/>
      <c r="BF1044" s="62"/>
      <c r="BG1044" s="63"/>
      <c r="BH1044" s="63"/>
      <c r="BI1044" s="63"/>
      <c r="BJ1044" s="56">
        <f t="shared" si="735"/>
        <v>0</v>
      </c>
      <c r="BL1044" s="268"/>
      <c r="BM1044" s="62"/>
      <c r="BN1044" s="63"/>
      <c r="BO1044" s="63"/>
      <c r="BP1044" s="63"/>
      <c r="BQ1044" s="56">
        <f t="shared" si="736"/>
        <v>0</v>
      </c>
    </row>
    <row r="1045" spans="1:70" x14ac:dyDescent="0.15">
      <c r="A1045" s="53" t="s">
        <v>98</v>
      </c>
      <c r="B1045" s="54"/>
      <c r="C1045" s="55"/>
      <c r="D1045" s="55"/>
      <c r="E1045" s="55"/>
      <c r="F1045" s="56">
        <f t="shared" si="765"/>
        <v>0</v>
      </c>
      <c r="G1045" s="54">
        <v>1</v>
      </c>
      <c r="H1045" s="55"/>
      <c r="I1045" s="55"/>
      <c r="J1045" s="55"/>
      <c r="K1045" s="56">
        <f t="shared" si="743"/>
        <v>1</v>
      </c>
      <c r="L1045" s="54"/>
      <c r="M1045" s="55"/>
      <c r="N1045" s="55"/>
      <c r="O1045" s="55"/>
      <c r="P1045" s="56">
        <f t="shared" si="744"/>
        <v>0</v>
      </c>
      <c r="Q1045" s="54"/>
      <c r="R1045" s="55"/>
      <c r="S1045" s="55"/>
      <c r="T1045" s="55"/>
      <c r="U1045" s="56">
        <f t="shared" si="745"/>
        <v>0</v>
      </c>
      <c r="V1045" s="55"/>
      <c r="W1045" s="55"/>
      <c r="X1045" s="55"/>
      <c r="Y1045" s="55"/>
      <c r="Z1045" s="56">
        <f t="shared" si="766"/>
        <v>0</v>
      </c>
      <c r="AA1045" s="56">
        <f t="shared" si="767"/>
        <v>1</v>
      </c>
      <c r="AB1045" s="299">
        <v>45265</v>
      </c>
      <c r="AC1045" s="276"/>
      <c r="AD1045" s="54"/>
      <c r="AE1045" s="55"/>
      <c r="AF1045" s="55"/>
      <c r="AG1045" s="55"/>
      <c r="AH1045" s="56">
        <f t="shared" si="768"/>
        <v>0</v>
      </c>
      <c r="AI1045" s="54"/>
      <c r="AJ1045" s="55"/>
      <c r="AK1045" s="55"/>
      <c r="AL1045" s="55"/>
      <c r="AM1045" s="56">
        <f t="shared" si="769"/>
        <v>0</v>
      </c>
      <c r="AN1045" s="54"/>
      <c r="AO1045" s="55"/>
      <c r="AP1045" s="55"/>
      <c r="AQ1045" s="55"/>
      <c r="AR1045" s="56">
        <f t="shared" si="770"/>
        <v>0</v>
      </c>
      <c r="AS1045" s="54"/>
      <c r="AT1045" s="55"/>
      <c r="AU1045" s="55"/>
      <c r="AV1045" s="55"/>
      <c r="AW1045" s="56">
        <f t="shared" si="771"/>
        <v>0</v>
      </c>
      <c r="AX1045" s="55"/>
      <c r="AY1045" s="55"/>
      <c r="AZ1045" s="55"/>
      <c r="BA1045" s="55"/>
      <c r="BB1045" s="56">
        <f t="shared" si="772"/>
        <v>0</v>
      </c>
      <c r="BC1045" s="56">
        <f t="shared" si="773"/>
        <v>0</v>
      </c>
      <c r="BE1045" s="277"/>
      <c r="BF1045" s="54"/>
      <c r="BG1045" s="55"/>
      <c r="BH1045" s="55"/>
      <c r="BI1045" s="55"/>
      <c r="BJ1045" s="56">
        <f t="shared" si="735"/>
        <v>0</v>
      </c>
      <c r="BL1045" s="277"/>
      <c r="BM1045" s="54"/>
      <c r="BN1045" s="55"/>
      <c r="BO1045" s="55"/>
      <c r="BP1045" s="55"/>
      <c r="BQ1045" s="56">
        <f t="shared" si="736"/>
        <v>0</v>
      </c>
    </row>
    <row r="1046" spans="1:70" ht="14.25" thickBot="1" x14ac:dyDescent="0.2">
      <c r="A1046" s="53" t="s">
        <v>556</v>
      </c>
      <c r="B1046" s="33">
        <v>-1</v>
      </c>
      <c r="C1046" s="34">
        <v>-1</v>
      </c>
      <c r="D1046" s="34">
        <v>-1</v>
      </c>
      <c r="E1046" s="34"/>
      <c r="F1046" s="30">
        <f t="shared" si="765"/>
        <v>-3</v>
      </c>
      <c r="G1046" s="33">
        <v>-1</v>
      </c>
      <c r="H1046" s="34"/>
      <c r="I1046" s="34">
        <v>-2</v>
      </c>
      <c r="J1046" s="34"/>
      <c r="K1046" s="30">
        <f t="shared" si="743"/>
        <v>-3</v>
      </c>
      <c r="L1046" s="33"/>
      <c r="M1046" s="34"/>
      <c r="N1046" s="34"/>
      <c r="O1046" s="34"/>
      <c r="P1046" s="30">
        <f t="shared" si="744"/>
        <v>0</v>
      </c>
      <c r="Q1046" s="33"/>
      <c r="R1046" s="34"/>
      <c r="S1046" s="34"/>
      <c r="T1046" s="34"/>
      <c r="U1046" s="30">
        <f t="shared" si="745"/>
        <v>0</v>
      </c>
      <c r="V1046" s="34"/>
      <c r="W1046" s="34"/>
      <c r="X1046" s="34"/>
      <c r="Y1046" s="34"/>
      <c r="Z1046" s="30">
        <f t="shared" si="766"/>
        <v>0</v>
      </c>
      <c r="AA1046" s="56">
        <f>F1046+K1046+P1046+U1046+Z1046</f>
        <v>-6</v>
      </c>
      <c r="AB1046" s="299">
        <v>45266</v>
      </c>
      <c r="AC1046" s="276"/>
      <c r="AD1046" s="54"/>
      <c r="AE1046" s="55"/>
      <c r="AF1046" s="55"/>
      <c r="AG1046" s="55"/>
      <c r="AH1046" s="56">
        <f t="shared" si="768"/>
        <v>0</v>
      </c>
      <c r="AI1046" s="54"/>
      <c r="AJ1046" s="55"/>
      <c r="AK1046" s="55"/>
      <c r="AL1046" s="55"/>
      <c r="AM1046" s="56">
        <f t="shared" si="769"/>
        <v>0</v>
      </c>
      <c r="AN1046" s="54"/>
      <c r="AO1046" s="55"/>
      <c r="AP1046" s="55"/>
      <c r="AQ1046" s="55"/>
      <c r="AR1046" s="56">
        <f t="shared" si="770"/>
        <v>0</v>
      </c>
      <c r="AS1046" s="54"/>
      <c r="AT1046" s="55"/>
      <c r="AU1046" s="55"/>
      <c r="AV1046" s="55"/>
      <c r="AW1046" s="56">
        <f t="shared" si="771"/>
        <v>0</v>
      </c>
      <c r="AX1046" s="55"/>
      <c r="AY1046" s="55"/>
      <c r="AZ1046" s="55"/>
      <c r="BA1046" s="55"/>
      <c r="BB1046" s="56">
        <f t="shared" si="772"/>
        <v>0</v>
      </c>
      <c r="BC1046" s="56">
        <f t="shared" si="773"/>
        <v>0</v>
      </c>
      <c r="BE1046" s="282"/>
      <c r="BF1046" s="33"/>
      <c r="BG1046" s="34"/>
      <c r="BH1046" s="34"/>
      <c r="BI1046" s="34"/>
      <c r="BJ1046" s="30">
        <f t="shared" si="735"/>
        <v>0</v>
      </c>
      <c r="BL1046" s="282"/>
      <c r="BM1046" s="33"/>
      <c r="BN1046" s="34"/>
      <c r="BO1046" s="34"/>
      <c r="BP1046" s="34"/>
      <c r="BQ1046" s="30">
        <f t="shared" si="736"/>
        <v>0</v>
      </c>
    </row>
    <row r="1047" spans="1:70" ht="15" thickBot="1" x14ac:dyDescent="0.2">
      <c r="A1047" s="9" t="s">
        <v>15</v>
      </c>
      <c r="B1047" s="36">
        <f>SUM(B1021:B1046)</f>
        <v>5</v>
      </c>
      <c r="C1047" s="37">
        <f>SUM(C1021:C1046)</f>
        <v>4</v>
      </c>
      <c r="D1047" s="37">
        <f>SUM(D1021:D1046)</f>
        <v>2</v>
      </c>
      <c r="E1047" s="38">
        <f>SUM(E1021:E1046)</f>
        <v>3</v>
      </c>
      <c r="F1047" s="25">
        <f t="shared" si="765"/>
        <v>14</v>
      </c>
      <c r="G1047" s="36">
        <f>SUM(G1021:G1046)</f>
        <v>6</v>
      </c>
      <c r="H1047" s="37">
        <f>SUM(H1021:H1046)</f>
        <v>5</v>
      </c>
      <c r="I1047" s="37">
        <f>SUM(I1021:I1046)</f>
        <v>14</v>
      </c>
      <c r="J1047" s="38">
        <f>SUM(J1021:J1046)</f>
        <v>9</v>
      </c>
      <c r="K1047" s="25">
        <f t="shared" si="743"/>
        <v>34</v>
      </c>
      <c r="L1047" s="36">
        <f>SUM(L1021:L1046)</f>
        <v>2</v>
      </c>
      <c r="M1047" s="37">
        <f>SUM(M1021:M1046)</f>
        <v>1</v>
      </c>
      <c r="N1047" s="37">
        <f>SUM(N1021:N1046)</f>
        <v>2</v>
      </c>
      <c r="O1047" s="38">
        <f>SUM(O1021:O1046)</f>
        <v>1</v>
      </c>
      <c r="P1047" s="25">
        <f t="shared" si="744"/>
        <v>6</v>
      </c>
      <c r="Q1047" s="36">
        <f>SUM(Q1021:Q1046)</f>
        <v>4</v>
      </c>
      <c r="R1047" s="37">
        <f>SUM(R1021:R1046)</f>
        <v>2</v>
      </c>
      <c r="S1047" s="37">
        <f>SUM(S1021:S1046)</f>
        <v>6</v>
      </c>
      <c r="T1047" s="38">
        <f>SUM(T1021:T1046)</f>
        <v>4</v>
      </c>
      <c r="U1047" s="25">
        <f t="shared" si="745"/>
        <v>16</v>
      </c>
      <c r="V1047" s="322">
        <f>SUM(V1021:V1046)</f>
        <v>4</v>
      </c>
      <c r="W1047" s="37">
        <f>SUM(W1021:W1046)</f>
        <v>4</v>
      </c>
      <c r="X1047" s="37">
        <f>SUM(X1021:X1046)</f>
        <v>3</v>
      </c>
      <c r="Y1047" s="38">
        <f>SUM(Y1021:Y1046)</f>
        <v>3</v>
      </c>
      <c r="Z1047" s="25">
        <f t="shared" si="766"/>
        <v>14</v>
      </c>
      <c r="AA1047" s="161">
        <f>F1047+K1047+P1047+U1047+Z1047</f>
        <v>84</v>
      </c>
      <c r="AC1047" s="278" t="s">
        <v>15</v>
      </c>
      <c r="AD1047" s="36">
        <f>SUM(AD1021:AD1046)</f>
        <v>0</v>
      </c>
      <c r="AE1047" s="37">
        <f>SUM(AE1021:AE1046)</f>
        <v>0</v>
      </c>
      <c r="AF1047" s="37">
        <f>SUM(AF1021:AF1046)</f>
        <v>0</v>
      </c>
      <c r="AG1047" s="38">
        <f>SUM(AG1021:AG1046)</f>
        <v>3</v>
      </c>
      <c r="AH1047" s="25">
        <f t="shared" ref="AH1047:AH1048" si="774">SUM(AD1047:AG1047)</f>
        <v>3</v>
      </c>
      <c r="AI1047" s="36">
        <f>SUM(AI1021:AI1046)</f>
        <v>2</v>
      </c>
      <c r="AJ1047" s="37">
        <f>SUM(AJ1021:AJ1046)</f>
        <v>4</v>
      </c>
      <c r="AK1047" s="37">
        <f>SUM(AK1021:AK1046)</f>
        <v>0</v>
      </c>
      <c r="AL1047" s="38">
        <f>SUM(AL1021:AL1046)</f>
        <v>0</v>
      </c>
      <c r="AM1047" s="25">
        <f t="shared" ref="AM1047:AM1048" si="775">SUM(AI1047:AL1047)</f>
        <v>6</v>
      </c>
      <c r="AN1047" s="36">
        <f>SUM(AN1021:AN1046)</f>
        <v>0</v>
      </c>
      <c r="AO1047" s="37">
        <f>SUM(AO1021:AO1046)</f>
        <v>0</v>
      </c>
      <c r="AP1047" s="37">
        <f>SUM(AP1021:AP1046)</f>
        <v>0</v>
      </c>
      <c r="AQ1047" s="38">
        <f>SUM(AQ1021:AQ1046)</f>
        <v>0</v>
      </c>
      <c r="AR1047" s="25">
        <f t="shared" si="737"/>
        <v>0</v>
      </c>
      <c r="AS1047" s="36">
        <f>SUM(AS1021:AS1046)</f>
        <v>0</v>
      </c>
      <c r="AT1047" s="37">
        <f>SUM(AT1021:AT1046)</f>
        <v>2</v>
      </c>
      <c r="AU1047" s="37">
        <f>SUM(AU1021:AU1046)</f>
        <v>2</v>
      </c>
      <c r="AV1047" s="38">
        <f>SUM(AV1021:AV1046)</f>
        <v>5</v>
      </c>
      <c r="AW1047" s="25">
        <f t="shared" si="738"/>
        <v>9</v>
      </c>
      <c r="AX1047" s="322">
        <f>SUM(AX1021:AX1046)</f>
        <v>0</v>
      </c>
      <c r="AY1047" s="37">
        <f>SUM(AY1021:AY1046)</f>
        <v>2</v>
      </c>
      <c r="AZ1047" s="37">
        <f>SUM(AZ1021:AZ1046)</f>
        <v>2</v>
      </c>
      <c r="BA1047" s="38">
        <f>SUM(BA1021:BA1046)</f>
        <v>5</v>
      </c>
      <c r="BB1047" s="25">
        <f t="shared" si="747"/>
        <v>9</v>
      </c>
      <c r="BC1047" s="161">
        <f>AH1047+AM1047+AR1047+AW1047+BB1047</f>
        <v>27</v>
      </c>
      <c r="BE1047" s="278" t="s">
        <v>15</v>
      </c>
      <c r="BF1047" s="312">
        <f>SUM(BF1021:BF1046)</f>
        <v>0</v>
      </c>
      <c r="BG1047" s="302">
        <f>SUM(BG1021:BG1046)</f>
        <v>0</v>
      </c>
      <c r="BH1047" s="37">
        <f>SUM(BH1021:BH1046)</f>
        <v>3</v>
      </c>
      <c r="BI1047" s="316">
        <f>SUM(BI1021:BI1046)</f>
        <v>0</v>
      </c>
      <c r="BJ1047" s="25">
        <f t="shared" si="735"/>
        <v>3</v>
      </c>
      <c r="BL1047" s="278" t="s">
        <v>15</v>
      </c>
      <c r="BM1047" s="312">
        <f>SUM(BM1021:BM1046)</f>
        <v>0</v>
      </c>
      <c r="BN1047" s="302">
        <f>SUM(BN1021:BN1046)</f>
        <v>0</v>
      </c>
      <c r="BO1047" s="37">
        <f>SUM(BO1021:BO1046)</f>
        <v>2</v>
      </c>
      <c r="BP1047" s="316">
        <f>SUM(BP1021:BP1046)</f>
        <v>0</v>
      </c>
      <c r="BQ1047" s="25">
        <f t="shared" si="736"/>
        <v>2</v>
      </c>
    </row>
    <row r="1048" spans="1:70" ht="14.25" thickBot="1" x14ac:dyDescent="0.2">
      <c r="A1048" s="39" t="s">
        <v>16</v>
      </c>
      <c r="B1048" s="40">
        <f>B1020-B1047</f>
        <v>3</v>
      </c>
      <c r="C1048" s="41">
        <f>C1020-C1047</f>
        <v>3</v>
      </c>
      <c r="D1048" s="41">
        <f>D1020-D1047</f>
        <v>3</v>
      </c>
      <c r="E1048" s="42">
        <f>E1020-E1047</f>
        <v>2</v>
      </c>
      <c r="F1048" s="171">
        <f t="shared" si="765"/>
        <v>11</v>
      </c>
      <c r="G1048" s="40">
        <f>G1020-G1047</f>
        <v>2</v>
      </c>
      <c r="H1048" s="41">
        <f>H1020-H1047</f>
        <v>1</v>
      </c>
      <c r="I1048" s="41">
        <f>I1020-I1047</f>
        <v>4</v>
      </c>
      <c r="J1048" s="42">
        <f>J1020-J1047</f>
        <v>2</v>
      </c>
      <c r="K1048" s="171">
        <f t="shared" si="743"/>
        <v>9</v>
      </c>
      <c r="L1048" s="40">
        <f>L1020-L1047</f>
        <v>2</v>
      </c>
      <c r="M1048" s="41">
        <f>M1020-M1047</f>
        <v>2</v>
      </c>
      <c r="N1048" s="41">
        <f>N1020-N1047</f>
        <v>2</v>
      </c>
      <c r="O1048" s="42">
        <f>O1020-O1047</f>
        <v>2</v>
      </c>
      <c r="P1048" s="171">
        <f t="shared" si="744"/>
        <v>8</v>
      </c>
      <c r="Q1048" s="40">
        <f>Q1020-Q1047</f>
        <v>2</v>
      </c>
      <c r="R1048" s="41">
        <f>R1020-R1047</f>
        <v>3</v>
      </c>
      <c r="S1048" s="41">
        <f>S1020-S1047</f>
        <v>3</v>
      </c>
      <c r="T1048" s="42">
        <f>T1020-T1047</f>
        <v>3</v>
      </c>
      <c r="U1048" s="171">
        <f t="shared" si="745"/>
        <v>11</v>
      </c>
      <c r="V1048" s="323">
        <f>V1020-V1047</f>
        <v>2</v>
      </c>
      <c r="W1048" s="41">
        <f>W1020-W1047</f>
        <v>2</v>
      </c>
      <c r="X1048" s="41">
        <f>X1020-X1047</f>
        <v>2</v>
      </c>
      <c r="Y1048" s="42">
        <f>Y1020-Y1047</f>
        <v>2</v>
      </c>
      <c r="Z1048" s="171">
        <f>SUM(V1048:Y1048)</f>
        <v>8</v>
      </c>
      <c r="AA1048" s="77">
        <f>F1048+K1048+P1048+U1048+Z1048</f>
        <v>47</v>
      </c>
      <c r="AC1048" s="279" t="s">
        <v>16</v>
      </c>
      <c r="AD1048" s="40">
        <f>AD1020-AD1047</f>
        <v>92</v>
      </c>
      <c r="AE1048" s="41">
        <f>AE1020-AE1047</f>
        <v>90</v>
      </c>
      <c r="AF1048" s="41">
        <f>AF1020-AF1047</f>
        <v>144</v>
      </c>
      <c r="AG1048" s="42">
        <f>AG1020-AG1047</f>
        <v>67</v>
      </c>
      <c r="AH1048" s="171">
        <f t="shared" si="774"/>
        <v>393</v>
      </c>
      <c r="AI1048" s="40">
        <f>AI1020-AI1047</f>
        <v>93</v>
      </c>
      <c r="AJ1048" s="41">
        <f>AJ1020-AJ1047</f>
        <v>170</v>
      </c>
      <c r="AK1048" s="41">
        <f>AK1020-AK1047</f>
        <v>66</v>
      </c>
      <c r="AL1048" s="42">
        <f>AL1020-AL1047</f>
        <v>58</v>
      </c>
      <c r="AM1048" s="171">
        <f t="shared" si="775"/>
        <v>387</v>
      </c>
      <c r="AN1048" s="40">
        <f>AN1020-AN1047</f>
        <v>46</v>
      </c>
      <c r="AO1048" s="41">
        <f>AO1020-AO1047</f>
        <v>65</v>
      </c>
      <c r="AP1048" s="41">
        <f>AP1020-AP1047</f>
        <v>50</v>
      </c>
      <c r="AQ1048" s="42">
        <f>AQ1020-AQ1047</f>
        <v>31</v>
      </c>
      <c r="AR1048" s="171">
        <f t="shared" si="737"/>
        <v>192</v>
      </c>
      <c r="AS1048" s="40">
        <f>AS1020-AS1047</f>
        <v>122</v>
      </c>
      <c r="AT1048" s="41">
        <f>AT1020-AT1047</f>
        <v>197</v>
      </c>
      <c r="AU1048" s="41">
        <f>AU1020-AU1047</f>
        <v>76</v>
      </c>
      <c r="AV1048" s="42">
        <f>AV1020-AV1047</f>
        <v>63</v>
      </c>
      <c r="AW1048" s="171">
        <f t="shared" si="738"/>
        <v>458</v>
      </c>
      <c r="AX1048" s="323">
        <f>AX1020-AX1047</f>
        <v>112</v>
      </c>
      <c r="AY1048" s="41">
        <f>AY1020-AY1047</f>
        <v>102</v>
      </c>
      <c r="AZ1048" s="41">
        <f>AZ1020-AZ1047</f>
        <v>54</v>
      </c>
      <c r="BA1048" s="42">
        <f>BA1020-BA1047</f>
        <v>43</v>
      </c>
      <c r="BB1048" s="171">
        <f>SUM(AX1048:BA1048)</f>
        <v>311</v>
      </c>
      <c r="BC1048" s="77">
        <f>AH1048+AM1048+AR1048+AW1048+BB1048</f>
        <v>1741</v>
      </c>
      <c r="BE1048" s="279" t="s">
        <v>16</v>
      </c>
      <c r="BF1048" s="313">
        <f>BF1020-BF1047</f>
        <v>0</v>
      </c>
      <c r="BG1048" s="303">
        <f>BG1020-BG1047</f>
        <v>0</v>
      </c>
      <c r="BH1048" s="41">
        <f>BH1020-BH1047</f>
        <v>3</v>
      </c>
      <c r="BI1048" s="317">
        <f>BI1020-BI1047</f>
        <v>0</v>
      </c>
      <c r="BJ1048" s="171">
        <f t="shared" si="735"/>
        <v>3</v>
      </c>
      <c r="BL1048" s="279" t="s">
        <v>16</v>
      </c>
      <c r="BM1048" s="313">
        <f>BM1020-BM1047</f>
        <v>0</v>
      </c>
      <c r="BN1048" s="303">
        <f>BN1020-BN1047</f>
        <v>0</v>
      </c>
      <c r="BO1048" s="41">
        <f>BO1020-BO1047</f>
        <v>21</v>
      </c>
      <c r="BP1048" s="317">
        <f>BP1020-BP1047</f>
        <v>0</v>
      </c>
      <c r="BQ1048" s="171">
        <f t="shared" si="736"/>
        <v>21</v>
      </c>
    </row>
    <row r="1049" spans="1:70" x14ac:dyDescent="0.15">
      <c r="AI1049" s="342">
        <f>AI1047+AI1005+AI963+AI921+AI879+AI837</f>
        <v>144</v>
      </c>
      <c r="AJ1049" s="342">
        <f t="shared" ref="AJ1049:AM1049" si="776">AJ1047+AJ1005+AJ963+AJ921+AJ879+AJ837</f>
        <v>149</v>
      </c>
      <c r="AK1049" s="342">
        <f t="shared" si="776"/>
        <v>108</v>
      </c>
      <c r="AL1049" s="342">
        <f t="shared" si="776"/>
        <v>110</v>
      </c>
      <c r="AM1049" s="342">
        <f t="shared" si="776"/>
        <v>511</v>
      </c>
      <c r="AS1049" s="342">
        <f>AS1047+AS1005+AS963+AS921+AS879+AS837</f>
        <v>87</v>
      </c>
      <c r="AT1049" s="342">
        <f t="shared" ref="AT1049:AW1049" si="777">AT1047+AT1005+AT963+AT921+AT879+AT837</f>
        <v>167</v>
      </c>
      <c r="AU1049" s="342">
        <f t="shared" si="777"/>
        <v>125</v>
      </c>
      <c r="AV1049" s="342">
        <f t="shared" si="777"/>
        <v>129</v>
      </c>
      <c r="AW1049" s="342">
        <f t="shared" si="777"/>
        <v>508</v>
      </c>
    </row>
    <row r="1050" spans="1:70" x14ac:dyDescent="0.15">
      <c r="AI1050" s="342"/>
      <c r="AJ1050" s="342"/>
      <c r="AK1050" s="342"/>
      <c r="AL1050" s="342"/>
      <c r="AM1050" s="342"/>
      <c r="AS1050" s="342"/>
      <c r="AT1050" s="342"/>
      <c r="AU1050" s="342"/>
      <c r="AV1050" s="342"/>
      <c r="AW1050" s="342"/>
    </row>
    <row r="1051" spans="1:70" x14ac:dyDescent="0.15">
      <c r="AI1051" s="295">
        <f>AI1049/$AM$1049*100</f>
        <v>28.180039138943247</v>
      </c>
      <c r="AJ1051" s="295">
        <f t="shared" ref="AJ1051:AM1051" si="778">AJ1049/$AM$1049*100</f>
        <v>29.158512720156555</v>
      </c>
      <c r="AK1051" s="295">
        <f t="shared" si="778"/>
        <v>21.135029354207436</v>
      </c>
      <c r="AL1051" s="295">
        <f t="shared" si="778"/>
        <v>21.526418786692759</v>
      </c>
      <c r="AM1051" s="295">
        <f t="shared" si="778"/>
        <v>100</v>
      </c>
      <c r="AS1051" s="296">
        <f>AS1049/$AW$1049*100</f>
        <v>17.125984251968504</v>
      </c>
      <c r="AT1051" s="296">
        <f t="shared" ref="AT1051:AW1051" si="779">AT1049/$AW$1049*100</f>
        <v>32.874015748031496</v>
      </c>
      <c r="AU1051" s="296">
        <f t="shared" si="779"/>
        <v>24.606299212598426</v>
      </c>
      <c r="AV1051" s="296">
        <f t="shared" si="779"/>
        <v>25.393700787401574</v>
      </c>
      <c r="AW1051" s="296">
        <f t="shared" si="779"/>
        <v>100</v>
      </c>
    </row>
    <row r="1052" spans="1:70" ht="19.5" thickBot="1" x14ac:dyDescent="0.25">
      <c r="A1052" s="185" t="s">
        <v>19</v>
      </c>
      <c r="B1052" s="186"/>
      <c r="C1052" s="186"/>
      <c r="D1052" s="186"/>
      <c r="E1052" s="186"/>
      <c r="F1052" s="186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C1052" s="187" t="s">
        <v>73</v>
      </c>
      <c r="AD1052" s="188"/>
      <c r="AE1052" s="188"/>
      <c r="AF1052" s="188"/>
      <c r="AG1052" s="188"/>
      <c r="AH1052" s="188"/>
      <c r="AI1052" s="188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E1052" s="185" t="s">
        <v>19</v>
      </c>
      <c r="BF1052" s="186"/>
      <c r="BG1052" s="186"/>
      <c r="BH1052" s="186"/>
      <c r="BI1052" s="186"/>
      <c r="BJ1052" s="186"/>
      <c r="BL1052" s="187" t="s">
        <v>73</v>
      </c>
      <c r="BM1052" s="188"/>
      <c r="BN1052" s="188"/>
      <c r="BO1052" s="188"/>
      <c r="BP1052" s="188"/>
      <c r="BQ1052" s="188"/>
    </row>
    <row r="1053" spans="1:70" ht="14.25" thickBot="1" x14ac:dyDescent="0.2">
      <c r="A1053" s="3" t="s">
        <v>0</v>
      </c>
      <c r="B1053" s="365" t="s">
        <v>17</v>
      </c>
      <c r="C1053" s="366"/>
      <c r="D1053" s="366"/>
      <c r="E1053" s="366"/>
      <c r="F1053" s="367"/>
      <c r="G1053" s="368" t="s">
        <v>18</v>
      </c>
      <c r="H1053" s="369"/>
      <c r="I1053" s="369"/>
      <c r="J1053" s="369"/>
      <c r="K1053" s="370"/>
      <c r="L1053" s="371" t="s">
        <v>320</v>
      </c>
      <c r="M1053" s="372"/>
      <c r="N1053" s="372"/>
      <c r="O1053" s="372"/>
      <c r="P1053" s="373"/>
      <c r="Q1053" s="355" t="s">
        <v>75</v>
      </c>
      <c r="R1053" s="356"/>
      <c r="S1053" s="356"/>
      <c r="T1053" s="356"/>
      <c r="U1053" s="357"/>
      <c r="V1053" s="358" t="s">
        <v>456</v>
      </c>
      <c r="W1053" s="358"/>
      <c r="X1053" s="358"/>
      <c r="Y1053" s="358"/>
      <c r="Z1053" s="359"/>
      <c r="AA1053" s="360" t="s">
        <v>1</v>
      </c>
      <c r="AC1053" s="271" t="s">
        <v>0</v>
      </c>
      <c r="AD1053" s="365" t="s">
        <v>17</v>
      </c>
      <c r="AE1053" s="366"/>
      <c r="AF1053" s="366"/>
      <c r="AG1053" s="366"/>
      <c r="AH1053" s="367"/>
      <c r="AI1053" s="368" t="s">
        <v>18</v>
      </c>
      <c r="AJ1053" s="369"/>
      <c r="AK1053" s="369"/>
      <c r="AL1053" s="369"/>
      <c r="AM1053" s="370"/>
      <c r="AN1053" s="371" t="s">
        <v>320</v>
      </c>
      <c r="AO1053" s="372"/>
      <c r="AP1053" s="372"/>
      <c r="AQ1053" s="372"/>
      <c r="AR1053" s="373"/>
      <c r="AS1053" s="355" t="s">
        <v>75</v>
      </c>
      <c r="AT1053" s="356"/>
      <c r="AU1053" s="356"/>
      <c r="AV1053" s="356"/>
      <c r="AW1053" s="357"/>
      <c r="AX1053" s="358" t="s">
        <v>456</v>
      </c>
      <c r="AY1053" s="358"/>
      <c r="AZ1053" s="358"/>
      <c r="BA1053" s="358"/>
      <c r="BB1053" s="359"/>
      <c r="BC1053" s="360" t="s">
        <v>1</v>
      </c>
      <c r="BE1053" s="271" t="s">
        <v>0</v>
      </c>
      <c r="BF1053" s="362" t="s">
        <v>38</v>
      </c>
      <c r="BG1053" s="363"/>
      <c r="BH1053" s="363"/>
      <c r="BI1053" s="363"/>
      <c r="BJ1053" s="364"/>
      <c r="BL1053" s="271" t="s">
        <v>0</v>
      </c>
      <c r="BM1053" s="362" t="s">
        <v>38</v>
      </c>
      <c r="BN1053" s="363"/>
      <c r="BO1053" s="363"/>
      <c r="BP1053" s="363"/>
      <c r="BQ1053" s="364"/>
    </row>
    <row r="1054" spans="1:70" ht="14.25" thickBot="1" x14ac:dyDescent="0.2">
      <c r="A1054" s="5" t="s">
        <v>2</v>
      </c>
      <c r="B1054" s="6" t="s">
        <v>3</v>
      </c>
      <c r="C1054" s="7" t="s">
        <v>4</v>
      </c>
      <c r="D1054" s="7" t="s">
        <v>5</v>
      </c>
      <c r="E1054" s="8" t="s">
        <v>6</v>
      </c>
      <c r="F1054" s="5" t="s">
        <v>7</v>
      </c>
      <c r="G1054" s="6" t="s">
        <v>3</v>
      </c>
      <c r="H1054" s="7" t="s">
        <v>4</v>
      </c>
      <c r="I1054" s="7" t="s">
        <v>5</v>
      </c>
      <c r="J1054" s="8" t="s">
        <v>6</v>
      </c>
      <c r="K1054" s="5" t="s">
        <v>7</v>
      </c>
      <c r="L1054" s="6" t="s">
        <v>3</v>
      </c>
      <c r="M1054" s="7" t="s">
        <v>4</v>
      </c>
      <c r="N1054" s="7" t="s">
        <v>5</v>
      </c>
      <c r="O1054" s="8" t="s">
        <v>6</v>
      </c>
      <c r="P1054" s="5" t="s">
        <v>7</v>
      </c>
      <c r="Q1054" s="6" t="s">
        <v>3</v>
      </c>
      <c r="R1054" s="7" t="s">
        <v>4</v>
      </c>
      <c r="S1054" s="7" t="s">
        <v>5</v>
      </c>
      <c r="T1054" s="8" t="s">
        <v>6</v>
      </c>
      <c r="U1054" s="5" t="s">
        <v>7</v>
      </c>
      <c r="V1054" s="7" t="s">
        <v>3</v>
      </c>
      <c r="W1054" s="7" t="s">
        <v>4</v>
      </c>
      <c r="X1054" s="7" t="s">
        <v>5</v>
      </c>
      <c r="Y1054" s="8" t="s">
        <v>6</v>
      </c>
      <c r="Z1054" s="5" t="s">
        <v>7</v>
      </c>
      <c r="AA1054" s="361"/>
      <c r="AC1054" s="272" t="s">
        <v>2</v>
      </c>
      <c r="AD1054" s="6" t="s">
        <v>3</v>
      </c>
      <c r="AE1054" s="7" t="s">
        <v>4</v>
      </c>
      <c r="AF1054" s="7" t="s">
        <v>5</v>
      </c>
      <c r="AG1054" s="8" t="s">
        <v>6</v>
      </c>
      <c r="AH1054" s="5" t="s">
        <v>7</v>
      </c>
      <c r="AI1054" s="6" t="s">
        <v>3</v>
      </c>
      <c r="AJ1054" s="7" t="s">
        <v>4</v>
      </c>
      <c r="AK1054" s="7" t="s">
        <v>5</v>
      </c>
      <c r="AL1054" s="8" t="s">
        <v>6</v>
      </c>
      <c r="AM1054" s="5" t="s">
        <v>7</v>
      </c>
      <c r="AN1054" s="6" t="s">
        <v>3</v>
      </c>
      <c r="AO1054" s="7" t="s">
        <v>4</v>
      </c>
      <c r="AP1054" s="7" t="s">
        <v>5</v>
      </c>
      <c r="AQ1054" s="8" t="s">
        <v>6</v>
      </c>
      <c r="AR1054" s="5" t="s">
        <v>7</v>
      </c>
      <c r="AS1054" s="6" t="s">
        <v>3</v>
      </c>
      <c r="AT1054" s="7" t="s">
        <v>4</v>
      </c>
      <c r="AU1054" s="7" t="s">
        <v>5</v>
      </c>
      <c r="AV1054" s="8" t="s">
        <v>6</v>
      </c>
      <c r="AW1054" s="5" t="s">
        <v>7</v>
      </c>
      <c r="AX1054" s="7" t="s">
        <v>3</v>
      </c>
      <c r="AY1054" s="7" t="s">
        <v>4</v>
      </c>
      <c r="AZ1054" s="7" t="s">
        <v>5</v>
      </c>
      <c r="BA1054" s="8" t="s">
        <v>6</v>
      </c>
      <c r="BB1054" s="5" t="s">
        <v>7</v>
      </c>
      <c r="BC1054" s="361"/>
      <c r="BE1054" s="272" t="s">
        <v>2</v>
      </c>
      <c r="BF1054" s="6" t="s">
        <v>3</v>
      </c>
      <c r="BG1054" s="7" t="s">
        <v>4</v>
      </c>
      <c r="BH1054" s="7" t="s">
        <v>5</v>
      </c>
      <c r="BI1054" s="8" t="s">
        <v>6</v>
      </c>
      <c r="BJ1054" s="5" t="s">
        <v>7</v>
      </c>
      <c r="BL1054" s="272" t="s">
        <v>2</v>
      </c>
      <c r="BM1054" s="6" t="s">
        <v>3</v>
      </c>
      <c r="BN1054" s="7" t="s">
        <v>4</v>
      </c>
      <c r="BO1054" s="7" t="s">
        <v>5</v>
      </c>
      <c r="BP1054" s="8" t="s">
        <v>6</v>
      </c>
      <c r="BQ1054" s="5" t="s">
        <v>7</v>
      </c>
    </row>
    <row r="1055" spans="1:70" ht="15" thickBot="1" x14ac:dyDescent="0.2">
      <c r="A1055" s="291" t="s">
        <v>30</v>
      </c>
      <c r="B1055" s="292">
        <f>B1048</f>
        <v>3</v>
      </c>
      <c r="C1055" s="292">
        <f>C1048</f>
        <v>3</v>
      </c>
      <c r="D1055" s="292">
        <f>D1048</f>
        <v>3</v>
      </c>
      <c r="E1055" s="293">
        <f>E1048</f>
        <v>2</v>
      </c>
      <c r="F1055" s="77">
        <f t="shared" ref="F1055" si="780">SUM(B1055:E1055)</f>
        <v>11</v>
      </c>
      <c r="G1055" s="292">
        <f>G1048</f>
        <v>2</v>
      </c>
      <c r="H1055" s="292">
        <f>H1048</f>
        <v>1</v>
      </c>
      <c r="I1055" s="292">
        <f>I1048</f>
        <v>4</v>
      </c>
      <c r="J1055" s="293">
        <f>J1048</f>
        <v>2</v>
      </c>
      <c r="K1055" s="77">
        <f t="shared" ref="K1055:K1056" si="781">SUM(G1055:J1055)</f>
        <v>9</v>
      </c>
      <c r="L1055" s="292">
        <f>L1048</f>
        <v>2</v>
      </c>
      <c r="M1055" s="292">
        <f>M1048</f>
        <v>2</v>
      </c>
      <c r="N1055" s="292">
        <f>N1048</f>
        <v>2</v>
      </c>
      <c r="O1055" s="293">
        <f>O1048</f>
        <v>2</v>
      </c>
      <c r="P1055" s="77">
        <f t="shared" ref="P1055:P1056" si="782">SUM(L1055:O1055)</f>
        <v>8</v>
      </c>
      <c r="Q1055" s="324">
        <f>Q1048</f>
        <v>2</v>
      </c>
      <c r="R1055" s="292">
        <f>R1048</f>
        <v>3</v>
      </c>
      <c r="S1055" s="292">
        <f>S1048</f>
        <v>3</v>
      </c>
      <c r="T1055" s="293">
        <f>T1048</f>
        <v>3</v>
      </c>
      <c r="U1055" s="77">
        <f t="shared" ref="U1055:U1056" si="783">SUM(Q1055:T1055)</f>
        <v>11</v>
      </c>
      <c r="V1055" s="324">
        <f>V1048</f>
        <v>2</v>
      </c>
      <c r="W1055" s="292">
        <f>W1048</f>
        <v>2</v>
      </c>
      <c r="X1055" s="292">
        <f>X1048</f>
        <v>2</v>
      </c>
      <c r="Y1055" s="293">
        <f>Y1048</f>
        <v>2</v>
      </c>
      <c r="Z1055" s="77">
        <f t="shared" ref="Z1055:Z1056" si="784">SUM(V1055:Y1055)</f>
        <v>8</v>
      </c>
      <c r="AA1055" s="77">
        <f>F1055+K1055+P1055+U1055+Z1055</f>
        <v>47</v>
      </c>
      <c r="AC1055" s="294" t="s">
        <v>30</v>
      </c>
      <c r="AD1055" s="292">
        <f>AD1048</f>
        <v>92</v>
      </c>
      <c r="AE1055" s="292">
        <f>AE1048</f>
        <v>90</v>
      </c>
      <c r="AF1055" s="292">
        <f>AF1048</f>
        <v>144</v>
      </c>
      <c r="AG1055" s="293">
        <f>AG1048</f>
        <v>67</v>
      </c>
      <c r="AH1055" s="77">
        <f>SUM(AD1055:AG1055)</f>
        <v>393</v>
      </c>
      <c r="AI1055" s="292">
        <f>AI1048</f>
        <v>93</v>
      </c>
      <c r="AJ1055" s="292">
        <f>AJ1048</f>
        <v>170</v>
      </c>
      <c r="AK1055" s="292">
        <f>AK1048</f>
        <v>66</v>
      </c>
      <c r="AL1055" s="293">
        <f>AL1048</f>
        <v>58</v>
      </c>
      <c r="AM1055" s="77">
        <f>SUM(AI1055:AL1055)</f>
        <v>387</v>
      </c>
      <c r="AN1055" s="292">
        <f>AN1048</f>
        <v>46</v>
      </c>
      <c r="AO1055" s="292">
        <f>AO1048</f>
        <v>65</v>
      </c>
      <c r="AP1055" s="292">
        <f>AP1048</f>
        <v>50</v>
      </c>
      <c r="AQ1055" s="293">
        <f>AQ1048</f>
        <v>31</v>
      </c>
      <c r="AR1055" s="77">
        <f>SUM(AN1055:AQ1055)</f>
        <v>192</v>
      </c>
      <c r="AS1055" s="324">
        <f>AS1048</f>
        <v>122</v>
      </c>
      <c r="AT1055" s="292">
        <f>AT1048</f>
        <v>197</v>
      </c>
      <c r="AU1055" s="292">
        <f>AU1048</f>
        <v>76</v>
      </c>
      <c r="AV1055" s="293">
        <f>AV1048</f>
        <v>63</v>
      </c>
      <c r="AW1055" s="77">
        <f>SUM(AS1055:AV1055)</f>
        <v>458</v>
      </c>
      <c r="AX1055" s="324">
        <f>AX1048</f>
        <v>112</v>
      </c>
      <c r="AY1055" s="292">
        <f>AY1048</f>
        <v>102</v>
      </c>
      <c r="AZ1055" s="292">
        <f>AZ1048</f>
        <v>54</v>
      </c>
      <c r="BA1055" s="293">
        <f>BA1048</f>
        <v>43</v>
      </c>
      <c r="BB1055" s="77">
        <f>SUM(AX1055:BA1055)</f>
        <v>311</v>
      </c>
      <c r="BC1055" s="77">
        <f>AH1055+AM1055+AR1055+AW1055+BB1055</f>
        <v>1741</v>
      </c>
      <c r="BE1055" s="294" t="s">
        <v>30</v>
      </c>
      <c r="BF1055" s="40">
        <f>BF1048</f>
        <v>0</v>
      </c>
      <c r="BG1055" s="41">
        <f t="shared" ref="BG1055:BJ1055" si="785">BG1048</f>
        <v>0</v>
      </c>
      <c r="BH1055" s="41">
        <f t="shared" si="785"/>
        <v>3</v>
      </c>
      <c r="BI1055" s="42">
        <f t="shared" si="785"/>
        <v>0</v>
      </c>
      <c r="BJ1055" s="171">
        <f t="shared" si="785"/>
        <v>3</v>
      </c>
      <c r="BL1055" s="294" t="s">
        <v>30</v>
      </c>
      <c r="BM1055" s="292">
        <f>BM1048</f>
        <v>0</v>
      </c>
      <c r="BN1055" s="292">
        <f t="shared" ref="BN1055:BQ1055" si="786">BN1048</f>
        <v>0</v>
      </c>
      <c r="BO1055" s="292">
        <f t="shared" si="786"/>
        <v>21</v>
      </c>
      <c r="BP1055" s="292">
        <f t="shared" si="786"/>
        <v>0</v>
      </c>
      <c r="BQ1055" s="77">
        <f t="shared" si="786"/>
        <v>21</v>
      </c>
    </row>
    <row r="1056" spans="1:70" x14ac:dyDescent="0.15">
      <c r="A1056" s="53" t="s">
        <v>111</v>
      </c>
      <c r="B1056" s="55"/>
      <c r="C1056" s="153"/>
      <c r="D1056" s="153"/>
      <c r="E1056" s="168"/>
      <c r="F1056" s="56">
        <f t="shared" ref="F1056" si="787">SUM(B1056:E1056)</f>
        <v>0</v>
      </c>
      <c r="G1056" s="55"/>
      <c r="H1056" s="153">
        <v>2</v>
      </c>
      <c r="I1056" s="153"/>
      <c r="J1056" s="168"/>
      <c r="K1056" s="56">
        <f t="shared" si="781"/>
        <v>2</v>
      </c>
      <c r="L1056" s="55"/>
      <c r="M1056" s="153"/>
      <c r="N1056" s="153"/>
      <c r="O1056" s="168"/>
      <c r="P1056" s="56">
        <f t="shared" si="782"/>
        <v>0</v>
      </c>
      <c r="Q1056" s="54"/>
      <c r="R1056" s="153"/>
      <c r="S1056" s="153"/>
      <c r="T1056" s="168"/>
      <c r="U1056" s="56">
        <f t="shared" si="783"/>
        <v>0</v>
      </c>
      <c r="V1056" s="55"/>
      <c r="W1056" s="153"/>
      <c r="X1056" s="153"/>
      <c r="Y1056" s="168"/>
      <c r="Z1056" s="56">
        <f t="shared" si="784"/>
        <v>0</v>
      </c>
      <c r="AA1056" s="49">
        <f t="shared" ref="AA1056:AA1062" si="788">F1056+K1056+P1056+U1056+Z1056</f>
        <v>2</v>
      </c>
      <c r="AB1056" s="298">
        <v>45286</v>
      </c>
      <c r="AC1056" s="268" t="s">
        <v>28</v>
      </c>
      <c r="AD1056" s="55"/>
      <c r="AE1056" s="153"/>
      <c r="AF1056" s="153"/>
      <c r="AG1056" s="168"/>
      <c r="AH1056" s="56">
        <f t="shared" ref="AH1056:AH1060" si="789">SUM(AD1056:AG1056)</f>
        <v>0</v>
      </c>
      <c r="AI1056" s="55"/>
      <c r="AJ1056" s="153"/>
      <c r="AK1056" s="153"/>
      <c r="AL1056" s="168"/>
      <c r="AM1056" s="56">
        <f t="shared" ref="AM1056:AM1060" si="790">SUM(AI1056:AL1056)</f>
        <v>0</v>
      </c>
      <c r="AN1056" s="55"/>
      <c r="AO1056" s="153"/>
      <c r="AP1056" s="153"/>
      <c r="AQ1056" s="168"/>
      <c r="AR1056" s="56">
        <f t="shared" ref="AR1056:AR1060" si="791">SUM(AN1056:AQ1056)</f>
        <v>0</v>
      </c>
      <c r="AS1056" s="54"/>
      <c r="AT1056" s="153"/>
      <c r="AU1056" s="153"/>
      <c r="AV1056" s="168"/>
      <c r="AW1056" s="56">
        <f t="shared" ref="AW1056:AW1060" si="792">SUM(AS1056:AV1056)</f>
        <v>0</v>
      </c>
      <c r="AX1056" s="55"/>
      <c r="AY1056" s="153"/>
      <c r="AZ1056" s="153"/>
      <c r="BA1056" s="168"/>
      <c r="BB1056" s="49">
        <f t="shared" ref="BB1056:BB1060" si="793">SUM(AX1056:BA1056)</f>
        <v>0</v>
      </c>
      <c r="BC1056" s="49">
        <f t="shared" ref="BC1056:BC1060" si="794">AH1056+AM1056+AR1056+AW1056+BB1056</f>
        <v>0</v>
      </c>
      <c r="BE1056" s="268" t="s">
        <v>28</v>
      </c>
      <c r="BF1056" s="55"/>
      <c r="BG1056" s="153"/>
      <c r="BH1056" s="153"/>
      <c r="BI1056" s="168"/>
      <c r="BJ1056" s="56">
        <f t="shared" ref="BJ1056:BJ1058" si="795">SUM(BF1056:BI1056)</f>
        <v>0</v>
      </c>
      <c r="BL1056" s="268" t="s">
        <v>28</v>
      </c>
      <c r="BM1056" s="51"/>
      <c r="BN1056" s="52"/>
      <c r="BO1056" s="52"/>
      <c r="BP1056" s="52"/>
      <c r="BQ1056" s="49">
        <f t="shared" ref="BQ1056:BQ1058" si="796">SUM(BM1056:BP1056)</f>
        <v>0</v>
      </c>
      <c r="BR1056" s="304"/>
    </row>
    <row r="1057" spans="1:69" x14ac:dyDescent="0.15">
      <c r="A1057" s="53" t="s">
        <v>111</v>
      </c>
      <c r="B1057" s="55"/>
      <c r="C1057" s="153"/>
      <c r="D1057" s="153"/>
      <c r="E1057" s="168">
        <v>2</v>
      </c>
      <c r="F1057" s="56">
        <f t="shared" ref="F1057:F1091" si="797">SUM(B1057:E1057)</f>
        <v>2</v>
      </c>
      <c r="G1057" s="55"/>
      <c r="H1057" s="153"/>
      <c r="I1057" s="153"/>
      <c r="J1057" s="168"/>
      <c r="K1057" s="56">
        <f t="shared" ref="K1057:K1063" si="798">SUM(G1057:J1057)</f>
        <v>0</v>
      </c>
      <c r="L1057" s="55"/>
      <c r="M1057" s="153"/>
      <c r="N1057" s="153"/>
      <c r="O1057" s="168"/>
      <c r="P1057" s="56">
        <f t="shared" ref="P1057:P1063" si="799">SUM(L1057:O1057)</f>
        <v>0</v>
      </c>
      <c r="Q1057" s="54"/>
      <c r="R1057" s="153">
        <v>2</v>
      </c>
      <c r="S1057" s="153"/>
      <c r="T1057" s="168"/>
      <c r="U1057" s="56">
        <f t="shared" ref="U1057:U1063" si="800">SUM(Q1057:T1057)</f>
        <v>2</v>
      </c>
      <c r="V1057" s="55"/>
      <c r="W1057" s="153"/>
      <c r="X1057" s="153">
        <v>2</v>
      </c>
      <c r="Y1057" s="168">
        <v>2</v>
      </c>
      <c r="Z1057" s="56">
        <f t="shared" ref="Z1057:Z1090" si="801">SUM(V1057:Y1057)</f>
        <v>4</v>
      </c>
      <c r="AA1057" s="49">
        <f t="shared" si="788"/>
        <v>8</v>
      </c>
      <c r="AB1057" s="298">
        <v>45320</v>
      </c>
      <c r="AC1057" s="268" t="s">
        <v>28</v>
      </c>
      <c r="AD1057" s="55"/>
      <c r="AE1057" s="153"/>
      <c r="AF1057" s="153"/>
      <c r="AG1057" s="168"/>
      <c r="AH1057" s="56">
        <f t="shared" si="789"/>
        <v>0</v>
      </c>
      <c r="AI1057" s="55"/>
      <c r="AJ1057" s="153"/>
      <c r="AK1057" s="153"/>
      <c r="AL1057" s="168"/>
      <c r="AM1057" s="56">
        <f t="shared" si="790"/>
        <v>0</v>
      </c>
      <c r="AN1057" s="55"/>
      <c r="AO1057" s="153"/>
      <c r="AP1057" s="153"/>
      <c r="AQ1057" s="168"/>
      <c r="AR1057" s="56">
        <f t="shared" si="791"/>
        <v>0</v>
      </c>
      <c r="AS1057" s="54"/>
      <c r="AT1057" s="153"/>
      <c r="AU1057" s="153"/>
      <c r="AV1057" s="168"/>
      <c r="AW1057" s="56">
        <f t="shared" si="792"/>
        <v>0</v>
      </c>
      <c r="AX1057" s="55"/>
      <c r="AY1057" s="153"/>
      <c r="AZ1057" s="153"/>
      <c r="BA1057" s="168"/>
      <c r="BB1057" s="49">
        <f t="shared" si="793"/>
        <v>0</v>
      </c>
      <c r="BC1057" s="49">
        <f t="shared" si="794"/>
        <v>0</v>
      </c>
      <c r="BE1057" s="268" t="s">
        <v>28</v>
      </c>
      <c r="BF1057" s="55"/>
      <c r="BG1057" s="153"/>
      <c r="BH1057" s="153"/>
      <c r="BI1057" s="168"/>
      <c r="BJ1057" s="56">
        <f t="shared" si="795"/>
        <v>0</v>
      </c>
      <c r="BL1057" s="268" t="s">
        <v>28</v>
      </c>
      <c r="BM1057" s="54"/>
      <c r="BN1057" s="55"/>
      <c r="BO1057" s="55"/>
      <c r="BP1057" s="55"/>
      <c r="BQ1057" s="56">
        <f t="shared" si="796"/>
        <v>0</v>
      </c>
    </row>
    <row r="1058" spans="1:69" x14ac:dyDescent="0.15">
      <c r="A1058" s="53" t="s">
        <v>111</v>
      </c>
      <c r="B1058" s="55"/>
      <c r="C1058" s="153"/>
      <c r="D1058" s="153"/>
      <c r="E1058" s="168"/>
      <c r="F1058" s="56">
        <f t="shared" si="797"/>
        <v>0</v>
      </c>
      <c r="G1058" s="55"/>
      <c r="H1058" s="153"/>
      <c r="I1058" s="153"/>
      <c r="J1058" s="168"/>
      <c r="K1058" s="56">
        <f t="shared" si="798"/>
        <v>0</v>
      </c>
      <c r="L1058" s="55"/>
      <c r="M1058" s="153"/>
      <c r="N1058" s="153"/>
      <c r="O1058" s="168"/>
      <c r="P1058" s="56">
        <f t="shared" si="799"/>
        <v>0</v>
      </c>
      <c r="Q1058" s="54"/>
      <c r="R1058" s="153"/>
      <c r="S1058" s="153"/>
      <c r="T1058" s="168">
        <v>3</v>
      </c>
      <c r="U1058" s="56">
        <f t="shared" si="800"/>
        <v>3</v>
      </c>
      <c r="V1058" s="55"/>
      <c r="W1058" s="153"/>
      <c r="X1058" s="153"/>
      <c r="Y1058" s="168">
        <v>2</v>
      </c>
      <c r="Z1058" s="56">
        <f t="shared" si="801"/>
        <v>2</v>
      </c>
      <c r="AA1058" s="49">
        <f t="shared" si="788"/>
        <v>5</v>
      </c>
      <c r="AB1058" s="298">
        <v>45329</v>
      </c>
      <c r="AC1058" s="268" t="s">
        <v>28</v>
      </c>
      <c r="AD1058" s="55"/>
      <c r="AE1058" s="153"/>
      <c r="AF1058" s="153"/>
      <c r="AG1058" s="168"/>
      <c r="AH1058" s="56">
        <f t="shared" ref="AH1058" si="802">SUM(AD1058:AG1058)</f>
        <v>0</v>
      </c>
      <c r="AI1058" s="55"/>
      <c r="AJ1058" s="153"/>
      <c r="AK1058" s="153"/>
      <c r="AL1058" s="168"/>
      <c r="AM1058" s="56">
        <f t="shared" ref="AM1058" si="803">SUM(AI1058:AL1058)</f>
        <v>0</v>
      </c>
      <c r="AN1058" s="55"/>
      <c r="AO1058" s="153"/>
      <c r="AP1058" s="153"/>
      <c r="AQ1058" s="168"/>
      <c r="AR1058" s="56">
        <f t="shared" ref="AR1058" si="804">SUM(AN1058:AQ1058)</f>
        <v>0</v>
      </c>
      <c r="AS1058" s="54"/>
      <c r="AT1058" s="153"/>
      <c r="AU1058" s="153"/>
      <c r="AV1058" s="168"/>
      <c r="AW1058" s="56">
        <f t="shared" ref="AW1058" si="805">SUM(AS1058:AV1058)</f>
        <v>0</v>
      </c>
      <c r="AX1058" s="55"/>
      <c r="AY1058" s="153"/>
      <c r="AZ1058" s="153"/>
      <c r="BA1058" s="168"/>
      <c r="BB1058" s="49">
        <f t="shared" ref="BB1058" si="806">SUM(AX1058:BA1058)</f>
        <v>0</v>
      </c>
      <c r="BC1058" s="49">
        <f t="shared" ref="BC1058" si="807">AH1058+AM1058+AR1058+AW1058+BB1058</f>
        <v>0</v>
      </c>
      <c r="BE1058" s="268" t="s">
        <v>28</v>
      </c>
      <c r="BF1058" s="55"/>
      <c r="BG1058" s="153"/>
      <c r="BH1058" s="153"/>
      <c r="BI1058" s="168"/>
      <c r="BJ1058" s="56">
        <f t="shared" si="795"/>
        <v>0</v>
      </c>
      <c r="BL1058" s="268" t="s">
        <v>28</v>
      </c>
      <c r="BM1058" s="55"/>
      <c r="BN1058" s="153"/>
      <c r="BO1058" s="153"/>
      <c r="BP1058" s="168"/>
      <c r="BQ1058" s="56">
        <f t="shared" si="796"/>
        <v>0</v>
      </c>
    </row>
    <row r="1059" spans="1:69" x14ac:dyDescent="0.15">
      <c r="A1059" s="53" t="s">
        <v>109</v>
      </c>
      <c r="B1059" s="55"/>
      <c r="C1059" s="153"/>
      <c r="D1059" s="153"/>
      <c r="E1059" s="168">
        <v>1</v>
      </c>
      <c r="F1059" s="56">
        <f t="shared" si="797"/>
        <v>1</v>
      </c>
      <c r="G1059" s="55"/>
      <c r="H1059" s="153"/>
      <c r="I1059" s="153"/>
      <c r="J1059" s="168"/>
      <c r="K1059" s="56">
        <f t="shared" si="798"/>
        <v>0</v>
      </c>
      <c r="L1059" s="55"/>
      <c r="M1059" s="153"/>
      <c r="N1059" s="153"/>
      <c r="O1059" s="168"/>
      <c r="P1059" s="56">
        <f t="shared" si="799"/>
        <v>0</v>
      </c>
      <c r="Q1059" s="54"/>
      <c r="R1059" s="153"/>
      <c r="S1059" s="153"/>
      <c r="T1059" s="168"/>
      <c r="U1059" s="56">
        <f t="shared" si="800"/>
        <v>0</v>
      </c>
      <c r="V1059" s="55"/>
      <c r="W1059" s="153"/>
      <c r="X1059" s="153"/>
      <c r="Y1059" s="168"/>
      <c r="Z1059" s="56">
        <f t="shared" si="801"/>
        <v>0</v>
      </c>
      <c r="AA1059" s="49">
        <f t="shared" si="788"/>
        <v>1</v>
      </c>
      <c r="AB1059" s="298">
        <v>45331</v>
      </c>
      <c r="AC1059" s="268" t="s">
        <v>28</v>
      </c>
      <c r="AD1059" s="55"/>
      <c r="AE1059" s="153"/>
      <c r="AF1059" s="153"/>
      <c r="AG1059" s="168"/>
      <c r="AH1059" s="56">
        <f t="shared" si="789"/>
        <v>0</v>
      </c>
      <c r="AI1059" s="55"/>
      <c r="AJ1059" s="153"/>
      <c r="AK1059" s="153"/>
      <c r="AL1059" s="168"/>
      <c r="AM1059" s="56">
        <f t="shared" si="790"/>
        <v>0</v>
      </c>
      <c r="AN1059" s="55"/>
      <c r="AO1059" s="153"/>
      <c r="AP1059" s="153"/>
      <c r="AQ1059" s="168"/>
      <c r="AR1059" s="56">
        <f t="shared" si="791"/>
        <v>0</v>
      </c>
      <c r="AS1059" s="54"/>
      <c r="AT1059" s="153"/>
      <c r="AU1059" s="153"/>
      <c r="AV1059" s="168"/>
      <c r="AW1059" s="56">
        <f t="shared" si="792"/>
        <v>0</v>
      </c>
      <c r="AX1059" s="55"/>
      <c r="AY1059" s="153"/>
      <c r="AZ1059" s="153"/>
      <c r="BA1059" s="168"/>
      <c r="BB1059" s="49">
        <f t="shared" si="793"/>
        <v>0</v>
      </c>
      <c r="BC1059" s="49">
        <f t="shared" si="794"/>
        <v>0</v>
      </c>
      <c r="BE1059" s="268" t="s">
        <v>28</v>
      </c>
      <c r="BF1059" s="63"/>
      <c r="BG1059" s="63"/>
      <c r="BH1059" s="63"/>
      <c r="BI1059" s="167"/>
      <c r="BJ1059" s="64">
        <v>0</v>
      </c>
      <c r="BL1059" s="268" t="s">
        <v>28</v>
      </c>
      <c r="BM1059" s="63"/>
      <c r="BN1059" s="63"/>
      <c r="BO1059" s="63"/>
      <c r="BP1059" s="167"/>
      <c r="BQ1059" s="64">
        <v>0</v>
      </c>
    </row>
    <row r="1060" spans="1:69" x14ac:dyDescent="0.15">
      <c r="A1060" s="65" t="s">
        <v>567</v>
      </c>
      <c r="B1060" s="54"/>
      <c r="C1060" s="55"/>
      <c r="D1060" s="55"/>
      <c r="E1060" s="55"/>
      <c r="F1060" s="56">
        <f t="shared" si="797"/>
        <v>0</v>
      </c>
      <c r="G1060" s="54"/>
      <c r="H1060" s="55"/>
      <c r="I1060" s="55"/>
      <c r="J1060" s="55"/>
      <c r="K1060" s="56">
        <f t="shared" si="798"/>
        <v>0</v>
      </c>
      <c r="L1060" s="54"/>
      <c r="M1060" s="55"/>
      <c r="N1060" s="55"/>
      <c r="O1060" s="55"/>
      <c r="P1060" s="56">
        <f t="shared" si="799"/>
        <v>0</v>
      </c>
      <c r="Q1060" s="54">
        <v>1</v>
      </c>
      <c r="R1060" s="55"/>
      <c r="S1060" s="55"/>
      <c r="T1060" s="55"/>
      <c r="U1060" s="56">
        <f t="shared" si="800"/>
        <v>1</v>
      </c>
      <c r="V1060" s="55"/>
      <c r="W1060" s="153"/>
      <c r="X1060" s="153"/>
      <c r="Y1060" s="168"/>
      <c r="Z1060" s="56">
        <f t="shared" si="801"/>
        <v>0</v>
      </c>
      <c r="AA1060" s="49">
        <f t="shared" si="788"/>
        <v>1</v>
      </c>
      <c r="AB1060" s="299">
        <v>45339</v>
      </c>
      <c r="AC1060" s="268" t="s">
        <v>28</v>
      </c>
      <c r="AD1060" s="55"/>
      <c r="AE1060" s="153"/>
      <c r="AF1060" s="153"/>
      <c r="AG1060" s="168"/>
      <c r="AH1060" s="56">
        <f t="shared" si="789"/>
        <v>0</v>
      </c>
      <c r="AI1060" s="55"/>
      <c r="AJ1060" s="153"/>
      <c r="AK1060" s="153"/>
      <c r="AL1060" s="168"/>
      <c r="AM1060" s="56">
        <f t="shared" si="790"/>
        <v>0</v>
      </c>
      <c r="AN1060" s="55"/>
      <c r="AO1060" s="153"/>
      <c r="AP1060" s="153"/>
      <c r="AQ1060" s="168"/>
      <c r="AR1060" s="56">
        <f t="shared" si="791"/>
        <v>0</v>
      </c>
      <c r="AS1060" s="54"/>
      <c r="AT1060" s="153"/>
      <c r="AU1060" s="153"/>
      <c r="AV1060" s="168"/>
      <c r="AW1060" s="56">
        <f t="shared" si="792"/>
        <v>0</v>
      </c>
      <c r="AX1060" s="55"/>
      <c r="AY1060" s="153"/>
      <c r="AZ1060" s="153"/>
      <c r="BA1060" s="168"/>
      <c r="BB1060" s="49">
        <f t="shared" si="793"/>
        <v>0</v>
      </c>
      <c r="BC1060" s="49">
        <f t="shared" si="794"/>
        <v>0</v>
      </c>
      <c r="BE1060" s="268" t="s">
        <v>28</v>
      </c>
      <c r="BF1060" s="55"/>
      <c r="BG1060" s="153"/>
      <c r="BH1060" s="153"/>
      <c r="BI1060" s="168"/>
      <c r="BJ1060" s="56">
        <f t="shared" ref="BJ1060:BJ1091" si="808">SUM(BF1060:BI1060)</f>
        <v>0</v>
      </c>
      <c r="BL1060" s="268" t="s">
        <v>28</v>
      </c>
      <c r="BM1060" s="55"/>
      <c r="BN1060" s="153"/>
      <c r="BO1060" s="153"/>
      <c r="BP1060" s="168"/>
      <c r="BQ1060" s="56">
        <f t="shared" ref="BQ1060:BQ1091" si="809">SUM(BM1060:BP1060)</f>
        <v>0</v>
      </c>
    </row>
    <row r="1061" spans="1:69" x14ac:dyDescent="0.15">
      <c r="A1061" s="53" t="s">
        <v>111</v>
      </c>
      <c r="B1061" s="55"/>
      <c r="C1061" s="153"/>
      <c r="D1061" s="153"/>
      <c r="E1061" s="168"/>
      <c r="F1061" s="56">
        <f t="shared" si="797"/>
        <v>0</v>
      </c>
      <c r="G1061" s="55">
        <v>2</v>
      </c>
      <c r="H1061" s="153">
        <v>2</v>
      </c>
      <c r="I1061" s="153"/>
      <c r="J1061" s="168"/>
      <c r="K1061" s="56">
        <f t="shared" si="798"/>
        <v>4</v>
      </c>
      <c r="L1061" s="55"/>
      <c r="M1061" s="153"/>
      <c r="N1061" s="153"/>
      <c r="O1061" s="168"/>
      <c r="P1061" s="56">
        <f t="shared" si="799"/>
        <v>0</v>
      </c>
      <c r="Q1061" s="54"/>
      <c r="R1061" s="153"/>
      <c r="S1061" s="153"/>
      <c r="T1061" s="168"/>
      <c r="U1061" s="56">
        <f t="shared" si="800"/>
        <v>0</v>
      </c>
      <c r="V1061" s="55"/>
      <c r="W1061" s="153"/>
      <c r="X1061" s="153"/>
      <c r="Y1061" s="168"/>
      <c r="Z1061" s="56">
        <f t="shared" si="801"/>
        <v>0</v>
      </c>
      <c r="AA1061" s="49">
        <f t="shared" si="788"/>
        <v>4</v>
      </c>
      <c r="AB1061" s="298">
        <v>45344</v>
      </c>
      <c r="AC1061" s="268" t="s">
        <v>28</v>
      </c>
      <c r="AD1061" s="55"/>
      <c r="AE1061" s="153"/>
      <c r="AF1061" s="153"/>
      <c r="AG1061" s="168"/>
      <c r="AH1061" s="56">
        <f t="shared" ref="AH1061:AH1086" si="810">SUM(AD1061:AG1061)</f>
        <v>0</v>
      </c>
      <c r="AI1061" s="55"/>
      <c r="AJ1061" s="153"/>
      <c r="AK1061" s="153"/>
      <c r="AL1061" s="168"/>
      <c r="AM1061" s="56">
        <f t="shared" ref="AM1061:AM1086" si="811">SUM(AI1061:AL1061)</f>
        <v>0</v>
      </c>
      <c r="AN1061" s="55"/>
      <c r="AO1061" s="153"/>
      <c r="AP1061" s="153"/>
      <c r="AQ1061" s="168"/>
      <c r="AR1061" s="56">
        <f t="shared" ref="AR1061:AR1091" si="812">SUM(AN1061:AQ1061)</f>
        <v>0</v>
      </c>
      <c r="AS1061" s="54"/>
      <c r="AT1061" s="153"/>
      <c r="AU1061" s="153"/>
      <c r="AV1061" s="168"/>
      <c r="AW1061" s="56">
        <f t="shared" ref="AW1061:AW1091" si="813">SUM(AS1061:AV1061)</f>
        <v>0</v>
      </c>
      <c r="AX1061" s="55"/>
      <c r="AY1061" s="153"/>
      <c r="AZ1061" s="153"/>
      <c r="BA1061" s="168"/>
      <c r="BB1061" s="49">
        <f t="shared" ref="BB1061:BB1090" si="814">SUM(AX1061:BA1061)</f>
        <v>0</v>
      </c>
      <c r="BC1061" s="49">
        <f t="shared" ref="BC1061:BC1062" si="815">AH1061+AM1061+AR1061+AW1061+BB1061</f>
        <v>0</v>
      </c>
      <c r="BE1061" s="268" t="s">
        <v>28</v>
      </c>
      <c r="BF1061" s="55"/>
      <c r="BG1061" s="153"/>
      <c r="BH1061" s="153"/>
      <c r="BI1061" s="168"/>
      <c r="BJ1061" s="56">
        <f t="shared" si="808"/>
        <v>0</v>
      </c>
      <c r="BL1061" s="268" t="s">
        <v>28</v>
      </c>
      <c r="BM1061" s="55"/>
      <c r="BN1061" s="153"/>
      <c r="BO1061" s="153"/>
      <c r="BP1061" s="168"/>
      <c r="BQ1061" s="56">
        <f t="shared" si="809"/>
        <v>0</v>
      </c>
    </row>
    <row r="1062" spans="1:69" ht="14.25" thickBot="1" x14ac:dyDescent="0.2">
      <c r="A1062" s="53" t="s">
        <v>111</v>
      </c>
      <c r="B1062" s="55"/>
      <c r="C1062" s="153"/>
      <c r="D1062" s="153"/>
      <c r="E1062" s="168"/>
      <c r="F1062" s="56">
        <f t="shared" si="797"/>
        <v>0</v>
      </c>
      <c r="G1062" s="55"/>
      <c r="H1062" s="153"/>
      <c r="I1062" s="153"/>
      <c r="J1062" s="168"/>
      <c r="K1062" s="56">
        <f t="shared" si="798"/>
        <v>0</v>
      </c>
      <c r="L1062" s="55">
        <v>2</v>
      </c>
      <c r="M1062" s="153">
        <v>2</v>
      </c>
      <c r="N1062" s="153"/>
      <c r="O1062" s="168"/>
      <c r="P1062" s="56">
        <f t="shared" si="799"/>
        <v>4</v>
      </c>
      <c r="Q1062" s="54">
        <v>2</v>
      </c>
      <c r="R1062" s="153"/>
      <c r="S1062" s="153">
        <v>2</v>
      </c>
      <c r="T1062" s="168"/>
      <c r="U1062" s="56">
        <f t="shared" si="800"/>
        <v>4</v>
      </c>
      <c r="V1062" s="55">
        <v>2</v>
      </c>
      <c r="W1062" s="153"/>
      <c r="X1062" s="153"/>
      <c r="Y1062" s="168"/>
      <c r="Z1062" s="56">
        <f t="shared" si="801"/>
        <v>2</v>
      </c>
      <c r="AA1062" s="49">
        <f t="shared" si="788"/>
        <v>10</v>
      </c>
      <c r="AB1062" s="298">
        <v>45358</v>
      </c>
      <c r="AC1062" s="268" t="s">
        <v>28</v>
      </c>
      <c r="AD1062" s="63"/>
      <c r="AE1062" s="164"/>
      <c r="AF1062" s="164"/>
      <c r="AG1062" s="169"/>
      <c r="AH1062" s="170">
        <f t="shared" si="810"/>
        <v>0</v>
      </c>
      <c r="AI1062" s="63"/>
      <c r="AJ1062" s="164"/>
      <c r="AK1062" s="164"/>
      <c r="AL1062" s="169"/>
      <c r="AM1062" s="170">
        <f t="shared" si="811"/>
        <v>0</v>
      </c>
      <c r="AN1062" s="63"/>
      <c r="AO1062" s="164"/>
      <c r="AP1062" s="164"/>
      <c r="AQ1062" s="169"/>
      <c r="AR1062" s="170">
        <f t="shared" si="812"/>
        <v>0</v>
      </c>
      <c r="AS1062" s="62"/>
      <c r="AT1062" s="164"/>
      <c r="AU1062" s="164"/>
      <c r="AV1062" s="169"/>
      <c r="AW1062" s="170">
        <f t="shared" si="813"/>
        <v>0</v>
      </c>
      <c r="AX1062" s="63"/>
      <c r="AY1062" s="164"/>
      <c r="AZ1062" s="164"/>
      <c r="BA1062" s="169"/>
      <c r="BB1062" s="170">
        <f t="shared" si="814"/>
        <v>0</v>
      </c>
      <c r="BC1062" s="49">
        <f t="shared" si="815"/>
        <v>0</v>
      </c>
      <c r="BE1062" s="274" t="s">
        <v>28</v>
      </c>
      <c r="BF1062" s="63"/>
      <c r="BG1062" s="164"/>
      <c r="BH1062" s="164"/>
      <c r="BI1062" s="169"/>
      <c r="BJ1062" s="170">
        <f t="shared" si="808"/>
        <v>0</v>
      </c>
      <c r="BL1062" s="274" t="s">
        <v>28</v>
      </c>
      <c r="BM1062" s="63"/>
      <c r="BN1062" s="164"/>
      <c r="BO1062" s="164"/>
      <c r="BP1062" s="169"/>
      <c r="BQ1062" s="170">
        <f t="shared" si="809"/>
        <v>0</v>
      </c>
    </row>
    <row r="1063" spans="1:69" ht="15" thickBot="1" x14ac:dyDescent="0.2">
      <c r="A1063" s="181" t="s">
        <v>14</v>
      </c>
      <c r="B1063" s="182">
        <f>SUM(B1055:B1062)</f>
        <v>3</v>
      </c>
      <c r="C1063" s="183">
        <f>SUM(C1055:C1062)</f>
        <v>3</v>
      </c>
      <c r="D1063" s="183">
        <f>SUM(D1055:D1062)</f>
        <v>3</v>
      </c>
      <c r="E1063" s="184">
        <f>SUM(E1055:E1062)</f>
        <v>5</v>
      </c>
      <c r="F1063" s="77">
        <f t="shared" si="797"/>
        <v>14</v>
      </c>
      <c r="G1063" s="182">
        <f>SUM(G1055:G1062)</f>
        <v>4</v>
      </c>
      <c r="H1063" s="183">
        <f>SUM(H1055:H1062)</f>
        <v>5</v>
      </c>
      <c r="I1063" s="183">
        <f>SUM(I1055:I1062)</f>
        <v>4</v>
      </c>
      <c r="J1063" s="184">
        <f>SUM(J1055:J1062)</f>
        <v>2</v>
      </c>
      <c r="K1063" s="77">
        <f t="shared" si="798"/>
        <v>15</v>
      </c>
      <c r="L1063" s="182">
        <f>SUM(L1055:L1062)</f>
        <v>4</v>
      </c>
      <c r="M1063" s="183">
        <f>SUM(M1055:M1062)</f>
        <v>4</v>
      </c>
      <c r="N1063" s="183">
        <f>SUM(N1055:N1062)</f>
        <v>2</v>
      </c>
      <c r="O1063" s="184">
        <f>SUM(O1055:O1062)</f>
        <v>2</v>
      </c>
      <c r="P1063" s="77">
        <f t="shared" si="799"/>
        <v>12</v>
      </c>
      <c r="Q1063" s="182">
        <f>SUM(Q1055:Q1062)</f>
        <v>5</v>
      </c>
      <c r="R1063" s="183">
        <f>SUM(R1055:R1062)</f>
        <v>5</v>
      </c>
      <c r="S1063" s="183">
        <f>SUM(S1055:S1062)</f>
        <v>5</v>
      </c>
      <c r="T1063" s="184">
        <f>SUM(T1055:T1062)</f>
        <v>6</v>
      </c>
      <c r="U1063" s="77">
        <f t="shared" si="800"/>
        <v>21</v>
      </c>
      <c r="V1063" s="293">
        <f>SUM(V1055:V1062)</f>
        <v>4</v>
      </c>
      <c r="W1063" s="183">
        <f>SUM(W1055:W1062)</f>
        <v>2</v>
      </c>
      <c r="X1063" s="183">
        <f>SUM(X1055:X1062)</f>
        <v>4</v>
      </c>
      <c r="Y1063" s="184">
        <f>SUM(Y1055:Y1062)</f>
        <v>6</v>
      </c>
      <c r="Z1063" s="77">
        <f t="shared" si="801"/>
        <v>16</v>
      </c>
      <c r="AA1063" s="77">
        <f>F1063+K1063+P1063+U1063+Z1063</f>
        <v>78</v>
      </c>
      <c r="AC1063" s="275" t="s">
        <v>14</v>
      </c>
      <c r="AD1063" s="182">
        <f>SUM(AD1055:AD1062)</f>
        <v>92</v>
      </c>
      <c r="AE1063" s="183">
        <f>SUM(AE1055:AE1062)</f>
        <v>90</v>
      </c>
      <c r="AF1063" s="183">
        <f>SUM(AF1055:AF1062)</f>
        <v>144</v>
      </c>
      <c r="AG1063" s="184">
        <f>SUM(AG1055:AG1062)</f>
        <v>67</v>
      </c>
      <c r="AH1063" s="77">
        <f t="shared" si="810"/>
        <v>393</v>
      </c>
      <c r="AI1063" s="182">
        <f>SUM(AI1055:AI1062)</f>
        <v>93</v>
      </c>
      <c r="AJ1063" s="183">
        <f>SUM(AJ1055:AJ1062)</f>
        <v>170</v>
      </c>
      <c r="AK1063" s="183">
        <f>SUM(AK1055:AK1062)</f>
        <v>66</v>
      </c>
      <c r="AL1063" s="184">
        <f>SUM(AL1055:AL1062)</f>
        <v>58</v>
      </c>
      <c r="AM1063" s="77">
        <f t="shared" si="811"/>
        <v>387</v>
      </c>
      <c r="AN1063" s="182">
        <f>SUM(AN1055:AN1062)</f>
        <v>46</v>
      </c>
      <c r="AO1063" s="183">
        <f>SUM(AO1055:AO1062)</f>
        <v>65</v>
      </c>
      <c r="AP1063" s="183">
        <f>SUM(AP1055:AP1062)</f>
        <v>50</v>
      </c>
      <c r="AQ1063" s="184">
        <f>SUM(AQ1055:AQ1062)</f>
        <v>31</v>
      </c>
      <c r="AR1063" s="77">
        <f t="shared" si="812"/>
        <v>192</v>
      </c>
      <c r="AS1063" s="182">
        <f>SUM(AS1055:AS1062)</f>
        <v>122</v>
      </c>
      <c r="AT1063" s="183">
        <f>SUM(AT1055:AT1062)</f>
        <v>197</v>
      </c>
      <c r="AU1063" s="183">
        <f>SUM(AU1055:AU1062)</f>
        <v>76</v>
      </c>
      <c r="AV1063" s="184">
        <f>SUM(AV1055:AV1062)</f>
        <v>63</v>
      </c>
      <c r="AW1063" s="77">
        <f t="shared" si="813"/>
        <v>458</v>
      </c>
      <c r="AX1063" s="293">
        <f>SUM(AX1055:AX1062)</f>
        <v>112</v>
      </c>
      <c r="AY1063" s="183">
        <f>SUM(AY1055:AY1062)</f>
        <v>102</v>
      </c>
      <c r="AZ1063" s="183">
        <f>SUM(AZ1055:AZ1062)</f>
        <v>54</v>
      </c>
      <c r="BA1063" s="184">
        <f>SUM(BA1055:BA1062)</f>
        <v>43</v>
      </c>
      <c r="BB1063" s="77">
        <f t="shared" si="814"/>
        <v>311</v>
      </c>
      <c r="BC1063" s="77">
        <f>AH1063+AM1063+AR1063+AW1063+BB1063</f>
        <v>1741</v>
      </c>
      <c r="BE1063" s="275" t="s">
        <v>14</v>
      </c>
      <c r="BF1063" s="182">
        <f>SUM(BF1055:BF1062)</f>
        <v>0</v>
      </c>
      <c r="BG1063" s="183">
        <f>SUM(BG1055:BG1062)</f>
        <v>0</v>
      </c>
      <c r="BH1063" s="183">
        <f>SUM(BH1055:BH1062)</f>
        <v>3</v>
      </c>
      <c r="BI1063" s="184">
        <f>SUM(BI1055:BI1062)</f>
        <v>0</v>
      </c>
      <c r="BJ1063" s="77">
        <f t="shared" si="808"/>
        <v>3</v>
      </c>
      <c r="BL1063" s="275" t="s">
        <v>14</v>
      </c>
      <c r="BM1063" s="182">
        <f>SUM(BM1055:BM1062)</f>
        <v>0</v>
      </c>
      <c r="BN1063" s="183">
        <f>SUM(BN1055:BN1062)</f>
        <v>0</v>
      </c>
      <c r="BO1063" s="183">
        <f>SUM(BO1055:BO1062)</f>
        <v>21</v>
      </c>
      <c r="BP1063" s="184">
        <f>SUM(BP1055:BP1062)</f>
        <v>0</v>
      </c>
      <c r="BQ1063" s="77">
        <f t="shared" si="809"/>
        <v>21</v>
      </c>
    </row>
    <row r="1064" spans="1:69" x14ac:dyDescent="0.15">
      <c r="A1064" s="53" t="s">
        <v>557</v>
      </c>
      <c r="B1064" s="54">
        <v>1</v>
      </c>
      <c r="C1064" s="55">
        <v>1</v>
      </c>
      <c r="D1064" s="55">
        <v>1</v>
      </c>
      <c r="E1064" s="55"/>
      <c r="F1064" s="56">
        <f t="shared" si="797"/>
        <v>3</v>
      </c>
      <c r="G1064" s="54"/>
      <c r="H1064" s="55"/>
      <c r="I1064" s="55">
        <v>2</v>
      </c>
      <c r="J1064" s="55"/>
      <c r="K1064" s="56">
        <f t="shared" ref="K1064:K1085" si="816">SUM(G1064:J1064)</f>
        <v>2</v>
      </c>
      <c r="L1064" s="54"/>
      <c r="M1064" s="55"/>
      <c r="N1064" s="55"/>
      <c r="O1064" s="55"/>
      <c r="P1064" s="56">
        <f t="shared" ref="P1064:P1085" si="817">SUM(L1064:O1064)</f>
        <v>0</v>
      </c>
      <c r="Q1064" s="54"/>
      <c r="R1064" s="55"/>
      <c r="S1064" s="55"/>
      <c r="T1064" s="55"/>
      <c r="U1064" s="56">
        <f t="shared" ref="U1064:U1085" si="818">SUM(Q1064:T1064)</f>
        <v>0</v>
      </c>
      <c r="V1064" s="55"/>
      <c r="W1064" s="55"/>
      <c r="X1064" s="55"/>
      <c r="Y1064" s="55"/>
      <c r="Z1064" s="56">
        <f t="shared" si="801"/>
        <v>0</v>
      </c>
      <c r="AA1064" s="56">
        <f t="shared" ref="AA1064:AA1088" si="819">F1064+K1064+P1064+U1064+Z1064</f>
        <v>5</v>
      </c>
      <c r="AB1064" s="299">
        <v>45276</v>
      </c>
      <c r="AC1064" s="276" t="s">
        <v>561</v>
      </c>
      <c r="AD1064" s="54">
        <v>3</v>
      </c>
      <c r="AE1064" s="55">
        <v>3</v>
      </c>
      <c r="AF1064" s="55">
        <v>2</v>
      </c>
      <c r="AG1064" s="55">
        <v>2</v>
      </c>
      <c r="AH1064" s="56">
        <f t="shared" ref="AH1064:AH1068" si="820">SUM(AD1064:AG1064)</f>
        <v>10</v>
      </c>
      <c r="AI1064" s="54">
        <v>3</v>
      </c>
      <c r="AJ1064" s="55">
        <v>3</v>
      </c>
      <c r="AK1064" s="55">
        <v>2</v>
      </c>
      <c r="AL1064" s="55">
        <v>2</v>
      </c>
      <c r="AM1064" s="56">
        <f t="shared" ref="AM1064:AM1066" si="821">SUM(AI1064:AL1064)</f>
        <v>10</v>
      </c>
      <c r="AN1064" s="54"/>
      <c r="AO1064" s="55"/>
      <c r="AP1064" s="55"/>
      <c r="AQ1064" s="55"/>
      <c r="AR1064" s="56">
        <f t="shared" ref="AR1064:AR1066" si="822">SUM(AN1064:AQ1064)</f>
        <v>0</v>
      </c>
      <c r="AS1064" s="54">
        <v>3</v>
      </c>
      <c r="AT1064" s="55">
        <v>3</v>
      </c>
      <c r="AU1064" s="55">
        <v>2</v>
      </c>
      <c r="AV1064" s="55">
        <v>2</v>
      </c>
      <c r="AW1064" s="56">
        <f t="shared" ref="AW1064:AW1066" si="823">SUM(AS1064:AV1064)</f>
        <v>10</v>
      </c>
      <c r="AX1064" s="55"/>
      <c r="AY1064" s="55"/>
      <c r="AZ1064" s="55"/>
      <c r="BA1064" s="55"/>
      <c r="BB1064" s="56">
        <f t="shared" ref="BB1064:BB1068" si="824">SUM(AX1064:BA1064)</f>
        <v>0</v>
      </c>
      <c r="BC1064" s="56">
        <f t="shared" ref="BC1064:BC1068" si="825">AH1064+AM1064+AR1064+AW1064+BB1064</f>
        <v>30</v>
      </c>
      <c r="BD1064" s="298">
        <v>45364</v>
      </c>
      <c r="BE1064" s="277" t="s">
        <v>98</v>
      </c>
      <c r="BF1064" s="54"/>
      <c r="BG1064" s="55"/>
      <c r="BH1064" s="55">
        <v>1</v>
      </c>
      <c r="BI1064" s="55"/>
      <c r="BJ1064" s="56">
        <f t="shared" si="808"/>
        <v>1</v>
      </c>
      <c r="BK1064" s="304">
        <v>45362</v>
      </c>
      <c r="BL1064" s="277"/>
      <c r="BM1064" s="54"/>
      <c r="BN1064" s="55"/>
      <c r="BO1064" s="55"/>
      <c r="BP1064" s="55"/>
      <c r="BQ1064" s="56">
        <f t="shared" si="809"/>
        <v>0</v>
      </c>
    </row>
    <row r="1065" spans="1:69" x14ac:dyDescent="0.15">
      <c r="A1065" s="53" t="s">
        <v>98</v>
      </c>
      <c r="B1065" s="54"/>
      <c r="C1065" s="55"/>
      <c r="D1065" s="55"/>
      <c r="E1065" s="55"/>
      <c r="F1065" s="56">
        <f t="shared" ref="F1065:F1085" si="826">SUM(B1065:E1065)</f>
        <v>0</v>
      </c>
      <c r="G1065" s="54"/>
      <c r="H1065" s="55">
        <v>1</v>
      </c>
      <c r="I1065" s="55"/>
      <c r="J1065" s="55"/>
      <c r="K1065" s="56">
        <f t="shared" si="816"/>
        <v>1</v>
      </c>
      <c r="L1065" s="54"/>
      <c r="M1065" s="55"/>
      <c r="N1065" s="55"/>
      <c r="O1065" s="55"/>
      <c r="P1065" s="56">
        <f t="shared" si="817"/>
        <v>0</v>
      </c>
      <c r="Q1065" s="54"/>
      <c r="R1065" s="55"/>
      <c r="S1065" s="55"/>
      <c r="T1065" s="55"/>
      <c r="U1065" s="56">
        <f t="shared" si="818"/>
        <v>0</v>
      </c>
      <c r="V1065" s="55"/>
      <c r="W1065" s="55"/>
      <c r="X1065" s="55"/>
      <c r="Y1065" s="55"/>
      <c r="Z1065" s="56">
        <f t="shared" ref="Z1065:Z1085" si="827">SUM(V1065:Y1065)</f>
        <v>0</v>
      </c>
      <c r="AA1065" s="56">
        <f t="shared" ref="AA1065:AA1085" si="828">F1065+K1065+P1065+U1065+Z1065</f>
        <v>1</v>
      </c>
      <c r="AB1065" s="299">
        <v>45285</v>
      </c>
      <c r="AC1065" s="276" t="s">
        <v>562</v>
      </c>
      <c r="AD1065" s="54">
        <v>3</v>
      </c>
      <c r="AE1065" s="55">
        <v>3</v>
      </c>
      <c r="AF1065" s="55">
        <v>2</v>
      </c>
      <c r="AG1065" s="55">
        <v>2</v>
      </c>
      <c r="AH1065" s="56">
        <f t="shared" si="820"/>
        <v>10</v>
      </c>
      <c r="AI1065" s="54">
        <v>3</v>
      </c>
      <c r="AJ1065" s="55">
        <v>3</v>
      </c>
      <c r="AK1065" s="55">
        <v>2</v>
      </c>
      <c r="AL1065" s="55">
        <v>2</v>
      </c>
      <c r="AM1065" s="56">
        <f t="shared" si="821"/>
        <v>10</v>
      </c>
      <c r="AN1065" s="54"/>
      <c r="AO1065" s="55"/>
      <c r="AP1065" s="55"/>
      <c r="AQ1065" s="55"/>
      <c r="AR1065" s="56">
        <f t="shared" si="822"/>
        <v>0</v>
      </c>
      <c r="AS1065" s="54">
        <v>3</v>
      </c>
      <c r="AT1065" s="55">
        <v>3</v>
      </c>
      <c r="AU1065" s="55">
        <v>2</v>
      </c>
      <c r="AV1065" s="55">
        <v>2</v>
      </c>
      <c r="AW1065" s="56">
        <f t="shared" si="823"/>
        <v>10</v>
      </c>
      <c r="AX1065" s="55"/>
      <c r="AY1065" s="55"/>
      <c r="AZ1065" s="55"/>
      <c r="BA1065" s="55"/>
      <c r="BB1065" s="56">
        <f t="shared" si="824"/>
        <v>0</v>
      </c>
      <c r="BC1065" s="56">
        <f t="shared" si="825"/>
        <v>30</v>
      </c>
      <c r="BD1065" s="298">
        <v>45364</v>
      </c>
      <c r="BE1065" s="277"/>
      <c r="BF1065" s="54"/>
      <c r="BG1065" s="55"/>
      <c r="BH1065" s="55"/>
      <c r="BI1065" s="55"/>
      <c r="BJ1065" s="56">
        <f t="shared" si="808"/>
        <v>0</v>
      </c>
      <c r="BK1065" s="304"/>
      <c r="BL1065" s="277"/>
      <c r="BM1065" s="54"/>
      <c r="BN1065" s="55"/>
      <c r="BO1065" s="55"/>
      <c r="BP1065" s="55"/>
      <c r="BQ1065" s="56">
        <f t="shared" si="809"/>
        <v>0</v>
      </c>
    </row>
    <row r="1066" spans="1:69" x14ac:dyDescent="0.15">
      <c r="A1066" s="53" t="s">
        <v>98</v>
      </c>
      <c r="B1066" s="54"/>
      <c r="C1066" s="55"/>
      <c r="D1066" s="55"/>
      <c r="E1066" s="55"/>
      <c r="F1066" s="56">
        <f t="shared" si="826"/>
        <v>0</v>
      </c>
      <c r="G1066" s="54"/>
      <c r="H1066" s="55"/>
      <c r="I1066" s="55"/>
      <c r="J1066" s="55"/>
      <c r="K1066" s="56">
        <f t="shared" si="816"/>
        <v>0</v>
      </c>
      <c r="L1066" s="54"/>
      <c r="M1066" s="55"/>
      <c r="N1066" s="55"/>
      <c r="O1066" s="55"/>
      <c r="P1066" s="56">
        <f t="shared" si="817"/>
        <v>0</v>
      </c>
      <c r="Q1066" s="54"/>
      <c r="R1066" s="55"/>
      <c r="S1066" s="55"/>
      <c r="T1066" s="55">
        <v>1</v>
      </c>
      <c r="U1066" s="56">
        <f t="shared" si="818"/>
        <v>1</v>
      </c>
      <c r="V1066" s="55"/>
      <c r="W1066" s="55"/>
      <c r="X1066" s="55"/>
      <c r="Y1066" s="55"/>
      <c r="Z1066" s="56">
        <f t="shared" si="827"/>
        <v>0</v>
      </c>
      <c r="AA1066" s="56">
        <f t="shared" si="828"/>
        <v>1</v>
      </c>
      <c r="AB1066" s="299">
        <v>45296</v>
      </c>
      <c r="AC1066" s="276" t="s">
        <v>99</v>
      </c>
      <c r="AD1066" s="54"/>
      <c r="AE1066" s="55"/>
      <c r="AF1066" s="55"/>
      <c r="AG1066" s="55"/>
      <c r="AH1066" s="56">
        <f t="shared" si="820"/>
        <v>0</v>
      </c>
      <c r="AI1066" s="54"/>
      <c r="AJ1066" s="55"/>
      <c r="AK1066" s="55"/>
      <c r="AL1066" s="55"/>
      <c r="AM1066" s="56">
        <f t="shared" si="821"/>
        <v>0</v>
      </c>
      <c r="AN1066" s="54">
        <v>2</v>
      </c>
      <c r="AO1066" s="55">
        <v>2</v>
      </c>
      <c r="AP1066" s="55"/>
      <c r="AQ1066" s="55"/>
      <c r="AR1066" s="56">
        <f t="shared" si="822"/>
        <v>4</v>
      </c>
      <c r="AS1066" s="54">
        <v>2</v>
      </c>
      <c r="AT1066" s="55"/>
      <c r="AU1066" s="55">
        <v>2</v>
      </c>
      <c r="AV1066" s="55"/>
      <c r="AW1066" s="56">
        <f t="shared" si="823"/>
        <v>4</v>
      </c>
      <c r="AX1066" s="55">
        <v>2</v>
      </c>
      <c r="AY1066" s="55"/>
      <c r="AZ1066" s="55"/>
      <c r="BA1066" s="55"/>
      <c r="BB1066" s="56">
        <f t="shared" si="824"/>
        <v>2</v>
      </c>
      <c r="BC1066" s="56">
        <f t="shared" si="825"/>
        <v>10</v>
      </c>
      <c r="BD1066" s="298">
        <v>45358</v>
      </c>
      <c r="BE1066" s="277"/>
      <c r="BF1066" s="54"/>
      <c r="BG1066" s="55"/>
      <c r="BH1066" s="55"/>
      <c r="BI1066" s="55"/>
      <c r="BJ1066" s="56">
        <f t="shared" si="808"/>
        <v>0</v>
      </c>
      <c r="BL1066" s="277"/>
      <c r="BM1066" s="54"/>
      <c r="BN1066" s="55"/>
      <c r="BO1066" s="55"/>
      <c r="BP1066" s="55"/>
      <c r="BQ1066" s="56">
        <f t="shared" si="809"/>
        <v>0</v>
      </c>
    </row>
    <row r="1067" spans="1:69" x14ac:dyDescent="0.15">
      <c r="A1067" s="53" t="s">
        <v>98</v>
      </c>
      <c r="B1067" s="54"/>
      <c r="C1067" s="55"/>
      <c r="D1067" s="55"/>
      <c r="E1067" s="55">
        <v>1</v>
      </c>
      <c r="F1067" s="56">
        <f t="shared" si="826"/>
        <v>1</v>
      </c>
      <c r="G1067" s="54"/>
      <c r="H1067" s="55"/>
      <c r="I1067" s="55"/>
      <c r="J1067" s="55"/>
      <c r="K1067" s="56">
        <f t="shared" si="816"/>
        <v>0</v>
      </c>
      <c r="L1067" s="54"/>
      <c r="M1067" s="55"/>
      <c r="N1067" s="55"/>
      <c r="O1067" s="55"/>
      <c r="P1067" s="56">
        <f t="shared" si="817"/>
        <v>0</v>
      </c>
      <c r="Q1067" s="54"/>
      <c r="R1067" s="55"/>
      <c r="S1067" s="55"/>
      <c r="T1067" s="55"/>
      <c r="U1067" s="56">
        <f t="shared" si="818"/>
        <v>0</v>
      </c>
      <c r="V1067" s="55"/>
      <c r="W1067" s="55"/>
      <c r="X1067" s="55"/>
      <c r="Y1067" s="55"/>
      <c r="Z1067" s="56">
        <f t="shared" si="827"/>
        <v>0</v>
      </c>
      <c r="AA1067" s="56">
        <f t="shared" si="828"/>
        <v>1</v>
      </c>
      <c r="AB1067" s="299">
        <v>45300</v>
      </c>
      <c r="AC1067" s="276" t="s">
        <v>99</v>
      </c>
      <c r="AD1067" s="54">
        <v>2</v>
      </c>
      <c r="AE1067" s="55">
        <v>2</v>
      </c>
      <c r="AF1067" s="55"/>
      <c r="AG1067" s="55"/>
      <c r="AH1067" s="56">
        <f t="shared" si="820"/>
        <v>4</v>
      </c>
      <c r="AI1067" s="54"/>
      <c r="AJ1067" s="55"/>
      <c r="AK1067" s="55"/>
      <c r="AL1067" s="55"/>
      <c r="AM1067" s="56">
        <f t="shared" ref="AM1067:AM1068" si="829">SUM(AI1067:AL1067)</f>
        <v>0</v>
      </c>
      <c r="AN1067" s="54"/>
      <c r="AO1067" s="55"/>
      <c r="AP1067" s="55"/>
      <c r="AQ1067" s="55"/>
      <c r="AR1067" s="56">
        <f t="shared" ref="AR1067:AR1068" si="830">SUM(AN1067:AQ1067)</f>
        <v>0</v>
      </c>
      <c r="AS1067" s="54"/>
      <c r="AT1067" s="55"/>
      <c r="AU1067" s="55"/>
      <c r="AV1067" s="55"/>
      <c r="AW1067" s="56">
        <f t="shared" ref="AW1067:AW1068" si="831">SUM(AS1067:AV1067)</f>
        <v>0</v>
      </c>
      <c r="AX1067" s="55"/>
      <c r="AY1067" s="55"/>
      <c r="AZ1067" s="55"/>
      <c r="BA1067" s="55"/>
      <c r="BB1067" s="56">
        <f t="shared" si="824"/>
        <v>0</v>
      </c>
      <c r="BC1067" s="56">
        <f t="shared" si="825"/>
        <v>4</v>
      </c>
      <c r="BD1067" s="298">
        <v>45362</v>
      </c>
      <c r="BE1067" s="277"/>
      <c r="BF1067" s="54"/>
      <c r="BG1067" s="55"/>
      <c r="BH1067" s="55"/>
      <c r="BI1067" s="55"/>
      <c r="BJ1067" s="56">
        <f t="shared" si="808"/>
        <v>0</v>
      </c>
      <c r="BL1067" s="277"/>
      <c r="BM1067" s="54"/>
      <c r="BN1067" s="55"/>
      <c r="BO1067" s="55"/>
      <c r="BP1067" s="55"/>
      <c r="BQ1067" s="56">
        <f t="shared" si="809"/>
        <v>0</v>
      </c>
    </row>
    <row r="1068" spans="1:69" x14ac:dyDescent="0.15">
      <c r="A1068" s="53" t="s">
        <v>98</v>
      </c>
      <c r="B1068" s="54"/>
      <c r="C1068" s="55"/>
      <c r="D1068" s="55"/>
      <c r="E1068" s="55"/>
      <c r="F1068" s="56">
        <f t="shared" si="826"/>
        <v>0</v>
      </c>
      <c r="G1068" s="54"/>
      <c r="H1068" s="55"/>
      <c r="I1068" s="55"/>
      <c r="J1068" s="55"/>
      <c r="K1068" s="56">
        <f t="shared" si="816"/>
        <v>0</v>
      </c>
      <c r="L1068" s="54"/>
      <c r="M1068" s="55"/>
      <c r="N1068" s="55"/>
      <c r="O1068" s="55"/>
      <c r="P1068" s="56">
        <f t="shared" si="817"/>
        <v>0</v>
      </c>
      <c r="Q1068" s="54"/>
      <c r="R1068" s="55"/>
      <c r="S1068" s="55"/>
      <c r="T1068" s="55"/>
      <c r="U1068" s="56">
        <f t="shared" si="818"/>
        <v>0</v>
      </c>
      <c r="V1068" s="55"/>
      <c r="W1068" s="55"/>
      <c r="X1068" s="55"/>
      <c r="Y1068" s="55">
        <v>1</v>
      </c>
      <c r="Z1068" s="56">
        <f t="shared" si="827"/>
        <v>1</v>
      </c>
      <c r="AA1068" s="56">
        <f t="shared" si="828"/>
        <v>1</v>
      </c>
      <c r="AB1068" s="299">
        <v>45302</v>
      </c>
      <c r="AC1068" s="276"/>
      <c r="AD1068" s="54"/>
      <c r="AE1068" s="55"/>
      <c r="AF1068" s="55"/>
      <c r="AG1068" s="55"/>
      <c r="AH1068" s="56">
        <f t="shared" si="820"/>
        <v>0</v>
      </c>
      <c r="AI1068" s="54"/>
      <c r="AJ1068" s="55"/>
      <c r="AK1068" s="55"/>
      <c r="AL1068" s="55"/>
      <c r="AM1068" s="56">
        <f t="shared" si="829"/>
        <v>0</v>
      </c>
      <c r="AN1068" s="54"/>
      <c r="AO1068" s="55"/>
      <c r="AP1068" s="55"/>
      <c r="AQ1068" s="55"/>
      <c r="AR1068" s="56">
        <f t="shared" si="830"/>
        <v>0</v>
      </c>
      <c r="AS1068" s="54"/>
      <c r="AT1068" s="55"/>
      <c r="AU1068" s="55"/>
      <c r="AV1068" s="55"/>
      <c r="AW1068" s="56">
        <f t="shared" si="831"/>
        <v>0</v>
      </c>
      <c r="AX1068" s="55"/>
      <c r="AY1068" s="55"/>
      <c r="AZ1068" s="55"/>
      <c r="BA1068" s="55"/>
      <c r="BB1068" s="56">
        <f t="shared" si="824"/>
        <v>0</v>
      </c>
      <c r="BC1068" s="56">
        <f t="shared" si="825"/>
        <v>0</v>
      </c>
      <c r="BE1068" s="277"/>
      <c r="BF1068" s="54"/>
      <c r="BG1068" s="55"/>
      <c r="BH1068" s="55"/>
      <c r="BI1068" s="55"/>
      <c r="BJ1068" s="56">
        <f t="shared" si="808"/>
        <v>0</v>
      </c>
      <c r="BL1068" s="277"/>
      <c r="BM1068" s="54"/>
      <c r="BN1068" s="55"/>
      <c r="BO1068" s="55"/>
      <c r="BP1068" s="55"/>
      <c r="BQ1068" s="56">
        <f t="shared" si="809"/>
        <v>0</v>
      </c>
    </row>
    <row r="1069" spans="1:69" x14ac:dyDescent="0.15">
      <c r="A1069" s="53" t="s">
        <v>98</v>
      </c>
      <c r="B1069" s="54"/>
      <c r="C1069" s="55"/>
      <c r="D1069" s="55"/>
      <c r="E1069" s="55"/>
      <c r="F1069" s="56">
        <f t="shared" si="826"/>
        <v>0</v>
      </c>
      <c r="G1069" s="54"/>
      <c r="H1069" s="55"/>
      <c r="I1069" s="55"/>
      <c r="J1069" s="55"/>
      <c r="K1069" s="56">
        <f t="shared" si="816"/>
        <v>0</v>
      </c>
      <c r="L1069" s="54"/>
      <c r="M1069" s="55"/>
      <c r="N1069" s="55"/>
      <c r="O1069" s="55"/>
      <c r="P1069" s="56">
        <f t="shared" si="817"/>
        <v>0</v>
      </c>
      <c r="Q1069" s="54"/>
      <c r="R1069" s="55"/>
      <c r="S1069" s="55"/>
      <c r="T1069" s="55"/>
      <c r="U1069" s="56">
        <f t="shared" si="818"/>
        <v>0</v>
      </c>
      <c r="V1069" s="55"/>
      <c r="W1069" s="55"/>
      <c r="X1069" s="55">
        <v>1</v>
      </c>
      <c r="Y1069" s="55"/>
      <c r="Z1069" s="56">
        <f t="shared" si="827"/>
        <v>1</v>
      </c>
      <c r="AA1069" s="56">
        <f t="shared" si="828"/>
        <v>1</v>
      </c>
      <c r="AB1069" s="299">
        <v>45308</v>
      </c>
      <c r="AC1069" s="276"/>
      <c r="AD1069" s="54"/>
      <c r="AE1069" s="55"/>
      <c r="AF1069" s="55"/>
      <c r="AG1069" s="55"/>
      <c r="AH1069" s="56">
        <f t="shared" si="810"/>
        <v>0</v>
      </c>
      <c r="AI1069" s="54"/>
      <c r="AJ1069" s="55"/>
      <c r="AK1069" s="55"/>
      <c r="AL1069" s="55"/>
      <c r="AM1069" s="56">
        <f t="shared" si="811"/>
        <v>0</v>
      </c>
      <c r="AN1069" s="54"/>
      <c r="AO1069" s="55"/>
      <c r="AP1069" s="55"/>
      <c r="AQ1069" s="55"/>
      <c r="AR1069" s="56">
        <f t="shared" si="812"/>
        <v>0</v>
      </c>
      <c r="AS1069" s="54"/>
      <c r="AT1069" s="55"/>
      <c r="AU1069" s="55"/>
      <c r="AV1069" s="55"/>
      <c r="AW1069" s="56">
        <f t="shared" si="813"/>
        <v>0</v>
      </c>
      <c r="AX1069" s="55"/>
      <c r="AY1069" s="55"/>
      <c r="AZ1069" s="55"/>
      <c r="BA1069" s="55"/>
      <c r="BB1069" s="56">
        <f t="shared" si="814"/>
        <v>0</v>
      </c>
      <c r="BC1069" s="56">
        <f t="shared" ref="BC1069:BC1086" si="832">AH1069+AM1069+AR1069+AW1069+BB1069</f>
        <v>0</v>
      </c>
      <c r="BE1069" s="277"/>
      <c r="BF1069" s="54"/>
      <c r="BG1069" s="55"/>
      <c r="BH1069" s="55"/>
      <c r="BI1069" s="55"/>
      <c r="BJ1069" s="56">
        <f t="shared" si="808"/>
        <v>0</v>
      </c>
      <c r="BL1069" s="277"/>
      <c r="BM1069" s="54"/>
      <c r="BN1069" s="55"/>
      <c r="BO1069" s="55"/>
      <c r="BP1069" s="55"/>
      <c r="BQ1069" s="56">
        <f t="shared" si="809"/>
        <v>0</v>
      </c>
    </row>
    <row r="1070" spans="1:69" x14ac:dyDescent="0.15">
      <c r="A1070" s="53" t="s">
        <v>98</v>
      </c>
      <c r="B1070" s="54"/>
      <c r="C1070" s="55"/>
      <c r="D1070" s="55"/>
      <c r="E1070" s="55"/>
      <c r="F1070" s="56">
        <f t="shared" si="826"/>
        <v>0</v>
      </c>
      <c r="G1070" s="54"/>
      <c r="H1070" s="55"/>
      <c r="I1070" s="55"/>
      <c r="J1070" s="55"/>
      <c r="K1070" s="56">
        <f t="shared" si="816"/>
        <v>0</v>
      </c>
      <c r="L1070" s="54"/>
      <c r="M1070" s="55"/>
      <c r="N1070" s="55"/>
      <c r="O1070" s="55"/>
      <c r="P1070" s="56">
        <f t="shared" si="817"/>
        <v>0</v>
      </c>
      <c r="Q1070" s="54"/>
      <c r="R1070" s="55">
        <v>1</v>
      </c>
      <c r="S1070" s="55"/>
      <c r="T1070" s="55"/>
      <c r="U1070" s="56">
        <f t="shared" si="818"/>
        <v>1</v>
      </c>
      <c r="V1070" s="55"/>
      <c r="W1070" s="55"/>
      <c r="X1070" s="55"/>
      <c r="Y1070" s="55"/>
      <c r="Z1070" s="56">
        <f t="shared" si="827"/>
        <v>0</v>
      </c>
      <c r="AA1070" s="56">
        <f t="shared" si="828"/>
        <v>1</v>
      </c>
      <c r="AB1070" s="299">
        <v>45317</v>
      </c>
      <c r="AC1070" s="276"/>
      <c r="AD1070" s="54"/>
      <c r="AE1070" s="55"/>
      <c r="AF1070" s="55"/>
      <c r="AG1070" s="55"/>
      <c r="AH1070" s="56">
        <f t="shared" si="810"/>
        <v>0</v>
      </c>
      <c r="AI1070" s="54"/>
      <c r="AJ1070" s="55"/>
      <c r="AK1070" s="55"/>
      <c r="AL1070" s="55"/>
      <c r="AM1070" s="56">
        <f t="shared" si="811"/>
        <v>0</v>
      </c>
      <c r="AN1070" s="54"/>
      <c r="AO1070" s="55"/>
      <c r="AP1070" s="55"/>
      <c r="AQ1070" s="55"/>
      <c r="AR1070" s="56">
        <f t="shared" si="812"/>
        <v>0</v>
      </c>
      <c r="AS1070" s="54"/>
      <c r="AT1070" s="55"/>
      <c r="AU1070" s="55"/>
      <c r="AV1070" s="55"/>
      <c r="AW1070" s="56">
        <f t="shared" si="813"/>
        <v>0</v>
      </c>
      <c r="AX1070" s="55"/>
      <c r="AY1070" s="55"/>
      <c r="AZ1070" s="55"/>
      <c r="BA1070" s="55"/>
      <c r="BB1070" s="56">
        <f t="shared" si="814"/>
        <v>0</v>
      </c>
      <c r="BC1070" s="56">
        <f t="shared" si="832"/>
        <v>0</v>
      </c>
      <c r="BE1070" s="277"/>
      <c r="BF1070" s="54"/>
      <c r="BG1070" s="55"/>
      <c r="BH1070" s="55"/>
      <c r="BI1070" s="55"/>
      <c r="BJ1070" s="56">
        <f t="shared" si="808"/>
        <v>0</v>
      </c>
      <c r="BL1070" s="277"/>
      <c r="BM1070" s="54"/>
      <c r="BN1070" s="55"/>
      <c r="BO1070" s="55"/>
      <c r="BP1070" s="55"/>
      <c r="BQ1070" s="56">
        <f t="shared" si="809"/>
        <v>0</v>
      </c>
    </row>
    <row r="1071" spans="1:69" x14ac:dyDescent="0.15">
      <c r="A1071" s="53" t="s">
        <v>98</v>
      </c>
      <c r="B1071" s="54"/>
      <c r="C1071" s="55"/>
      <c r="D1071" s="55"/>
      <c r="E1071" s="55"/>
      <c r="F1071" s="56">
        <f t="shared" si="826"/>
        <v>0</v>
      </c>
      <c r="G1071" s="54"/>
      <c r="H1071" s="55"/>
      <c r="I1071" s="55"/>
      <c r="J1071" s="55"/>
      <c r="K1071" s="56">
        <f t="shared" si="816"/>
        <v>0</v>
      </c>
      <c r="L1071" s="54"/>
      <c r="M1071" s="55"/>
      <c r="N1071" s="55"/>
      <c r="O1071" s="55"/>
      <c r="P1071" s="56">
        <f t="shared" si="817"/>
        <v>0</v>
      </c>
      <c r="Q1071" s="54"/>
      <c r="R1071" s="55">
        <v>1</v>
      </c>
      <c r="S1071" s="55"/>
      <c r="T1071" s="55"/>
      <c r="U1071" s="56">
        <f t="shared" si="818"/>
        <v>1</v>
      </c>
      <c r="V1071" s="55"/>
      <c r="W1071" s="55"/>
      <c r="X1071" s="55"/>
      <c r="Y1071" s="55"/>
      <c r="Z1071" s="56">
        <f t="shared" si="827"/>
        <v>0</v>
      </c>
      <c r="AA1071" s="56">
        <f t="shared" si="828"/>
        <v>1</v>
      </c>
      <c r="AB1071" s="299">
        <v>45320</v>
      </c>
      <c r="AC1071" s="276"/>
      <c r="AD1071" s="54"/>
      <c r="AE1071" s="55"/>
      <c r="AF1071" s="55"/>
      <c r="AG1071" s="55"/>
      <c r="AH1071" s="56">
        <f t="shared" si="810"/>
        <v>0</v>
      </c>
      <c r="AI1071" s="54"/>
      <c r="AJ1071" s="55"/>
      <c r="AK1071" s="55"/>
      <c r="AL1071" s="55"/>
      <c r="AM1071" s="56">
        <f t="shared" si="811"/>
        <v>0</v>
      </c>
      <c r="AN1071" s="54"/>
      <c r="AO1071" s="55"/>
      <c r="AP1071" s="55"/>
      <c r="AQ1071" s="55"/>
      <c r="AR1071" s="56">
        <f t="shared" si="812"/>
        <v>0</v>
      </c>
      <c r="AS1071" s="54"/>
      <c r="AT1071" s="55"/>
      <c r="AU1071" s="55"/>
      <c r="AV1071" s="55"/>
      <c r="AW1071" s="56">
        <f t="shared" si="813"/>
        <v>0</v>
      </c>
      <c r="AX1071" s="55"/>
      <c r="AY1071" s="55"/>
      <c r="AZ1071" s="55"/>
      <c r="BA1071" s="55"/>
      <c r="BB1071" s="56">
        <f t="shared" si="814"/>
        <v>0</v>
      </c>
      <c r="BC1071" s="56">
        <f t="shared" si="832"/>
        <v>0</v>
      </c>
      <c r="BE1071" s="277"/>
      <c r="BF1071" s="54"/>
      <c r="BG1071" s="55"/>
      <c r="BH1071" s="55"/>
      <c r="BI1071" s="55"/>
      <c r="BJ1071" s="56">
        <f t="shared" si="808"/>
        <v>0</v>
      </c>
      <c r="BL1071" s="277"/>
      <c r="BM1071" s="54"/>
      <c r="BN1071" s="55"/>
      <c r="BO1071" s="55"/>
      <c r="BP1071" s="55"/>
      <c r="BQ1071" s="56">
        <f t="shared" si="809"/>
        <v>0</v>
      </c>
    </row>
    <row r="1072" spans="1:69" x14ac:dyDescent="0.15">
      <c r="A1072" s="53" t="s">
        <v>98</v>
      </c>
      <c r="B1072" s="54"/>
      <c r="C1072" s="55"/>
      <c r="D1072" s="55"/>
      <c r="E1072" s="55"/>
      <c r="F1072" s="56">
        <f t="shared" si="826"/>
        <v>0</v>
      </c>
      <c r="G1072" s="54"/>
      <c r="H1072" s="55"/>
      <c r="I1072" s="55"/>
      <c r="J1072" s="55"/>
      <c r="K1072" s="56">
        <f t="shared" si="816"/>
        <v>0</v>
      </c>
      <c r="L1072" s="54"/>
      <c r="M1072" s="55"/>
      <c r="N1072" s="55"/>
      <c r="O1072" s="55"/>
      <c r="P1072" s="56">
        <f t="shared" si="817"/>
        <v>0</v>
      </c>
      <c r="Q1072" s="54"/>
      <c r="R1072" s="55"/>
      <c r="S1072" s="55"/>
      <c r="T1072" s="55"/>
      <c r="U1072" s="56">
        <f t="shared" si="818"/>
        <v>0</v>
      </c>
      <c r="V1072" s="55"/>
      <c r="W1072" s="55"/>
      <c r="X1072" s="55"/>
      <c r="Y1072" s="55">
        <v>1</v>
      </c>
      <c r="Z1072" s="56">
        <f t="shared" si="827"/>
        <v>1</v>
      </c>
      <c r="AA1072" s="56">
        <f t="shared" si="828"/>
        <v>1</v>
      </c>
      <c r="AB1072" s="299">
        <v>45321</v>
      </c>
      <c r="AC1072" s="276"/>
      <c r="AD1072" s="54"/>
      <c r="AE1072" s="55"/>
      <c r="AF1072" s="55"/>
      <c r="AG1072" s="55"/>
      <c r="AH1072" s="56">
        <f t="shared" si="810"/>
        <v>0</v>
      </c>
      <c r="AI1072" s="54"/>
      <c r="AJ1072" s="55"/>
      <c r="AK1072" s="55"/>
      <c r="AL1072" s="55"/>
      <c r="AM1072" s="56">
        <f t="shared" si="811"/>
        <v>0</v>
      </c>
      <c r="AN1072" s="54"/>
      <c r="AO1072" s="55"/>
      <c r="AP1072" s="55"/>
      <c r="AQ1072" s="55"/>
      <c r="AR1072" s="56">
        <f t="shared" si="812"/>
        <v>0</v>
      </c>
      <c r="AS1072" s="54"/>
      <c r="AT1072" s="55"/>
      <c r="AU1072" s="55"/>
      <c r="AV1072" s="55"/>
      <c r="AW1072" s="56">
        <f t="shared" si="813"/>
        <v>0</v>
      </c>
      <c r="AX1072" s="55"/>
      <c r="AY1072" s="55"/>
      <c r="AZ1072" s="55"/>
      <c r="BA1072" s="55"/>
      <c r="BB1072" s="56">
        <f t="shared" si="814"/>
        <v>0</v>
      </c>
      <c r="BC1072" s="56">
        <f t="shared" si="832"/>
        <v>0</v>
      </c>
      <c r="BE1072" s="277"/>
      <c r="BF1072" s="54"/>
      <c r="BG1072" s="55"/>
      <c r="BH1072" s="55"/>
      <c r="BI1072" s="55"/>
      <c r="BJ1072" s="56">
        <f t="shared" si="808"/>
        <v>0</v>
      </c>
      <c r="BL1072" s="277"/>
      <c r="BM1072" s="54"/>
      <c r="BN1072" s="55"/>
      <c r="BO1072" s="55"/>
      <c r="BP1072" s="55"/>
      <c r="BQ1072" s="56">
        <f t="shared" si="809"/>
        <v>0</v>
      </c>
    </row>
    <row r="1073" spans="1:69" x14ac:dyDescent="0.15">
      <c r="A1073" s="53" t="s">
        <v>98</v>
      </c>
      <c r="B1073" s="54"/>
      <c r="C1073" s="55"/>
      <c r="D1073" s="55"/>
      <c r="E1073" s="55">
        <v>1</v>
      </c>
      <c r="F1073" s="56">
        <f t="shared" si="826"/>
        <v>1</v>
      </c>
      <c r="G1073" s="54"/>
      <c r="H1073" s="55"/>
      <c r="I1073" s="55"/>
      <c r="J1073" s="55"/>
      <c r="K1073" s="56">
        <f t="shared" si="816"/>
        <v>0</v>
      </c>
      <c r="L1073" s="54"/>
      <c r="M1073" s="55"/>
      <c r="N1073" s="55"/>
      <c r="O1073" s="55"/>
      <c r="P1073" s="56">
        <f t="shared" si="817"/>
        <v>0</v>
      </c>
      <c r="Q1073" s="54"/>
      <c r="R1073" s="55"/>
      <c r="S1073" s="55"/>
      <c r="T1073" s="55">
        <v>1</v>
      </c>
      <c r="U1073" s="56">
        <f t="shared" si="818"/>
        <v>1</v>
      </c>
      <c r="V1073" s="55"/>
      <c r="W1073" s="55"/>
      <c r="X1073" s="55"/>
      <c r="Y1073" s="55"/>
      <c r="Z1073" s="56">
        <f t="shared" si="827"/>
        <v>0</v>
      </c>
      <c r="AA1073" s="56">
        <f t="shared" si="828"/>
        <v>2</v>
      </c>
      <c r="AB1073" s="299">
        <v>45325</v>
      </c>
      <c r="AC1073" s="276"/>
      <c r="AD1073" s="54"/>
      <c r="AE1073" s="55"/>
      <c r="AF1073" s="55"/>
      <c r="AG1073" s="55"/>
      <c r="AH1073" s="56">
        <f t="shared" si="810"/>
        <v>0</v>
      </c>
      <c r="AI1073" s="54"/>
      <c r="AJ1073" s="55"/>
      <c r="AK1073" s="55"/>
      <c r="AL1073" s="55"/>
      <c r="AM1073" s="56">
        <f t="shared" si="811"/>
        <v>0</v>
      </c>
      <c r="AN1073" s="54"/>
      <c r="AO1073" s="55"/>
      <c r="AP1073" s="55"/>
      <c r="AQ1073" s="55"/>
      <c r="AR1073" s="56">
        <f t="shared" si="812"/>
        <v>0</v>
      </c>
      <c r="AS1073" s="54"/>
      <c r="AT1073" s="55"/>
      <c r="AU1073" s="55"/>
      <c r="AV1073" s="55"/>
      <c r="AW1073" s="56">
        <f t="shared" si="813"/>
        <v>0</v>
      </c>
      <c r="AX1073" s="55"/>
      <c r="AY1073" s="55"/>
      <c r="AZ1073" s="55"/>
      <c r="BA1073" s="55"/>
      <c r="BB1073" s="56">
        <f t="shared" si="814"/>
        <v>0</v>
      </c>
      <c r="BC1073" s="56">
        <f t="shared" si="832"/>
        <v>0</v>
      </c>
      <c r="BE1073" s="277"/>
      <c r="BF1073" s="54"/>
      <c r="BG1073" s="55"/>
      <c r="BH1073" s="55"/>
      <c r="BI1073" s="55"/>
      <c r="BJ1073" s="56">
        <f t="shared" si="808"/>
        <v>0</v>
      </c>
      <c r="BL1073" s="277"/>
      <c r="BM1073" s="54"/>
      <c r="BN1073" s="55"/>
      <c r="BO1073" s="55"/>
      <c r="BP1073" s="55"/>
      <c r="BQ1073" s="56">
        <f t="shared" si="809"/>
        <v>0</v>
      </c>
    </row>
    <row r="1074" spans="1:69" x14ac:dyDescent="0.15">
      <c r="A1074" s="53" t="s">
        <v>98</v>
      </c>
      <c r="B1074" s="54"/>
      <c r="C1074" s="55"/>
      <c r="D1074" s="55"/>
      <c r="E1074" s="55"/>
      <c r="F1074" s="56">
        <f t="shared" si="826"/>
        <v>0</v>
      </c>
      <c r="G1074" s="54"/>
      <c r="H1074" s="55"/>
      <c r="I1074" s="55"/>
      <c r="J1074" s="55"/>
      <c r="K1074" s="56">
        <f t="shared" si="816"/>
        <v>0</v>
      </c>
      <c r="L1074" s="54"/>
      <c r="M1074" s="55"/>
      <c r="N1074" s="55"/>
      <c r="O1074" s="55"/>
      <c r="P1074" s="56">
        <f t="shared" si="817"/>
        <v>0</v>
      </c>
      <c r="Q1074" s="54"/>
      <c r="R1074" s="55"/>
      <c r="S1074" s="55"/>
      <c r="T1074" s="55"/>
      <c r="U1074" s="56">
        <f t="shared" si="818"/>
        <v>0</v>
      </c>
      <c r="V1074" s="55"/>
      <c r="W1074" s="55"/>
      <c r="X1074" s="55"/>
      <c r="Y1074" s="55">
        <v>1</v>
      </c>
      <c r="Z1074" s="56">
        <f t="shared" si="827"/>
        <v>1</v>
      </c>
      <c r="AA1074" s="56">
        <f t="shared" si="828"/>
        <v>1</v>
      </c>
      <c r="AB1074" s="299">
        <v>45327</v>
      </c>
      <c r="AC1074" s="276"/>
      <c r="AD1074" s="54"/>
      <c r="AE1074" s="55"/>
      <c r="AF1074" s="55"/>
      <c r="AG1074" s="55"/>
      <c r="AH1074" s="56">
        <f t="shared" si="810"/>
        <v>0</v>
      </c>
      <c r="AI1074" s="54"/>
      <c r="AJ1074" s="55"/>
      <c r="AK1074" s="55"/>
      <c r="AL1074" s="55"/>
      <c r="AM1074" s="56">
        <f t="shared" si="811"/>
        <v>0</v>
      </c>
      <c r="AN1074" s="54"/>
      <c r="AO1074" s="55"/>
      <c r="AP1074" s="55"/>
      <c r="AQ1074" s="55"/>
      <c r="AR1074" s="56">
        <f t="shared" si="812"/>
        <v>0</v>
      </c>
      <c r="AS1074" s="54"/>
      <c r="AT1074" s="55"/>
      <c r="AU1074" s="55"/>
      <c r="AV1074" s="55"/>
      <c r="AW1074" s="56">
        <f t="shared" si="813"/>
        <v>0</v>
      </c>
      <c r="AX1074" s="55"/>
      <c r="AY1074" s="55"/>
      <c r="AZ1074" s="55"/>
      <c r="BA1074" s="55"/>
      <c r="BB1074" s="56">
        <f t="shared" si="814"/>
        <v>0</v>
      </c>
      <c r="BC1074" s="56">
        <f t="shared" si="832"/>
        <v>0</v>
      </c>
      <c r="BE1074" s="277"/>
      <c r="BF1074" s="54"/>
      <c r="BG1074" s="55"/>
      <c r="BH1074" s="55"/>
      <c r="BI1074" s="55"/>
      <c r="BJ1074" s="56">
        <f t="shared" si="808"/>
        <v>0</v>
      </c>
      <c r="BL1074" s="277"/>
      <c r="BM1074" s="54"/>
      <c r="BN1074" s="55"/>
      <c r="BO1074" s="55"/>
      <c r="BP1074" s="55"/>
      <c r="BQ1074" s="56">
        <f t="shared" si="809"/>
        <v>0</v>
      </c>
    </row>
    <row r="1075" spans="1:69" x14ac:dyDescent="0.15">
      <c r="A1075" s="53" t="s">
        <v>98</v>
      </c>
      <c r="B1075" s="54"/>
      <c r="C1075" s="55"/>
      <c r="D1075" s="55"/>
      <c r="E1075" s="55"/>
      <c r="F1075" s="56">
        <f t="shared" si="826"/>
        <v>0</v>
      </c>
      <c r="G1075" s="54"/>
      <c r="H1075" s="55">
        <v>1</v>
      </c>
      <c r="I1075" s="55"/>
      <c r="J1075" s="55"/>
      <c r="K1075" s="56">
        <f t="shared" si="816"/>
        <v>1</v>
      </c>
      <c r="L1075" s="54"/>
      <c r="M1075" s="55"/>
      <c r="N1075" s="55"/>
      <c r="O1075" s="55"/>
      <c r="P1075" s="56">
        <f t="shared" si="817"/>
        <v>0</v>
      </c>
      <c r="Q1075" s="54"/>
      <c r="R1075" s="55"/>
      <c r="S1075" s="55"/>
      <c r="T1075" s="55"/>
      <c r="U1075" s="56">
        <f t="shared" si="818"/>
        <v>0</v>
      </c>
      <c r="V1075" s="55"/>
      <c r="W1075" s="55"/>
      <c r="X1075" s="55"/>
      <c r="Y1075" s="55"/>
      <c r="Z1075" s="56">
        <f t="shared" si="827"/>
        <v>0</v>
      </c>
      <c r="AA1075" s="56">
        <f t="shared" si="828"/>
        <v>1</v>
      </c>
      <c r="AB1075" s="299">
        <v>45335</v>
      </c>
      <c r="AC1075" s="276"/>
      <c r="AD1075" s="54"/>
      <c r="AE1075" s="55"/>
      <c r="AF1075" s="55"/>
      <c r="AG1075" s="55"/>
      <c r="AH1075" s="56">
        <f t="shared" si="810"/>
        <v>0</v>
      </c>
      <c r="AI1075" s="54"/>
      <c r="AJ1075" s="55"/>
      <c r="AK1075" s="55"/>
      <c r="AL1075" s="55"/>
      <c r="AM1075" s="56">
        <f t="shared" si="811"/>
        <v>0</v>
      </c>
      <c r="AN1075" s="54"/>
      <c r="AO1075" s="55"/>
      <c r="AP1075" s="55"/>
      <c r="AQ1075" s="55"/>
      <c r="AR1075" s="56">
        <f t="shared" si="812"/>
        <v>0</v>
      </c>
      <c r="AS1075" s="54"/>
      <c r="AT1075" s="55"/>
      <c r="AU1075" s="55"/>
      <c r="AV1075" s="55"/>
      <c r="AW1075" s="56">
        <f t="shared" si="813"/>
        <v>0</v>
      </c>
      <c r="AX1075" s="55"/>
      <c r="AY1075" s="55"/>
      <c r="AZ1075" s="55"/>
      <c r="BA1075" s="55"/>
      <c r="BB1075" s="56">
        <f t="shared" si="814"/>
        <v>0</v>
      </c>
      <c r="BC1075" s="56">
        <f t="shared" si="832"/>
        <v>0</v>
      </c>
      <c r="BE1075" s="276"/>
      <c r="BF1075" s="54"/>
      <c r="BG1075" s="55"/>
      <c r="BH1075" s="55"/>
      <c r="BI1075" s="55"/>
      <c r="BJ1075" s="56">
        <f t="shared" si="808"/>
        <v>0</v>
      </c>
      <c r="BL1075" s="276"/>
      <c r="BM1075" s="54"/>
      <c r="BN1075" s="55"/>
      <c r="BO1075" s="55"/>
      <c r="BP1075" s="55"/>
      <c r="BQ1075" s="56">
        <f t="shared" si="809"/>
        <v>0</v>
      </c>
    </row>
    <row r="1076" spans="1:69" x14ac:dyDescent="0.15">
      <c r="A1076" s="53" t="s">
        <v>98</v>
      </c>
      <c r="B1076" s="54"/>
      <c r="C1076" s="55"/>
      <c r="D1076" s="55"/>
      <c r="E1076" s="55"/>
      <c r="F1076" s="56">
        <f t="shared" si="826"/>
        <v>0</v>
      </c>
      <c r="G1076" s="54"/>
      <c r="H1076" s="55"/>
      <c r="I1076" s="55"/>
      <c r="J1076" s="55"/>
      <c r="K1076" s="56">
        <f t="shared" si="816"/>
        <v>0</v>
      </c>
      <c r="L1076" s="54"/>
      <c r="M1076" s="55"/>
      <c r="N1076" s="55"/>
      <c r="O1076" s="55"/>
      <c r="P1076" s="56">
        <f t="shared" si="817"/>
        <v>0</v>
      </c>
      <c r="Q1076" s="54"/>
      <c r="R1076" s="55">
        <v>1</v>
      </c>
      <c r="S1076" s="55"/>
      <c r="T1076" s="55">
        <v>1</v>
      </c>
      <c r="U1076" s="56">
        <f t="shared" si="818"/>
        <v>2</v>
      </c>
      <c r="V1076" s="55"/>
      <c r="W1076" s="55"/>
      <c r="X1076" s="55"/>
      <c r="Y1076" s="55"/>
      <c r="Z1076" s="56">
        <f t="shared" si="827"/>
        <v>0</v>
      </c>
      <c r="AA1076" s="56">
        <f t="shared" si="828"/>
        <v>2</v>
      </c>
      <c r="AB1076" s="299">
        <v>45336</v>
      </c>
      <c r="AC1076" s="276"/>
      <c r="AD1076" s="54"/>
      <c r="AE1076" s="55"/>
      <c r="AF1076" s="55"/>
      <c r="AG1076" s="55"/>
      <c r="AH1076" s="56">
        <f t="shared" si="810"/>
        <v>0</v>
      </c>
      <c r="AI1076" s="54"/>
      <c r="AJ1076" s="55"/>
      <c r="AK1076" s="55"/>
      <c r="AL1076" s="55"/>
      <c r="AM1076" s="56">
        <f t="shared" si="811"/>
        <v>0</v>
      </c>
      <c r="AN1076" s="54"/>
      <c r="AO1076" s="55"/>
      <c r="AP1076" s="55"/>
      <c r="AQ1076" s="55"/>
      <c r="AR1076" s="56">
        <f t="shared" si="812"/>
        <v>0</v>
      </c>
      <c r="AS1076" s="54"/>
      <c r="AT1076" s="55"/>
      <c r="AU1076" s="55"/>
      <c r="AV1076" s="55"/>
      <c r="AW1076" s="56">
        <f t="shared" si="813"/>
        <v>0</v>
      </c>
      <c r="AX1076" s="55"/>
      <c r="AY1076" s="55"/>
      <c r="AZ1076" s="55"/>
      <c r="BA1076" s="55"/>
      <c r="BB1076" s="56">
        <f t="shared" si="814"/>
        <v>0</v>
      </c>
      <c r="BC1076" s="56">
        <f t="shared" si="832"/>
        <v>0</v>
      </c>
      <c r="BE1076" s="277"/>
      <c r="BF1076" s="54"/>
      <c r="BG1076" s="55"/>
      <c r="BH1076" s="55"/>
      <c r="BI1076" s="55"/>
      <c r="BJ1076" s="56">
        <f t="shared" si="808"/>
        <v>0</v>
      </c>
      <c r="BL1076" s="277"/>
      <c r="BM1076" s="54"/>
      <c r="BN1076" s="55"/>
      <c r="BO1076" s="55"/>
      <c r="BP1076" s="55"/>
      <c r="BQ1076" s="56">
        <f t="shared" si="809"/>
        <v>0</v>
      </c>
    </row>
    <row r="1077" spans="1:69" x14ac:dyDescent="0.15">
      <c r="A1077" s="53" t="s">
        <v>98</v>
      </c>
      <c r="B1077" s="54"/>
      <c r="C1077" s="55"/>
      <c r="D1077" s="55"/>
      <c r="E1077" s="55"/>
      <c r="F1077" s="56">
        <f t="shared" si="826"/>
        <v>0</v>
      </c>
      <c r="G1077" s="54">
        <v>1</v>
      </c>
      <c r="H1077" s="55"/>
      <c r="I1077" s="55"/>
      <c r="J1077" s="55"/>
      <c r="K1077" s="56">
        <f t="shared" si="816"/>
        <v>1</v>
      </c>
      <c r="L1077" s="54"/>
      <c r="M1077" s="55"/>
      <c r="N1077" s="55"/>
      <c r="O1077" s="55"/>
      <c r="P1077" s="56">
        <f t="shared" si="817"/>
        <v>0</v>
      </c>
      <c r="Q1077" s="54"/>
      <c r="R1077" s="55"/>
      <c r="S1077" s="55"/>
      <c r="T1077" s="55"/>
      <c r="U1077" s="56">
        <f t="shared" si="818"/>
        <v>0</v>
      </c>
      <c r="V1077" s="55"/>
      <c r="W1077" s="55"/>
      <c r="X1077" s="55"/>
      <c r="Y1077" s="55"/>
      <c r="Z1077" s="56">
        <f t="shared" si="827"/>
        <v>0</v>
      </c>
      <c r="AA1077" s="56">
        <f t="shared" si="828"/>
        <v>1</v>
      </c>
      <c r="AB1077" s="299">
        <v>45338</v>
      </c>
      <c r="AC1077" s="276"/>
      <c r="AD1077" s="54"/>
      <c r="AE1077" s="55"/>
      <c r="AF1077" s="55"/>
      <c r="AG1077" s="55"/>
      <c r="AH1077" s="56">
        <f t="shared" si="810"/>
        <v>0</v>
      </c>
      <c r="AI1077" s="54"/>
      <c r="AJ1077" s="55"/>
      <c r="AK1077" s="55"/>
      <c r="AL1077" s="55"/>
      <c r="AM1077" s="56">
        <f t="shared" si="811"/>
        <v>0</v>
      </c>
      <c r="AN1077" s="54"/>
      <c r="AO1077" s="55"/>
      <c r="AP1077" s="55"/>
      <c r="AQ1077" s="55"/>
      <c r="AR1077" s="56">
        <f t="shared" si="812"/>
        <v>0</v>
      </c>
      <c r="AS1077" s="54"/>
      <c r="AT1077" s="55"/>
      <c r="AU1077" s="55"/>
      <c r="AV1077" s="55"/>
      <c r="AW1077" s="56">
        <f t="shared" si="813"/>
        <v>0</v>
      </c>
      <c r="AX1077" s="55"/>
      <c r="AY1077" s="55"/>
      <c r="AZ1077" s="55"/>
      <c r="BA1077" s="55"/>
      <c r="BB1077" s="56">
        <f t="shared" si="814"/>
        <v>0</v>
      </c>
      <c r="BC1077" s="56">
        <f t="shared" si="832"/>
        <v>0</v>
      </c>
      <c r="BE1077" s="276"/>
      <c r="BF1077" s="54"/>
      <c r="BG1077" s="55"/>
      <c r="BH1077" s="55"/>
      <c r="BI1077" s="55"/>
      <c r="BJ1077" s="56">
        <f t="shared" si="808"/>
        <v>0</v>
      </c>
      <c r="BL1077" s="276"/>
      <c r="BM1077" s="54"/>
      <c r="BN1077" s="55"/>
      <c r="BO1077" s="55"/>
      <c r="BP1077" s="55"/>
      <c r="BQ1077" s="56">
        <f t="shared" si="809"/>
        <v>0</v>
      </c>
    </row>
    <row r="1078" spans="1:69" x14ac:dyDescent="0.15">
      <c r="A1078" s="53" t="s">
        <v>98</v>
      </c>
      <c r="B1078" s="54"/>
      <c r="C1078" s="55"/>
      <c r="D1078" s="55"/>
      <c r="E1078" s="55"/>
      <c r="F1078" s="56">
        <f t="shared" si="826"/>
        <v>0</v>
      </c>
      <c r="G1078" s="54"/>
      <c r="H1078" s="55"/>
      <c r="I1078" s="55"/>
      <c r="J1078" s="55"/>
      <c r="K1078" s="56">
        <f t="shared" si="816"/>
        <v>0</v>
      </c>
      <c r="L1078" s="54"/>
      <c r="M1078" s="55"/>
      <c r="N1078" s="55"/>
      <c r="O1078" s="55"/>
      <c r="P1078" s="56">
        <f t="shared" si="817"/>
        <v>0</v>
      </c>
      <c r="Q1078" s="54"/>
      <c r="R1078" s="55"/>
      <c r="S1078" s="55">
        <v>1</v>
      </c>
      <c r="T1078" s="55"/>
      <c r="U1078" s="56">
        <f t="shared" si="818"/>
        <v>1</v>
      </c>
      <c r="V1078" s="55"/>
      <c r="W1078" s="55"/>
      <c r="X1078" s="55"/>
      <c r="Y1078" s="55"/>
      <c r="Z1078" s="56">
        <f t="shared" si="827"/>
        <v>0</v>
      </c>
      <c r="AA1078" s="56">
        <f t="shared" si="828"/>
        <v>1</v>
      </c>
      <c r="AB1078" s="299">
        <v>45342</v>
      </c>
      <c r="AC1078" s="276"/>
      <c r="AD1078" s="54"/>
      <c r="AE1078" s="55"/>
      <c r="AF1078" s="55"/>
      <c r="AG1078" s="55"/>
      <c r="AH1078" s="56">
        <f t="shared" si="810"/>
        <v>0</v>
      </c>
      <c r="AI1078" s="54"/>
      <c r="AJ1078" s="55"/>
      <c r="AK1078" s="55"/>
      <c r="AL1078" s="55"/>
      <c r="AM1078" s="56">
        <f t="shared" si="811"/>
        <v>0</v>
      </c>
      <c r="AN1078" s="54"/>
      <c r="AO1078" s="55"/>
      <c r="AP1078" s="55"/>
      <c r="AQ1078" s="55"/>
      <c r="AR1078" s="56">
        <f t="shared" si="812"/>
        <v>0</v>
      </c>
      <c r="AS1078" s="54"/>
      <c r="AT1078" s="55"/>
      <c r="AU1078" s="55"/>
      <c r="AV1078" s="55"/>
      <c r="AW1078" s="56">
        <f t="shared" si="813"/>
        <v>0</v>
      </c>
      <c r="AX1078" s="55"/>
      <c r="AY1078" s="55"/>
      <c r="AZ1078" s="55"/>
      <c r="BA1078" s="55"/>
      <c r="BB1078" s="56">
        <f t="shared" si="814"/>
        <v>0</v>
      </c>
      <c r="BC1078" s="56">
        <f t="shared" si="832"/>
        <v>0</v>
      </c>
      <c r="BE1078" s="277"/>
      <c r="BF1078" s="55"/>
      <c r="BG1078" s="55"/>
      <c r="BH1078" s="55"/>
      <c r="BI1078" s="166"/>
      <c r="BJ1078" s="49">
        <f t="shared" si="808"/>
        <v>0</v>
      </c>
      <c r="BL1078" s="277"/>
      <c r="BM1078" s="55"/>
      <c r="BN1078" s="55"/>
      <c r="BO1078" s="55"/>
      <c r="BP1078" s="166"/>
      <c r="BQ1078" s="49">
        <f t="shared" si="809"/>
        <v>0</v>
      </c>
    </row>
    <row r="1079" spans="1:69" x14ac:dyDescent="0.15">
      <c r="A1079" s="53" t="s">
        <v>98</v>
      </c>
      <c r="B1079" s="54"/>
      <c r="C1079" s="55"/>
      <c r="D1079" s="55"/>
      <c r="E1079" s="55"/>
      <c r="F1079" s="56">
        <f t="shared" si="826"/>
        <v>0</v>
      </c>
      <c r="G1079" s="54"/>
      <c r="H1079" s="55"/>
      <c r="I1079" s="55"/>
      <c r="J1079" s="55"/>
      <c r="K1079" s="56">
        <f t="shared" si="816"/>
        <v>0</v>
      </c>
      <c r="L1079" s="54"/>
      <c r="M1079" s="55"/>
      <c r="N1079" s="55"/>
      <c r="O1079" s="55"/>
      <c r="P1079" s="56">
        <f t="shared" si="817"/>
        <v>0</v>
      </c>
      <c r="Q1079" s="54">
        <v>1</v>
      </c>
      <c r="R1079" s="55"/>
      <c r="S1079" s="55"/>
      <c r="T1079" s="55"/>
      <c r="U1079" s="56">
        <f t="shared" si="818"/>
        <v>1</v>
      </c>
      <c r="V1079" s="55"/>
      <c r="W1079" s="55"/>
      <c r="X1079" s="55"/>
      <c r="Y1079" s="55"/>
      <c r="Z1079" s="56">
        <f t="shared" si="827"/>
        <v>0</v>
      </c>
      <c r="AA1079" s="56">
        <f t="shared" si="828"/>
        <v>1</v>
      </c>
      <c r="AB1079" s="299">
        <v>45344</v>
      </c>
      <c r="AC1079" s="276"/>
      <c r="AD1079" s="54"/>
      <c r="AE1079" s="55"/>
      <c r="AF1079" s="55"/>
      <c r="AG1079" s="55"/>
      <c r="AH1079" s="56">
        <f t="shared" si="810"/>
        <v>0</v>
      </c>
      <c r="AI1079" s="54"/>
      <c r="AJ1079" s="55"/>
      <c r="AK1079" s="55"/>
      <c r="AL1079" s="55"/>
      <c r="AM1079" s="56">
        <f t="shared" si="811"/>
        <v>0</v>
      </c>
      <c r="AN1079" s="54"/>
      <c r="AO1079" s="55"/>
      <c r="AP1079" s="55"/>
      <c r="AQ1079" s="55"/>
      <c r="AR1079" s="56">
        <f t="shared" si="812"/>
        <v>0</v>
      </c>
      <c r="AS1079" s="54"/>
      <c r="AT1079" s="55"/>
      <c r="AU1079" s="55"/>
      <c r="AV1079" s="55"/>
      <c r="AW1079" s="56">
        <f t="shared" si="813"/>
        <v>0</v>
      </c>
      <c r="AX1079" s="55"/>
      <c r="AY1079" s="55"/>
      <c r="AZ1079" s="55"/>
      <c r="BA1079" s="55"/>
      <c r="BB1079" s="56">
        <f t="shared" si="814"/>
        <v>0</v>
      </c>
      <c r="BC1079" s="56">
        <f t="shared" si="832"/>
        <v>0</v>
      </c>
      <c r="BE1079" s="277"/>
      <c r="BF1079" s="54"/>
      <c r="BG1079" s="55"/>
      <c r="BH1079" s="55"/>
      <c r="BI1079" s="55"/>
      <c r="BJ1079" s="56">
        <f t="shared" si="808"/>
        <v>0</v>
      </c>
      <c r="BL1079" s="277"/>
      <c r="BM1079" s="54"/>
      <c r="BN1079" s="55"/>
      <c r="BO1079" s="55"/>
      <c r="BP1079" s="55"/>
      <c r="BQ1079" s="56">
        <f t="shared" si="809"/>
        <v>0</v>
      </c>
    </row>
    <row r="1080" spans="1:69" x14ac:dyDescent="0.15">
      <c r="A1080" s="53" t="s">
        <v>98</v>
      </c>
      <c r="B1080" s="54"/>
      <c r="C1080" s="55"/>
      <c r="D1080" s="55"/>
      <c r="E1080" s="55"/>
      <c r="F1080" s="56">
        <f t="shared" si="826"/>
        <v>0</v>
      </c>
      <c r="G1080" s="54"/>
      <c r="H1080" s="55"/>
      <c r="I1080" s="55"/>
      <c r="J1080" s="55"/>
      <c r="K1080" s="56">
        <f t="shared" si="816"/>
        <v>0</v>
      </c>
      <c r="L1080" s="54"/>
      <c r="M1080" s="55"/>
      <c r="N1080" s="55"/>
      <c r="O1080" s="55"/>
      <c r="P1080" s="56">
        <f t="shared" si="817"/>
        <v>0</v>
      </c>
      <c r="Q1080" s="54">
        <v>1</v>
      </c>
      <c r="R1080" s="55"/>
      <c r="S1080" s="55"/>
      <c r="T1080" s="55"/>
      <c r="U1080" s="56">
        <f t="shared" si="818"/>
        <v>1</v>
      </c>
      <c r="V1080" s="55"/>
      <c r="W1080" s="55"/>
      <c r="X1080" s="55"/>
      <c r="Y1080" s="55"/>
      <c r="Z1080" s="56">
        <f t="shared" si="827"/>
        <v>0</v>
      </c>
      <c r="AA1080" s="56">
        <f t="shared" si="828"/>
        <v>1</v>
      </c>
      <c r="AB1080" s="299">
        <v>45348</v>
      </c>
      <c r="AC1080" s="276"/>
      <c r="AD1080" s="54"/>
      <c r="AE1080" s="55"/>
      <c r="AF1080" s="55"/>
      <c r="AG1080" s="55"/>
      <c r="AH1080" s="56">
        <f t="shared" si="810"/>
        <v>0</v>
      </c>
      <c r="AI1080" s="54"/>
      <c r="AJ1080" s="55"/>
      <c r="AK1080" s="55"/>
      <c r="AL1080" s="55"/>
      <c r="AM1080" s="56">
        <f t="shared" si="811"/>
        <v>0</v>
      </c>
      <c r="AN1080" s="54"/>
      <c r="AO1080" s="55"/>
      <c r="AP1080" s="55"/>
      <c r="AQ1080" s="55"/>
      <c r="AR1080" s="56">
        <f t="shared" si="812"/>
        <v>0</v>
      </c>
      <c r="AS1080" s="54"/>
      <c r="AT1080" s="55"/>
      <c r="AU1080" s="55"/>
      <c r="AV1080" s="55"/>
      <c r="AW1080" s="56">
        <f t="shared" si="813"/>
        <v>0</v>
      </c>
      <c r="AX1080" s="55"/>
      <c r="AY1080" s="55"/>
      <c r="AZ1080" s="55"/>
      <c r="BA1080" s="55"/>
      <c r="BB1080" s="56">
        <f t="shared" si="814"/>
        <v>0</v>
      </c>
      <c r="BC1080" s="56">
        <f t="shared" si="832"/>
        <v>0</v>
      </c>
      <c r="BE1080" s="276"/>
      <c r="BF1080" s="54"/>
      <c r="BG1080" s="55"/>
      <c r="BH1080" s="55"/>
      <c r="BI1080" s="55"/>
      <c r="BJ1080" s="56">
        <f t="shared" si="808"/>
        <v>0</v>
      </c>
      <c r="BL1080" s="276"/>
      <c r="BM1080" s="54"/>
      <c r="BN1080" s="55"/>
      <c r="BO1080" s="55"/>
      <c r="BP1080" s="55"/>
      <c r="BQ1080" s="56">
        <f t="shared" si="809"/>
        <v>0</v>
      </c>
    </row>
    <row r="1081" spans="1:69" x14ac:dyDescent="0.15">
      <c r="A1081" s="53" t="s">
        <v>98</v>
      </c>
      <c r="B1081" s="54"/>
      <c r="C1081" s="55"/>
      <c r="D1081" s="55"/>
      <c r="E1081" s="55"/>
      <c r="F1081" s="56">
        <f t="shared" si="826"/>
        <v>0</v>
      </c>
      <c r="G1081" s="54"/>
      <c r="H1081" s="55">
        <v>1</v>
      </c>
      <c r="I1081" s="55"/>
      <c r="J1081" s="55"/>
      <c r="K1081" s="56">
        <f t="shared" si="816"/>
        <v>1</v>
      </c>
      <c r="L1081" s="54">
        <v>1</v>
      </c>
      <c r="M1081" s="55"/>
      <c r="N1081" s="55"/>
      <c r="O1081" s="55"/>
      <c r="P1081" s="56">
        <f t="shared" si="817"/>
        <v>1</v>
      </c>
      <c r="Q1081" s="54"/>
      <c r="R1081" s="55"/>
      <c r="S1081" s="55">
        <v>1</v>
      </c>
      <c r="T1081" s="55"/>
      <c r="U1081" s="56">
        <f t="shared" si="818"/>
        <v>1</v>
      </c>
      <c r="V1081" s="55"/>
      <c r="W1081" s="55"/>
      <c r="X1081" s="55"/>
      <c r="Y1081" s="55"/>
      <c r="Z1081" s="56">
        <f t="shared" si="827"/>
        <v>0</v>
      </c>
      <c r="AA1081" s="56">
        <f t="shared" si="828"/>
        <v>3</v>
      </c>
      <c r="AB1081" s="299">
        <v>45353</v>
      </c>
      <c r="AC1081" s="276"/>
      <c r="AD1081" s="54"/>
      <c r="AE1081" s="55"/>
      <c r="AF1081" s="55"/>
      <c r="AG1081" s="55"/>
      <c r="AH1081" s="56">
        <f t="shared" si="810"/>
        <v>0</v>
      </c>
      <c r="AI1081" s="54"/>
      <c r="AJ1081" s="55"/>
      <c r="AK1081" s="55"/>
      <c r="AL1081" s="55"/>
      <c r="AM1081" s="56">
        <f t="shared" si="811"/>
        <v>0</v>
      </c>
      <c r="AN1081" s="54"/>
      <c r="AO1081" s="55"/>
      <c r="AP1081" s="55"/>
      <c r="AQ1081" s="55"/>
      <c r="AR1081" s="56">
        <f t="shared" si="812"/>
        <v>0</v>
      </c>
      <c r="AS1081" s="54"/>
      <c r="AT1081" s="55"/>
      <c r="AU1081" s="55"/>
      <c r="AV1081" s="55"/>
      <c r="AW1081" s="56">
        <f t="shared" si="813"/>
        <v>0</v>
      </c>
      <c r="AX1081" s="55"/>
      <c r="AY1081" s="55"/>
      <c r="AZ1081" s="55"/>
      <c r="BA1081" s="55"/>
      <c r="BB1081" s="56">
        <f t="shared" si="814"/>
        <v>0</v>
      </c>
      <c r="BC1081" s="56">
        <f t="shared" si="832"/>
        <v>0</v>
      </c>
      <c r="BE1081" s="276"/>
      <c r="BF1081" s="63"/>
      <c r="BG1081" s="63"/>
      <c r="BH1081" s="63"/>
      <c r="BI1081" s="167"/>
      <c r="BJ1081" s="64">
        <f t="shared" si="808"/>
        <v>0</v>
      </c>
      <c r="BL1081" s="276"/>
      <c r="BM1081" s="63"/>
      <c r="BN1081" s="63"/>
      <c r="BO1081" s="63"/>
      <c r="BP1081" s="167"/>
      <c r="BQ1081" s="64">
        <f t="shared" si="809"/>
        <v>0</v>
      </c>
    </row>
    <row r="1082" spans="1:69" x14ac:dyDescent="0.15">
      <c r="A1082" s="53" t="s">
        <v>98</v>
      </c>
      <c r="B1082" s="54"/>
      <c r="C1082" s="55"/>
      <c r="D1082" s="55"/>
      <c r="E1082" s="55"/>
      <c r="F1082" s="56">
        <f t="shared" si="826"/>
        <v>0</v>
      </c>
      <c r="G1082" s="54"/>
      <c r="H1082" s="55"/>
      <c r="I1082" s="55"/>
      <c r="J1082" s="55"/>
      <c r="K1082" s="56">
        <f t="shared" si="816"/>
        <v>0</v>
      </c>
      <c r="L1082" s="54"/>
      <c r="M1082" s="55">
        <v>1</v>
      </c>
      <c r="N1082" s="55"/>
      <c r="O1082" s="55"/>
      <c r="P1082" s="56">
        <f t="shared" si="817"/>
        <v>1</v>
      </c>
      <c r="Q1082" s="54"/>
      <c r="R1082" s="55"/>
      <c r="S1082" s="55"/>
      <c r="T1082" s="55"/>
      <c r="U1082" s="56">
        <f t="shared" si="818"/>
        <v>0</v>
      </c>
      <c r="V1082" s="55">
        <v>1</v>
      </c>
      <c r="W1082" s="55"/>
      <c r="X1082" s="55"/>
      <c r="Y1082" s="55"/>
      <c r="Z1082" s="56">
        <f t="shared" si="827"/>
        <v>1</v>
      </c>
      <c r="AA1082" s="56">
        <f t="shared" si="828"/>
        <v>2</v>
      </c>
      <c r="AB1082" s="299">
        <v>45356</v>
      </c>
      <c r="AC1082" s="276"/>
      <c r="AD1082" s="54"/>
      <c r="AE1082" s="55"/>
      <c r="AF1082" s="55"/>
      <c r="AG1082" s="55"/>
      <c r="AH1082" s="56">
        <f t="shared" si="810"/>
        <v>0</v>
      </c>
      <c r="AI1082" s="54"/>
      <c r="AJ1082" s="55"/>
      <c r="AK1082" s="55"/>
      <c r="AL1082" s="55"/>
      <c r="AM1082" s="56">
        <f t="shared" si="811"/>
        <v>0</v>
      </c>
      <c r="AN1082" s="54"/>
      <c r="AO1082" s="55"/>
      <c r="AP1082" s="55"/>
      <c r="AQ1082" s="55"/>
      <c r="AR1082" s="56">
        <f t="shared" si="812"/>
        <v>0</v>
      </c>
      <c r="AS1082" s="54"/>
      <c r="AT1082" s="55"/>
      <c r="AU1082" s="55"/>
      <c r="AV1082" s="55"/>
      <c r="AW1082" s="56">
        <f t="shared" si="813"/>
        <v>0</v>
      </c>
      <c r="AX1082" s="55"/>
      <c r="AY1082" s="55"/>
      <c r="AZ1082" s="55"/>
      <c r="BA1082" s="55"/>
      <c r="BB1082" s="56">
        <f t="shared" si="814"/>
        <v>0</v>
      </c>
      <c r="BC1082" s="56">
        <f t="shared" si="832"/>
        <v>0</v>
      </c>
      <c r="BE1082" s="277"/>
      <c r="BF1082" s="54"/>
      <c r="BG1082" s="55"/>
      <c r="BH1082" s="55"/>
      <c r="BI1082" s="55"/>
      <c r="BJ1082" s="56">
        <f t="shared" si="808"/>
        <v>0</v>
      </c>
      <c r="BL1082" s="277"/>
      <c r="BM1082" s="54"/>
      <c r="BN1082" s="55"/>
      <c r="BO1082" s="55"/>
      <c r="BP1082" s="55"/>
      <c r="BQ1082" s="56">
        <f t="shared" si="809"/>
        <v>0</v>
      </c>
    </row>
    <row r="1083" spans="1:69" x14ac:dyDescent="0.15">
      <c r="A1083" s="53" t="s">
        <v>98</v>
      </c>
      <c r="B1083" s="54"/>
      <c r="C1083" s="55"/>
      <c r="D1083" s="55"/>
      <c r="E1083" s="55"/>
      <c r="F1083" s="56">
        <f t="shared" si="826"/>
        <v>0</v>
      </c>
      <c r="G1083" s="54"/>
      <c r="H1083" s="55"/>
      <c r="I1083" s="55"/>
      <c r="J1083" s="55"/>
      <c r="K1083" s="56">
        <f t="shared" si="816"/>
        <v>0</v>
      </c>
      <c r="L1083" s="54"/>
      <c r="M1083" s="55"/>
      <c r="N1083" s="55"/>
      <c r="O1083" s="55"/>
      <c r="P1083" s="56">
        <f t="shared" si="817"/>
        <v>0</v>
      </c>
      <c r="Q1083" s="54"/>
      <c r="R1083" s="55"/>
      <c r="S1083" s="55"/>
      <c r="T1083" s="55">
        <v>1</v>
      </c>
      <c r="U1083" s="56">
        <f t="shared" si="818"/>
        <v>1</v>
      </c>
      <c r="V1083" s="55"/>
      <c r="W1083" s="55"/>
      <c r="X1083" s="55"/>
      <c r="Y1083" s="55"/>
      <c r="Z1083" s="56">
        <f t="shared" si="827"/>
        <v>0</v>
      </c>
      <c r="AA1083" s="56">
        <f t="shared" si="828"/>
        <v>1</v>
      </c>
      <c r="AB1083" s="299">
        <v>45357</v>
      </c>
      <c r="AC1083" s="276"/>
      <c r="AD1083" s="54"/>
      <c r="AE1083" s="55"/>
      <c r="AF1083" s="55"/>
      <c r="AG1083" s="55"/>
      <c r="AH1083" s="56">
        <f t="shared" si="810"/>
        <v>0</v>
      </c>
      <c r="AI1083" s="54"/>
      <c r="AJ1083" s="55"/>
      <c r="AK1083" s="55"/>
      <c r="AL1083" s="55"/>
      <c r="AM1083" s="56">
        <f t="shared" si="811"/>
        <v>0</v>
      </c>
      <c r="AN1083" s="54"/>
      <c r="AO1083" s="55"/>
      <c r="AP1083" s="55"/>
      <c r="AQ1083" s="55"/>
      <c r="AR1083" s="56">
        <f t="shared" si="812"/>
        <v>0</v>
      </c>
      <c r="AS1083" s="54"/>
      <c r="AT1083" s="55"/>
      <c r="AU1083" s="55"/>
      <c r="AV1083" s="55"/>
      <c r="AW1083" s="56">
        <f t="shared" si="813"/>
        <v>0</v>
      </c>
      <c r="AX1083" s="55"/>
      <c r="AY1083" s="55"/>
      <c r="AZ1083" s="55"/>
      <c r="BA1083" s="55"/>
      <c r="BB1083" s="56">
        <f t="shared" si="814"/>
        <v>0</v>
      </c>
      <c r="BC1083" s="56">
        <f t="shared" si="832"/>
        <v>0</v>
      </c>
      <c r="BE1083" s="276"/>
      <c r="BF1083" s="54"/>
      <c r="BG1083" s="55"/>
      <c r="BH1083" s="55"/>
      <c r="BI1083" s="55"/>
      <c r="BJ1083" s="56">
        <f t="shared" si="808"/>
        <v>0</v>
      </c>
      <c r="BL1083" s="276"/>
      <c r="BM1083" s="54"/>
      <c r="BN1083" s="55"/>
      <c r="BO1083" s="55"/>
      <c r="BP1083" s="55"/>
      <c r="BQ1083" s="56">
        <f t="shared" si="809"/>
        <v>0</v>
      </c>
    </row>
    <row r="1084" spans="1:69" x14ac:dyDescent="0.15">
      <c r="A1084" s="53" t="s">
        <v>98</v>
      </c>
      <c r="B1084" s="54">
        <v>1</v>
      </c>
      <c r="C1084" s="55">
        <v>1</v>
      </c>
      <c r="D1084" s="55"/>
      <c r="E1084" s="55"/>
      <c r="F1084" s="56">
        <f t="shared" si="826"/>
        <v>2</v>
      </c>
      <c r="G1084" s="54"/>
      <c r="H1084" s="55"/>
      <c r="I1084" s="55"/>
      <c r="J1084" s="55"/>
      <c r="K1084" s="56">
        <f t="shared" si="816"/>
        <v>0</v>
      </c>
      <c r="L1084" s="54"/>
      <c r="M1084" s="55"/>
      <c r="N1084" s="55"/>
      <c r="O1084" s="55"/>
      <c r="P1084" s="56">
        <f t="shared" si="817"/>
        <v>0</v>
      </c>
      <c r="Q1084" s="54"/>
      <c r="R1084" s="55"/>
      <c r="S1084" s="55"/>
      <c r="T1084" s="55"/>
      <c r="U1084" s="56">
        <f t="shared" si="818"/>
        <v>0</v>
      </c>
      <c r="V1084" s="55"/>
      <c r="W1084" s="55"/>
      <c r="X1084" s="55"/>
      <c r="Y1084" s="55"/>
      <c r="Z1084" s="56">
        <f t="shared" si="827"/>
        <v>0</v>
      </c>
      <c r="AA1084" s="56">
        <f t="shared" si="828"/>
        <v>2</v>
      </c>
      <c r="AB1084" s="299">
        <v>45358</v>
      </c>
      <c r="AC1084" s="276"/>
      <c r="AD1084" s="54"/>
      <c r="AE1084" s="55"/>
      <c r="AF1084" s="55"/>
      <c r="AG1084" s="55"/>
      <c r="AH1084" s="56">
        <f t="shared" si="810"/>
        <v>0</v>
      </c>
      <c r="AI1084" s="54"/>
      <c r="AJ1084" s="55"/>
      <c r="AK1084" s="55"/>
      <c r="AL1084" s="55"/>
      <c r="AM1084" s="56">
        <f t="shared" si="811"/>
        <v>0</v>
      </c>
      <c r="AN1084" s="54"/>
      <c r="AO1084" s="55"/>
      <c r="AP1084" s="55"/>
      <c r="AQ1084" s="55"/>
      <c r="AR1084" s="56">
        <f t="shared" si="812"/>
        <v>0</v>
      </c>
      <c r="AS1084" s="54"/>
      <c r="AT1084" s="55"/>
      <c r="AU1084" s="55"/>
      <c r="AV1084" s="55"/>
      <c r="AW1084" s="56">
        <f t="shared" si="813"/>
        <v>0</v>
      </c>
      <c r="AX1084" s="55"/>
      <c r="AY1084" s="55"/>
      <c r="AZ1084" s="55"/>
      <c r="BA1084" s="55"/>
      <c r="BB1084" s="56">
        <f t="shared" si="814"/>
        <v>0</v>
      </c>
      <c r="BC1084" s="56">
        <f t="shared" si="832"/>
        <v>0</v>
      </c>
      <c r="BE1084" s="277"/>
      <c r="BF1084" s="54"/>
      <c r="BG1084" s="55"/>
      <c r="BH1084" s="55"/>
      <c r="BI1084" s="55"/>
      <c r="BJ1084" s="56">
        <f t="shared" si="808"/>
        <v>0</v>
      </c>
      <c r="BL1084" s="277"/>
      <c r="BM1084" s="54"/>
      <c r="BN1084" s="55"/>
      <c r="BO1084" s="55"/>
      <c r="BP1084" s="55"/>
      <c r="BQ1084" s="56">
        <f t="shared" si="809"/>
        <v>0</v>
      </c>
    </row>
    <row r="1085" spans="1:69" x14ac:dyDescent="0.15">
      <c r="A1085" s="53" t="s">
        <v>569</v>
      </c>
      <c r="B1085" s="54">
        <v>-2</v>
      </c>
      <c r="C1085" s="55">
        <v>-2</v>
      </c>
      <c r="D1085" s="55"/>
      <c r="E1085" s="55"/>
      <c r="F1085" s="56">
        <f t="shared" si="826"/>
        <v>-4</v>
      </c>
      <c r="G1085" s="54"/>
      <c r="H1085" s="55"/>
      <c r="I1085" s="55"/>
      <c r="J1085" s="55"/>
      <c r="K1085" s="56">
        <f t="shared" si="816"/>
        <v>0</v>
      </c>
      <c r="L1085" s="54"/>
      <c r="M1085" s="55"/>
      <c r="N1085" s="55"/>
      <c r="O1085" s="55"/>
      <c r="P1085" s="56">
        <f t="shared" si="817"/>
        <v>0</v>
      </c>
      <c r="Q1085" s="54"/>
      <c r="R1085" s="55"/>
      <c r="S1085" s="55"/>
      <c r="T1085" s="55"/>
      <c r="U1085" s="56">
        <f t="shared" si="818"/>
        <v>0</v>
      </c>
      <c r="V1085" s="55"/>
      <c r="W1085" s="55"/>
      <c r="X1085" s="55"/>
      <c r="Y1085" s="55"/>
      <c r="Z1085" s="56">
        <f t="shared" si="827"/>
        <v>0</v>
      </c>
      <c r="AA1085" s="56">
        <f t="shared" si="828"/>
        <v>-4</v>
      </c>
      <c r="AB1085" s="298">
        <v>45362</v>
      </c>
      <c r="AC1085" s="276"/>
      <c r="AD1085" s="54"/>
      <c r="AE1085" s="55"/>
      <c r="AF1085" s="55"/>
      <c r="AG1085" s="55"/>
      <c r="AH1085" s="56">
        <f t="shared" si="810"/>
        <v>0</v>
      </c>
      <c r="AI1085" s="54"/>
      <c r="AJ1085" s="55"/>
      <c r="AK1085" s="55"/>
      <c r="AL1085" s="55"/>
      <c r="AM1085" s="56">
        <f t="shared" si="811"/>
        <v>0</v>
      </c>
      <c r="AN1085" s="54"/>
      <c r="AO1085" s="55"/>
      <c r="AP1085" s="55"/>
      <c r="AQ1085" s="55"/>
      <c r="AR1085" s="56">
        <f t="shared" si="812"/>
        <v>0</v>
      </c>
      <c r="AS1085" s="54"/>
      <c r="AT1085" s="55"/>
      <c r="AU1085" s="55"/>
      <c r="AV1085" s="55"/>
      <c r="AW1085" s="56">
        <f t="shared" si="813"/>
        <v>0</v>
      </c>
      <c r="AX1085" s="55"/>
      <c r="AY1085" s="55"/>
      <c r="AZ1085" s="55"/>
      <c r="BA1085" s="55"/>
      <c r="BB1085" s="56">
        <f t="shared" si="814"/>
        <v>0</v>
      </c>
      <c r="BC1085" s="56">
        <f t="shared" si="832"/>
        <v>0</v>
      </c>
      <c r="BE1085" s="268"/>
      <c r="BF1085" s="62"/>
      <c r="BG1085" s="63"/>
      <c r="BH1085" s="63"/>
      <c r="BI1085" s="63"/>
      <c r="BJ1085" s="56">
        <f t="shared" si="808"/>
        <v>0</v>
      </c>
      <c r="BL1085" s="268"/>
      <c r="BM1085" s="62"/>
      <c r="BN1085" s="63"/>
      <c r="BO1085" s="63"/>
      <c r="BP1085" s="63"/>
      <c r="BQ1085" s="56">
        <f t="shared" si="809"/>
        <v>0</v>
      </c>
    </row>
    <row r="1086" spans="1:69" x14ac:dyDescent="0.15">
      <c r="A1086" s="53" t="s">
        <v>98</v>
      </c>
      <c r="B1086" s="54"/>
      <c r="C1086" s="55"/>
      <c r="D1086" s="55"/>
      <c r="E1086" s="55"/>
      <c r="F1086" s="56">
        <f t="shared" si="797"/>
        <v>0</v>
      </c>
      <c r="G1086" s="54"/>
      <c r="H1086" s="55"/>
      <c r="I1086" s="55"/>
      <c r="J1086" s="55"/>
      <c r="K1086" s="56">
        <f t="shared" ref="K1086" si="833">SUM(G1086:J1086)</f>
        <v>0</v>
      </c>
      <c r="L1086" s="54"/>
      <c r="M1086" s="55"/>
      <c r="N1086" s="55"/>
      <c r="O1086" s="55">
        <v>1</v>
      </c>
      <c r="P1086" s="56">
        <f t="shared" ref="P1086" si="834">SUM(L1086:O1086)</f>
        <v>1</v>
      </c>
      <c r="Q1086" s="54"/>
      <c r="R1086" s="55"/>
      <c r="S1086" s="55">
        <v>1</v>
      </c>
      <c r="T1086" s="55"/>
      <c r="U1086" s="56">
        <f t="shared" ref="U1086" si="835">SUM(Q1086:T1086)</f>
        <v>1</v>
      </c>
      <c r="V1086" s="55">
        <v>1</v>
      </c>
      <c r="W1086" s="55"/>
      <c r="X1086" s="55">
        <v>1</v>
      </c>
      <c r="Y1086" s="55"/>
      <c r="Z1086" s="56">
        <f t="shared" si="801"/>
        <v>2</v>
      </c>
      <c r="AA1086" s="56">
        <f t="shared" si="819"/>
        <v>4</v>
      </c>
      <c r="AB1086" s="298">
        <v>45362</v>
      </c>
      <c r="AC1086" s="276"/>
      <c r="AD1086" s="54"/>
      <c r="AE1086" s="55"/>
      <c r="AF1086" s="55"/>
      <c r="AG1086" s="55"/>
      <c r="AH1086" s="56">
        <f t="shared" si="810"/>
        <v>0</v>
      </c>
      <c r="AI1086" s="54"/>
      <c r="AJ1086" s="55"/>
      <c r="AK1086" s="55"/>
      <c r="AL1086" s="55"/>
      <c r="AM1086" s="56">
        <f t="shared" si="811"/>
        <v>0</v>
      </c>
      <c r="AN1086" s="54"/>
      <c r="AO1086" s="55"/>
      <c r="AP1086" s="55"/>
      <c r="AQ1086" s="55"/>
      <c r="AR1086" s="56">
        <f t="shared" si="812"/>
        <v>0</v>
      </c>
      <c r="AS1086" s="54"/>
      <c r="AT1086" s="55"/>
      <c r="AU1086" s="55"/>
      <c r="AV1086" s="55"/>
      <c r="AW1086" s="56">
        <f t="shared" si="813"/>
        <v>0</v>
      </c>
      <c r="AX1086" s="55"/>
      <c r="AY1086" s="55"/>
      <c r="AZ1086" s="55"/>
      <c r="BA1086" s="55"/>
      <c r="BB1086" s="56">
        <f t="shared" si="814"/>
        <v>0</v>
      </c>
      <c r="BC1086" s="56">
        <f t="shared" si="832"/>
        <v>0</v>
      </c>
      <c r="BE1086" s="268"/>
      <c r="BF1086" s="54"/>
      <c r="BG1086" s="55"/>
      <c r="BH1086" s="55"/>
      <c r="BI1086" s="55"/>
      <c r="BJ1086" s="56">
        <f t="shared" si="808"/>
        <v>0</v>
      </c>
      <c r="BL1086" s="268"/>
      <c r="BM1086" s="54"/>
      <c r="BN1086" s="55"/>
      <c r="BO1086" s="55"/>
      <c r="BP1086" s="55"/>
      <c r="BQ1086" s="56">
        <f t="shared" si="809"/>
        <v>0</v>
      </c>
    </row>
    <row r="1087" spans="1:69" x14ac:dyDescent="0.15">
      <c r="A1087" s="53" t="s">
        <v>121</v>
      </c>
      <c r="B1087" s="54"/>
      <c r="C1087" s="55">
        <v>-1</v>
      </c>
      <c r="D1087" s="55"/>
      <c r="E1087" s="55"/>
      <c r="F1087" s="56">
        <f t="shared" si="797"/>
        <v>-1</v>
      </c>
      <c r="G1087" s="54"/>
      <c r="H1087" s="55"/>
      <c r="I1087" s="55"/>
      <c r="J1087" s="55"/>
      <c r="K1087" s="56">
        <f t="shared" ref="K1087:K1091" si="836">SUM(G1087:J1087)</f>
        <v>0</v>
      </c>
      <c r="L1087" s="54"/>
      <c r="M1087" s="55"/>
      <c r="N1087" s="55"/>
      <c r="O1087" s="55"/>
      <c r="P1087" s="56">
        <f t="shared" ref="P1087:P1091" si="837">SUM(L1087:O1087)</f>
        <v>0</v>
      </c>
      <c r="Q1087" s="54"/>
      <c r="R1087" s="55"/>
      <c r="S1087" s="55"/>
      <c r="T1087" s="55"/>
      <c r="U1087" s="56">
        <f t="shared" ref="U1087:U1091" si="838">SUM(Q1087:T1087)</f>
        <v>0</v>
      </c>
      <c r="V1087" s="55"/>
      <c r="W1087" s="55"/>
      <c r="X1087" s="55"/>
      <c r="Y1087" s="55"/>
      <c r="Z1087" s="56">
        <f t="shared" si="801"/>
        <v>0</v>
      </c>
      <c r="AA1087" s="56">
        <f t="shared" si="819"/>
        <v>-1</v>
      </c>
      <c r="AB1087" s="298">
        <v>45364</v>
      </c>
      <c r="AC1087" s="276"/>
      <c r="AD1087" s="54"/>
      <c r="AE1087" s="55"/>
      <c r="AF1087" s="55"/>
      <c r="AG1087" s="55"/>
      <c r="AH1087" s="56">
        <f t="shared" ref="AH1087:AH1089" si="839">SUM(AD1087:AG1087)</f>
        <v>0</v>
      </c>
      <c r="AI1087" s="54"/>
      <c r="AJ1087" s="55"/>
      <c r="AK1087" s="55"/>
      <c r="AL1087" s="55"/>
      <c r="AM1087" s="56">
        <f t="shared" ref="AM1087:AM1089" si="840">SUM(AI1087:AL1087)</f>
        <v>0</v>
      </c>
      <c r="AN1087" s="54"/>
      <c r="AO1087" s="55"/>
      <c r="AP1087" s="55"/>
      <c r="AQ1087" s="55"/>
      <c r="AR1087" s="56">
        <f t="shared" ref="AR1087:AR1089" si="841">SUM(AN1087:AQ1087)</f>
        <v>0</v>
      </c>
      <c r="AS1087" s="54"/>
      <c r="AT1087" s="55"/>
      <c r="AU1087" s="55"/>
      <c r="AV1087" s="55"/>
      <c r="AW1087" s="56">
        <f t="shared" ref="AW1087:AW1089" si="842">SUM(AS1087:AV1087)</f>
        <v>0</v>
      </c>
      <c r="AX1087" s="55"/>
      <c r="AY1087" s="55"/>
      <c r="AZ1087" s="55"/>
      <c r="BA1087" s="55"/>
      <c r="BB1087" s="56">
        <f t="shared" ref="BB1087:BB1089" si="843">SUM(AX1087:BA1087)</f>
        <v>0</v>
      </c>
      <c r="BC1087" s="56">
        <f t="shared" ref="BC1087:BC1089" si="844">AH1087+AM1087+AR1087+AW1087+BB1087</f>
        <v>0</v>
      </c>
      <c r="BE1087" s="268"/>
      <c r="BF1087" s="62"/>
      <c r="BG1087" s="63"/>
      <c r="BH1087" s="63"/>
      <c r="BI1087" s="63"/>
      <c r="BJ1087" s="56">
        <f t="shared" si="808"/>
        <v>0</v>
      </c>
      <c r="BL1087" s="268"/>
      <c r="BM1087" s="62"/>
      <c r="BN1087" s="63"/>
      <c r="BO1087" s="63"/>
      <c r="BP1087" s="63"/>
      <c r="BQ1087" s="56">
        <f t="shared" si="809"/>
        <v>0</v>
      </c>
    </row>
    <row r="1088" spans="1:69" x14ac:dyDescent="0.15">
      <c r="A1088" s="53" t="s">
        <v>570</v>
      </c>
      <c r="B1088" s="54"/>
      <c r="C1088" s="55"/>
      <c r="D1088" s="55"/>
      <c r="E1088" s="55"/>
      <c r="F1088" s="56">
        <f t="shared" si="797"/>
        <v>0</v>
      </c>
      <c r="G1088" s="54"/>
      <c r="H1088" s="55"/>
      <c r="I1088" s="55"/>
      <c r="J1088" s="55"/>
      <c r="K1088" s="56">
        <f t="shared" si="836"/>
        <v>0</v>
      </c>
      <c r="L1088" s="54"/>
      <c r="M1088" s="55"/>
      <c r="N1088" s="55"/>
      <c r="O1088" s="55"/>
      <c r="P1088" s="56">
        <f t="shared" si="837"/>
        <v>0</v>
      </c>
      <c r="Q1088" s="54">
        <v>1</v>
      </c>
      <c r="R1088" s="55">
        <v>1</v>
      </c>
      <c r="S1088" s="55"/>
      <c r="T1088" s="55"/>
      <c r="U1088" s="56">
        <f t="shared" si="838"/>
        <v>2</v>
      </c>
      <c r="V1088" s="55"/>
      <c r="W1088" s="55"/>
      <c r="X1088" s="55"/>
      <c r="Y1088" s="55"/>
      <c r="Z1088" s="56">
        <f t="shared" si="801"/>
        <v>0</v>
      </c>
      <c r="AA1088" s="56">
        <f t="shared" si="819"/>
        <v>2</v>
      </c>
      <c r="AB1088" s="298">
        <v>45370</v>
      </c>
      <c r="AC1088" s="276"/>
      <c r="AD1088" s="54"/>
      <c r="AE1088" s="55"/>
      <c r="AF1088" s="55"/>
      <c r="AG1088" s="55"/>
      <c r="AH1088" s="56">
        <f t="shared" si="839"/>
        <v>0</v>
      </c>
      <c r="AI1088" s="54"/>
      <c r="AJ1088" s="55"/>
      <c r="AK1088" s="55"/>
      <c r="AL1088" s="55"/>
      <c r="AM1088" s="56">
        <f t="shared" si="840"/>
        <v>0</v>
      </c>
      <c r="AN1088" s="54"/>
      <c r="AO1088" s="55"/>
      <c r="AP1088" s="55"/>
      <c r="AQ1088" s="55"/>
      <c r="AR1088" s="56">
        <f t="shared" si="841"/>
        <v>0</v>
      </c>
      <c r="AS1088" s="54"/>
      <c r="AT1088" s="55"/>
      <c r="AU1088" s="55"/>
      <c r="AV1088" s="55"/>
      <c r="AW1088" s="56">
        <f t="shared" si="842"/>
        <v>0</v>
      </c>
      <c r="AX1088" s="55"/>
      <c r="AY1088" s="55"/>
      <c r="AZ1088" s="55"/>
      <c r="BA1088" s="55"/>
      <c r="BB1088" s="56">
        <f t="shared" si="843"/>
        <v>0</v>
      </c>
      <c r="BC1088" s="56">
        <f t="shared" si="844"/>
        <v>0</v>
      </c>
      <c r="BE1088" s="277"/>
      <c r="BF1088" s="54"/>
      <c r="BG1088" s="55"/>
      <c r="BH1088" s="55"/>
      <c r="BI1088" s="55"/>
      <c r="BJ1088" s="56">
        <f t="shared" si="808"/>
        <v>0</v>
      </c>
      <c r="BL1088" s="277"/>
      <c r="BM1088" s="54"/>
      <c r="BN1088" s="55"/>
      <c r="BO1088" s="55"/>
      <c r="BP1088" s="55"/>
      <c r="BQ1088" s="56">
        <f t="shared" si="809"/>
        <v>0</v>
      </c>
    </row>
    <row r="1089" spans="1:69" ht="14.25" thickBot="1" x14ac:dyDescent="0.2">
      <c r="A1089" s="53" t="s">
        <v>98</v>
      </c>
      <c r="B1089" s="33"/>
      <c r="C1089" s="34"/>
      <c r="D1089" s="34"/>
      <c r="E1089" s="34"/>
      <c r="F1089" s="30">
        <f t="shared" si="797"/>
        <v>0</v>
      </c>
      <c r="G1089" s="33"/>
      <c r="H1089" s="34">
        <v>1</v>
      </c>
      <c r="I1089" s="34"/>
      <c r="J1089" s="34"/>
      <c r="K1089" s="30">
        <f t="shared" si="836"/>
        <v>1</v>
      </c>
      <c r="L1089" s="33"/>
      <c r="M1089" s="34"/>
      <c r="N1089" s="34"/>
      <c r="O1089" s="34"/>
      <c r="P1089" s="30">
        <f t="shared" si="837"/>
        <v>0</v>
      </c>
      <c r="Q1089" s="33"/>
      <c r="R1089" s="34"/>
      <c r="S1089" s="34"/>
      <c r="T1089" s="34"/>
      <c r="U1089" s="30">
        <f t="shared" si="838"/>
        <v>0</v>
      </c>
      <c r="V1089" s="34"/>
      <c r="W1089" s="34"/>
      <c r="X1089" s="34"/>
      <c r="Y1089" s="34"/>
      <c r="Z1089" s="30">
        <f t="shared" si="801"/>
        <v>0</v>
      </c>
      <c r="AA1089" s="56">
        <f>F1089+K1089+P1089+U1089+Z1089</f>
        <v>1</v>
      </c>
      <c r="AB1089" s="298">
        <v>45369</v>
      </c>
      <c r="AC1089" s="276"/>
      <c r="AD1089" s="54"/>
      <c r="AE1089" s="55"/>
      <c r="AF1089" s="55"/>
      <c r="AG1089" s="55"/>
      <c r="AH1089" s="56">
        <f t="shared" si="839"/>
        <v>0</v>
      </c>
      <c r="AI1089" s="54"/>
      <c r="AJ1089" s="55"/>
      <c r="AK1089" s="55"/>
      <c r="AL1089" s="55"/>
      <c r="AM1089" s="56">
        <f t="shared" si="840"/>
        <v>0</v>
      </c>
      <c r="AN1089" s="54"/>
      <c r="AO1089" s="55"/>
      <c r="AP1089" s="55"/>
      <c r="AQ1089" s="55"/>
      <c r="AR1089" s="56">
        <f t="shared" si="841"/>
        <v>0</v>
      </c>
      <c r="AS1089" s="54"/>
      <c r="AT1089" s="55"/>
      <c r="AU1089" s="55"/>
      <c r="AV1089" s="55"/>
      <c r="AW1089" s="56">
        <f t="shared" si="842"/>
        <v>0</v>
      </c>
      <c r="AX1089" s="55"/>
      <c r="AY1089" s="55"/>
      <c r="AZ1089" s="55"/>
      <c r="BA1089" s="55"/>
      <c r="BB1089" s="56">
        <f t="shared" si="843"/>
        <v>0</v>
      </c>
      <c r="BC1089" s="56">
        <f t="shared" si="844"/>
        <v>0</v>
      </c>
      <c r="BE1089" s="282"/>
      <c r="BF1089" s="33"/>
      <c r="BG1089" s="34"/>
      <c r="BH1089" s="34"/>
      <c r="BI1089" s="34"/>
      <c r="BJ1089" s="30">
        <f t="shared" si="808"/>
        <v>0</v>
      </c>
      <c r="BL1089" s="282"/>
      <c r="BM1089" s="33"/>
      <c r="BN1089" s="34"/>
      <c r="BO1089" s="34"/>
      <c r="BP1089" s="34"/>
      <c r="BQ1089" s="30">
        <f t="shared" si="809"/>
        <v>0</v>
      </c>
    </row>
    <row r="1090" spans="1:69" ht="15" thickBot="1" x14ac:dyDescent="0.2">
      <c r="A1090" s="9" t="s">
        <v>15</v>
      </c>
      <c r="B1090" s="36">
        <f>SUM(B1064:B1089)</f>
        <v>0</v>
      </c>
      <c r="C1090" s="37">
        <f>SUM(C1064:C1089)</f>
        <v>-1</v>
      </c>
      <c r="D1090" s="37">
        <f>SUM(D1064:D1089)</f>
        <v>1</v>
      </c>
      <c r="E1090" s="38">
        <f>SUM(E1064:E1089)</f>
        <v>2</v>
      </c>
      <c r="F1090" s="25">
        <f t="shared" si="797"/>
        <v>2</v>
      </c>
      <c r="G1090" s="36">
        <f>SUM(G1064:G1089)</f>
        <v>1</v>
      </c>
      <c r="H1090" s="37">
        <f>SUM(H1064:H1089)</f>
        <v>4</v>
      </c>
      <c r="I1090" s="37">
        <f>SUM(I1064:I1089)</f>
        <v>2</v>
      </c>
      <c r="J1090" s="38">
        <f>SUM(J1064:J1089)</f>
        <v>0</v>
      </c>
      <c r="K1090" s="25">
        <f t="shared" si="836"/>
        <v>7</v>
      </c>
      <c r="L1090" s="36">
        <f>SUM(L1064:L1089)</f>
        <v>1</v>
      </c>
      <c r="M1090" s="37">
        <f>SUM(M1064:M1089)</f>
        <v>1</v>
      </c>
      <c r="N1090" s="37">
        <f>SUM(N1064:N1089)</f>
        <v>0</v>
      </c>
      <c r="O1090" s="38">
        <f>SUM(O1064:O1089)</f>
        <v>1</v>
      </c>
      <c r="P1090" s="25">
        <f t="shared" si="837"/>
        <v>3</v>
      </c>
      <c r="Q1090" s="36">
        <f>SUM(Q1064:Q1089)</f>
        <v>3</v>
      </c>
      <c r="R1090" s="37">
        <f>SUM(R1064:R1089)</f>
        <v>4</v>
      </c>
      <c r="S1090" s="37">
        <f>SUM(S1064:S1089)</f>
        <v>3</v>
      </c>
      <c r="T1090" s="38">
        <f>SUM(T1064:T1089)</f>
        <v>4</v>
      </c>
      <c r="U1090" s="25">
        <f t="shared" si="838"/>
        <v>14</v>
      </c>
      <c r="V1090" s="322">
        <f>SUM(V1064:V1089)</f>
        <v>2</v>
      </c>
      <c r="W1090" s="37">
        <f>SUM(W1064:W1089)</f>
        <v>0</v>
      </c>
      <c r="X1090" s="37">
        <f>SUM(X1064:X1089)</f>
        <v>2</v>
      </c>
      <c r="Y1090" s="38">
        <f>SUM(Y1064:Y1089)</f>
        <v>3</v>
      </c>
      <c r="Z1090" s="25">
        <f t="shared" si="801"/>
        <v>7</v>
      </c>
      <c r="AA1090" s="161">
        <f>F1090+K1090+P1090+U1090+Z1090</f>
        <v>33</v>
      </c>
      <c r="AC1090" s="278" t="s">
        <v>15</v>
      </c>
      <c r="AD1090" s="36">
        <f>SUM(AD1064:AD1089)</f>
        <v>8</v>
      </c>
      <c r="AE1090" s="37">
        <f>SUM(AE1064:AE1089)</f>
        <v>8</v>
      </c>
      <c r="AF1090" s="37">
        <f>SUM(AF1064:AF1089)</f>
        <v>4</v>
      </c>
      <c r="AG1090" s="38">
        <f>SUM(AG1064:AG1089)</f>
        <v>4</v>
      </c>
      <c r="AH1090" s="25">
        <f t="shared" ref="AH1090:AH1091" si="845">SUM(AD1090:AG1090)</f>
        <v>24</v>
      </c>
      <c r="AI1090" s="36">
        <f>SUM(AI1064:AI1089)</f>
        <v>6</v>
      </c>
      <c r="AJ1090" s="37">
        <f>SUM(AJ1064:AJ1089)</f>
        <v>6</v>
      </c>
      <c r="AK1090" s="37">
        <f>SUM(AK1064:AK1089)</f>
        <v>4</v>
      </c>
      <c r="AL1090" s="38">
        <f>SUM(AL1064:AL1089)</f>
        <v>4</v>
      </c>
      <c r="AM1090" s="25">
        <f t="shared" ref="AM1090:AM1091" si="846">SUM(AI1090:AL1090)</f>
        <v>20</v>
      </c>
      <c r="AN1090" s="36">
        <f>SUM(AN1064:AN1089)</f>
        <v>2</v>
      </c>
      <c r="AO1090" s="37">
        <f>SUM(AO1064:AO1089)</f>
        <v>2</v>
      </c>
      <c r="AP1090" s="37">
        <f>SUM(AP1064:AP1089)</f>
        <v>0</v>
      </c>
      <c r="AQ1090" s="38">
        <f>SUM(AQ1064:AQ1089)</f>
        <v>0</v>
      </c>
      <c r="AR1090" s="25">
        <f t="shared" si="812"/>
        <v>4</v>
      </c>
      <c r="AS1090" s="36">
        <f>SUM(AS1064:AS1089)</f>
        <v>8</v>
      </c>
      <c r="AT1090" s="37">
        <f>SUM(AT1064:AT1089)</f>
        <v>6</v>
      </c>
      <c r="AU1090" s="37">
        <f>SUM(AU1064:AU1089)</f>
        <v>6</v>
      </c>
      <c r="AV1090" s="38">
        <f>SUM(AV1064:AV1089)</f>
        <v>4</v>
      </c>
      <c r="AW1090" s="25">
        <f t="shared" si="813"/>
        <v>24</v>
      </c>
      <c r="AX1090" s="322">
        <f>SUM(AX1064:AX1089)</f>
        <v>2</v>
      </c>
      <c r="AY1090" s="37">
        <f>SUM(AY1064:AY1089)</f>
        <v>0</v>
      </c>
      <c r="AZ1090" s="37">
        <f>SUM(AZ1064:AZ1089)</f>
        <v>0</v>
      </c>
      <c r="BA1090" s="38">
        <f>SUM(BA1064:BA1089)</f>
        <v>0</v>
      </c>
      <c r="BB1090" s="25">
        <f t="shared" si="814"/>
        <v>2</v>
      </c>
      <c r="BC1090" s="161">
        <f>AH1090+AM1090+AR1090+AW1090+BB1090</f>
        <v>74</v>
      </c>
      <c r="BE1090" s="278" t="s">
        <v>15</v>
      </c>
      <c r="BF1090" s="312">
        <f>SUM(BF1064:BF1089)</f>
        <v>0</v>
      </c>
      <c r="BG1090" s="302">
        <f>SUM(BG1064:BG1089)</f>
        <v>0</v>
      </c>
      <c r="BH1090" s="37">
        <f>SUM(BH1064:BH1089)</f>
        <v>1</v>
      </c>
      <c r="BI1090" s="316">
        <f>SUM(BI1064:BI1089)</f>
        <v>0</v>
      </c>
      <c r="BJ1090" s="25">
        <f t="shared" si="808"/>
        <v>1</v>
      </c>
      <c r="BL1090" s="278" t="s">
        <v>15</v>
      </c>
      <c r="BM1090" s="312">
        <f>SUM(BM1064:BM1089)</f>
        <v>0</v>
      </c>
      <c r="BN1090" s="302">
        <f>SUM(BN1064:BN1089)</f>
        <v>0</v>
      </c>
      <c r="BO1090" s="37">
        <f>SUM(BO1064:BO1089)</f>
        <v>0</v>
      </c>
      <c r="BP1090" s="316">
        <f>SUM(BP1064:BP1089)</f>
        <v>0</v>
      </c>
      <c r="BQ1090" s="25">
        <f t="shared" si="809"/>
        <v>0</v>
      </c>
    </row>
    <row r="1091" spans="1:69" ht="14.25" thickBot="1" x14ac:dyDescent="0.2">
      <c r="A1091" s="39" t="s">
        <v>16</v>
      </c>
      <c r="B1091" s="40">
        <f>B1063-B1090</f>
        <v>3</v>
      </c>
      <c r="C1091" s="41">
        <f>C1063-C1090</f>
        <v>4</v>
      </c>
      <c r="D1091" s="41">
        <f>D1063-D1090</f>
        <v>2</v>
      </c>
      <c r="E1091" s="42">
        <f>E1063-E1090</f>
        <v>3</v>
      </c>
      <c r="F1091" s="171">
        <f t="shared" si="797"/>
        <v>12</v>
      </c>
      <c r="G1091" s="40">
        <f>G1063-G1090</f>
        <v>3</v>
      </c>
      <c r="H1091" s="41">
        <f>H1063-H1090</f>
        <v>1</v>
      </c>
      <c r="I1091" s="41">
        <f>I1063-I1090</f>
        <v>2</v>
      </c>
      <c r="J1091" s="42">
        <f>J1063-J1090</f>
        <v>2</v>
      </c>
      <c r="K1091" s="171">
        <f t="shared" si="836"/>
        <v>8</v>
      </c>
      <c r="L1091" s="40">
        <f>L1063-L1090</f>
        <v>3</v>
      </c>
      <c r="M1091" s="41">
        <f>M1063-M1090</f>
        <v>3</v>
      </c>
      <c r="N1091" s="41">
        <f>N1063-N1090</f>
        <v>2</v>
      </c>
      <c r="O1091" s="42">
        <f>O1063-O1090</f>
        <v>1</v>
      </c>
      <c r="P1091" s="171">
        <f t="shared" si="837"/>
        <v>9</v>
      </c>
      <c r="Q1091" s="40">
        <f>Q1063-Q1090</f>
        <v>2</v>
      </c>
      <c r="R1091" s="41">
        <f>R1063-R1090</f>
        <v>1</v>
      </c>
      <c r="S1091" s="41">
        <f>S1063-S1090</f>
        <v>2</v>
      </c>
      <c r="T1091" s="42">
        <f>T1063-T1090</f>
        <v>2</v>
      </c>
      <c r="U1091" s="171">
        <f t="shared" si="838"/>
        <v>7</v>
      </c>
      <c r="V1091" s="323">
        <f>V1063-V1090</f>
        <v>2</v>
      </c>
      <c r="W1091" s="41">
        <f>W1063-W1090</f>
        <v>2</v>
      </c>
      <c r="X1091" s="41">
        <f>X1063-X1090</f>
        <v>2</v>
      </c>
      <c r="Y1091" s="42">
        <f>Y1063-Y1090</f>
        <v>3</v>
      </c>
      <c r="Z1091" s="171">
        <f>SUM(V1091:Y1091)</f>
        <v>9</v>
      </c>
      <c r="AA1091" s="77">
        <f>F1091+K1091+P1091+U1091+Z1091</f>
        <v>45</v>
      </c>
      <c r="AC1091" s="279" t="s">
        <v>16</v>
      </c>
      <c r="AD1091" s="40">
        <f>AD1063-AD1090</f>
        <v>84</v>
      </c>
      <c r="AE1091" s="41">
        <f>AE1063-AE1090</f>
        <v>82</v>
      </c>
      <c r="AF1091" s="41">
        <f>AF1063-AF1090</f>
        <v>140</v>
      </c>
      <c r="AG1091" s="42">
        <f>AG1063-AG1090</f>
        <v>63</v>
      </c>
      <c r="AH1091" s="171">
        <f t="shared" si="845"/>
        <v>369</v>
      </c>
      <c r="AI1091" s="40">
        <f>AI1063-AI1090</f>
        <v>87</v>
      </c>
      <c r="AJ1091" s="41">
        <f>AJ1063-AJ1090</f>
        <v>164</v>
      </c>
      <c r="AK1091" s="41">
        <f>AK1063-AK1090</f>
        <v>62</v>
      </c>
      <c r="AL1091" s="42">
        <f>AL1063-AL1090</f>
        <v>54</v>
      </c>
      <c r="AM1091" s="171">
        <f t="shared" si="846"/>
        <v>367</v>
      </c>
      <c r="AN1091" s="40">
        <f>AN1063-AN1090</f>
        <v>44</v>
      </c>
      <c r="AO1091" s="41">
        <f>AO1063-AO1090</f>
        <v>63</v>
      </c>
      <c r="AP1091" s="41">
        <f>AP1063-AP1090</f>
        <v>50</v>
      </c>
      <c r="AQ1091" s="42">
        <f>AQ1063-AQ1090</f>
        <v>31</v>
      </c>
      <c r="AR1091" s="171">
        <f t="shared" si="812"/>
        <v>188</v>
      </c>
      <c r="AS1091" s="40">
        <f>AS1063-AS1090</f>
        <v>114</v>
      </c>
      <c r="AT1091" s="41">
        <f>AT1063-AT1090</f>
        <v>191</v>
      </c>
      <c r="AU1091" s="41">
        <f>AU1063-AU1090</f>
        <v>70</v>
      </c>
      <c r="AV1091" s="42">
        <f>AV1063-AV1090</f>
        <v>59</v>
      </c>
      <c r="AW1091" s="171">
        <f t="shared" si="813"/>
        <v>434</v>
      </c>
      <c r="AX1091" s="323">
        <f>AX1063-AX1090</f>
        <v>110</v>
      </c>
      <c r="AY1091" s="41">
        <f>AY1063-AY1090</f>
        <v>102</v>
      </c>
      <c r="AZ1091" s="41">
        <f>AZ1063-AZ1090</f>
        <v>54</v>
      </c>
      <c r="BA1091" s="42">
        <f>BA1063-BA1090</f>
        <v>43</v>
      </c>
      <c r="BB1091" s="171">
        <f>SUM(AX1091:BA1091)</f>
        <v>309</v>
      </c>
      <c r="BC1091" s="77">
        <f>AH1091+AM1091+AR1091+AW1091+BB1091</f>
        <v>1667</v>
      </c>
      <c r="BE1091" s="279" t="s">
        <v>16</v>
      </c>
      <c r="BF1091" s="313">
        <f>BF1063-BF1090</f>
        <v>0</v>
      </c>
      <c r="BG1091" s="303">
        <f>BG1063-BG1090</f>
        <v>0</v>
      </c>
      <c r="BH1091" s="41">
        <f>BH1063-BH1090</f>
        <v>2</v>
      </c>
      <c r="BI1091" s="317">
        <f>BI1063-BI1090</f>
        <v>0</v>
      </c>
      <c r="BJ1091" s="171">
        <f t="shared" si="808"/>
        <v>2</v>
      </c>
      <c r="BL1091" s="279" t="s">
        <v>16</v>
      </c>
      <c r="BM1091" s="313">
        <f>BM1063-BM1090</f>
        <v>0</v>
      </c>
      <c r="BN1091" s="303">
        <f>BN1063-BN1090</f>
        <v>0</v>
      </c>
      <c r="BO1091" s="41">
        <f>BO1063-BO1090</f>
        <v>21</v>
      </c>
      <c r="BP1091" s="317">
        <f>BP1063-BP1090</f>
        <v>0</v>
      </c>
      <c r="BQ1091" s="171">
        <f t="shared" si="809"/>
        <v>21</v>
      </c>
    </row>
    <row r="1092" spans="1:69" x14ac:dyDescent="0.15">
      <c r="AI1092" s="314">
        <f>AI1091/$AM$1091*100</f>
        <v>23.705722070844686</v>
      </c>
      <c r="AJ1092" s="314">
        <f t="shared" ref="AJ1092:AM1092" si="847">AJ1091/$AM$1091*100</f>
        <v>44.686648501362399</v>
      </c>
      <c r="AK1092" s="314">
        <f t="shared" si="847"/>
        <v>16.893732970027248</v>
      </c>
      <c r="AL1092" s="314">
        <f t="shared" si="847"/>
        <v>14.713896457765669</v>
      </c>
      <c r="AM1092" s="342">
        <f t="shared" si="847"/>
        <v>100</v>
      </c>
      <c r="AS1092" s="314">
        <f>AS1091/$AW$1091*100</f>
        <v>26.267281105990779</v>
      </c>
      <c r="AT1092" s="314">
        <f t="shared" ref="AT1092:AW1092" si="848">AT1091/$AW$1091*100</f>
        <v>44.009216589861751</v>
      </c>
      <c r="AU1092" s="314">
        <f t="shared" si="848"/>
        <v>16.129032258064516</v>
      </c>
      <c r="AV1092" s="314">
        <f t="shared" si="848"/>
        <v>13.594470046082948</v>
      </c>
      <c r="AW1092" s="314">
        <f t="shared" si="848"/>
        <v>100</v>
      </c>
    </row>
    <row r="1093" spans="1:69" x14ac:dyDescent="0.15">
      <c r="AI1093">
        <v>28.1</v>
      </c>
      <c r="AJ1093">
        <v>28.7</v>
      </c>
      <c r="AK1093">
        <v>21.4</v>
      </c>
      <c r="AL1093">
        <v>21.8</v>
      </c>
      <c r="AM1093">
        <f>SUM(AI1093:AL1093)</f>
        <v>99.999999999999986</v>
      </c>
      <c r="AS1093">
        <v>17.3</v>
      </c>
      <c r="AT1093">
        <v>32.799999999999997</v>
      </c>
      <c r="AU1093">
        <v>24.8</v>
      </c>
      <c r="AV1093" s="343">
        <v>25</v>
      </c>
      <c r="AW1093">
        <f>SUM(AS1093:AV1093)</f>
        <v>99.899999999999991</v>
      </c>
    </row>
    <row r="1094" spans="1:69" x14ac:dyDescent="0.15">
      <c r="AC1094" s="342" t="s">
        <v>566</v>
      </c>
      <c r="AD1094" s="342">
        <v>4</v>
      </c>
      <c r="AE1094" s="342">
        <v>10</v>
      </c>
      <c r="AF1094" s="342">
        <v>4</v>
      </c>
      <c r="AG1094" s="342">
        <v>3</v>
      </c>
      <c r="AH1094" s="342">
        <f>SUM(AD1094:AG1094)</f>
        <v>21</v>
      </c>
      <c r="AI1094" s="342">
        <v>24</v>
      </c>
      <c r="AJ1094" s="342">
        <v>32</v>
      </c>
      <c r="AK1094" s="342">
        <v>13</v>
      </c>
      <c r="AL1094" s="342">
        <v>13</v>
      </c>
      <c r="AM1094" s="342">
        <f>SUM(AI1094:AL1094)</f>
        <v>82</v>
      </c>
      <c r="AN1094" s="342">
        <v>6</v>
      </c>
      <c r="AO1094" s="342">
        <v>7</v>
      </c>
      <c r="AP1094" s="342">
        <v>2</v>
      </c>
      <c r="AQ1094" s="342">
        <v>1</v>
      </c>
      <c r="AR1094" s="342">
        <f>SUM(AN1094:AQ1094)</f>
        <v>16</v>
      </c>
      <c r="AS1094" s="342">
        <v>13</v>
      </c>
      <c r="AT1094" s="342">
        <v>38</v>
      </c>
      <c r="AU1094" s="342">
        <v>25</v>
      </c>
      <c r="AV1094" s="342">
        <v>24</v>
      </c>
      <c r="AW1094" s="342">
        <f>SUM(AS1094:AV1094)</f>
        <v>100</v>
      </c>
      <c r="AX1094" s="342">
        <v>13</v>
      </c>
      <c r="AY1094" s="342">
        <v>21</v>
      </c>
      <c r="AZ1094" s="342">
        <v>14</v>
      </c>
      <c r="BA1094" s="342">
        <v>14</v>
      </c>
      <c r="BB1094" s="342">
        <f>SUM(AX1094:BA1094)</f>
        <v>62</v>
      </c>
      <c r="BC1094" s="342">
        <f>AH1094+AM1094+AR1094+AW1094+BB1094</f>
        <v>281</v>
      </c>
    </row>
    <row r="1095" spans="1:69" ht="19.5" thickBot="1" x14ac:dyDescent="0.25">
      <c r="A1095" s="185" t="s">
        <v>19</v>
      </c>
      <c r="B1095" s="186"/>
      <c r="C1095" s="186"/>
      <c r="D1095" s="186"/>
      <c r="E1095" s="186"/>
      <c r="F1095" s="186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C1095" s="187" t="s">
        <v>73</v>
      </c>
      <c r="AD1095" s="188"/>
      <c r="AE1095" s="188"/>
      <c r="AF1095" s="188"/>
      <c r="AG1095" s="188"/>
      <c r="AH1095" s="188"/>
      <c r="AI1095" s="188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E1095" s="185" t="s">
        <v>19</v>
      </c>
      <c r="BF1095" s="186"/>
      <c r="BG1095" s="186"/>
      <c r="BH1095" s="186"/>
      <c r="BI1095" s="186"/>
      <c r="BJ1095" s="186"/>
      <c r="BL1095" s="187" t="s">
        <v>73</v>
      </c>
      <c r="BM1095" s="188"/>
      <c r="BN1095" s="188"/>
      <c r="BO1095" s="188"/>
      <c r="BP1095" s="188"/>
      <c r="BQ1095" s="188"/>
    </row>
    <row r="1096" spans="1:69" ht="14.25" thickBot="1" x14ac:dyDescent="0.2">
      <c r="A1096" s="3" t="s">
        <v>0</v>
      </c>
      <c r="B1096" s="365" t="s">
        <v>17</v>
      </c>
      <c r="C1096" s="366"/>
      <c r="D1096" s="366"/>
      <c r="E1096" s="366"/>
      <c r="F1096" s="367"/>
      <c r="G1096" s="368" t="s">
        <v>18</v>
      </c>
      <c r="H1096" s="369"/>
      <c r="I1096" s="369"/>
      <c r="J1096" s="369"/>
      <c r="K1096" s="370"/>
      <c r="L1096" s="371" t="s">
        <v>320</v>
      </c>
      <c r="M1096" s="372"/>
      <c r="N1096" s="372"/>
      <c r="O1096" s="372"/>
      <c r="P1096" s="373"/>
      <c r="Q1096" s="355" t="s">
        <v>75</v>
      </c>
      <c r="R1096" s="356"/>
      <c r="S1096" s="356"/>
      <c r="T1096" s="356"/>
      <c r="U1096" s="357"/>
      <c r="V1096" s="358" t="s">
        <v>456</v>
      </c>
      <c r="W1096" s="358"/>
      <c r="X1096" s="358"/>
      <c r="Y1096" s="358"/>
      <c r="Z1096" s="359"/>
      <c r="AA1096" s="360" t="s">
        <v>1</v>
      </c>
      <c r="AC1096" s="271" t="s">
        <v>0</v>
      </c>
      <c r="AD1096" s="365" t="s">
        <v>17</v>
      </c>
      <c r="AE1096" s="366"/>
      <c r="AF1096" s="366"/>
      <c r="AG1096" s="366"/>
      <c r="AH1096" s="367"/>
      <c r="AI1096" s="368" t="s">
        <v>18</v>
      </c>
      <c r="AJ1096" s="369"/>
      <c r="AK1096" s="369"/>
      <c r="AL1096" s="369"/>
      <c r="AM1096" s="370"/>
      <c r="AN1096" s="371" t="s">
        <v>320</v>
      </c>
      <c r="AO1096" s="372"/>
      <c r="AP1096" s="372"/>
      <c r="AQ1096" s="372"/>
      <c r="AR1096" s="373"/>
      <c r="AS1096" s="355" t="s">
        <v>75</v>
      </c>
      <c r="AT1096" s="356"/>
      <c r="AU1096" s="356"/>
      <c r="AV1096" s="356"/>
      <c r="AW1096" s="357"/>
      <c r="AX1096" s="358" t="s">
        <v>456</v>
      </c>
      <c r="AY1096" s="358"/>
      <c r="AZ1096" s="358"/>
      <c r="BA1096" s="358"/>
      <c r="BB1096" s="359"/>
      <c r="BC1096" s="360" t="s">
        <v>1</v>
      </c>
      <c r="BE1096" s="271" t="s">
        <v>0</v>
      </c>
      <c r="BF1096" s="362" t="s">
        <v>38</v>
      </c>
      <c r="BG1096" s="363"/>
      <c r="BH1096" s="363"/>
      <c r="BI1096" s="363"/>
      <c r="BJ1096" s="364"/>
      <c r="BL1096" s="271" t="s">
        <v>0</v>
      </c>
      <c r="BM1096" s="362" t="s">
        <v>38</v>
      </c>
      <c r="BN1096" s="363"/>
      <c r="BO1096" s="363"/>
      <c r="BP1096" s="363"/>
      <c r="BQ1096" s="364"/>
    </row>
    <row r="1097" spans="1:69" ht="14.25" thickBot="1" x14ac:dyDescent="0.2">
      <c r="A1097" s="5" t="s">
        <v>2</v>
      </c>
      <c r="B1097" s="6" t="s">
        <v>3</v>
      </c>
      <c r="C1097" s="7" t="s">
        <v>4</v>
      </c>
      <c r="D1097" s="7" t="s">
        <v>5</v>
      </c>
      <c r="E1097" s="8" t="s">
        <v>6</v>
      </c>
      <c r="F1097" s="5" t="s">
        <v>7</v>
      </c>
      <c r="G1097" s="6" t="s">
        <v>3</v>
      </c>
      <c r="H1097" s="7" t="s">
        <v>4</v>
      </c>
      <c r="I1097" s="7" t="s">
        <v>5</v>
      </c>
      <c r="J1097" s="8" t="s">
        <v>6</v>
      </c>
      <c r="K1097" s="5" t="s">
        <v>7</v>
      </c>
      <c r="L1097" s="6" t="s">
        <v>3</v>
      </c>
      <c r="M1097" s="7" t="s">
        <v>4</v>
      </c>
      <c r="N1097" s="7" t="s">
        <v>5</v>
      </c>
      <c r="O1097" s="8" t="s">
        <v>6</v>
      </c>
      <c r="P1097" s="5" t="s">
        <v>7</v>
      </c>
      <c r="Q1097" s="6" t="s">
        <v>3</v>
      </c>
      <c r="R1097" s="7" t="s">
        <v>4</v>
      </c>
      <c r="S1097" s="7" t="s">
        <v>5</v>
      </c>
      <c r="T1097" s="8" t="s">
        <v>6</v>
      </c>
      <c r="U1097" s="5" t="s">
        <v>7</v>
      </c>
      <c r="V1097" s="7" t="s">
        <v>3</v>
      </c>
      <c r="W1097" s="7" t="s">
        <v>4</v>
      </c>
      <c r="X1097" s="7" t="s">
        <v>5</v>
      </c>
      <c r="Y1097" s="8" t="s">
        <v>6</v>
      </c>
      <c r="Z1097" s="5" t="s">
        <v>7</v>
      </c>
      <c r="AA1097" s="361"/>
      <c r="AC1097" s="272" t="s">
        <v>2</v>
      </c>
      <c r="AD1097" s="6" t="s">
        <v>3</v>
      </c>
      <c r="AE1097" s="7" t="s">
        <v>4</v>
      </c>
      <c r="AF1097" s="7" t="s">
        <v>5</v>
      </c>
      <c r="AG1097" s="8" t="s">
        <v>6</v>
      </c>
      <c r="AH1097" s="5" t="s">
        <v>7</v>
      </c>
      <c r="AI1097" s="6" t="s">
        <v>3</v>
      </c>
      <c r="AJ1097" s="7" t="s">
        <v>4</v>
      </c>
      <c r="AK1097" s="7" t="s">
        <v>5</v>
      </c>
      <c r="AL1097" s="8" t="s">
        <v>6</v>
      </c>
      <c r="AM1097" s="5" t="s">
        <v>7</v>
      </c>
      <c r="AN1097" s="6" t="s">
        <v>3</v>
      </c>
      <c r="AO1097" s="7" t="s">
        <v>4</v>
      </c>
      <c r="AP1097" s="7" t="s">
        <v>5</v>
      </c>
      <c r="AQ1097" s="8" t="s">
        <v>6</v>
      </c>
      <c r="AR1097" s="5" t="s">
        <v>7</v>
      </c>
      <c r="AS1097" s="6" t="s">
        <v>3</v>
      </c>
      <c r="AT1097" s="7" t="s">
        <v>4</v>
      </c>
      <c r="AU1097" s="7" t="s">
        <v>5</v>
      </c>
      <c r="AV1097" s="8" t="s">
        <v>6</v>
      </c>
      <c r="AW1097" s="5" t="s">
        <v>7</v>
      </c>
      <c r="AX1097" s="7" t="s">
        <v>3</v>
      </c>
      <c r="AY1097" s="7" t="s">
        <v>4</v>
      </c>
      <c r="AZ1097" s="7" t="s">
        <v>5</v>
      </c>
      <c r="BA1097" s="8" t="s">
        <v>6</v>
      </c>
      <c r="BB1097" s="5" t="s">
        <v>7</v>
      </c>
      <c r="BC1097" s="361"/>
      <c r="BE1097" s="272" t="s">
        <v>2</v>
      </c>
      <c r="BF1097" s="6" t="s">
        <v>3</v>
      </c>
      <c r="BG1097" s="7" t="s">
        <v>4</v>
      </c>
      <c r="BH1097" s="7" t="s">
        <v>5</v>
      </c>
      <c r="BI1097" s="8" t="s">
        <v>6</v>
      </c>
      <c r="BJ1097" s="5" t="s">
        <v>7</v>
      </c>
      <c r="BL1097" s="272" t="s">
        <v>2</v>
      </c>
      <c r="BM1097" s="6" t="s">
        <v>3</v>
      </c>
      <c r="BN1097" s="7" t="s">
        <v>4</v>
      </c>
      <c r="BO1097" s="7" t="s">
        <v>5</v>
      </c>
      <c r="BP1097" s="8" t="s">
        <v>6</v>
      </c>
      <c r="BQ1097" s="5" t="s">
        <v>7</v>
      </c>
    </row>
    <row r="1098" spans="1:69" ht="15" thickBot="1" x14ac:dyDescent="0.2">
      <c r="A1098" s="291" t="s">
        <v>30</v>
      </c>
      <c r="B1098" s="292">
        <f>B1091</f>
        <v>3</v>
      </c>
      <c r="C1098" s="292">
        <f>C1091</f>
        <v>4</v>
      </c>
      <c r="D1098" s="292">
        <f>D1091</f>
        <v>2</v>
      </c>
      <c r="E1098" s="293">
        <f>E1091</f>
        <v>3</v>
      </c>
      <c r="F1098" s="77">
        <f t="shared" ref="F1098" si="849">SUM(B1098:E1098)</f>
        <v>12</v>
      </c>
      <c r="G1098" s="292">
        <f>G1091</f>
        <v>3</v>
      </c>
      <c r="H1098" s="292">
        <f>H1091</f>
        <v>1</v>
      </c>
      <c r="I1098" s="292">
        <f>I1091</f>
        <v>2</v>
      </c>
      <c r="J1098" s="293">
        <f>J1091</f>
        <v>2</v>
      </c>
      <c r="K1098" s="77">
        <f t="shared" ref="K1098:K1130" si="850">SUM(G1098:J1098)</f>
        <v>8</v>
      </c>
      <c r="L1098" s="292">
        <f>L1091</f>
        <v>3</v>
      </c>
      <c r="M1098" s="292">
        <f>M1091</f>
        <v>3</v>
      </c>
      <c r="N1098" s="292">
        <f>N1091</f>
        <v>2</v>
      </c>
      <c r="O1098" s="293">
        <f>O1091</f>
        <v>1</v>
      </c>
      <c r="P1098" s="77">
        <f t="shared" ref="P1098:P1130" si="851">SUM(L1098:O1098)</f>
        <v>9</v>
      </c>
      <c r="Q1098" s="324">
        <f>Q1091</f>
        <v>2</v>
      </c>
      <c r="R1098" s="292">
        <f>R1091</f>
        <v>1</v>
      </c>
      <c r="S1098" s="292">
        <f>S1091</f>
        <v>2</v>
      </c>
      <c r="T1098" s="293">
        <f>T1091</f>
        <v>2</v>
      </c>
      <c r="U1098" s="77">
        <f t="shared" ref="U1098:U1130" si="852">SUM(Q1098:T1098)</f>
        <v>7</v>
      </c>
      <c r="V1098" s="324">
        <f>V1091</f>
        <v>2</v>
      </c>
      <c r="W1098" s="292">
        <f>W1091</f>
        <v>2</v>
      </c>
      <c r="X1098" s="292">
        <f>X1091</f>
        <v>2</v>
      </c>
      <c r="Y1098" s="293">
        <f>Y1091</f>
        <v>3</v>
      </c>
      <c r="Z1098" s="77">
        <f t="shared" ref="Z1098:Z1133" si="853">SUM(V1098:Y1098)</f>
        <v>9</v>
      </c>
      <c r="AA1098" s="77">
        <f>F1098+K1098+P1098+U1098+Z1098</f>
        <v>45</v>
      </c>
      <c r="AC1098" s="294" t="s">
        <v>30</v>
      </c>
      <c r="AD1098" s="292">
        <f>AD1091</f>
        <v>84</v>
      </c>
      <c r="AE1098" s="292">
        <f>AE1091</f>
        <v>82</v>
      </c>
      <c r="AF1098" s="292">
        <f>AF1091</f>
        <v>140</v>
      </c>
      <c r="AG1098" s="293">
        <f>AG1091</f>
        <v>63</v>
      </c>
      <c r="AH1098" s="77">
        <f>SUM(AD1098:AG1098)</f>
        <v>369</v>
      </c>
      <c r="AI1098" s="292">
        <f>AI1091</f>
        <v>87</v>
      </c>
      <c r="AJ1098" s="292">
        <f>AJ1091</f>
        <v>164</v>
      </c>
      <c r="AK1098" s="292">
        <f>AK1091</f>
        <v>62</v>
      </c>
      <c r="AL1098" s="293">
        <f>AL1091</f>
        <v>54</v>
      </c>
      <c r="AM1098" s="77">
        <f>SUM(AI1098:AL1098)</f>
        <v>367</v>
      </c>
      <c r="AN1098" s="292">
        <f>AN1091</f>
        <v>44</v>
      </c>
      <c r="AO1098" s="292">
        <f>AO1091</f>
        <v>63</v>
      </c>
      <c r="AP1098" s="292">
        <f>AP1091</f>
        <v>50</v>
      </c>
      <c r="AQ1098" s="293">
        <f>AQ1091</f>
        <v>31</v>
      </c>
      <c r="AR1098" s="77">
        <f>SUM(AN1098:AQ1098)</f>
        <v>188</v>
      </c>
      <c r="AS1098" s="324">
        <f>AS1091</f>
        <v>114</v>
      </c>
      <c r="AT1098" s="292">
        <f>AT1091</f>
        <v>191</v>
      </c>
      <c r="AU1098" s="292">
        <f>AU1091</f>
        <v>70</v>
      </c>
      <c r="AV1098" s="293">
        <f>AV1091</f>
        <v>59</v>
      </c>
      <c r="AW1098" s="77">
        <f>SUM(AS1098:AV1098)</f>
        <v>434</v>
      </c>
      <c r="AX1098" s="324">
        <f>AX1091</f>
        <v>110</v>
      </c>
      <c r="AY1098" s="292">
        <f>AY1091</f>
        <v>102</v>
      </c>
      <c r="AZ1098" s="292">
        <f>AZ1091</f>
        <v>54</v>
      </c>
      <c r="BA1098" s="293">
        <f>BA1091</f>
        <v>43</v>
      </c>
      <c r="BB1098" s="77">
        <f>SUM(AX1098:BA1098)</f>
        <v>309</v>
      </c>
      <c r="BC1098" s="77">
        <f>AH1098+AM1098+AR1098+AW1098+BB1098</f>
        <v>1667</v>
      </c>
      <c r="BE1098" s="294" t="s">
        <v>30</v>
      </c>
      <c r="BF1098" s="40">
        <f>BF1091</f>
        <v>0</v>
      </c>
      <c r="BG1098" s="41">
        <f t="shared" ref="BG1098:BJ1098" si="854">BG1091</f>
        <v>0</v>
      </c>
      <c r="BH1098" s="41">
        <f t="shared" si="854"/>
        <v>2</v>
      </c>
      <c r="BI1098" s="42">
        <f t="shared" si="854"/>
        <v>0</v>
      </c>
      <c r="BJ1098" s="171">
        <f t="shared" si="854"/>
        <v>2</v>
      </c>
      <c r="BL1098" s="294" t="s">
        <v>30</v>
      </c>
      <c r="BM1098" s="292">
        <f>BM1091</f>
        <v>0</v>
      </c>
      <c r="BN1098" s="292">
        <f t="shared" ref="BN1098:BQ1098" si="855">BN1091</f>
        <v>0</v>
      </c>
      <c r="BO1098" s="292">
        <f t="shared" si="855"/>
        <v>21</v>
      </c>
      <c r="BP1098" s="292">
        <f t="shared" si="855"/>
        <v>0</v>
      </c>
      <c r="BQ1098" s="77">
        <f t="shared" si="855"/>
        <v>21</v>
      </c>
    </row>
    <row r="1099" spans="1:69" x14ac:dyDescent="0.15">
      <c r="A1099" s="53" t="s">
        <v>111</v>
      </c>
      <c r="B1099" s="55"/>
      <c r="C1099" s="153"/>
      <c r="D1099" s="153">
        <v>2</v>
      </c>
      <c r="E1099" s="168"/>
      <c r="F1099" s="56">
        <f t="shared" ref="F1099:F1103" si="856">SUM(B1099:E1099)</f>
        <v>2</v>
      </c>
      <c r="G1099" s="55"/>
      <c r="H1099" s="153">
        <v>2</v>
      </c>
      <c r="I1099" s="153">
        <v>2</v>
      </c>
      <c r="J1099" s="168">
        <v>2</v>
      </c>
      <c r="K1099" s="56">
        <f t="shared" ref="K1099:K1103" si="857">SUM(G1099:J1099)</f>
        <v>6</v>
      </c>
      <c r="L1099" s="55"/>
      <c r="M1099" s="153"/>
      <c r="N1099" s="153"/>
      <c r="O1099" s="168">
        <v>2</v>
      </c>
      <c r="P1099" s="56">
        <f t="shared" ref="P1099:P1103" si="858">SUM(L1099:O1099)</f>
        <v>2</v>
      </c>
      <c r="Q1099" s="54">
        <v>2</v>
      </c>
      <c r="R1099" s="153">
        <v>2</v>
      </c>
      <c r="S1099" s="153">
        <v>2</v>
      </c>
      <c r="T1099" s="168">
        <v>2</v>
      </c>
      <c r="U1099" s="56">
        <f t="shared" ref="U1099:U1103" si="859">SUM(Q1099:T1099)</f>
        <v>8</v>
      </c>
      <c r="V1099" s="55">
        <v>2</v>
      </c>
      <c r="W1099" s="153">
        <v>2</v>
      </c>
      <c r="X1099" s="153">
        <v>2</v>
      </c>
      <c r="Y1099" s="168"/>
      <c r="Z1099" s="56">
        <f t="shared" ref="Z1099:Z1103" si="860">SUM(V1099:Y1099)</f>
        <v>6</v>
      </c>
      <c r="AA1099" s="49">
        <f t="shared" ref="AA1099:AA1103" si="861">F1099+K1099+P1099+U1099+Z1099</f>
        <v>24</v>
      </c>
      <c r="AB1099" s="298">
        <v>45370</v>
      </c>
      <c r="AC1099" s="268" t="s">
        <v>28</v>
      </c>
      <c r="AD1099" s="55"/>
      <c r="AE1099" s="153"/>
      <c r="AF1099" s="153"/>
      <c r="AG1099" s="168"/>
      <c r="AH1099" s="56">
        <f t="shared" ref="AH1099:AH1102" si="862">SUM(AD1099:AG1099)</f>
        <v>0</v>
      </c>
      <c r="AI1099" s="55"/>
      <c r="AJ1099" s="153"/>
      <c r="AK1099" s="153"/>
      <c r="AL1099" s="168"/>
      <c r="AM1099" s="56">
        <f t="shared" ref="AM1099:AM1102" si="863">SUM(AI1099:AL1099)</f>
        <v>0</v>
      </c>
      <c r="AN1099" s="55"/>
      <c r="AO1099" s="153"/>
      <c r="AP1099" s="153"/>
      <c r="AQ1099" s="168"/>
      <c r="AR1099" s="56">
        <f t="shared" ref="AR1099:AR1102" si="864">SUM(AN1099:AQ1099)</f>
        <v>0</v>
      </c>
      <c r="AS1099" s="54"/>
      <c r="AT1099" s="153"/>
      <c r="AU1099" s="153"/>
      <c r="AV1099" s="168"/>
      <c r="AW1099" s="56">
        <f t="shared" ref="AW1099:AW1102" si="865">SUM(AS1099:AV1099)</f>
        <v>0</v>
      </c>
      <c r="AX1099" s="55"/>
      <c r="AY1099" s="153"/>
      <c r="AZ1099" s="153"/>
      <c r="BA1099" s="168"/>
      <c r="BB1099" s="49">
        <f t="shared" ref="BB1099:BB1102" si="866">SUM(AX1099:BA1099)</f>
        <v>0</v>
      </c>
      <c r="BC1099" s="49">
        <f t="shared" ref="BC1099:BC1102" si="867">AH1099+AM1099+AR1099+AW1099+BB1099</f>
        <v>0</v>
      </c>
      <c r="BE1099" s="268" t="s">
        <v>28</v>
      </c>
      <c r="BF1099" s="55"/>
      <c r="BG1099" s="153"/>
      <c r="BH1099" s="153">
        <v>3</v>
      </c>
      <c r="BI1099" s="168"/>
      <c r="BJ1099" s="56">
        <f t="shared" ref="BJ1099:BJ1101" si="868">SUM(BF1099:BI1099)</f>
        <v>3</v>
      </c>
      <c r="BK1099" s="306">
        <v>45381</v>
      </c>
      <c r="BL1099" s="268" t="s">
        <v>28</v>
      </c>
      <c r="BM1099" s="51"/>
      <c r="BN1099" s="52"/>
      <c r="BO1099" s="52"/>
      <c r="BP1099" s="52"/>
      <c r="BQ1099" s="49">
        <f t="shared" ref="BQ1099:BQ1101" si="869">SUM(BM1099:BP1099)</f>
        <v>0</v>
      </c>
    </row>
    <row r="1100" spans="1:69" x14ac:dyDescent="0.15">
      <c r="A1100" s="53" t="s">
        <v>111</v>
      </c>
      <c r="B1100" s="55"/>
      <c r="C1100" s="153"/>
      <c r="D1100" s="153"/>
      <c r="E1100" s="168"/>
      <c r="F1100" s="56">
        <f t="shared" si="856"/>
        <v>0</v>
      </c>
      <c r="G1100" s="55"/>
      <c r="H1100" s="153"/>
      <c r="I1100" s="153"/>
      <c r="J1100" s="168"/>
      <c r="K1100" s="56">
        <f t="shared" si="857"/>
        <v>0</v>
      </c>
      <c r="L1100" s="55"/>
      <c r="M1100" s="153"/>
      <c r="N1100" s="153"/>
      <c r="O1100" s="168"/>
      <c r="P1100" s="56">
        <f t="shared" si="858"/>
        <v>0</v>
      </c>
      <c r="Q1100" s="54"/>
      <c r="R1100" s="153">
        <v>3</v>
      </c>
      <c r="S1100" s="153"/>
      <c r="T1100" s="168"/>
      <c r="U1100" s="56">
        <f t="shared" si="859"/>
        <v>3</v>
      </c>
      <c r="V1100" s="55"/>
      <c r="W1100" s="153"/>
      <c r="X1100" s="153"/>
      <c r="Y1100" s="168"/>
      <c r="Z1100" s="56">
        <f t="shared" si="860"/>
        <v>0</v>
      </c>
      <c r="AA1100" s="49">
        <f t="shared" si="861"/>
        <v>3</v>
      </c>
      <c r="AB1100" s="298">
        <v>45377</v>
      </c>
      <c r="AC1100" s="268" t="s">
        <v>28</v>
      </c>
      <c r="AD1100" s="55"/>
      <c r="AE1100" s="153"/>
      <c r="AF1100" s="153"/>
      <c r="AG1100" s="168"/>
      <c r="AH1100" s="56">
        <f t="shared" si="862"/>
        <v>0</v>
      </c>
      <c r="AI1100" s="55">
        <v>60</v>
      </c>
      <c r="AJ1100" s="153">
        <v>20</v>
      </c>
      <c r="AK1100" s="153">
        <v>60</v>
      </c>
      <c r="AL1100" s="168">
        <v>60</v>
      </c>
      <c r="AM1100" s="56">
        <f t="shared" si="863"/>
        <v>200</v>
      </c>
      <c r="AN1100" s="55"/>
      <c r="AO1100" s="153"/>
      <c r="AP1100" s="153"/>
      <c r="AQ1100" s="168"/>
      <c r="AR1100" s="56">
        <f t="shared" si="864"/>
        <v>0</v>
      </c>
      <c r="AS1100" s="54">
        <v>40</v>
      </c>
      <c r="AT1100" s="153">
        <v>20</v>
      </c>
      <c r="AU1100" s="153">
        <v>70</v>
      </c>
      <c r="AV1100" s="168">
        <v>70</v>
      </c>
      <c r="AW1100" s="56">
        <f t="shared" si="865"/>
        <v>200</v>
      </c>
      <c r="AX1100" s="55"/>
      <c r="AY1100" s="153"/>
      <c r="AZ1100" s="153"/>
      <c r="BA1100" s="168"/>
      <c r="BB1100" s="49">
        <f t="shared" si="866"/>
        <v>0</v>
      </c>
      <c r="BC1100" s="49">
        <f t="shared" si="867"/>
        <v>400</v>
      </c>
      <c r="BD1100" s="300" t="s">
        <v>677</v>
      </c>
      <c r="BE1100" s="268" t="s">
        <v>28</v>
      </c>
      <c r="BF1100" s="55"/>
      <c r="BG1100" s="153"/>
      <c r="BH1100" s="153">
        <v>2</v>
      </c>
      <c r="BI1100" s="168"/>
      <c r="BJ1100" s="56">
        <f t="shared" si="868"/>
        <v>2</v>
      </c>
      <c r="BK1100" s="306">
        <v>45423</v>
      </c>
      <c r="BL1100" s="268" t="s">
        <v>28</v>
      </c>
      <c r="BM1100" s="54"/>
      <c r="BN1100" s="55"/>
      <c r="BO1100" s="55"/>
      <c r="BP1100" s="55"/>
      <c r="BQ1100" s="56">
        <f t="shared" si="869"/>
        <v>0</v>
      </c>
    </row>
    <row r="1101" spans="1:69" x14ac:dyDescent="0.15">
      <c r="A1101" s="53" t="s">
        <v>109</v>
      </c>
      <c r="B1101" s="55"/>
      <c r="C1101" s="153"/>
      <c r="D1101" s="153"/>
      <c r="E1101" s="168"/>
      <c r="F1101" s="56">
        <f t="shared" si="856"/>
        <v>0</v>
      </c>
      <c r="G1101" s="55"/>
      <c r="H1101" s="153"/>
      <c r="I1101" s="153"/>
      <c r="J1101" s="168">
        <v>1</v>
      </c>
      <c r="K1101" s="56">
        <f t="shared" si="857"/>
        <v>1</v>
      </c>
      <c r="L1101" s="55"/>
      <c r="M1101" s="153"/>
      <c r="N1101" s="153"/>
      <c r="O1101" s="168"/>
      <c r="P1101" s="56">
        <f t="shared" si="858"/>
        <v>0</v>
      </c>
      <c r="Q1101" s="54"/>
      <c r="R1101" s="153"/>
      <c r="S1101" s="153"/>
      <c r="T1101" s="168">
        <v>1</v>
      </c>
      <c r="U1101" s="56">
        <f t="shared" si="859"/>
        <v>1</v>
      </c>
      <c r="V1101" s="55"/>
      <c r="W1101" s="153"/>
      <c r="X1101" s="153"/>
      <c r="Y1101" s="168"/>
      <c r="Z1101" s="56">
        <f t="shared" si="860"/>
        <v>0</v>
      </c>
      <c r="AA1101" s="49">
        <f t="shared" si="861"/>
        <v>2</v>
      </c>
      <c r="AB1101" s="298">
        <v>45377</v>
      </c>
      <c r="AC1101" s="268" t="s">
        <v>28</v>
      </c>
      <c r="AD1101" s="55"/>
      <c r="AE1101" s="153"/>
      <c r="AF1101" s="153"/>
      <c r="AG1101" s="168"/>
      <c r="AH1101" s="56">
        <f t="shared" si="862"/>
        <v>0</v>
      </c>
      <c r="AI1101" s="55"/>
      <c r="AJ1101" s="153"/>
      <c r="AK1101" s="153"/>
      <c r="AL1101" s="168"/>
      <c r="AM1101" s="56">
        <f t="shared" si="863"/>
        <v>0</v>
      </c>
      <c r="AN1101" s="55"/>
      <c r="AO1101" s="153"/>
      <c r="AP1101" s="153"/>
      <c r="AQ1101" s="168"/>
      <c r="AR1101" s="56">
        <f t="shared" si="864"/>
        <v>0</v>
      </c>
      <c r="AS1101" s="54"/>
      <c r="AT1101" s="153"/>
      <c r="AU1101" s="153"/>
      <c r="AV1101" s="168"/>
      <c r="AW1101" s="56">
        <f t="shared" si="865"/>
        <v>0</v>
      </c>
      <c r="AX1101" s="55"/>
      <c r="AY1101" s="153"/>
      <c r="AZ1101" s="153"/>
      <c r="BA1101" s="168"/>
      <c r="BB1101" s="49">
        <f t="shared" si="866"/>
        <v>0</v>
      </c>
      <c r="BC1101" s="49">
        <f t="shared" si="867"/>
        <v>0</v>
      </c>
      <c r="BE1101" s="268" t="s">
        <v>28</v>
      </c>
      <c r="BF1101" s="55"/>
      <c r="BG1101" s="153"/>
      <c r="BH1101" s="153"/>
      <c r="BI1101" s="168"/>
      <c r="BJ1101" s="56">
        <f t="shared" si="868"/>
        <v>0</v>
      </c>
      <c r="BK1101" s="191"/>
      <c r="BL1101" s="268" t="s">
        <v>28</v>
      </c>
      <c r="BM1101" s="55"/>
      <c r="BN1101" s="153"/>
      <c r="BO1101" s="153"/>
      <c r="BP1101" s="168"/>
      <c r="BQ1101" s="56">
        <f t="shared" si="869"/>
        <v>0</v>
      </c>
    </row>
    <row r="1102" spans="1:69" x14ac:dyDescent="0.15">
      <c r="A1102" s="53" t="s">
        <v>111</v>
      </c>
      <c r="B1102" s="55"/>
      <c r="C1102" s="153">
        <v>3</v>
      </c>
      <c r="D1102" s="153"/>
      <c r="E1102" s="168"/>
      <c r="F1102" s="56">
        <f t="shared" si="856"/>
        <v>3</v>
      </c>
      <c r="G1102" s="55"/>
      <c r="H1102" s="153"/>
      <c r="I1102" s="153"/>
      <c r="J1102" s="168"/>
      <c r="K1102" s="56">
        <f t="shared" si="857"/>
        <v>0</v>
      </c>
      <c r="L1102" s="55"/>
      <c r="M1102" s="153"/>
      <c r="N1102" s="153"/>
      <c r="O1102" s="168"/>
      <c r="P1102" s="56">
        <f t="shared" si="858"/>
        <v>0</v>
      </c>
      <c r="Q1102" s="54"/>
      <c r="R1102" s="153"/>
      <c r="S1102" s="153">
        <v>3</v>
      </c>
      <c r="T1102" s="168"/>
      <c r="U1102" s="56">
        <f t="shared" si="859"/>
        <v>3</v>
      </c>
      <c r="V1102" s="55"/>
      <c r="W1102" s="153"/>
      <c r="X1102" s="153"/>
      <c r="Y1102" s="168"/>
      <c r="Z1102" s="56">
        <f t="shared" si="860"/>
        <v>0</v>
      </c>
      <c r="AA1102" s="49">
        <f t="shared" si="861"/>
        <v>6</v>
      </c>
      <c r="AB1102" s="298">
        <v>45381</v>
      </c>
      <c r="AC1102" s="268" t="s">
        <v>28</v>
      </c>
      <c r="AD1102" s="55"/>
      <c r="AE1102" s="153"/>
      <c r="AF1102" s="153"/>
      <c r="AG1102" s="168"/>
      <c r="AH1102" s="56">
        <f t="shared" si="862"/>
        <v>0</v>
      </c>
      <c r="AI1102" s="55"/>
      <c r="AJ1102" s="153"/>
      <c r="AK1102" s="153"/>
      <c r="AL1102" s="168"/>
      <c r="AM1102" s="56">
        <f t="shared" si="863"/>
        <v>0</v>
      </c>
      <c r="AN1102" s="55"/>
      <c r="AO1102" s="153"/>
      <c r="AP1102" s="153"/>
      <c r="AQ1102" s="168"/>
      <c r="AR1102" s="56">
        <f t="shared" si="864"/>
        <v>0</v>
      </c>
      <c r="AS1102" s="54"/>
      <c r="AT1102" s="153"/>
      <c r="AU1102" s="153"/>
      <c r="AV1102" s="168"/>
      <c r="AW1102" s="56">
        <f t="shared" si="865"/>
        <v>0</v>
      </c>
      <c r="AX1102" s="55"/>
      <c r="AY1102" s="153"/>
      <c r="AZ1102" s="153"/>
      <c r="BA1102" s="168"/>
      <c r="BB1102" s="49">
        <f t="shared" si="866"/>
        <v>0</v>
      </c>
      <c r="BC1102" s="49">
        <f t="shared" si="867"/>
        <v>0</v>
      </c>
      <c r="BE1102" s="268" t="s">
        <v>28</v>
      </c>
      <c r="BF1102" s="63"/>
      <c r="BG1102" s="63"/>
      <c r="BH1102" s="63"/>
      <c r="BI1102" s="167"/>
      <c r="BJ1102" s="64">
        <v>0</v>
      </c>
      <c r="BL1102" s="268" t="s">
        <v>28</v>
      </c>
      <c r="BM1102" s="63"/>
      <c r="BN1102" s="63"/>
      <c r="BO1102" s="63"/>
      <c r="BP1102" s="167"/>
      <c r="BQ1102" s="64">
        <v>0</v>
      </c>
    </row>
    <row r="1103" spans="1:69" x14ac:dyDescent="0.15">
      <c r="A1103" s="53" t="s">
        <v>111</v>
      </c>
      <c r="B1103" s="55"/>
      <c r="C1103" s="153"/>
      <c r="D1103" s="153"/>
      <c r="E1103" s="168"/>
      <c r="F1103" s="56">
        <f t="shared" si="856"/>
        <v>0</v>
      </c>
      <c r="G1103" s="55">
        <v>2</v>
      </c>
      <c r="H1103" s="153">
        <v>2</v>
      </c>
      <c r="I1103" s="153">
        <v>2</v>
      </c>
      <c r="J1103" s="168"/>
      <c r="K1103" s="56">
        <f t="shared" si="857"/>
        <v>6</v>
      </c>
      <c r="L1103" s="55"/>
      <c r="M1103" s="153"/>
      <c r="N1103" s="153">
        <v>2</v>
      </c>
      <c r="O1103" s="168"/>
      <c r="P1103" s="56">
        <f t="shared" si="858"/>
        <v>2</v>
      </c>
      <c r="Q1103" s="54"/>
      <c r="R1103" s="153">
        <v>2</v>
      </c>
      <c r="S1103" s="153">
        <v>2</v>
      </c>
      <c r="T1103" s="168">
        <v>5</v>
      </c>
      <c r="U1103" s="56">
        <f t="shared" si="859"/>
        <v>9</v>
      </c>
      <c r="V1103" s="55"/>
      <c r="W1103" s="153"/>
      <c r="X1103" s="153"/>
      <c r="Y1103" s="168">
        <v>2</v>
      </c>
      <c r="Z1103" s="56">
        <f t="shared" si="860"/>
        <v>2</v>
      </c>
      <c r="AA1103" s="49">
        <f t="shared" si="861"/>
        <v>19</v>
      </c>
      <c r="AB1103" s="298">
        <v>45392</v>
      </c>
      <c r="AC1103" s="268" t="s">
        <v>28</v>
      </c>
      <c r="AD1103" s="55"/>
      <c r="AE1103" s="153"/>
      <c r="AF1103" s="153"/>
      <c r="AG1103" s="168"/>
      <c r="AH1103" s="56">
        <f t="shared" ref="AH1103:AH1119" si="870">SUM(AD1103:AG1103)</f>
        <v>0</v>
      </c>
      <c r="AI1103" s="55"/>
      <c r="AJ1103" s="153"/>
      <c r="AK1103" s="153"/>
      <c r="AL1103" s="168"/>
      <c r="AM1103" s="56">
        <f t="shared" ref="AM1103:AM1119" si="871">SUM(AI1103:AL1103)</f>
        <v>0</v>
      </c>
      <c r="AN1103" s="55"/>
      <c r="AO1103" s="153"/>
      <c r="AP1103" s="153"/>
      <c r="AQ1103" s="168"/>
      <c r="AR1103" s="56">
        <f t="shared" ref="AR1103:AR1134" si="872">SUM(AN1103:AQ1103)</f>
        <v>0</v>
      </c>
      <c r="AS1103" s="54"/>
      <c r="AT1103" s="153"/>
      <c r="AU1103" s="153"/>
      <c r="AV1103" s="168"/>
      <c r="AW1103" s="56">
        <f t="shared" ref="AW1103:AW1134" si="873">SUM(AS1103:AV1103)</f>
        <v>0</v>
      </c>
      <c r="AX1103" s="55"/>
      <c r="AY1103" s="153"/>
      <c r="AZ1103" s="153"/>
      <c r="BA1103" s="168"/>
      <c r="BB1103" s="49">
        <f t="shared" ref="BB1103:BB1133" si="874">SUM(AX1103:BA1103)</f>
        <v>0</v>
      </c>
      <c r="BC1103" s="49">
        <f t="shared" ref="BC1103:BC1105" si="875">AH1103+AM1103+AR1103+AW1103+BB1103</f>
        <v>0</v>
      </c>
      <c r="BE1103" s="268" t="s">
        <v>28</v>
      </c>
      <c r="BF1103" s="55"/>
      <c r="BG1103" s="153"/>
      <c r="BH1103" s="153"/>
      <c r="BI1103" s="168"/>
      <c r="BJ1103" s="56">
        <f t="shared" ref="BJ1103:BJ1134" si="876">SUM(BF1103:BI1103)</f>
        <v>0</v>
      </c>
      <c r="BL1103" s="268" t="s">
        <v>28</v>
      </c>
      <c r="BM1103" s="55"/>
      <c r="BN1103" s="153"/>
      <c r="BO1103" s="153"/>
      <c r="BP1103" s="168"/>
      <c r="BQ1103" s="56">
        <f t="shared" ref="BQ1103:BQ1134" si="877">SUM(BM1103:BP1103)</f>
        <v>0</v>
      </c>
    </row>
    <row r="1104" spans="1:69" x14ac:dyDescent="0.15">
      <c r="A1104" s="53" t="s">
        <v>111</v>
      </c>
      <c r="B1104" s="55"/>
      <c r="C1104" s="153"/>
      <c r="D1104" s="153"/>
      <c r="E1104" s="168"/>
      <c r="F1104" s="56">
        <f t="shared" ref="F1104:F1134" si="878">SUM(B1104:E1104)</f>
        <v>0</v>
      </c>
      <c r="G1104" s="55"/>
      <c r="H1104" s="153"/>
      <c r="I1104" s="153"/>
      <c r="J1104" s="168"/>
      <c r="K1104" s="56">
        <f t="shared" si="850"/>
        <v>0</v>
      </c>
      <c r="L1104" s="55">
        <v>3</v>
      </c>
      <c r="M1104" s="153">
        <v>3</v>
      </c>
      <c r="N1104" s="153"/>
      <c r="O1104" s="168"/>
      <c r="P1104" s="56">
        <f t="shared" si="851"/>
        <v>6</v>
      </c>
      <c r="Q1104" s="54"/>
      <c r="R1104" s="153"/>
      <c r="S1104" s="153"/>
      <c r="T1104" s="168"/>
      <c r="U1104" s="56">
        <f t="shared" si="852"/>
        <v>0</v>
      </c>
      <c r="V1104" s="55"/>
      <c r="W1104" s="153"/>
      <c r="X1104" s="153"/>
      <c r="Y1104" s="168"/>
      <c r="Z1104" s="56">
        <f t="shared" si="853"/>
        <v>0</v>
      </c>
      <c r="AA1104" s="49">
        <f t="shared" ref="AA1104:AA1105" si="879">F1104+K1104+P1104+U1104+Z1104</f>
        <v>6</v>
      </c>
      <c r="AB1104" s="298">
        <v>45398</v>
      </c>
      <c r="AC1104" s="268" t="s">
        <v>28</v>
      </c>
      <c r="AD1104" s="55"/>
      <c r="AE1104" s="153"/>
      <c r="AF1104" s="153"/>
      <c r="AG1104" s="168"/>
      <c r="AH1104" s="56">
        <f t="shared" si="870"/>
        <v>0</v>
      </c>
      <c r="AI1104" s="55"/>
      <c r="AJ1104" s="153"/>
      <c r="AK1104" s="153"/>
      <c r="AL1104" s="168"/>
      <c r="AM1104" s="56">
        <f t="shared" si="871"/>
        <v>0</v>
      </c>
      <c r="AN1104" s="55"/>
      <c r="AO1104" s="153"/>
      <c r="AP1104" s="153"/>
      <c r="AQ1104" s="168"/>
      <c r="AR1104" s="56">
        <f t="shared" si="872"/>
        <v>0</v>
      </c>
      <c r="AS1104" s="54"/>
      <c r="AT1104" s="153"/>
      <c r="AU1104" s="153"/>
      <c r="AV1104" s="168"/>
      <c r="AW1104" s="56">
        <f t="shared" si="873"/>
        <v>0</v>
      </c>
      <c r="AX1104" s="55"/>
      <c r="AY1104" s="153"/>
      <c r="AZ1104" s="153"/>
      <c r="BA1104" s="168"/>
      <c r="BB1104" s="49">
        <f t="shared" si="874"/>
        <v>0</v>
      </c>
      <c r="BC1104" s="49">
        <f t="shared" si="875"/>
        <v>0</v>
      </c>
      <c r="BE1104" s="268" t="s">
        <v>28</v>
      </c>
      <c r="BF1104" s="55"/>
      <c r="BG1104" s="153"/>
      <c r="BH1104" s="153"/>
      <c r="BI1104" s="168"/>
      <c r="BJ1104" s="56">
        <f t="shared" si="876"/>
        <v>0</v>
      </c>
      <c r="BL1104" s="268" t="s">
        <v>28</v>
      </c>
      <c r="BM1104" s="55"/>
      <c r="BN1104" s="153"/>
      <c r="BO1104" s="153"/>
      <c r="BP1104" s="168"/>
      <c r="BQ1104" s="56">
        <f t="shared" si="877"/>
        <v>0</v>
      </c>
    </row>
    <row r="1105" spans="1:73" ht="14.25" thickBot="1" x14ac:dyDescent="0.2">
      <c r="A1105" s="53" t="s">
        <v>111</v>
      </c>
      <c r="B1105" s="55"/>
      <c r="C1105" s="153"/>
      <c r="D1105" s="153"/>
      <c r="E1105" s="168"/>
      <c r="F1105" s="56">
        <f t="shared" si="878"/>
        <v>0</v>
      </c>
      <c r="G1105" s="55"/>
      <c r="H1105" s="153"/>
      <c r="I1105" s="153"/>
      <c r="J1105" s="168"/>
      <c r="K1105" s="56">
        <f t="shared" si="850"/>
        <v>0</v>
      </c>
      <c r="L1105" s="55"/>
      <c r="M1105" s="153"/>
      <c r="N1105" s="153"/>
      <c r="O1105" s="168"/>
      <c r="P1105" s="56">
        <f t="shared" si="851"/>
        <v>0</v>
      </c>
      <c r="Q1105" s="54"/>
      <c r="R1105" s="153"/>
      <c r="S1105" s="153">
        <v>2</v>
      </c>
      <c r="T1105" s="168"/>
      <c r="U1105" s="56">
        <f t="shared" si="852"/>
        <v>2</v>
      </c>
      <c r="V1105" s="55"/>
      <c r="W1105" s="153"/>
      <c r="X1105" s="153"/>
      <c r="Y1105" s="168"/>
      <c r="Z1105" s="56">
        <f t="shared" si="853"/>
        <v>0</v>
      </c>
      <c r="AA1105" s="49">
        <f t="shared" si="879"/>
        <v>2</v>
      </c>
      <c r="AB1105" s="298">
        <v>45412</v>
      </c>
      <c r="AC1105" s="268" t="s">
        <v>28</v>
      </c>
      <c r="AD1105" s="63"/>
      <c r="AE1105" s="164"/>
      <c r="AF1105" s="164"/>
      <c r="AG1105" s="169"/>
      <c r="AH1105" s="170">
        <f t="shared" si="870"/>
        <v>0</v>
      </c>
      <c r="AI1105" s="63"/>
      <c r="AJ1105" s="164"/>
      <c r="AK1105" s="164"/>
      <c r="AL1105" s="169"/>
      <c r="AM1105" s="170">
        <f t="shared" si="871"/>
        <v>0</v>
      </c>
      <c r="AN1105" s="63"/>
      <c r="AO1105" s="164"/>
      <c r="AP1105" s="164"/>
      <c r="AQ1105" s="169"/>
      <c r="AR1105" s="170">
        <f t="shared" si="872"/>
        <v>0</v>
      </c>
      <c r="AS1105" s="62"/>
      <c r="AT1105" s="164"/>
      <c r="AU1105" s="164"/>
      <c r="AV1105" s="169"/>
      <c r="AW1105" s="170">
        <f t="shared" si="873"/>
        <v>0</v>
      </c>
      <c r="AX1105" s="63"/>
      <c r="AY1105" s="164"/>
      <c r="AZ1105" s="164"/>
      <c r="BA1105" s="169"/>
      <c r="BB1105" s="170">
        <f t="shared" si="874"/>
        <v>0</v>
      </c>
      <c r="BC1105" s="49">
        <f t="shared" si="875"/>
        <v>0</v>
      </c>
      <c r="BE1105" s="274" t="s">
        <v>28</v>
      </c>
      <c r="BF1105" s="63"/>
      <c r="BG1105" s="164"/>
      <c r="BH1105" s="164"/>
      <c r="BI1105" s="169"/>
      <c r="BJ1105" s="170">
        <f t="shared" si="876"/>
        <v>0</v>
      </c>
      <c r="BL1105" s="274" t="s">
        <v>28</v>
      </c>
      <c r="BM1105" s="63"/>
      <c r="BN1105" s="164"/>
      <c r="BO1105" s="164"/>
      <c r="BP1105" s="169"/>
      <c r="BQ1105" s="170">
        <f t="shared" si="877"/>
        <v>0</v>
      </c>
    </row>
    <row r="1106" spans="1:73" ht="15" thickBot="1" x14ac:dyDescent="0.2">
      <c r="A1106" s="181" t="s">
        <v>14</v>
      </c>
      <c r="B1106" s="182">
        <f>SUM(B1098:B1105)</f>
        <v>3</v>
      </c>
      <c r="C1106" s="183">
        <f>SUM(C1098:C1105)</f>
        <v>7</v>
      </c>
      <c r="D1106" s="183">
        <f>SUM(D1098:D1105)</f>
        <v>4</v>
      </c>
      <c r="E1106" s="184">
        <f>SUM(E1098:E1105)</f>
        <v>3</v>
      </c>
      <c r="F1106" s="77">
        <f t="shared" si="878"/>
        <v>17</v>
      </c>
      <c r="G1106" s="182">
        <f>SUM(G1098:G1105)</f>
        <v>5</v>
      </c>
      <c r="H1106" s="183">
        <f>SUM(H1098:H1105)</f>
        <v>5</v>
      </c>
      <c r="I1106" s="183">
        <f>SUM(I1098:I1105)</f>
        <v>6</v>
      </c>
      <c r="J1106" s="184">
        <f>SUM(J1098:J1105)</f>
        <v>5</v>
      </c>
      <c r="K1106" s="77">
        <f t="shared" si="850"/>
        <v>21</v>
      </c>
      <c r="L1106" s="182">
        <f>SUM(L1098:L1105)</f>
        <v>6</v>
      </c>
      <c r="M1106" s="183">
        <f>SUM(M1098:M1105)</f>
        <v>6</v>
      </c>
      <c r="N1106" s="183">
        <f>SUM(N1098:N1105)</f>
        <v>4</v>
      </c>
      <c r="O1106" s="184">
        <f>SUM(O1098:O1105)</f>
        <v>3</v>
      </c>
      <c r="P1106" s="77">
        <f t="shared" si="851"/>
        <v>19</v>
      </c>
      <c r="Q1106" s="182">
        <f>SUM(Q1098:Q1105)</f>
        <v>4</v>
      </c>
      <c r="R1106" s="183">
        <f>SUM(R1098:R1105)</f>
        <v>8</v>
      </c>
      <c r="S1106" s="183">
        <f>SUM(S1098:S1105)</f>
        <v>11</v>
      </c>
      <c r="T1106" s="184">
        <f>SUM(T1098:T1105)</f>
        <v>10</v>
      </c>
      <c r="U1106" s="77">
        <f t="shared" si="852"/>
        <v>33</v>
      </c>
      <c r="V1106" s="293">
        <f>SUM(V1098:V1105)</f>
        <v>4</v>
      </c>
      <c r="W1106" s="183">
        <f>SUM(W1098:W1105)</f>
        <v>4</v>
      </c>
      <c r="X1106" s="183">
        <f>SUM(X1098:X1105)</f>
        <v>4</v>
      </c>
      <c r="Y1106" s="184">
        <f>SUM(Y1098:Y1105)</f>
        <v>5</v>
      </c>
      <c r="Z1106" s="77">
        <f t="shared" si="853"/>
        <v>17</v>
      </c>
      <c r="AA1106" s="77">
        <f>F1106+K1106+P1106+U1106+Z1106</f>
        <v>107</v>
      </c>
      <c r="AC1106" s="275" t="s">
        <v>14</v>
      </c>
      <c r="AD1106" s="182">
        <f>SUM(AD1098:AD1105)</f>
        <v>84</v>
      </c>
      <c r="AE1106" s="183">
        <f>SUM(AE1098:AE1105)</f>
        <v>82</v>
      </c>
      <c r="AF1106" s="183">
        <f>SUM(AF1098:AF1105)</f>
        <v>140</v>
      </c>
      <c r="AG1106" s="184">
        <f>SUM(AG1098:AG1105)</f>
        <v>63</v>
      </c>
      <c r="AH1106" s="77">
        <f t="shared" si="870"/>
        <v>369</v>
      </c>
      <c r="AI1106" s="182">
        <f>SUM(AI1098:AI1105)</f>
        <v>147</v>
      </c>
      <c r="AJ1106" s="183">
        <f>SUM(AJ1098:AJ1105)</f>
        <v>184</v>
      </c>
      <c r="AK1106" s="183">
        <f>SUM(AK1098:AK1105)</f>
        <v>122</v>
      </c>
      <c r="AL1106" s="184">
        <f>SUM(AL1098:AL1105)</f>
        <v>114</v>
      </c>
      <c r="AM1106" s="77">
        <f t="shared" si="871"/>
        <v>567</v>
      </c>
      <c r="AN1106" s="182">
        <f>SUM(AN1098:AN1105)</f>
        <v>44</v>
      </c>
      <c r="AO1106" s="183">
        <f>SUM(AO1098:AO1105)</f>
        <v>63</v>
      </c>
      <c r="AP1106" s="183">
        <f>SUM(AP1098:AP1105)</f>
        <v>50</v>
      </c>
      <c r="AQ1106" s="184">
        <f>SUM(AQ1098:AQ1105)</f>
        <v>31</v>
      </c>
      <c r="AR1106" s="77">
        <f t="shared" si="872"/>
        <v>188</v>
      </c>
      <c r="AS1106" s="182">
        <f>SUM(AS1098:AS1105)</f>
        <v>154</v>
      </c>
      <c r="AT1106" s="183">
        <f>SUM(AT1098:AT1105)</f>
        <v>211</v>
      </c>
      <c r="AU1106" s="183">
        <f>SUM(AU1098:AU1105)</f>
        <v>140</v>
      </c>
      <c r="AV1106" s="184">
        <f>SUM(AV1098:AV1105)</f>
        <v>129</v>
      </c>
      <c r="AW1106" s="77">
        <f t="shared" si="873"/>
        <v>634</v>
      </c>
      <c r="AX1106" s="293">
        <f>SUM(AX1098:AX1105)</f>
        <v>110</v>
      </c>
      <c r="AY1106" s="183">
        <f>SUM(AY1098:AY1105)</f>
        <v>102</v>
      </c>
      <c r="AZ1106" s="183">
        <f>SUM(AZ1098:AZ1105)</f>
        <v>54</v>
      </c>
      <c r="BA1106" s="184">
        <f>SUM(BA1098:BA1105)</f>
        <v>43</v>
      </c>
      <c r="BB1106" s="77">
        <f t="shared" si="874"/>
        <v>309</v>
      </c>
      <c r="BC1106" s="77">
        <f>AH1106+AM1106+AR1106+AW1106+BB1106</f>
        <v>2067</v>
      </c>
      <c r="BE1106" s="275" t="s">
        <v>14</v>
      </c>
      <c r="BF1106" s="182">
        <f>SUM(BF1098:BF1105)</f>
        <v>0</v>
      </c>
      <c r="BG1106" s="183">
        <f>SUM(BG1098:BG1105)</f>
        <v>0</v>
      </c>
      <c r="BH1106" s="183">
        <f>SUM(BH1098:BH1105)</f>
        <v>7</v>
      </c>
      <c r="BI1106" s="184">
        <f>SUM(BI1098:BI1105)</f>
        <v>0</v>
      </c>
      <c r="BJ1106" s="77">
        <f t="shared" si="876"/>
        <v>7</v>
      </c>
      <c r="BL1106" s="275" t="s">
        <v>14</v>
      </c>
      <c r="BM1106" s="182">
        <f>SUM(BM1098:BM1105)</f>
        <v>0</v>
      </c>
      <c r="BN1106" s="183">
        <f>SUM(BN1098:BN1105)</f>
        <v>0</v>
      </c>
      <c r="BO1106" s="183">
        <f>SUM(BO1098:BO1105)</f>
        <v>21</v>
      </c>
      <c r="BP1106" s="184">
        <f>SUM(BP1098:BP1105)</f>
        <v>0</v>
      </c>
      <c r="BQ1106" s="77">
        <f t="shared" si="877"/>
        <v>21</v>
      </c>
    </row>
    <row r="1107" spans="1:73" x14ac:dyDescent="0.15">
      <c r="A1107" s="53" t="s">
        <v>98</v>
      </c>
      <c r="B1107" s="54"/>
      <c r="C1107" s="55">
        <v>1</v>
      </c>
      <c r="D1107" s="55"/>
      <c r="E1107" s="55"/>
      <c r="F1107" s="56">
        <f t="shared" ref="F1107:F1130" si="880">SUM(B1107:E1107)</f>
        <v>1</v>
      </c>
      <c r="G1107" s="54"/>
      <c r="H1107" s="55"/>
      <c r="I1107" s="55"/>
      <c r="J1107" s="55"/>
      <c r="K1107" s="56">
        <f t="shared" si="850"/>
        <v>0</v>
      </c>
      <c r="L1107" s="54"/>
      <c r="M1107" s="55"/>
      <c r="N1107" s="55"/>
      <c r="O1107" s="55"/>
      <c r="P1107" s="56">
        <f t="shared" si="851"/>
        <v>0</v>
      </c>
      <c r="Q1107" s="54"/>
      <c r="R1107" s="55"/>
      <c r="S1107" s="55"/>
      <c r="T1107" s="55">
        <v>1</v>
      </c>
      <c r="U1107" s="56">
        <f t="shared" si="852"/>
        <v>1</v>
      </c>
      <c r="V1107" s="55"/>
      <c r="W1107" s="55"/>
      <c r="X1107" s="55"/>
      <c r="Y1107" s="55"/>
      <c r="Z1107" s="56">
        <f t="shared" ref="Z1107:Z1130" si="881">SUM(V1107:Y1107)</f>
        <v>0</v>
      </c>
      <c r="AA1107" s="56">
        <f t="shared" ref="AA1107:AA1130" si="882">F1107+K1107+P1107+U1107+Z1107</f>
        <v>2</v>
      </c>
      <c r="AB1107" s="298">
        <v>45370</v>
      </c>
      <c r="AC1107" s="276" t="s">
        <v>99</v>
      </c>
      <c r="AD1107" s="54"/>
      <c r="AE1107" s="55"/>
      <c r="AF1107" s="55">
        <v>2</v>
      </c>
      <c r="AG1107" s="55"/>
      <c r="AH1107" s="56">
        <f t="shared" si="870"/>
        <v>2</v>
      </c>
      <c r="AI1107" s="54"/>
      <c r="AJ1107" s="55">
        <v>2</v>
      </c>
      <c r="AK1107" s="55">
        <v>2</v>
      </c>
      <c r="AL1107" s="55">
        <v>2</v>
      </c>
      <c r="AM1107" s="56">
        <f t="shared" si="871"/>
        <v>6</v>
      </c>
      <c r="AN1107" s="54"/>
      <c r="AO1107" s="55"/>
      <c r="AP1107" s="55"/>
      <c r="AQ1107" s="55">
        <v>2</v>
      </c>
      <c r="AR1107" s="56">
        <f t="shared" si="872"/>
        <v>2</v>
      </c>
      <c r="AS1107" s="54">
        <v>2</v>
      </c>
      <c r="AT1107" s="55">
        <v>2</v>
      </c>
      <c r="AU1107" s="55">
        <v>2</v>
      </c>
      <c r="AV1107" s="55">
        <v>2</v>
      </c>
      <c r="AW1107" s="56">
        <f t="shared" si="873"/>
        <v>8</v>
      </c>
      <c r="AX1107" s="55">
        <v>2</v>
      </c>
      <c r="AY1107" s="55">
        <v>2</v>
      </c>
      <c r="AZ1107" s="55">
        <v>2</v>
      </c>
      <c r="BA1107" s="55"/>
      <c r="BB1107" s="56">
        <f t="shared" si="874"/>
        <v>6</v>
      </c>
      <c r="BC1107" s="56">
        <f t="shared" ref="BC1107:BC1108" si="883">AH1107+AM1107+AR1107+AW1107+BB1107</f>
        <v>24</v>
      </c>
      <c r="BD1107" s="298">
        <v>45370</v>
      </c>
      <c r="BE1107" s="277" t="s">
        <v>98</v>
      </c>
      <c r="BF1107" s="54"/>
      <c r="BG1107" s="55"/>
      <c r="BH1107" s="55">
        <v>1</v>
      </c>
      <c r="BI1107" s="55"/>
      <c r="BJ1107" s="56">
        <f t="shared" ref="BJ1107:BJ1109" si="884">SUM(BF1107:BI1107)</f>
        <v>1</v>
      </c>
      <c r="BK1107" s="304">
        <v>45378</v>
      </c>
      <c r="BL1107" s="277" t="s">
        <v>574</v>
      </c>
      <c r="BM1107" s="54"/>
      <c r="BN1107" s="55"/>
      <c r="BO1107" s="55">
        <v>3</v>
      </c>
      <c r="BP1107" s="55"/>
      <c r="BQ1107" s="56">
        <f t="shared" ref="BQ1107:BQ1109" si="885">SUM(BM1107:BP1107)</f>
        <v>3</v>
      </c>
      <c r="BR1107" s="306">
        <v>45381</v>
      </c>
    </row>
    <row r="1108" spans="1:73" x14ac:dyDescent="0.15">
      <c r="A1108" s="53" t="s">
        <v>98</v>
      </c>
      <c r="B1108" s="54"/>
      <c r="C1108" s="55">
        <v>1</v>
      </c>
      <c r="D1108" s="55"/>
      <c r="E1108" s="55"/>
      <c r="F1108" s="56">
        <f t="shared" si="880"/>
        <v>1</v>
      </c>
      <c r="G1108" s="54"/>
      <c r="H1108" s="55"/>
      <c r="I1108" s="55"/>
      <c r="J1108" s="55"/>
      <c r="K1108" s="56">
        <f t="shared" si="850"/>
        <v>0</v>
      </c>
      <c r="L1108" s="54"/>
      <c r="M1108" s="55"/>
      <c r="N1108" s="55"/>
      <c r="O1108" s="55"/>
      <c r="P1108" s="56">
        <f t="shared" si="851"/>
        <v>0</v>
      </c>
      <c r="Q1108" s="54"/>
      <c r="R1108" s="55">
        <v>1</v>
      </c>
      <c r="S1108" s="55"/>
      <c r="T1108" s="55"/>
      <c r="U1108" s="56">
        <f t="shared" si="852"/>
        <v>1</v>
      </c>
      <c r="V1108" s="55"/>
      <c r="W1108" s="55"/>
      <c r="X1108" s="55"/>
      <c r="Y1108" s="55"/>
      <c r="Z1108" s="56">
        <f t="shared" si="881"/>
        <v>0</v>
      </c>
      <c r="AA1108" s="56">
        <f t="shared" si="882"/>
        <v>2</v>
      </c>
      <c r="AB1108" s="298">
        <v>45372</v>
      </c>
      <c r="AC1108" s="276" t="s">
        <v>99</v>
      </c>
      <c r="AD1108" s="54"/>
      <c r="AE1108" s="55"/>
      <c r="AF1108" s="55"/>
      <c r="AG1108" s="55"/>
      <c r="AH1108" s="56">
        <f t="shared" ref="AH1108" si="886">SUM(AD1108:AG1108)</f>
        <v>0</v>
      </c>
      <c r="AI1108" s="54"/>
      <c r="AJ1108" s="55"/>
      <c r="AK1108" s="55"/>
      <c r="AL1108" s="55"/>
      <c r="AM1108" s="56">
        <f t="shared" ref="AM1108" si="887">SUM(AI1108:AL1108)</f>
        <v>0</v>
      </c>
      <c r="AN1108" s="54"/>
      <c r="AO1108" s="55"/>
      <c r="AP1108" s="55"/>
      <c r="AQ1108" s="55"/>
      <c r="AR1108" s="56">
        <f t="shared" ref="AR1108" si="888">SUM(AN1108:AQ1108)</f>
        <v>0</v>
      </c>
      <c r="AS1108" s="54"/>
      <c r="AT1108" s="55">
        <v>3</v>
      </c>
      <c r="AU1108" s="55"/>
      <c r="AV1108" s="55"/>
      <c r="AW1108" s="56">
        <f t="shared" ref="AW1108" si="889">SUM(AS1108:AV1108)</f>
        <v>3</v>
      </c>
      <c r="AX1108" s="55"/>
      <c r="AY1108" s="55"/>
      <c r="AZ1108" s="55"/>
      <c r="BA1108" s="55"/>
      <c r="BB1108" s="56">
        <f t="shared" ref="BB1108" si="890">SUM(AX1108:BA1108)</f>
        <v>0</v>
      </c>
      <c r="BC1108" s="56">
        <f t="shared" si="883"/>
        <v>3</v>
      </c>
      <c r="BD1108" s="298">
        <v>45377</v>
      </c>
      <c r="BE1108" s="277" t="s">
        <v>98</v>
      </c>
      <c r="BF1108" s="54"/>
      <c r="BG1108" s="55"/>
      <c r="BH1108" s="55">
        <v>1</v>
      </c>
      <c r="BI1108" s="55"/>
      <c r="BJ1108" s="56">
        <f t="shared" si="884"/>
        <v>1</v>
      </c>
      <c r="BK1108" s="304">
        <v>45393</v>
      </c>
      <c r="BL1108" s="277" t="s">
        <v>99</v>
      </c>
      <c r="BM1108" s="54"/>
      <c r="BN1108" s="55"/>
      <c r="BO1108" s="55">
        <v>2</v>
      </c>
      <c r="BP1108" s="55"/>
      <c r="BQ1108" s="56">
        <f t="shared" si="885"/>
        <v>2</v>
      </c>
      <c r="BR1108" s="306">
        <v>45423</v>
      </c>
      <c r="BS1108" s="191"/>
      <c r="BT1108" s="191"/>
      <c r="BU1108" s="191"/>
    </row>
    <row r="1109" spans="1:73" x14ac:dyDescent="0.15">
      <c r="A1109" s="53" t="s">
        <v>98</v>
      </c>
      <c r="B1109" s="54"/>
      <c r="C1109" s="55"/>
      <c r="D1109" s="55"/>
      <c r="E1109" s="55"/>
      <c r="F1109" s="56">
        <f t="shared" si="880"/>
        <v>0</v>
      </c>
      <c r="G1109" s="54"/>
      <c r="H1109" s="55"/>
      <c r="I1109" s="55"/>
      <c r="J1109" s="55"/>
      <c r="K1109" s="56">
        <f t="shared" si="850"/>
        <v>0</v>
      </c>
      <c r="L1109" s="54"/>
      <c r="M1109" s="55"/>
      <c r="N1109" s="55"/>
      <c r="O1109" s="55"/>
      <c r="P1109" s="56">
        <f t="shared" si="851"/>
        <v>0</v>
      </c>
      <c r="Q1109" s="54"/>
      <c r="R1109" s="55">
        <v>1</v>
      </c>
      <c r="S1109" s="55">
        <v>1</v>
      </c>
      <c r="T1109" s="55"/>
      <c r="U1109" s="56">
        <f t="shared" si="852"/>
        <v>2</v>
      </c>
      <c r="V1109" s="55"/>
      <c r="W1109" s="55"/>
      <c r="X1109" s="55"/>
      <c r="Y1109" s="55"/>
      <c r="Z1109" s="56">
        <f t="shared" si="881"/>
        <v>0</v>
      </c>
      <c r="AA1109" s="56">
        <f t="shared" si="882"/>
        <v>2</v>
      </c>
      <c r="AB1109" s="298">
        <v>45373</v>
      </c>
      <c r="AC1109" s="276" t="s">
        <v>572</v>
      </c>
      <c r="AD1109" s="54"/>
      <c r="AE1109" s="55"/>
      <c r="AF1109" s="55"/>
      <c r="AG1109" s="55"/>
      <c r="AH1109" s="56">
        <f t="shared" si="870"/>
        <v>0</v>
      </c>
      <c r="AI1109" s="54">
        <v>1</v>
      </c>
      <c r="AJ1109" s="55"/>
      <c r="AK1109" s="55"/>
      <c r="AL1109" s="55"/>
      <c r="AM1109" s="56">
        <f t="shared" si="871"/>
        <v>1</v>
      </c>
      <c r="AN1109" s="54"/>
      <c r="AO1109" s="55"/>
      <c r="AP1109" s="55"/>
      <c r="AQ1109" s="55"/>
      <c r="AR1109" s="56">
        <f t="shared" si="872"/>
        <v>0</v>
      </c>
      <c r="AS1109" s="54"/>
      <c r="AT1109" s="55"/>
      <c r="AU1109" s="55"/>
      <c r="AV1109" s="55"/>
      <c r="AW1109" s="56">
        <f t="shared" si="873"/>
        <v>0</v>
      </c>
      <c r="AX1109" s="55"/>
      <c r="AY1109" s="55"/>
      <c r="AZ1109" s="55"/>
      <c r="BA1109" s="55"/>
      <c r="BB1109" s="56">
        <f t="shared" si="874"/>
        <v>0</v>
      </c>
      <c r="BC1109" s="56">
        <f t="shared" ref="BC1109:BC1118" si="891">AH1109+AM1109+AR1109+AW1109+BB1109</f>
        <v>1</v>
      </c>
      <c r="BD1109" s="298">
        <v>45380</v>
      </c>
      <c r="BE1109" s="277" t="s">
        <v>98</v>
      </c>
      <c r="BF1109" s="54"/>
      <c r="BG1109" s="55"/>
      <c r="BH1109" s="55">
        <v>1</v>
      </c>
      <c r="BI1109" s="55"/>
      <c r="BJ1109" s="56">
        <f t="shared" si="884"/>
        <v>1</v>
      </c>
      <c r="BK1109" s="304">
        <v>45401</v>
      </c>
      <c r="BL1109" s="277"/>
      <c r="BM1109" s="54"/>
      <c r="BN1109" s="55"/>
      <c r="BO1109" s="55"/>
      <c r="BP1109" s="55"/>
      <c r="BQ1109" s="56">
        <f t="shared" si="885"/>
        <v>0</v>
      </c>
      <c r="BR1109" s="191"/>
      <c r="BS1109" s="191"/>
      <c r="BT1109" s="191"/>
      <c r="BU1109" s="191"/>
    </row>
    <row r="1110" spans="1:73" x14ac:dyDescent="0.15">
      <c r="A1110" s="53" t="s">
        <v>571</v>
      </c>
      <c r="B1110" s="54"/>
      <c r="C1110" s="55"/>
      <c r="D1110" s="55"/>
      <c r="E1110" s="55"/>
      <c r="F1110" s="56">
        <f t="shared" si="880"/>
        <v>0</v>
      </c>
      <c r="G1110" s="54"/>
      <c r="H1110" s="55"/>
      <c r="I1110" s="55"/>
      <c r="J1110" s="55"/>
      <c r="K1110" s="56">
        <f t="shared" si="850"/>
        <v>0</v>
      </c>
      <c r="L1110" s="54"/>
      <c r="M1110" s="55"/>
      <c r="N1110" s="55"/>
      <c r="O1110" s="55"/>
      <c r="P1110" s="56">
        <f t="shared" si="851"/>
        <v>0</v>
      </c>
      <c r="Q1110" s="54"/>
      <c r="R1110" s="55">
        <v>1</v>
      </c>
      <c r="S1110" s="55">
        <v>1</v>
      </c>
      <c r="T1110" s="55"/>
      <c r="U1110" s="56">
        <f t="shared" si="852"/>
        <v>2</v>
      </c>
      <c r="V1110" s="55"/>
      <c r="W1110" s="55"/>
      <c r="X1110" s="55"/>
      <c r="Y1110" s="55"/>
      <c r="Z1110" s="56">
        <f t="shared" si="881"/>
        <v>0</v>
      </c>
      <c r="AA1110" s="56">
        <f t="shared" si="882"/>
        <v>2</v>
      </c>
      <c r="AB1110" s="298">
        <v>45377</v>
      </c>
      <c r="AC1110" s="276" t="s">
        <v>573</v>
      </c>
      <c r="AD1110" s="54"/>
      <c r="AE1110" s="55"/>
      <c r="AF1110" s="55"/>
      <c r="AG1110" s="55"/>
      <c r="AH1110" s="56">
        <f t="shared" si="870"/>
        <v>0</v>
      </c>
      <c r="AI1110" s="54"/>
      <c r="AJ1110" s="55">
        <v>1</v>
      </c>
      <c r="AK1110" s="55"/>
      <c r="AL1110" s="55"/>
      <c r="AM1110" s="56">
        <f t="shared" si="871"/>
        <v>1</v>
      </c>
      <c r="AN1110" s="54"/>
      <c r="AO1110" s="55"/>
      <c r="AP1110" s="55"/>
      <c r="AQ1110" s="55"/>
      <c r="AR1110" s="56">
        <f t="shared" si="872"/>
        <v>0</v>
      </c>
      <c r="AS1110" s="54"/>
      <c r="AT1110" s="55"/>
      <c r="AU1110" s="55">
        <v>1</v>
      </c>
      <c r="AV1110" s="55"/>
      <c r="AW1110" s="56">
        <f t="shared" si="873"/>
        <v>1</v>
      </c>
      <c r="AX1110" s="55"/>
      <c r="AY1110" s="55"/>
      <c r="AZ1110" s="55"/>
      <c r="BA1110" s="55"/>
      <c r="BB1110" s="56">
        <f t="shared" si="874"/>
        <v>0</v>
      </c>
      <c r="BC1110" s="56">
        <f t="shared" si="891"/>
        <v>2</v>
      </c>
      <c r="BD1110" s="298">
        <v>45380</v>
      </c>
      <c r="BE1110" s="277" t="s">
        <v>98</v>
      </c>
      <c r="BF1110" s="54"/>
      <c r="BG1110" s="55"/>
      <c r="BH1110" s="55">
        <v>1</v>
      </c>
      <c r="BI1110" s="55"/>
      <c r="BJ1110" s="56">
        <f t="shared" si="876"/>
        <v>1</v>
      </c>
      <c r="BK1110" s="304">
        <v>45422</v>
      </c>
      <c r="BL1110" s="277"/>
      <c r="BM1110" s="54"/>
      <c r="BN1110" s="55"/>
      <c r="BO1110" s="55"/>
      <c r="BP1110" s="55"/>
      <c r="BQ1110" s="56">
        <f t="shared" si="877"/>
        <v>0</v>
      </c>
      <c r="BR1110" s="191"/>
      <c r="BS1110" s="191"/>
      <c r="BT1110" s="191"/>
      <c r="BU1110" s="191"/>
    </row>
    <row r="1111" spans="1:73" x14ac:dyDescent="0.15">
      <c r="A1111" s="53" t="s">
        <v>98</v>
      </c>
      <c r="B1111" s="54"/>
      <c r="C1111" s="55">
        <v>1</v>
      </c>
      <c r="D1111" s="55"/>
      <c r="E1111" s="55"/>
      <c r="F1111" s="56">
        <f t="shared" si="880"/>
        <v>1</v>
      </c>
      <c r="G1111" s="54"/>
      <c r="H1111" s="55"/>
      <c r="I1111" s="55"/>
      <c r="J1111" s="55"/>
      <c r="K1111" s="56">
        <f t="shared" si="850"/>
        <v>0</v>
      </c>
      <c r="L1111" s="54"/>
      <c r="M1111" s="55"/>
      <c r="N1111" s="55"/>
      <c r="O1111" s="55"/>
      <c r="P1111" s="56">
        <f t="shared" si="851"/>
        <v>0</v>
      </c>
      <c r="Q1111" s="54"/>
      <c r="R1111" s="55"/>
      <c r="S1111" s="55"/>
      <c r="T1111" s="55"/>
      <c r="U1111" s="56">
        <f t="shared" si="852"/>
        <v>0</v>
      </c>
      <c r="V1111" s="55"/>
      <c r="W1111" s="55"/>
      <c r="X1111" s="55"/>
      <c r="Y1111" s="55"/>
      <c r="Z1111" s="56">
        <f t="shared" si="881"/>
        <v>0</v>
      </c>
      <c r="AA1111" s="56">
        <f t="shared" si="882"/>
        <v>1</v>
      </c>
      <c r="AB1111" s="298">
        <v>45377</v>
      </c>
      <c r="AC1111" s="276" t="s">
        <v>349</v>
      </c>
      <c r="AD1111" s="54"/>
      <c r="AE1111" s="55"/>
      <c r="AF1111" s="55"/>
      <c r="AG1111" s="55"/>
      <c r="AH1111" s="56">
        <f t="shared" si="870"/>
        <v>0</v>
      </c>
      <c r="AI1111" s="54"/>
      <c r="AJ1111" s="55"/>
      <c r="AK1111" s="55"/>
      <c r="AL1111" s="55"/>
      <c r="AM1111" s="56">
        <f t="shared" si="871"/>
        <v>0</v>
      </c>
      <c r="AN1111" s="54"/>
      <c r="AO1111" s="55"/>
      <c r="AP1111" s="55"/>
      <c r="AQ1111" s="55"/>
      <c r="AR1111" s="56">
        <f t="shared" si="872"/>
        <v>0</v>
      </c>
      <c r="AS1111" s="54"/>
      <c r="AT1111" s="55"/>
      <c r="AU1111" s="55"/>
      <c r="AV1111" s="55"/>
      <c r="AW1111" s="56">
        <f t="shared" si="873"/>
        <v>0</v>
      </c>
      <c r="AX1111" s="55"/>
      <c r="AY1111" s="55"/>
      <c r="AZ1111" s="55">
        <v>2</v>
      </c>
      <c r="BA1111" s="55"/>
      <c r="BB1111" s="56">
        <f t="shared" si="874"/>
        <v>2</v>
      </c>
      <c r="BC1111" s="56">
        <f t="shared" si="891"/>
        <v>2</v>
      </c>
      <c r="BD1111" s="298">
        <v>45390</v>
      </c>
      <c r="BE1111" s="277"/>
      <c r="BF1111" s="54"/>
      <c r="BG1111" s="55"/>
      <c r="BH1111" s="55"/>
      <c r="BI1111" s="55"/>
      <c r="BJ1111" s="56">
        <f t="shared" si="876"/>
        <v>0</v>
      </c>
      <c r="BL1111" s="277"/>
      <c r="BM1111" s="54"/>
      <c r="BN1111" s="55"/>
      <c r="BO1111" s="55"/>
      <c r="BP1111" s="55"/>
      <c r="BQ1111" s="56">
        <f t="shared" si="877"/>
        <v>0</v>
      </c>
      <c r="BR1111" s="191"/>
      <c r="BS1111" s="191"/>
      <c r="BT1111" s="191"/>
      <c r="BU1111" s="191"/>
    </row>
    <row r="1112" spans="1:73" x14ac:dyDescent="0.15">
      <c r="A1112" s="53" t="s">
        <v>98</v>
      </c>
      <c r="B1112" s="54"/>
      <c r="C1112" s="55"/>
      <c r="D1112" s="55"/>
      <c r="E1112" s="55"/>
      <c r="F1112" s="56">
        <f t="shared" si="880"/>
        <v>0</v>
      </c>
      <c r="G1112" s="54"/>
      <c r="H1112" s="55"/>
      <c r="I1112" s="55"/>
      <c r="J1112" s="55"/>
      <c r="K1112" s="56">
        <f t="shared" si="850"/>
        <v>0</v>
      </c>
      <c r="L1112" s="54"/>
      <c r="M1112" s="55"/>
      <c r="N1112" s="55"/>
      <c r="O1112" s="55"/>
      <c r="P1112" s="56">
        <f t="shared" si="851"/>
        <v>0</v>
      </c>
      <c r="Q1112" s="54"/>
      <c r="R1112" s="55"/>
      <c r="S1112" s="55">
        <v>1</v>
      </c>
      <c r="T1112" s="55"/>
      <c r="U1112" s="56">
        <f t="shared" si="852"/>
        <v>1</v>
      </c>
      <c r="V1112" s="55"/>
      <c r="W1112" s="55"/>
      <c r="X1112" s="55"/>
      <c r="Y1112" s="55"/>
      <c r="Z1112" s="56">
        <f t="shared" si="881"/>
        <v>0</v>
      </c>
      <c r="AA1112" s="56">
        <f t="shared" si="882"/>
        <v>1</v>
      </c>
      <c r="AB1112" s="298">
        <v>45383</v>
      </c>
      <c r="AC1112" s="276" t="s">
        <v>575</v>
      </c>
      <c r="AD1112" s="54"/>
      <c r="AE1112" s="55"/>
      <c r="AF1112" s="55"/>
      <c r="AG1112" s="55"/>
      <c r="AH1112" s="56">
        <f t="shared" si="870"/>
        <v>0</v>
      </c>
      <c r="AI1112" s="54"/>
      <c r="AJ1112" s="55"/>
      <c r="AK1112" s="55"/>
      <c r="AL1112" s="55"/>
      <c r="AM1112" s="56">
        <f t="shared" si="871"/>
        <v>0</v>
      </c>
      <c r="AN1112" s="54"/>
      <c r="AO1112" s="55"/>
      <c r="AP1112" s="55"/>
      <c r="AQ1112" s="55"/>
      <c r="AR1112" s="56">
        <f t="shared" si="872"/>
        <v>0</v>
      </c>
      <c r="AS1112" s="54"/>
      <c r="AT1112" s="55"/>
      <c r="AU1112" s="55"/>
      <c r="AV1112" s="55">
        <v>1</v>
      </c>
      <c r="AW1112" s="56">
        <f t="shared" si="873"/>
        <v>1</v>
      </c>
      <c r="AX1112" s="55"/>
      <c r="AY1112" s="55"/>
      <c r="AZ1112" s="55"/>
      <c r="BA1112" s="55"/>
      <c r="BB1112" s="56">
        <f t="shared" si="874"/>
        <v>0</v>
      </c>
      <c r="BC1112" s="56">
        <f t="shared" si="891"/>
        <v>1</v>
      </c>
      <c r="BD1112" s="298">
        <v>45387</v>
      </c>
      <c r="BE1112" s="277"/>
      <c r="BF1112" s="54"/>
      <c r="BG1112" s="55"/>
      <c r="BH1112" s="55"/>
      <c r="BI1112" s="55"/>
      <c r="BJ1112" s="56">
        <f t="shared" si="876"/>
        <v>0</v>
      </c>
      <c r="BL1112" s="277"/>
      <c r="BM1112" s="54"/>
      <c r="BN1112" s="55"/>
      <c r="BO1112" s="55"/>
      <c r="BP1112" s="55"/>
      <c r="BQ1112" s="56">
        <f t="shared" si="877"/>
        <v>0</v>
      </c>
      <c r="BR1112" s="191"/>
      <c r="BS1112" s="191"/>
      <c r="BT1112" s="191"/>
      <c r="BU1112" s="191"/>
    </row>
    <row r="1113" spans="1:73" x14ac:dyDescent="0.15">
      <c r="A1113" s="53" t="s">
        <v>98</v>
      </c>
      <c r="B1113" s="54"/>
      <c r="C1113" s="55"/>
      <c r="D1113" s="55"/>
      <c r="E1113" s="55"/>
      <c r="F1113" s="56">
        <f t="shared" si="880"/>
        <v>0</v>
      </c>
      <c r="G1113" s="54"/>
      <c r="H1113" s="55"/>
      <c r="I1113" s="55"/>
      <c r="J1113" s="55"/>
      <c r="K1113" s="56">
        <f t="shared" si="850"/>
        <v>0</v>
      </c>
      <c r="L1113" s="54"/>
      <c r="M1113" s="55">
        <v>1</v>
      </c>
      <c r="N1113" s="55"/>
      <c r="O1113" s="55"/>
      <c r="P1113" s="56">
        <f t="shared" si="851"/>
        <v>1</v>
      </c>
      <c r="Q1113" s="54"/>
      <c r="R1113" s="55"/>
      <c r="S1113" s="55"/>
      <c r="T1113" s="55"/>
      <c r="U1113" s="56">
        <f t="shared" si="852"/>
        <v>0</v>
      </c>
      <c r="V1113" s="55"/>
      <c r="W1113" s="55"/>
      <c r="X1113" s="55"/>
      <c r="Y1113" s="55"/>
      <c r="Z1113" s="56">
        <f t="shared" si="881"/>
        <v>0</v>
      </c>
      <c r="AA1113" s="56">
        <f t="shared" si="882"/>
        <v>1</v>
      </c>
      <c r="AB1113" s="298">
        <v>45386</v>
      </c>
      <c r="AC1113" s="276" t="s">
        <v>576</v>
      </c>
      <c r="AD1113" s="54"/>
      <c r="AE1113" s="55"/>
      <c r="AF1113" s="55"/>
      <c r="AG1113" s="55"/>
      <c r="AH1113" s="56">
        <f t="shared" si="870"/>
        <v>0</v>
      </c>
      <c r="AI1113" s="54"/>
      <c r="AJ1113" s="55"/>
      <c r="AK1113" s="55"/>
      <c r="AL1113" s="55"/>
      <c r="AM1113" s="56">
        <f t="shared" si="871"/>
        <v>0</v>
      </c>
      <c r="AN1113" s="54"/>
      <c r="AO1113" s="55"/>
      <c r="AP1113" s="55"/>
      <c r="AQ1113" s="55"/>
      <c r="AR1113" s="56">
        <f t="shared" si="872"/>
        <v>0</v>
      </c>
      <c r="AS1113" s="54"/>
      <c r="AT1113" s="55"/>
      <c r="AU1113" s="55"/>
      <c r="AV1113" s="55">
        <v>1</v>
      </c>
      <c r="AW1113" s="56">
        <f t="shared" si="873"/>
        <v>1</v>
      </c>
      <c r="AX1113" s="55"/>
      <c r="AY1113" s="55"/>
      <c r="AZ1113" s="55"/>
      <c r="BA1113" s="55"/>
      <c r="BB1113" s="56">
        <f t="shared" si="874"/>
        <v>0</v>
      </c>
      <c r="BC1113" s="56">
        <f t="shared" si="891"/>
        <v>1</v>
      </c>
      <c r="BD1113" s="298">
        <v>45387</v>
      </c>
      <c r="BE1113" s="277"/>
      <c r="BF1113" s="54"/>
      <c r="BG1113" s="55"/>
      <c r="BH1113" s="55"/>
      <c r="BI1113" s="55"/>
      <c r="BJ1113" s="56">
        <f t="shared" si="876"/>
        <v>0</v>
      </c>
      <c r="BL1113" s="277"/>
      <c r="BM1113" s="54"/>
      <c r="BN1113" s="55"/>
      <c r="BO1113" s="55"/>
      <c r="BP1113" s="55"/>
      <c r="BQ1113" s="56">
        <f t="shared" si="877"/>
        <v>0</v>
      </c>
    </row>
    <row r="1114" spans="1:73" x14ac:dyDescent="0.15">
      <c r="A1114" s="53" t="s">
        <v>98</v>
      </c>
      <c r="B1114" s="54"/>
      <c r="C1114" s="55"/>
      <c r="D1114" s="55"/>
      <c r="E1114" s="55"/>
      <c r="F1114" s="56">
        <f t="shared" si="880"/>
        <v>0</v>
      </c>
      <c r="G1114" s="54"/>
      <c r="H1114" s="55"/>
      <c r="I1114" s="55"/>
      <c r="J1114" s="55"/>
      <c r="K1114" s="56">
        <f t="shared" si="850"/>
        <v>0</v>
      </c>
      <c r="L1114" s="54">
        <v>1</v>
      </c>
      <c r="M1114" s="55"/>
      <c r="N1114" s="55"/>
      <c r="O1114" s="55"/>
      <c r="P1114" s="56">
        <f t="shared" si="851"/>
        <v>1</v>
      </c>
      <c r="Q1114" s="54"/>
      <c r="R1114" s="55"/>
      <c r="S1114" s="55"/>
      <c r="T1114" s="55"/>
      <c r="U1114" s="56">
        <f t="shared" si="852"/>
        <v>0</v>
      </c>
      <c r="V1114" s="55"/>
      <c r="W1114" s="55"/>
      <c r="X1114" s="55"/>
      <c r="Y1114" s="55"/>
      <c r="Z1114" s="56">
        <f t="shared" si="881"/>
        <v>0</v>
      </c>
      <c r="AA1114" s="56">
        <f t="shared" si="882"/>
        <v>1</v>
      </c>
      <c r="AB1114" s="298">
        <v>45387</v>
      </c>
      <c r="AC1114" s="276" t="s">
        <v>357</v>
      </c>
      <c r="AD1114" s="54"/>
      <c r="AE1114" s="55"/>
      <c r="AF1114" s="55"/>
      <c r="AG1114" s="55"/>
      <c r="AH1114" s="56">
        <f t="shared" si="870"/>
        <v>0</v>
      </c>
      <c r="AI1114" s="54"/>
      <c r="AJ1114" s="55"/>
      <c r="AK1114" s="55"/>
      <c r="AL1114" s="55"/>
      <c r="AM1114" s="56">
        <f t="shared" si="871"/>
        <v>0</v>
      </c>
      <c r="AN1114" s="54"/>
      <c r="AO1114" s="55"/>
      <c r="AP1114" s="55"/>
      <c r="AQ1114" s="55"/>
      <c r="AR1114" s="56">
        <f t="shared" si="872"/>
        <v>0</v>
      </c>
      <c r="AS1114" s="54"/>
      <c r="AT1114" s="55"/>
      <c r="AU1114" s="55"/>
      <c r="AV1114" s="55"/>
      <c r="AW1114" s="56">
        <f t="shared" si="873"/>
        <v>0</v>
      </c>
      <c r="AX1114" s="55"/>
      <c r="AY1114" s="55"/>
      <c r="AZ1114" s="55">
        <v>4</v>
      </c>
      <c r="BA1114" s="55"/>
      <c r="BB1114" s="56">
        <f t="shared" si="874"/>
        <v>4</v>
      </c>
      <c r="BC1114" s="56">
        <f t="shared" si="891"/>
        <v>4</v>
      </c>
      <c r="BD1114" s="298">
        <v>45393</v>
      </c>
      <c r="BE1114" s="277"/>
      <c r="BF1114" s="54"/>
      <c r="BG1114" s="55"/>
      <c r="BH1114" s="55"/>
      <c r="BI1114" s="55"/>
      <c r="BJ1114" s="56">
        <f t="shared" si="876"/>
        <v>0</v>
      </c>
      <c r="BL1114" s="277"/>
      <c r="BM1114" s="54"/>
      <c r="BN1114" s="55"/>
      <c r="BO1114" s="55"/>
      <c r="BP1114" s="55"/>
      <c r="BQ1114" s="56">
        <f t="shared" si="877"/>
        <v>0</v>
      </c>
    </row>
    <row r="1115" spans="1:73" x14ac:dyDescent="0.15">
      <c r="A1115" s="53" t="s">
        <v>98</v>
      </c>
      <c r="B1115" s="54"/>
      <c r="C1115" s="55"/>
      <c r="D1115" s="55"/>
      <c r="E1115" s="55"/>
      <c r="F1115" s="56">
        <f t="shared" si="880"/>
        <v>0</v>
      </c>
      <c r="G1115" s="54"/>
      <c r="H1115" s="55"/>
      <c r="I1115" s="55">
        <v>1</v>
      </c>
      <c r="J1115" s="55"/>
      <c r="K1115" s="56">
        <f t="shared" si="850"/>
        <v>1</v>
      </c>
      <c r="L1115" s="54"/>
      <c r="M1115" s="55"/>
      <c r="N1115" s="55">
        <v>1</v>
      </c>
      <c r="O1115" s="55"/>
      <c r="P1115" s="56">
        <f t="shared" si="851"/>
        <v>1</v>
      </c>
      <c r="Q1115" s="54"/>
      <c r="R1115" s="55"/>
      <c r="S1115" s="55"/>
      <c r="T1115" s="55">
        <v>1</v>
      </c>
      <c r="U1115" s="56">
        <f t="shared" si="852"/>
        <v>1</v>
      </c>
      <c r="V1115" s="55"/>
      <c r="W1115" s="55"/>
      <c r="X1115" s="55"/>
      <c r="Y1115" s="55"/>
      <c r="Z1115" s="56">
        <f t="shared" si="881"/>
        <v>0</v>
      </c>
      <c r="AA1115" s="56">
        <f t="shared" si="882"/>
        <v>3</v>
      </c>
      <c r="AB1115" s="298">
        <v>45388</v>
      </c>
      <c r="AC1115" s="276" t="s">
        <v>341</v>
      </c>
      <c r="AD1115" s="54"/>
      <c r="AE1115" s="55"/>
      <c r="AF1115" s="55"/>
      <c r="AG1115" s="55"/>
      <c r="AH1115" s="56">
        <f t="shared" si="870"/>
        <v>0</v>
      </c>
      <c r="AI1115" s="54"/>
      <c r="AJ1115" s="55"/>
      <c r="AK1115" s="55"/>
      <c r="AL1115" s="55"/>
      <c r="AM1115" s="56">
        <f t="shared" si="871"/>
        <v>0</v>
      </c>
      <c r="AN1115" s="54"/>
      <c r="AO1115" s="55"/>
      <c r="AP1115" s="55"/>
      <c r="AQ1115" s="55"/>
      <c r="AR1115" s="56">
        <f t="shared" si="872"/>
        <v>0</v>
      </c>
      <c r="AS1115" s="54"/>
      <c r="AT1115" s="55"/>
      <c r="AU1115" s="55"/>
      <c r="AV1115" s="55"/>
      <c r="AW1115" s="56">
        <f t="shared" si="873"/>
        <v>0</v>
      </c>
      <c r="AX1115" s="55"/>
      <c r="AY1115" s="55"/>
      <c r="AZ1115" s="55"/>
      <c r="BA1115" s="55">
        <v>2</v>
      </c>
      <c r="BB1115" s="56">
        <f t="shared" si="874"/>
        <v>2</v>
      </c>
      <c r="BC1115" s="56">
        <f t="shared" si="891"/>
        <v>2</v>
      </c>
      <c r="BD1115" s="298">
        <v>45393</v>
      </c>
      <c r="BE1115" s="277"/>
      <c r="BF1115" s="54"/>
      <c r="BG1115" s="55"/>
      <c r="BH1115" s="55"/>
      <c r="BI1115" s="55"/>
      <c r="BJ1115" s="56">
        <f t="shared" si="876"/>
        <v>0</v>
      </c>
      <c r="BL1115" s="277"/>
      <c r="BM1115" s="54"/>
      <c r="BN1115" s="55"/>
      <c r="BO1115" s="55"/>
      <c r="BP1115" s="55"/>
      <c r="BQ1115" s="56">
        <f t="shared" si="877"/>
        <v>0</v>
      </c>
    </row>
    <row r="1116" spans="1:73" x14ac:dyDescent="0.15">
      <c r="A1116" s="53" t="s">
        <v>98</v>
      </c>
      <c r="B1116" s="54"/>
      <c r="C1116" s="55"/>
      <c r="D1116" s="55"/>
      <c r="E1116" s="55"/>
      <c r="F1116" s="56">
        <f t="shared" si="880"/>
        <v>0</v>
      </c>
      <c r="G1116" s="54"/>
      <c r="H1116" s="55"/>
      <c r="I1116" s="55"/>
      <c r="J1116" s="55"/>
      <c r="K1116" s="56">
        <f t="shared" si="850"/>
        <v>0</v>
      </c>
      <c r="L1116" s="54"/>
      <c r="M1116" s="55"/>
      <c r="N1116" s="55"/>
      <c r="O1116" s="55"/>
      <c r="P1116" s="56">
        <f t="shared" si="851"/>
        <v>0</v>
      </c>
      <c r="Q1116" s="54"/>
      <c r="R1116" s="55"/>
      <c r="S1116" s="55">
        <v>2</v>
      </c>
      <c r="T1116" s="55"/>
      <c r="U1116" s="56">
        <f t="shared" si="852"/>
        <v>2</v>
      </c>
      <c r="V1116" s="55"/>
      <c r="W1116" s="55"/>
      <c r="X1116" s="55"/>
      <c r="Y1116" s="55"/>
      <c r="Z1116" s="56">
        <f t="shared" si="881"/>
        <v>0</v>
      </c>
      <c r="AA1116" s="56">
        <f t="shared" si="882"/>
        <v>2</v>
      </c>
      <c r="AB1116" s="298">
        <v>45390</v>
      </c>
      <c r="AC1116" s="276" t="s">
        <v>342</v>
      </c>
      <c r="AD1116" s="54"/>
      <c r="AE1116" s="55"/>
      <c r="AF1116" s="55"/>
      <c r="AG1116" s="55"/>
      <c r="AH1116" s="56">
        <f t="shared" si="870"/>
        <v>0</v>
      </c>
      <c r="AI1116" s="54"/>
      <c r="AJ1116" s="55"/>
      <c r="AK1116" s="55"/>
      <c r="AL1116" s="55"/>
      <c r="AM1116" s="56">
        <f t="shared" si="871"/>
        <v>0</v>
      </c>
      <c r="AN1116" s="54"/>
      <c r="AO1116" s="55"/>
      <c r="AP1116" s="55"/>
      <c r="AQ1116" s="55"/>
      <c r="AR1116" s="56">
        <f t="shared" si="872"/>
        <v>0</v>
      </c>
      <c r="AS1116" s="54"/>
      <c r="AT1116" s="55"/>
      <c r="AU1116" s="55"/>
      <c r="AV1116" s="55"/>
      <c r="AW1116" s="56">
        <f t="shared" si="873"/>
        <v>0</v>
      </c>
      <c r="AX1116" s="55"/>
      <c r="AY1116" s="55">
        <v>1</v>
      </c>
      <c r="AZ1116" s="55"/>
      <c r="BA1116" s="55"/>
      <c r="BB1116" s="56">
        <f t="shared" si="874"/>
        <v>1</v>
      </c>
      <c r="BC1116" s="56">
        <f t="shared" si="891"/>
        <v>1</v>
      </c>
      <c r="BD1116" s="298">
        <v>45393</v>
      </c>
      <c r="BE1116" s="277"/>
      <c r="BF1116" s="54"/>
      <c r="BG1116" s="55"/>
      <c r="BH1116" s="55"/>
      <c r="BI1116" s="55"/>
      <c r="BJ1116" s="56">
        <f t="shared" si="876"/>
        <v>0</v>
      </c>
      <c r="BL1116" s="277"/>
      <c r="BM1116" s="54"/>
      <c r="BN1116" s="55"/>
      <c r="BO1116" s="55"/>
      <c r="BP1116" s="55"/>
      <c r="BQ1116" s="56">
        <f t="shared" si="877"/>
        <v>0</v>
      </c>
    </row>
    <row r="1117" spans="1:73" x14ac:dyDescent="0.15">
      <c r="A1117" s="276" t="s">
        <v>577</v>
      </c>
      <c r="B1117" s="54"/>
      <c r="C1117" s="55"/>
      <c r="D1117" s="55"/>
      <c r="E1117" s="55"/>
      <c r="F1117" s="56">
        <f t="shared" si="880"/>
        <v>0</v>
      </c>
      <c r="G1117" s="54"/>
      <c r="H1117" s="55"/>
      <c r="I1117" s="55"/>
      <c r="J1117" s="55"/>
      <c r="K1117" s="56">
        <f t="shared" si="850"/>
        <v>0</v>
      </c>
      <c r="L1117" s="54"/>
      <c r="M1117" s="55"/>
      <c r="N1117" s="55"/>
      <c r="O1117" s="55"/>
      <c r="P1117" s="56">
        <f t="shared" si="851"/>
        <v>0</v>
      </c>
      <c r="Q1117" s="54"/>
      <c r="R1117" s="55"/>
      <c r="S1117" s="55"/>
      <c r="T1117" s="55">
        <v>2</v>
      </c>
      <c r="U1117" s="56">
        <f t="shared" si="852"/>
        <v>2</v>
      </c>
      <c r="V1117" s="55"/>
      <c r="W1117" s="55"/>
      <c r="X1117" s="55"/>
      <c r="Y1117" s="55"/>
      <c r="Z1117" s="56">
        <f t="shared" si="881"/>
        <v>0</v>
      </c>
      <c r="AA1117" s="56">
        <f t="shared" si="882"/>
        <v>2</v>
      </c>
      <c r="AB1117" s="298">
        <v>45394</v>
      </c>
      <c r="AC1117" s="276" t="s">
        <v>343</v>
      </c>
      <c r="AD1117" s="54"/>
      <c r="AE1117" s="55"/>
      <c r="AF1117" s="55"/>
      <c r="AG1117" s="55"/>
      <c r="AH1117" s="56">
        <f t="shared" si="870"/>
        <v>0</v>
      </c>
      <c r="AI1117" s="54"/>
      <c r="AJ1117" s="55"/>
      <c r="AK1117" s="55"/>
      <c r="AL1117" s="55"/>
      <c r="AM1117" s="56">
        <f t="shared" si="871"/>
        <v>0</v>
      </c>
      <c r="AN1117" s="54"/>
      <c r="AO1117" s="55"/>
      <c r="AP1117" s="55"/>
      <c r="AQ1117" s="55"/>
      <c r="AR1117" s="56">
        <f t="shared" si="872"/>
        <v>0</v>
      </c>
      <c r="AS1117" s="54"/>
      <c r="AT1117" s="55"/>
      <c r="AU1117" s="55"/>
      <c r="AV1117" s="55"/>
      <c r="AW1117" s="56">
        <f t="shared" si="873"/>
        <v>0</v>
      </c>
      <c r="AX1117" s="55"/>
      <c r="AY1117" s="55">
        <v>2</v>
      </c>
      <c r="AZ1117" s="55"/>
      <c r="BA1117" s="55"/>
      <c r="BB1117" s="56">
        <f t="shared" si="874"/>
        <v>2</v>
      </c>
      <c r="BC1117" s="56">
        <f t="shared" si="891"/>
        <v>2</v>
      </c>
      <c r="BD1117" s="298">
        <v>45394</v>
      </c>
      <c r="BE1117" s="277"/>
      <c r="BF1117" s="54"/>
      <c r="BG1117" s="55"/>
      <c r="BH1117" s="55"/>
      <c r="BI1117" s="55"/>
      <c r="BJ1117" s="56">
        <f t="shared" si="876"/>
        <v>0</v>
      </c>
      <c r="BL1117" s="277"/>
      <c r="BM1117" s="54"/>
      <c r="BN1117" s="55"/>
      <c r="BO1117" s="55"/>
      <c r="BP1117" s="55"/>
      <c r="BQ1117" s="56">
        <f t="shared" si="877"/>
        <v>0</v>
      </c>
    </row>
    <row r="1118" spans="1:73" x14ac:dyDescent="0.15">
      <c r="A1118" s="53" t="s">
        <v>98</v>
      </c>
      <c r="B1118" s="54"/>
      <c r="C1118" s="55"/>
      <c r="D1118" s="55"/>
      <c r="E1118" s="55"/>
      <c r="F1118" s="56">
        <f t="shared" si="880"/>
        <v>0</v>
      </c>
      <c r="G1118" s="54"/>
      <c r="H1118" s="55"/>
      <c r="I1118" s="55"/>
      <c r="J1118" s="55"/>
      <c r="K1118" s="56">
        <f t="shared" si="850"/>
        <v>0</v>
      </c>
      <c r="L1118" s="54"/>
      <c r="M1118" s="55">
        <v>1</v>
      </c>
      <c r="N1118" s="55"/>
      <c r="O1118" s="55"/>
      <c r="P1118" s="56">
        <f t="shared" si="851"/>
        <v>1</v>
      </c>
      <c r="Q1118" s="54"/>
      <c r="R1118" s="55"/>
      <c r="S1118" s="55">
        <v>1</v>
      </c>
      <c r="T1118" s="55"/>
      <c r="U1118" s="56">
        <f t="shared" si="852"/>
        <v>1</v>
      </c>
      <c r="V1118" s="55"/>
      <c r="W1118" s="55"/>
      <c r="X1118" s="55"/>
      <c r="Y1118" s="55"/>
      <c r="Z1118" s="56">
        <f t="shared" si="881"/>
        <v>0</v>
      </c>
      <c r="AA1118" s="56">
        <f t="shared" si="882"/>
        <v>2</v>
      </c>
      <c r="AB1118" s="298">
        <v>45397</v>
      </c>
      <c r="AC1118" s="276" t="s">
        <v>99</v>
      </c>
      <c r="AD1118" s="54"/>
      <c r="AE1118" s="55"/>
      <c r="AF1118" s="55"/>
      <c r="AG1118" s="55"/>
      <c r="AH1118" s="56">
        <f t="shared" ref="AH1118" si="892">SUM(AD1118:AG1118)</f>
        <v>0</v>
      </c>
      <c r="AI1118" s="54">
        <v>2</v>
      </c>
      <c r="AJ1118" s="55">
        <v>2</v>
      </c>
      <c r="AK1118" s="55">
        <v>2</v>
      </c>
      <c r="AL1118" s="55"/>
      <c r="AM1118" s="56">
        <f t="shared" ref="AM1118" si="893">SUM(AI1118:AL1118)</f>
        <v>6</v>
      </c>
      <c r="AN1118" s="54"/>
      <c r="AO1118" s="55"/>
      <c r="AP1118" s="55">
        <v>2</v>
      </c>
      <c r="AQ1118" s="55"/>
      <c r="AR1118" s="56">
        <f t="shared" ref="AR1118" si="894">SUM(AN1118:AQ1118)</f>
        <v>2</v>
      </c>
      <c r="AS1118" s="54"/>
      <c r="AT1118" s="55">
        <v>2</v>
      </c>
      <c r="AU1118" s="55">
        <v>2</v>
      </c>
      <c r="AV1118" s="55">
        <v>5</v>
      </c>
      <c r="AW1118" s="56">
        <f t="shared" ref="AW1118" si="895">SUM(AS1118:AV1118)</f>
        <v>9</v>
      </c>
      <c r="AX1118" s="55"/>
      <c r="AY1118" s="55"/>
      <c r="AZ1118" s="55"/>
      <c r="BA1118" s="55">
        <v>2</v>
      </c>
      <c r="BB1118" s="56">
        <f t="shared" ref="BB1118" si="896">SUM(AX1118:BA1118)</f>
        <v>2</v>
      </c>
      <c r="BC1118" s="56">
        <f t="shared" si="891"/>
        <v>19</v>
      </c>
      <c r="BD1118" s="298">
        <v>45392</v>
      </c>
      <c r="BE1118" s="276"/>
      <c r="BF1118" s="54"/>
      <c r="BG1118" s="55"/>
      <c r="BH1118" s="55"/>
      <c r="BI1118" s="55"/>
      <c r="BJ1118" s="56">
        <f t="shared" si="876"/>
        <v>0</v>
      </c>
      <c r="BL1118" s="276"/>
      <c r="BM1118" s="54"/>
      <c r="BN1118" s="55"/>
      <c r="BO1118" s="55"/>
      <c r="BP1118" s="55"/>
      <c r="BQ1118" s="56">
        <f t="shared" si="877"/>
        <v>0</v>
      </c>
    </row>
    <row r="1119" spans="1:73" x14ac:dyDescent="0.15">
      <c r="A1119" s="53" t="s">
        <v>98</v>
      </c>
      <c r="B1119" s="54"/>
      <c r="C1119" s="55"/>
      <c r="D1119" s="55"/>
      <c r="E1119" s="55"/>
      <c r="F1119" s="56">
        <f t="shared" si="880"/>
        <v>0</v>
      </c>
      <c r="G1119" s="54"/>
      <c r="H1119" s="55"/>
      <c r="I1119" s="55">
        <v>1</v>
      </c>
      <c r="J1119" s="55"/>
      <c r="K1119" s="56">
        <f t="shared" si="850"/>
        <v>1</v>
      </c>
      <c r="L1119" s="54"/>
      <c r="M1119" s="55"/>
      <c r="N1119" s="55"/>
      <c r="O1119" s="55"/>
      <c r="P1119" s="56">
        <f t="shared" si="851"/>
        <v>0</v>
      </c>
      <c r="Q1119" s="54"/>
      <c r="R1119" s="55"/>
      <c r="S1119" s="55"/>
      <c r="T1119" s="55"/>
      <c r="U1119" s="56">
        <f t="shared" si="852"/>
        <v>0</v>
      </c>
      <c r="V1119" s="55"/>
      <c r="W1119" s="55"/>
      <c r="X1119" s="55"/>
      <c r="Y1119" s="55"/>
      <c r="Z1119" s="56">
        <f t="shared" si="881"/>
        <v>0</v>
      </c>
      <c r="AA1119" s="56">
        <f t="shared" si="882"/>
        <v>1</v>
      </c>
      <c r="AB1119" s="298">
        <v>45398</v>
      </c>
      <c r="AC1119" s="276" t="s">
        <v>345</v>
      </c>
      <c r="AD1119" s="54"/>
      <c r="AE1119" s="55"/>
      <c r="AF1119" s="55"/>
      <c r="AG1119" s="55"/>
      <c r="AH1119" s="56">
        <f t="shared" si="870"/>
        <v>0</v>
      </c>
      <c r="AI1119" s="54"/>
      <c r="AJ1119" s="55"/>
      <c r="AK1119" s="55"/>
      <c r="AL1119" s="55">
        <v>3</v>
      </c>
      <c r="AM1119" s="56">
        <f t="shared" si="871"/>
        <v>3</v>
      </c>
      <c r="AN1119" s="54"/>
      <c r="AO1119" s="55"/>
      <c r="AP1119" s="55"/>
      <c r="AQ1119" s="55"/>
      <c r="AR1119" s="56">
        <f t="shared" si="872"/>
        <v>0</v>
      </c>
      <c r="AS1119" s="54"/>
      <c r="AT1119" s="55"/>
      <c r="AU1119" s="55"/>
      <c r="AV1119" s="55"/>
      <c r="AW1119" s="56">
        <f t="shared" si="873"/>
        <v>0</v>
      </c>
      <c r="AX1119" s="55"/>
      <c r="AY1119" s="55"/>
      <c r="AZ1119" s="55"/>
      <c r="BA1119" s="55"/>
      <c r="BB1119" s="56">
        <f t="shared" si="874"/>
        <v>0</v>
      </c>
      <c r="BC1119" s="56">
        <f t="shared" ref="BC1119" si="897">AH1119+AM1119+AR1119+AW1119+BB1119</f>
        <v>3</v>
      </c>
      <c r="BD1119" s="298">
        <v>45404</v>
      </c>
      <c r="BE1119" s="277"/>
      <c r="BF1119" s="54"/>
      <c r="BG1119" s="55"/>
      <c r="BH1119" s="55"/>
      <c r="BI1119" s="55"/>
      <c r="BJ1119" s="56">
        <f t="shared" si="876"/>
        <v>0</v>
      </c>
      <c r="BL1119" s="277"/>
      <c r="BM1119" s="54"/>
      <c r="BN1119" s="55"/>
      <c r="BO1119" s="55"/>
      <c r="BP1119" s="55"/>
      <c r="BQ1119" s="56">
        <f t="shared" si="877"/>
        <v>0</v>
      </c>
    </row>
    <row r="1120" spans="1:73" x14ac:dyDescent="0.15">
      <c r="A1120" s="53" t="s">
        <v>98</v>
      </c>
      <c r="B1120" s="54"/>
      <c r="C1120" s="55"/>
      <c r="D1120" s="55"/>
      <c r="E1120" s="55"/>
      <c r="F1120" s="56">
        <f t="shared" si="880"/>
        <v>0</v>
      </c>
      <c r="G1120" s="54"/>
      <c r="H1120" s="55"/>
      <c r="I1120" s="55">
        <v>1</v>
      </c>
      <c r="J1120" s="55"/>
      <c r="K1120" s="56">
        <f t="shared" si="850"/>
        <v>1</v>
      </c>
      <c r="L1120" s="54"/>
      <c r="M1120" s="55"/>
      <c r="N1120" s="55"/>
      <c r="O1120" s="55"/>
      <c r="P1120" s="56">
        <f t="shared" si="851"/>
        <v>0</v>
      </c>
      <c r="Q1120" s="54"/>
      <c r="R1120" s="55"/>
      <c r="S1120" s="55"/>
      <c r="T1120" s="55"/>
      <c r="U1120" s="56">
        <f t="shared" si="852"/>
        <v>0</v>
      </c>
      <c r="V1120" s="55"/>
      <c r="W1120" s="55">
        <v>1</v>
      </c>
      <c r="X1120" s="55"/>
      <c r="Y1120" s="55"/>
      <c r="Z1120" s="56">
        <f t="shared" si="881"/>
        <v>1</v>
      </c>
      <c r="AA1120" s="56">
        <f t="shared" si="882"/>
        <v>2</v>
      </c>
      <c r="AB1120" s="298">
        <v>45404</v>
      </c>
      <c r="AC1120" s="276" t="s">
        <v>99</v>
      </c>
      <c r="AD1120" s="54"/>
      <c r="AE1120" s="55"/>
      <c r="AF1120" s="55"/>
      <c r="AG1120" s="55"/>
      <c r="AH1120" s="56">
        <f t="shared" ref="AH1120:AH1130" si="898">SUM(AD1120:AG1120)</f>
        <v>0</v>
      </c>
      <c r="AI1120" s="54"/>
      <c r="AJ1120" s="55"/>
      <c r="AK1120" s="55"/>
      <c r="AL1120" s="55"/>
      <c r="AM1120" s="56">
        <f t="shared" ref="AM1120:AM1130" si="899">SUM(AI1120:AL1120)</f>
        <v>0</v>
      </c>
      <c r="AN1120" s="54">
        <v>3</v>
      </c>
      <c r="AO1120" s="55">
        <v>3</v>
      </c>
      <c r="AP1120" s="55"/>
      <c r="AQ1120" s="55"/>
      <c r="AR1120" s="56">
        <f t="shared" ref="AR1120:AR1130" si="900">SUM(AN1120:AQ1120)</f>
        <v>6</v>
      </c>
      <c r="AS1120" s="54"/>
      <c r="AT1120" s="55"/>
      <c r="AU1120" s="55"/>
      <c r="AV1120" s="55"/>
      <c r="AW1120" s="56">
        <f t="shared" ref="AW1120:AW1130" si="901">SUM(AS1120:AV1120)</f>
        <v>0</v>
      </c>
      <c r="AX1120" s="55"/>
      <c r="AY1120" s="55"/>
      <c r="AZ1120" s="55"/>
      <c r="BA1120" s="55"/>
      <c r="BB1120" s="56">
        <f t="shared" ref="BB1120:BB1129" si="902">SUM(AX1120:BA1120)</f>
        <v>0</v>
      </c>
      <c r="BC1120" s="56">
        <f t="shared" ref="BC1120:BC1132" si="903">AH1120+AM1120+AR1120+AW1120+BB1120</f>
        <v>6</v>
      </c>
      <c r="BD1120" s="298">
        <v>45398</v>
      </c>
      <c r="BE1120" s="276"/>
      <c r="BF1120" s="54"/>
      <c r="BG1120" s="55"/>
      <c r="BH1120" s="55"/>
      <c r="BI1120" s="55"/>
      <c r="BJ1120" s="56">
        <f t="shared" si="876"/>
        <v>0</v>
      </c>
      <c r="BL1120" s="276"/>
      <c r="BM1120" s="54"/>
      <c r="BN1120" s="55"/>
      <c r="BO1120" s="55"/>
      <c r="BP1120" s="55"/>
      <c r="BQ1120" s="56">
        <f t="shared" si="877"/>
        <v>0</v>
      </c>
    </row>
    <row r="1121" spans="1:69" x14ac:dyDescent="0.15">
      <c r="A1121" s="53" t="s">
        <v>98</v>
      </c>
      <c r="B1121" s="54"/>
      <c r="C1121" s="55"/>
      <c r="D1121" s="55"/>
      <c r="E1121" s="55"/>
      <c r="F1121" s="56">
        <f t="shared" si="880"/>
        <v>0</v>
      </c>
      <c r="G1121" s="54"/>
      <c r="H1121" s="55">
        <v>1</v>
      </c>
      <c r="I1121" s="55"/>
      <c r="J1121" s="55"/>
      <c r="K1121" s="56">
        <f t="shared" si="850"/>
        <v>1</v>
      </c>
      <c r="L1121" s="54"/>
      <c r="M1121" s="55"/>
      <c r="N1121" s="55"/>
      <c r="O1121" s="55"/>
      <c r="P1121" s="56">
        <f t="shared" si="851"/>
        <v>0</v>
      </c>
      <c r="Q1121" s="54"/>
      <c r="R1121" s="55"/>
      <c r="S1121" s="55">
        <v>1</v>
      </c>
      <c r="T1121" s="55"/>
      <c r="U1121" s="56">
        <f t="shared" si="852"/>
        <v>1</v>
      </c>
      <c r="V1121" s="55"/>
      <c r="W1121" s="55"/>
      <c r="X1121" s="55"/>
      <c r="Y1121" s="55"/>
      <c r="Z1121" s="56">
        <f t="shared" si="881"/>
        <v>0</v>
      </c>
      <c r="AA1121" s="56">
        <f t="shared" si="882"/>
        <v>2</v>
      </c>
      <c r="AB1121" s="298">
        <v>45405</v>
      </c>
      <c r="AC1121" s="276" t="s">
        <v>578</v>
      </c>
      <c r="AD1121" s="54"/>
      <c r="AE1121" s="55">
        <v>1</v>
      </c>
      <c r="AF1121" s="55"/>
      <c r="AG1121" s="55"/>
      <c r="AH1121" s="56">
        <f t="shared" si="898"/>
        <v>1</v>
      </c>
      <c r="AI1121" s="54"/>
      <c r="AJ1121" s="55">
        <v>1</v>
      </c>
      <c r="AK1121" s="55">
        <v>3</v>
      </c>
      <c r="AL1121" s="55"/>
      <c r="AM1121" s="56">
        <f t="shared" si="899"/>
        <v>4</v>
      </c>
      <c r="AN1121" s="54"/>
      <c r="AO1121" s="55"/>
      <c r="AP1121" s="55"/>
      <c r="AQ1121" s="55"/>
      <c r="AR1121" s="56">
        <f t="shared" si="900"/>
        <v>0</v>
      </c>
      <c r="AS1121" s="54"/>
      <c r="AT1121" s="55"/>
      <c r="AU1121" s="55"/>
      <c r="AV1121" s="55"/>
      <c r="AW1121" s="56">
        <f t="shared" si="901"/>
        <v>0</v>
      </c>
      <c r="AX1121" s="55"/>
      <c r="AY1121" s="55"/>
      <c r="AZ1121" s="55"/>
      <c r="BA1121" s="55"/>
      <c r="BB1121" s="56">
        <f t="shared" si="902"/>
        <v>0</v>
      </c>
      <c r="BC1121" s="56">
        <f t="shared" si="903"/>
        <v>5</v>
      </c>
      <c r="BD1121" s="298">
        <v>45404</v>
      </c>
      <c r="BE1121" s="277"/>
      <c r="BF1121" s="55"/>
      <c r="BG1121" s="55"/>
      <c r="BH1121" s="55"/>
      <c r="BI1121" s="166"/>
      <c r="BJ1121" s="49">
        <f t="shared" si="876"/>
        <v>0</v>
      </c>
      <c r="BL1121" s="277"/>
      <c r="BM1121" s="55"/>
      <c r="BN1121" s="55"/>
      <c r="BO1121" s="55"/>
      <c r="BP1121" s="166"/>
      <c r="BQ1121" s="49">
        <f t="shared" si="877"/>
        <v>0</v>
      </c>
    </row>
    <row r="1122" spans="1:69" x14ac:dyDescent="0.15">
      <c r="A1122" s="53" t="s">
        <v>98</v>
      </c>
      <c r="B1122" s="54"/>
      <c r="C1122" s="55"/>
      <c r="D1122" s="55"/>
      <c r="E1122" s="55"/>
      <c r="F1122" s="56">
        <f t="shared" si="880"/>
        <v>0</v>
      </c>
      <c r="G1122" s="54"/>
      <c r="H1122" s="55"/>
      <c r="I1122" s="55"/>
      <c r="J1122" s="55"/>
      <c r="K1122" s="56">
        <f t="shared" si="850"/>
        <v>0</v>
      </c>
      <c r="L1122" s="54"/>
      <c r="M1122" s="55">
        <v>1</v>
      </c>
      <c r="N1122" s="55"/>
      <c r="O1122" s="55"/>
      <c r="P1122" s="56">
        <f t="shared" si="851"/>
        <v>1</v>
      </c>
      <c r="Q1122" s="54"/>
      <c r="R1122" s="55"/>
      <c r="S1122" s="55"/>
      <c r="T1122" s="55"/>
      <c r="U1122" s="56">
        <f t="shared" si="852"/>
        <v>0</v>
      </c>
      <c r="V1122" s="55"/>
      <c r="W1122" s="55"/>
      <c r="X1122" s="55"/>
      <c r="Y1122" s="55"/>
      <c r="Z1122" s="56">
        <f t="shared" si="881"/>
        <v>0</v>
      </c>
      <c r="AA1122" s="56">
        <f t="shared" si="882"/>
        <v>1</v>
      </c>
      <c r="AB1122" s="298">
        <v>45407</v>
      </c>
      <c r="AC1122" s="276" t="s">
        <v>579</v>
      </c>
      <c r="AD1122" s="54"/>
      <c r="AE1122" s="55"/>
      <c r="AF1122" s="55"/>
      <c r="AG1122" s="55"/>
      <c r="AH1122" s="56">
        <f t="shared" si="898"/>
        <v>0</v>
      </c>
      <c r="AI1122" s="54"/>
      <c r="AJ1122" s="55"/>
      <c r="AK1122" s="55"/>
      <c r="AL1122" s="55"/>
      <c r="AM1122" s="56">
        <f t="shared" si="899"/>
        <v>0</v>
      </c>
      <c r="AN1122" s="54"/>
      <c r="AO1122" s="55"/>
      <c r="AP1122" s="55"/>
      <c r="AQ1122" s="55"/>
      <c r="AR1122" s="56">
        <f t="shared" si="900"/>
        <v>0</v>
      </c>
      <c r="AS1122" s="54"/>
      <c r="AT1122" s="55">
        <v>1</v>
      </c>
      <c r="AU1122" s="55"/>
      <c r="AV1122" s="55"/>
      <c r="AW1122" s="56">
        <f t="shared" si="901"/>
        <v>1</v>
      </c>
      <c r="AX1122" s="55"/>
      <c r="AY1122" s="55"/>
      <c r="AZ1122" s="55"/>
      <c r="BA1122" s="55"/>
      <c r="BB1122" s="56">
        <f t="shared" si="902"/>
        <v>0</v>
      </c>
      <c r="BC1122" s="56">
        <f t="shared" si="903"/>
        <v>1</v>
      </c>
      <c r="BD1122" s="298">
        <v>45413</v>
      </c>
      <c r="BE1122" s="277"/>
      <c r="BF1122" s="54"/>
      <c r="BG1122" s="55"/>
      <c r="BH1122" s="55"/>
      <c r="BI1122" s="55"/>
      <c r="BJ1122" s="56">
        <f t="shared" si="876"/>
        <v>0</v>
      </c>
      <c r="BL1122" s="277"/>
      <c r="BM1122" s="54"/>
      <c r="BN1122" s="55"/>
      <c r="BO1122" s="55"/>
      <c r="BP1122" s="55"/>
      <c r="BQ1122" s="56">
        <f t="shared" si="877"/>
        <v>0</v>
      </c>
    </row>
    <row r="1123" spans="1:69" x14ac:dyDescent="0.15">
      <c r="A1123" s="53" t="s">
        <v>98</v>
      </c>
      <c r="B1123" s="54"/>
      <c r="C1123" s="55">
        <v>1</v>
      </c>
      <c r="D1123" s="55"/>
      <c r="E1123" s="55"/>
      <c r="F1123" s="56">
        <f t="shared" si="880"/>
        <v>1</v>
      </c>
      <c r="G1123" s="54"/>
      <c r="H1123" s="55"/>
      <c r="I1123" s="55"/>
      <c r="J1123" s="55"/>
      <c r="K1123" s="56">
        <f t="shared" si="850"/>
        <v>0</v>
      </c>
      <c r="L1123" s="54"/>
      <c r="M1123" s="55"/>
      <c r="N1123" s="55"/>
      <c r="O1123" s="55"/>
      <c r="P1123" s="56">
        <f t="shared" si="851"/>
        <v>0</v>
      </c>
      <c r="Q1123" s="54"/>
      <c r="R1123" s="55"/>
      <c r="S1123" s="55"/>
      <c r="T1123" s="55"/>
      <c r="U1123" s="56">
        <f t="shared" si="852"/>
        <v>0</v>
      </c>
      <c r="V1123" s="55"/>
      <c r="W1123" s="55"/>
      <c r="X1123" s="55"/>
      <c r="Y1123" s="55"/>
      <c r="Z1123" s="56">
        <f t="shared" si="881"/>
        <v>0</v>
      </c>
      <c r="AA1123" s="56">
        <f t="shared" si="882"/>
        <v>1</v>
      </c>
      <c r="AB1123" s="298">
        <v>45408</v>
      </c>
      <c r="AC1123" s="276" t="s">
        <v>580</v>
      </c>
      <c r="AD1123" s="54"/>
      <c r="AE1123" s="55"/>
      <c r="AF1123" s="55"/>
      <c r="AG1123" s="55"/>
      <c r="AH1123" s="56">
        <f t="shared" si="898"/>
        <v>0</v>
      </c>
      <c r="AI1123" s="54"/>
      <c r="AJ1123" s="55"/>
      <c r="AK1123" s="55"/>
      <c r="AL1123" s="55">
        <v>1</v>
      </c>
      <c r="AM1123" s="56">
        <f t="shared" si="899"/>
        <v>1</v>
      </c>
      <c r="AN1123" s="54"/>
      <c r="AO1123" s="55"/>
      <c r="AP1123" s="55"/>
      <c r="AQ1123" s="55"/>
      <c r="AR1123" s="56">
        <f t="shared" si="900"/>
        <v>0</v>
      </c>
      <c r="AS1123" s="54"/>
      <c r="AT1123" s="55"/>
      <c r="AU1123" s="55"/>
      <c r="AV1123" s="55"/>
      <c r="AW1123" s="56">
        <f t="shared" si="901"/>
        <v>0</v>
      </c>
      <c r="AX1123" s="55"/>
      <c r="AY1123" s="55"/>
      <c r="AZ1123" s="55"/>
      <c r="BA1123" s="55"/>
      <c r="BB1123" s="56">
        <f t="shared" si="902"/>
        <v>0</v>
      </c>
      <c r="BC1123" s="56">
        <f t="shared" si="903"/>
        <v>1</v>
      </c>
      <c r="BD1123" s="298">
        <v>45413</v>
      </c>
      <c r="BE1123" s="276"/>
      <c r="BF1123" s="54"/>
      <c r="BG1123" s="55"/>
      <c r="BH1123" s="55"/>
      <c r="BI1123" s="55"/>
      <c r="BJ1123" s="56">
        <f t="shared" si="876"/>
        <v>0</v>
      </c>
      <c r="BL1123" s="276"/>
      <c r="BM1123" s="54"/>
      <c r="BN1123" s="55"/>
      <c r="BO1123" s="55"/>
      <c r="BP1123" s="55"/>
      <c r="BQ1123" s="56">
        <f t="shared" si="877"/>
        <v>0</v>
      </c>
    </row>
    <row r="1124" spans="1:69" x14ac:dyDescent="0.15">
      <c r="A1124" s="53" t="s">
        <v>98</v>
      </c>
      <c r="B1124" s="54"/>
      <c r="C1124" s="55"/>
      <c r="D1124" s="55"/>
      <c r="E1124" s="55"/>
      <c r="F1124" s="56">
        <f t="shared" si="880"/>
        <v>0</v>
      </c>
      <c r="G1124" s="54"/>
      <c r="H1124" s="55"/>
      <c r="I1124" s="55"/>
      <c r="J1124" s="55"/>
      <c r="K1124" s="56">
        <f t="shared" si="850"/>
        <v>0</v>
      </c>
      <c r="L1124" s="54"/>
      <c r="M1124" s="55"/>
      <c r="N1124" s="55">
        <v>1</v>
      </c>
      <c r="O1124" s="55"/>
      <c r="P1124" s="56">
        <f t="shared" si="851"/>
        <v>1</v>
      </c>
      <c r="Q1124" s="54"/>
      <c r="R1124" s="55"/>
      <c r="S1124" s="55"/>
      <c r="T1124" s="55">
        <v>1</v>
      </c>
      <c r="U1124" s="56">
        <f t="shared" si="852"/>
        <v>1</v>
      </c>
      <c r="V1124" s="55"/>
      <c r="W1124" s="55"/>
      <c r="X1124" s="55"/>
      <c r="Y1124" s="55"/>
      <c r="Z1124" s="56">
        <f t="shared" si="881"/>
        <v>0</v>
      </c>
      <c r="AA1124" s="56">
        <f t="shared" si="882"/>
        <v>2</v>
      </c>
      <c r="AB1124" s="298">
        <v>45412</v>
      </c>
      <c r="AC1124" s="276" t="s">
        <v>99</v>
      </c>
      <c r="AD1124" s="54"/>
      <c r="AE1124" s="55"/>
      <c r="AF1124" s="55"/>
      <c r="AG1124" s="55"/>
      <c r="AH1124" s="56">
        <f t="shared" si="898"/>
        <v>0</v>
      </c>
      <c r="AI1124" s="54"/>
      <c r="AJ1124" s="55"/>
      <c r="AK1124" s="55"/>
      <c r="AL1124" s="55"/>
      <c r="AM1124" s="56">
        <f t="shared" ref="AM1124" si="904">SUM(AI1124:AL1124)</f>
        <v>0</v>
      </c>
      <c r="AN1124" s="54"/>
      <c r="AO1124" s="55"/>
      <c r="AP1124" s="55"/>
      <c r="AQ1124" s="55"/>
      <c r="AR1124" s="56">
        <f t="shared" ref="AR1124" si="905">SUM(AN1124:AQ1124)</f>
        <v>0</v>
      </c>
      <c r="AS1124" s="54"/>
      <c r="AT1124" s="55"/>
      <c r="AU1124" s="55">
        <v>2</v>
      </c>
      <c r="AV1124" s="55"/>
      <c r="AW1124" s="56">
        <f t="shared" ref="AW1124" si="906">SUM(AS1124:AV1124)</f>
        <v>2</v>
      </c>
      <c r="AX1124" s="55"/>
      <c r="AY1124" s="55"/>
      <c r="AZ1124" s="55"/>
      <c r="BA1124" s="55"/>
      <c r="BB1124" s="56">
        <f t="shared" ref="BB1124" si="907">SUM(AX1124:BA1124)</f>
        <v>0</v>
      </c>
      <c r="BC1124" s="56">
        <f t="shared" si="903"/>
        <v>2</v>
      </c>
      <c r="BD1124" s="298">
        <v>45412</v>
      </c>
      <c r="BE1124" s="276"/>
      <c r="BF1124" s="63"/>
      <c r="BG1124" s="63"/>
      <c r="BH1124" s="63"/>
      <c r="BI1124" s="167"/>
      <c r="BJ1124" s="64">
        <f t="shared" si="876"/>
        <v>0</v>
      </c>
      <c r="BL1124" s="276"/>
      <c r="BM1124" s="63"/>
      <c r="BN1124" s="63"/>
      <c r="BO1124" s="63"/>
      <c r="BP1124" s="167"/>
      <c r="BQ1124" s="64">
        <f t="shared" si="877"/>
        <v>0</v>
      </c>
    </row>
    <row r="1125" spans="1:69" x14ac:dyDescent="0.15">
      <c r="A1125" s="53" t="s">
        <v>98</v>
      </c>
      <c r="B1125" s="54"/>
      <c r="C1125" s="55"/>
      <c r="D1125" s="55"/>
      <c r="E1125" s="55"/>
      <c r="F1125" s="56">
        <f t="shared" si="880"/>
        <v>0</v>
      </c>
      <c r="G1125" s="54"/>
      <c r="H1125" s="55"/>
      <c r="I1125" s="55"/>
      <c r="J1125" s="55"/>
      <c r="K1125" s="56">
        <f t="shared" si="850"/>
        <v>0</v>
      </c>
      <c r="L1125" s="54"/>
      <c r="M1125" s="55"/>
      <c r="N1125" s="55"/>
      <c r="O1125" s="55"/>
      <c r="P1125" s="56">
        <f t="shared" si="851"/>
        <v>0</v>
      </c>
      <c r="Q1125" s="54"/>
      <c r="R1125" s="55"/>
      <c r="S1125" s="55"/>
      <c r="T1125" s="55">
        <v>1</v>
      </c>
      <c r="U1125" s="56">
        <f t="shared" si="852"/>
        <v>1</v>
      </c>
      <c r="V1125" s="55"/>
      <c r="W1125" s="55"/>
      <c r="X1125" s="55"/>
      <c r="Y1125" s="55"/>
      <c r="Z1125" s="56">
        <f t="shared" si="881"/>
        <v>0</v>
      </c>
      <c r="AA1125" s="56">
        <f t="shared" si="882"/>
        <v>1</v>
      </c>
      <c r="AB1125" s="298">
        <v>45413</v>
      </c>
      <c r="AC1125" s="276" t="s">
        <v>581</v>
      </c>
      <c r="AD1125" s="54"/>
      <c r="AE1125" s="55"/>
      <c r="AF1125" s="55"/>
      <c r="AG1125" s="55"/>
      <c r="AH1125" s="56">
        <f t="shared" si="898"/>
        <v>0</v>
      </c>
      <c r="AI1125" s="54"/>
      <c r="AJ1125" s="55"/>
      <c r="AK1125" s="55"/>
      <c r="AL1125" s="55">
        <v>1</v>
      </c>
      <c r="AM1125" s="56">
        <f t="shared" si="899"/>
        <v>1</v>
      </c>
      <c r="AN1125" s="54"/>
      <c r="AO1125" s="55"/>
      <c r="AP1125" s="55"/>
      <c r="AQ1125" s="55"/>
      <c r="AR1125" s="56">
        <f t="shared" si="900"/>
        <v>0</v>
      </c>
      <c r="AS1125" s="54"/>
      <c r="AT1125" s="55"/>
      <c r="AU1125" s="55"/>
      <c r="AV1125" s="55">
        <v>1</v>
      </c>
      <c r="AW1125" s="56">
        <f t="shared" si="901"/>
        <v>1</v>
      </c>
      <c r="AX1125" s="55"/>
      <c r="AY1125" s="55"/>
      <c r="AZ1125" s="55"/>
      <c r="BA1125" s="55"/>
      <c r="BB1125" s="56">
        <f t="shared" si="902"/>
        <v>0</v>
      </c>
      <c r="BC1125" s="56">
        <f t="shared" si="903"/>
        <v>2</v>
      </c>
      <c r="BD1125" s="298">
        <v>45420</v>
      </c>
      <c r="BE1125" s="277"/>
      <c r="BF1125" s="54"/>
      <c r="BG1125" s="55"/>
      <c r="BH1125" s="55"/>
      <c r="BI1125" s="55"/>
      <c r="BJ1125" s="56">
        <f t="shared" si="876"/>
        <v>0</v>
      </c>
      <c r="BL1125" s="277"/>
      <c r="BM1125" s="54"/>
      <c r="BN1125" s="55"/>
      <c r="BO1125" s="55"/>
      <c r="BP1125" s="55"/>
      <c r="BQ1125" s="56">
        <f t="shared" si="877"/>
        <v>0</v>
      </c>
    </row>
    <row r="1126" spans="1:69" x14ac:dyDescent="0.15">
      <c r="A1126" s="53" t="s">
        <v>98</v>
      </c>
      <c r="B1126" s="54"/>
      <c r="C1126" s="55"/>
      <c r="D1126" s="55"/>
      <c r="E1126" s="55"/>
      <c r="F1126" s="56">
        <f t="shared" si="880"/>
        <v>0</v>
      </c>
      <c r="G1126" s="54"/>
      <c r="H1126" s="55"/>
      <c r="I1126" s="55"/>
      <c r="J1126" s="55"/>
      <c r="K1126" s="56">
        <f t="shared" si="850"/>
        <v>0</v>
      </c>
      <c r="L1126" s="54"/>
      <c r="M1126" s="55"/>
      <c r="N1126" s="55"/>
      <c r="O1126" s="55"/>
      <c r="P1126" s="56">
        <f t="shared" si="851"/>
        <v>0</v>
      </c>
      <c r="Q1126" s="54"/>
      <c r="R1126" s="55"/>
      <c r="S1126" s="55">
        <v>1</v>
      </c>
      <c r="T1126" s="55"/>
      <c r="U1126" s="56">
        <f t="shared" si="852"/>
        <v>1</v>
      </c>
      <c r="V1126" s="55"/>
      <c r="W1126" s="55"/>
      <c r="X1126" s="55">
        <v>1</v>
      </c>
      <c r="Y1126" s="55"/>
      <c r="Z1126" s="56">
        <f t="shared" si="881"/>
        <v>1</v>
      </c>
      <c r="AA1126" s="56">
        <f t="shared" si="882"/>
        <v>2</v>
      </c>
      <c r="AB1126" s="298">
        <v>45414</v>
      </c>
      <c r="AC1126" s="276" t="s">
        <v>582</v>
      </c>
      <c r="AD1126" s="54"/>
      <c r="AE1126" s="55"/>
      <c r="AF1126" s="55"/>
      <c r="AG1126" s="55"/>
      <c r="AH1126" s="56">
        <f t="shared" si="898"/>
        <v>0</v>
      </c>
      <c r="AI1126" s="54"/>
      <c r="AJ1126" s="55">
        <v>3</v>
      </c>
      <c r="AK1126" s="55"/>
      <c r="AL1126" s="55"/>
      <c r="AM1126" s="56">
        <f t="shared" si="899"/>
        <v>3</v>
      </c>
      <c r="AN1126" s="54"/>
      <c r="AO1126" s="55"/>
      <c r="AP1126" s="55"/>
      <c r="AQ1126" s="55"/>
      <c r="AR1126" s="56">
        <f t="shared" si="900"/>
        <v>0</v>
      </c>
      <c r="AS1126" s="54"/>
      <c r="AT1126" s="55"/>
      <c r="AU1126" s="55"/>
      <c r="AV1126" s="55">
        <v>1</v>
      </c>
      <c r="AW1126" s="56">
        <f t="shared" si="901"/>
        <v>1</v>
      </c>
      <c r="AX1126" s="55"/>
      <c r="AY1126" s="55"/>
      <c r="AZ1126" s="55"/>
      <c r="BA1126" s="55"/>
      <c r="BB1126" s="56">
        <f t="shared" si="902"/>
        <v>0</v>
      </c>
      <c r="BC1126" s="56">
        <f t="shared" si="903"/>
        <v>4</v>
      </c>
      <c r="BD1126" s="298">
        <v>45420</v>
      </c>
      <c r="BE1126" s="276"/>
      <c r="BF1126" s="54"/>
      <c r="BG1126" s="55"/>
      <c r="BH1126" s="55"/>
      <c r="BI1126" s="55"/>
      <c r="BJ1126" s="56">
        <f t="shared" si="876"/>
        <v>0</v>
      </c>
      <c r="BL1126" s="276"/>
      <c r="BM1126" s="54"/>
      <c r="BN1126" s="55"/>
      <c r="BO1126" s="55"/>
      <c r="BP1126" s="55"/>
      <c r="BQ1126" s="56">
        <f t="shared" si="877"/>
        <v>0</v>
      </c>
    </row>
    <row r="1127" spans="1:69" x14ac:dyDescent="0.15">
      <c r="A1127" s="53" t="s">
        <v>121</v>
      </c>
      <c r="B1127" s="54"/>
      <c r="C1127" s="55"/>
      <c r="D1127" s="55"/>
      <c r="E1127" s="55"/>
      <c r="F1127" s="56">
        <f t="shared" si="880"/>
        <v>0</v>
      </c>
      <c r="G1127" s="54"/>
      <c r="H1127" s="55"/>
      <c r="I1127" s="55"/>
      <c r="J1127" s="55"/>
      <c r="K1127" s="56">
        <f t="shared" si="850"/>
        <v>0</v>
      </c>
      <c r="L1127" s="54"/>
      <c r="M1127" s="55"/>
      <c r="N1127" s="55"/>
      <c r="O1127" s="55"/>
      <c r="P1127" s="56">
        <f t="shared" si="851"/>
        <v>0</v>
      </c>
      <c r="Q1127" s="54"/>
      <c r="R1127" s="55"/>
      <c r="S1127" s="55"/>
      <c r="T1127" s="55">
        <v>-1</v>
      </c>
      <c r="U1127" s="56">
        <f t="shared" si="852"/>
        <v>-1</v>
      </c>
      <c r="V1127" s="55"/>
      <c r="W1127" s="55"/>
      <c r="X1127" s="55"/>
      <c r="Y1127" s="55"/>
      <c r="Z1127" s="56">
        <f t="shared" si="881"/>
        <v>0</v>
      </c>
      <c r="AA1127" s="56">
        <f t="shared" si="882"/>
        <v>-1</v>
      </c>
      <c r="AB1127" s="298">
        <v>45419</v>
      </c>
      <c r="AC1127" s="276" t="s">
        <v>361</v>
      </c>
      <c r="AD1127" s="54"/>
      <c r="AE1127" s="55"/>
      <c r="AF1127" s="55"/>
      <c r="AG1127" s="55"/>
      <c r="AH1127" s="56">
        <f t="shared" si="898"/>
        <v>0</v>
      </c>
      <c r="AI1127" s="54"/>
      <c r="AJ1127" s="55"/>
      <c r="AK1127" s="55"/>
      <c r="AL1127" s="55"/>
      <c r="AM1127" s="56">
        <f t="shared" si="899"/>
        <v>0</v>
      </c>
      <c r="AN1127" s="54"/>
      <c r="AO1127" s="55"/>
      <c r="AP1127" s="55"/>
      <c r="AQ1127" s="55"/>
      <c r="AR1127" s="56">
        <f t="shared" si="900"/>
        <v>0</v>
      </c>
      <c r="AS1127" s="54"/>
      <c r="AT1127" s="55"/>
      <c r="AU1127" s="55"/>
      <c r="AV1127" s="55"/>
      <c r="AW1127" s="56">
        <f t="shared" si="901"/>
        <v>0</v>
      </c>
      <c r="AX1127" s="55"/>
      <c r="AY1127" s="55">
        <v>2</v>
      </c>
      <c r="AZ1127" s="55"/>
      <c r="BA1127" s="55"/>
      <c r="BB1127" s="56">
        <f t="shared" si="902"/>
        <v>2</v>
      </c>
      <c r="BC1127" s="56">
        <f t="shared" si="903"/>
        <v>2</v>
      </c>
      <c r="BD1127" s="298">
        <v>45421</v>
      </c>
      <c r="BE1127" s="277"/>
      <c r="BF1127" s="54"/>
      <c r="BG1127" s="55"/>
      <c r="BH1127" s="55"/>
      <c r="BI1127" s="55"/>
      <c r="BJ1127" s="56">
        <f t="shared" si="876"/>
        <v>0</v>
      </c>
      <c r="BL1127" s="277"/>
      <c r="BM1127" s="54"/>
      <c r="BN1127" s="55"/>
      <c r="BO1127" s="55"/>
      <c r="BP1127" s="55"/>
      <c r="BQ1127" s="56">
        <f t="shared" si="877"/>
        <v>0</v>
      </c>
    </row>
    <row r="1128" spans="1:69" x14ac:dyDescent="0.15">
      <c r="A1128" s="53" t="s">
        <v>98</v>
      </c>
      <c r="B1128" s="54"/>
      <c r="C1128" s="55"/>
      <c r="D1128" s="55"/>
      <c r="E1128" s="55"/>
      <c r="F1128" s="56">
        <f t="shared" si="880"/>
        <v>0</v>
      </c>
      <c r="G1128" s="54"/>
      <c r="H1128" s="55"/>
      <c r="I1128" s="55"/>
      <c r="J1128" s="55"/>
      <c r="K1128" s="56">
        <f t="shared" si="850"/>
        <v>0</v>
      </c>
      <c r="L1128" s="54"/>
      <c r="M1128" s="55"/>
      <c r="N1128" s="55"/>
      <c r="O1128" s="55"/>
      <c r="P1128" s="56">
        <f t="shared" si="851"/>
        <v>0</v>
      </c>
      <c r="Q1128" s="54"/>
      <c r="R1128" s="55"/>
      <c r="S1128" s="55"/>
      <c r="T1128" s="55"/>
      <c r="U1128" s="56">
        <f t="shared" si="852"/>
        <v>0</v>
      </c>
      <c r="V1128" s="55"/>
      <c r="W1128" s="55"/>
      <c r="X1128" s="55">
        <v>1</v>
      </c>
      <c r="Y1128" s="55"/>
      <c r="Z1128" s="56">
        <f t="shared" si="881"/>
        <v>1</v>
      </c>
      <c r="AA1128" s="56">
        <f t="shared" si="882"/>
        <v>1</v>
      </c>
      <c r="AB1128" s="298">
        <v>45420</v>
      </c>
      <c r="AC1128" s="276" t="s">
        <v>583</v>
      </c>
      <c r="AD1128" s="54"/>
      <c r="AE1128" s="55">
        <v>1</v>
      </c>
      <c r="AF1128" s="55"/>
      <c r="AG1128" s="55"/>
      <c r="AH1128" s="56">
        <f t="shared" si="898"/>
        <v>1</v>
      </c>
      <c r="AI1128" s="54">
        <v>1</v>
      </c>
      <c r="AJ1128" s="55">
        <v>1</v>
      </c>
      <c r="AK1128" s="55">
        <v>1</v>
      </c>
      <c r="AL1128" s="55"/>
      <c r="AM1128" s="56">
        <f t="shared" si="899"/>
        <v>3</v>
      </c>
      <c r="AN1128" s="54"/>
      <c r="AO1128" s="55"/>
      <c r="AP1128" s="55"/>
      <c r="AQ1128" s="55"/>
      <c r="AR1128" s="56">
        <f t="shared" si="900"/>
        <v>0</v>
      </c>
      <c r="AS1128" s="54"/>
      <c r="AT1128" s="55"/>
      <c r="AU1128" s="55"/>
      <c r="AV1128" s="55"/>
      <c r="AW1128" s="56">
        <f t="shared" si="901"/>
        <v>0</v>
      </c>
      <c r="AX1128" s="55"/>
      <c r="AY1128" s="55"/>
      <c r="AZ1128" s="55"/>
      <c r="BA1128" s="55"/>
      <c r="BB1128" s="56">
        <f t="shared" si="902"/>
        <v>0</v>
      </c>
      <c r="BC1128" s="56">
        <f t="shared" si="903"/>
        <v>4</v>
      </c>
      <c r="BD1128" s="298">
        <v>45426</v>
      </c>
      <c r="BE1128" s="268"/>
      <c r="BF1128" s="62"/>
      <c r="BG1128" s="63"/>
      <c r="BH1128" s="63"/>
      <c r="BI1128" s="63"/>
      <c r="BJ1128" s="56">
        <f t="shared" si="876"/>
        <v>0</v>
      </c>
      <c r="BL1128" s="268"/>
      <c r="BM1128" s="62"/>
      <c r="BN1128" s="63"/>
      <c r="BO1128" s="63"/>
      <c r="BP1128" s="63"/>
      <c r="BQ1128" s="56">
        <f t="shared" si="877"/>
        <v>0</v>
      </c>
    </row>
    <row r="1129" spans="1:69" x14ac:dyDescent="0.15">
      <c r="A1129" s="53" t="s">
        <v>98</v>
      </c>
      <c r="B1129" s="54"/>
      <c r="C1129" s="55"/>
      <c r="D1129" s="55"/>
      <c r="E1129" s="55"/>
      <c r="F1129" s="56">
        <f t="shared" si="880"/>
        <v>0</v>
      </c>
      <c r="G1129" s="54"/>
      <c r="H1129" s="55"/>
      <c r="I1129" s="55"/>
      <c r="J1129" s="55"/>
      <c r="K1129" s="56">
        <f t="shared" si="850"/>
        <v>0</v>
      </c>
      <c r="L1129" s="54"/>
      <c r="M1129" s="55"/>
      <c r="N1129" s="55"/>
      <c r="O1129" s="55"/>
      <c r="P1129" s="56">
        <f t="shared" si="851"/>
        <v>0</v>
      </c>
      <c r="Q1129" s="54"/>
      <c r="R1129" s="55"/>
      <c r="S1129" s="55"/>
      <c r="T1129" s="55">
        <v>1</v>
      </c>
      <c r="U1129" s="56">
        <f t="shared" si="852"/>
        <v>1</v>
      </c>
      <c r="V1129" s="55"/>
      <c r="W1129" s="55"/>
      <c r="X1129" s="55"/>
      <c r="Y1129" s="55"/>
      <c r="Z1129" s="56">
        <f t="shared" si="881"/>
        <v>0</v>
      </c>
      <c r="AA1129" s="56">
        <f t="shared" si="882"/>
        <v>1</v>
      </c>
      <c r="AB1129" s="298">
        <v>45421</v>
      </c>
      <c r="AC1129" s="276" t="s">
        <v>584</v>
      </c>
      <c r="AD1129" s="54"/>
      <c r="AE1129" s="55">
        <v>1</v>
      </c>
      <c r="AF1129" s="55"/>
      <c r="AG1129" s="55"/>
      <c r="AH1129" s="56">
        <f t="shared" si="898"/>
        <v>1</v>
      </c>
      <c r="AI1129" s="54">
        <v>1</v>
      </c>
      <c r="AJ1129" s="55"/>
      <c r="AK1129" s="55"/>
      <c r="AL1129" s="55"/>
      <c r="AM1129" s="56">
        <f t="shared" si="899"/>
        <v>1</v>
      </c>
      <c r="AN1129" s="54"/>
      <c r="AO1129" s="55"/>
      <c r="AP1129" s="55"/>
      <c r="AQ1129" s="55"/>
      <c r="AR1129" s="56">
        <f t="shared" si="900"/>
        <v>0</v>
      </c>
      <c r="AS1129" s="54"/>
      <c r="AT1129" s="55">
        <v>2</v>
      </c>
      <c r="AU1129" s="55"/>
      <c r="AV1129" s="55"/>
      <c r="AW1129" s="56">
        <f t="shared" si="901"/>
        <v>2</v>
      </c>
      <c r="AX1129" s="55"/>
      <c r="AY1129" s="55"/>
      <c r="AZ1129" s="55"/>
      <c r="BA1129" s="55"/>
      <c r="BB1129" s="56">
        <f t="shared" si="902"/>
        <v>0</v>
      </c>
      <c r="BC1129" s="56">
        <f t="shared" si="903"/>
        <v>4</v>
      </c>
      <c r="BD1129" s="298">
        <v>45426</v>
      </c>
      <c r="BE1129" s="268"/>
      <c r="BF1129" s="54"/>
      <c r="BG1129" s="55"/>
      <c r="BH1129" s="55"/>
      <c r="BI1129" s="55"/>
      <c r="BJ1129" s="56">
        <f t="shared" si="876"/>
        <v>0</v>
      </c>
      <c r="BL1129" s="268"/>
      <c r="BM1129" s="54"/>
      <c r="BN1129" s="55"/>
      <c r="BO1129" s="55"/>
      <c r="BP1129" s="55"/>
      <c r="BQ1129" s="56">
        <f t="shared" si="877"/>
        <v>0</v>
      </c>
    </row>
    <row r="1130" spans="1:69" x14ac:dyDescent="0.15">
      <c r="A1130" s="53" t="s">
        <v>98</v>
      </c>
      <c r="B1130" s="54"/>
      <c r="C1130" s="55"/>
      <c r="D1130" s="55"/>
      <c r="E1130" s="55"/>
      <c r="F1130" s="56">
        <f t="shared" si="880"/>
        <v>0</v>
      </c>
      <c r="G1130" s="54"/>
      <c r="H1130" s="55"/>
      <c r="I1130" s="55"/>
      <c r="J1130" s="55"/>
      <c r="K1130" s="56">
        <f t="shared" si="850"/>
        <v>0</v>
      </c>
      <c r="L1130" s="54"/>
      <c r="M1130" s="55"/>
      <c r="N1130" s="55"/>
      <c r="O1130" s="55"/>
      <c r="P1130" s="56">
        <f t="shared" si="851"/>
        <v>0</v>
      </c>
      <c r="Q1130" s="54"/>
      <c r="R1130" s="55"/>
      <c r="S1130" s="55">
        <v>1</v>
      </c>
      <c r="T1130" s="55"/>
      <c r="U1130" s="56">
        <f t="shared" si="852"/>
        <v>1</v>
      </c>
      <c r="V1130" s="55"/>
      <c r="W1130" s="55"/>
      <c r="X1130" s="55"/>
      <c r="Y1130" s="55"/>
      <c r="Z1130" s="56">
        <f t="shared" si="881"/>
        <v>0</v>
      </c>
      <c r="AA1130" s="56">
        <f t="shared" si="882"/>
        <v>1</v>
      </c>
      <c r="AB1130" s="298">
        <v>45422</v>
      </c>
      <c r="AC1130" s="276" t="s">
        <v>99</v>
      </c>
      <c r="AD1130" s="54"/>
      <c r="AE1130" s="55"/>
      <c r="AF1130" s="55"/>
      <c r="AG1130" s="55"/>
      <c r="AH1130" s="56">
        <f t="shared" si="898"/>
        <v>0</v>
      </c>
      <c r="AI1130" s="54"/>
      <c r="AJ1130" s="55"/>
      <c r="AK1130" s="55"/>
      <c r="AL1130" s="55"/>
      <c r="AM1130" s="56">
        <f t="shared" si="899"/>
        <v>0</v>
      </c>
      <c r="AN1130" s="54"/>
      <c r="AO1130" s="55"/>
      <c r="AP1130" s="55"/>
      <c r="AQ1130" s="55"/>
      <c r="AR1130" s="56">
        <f t="shared" si="900"/>
        <v>0</v>
      </c>
      <c r="AS1130" s="54"/>
      <c r="AT1130" s="55"/>
      <c r="AU1130" s="55">
        <v>2</v>
      </c>
      <c r="AV1130" s="55"/>
      <c r="AW1130" s="56">
        <f t="shared" si="901"/>
        <v>2</v>
      </c>
      <c r="AX1130" s="55"/>
      <c r="AY1130" s="55"/>
      <c r="AZ1130" s="55">
        <v>2</v>
      </c>
      <c r="BA1130" s="55"/>
      <c r="BB1130" s="56">
        <f t="shared" ref="BB1130" si="908">SUM(AX1130:BA1130)</f>
        <v>2</v>
      </c>
      <c r="BC1130" s="56">
        <f t="shared" si="903"/>
        <v>4</v>
      </c>
      <c r="BD1130" s="298">
        <v>45423</v>
      </c>
      <c r="BE1130" s="268"/>
      <c r="BF1130" s="62"/>
      <c r="BG1130" s="63"/>
      <c r="BH1130" s="63"/>
      <c r="BI1130" s="63"/>
      <c r="BJ1130" s="56">
        <f t="shared" si="876"/>
        <v>0</v>
      </c>
      <c r="BL1130" s="268"/>
      <c r="BM1130" s="62"/>
      <c r="BN1130" s="63"/>
      <c r="BO1130" s="63"/>
      <c r="BP1130" s="63"/>
      <c r="BQ1130" s="56">
        <f t="shared" si="877"/>
        <v>0</v>
      </c>
    </row>
    <row r="1131" spans="1:69" x14ac:dyDescent="0.15">
      <c r="A1131" s="53" t="s">
        <v>585</v>
      </c>
      <c r="B1131" s="54"/>
      <c r="C1131" s="55"/>
      <c r="D1131" s="55"/>
      <c r="E1131" s="55"/>
      <c r="F1131" s="56">
        <f t="shared" si="878"/>
        <v>0</v>
      </c>
      <c r="G1131" s="54"/>
      <c r="H1131" s="55"/>
      <c r="I1131" s="55"/>
      <c r="J1131" s="55"/>
      <c r="K1131" s="56">
        <f t="shared" ref="K1131:K1134" si="909">SUM(G1131:J1131)</f>
        <v>0</v>
      </c>
      <c r="L1131" s="54"/>
      <c r="M1131" s="55"/>
      <c r="N1131" s="55"/>
      <c r="O1131" s="55"/>
      <c r="P1131" s="56">
        <f t="shared" ref="P1131:P1134" si="910">SUM(L1131:O1131)</f>
        <v>0</v>
      </c>
      <c r="Q1131" s="54"/>
      <c r="R1131" s="55"/>
      <c r="S1131" s="55">
        <v>-2</v>
      </c>
      <c r="T1131" s="55"/>
      <c r="U1131" s="56">
        <f t="shared" ref="U1131:U1134" si="911">SUM(Q1131:T1131)</f>
        <v>-2</v>
      </c>
      <c r="V1131" s="55"/>
      <c r="W1131" s="55"/>
      <c r="X1131" s="55">
        <v>-2</v>
      </c>
      <c r="Y1131" s="55"/>
      <c r="Z1131" s="56">
        <f t="shared" si="853"/>
        <v>-2</v>
      </c>
      <c r="AA1131" s="56">
        <f t="shared" ref="AA1131" si="912">F1131+K1131+P1131+U1131+Z1131</f>
        <v>-4</v>
      </c>
      <c r="AB1131" s="298">
        <v>45423</v>
      </c>
      <c r="AC1131" s="276" t="s">
        <v>99</v>
      </c>
      <c r="AD1131" s="54"/>
      <c r="AE1131" s="55"/>
      <c r="AF1131" s="55"/>
      <c r="AG1131" s="55"/>
      <c r="AH1131" s="56">
        <f t="shared" ref="AH1131" si="913">SUM(AD1131:AG1131)</f>
        <v>0</v>
      </c>
      <c r="AI1131" s="54"/>
      <c r="AJ1131" s="55"/>
      <c r="AK1131" s="55"/>
      <c r="AL1131" s="55"/>
      <c r="AM1131" s="56">
        <f t="shared" ref="AM1131" si="914">SUM(AI1131:AL1131)</f>
        <v>0</v>
      </c>
      <c r="AN1131" s="54"/>
      <c r="AO1131" s="55"/>
      <c r="AP1131" s="55"/>
      <c r="AQ1131" s="55"/>
      <c r="AR1131" s="56">
        <f t="shared" ref="AR1131" si="915">SUM(AN1131:AQ1131)</f>
        <v>0</v>
      </c>
      <c r="AS1131" s="54"/>
      <c r="AT1131" s="55"/>
      <c r="AU1131" s="55"/>
      <c r="AV1131" s="55">
        <v>2</v>
      </c>
      <c r="AW1131" s="56">
        <f t="shared" ref="AW1131" si="916">SUM(AS1131:AV1131)</f>
        <v>2</v>
      </c>
      <c r="AX1131" s="55"/>
      <c r="AY1131" s="55"/>
      <c r="AZ1131" s="55"/>
      <c r="BA1131" s="55"/>
      <c r="BB1131" s="56">
        <f t="shared" ref="BB1131" si="917">SUM(AX1131:BA1131)</f>
        <v>0</v>
      </c>
      <c r="BC1131" s="56">
        <f t="shared" si="903"/>
        <v>2</v>
      </c>
      <c r="BD1131" s="298">
        <v>45427</v>
      </c>
      <c r="BE1131" s="277"/>
      <c r="BF1131" s="54"/>
      <c r="BG1131" s="55"/>
      <c r="BH1131" s="55"/>
      <c r="BI1131" s="55"/>
      <c r="BJ1131" s="56">
        <f t="shared" si="876"/>
        <v>0</v>
      </c>
      <c r="BL1131" s="277"/>
      <c r="BM1131" s="54"/>
      <c r="BN1131" s="55"/>
      <c r="BO1131" s="55"/>
      <c r="BP1131" s="55"/>
      <c r="BQ1131" s="56">
        <f t="shared" si="877"/>
        <v>0</v>
      </c>
    </row>
    <row r="1132" spans="1:69" ht="14.25" thickBot="1" x14ac:dyDescent="0.2">
      <c r="A1132" s="53" t="s">
        <v>98</v>
      </c>
      <c r="B1132" s="33"/>
      <c r="C1132" s="34"/>
      <c r="D1132" s="34"/>
      <c r="E1132" s="34"/>
      <c r="F1132" s="30">
        <f t="shared" si="878"/>
        <v>0</v>
      </c>
      <c r="G1132" s="33"/>
      <c r="H1132" s="34"/>
      <c r="I1132" s="34"/>
      <c r="J1132" s="34"/>
      <c r="K1132" s="30">
        <f t="shared" si="909"/>
        <v>0</v>
      </c>
      <c r="L1132" s="33"/>
      <c r="M1132" s="34"/>
      <c r="N1132" s="34"/>
      <c r="O1132" s="34"/>
      <c r="P1132" s="30">
        <f t="shared" si="910"/>
        <v>0</v>
      </c>
      <c r="Q1132" s="33"/>
      <c r="R1132" s="34"/>
      <c r="S1132" s="34"/>
      <c r="T1132" s="34"/>
      <c r="U1132" s="30">
        <f t="shared" si="911"/>
        <v>0</v>
      </c>
      <c r="V1132" s="34"/>
      <c r="W1132" s="34"/>
      <c r="X1132" s="34"/>
      <c r="Y1132" s="34">
        <v>1</v>
      </c>
      <c r="Z1132" s="30">
        <f t="shared" si="853"/>
        <v>1</v>
      </c>
      <c r="AA1132" s="56">
        <f>F1132+K1132+P1132+U1132+Z1132</f>
        <v>1</v>
      </c>
      <c r="AB1132" s="299">
        <v>45423</v>
      </c>
      <c r="AC1132" s="276" t="s">
        <v>99</v>
      </c>
      <c r="AD1132" s="54"/>
      <c r="AE1132" s="55"/>
      <c r="AF1132" s="55"/>
      <c r="AG1132" s="55"/>
      <c r="AH1132" s="56">
        <f t="shared" ref="AH1132" si="918">SUM(AD1132:AG1132)</f>
        <v>0</v>
      </c>
      <c r="AI1132" s="54"/>
      <c r="AJ1132" s="55"/>
      <c r="AK1132" s="55"/>
      <c r="AL1132" s="55"/>
      <c r="AM1132" s="56">
        <f t="shared" ref="AM1132" si="919">SUM(AI1132:AL1132)</f>
        <v>0</v>
      </c>
      <c r="AN1132" s="54"/>
      <c r="AO1132" s="55">
        <v>2</v>
      </c>
      <c r="AP1132" s="55">
        <v>2</v>
      </c>
      <c r="AQ1132" s="55"/>
      <c r="AR1132" s="56">
        <f t="shared" ref="AR1132" si="920">SUM(AN1132:AQ1132)</f>
        <v>4</v>
      </c>
      <c r="AS1132" s="54"/>
      <c r="AT1132" s="55"/>
      <c r="AU1132" s="55"/>
      <c r="AV1132" s="55"/>
      <c r="AW1132" s="56">
        <f t="shared" ref="AW1132" si="921">SUM(AS1132:AV1132)</f>
        <v>0</v>
      </c>
      <c r="AX1132" s="55"/>
      <c r="AY1132" s="55"/>
      <c r="AZ1132" s="55"/>
      <c r="BA1132" s="55"/>
      <c r="BB1132" s="56">
        <f t="shared" ref="BB1132" si="922">SUM(AX1132:BA1132)</f>
        <v>0</v>
      </c>
      <c r="BC1132" s="56">
        <f t="shared" si="903"/>
        <v>4</v>
      </c>
      <c r="BD1132" s="298">
        <v>45428</v>
      </c>
      <c r="BE1132" s="282"/>
      <c r="BF1132" s="33"/>
      <c r="BG1132" s="34"/>
      <c r="BH1132" s="34"/>
      <c r="BI1132" s="34"/>
      <c r="BJ1132" s="30">
        <f t="shared" si="876"/>
        <v>0</v>
      </c>
      <c r="BL1132" s="282"/>
      <c r="BM1132" s="33"/>
      <c r="BN1132" s="34"/>
      <c r="BO1132" s="34"/>
      <c r="BP1132" s="34"/>
      <c r="BQ1132" s="30">
        <f t="shared" si="877"/>
        <v>0</v>
      </c>
    </row>
    <row r="1133" spans="1:69" ht="15" thickBot="1" x14ac:dyDescent="0.2">
      <c r="A1133" s="9" t="s">
        <v>15</v>
      </c>
      <c r="B1133" s="36">
        <f>SUM(B1107:B1132)</f>
        <v>0</v>
      </c>
      <c r="C1133" s="37">
        <f>SUM(C1107:C1132)</f>
        <v>4</v>
      </c>
      <c r="D1133" s="37">
        <f>SUM(D1107:D1132)</f>
        <v>0</v>
      </c>
      <c r="E1133" s="38">
        <f>SUM(E1107:E1132)</f>
        <v>0</v>
      </c>
      <c r="F1133" s="25">
        <f t="shared" si="878"/>
        <v>4</v>
      </c>
      <c r="G1133" s="36">
        <f>SUM(G1107:G1132)</f>
        <v>0</v>
      </c>
      <c r="H1133" s="37">
        <f>SUM(H1107:H1132)</f>
        <v>1</v>
      </c>
      <c r="I1133" s="37">
        <f>SUM(I1107:I1132)</f>
        <v>3</v>
      </c>
      <c r="J1133" s="38">
        <f>SUM(J1107:J1132)</f>
        <v>0</v>
      </c>
      <c r="K1133" s="25">
        <f t="shared" si="909"/>
        <v>4</v>
      </c>
      <c r="L1133" s="36">
        <f>SUM(L1107:L1132)</f>
        <v>1</v>
      </c>
      <c r="M1133" s="37">
        <f>SUM(M1107:M1132)</f>
        <v>3</v>
      </c>
      <c r="N1133" s="37">
        <f>SUM(N1107:N1132)</f>
        <v>2</v>
      </c>
      <c r="O1133" s="38">
        <f>SUM(O1107:O1132)</f>
        <v>0</v>
      </c>
      <c r="P1133" s="25">
        <f t="shared" si="910"/>
        <v>6</v>
      </c>
      <c r="Q1133" s="36">
        <f>SUM(Q1107:Q1132)</f>
        <v>0</v>
      </c>
      <c r="R1133" s="37">
        <f>SUM(R1107:R1132)</f>
        <v>3</v>
      </c>
      <c r="S1133" s="37">
        <f>SUM(S1107:S1132)</f>
        <v>7</v>
      </c>
      <c r="T1133" s="38">
        <f>SUM(T1107:T1132)</f>
        <v>6</v>
      </c>
      <c r="U1133" s="25">
        <f t="shared" si="911"/>
        <v>16</v>
      </c>
      <c r="V1133" s="322">
        <f>SUM(V1107:V1132)</f>
        <v>0</v>
      </c>
      <c r="W1133" s="37">
        <f>SUM(W1107:W1132)</f>
        <v>1</v>
      </c>
      <c r="X1133" s="37">
        <f>SUM(X1107:X1132)</f>
        <v>0</v>
      </c>
      <c r="Y1133" s="38">
        <f>SUM(Y1107:Y1132)</f>
        <v>1</v>
      </c>
      <c r="Z1133" s="25">
        <f t="shared" si="853"/>
        <v>2</v>
      </c>
      <c r="AA1133" s="161">
        <f>F1133+K1133+P1133+U1133+Z1133</f>
        <v>32</v>
      </c>
      <c r="AC1133" s="278" t="s">
        <v>15</v>
      </c>
      <c r="AD1133" s="36">
        <f>SUM(AD1107:AD1132)</f>
        <v>0</v>
      </c>
      <c r="AE1133" s="37">
        <f>SUM(AE1107:AE1132)</f>
        <v>3</v>
      </c>
      <c r="AF1133" s="37">
        <f>SUM(AF1107:AF1132)</f>
        <v>2</v>
      </c>
      <c r="AG1133" s="38">
        <f>SUM(AG1107:AG1132)</f>
        <v>0</v>
      </c>
      <c r="AH1133" s="25">
        <f t="shared" ref="AH1133:AH1134" si="923">SUM(AD1133:AG1133)</f>
        <v>5</v>
      </c>
      <c r="AI1133" s="36">
        <f>SUM(AI1107:AI1132)</f>
        <v>5</v>
      </c>
      <c r="AJ1133" s="37">
        <f>SUM(AJ1107:AJ1132)</f>
        <v>10</v>
      </c>
      <c r="AK1133" s="37">
        <f>SUM(AK1107:AK1132)</f>
        <v>8</v>
      </c>
      <c r="AL1133" s="38">
        <f>SUM(AL1107:AL1132)</f>
        <v>7</v>
      </c>
      <c r="AM1133" s="25">
        <f t="shared" ref="AM1133:AM1134" si="924">SUM(AI1133:AL1133)</f>
        <v>30</v>
      </c>
      <c r="AN1133" s="36">
        <f>SUM(AN1107:AN1132)</f>
        <v>3</v>
      </c>
      <c r="AO1133" s="37">
        <f>SUM(AO1107:AO1132)</f>
        <v>5</v>
      </c>
      <c r="AP1133" s="37">
        <f>SUM(AP1107:AP1132)</f>
        <v>4</v>
      </c>
      <c r="AQ1133" s="38">
        <f>SUM(AQ1107:AQ1132)</f>
        <v>2</v>
      </c>
      <c r="AR1133" s="25">
        <f t="shared" si="872"/>
        <v>14</v>
      </c>
      <c r="AS1133" s="36">
        <f>SUM(AS1107:AS1132)</f>
        <v>2</v>
      </c>
      <c r="AT1133" s="37">
        <f>SUM(AT1107:AT1132)</f>
        <v>10</v>
      </c>
      <c r="AU1133" s="37">
        <f>SUM(AU1107:AU1132)</f>
        <v>9</v>
      </c>
      <c r="AV1133" s="38">
        <f>SUM(AV1107:AV1132)</f>
        <v>13</v>
      </c>
      <c r="AW1133" s="25">
        <f t="shared" si="873"/>
        <v>34</v>
      </c>
      <c r="AX1133" s="322">
        <f>SUM(AX1107:AX1132)</f>
        <v>2</v>
      </c>
      <c r="AY1133" s="37">
        <f>SUM(AY1107:AY1132)</f>
        <v>7</v>
      </c>
      <c r="AZ1133" s="37">
        <f>SUM(AZ1107:AZ1132)</f>
        <v>10</v>
      </c>
      <c r="BA1133" s="38">
        <f>SUM(BA1107:BA1132)</f>
        <v>4</v>
      </c>
      <c r="BB1133" s="25">
        <f t="shared" si="874"/>
        <v>23</v>
      </c>
      <c r="BC1133" s="161">
        <f>AH1133+AM1133+AR1133+AW1133+BB1133</f>
        <v>106</v>
      </c>
      <c r="BE1133" s="278" t="s">
        <v>15</v>
      </c>
      <c r="BF1133" s="312">
        <f>SUM(BF1107:BF1132)</f>
        <v>0</v>
      </c>
      <c r="BG1133" s="302">
        <f>SUM(BG1107:BG1132)</f>
        <v>0</v>
      </c>
      <c r="BH1133" s="37">
        <f>SUM(BH1107:BH1132)</f>
        <v>4</v>
      </c>
      <c r="BI1133" s="316">
        <f>SUM(BI1107:BI1132)</f>
        <v>0</v>
      </c>
      <c r="BJ1133" s="25">
        <f t="shared" si="876"/>
        <v>4</v>
      </c>
      <c r="BL1133" s="278" t="s">
        <v>15</v>
      </c>
      <c r="BM1133" s="312">
        <f>SUM(BM1107:BM1132)</f>
        <v>0</v>
      </c>
      <c r="BN1133" s="302">
        <f>SUM(BN1107:BN1132)</f>
        <v>0</v>
      </c>
      <c r="BO1133" s="37">
        <f>SUM(BO1107:BO1132)</f>
        <v>5</v>
      </c>
      <c r="BP1133" s="316">
        <f>SUM(BP1107:BP1132)</f>
        <v>0</v>
      </c>
      <c r="BQ1133" s="25">
        <f t="shared" si="877"/>
        <v>5</v>
      </c>
    </row>
    <row r="1134" spans="1:69" ht="14.25" thickBot="1" x14ac:dyDescent="0.2">
      <c r="A1134" s="39" t="s">
        <v>16</v>
      </c>
      <c r="B1134" s="40">
        <f>B1106-B1133</f>
        <v>3</v>
      </c>
      <c r="C1134" s="41">
        <f>C1106-C1133</f>
        <v>3</v>
      </c>
      <c r="D1134" s="41">
        <f>D1106-D1133</f>
        <v>4</v>
      </c>
      <c r="E1134" s="42">
        <f>E1106-E1133</f>
        <v>3</v>
      </c>
      <c r="F1134" s="171">
        <f t="shared" si="878"/>
        <v>13</v>
      </c>
      <c r="G1134" s="40">
        <f>G1106-G1133</f>
        <v>5</v>
      </c>
      <c r="H1134" s="41">
        <f>H1106-H1133</f>
        <v>4</v>
      </c>
      <c r="I1134" s="41">
        <f>I1106-I1133</f>
        <v>3</v>
      </c>
      <c r="J1134" s="42">
        <f>J1106-J1133</f>
        <v>5</v>
      </c>
      <c r="K1134" s="171">
        <f t="shared" si="909"/>
        <v>17</v>
      </c>
      <c r="L1134" s="40">
        <f>L1106-L1133</f>
        <v>5</v>
      </c>
      <c r="M1134" s="41">
        <f>M1106-M1133</f>
        <v>3</v>
      </c>
      <c r="N1134" s="41">
        <f>N1106-N1133</f>
        <v>2</v>
      </c>
      <c r="O1134" s="42">
        <f>O1106-O1133</f>
        <v>3</v>
      </c>
      <c r="P1134" s="171">
        <f t="shared" si="910"/>
        <v>13</v>
      </c>
      <c r="Q1134" s="40">
        <f>Q1106-Q1133</f>
        <v>4</v>
      </c>
      <c r="R1134" s="41">
        <f>R1106-R1133</f>
        <v>5</v>
      </c>
      <c r="S1134" s="41">
        <f>S1106-S1133</f>
        <v>4</v>
      </c>
      <c r="T1134" s="42">
        <f>T1106-T1133</f>
        <v>4</v>
      </c>
      <c r="U1134" s="171">
        <f t="shared" si="911"/>
        <v>17</v>
      </c>
      <c r="V1134" s="323">
        <f>V1106-V1133</f>
        <v>4</v>
      </c>
      <c r="W1134" s="41">
        <f>W1106-W1133</f>
        <v>3</v>
      </c>
      <c r="X1134" s="41">
        <f>X1106-X1133</f>
        <v>4</v>
      </c>
      <c r="Y1134" s="42">
        <f>Y1106-Y1133</f>
        <v>4</v>
      </c>
      <c r="Z1134" s="171">
        <f>SUM(V1134:Y1134)</f>
        <v>15</v>
      </c>
      <c r="AA1134" s="77">
        <f>F1134+K1134+P1134+U1134+Z1134</f>
        <v>75</v>
      </c>
      <c r="AC1134" s="279" t="s">
        <v>16</v>
      </c>
      <c r="AD1134" s="40">
        <f>AD1106-AD1133</f>
        <v>84</v>
      </c>
      <c r="AE1134" s="41">
        <f>AE1106-AE1133</f>
        <v>79</v>
      </c>
      <c r="AF1134" s="41">
        <f>AF1106-AF1133</f>
        <v>138</v>
      </c>
      <c r="AG1134" s="42">
        <f>AG1106-AG1133</f>
        <v>63</v>
      </c>
      <c r="AH1134" s="171">
        <f t="shared" si="923"/>
        <v>364</v>
      </c>
      <c r="AI1134" s="40">
        <f>AI1106-AI1133</f>
        <v>142</v>
      </c>
      <c r="AJ1134" s="41">
        <f>AJ1106-AJ1133</f>
        <v>174</v>
      </c>
      <c r="AK1134" s="41">
        <f>AK1106-AK1133</f>
        <v>114</v>
      </c>
      <c r="AL1134" s="42">
        <f>AL1106-AL1133</f>
        <v>107</v>
      </c>
      <c r="AM1134" s="171">
        <f t="shared" si="924"/>
        <v>537</v>
      </c>
      <c r="AN1134" s="40">
        <f>AN1106-AN1133</f>
        <v>41</v>
      </c>
      <c r="AO1134" s="41">
        <f>AO1106-AO1133</f>
        <v>58</v>
      </c>
      <c r="AP1134" s="41">
        <f>AP1106-AP1133</f>
        <v>46</v>
      </c>
      <c r="AQ1134" s="42">
        <f>AQ1106-AQ1133</f>
        <v>29</v>
      </c>
      <c r="AR1134" s="171">
        <f t="shared" si="872"/>
        <v>174</v>
      </c>
      <c r="AS1134" s="40">
        <f>AS1106-AS1133</f>
        <v>152</v>
      </c>
      <c r="AT1134" s="41">
        <f>AT1106-AT1133</f>
        <v>201</v>
      </c>
      <c r="AU1134" s="41">
        <f>AU1106-AU1133</f>
        <v>131</v>
      </c>
      <c r="AV1134" s="42">
        <f>AV1106-AV1133</f>
        <v>116</v>
      </c>
      <c r="AW1134" s="171">
        <f t="shared" si="873"/>
        <v>600</v>
      </c>
      <c r="AX1134" s="323">
        <f>AX1106-AX1133</f>
        <v>108</v>
      </c>
      <c r="AY1134" s="41">
        <f>AY1106-AY1133</f>
        <v>95</v>
      </c>
      <c r="AZ1134" s="41">
        <f>AZ1106-AZ1133</f>
        <v>44</v>
      </c>
      <c r="BA1134" s="42">
        <f>BA1106-BA1133</f>
        <v>39</v>
      </c>
      <c r="BB1134" s="171">
        <f>SUM(AX1134:BA1134)</f>
        <v>286</v>
      </c>
      <c r="BC1134" s="77">
        <f>AH1134+AM1134+AR1134+AW1134+BB1134</f>
        <v>1961</v>
      </c>
      <c r="BE1134" s="279" t="s">
        <v>16</v>
      </c>
      <c r="BF1134" s="313">
        <f>BF1106-BF1133</f>
        <v>0</v>
      </c>
      <c r="BG1134" s="303">
        <f>BG1106-BG1133</f>
        <v>0</v>
      </c>
      <c r="BH1134" s="41">
        <f>BH1106-BH1133</f>
        <v>3</v>
      </c>
      <c r="BI1134" s="317">
        <f>BI1106-BI1133</f>
        <v>0</v>
      </c>
      <c r="BJ1134" s="171">
        <f t="shared" si="876"/>
        <v>3</v>
      </c>
      <c r="BL1134" s="279" t="s">
        <v>16</v>
      </c>
      <c r="BM1134" s="313">
        <f>BM1106-BM1133</f>
        <v>0</v>
      </c>
      <c r="BN1134" s="303">
        <f>BN1106-BN1133</f>
        <v>0</v>
      </c>
      <c r="BO1134" s="41">
        <f>BO1106-BO1133</f>
        <v>16</v>
      </c>
      <c r="BP1134" s="317">
        <f>BP1106-BP1133</f>
        <v>0</v>
      </c>
      <c r="BQ1134" s="171">
        <f t="shared" si="877"/>
        <v>16</v>
      </c>
    </row>
    <row r="1138" spans="1:69" ht="19.5" thickBot="1" x14ac:dyDescent="0.25">
      <c r="A1138" s="185" t="s">
        <v>19</v>
      </c>
      <c r="B1138" s="186"/>
      <c r="C1138" s="186"/>
      <c r="D1138" s="186"/>
      <c r="E1138" s="186"/>
      <c r="F1138" s="186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C1138" s="187" t="s">
        <v>73</v>
      </c>
      <c r="AD1138" s="188"/>
      <c r="AE1138" s="188"/>
      <c r="AF1138" s="188"/>
      <c r="AG1138" s="188"/>
      <c r="AH1138" s="188"/>
      <c r="AI1138" s="188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E1138" s="185" t="s">
        <v>19</v>
      </c>
      <c r="BF1138" s="186"/>
      <c r="BG1138" s="186"/>
      <c r="BH1138" s="186"/>
      <c r="BI1138" s="186"/>
      <c r="BJ1138" s="186"/>
      <c r="BL1138" s="187" t="s">
        <v>73</v>
      </c>
      <c r="BM1138" s="188"/>
      <c r="BN1138" s="188"/>
      <c r="BO1138" s="188"/>
      <c r="BP1138" s="188"/>
      <c r="BQ1138" s="188"/>
    </row>
    <row r="1139" spans="1:69" ht="14.25" thickBot="1" x14ac:dyDescent="0.2">
      <c r="A1139" s="3" t="s">
        <v>0</v>
      </c>
      <c r="B1139" s="365" t="s">
        <v>17</v>
      </c>
      <c r="C1139" s="366"/>
      <c r="D1139" s="366"/>
      <c r="E1139" s="366"/>
      <c r="F1139" s="367"/>
      <c r="G1139" s="368" t="s">
        <v>18</v>
      </c>
      <c r="H1139" s="369"/>
      <c r="I1139" s="369"/>
      <c r="J1139" s="369"/>
      <c r="K1139" s="370"/>
      <c r="L1139" s="371" t="s">
        <v>320</v>
      </c>
      <c r="M1139" s="372"/>
      <c r="N1139" s="372"/>
      <c r="O1139" s="372"/>
      <c r="P1139" s="373"/>
      <c r="Q1139" s="355" t="s">
        <v>75</v>
      </c>
      <c r="R1139" s="356"/>
      <c r="S1139" s="356"/>
      <c r="T1139" s="356"/>
      <c r="U1139" s="357"/>
      <c r="V1139" s="358" t="s">
        <v>456</v>
      </c>
      <c r="W1139" s="358"/>
      <c r="X1139" s="358"/>
      <c r="Y1139" s="358"/>
      <c r="Z1139" s="359"/>
      <c r="AA1139" s="360" t="s">
        <v>1</v>
      </c>
      <c r="AC1139" s="271" t="s">
        <v>0</v>
      </c>
      <c r="AD1139" s="365" t="s">
        <v>17</v>
      </c>
      <c r="AE1139" s="366"/>
      <c r="AF1139" s="366"/>
      <c r="AG1139" s="366"/>
      <c r="AH1139" s="367"/>
      <c r="AI1139" s="368" t="s">
        <v>18</v>
      </c>
      <c r="AJ1139" s="369"/>
      <c r="AK1139" s="369"/>
      <c r="AL1139" s="369"/>
      <c r="AM1139" s="370"/>
      <c r="AN1139" s="371" t="s">
        <v>320</v>
      </c>
      <c r="AO1139" s="372"/>
      <c r="AP1139" s="372"/>
      <c r="AQ1139" s="372"/>
      <c r="AR1139" s="373"/>
      <c r="AS1139" s="355" t="s">
        <v>75</v>
      </c>
      <c r="AT1139" s="356"/>
      <c r="AU1139" s="356"/>
      <c r="AV1139" s="356"/>
      <c r="AW1139" s="357"/>
      <c r="AX1139" s="358" t="s">
        <v>456</v>
      </c>
      <c r="AY1139" s="358"/>
      <c r="AZ1139" s="358"/>
      <c r="BA1139" s="358"/>
      <c r="BB1139" s="359"/>
      <c r="BC1139" s="360" t="s">
        <v>1</v>
      </c>
      <c r="BE1139" s="271" t="s">
        <v>0</v>
      </c>
      <c r="BF1139" s="362" t="s">
        <v>38</v>
      </c>
      <c r="BG1139" s="363"/>
      <c r="BH1139" s="363"/>
      <c r="BI1139" s="363"/>
      <c r="BJ1139" s="364"/>
      <c r="BL1139" s="271" t="s">
        <v>0</v>
      </c>
      <c r="BM1139" s="362" t="s">
        <v>38</v>
      </c>
      <c r="BN1139" s="363"/>
      <c r="BO1139" s="363"/>
      <c r="BP1139" s="363"/>
      <c r="BQ1139" s="364"/>
    </row>
    <row r="1140" spans="1:69" ht="14.25" thickBot="1" x14ac:dyDescent="0.2">
      <c r="A1140" s="5" t="s">
        <v>2</v>
      </c>
      <c r="B1140" s="6" t="s">
        <v>3</v>
      </c>
      <c r="C1140" s="7" t="s">
        <v>4</v>
      </c>
      <c r="D1140" s="7" t="s">
        <v>5</v>
      </c>
      <c r="E1140" s="8" t="s">
        <v>6</v>
      </c>
      <c r="F1140" s="5" t="s">
        <v>7</v>
      </c>
      <c r="G1140" s="6" t="s">
        <v>3</v>
      </c>
      <c r="H1140" s="7" t="s">
        <v>4</v>
      </c>
      <c r="I1140" s="7" t="s">
        <v>5</v>
      </c>
      <c r="J1140" s="8" t="s">
        <v>6</v>
      </c>
      <c r="K1140" s="5" t="s">
        <v>7</v>
      </c>
      <c r="L1140" s="6" t="s">
        <v>3</v>
      </c>
      <c r="M1140" s="7" t="s">
        <v>4</v>
      </c>
      <c r="N1140" s="7" t="s">
        <v>5</v>
      </c>
      <c r="O1140" s="8" t="s">
        <v>6</v>
      </c>
      <c r="P1140" s="5" t="s">
        <v>7</v>
      </c>
      <c r="Q1140" s="6" t="s">
        <v>3</v>
      </c>
      <c r="R1140" s="7" t="s">
        <v>4</v>
      </c>
      <c r="S1140" s="7" t="s">
        <v>5</v>
      </c>
      <c r="T1140" s="8" t="s">
        <v>6</v>
      </c>
      <c r="U1140" s="5" t="s">
        <v>7</v>
      </c>
      <c r="V1140" s="7" t="s">
        <v>3</v>
      </c>
      <c r="W1140" s="7" t="s">
        <v>4</v>
      </c>
      <c r="X1140" s="7" t="s">
        <v>5</v>
      </c>
      <c r="Y1140" s="8" t="s">
        <v>6</v>
      </c>
      <c r="Z1140" s="5" t="s">
        <v>7</v>
      </c>
      <c r="AA1140" s="361"/>
      <c r="AC1140" s="272" t="s">
        <v>2</v>
      </c>
      <c r="AD1140" s="6" t="s">
        <v>3</v>
      </c>
      <c r="AE1140" s="7" t="s">
        <v>4</v>
      </c>
      <c r="AF1140" s="7" t="s">
        <v>5</v>
      </c>
      <c r="AG1140" s="8" t="s">
        <v>6</v>
      </c>
      <c r="AH1140" s="5" t="s">
        <v>7</v>
      </c>
      <c r="AI1140" s="6" t="s">
        <v>3</v>
      </c>
      <c r="AJ1140" s="7" t="s">
        <v>4</v>
      </c>
      <c r="AK1140" s="7" t="s">
        <v>5</v>
      </c>
      <c r="AL1140" s="8" t="s">
        <v>6</v>
      </c>
      <c r="AM1140" s="5" t="s">
        <v>7</v>
      </c>
      <c r="AN1140" s="6" t="s">
        <v>3</v>
      </c>
      <c r="AO1140" s="7" t="s">
        <v>4</v>
      </c>
      <c r="AP1140" s="7" t="s">
        <v>5</v>
      </c>
      <c r="AQ1140" s="8" t="s">
        <v>6</v>
      </c>
      <c r="AR1140" s="5" t="s">
        <v>7</v>
      </c>
      <c r="AS1140" s="6" t="s">
        <v>3</v>
      </c>
      <c r="AT1140" s="7" t="s">
        <v>4</v>
      </c>
      <c r="AU1140" s="7" t="s">
        <v>5</v>
      </c>
      <c r="AV1140" s="8" t="s">
        <v>6</v>
      </c>
      <c r="AW1140" s="5" t="s">
        <v>7</v>
      </c>
      <c r="AX1140" s="7" t="s">
        <v>3</v>
      </c>
      <c r="AY1140" s="7" t="s">
        <v>4</v>
      </c>
      <c r="AZ1140" s="7" t="s">
        <v>5</v>
      </c>
      <c r="BA1140" s="8" t="s">
        <v>6</v>
      </c>
      <c r="BB1140" s="5" t="s">
        <v>7</v>
      </c>
      <c r="BC1140" s="361"/>
      <c r="BE1140" s="272" t="s">
        <v>2</v>
      </c>
      <c r="BF1140" s="6" t="s">
        <v>3</v>
      </c>
      <c r="BG1140" s="7" t="s">
        <v>4</v>
      </c>
      <c r="BH1140" s="7" t="s">
        <v>5</v>
      </c>
      <c r="BI1140" s="8" t="s">
        <v>6</v>
      </c>
      <c r="BJ1140" s="5" t="s">
        <v>7</v>
      </c>
      <c r="BL1140" s="272" t="s">
        <v>2</v>
      </c>
      <c r="BM1140" s="6" t="s">
        <v>3</v>
      </c>
      <c r="BN1140" s="7" t="s">
        <v>4</v>
      </c>
      <c r="BO1140" s="7" t="s">
        <v>5</v>
      </c>
      <c r="BP1140" s="8" t="s">
        <v>6</v>
      </c>
      <c r="BQ1140" s="5" t="s">
        <v>7</v>
      </c>
    </row>
    <row r="1141" spans="1:69" ht="15" thickBot="1" x14ac:dyDescent="0.2">
      <c r="A1141" s="291" t="s">
        <v>30</v>
      </c>
      <c r="B1141" s="292">
        <f>B1134</f>
        <v>3</v>
      </c>
      <c r="C1141" s="292">
        <f>C1134</f>
        <v>3</v>
      </c>
      <c r="D1141" s="292">
        <f>D1134</f>
        <v>4</v>
      </c>
      <c r="E1141" s="293">
        <f>E1134</f>
        <v>3</v>
      </c>
      <c r="F1141" s="77">
        <f t="shared" ref="F1141" si="925">SUM(B1141:E1141)</f>
        <v>13</v>
      </c>
      <c r="G1141" s="292">
        <f>G1134</f>
        <v>5</v>
      </c>
      <c r="H1141" s="292">
        <f>H1134</f>
        <v>4</v>
      </c>
      <c r="I1141" s="292">
        <f>I1134</f>
        <v>3</v>
      </c>
      <c r="J1141" s="293">
        <f>J1134</f>
        <v>5</v>
      </c>
      <c r="K1141" s="77">
        <f t="shared" ref="K1141:K1173" si="926">SUM(G1141:J1141)</f>
        <v>17</v>
      </c>
      <c r="L1141" s="292">
        <f>L1134</f>
        <v>5</v>
      </c>
      <c r="M1141" s="292">
        <f>M1134</f>
        <v>3</v>
      </c>
      <c r="N1141" s="292">
        <f>N1134</f>
        <v>2</v>
      </c>
      <c r="O1141" s="293">
        <f>O1134</f>
        <v>3</v>
      </c>
      <c r="P1141" s="77">
        <f t="shared" ref="P1141:P1173" si="927">SUM(L1141:O1141)</f>
        <v>13</v>
      </c>
      <c r="Q1141" s="324">
        <f>Q1134</f>
        <v>4</v>
      </c>
      <c r="R1141" s="292">
        <f>R1134</f>
        <v>5</v>
      </c>
      <c r="S1141" s="292">
        <f>S1134</f>
        <v>4</v>
      </c>
      <c r="T1141" s="293">
        <f>T1134</f>
        <v>4</v>
      </c>
      <c r="U1141" s="77">
        <f t="shared" ref="U1141:U1173" si="928">SUM(Q1141:T1141)</f>
        <v>17</v>
      </c>
      <c r="V1141" s="324">
        <f>V1134</f>
        <v>4</v>
      </c>
      <c r="W1141" s="292">
        <f>W1134</f>
        <v>3</v>
      </c>
      <c r="X1141" s="292">
        <f>X1134</f>
        <v>4</v>
      </c>
      <c r="Y1141" s="293">
        <f>Y1134</f>
        <v>4</v>
      </c>
      <c r="Z1141" s="77">
        <f t="shared" ref="Z1141:Z1176" si="929">SUM(V1141:Y1141)</f>
        <v>15</v>
      </c>
      <c r="AA1141" s="77">
        <f>F1141+K1141+P1141+U1141+Z1141</f>
        <v>75</v>
      </c>
      <c r="AC1141" s="294" t="s">
        <v>30</v>
      </c>
      <c r="AD1141" s="292">
        <f>AD1134</f>
        <v>84</v>
      </c>
      <c r="AE1141" s="292">
        <f>AE1134</f>
        <v>79</v>
      </c>
      <c r="AF1141" s="292">
        <f>AF1134</f>
        <v>138</v>
      </c>
      <c r="AG1141" s="293">
        <f>AG1134</f>
        <v>63</v>
      </c>
      <c r="AH1141" s="77">
        <f>SUM(AD1141:AG1141)</f>
        <v>364</v>
      </c>
      <c r="AI1141" s="292">
        <f>AI1134</f>
        <v>142</v>
      </c>
      <c r="AJ1141" s="292">
        <f>AJ1134</f>
        <v>174</v>
      </c>
      <c r="AK1141" s="292">
        <f>AK1134</f>
        <v>114</v>
      </c>
      <c r="AL1141" s="293">
        <f>AL1134</f>
        <v>107</v>
      </c>
      <c r="AM1141" s="77">
        <f>SUM(AI1141:AL1141)</f>
        <v>537</v>
      </c>
      <c r="AN1141" s="292">
        <f>AN1134</f>
        <v>41</v>
      </c>
      <c r="AO1141" s="292">
        <f>AO1134</f>
        <v>58</v>
      </c>
      <c r="AP1141" s="292">
        <f>AP1134</f>
        <v>46</v>
      </c>
      <c r="AQ1141" s="293">
        <f>AQ1134</f>
        <v>29</v>
      </c>
      <c r="AR1141" s="77">
        <f>SUM(AN1141:AQ1141)</f>
        <v>174</v>
      </c>
      <c r="AS1141" s="324">
        <f>AS1134</f>
        <v>152</v>
      </c>
      <c r="AT1141" s="292">
        <f>AT1134</f>
        <v>201</v>
      </c>
      <c r="AU1141" s="292">
        <f>AU1134</f>
        <v>131</v>
      </c>
      <c r="AV1141" s="293">
        <f>AV1134</f>
        <v>116</v>
      </c>
      <c r="AW1141" s="77">
        <f>SUM(AS1141:AV1141)</f>
        <v>600</v>
      </c>
      <c r="AX1141" s="324">
        <f>AX1134</f>
        <v>108</v>
      </c>
      <c r="AY1141" s="292">
        <f>AY1134</f>
        <v>95</v>
      </c>
      <c r="AZ1141" s="292">
        <f>AZ1134</f>
        <v>44</v>
      </c>
      <c r="BA1141" s="293">
        <f>BA1134</f>
        <v>39</v>
      </c>
      <c r="BB1141" s="77">
        <f>SUM(AX1141:BA1141)</f>
        <v>286</v>
      </c>
      <c r="BC1141" s="77">
        <f>AH1141+AM1141+AR1141+AW1141+BB1141</f>
        <v>1961</v>
      </c>
      <c r="BE1141" s="294" t="s">
        <v>30</v>
      </c>
      <c r="BF1141" s="40">
        <f>BF1134</f>
        <v>0</v>
      </c>
      <c r="BG1141" s="41">
        <f t="shared" ref="BG1141:BJ1141" si="930">BG1134</f>
        <v>0</v>
      </c>
      <c r="BH1141" s="41">
        <f t="shared" si="930"/>
        <v>3</v>
      </c>
      <c r="BI1141" s="42">
        <f t="shared" si="930"/>
        <v>0</v>
      </c>
      <c r="BJ1141" s="171">
        <f t="shared" si="930"/>
        <v>3</v>
      </c>
      <c r="BL1141" s="294" t="s">
        <v>30</v>
      </c>
      <c r="BM1141" s="292">
        <f>BM1134</f>
        <v>0</v>
      </c>
      <c r="BN1141" s="292">
        <f t="shared" ref="BN1141:BQ1141" si="931">BN1134</f>
        <v>0</v>
      </c>
      <c r="BO1141" s="292">
        <f t="shared" si="931"/>
        <v>16</v>
      </c>
      <c r="BP1141" s="292">
        <f t="shared" si="931"/>
        <v>0</v>
      </c>
      <c r="BQ1141" s="77">
        <f t="shared" si="931"/>
        <v>16</v>
      </c>
    </row>
    <row r="1142" spans="1:69" x14ac:dyDescent="0.15">
      <c r="A1142" s="53" t="s">
        <v>109</v>
      </c>
      <c r="B1142" s="55"/>
      <c r="C1142" s="153"/>
      <c r="D1142" s="153"/>
      <c r="E1142" s="168"/>
      <c r="F1142" s="56">
        <f t="shared" ref="F1142:F1146" si="932">SUM(B1142:E1142)</f>
        <v>0</v>
      </c>
      <c r="G1142" s="55"/>
      <c r="H1142" s="153"/>
      <c r="I1142" s="153"/>
      <c r="J1142" s="168"/>
      <c r="K1142" s="56">
        <f t="shared" ref="K1142:K1147" si="933">SUM(G1142:J1142)</f>
        <v>0</v>
      </c>
      <c r="L1142" s="55"/>
      <c r="M1142" s="153"/>
      <c r="N1142" s="153"/>
      <c r="O1142" s="168"/>
      <c r="P1142" s="56">
        <f t="shared" ref="P1142:P1147" si="934">SUM(L1142:O1142)</f>
        <v>0</v>
      </c>
      <c r="Q1142" s="54"/>
      <c r="R1142" s="153"/>
      <c r="S1142" s="153">
        <v>1</v>
      </c>
      <c r="T1142" s="168"/>
      <c r="U1142" s="56">
        <f t="shared" ref="U1142:U1147" si="935">SUM(Q1142:T1142)</f>
        <v>1</v>
      </c>
      <c r="V1142" s="55"/>
      <c r="W1142" s="153"/>
      <c r="X1142" s="153"/>
      <c r="Y1142" s="168"/>
      <c r="Z1142" s="56">
        <f t="shared" ref="Z1142:Z1147" si="936">SUM(V1142:Y1142)</f>
        <v>0</v>
      </c>
      <c r="AA1142" s="49">
        <f t="shared" ref="AA1142:AA1147" si="937">F1142+K1142+P1142+U1142+Z1142</f>
        <v>1</v>
      </c>
      <c r="AB1142" s="299">
        <v>45426</v>
      </c>
      <c r="AC1142" s="268" t="s">
        <v>28</v>
      </c>
      <c r="AD1142" s="55"/>
      <c r="AE1142" s="153"/>
      <c r="AF1142" s="153"/>
      <c r="AG1142" s="168"/>
      <c r="AH1142" s="56">
        <f t="shared" ref="AH1142:AH1149" si="938">SUM(AD1142:AG1142)</f>
        <v>0</v>
      </c>
      <c r="AI1142" s="55"/>
      <c r="AJ1142" s="153"/>
      <c r="AK1142" s="153"/>
      <c r="AL1142" s="168"/>
      <c r="AM1142" s="56">
        <f t="shared" ref="AM1142:AM1149" si="939">SUM(AI1142:AL1142)</f>
        <v>0</v>
      </c>
      <c r="AN1142" s="55"/>
      <c r="AO1142" s="153"/>
      <c r="AP1142" s="153"/>
      <c r="AQ1142" s="168"/>
      <c r="AR1142" s="56">
        <f t="shared" ref="AR1142:AR1177" si="940">SUM(AN1142:AQ1142)</f>
        <v>0</v>
      </c>
      <c r="AS1142" s="54"/>
      <c r="AT1142" s="153"/>
      <c r="AU1142" s="153"/>
      <c r="AV1142" s="168"/>
      <c r="AW1142" s="56">
        <f t="shared" ref="AW1142:AW1177" si="941">SUM(AS1142:AV1142)</f>
        <v>0</v>
      </c>
      <c r="AX1142" s="55"/>
      <c r="AY1142" s="153"/>
      <c r="AZ1142" s="153"/>
      <c r="BA1142" s="168"/>
      <c r="BB1142" s="49">
        <f t="shared" ref="BB1142:BB1176" si="942">SUM(AX1142:BA1142)</f>
        <v>0</v>
      </c>
      <c r="BC1142" s="49">
        <f t="shared" ref="BC1142:BC1148" si="943">AH1142+AM1142+AR1142+AW1142+BB1142</f>
        <v>0</v>
      </c>
      <c r="BE1142" s="268" t="s">
        <v>28</v>
      </c>
      <c r="BF1142" s="55"/>
      <c r="BG1142" s="153"/>
      <c r="BH1142" s="153"/>
      <c r="BI1142" s="168"/>
      <c r="BJ1142" s="56">
        <f t="shared" ref="BJ1142" si="944">SUM(BF1142:BI1142)</f>
        <v>0</v>
      </c>
      <c r="BK1142" s="191"/>
      <c r="BL1142" s="268" t="s">
        <v>28</v>
      </c>
      <c r="BM1142" s="51"/>
      <c r="BN1142" s="52"/>
      <c r="BO1142" s="52"/>
      <c r="BP1142" s="52"/>
      <c r="BQ1142" s="49">
        <f t="shared" ref="BQ1142:BQ1144" si="945">SUM(BM1142:BP1142)</f>
        <v>0</v>
      </c>
    </row>
    <row r="1143" spans="1:69" x14ac:dyDescent="0.15">
      <c r="A1143" s="53" t="s">
        <v>111</v>
      </c>
      <c r="B1143" s="55"/>
      <c r="C1143" s="153"/>
      <c r="D1143" s="153"/>
      <c r="E1143" s="168"/>
      <c r="F1143" s="56">
        <f t="shared" si="932"/>
        <v>0</v>
      </c>
      <c r="G1143" s="55"/>
      <c r="H1143" s="153"/>
      <c r="I1143" s="153"/>
      <c r="J1143" s="168"/>
      <c r="K1143" s="56">
        <f t="shared" si="933"/>
        <v>0</v>
      </c>
      <c r="L1143" s="55"/>
      <c r="M1143" s="153"/>
      <c r="N1143" s="153"/>
      <c r="O1143" s="168"/>
      <c r="P1143" s="56">
        <f t="shared" si="934"/>
        <v>0</v>
      </c>
      <c r="Q1143" s="54"/>
      <c r="R1143" s="153"/>
      <c r="S1143" s="153"/>
      <c r="T1143" s="168">
        <v>2</v>
      </c>
      <c r="U1143" s="56">
        <f t="shared" si="935"/>
        <v>2</v>
      </c>
      <c r="V1143" s="55"/>
      <c r="W1143" s="153"/>
      <c r="X1143" s="153"/>
      <c r="Y1143" s="168"/>
      <c r="Z1143" s="56">
        <f t="shared" si="936"/>
        <v>0</v>
      </c>
      <c r="AA1143" s="49">
        <f t="shared" si="937"/>
        <v>2</v>
      </c>
      <c r="AB1143" s="298">
        <v>45427</v>
      </c>
      <c r="AC1143" s="268" t="s">
        <v>28</v>
      </c>
      <c r="AD1143" s="55"/>
      <c r="AE1143" s="153"/>
      <c r="AF1143" s="153"/>
      <c r="AG1143" s="168"/>
      <c r="AH1143" s="56">
        <f t="shared" si="938"/>
        <v>0</v>
      </c>
      <c r="AI1143" s="55"/>
      <c r="AJ1143" s="153"/>
      <c r="AK1143" s="153"/>
      <c r="AL1143" s="168"/>
      <c r="AM1143" s="56">
        <f t="shared" ref="AM1143" si="946">SUM(AI1143:AL1143)</f>
        <v>0</v>
      </c>
      <c r="AN1143" s="55"/>
      <c r="AO1143" s="153"/>
      <c r="AP1143" s="153"/>
      <c r="AQ1143" s="168"/>
      <c r="AR1143" s="56">
        <f t="shared" ref="AR1143" si="947">SUM(AN1143:AQ1143)</f>
        <v>0</v>
      </c>
      <c r="AS1143" s="54"/>
      <c r="AT1143" s="153"/>
      <c r="AU1143" s="153"/>
      <c r="AV1143" s="168"/>
      <c r="AW1143" s="56">
        <f t="shared" ref="AW1143" si="948">SUM(AS1143:AV1143)</f>
        <v>0</v>
      </c>
      <c r="AX1143" s="55"/>
      <c r="AY1143" s="153"/>
      <c r="AZ1143" s="153"/>
      <c r="BA1143" s="168"/>
      <c r="BB1143" s="49">
        <f t="shared" ref="BB1143" si="949">SUM(AX1143:BA1143)</f>
        <v>0</v>
      </c>
      <c r="BC1143" s="49">
        <f t="shared" ref="BC1143" si="950">AH1143+AM1143+AR1143+AW1143+BB1143</f>
        <v>0</v>
      </c>
      <c r="BE1143" s="268" t="s">
        <v>28</v>
      </c>
      <c r="BF1143" s="55"/>
      <c r="BG1143" s="153"/>
      <c r="BH1143" s="153"/>
      <c r="BI1143" s="168"/>
      <c r="BJ1143" s="56">
        <f t="shared" ref="BJ1143:BJ1144" si="951">SUM(BF1143:BI1143)</f>
        <v>0</v>
      </c>
      <c r="BK1143" s="191"/>
      <c r="BL1143" s="268" t="s">
        <v>28</v>
      </c>
      <c r="BM1143" s="54"/>
      <c r="BN1143" s="55"/>
      <c r="BO1143" s="55"/>
      <c r="BP1143" s="55"/>
      <c r="BQ1143" s="56">
        <f t="shared" si="945"/>
        <v>0</v>
      </c>
    </row>
    <row r="1144" spans="1:69" x14ac:dyDescent="0.15">
      <c r="A1144" s="53" t="s">
        <v>111</v>
      </c>
      <c r="B1144" s="55"/>
      <c r="C1144" s="153"/>
      <c r="D1144" s="153"/>
      <c r="E1144" s="168"/>
      <c r="F1144" s="56">
        <f t="shared" si="932"/>
        <v>0</v>
      </c>
      <c r="G1144" s="55"/>
      <c r="H1144" s="153"/>
      <c r="I1144" s="153"/>
      <c r="J1144" s="168"/>
      <c r="K1144" s="56">
        <f t="shared" si="933"/>
        <v>0</v>
      </c>
      <c r="L1144" s="55"/>
      <c r="M1144" s="153">
        <v>2</v>
      </c>
      <c r="N1144" s="153">
        <v>2</v>
      </c>
      <c r="O1144" s="168"/>
      <c r="P1144" s="56">
        <f t="shared" si="934"/>
        <v>4</v>
      </c>
      <c r="Q1144" s="54"/>
      <c r="R1144" s="153"/>
      <c r="S1144" s="153"/>
      <c r="T1144" s="168"/>
      <c r="U1144" s="56">
        <f t="shared" si="935"/>
        <v>0</v>
      </c>
      <c r="V1144" s="55"/>
      <c r="W1144" s="153"/>
      <c r="X1144" s="153"/>
      <c r="Y1144" s="168"/>
      <c r="Z1144" s="56">
        <f t="shared" si="936"/>
        <v>0</v>
      </c>
      <c r="AA1144" s="49">
        <f t="shared" si="937"/>
        <v>4</v>
      </c>
      <c r="AB1144" s="298">
        <v>45428</v>
      </c>
      <c r="AC1144" s="268" t="s">
        <v>28</v>
      </c>
      <c r="AD1144" s="55"/>
      <c r="AE1144" s="153"/>
      <c r="AF1144" s="153"/>
      <c r="AG1144" s="168"/>
      <c r="AH1144" s="56">
        <f t="shared" si="938"/>
        <v>0</v>
      </c>
      <c r="AI1144" s="55"/>
      <c r="AJ1144" s="153"/>
      <c r="AK1144" s="153"/>
      <c r="AL1144" s="168"/>
      <c r="AM1144" s="56">
        <f t="shared" si="939"/>
        <v>0</v>
      </c>
      <c r="AN1144" s="55"/>
      <c r="AO1144" s="153"/>
      <c r="AP1144" s="153"/>
      <c r="AQ1144" s="168"/>
      <c r="AR1144" s="56">
        <f t="shared" si="940"/>
        <v>0</v>
      </c>
      <c r="AS1144" s="54"/>
      <c r="AT1144" s="153"/>
      <c r="AU1144" s="153"/>
      <c r="AV1144" s="168"/>
      <c r="AW1144" s="56">
        <f t="shared" si="941"/>
        <v>0</v>
      </c>
      <c r="AX1144" s="55"/>
      <c r="AY1144" s="153"/>
      <c r="AZ1144" s="153"/>
      <c r="BA1144" s="168"/>
      <c r="BB1144" s="49">
        <f t="shared" si="942"/>
        <v>0</v>
      </c>
      <c r="BC1144" s="49">
        <f t="shared" si="943"/>
        <v>0</v>
      </c>
      <c r="BE1144" s="268" t="s">
        <v>28</v>
      </c>
      <c r="BF1144" s="55"/>
      <c r="BG1144" s="153"/>
      <c r="BH1144" s="153"/>
      <c r="BI1144" s="168"/>
      <c r="BJ1144" s="56">
        <f t="shared" si="951"/>
        <v>0</v>
      </c>
      <c r="BL1144" s="268" t="s">
        <v>28</v>
      </c>
      <c r="BM1144" s="55"/>
      <c r="BN1144" s="153"/>
      <c r="BO1144" s="153"/>
      <c r="BP1144" s="168"/>
      <c r="BQ1144" s="56">
        <f t="shared" si="945"/>
        <v>0</v>
      </c>
    </row>
    <row r="1145" spans="1:69" x14ac:dyDescent="0.15">
      <c r="A1145" s="53" t="s">
        <v>111</v>
      </c>
      <c r="B1145" s="55"/>
      <c r="C1145" s="153"/>
      <c r="D1145" s="153"/>
      <c r="E1145" s="168"/>
      <c r="F1145" s="56">
        <f t="shared" si="932"/>
        <v>0</v>
      </c>
      <c r="G1145" s="55"/>
      <c r="H1145" s="153">
        <v>3</v>
      </c>
      <c r="I1145" s="153"/>
      <c r="J1145" s="168"/>
      <c r="K1145" s="56">
        <f t="shared" si="933"/>
        <v>3</v>
      </c>
      <c r="L1145" s="55"/>
      <c r="M1145" s="153"/>
      <c r="N1145" s="153"/>
      <c r="O1145" s="168"/>
      <c r="P1145" s="56">
        <f t="shared" si="934"/>
        <v>0</v>
      </c>
      <c r="Q1145" s="54"/>
      <c r="R1145" s="153"/>
      <c r="S1145" s="153"/>
      <c r="T1145" s="168"/>
      <c r="U1145" s="56">
        <f t="shared" si="935"/>
        <v>0</v>
      </c>
      <c r="V1145" s="55"/>
      <c r="W1145" s="153"/>
      <c r="X1145" s="153"/>
      <c r="Y1145" s="168"/>
      <c r="Z1145" s="56">
        <f t="shared" si="936"/>
        <v>0</v>
      </c>
      <c r="AA1145" s="49">
        <f t="shared" si="937"/>
        <v>3</v>
      </c>
      <c r="AB1145" s="298">
        <v>45433</v>
      </c>
      <c r="AC1145" s="268" t="s">
        <v>28</v>
      </c>
      <c r="AD1145" s="55"/>
      <c r="AE1145" s="153"/>
      <c r="AF1145" s="153"/>
      <c r="AG1145" s="168"/>
      <c r="AH1145" s="56">
        <f t="shared" si="938"/>
        <v>0</v>
      </c>
      <c r="AI1145" s="55"/>
      <c r="AJ1145" s="153"/>
      <c r="AK1145" s="153"/>
      <c r="AL1145" s="168"/>
      <c r="AM1145" s="56">
        <f t="shared" si="939"/>
        <v>0</v>
      </c>
      <c r="AN1145" s="55"/>
      <c r="AO1145" s="153"/>
      <c r="AP1145" s="153"/>
      <c r="AQ1145" s="168"/>
      <c r="AR1145" s="56">
        <f t="shared" si="940"/>
        <v>0</v>
      </c>
      <c r="AS1145" s="54"/>
      <c r="AT1145" s="153"/>
      <c r="AU1145" s="153"/>
      <c r="AV1145" s="168"/>
      <c r="AW1145" s="56">
        <f t="shared" si="941"/>
        <v>0</v>
      </c>
      <c r="AX1145" s="55"/>
      <c r="AY1145" s="153"/>
      <c r="AZ1145" s="153"/>
      <c r="BA1145" s="168"/>
      <c r="BB1145" s="49">
        <f t="shared" si="942"/>
        <v>0</v>
      </c>
      <c r="BC1145" s="49">
        <f t="shared" si="943"/>
        <v>0</v>
      </c>
      <c r="BE1145" s="268" t="s">
        <v>28</v>
      </c>
      <c r="BF1145" s="63"/>
      <c r="BG1145" s="63"/>
      <c r="BH1145" s="63"/>
      <c r="BI1145" s="167"/>
      <c r="BJ1145" s="64">
        <v>0</v>
      </c>
      <c r="BL1145" s="268" t="s">
        <v>28</v>
      </c>
      <c r="BM1145" s="63"/>
      <c r="BN1145" s="63"/>
      <c r="BO1145" s="63"/>
      <c r="BP1145" s="167"/>
      <c r="BQ1145" s="64">
        <v>0</v>
      </c>
    </row>
    <row r="1146" spans="1:69" x14ac:dyDescent="0.15">
      <c r="A1146" s="53" t="s">
        <v>111</v>
      </c>
      <c r="B1146" s="55">
        <v>2</v>
      </c>
      <c r="C1146" s="153">
        <v>2</v>
      </c>
      <c r="D1146" s="153">
        <v>3</v>
      </c>
      <c r="E1146" s="168">
        <v>3</v>
      </c>
      <c r="F1146" s="56">
        <f t="shared" si="932"/>
        <v>10</v>
      </c>
      <c r="G1146" s="55"/>
      <c r="H1146" s="153"/>
      <c r="I1146" s="153">
        <v>2</v>
      </c>
      <c r="J1146" s="168"/>
      <c r="K1146" s="56">
        <f t="shared" si="933"/>
        <v>2</v>
      </c>
      <c r="L1146" s="55"/>
      <c r="M1146" s="153"/>
      <c r="N1146" s="153">
        <v>3</v>
      </c>
      <c r="O1146" s="168">
        <v>3</v>
      </c>
      <c r="P1146" s="56">
        <f t="shared" si="934"/>
        <v>6</v>
      </c>
      <c r="Q1146" s="54">
        <v>3</v>
      </c>
      <c r="R1146" s="153"/>
      <c r="S1146" s="153"/>
      <c r="T1146" s="168">
        <v>2</v>
      </c>
      <c r="U1146" s="56">
        <f t="shared" si="935"/>
        <v>5</v>
      </c>
      <c r="V1146" s="55"/>
      <c r="W1146" s="153">
        <v>2</v>
      </c>
      <c r="X1146" s="153"/>
      <c r="Y1146" s="168"/>
      <c r="Z1146" s="56">
        <f t="shared" si="936"/>
        <v>2</v>
      </c>
      <c r="AA1146" s="49">
        <f t="shared" si="937"/>
        <v>25</v>
      </c>
      <c r="AB1146" s="298">
        <v>45437</v>
      </c>
      <c r="AC1146" s="268" t="s">
        <v>28</v>
      </c>
      <c r="AD1146" s="55"/>
      <c r="AE1146" s="153"/>
      <c r="AF1146" s="153"/>
      <c r="AG1146" s="168"/>
      <c r="AH1146" s="56">
        <f t="shared" si="938"/>
        <v>0</v>
      </c>
      <c r="AI1146" s="55"/>
      <c r="AJ1146" s="153"/>
      <c r="AK1146" s="153"/>
      <c r="AL1146" s="168"/>
      <c r="AM1146" s="56">
        <f t="shared" si="939"/>
        <v>0</v>
      </c>
      <c r="AN1146" s="55"/>
      <c r="AO1146" s="153"/>
      <c r="AP1146" s="153"/>
      <c r="AQ1146" s="168"/>
      <c r="AR1146" s="56">
        <f t="shared" si="940"/>
        <v>0</v>
      </c>
      <c r="AS1146" s="54"/>
      <c r="AT1146" s="153"/>
      <c r="AU1146" s="153"/>
      <c r="AV1146" s="168"/>
      <c r="AW1146" s="56">
        <f t="shared" si="941"/>
        <v>0</v>
      </c>
      <c r="AX1146" s="55"/>
      <c r="AY1146" s="153"/>
      <c r="AZ1146" s="153"/>
      <c r="BA1146" s="168"/>
      <c r="BB1146" s="49">
        <f t="shared" si="942"/>
        <v>0</v>
      </c>
      <c r="BC1146" s="49">
        <f t="shared" si="943"/>
        <v>0</v>
      </c>
      <c r="BE1146" s="268" t="s">
        <v>28</v>
      </c>
      <c r="BF1146" s="55"/>
      <c r="BG1146" s="153"/>
      <c r="BH1146" s="153"/>
      <c r="BI1146" s="168"/>
      <c r="BJ1146" s="56">
        <f t="shared" ref="BJ1146:BJ1177" si="952">SUM(BF1146:BI1146)</f>
        <v>0</v>
      </c>
      <c r="BL1146" s="268" t="s">
        <v>28</v>
      </c>
      <c r="BM1146" s="55"/>
      <c r="BN1146" s="153"/>
      <c r="BO1146" s="153"/>
      <c r="BP1146" s="168"/>
      <c r="BQ1146" s="56">
        <f t="shared" ref="BQ1146:BQ1177" si="953">SUM(BM1146:BP1146)</f>
        <v>0</v>
      </c>
    </row>
    <row r="1147" spans="1:69" x14ac:dyDescent="0.15">
      <c r="A1147" s="53" t="s">
        <v>111</v>
      </c>
      <c r="B1147" s="55"/>
      <c r="C1147" s="153"/>
      <c r="D1147" s="153"/>
      <c r="E1147" s="168"/>
      <c r="F1147" s="56">
        <f t="shared" ref="F1147" si="954">SUM(B1147:E1147)</f>
        <v>0</v>
      </c>
      <c r="G1147" s="55"/>
      <c r="H1147" s="153">
        <v>2</v>
      </c>
      <c r="I1147" s="153">
        <v>2</v>
      </c>
      <c r="J1147" s="168"/>
      <c r="K1147" s="56">
        <f t="shared" si="933"/>
        <v>4</v>
      </c>
      <c r="L1147" s="55"/>
      <c r="M1147" s="153"/>
      <c r="N1147" s="153"/>
      <c r="O1147" s="168"/>
      <c r="P1147" s="56">
        <f t="shared" si="934"/>
        <v>0</v>
      </c>
      <c r="Q1147" s="54"/>
      <c r="R1147" s="153"/>
      <c r="S1147" s="153">
        <v>2</v>
      </c>
      <c r="T1147" s="168"/>
      <c r="U1147" s="56">
        <f t="shared" si="935"/>
        <v>2</v>
      </c>
      <c r="V1147" s="55"/>
      <c r="W1147" s="153"/>
      <c r="X1147" s="153"/>
      <c r="Y1147" s="168"/>
      <c r="Z1147" s="56">
        <f t="shared" si="936"/>
        <v>0</v>
      </c>
      <c r="AA1147" s="49">
        <f t="shared" si="937"/>
        <v>6</v>
      </c>
      <c r="AB1147" s="298">
        <v>45453</v>
      </c>
      <c r="AC1147" s="268" t="s">
        <v>28</v>
      </c>
      <c r="AD1147" s="55"/>
      <c r="AE1147" s="153"/>
      <c r="AF1147" s="153"/>
      <c r="AG1147" s="168"/>
      <c r="AH1147" s="56">
        <f t="shared" si="938"/>
        <v>0</v>
      </c>
      <c r="AI1147" s="55"/>
      <c r="AJ1147" s="153"/>
      <c r="AK1147" s="153"/>
      <c r="AL1147" s="168"/>
      <c r="AM1147" s="56">
        <f t="shared" si="939"/>
        <v>0</v>
      </c>
      <c r="AN1147" s="55"/>
      <c r="AO1147" s="153"/>
      <c r="AP1147" s="153"/>
      <c r="AQ1147" s="168"/>
      <c r="AR1147" s="56">
        <f t="shared" si="940"/>
        <v>0</v>
      </c>
      <c r="AS1147" s="54"/>
      <c r="AT1147" s="153"/>
      <c r="AU1147" s="153"/>
      <c r="AV1147" s="168"/>
      <c r="AW1147" s="56">
        <f t="shared" si="941"/>
        <v>0</v>
      </c>
      <c r="AX1147" s="55"/>
      <c r="AY1147" s="153"/>
      <c r="AZ1147" s="153"/>
      <c r="BA1147" s="168"/>
      <c r="BB1147" s="49">
        <f t="shared" si="942"/>
        <v>0</v>
      </c>
      <c r="BC1147" s="49">
        <f t="shared" si="943"/>
        <v>0</v>
      </c>
      <c r="BE1147" s="268" t="s">
        <v>28</v>
      </c>
      <c r="BF1147" s="55"/>
      <c r="BG1147" s="153"/>
      <c r="BH1147" s="153"/>
      <c r="BI1147" s="168"/>
      <c r="BJ1147" s="56">
        <f t="shared" si="952"/>
        <v>0</v>
      </c>
      <c r="BL1147" s="268" t="s">
        <v>28</v>
      </c>
      <c r="BM1147" s="55"/>
      <c r="BN1147" s="153"/>
      <c r="BO1147" s="153"/>
      <c r="BP1147" s="168"/>
      <c r="BQ1147" s="56">
        <f t="shared" si="953"/>
        <v>0</v>
      </c>
    </row>
    <row r="1148" spans="1:69" ht="14.25" thickBot="1" x14ac:dyDescent="0.2">
      <c r="A1148" s="53" t="s">
        <v>547</v>
      </c>
      <c r="B1148" s="55"/>
      <c r="C1148" s="153"/>
      <c r="D1148" s="153"/>
      <c r="E1148" s="168">
        <v>1</v>
      </c>
      <c r="F1148" s="56">
        <f t="shared" ref="F1148:F1149" si="955">SUM(B1148:E1148)</f>
        <v>1</v>
      </c>
      <c r="G1148" s="55"/>
      <c r="H1148" s="153"/>
      <c r="I1148" s="153"/>
      <c r="J1148" s="168"/>
      <c r="K1148" s="56">
        <f t="shared" si="926"/>
        <v>0</v>
      </c>
      <c r="L1148" s="55">
        <v>1</v>
      </c>
      <c r="M1148" s="153">
        <v>-1</v>
      </c>
      <c r="N1148" s="153"/>
      <c r="O1148" s="168"/>
      <c r="P1148" s="56">
        <f t="shared" si="927"/>
        <v>0</v>
      </c>
      <c r="Q1148" s="54"/>
      <c r="R1148" s="153"/>
      <c r="S1148" s="153">
        <v>1</v>
      </c>
      <c r="T1148" s="168">
        <v>-1</v>
      </c>
      <c r="U1148" s="56">
        <f t="shared" si="928"/>
        <v>0</v>
      </c>
      <c r="V1148" s="55"/>
      <c r="W1148" s="153">
        <v>-1</v>
      </c>
      <c r="X1148" s="153">
        <v>1</v>
      </c>
      <c r="Y1148" s="168"/>
      <c r="Z1148" s="56">
        <f t="shared" si="929"/>
        <v>0</v>
      </c>
      <c r="AA1148" s="49">
        <f t="shared" ref="AA1148" si="956">F1148+K1148+P1148+U1148+Z1148</f>
        <v>1</v>
      </c>
      <c r="AB1148" s="298">
        <v>45453</v>
      </c>
      <c r="AC1148" s="268" t="s">
        <v>28</v>
      </c>
      <c r="AD1148" s="63"/>
      <c r="AE1148" s="164"/>
      <c r="AF1148" s="164"/>
      <c r="AG1148" s="169"/>
      <c r="AH1148" s="170">
        <f t="shared" si="938"/>
        <v>0</v>
      </c>
      <c r="AI1148" s="63"/>
      <c r="AJ1148" s="164"/>
      <c r="AK1148" s="164"/>
      <c r="AL1148" s="169"/>
      <c r="AM1148" s="170">
        <f t="shared" si="939"/>
        <v>0</v>
      </c>
      <c r="AN1148" s="63"/>
      <c r="AO1148" s="164"/>
      <c r="AP1148" s="164"/>
      <c r="AQ1148" s="169"/>
      <c r="AR1148" s="170">
        <f t="shared" si="940"/>
        <v>0</v>
      </c>
      <c r="AS1148" s="62"/>
      <c r="AT1148" s="164"/>
      <c r="AU1148" s="164"/>
      <c r="AV1148" s="169"/>
      <c r="AW1148" s="170">
        <f t="shared" si="941"/>
        <v>0</v>
      </c>
      <c r="AX1148" s="63"/>
      <c r="AY1148" s="164"/>
      <c r="AZ1148" s="164"/>
      <c r="BA1148" s="169"/>
      <c r="BB1148" s="170">
        <f t="shared" si="942"/>
        <v>0</v>
      </c>
      <c r="BC1148" s="49">
        <f t="shared" si="943"/>
        <v>0</v>
      </c>
      <c r="BE1148" s="274" t="s">
        <v>28</v>
      </c>
      <c r="BF1148" s="63"/>
      <c r="BG1148" s="164"/>
      <c r="BH1148" s="164"/>
      <c r="BI1148" s="169"/>
      <c r="BJ1148" s="170">
        <f t="shared" si="952"/>
        <v>0</v>
      </c>
      <c r="BL1148" s="274" t="s">
        <v>28</v>
      </c>
      <c r="BM1148" s="63"/>
      <c r="BN1148" s="164"/>
      <c r="BO1148" s="164"/>
      <c r="BP1148" s="169"/>
      <c r="BQ1148" s="170">
        <f t="shared" si="953"/>
        <v>0</v>
      </c>
    </row>
    <row r="1149" spans="1:69" ht="15" thickBot="1" x14ac:dyDescent="0.2">
      <c r="A1149" s="181" t="s">
        <v>14</v>
      </c>
      <c r="B1149" s="182">
        <f>SUM(B1141:B1148)</f>
        <v>5</v>
      </c>
      <c r="C1149" s="183">
        <f>SUM(C1141:C1148)</f>
        <v>5</v>
      </c>
      <c r="D1149" s="183">
        <f>SUM(D1141:D1148)</f>
        <v>7</v>
      </c>
      <c r="E1149" s="184">
        <f>SUM(E1141:E1148)</f>
        <v>7</v>
      </c>
      <c r="F1149" s="77">
        <f t="shared" si="955"/>
        <v>24</v>
      </c>
      <c r="G1149" s="182">
        <f>SUM(G1141:G1148)</f>
        <v>5</v>
      </c>
      <c r="H1149" s="183">
        <f>SUM(H1141:H1148)</f>
        <v>9</v>
      </c>
      <c r="I1149" s="183">
        <f>SUM(I1141:I1148)</f>
        <v>7</v>
      </c>
      <c r="J1149" s="184">
        <f>SUM(J1141:J1148)</f>
        <v>5</v>
      </c>
      <c r="K1149" s="77">
        <f t="shared" si="926"/>
        <v>26</v>
      </c>
      <c r="L1149" s="182">
        <f>SUM(L1141:L1148)</f>
        <v>6</v>
      </c>
      <c r="M1149" s="183">
        <f>SUM(M1141:M1148)</f>
        <v>4</v>
      </c>
      <c r="N1149" s="183">
        <f>SUM(N1141:N1148)</f>
        <v>7</v>
      </c>
      <c r="O1149" s="184">
        <f>SUM(O1141:O1148)</f>
        <v>6</v>
      </c>
      <c r="P1149" s="77">
        <f t="shared" si="927"/>
        <v>23</v>
      </c>
      <c r="Q1149" s="182">
        <f>SUM(Q1141:Q1148)</f>
        <v>7</v>
      </c>
      <c r="R1149" s="183">
        <f>SUM(R1141:R1148)</f>
        <v>5</v>
      </c>
      <c r="S1149" s="183">
        <f>SUM(S1141:S1148)</f>
        <v>8</v>
      </c>
      <c r="T1149" s="184">
        <f>SUM(T1141:T1148)</f>
        <v>7</v>
      </c>
      <c r="U1149" s="77">
        <f t="shared" si="928"/>
        <v>27</v>
      </c>
      <c r="V1149" s="293">
        <f>SUM(V1141:V1148)</f>
        <v>4</v>
      </c>
      <c r="W1149" s="183">
        <f>SUM(W1141:W1148)</f>
        <v>4</v>
      </c>
      <c r="X1149" s="183">
        <f>SUM(X1141:X1148)</f>
        <v>5</v>
      </c>
      <c r="Y1149" s="184">
        <f>SUM(Y1141:Y1148)</f>
        <v>4</v>
      </c>
      <c r="Z1149" s="77">
        <f t="shared" si="929"/>
        <v>17</v>
      </c>
      <c r="AA1149" s="77">
        <f>F1149+K1149+P1149+U1149+Z1149</f>
        <v>117</v>
      </c>
      <c r="AC1149" s="275" t="s">
        <v>14</v>
      </c>
      <c r="AD1149" s="182">
        <f>SUM(AD1141:AD1148)</f>
        <v>84</v>
      </c>
      <c r="AE1149" s="183">
        <f>SUM(AE1141:AE1148)</f>
        <v>79</v>
      </c>
      <c r="AF1149" s="183">
        <f>SUM(AF1141:AF1148)</f>
        <v>138</v>
      </c>
      <c r="AG1149" s="184">
        <f>SUM(AG1141:AG1148)</f>
        <v>63</v>
      </c>
      <c r="AH1149" s="77">
        <f t="shared" si="938"/>
        <v>364</v>
      </c>
      <c r="AI1149" s="182">
        <f>SUM(AI1141:AI1148)</f>
        <v>142</v>
      </c>
      <c r="AJ1149" s="183">
        <f>SUM(AJ1141:AJ1148)</f>
        <v>174</v>
      </c>
      <c r="AK1149" s="183">
        <f>SUM(AK1141:AK1148)</f>
        <v>114</v>
      </c>
      <c r="AL1149" s="184">
        <f>SUM(AL1141:AL1148)</f>
        <v>107</v>
      </c>
      <c r="AM1149" s="77">
        <f t="shared" si="939"/>
        <v>537</v>
      </c>
      <c r="AN1149" s="182">
        <f>SUM(AN1141:AN1148)</f>
        <v>41</v>
      </c>
      <c r="AO1149" s="183">
        <f>SUM(AO1141:AO1148)</f>
        <v>58</v>
      </c>
      <c r="AP1149" s="183">
        <f>SUM(AP1141:AP1148)</f>
        <v>46</v>
      </c>
      <c r="AQ1149" s="184">
        <f>SUM(AQ1141:AQ1148)</f>
        <v>29</v>
      </c>
      <c r="AR1149" s="77">
        <f t="shared" si="940"/>
        <v>174</v>
      </c>
      <c r="AS1149" s="182">
        <f>SUM(AS1141:AS1148)</f>
        <v>152</v>
      </c>
      <c r="AT1149" s="183">
        <f>SUM(AT1141:AT1148)</f>
        <v>201</v>
      </c>
      <c r="AU1149" s="183">
        <f>SUM(AU1141:AU1148)</f>
        <v>131</v>
      </c>
      <c r="AV1149" s="184">
        <f>SUM(AV1141:AV1148)</f>
        <v>116</v>
      </c>
      <c r="AW1149" s="77">
        <f t="shared" si="941"/>
        <v>600</v>
      </c>
      <c r="AX1149" s="293">
        <f>SUM(AX1141:AX1148)</f>
        <v>108</v>
      </c>
      <c r="AY1149" s="183">
        <f>SUM(AY1141:AY1148)</f>
        <v>95</v>
      </c>
      <c r="AZ1149" s="183">
        <f>SUM(AZ1141:AZ1148)</f>
        <v>44</v>
      </c>
      <c r="BA1149" s="184">
        <f>SUM(BA1141:BA1148)</f>
        <v>39</v>
      </c>
      <c r="BB1149" s="77">
        <f t="shared" si="942"/>
        <v>286</v>
      </c>
      <c r="BC1149" s="77">
        <f>AH1149+AM1149+AR1149+AW1149+BB1149</f>
        <v>1961</v>
      </c>
      <c r="BE1149" s="275" t="s">
        <v>14</v>
      </c>
      <c r="BF1149" s="182">
        <f>SUM(BF1141:BF1148)</f>
        <v>0</v>
      </c>
      <c r="BG1149" s="183">
        <f>SUM(BG1141:BG1148)</f>
        <v>0</v>
      </c>
      <c r="BH1149" s="183">
        <f>SUM(BH1141:BH1148)</f>
        <v>3</v>
      </c>
      <c r="BI1149" s="184">
        <f>SUM(BI1141:BI1148)</f>
        <v>0</v>
      </c>
      <c r="BJ1149" s="77">
        <f t="shared" si="952"/>
        <v>3</v>
      </c>
      <c r="BL1149" s="275" t="s">
        <v>14</v>
      </c>
      <c r="BM1149" s="182">
        <f>SUM(BM1141:BM1148)</f>
        <v>0</v>
      </c>
      <c r="BN1149" s="183">
        <f>SUM(BN1141:BN1148)</f>
        <v>0</v>
      </c>
      <c r="BO1149" s="183">
        <f>SUM(BO1141:BO1148)</f>
        <v>16</v>
      </c>
      <c r="BP1149" s="184">
        <f>SUM(BP1141:BP1148)</f>
        <v>0</v>
      </c>
      <c r="BQ1149" s="77">
        <f t="shared" si="953"/>
        <v>16</v>
      </c>
    </row>
    <row r="1150" spans="1:69" x14ac:dyDescent="0.15">
      <c r="A1150" s="53" t="s">
        <v>100</v>
      </c>
      <c r="B1150" s="54"/>
      <c r="C1150" s="55"/>
      <c r="D1150" s="55"/>
      <c r="E1150" s="55"/>
      <c r="F1150" s="56">
        <f t="shared" ref="F1150:F1168" si="957">SUM(B1150:E1150)</f>
        <v>0</v>
      </c>
      <c r="G1150" s="54"/>
      <c r="H1150" s="55"/>
      <c r="I1150" s="55"/>
      <c r="J1150" s="55"/>
      <c r="K1150" s="56">
        <f t="shared" ref="K1150:K1168" si="958">SUM(G1150:J1150)</f>
        <v>0</v>
      </c>
      <c r="L1150" s="54"/>
      <c r="M1150" s="55">
        <v>1</v>
      </c>
      <c r="N1150" s="55"/>
      <c r="O1150" s="55"/>
      <c r="P1150" s="56">
        <f t="shared" ref="P1150:P1168" si="959">SUM(L1150:O1150)</f>
        <v>1</v>
      </c>
      <c r="Q1150" s="54"/>
      <c r="R1150" s="55"/>
      <c r="S1150" s="55"/>
      <c r="T1150" s="55"/>
      <c r="U1150" s="56">
        <f t="shared" ref="U1150:U1168" si="960">SUM(Q1150:T1150)</f>
        <v>0</v>
      </c>
      <c r="V1150" s="55"/>
      <c r="W1150" s="55"/>
      <c r="X1150" s="55"/>
      <c r="Y1150" s="55"/>
      <c r="Z1150" s="56">
        <f t="shared" ref="Z1150:Z1168" si="961">SUM(V1150:Y1150)</f>
        <v>0</v>
      </c>
      <c r="AA1150" s="56">
        <f t="shared" ref="AA1150:AA1168" si="962">F1150+K1150+P1150+U1150+Z1150</f>
        <v>1</v>
      </c>
      <c r="AB1150" s="298">
        <v>45426</v>
      </c>
      <c r="AC1150" s="276" t="s">
        <v>586</v>
      </c>
      <c r="AD1150" s="54"/>
      <c r="AE1150" s="55"/>
      <c r="AF1150" s="55"/>
      <c r="AG1150" s="55"/>
      <c r="AH1150" s="56">
        <f t="shared" ref="AH1150:AH1173" si="963">SUM(AD1150:AG1150)</f>
        <v>0</v>
      </c>
      <c r="AI1150" s="54"/>
      <c r="AJ1150" s="55"/>
      <c r="AK1150" s="55"/>
      <c r="AL1150" s="55"/>
      <c r="AM1150" s="56">
        <f t="shared" ref="AM1150:AM1173" si="964">SUM(AI1150:AL1150)</f>
        <v>0</v>
      </c>
      <c r="AN1150" s="54"/>
      <c r="AO1150" s="55"/>
      <c r="AP1150" s="55"/>
      <c r="AQ1150" s="55"/>
      <c r="AR1150" s="56">
        <f t="shared" ref="AR1150:AR1173" si="965">SUM(AN1150:AQ1150)</f>
        <v>0</v>
      </c>
      <c r="AS1150" s="54">
        <v>1</v>
      </c>
      <c r="AT1150" s="55">
        <v>1</v>
      </c>
      <c r="AU1150" s="55">
        <v>1</v>
      </c>
      <c r="AV1150" s="55">
        <v>1</v>
      </c>
      <c r="AW1150" s="56">
        <f t="shared" ref="AW1150:AW1173" si="966">SUM(AS1150:AV1150)</f>
        <v>4</v>
      </c>
      <c r="AX1150" s="55"/>
      <c r="AY1150" s="55"/>
      <c r="AZ1150" s="55"/>
      <c r="BA1150" s="55"/>
      <c r="BB1150" s="56">
        <f t="shared" ref="BB1150:BB1173" si="967">SUM(AX1150:BA1150)</f>
        <v>0</v>
      </c>
      <c r="BC1150" s="56">
        <f t="shared" ref="BC1150:BC1173" si="968">AH1150+AM1150+AR1150+AW1150+BB1150</f>
        <v>4</v>
      </c>
      <c r="BD1150" s="298">
        <v>45429</v>
      </c>
      <c r="BE1150" s="277" t="s">
        <v>596</v>
      </c>
      <c r="BF1150" s="54"/>
      <c r="BG1150" s="55"/>
      <c r="BH1150" s="55">
        <v>1</v>
      </c>
      <c r="BI1150" s="55"/>
      <c r="BJ1150" s="56">
        <f t="shared" ref="BJ1150:BJ1152" si="969">SUM(BF1150:BI1150)</f>
        <v>1</v>
      </c>
      <c r="BK1150" s="304">
        <v>45464</v>
      </c>
      <c r="BL1150" s="277"/>
      <c r="BM1150" s="54"/>
      <c r="BN1150" s="55"/>
      <c r="BO1150" s="55"/>
      <c r="BP1150" s="55"/>
      <c r="BQ1150" s="56">
        <f t="shared" ref="BQ1150" si="970">SUM(BM1150:BP1150)</f>
        <v>0</v>
      </c>
    </row>
    <row r="1151" spans="1:69" x14ac:dyDescent="0.15">
      <c r="A1151" s="53" t="s">
        <v>98</v>
      </c>
      <c r="B1151" s="54"/>
      <c r="C1151" s="55"/>
      <c r="D1151" s="55"/>
      <c r="E1151" s="55"/>
      <c r="F1151" s="56">
        <f t="shared" si="957"/>
        <v>0</v>
      </c>
      <c r="G1151" s="54"/>
      <c r="H1151" s="55">
        <v>1</v>
      </c>
      <c r="I1151" s="55"/>
      <c r="J1151" s="55"/>
      <c r="K1151" s="56">
        <f t="shared" si="958"/>
        <v>1</v>
      </c>
      <c r="L1151" s="54"/>
      <c r="M1151" s="55"/>
      <c r="N1151" s="55"/>
      <c r="O1151" s="55"/>
      <c r="P1151" s="56">
        <f t="shared" si="959"/>
        <v>0</v>
      </c>
      <c r="Q1151" s="54"/>
      <c r="R1151" s="55"/>
      <c r="S1151" s="55">
        <v>1</v>
      </c>
      <c r="T1151" s="55">
        <v>1</v>
      </c>
      <c r="U1151" s="56">
        <f t="shared" si="960"/>
        <v>2</v>
      </c>
      <c r="V1151" s="55"/>
      <c r="W1151" s="55"/>
      <c r="X1151" s="55"/>
      <c r="Y1151" s="55"/>
      <c r="Z1151" s="56">
        <f t="shared" si="961"/>
        <v>0</v>
      </c>
      <c r="AA1151" s="56">
        <f t="shared" si="962"/>
        <v>3</v>
      </c>
      <c r="AB1151" s="298">
        <v>45425</v>
      </c>
      <c r="AC1151" s="276" t="s">
        <v>587</v>
      </c>
      <c r="AD1151" s="54"/>
      <c r="AE1151" s="55">
        <v>1</v>
      </c>
      <c r="AF1151" s="55"/>
      <c r="AG1151" s="55"/>
      <c r="AH1151" s="56">
        <f t="shared" si="963"/>
        <v>1</v>
      </c>
      <c r="AI1151" s="54"/>
      <c r="AJ1151" s="55"/>
      <c r="AK1151" s="55"/>
      <c r="AL1151" s="55"/>
      <c r="AM1151" s="56">
        <f t="shared" si="964"/>
        <v>0</v>
      </c>
      <c r="AN1151" s="54"/>
      <c r="AO1151" s="55"/>
      <c r="AP1151" s="55"/>
      <c r="AQ1151" s="55"/>
      <c r="AR1151" s="56">
        <f t="shared" si="965"/>
        <v>0</v>
      </c>
      <c r="AS1151" s="54"/>
      <c r="AT1151" s="55"/>
      <c r="AU1151" s="55">
        <v>1</v>
      </c>
      <c r="AV1151" s="55"/>
      <c r="AW1151" s="56">
        <f t="shared" si="966"/>
        <v>1</v>
      </c>
      <c r="AX1151" s="55"/>
      <c r="AY1151" s="55"/>
      <c r="AZ1151" s="55"/>
      <c r="BA1151" s="55"/>
      <c r="BB1151" s="56">
        <f t="shared" si="967"/>
        <v>0</v>
      </c>
      <c r="BC1151" s="56">
        <f t="shared" si="968"/>
        <v>2</v>
      </c>
      <c r="BD1151" s="298">
        <v>45429</v>
      </c>
      <c r="BE1151" s="277"/>
      <c r="BF1151" s="54"/>
      <c r="BG1151" s="55"/>
      <c r="BH1151" s="55"/>
      <c r="BI1151" s="55"/>
      <c r="BJ1151" s="56">
        <f t="shared" si="969"/>
        <v>0</v>
      </c>
      <c r="BL1151" s="277"/>
      <c r="BM1151" s="54"/>
      <c r="BN1151" s="55"/>
      <c r="BO1151" s="55"/>
      <c r="BP1151" s="55"/>
      <c r="BQ1151" s="56">
        <f t="shared" si="953"/>
        <v>0</v>
      </c>
    </row>
    <row r="1152" spans="1:69" x14ac:dyDescent="0.15">
      <c r="A1152" s="53" t="s">
        <v>98</v>
      </c>
      <c r="B1152" s="54"/>
      <c r="C1152" s="55"/>
      <c r="D1152" s="55"/>
      <c r="E1152" s="55"/>
      <c r="F1152" s="56">
        <f t="shared" si="957"/>
        <v>0</v>
      </c>
      <c r="G1152" s="54"/>
      <c r="H1152" s="55"/>
      <c r="I1152" s="55"/>
      <c r="J1152" s="55"/>
      <c r="K1152" s="56">
        <f t="shared" si="958"/>
        <v>0</v>
      </c>
      <c r="L1152" s="54"/>
      <c r="M1152" s="55"/>
      <c r="N1152" s="55"/>
      <c r="O1152" s="55"/>
      <c r="P1152" s="56">
        <f t="shared" si="959"/>
        <v>0</v>
      </c>
      <c r="Q1152" s="54"/>
      <c r="R1152" s="55"/>
      <c r="S1152" s="55"/>
      <c r="T1152" s="55">
        <v>1</v>
      </c>
      <c r="U1152" s="56">
        <f t="shared" si="960"/>
        <v>1</v>
      </c>
      <c r="V1152" s="55"/>
      <c r="W1152" s="55"/>
      <c r="X1152" s="55"/>
      <c r="Y1152" s="55"/>
      <c r="Z1152" s="56">
        <f t="shared" si="961"/>
        <v>0</v>
      </c>
      <c r="AA1152" s="56">
        <f t="shared" si="962"/>
        <v>1</v>
      </c>
      <c r="AB1152" s="298">
        <v>45426</v>
      </c>
      <c r="AC1152" s="276" t="s">
        <v>370</v>
      </c>
      <c r="AD1152" s="54"/>
      <c r="AE1152" s="55"/>
      <c r="AF1152" s="55"/>
      <c r="AG1152" s="55"/>
      <c r="AH1152" s="56">
        <f t="shared" si="963"/>
        <v>0</v>
      </c>
      <c r="AI1152" s="54"/>
      <c r="AJ1152" s="55"/>
      <c r="AK1152" s="55"/>
      <c r="AL1152" s="55"/>
      <c r="AM1152" s="56">
        <f t="shared" si="964"/>
        <v>0</v>
      </c>
      <c r="AN1152" s="54"/>
      <c r="AO1152" s="55"/>
      <c r="AP1152" s="55"/>
      <c r="AQ1152" s="55"/>
      <c r="AR1152" s="56">
        <f t="shared" si="965"/>
        <v>0</v>
      </c>
      <c r="AS1152" s="54"/>
      <c r="AT1152" s="55">
        <v>2</v>
      </c>
      <c r="AU1152" s="55"/>
      <c r="AV1152" s="55"/>
      <c r="AW1152" s="56">
        <f t="shared" si="966"/>
        <v>2</v>
      </c>
      <c r="AX1152" s="55"/>
      <c r="AY1152" s="55"/>
      <c r="AZ1152" s="55"/>
      <c r="BA1152" s="55"/>
      <c r="BB1152" s="56">
        <f t="shared" si="967"/>
        <v>0</v>
      </c>
      <c r="BC1152" s="56">
        <f t="shared" si="968"/>
        <v>2</v>
      </c>
      <c r="BD1152" s="298">
        <v>45434</v>
      </c>
      <c r="BE1152" s="277"/>
      <c r="BF1152" s="54"/>
      <c r="BG1152" s="55"/>
      <c r="BH1152" s="55"/>
      <c r="BI1152" s="55"/>
      <c r="BJ1152" s="56">
        <f t="shared" si="969"/>
        <v>0</v>
      </c>
      <c r="BL1152" s="277"/>
      <c r="BM1152" s="54"/>
      <c r="BN1152" s="55"/>
      <c r="BO1152" s="55"/>
      <c r="BP1152" s="55"/>
      <c r="BQ1152" s="56">
        <f t="shared" si="953"/>
        <v>0</v>
      </c>
    </row>
    <row r="1153" spans="1:69" x14ac:dyDescent="0.15">
      <c r="A1153" s="53" t="s">
        <v>98</v>
      </c>
      <c r="B1153" s="54"/>
      <c r="C1153" s="55"/>
      <c r="D1153" s="55"/>
      <c r="E1153" s="55"/>
      <c r="F1153" s="56">
        <f t="shared" si="957"/>
        <v>0</v>
      </c>
      <c r="G1153" s="54"/>
      <c r="H1153" s="55"/>
      <c r="I1153" s="55"/>
      <c r="J1153" s="55"/>
      <c r="K1153" s="56">
        <f t="shared" si="958"/>
        <v>0</v>
      </c>
      <c r="L1153" s="54"/>
      <c r="M1153" s="55"/>
      <c r="N1153" s="55">
        <v>1</v>
      </c>
      <c r="O1153" s="55"/>
      <c r="P1153" s="56">
        <f t="shared" si="959"/>
        <v>1</v>
      </c>
      <c r="Q1153" s="54"/>
      <c r="R1153" s="55"/>
      <c r="S1153" s="55"/>
      <c r="T1153" s="55"/>
      <c r="U1153" s="56">
        <f t="shared" si="960"/>
        <v>0</v>
      </c>
      <c r="V1153" s="55"/>
      <c r="W1153" s="55"/>
      <c r="X1153" s="55"/>
      <c r="Y1153" s="55"/>
      <c r="Z1153" s="56">
        <f t="shared" si="961"/>
        <v>0</v>
      </c>
      <c r="AA1153" s="56">
        <f t="shared" si="962"/>
        <v>1</v>
      </c>
      <c r="AB1153" s="298">
        <v>45427</v>
      </c>
      <c r="AC1153" s="276" t="s">
        <v>347</v>
      </c>
      <c r="AD1153" s="54"/>
      <c r="AE1153" s="55"/>
      <c r="AF1153" s="55"/>
      <c r="AG1153" s="55"/>
      <c r="AH1153" s="56">
        <f t="shared" si="963"/>
        <v>0</v>
      </c>
      <c r="AI1153" s="54">
        <v>2</v>
      </c>
      <c r="AJ1153" s="55"/>
      <c r="AK1153" s="55"/>
      <c r="AL1153" s="55">
        <v>2</v>
      </c>
      <c r="AM1153" s="56">
        <f t="shared" si="964"/>
        <v>4</v>
      </c>
      <c r="AN1153" s="54"/>
      <c r="AO1153" s="55"/>
      <c r="AP1153" s="55"/>
      <c r="AQ1153" s="55"/>
      <c r="AR1153" s="56">
        <f t="shared" si="965"/>
        <v>0</v>
      </c>
      <c r="AS1153" s="54"/>
      <c r="AT1153" s="55"/>
      <c r="AU1153" s="55"/>
      <c r="AV1153" s="55"/>
      <c r="AW1153" s="56">
        <f t="shared" si="966"/>
        <v>0</v>
      </c>
      <c r="AX1153" s="55"/>
      <c r="AY1153" s="55"/>
      <c r="AZ1153" s="55"/>
      <c r="BA1153" s="55"/>
      <c r="BB1153" s="56">
        <f t="shared" si="967"/>
        <v>0</v>
      </c>
      <c r="BC1153" s="56">
        <f t="shared" si="968"/>
        <v>4</v>
      </c>
      <c r="BD1153" s="298">
        <v>45434</v>
      </c>
      <c r="BE1153" s="277"/>
      <c r="BF1153" s="54"/>
      <c r="BG1153" s="55"/>
      <c r="BH1153" s="55"/>
      <c r="BI1153" s="55"/>
      <c r="BJ1153" s="56">
        <f t="shared" si="952"/>
        <v>0</v>
      </c>
      <c r="BL1153" s="277"/>
      <c r="BM1153" s="54"/>
      <c r="BN1153" s="55"/>
      <c r="BO1153" s="55"/>
      <c r="BP1153" s="55"/>
      <c r="BQ1153" s="56">
        <f t="shared" si="953"/>
        <v>0</v>
      </c>
    </row>
    <row r="1154" spans="1:69" x14ac:dyDescent="0.15">
      <c r="A1154" s="53" t="s">
        <v>98</v>
      </c>
      <c r="B1154" s="54"/>
      <c r="C1154" s="55"/>
      <c r="D1154" s="55"/>
      <c r="E1154" s="55"/>
      <c r="F1154" s="56">
        <f t="shared" si="957"/>
        <v>0</v>
      </c>
      <c r="G1154" s="54"/>
      <c r="H1154" s="55">
        <v>1</v>
      </c>
      <c r="I1154" s="55"/>
      <c r="J1154" s="55"/>
      <c r="K1154" s="56">
        <f t="shared" si="958"/>
        <v>1</v>
      </c>
      <c r="L1154" s="54"/>
      <c r="M1154" s="55"/>
      <c r="N1154" s="55"/>
      <c r="O1154" s="55"/>
      <c r="P1154" s="56">
        <f t="shared" si="959"/>
        <v>0</v>
      </c>
      <c r="Q1154" s="54"/>
      <c r="R1154" s="55"/>
      <c r="S1154" s="55"/>
      <c r="T1154" s="55"/>
      <c r="U1154" s="56">
        <f t="shared" si="960"/>
        <v>0</v>
      </c>
      <c r="V1154" s="55"/>
      <c r="W1154" s="55"/>
      <c r="X1154" s="55"/>
      <c r="Y1154" s="55"/>
      <c r="Z1154" s="56">
        <f t="shared" si="961"/>
        <v>0</v>
      </c>
      <c r="AA1154" s="56">
        <f t="shared" si="962"/>
        <v>1</v>
      </c>
      <c r="AB1154" s="298">
        <v>45428</v>
      </c>
      <c r="AC1154" s="276" t="s">
        <v>99</v>
      </c>
      <c r="AD1154" s="54"/>
      <c r="AE1154" s="55"/>
      <c r="AF1154" s="55"/>
      <c r="AG1154" s="55"/>
      <c r="AH1154" s="56">
        <f t="shared" si="963"/>
        <v>0</v>
      </c>
      <c r="AI1154" s="54"/>
      <c r="AJ1154" s="55">
        <v>3</v>
      </c>
      <c r="AK1154" s="55"/>
      <c r="AL1154" s="55"/>
      <c r="AM1154" s="56">
        <f t="shared" si="964"/>
        <v>3</v>
      </c>
      <c r="AN1154" s="54"/>
      <c r="AO1154" s="55"/>
      <c r="AP1154" s="55"/>
      <c r="AQ1154" s="55"/>
      <c r="AR1154" s="56">
        <f t="shared" si="965"/>
        <v>0</v>
      </c>
      <c r="AS1154" s="54"/>
      <c r="AT1154" s="55"/>
      <c r="AU1154" s="55"/>
      <c r="AV1154" s="55"/>
      <c r="AW1154" s="56">
        <f t="shared" si="966"/>
        <v>0</v>
      </c>
      <c r="AX1154" s="55"/>
      <c r="AY1154" s="55"/>
      <c r="AZ1154" s="55"/>
      <c r="BA1154" s="55"/>
      <c r="BB1154" s="56">
        <f t="shared" si="967"/>
        <v>0</v>
      </c>
      <c r="BC1154" s="56">
        <f t="shared" si="968"/>
        <v>3</v>
      </c>
      <c r="BD1154" s="298">
        <v>45433</v>
      </c>
      <c r="BE1154" s="277"/>
      <c r="BF1154" s="54"/>
      <c r="BG1154" s="55"/>
      <c r="BH1154" s="55"/>
      <c r="BI1154" s="55"/>
      <c r="BJ1154" s="56">
        <f t="shared" si="952"/>
        <v>0</v>
      </c>
      <c r="BL1154" s="277"/>
      <c r="BM1154" s="54"/>
      <c r="BN1154" s="55"/>
      <c r="BO1154" s="55"/>
      <c r="BP1154" s="55"/>
      <c r="BQ1154" s="56">
        <f t="shared" si="953"/>
        <v>0</v>
      </c>
    </row>
    <row r="1155" spans="1:69" x14ac:dyDescent="0.15">
      <c r="A1155" s="53" t="s">
        <v>98</v>
      </c>
      <c r="B1155" s="54">
        <v>1</v>
      </c>
      <c r="C1155" s="55"/>
      <c r="D1155" s="55"/>
      <c r="E1155" s="55"/>
      <c r="F1155" s="56">
        <f t="shared" si="957"/>
        <v>1</v>
      </c>
      <c r="G1155" s="54"/>
      <c r="H1155" s="55"/>
      <c r="I1155" s="55"/>
      <c r="J1155" s="55"/>
      <c r="K1155" s="56">
        <f t="shared" si="958"/>
        <v>0</v>
      </c>
      <c r="L1155" s="54"/>
      <c r="M1155" s="55"/>
      <c r="N1155" s="55"/>
      <c r="O1155" s="55"/>
      <c r="P1155" s="56">
        <f t="shared" si="959"/>
        <v>0</v>
      </c>
      <c r="Q1155" s="54"/>
      <c r="R1155" s="55"/>
      <c r="S1155" s="55"/>
      <c r="T1155" s="55"/>
      <c r="U1155" s="56">
        <f t="shared" si="960"/>
        <v>0</v>
      </c>
      <c r="V1155" s="55"/>
      <c r="W1155" s="55"/>
      <c r="X1155" s="55"/>
      <c r="Y1155" s="55"/>
      <c r="Z1155" s="56">
        <f t="shared" si="961"/>
        <v>0</v>
      </c>
      <c r="AA1155" s="56">
        <f t="shared" si="962"/>
        <v>1</v>
      </c>
      <c r="AB1155" s="298">
        <v>45430</v>
      </c>
      <c r="AC1155" s="276" t="s">
        <v>99</v>
      </c>
      <c r="AD1155" s="54">
        <v>2</v>
      </c>
      <c r="AE1155" s="55">
        <v>2</v>
      </c>
      <c r="AF1155" s="55"/>
      <c r="AG1155" s="55"/>
      <c r="AH1155" s="56">
        <f t="shared" ref="AH1155" si="971">SUM(AD1155:AG1155)</f>
        <v>4</v>
      </c>
      <c r="AI1155" s="54"/>
      <c r="AJ1155" s="55"/>
      <c r="AK1155" s="55">
        <v>2</v>
      </c>
      <c r="AL1155" s="55"/>
      <c r="AM1155" s="56">
        <f t="shared" ref="AM1155" si="972">SUM(AI1155:AL1155)</f>
        <v>2</v>
      </c>
      <c r="AN1155" s="54"/>
      <c r="AO1155" s="55"/>
      <c r="AP1155" s="55"/>
      <c r="AQ1155" s="55"/>
      <c r="AR1155" s="56">
        <f t="shared" ref="AR1155" si="973">SUM(AN1155:AQ1155)</f>
        <v>0</v>
      </c>
      <c r="AS1155" s="54"/>
      <c r="AT1155" s="55"/>
      <c r="AU1155" s="55"/>
      <c r="AV1155" s="55">
        <v>2</v>
      </c>
      <c r="AW1155" s="56">
        <f t="shared" ref="AW1155" si="974">SUM(AS1155:AV1155)</f>
        <v>2</v>
      </c>
      <c r="AX1155" s="55"/>
      <c r="AY1155" s="55">
        <v>2</v>
      </c>
      <c r="AZ1155" s="55"/>
      <c r="BA1155" s="55"/>
      <c r="BB1155" s="56">
        <f t="shared" ref="BB1155" si="975">SUM(AX1155:BA1155)</f>
        <v>2</v>
      </c>
      <c r="BC1155" s="56">
        <f t="shared" si="968"/>
        <v>10</v>
      </c>
      <c r="BD1155" s="298">
        <v>45437</v>
      </c>
      <c r="BE1155" s="277"/>
      <c r="BF1155" s="54"/>
      <c r="BG1155" s="55"/>
      <c r="BH1155" s="55"/>
      <c r="BI1155" s="55"/>
      <c r="BJ1155" s="56">
        <f t="shared" si="952"/>
        <v>0</v>
      </c>
      <c r="BL1155" s="277"/>
      <c r="BM1155" s="54"/>
      <c r="BN1155" s="55"/>
      <c r="BO1155" s="55"/>
      <c r="BP1155" s="55"/>
      <c r="BQ1155" s="56">
        <f t="shared" si="953"/>
        <v>0</v>
      </c>
    </row>
    <row r="1156" spans="1:69" x14ac:dyDescent="0.15">
      <c r="A1156" s="53" t="s">
        <v>98</v>
      </c>
      <c r="B1156" s="54"/>
      <c r="C1156" s="55"/>
      <c r="D1156" s="55"/>
      <c r="E1156" s="55"/>
      <c r="F1156" s="56">
        <f t="shared" si="957"/>
        <v>0</v>
      </c>
      <c r="G1156" s="54"/>
      <c r="H1156" s="55">
        <v>1</v>
      </c>
      <c r="I1156" s="55"/>
      <c r="J1156" s="55"/>
      <c r="K1156" s="56">
        <f t="shared" si="958"/>
        <v>1</v>
      </c>
      <c r="L1156" s="54"/>
      <c r="M1156" s="55"/>
      <c r="N1156" s="55"/>
      <c r="O1156" s="55"/>
      <c r="P1156" s="56">
        <f t="shared" si="959"/>
        <v>0</v>
      </c>
      <c r="Q1156" s="54"/>
      <c r="R1156" s="55"/>
      <c r="S1156" s="55"/>
      <c r="T1156" s="55"/>
      <c r="U1156" s="56">
        <f t="shared" si="960"/>
        <v>0</v>
      </c>
      <c r="V1156" s="55"/>
      <c r="W1156" s="55"/>
      <c r="X1156" s="55"/>
      <c r="Y1156" s="55"/>
      <c r="Z1156" s="56">
        <f t="shared" si="961"/>
        <v>0</v>
      </c>
      <c r="AA1156" s="56">
        <f t="shared" si="962"/>
        <v>1</v>
      </c>
      <c r="AB1156" s="299">
        <v>45432</v>
      </c>
      <c r="AC1156" s="276" t="s">
        <v>589</v>
      </c>
      <c r="AD1156" s="54"/>
      <c r="AE1156" s="55"/>
      <c r="AF1156" s="55"/>
      <c r="AG1156" s="55"/>
      <c r="AH1156" s="56">
        <f t="shared" si="963"/>
        <v>0</v>
      </c>
      <c r="AI1156" s="54">
        <v>1</v>
      </c>
      <c r="AJ1156" s="55">
        <v>1</v>
      </c>
      <c r="AK1156" s="55"/>
      <c r="AL1156" s="55"/>
      <c r="AM1156" s="56">
        <f t="shared" si="964"/>
        <v>2</v>
      </c>
      <c r="AN1156" s="54"/>
      <c r="AO1156" s="55"/>
      <c r="AP1156" s="55"/>
      <c r="AQ1156" s="55"/>
      <c r="AR1156" s="56">
        <f t="shared" si="965"/>
        <v>0</v>
      </c>
      <c r="AS1156" s="54"/>
      <c r="AT1156" s="55">
        <v>1</v>
      </c>
      <c r="AU1156" s="55"/>
      <c r="AV1156" s="55"/>
      <c r="AW1156" s="56">
        <f t="shared" si="966"/>
        <v>1</v>
      </c>
      <c r="AX1156" s="55"/>
      <c r="AY1156" s="55"/>
      <c r="AZ1156" s="55"/>
      <c r="BA1156" s="55"/>
      <c r="BB1156" s="56">
        <f t="shared" si="967"/>
        <v>0</v>
      </c>
      <c r="BC1156" s="56">
        <f t="shared" si="968"/>
        <v>3</v>
      </c>
      <c r="BD1156" s="298">
        <v>45443</v>
      </c>
      <c r="BE1156" s="277"/>
      <c r="BF1156" s="54"/>
      <c r="BG1156" s="55"/>
      <c r="BH1156" s="55"/>
      <c r="BI1156" s="55"/>
      <c r="BJ1156" s="56">
        <f t="shared" si="952"/>
        <v>0</v>
      </c>
      <c r="BL1156" s="277"/>
      <c r="BM1156" s="54"/>
      <c r="BN1156" s="55"/>
      <c r="BO1156" s="55"/>
      <c r="BP1156" s="55"/>
      <c r="BQ1156" s="56">
        <f t="shared" si="953"/>
        <v>0</v>
      </c>
    </row>
    <row r="1157" spans="1:69" x14ac:dyDescent="0.15">
      <c r="A1157" s="53" t="s">
        <v>98</v>
      </c>
      <c r="B1157" s="54"/>
      <c r="C1157" s="55"/>
      <c r="D1157" s="55"/>
      <c r="E1157" s="55"/>
      <c r="F1157" s="56">
        <f t="shared" si="957"/>
        <v>0</v>
      </c>
      <c r="G1157" s="54"/>
      <c r="H1157" s="55"/>
      <c r="I1157" s="55"/>
      <c r="J1157" s="55"/>
      <c r="K1157" s="56">
        <f t="shared" si="958"/>
        <v>0</v>
      </c>
      <c r="L1157" s="54"/>
      <c r="M1157" s="55"/>
      <c r="N1157" s="55"/>
      <c r="O1157" s="55"/>
      <c r="P1157" s="56">
        <f t="shared" si="959"/>
        <v>0</v>
      </c>
      <c r="Q1157" s="54"/>
      <c r="R1157" s="55"/>
      <c r="S1157" s="55"/>
      <c r="T1157" s="55">
        <v>1</v>
      </c>
      <c r="U1157" s="56">
        <f t="shared" si="960"/>
        <v>1</v>
      </c>
      <c r="V1157" s="55"/>
      <c r="W1157" s="55"/>
      <c r="X1157" s="55"/>
      <c r="Y1157" s="55"/>
      <c r="Z1157" s="56">
        <f t="shared" si="961"/>
        <v>0</v>
      </c>
      <c r="AA1157" s="56">
        <f t="shared" si="962"/>
        <v>1</v>
      </c>
      <c r="AB1157" s="299">
        <v>45436</v>
      </c>
      <c r="AC1157" s="276" t="s">
        <v>590</v>
      </c>
      <c r="AD1157" s="54"/>
      <c r="AE1157" s="55"/>
      <c r="AF1157" s="55"/>
      <c r="AG1157" s="55"/>
      <c r="AH1157" s="56">
        <f t="shared" si="963"/>
        <v>0</v>
      </c>
      <c r="AI1157" s="54"/>
      <c r="AJ1157" s="55">
        <v>1</v>
      </c>
      <c r="AK1157" s="55"/>
      <c r="AL1157" s="55"/>
      <c r="AM1157" s="56">
        <f t="shared" si="964"/>
        <v>1</v>
      </c>
      <c r="AN1157" s="54"/>
      <c r="AO1157" s="55"/>
      <c r="AP1157" s="55"/>
      <c r="AQ1157" s="55"/>
      <c r="AR1157" s="56">
        <f t="shared" si="965"/>
        <v>0</v>
      </c>
      <c r="AS1157" s="54"/>
      <c r="AT1157" s="55"/>
      <c r="AU1157" s="55"/>
      <c r="AV1157" s="55">
        <v>1</v>
      </c>
      <c r="AW1157" s="56">
        <f t="shared" si="966"/>
        <v>1</v>
      </c>
      <c r="AX1157" s="55"/>
      <c r="AY1157" s="55"/>
      <c r="AZ1157" s="55"/>
      <c r="BA1157" s="55"/>
      <c r="BB1157" s="56">
        <f t="shared" si="967"/>
        <v>0</v>
      </c>
      <c r="BC1157" s="56">
        <f t="shared" si="968"/>
        <v>2</v>
      </c>
      <c r="BD1157" s="298">
        <v>45443</v>
      </c>
      <c r="BE1157" s="277"/>
      <c r="BF1157" s="54"/>
      <c r="BG1157" s="55"/>
      <c r="BH1157" s="55"/>
      <c r="BI1157" s="55"/>
      <c r="BJ1157" s="56">
        <f t="shared" si="952"/>
        <v>0</v>
      </c>
      <c r="BL1157" s="277"/>
      <c r="BM1157" s="54"/>
      <c r="BN1157" s="55"/>
      <c r="BO1157" s="55"/>
      <c r="BP1157" s="55"/>
      <c r="BQ1157" s="56">
        <f t="shared" si="953"/>
        <v>0</v>
      </c>
    </row>
    <row r="1158" spans="1:69" x14ac:dyDescent="0.15">
      <c r="A1158" s="53" t="s">
        <v>98</v>
      </c>
      <c r="B1158" s="54"/>
      <c r="C1158" s="55"/>
      <c r="D1158" s="55">
        <v>2</v>
      </c>
      <c r="E1158" s="55"/>
      <c r="F1158" s="56">
        <f t="shared" si="957"/>
        <v>2</v>
      </c>
      <c r="G1158" s="54"/>
      <c r="H1158" s="55"/>
      <c r="I1158" s="55"/>
      <c r="J1158" s="55"/>
      <c r="K1158" s="56">
        <f t="shared" si="958"/>
        <v>0</v>
      </c>
      <c r="L1158" s="54"/>
      <c r="M1158" s="55"/>
      <c r="N1158" s="55"/>
      <c r="O1158" s="55">
        <v>1</v>
      </c>
      <c r="P1158" s="56">
        <f t="shared" si="959"/>
        <v>1</v>
      </c>
      <c r="Q1158" s="54">
        <v>1</v>
      </c>
      <c r="R1158" s="55"/>
      <c r="S1158" s="55"/>
      <c r="T1158" s="55"/>
      <c r="U1158" s="56">
        <f t="shared" si="960"/>
        <v>1</v>
      </c>
      <c r="V1158" s="55"/>
      <c r="W1158" s="55"/>
      <c r="X1158" s="55"/>
      <c r="Y1158" s="55"/>
      <c r="Z1158" s="56">
        <f t="shared" si="961"/>
        <v>0</v>
      </c>
      <c r="AA1158" s="56">
        <f t="shared" si="962"/>
        <v>4</v>
      </c>
      <c r="AB1158" s="299">
        <v>45439</v>
      </c>
      <c r="AC1158" s="276" t="s">
        <v>99</v>
      </c>
      <c r="AD1158" s="54"/>
      <c r="AE1158" s="55"/>
      <c r="AF1158" s="55">
        <v>3</v>
      </c>
      <c r="AG1158" s="55">
        <v>3</v>
      </c>
      <c r="AH1158" s="56">
        <f t="shared" si="963"/>
        <v>6</v>
      </c>
      <c r="AI1158" s="54"/>
      <c r="AJ1158" s="55"/>
      <c r="AK1158" s="55"/>
      <c r="AL1158" s="55"/>
      <c r="AM1158" s="56">
        <f t="shared" ref="AM1158" si="976">SUM(AI1158:AL1158)</f>
        <v>0</v>
      </c>
      <c r="AN1158" s="54"/>
      <c r="AO1158" s="55"/>
      <c r="AP1158" s="55">
        <v>3</v>
      </c>
      <c r="AQ1158" s="55">
        <v>3</v>
      </c>
      <c r="AR1158" s="56">
        <f t="shared" ref="AR1158" si="977">SUM(AN1158:AQ1158)</f>
        <v>6</v>
      </c>
      <c r="AS1158" s="54">
        <v>3</v>
      </c>
      <c r="AT1158" s="55"/>
      <c r="AU1158" s="55"/>
      <c r="AV1158" s="55"/>
      <c r="AW1158" s="56">
        <f t="shared" ref="AW1158" si="978">SUM(AS1158:AV1158)</f>
        <v>3</v>
      </c>
      <c r="AX1158" s="55"/>
      <c r="AY1158" s="55"/>
      <c r="AZ1158" s="55"/>
      <c r="BA1158" s="55"/>
      <c r="BB1158" s="56">
        <f t="shared" ref="BB1158" si="979">SUM(AX1158:BA1158)</f>
        <v>0</v>
      </c>
      <c r="BC1158" s="56">
        <f t="shared" si="968"/>
        <v>15</v>
      </c>
      <c r="BD1158" s="298">
        <v>45444</v>
      </c>
      <c r="BE1158" s="277"/>
      <c r="BF1158" s="54"/>
      <c r="BG1158" s="55"/>
      <c r="BH1158" s="55"/>
      <c r="BI1158" s="55"/>
      <c r="BJ1158" s="56">
        <f t="shared" si="952"/>
        <v>0</v>
      </c>
      <c r="BL1158" s="277"/>
      <c r="BM1158" s="54"/>
      <c r="BN1158" s="55"/>
      <c r="BO1158" s="55"/>
      <c r="BP1158" s="55"/>
      <c r="BQ1158" s="56">
        <f t="shared" si="953"/>
        <v>0</v>
      </c>
    </row>
    <row r="1159" spans="1:69" x14ac:dyDescent="0.15">
      <c r="A1159" s="53" t="s">
        <v>98</v>
      </c>
      <c r="B1159" s="54"/>
      <c r="C1159" s="55"/>
      <c r="D1159" s="55"/>
      <c r="E1159" s="55">
        <v>1</v>
      </c>
      <c r="F1159" s="56">
        <f t="shared" si="957"/>
        <v>1</v>
      </c>
      <c r="G1159" s="54"/>
      <c r="H1159" s="55"/>
      <c r="I1159" s="55"/>
      <c r="J1159" s="55"/>
      <c r="K1159" s="56">
        <f t="shared" si="958"/>
        <v>0</v>
      </c>
      <c r="L1159" s="54"/>
      <c r="M1159" s="55"/>
      <c r="N1159" s="55"/>
      <c r="O1159" s="55"/>
      <c r="P1159" s="56">
        <f t="shared" si="959"/>
        <v>0</v>
      </c>
      <c r="Q1159" s="54"/>
      <c r="R1159" s="55"/>
      <c r="S1159" s="55"/>
      <c r="T1159" s="55"/>
      <c r="U1159" s="56">
        <f t="shared" si="960"/>
        <v>0</v>
      </c>
      <c r="V1159" s="55"/>
      <c r="W1159" s="55"/>
      <c r="X1159" s="55"/>
      <c r="Y1159" s="55"/>
      <c r="Z1159" s="56">
        <f t="shared" si="961"/>
        <v>0</v>
      </c>
      <c r="AA1159" s="56">
        <f t="shared" si="962"/>
        <v>1</v>
      </c>
      <c r="AB1159" s="299">
        <v>45442</v>
      </c>
      <c r="AC1159" s="276" t="s">
        <v>591</v>
      </c>
      <c r="AD1159" s="54"/>
      <c r="AE1159" s="55"/>
      <c r="AF1159" s="55"/>
      <c r="AG1159" s="55"/>
      <c r="AH1159" s="56">
        <f t="shared" si="963"/>
        <v>0</v>
      </c>
      <c r="AI1159" s="54"/>
      <c r="AJ1159" s="55"/>
      <c r="AK1159" s="55">
        <v>1</v>
      </c>
      <c r="AL1159" s="55"/>
      <c r="AM1159" s="56">
        <f t="shared" si="964"/>
        <v>1</v>
      </c>
      <c r="AN1159" s="54"/>
      <c r="AO1159" s="55"/>
      <c r="AP1159" s="55"/>
      <c r="AQ1159" s="55"/>
      <c r="AR1159" s="56">
        <f t="shared" si="965"/>
        <v>0</v>
      </c>
      <c r="AS1159" s="54">
        <v>1</v>
      </c>
      <c r="AT1159" s="55"/>
      <c r="AU1159" s="55">
        <v>1</v>
      </c>
      <c r="AV1159" s="55"/>
      <c r="AW1159" s="56">
        <f t="shared" si="966"/>
        <v>2</v>
      </c>
      <c r="AX1159" s="55"/>
      <c r="AY1159" s="55"/>
      <c r="AZ1159" s="55"/>
      <c r="BA1159" s="55"/>
      <c r="BB1159" s="56">
        <f t="shared" si="967"/>
        <v>0</v>
      </c>
      <c r="BC1159" s="56">
        <f t="shared" si="968"/>
        <v>3</v>
      </c>
      <c r="BD1159" s="298">
        <v>45450</v>
      </c>
      <c r="BE1159" s="277"/>
      <c r="BF1159" s="54"/>
      <c r="BG1159" s="55"/>
      <c r="BH1159" s="55"/>
      <c r="BI1159" s="55"/>
      <c r="BJ1159" s="56">
        <f t="shared" si="952"/>
        <v>0</v>
      </c>
      <c r="BL1159" s="277"/>
      <c r="BM1159" s="54"/>
      <c r="BN1159" s="55"/>
      <c r="BO1159" s="55"/>
      <c r="BP1159" s="55"/>
      <c r="BQ1159" s="56">
        <f t="shared" si="953"/>
        <v>0</v>
      </c>
    </row>
    <row r="1160" spans="1:69" x14ac:dyDescent="0.15">
      <c r="A1160" s="53" t="s">
        <v>98</v>
      </c>
      <c r="B1160" s="54"/>
      <c r="C1160" s="55"/>
      <c r="D1160" s="55"/>
      <c r="E1160" s="55"/>
      <c r="F1160" s="56">
        <f t="shared" si="957"/>
        <v>0</v>
      </c>
      <c r="G1160" s="54"/>
      <c r="H1160" s="55"/>
      <c r="I1160" s="55"/>
      <c r="J1160" s="55"/>
      <c r="K1160" s="56">
        <f t="shared" si="958"/>
        <v>0</v>
      </c>
      <c r="L1160" s="54"/>
      <c r="M1160" s="55"/>
      <c r="N1160" s="55"/>
      <c r="O1160" s="55">
        <v>1</v>
      </c>
      <c r="P1160" s="56">
        <f t="shared" si="959"/>
        <v>1</v>
      </c>
      <c r="Q1160" s="54"/>
      <c r="R1160" s="55"/>
      <c r="S1160" s="55"/>
      <c r="T1160" s="55">
        <v>1</v>
      </c>
      <c r="U1160" s="56">
        <f t="shared" si="960"/>
        <v>1</v>
      </c>
      <c r="V1160" s="55"/>
      <c r="W1160" s="55"/>
      <c r="X1160" s="55"/>
      <c r="Y1160" s="55"/>
      <c r="Z1160" s="56">
        <f t="shared" si="961"/>
        <v>0</v>
      </c>
      <c r="AA1160" s="56">
        <f t="shared" si="962"/>
        <v>2</v>
      </c>
      <c r="AB1160" s="299">
        <v>45446</v>
      </c>
      <c r="AC1160" s="276" t="s">
        <v>372</v>
      </c>
      <c r="AD1160" s="54"/>
      <c r="AE1160" s="55"/>
      <c r="AF1160" s="55"/>
      <c r="AG1160" s="55"/>
      <c r="AH1160" s="56">
        <f t="shared" si="963"/>
        <v>0</v>
      </c>
      <c r="AI1160" s="54">
        <v>4</v>
      </c>
      <c r="AJ1160" s="55"/>
      <c r="AK1160" s="55"/>
      <c r="AL1160" s="55"/>
      <c r="AM1160" s="56">
        <f t="shared" si="964"/>
        <v>4</v>
      </c>
      <c r="AN1160" s="54"/>
      <c r="AO1160" s="55"/>
      <c r="AP1160" s="55"/>
      <c r="AQ1160" s="55"/>
      <c r="AR1160" s="56">
        <f t="shared" si="965"/>
        <v>0</v>
      </c>
      <c r="AS1160" s="54"/>
      <c r="AT1160" s="55">
        <v>4</v>
      </c>
      <c r="AU1160" s="55"/>
      <c r="AV1160" s="55"/>
      <c r="AW1160" s="56">
        <f t="shared" si="966"/>
        <v>4</v>
      </c>
      <c r="AX1160" s="55"/>
      <c r="AY1160" s="55"/>
      <c r="AZ1160" s="55"/>
      <c r="BA1160" s="55"/>
      <c r="BB1160" s="56">
        <f t="shared" si="967"/>
        <v>0</v>
      </c>
      <c r="BC1160" s="56">
        <f t="shared" si="968"/>
        <v>8</v>
      </c>
      <c r="BD1160" s="298">
        <v>45453</v>
      </c>
      <c r="BE1160" s="277"/>
      <c r="BF1160" s="54"/>
      <c r="BG1160" s="55"/>
      <c r="BH1160" s="55"/>
      <c r="BI1160" s="55"/>
      <c r="BJ1160" s="56">
        <f t="shared" si="952"/>
        <v>0</v>
      </c>
      <c r="BL1160" s="277"/>
      <c r="BM1160" s="54"/>
      <c r="BN1160" s="55"/>
      <c r="BO1160" s="55"/>
      <c r="BP1160" s="55"/>
      <c r="BQ1160" s="56">
        <f t="shared" si="953"/>
        <v>0</v>
      </c>
    </row>
    <row r="1161" spans="1:69" x14ac:dyDescent="0.15">
      <c r="A1161" s="53" t="s">
        <v>98</v>
      </c>
      <c r="B1161" s="54"/>
      <c r="C1161" s="55">
        <v>1</v>
      </c>
      <c r="D1161" s="55"/>
      <c r="E1161" s="55"/>
      <c r="F1161" s="56">
        <f t="shared" si="957"/>
        <v>1</v>
      </c>
      <c r="G1161" s="54"/>
      <c r="H1161" s="55"/>
      <c r="I1161" s="55">
        <v>2</v>
      </c>
      <c r="J1161" s="55"/>
      <c r="K1161" s="56">
        <f t="shared" si="958"/>
        <v>2</v>
      </c>
      <c r="L1161" s="54"/>
      <c r="M1161" s="55"/>
      <c r="N1161" s="55"/>
      <c r="O1161" s="55"/>
      <c r="P1161" s="56">
        <f t="shared" si="959"/>
        <v>0</v>
      </c>
      <c r="Q1161" s="54"/>
      <c r="R1161" s="55"/>
      <c r="S1161" s="55"/>
      <c r="T1161" s="55"/>
      <c r="U1161" s="56">
        <f t="shared" si="960"/>
        <v>0</v>
      </c>
      <c r="V1161" s="55"/>
      <c r="W1161" s="55"/>
      <c r="X1161" s="55"/>
      <c r="Y1161" s="55"/>
      <c r="Z1161" s="56">
        <f t="shared" si="961"/>
        <v>0</v>
      </c>
      <c r="AA1161" s="56">
        <f t="shared" si="962"/>
        <v>3</v>
      </c>
      <c r="AB1161" s="299">
        <v>45448</v>
      </c>
      <c r="AC1161" s="276" t="s">
        <v>99</v>
      </c>
      <c r="AD1161" s="54"/>
      <c r="AE1161" s="55"/>
      <c r="AF1161" s="55"/>
      <c r="AG1161" s="55"/>
      <c r="AH1161" s="56">
        <f t="shared" si="963"/>
        <v>0</v>
      </c>
      <c r="AI1161" s="54"/>
      <c r="AJ1161" s="55">
        <v>2</v>
      </c>
      <c r="AK1161" s="55">
        <v>2</v>
      </c>
      <c r="AL1161" s="55"/>
      <c r="AM1161" s="56">
        <f t="shared" ref="AM1161" si="980">SUM(AI1161:AL1161)</f>
        <v>4</v>
      </c>
      <c r="AN1161" s="54"/>
      <c r="AO1161" s="55"/>
      <c r="AP1161" s="55"/>
      <c r="AQ1161" s="55"/>
      <c r="AR1161" s="56">
        <f t="shared" ref="AR1161" si="981">SUM(AN1161:AQ1161)</f>
        <v>0</v>
      </c>
      <c r="AS1161" s="54"/>
      <c r="AT1161" s="55"/>
      <c r="AU1161" s="55">
        <v>2</v>
      </c>
      <c r="AV1161" s="55"/>
      <c r="AW1161" s="56">
        <f t="shared" ref="AW1161" si="982">SUM(AS1161:AV1161)</f>
        <v>2</v>
      </c>
      <c r="AX1161" s="55"/>
      <c r="AY1161" s="55"/>
      <c r="AZ1161" s="55"/>
      <c r="BA1161" s="55"/>
      <c r="BB1161" s="56">
        <f t="shared" ref="BB1161" si="983">SUM(AX1161:BA1161)</f>
        <v>0</v>
      </c>
      <c r="BC1161" s="56">
        <f t="shared" si="968"/>
        <v>6</v>
      </c>
      <c r="BD1161" s="298">
        <v>45453</v>
      </c>
      <c r="BE1161" s="276"/>
      <c r="BF1161" s="54"/>
      <c r="BG1161" s="55"/>
      <c r="BH1161" s="55"/>
      <c r="BI1161" s="55"/>
      <c r="BJ1161" s="56">
        <f t="shared" si="952"/>
        <v>0</v>
      </c>
      <c r="BL1161" s="276"/>
      <c r="BM1161" s="54"/>
      <c r="BN1161" s="55"/>
      <c r="BO1161" s="55"/>
      <c r="BP1161" s="55"/>
      <c r="BQ1161" s="56">
        <f t="shared" si="953"/>
        <v>0</v>
      </c>
    </row>
    <row r="1162" spans="1:69" x14ac:dyDescent="0.15">
      <c r="A1162" s="53" t="s">
        <v>98</v>
      </c>
      <c r="B1162" s="54"/>
      <c r="C1162" s="55"/>
      <c r="D1162" s="55"/>
      <c r="E1162" s="55"/>
      <c r="F1162" s="56">
        <f t="shared" si="957"/>
        <v>0</v>
      </c>
      <c r="G1162" s="54"/>
      <c r="H1162" s="55">
        <v>2</v>
      </c>
      <c r="I1162" s="55"/>
      <c r="J1162" s="55"/>
      <c r="K1162" s="56">
        <f t="shared" si="958"/>
        <v>2</v>
      </c>
      <c r="L1162" s="54"/>
      <c r="M1162" s="55"/>
      <c r="N1162" s="55"/>
      <c r="O1162" s="55"/>
      <c r="P1162" s="56">
        <f t="shared" si="959"/>
        <v>0</v>
      </c>
      <c r="Q1162" s="54"/>
      <c r="R1162" s="55"/>
      <c r="S1162" s="55">
        <v>1</v>
      </c>
      <c r="T1162" s="55"/>
      <c r="U1162" s="56">
        <f t="shared" si="960"/>
        <v>1</v>
      </c>
      <c r="V1162" s="55"/>
      <c r="W1162" s="55"/>
      <c r="X1162" s="55"/>
      <c r="Y1162" s="55"/>
      <c r="Z1162" s="56">
        <f t="shared" si="961"/>
        <v>0</v>
      </c>
      <c r="AA1162" s="56">
        <f t="shared" si="962"/>
        <v>3</v>
      </c>
      <c r="AB1162" s="299">
        <v>45449</v>
      </c>
      <c r="AC1162" s="276" t="s">
        <v>592</v>
      </c>
      <c r="AD1162" s="54"/>
      <c r="AE1162" s="55"/>
      <c r="AF1162" s="55"/>
      <c r="AG1162" s="55"/>
      <c r="AH1162" s="56">
        <f t="shared" si="963"/>
        <v>0</v>
      </c>
      <c r="AI1162" s="54">
        <v>1</v>
      </c>
      <c r="AJ1162" s="55">
        <v>1</v>
      </c>
      <c r="AK1162" s="55"/>
      <c r="AL1162" s="55">
        <v>1</v>
      </c>
      <c r="AM1162" s="56">
        <f t="shared" si="964"/>
        <v>3</v>
      </c>
      <c r="AN1162" s="54"/>
      <c r="AO1162" s="55"/>
      <c r="AP1162" s="55"/>
      <c r="AQ1162" s="55"/>
      <c r="AR1162" s="56">
        <f t="shared" si="965"/>
        <v>0</v>
      </c>
      <c r="AS1162" s="54">
        <v>1</v>
      </c>
      <c r="AT1162" s="55">
        <v>1</v>
      </c>
      <c r="AU1162" s="55">
        <v>1</v>
      </c>
      <c r="AV1162" s="55">
        <v>1</v>
      </c>
      <c r="AW1162" s="56">
        <f t="shared" si="966"/>
        <v>4</v>
      </c>
      <c r="AX1162" s="55"/>
      <c r="AY1162" s="55"/>
      <c r="AZ1162" s="55"/>
      <c r="BA1162" s="55"/>
      <c r="BB1162" s="56">
        <f t="shared" si="967"/>
        <v>0</v>
      </c>
      <c r="BC1162" s="56">
        <f t="shared" si="968"/>
        <v>7</v>
      </c>
      <c r="BD1162" s="298">
        <v>45460</v>
      </c>
      <c r="BE1162" s="277"/>
      <c r="BF1162" s="54"/>
      <c r="BG1162" s="55"/>
      <c r="BH1162" s="55"/>
      <c r="BI1162" s="55"/>
      <c r="BJ1162" s="56">
        <f t="shared" si="952"/>
        <v>0</v>
      </c>
      <c r="BL1162" s="277"/>
      <c r="BM1162" s="54"/>
      <c r="BN1162" s="55"/>
      <c r="BO1162" s="55"/>
      <c r="BP1162" s="55"/>
      <c r="BQ1162" s="56">
        <f t="shared" si="953"/>
        <v>0</v>
      </c>
    </row>
    <row r="1163" spans="1:69" x14ac:dyDescent="0.15">
      <c r="A1163" s="53" t="s">
        <v>98</v>
      </c>
      <c r="B1163" s="54"/>
      <c r="C1163" s="55"/>
      <c r="D1163" s="55"/>
      <c r="E1163" s="55"/>
      <c r="F1163" s="56">
        <f t="shared" si="957"/>
        <v>0</v>
      </c>
      <c r="G1163" s="54"/>
      <c r="H1163" s="55">
        <v>1</v>
      </c>
      <c r="I1163" s="55"/>
      <c r="J1163" s="55"/>
      <c r="K1163" s="56">
        <f t="shared" si="958"/>
        <v>1</v>
      </c>
      <c r="L1163" s="54"/>
      <c r="M1163" s="55"/>
      <c r="N1163" s="55"/>
      <c r="O1163" s="55"/>
      <c r="P1163" s="56">
        <f t="shared" si="959"/>
        <v>0</v>
      </c>
      <c r="Q1163" s="54"/>
      <c r="R1163" s="55">
        <v>1</v>
      </c>
      <c r="S1163" s="55"/>
      <c r="T1163" s="55"/>
      <c r="U1163" s="56">
        <f t="shared" si="960"/>
        <v>1</v>
      </c>
      <c r="V1163" s="55"/>
      <c r="W1163" s="55"/>
      <c r="X1163" s="55"/>
      <c r="Y1163" s="55"/>
      <c r="Z1163" s="56">
        <f t="shared" si="961"/>
        <v>0</v>
      </c>
      <c r="AA1163" s="56">
        <f t="shared" si="962"/>
        <v>2</v>
      </c>
      <c r="AB1163" s="299">
        <v>45450</v>
      </c>
      <c r="AC1163" s="276" t="s">
        <v>593</v>
      </c>
      <c r="AD1163" s="54"/>
      <c r="AE1163" s="55"/>
      <c r="AF1163" s="55"/>
      <c r="AG1163" s="55"/>
      <c r="AH1163" s="56">
        <f t="shared" si="963"/>
        <v>0</v>
      </c>
      <c r="AI1163" s="54"/>
      <c r="AJ1163" s="55"/>
      <c r="AK1163" s="55"/>
      <c r="AL1163" s="55"/>
      <c r="AM1163" s="56">
        <f t="shared" si="964"/>
        <v>0</v>
      </c>
      <c r="AN1163" s="54"/>
      <c r="AO1163" s="55"/>
      <c r="AP1163" s="55"/>
      <c r="AQ1163" s="55"/>
      <c r="AR1163" s="56">
        <f t="shared" si="965"/>
        <v>0</v>
      </c>
      <c r="AS1163" s="54"/>
      <c r="AT1163" s="55"/>
      <c r="AU1163" s="55"/>
      <c r="AV1163" s="55">
        <v>1</v>
      </c>
      <c r="AW1163" s="56">
        <f t="shared" si="966"/>
        <v>1</v>
      </c>
      <c r="AX1163" s="55"/>
      <c r="AY1163" s="55"/>
      <c r="AZ1163" s="55"/>
      <c r="BA1163" s="55"/>
      <c r="BB1163" s="56">
        <f t="shared" si="967"/>
        <v>0</v>
      </c>
      <c r="BC1163" s="56">
        <f t="shared" si="968"/>
        <v>1</v>
      </c>
      <c r="BD1163" s="298">
        <v>45460</v>
      </c>
      <c r="BE1163" s="276"/>
      <c r="BF1163" s="54"/>
      <c r="BG1163" s="55"/>
      <c r="BH1163" s="55"/>
      <c r="BI1163" s="55"/>
      <c r="BJ1163" s="56">
        <f t="shared" si="952"/>
        <v>0</v>
      </c>
      <c r="BL1163" s="276"/>
      <c r="BM1163" s="54"/>
      <c r="BN1163" s="55"/>
      <c r="BO1163" s="55"/>
      <c r="BP1163" s="55"/>
      <c r="BQ1163" s="56">
        <f t="shared" si="953"/>
        <v>0</v>
      </c>
    </row>
    <row r="1164" spans="1:69" x14ac:dyDescent="0.15">
      <c r="A1164" s="53" t="s">
        <v>98</v>
      </c>
      <c r="B1164" s="54"/>
      <c r="C1164" s="55"/>
      <c r="D1164" s="55"/>
      <c r="E1164" s="55"/>
      <c r="F1164" s="56">
        <f t="shared" si="957"/>
        <v>0</v>
      </c>
      <c r="G1164" s="54"/>
      <c r="H1164" s="55"/>
      <c r="I1164" s="55"/>
      <c r="J1164" s="55"/>
      <c r="K1164" s="56">
        <f t="shared" si="958"/>
        <v>0</v>
      </c>
      <c r="L1164" s="54"/>
      <c r="M1164" s="55"/>
      <c r="N1164" s="55"/>
      <c r="O1164" s="55"/>
      <c r="P1164" s="56">
        <f t="shared" si="959"/>
        <v>0</v>
      </c>
      <c r="Q1164" s="54"/>
      <c r="R1164" s="55">
        <v>1</v>
      </c>
      <c r="S1164" s="55">
        <v>1</v>
      </c>
      <c r="T1164" s="55"/>
      <c r="U1164" s="56">
        <f t="shared" si="960"/>
        <v>2</v>
      </c>
      <c r="V1164" s="55"/>
      <c r="W1164" s="55"/>
      <c r="X1164" s="55"/>
      <c r="Y1164" s="55"/>
      <c r="Z1164" s="56">
        <f t="shared" si="961"/>
        <v>0</v>
      </c>
      <c r="AA1164" s="56">
        <f t="shared" si="962"/>
        <v>2</v>
      </c>
      <c r="AB1164" s="299">
        <v>45453</v>
      </c>
      <c r="AC1164" s="276" t="s">
        <v>348</v>
      </c>
      <c r="AD1164" s="54"/>
      <c r="AE1164" s="55"/>
      <c r="AF1164" s="55"/>
      <c r="AG1164" s="55"/>
      <c r="AH1164" s="56">
        <f t="shared" si="963"/>
        <v>0</v>
      </c>
      <c r="AI1164" s="54"/>
      <c r="AJ1164" s="55"/>
      <c r="AK1164" s="55"/>
      <c r="AL1164" s="55"/>
      <c r="AM1164" s="56">
        <f t="shared" si="964"/>
        <v>0</v>
      </c>
      <c r="AN1164" s="54"/>
      <c r="AO1164" s="55"/>
      <c r="AP1164" s="55"/>
      <c r="AQ1164" s="55"/>
      <c r="AR1164" s="56">
        <f t="shared" si="965"/>
        <v>0</v>
      </c>
      <c r="AS1164" s="54"/>
      <c r="AT1164" s="55"/>
      <c r="AU1164" s="55"/>
      <c r="AV1164" s="55"/>
      <c r="AW1164" s="56">
        <f t="shared" si="966"/>
        <v>0</v>
      </c>
      <c r="AX1164" s="55"/>
      <c r="AY1164" s="55">
        <v>2</v>
      </c>
      <c r="AZ1164" s="55"/>
      <c r="BA1164" s="55"/>
      <c r="BB1164" s="56">
        <f t="shared" si="967"/>
        <v>2</v>
      </c>
      <c r="BC1164" s="56">
        <f t="shared" si="968"/>
        <v>2</v>
      </c>
      <c r="BD1164" s="298">
        <v>45462</v>
      </c>
      <c r="BE1164" s="277"/>
      <c r="BF1164" s="55"/>
      <c r="BG1164" s="55"/>
      <c r="BH1164" s="55"/>
      <c r="BI1164" s="166"/>
      <c r="BJ1164" s="49">
        <f t="shared" si="952"/>
        <v>0</v>
      </c>
      <c r="BL1164" s="277"/>
      <c r="BM1164" s="55"/>
      <c r="BN1164" s="55"/>
      <c r="BO1164" s="55"/>
      <c r="BP1164" s="166"/>
      <c r="BQ1164" s="49">
        <f t="shared" si="953"/>
        <v>0</v>
      </c>
    </row>
    <row r="1165" spans="1:69" x14ac:dyDescent="0.15">
      <c r="A1165" s="53" t="s">
        <v>98</v>
      </c>
      <c r="B1165" s="54"/>
      <c r="C1165" s="55"/>
      <c r="D1165" s="55"/>
      <c r="E1165" s="55"/>
      <c r="F1165" s="56">
        <f t="shared" si="957"/>
        <v>0</v>
      </c>
      <c r="G1165" s="54"/>
      <c r="H1165" s="55"/>
      <c r="I1165" s="55"/>
      <c r="J1165" s="55"/>
      <c r="K1165" s="56">
        <f t="shared" si="958"/>
        <v>0</v>
      </c>
      <c r="L1165" s="54"/>
      <c r="M1165" s="55">
        <v>1</v>
      </c>
      <c r="N1165" s="55"/>
      <c r="O1165" s="55"/>
      <c r="P1165" s="56">
        <f t="shared" si="959"/>
        <v>1</v>
      </c>
      <c r="Q1165" s="54"/>
      <c r="R1165" s="55"/>
      <c r="S1165" s="55"/>
      <c r="T1165" s="55"/>
      <c r="U1165" s="56">
        <f t="shared" si="960"/>
        <v>0</v>
      </c>
      <c r="V1165" s="55"/>
      <c r="W1165" s="55"/>
      <c r="X1165" s="55"/>
      <c r="Y1165" s="55"/>
      <c r="Z1165" s="56">
        <f t="shared" si="961"/>
        <v>0</v>
      </c>
      <c r="AA1165" s="56">
        <f t="shared" si="962"/>
        <v>1</v>
      </c>
      <c r="AB1165" s="299">
        <v>45454</v>
      </c>
      <c r="AC1165" s="276" t="s">
        <v>594</v>
      </c>
      <c r="AD1165" s="54">
        <v>1</v>
      </c>
      <c r="AE1165" s="55">
        <v>1</v>
      </c>
      <c r="AF1165" s="55"/>
      <c r="AG1165" s="55">
        <v>1</v>
      </c>
      <c r="AH1165" s="56">
        <f t="shared" si="963"/>
        <v>3</v>
      </c>
      <c r="AI1165" s="54"/>
      <c r="AJ1165" s="55">
        <v>1</v>
      </c>
      <c r="AK1165" s="55"/>
      <c r="AL1165" s="55"/>
      <c r="AM1165" s="56">
        <f t="shared" si="964"/>
        <v>1</v>
      </c>
      <c r="AN1165" s="54"/>
      <c r="AO1165" s="55"/>
      <c r="AP1165" s="55"/>
      <c r="AQ1165" s="55"/>
      <c r="AR1165" s="56">
        <f t="shared" si="965"/>
        <v>0</v>
      </c>
      <c r="AS1165" s="54">
        <v>1</v>
      </c>
      <c r="AT1165" s="55">
        <v>1</v>
      </c>
      <c r="AU1165" s="55"/>
      <c r="AV1165" s="55"/>
      <c r="AW1165" s="56">
        <f t="shared" si="966"/>
        <v>2</v>
      </c>
      <c r="AX1165" s="55"/>
      <c r="AY1165" s="55"/>
      <c r="AZ1165" s="55"/>
      <c r="BA1165" s="55"/>
      <c r="BB1165" s="56">
        <f t="shared" si="967"/>
        <v>0</v>
      </c>
      <c r="BC1165" s="56">
        <f t="shared" si="968"/>
        <v>6</v>
      </c>
      <c r="BD1165" s="298">
        <v>45467</v>
      </c>
      <c r="BE1165" s="277"/>
      <c r="BF1165" s="54"/>
      <c r="BG1165" s="55"/>
      <c r="BH1165" s="55"/>
      <c r="BI1165" s="55"/>
      <c r="BJ1165" s="56">
        <f t="shared" si="952"/>
        <v>0</v>
      </c>
      <c r="BL1165" s="277"/>
      <c r="BM1165" s="54"/>
      <c r="BN1165" s="55"/>
      <c r="BO1165" s="55"/>
      <c r="BP1165" s="55"/>
      <c r="BQ1165" s="56">
        <f t="shared" si="953"/>
        <v>0</v>
      </c>
    </row>
    <row r="1166" spans="1:69" x14ac:dyDescent="0.15">
      <c r="A1166" s="53" t="s">
        <v>109</v>
      </c>
      <c r="B1166" s="54"/>
      <c r="C1166" s="55"/>
      <c r="D1166" s="55"/>
      <c r="E1166" s="55"/>
      <c r="F1166" s="56">
        <f t="shared" si="957"/>
        <v>0</v>
      </c>
      <c r="G1166" s="54"/>
      <c r="H1166" s="55"/>
      <c r="I1166" s="55"/>
      <c r="J1166" s="55"/>
      <c r="K1166" s="56">
        <f t="shared" si="958"/>
        <v>0</v>
      </c>
      <c r="L1166" s="54"/>
      <c r="M1166" s="55"/>
      <c r="N1166" s="55"/>
      <c r="O1166" s="55"/>
      <c r="P1166" s="56">
        <f t="shared" si="959"/>
        <v>0</v>
      </c>
      <c r="Q1166" s="54"/>
      <c r="R1166" s="55">
        <v>-1</v>
      </c>
      <c r="S1166" s="55"/>
      <c r="T1166" s="55">
        <v>-1</v>
      </c>
      <c r="U1166" s="56">
        <f t="shared" si="960"/>
        <v>-2</v>
      </c>
      <c r="V1166" s="55"/>
      <c r="W1166" s="55"/>
      <c r="X1166" s="55"/>
      <c r="Y1166" s="55"/>
      <c r="Z1166" s="56">
        <f t="shared" si="961"/>
        <v>0</v>
      </c>
      <c r="AA1166" s="56">
        <f t="shared" si="962"/>
        <v>-2</v>
      </c>
      <c r="AB1166" s="299">
        <v>45455</v>
      </c>
      <c r="AC1166" s="276" t="s">
        <v>595</v>
      </c>
      <c r="AD1166" s="54"/>
      <c r="AE1166" s="55">
        <v>1</v>
      </c>
      <c r="AF1166" s="55"/>
      <c r="AG1166" s="55">
        <v>1</v>
      </c>
      <c r="AH1166" s="56">
        <f t="shared" si="963"/>
        <v>2</v>
      </c>
      <c r="AI1166" s="54">
        <v>1</v>
      </c>
      <c r="AJ1166" s="55">
        <v>1</v>
      </c>
      <c r="AK1166" s="55"/>
      <c r="AL1166" s="55"/>
      <c r="AM1166" s="56">
        <f t="shared" si="964"/>
        <v>2</v>
      </c>
      <c r="AN1166" s="54"/>
      <c r="AO1166" s="55"/>
      <c r="AP1166" s="55"/>
      <c r="AQ1166" s="55"/>
      <c r="AR1166" s="56">
        <f t="shared" si="965"/>
        <v>0</v>
      </c>
      <c r="AS1166" s="54"/>
      <c r="AT1166" s="55"/>
      <c r="AU1166" s="55"/>
      <c r="AV1166" s="55"/>
      <c r="AW1166" s="56">
        <f t="shared" si="966"/>
        <v>0</v>
      </c>
      <c r="AX1166" s="55"/>
      <c r="AY1166" s="55"/>
      <c r="AZ1166" s="55"/>
      <c r="BA1166" s="55"/>
      <c r="BB1166" s="56">
        <f t="shared" si="967"/>
        <v>0</v>
      </c>
      <c r="BC1166" s="56">
        <f t="shared" si="968"/>
        <v>4</v>
      </c>
      <c r="BD1166" s="298">
        <v>45467</v>
      </c>
      <c r="BE1166" s="276"/>
      <c r="BF1166" s="54"/>
      <c r="BG1166" s="55"/>
      <c r="BH1166" s="55"/>
      <c r="BI1166" s="55"/>
      <c r="BJ1166" s="56">
        <f t="shared" si="952"/>
        <v>0</v>
      </c>
      <c r="BL1166" s="276"/>
      <c r="BM1166" s="54"/>
      <c r="BN1166" s="55"/>
      <c r="BO1166" s="55"/>
      <c r="BP1166" s="55"/>
      <c r="BQ1166" s="56">
        <f t="shared" si="953"/>
        <v>0</v>
      </c>
    </row>
    <row r="1167" spans="1:69" x14ac:dyDescent="0.15">
      <c r="A1167" s="53" t="s">
        <v>98</v>
      </c>
      <c r="B1167" s="54"/>
      <c r="C1167" s="55"/>
      <c r="D1167" s="55"/>
      <c r="E1167" s="55"/>
      <c r="F1167" s="56">
        <f t="shared" si="957"/>
        <v>0</v>
      </c>
      <c r="G1167" s="54">
        <v>1</v>
      </c>
      <c r="H1167" s="55">
        <v>1</v>
      </c>
      <c r="I1167" s="55"/>
      <c r="J1167" s="55"/>
      <c r="K1167" s="56">
        <f t="shared" si="958"/>
        <v>2</v>
      </c>
      <c r="L1167" s="54"/>
      <c r="M1167" s="55"/>
      <c r="N1167" s="55"/>
      <c r="O1167" s="55"/>
      <c r="P1167" s="56">
        <f t="shared" si="959"/>
        <v>0</v>
      </c>
      <c r="Q1167" s="54"/>
      <c r="R1167" s="55"/>
      <c r="S1167" s="55"/>
      <c r="T1167" s="55"/>
      <c r="U1167" s="56">
        <f t="shared" si="960"/>
        <v>0</v>
      </c>
      <c r="V1167" s="55"/>
      <c r="W1167" s="55"/>
      <c r="X1167" s="55"/>
      <c r="Y1167" s="55">
        <v>1</v>
      </c>
      <c r="Z1167" s="56">
        <f t="shared" si="961"/>
        <v>1</v>
      </c>
      <c r="AA1167" s="56">
        <f t="shared" si="962"/>
        <v>3</v>
      </c>
      <c r="AB1167" s="299">
        <v>45457</v>
      </c>
      <c r="AC1167" s="276" t="s">
        <v>350</v>
      </c>
      <c r="AD1167" s="54"/>
      <c r="AE1167" s="55"/>
      <c r="AF1167" s="55"/>
      <c r="AG1167" s="55"/>
      <c r="AH1167" s="56">
        <f t="shared" si="963"/>
        <v>0</v>
      </c>
      <c r="AI1167" s="54"/>
      <c r="AJ1167" s="55">
        <v>3</v>
      </c>
      <c r="AK1167" s="55"/>
      <c r="AL1167" s="55"/>
      <c r="AM1167" s="56">
        <f t="shared" si="964"/>
        <v>3</v>
      </c>
      <c r="AN1167" s="54"/>
      <c r="AO1167" s="55"/>
      <c r="AP1167" s="55"/>
      <c r="AQ1167" s="55"/>
      <c r="AR1167" s="56">
        <f t="shared" si="965"/>
        <v>0</v>
      </c>
      <c r="AS1167" s="54"/>
      <c r="AT1167" s="55"/>
      <c r="AU1167" s="55"/>
      <c r="AV1167" s="55"/>
      <c r="AW1167" s="56">
        <f t="shared" si="966"/>
        <v>0</v>
      </c>
      <c r="AX1167" s="55"/>
      <c r="AY1167" s="55"/>
      <c r="AZ1167" s="55"/>
      <c r="BA1167" s="55"/>
      <c r="BB1167" s="56">
        <f t="shared" si="967"/>
        <v>0</v>
      </c>
      <c r="BC1167" s="56">
        <f t="shared" si="968"/>
        <v>3</v>
      </c>
      <c r="BD1167" s="298">
        <v>45467</v>
      </c>
      <c r="BE1167" s="276"/>
      <c r="BF1167" s="63"/>
      <c r="BG1167" s="63"/>
      <c r="BH1167" s="63"/>
      <c r="BI1167" s="167"/>
      <c r="BJ1167" s="64">
        <f t="shared" si="952"/>
        <v>0</v>
      </c>
      <c r="BL1167" s="276"/>
      <c r="BM1167" s="63"/>
      <c r="BN1167" s="63"/>
      <c r="BO1167" s="63"/>
      <c r="BP1167" s="167"/>
      <c r="BQ1167" s="64">
        <f t="shared" si="953"/>
        <v>0</v>
      </c>
    </row>
    <row r="1168" spans="1:69" x14ac:dyDescent="0.15">
      <c r="A1168" s="53" t="s">
        <v>314</v>
      </c>
      <c r="B1168" s="54"/>
      <c r="C1168" s="55"/>
      <c r="D1168" s="55"/>
      <c r="E1168" s="55"/>
      <c r="F1168" s="56">
        <f t="shared" si="957"/>
        <v>0</v>
      </c>
      <c r="G1168" s="54"/>
      <c r="H1168" s="55"/>
      <c r="I1168" s="55"/>
      <c r="J1168" s="55"/>
      <c r="K1168" s="56">
        <f t="shared" si="958"/>
        <v>0</v>
      </c>
      <c r="L1168" s="54"/>
      <c r="M1168" s="55">
        <v>-1</v>
      </c>
      <c r="N1168" s="55">
        <v>1</v>
      </c>
      <c r="O1168" s="55"/>
      <c r="P1168" s="56">
        <f t="shared" si="959"/>
        <v>0</v>
      </c>
      <c r="Q1168" s="54"/>
      <c r="R1168" s="55"/>
      <c r="S1168" s="55"/>
      <c r="T1168" s="55"/>
      <c r="U1168" s="56">
        <f t="shared" si="960"/>
        <v>0</v>
      </c>
      <c r="V1168" s="55"/>
      <c r="W1168" s="55"/>
      <c r="X1168" s="55"/>
      <c r="Y1168" s="55"/>
      <c r="Z1168" s="56">
        <f t="shared" si="961"/>
        <v>0</v>
      </c>
      <c r="AA1168" s="56">
        <f t="shared" si="962"/>
        <v>0</v>
      </c>
      <c r="AB1168" s="299">
        <v>45457</v>
      </c>
      <c r="AC1168" s="276" t="s">
        <v>99</v>
      </c>
      <c r="AD1168" s="54"/>
      <c r="AE1168" s="55"/>
      <c r="AF1168" s="55"/>
      <c r="AG1168" s="55"/>
      <c r="AH1168" s="56">
        <f>SUM(AD1168:AG1168)</f>
        <v>0</v>
      </c>
      <c r="AI1168" s="54"/>
      <c r="AJ1168" s="55">
        <v>3</v>
      </c>
      <c r="AK1168" s="55"/>
      <c r="AL1168" s="55"/>
      <c r="AM1168" s="56">
        <f t="shared" si="964"/>
        <v>3</v>
      </c>
      <c r="AN1168" s="54"/>
      <c r="AO1168" s="55"/>
      <c r="AP1168" s="55"/>
      <c r="AQ1168" s="55"/>
      <c r="AR1168" s="56">
        <f t="shared" si="965"/>
        <v>0</v>
      </c>
      <c r="AS1168" s="54"/>
      <c r="AT1168" s="55"/>
      <c r="AU1168" s="55"/>
      <c r="AV1168" s="55">
        <v>3</v>
      </c>
      <c r="AW1168" s="56">
        <f t="shared" si="966"/>
        <v>3</v>
      </c>
      <c r="AX1168" s="55"/>
      <c r="AY1168" s="55"/>
      <c r="AZ1168" s="55"/>
      <c r="BA1168" s="55">
        <v>3</v>
      </c>
      <c r="BB1168" s="56">
        <f t="shared" si="967"/>
        <v>3</v>
      </c>
      <c r="BC1168" s="56">
        <f t="shared" si="968"/>
        <v>9</v>
      </c>
      <c r="BD1168" s="298">
        <v>45467</v>
      </c>
      <c r="BE1168" s="277"/>
      <c r="BF1168" s="54"/>
      <c r="BG1168" s="55"/>
      <c r="BH1168" s="55"/>
      <c r="BI1168" s="55"/>
      <c r="BJ1168" s="56">
        <f t="shared" si="952"/>
        <v>0</v>
      </c>
      <c r="BL1168" s="277"/>
      <c r="BM1168" s="54"/>
      <c r="BN1168" s="55"/>
      <c r="BO1168" s="55"/>
      <c r="BP1168" s="55"/>
      <c r="BQ1168" s="56">
        <f t="shared" si="953"/>
        <v>0</v>
      </c>
    </row>
    <row r="1169" spans="1:69" x14ac:dyDescent="0.15">
      <c r="A1169" s="53" t="s">
        <v>98</v>
      </c>
      <c r="B1169" s="54"/>
      <c r="C1169" s="55"/>
      <c r="D1169" s="55"/>
      <c r="E1169" s="55"/>
      <c r="F1169" s="56">
        <f t="shared" ref="F1169:F1173" si="984">SUM(B1169:E1169)</f>
        <v>0</v>
      </c>
      <c r="G1169" s="54"/>
      <c r="H1169" s="55"/>
      <c r="I1169" s="55"/>
      <c r="J1169" s="55"/>
      <c r="K1169" s="56">
        <f t="shared" si="926"/>
        <v>0</v>
      </c>
      <c r="L1169" s="54"/>
      <c r="M1169" s="55"/>
      <c r="N1169" s="55"/>
      <c r="O1169" s="55"/>
      <c r="P1169" s="56">
        <f t="shared" si="927"/>
        <v>0</v>
      </c>
      <c r="Q1169" s="54"/>
      <c r="R1169" s="55"/>
      <c r="S1169" s="55"/>
      <c r="T1169" s="55"/>
      <c r="U1169" s="56">
        <f t="shared" si="928"/>
        <v>0</v>
      </c>
      <c r="V1169" s="55"/>
      <c r="W1169" s="55"/>
      <c r="X1169" s="55">
        <v>1</v>
      </c>
      <c r="Y1169" s="55"/>
      <c r="Z1169" s="56">
        <f t="shared" si="929"/>
        <v>1</v>
      </c>
      <c r="AA1169" s="56">
        <f t="shared" ref="AA1169:AA1174" si="985">F1169+K1169+P1169+U1169+Z1169</f>
        <v>1</v>
      </c>
      <c r="AB1169" s="298">
        <v>45458</v>
      </c>
      <c r="AC1169" s="276" t="s">
        <v>351</v>
      </c>
      <c r="AD1169" s="54"/>
      <c r="AE1169" s="55"/>
      <c r="AF1169" s="55"/>
      <c r="AG1169" s="55"/>
      <c r="AH1169" s="56">
        <f t="shared" si="963"/>
        <v>0</v>
      </c>
      <c r="AI1169" s="54">
        <v>2</v>
      </c>
      <c r="AJ1169" s="55"/>
      <c r="AK1169" s="55"/>
      <c r="AL1169" s="55"/>
      <c r="AM1169" s="56">
        <f t="shared" si="964"/>
        <v>2</v>
      </c>
      <c r="AN1169" s="54"/>
      <c r="AO1169" s="55"/>
      <c r="AP1169" s="55"/>
      <c r="AQ1169" s="55"/>
      <c r="AR1169" s="56">
        <f t="shared" si="965"/>
        <v>0</v>
      </c>
      <c r="AS1169" s="54"/>
      <c r="AT1169" s="55"/>
      <c r="AU1169" s="55"/>
      <c r="AV1169" s="55"/>
      <c r="AW1169" s="56">
        <f t="shared" si="966"/>
        <v>0</v>
      </c>
      <c r="AX1169" s="55"/>
      <c r="AY1169" s="55"/>
      <c r="AZ1169" s="55"/>
      <c r="BA1169" s="55"/>
      <c r="BB1169" s="56">
        <f t="shared" si="967"/>
        <v>0</v>
      </c>
      <c r="BC1169" s="56">
        <f t="shared" si="968"/>
        <v>2</v>
      </c>
      <c r="BD1169" s="298">
        <v>45470</v>
      </c>
      <c r="BE1169" s="276"/>
      <c r="BF1169" s="54"/>
      <c r="BG1169" s="55"/>
      <c r="BH1169" s="55"/>
      <c r="BI1169" s="55"/>
      <c r="BJ1169" s="56">
        <f t="shared" si="952"/>
        <v>0</v>
      </c>
      <c r="BL1169" s="276"/>
      <c r="BM1169" s="54"/>
      <c r="BN1169" s="55"/>
      <c r="BO1169" s="55"/>
      <c r="BP1169" s="55"/>
      <c r="BQ1169" s="56">
        <f t="shared" si="953"/>
        <v>0</v>
      </c>
    </row>
    <row r="1170" spans="1:69" x14ac:dyDescent="0.15">
      <c r="A1170" s="53" t="s">
        <v>100</v>
      </c>
      <c r="B1170" s="54"/>
      <c r="C1170" s="55"/>
      <c r="D1170" s="55"/>
      <c r="E1170" s="55"/>
      <c r="F1170" s="56">
        <f t="shared" si="984"/>
        <v>0</v>
      </c>
      <c r="G1170" s="54"/>
      <c r="H1170" s="55"/>
      <c r="I1170" s="55"/>
      <c r="J1170" s="55"/>
      <c r="K1170" s="56">
        <f t="shared" si="926"/>
        <v>0</v>
      </c>
      <c r="L1170" s="54"/>
      <c r="M1170" s="55"/>
      <c r="N1170" s="55"/>
      <c r="O1170" s="55"/>
      <c r="P1170" s="56">
        <f t="shared" si="927"/>
        <v>0</v>
      </c>
      <c r="Q1170" s="54"/>
      <c r="R1170" s="55"/>
      <c r="S1170" s="55">
        <v>1</v>
      </c>
      <c r="T1170" s="55"/>
      <c r="U1170" s="56">
        <f t="shared" si="928"/>
        <v>1</v>
      </c>
      <c r="V1170" s="55"/>
      <c r="W1170" s="55"/>
      <c r="X1170" s="55"/>
      <c r="Y1170" s="55"/>
      <c r="Z1170" s="56">
        <f t="shared" si="929"/>
        <v>0</v>
      </c>
      <c r="AA1170" s="56">
        <f t="shared" si="985"/>
        <v>1</v>
      </c>
      <c r="AB1170" s="298">
        <v>45461</v>
      </c>
      <c r="AC1170" s="276" t="s">
        <v>352</v>
      </c>
      <c r="AD1170" s="54"/>
      <c r="AE1170" s="55"/>
      <c r="AF1170" s="55"/>
      <c r="AG1170" s="55"/>
      <c r="AH1170" s="56">
        <f t="shared" si="963"/>
        <v>0</v>
      </c>
      <c r="AI1170" s="54">
        <v>2</v>
      </c>
      <c r="AJ1170" s="55"/>
      <c r="AK1170" s="55"/>
      <c r="AL1170" s="55"/>
      <c r="AM1170" s="56">
        <f t="shared" si="964"/>
        <v>2</v>
      </c>
      <c r="AN1170" s="54"/>
      <c r="AO1170" s="55"/>
      <c r="AP1170" s="55"/>
      <c r="AQ1170" s="55"/>
      <c r="AR1170" s="56">
        <f t="shared" si="965"/>
        <v>0</v>
      </c>
      <c r="AS1170" s="54"/>
      <c r="AT1170" s="55"/>
      <c r="AU1170" s="55"/>
      <c r="AV1170" s="55"/>
      <c r="AW1170" s="56">
        <f t="shared" si="966"/>
        <v>0</v>
      </c>
      <c r="AX1170" s="55">
        <v>2</v>
      </c>
      <c r="AY1170" s="55">
        <v>8</v>
      </c>
      <c r="AZ1170" s="55"/>
      <c r="BA1170" s="55"/>
      <c r="BB1170" s="56">
        <f t="shared" si="967"/>
        <v>10</v>
      </c>
      <c r="BC1170" s="56">
        <f t="shared" si="968"/>
        <v>12</v>
      </c>
      <c r="BD1170" s="298">
        <v>45470</v>
      </c>
      <c r="BE1170" s="277"/>
      <c r="BF1170" s="54"/>
      <c r="BG1170" s="55"/>
      <c r="BH1170" s="55"/>
      <c r="BI1170" s="55"/>
      <c r="BJ1170" s="56">
        <f t="shared" si="952"/>
        <v>0</v>
      </c>
      <c r="BL1170" s="277"/>
      <c r="BM1170" s="54"/>
      <c r="BN1170" s="55"/>
      <c r="BO1170" s="55"/>
      <c r="BP1170" s="55"/>
      <c r="BQ1170" s="56">
        <f t="shared" si="953"/>
        <v>0</v>
      </c>
    </row>
    <row r="1171" spans="1:69" x14ac:dyDescent="0.15">
      <c r="A1171" s="53" t="s">
        <v>98</v>
      </c>
      <c r="B1171" s="54">
        <v>1</v>
      </c>
      <c r="C1171" s="55"/>
      <c r="D1171" s="55"/>
      <c r="E1171" s="55"/>
      <c r="F1171" s="56">
        <f t="shared" si="984"/>
        <v>1</v>
      </c>
      <c r="G1171" s="54"/>
      <c r="H1171" s="55"/>
      <c r="I1171" s="55"/>
      <c r="J1171" s="55"/>
      <c r="K1171" s="56">
        <f t="shared" si="926"/>
        <v>0</v>
      </c>
      <c r="L1171" s="54"/>
      <c r="M1171" s="55"/>
      <c r="N1171" s="55"/>
      <c r="O1171" s="55"/>
      <c r="P1171" s="56">
        <f t="shared" si="927"/>
        <v>0</v>
      </c>
      <c r="Q1171" s="54"/>
      <c r="R1171" s="55"/>
      <c r="S1171" s="55"/>
      <c r="T1171" s="55">
        <v>2</v>
      </c>
      <c r="U1171" s="56">
        <f t="shared" si="928"/>
        <v>2</v>
      </c>
      <c r="V1171" s="55"/>
      <c r="W1171" s="55"/>
      <c r="X1171" s="55"/>
      <c r="Y1171" s="55"/>
      <c r="Z1171" s="56">
        <f t="shared" si="929"/>
        <v>0</v>
      </c>
      <c r="AA1171" s="56">
        <f t="shared" si="985"/>
        <v>3</v>
      </c>
      <c r="AB1171" s="298">
        <v>45460</v>
      </c>
      <c r="AC1171" s="276" t="s">
        <v>381</v>
      </c>
      <c r="AD1171" s="54"/>
      <c r="AE1171" s="55"/>
      <c r="AF1171" s="55"/>
      <c r="AG1171" s="55"/>
      <c r="AH1171" s="56">
        <f t="shared" si="963"/>
        <v>0</v>
      </c>
      <c r="AI1171" s="54"/>
      <c r="AJ1171" s="55"/>
      <c r="AK1171" s="55"/>
      <c r="AL1171" s="55"/>
      <c r="AM1171" s="56">
        <f t="shared" si="964"/>
        <v>0</v>
      </c>
      <c r="AN1171" s="54"/>
      <c r="AO1171" s="55"/>
      <c r="AP1171" s="55"/>
      <c r="AQ1171" s="55"/>
      <c r="AR1171" s="56">
        <f t="shared" si="965"/>
        <v>0</v>
      </c>
      <c r="AS1171" s="54"/>
      <c r="AT1171" s="55">
        <v>5</v>
      </c>
      <c r="AU1171" s="55"/>
      <c r="AV1171" s="55"/>
      <c r="AW1171" s="56">
        <f t="shared" si="966"/>
        <v>5</v>
      </c>
      <c r="AX1171" s="55"/>
      <c r="AY1171" s="55"/>
      <c r="AZ1171" s="55"/>
      <c r="BA1171" s="55"/>
      <c r="BB1171" s="56">
        <f t="shared" si="967"/>
        <v>0</v>
      </c>
      <c r="BC1171" s="56">
        <f t="shared" si="968"/>
        <v>5</v>
      </c>
      <c r="BD1171" s="298">
        <v>45470</v>
      </c>
      <c r="BE1171" s="268"/>
      <c r="BF1171" s="62"/>
      <c r="BG1171" s="63"/>
      <c r="BH1171" s="63"/>
      <c r="BI1171" s="63"/>
      <c r="BJ1171" s="56">
        <f t="shared" si="952"/>
        <v>0</v>
      </c>
      <c r="BL1171" s="268"/>
      <c r="BM1171" s="62"/>
      <c r="BN1171" s="63"/>
      <c r="BO1171" s="63"/>
      <c r="BP1171" s="63"/>
      <c r="BQ1171" s="56">
        <f t="shared" si="953"/>
        <v>0</v>
      </c>
    </row>
    <row r="1172" spans="1:69" x14ac:dyDescent="0.15">
      <c r="A1172" s="53" t="s">
        <v>98</v>
      </c>
      <c r="B1172" s="54"/>
      <c r="C1172" s="55"/>
      <c r="D1172" s="55"/>
      <c r="E1172" s="55"/>
      <c r="F1172" s="56">
        <f t="shared" si="984"/>
        <v>0</v>
      </c>
      <c r="G1172" s="54"/>
      <c r="H1172" s="55"/>
      <c r="I1172" s="55"/>
      <c r="J1172" s="55"/>
      <c r="K1172" s="56">
        <f t="shared" si="926"/>
        <v>0</v>
      </c>
      <c r="L1172" s="54">
        <v>1</v>
      </c>
      <c r="M1172" s="55">
        <v>1</v>
      </c>
      <c r="N1172" s="55"/>
      <c r="O1172" s="55"/>
      <c r="P1172" s="56">
        <f t="shared" si="927"/>
        <v>2</v>
      </c>
      <c r="Q1172" s="54"/>
      <c r="R1172" s="55"/>
      <c r="S1172" s="55"/>
      <c r="T1172" s="55"/>
      <c r="U1172" s="56">
        <f t="shared" si="928"/>
        <v>0</v>
      </c>
      <c r="V1172" s="55"/>
      <c r="W1172" s="55"/>
      <c r="X1172" s="55"/>
      <c r="Y1172" s="55"/>
      <c r="Z1172" s="56">
        <f t="shared" si="929"/>
        <v>0</v>
      </c>
      <c r="AA1172" s="56">
        <f t="shared" si="985"/>
        <v>2</v>
      </c>
      <c r="AB1172" s="298">
        <v>45461</v>
      </c>
      <c r="AC1172" s="276" t="s">
        <v>597</v>
      </c>
      <c r="AD1172" s="54"/>
      <c r="AE1172" s="55">
        <v>1</v>
      </c>
      <c r="AF1172" s="55"/>
      <c r="AG1172" s="55"/>
      <c r="AH1172" s="56">
        <f t="shared" si="963"/>
        <v>1</v>
      </c>
      <c r="AI1172" s="54">
        <v>1</v>
      </c>
      <c r="AJ1172" s="55">
        <v>1</v>
      </c>
      <c r="AK1172" s="55"/>
      <c r="AL1172" s="55">
        <v>1</v>
      </c>
      <c r="AM1172" s="56">
        <f t="shared" si="964"/>
        <v>3</v>
      </c>
      <c r="AN1172" s="54"/>
      <c r="AO1172" s="55"/>
      <c r="AP1172" s="55"/>
      <c r="AQ1172" s="55"/>
      <c r="AR1172" s="56">
        <f t="shared" si="965"/>
        <v>0</v>
      </c>
      <c r="AS1172" s="54"/>
      <c r="AT1172" s="55">
        <v>1</v>
      </c>
      <c r="AU1172" s="55">
        <v>1</v>
      </c>
      <c r="AV1172" s="55"/>
      <c r="AW1172" s="56">
        <f t="shared" si="966"/>
        <v>2</v>
      </c>
      <c r="AX1172" s="55"/>
      <c r="AY1172" s="55"/>
      <c r="AZ1172" s="55"/>
      <c r="BA1172" s="55"/>
      <c r="BB1172" s="56">
        <f t="shared" si="967"/>
        <v>0</v>
      </c>
      <c r="BC1172" s="56">
        <f t="shared" si="968"/>
        <v>6</v>
      </c>
      <c r="BD1172" s="298">
        <v>45471</v>
      </c>
      <c r="BE1172" s="268"/>
      <c r="BF1172" s="54"/>
      <c r="BG1172" s="55"/>
      <c r="BH1172" s="55"/>
      <c r="BI1172" s="55"/>
      <c r="BJ1172" s="56">
        <f t="shared" si="952"/>
        <v>0</v>
      </c>
      <c r="BL1172" s="268"/>
      <c r="BM1172" s="54"/>
      <c r="BN1172" s="55"/>
      <c r="BO1172" s="55"/>
      <c r="BP1172" s="55"/>
      <c r="BQ1172" s="56">
        <f t="shared" si="953"/>
        <v>0</v>
      </c>
    </row>
    <row r="1173" spans="1:69" x14ac:dyDescent="0.15">
      <c r="A1173" s="53" t="s">
        <v>98</v>
      </c>
      <c r="B1173" s="54"/>
      <c r="C1173" s="55">
        <v>1</v>
      </c>
      <c r="D1173" s="55"/>
      <c r="E1173" s="55"/>
      <c r="F1173" s="56">
        <f t="shared" si="984"/>
        <v>1</v>
      </c>
      <c r="G1173" s="54"/>
      <c r="H1173" s="55"/>
      <c r="I1173" s="55"/>
      <c r="J1173" s="55"/>
      <c r="K1173" s="56">
        <f t="shared" si="926"/>
        <v>0</v>
      </c>
      <c r="L1173" s="54"/>
      <c r="M1173" s="55"/>
      <c r="N1173" s="55">
        <v>1</v>
      </c>
      <c r="O1173" s="55"/>
      <c r="P1173" s="56">
        <f t="shared" si="927"/>
        <v>1</v>
      </c>
      <c r="Q1173" s="54"/>
      <c r="R1173" s="55"/>
      <c r="S1173" s="55"/>
      <c r="T1173" s="55"/>
      <c r="U1173" s="56">
        <f t="shared" si="928"/>
        <v>0</v>
      </c>
      <c r="V1173" s="55"/>
      <c r="W1173" s="55"/>
      <c r="X1173" s="55"/>
      <c r="Y1173" s="55"/>
      <c r="Z1173" s="56">
        <f t="shared" si="929"/>
        <v>0</v>
      </c>
      <c r="AA1173" s="56">
        <f t="shared" si="985"/>
        <v>2</v>
      </c>
      <c r="AB1173" s="298">
        <v>45462</v>
      </c>
      <c r="AC1173" s="276" t="s">
        <v>598</v>
      </c>
      <c r="AD1173" s="54"/>
      <c r="AE1173" s="55"/>
      <c r="AF1173" s="55"/>
      <c r="AG1173" s="55"/>
      <c r="AH1173" s="56">
        <f t="shared" si="963"/>
        <v>0</v>
      </c>
      <c r="AI1173" s="54">
        <v>1</v>
      </c>
      <c r="AJ1173" s="55">
        <v>1</v>
      </c>
      <c r="AK1173" s="55"/>
      <c r="AL1173" s="55">
        <v>4</v>
      </c>
      <c r="AM1173" s="56">
        <f t="shared" si="964"/>
        <v>6</v>
      </c>
      <c r="AN1173" s="54"/>
      <c r="AO1173" s="55"/>
      <c r="AP1173" s="55"/>
      <c r="AQ1173" s="55"/>
      <c r="AR1173" s="56">
        <f t="shared" si="965"/>
        <v>0</v>
      </c>
      <c r="AS1173" s="54"/>
      <c r="AT1173" s="55"/>
      <c r="AU1173" s="55"/>
      <c r="AV1173" s="55">
        <v>2</v>
      </c>
      <c r="AW1173" s="56">
        <f t="shared" si="966"/>
        <v>2</v>
      </c>
      <c r="AX1173" s="55"/>
      <c r="AY1173" s="55"/>
      <c r="AZ1173" s="55"/>
      <c r="BA1173" s="55"/>
      <c r="BB1173" s="56">
        <f t="shared" si="967"/>
        <v>0</v>
      </c>
      <c r="BC1173" s="56">
        <f t="shared" si="968"/>
        <v>8</v>
      </c>
      <c r="BD1173" s="298">
        <v>45471</v>
      </c>
      <c r="BE1173" s="268"/>
      <c r="BF1173" s="62"/>
      <c r="BG1173" s="63"/>
      <c r="BH1173" s="63"/>
      <c r="BI1173" s="63"/>
      <c r="BJ1173" s="56">
        <f t="shared" si="952"/>
        <v>0</v>
      </c>
      <c r="BL1173" s="268"/>
      <c r="BM1173" s="62"/>
      <c r="BN1173" s="63"/>
      <c r="BO1173" s="63"/>
      <c r="BP1173" s="63"/>
      <c r="BQ1173" s="56">
        <f t="shared" si="953"/>
        <v>0</v>
      </c>
    </row>
    <row r="1174" spans="1:69" x14ac:dyDescent="0.15">
      <c r="A1174" s="53" t="s">
        <v>121</v>
      </c>
      <c r="B1174" s="54"/>
      <c r="C1174" s="55"/>
      <c r="D1174" s="55"/>
      <c r="E1174" s="55"/>
      <c r="F1174" s="56">
        <f t="shared" ref="F1174:F1177" si="986">SUM(B1174:E1174)</f>
        <v>0</v>
      </c>
      <c r="G1174" s="54"/>
      <c r="H1174" s="55"/>
      <c r="I1174" s="55"/>
      <c r="J1174" s="55"/>
      <c r="K1174" s="56">
        <f t="shared" ref="K1174:K1177" si="987">SUM(G1174:J1174)</f>
        <v>0</v>
      </c>
      <c r="L1174" s="54"/>
      <c r="M1174" s="55"/>
      <c r="N1174" s="55"/>
      <c r="O1174" s="55"/>
      <c r="P1174" s="56">
        <f t="shared" ref="P1174:P1177" si="988">SUM(L1174:O1174)</f>
        <v>0</v>
      </c>
      <c r="Q1174" s="54"/>
      <c r="R1174" s="55"/>
      <c r="S1174" s="55">
        <v>-1</v>
      </c>
      <c r="T1174" s="55"/>
      <c r="U1174" s="56">
        <f t="shared" ref="U1174:U1177" si="989">SUM(Q1174:T1174)</f>
        <v>-1</v>
      </c>
      <c r="V1174" s="55"/>
      <c r="W1174" s="55">
        <v>-1</v>
      </c>
      <c r="X1174" s="55"/>
      <c r="Y1174" s="55"/>
      <c r="Z1174" s="56">
        <f t="shared" si="929"/>
        <v>-1</v>
      </c>
      <c r="AA1174" s="56">
        <f t="shared" si="985"/>
        <v>-2</v>
      </c>
      <c r="AB1174" s="298">
        <v>45463</v>
      </c>
      <c r="AC1174" s="276" t="s">
        <v>355</v>
      </c>
      <c r="AD1174" s="54"/>
      <c r="AE1174" s="55"/>
      <c r="AF1174" s="55"/>
      <c r="AG1174" s="55"/>
      <c r="AH1174" s="56">
        <f t="shared" ref="AH1174:AH1175" si="990">SUM(AD1174:AG1174)</f>
        <v>0</v>
      </c>
      <c r="AI1174" s="54">
        <v>4</v>
      </c>
      <c r="AJ1174" s="55"/>
      <c r="AK1174" s="55"/>
      <c r="AL1174" s="55"/>
      <c r="AM1174" s="56">
        <f t="shared" ref="AM1174:AM1175" si="991">SUM(AI1174:AL1174)</f>
        <v>4</v>
      </c>
      <c r="AN1174" s="54"/>
      <c r="AO1174" s="55"/>
      <c r="AP1174" s="55"/>
      <c r="AQ1174" s="55"/>
      <c r="AR1174" s="56">
        <f t="shared" ref="AR1174:AR1175" si="992">SUM(AN1174:AQ1174)</f>
        <v>0</v>
      </c>
      <c r="AS1174" s="54"/>
      <c r="AT1174" s="55"/>
      <c r="AU1174" s="55"/>
      <c r="AV1174" s="55"/>
      <c r="AW1174" s="56">
        <f t="shared" ref="AW1174:AW1175" si="993">SUM(AS1174:AV1174)</f>
        <v>0</v>
      </c>
      <c r="AX1174" s="55"/>
      <c r="AY1174" s="55"/>
      <c r="AZ1174" s="55"/>
      <c r="BA1174" s="55"/>
      <c r="BB1174" s="56">
        <f t="shared" ref="BB1174:BB1175" si="994">SUM(AX1174:BA1174)</f>
        <v>0</v>
      </c>
      <c r="BC1174" s="56">
        <f t="shared" ref="BC1174:BC1175" si="995">AH1174+AM1174+AR1174+AW1174+BB1174</f>
        <v>4</v>
      </c>
      <c r="BD1174" s="298">
        <v>45475</v>
      </c>
      <c r="BE1174" s="277"/>
      <c r="BF1174" s="54"/>
      <c r="BG1174" s="55"/>
      <c r="BH1174" s="55"/>
      <c r="BI1174" s="55"/>
      <c r="BJ1174" s="56">
        <f t="shared" si="952"/>
        <v>0</v>
      </c>
      <c r="BL1174" s="277"/>
      <c r="BM1174" s="54"/>
      <c r="BN1174" s="55"/>
      <c r="BO1174" s="55"/>
      <c r="BP1174" s="55"/>
      <c r="BQ1174" s="56">
        <f t="shared" si="953"/>
        <v>0</v>
      </c>
    </row>
    <row r="1175" spans="1:69" ht="14.25" thickBot="1" x14ac:dyDescent="0.2">
      <c r="A1175" s="53" t="s">
        <v>100</v>
      </c>
      <c r="B1175" s="33"/>
      <c r="C1175" s="34"/>
      <c r="D1175" s="34"/>
      <c r="E1175" s="34"/>
      <c r="F1175" s="30">
        <f t="shared" si="986"/>
        <v>0</v>
      </c>
      <c r="G1175" s="33"/>
      <c r="H1175" s="34"/>
      <c r="I1175" s="34"/>
      <c r="J1175" s="34"/>
      <c r="K1175" s="30">
        <f t="shared" si="987"/>
        <v>0</v>
      </c>
      <c r="L1175" s="33"/>
      <c r="M1175" s="34"/>
      <c r="N1175" s="34"/>
      <c r="O1175" s="34"/>
      <c r="P1175" s="30">
        <f t="shared" si="988"/>
        <v>0</v>
      </c>
      <c r="Q1175" s="33"/>
      <c r="R1175" s="34"/>
      <c r="S1175" s="34"/>
      <c r="T1175" s="34"/>
      <c r="U1175" s="30">
        <f t="shared" si="989"/>
        <v>0</v>
      </c>
      <c r="V1175" s="34"/>
      <c r="W1175" s="34"/>
      <c r="X1175" s="34">
        <v>1</v>
      </c>
      <c r="Y1175" s="34"/>
      <c r="Z1175" s="30">
        <f t="shared" si="929"/>
        <v>1</v>
      </c>
      <c r="AA1175" s="56">
        <f>F1175+K1175+P1175+U1175+Z1175</f>
        <v>1</v>
      </c>
      <c r="AB1175" s="298">
        <v>45468</v>
      </c>
      <c r="AC1175" s="276" t="s">
        <v>383</v>
      </c>
      <c r="AD1175" s="54"/>
      <c r="AE1175" s="55"/>
      <c r="AF1175" s="55"/>
      <c r="AG1175" s="55"/>
      <c r="AH1175" s="56">
        <f t="shared" si="990"/>
        <v>0</v>
      </c>
      <c r="AI1175" s="54"/>
      <c r="AJ1175" s="55"/>
      <c r="AK1175" s="55"/>
      <c r="AL1175" s="55"/>
      <c r="AM1175" s="56">
        <f t="shared" si="991"/>
        <v>0</v>
      </c>
      <c r="AN1175" s="54"/>
      <c r="AO1175" s="55"/>
      <c r="AP1175" s="55"/>
      <c r="AQ1175" s="55"/>
      <c r="AR1175" s="56">
        <f t="shared" si="992"/>
        <v>0</v>
      </c>
      <c r="AS1175" s="54"/>
      <c r="AT1175" s="55"/>
      <c r="AU1175" s="55"/>
      <c r="AV1175" s="55"/>
      <c r="AW1175" s="56">
        <f t="shared" si="993"/>
        <v>0</v>
      </c>
      <c r="AX1175" s="55"/>
      <c r="AY1175" s="55">
        <v>2</v>
      </c>
      <c r="AZ1175" s="55"/>
      <c r="BA1175" s="55"/>
      <c r="BB1175" s="56">
        <f t="shared" si="994"/>
        <v>2</v>
      </c>
      <c r="BC1175" s="56">
        <f t="shared" si="995"/>
        <v>2</v>
      </c>
      <c r="BD1175" s="298">
        <v>45475</v>
      </c>
      <c r="BE1175" s="282"/>
      <c r="BF1175" s="33"/>
      <c r="BG1175" s="34"/>
      <c r="BH1175" s="34"/>
      <c r="BI1175" s="34"/>
      <c r="BJ1175" s="30">
        <f t="shared" si="952"/>
        <v>0</v>
      </c>
      <c r="BL1175" s="282"/>
      <c r="BM1175" s="33"/>
      <c r="BN1175" s="34"/>
      <c r="BO1175" s="34"/>
      <c r="BP1175" s="34"/>
      <c r="BQ1175" s="30">
        <f t="shared" si="953"/>
        <v>0</v>
      </c>
    </row>
    <row r="1176" spans="1:69" ht="15" thickBot="1" x14ac:dyDescent="0.2">
      <c r="A1176" s="9" t="s">
        <v>15</v>
      </c>
      <c r="B1176" s="36">
        <f>SUM(B1150:B1175)</f>
        <v>2</v>
      </c>
      <c r="C1176" s="37">
        <f>SUM(C1150:C1175)</f>
        <v>2</v>
      </c>
      <c r="D1176" s="37">
        <f>SUM(D1150:D1175)</f>
        <v>2</v>
      </c>
      <c r="E1176" s="38">
        <f>SUM(E1150:E1175)</f>
        <v>1</v>
      </c>
      <c r="F1176" s="25">
        <f t="shared" si="986"/>
        <v>7</v>
      </c>
      <c r="G1176" s="36">
        <f>SUM(G1150:G1175)</f>
        <v>1</v>
      </c>
      <c r="H1176" s="37">
        <f>SUM(H1150:H1175)</f>
        <v>7</v>
      </c>
      <c r="I1176" s="37">
        <f>SUM(I1150:I1175)</f>
        <v>2</v>
      </c>
      <c r="J1176" s="38">
        <f>SUM(J1150:J1175)</f>
        <v>0</v>
      </c>
      <c r="K1176" s="25">
        <f t="shared" si="987"/>
        <v>10</v>
      </c>
      <c r="L1176" s="36">
        <f>SUM(L1150:L1175)</f>
        <v>1</v>
      </c>
      <c r="M1176" s="37">
        <f>SUM(M1150:M1175)</f>
        <v>2</v>
      </c>
      <c r="N1176" s="37">
        <f>SUM(N1150:N1175)</f>
        <v>3</v>
      </c>
      <c r="O1176" s="38">
        <f>SUM(O1150:O1175)</f>
        <v>2</v>
      </c>
      <c r="P1176" s="25">
        <f t="shared" si="988"/>
        <v>8</v>
      </c>
      <c r="Q1176" s="36">
        <f>SUM(Q1150:Q1175)</f>
        <v>1</v>
      </c>
      <c r="R1176" s="37">
        <f>SUM(R1150:R1175)</f>
        <v>1</v>
      </c>
      <c r="S1176" s="37">
        <f>SUM(S1150:S1175)</f>
        <v>3</v>
      </c>
      <c r="T1176" s="38">
        <f>SUM(T1150:T1175)</f>
        <v>5</v>
      </c>
      <c r="U1176" s="25">
        <f t="shared" si="989"/>
        <v>10</v>
      </c>
      <c r="V1176" s="322">
        <f>SUM(V1150:V1175)</f>
        <v>0</v>
      </c>
      <c r="W1176" s="37">
        <f>SUM(W1150:W1175)</f>
        <v>-1</v>
      </c>
      <c r="X1176" s="37">
        <f>SUM(X1150:X1175)</f>
        <v>2</v>
      </c>
      <c r="Y1176" s="38">
        <f>SUM(Y1150:Y1175)</f>
        <v>1</v>
      </c>
      <c r="Z1176" s="25">
        <f t="shared" si="929"/>
        <v>2</v>
      </c>
      <c r="AA1176" s="161">
        <f>F1176+K1176+P1176+U1176+Z1176</f>
        <v>37</v>
      </c>
      <c r="AC1176" s="278" t="s">
        <v>15</v>
      </c>
      <c r="AD1176" s="36">
        <f>SUM(AD1150:AD1175)</f>
        <v>3</v>
      </c>
      <c r="AE1176" s="37">
        <f>SUM(AE1150:AE1175)</f>
        <v>6</v>
      </c>
      <c r="AF1176" s="37">
        <f>SUM(AF1150:AF1175)</f>
        <v>3</v>
      </c>
      <c r="AG1176" s="38">
        <f>SUM(AG1150:AG1175)</f>
        <v>5</v>
      </c>
      <c r="AH1176" s="25">
        <f t="shared" ref="AH1176:AH1177" si="996">SUM(AD1176:AG1176)</f>
        <v>17</v>
      </c>
      <c r="AI1176" s="36">
        <f>SUM(AI1150:AI1175)</f>
        <v>19</v>
      </c>
      <c r="AJ1176" s="37">
        <f>SUM(AJ1150:AJ1175)</f>
        <v>18</v>
      </c>
      <c r="AK1176" s="37">
        <f>SUM(AK1150:AK1175)</f>
        <v>5</v>
      </c>
      <c r="AL1176" s="38">
        <f>SUM(AL1150:AL1175)</f>
        <v>8</v>
      </c>
      <c r="AM1176" s="25">
        <f t="shared" ref="AM1176:AM1177" si="997">SUM(AI1176:AL1176)</f>
        <v>50</v>
      </c>
      <c r="AN1176" s="36">
        <f>SUM(AN1150:AN1175)</f>
        <v>0</v>
      </c>
      <c r="AO1176" s="37">
        <f>SUM(AO1150:AO1175)</f>
        <v>0</v>
      </c>
      <c r="AP1176" s="37">
        <f>SUM(AP1150:AP1175)</f>
        <v>3</v>
      </c>
      <c r="AQ1176" s="38">
        <f>SUM(AQ1150:AQ1175)</f>
        <v>3</v>
      </c>
      <c r="AR1176" s="25">
        <f t="shared" si="940"/>
        <v>6</v>
      </c>
      <c r="AS1176" s="36">
        <f>SUM(AS1150:AS1175)</f>
        <v>7</v>
      </c>
      <c r="AT1176" s="37">
        <f>SUM(AT1150:AT1175)</f>
        <v>16</v>
      </c>
      <c r="AU1176" s="37">
        <f>SUM(AU1150:AU1175)</f>
        <v>7</v>
      </c>
      <c r="AV1176" s="38">
        <f>SUM(AV1150:AV1175)</f>
        <v>11</v>
      </c>
      <c r="AW1176" s="25">
        <f t="shared" si="941"/>
        <v>41</v>
      </c>
      <c r="AX1176" s="322">
        <f>SUM(AX1150:AX1175)</f>
        <v>2</v>
      </c>
      <c r="AY1176" s="37">
        <f>SUM(AY1150:AY1175)</f>
        <v>14</v>
      </c>
      <c r="AZ1176" s="37">
        <f>SUM(AZ1150:AZ1175)</f>
        <v>0</v>
      </c>
      <c r="BA1176" s="38">
        <f>SUM(BA1150:BA1175)</f>
        <v>3</v>
      </c>
      <c r="BB1176" s="25">
        <f t="shared" si="942"/>
        <v>19</v>
      </c>
      <c r="BC1176" s="161">
        <f>AH1176+AM1176+AR1176+AW1176+BB1176</f>
        <v>133</v>
      </c>
      <c r="BE1176" s="278" t="s">
        <v>15</v>
      </c>
      <c r="BF1176" s="312">
        <f>SUM(BF1150:BF1175)</f>
        <v>0</v>
      </c>
      <c r="BG1176" s="302">
        <f>SUM(BG1150:BG1175)</f>
        <v>0</v>
      </c>
      <c r="BH1176" s="37">
        <f>SUM(BH1150:BH1175)</f>
        <v>1</v>
      </c>
      <c r="BI1176" s="316">
        <f>SUM(BI1150:BI1175)</f>
        <v>0</v>
      </c>
      <c r="BJ1176" s="25">
        <f t="shared" si="952"/>
        <v>1</v>
      </c>
      <c r="BL1176" s="278" t="s">
        <v>15</v>
      </c>
      <c r="BM1176" s="312">
        <f>SUM(BM1150:BM1175)</f>
        <v>0</v>
      </c>
      <c r="BN1176" s="302">
        <f>SUM(BN1150:BN1175)</f>
        <v>0</v>
      </c>
      <c r="BO1176" s="37">
        <f>SUM(BO1150:BO1175)</f>
        <v>0</v>
      </c>
      <c r="BP1176" s="316">
        <f>SUM(BP1150:BP1175)</f>
        <v>0</v>
      </c>
      <c r="BQ1176" s="25">
        <f t="shared" si="953"/>
        <v>0</v>
      </c>
    </row>
    <row r="1177" spans="1:69" ht="14.25" thickBot="1" x14ac:dyDescent="0.2">
      <c r="A1177" s="39" t="s">
        <v>16</v>
      </c>
      <c r="B1177" s="40">
        <f>B1149-B1176</f>
        <v>3</v>
      </c>
      <c r="C1177" s="41">
        <f>C1149-C1176</f>
        <v>3</v>
      </c>
      <c r="D1177" s="41">
        <f>D1149-D1176</f>
        <v>5</v>
      </c>
      <c r="E1177" s="42">
        <f>E1149-E1176</f>
        <v>6</v>
      </c>
      <c r="F1177" s="171">
        <f t="shared" si="986"/>
        <v>17</v>
      </c>
      <c r="G1177" s="40">
        <f>G1149-G1176</f>
        <v>4</v>
      </c>
      <c r="H1177" s="41">
        <f>H1149-H1176</f>
        <v>2</v>
      </c>
      <c r="I1177" s="41">
        <f>I1149-I1176</f>
        <v>5</v>
      </c>
      <c r="J1177" s="42">
        <f>J1149-J1176</f>
        <v>5</v>
      </c>
      <c r="K1177" s="171">
        <f t="shared" si="987"/>
        <v>16</v>
      </c>
      <c r="L1177" s="40">
        <f>L1149-L1176</f>
        <v>5</v>
      </c>
      <c r="M1177" s="41">
        <f>M1149-M1176</f>
        <v>2</v>
      </c>
      <c r="N1177" s="41">
        <f>N1149-N1176</f>
        <v>4</v>
      </c>
      <c r="O1177" s="42">
        <f>O1149-O1176</f>
        <v>4</v>
      </c>
      <c r="P1177" s="171">
        <f t="shared" si="988"/>
        <v>15</v>
      </c>
      <c r="Q1177" s="40">
        <f>Q1149-Q1176</f>
        <v>6</v>
      </c>
      <c r="R1177" s="41">
        <f>R1149-R1176</f>
        <v>4</v>
      </c>
      <c r="S1177" s="41">
        <f>S1149-S1176</f>
        <v>5</v>
      </c>
      <c r="T1177" s="42">
        <f>T1149-T1176</f>
        <v>2</v>
      </c>
      <c r="U1177" s="171">
        <f t="shared" si="989"/>
        <v>17</v>
      </c>
      <c r="V1177" s="323">
        <f>V1149-V1176</f>
        <v>4</v>
      </c>
      <c r="W1177" s="41">
        <f>W1149-W1176</f>
        <v>5</v>
      </c>
      <c r="X1177" s="41">
        <f>X1149-X1176</f>
        <v>3</v>
      </c>
      <c r="Y1177" s="42">
        <f>Y1149-Y1176</f>
        <v>3</v>
      </c>
      <c r="Z1177" s="171">
        <f>SUM(V1177:Y1177)</f>
        <v>15</v>
      </c>
      <c r="AA1177" s="77">
        <f>F1177+K1177+P1177+U1177+Z1177</f>
        <v>80</v>
      </c>
      <c r="AC1177" s="279" t="s">
        <v>16</v>
      </c>
      <c r="AD1177" s="40">
        <f>AD1149-AD1176</f>
        <v>81</v>
      </c>
      <c r="AE1177" s="41">
        <f>AE1149-AE1176</f>
        <v>73</v>
      </c>
      <c r="AF1177" s="41">
        <f>AF1149-AF1176</f>
        <v>135</v>
      </c>
      <c r="AG1177" s="42">
        <f>AG1149-AG1176</f>
        <v>58</v>
      </c>
      <c r="AH1177" s="171">
        <f t="shared" si="996"/>
        <v>347</v>
      </c>
      <c r="AI1177" s="40">
        <f>AI1149-AI1176</f>
        <v>123</v>
      </c>
      <c r="AJ1177" s="41">
        <f>AJ1149-AJ1176</f>
        <v>156</v>
      </c>
      <c r="AK1177" s="41">
        <f>AK1149-AK1176</f>
        <v>109</v>
      </c>
      <c r="AL1177" s="42">
        <f>AL1149-AL1176</f>
        <v>99</v>
      </c>
      <c r="AM1177" s="171">
        <f t="shared" si="997"/>
        <v>487</v>
      </c>
      <c r="AN1177" s="40">
        <f>AN1149-AN1176</f>
        <v>41</v>
      </c>
      <c r="AO1177" s="41">
        <f>AO1149-AO1176</f>
        <v>58</v>
      </c>
      <c r="AP1177" s="41">
        <f>AP1149-AP1176</f>
        <v>43</v>
      </c>
      <c r="AQ1177" s="42">
        <f>AQ1149-AQ1176</f>
        <v>26</v>
      </c>
      <c r="AR1177" s="171">
        <f t="shared" si="940"/>
        <v>168</v>
      </c>
      <c r="AS1177" s="40">
        <f>AS1149-AS1176</f>
        <v>145</v>
      </c>
      <c r="AT1177" s="41">
        <f>AT1149-AT1176</f>
        <v>185</v>
      </c>
      <c r="AU1177" s="41">
        <f>AU1149-AU1176</f>
        <v>124</v>
      </c>
      <c r="AV1177" s="42">
        <f>AV1149-AV1176</f>
        <v>105</v>
      </c>
      <c r="AW1177" s="171">
        <f t="shared" si="941"/>
        <v>559</v>
      </c>
      <c r="AX1177" s="323">
        <f>AX1149-AX1176</f>
        <v>106</v>
      </c>
      <c r="AY1177" s="41">
        <f>AY1149-AY1176</f>
        <v>81</v>
      </c>
      <c r="AZ1177" s="41">
        <f>AZ1149-AZ1176</f>
        <v>44</v>
      </c>
      <c r="BA1177" s="42">
        <f>BA1149-BA1176</f>
        <v>36</v>
      </c>
      <c r="BB1177" s="171">
        <f>SUM(AX1177:BA1177)</f>
        <v>267</v>
      </c>
      <c r="BC1177" s="77">
        <f>AH1177+AM1177+AR1177+AW1177+BB1177</f>
        <v>1828</v>
      </c>
      <c r="BE1177" s="279" t="s">
        <v>16</v>
      </c>
      <c r="BF1177" s="313">
        <f>BF1149-BF1176</f>
        <v>0</v>
      </c>
      <c r="BG1177" s="303">
        <f>BG1149-BG1176</f>
        <v>0</v>
      </c>
      <c r="BH1177" s="41">
        <f>BH1149-BH1176</f>
        <v>2</v>
      </c>
      <c r="BI1177" s="317">
        <f>BI1149-BI1176</f>
        <v>0</v>
      </c>
      <c r="BJ1177" s="171">
        <f t="shared" si="952"/>
        <v>2</v>
      </c>
      <c r="BL1177" s="279" t="s">
        <v>16</v>
      </c>
      <c r="BM1177" s="313">
        <f>BM1149-BM1176</f>
        <v>0</v>
      </c>
      <c r="BN1177" s="303">
        <f>BN1149-BN1176</f>
        <v>0</v>
      </c>
      <c r="BO1177" s="41">
        <f>BO1149-BO1176</f>
        <v>16</v>
      </c>
      <c r="BP1177" s="317">
        <f>BP1149-BP1176</f>
        <v>0</v>
      </c>
      <c r="BQ1177" s="171">
        <f t="shared" si="953"/>
        <v>16</v>
      </c>
    </row>
    <row r="1181" spans="1:69" ht="19.5" thickBot="1" x14ac:dyDescent="0.25">
      <c r="A1181" s="185" t="s">
        <v>19</v>
      </c>
      <c r="B1181" s="186"/>
      <c r="C1181" s="186"/>
      <c r="D1181" s="186"/>
      <c r="E1181" s="186"/>
      <c r="F1181" s="186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C1181" s="187" t="s">
        <v>73</v>
      </c>
      <c r="AD1181" s="188"/>
      <c r="AE1181" s="188"/>
      <c r="AF1181" s="188"/>
      <c r="AG1181" s="188"/>
      <c r="AH1181" s="188"/>
      <c r="AI1181" s="188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E1181" s="185" t="s">
        <v>19</v>
      </c>
      <c r="BF1181" s="186"/>
      <c r="BG1181" s="186"/>
      <c r="BH1181" s="186"/>
      <c r="BI1181" s="186"/>
      <c r="BJ1181" s="186"/>
      <c r="BL1181" s="187" t="s">
        <v>73</v>
      </c>
      <c r="BM1181" s="188"/>
      <c r="BN1181" s="188"/>
      <c r="BO1181" s="188"/>
      <c r="BP1181" s="188"/>
      <c r="BQ1181" s="188"/>
    </row>
    <row r="1182" spans="1:69" ht="14.25" thickBot="1" x14ac:dyDescent="0.2">
      <c r="A1182" s="3" t="s">
        <v>0</v>
      </c>
      <c r="B1182" s="365" t="s">
        <v>17</v>
      </c>
      <c r="C1182" s="366"/>
      <c r="D1182" s="366"/>
      <c r="E1182" s="366"/>
      <c r="F1182" s="367"/>
      <c r="G1182" s="368" t="s">
        <v>18</v>
      </c>
      <c r="H1182" s="369"/>
      <c r="I1182" s="369"/>
      <c r="J1182" s="369"/>
      <c r="K1182" s="370"/>
      <c r="L1182" s="371" t="s">
        <v>320</v>
      </c>
      <c r="M1182" s="372"/>
      <c r="N1182" s="372"/>
      <c r="O1182" s="372"/>
      <c r="P1182" s="373"/>
      <c r="Q1182" s="355" t="s">
        <v>75</v>
      </c>
      <c r="R1182" s="356"/>
      <c r="S1182" s="356"/>
      <c r="T1182" s="356"/>
      <c r="U1182" s="357"/>
      <c r="V1182" s="358" t="s">
        <v>456</v>
      </c>
      <c r="W1182" s="358"/>
      <c r="X1182" s="358"/>
      <c r="Y1182" s="358"/>
      <c r="Z1182" s="359"/>
      <c r="AA1182" s="360" t="s">
        <v>1</v>
      </c>
      <c r="AC1182" s="271" t="s">
        <v>0</v>
      </c>
      <c r="AD1182" s="365" t="s">
        <v>17</v>
      </c>
      <c r="AE1182" s="366"/>
      <c r="AF1182" s="366"/>
      <c r="AG1182" s="366"/>
      <c r="AH1182" s="367"/>
      <c r="AI1182" s="368" t="s">
        <v>18</v>
      </c>
      <c r="AJ1182" s="369"/>
      <c r="AK1182" s="369"/>
      <c r="AL1182" s="369"/>
      <c r="AM1182" s="370"/>
      <c r="AN1182" s="371" t="s">
        <v>320</v>
      </c>
      <c r="AO1182" s="372"/>
      <c r="AP1182" s="372"/>
      <c r="AQ1182" s="372"/>
      <c r="AR1182" s="373"/>
      <c r="AS1182" s="355" t="s">
        <v>75</v>
      </c>
      <c r="AT1182" s="356"/>
      <c r="AU1182" s="356"/>
      <c r="AV1182" s="356"/>
      <c r="AW1182" s="357"/>
      <c r="AX1182" s="358" t="s">
        <v>456</v>
      </c>
      <c r="AY1182" s="358"/>
      <c r="AZ1182" s="358"/>
      <c r="BA1182" s="358"/>
      <c r="BB1182" s="359"/>
      <c r="BC1182" s="360" t="s">
        <v>1</v>
      </c>
      <c r="BE1182" s="271" t="s">
        <v>0</v>
      </c>
      <c r="BF1182" s="362" t="s">
        <v>38</v>
      </c>
      <c r="BG1182" s="363"/>
      <c r="BH1182" s="363"/>
      <c r="BI1182" s="363"/>
      <c r="BJ1182" s="364"/>
      <c r="BL1182" s="271" t="s">
        <v>0</v>
      </c>
      <c r="BM1182" s="362" t="s">
        <v>38</v>
      </c>
      <c r="BN1182" s="363"/>
      <c r="BO1182" s="363"/>
      <c r="BP1182" s="363"/>
      <c r="BQ1182" s="364"/>
    </row>
    <row r="1183" spans="1:69" ht="14.25" thickBot="1" x14ac:dyDescent="0.2">
      <c r="A1183" s="5" t="s">
        <v>2</v>
      </c>
      <c r="B1183" s="6" t="s">
        <v>3</v>
      </c>
      <c r="C1183" s="7" t="s">
        <v>4</v>
      </c>
      <c r="D1183" s="7" t="s">
        <v>5</v>
      </c>
      <c r="E1183" s="8" t="s">
        <v>6</v>
      </c>
      <c r="F1183" s="5" t="s">
        <v>7</v>
      </c>
      <c r="G1183" s="6" t="s">
        <v>3</v>
      </c>
      <c r="H1183" s="7" t="s">
        <v>4</v>
      </c>
      <c r="I1183" s="7" t="s">
        <v>5</v>
      </c>
      <c r="J1183" s="8" t="s">
        <v>6</v>
      </c>
      <c r="K1183" s="5" t="s">
        <v>7</v>
      </c>
      <c r="L1183" s="6" t="s">
        <v>3</v>
      </c>
      <c r="M1183" s="7" t="s">
        <v>4</v>
      </c>
      <c r="N1183" s="7" t="s">
        <v>5</v>
      </c>
      <c r="O1183" s="8" t="s">
        <v>6</v>
      </c>
      <c r="P1183" s="5" t="s">
        <v>7</v>
      </c>
      <c r="Q1183" s="6" t="s">
        <v>3</v>
      </c>
      <c r="R1183" s="7" t="s">
        <v>4</v>
      </c>
      <c r="S1183" s="7" t="s">
        <v>5</v>
      </c>
      <c r="T1183" s="8" t="s">
        <v>6</v>
      </c>
      <c r="U1183" s="5" t="s">
        <v>7</v>
      </c>
      <c r="V1183" s="7" t="s">
        <v>3</v>
      </c>
      <c r="W1183" s="7" t="s">
        <v>4</v>
      </c>
      <c r="X1183" s="7" t="s">
        <v>5</v>
      </c>
      <c r="Y1183" s="8" t="s">
        <v>6</v>
      </c>
      <c r="Z1183" s="5" t="s">
        <v>7</v>
      </c>
      <c r="AA1183" s="361"/>
      <c r="AC1183" s="272" t="s">
        <v>2</v>
      </c>
      <c r="AD1183" s="6" t="s">
        <v>3</v>
      </c>
      <c r="AE1183" s="7" t="s">
        <v>4</v>
      </c>
      <c r="AF1183" s="7" t="s">
        <v>5</v>
      </c>
      <c r="AG1183" s="8" t="s">
        <v>6</v>
      </c>
      <c r="AH1183" s="5" t="s">
        <v>7</v>
      </c>
      <c r="AI1183" s="6" t="s">
        <v>3</v>
      </c>
      <c r="AJ1183" s="7" t="s">
        <v>4</v>
      </c>
      <c r="AK1183" s="7" t="s">
        <v>5</v>
      </c>
      <c r="AL1183" s="8" t="s">
        <v>6</v>
      </c>
      <c r="AM1183" s="5" t="s">
        <v>7</v>
      </c>
      <c r="AN1183" s="6" t="s">
        <v>3</v>
      </c>
      <c r="AO1183" s="7" t="s">
        <v>4</v>
      </c>
      <c r="AP1183" s="7" t="s">
        <v>5</v>
      </c>
      <c r="AQ1183" s="8" t="s">
        <v>6</v>
      </c>
      <c r="AR1183" s="5" t="s">
        <v>7</v>
      </c>
      <c r="AS1183" s="6" t="s">
        <v>3</v>
      </c>
      <c r="AT1183" s="7" t="s">
        <v>4</v>
      </c>
      <c r="AU1183" s="7" t="s">
        <v>5</v>
      </c>
      <c r="AV1183" s="8" t="s">
        <v>6</v>
      </c>
      <c r="AW1183" s="5" t="s">
        <v>7</v>
      </c>
      <c r="AX1183" s="7" t="s">
        <v>3</v>
      </c>
      <c r="AY1183" s="7" t="s">
        <v>4</v>
      </c>
      <c r="AZ1183" s="7" t="s">
        <v>5</v>
      </c>
      <c r="BA1183" s="8" t="s">
        <v>6</v>
      </c>
      <c r="BB1183" s="5" t="s">
        <v>7</v>
      </c>
      <c r="BC1183" s="361"/>
      <c r="BE1183" s="272" t="s">
        <v>2</v>
      </c>
      <c r="BF1183" s="6" t="s">
        <v>3</v>
      </c>
      <c r="BG1183" s="7" t="s">
        <v>4</v>
      </c>
      <c r="BH1183" s="7" t="s">
        <v>5</v>
      </c>
      <c r="BI1183" s="8" t="s">
        <v>6</v>
      </c>
      <c r="BJ1183" s="5" t="s">
        <v>7</v>
      </c>
      <c r="BL1183" s="272" t="s">
        <v>2</v>
      </c>
      <c r="BM1183" s="6" t="s">
        <v>3</v>
      </c>
      <c r="BN1183" s="7" t="s">
        <v>4</v>
      </c>
      <c r="BO1183" s="7" t="s">
        <v>5</v>
      </c>
      <c r="BP1183" s="8" t="s">
        <v>6</v>
      </c>
      <c r="BQ1183" s="5" t="s">
        <v>7</v>
      </c>
    </row>
    <row r="1184" spans="1:69" ht="15" thickBot="1" x14ac:dyDescent="0.2">
      <c r="A1184" s="291" t="s">
        <v>30</v>
      </c>
      <c r="B1184" s="292">
        <f>B1177</f>
        <v>3</v>
      </c>
      <c r="C1184" s="292">
        <f>C1177</f>
        <v>3</v>
      </c>
      <c r="D1184" s="292">
        <f>D1177</f>
        <v>5</v>
      </c>
      <c r="E1184" s="293">
        <f>E1177</f>
        <v>6</v>
      </c>
      <c r="F1184" s="77">
        <f t="shared" ref="F1184" si="998">SUM(B1184:E1184)</f>
        <v>17</v>
      </c>
      <c r="G1184" s="292">
        <f>G1177</f>
        <v>4</v>
      </c>
      <c r="H1184" s="292">
        <f>H1177</f>
        <v>2</v>
      </c>
      <c r="I1184" s="292">
        <f>I1177</f>
        <v>5</v>
      </c>
      <c r="J1184" s="293">
        <f>J1177</f>
        <v>5</v>
      </c>
      <c r="K1184" s="77">
        <f t="shared" ref="K1184:K1192" si="999">SUM(G1184:J1184)</f>
        <v>16</v>
      </c>
      <c r="L1184" s="292">
        <f>L1177</f>
        <v>5</v>
      </c>
      <c r="M1184" s="292">
        <f>M1177</f>
        <v>2</v>
      </c>
      <c r="N1184" s="292">
        <f>N1177</f>
        <v>4</v>
      </c>
      <c r="O1184" s="293">
        <f>O1177</f>
        <v>4</v>
      </c>
      <c r="P1184" s="77">
        <f t="shared" ref="P1184:P1192" si="1000">SUM(L1184:O1184)</f>
        <v>15</v>
      </c>
      <c r="Q1184" s="324">
        <f>Q1177</f>
        <v>6</v>
      </c>
      <c r="R1184" s="292">
        <f>R1177</f>
        <v>4</v>
      </c>
      <c r="S1184" s="292">
        <f>S1177</f>
        <v>5</v>
      </c>
      <c r="T1184" s="293">
        <f>T1177</f>
        <v>2</v>
      </c>
      <c r="U1184" s="77">
        <f t="shared" ref="U1184:U1192" si="1001">SUM(Q1184:T1184)</f>
        <v>17</v>
      </c>
      <c r="V1184" s="324">
        <f>V1177</f>
        <v>4</v>
      </c>
      <c r="W1184" s="292">
        <f>W1177</f>
        <v>5</v>
      </c>
      <c r="X1184" s="292">
        <f>X1177</f>
        <v>3</v>
      </c>
      <c r="Y1184" s="293">
        <f>Y1177</f>
        <v>3</v>
      </c>
      <c r="Z1184" s="77">
        <f t="shared" ref="Z1184:Z1219" si="1002">SUM(V1184:Y1184)</f>
        <v>15</v>
      </c>
      <c r="AA1184" s="77">
        <f>F1184+K1184+P1184+U1184+Z1184</f>
        <v>80</v>
      </c>
      <c r="AC1184" s="294" t="s">
        <v>30</v>
      </c>
      <c r="AD1184" s="292">
        <f>AD1177</f>
        <v>81</v>
      </c>
      <c r="AE1184" s="292">
        <f>AE1177</f>
        <v>73</v>
      </c>
      <c r="AF1184" s="292">
        <f>AF1177</f>
        <v>135</v>
      </c>
      <c r="AG1184" s="293">
        <f>AG1177</f>
        <v>58</v>
      </c>
      <c r="AH1184" s="77">
        <f>SUM(AD1184:AG1184)</f>
        <v>347</v>
      </c>
      <c r="AI1184" s="292">
        <f>AI1177</f>
        <v>123</v>
      </c>
      <c r="AJ1184" s="292">
        <f>AJ1177</f>
        <v>156</v>
      </c>
      <c r="AK1184" s="292">
        <f>AK1177</f>
        <v>109</v>
      </c>
      <c r="AL1184" s="293">
        <f>AL1177</f>
        <v>99</v>
      </c>
      <c r="AM1184" s="77">
        <f>SUM(AI1184:AL1184)</f>
        <v>487</v>
      </c>
      <c r="AN1184" s="292">
        <f>AN1177</f>
        <v>41</v>
      </c>
      <c r="AO1184" s="292">
        <f>AO1177</f>
        <v>58</v>
      </c>
      <c r="AP1184" s="292">
        <f>AP1177</f>
        <v>43</v>
      </c>
      <c r="AQ1184" s="293">
        <f>AQ1177</f>
        <v>26</v>
      </c>
      <c r="AR1184" s="77">
        <f>SUM(AN1184:AQ1184)</f>
        <v>168</v>
      </c>
      <c r="AS1184" s="324">
        <f>AS1177</f>
        <v>145</v>
      </c>
      <c r="AT1184" s="292">
        <f>AT1177</f>
        <v>185</v>
      </c>
      <c r="AU1184" s="292">
        <f>AU1177</f>
        <v>124</v>
      </c>
      <c r="AV1184" s="293">
        <f>AV1177</f>
        <v>105</v>
      </c>
      <c r="AW1184" s="77">
        <f>SUM(AS1184:AV1184)</f>
        <v>559</v>
      </c>
      <c r="AX1184" s="324">
        <f>AX1177</f>
        <v>106</v>
      </c>
      <c r="AY1184" s="292">
        <f>AY1177</f>
        <v>81</v>
      </c>
      <c r="AZ1184" s="292">
        <f>AZ1177</f>
        <v>44</v>
      </c>
      <c r="BA1184" s="293">
        <f>BA1177</f>
        <v>36</v>
      </c>
      <c r="BB1184" s="77">
        <f>SUM(AX1184:BA1184)</f>
        <v>267</v>
      </c>
      <c r="BC1184" s="77">
        <f>AH1184+AM1184+AR1184+AW1184+BB1184</f>
        <v>1828</v>
      </c>
      <c r="BE1184" s="294" t="s">
        <v>30</v>
      </c>
      <c r="BF1184" s="40">
        <f>BF1177</f>
        <v>0</v>
      </c>
      <c r="BG1184" s="41">
        <f t="shared" ref="BG1184:BJ1184" si="1003">BG1177</f>
        <v>0</v>
      </c>
      <c r="BH1184" s="41">
        <f t="shared" si="1003"/>
        <v>2</v>
      </c>
      <c r="BI1184" s="42">
        <f t="shared" si="1003"/>
        <v>0</v>
      </c>
      <c r="BJ1184" s="171">
        <f t="shared" si="1003"/>
        <v>2</v>
      </c>
      <c r="BL1184" s="294" t="s">
        <v>30</v>
      </c>
      <c r="BM1184" s="292">
        <f>BM1177</f>
        <v>0</v>
      </c>
      <c r="BN1184" s="292">
        <f t="shared" ref="BN1184:BQ1184" si="1004">BN1177</f>
        <v>0</v>
      </c>
      <c r="BO1184" s="292">
        <f t="shared" si="1004"/>
        <v>16</v>
      </c>
      <c r="BP1184" s="292">
        <f t="shared" si="1004"/>
        <v>0</v>
      </c>
      <c r="BQ1184" s="77">
        <f t="shared" si="1004"/>
        <v>16</v>
      </c>
    </row>
    <row r="1185" spans="1:71" x14ac:dyDescent="0.15">
      <c r="A1185" s="268" t="s">
        <v>28</v>
      </c>
      <c r="B1185" s="55"/>
      <c r="C1185" s="153"/>
      <c r="D1185" s="153"/>
      <c r="E1185" s="168"/>
      <c r="F1185" s="56">
        <f>SUM(B1185:E1185)</f>
        <v>0</v>
      </c>
      <c r="G1185" s="55"/>
      <c r="H1185" s="153">
        <v>3</v>
      </c>
      <c r="I1185" s="153"/>
      <c r="J1185" s="168"/>
      <c r="K1185" s="56">
        <f t="shared" ref="K1185:K1191" si="1005">SUM(G1185:J1185)</f>
        <v>3</v>
      </c>
      <c r="L1185" s="55"/>
      <c r="M1185" s="153"/>
      <c r="N1185" s="153"/>
      <c r="O1185" s="168"/>
      <c r="P1185" s="56">
        <f t="shared" ref="P1185:P1191" si="1006">SUM(L1185:O1185)</f>
        <v>0</v>
      </c>
      <c r="Q1185" s="54"/>
      <c r="R1185" s="153"/>
      <c r="S1185" s="153"/>
      <c r="T1185" s="168">
        <v>3</v>
      </c>
      <c r="U1185" s="56">
        <f t="shared" ref="U1185:U1191" si="1007">SUM(Q1185:T1185)</f>
        <v>3</v>
      </c>
      <c r="V1185" s="55"/>
      <c r="W1185" s="153"/>
      <c r="X1185" s="153"/>
      <c r="Y1185" s="168">
        <v>3</v>
      </c>
      <c r="Z1185" s="49">
        <f t="shared" ref="Z1185:Z1191" si="1008">SUM(V1185:Y1185)</f>
        <v>3</v>
      </c>
      <c r="AA1185" s="49">
        <f t="shared" ref="AA1185:AA1191" si="1009">F1185+K1185+P1185+U1185+Z1185</f>
        <v>9</v>
      </c>
      <c r="AB1185" s="298">
        <v>45467</v>
      </c>
      <c r="AC1185" s="268" t="s">
        <v>28</v>
      </c>
      <c r="AD1185" s="55"/>
      <c r="AE1185" s="153"/>
      <c r="AF1185" s="153"/>
      <c r="AG1185" s="168"/>
      <c r="AH1185" s="56">
        <f t="shared" ref="AH1185:AH1214" si="1010">SUM(AD1185:AG1185)</f>
        <v>0</v>
      </c>
      <c r="AI1185" s="55"/>
      <c r="AJ1185" s="153"/>
      <c r="AK1185" s="153"/>
      <c r="AL1185" s="168"/>
      <c r="AM1185" s="56">
        <f t="shared" ref="AM1185:AM1214" si="1011">SUM(AI1185:AL1185)</f>
        <v>0</v>
      </c>
      <c r="AN1185" s="55"/>
      <c r="AO1185" s="153"/>
      <c r="AP1185" s="153"/>
      <c r="AQ1185" s="168"/>
      <c r="AR1185" s="56">
        <f t="shared" ref="AR1185:AR1220" si="1012">SUM(AN1185:AQ1185)</f>
        <v>0</v>
      </c>
      <c r="AS1185" s="54"/>
      <c r="AT1185" s="153"/>
      <c r="AU1185" s="153"/>
      <c r="AV1185" s="168"/>
      <c r="AW1185" s="56">
        <f t="shared" ref="AW1185:AW1220" si="1013">SUM(AS1185:AV1185)</f>
        <v>0</v>
      </c>
      <c r="AX1185" s="55"/>
      <c r="AY1185" s="153"/>
      <c r="AZ1185" s="153"/>
      <c r="BA1185" s="168"/>
      <c r="BB1185" s="49">
        <f t="shared" ref="BB1185:BB1219" si="1014">SUM(AX1185:BA1185)</f>
        <v>0</v>
      </c>
      <c r="BC1185" s="49">
        <f t="shared" ref="BC1185:BC1191" si="1015">AH1185+AM1185+AR1185+AW1185+BB1185</f>
        <v>0</v>
      </c>
      <c r="BE1185" s="268" t="s">
        <v>28</v>
      </c>
      <c r="BF1185" s="55"/>
      <c r="BG1185" s="153"/>
      <c r="BH1185" s="153">
        <v>3</v>
      </c>
      <c r="BI1185" s="168"/>
      <c r="BJ1185" s="56">
        <f t="shared" ref="BJ1185:BJ1187" si="1016">SUM(BF1185:BI1185)</f>
        <v>3</v>
      </c>
      <c r="BK1185" s="306">
        <v>45469</v>
      </c>
      <c r="BL1185" s="268" t="s">
        <v>28</v>
      </c>
      <c r="BM1185" s="51"/>
      <c r="BN1185" s="52"/>
      <c r="BO1185" s="52"/>
      <c r="BP1185" s="52"/>
      <c r="BQ1185" s="49">
        <f t="shared" ref="BQ1185:BQ1187" si="1017">SUM(BM1185:BP1185)</f>
        <v>0</v>
      </c>
    </row>
    <row r="1186" spans="1:71" x14ac:dyDescent="0.15">
      <c r="A1186" s="268" t="s">
        <v>28</v>
      </c>
      <c r="B1186" s="55">
        <v>2</v>
      </c>
      <c r="C1186" s="153">
        <v>2</v>
      </c>
      <c r="D1186" s="153"/>
      <c r="E1186" s="168"/>
      <c r="F1186" s="56">
        <f t="shared" ref="F1186:F1191" si="1018">SUM(B1186:E1186)</f>
        <v>4</v>
      </c>
      <c r="G1186" s="55"/>
      <c r="H1186" s="153"/>
      <c r="I1186" s="153"/>
      <c r="J1186" s="168"/>
      <c r="K1186" s="56">
        <f t="shared" si="1005"/>
        <v>0</v>
      </c>
      <c r="L1186" s="55"/>
      <c r="M1186" s="153">
        <v>2</v>
      </c>
      <c r="N1186" s="153">
        <v>2</v>
      </c>
      <c r="O1186" s="168"/>
      <c r="P1186" s="56">
        <f t="shared" si="1006"/>
        <v>4</v>
      </c>
      <c r="Q1186" s="54"/>
      <c r="R1186" s="153"/>
      <c r="S1186" s="153">
        <v>2</v>
      </c>
      <c r="T1186" s="168"/>
      <c r="U1186" s="56">
        <f t="shared" si="1007"/>
        <v>2</v>
      </c>
      <c r="V1186" s="55"/>
      <c r="W1186" s="153"/>
      <c r="X1186" s="153"/>
      <c r="Y1186" s="168"/>
      <c r="Z1186" s="49">
        <f t="shared" si="1008"/>
        <v>0</v>
      </c>
      <c r="AA1186" s="49">
        <f t="shared" si="1009"/>
        <v>10</v>
      </c>
      <c r="AB1186" s="298">
        <v>45472</v>
      </c>
      <c r="AC1186" s="268" t="s">
        <v>28</v>
      </c>
      <c r="AD1186" s="55"/>
      <c r="AE1186" s="153"/>
      <c r="AF1186" s="153"/>
      <c r="AG1186" s="168"/>
      <c r="AH1186" s="56">
        <f t="shared" si="1010"/>
        <v>0</v>
      </c>
      <c r="AI1186" s="55"/>
      <c r="AJ1186" s="153"/>
      <c r="AK1186" s="153"/>
      <c r="AL1186" s="168"/>
      <c r="AM1186" s="56">
        <f t="shared" si="1011"/>
        <v>0</v>
      </c>
      <c r="AN1186" s="55"/>
      <c r="AO1186" s="153"/>
      <c r="AP1186" s="153"/>
      <c r="AQ1186" s="168"/>
      <c r="AR1186" s="56">
        <f t="shared" si="1012"/>
        <v>0</v>
      </c>
      <c r="AS1186" s="54"/>
      <c r="AT1186" s="153"/>
      <c r="AU1186" s="153"/>
      <c r="AV1186" s="168"/>
      <c r="AW1186" s="56">
        <f t="shared" si="1013"/>
        <v>0</v>
      </c>
      <c r="AX1186" s="55"/>
      <c r="AY1186" s="153"/>
      <c r="AZ1186" s="153"/>
      <c r="BA1186" s="168"/>
      <c r="BB1186" s="49">
        <f t="shared" si="1014"/>
        <v>0</v>
      </c>
      <c r="BC1186" s="49">
        <f t="shared" si="1015"/>
        <v>0</v>
      </c>
      <c r="BE1186" s="268" t="s">
        <v>28</v>
      </c>
      <c r="BF1186" s="55"/>
      <c r="BG1186" s="153"/>
      <c r="BH1186" s="153"/>
      <c r="BI1186" s="168"/>
      <c r="BJ1186" s="56">
        <f t="shared" si="1016"/>
        <v>0</v>
      </c>
      <c r="BK1186" s="191"/>
      <c r="BL1186" s="268" t="s">
        <v>28</v>
      </c>
      <c r="BM1186" s="54"/>
      <c r="BN1186" s="55"/>
      <c r="BO1186" s="55"/>
      <c r="BP1186" s="55"/>
      <c r="BQ1186" s="56">
        <f t="shared" si="1017"/>
        <v>0</v>
      </c>
    </row>
    <row r="1187" spans="1:71" x14ac:dyDescent="0.15">
      <c r="A1187" s="268" t="s">
        <v>28</v>
      </c>
      <c r="B1187" s="55">
        <v>2</v>
      </c>
      <c r="C1187" s="153"/>
      <c r="D1187" s="153"/>
      <c r="E1187" s="168"/>
      <c r="F1187" s="56">
        <f t="shared" si="1018"/>
        <v>2</v>
      </c>
      <c r="G1187" s="55">
        <v>2</v>
      </c>
      <c r="H1187" s="153">
        <v>2</v>
      </c>
      <c r="I1187" s="153"/>
      <c r="J1187" s="168"/>
      <c r="K1187" s="56">
        <f t="shared" si="1005"/>
        <v>4</v>
      </c>
      <c r="L1187" s="55"/>
      <c r="M1187" s="153"/>
      <c r="N1187" s="153"/>
      <c r="O1187" s="168"/>
      <c r="P1187" s="56">
        <f t="shared" si="1006"/>
        <v>0</v>
      </c>
      <c r="Q1187" s="54"/>
      <c r="R1187" s="153">
        <v>3</v>
      </c>
      <c r="S1187" s="153"/>
      <c r="T1187" s="168">
        <v>3</v>
      </c>
      <c r="U1187" s="56">
        <f t="shared" si="1007"/>
        <v>6</v>
      </c>
      <c r="V1187" s="55">
        <v>3</v>
      </c>
      <c r="W1187" s="153">
        <v>3</v>
      </c>
      <c r="X1187" s="153"/>
      <c r="Y1187" s="168"/>
      <c r="Z1187" s="49">
        <f t="shared" si="1008"/>
        <v>6</v>
      </c>
      <c r="AA1187" s="49">
        <f t="shared" si="1009"/>
        <v>18</v>
      </c>
      <c r="AB1187" s="298">
        <v>45479</v>
      </c>
      <c r="AC1187" s="268" t="s">
        <v>28</v>
      </c>
      <c r="AD1187" s="55"/>
      <c r="AE1187" s="153"/>
      <c r="AF1187" s="153"/>
      <c r="AG1187" s="168"/>
      <c r="AH1187" s="56">
        <f t="shared" si="1010"/>
        <v>0</v>
      </c>
      <c r="AI1187" s="55"/>
      <c r="AJ1187" s="153"/>
      <c r="AK1187" s="153"/>
      <c r="AL1187" s="168"/>
      <c r="AM1187" s="56">
        <f t="shared" si="1011"/>
        <v>0</v>
      </c>
      <c r="AN1187" s="55"/>
      <c r="AO1187" s="153"/>
      <c r="AP1187" s="153"/>
      <c r="AQ1187" s="168"/>
      <c r="AR1187" s="56">
        <f t="shared" si="1012"/>
        <v>0</v>
      </c>
      <c r="AS1187" s="54"/>
      <c r="AT1187" s="153"/>
      <c r="AU1187" s="153"/>
      <c r="AV1187" s="168"/>
      <c r="AW1187" s="56">
        <f t="shared" si="1013"/>
        <v>0</v>
      </c>
      <c r="AX1187" s="55"/>
      <c r="AY1187" s="153"/>
      <c r="AZ1187" s="153"/>
      <c r="BA1187" s="168"/>
      <c r="BB1187" s="49">
        <f t="shared" si="1014"/>
        <v>0</v>
      </c>
      <c r="BC1187" s="49">
        <f t="shared" si="1015"/>
        <v>0</v>
      </c>
      <c r="BE1187" s="268" t="s">
        <v>28</v>
      </c>
      <c r="BF1187" s="55"/>
      <c r="BG1187" s="153"/>
      <c r="BH1187" s="153"/>
      <c r="BI1187" s="168"/>
      <c r="BJ1187" s="56">
        <f t="shared" si="1016"/>
        <v>0</v>
      </c>
      <c r="BK1187" s="191"/>
      <c r="BL1187" s="268" t="s">
        <v>28</v>
      </c>
      <c r="BM1187" s="55"/>
      <c r="BN1187" s="153"/>
      <c r="BO1187" s="153"/>
      <c r="BP1187" s="168"/>
      <c r="BQ1187" s="56">
        <f t="shared" si="1017"/>
        <v>0</v>
      </c>
    </row>
    <row r="1188" spans="1:71" x14ac:dyDescent="0.15">
      <c r="A1188" s="268" t="s">
        <v>28</v>
      </c>
      <c r="B1188" s="55"/>
      <c r="C1188" s="153"/>
      <c r="D1188" s="153">
        <v>2</v>
      </c>
      <c r="E1188" s="168"/>
      <c r="F1188" s="56">
        <f t="shared" si="1018"/>
        <v>2</v>
      </c>
      <c r="G1188" s="55">
        <v>2</v>
      </c>
      <c r="H1188" s="153"/>
      <c r="I1188" s="153">
        <v>2</v>
      </c>
      <c r="J1188" s="168"/>
      <c r="K1188" s="56">
        <f t="shared" si="1005"/>
        <v>4</v>
      </c>
      <c r="L1188" s="55">
        <v>2</v>
      </c>
      <c r="M1188" s="153">
        <v>2</v>
      </c>
      <c r="N1188" s="153"/>
      <c r="O1188" s="168">
        <v>2</v>
      </c>
      <c r="P1188" s="56">
        <f t="shared" si="1006"/>
        <v>6</v>
      </c>
      <c r="Q1188" s="54"/>
      <c r="R1188" s="153"/>
      <c r="S1188" s="153">
        <v>2</v>
      </c>
      <c r="T1188" s="168">
        <v>2</v>
      </c>
      <c r="U1188" s="56">
        <f t="shared" si="1007"/>
        <v>4</v>
      </c>
      <c r="V1188" s="55"/>
      <c r="W1188" s="153"/>
      <c r="X1188" s="153">
        <v>3</v>
      </c>
      <c r="Y1188" s="168">
        <v>3</v>
      </c>
      <c r="Z1188" s="49">
        <f t="shared" si="1008"/>
        <v>6</v>
      </c>
      <c r="AA1188" s="49">
        <f t="shared" si="1009"/>
        <v>22</v>
      </c>
      <c r="AB1188" s="298">
        <v>45483</v>
      </c>
      <c r="AC1188" s="268" t="s">
        <v>28</v>
      </c>
      <c r="AD1188" s="55"/>
      <c r="AE1188" s="153"/>
      <c r="AF1188" s="153"/>
      <c r="AG1188" s="168"/>
      <c r="AH1188" s="56">
        <f t="shared" si="1010"/>
        <v>0</v>
      </c>
      <c r="AI1188" s="55"/>
      <c r="AJ1188" s="153"/>
      <c r="AK1188" s="153"/>
      <c r="AL1188" s="168"/>
      <c r="AM1188" s="56">
        <f t="shared" si="1011"/>
        <v>0</v>
      </c>
      <c r="AN1188" s="55"/>
      <c r="AO1188" s="153"/>
      <c r="AP1188" s="153"/>
      <c r="AQ1188" s="168"/>
      <c r="AR1188" s="56">
        <f t="shared" si="1012"/>
        <v>0</v>
      </c>
      <c r="AS1188" s="54"/>
      <c r="AT1188" s="153"/>
      <c r="AU1188" s="153"/>
      <c r="AV1188" s="168"/>
      <c r="AW1188" s="56">
        <f t="shared" si="1013"/>
        <v>0</v>
      </c>
      <c r="AX1188" s="55"/>
      <c r="AY1188" s="153"/>
      <c r="AZ1188" s="153"/>
      <c r="BA1188" s="168"/>
      <c r="BB1188" s="49">
        <f t="shared" si="1014"/>
        <v>0</v>
      </c>
      <c r="BC1188" s="49">
        <f t="shared" si="1015"/>
        <v>0</v>
      </c>
      <c r="BE1188" s="268" t="s">
        <v>28</v>
      </c>
      <c r="BF1188" s="63"/>
      <c r="BG1188" s="63"/>
      <c r="BH1188" s="63"/>
      <c r="BI1188" s="167"/>
      <c r="BJ1188" s="64">
        <v>0</v>
      </c>
      <c r="BL1188" s="268" t="s">
        <v>28</v>
      </c>
      <c r="BM1188" s="63"/>
      <c r="BN1188" s="63"/>
      <c r="BO1188" s="63"/>
      <c r="BP1188" s="167"/>
      <c r="BQ1188" s="64">
        <v>0</v>
      </c>
    </row>
    <row r="1189" spans="1:71" x14ac:dyDescent="0.15">
      <c r="A1189" s="268" t="s">
        <v>29</v>
      </c>
      <c r="B1189" s="55"/>
      <c r="C1189" s="153"/>
      <c r="D1189" s="153"/>
      <c r="E1189" s="168"/>
      <c r="F1189" s="56">
        <f t="shared" si="1018"/>
        <v>0</v>
      </c>
      <c r="G1189" s="55"/>
      <c r="H1189" s="153"/>
      <c r="I1189" s="153"/>
      <c r="J1189" s="168"/>
      <c r="K1189" s="56">
        <f t="shared" si="1005"/>
        <v>0</v>
      </c>
      <c r="L1189" s="55"/>
      <c r="M1189" s="153"/>
      <c r="N1189" s="153"/>
      <c r="O1189" s="168"/>
      <c r="P1189" s="56">
        <f t="shared" si="1006"/>
        <v>0</v>
      </c>
      <c r="Q1189" s="54"/>
      <c r="R1189" s="153">
        <v>1</v>
      </c>
      <c r="S1189" s="153"/>
      <c r="T1189" s="168"/>
      <c r="U1189" s="56">
        <f t="shared" si="1007"/>
        <v>1</v>
      </c>
      <c r="V1189" s="55"/>
      <c r="W1189" s="153"/>
      <c r="X1189" s="153"/>
      <c r="Y1189" s="168"/>
      <c r="Z1189" s="49">
        <f t="shared" si="1008"/>
        <v>0</v>
      </c>
      <c r="AA1189" s="49">
        <f t="shared" si="1009"/>
        <v>1</v>
      </c>
      <c r="AB1189" s="298">
        <v>45485</v>
      </c>
      <c r="AC1189" s="268" t="s">
        <v>28</v>
      </c>
      <c r="AD1189" s="55"/>
      <c r="AE1189" s="153"/>
      <c r="AF1189" s="153"/>
      <c r="AG1189" s="168"/>
      <c r="AH1189" s="56">
        <f t="shared" si="1010"/>
        <v>0</v>
      </c>
      <c r="AI1189" s="55"/>
      <c r="AJ1189" s="153"/>
      <c r="AK1189" s="153"/>
      <c r="AL1189" s="168"/>
      <c r="AM1189" s="56">
        <f t="shared" si="1011"/>
        <v>0</v>
      </c>
      <c r="AN1189" s="55"/>
      <c r="AO1189" s="153"/>
      <c r="AP1189" s="153"/>
      <c r="AQ1189" s="168"/>
      <c r="AR1189" s="56">
        <f t="shared" si="1012"/>
        <v>0</v>
      </c>
      <c r="AS1189" s="54"/>
      <c r="AT1189" s="153"/>
      <c r="AU1189" s="153"/>
      <c r="AV1189" s="168"/>
      <c r="AW1189" s="56">
        <f t="shared" si="1013"/>
        <v>0</v>
      </c>
      <c r="AX1189" s="55"/>
      <c r="AY1189" s="153"/>
      <c r="AZ1189" s="153"/>
      <c r="BA1189" s="168"/>
      <c r="BB1189" s="49">
        <f t="shared" si="1014"/>
        <v>0</v>
      </c>
      <c r="BC1189" s="49">
        <f t="shared" si="1015"/>
        <v>0</v>
      </c>
      <c r="BE1189" s="268" t="s">
        <v>28</v>
      </c>
      <c r="BF1189" s="55"/>
      <c r="BG1189" s="153"/>
      <c r="BH1189" s="153"/>
      <c r="BI1189" s="168"/>
      <c r="BJ1189" s="56">
        <f t="shared" ref="BJ1189:BJ1220" si="1019">SUM(BF1189:BI1189)</f>
        <v>0</v>
      </c>
      <c r="BL1189" s="268" t="s">
        <v>28</v>
      </c>
      <c r="BM1189" s="55"/>
      <c r="BN1189" s="153"/>
      <c r="BO1189" s="153"/>
      <c r="BP1189" s="168"/>
      <c r="BQ1189" s="56">
        <f t="shared" ref="BQ1189:BQ1220" si="1020">SUM(BM1189:BP1189)</f>
        <v>0</v>
      </c>
    </row>
    <row r="1190" spans="1:71" x14ac:dyDescent="0.15">
      <c r="A1190" s="268" t="s">
        <v>28</v>
      </c>
      <c r="B1190" s="55"/>
      <c r="C1190" s="153"/>
      <c r="D1190" s="153"/>
      <c r="E1190" s="168"/>
      <c r="F1190" s="56">
        <f t="shared" si="1018"/>
        <v>0</v>
      </c>
      <c r="G1190" s="55"/>
      <c r="H1190" s="153">
        <v>2</v>
      </c>
      <c r="I1190" s="153"/>
      <c r="J1190" s="168"/>
      <c r="K1190" s="56">
        <f t="shared" si="1005"/>
        <v>2</v>
      </c>
      <c r="L1190" s="55"/>
      <c r="M1190" s="153">
        <v>2</v>
      </c>
      <c r="N1190" s="153"/>
      <c r="O1190" s="168"/>
      <c r="P1190" s="56">
        <f t="shared" si="1006"/>
        <v>2</v>
      </c>
      <c r="Q1190" s="54"/>
      <c r="R1190" s="153"/>
      <c r="S1190" s="153"/>
      <c r="T1190" s="168">
        <v>2</v>
      </c>
      <c r="U1190" s="56">
        <f t="shared" si="1007"/>
        <v>2</v>
      </c>
      <c r="V1190" s="55"/>
      <c r="W1190" s="153"/>
      <c r="X1190" s="153">
        <v>2</v>
      </c>
      <c r="Y1190" s="168"/>
      <c r="Z1190" s="49">
        <f t="shared" si="1008"/>
        <v>2</v>
      </c>
      <c r="AA1190" s="49">
        <f t="shared" si="1009"/>
        <v>8</v>
      </c>
      <c r="AB1190" s="298">
        <v>45491</v>
      </c>
      <c r="AC1190" s="268" t="s">
        <v>28</v>
      </c>
      <c r="AD1190" s="55"/>
      <c r="AE1190" s="153"/>
      <c r="AF1190" s="153"/>
      <c r="AG1190" s="168"/>
      <c r="AH1190" s="56">
        <f t="shared" si="1010"/>
        <v>0</v>
      </c>
      <c r="AI1190" s="55"/>
      <c r="AJ1190" s="153"/>
      <c r="AK1190" s="153"/>
      <c r="AL1190" s="168"/>
      <c r="AM1190" s="56">
        <f t="shared" si="1011"/>
        <v>0</v>
      </c>
      <c r="AN1190" s="55"/>
      <c r="AO1190" s="153"/>
      <c r="AP1190" s="153"/>
      <c r="AQ1190" s="168"/>
      <c r="AR1190" s="56">
        <f t="shared" si="1012"/>
        <v>0</v>
      </c>
      <c r="AS1190" s="54"/>
      <c r="AT1190" s="153"/>
      <c r="AU1190" s="153"/>
      <c r="AV1190" s="168"/>
      <c r="AW1190" s="56">
        <f t="shared" si="1013"/>
        <v>0</v>
      </c>
      <c r="AX1190" s="55"/>
      <c r="AY1190" s="153"/>
      <c r="AZ1190" s="153"/>
      <c r="BA1190" s="168"/>
      <c r="BB1190" s="49">
        <f t="shared" si="1014"/>
        <v>0</v>
      </c>
      <c r="BC1190" s="49">
        <f t="shared" si="1015"/>
        <v>0</v>
      </c>
      <c r="BE1190" s="268" t="s">
        <v>28</v>
      </c>
      <c r="BF1190" s="55"/>
      <c r="BG1190" s="153"/>
      <c r="BH1190" s="153"/>
      <c r="BI1190" s="168"/>
      <c r="BJ1190" s="56">
        <f t="shared" si="1019"/>
        <v>0</v>
      </c>
      <c r="BL1190" s="268" t="s">
        <v>28</v>
      </c>
      <c r="BM1190" s="55"/>
      <c r="BN1190" s="153"/>
      <c r="BO1190" s="153"/>
      <c r="BP1190" s="168"/>
      <c r="BQ1190" s="56">
        <f t="shared" si="1020"/>
        <v>0</v>
      </c>
    </row>
    <row r="1191" spans="1:71" ht="14.25" thickBot="1" x14ac:dyDescent="0.2">
      <c r="A1191" s="268" t="s">
        <v>28</v>
      </c>
      <c r="B1191" s="63"/>
      <c r="C1191" s="164"/>
      <c r="D1191" s="164"/>
      <c r="E1191" s="169"/>
      <c r="F1191" s="170">
        <f t="shared" si="1018"/>
        <v>0</v>
      </c>
      <c r="G1191" s="63"/>
      <c r="H1191" s="164"/>
      <c r="I1191" s="164">
        <v>3</v>
      </c>
      <c r="J1191" s="169"/>
      <c r="K1191" s="170">
        <f t="shared" si="1005"/>
        <v>3</v>
      </c>
      <c r="L1191" s="63">
        <v>3</v>
      </c>
      <c r="M1191" s="164">
        <v>3</v>
      </c>
      <c r="N1191" s="164"/>
      <c r="O1191" s="169"/>
      <c r="P1191" s="170">
        <f t="shared" si="1006"/>
        <v>6</v>
      </c>
      <c r="Q1191" s="62"/>
      <c r="R1191" s="164">
        <v>3</v>
      </c>
      <c r="S1191" s="164">
        <v>3</v>
      </c>
      <c r="T1191" s="169">
        <v>3</v>
      </c>
      <c r="U1191" s="170">
        <f t="shared" si="1007"/>
        <v>9</v>
      </c>
      <c r="V1191" s="63"/>
      <c r="W1191" s="164"/>
      <c r="X1191" s="164"/>
      <c r="Y1191" s="169">
        <v>3</v>
      </c>
      <c r="Z1191" s="170">
        <f t="shared" si="1008"/>
        <v>3</v>
      </c>
      <c r="AA1191" s="49">
        <f t="shared" si="1009"/>
        <v>21</v>
      </c>
      <c r="AB1191" s="298">
        <v>45493</v>
      </c>
      <c r="AC1191" s="268" t="s">
        <v>28</v>
      </c>
      <c r="AD1191" s="63"/>
      <c r="AE1191" s="164"/>
      <c r="AF1191" s="164"/>
      <c r="AG1191" s="169"/>
      <c r="AH1191" s="170">
        <f t="shared" si="1010"/>
        <v>0</v>
      </c>
      <c r="AI1191" s="63"/>
      <c r="AJ1191" s="164"/>
      <c r="AK1191" s="164"/>
      <c r="AL1191" s="169"/>
      <c r="AM1191" s="170">
        <f t="shared" si="1011"/>
        <v>0</v>
      </c>
      <c r="AN1191" s="63"/>
      <c r="AO1191" s="164"/>
      <c r="AP1191" s="164"/>
      <c r="AQ1191" s="169"/>
      <c r="AR1191" s="170">
        <f t="shared" si="1012"/>
        <v>0</v>
      </c>
      <c r="AS1191" s="62"/>
      <c r="AT1191" s="164"/>
      <c r="AU1191" s="164"/>
      <c r="AV1191" s="169"/>
      <c r="AW1191" s="170">
        <f t="shared" si="1013"/>
        <v>0</v>
      </c>
      <c r="AX1191" s="63"/>
      <c r="AY1191" s="164"/>
      <c r="AZ1191" s="164"/>
      <c r="BA1191" s="169"/>
      <c r="BB1191" s="170">
        <f t="shared" si="1014"/>
        <v>0</v>
      </c>
      <c r="BC1191" s="49">
        <f t="shared" si="1015"/>
        <v>0</v>
      </c>
      <c r="BE1191" s="274" t="s">
        <v>28</v>
      </c>
      <c r="BF1191" s="63"/>
      <c r="BG1191" s="164"/>
      <c r="BH1191" s="164"/>
      <c r="BI1191" s="169"/>
      <c r="BJ1191" s="170">
        <f t="shared" si="1019"/>
        <v>0</v>
      </c>
      <c r="BL1191" s="274" t="s">
        <v>28</v>
      </c>
      <c r="BM1191" s="63"/>
      <c r="BN1191" s="164"/>
      <c r="BO1191" s="164"/>
      <c r="BP1191" s="169"/>
      <c r="BQ1191" s="170">
        <f t="shared" si="1020"/>
        <v>0</v>
      </c>
    </row>
    <row r="1192" spans="1:71" ht="15" thickBot="1" x14ac:dyDescent="0.2">
      <c r="A1192" s="181" t="s">
        <v>14</v>
      </c>
      <c r="B1192" s="182">
        <f>SUM(B1184:B1191)</f>
        <v>7</v>
      </c>
      <c r="C1192" s="183">
        <f>SUM(C1184:C1191)</f>
        <v>5</v>
      </c>
      <c r="D1192" s="183">
        <f>SUM(D1184:D1191)</f>
        <v>7</v>
      </c>
      <c r="E1192" s="184">
        <f>SUM(E1184:E1191)</f>
        <v>6</v>
      </c>
      <c r="F1192" s="77">
        <f t="shared" ref="F1192:F1216" si="1021">SUM(B1192:E1192)</f>
        <v>25</v>
      </c>
      <c r="G1192" s="182">
        <f>SUM(G1184:G1191)</f>
        <v>8</v>
      </c>
      <c r="H1192" s="183">
        <f>SUM(H1184:H1191)</f>
        <v>9</v>
      </c>
      <c r="I1192" s="183">
        <f>SUM(I1184:I1191)</f>
        <v>10</v>
      </c>
      <c r="J1192" s="184">
        <f>SUM(J1184:J1191)</f>
        <v>5</v>
      </c>
      <c r="K1192" s="77">
        <f t="shared" si="999"/>
        <v>32</v>
      </c>
      <c r="L1192" s="182">
        <f>SUM(L1184:L1191)</f>
        <v>10</v>
      </c>
      <c r="M1192" s="183">
        <f>SUM(M1184:M1191)</f>
        <v>11</v>
      </c>
      <c r="N1192" s="183">
        <f>SUM(N1184:N1191)</f>
        <v>6</v>
      </c>
      <c r="O1192" s="184">
        <f>SUM(O1184:O1191)</f>
        <v>6</v>
      </c>
      <c r="P1192" s="77">
        <f t="shared" si="1000"/>
        <v>33</v>
      </c>
      <c r="Q1192" s="182">
        <f>SUM(Q1184:Q1191)</f>
        <v>6</v>
      </c>
      <c r="R1192" s="183">
        <f>SUM(R1184:R1191)</f>
        <v>11</v>
      </c>
      <c r="S1192" s="183">
        <f>SUM(S1184:S1191)</f>
        <v>12</v>
      </c>
      <c r="T1192" s="184">
        <f>SUM(T1184:T1191)</f>
        <v>15</v>
      </c>
      <c r="U1192" s="77">
        <f t="shared" si="1001"/>
        <v>44</v>
      </c>
      <c r="V1192" s="293">
        <f>SUM(V1184:V1191)</f>
        <v>7</v>
      </c>
      <c r="W1192" s="183">
        <f>SUM(W1184:W1191)</f>
        <v>8</v>
      </c>
      <c r="X1192" s="183">
        <f>SUM(X1184:X1191)</f>
        <v>8</v>
      </c>
      <c r="Y1192" s="184">
        <f>SUM(Y1184:Y1191)</f>
        <v>12</v>
      </c>
      <c r="Z1192" s="77">
        <f t="shared" si="1002"/>
        <v>35</v>
      </c>
      <c r="AA1192" s="77">
        <f>F1192+K1192+P1192+U1192+Z1192</f>
        <v>169</v>
      </c>
      <c r="AC1192" s="275" t="s">
        <v>14</v>
      </c>
      <c r="AD1192" s="182">
        <f>SUM(AD1184:AD1191)</f>
        <v>81</v>
      </c>
      <c r="AE1192" s="183">
        <f>SUM(AE1184:AE1191)</f>
        <v>73</v>
      </c>
      <c r="AF1192" s="183">
        <f>SUM(AF1184:AF1191)</f>
        <v>135</v>
      </c>
      <c r="AG1192" s="184">
        <f>SUM(AG1184:AG1191)</f>
        <v>58</v>
      </c>
      <c r="AH1192" s="77">
        <f t="shared" si="1010"/>
        <v>347</v>
      </c>
      <c r="AI1192" s="182">
        <f>SUM(AI1184:AI1191)</f>
        <v>123</v>
      </c>
      <c r="AJ1192" s="183">
        <f>SUM(AJ1184:AJ1191)</f>
        <v>156</v>
      </c>
      <c r="AK1192" s="183">
        <f>SUM(AK1184:AK1191)</f>
        <v>109</v>
      </c>
      <c r="AL1192" s="184">
        <f>SUM(AL1184:AL1191)</f>
        <v>99</v>
      </c>
      <c r="AM1192" s="77">
        <f t="shared" si="1011"/>
        <v>487</v>
      </c>
      <c r="AN1192" s="182">
        <f>SUM(AN1184:AN1191)</f>
        <v>41</v>
      </c>
      <c r="AO1192" s="183">
        <f>SUM(AO1184:AO1191)</f>
        <v>58</v>
      </c>
      <c r="AP1192" s="183">
        <f>SUM(AP1184:AP1191)</f>
        <v>43</v>
      </c>
      <c r="AQ1192" s="184">
        <f>SUM(AQ1184:AQ1191)</f>
        <v>26</v>
      </c>
      <c r="AR1192" s="77">
        <f t="shared" si="1012"/>
        <v>168</v>
      </c>
      <c r="AS1192" s="182">
        <f>SUM(AS1184:AS1191)</f>
        <v>145</v>
      </c>
      <c r="AT1192" s="183">
        <f>SUM(AT1184:AT1191)</f>
        <v>185</v>
      </c>
      <c r="AU1192" s="183">
        <f>SUM(AU1184:AU1191)</f>
        <v>124</v>
      </c>
      <c r="AV1192" s="184">
        <f>SUM(AV1184:AV1191)</f>
        <v>105</v>
      </c>
      <c r="AW1192" s="77">
        <f t="shared" si="1013"/>
        <v>559</v>
      </c>
      <c r="AX1192" s="293">
        <f>SUM(AX1184:AX1191)</f>
        <v>106</v>
      </c>
      <c r="AY1192" s="183">
        <f>SUM(AY1184:AY1191)</f>
        <v>81</v>
      </c>
      <c r="AZ1192" s="183">
        <f>SUM(AZ1184:AZ1191)</f>
        <v>44</v>
      </c>
      <c r="BA1192" s="184">
        <f>SUM(BA1184:BA1191)</f>
        <v>36</v>
      </c>
      <c r="BB1192" s="77">
        <f t="shared" si="1014"/>
        <v>267</v>
      </c>
      <c r="BC1192" s="77">
        <f>AH1192+AM1192+AR1192+AW1192+BB1192</f>
        <v>1828</v>
      </c>
      <c r="BE1192" s="275" t="s">
        <v>14</v>
      </c>
      <c r="BF1192" s="182">
        <f>SUM(BF1184:BF1191)</f>
        <v>0</v>
      </c>
      <c r="BG1192" s="183">
        <f>SUM(BG1184:BG1191)</f>
        <v>0</v>
      </c>
      <c r="BH1192" s="183">
        <f>SUM(BH1184:BH1191)</f>
        <v>5</v>
      </c>
      <c r="BI1192" s="184">
        <f>SUM(BI1184:BI1191)</f>
        <v>0</v>
      </c>
      <c r="BJ1192" s="77">
        <f t="shared" si="1019"/>
        <v>5</v>
      </c>
      <c r="BL1192" s="275" t="s">
        <v>14</v>
      </c>
      <c r="BM1192" s="182">
        <f>SUM(BM1184:BM1191)</f>
        <v>0</v>
      </c>
      <c r="BN1192" s="183">
        <f>SUM(BN1184:BN1191)</f>
        <v>0</v>
      </c>
      <c r="BO1192" s="183">
        <f>SUM(BO1184:BO1191)</f>
        <v>16</v>
      </c>
      <c r="BP1192" s="184">
        <f>SUM(BP1184:BP1191)</f>
        <v>0</v>
      </c>
      <c r="BQ1192" s="77">
        <f t="shared" si="1020"/>
        <v>16</v>
      </c>
    </row>
    <row r="1193" spans="1:71" x14ac:dyDescent="0.15">
      <c r="A1193" s="53" t="s">
        <v>98</v>
      </c>
      <c r="B1193" s="54"/>
      <c r="C1193" s="55"/>
      <c r="D1193" s="55"/>
      <c r="E1193" s="55"/>
      <c r="F1193" s="56">
        <f t="shared" si="1021"/>
        <v>0</v>
      </c>
      <c r="G1193" s="54"/>
      <c r="H1193" s="55">
        <v>1</v>
      </c>
      <c r="I1193" s="55"/>
      <c r="J1193" s="55"/>
      <c r="K1193" s="56">
        <f t="shared" ref="K1193:K1216" si="1022">SUM(G1193:J1193)</f>
        <v>1</v>
      </c>
      <c r="L1193" s="54">
        <v>1</v>
      </c>
      <c r="M1193" s="55"/>
      <c r="N1193" s="55">
        <v>1</v>
      </c>
      <c r="O1193" s="55"/>
      <c r="P1193" s="56">
        <f t="shared" ref="P1193:P1216" si="1023">SUM(L1193:O1193)</f>
        <v>2</v>
      </c>
      <c r="Q1193" s="54"/>
      <c r="R1193" s="55"/>
      <c r="S1193" s="55"/>
      <c r="T1193" s="55"/>
      <c r="U1193" s="56">
        <f t="shared" ref="U1193:U1216" si="1024">SUM(Q1193:T1193)</f>
        <v>0</v>
      </c>
      <c r="V1193" s="55"/>
      <c r="W1193" s="55"/>
      <c r="X1193" s="55"/>
      <c r="Y1193" s="55">
        <v>1</v>
      </c>
      <c r="Z1193" s="56">
        <f t="shared" ref="Z1193:Z1216" si="1025">SUM(V1193:Y1193)</f>
        <v>1</v>
      </c>
      <c r="AA1193" s="56">
        <f t="shared" ref="AA1193:AA1216" si="1026">F1193+K1193+P1193+U1193+Z1193</f>
        <v>4</v>
      </c>
      <c r="AB1193" s="299">
        <v>45467</v>
      </c>
      <c r="AC1193" s="276" t="s">
        <v>99</v>
      </c>
      <c r="AD1193" s="54">
        <v>2</v>
      </c>
      <c r="AE1193" s="55">
        <v>2</v>
      </c>
      <c r="AF1193" s="55"/>
      <c r="AG1193" s="55"/>
      <c r="AH1193" s="56">
        <f t="shared" si="1010"/>
        <v>4</v>
      </c>
      <c r="AI1193" s="54"/>
      <c r="AJ1193" s="55"/>
      <c r="AK1193" s="55"/>
      <c r="AL1193" s="55"/>
      <c r="AM1193" s="56">
        <f t="shared" ref="AM1193" si="1027">SUM(AI1193:AL1193)</f>
        <v>0</v>
      </c>
      <c r="AN1193" s="54"/>
      <c r="AO1193" s="55">
        <v>2</v>
      </c>
      <c r="AP1193" s="55">
        <v>2</v>
      </c>
      <c r="AQ1193" s="55"/>
      <c r="AR1193" s="56">
        <f t="shared" ref="AR1193" si="1028">SUM(AN1193:AQ1193)</f>
        <v>4</v>
      </c>
      <c r="AS1193" s="54"/>
      <c r="AT1193" s="55"/>
      <c r="AU1193" s="55">
        <v>2</v>
      </c>
      <c r="AV1193" s="55"/>
      <c r="AW1193" s="56">
        <f t="shared" ref="AW1193" si="1029">SUM(AS1193:AV1193)</f>
        <v>2</v>
      </c>
      <c r="AX1193" s="55"/>
      <c r="AY1193" s="55"/>
      <c r="AZ1193" s="55"/>
      <c r="BA1193" s="55"/>
      <c r="BB1193" s="56">
        <f t="shared" ref="BB1193" si="1030">SUM(AX1193:BA1193)</f>
        <v>0</v>
      </c>
      <c r="BC1193" s="56">
        <f t="shared" ref="BC1193" si="1031">AH1193+AM1193+AR1193+AW1193+BB1193</f>
        <v>10</v>
      </c>
      <c r="BD1193" s="298">
        <v>45472</v>
      </c>
      <c r="BE1193" s="277" t="s">
        <v>98</v>
      </c>
      <c r="BF1193" s="54"/>
      <c r="BG1193" s="55"/>
      <c r="BH1193" s="55">
        <v>1</v>
      </c>
      <c r="BI1193" s="55"/>
      <c r="BJ1193" s="56">
        <f t="shared" ref="BJ1193:BJ1195" si="1032">SUM(BF1193:BI1193)</f>
        <v>1</v>
      </c>
      <c r="BK1193" s="304">
        <v>45468</v>
      </c>
      <c r="BL1193" s="277" t="s">
        <v>599</v>
      </c>
      <c r="BM1193" s="54"/>
      <c r="BN1193" s="55"/>
      <c r="BO1193" s="55">
        <v>3</v>
      </c>
      <c r="BP1193" s="55"/>
      <c r="BQ1193" s="56">
        <f t="shared" si="1020"/>
        <v>3</v>
      </c>
      <c r="BR1193" s="306">
        <v>45469</v>
      </c>
      <c r="BS1193" s="191"/>
    </row>
    <row r="1194" spans="1:71" x14ac:dyDescent="0.15">
      <c r="A1194" s="53" t="s">
        <v>98</v>
      </c>
      <c r="B1194" s="54"/>
      <c r="C1194" s="55"/>
      <c r="D1194" s="55"/>
      <c r="E1194" s="55"/>
      <c r="F1194" s="56">
        <f t="shared" si="1021"/>
        <v>0</v>
      </c>
      <c r="G1194" s="54"/>
      <c r="H1194" s="55"/>
      <c r="I1194" s="55"/>
      <c r="J1194" s="55"/>
      <c r="K1194" s="56">
        <f t="shared" si="1022"/>
        <v>0</v>
      </c>
      <c r="L1194" s="54"/>
      <c r="M1194" s="55"/>
      <c r="N1194" s="55"/>
      <c r="O1194" s="55"/>
      <c r="P1194" s="56">
        <f t="shared" si="1023"/>
        <v>0</v>
      </c>
      <c r="Q1194" s="54"/>
      <c r="R1194" s="55"/>
      <c r="S1194" s="55">
        <f>1+1</f>
        <v>2</v>
      </c>
      <c r="T1194" s="55">
        <v>1</v>
      </c>
      <c r="U1194" s="56">
        <f t="shared" si="1024"/>
        <v>3</v>
      </c>
      <c r="V1194" s="55"/>
      <c r="W1194" s="55"/>
      <c r="X1194" s="55"/>
      <c r="Y1194" s="55"/>
      <c r="Z1194" s="56">
        <f t="shared" si="1025"/>
        <v>0</v>
      </c>
      <c r="AA1194" s="56">
        <f t="shared" si="1026"/>
        <v>3</v>
      </c>
      <c r="AB1194" s="299">
        <v>45469</v>
      </c>
      <c r="AC1194" s="276" t="s">
        <v>358</v>
      </c>
      <c r="AD1194" s="54"/>
      <c r="AE1194" s="55"/>
      <c r="AF1194" s="55"/>
      <c r="AG1194" s="55"/>
      <c r="AH1194" s="56">
        <f t="shared" si="1010"/>
        <v>0</v>
      </c>
      <c r="AI1194" s="54"/>
      <c r="AJ1194" s="55"/>
      <c r="AK1194" s="55"/>
      <c r="AL1194" s="55">
        <v>3</v>
      </c>
      <c r="AM1194" s="56">
        <f t="shared" si="1011"/>
        <v>3</v>
      </c>
      <c r="AN1194" s="54"/>
      <c r="AO1194" s="55"/>
      <c r="AP1194" s="55"/>
      <c r="AQ1194" s="55"/>
      <c r="AR1194" s="56">
        <f t="shared" si="1012"/>
        <v>0</v>
      </c>
      <c r="AS1194" s="54"/>
      <c r="AT1194" s="55"/>
      <c r="AU1194" s="55"/>
      <c r="AV1194" s="55"/>
      <c r="AW1194" s="56">
        <f t="shared" si="1013"/>
        <v>0</v>
      </c>
      <c r="AX1194" s="55"/>
      <c r="AY1194" s="55"/>
      <c r="AZ1194" s="55"/>
      <c r="BA1194" s="55"/>
      <c r="BB1194" s="56">
        <f t="shared" si="1014"/>
        <v>0</v>
      </c>
      <c r="BC1194" s="56">
        <f t="shared" ref="BC1194:BC1195" si="1033">AH1194+AM1194+AR1194+AW1194+BB1194</f>
        <v>3</v>
      </c>
      <c r="BD1194" s="298">
        <v>45478</v>
      </c>
      <c r="BE1194" s="277" t="s">
        <v>98</v>
      </c>
      <c r="BF1194" s="54"/>
      <c r="BG1194" s="55"/>
      <c r="BH1194" s="55">
        <v>1</v>
      </c>
      <c r="BI1194" s="55"/>
      <c r="BJ1194" s="56">
        <f t="shared" si="1032"/>
        <v>1</v>
      </c>
      <c r="BK1194" s="304">
        <v>45485</v>
      </c>
      <c r="BL1194" s="277"/>
      <c r="BM1194" s="54"/>
      <c r="BN1194" s="55"/>
      <c r="BO1194" s="55"/>
      <c r="BP1194" s="55"/>
      <c r="BQ1194" s="56">
        <f t="shared" si="1020"/>
        <v>0</v>
      </c>
      <c r="BR1194" s="191"/>
      <c r="BS1194" s="191"/>
    </row>
    <row r="1195" spans="1:71" x14ac:dyDescent="0.15">
      <c r="A1195" s="53" t="s">
        <v>98</v>
      </c>
      <c r="B1195" s="54"/>
      <c r="C1195" s="55"/>
      <c r="D1195" s="55"/>
      <c r="E1195" s="55"/>
      <c r="F1195" s="56">
        <f t="shared" si="1021"/>
        <v>0</v>
      </c>
      <c r="G1195" s="54"/>
      <c r="H1195" s="55"/>
      <c r="I1195" s="55"/>
      <c r="J1195" s="55"/>
      <c r="K1195" s="56">
        <f t="shared" si="1022"/>
        <v>0</v>
      </c>
      <c r="L1195" s="54"/>
      <c r="M1195" s="55"/>
      <c r="N1195" s="55"/>
      <c r="O1195" s="55"/>
      <c r="P1195" s="56">
        <f t="shared" si="1023"/>
        <v>0</v>
      </c>
      <c r="Q1195" s="54"/>
      <c r="R1195" s="55"/>
      <c r="S1195" s="55"/>
      <c r="T1195" s="55"/>
      <c r="U1195" s="56">
        <f t="shared" si="1024"/>
        <v>0</v>
      </c>
      <c r="V1195" s="55"/>
      <c r="W1195" s="55">
        <v>1</v>
      </c>
      <c r="X1195" s="55"/>
      <c r="Y1195" s="55"/>
      <c r="Z1195" s="56">
        <f t="shared" si="1025"/>
        <v>1</v>
      </c>
      <c r="AA1195" s="56">
        <f t="shared" si="1026"/>
        <v>1</v>
      </c>
      <c r="AB1195" s="299">
        <v>45470</v>
      </c>
      <c r="AC1195" s="276" t="s">
        <v>600</v>
      </c>
      <c r="AD1195" s="54">
        <v>1</v>
      </c>
      <c r="AE1195" s="55">
        <v>1</v>
      </c>
      <c r="AF1195" s="55"/>
      <c r="AG1195" s="55"/>
      <c r="AH1195" s="56">
        <f t="shared" si="1010"/>
        <v>2</v>
      </c>
      <c r="AI1195" s="54"/>
      <c r="AJ1195" s="55">
        <v>2</v>
      </c>
      <c r="AK1195" s="55">
        <v>2</v>
      </c>
      <c r="AL1195" s="55">
        <v>1</v>
      </c>
      <c r="AM1195" s="56">
        <f t="shared" si="1011"/>
        <v>5</v>
      </c>
      <c r="AN1195" s="54"/>
      <c r="AO1195" s="55"/>
      <c r="AP1195" s="55"/>
      <c r="AQ1195" s="55"/>
      <c r="AR1195" s="56">
        <f t="shared" si="1012"/>
        <v>0</v>
      </c>
      <c r="AS1195" s="54">
        <v>1</v>
      </c>
      <c r="AT1195" s="55">
        <v>1</v>
      </c>
      <c r="AU1195" s="55">
        <v>1</v>
      </c>
      <c r="AV1195" s="55"/>
      <c r="AW1195" s="56">
        <f t="shared" si="1013"/>
        <v>3</v>
      </c>
      <c r="AX1195" s="55"/>
      <c r="AY1195" s="55"/>
      <c r="AZ1195" s="55"/>
      <c r="BA1195" s="55"/>
      <c r="BB1195" s="56">
        <f t="shared" si="1014"/>
        <v>0</v>
      </c>
      <c r="BC1195" s="56">
        <f t="shared" si="1033"/>
        <v>10</v>
      </c>
      <c r="BD1195" s="298">
        <v>45481</v>
      </c>
      <c r="BE1195" s="277" t="s">
        <v>98</v>
      </c>
      <c r="BF1195" s="54"/>
      <c r="BG1195" s="55"/>
      <c r="BH1195" s="55">
        <v>1</v>
      </c>
      <c r="BI1195" s="55"/>
      <c r="BJ1195" s="56">
        <f t="shared" si="1032"/>
        <v>1</v>
      </c>
      <c r="BK1195" s="304">
        <v>45496</v>
      </c>
      <c r="BL1195" s="277"/>
      <c r="BM1195" s="54"/>
      <c r="BN1195" s="55"/>
      <c r="BO1195" s="55"/>
      <c r="BP1195" s="55"/>
      <c r="BQ1195" s="56">
        <f t="shared" si="1020"/>
        <v>0</v>
      </c>
      <c r="BR1195" s="191"/>
      <c r="BS1195" s="191"/>
    </row>
    <row r="1196" spans="1:71" x14ac:dyDescent="0.15">
      <c r="A1196" s="53" t="s">
        <v>98</v>
      </c>
      <c r="B1196" s="54"/>
      <c r="C1196" s="55"/>
      <c r="D1196" s="55"/>
      <c r="E1196" s="55"/>
      <c r="F1196" s="56">
        <f t="shared" si="1021"/>
        <v>0</v>
      </c>
      <c r="G1196" s="54"/>
      <c r="H1196" s="55"/>
      <c r="I1196" s="55"/>
      <c r="J1196" s="55"/>
      <c r="K1196" s="56">
        <f t="shared" si="1022"/>
        <v>0</v>
      </c>
      <c r="L1196" s="54"/>
      <c r="M1196" s="55"/>
      <c r="N1196" s="55"/>
      <c r="O1196" s="55"/>
      <c r="P1196" s="56">
        <f t="shared" si="1023"/>
        <v>0</v>
      </c>
      <c r="Q1196" s="54"/>
      <c r="R1196" s="55"/>
      <c r="S1196" s="55"/>
      <c r="T1196" s="55"/>
      <c r="U1196" s="56">
        <f t="shared" si="1024"/>
        <v>0</v>
      </c>
      <c r="V1196" s="55"/>
      <c r="W1196" s="55"/>
      <c r="X1196" s="55">
        <v>1</v>
      </c>
      <c r="Y1196" s="55"/>
      <c r="Z1196" s="56">
        <f t="shared" si="1025"/>
        <v>1</v>
      </c>
      <c r="AA1196" s="56">
        <f t="shared" si="1026"/>
        <v>1</v>
      </c>
      <c r="AB1196" s="299">
        <v>45471</v>
      </c>
      <c r="AC1196" s="276" t="s">
        <v>601</v>
      </c>
      <c r="AD1196" s="54"/>
      <c r="AE1196" s="55"/>
      <c r="AF1196" s="55"/>
      <c r="AG1196" s="55"/>
      <c r="AH1196" s="56">
        <f t="shared" ref="AH1196:AH1212" si="1034">SUM(AD1196:AG1196)</f>
        <v>0</v>
      </c>
      <c r="AI1196" s="54"/>
      <c r="AJ1196" s="55"/>
      <c r="AK1196" s="55"/>
      <c r="AL1196" s="55"/>
      <c r="AM1196" s="56">
        <f t="shared" ref="AM1196:AM1210" si="1035">SUM(AI1196:AL1196)</f>
        <v>0</v>
      </c>
      <c r="AN1196" s="54"/>
      <c r="AO1196" s="55"/>
      <c r="AP1196" s="55"/>
      <c r="AQ1196" s="55"/>
      <c r="AR1196" s="56">
        <f t="shared" ref="AR1196:AR1210" si="1036">SUM(AN1196:AQ1196)</f>
        <v>0</v>
      </c>
      <c r="AS1196" s="54"/>
      <c r="AT1196" s="55">
        <v>1</v>
      </c>
      <c r="AU1196" s="55"/>
      <c r="AV1196" s="55"/>
      <c r="AW1196" s="56">
        <f t="shared" ref="AW1196:AW1210" si="1037">SUM(AS1196:AV1196)</f>
        <v>1</v>
      </c>
      <c r="AX1196" s="55"/>
      <c r="AY1196" s="55"/>
      <c r="AZ1196" s="55"/>
      <c r="BA1196" s="55"/>
      <c r="BB1196" s="56">
        <f t="shared" ref="BB1196:BB1210" si="1038">SUM(AX1196:BA1196)</f>
        <v>0</v>
      </c>
      <c r="BC1196" s="56">
        <f t="shared" ref="BC1196:BC1212" si="1039">AH1196+AM1196+AR1196+AW1196+BB1196</f>
        <v>1</v>
      </c>
      <c r="BD1196" s="298">
        <v>45481</v>
      </c>
      <c r="BE1196" s="277"/>
      <c r="BF1196" s="54"/>
      <c r="BG1196" s="55"/>
      <c r="BH1196" s="55"/>
      <c r="BI1196" s="55"/>
      <c r="BJ1196" s="56">
        <f t="shared" si="1019"/>
        <v>0</v>
      </c>
      <c r="BL1196" s="277"/>
      <c r="BM1196" s="54"/>
      <c r="BN1196" s="55"/>
      <c r="BO1196" s="55"/>
      <c r="BP1196" s="55"/>
      <c r="BQ1196" s="56">
        <f t="shared" si="1020"/>
        <v>0</v>
      </c>
    </row>
    <row r="1197" spans="1:71" x14ac:dyDescent="0.15">
      <c r="A1197" s="53" t="s">
        <v>98</v>
      </c>
      <c r="B1197" s="54"/>
      <c r="C1197" s="55"/>
      <c r="D1197" s="55"/>
      <c r="E1197" s="55"/>
      <c r="F1197" s="56">
        <f t="shared" si="1021"/>
        <v>0</v>
      </c>
      <c r="G1197" s="54"/>
      <c r="H1197" s="55">
        <v>1</v>
      </c>
      <c r="I1197" s="55"/>
      <c r="J1197" s="55"/>
      <c r="K1197" s="56">
        <f t="shared" si="1022"/>
        <v>1</v>
      </c>
      <c r="L1197" s="54"/>
      <c r="M1197" s="55"/>
      <c r="N1197" s="55"/>
      <c r="O1197" s="55"/>
      <c r="P1197" s="56">
        <f t="shared" si="1023"/>
        <v>0</v>
      </c>
      <c r="Q1197" s="54"/>
      <c r="R1197" s="55"/>
      <c r="S1197" s="55"/>
      <c r="T1197" s="55"/>
      <c r="U1197" s="56">
        <f t="shared" si="1024"/>
        <v>0</v>
      </c>
      <c r="V1197" s="55"/>
      <c r="W1197" s="55"/>
      <c r="X1197" s="55"/>
      <c r="Y1197" s="55"/>
      <c r="Z1197" s="56">
        <f t="shared" si="1025"/>
        <v>0</v>
      </c>
      <c r="AA1197" s="56">
        <f t="shared" si="1026"/>
        <v>1</v>
      </c>
      <c r="AB1197" s="299">
        <v>45472</v>
      </c>
      <c r="AC1197" s="276" t="s">
        <v>99</v>
      </c>
      <c r="AD1197" s="54">
        <v>2</v>
      </c>
      <c r="AE1197" s="55"/>
      <c r="AF1197" s="55"/>
      <c r="AG1197" s="55"/>
      <c r="AH1197" s="56">
        <f t="shared" si="1034"/>
        <v>2</v>
      </c>
      <c r="AI1197" s="54">
        <v>2</v>
      </c>
      <c r="AJ1197" s="55">
        <v>2</v>
      </c>
      <c r="AK1197" s="55"/>
      <c r="AL1197" s="55"/>
      <c r="AM1197" s="56">
        <f t="shared" ref="AM1197" si="1040">SUM(AI1197:AL1197)</f>
        <v>4</v>
      </c>
      <c r="AN1197" s="54"/>
      <c r="AO1197" s="55"/>
      <c r="AP1197" s="55"/>
      <c r="AQ1197" s="55"/>
      <c r="AR1197" s="56">
        <f t="shared" ref="AR1197" si="1041">SUM(AN1197:AQ1197)</f>
        <v>0</v>
      </c>
      <c r="AS1197" s="54"/>
      <c r="AT1197" s="55">
        <v>3</v>
      </c>
      <c r="AU1197" s="55"/>
      <c r="AV1197" s="55"/>
      <c r="AW1197" s="56">
        <f t="shared" ref="AW1197" si="1042">SUM(AS1197:AV1197)</f>
        <v>3</v>
      </c>
      <c r="AX1197" s="55">
        <v>3</v>
      </c>
      <c r="AY1197" s="55">
        <v>3</v>
      </c>
      <c r="AZ1197" s="55"/>
      <c r="BA1197" s="55"/>
      <c r="BB1197" s="56">
        <f t="shared" ref="BB1197" si="1043">SUM(AX1197:BA1197)</f>
        <v>6</v>
      </c>
      <c r="BC1197" s="56">
        <f t="shared" si="1039"/>
        <v>15</v>
      </c>
      <c r="BD1197" s="298">
        <v>45479</v>
      </c>
      <c r="BE1197" s="277"/>
      <c r="BF1197" s="54"/>
      <c r="BG1197" s="55"/>
      <c r="BH1197" s="55"/>
      <c r="BI1197" s="55"/>
      <c r="BJ1197" s="56">
        <f t="shared" si="1019"/>
        <v>0</v>
      </c>
      <c r="BL1197" s="277"/>
      <c r="BM1197" s="54"/>
      <c r="BN1197" s="55"/>
      <c r="BO1197" s="55"/>
      <c r="BP1197" s="55"/>
      <c r="BQ1197" s="56">
        <f t="shared" si="1020"/>
        <v>0</v>
      </c>
    </row>
    <row r="1198" spans="1:71" x14ac:dyDescent="0.15">
      <c r="A1198" s="53" t="s">
        <v>98</v>
      </c>
      <c r="B1198" s="54"/>
      <c r="C1198" s="55"/>
      <c r="D1198" s="55"/>
      <c r="E1198" s="55"/>
      <c r="F1198" s="56">
        <f t="shared" si="1021"/>
        <v>0</v>
      </c>
      <c r="G1198" s="54"/>
      <c r="H1198" s="55"/>
      <c r="I1198" s="55"/>
      <c r="J1198" s="55"/>
      <c r="K1198" s="56">
        <f t="shared" si="1022"/>
        <v>0</v>
      </c>
      <c r="L1198" s="54"/>
      <c r="M1198" s="55"/>
      <c r="N1198" s="55"/>
      <c r="O1198" s="55"/>
      <c r="P1198" s="56">
        <f t="shared" si="1023"/>
        <v>0</v>
      </c>
      <c r="Q1198" s="54"/>
      <c r="R1198" s="55"/>
      <c r="S1198" s="55"/>
      <c r="T1198" s="55"/>
      <c r="U1198" s="56">
        <f t="shared" si="1024"/>
        <v>0</v>
      </c>
      <c r="V1198" s="55">
        <v>1</v>
      </c>
      <c r="W1198" s="55"/>
      <c r="X1198" s="55"/>
      <c r="Y1198" s="55"/>
      <c r="Z1198" s="56">
        <f t="shared" si="1025"/>
        <v>1</v>
      </c>
      <c r="AA1198" s="56">
        <f t="shared" si="1026"/>
        <v>1</v>
      </c>
      <c r="AB1198" s="299">
        <v>45474</v>
      </c>
      <c r="AC1198" s="276" t="s">
        <v>602</v>
      </c>
      <c r="AD1198" s="54"/>
      <c r="AE1198" s="55"/>
      <c r="AF1198" s="55"/>
      <c r="AG1198" s="55"/>
      <c r="AH1198" s="56">
        <f t="shared" si="1034"/>
        <v>0</v>
      </c>
      <c r="AI1198" s="54">
        <v>2</v>
      </c>
      <c r="AJ1198" s="55"/>
      <c r="AK1198" s="55"/>
      <c r="AL1198" s="55">
        <v>1</v>
      </c>
      <c r="AM1198" s="56">
        <f t="shared" si="1035"/>
        <v>3</v>
      </c>
      <c r="AN1198" s="54"/>
      <c r="AO1198" s="55"/>
      <c r="AP1198" s="55"/>
      <c r="AQ1198" s="55"/>
      <c r="AR1198" s="56">
        <f t="shared" si="1036"/>
        <v>0</v>
      </c>
      <c r="AS1198" s="54">
        <v>1</v>
      </c>
      <c r="AT1198" s="55">
        <v>1</v>
      </c>
      <c r="AU1198" s="55">
        <v>1</v>
      </c>
      <c r="AV1198" s="55">
        <v>1</v>
      </c>
      <c r="AW1198" s="56">
        <f t="shared" si="1037"/>
        <v>4</v>
      </c>
      <c r="AX1198" s="55"/>
      <c r="AY1198" s="55"/>
      <c r="AZ1198" s="55"/>
      <c r="BA1198" s="55"/>
      <c r="BB1198" s="56">
        <f t="shared" si="1038"/>
        <v>0</v>
      </c>
      <c r="BC1198" s="56">
        <f t="shared" si="1039"/>
        <v>7</v>
      </c>
      <c r="BD1198" s="298">
        <v>45485</v>
      </c>
      <c r="BE1198" s="277"/>
      <c r="BF1198" s="54"/>
      <c r="BG1198" s="55"/>
      <c r="BH1198" s="55"/>
      <c r="BI1198" s="55"/>
      <c r="BJ1198" s="56">
        <f t="shared" si="1019"/>
        <v>0</v>
      </c>
      <c r="BL1198" s="277"/>
      <c r="BM1198" s="54"/>
      <c r="BN1198" s="55"/>
      <c r="BO1198" s="55"/>
      <c r="BP1198" s="55"/>
      <c r="BQ1198" s="56">
        <f t="shared" si="1020"/>
        <v>0</v>
      </c>
    </row>
    <row r="1199" spans="1:71" x14ac:dyDescent="0.15">
      <c r="A1199" s="53" t="s">
        <v>98</v>
      </c>
      <c r="B1199" s="54"/>
      <c r="C1199" s="55"/>
      <c r="D1199" s="55"/>
      <c r="E1199" s="55">
        <v>1</v>
      </c>
      <c r="F1199" s="56">
        <f t="shared" si="1021"/>
        <v>1</v>
      </c>
      <c r="G1199" s="54"/>
      <c r="H1199" s="55"/>
      <c r="I1199" s="55"/>
      <c r="J1199" s="55"/>
      <c r="K1199" s="56">
        <f t="shared" si="1022"/>
        <v>0</v>
      </c>
      <c r="L1199" s="54"/>
      <c r="M1199" s="55"/>
      <c r="N1199" s="55"/>
      <c r="O1199" s="55"/>
      <c r="P1199" s="56">
        <f t="shared" si="1023"/>
        <v>0</v>
      </c>
      <c r="Q1199" s="54"/>
      <c r="R1199" s="55"/>
      <c r="S1199" s="55"/>
      <c r="T1199" s="55"/>
      <c r="U1199" s="56">
        <f t="shared" si="1024"/>
        <v>0</v>
      </c>
      <c r="V1199" s="55"/>
      <c r="W1199" s="55"/>
      <c r="X1199" s="55"/>
      <c r="Y1199" s="55">
        <v>1</v>
      </c>
      <c r="Z1199" s="56">
        <f t="shared" si="1025"/>
        <v>1</v>
      </c>
      <c r="AA1199" s="56">
        <f t="shared" si="1026"/>
        <v>2</v>
      </c>
      <c r="AB1199" s="299">
        <v>45475</v>
      </c>
      <c r="AC1199" s="276" t="s">
        <v>603</v>
      </c>
      <c r="AD1199" s="54"/>
      <c r="AE1199" s="55"/>
      <c r="AF1199" s="55"/>
      <c r="AG1199" s="55">
        <v>1</v>
      </c>
      <c r="AH1199" s="56">
        <f t="shared" si="1034"/>
        <v>1</v>
      </c>
      <c r="AI1199" s="54">
        <v>1</v>
      </c>
      <c r="AJ1199" s="55"/>
      <c r="AK1199" s="55"/>
      <c r="AL1199" s="55"/>
      <c r="AM1199" s="56">
        <f t="shared" si="1035"/>
        <v>1</v>
      </c>
      <c r="AN1199" s="54"/>
      <c r="AO1199" s="55"/>
      <c r="AP1199" s="55"/>
      <c r="AQ1199" s="55"/>
      <c r="AR1199" s="56">
        <f t="shared" si="1036"/>
        <v>0</v>
      </c>
      <c r="AS1199" s="54"/>
      <c r="AT1199" s="55"/>
      <c r="AU1199" s="55">
        <v>1</v>
      </c>
      <c r="AV1199" s="55">
        <v>3</v>
      </c>
      <c r="AW1199" s="56">
        <f t="shared" si="1037"/>
        <v>4</v>
      </c>
      <c r="AX1199" s="55"/>
      <c r="AY1199" s="55"/>
      <c r="AZ1199" s="55"/>
      <c r="BA1199" s="55"/>
      <c r="BB1199" s="56">
        <f t="shared" si="1038"/>
        <v>0</v>
      </c>
      <c r="BC1199" s="56">
        <f t="shared" si="1039"/>
        <v>6</v>
      </c>
      <c r="BD1199" s="298">
        <v>45485</v>
      </c>
      <c r="BE1199" s="277"/>
      <c r="BF1199" s="54"/>
      <c r="BG1199" s="55"/>
      <c r="BH1199" s="55"/>
      <c r="BI1199" s="55"/>
      <c r="BJ1199" s="56">
        <f t="shared" si="1019"/>
        <v>0</v>
      </c>
      <c r="BL1199" s="277"/>
      <c r="BM1199" s="54"/>
      <c r="BN1199" s="55"/>
      <c r="BO1199" s="55"/>
      <c r="BP1199" s="55"/>
      <c r="BQ1199" s="56">
        <f t="shared" si="1020"/>
        <v>0</v>
      </c>
    </row>
    <row r="1200" spans="1:71" x14ac:dyDescent="0.15">
      <c r="A1200" s="53" t="s">
        <v>98</v>
      </c>
      <c r="B1200" s="54"/>
      <c r="C1200" s="55"/>
      <c r="D1200" s="55"/>
      <c r="E1200" s="55"/>
      <c r="F1200" s="56">
        <f t="shared" si="1021"/>
        <v>0</v>
      </c>
      <c r="G1200" s="54">
        <v>1</v>
      </c>
      <c r="H1200" s="55"/>
      <c r="I1200" s="55"/>
      <c r="J1200" s="55"/>
      <c r="K1200" s="56">
        <f t="shared" si="1022"/>
        <v>1</v>
      </c>
      <c r="L1200" s="54"/>
      <c r="M1200" s="55"/>
      <c r="N1200" s="55"/>
      <c r="O1200" s="55"/>
      <c r="P1200" s="56">
        <f t="shared" si="1023"/>
        <v>0</v>
      </c>
      <c r="Q1200" s="54"/>
      <c r="R1200" s="55"/>
      <c r="S1200" s="55"/>
      <c r="T1200" s="55"/>
      <c r="U1200" s="56">
        <f t="shared" si="1024"/>
        <v>0</v>
      </c>
      <c r="V1200" s="55"/>
      <c r="W1200" s="55"/>
      <c r="X1200" s="55"/>
      <c r="Y1200" s="55"/>
      <c r="Z1200" s="56">
        <f t="shared" si="1025"/>
        <v>0</v>
      </c>
      <c r="AA1200" s="56">
        <f t="shared" si="1026"/>
        <v>1</v>
      </c>
      <c r="AB1200" s="299">
        <v>45476</v>
      </c>
      <c r="AC1200" s="276" t="s">
        <v>99</v>
      </c>
      <c r="AD1200" s="54"/>
      <c r="AE1200" s="55"/>
      <c r="AF1200" s="55">
        <v>2</v>
      </c>
      <c r="AG1200" s="55"/>
      <c r="AH1200" s="56">
        <f t="shared" si="1034"/>
        <v>2</v>
      </c>
      <c r="AI1200" s="54">
        <v>2</v>
      </c>
      <c r="AJ1200" s="55"/>
      <c r="AK1200" s="55">
        <v>2</v>
      </c>
      <c r="AL1200" s="55"/>
      <c r="AM1200" s="56">
        <f t="shared" ref="AM1200" si="1044">SUM(AI1200:AL1200)</f>
        <v>4</v>
      </c>
      <c r="AN1200" s="54">
        <v>2</v>
      </c>
      <c r="AO1200" s="55">
        <v>2</v>
      </c>
      <c r="AP1200" s="55"/>
      <c r="AQ1200" s="55">
        <v>2</v>
      </c>
      <c r="AR1200" s="56">
        <f t="shared" ref="AR1200" si="1045">SUM(AN1200:AQ1200)</f>
        <v>6</v>
      </c>
      <c r="AS1200" s="54"/>
      <c r="AT1200" s="55"/>
      <c r="AU1200" s="55">
        <v>2</v>
      </c>
      <c r="AV1200" s="55">
        <v>2</v>
      </c>
      <c r="AW1200" s="56">
        <f t="shared" ref="AW1200" si="1046">SUM(AS1200:AV1200)</f>
        <v>4</v>
      </c>
      <c r="AX1200" s="55"/>
      <c r="AY1200" s="55"/>
      <c r="AZ1200" s="55">
        <v>3</v>
      </c>
      <c r="BA1200" s="55">
        <v>3</v>
      </c>
      <c r="BB1200" s="56">
        <f t="shared" ref="BB1200" si="1047">SUM(AX1200:BA1200)</f>
        <v>6</v>
      </c>
      <c r="BC1200" s="56">
        <f t="shared" si="1039"/>
        <v>22</v>
      </c>
      <c r="BD1200" s="298">
        <v>45483</v>
      </c>
      <c r="BE1200" s="277"/>
      <c r="BF1200" s="54"/>
      <c r="BG1200" s="55"/>
      <c r="BH1200" s="55"/>
      <c r="BI1200" s="55"/>
      <c r="BJ1200" s="56">
        <f t="shared" si="1019"/>
        <v>0</v>
      </c>
      <c r="BL1200" s="277"/>
      <c r="BM1200" s="54"/>
      <c r="BN1200" s="55"/>
      <c r="BO1200" s="55"/>
      <c r="BP1200" s="55"/>
      <c r="BQ1200" s="56">
        <f t="shared" si="1020"/>
        <v>0</v>
      </c>
    </row>
    <row r="1201" spans="1:69" x14ac:dyDescent="0.15">
      <c r="A1201" s="53" t="s">
        <v>98</v>
      </c>
      <c r="B1201" s="54">
        <v>1</v>
      </c>
      <c r="C1201" s="55"/>
      <c r="D1201" s="55"/>
      <c r="E1201" s="55"/>
      <c r="F1201" s="56">
        <f t="shared" si="1021"/>
        <v>1</v>
      </c>
      <c r="G1201" s="54"/>
      <c r="H1201" s="55"/>
      <c r="I1201" s="55"/>
      <c r="J1201" s="55"/>
      <c r="K1201" s="56">
        <f t="shared" si="1022"/>
        <v>0</v>
      </c>
      <c r="L1201" s="54"/>
      <c r="M1201" s="55"/>
      <c r="N1201" s="55"/>
      <c r="O1201" s="55"/>
      <c r="P1201" s="56">
        <f t="shared" si="1023"/>
        <v>0</v>
      </c>
      <c r="Q1201" s="54"/>
      <c r="R1201" s="55">
        <v>1</v>
      </c>
      <c r="S1201" s="55"/>
      <c r="T1201" s="55"/>
      <c r="U1201" s="56">
        <f t="shared" si="1024"/>
        <v>1</v>
      </c>
      <c r="V1201" s="55"/>
      <c r="W1201" s="55"/>
      <c r="X1201" s="55"/>
      <c r="Y1201" s="55">
        <v>1</v>
      </c>
      <c r="Z1201" s="56">
        <f t="shared" si="1025"/>
        <v>1</v>
      </c>
      <c r="AA1201" s="56">
        <f t="shared" si="1026"/>
        <v>3</v>
      </c>
      <c r="AB1201" s="299">
        <v>45477</v>
      </c>
      <c r="AC1201" s="276" t="s">
        <v>605</v>
      </c>
      <c r="AD1201" s="54">
        <v>1</v>
      </c>
      <c r="AE1201" s="55">
        <v>1</v>
      </c>
      <c r="AF1201" s="55"/>
      <c r="AG1201" s="55"/>
      <c r="AH1201" s="56">
        <f t="shared" si="1034"/>
        <v>2</v>
      </c>
      <c r="AI1201" s="54">
        <v>2</v>
      </c>
      <c r="AJ1201" s="55">
        <v>2</v>
      </c>
      <c r="AK1201" s="55">
        <v>2</v>
      </c>
      <c r="AL1201" s="55"/>
      <c r="AM1201" s="56">
        <f t="shared" si="1035"/>
        <v>6</v>
      </c>
      <c r="AN1201" s="54"/>
      <c r="AO1201" s="55"/>
      <c r="AP1201" s="55"/>
      <c r="AQ1201" s="55"/>
      <c r="AR1201" s="56">
        <f t="shared" si="1036"/>
        <v>0</v>
      </c>
      <c r="AS1201" s="54">
        <v>2</v>
      </c>
      <c r="AT1201" s="55">
        <v>1</v>
      </c>
      <c r="AU1201" s="55">
        <v>1</v>
      </c>
      <c r="AV1201" s="55">
        <v>2</v>
      </c>
      <c r="AW1201" s="56">
        <f t="shared" si="1037"/>
        <v>6</v>
      </c>
      <c r="AX1201" s="55"/>
      <c r="AY1201" s="55"/>
      <c r="AZ1201" s="55"/>
      <c r="BA1201" s="55"/>
      <c r="BB1201" s="56">
        <f t="shared" si="1038"/>
        <v>0</v>
      </c>
      <c r="BC1201" s="56">
        <f t="shared" si="1039"/>
        <v>14</v>
      </c>
      <c r="BD1201" s="298">
        <v>45495</v>
      </c>
      <c r="BE1201" s="277"/>
      <c r="BF1201" s="54"/>
      <c r="BG1201" s="55"/>
      <c r="BH1201" s="55"/>
      <c r="BI1201" s="55"/>
      <c r="BJ1201" s="56">
        <f t="shared" si="1019"/>
        <v>0</v>
      </c>
      <c r="BL1201" s="277"/>
      <c r="BM1201" s="54"/>
      <c r="BN1201" s="55"/>
      <c r="BO1201" s="55"/>
      <c r="BP1201" s="55"/>
      <c r="BQ1201" s="56">
        <f t="shared" si="1020"/>
        <v>0</v>
      </c>
    </row>
    <row r="1202" spans="1:69" x14ac:dyDescent="0.15">
      <c r="A1202" s="53" t="s">
        <v>98</v>
      </c>
      <c r="B1202" s="54">
        <v>1</v>
      </c>
      <c r="C1202" s="55"/>
      <c r="D1202" s="55"/>
      <c r="E1202" s="55"/>
      <c r="F1202" s="56">
        <f t="shared" si="1021"/>
        <v>1</v>
      </c>
      <c r="G1202" s="54"/>
      <c r="H1202" s="55"/>
      <c r="I1202" s="55"/>
      <c r="J1202" s="55"/>
      <c r="K1202" s="56">
        <f t="shared" si="1022"/>
        <v>0</v>
      </c>
      <c r="L1202" s="54"/>
      <c r="M1202" s="55"/>
      <c r="N1202" s="55"/>
      <c r="O1202" s="55"/>
      <c r="P1202" s="56">
        <f t="shared" si="1023"/>
        <v>0</v>
      </c>
      <c r="Q1202" s="54"/>
      <c r="R1202" s="55">
        <v>1</v>
      </c>
      <c r="S1202" s="55"/>
      <c r="T1202" s="55">
        <v>1</v>
      </c>
      <c r="U1202" s="56">
        <f t="shared" si="1024"/>
        <v>2</v>
      </c>
      <c r="V1202" s="55"/>
      <c r="W1202" s="55">
        <v>1</v>
      </c>
      <c r="X1202" s="55"/>
      <c r="Y1202" s="55">
        <v>2</v>
      </c>
      <c r="Z1202" s="56">
        <f t="shared" si="1025"/>
        <v>3</v>
      </c>
      <c r="AA1202" s="56">
        <f t="shared" si="1026"/>
        <v>6</v>
      </c>
      <c r="AB1202" s="299">
        <v>45478</v>
      </c>
      <c r="AC1202" s="276" t="s">
        <v>606</v>
      </c>
      <c r="AD1202" s="54"/>
      <c r="AE1202" s="55"/>
      <c r="AF1202" s="55"/>
      <c r="AG1202" s="55"/>
      <c r="AH1202" s="56">
        <f t="shared" si="1034"/>
        <v>0</v>
      </c>
      <c r="AI1202" s="54">
        <v>3</v>
      </c>
      <c r="AJ1202" s="55">
        <v>2</v>
      </c>
      <c r="AK1202" s="55"/>
      <c r="AL1202" s="55"/>
      <c r="AM1202" s="56">
        <f t="shared" si="1035"/>
        <v>5</v>
      </c>
      <c r="AN1202" s="54"/>
      <c r="AO1202" s="55"/>
      <c r="AP1202" s="55"/>
      <c r="AQ1202" s="55"/>
      <c r="AR1202" s="56">
        <f t="shared" si="1036"/>
        <v>0</v>
      </c>
      <c r="AS1202" s="54"/>
      <c r="AT1202" s="55">
        <v>2</v>
      </c>
      <c r="AU1202" s="55"/>
      <c r="AV1202" s="55"/>
      <c r="AW1202" s="56">
        <f t="shared" si="1037"/>
        <v>2</v>
      </c>
      <c r="AX1202" s="55"/>
      <c r="AY1202" s="55"/>
      <c r="AZ1202" s="55"/>
      <c r="BA1202" s="55"/>
      <c r="BB1202" s="56">
        <f t="shared" si="1038"/>
        <v>0</v>
      </c>
      <c r="BC1202" s="56">
        <f t="shared" si="1039"/>
        <v>7</v>
      </c>
      <c r="BD1202" s="298">
        <v>45495</v>
      </c>
      <c r="BE1202" s="277"/>
      <c r="BF1202" s="54"/>
      <c r="BG1202" s="55"/>
      <c r="BH1202" s="55"/>
      <c r="BI1202" s="55"/>
      <c r="BJ1202" s="56">
        <f t="shared" si="1019"/>
        <v>0</v>
      </c>
      <c r="BL1202" s="277"/>
      <c r="BM1202" s="54"/>
      <c r="BN1202" s="55"/>
      <c r="BO1202" s="55"/>
      <c r="BP1202" s="55"/>
      <c r="BQ1202" s="56">
        <f t="shared" si="1020"/>
        <v>0</v>
      </c>
    </row>
    <row r="1203" spans="1:69" x14ac:dyDescent="0.15">
      <c r="A1203" s="53" t="s">
        <v>98</v>
      </c>
      <c r="B1203" s="54"/>
      <c r="C1203" s="55"/>
      <c r="D1203" s="55"/>
      <c r="E1203" s="55"/>
      <c r="F1203" s="56">
        <f t="shared" si="1021"/>
        <v>0</v>
      </c>
      <c r="G1203" s="54"/>
      <c r="H1203" s="55"/>
      <c r="I1203" s="55"/>
      <c r="J1203" s="55"/>
      <c r="K1203" s="56">
        <f t="shared" si="1022"/>
        <v>0</v>
      </c>
      <c r="L1203" s="54"/>
      <c r="M1203" s="55">
        <v>1</v>
      </c>
      <c r="N1203" s="55"/>
      <c r="O1203" s="55"/>
      <c r="P1203" s="56">
        <f t="shared" si="1023"/>
        <v>1</v>
      </c>
      <c r="Q1203" s="54"/>
      <c r="R1203" s="55"/>
      <c r="S1203" s="55"/>
      <c r="T1203" s="55"/>
      <c r="U1203" s="56">
        <f t="shared" si="1024"/>
        <v>0</v>
      </c>
      <c r="V1203" s="55">
        <v>1</v>
      </c>
      <c r="W1203" s="55"/>
      <c r="X1203" s="55"/>
      <c r="Y1203" s="55"/>
      <c r="Z1203" s="56">
        <f t="shared" si="1025"/>
        <v>1</v>
      </c>
      <c r="AA1203" s="56">
        <f t="shared" si="1026"/>
        <v>2</v>
      </c>
      <c r="AB1203" s="299">
        <v>45479</v>
      </c>
      <c r="AC1203" s="276" t="s">
        <v>384</v>
      </c>
      <c r="AD1203" s="54"/>
      <c r="AE1203" s="55"/>
      <c r="AF1203" s="55"/>
      <c r="AG1203" s="55"/>
      <c r="AH1203" s="56">
        <f t="shared" si="1034"/>
        <v>0</v>
      </c>
      <c r="AI1203" s="54"/>
      <c r="AJ1203" s="55"/>
      <c r="AK1203" s="55"/>
      <c r="AL1203" s="55"/>
      <c r="AM1203" s="56">
        <f t="shared" si="1035"/>
        <v>0</v>
      </c>
      <c r="AN1203" s="54"/>
      <c r="AO1203" s="55"/>
      <c r="AP1203" s="55"/>
      <c r="AQ1203" s="55"/>
      <c r="AR1203" s="56">
        <f t="shared" si="1036"/>
        <v>0</v>
      </c>
      <c r="AS1203" s="54"/>
      <c r="AT1203" s="55"/>
      <c r="AU1203" s="55"/>
      <c r="AV1203" s="55">
        <v>6</v>
      </c>
      <c r="AW1203" s="56">
        <f t="shared" si="1037"/>
        <v>6</v>
      </c>
      <c r="AX1203" s="55"/>
      <c r="AY1203" s="55"/>
      <c r="AZ1203" s="55"/>
      <c r="BA1203" s="55"/>
      <c r="BB1203" s="56">
        <f t="shared" si="1038"/>
        <v>0</v>
      </c>
      <c r="BC1203" s="56">
        <f t="shared" si="1039"/>
        <v>6</v>
      </c>
      <c r="BD1203" s="298">
        <v>45495</v>
      </c>
      <c r="BE1203" s="277"/>
      <c r="BF1203" s="54"/>
      <c r="BG1203" s="55"/>
      <c r="BH1203" s="55"/>
      <c r="BI1203" s="55"/>
      <c r="BJ1203" s="56">
        <f t="shared" si="1019"/>
        <v>0</v>
      </c>
      <c r="BL1203" s="277"/>
      <c r="BM1203" s="54"/>
      <c r="BN1203" s="55"/>
      <c r="BO1203" s="55"/>
      <c r="BP1203" s="55"/>
      <c r="BQ1203" s="56">
        <f t="shared" si="1020"/>
        <v>0</v>
      </c>
    </row>
    <row r="1204" spans="1:69" x14ac:dyDescent="0.15">
      <c r="A1204" s="53" t="s">
        <v>98</v>
      </c>
      <c r="B1204" s="54"/>
      <c r="C1204" s="55">
        <v>1</v>
      </c>
      <c r="D1204" s="55">
        <v>1</v>
      </c>
      <c r="E1204" s="55"/>
      <c r="F1204" s="56">
        <f t="shared" si="1021"/>
        <v>2</v>
      </c>
      <c r="G1204" s="54">
        <v>1</v>
      </c>
      <c r="H1204" s="55"/>
      <c r="I1204" s="55">
        <v>1</v>
      </c>
      <c r="J1204" s="55"/>
      <c r="K1204" s="56">
        <f t="shared" si="1022"/>
        <v>2</v>
      </c>
      <c r="L1204" s="54"/>
      <c r="M1204" s="55"/>
      <c r="N1204" s="55"/>
      <c r="O1204" s="55">
        <v>2</v>
      </c>
      <c r="P1204" s="56">
        <f t="shared" si="1023"/>
        <v>2</v>
      </c>
      <c r="Q1204" s="54"/>
      <c r="R1204" s="55"/>
      <c r="S1204" s="55">
        <v>1</v>
      </c>
      <c r="T1204" s="55">
        <v>2</v>
      </c>
      <c r="U1204" s="56">
        <f t="shared" si="1024"/>
        <v>3</v>
      </c>
      <c r="V1204" s="55"/>
      <c r="W1204" s="55"/>
      <c r="X1204" s="55"/>
      <c r="Y1204" s="55"/>
      <c r="Z1204" s="56">
        <f t="shared" si="1025"/>
        <v>0</v>
      </c>
      <c r="AA1204" s="56">
        <f t="shared" si="1026"/>
        <v>9</v>
      </c>
      <c r="AB1204" s="299">
        <v>45481</v>
      </c>
      <c r="AC1204" s="276" t="s">
        <v>99</v>
      </c>
      <c r="AD1204" s="54"/>
      <c r="AE1204" s="55"/>
      <c r="AF1204" s="55"/>
      <c r="AG1204" s="55"/>
      <c r="AH1204" s="56">
        <f t="shared" si="1034"/>
        <v>0</v>
      </c>
      <c r="AI1204" s="54"/>
      <c r="AJ1204" s="55">
        <v>2</v>
      </c>
      <c r="AK1204" s="55"/>
      <c r="AL1204" s="55"/>
      <c r="AM1204" s="56">
        <f t="shared" ref="AM1204" si="1048">SUM(AI1204:AL1204)</f>
        <v>2</v>
      </c>
      <c r="AN1204" s="54"/>
      <c r="AO1204" s="55">
        <v>2</v>
      </c>
      <c r="AP1204" s="55"/>
      <c r="AQ1204" s="55"/>
      <c r="AR1204" s="56">
        <f t="shared" ref="AR1204" si="1049">SUM(AN1204:AQ1204)</f>
        <v>2</v>
      </c>
      <c r="AS1204" s="54"/>
      <c r="AT1204" s="55"/>
      <c r="AU1204" s="55"/>
      <c r="AV1204" s="55">
        <v>2</v>
      </c>
      <c r="AW1204" s="56">
        <f t="shared" ref="AW1204" si="1050">SUM(AS1204:AV1204)</f>
        <v>2</v>
      </c>
      <c r="AX1204" s="55"/>
      <c r="AY1204" s="55"/>
      <c r="AZ1204" s="55">
        <v>2</v>
      </c>
      <c r="BA1204" s="55"/>
      <c r="BB1204" s="56">
        <f t="shared" ref="BB1204" si="1051">SUM(AX1204:BA1204)</f>
        <v>2</v>
      </c>
      <c r="BC1204" s="56">
        <f t="shared" si="1039"/>
        <v>8</v>
      </c>
      <c r="BD1204" s="298">
        <v>45491</v>
      </c>
      <c r="BE1204" s="276"/>
      <c r="BF1204" s="54"/>
      <c r="BG1204" s="55"/>
      <c r="BH1204" s="55"/>
      <c r="BI1204" s="55"/>
      <c r="BJ1204" s="56">
        <f t="shared" si="1019"/>
        <v>0</v>
      </c>
      <c r="BL1204" s="276"/>
      <c r="BM1204" s="54"/>
      <c r="BN1204" s="55"/>
      <c r="BO1204" s="55"/>
      <c r="BP1204" s="55"/>
      <c r="BQ1204" s="56">
        <f t="shared" si="1020"/>
        <v>0</v>
      </c>
    </row>
    <row r="1205" spans="1:69" x14ac:dyDescent="0.15">
      <c r="A1205" s="53" t="s">
        <v>98</v>
      </c>
      <c r="B1205" s="54">
        <v>1</v>
      </c>
      <c r="C1205" s="55"/>
      <c r="D1205" s="55">
        <v>1</v>
      </c>
      <c r="E1205" s="55"/>
      <c r="F1205" s="56">
        <f t="shared" si="1021"/>
        <v>2</v>
      </c>
      <c r="G1205" s="54"/>
      <c r="H1205" s="55"/>
      <c r="I1205" s="55"/>
      <c r="J1205" s="55"/>
      <c r="K1205" s="56">
        <f t="shared" si="1022"/>
        <v>0</v>
      </c>
      <c r="L1205" s="54">
        <v>1</v>
      </c>
      <c r="M1205" s="55"/>
      <c r="N1205" s="55"/>
      <c r="O1205" s="55"/>
      <c r="P1205" s="56">
        <f t="shared" si="1023"/>
        <v>1</v>
      </c>
      <c r="Q1205" s="54"/>
      <c r="R1205" s="55"/>
      <c r="S1205" s="55"/>
      <c r="T1205" s="55"/>
      <c r="U1205" s="56">
        <f t="shared" si="1024"/>
        <v>0</v>
      </c>
      <c r="V1205" s="55"/>
      <c r="W1205" s="55"/>
      <c r="X1205" s="55"/>
      <c r="Y1205" s="55"/>
      <c r="Z1205" s="56">
        <f t="shared" si="1025"/>
        <v>0</v>
      </c>
      <c r="AA1205" s="56">
        <f t="shared" si="1026"/>
        <v>3</v>
      </c>
      <c r="AB1205" s="299">
        <v>45482</v>
      </c>
      <c r="AC1205" s="276" t="s">
        <v>99</v>
      </c>
      <c r="AD1205" s="54"/>
      <c r="AE1205" s="55"/>
      <c r="AF1205" s="55"/>
      <c r="AG1205" s="55"/>
      <c r="AH1205" s="56">
        <f t="shared" si="1034"/>
        <v>0</v>
      </c>
      <c r="AI1205" s="54"/>
      <c r="AJ1205" s="55"/>
      <c r="AK1205" s="55">
        <v>3</v>
      </c>
      <c r="AL1205" s="55"/>
      <c r="AM1205" s="56">
        <f t="shared" ref="AM1205" si="1052">SUM(AI1205:AL1205)</f>
        <v>3</v>
      </c>
      <c r="AN1205" s="54">
        <v>3</v>
      </c>
      <c r="AO1205" s="55">
        <v>3</v>
      </c>
      <c r="AP1205" s="55"/>
      <c r="AQ1205" s="55"/>
      <c r="AR1205" s="56">
        <f t="shared" ref="AR1205" si="1053">SUM(AN1205:AQ1205)</f>
        <v>6</v>
      </c>
      <c r="AS1205" s="54"/>
      <c r="AT1205" s="55">
        <v>3</v>
      </c>
      <c r="AU1205" s="55">
        <v>3</v>
      </c>
      <c r="AV1205" s="55">
        <v>3</v>
      </c>
      <c r="AW1205" s="56">
        <f t="shared" ref="AW1205" si="1054">SUM(AS1205:AV1205)</f>
        <v>9</v>
      </c>
      <c r="AX1205" s="55"/>
      <c r="AY1205" s="55"/>
      <c r="AZ1205" s="55"/>
      <c r="BA1205" s="55">
        <v>3</v>
      </c>
      <c r="BB1205" s="56">
        <f t="shared" ref="BB1205" si="1055">SUM(AX1205:BA1205)</f>
        <v>3</v>
      </c>
      <c r="BC1205" s="56">
        <f t="shared" si="1039"/>
        <v>21</v>
      </c>
      <c r="BD1205" s="298">
        <v>45493</v>
      </c>
      <c r="BE1205" s="277"/>
      <c r="BF1205" s="54"/>
      <c r="BG1205" s="55"/>
      <c r="BH1205" s="55"/>
      <c r="BI1205" s="55"/>
      <c r="BJ1205" s="56">
        <f t="shared" si="1019"/>
        <v>0</v>
      </c>
      <c r="BL1205" s="277"/>
      <c r="BM1205" s="54"/>
      <c r="BN1205" s="55"/>
      <c r="BO1205" s="55"/>
      <c r="BP1205" s="55"/>
      <c r="BQ1205" s="56">
        <f t="shared" si="1020"/>
        <v>0</v>
      </c>
    </row>
    <row r="1206" spans="1:69" x14ac:dyDescent="0.15">
      <c r="A1206" s="53" t="s">
        <v>98</v>
      </c>
      <c r="B1206" s="54"/>
      <c r="C1206" s="55"/>
      <c r="D1206" s="55"/>
      <c r="E1206" s="55"/>
      <c r="F1206" s="56">
        <f t="shared" si="1021"/>
        <v>0</v>
      </c>
      <c r="G1206" s="54"/>
      <c r="H1206" s="55"/>
      <c r="I1206" s="55"/>
      <c r="J1206" s="55"/>
      <c r="K1206" s="56">
        <f t="shared" si="1022"/>
        <v>0</v>
      </c>
      <c r="L1206" s="54"/>
      <c r="M1206" s="55">
        <v>1</v>
      </c>
      <c r="N1206" s="55"/>
      <c r="O1206" s="55"/>
      <c r="P1206" s="56">
        <f t="shared" si="1023"/>
        <v>1</v>
      </c>
      <c r="Q1206" s="54"/>
      <c r="R1206" s="55"/>
      <c r="S1206" s="55"/>
      <c r="T1206" s="55"/>
      <c r="U1206" s="56">
        <f t="shared" si="1024"/>
        <v>0</v>
      </c>
      <c r="V1206" s="55">
        <v>1</v>
      </c>
      <c r="W1206" s="55">
        <v>2</v>
      </c>
      <c r="X1206" s="55">
        <v>1</v>
      </c>
      <c r="Y1206" s="55"/>
      <c r="Z1206" s="56">
        <f t="shared" si="1025"/>
        <v>4</v>
      </c>
      <c r="AA1206" s="56">
        <f t="shared" si="1026"/>
        <v>5</v>
      </c>
      <c r="AB1206" s="299">
        <v>45483</v>
      </c>
      <c r="AC1206" s="276" t="s">
        <v>385</v>
      </c>
      <c r="AD1206" s="54"/>
      <c r="AE1206" s="55"/>
      <c r="AF1206" s="55"/>
      <c r="AG1206" s="55"/>
      <c r="AH1206" s="56">
        <f t="shared" si="1034"/>
        <v>0</v>
      </c>
      <c r="AI1206" s="54"/>
      <c r="AJ1206" s="55"/>
      <c r="AK1206" s="55"/>
      <c r="AL1206" s="55"/>
      <c r="AM1206" s="56">
        <f t="shared" si="1035"/>
        <v>0</v>
      </c>
      <c r="AN1206" s="54"/>
      <c r="AO1206" s="55"/>
      <c r="AP1206" s="55"/>
      <c r="AQ1206" s="55"/>
      <c r="AR1206" s="56">
        <f t="shared" si="1036"/>
        <v>0</v>
      </c>
      <c r="AS1206" s="54"/>
      <c r="AT1206" s="55"/>
      <c r="AU1206" s="55"/>
      <c r="AV1206" s="55">
        <v>2</v>
      </c>
      <c r="AW1206" s="56">
        <f t="shared" si="1037"/>
        <v>2</v>
      </c>
      <c r="AX1206" s="55"/>
      <c r="AY1206" s="55"/>
      <c r="AZ1206" s="55"/>
      <c r="BA1206" s="55"/>
      <c r="BB1206" s="56">
        <f t="shared" si="1038"/>
        <v>0</v>
      </c>
      <c r="BC1206" s="56">
        <f t="shared" si="1039"/>
        <v>2</v>
      </c>
      <c r="BD1206" s="298">
        <v>45498</v>
      </c>
      <c r="BE1206" s="276"/>
      <c r="BF1206" s="54"/>
      <c r="BG1206" s="55"/>
      <c r="BH1206" s="55"/>
      <c r="BI1206" s="55"/>
      <c r="BJ1206" s="56">
        <f t="shared" si="1019"/>
        <v>0</v>
      </c>
      <c r="BL1206" s="276"/>
      <c r="BM1206" s="54"/>
      <c r="BN1206" s="55"/>
      <c r="BO1206" s="55"/>
      <c r="BP1206" s="55"/>
      <c r="BQ1206" s="56">
        <f t="shared" si="1020"/>
        <v>0</v>
      </c>
    </row>
    <row r="1207" spans="1:69" x14ac:dyDescent="0.15">
      <c r="A1207" s="53" t="s">
        <v>98</v>
      </c>
      <c r="B1207" s="54"/>
      <c r="C1207" s="55"/>
      <c r="D1207" s="55"/>
      <c r="E1207" s="55"/>
      <c r="F1207" s="56">
        <f t="shared" si="1021"/>
        <v>0</v>
      </c>
      <c r="G1207" s="54">
        <v>1</v>
      </c>
      <c r="H1207" s="55">
        <v>1</v>
      </c>
      <c r="I1207" s="55"/>
      <c r="J1207" s="55"/>
      <c r="K1207" s="56">
        <f t="shared" si="1022"/>
        <v>2</v>
      </c>
      <c r="L1207" s="54">
        <v>1</v>
      </c>
      <c r="M1207" s="55"/>
      <c r="N1207" s="55"/>
      <c r="O1207" s="55"/>
      <c r="P1207" s="56">
        <f t="shared" si="1023"/>
        <v>1</v>
      </c>
      <c r="Q1207" s="54"/>
      <c r="R1207" s="55"/>
      <c r="S1207" s="55"/>
      <c r="T1207" s="55"/>
      <c r="U1207" s="56">
        <f t="shared" si="1024"/>
        <v>0</v>
      </c>
      <c r="V1207" s="55"/>
      <c r="W1207" s="55"/>
      <c r="X1207" s="55"/>
      <c r="Y1207" s="55"/>
      <c r="Z1207" s="56">
        <f t="shared" si="1025"/>
        <v>0</v>
      </c>
      <c r="AA1207" s="56">
        <f t="shared" si="1026"/>
        <v>3</v>
      </c>
      <c r="AB1207" s="299">
        <v>45484</v>
      </c>
      <c r="AC1207" s="276" t="s">
        <v>362</v>
      </c>
      <c r="AD1207" s="54"/>
      <c r="AE1207" s="55"/>
      <c r="AF1207" s="55"/>
      <c r="AG1207" s="55"/>
      <c r="AH1207" s="56">
        <f t="shared" si="1034"/>
        <v>0</v>
      </c>
      <c r="AI1207" s="54"/>
      <c r="AJ1207" s="55">
        <v>8</v>
      </c>
      <c r="AK1207" s="55"/>
      <c r="AL1207" s="55"/>
      <c r="AM1207" s="56">
        <f t="shared" si="1035"/>
        <v>8</v>
      </c>
      <c r="AN1207" s="54"/>
      <c r="AO1207" s="55"/>
      <c r="AP1207" s="55"/>
      <c r="AQ1207" s="55"/>
      <c r="AR1207" s="56">
        <f t="shared" si="1036"/>
        <v>0</v>
      </c>
      <c r="AS1207" s="54"/>
      <c r="AT1207" s="55"/>
      <c r="AU1207" s="55"/>
      <c r="AV1207" s="55"/>
      <c r="AW1207" s="56">
        <f t="shared" si="1037"/>
        <v>0</v>
      </c>
      <c r="AX1207" s="55"/>
      <c r="AY1207" s="55"/>
      <c r="AZ1207" s="55"/>
      <c r="BA1207" s="55"/>
      <c r="BB1207" s="56">
        <f t="shared" si="1038"/>
        <v>0</v>
      </c>
      <c r="BC1207" s="56">
        <f t="shared" si="1039"/>
        <v>8</v>
      </c>
      <c r="BD1207" s="298">
        <v>45498</v>
      </c>
      <c r="BE1207" s="277"/>
      <c r="BF1207" s="55"/>
      <c r="BG1207" s="55"/>
      <c r="BH1207" s="55"/>
      <c r="BI1207" s="166"/>
      <c r="BJ1207" s="49">
        <f t="shared" si="1019"/>
        <v>0</v>
      </c>
      <c r="BL1207" s="277"/>
      <c r="BM1207" s="55"/>
      <c r="BN1207" s="55"/>
      <c r="BO1207" s="55"/>
      <c r="BP1207" s="166"/>
      <c r="BQ1207" s="49">
        <f t="shared" si="1020"/>
        <v>0</v>
      </c>
    </row>
    <row r="1208" spans="1:69" x14ac:dyDescent="0.15">
      <c r="A1208" s="53" t="s">
        <v>604</v>
      </c>
      <c r="B1208" s="54"/>
      <c r="C1208" s="55"/>
      <c r="D1208" s="55"/>
      <c r="E1208" s="55"/>
      <c r="F1208" s="56">
        <f t="shared" si="1021"/>
        <v>0</v>
      </c>
      <c r="G1208" s="54"/>
      <c r="H1208" s="55"/>
      <c r="I1208" s="55"/>
      <c r="J1208" s="55"/>
      <c r="K1208" s="56">
        <f t="shared" si="1022"/>
        <v>0</v>
      </c>
      <c r="L1208" s="54"/>
      <c r="M1208" s="55"/>
      <c r="N1208" s="55"/>
      <c r="O1208" s="55"/>
      <c r="P1208" s="56">
        <f t="shared" si="1023"/>
        <v>0</v>
      </c>
      <c r="Q1208" s="54"/>
      <c r="R1208" s="55"/>
      <c r="S1208" s="55"/>
      <c r="T1208" s="55">
        <v>1</v>
      </c>
      <c r="U1208" s="56">
        <f t="shared" si="1024"/>
        <v>1</v>
      </c>
      <c r="V1208" s="55"/>
      <c r="W1208" s="55"/>
      <c r="X1208" s="55"/>
      <c r="Y1208" s="55"/>
      <c r="Z1208" s="56">
        <f t="shared" si="1025"/>
        <v>0</v>
      </c>
      <c r="AA1208" s="56">
        <f t="shared" si="1026"/>
        <v>1</v>
      </c>
      <c r="AB1208" s="298">
        <v>45490</v>
      </c>
      <c r="AC1208" s="276" t="s">
        <v>607</v>
      </c>
      <c r="AD1208" s="54">
        <v>1</v>
      </c>
      <c r="AE1208" s="55"/>
      <c r="AF1208" s="55">
        <v>2</v>
      </c>
      <c r="AG1208" s="55">
        <v>1</v>
      </c>
      <c r="AH1208" s="56">
        <f t="shared" si="1034"/>
        <v>4</v>
      </c>
      <c r="AI1208" s="54">
        <v>1</v>
      </c>
      <c r="AJ1208" s="55">
        <v>1</v>
      </c>
      <c r="AK1208" s="55"/>
      <c r="AL1208" s="55">
        <v>1</v>
      </c>
      <c r="AM1208" s="56">
        <f t="shared" si="1035"/>
        <v>3</v>
      </c>
      <c r="AN1208" s="54"/>
      <c r="AO1208" s="55"/>
      <c r="AP1208" s="55"/>
      <c r="AQ1208" s="55"/>
      <c r="AR1208" s="56">
        <f t="shared" si="1036"/>
        <v>0</v>
      </c>
      <c r="AS1208" s="54"/>
      <c r="AT1208" s="55">
        <v>1</v>
      </c>
      <c r="AU1208" s="55">
        <v>1</v>
      </c>
      <c r="AV1208" s="55"/>
      <c r="AW1208" s="56">
        <f t="shared" si="1037"/>
        <v>2</v>
      </c>
      <c r="AX1208" s="55"/>
      <c r="AY1208" s="55"/>
      <c r="AZ1208" s="55"/>
      <c r="BA1208" s="55"/>
      <c r="BB1208" s="56">
        <f t="shared" si="1038"/>
        <v>0</v>
      </c>
      <c r="BC1208" s="56">
        <f t="shared" si="1039"/>
        <v>9</v>
      </c>
      <c r="BD1208" s="298">
        <v>45502</v>
      </c>
      <c r="BE1208" s="277"/>
      <c r="BF1208" s="54"/>
      <c r="BG1208" s="55"/>
      <c r="BH1208" s="55"/>
      <c r="BI1208" s="55"/>
      <c r="BJ1208" s="56">
        <f t="shared" si="1019"/>
        <v>0</v>
      </c>
      <c r="BL1208" s="277"/>
      <c r="BM1208" s="54"/>
      <c r="BN1208" s="55"/>
      <c r="BO1208" s="55"/>
      <c r="BP1208" s="55"/>
      <c r="BQ1208" s="56">
        <f t="shared" si="1020"/>
        <v>0</v>
      </c>
    </row>
    <row r="1209" spans="1:69" x14ac:dyDescent="0.15">
      <c r="A1209" s="53" t="s">
        <v>98</v>
      </c>
      <c r="B1209" s="54"/>
      <c r="C1209" s="55"/>
      <c r="D1209" s="55"/>
      <c r="E1209" s="55"/>
      <c r="F1209" s="56">
        <f t="shared" si="1021"/>
        <v>0</v>
      </c>
      <c r="G1209" s="54"/>
      <c r="H1209" s="55">
        <v>1</v>
      </c>
      <c r="I1209" s="55">
        <v>1</v>
      </c>
      <c r="J1209" s="55"/>
      <c r="K1209" s="56">
        <f t="shared" si="1022"/>
        <v>2</v>
      </c>
      <c r="L1209" s="54"/>
      <c r="M1209" s="55">
        <v>2</v>
      </c>
      <c r="N1209" s="55"/>
      <c r="O1209" s="55"/>
      <c r="P1209" s="56">
        <f t="shared" si="1023"/>
        <v>2</v>
      </c>
      <c r="Q1209" s="54"/>
      <c r="R1209" s="55">
        <v>1</v>
      </c>
      <c r="S1209" s="55">
        <v>1</v>
      </c>
      <c r="T1209" s="55">
        <v>2</v>
      </c>
      <c r="U1209" s="56">
        <f t="shared" si="1024"/>
        <v>4</v>
      </c>
      <c r="V1209" s="55"/>
      <c r="W1209" s="55"/>
      <c r="X1209" s="55">
        <v>1</v>
      </c>
      <c r="Y1209" s="55"/>
      <c r="Z1209" s="56">
        <f t="shared" si="1025"/>
        <v>1</v>
      </c>
      <c r="AA1209" s="56">
        <f t="shared" si="1026"/>
        <v>9</v>
      </c>
      <c r="AB1209" s="299">
        <v>45489</v>
      </c>
      <c r="AC1209" s="276" t="s">
        <v>608</v>
      </c>
      <c r="AD1209" s="54"/>
      <c r="AE1209" s="55"/>
      <c r="AF1209" s="55">
        <v>1</v>
      </c>
      <c r="AG1209" s="55">
        <v>1</v>
      </c>
      <c r="AH1209" s="56">
        <f t="shared" si="1034"/>
        <v>2</v>
      </c>
      <c r="AI1209" s="54"/>
      <c r="AJ1209" s="55"/>
      <c r="AK1209" s="55"/>
      <c r="AL1209" s="55"/>
      <c r="AM1209" s="56">
        <f t="shared" si="1035"/>
        <v>0</v>
      </c>
      <c r="AN1209" s="54"/>
      <c r="AO1209" s="55"/>
      <c r="AP1209" s="55"/>
      <c r="AQ1209" s="55"/>
      <c r="AR1209" s="56">
        <f t="shared" si="1036"/>
        <v>0</v>
      </c>
      <c r="AS1209" s="54">
        <v>1</v>
      </c>
      <c r="AT1209" s="55"/>
      <c r="AU1209" s="55">
        <v>2</v>
      </c>
      <c r="AV1209" s="55"/>
      <c r="AW1209" s="56">
        <f t="shared" si="1037"/>
        <v>3</v>
      </c>
      <c r="AX1209" s="55"/>
      <c r="AY1209" s="55"/>
      <c r="AZ1209" s="55"/>
      <c r="BA1209" s="55"/>
      <c r="BB1209" s="56">
        <f t="shared" si="1038"/>
        <v>0</v>
      </c>
      <c r="BC1209" s="56">
        <f t="shared" si="1039"/>
        <v>5</v>
      </c>
      <c r="BD1209" s="298">
        <v>45502</v>
      </c>
      <c r="BE1209" s="276"/>
      <c r="BF1209" s="54"/>
      <c r="BG1209" s="55"/>
      <c r="BH1209" s="55"/>
      <c r="BI1209" s="55"/>
      <c r="BJ1209" s="56">
        <f t="shared" si="1019"/>
        <v>0</v>
      </c>
      <c r="BL1209" s="276"/>
      <c r="BM1209" s="54"/>
      <c r="BN1209" s="55"/>
      <c r="BO1209" s="55"/>
      <c r="BP1209" s="55"/>
      <c r="BQ1209" s="56">
        <f t="shared" si="1020"/>
        <v>0</v>
      </c>
    </row>
    <row r="1210" spans="1:69" x14ac:dyDescent="0.15">
      <c r="A1210" s="53" t="s">
        <v>98</v>
      </c>
      <c r="B1210" s="54"/>
      <c r="C1210" s="55"/>
      <c r="D1210" s="55"/>
      <c r="E1210" s="55"/>
      <c r="F1210" s="56">
        <f t="shared" si="1021"/>
        <v>0</v>
      </c>
      <c r="G1210" s="54"/>
      <c r="H1210" s="55"/>
      <c r="I1210" s="55">
        <v>2</v>
      </c>
      <c r="J1210" s="55"/>
      <c r="K1210" s="56">
        <f t="shared" si="1022"/>
        <v>2</v>
      </c>
      <c r="L1210" s="54"/>
      <c r="M1210" s="55"/>
      <c r="N1210" s="55"/>
      <c r="O1210" s="55"/>
      <c r="P1210" s="56">
        <f t="shared" si="1023"/>
        <v>0</v>
      </c>
      <c r="Q1210" s="54"/>
      <c r="R1210" s="55"/>
      <c r="S1210" s="55"/>
      <c r="T1210" s="55">
        <v>1</v>
      </c>
      <c r="U1210" s="56">
        <f t="shared" si="1024"/>
        <v>1</v>
      </c>
      <c r="V1210" s="55"/>
      <c r="W1210" s="55"/>
      <c r="X1210" s="55"/>
      <c r="Y1210" s="55">
        <v>1</v>
      </c>
      <c r="Z1210" s="56">
        <f t="shared" si="1025"/>
        <v>1</v>
      </c>
      <c r="AA1210" s="56">
        <f t="shared" si="1026"/>
        <v>4</v>
      </c>
      <c r="AB1210" s="299">
        <v>45490</v>
      </c>
      <c r="AC1210" s="276" t="s">
        <v>388</v>
      </c>
      <c r="AD1210" s="54"/>
      <c r="AE1210" s="55"/>
      <c r="AF1210" s="55"/>
      <c r="AG1210" s="55"/>
      <c r="AH1210" s="56">
        <f t="shared" si="1034"/>
        <v>0</v>
      </c>
      <c r="AI1210" s="54"/>
      <c r="AJ1210" s="55"/>
      <c r="AK1210" s="55"/>
      <c r="AL1210" s="55"/>
      <c r="AM1210" s="56">
        <f t="shared" si="1035"/>
        <v>0</v>
      </c>
      <c r="AN1210" s="54"/>
      <c r="AO1210" s="55"/>
      <c r="AP1210" s="55"/>
      <c r="AQ1210" s="55"/>
      <c r="AR1210" s="56">
        <f t="shared" si="1036"/>
        <v>0</v>
      </c>
      <c r="AS1210" s="54"/>
      <c r="AT1210" s="55"/>
      <c r="AU1210" s="55"/>
      <c r="AV1210" s="55">
        <v>2</v>
      </c>
      <c r="AW1210" s="56">
        <f t="shared" si="1037"/>
        <v>2</v>
      </c>
      <c r="AX1210" s="55"/>
      <c r="AY1210" s="55"/>
      <c r="AZ1210" s="55"/>
      <c r="BA1210" s="55"/>
      <c r="BB1210" s="56">
        <f t="shared" si="1038"/>
        <v>0</v>
      </c>
      <c r="BC1210" s="56">
        <f t="shared" si="1039"/>
        <v>2</v>
      </c>
      <c r="BD1210" s="298">
        <v>45509</v>
      </c>
      <c r="BE1210" s="276"/>
      <c r="BF1210" s="63"/>
      <c r="BG1210" s="63"/>
      <c r="BH1210" s="63"/>
      <c r="BI1210" s="167"/>
      <c r="BJ1210" s="64">
        <f t="shared" si="1019"/>
        <v>0</v>
      </c>
      <c r="BL1210" s="276"/>
      <c r="BM1210" s="63"/>
      <c r="BN1210" s="63"/>
      <c r="BO1210" s="63"/>
      <c r="BP1210" s="167"/>
      <c r="BQ1210" s="64">
        <f t="shared" si="1020"/>
        <v>0</v>
      </c>
    </row>
    <row r="1211" spans="1:69" x14ac:dyDescent="0.15">
      <c r="A1211" s="53" t="s">
        <v>98</v>
      </c>
      <c r="B1211" s="54"/>
      <c r="C1211" s="55"/>
      <c r="D1211" s="55"/>
      <c r="E1211" s="55"/>
      <c r="F1211" s="56">
        <f t="shared" si="1021"/>
        <v>0</v>
      </c>
      <c r="G1211" s="54"/>
      <c r="H1211" s="55"/>
      <c r="I1211" s="55"/>
      <c r="J1211" s="55"/>
      <c r="K1211" s="56">
        <f t="shared" si="1022"/>
        <v>0</v>
      </c>
      <c r="L1211" s="54">
        <v>1</v>
      </c>
      <c r="M1211" s="55">
        <v>1</v>
      </c>
      <c r="N1211" s="55"/>
      <c r="O1211" s="55"/>
      <c r="P1211" s="56">
        <f t="shared" si="1023"/>
        <v>2</v>
      </c>
      <c r="Q1211" s="54"/>
      <c r="R1211" s="55">
        <v>1</v>
      </c>
      <c r="S1211" s="55"/>
      <c r="T1211" s="55">
        <v>1</v>
      </c>
      <c r="U1211" s="56">
        <f t="shared" si="1024"/>
        <v>2</v>
      </c>
      <c r="V1211" s="55"/>
      <c r="W1211" s="55"/>
      <c r="X1211" s="55"/>
      <c r="Y1211" s="55">
        <v>2</v>
      </c>
      <c r="Z1211" s="56">
        <f t="shared" si="1025"/>
        <v>2</v>
      </c>
      <c r="AA1211" s="56">
        <f t="shared" si="1026"/>
        <v>6</v>
      </c>
      <c r="AB1211" s="299">
        <v>45491</v>
      </c>
      <c r="AC1211" s="276" t="s">
        <v>99</v>
      </c>
      <c r="AD1211" s="54"/>
      <c r="AE1211" s="55">
        <v>3</v>
      </c>
      <c r="AF1211" s="55"/>
      <c r="AG1211" s="55"/>
      <c r="AH1211" s="56">
        <f t="shared" si="1034"/>
        <v>3</v>
      </c>
      <c r="AI1211" s="54"/>
      <c r="AJ1211" s="55"/>
      <c r="AK1211" s="55"/>
      <c r="AL1211" s="55"/>
      <c r="AM1211" s="56">
        <f t="shared" ref="AM1211" si="1056">SUM(AI1211:AL1211)</f>
        <v>0</v>
      </c>
      <c r="AN1211" s="54"/>
      <c r="AO1211" s="55"/>
      <c r="AP1211" s="55">
        <v>3</v>
      </c>
      <c r="AQ1211" s="55">
        <v>3</v>
      </c>
      <c r="AR1211" s="56">
        <f t="shared" ref="AR1211" si="1057">SUM(AN1211:AQ1211)</f>
        <v>6</v>
      </c>
      <c r="AS1211" s="54"/>
      <c r="AT1211" s="55">
        <v>3</v>
      </c>
      <c r="AU1211" s="55"/>
      <c r="AV1211" s="55">
        <v>3</v>
      </c>
      <c r="AW1211" s="56">
        <f t="shared" ref="AW1211" si="1058">SUM(AS1211:AV1211)</f>
        <v>6</v>
      </c>
      <c r="AX1211" s="55"/>
      <c r="AY1211" s="55"/>
      <c r="AZ1211" s="55"/>
      <c r="BA1211" s="55"/>
      <c r="BB1211" s="56">
        <f t="shared" ref="BB1211" si="1059">SUM(AX1211:BA1211)</f>
        <v>0</v>
      </c>
      <c r="BC1211" s="56">
        <f t="shared" si="1039"/>
        <v>15</v>
      </c>
      <c r="BD1211" s="298">
        <v>45498</v>
      </c>
      <c r="BE1211" s="277"/>
      <c r="BF1211" s="54"/>
      <c r="BG1211" s="55"/>
      <c r="BH1211" s="55"/>
      <c r="BI1211" s="55"/>
      <c r="BJ1211" s="56">
        <f t="shared" si="1019"/>
        <v>0</v>
      </c>
      <c r="BL1211" s="277"/>
      <c r="BM1211" s="54"/>
      <c r="BN1211" s="55"/>
      <c r="BO1211" s="55"/>
      <c r="BP1211" s="55"/>
      <c r="BQ1211" s="56">
        <f t="shared" si="1020"/>
        <v>0</v>
      </c>
    </row>
    <row r="1212" spans="1:69" x14ac:dyDescent="0.15">
      <c r="A1212" s="53" t="s">
        <v>98</v>
      </c>
      <c r="B1212" s="54"/>
      <c r="C1212" s="55"/>
      <c r="D1212" s="55"/>
      <c r="E1212" s="55"/>
      <c r="F1212" s="56">
        <f t="shared" si="1021"/>
        <v>0</v>
      </c>
      <c r="G1212" s="54"/>
      <c r="H1212" s="55"/>
      <c r="I1212" s="55"/>
      <c r="J1212" s="55"/>
      <c r="K1212" s="56">
        <f t="shared" si="1022"/>
        <v>0</v>
      </c>
      <c r="L1212" s="54"/>
      <c r="M1212" s="55"/>
      <c r="N1212" s="55"/>
      <c r="O1212" s="55"/>
      <c r="P1212" s="56">
        <f t="shared" si="1023"/>
        <v>0</v>
      </c>
      <c r="Q1212" s="54"/>
      <c r="R1212" s="55"/>
      <c r="S1212" s="55">
        <v>1</v>
      </c>
      <c r="T1212" s="55"/>
      <c r="U1212" s="56">
        <f t="shared" si="1024"/>
        <v>1</v>
      </c>
      <c r="V1212" s="55"/>
      <c r="W1212" s="55"/>
      <c r="X1212" s="55"/>
      <c r="Y1212" s="55"/>
      <c r="Z1212" s="56">
        <f t="shared" si="1025"/>
        <v>0</v>
      </c>
      <c r="AA1212" s="56">
        <f t="shared" si="1026"/>
        <v>1</v>
      </c>
      <c r="AB1212" s="299">
        <v>45492</v>
      </c>
      <c r="AC1212" s="276" t="s">
        <v>99</v>
      </c>
      <c r="AD1212" s="54">
        <v>2</v>
      </c>
      <c r="AE1212" s="55"/>
      <c r="AF1212" s="55"/>
      <c r="AG1212" s="55"/>
      <c r="AH1212" s="56">
        <f t="shared" si="1034"/>
        <v>2</v>
      </c>
      <c r="AI1212" s="54"/>
      <c r="AJ1212" s="55"/>
      <c r="AK1212" s="55"/>
      <c r="AL1212" s="55"/>
      <c r="AM1212" s="56">
        <f t="shared" ref="AM1212" si="1060">SUM(AI1212:AL1212)</f>
        <v>0</v>
      </c>
      <c r="AN1212" s="54"/>
      <c r="AO1212" s="55"/>
      <c r="AP1212" s="55"/>
      <c r="AQ1212" s="55"/>
      <c r="AR1212" s="56">
        <f t="shared" ref="AR1212" si="1061">SUM(AN1212:AQ1212)</f>
        <v>0</v>
      </c>
      <c r="AS1212" s="54"/>
      <c r="AT1212" s="55"/>
      <c r="AU1212" s="55"/>
      <c r="AV1212" s="55"/>
      <c r="AW1212" s="56">
        <f t="shared" ref="AW1212" si="1062">SUM(AS1212:AV1212)</f>
        <v>0</v>
      </c>
      <c r="AX1212" s="55">
        <v>2</v>
      </c>
      <c r="AY1212" s="55"/>
      <c r="AZ1212" s="55">
        <v>2</v>
      </c>
      <c r="BA1212" s="55">
        <v>2</v>
      </c>
      <c r="BB1212" s="56">
        <f t="shared" ref="BB1212" si="1063">SUM(AX1212:BA1212)</f>
        <v>6</v>
      </c>
      <c r="BC1212" s="56">
        <f t="shared" si="1039"/>
        <v>8</v>
      </c>
      <c r="BD1212" s="298">
        <v>45502</v>
      </c>
      <c r="BE1212" s="276"/>
      <c r="BF1212" s="54"/>
      <c r="BG1212" s="55"/>
      <c r="BH1212" s="55"/>
      <c r="BI1212" s="55"/>
      <c r="BJ1212" s="56">
        <f t="shared" si="1019"/>
        <v>0</v>
      </c>
      <c r="BL1212" s="276"/>
      <c r="BM1212" s="54"/>
      <c r="BN1212" s="55"/>
      <c r="BO1212" s="55"/>
      <c r="BP1212" s="55"/>
      <c r="BQ1212" s="56">
        <f t="shared" si="1020"/>
        <v>0</v>
      </c>
    </row>
    <row r="1213" spans="1:69" x14ac:dyDescent="0.15">
      <c r="A1213" s="53" t="s">
        <v>98</v>
      </c>
      <c r="B1213" s="54"/>
      <c r="C1213" s="55">
        <v>1</v>
      </c>
      <c r="D1213" s="55"/>
      <c r="E1213" s="55"/>
      <c r="F1213" s="56">
        <f t="shared" si="1021"/>
        <v>1</v>
      </c>
      <c r="G1213" s="54"/>
      <c r="H1213" s="55"/>
      <c r="I1213" s="55"/>
      <c r="J1213" s="55"/>
      <c r="K1213" s="56">
        <f t="shared" si="1022"/>
        <v>0</v>
      </c>
      <c r="L1213" s="54"/>
      <c r="M1213" s="55"/>
      <c r="N1213" s="55"/>
      <c r="O1213" s="55"/>
      <c r="P1213" s="56">
        <f t="shared" si="1023"/>
        <v>0</v>
      </c>
      <c r="Q1213" s="54"/>
      <c r="R1213" s="55"/>
      <c r="S1213" s="55"/>
      <c r="T1213" s="55">
        <v>1</v>
      </c>
      <c r="U1213" s="56">
        <f t="shared" si="1024"/>
        <v>1</v>
      </c>
      <c r="V1213" s="55"/>
      <c r="W1213" s="55"/>
      <c r="X1213" s="55"/>
      <c r="Y1213" s="55"/>
      <c r="Z1213" s="56">
        <f t="shared" si="1025"/>
        <v>0</v>
      </c>
      <c r="AA1213" s="56">
        <f t="shared" si="1026"/>
        <v>2</v>
      </c>
      <c r="AB1213" s="299">
        <v>45493</v>
      </c>
      <c r="AC1213" s="276"/>
      <c r="AD1213" s="54"/>
      <c r="AE1213" s="55"/>
      <c r="AF1213" s="55"/>
      <c r="AG1213" s="55"/>
      <c r="AH1213" s="56">
        <f t="shared" si="1010"/>
        <v>0</v>
      </c>
      <c r="AI1213" s="54"/>
      <c r="AJ1213" s="55"/>
      <c r="AK1213" s="55"/>
      <c r="AL1213" s="55"/>
      <c r="AM1213" s="56">
        <f t="shared" si="1011"/>
        <v>0</v>
      </c>
      <c r="AN1213" s="54"/>
      <c r="AO1213" s="55"/>
      <c r="AP1213" s="55"/>
      <c r="AQ1213" s="55"/>
      <c r="AR1213" s="56">
        <f t="shared" si="1012"/>
        <v>0</v>
      </c>
      <c r="AS1213" s="54"/>
      <c r="AT1213" s="55"/>
      <c r="AU1213" s="55"/>
      <c r="AV1213" s="55"/>
      <c r="AW1213" s="56">
        <f t="shared" si="1013"/>
        <v>0</v>
      </c>
      <c r="AX1213" s="55"/>
      <c r="AY1213" s="55"/>
      <c r="AZ1213" s="55"/>
      <c r="BA1213" s="55"/>
      <c r="BB1213" s="56">
        <f t="shared" si="1014"/>
        <v>0</v>
      </c>
      <c r="BC1213" s="56">
        <f t="shared" ref="BC1213:BC1214" si="1064">AH1213+AM1213+AR1213+AW1213+BB1213</f>
        <v>0</v>
      </c>
      <c r="BD1213" s="300"/>
      <c r="BE1213" s="277"/>
      <c r="BF1213" s="54"/>
      <c r="BG1213" s="55"/>
      <c r="BH1213" s="55"/>
      <c r="BI1213" s="55"/>
      <c r="BJ1213" s="56">
        <f t="shared" si="1019"/>
        <v>0</v>
      </c>
      <c r="BL1213" s="277"/>
      <c r="BM1213" s="54"/>
      <c r="BN1213" s="55"/>
      <c r="BO1213" s="55"/>
      <c r="BP1213" s="55"/>
      <c r="BQ1213" s="56">
        <f t="shared" si="1020"/>
        <v>0</v>
      </c>
    </row>
    <row r="1214" spans="1:69" x14ac:dyDescent="0.15">
      <c r="A1214" s="53" t="s">
        <v>98</v>
      </c>
      <c r="B1214" s="54"/>
      <c r="C1214" s="55"/>
      <c r="D1214" s="55"/>
      <c r="E1214" s="55">
        <v>1</v>
      </c>
      <c r="F1214" s="56">
        <f t="shared" si="1021"/>
        <v>1</v>
      </c>
      <c r="G1214" s="54"/>
      <c r="H1214" s="55"/>
      <c r="I1214" s="55"/>
      <c r="J1214" s="55"/>
      <c r="K1214" s="56">
        <f t="shared" si="1022"/>
        <v>0</v>
      </c>
      <c r="L1214" s="54"/>
      <c r="M1214" s="55"/>
      <c r="N1214" s="55"/>
      <c r="O1214" s="55">
        <v>1</v>
      </c>
      <c r="P1214" s="56">
        <f t="shared" si="1023"/>
        <v>1</v>
      </c>
      <c r="Q1214" s="54"/>
      <c r="R1214" s="55">
        <f>1+1</f>
        <v>2</v>
      </c>
      <c r="S1214" s="55"/>
      <c r="T1214" s="55">
        <v>1</v>
      </c>
      <c r="U1214" s="56">
        <f t="shared" si="1024"/>
        <v>3</v>
      </c>
      <c r="V1214" s="55"/>
      <c r="W1214" s="55"/>
      <c r="X1214" s="55">
        <v>1</v>
      </c>
      <c r="Y1214" s="55"/>
      <c r="Z1214" s="56">
        <f t="shared" si="1025"/>
        <v>1</v>
      </c>
      <c r="AA1214" s="56">
        <f t="shared" si="1026"/>
        <v>6</v>
      </c>
      <c r="AB1214" s="299">
        <v>45495</v>
      </c>
      <c r="AC1214" s="276"/>
      <c r="AD1214" s="54"/>
      <c r="AE1214" s="55"/>
      <c r="AF1214" s="55"/>
      <c r="AG1214" s="55"/>
      <c r="AH1214" s="56">
        <f t="shared" si="1010"/>
        <v>0</v>
      </c>
      <c r="AI1214" s="54"/>
      <c r="AJ1214" s="55"/>
      <c r="AK1214" s="55"/>
      <c r="AL1214" s="55"/>
      <c r="AM1214" s="56">
        <f t="shared" si="1011"/>
        <v>0</v>
      </c>
      <c r="AN1214" s="54"/>
      <c r="AO1214" s="55"/>
      <c r="AP1214" s="55"/>
      <c r="AQ1214" s="55"/>
      <c r="AR1214" s="56">
        <f t="shared" si="1012"/>
        <v>0</v>
      </c>
      <c r="AS1214" s="54"/>
      <c r="AT1214" s="55"/>
      <c r="AU1214" s="55"/>
      <c r="AV1214" s="55"/>
      <c r="AW1214" s="56">
        <f t="shared" si="1013"/>
        <v>0</v>
      </c>
      <c r="AX1214" s="55"/>
      <c r="AY1214" s="55"/>
      <c r="AZ1214" s="55"/>
      <c r="BA1214" s="55"/>
      <c r="BB1214" s="56">
        <f t="shared" si="1014"/>
        <v>0</v>
      </c>
      <c r="BC1214" s="56">
        <f t="shared" si="1064"/>
        <v>0</v>
      </c>
      <c r="BD1214" s="300"/>
      <c r="BE1214" s="268"/>
      <c r="BF1214" s="62"/>
      <c r="BG1214" s="63"/>
      <c r="BH1214" s="63"/>
      <c r="BI1214" s="63"/>
      <c r="BJ1214" s="56">
        <f t="shared" si="1019"/>
        <v>0</v>
      </c>
      <c r="BL1214" s="268"/>
      <c r="BM1214" s="62"/>
      <c r="BN1214" s="63"/>
      <c r="BO1214" s="63"/>
      <c r="BP1214" s="63"/>
      <c r="BQ1214" s="56">
        <f t="shared" si="1020"/>
        <v>0</v>
      </c>
    </row>
    <row r="1215" spans="1:69" x14ac:dyDescent="0.15">
      <c r="A1215" s="53" t="s">
        <v>98</v>
      </c>
      <c r="B1215" s="54"/>
      <c r="C1215" s="55"/>
      <c r="D1215" s="55"/>
      <c r="E1215" s="55"/>
      <c r="F1215" s="56">
        <f t="shared" si="1021"/>
        <v>0</v>
      </c>
      <c r="G1215" s="54"/>
      <c r="H1215" s="55"/>
      <c r="I1215" s="55"/>
      <c r="J1215" s="55">
        <v>1</v>
      </c>
      <c r="K1215" s="56">
        <f t="shared" si="1022"/>
        <v>1</v>
      </c>
      <c r="L1215" s="54"/>
      <c r="M1215" s="55"/>
      <c r="N1215" s="55"/>
      <c r="O1215" s="55"/>
      <c r="P1215" s="56">
        <f t="shared" si="1023"/>
        <v>0</v>
      </c>
      <c r="Q1215" s="54"/>
      <c r="R1215" s="55"/>
      <c r="S1215" s="55"/>
      <c r="T1215" s="55">
        <v>1</v>
      </c>
      <c r="U1215" s="56">
        <f t="shared" si="1024"/>
        <v>1</v>
      </c>
      <c r="V1215" s="55"/>
      <c r="W1215" s="55"/>
      <c r="X1215" s="55"/>
      <c r="Y1215" s="55"/>
      <c r="Z1215" s="56">
        <f t="shared" si="1025"/>
        <v>0</v>
      </c>
      <c r="AA1215" s="56">
        <f t="shared" si="1026"/>
        <v>2</v>
      </c>
      <c r="AB1215" s="299">
        <v>45496</v>
      </c>
      <c r="AC1215" s="276"/>
      <c r="AD1215" s="54"/>
      <c r="AE1215" s="55"/>
      <c r="AF1215" s="55"/>
      <c r="AG1215" s="55"/>
      <c r="AH1215" s="56">
        <f t="shared" ref="AH1215:AH1218" si="1065">SUM(AD1215:AG1215)</f>
        <v>0</v>
      </c>
      <c r="AI1215" s="54"/>
      <c r="AJ1215" s="55"/>
      <c r="AK1215" s="55"/>
      <c r="AL1215" s="55"/>
      <c r="AM1215" s="56">
        <f t="shared" ref="AM1215:AM1218" si="1066">SUM(AI1215:AL1215)</f>
        <v>0</v>
      </c>
      <c r="AN1215" s="54"/>
      <c r="AO1215" s="55"/>
      <c r="AP1215" s="55"/>
      <c r="AQ1215" s="55"/>
      <c r="AR1215" s="56">
        <f t="shared" ref="AR1215:AR1218" si="1067">SUM(AN1215:AQ1215)</f>
        <v>0</v>
      </c>
      <c r="AS1215" s="54"/>
      <c r="AT1215" s="55"/>
      <c r="AU1215" s="55"/>
      <c r="AV1215" s="55"/>
      <c r="AW1215" s="56">
        <f t="shared" ref="AW1215:AW1218" si="1068">SUM(AS1215:AV1215)</f>
        <v>0</v>
      </c>
      <c r="AX1215" s="55"/>
      <c r="AY1215" s="55"/>
      <c r="AZ1215" s="55"/>
      <c r="BA1215" s="55"/>
      <c r="BB1215" s="56">
        <f t="shared" ref="BB1215:BB1218" si="1069">SUM(AX1215:BA1215)</f>
        <v>0</v>
      </c>
      <c r="BC1215" s="56">
        <f t="shared" ref="BC1215:BC1218" si="1070">AH1215+AM1215+AR1215+AW1215+BB1215</f>
        <v>0</v>
      </c>
      <c r="BE1215" s="268"/>
      <c r="BF1215" s="54"/>
      <c r="BG1215" s="55"/>
      <c r="BH1215" s="55"/>
      <c r="BI1215" s="55"/>
      <c r="BJ1215" s="56">
        <f t="shared" si="1019"/>
        <v>0</v>
      </c>
      <c r="BL1215" s="268"/>
      <c r="BM1215" s="54"/>
      <c r="BN1215" s="55"/>
      <c r="BO1215" s="55"/>
      <c r="BP1215" s="55"/>
      <c r="BQ1215" s="56">
        <f t="shared" si="1020"/>
        <v>0</v>
      </c>
    </row>
    <row r="1216" spans="1:69" x14ac:dyDescent="0.15">
      <c r="A1216" s="53" t="s">
        <v>98</v>
      </c>
      <c r="B1216" s="54"/>
      <c r="C1216" s="55"/>
      <c r="D1216" s="55"/>
      <c r="E1216" s="55"/>
      <c r="F1216" s="56">
        <f t="shared" si="1021"/>
        <v>0</v>
      </c>
      <c r="G1216" s="54">
        <v>1</v>
      </c>
      <c r="H1216" s="55"/>
      <c r="I1216" s="55"/>
      <c r="J1216" s="55"/>
      <c r="K1216" s="56">
        <f t="shared" si="1022"/>
        <v>1</v>
      </c>
      <c r="L1216" s="54"/>
      <c r="M1216" s="55"/>
      <c r="N1216" s="55">
        <v>1</v>
      </c>
      <c r="O1216" s="55"/>
      <c r="P1216" s="56">
        <f t="shared" si="1023"/>
        <v>1</v>
      </c>
      <c r="Q1216" s="54"/>
      <c r="R1216" s="55">
        <v>1</v>
      </c>
      <c r="S1216" s="55"/>
      <c r="T1216" s="55"/>
      <c r="U1216" s="56">
        <f t="shared" si="1024"/>
        <v>1</v>
      </c>
      <c r="V1216" s="55"/>
      <c r="W1216" s="55"/>
      <c r="X1216" s="55"/>
      <c r="Y1216" s="55"/>
      <c r="Z1216" s="56">
        <f t="shared" si="1025"/>
        <v>0</v>
      </c>
      <c r="AA1216" s="56">
        <f t="shared" si="1026"/>
        <v>3</v>
      </c>
      <c r="AB1216" s="299">
        <v>45497</v>
      </c>
      <c r="AC1216" s="276"/>
      <c r="AD1216" s="54"/>
      <c r="AE1216" s="55"/>
      <c r="AF1216" s="55"/>
      <c r="AG1216" s="55"/>
      <c r="AH1216" s="56">
        <f t="shared" si="1065"/>
        <v>0</v>
      </c>
      <c r="AI1216" s="54"/>
      <c r="AJ1216" s="55"/>
      <c r="AK1216" s="55"/>
      <c r="AL1216" s="55"/>
      <c r="AM1216" s="56">
        <f t="shared" si="1066"/>
        <v>0</v>
      </c>
      <c r="AN1216" s="54"/>
      <c r="AO1216" s="55"/>
      <c r="AP1216" s="55"/>
      <c r="AQ1216" s="55"/>
      <c r="AR1216" s="56">
        <f t="shared" si="1067"/>
        <v>0</v>
      </c>
      <c r="AS1216" s="54"/>
      <c r="AT1216" s="55"/>
      <c r="AU1216" s="55"/>
      <c r="AV1216" s="55"/>
      <c r="AW1216" s="56">
        <f t="shared" si="1068"/>
        <v>0</v>
      </c>
      <c r="AX1216" s="55"/>
      <c r="AY1216" s="55"/>
      <c r="AZ1216" s="55"/>
      <c r="BA1216" s="55"/>
      <c r="BB1216" s="56">
        <f t="shared" si="1069"/>
        <v>0</v>
      </c>
      <c r="BC1216" s="56">
        <f t="shared" si="1070"/>
        <v>0</v>
      </c>
      <c r="BE1216" s="268"/>
      <c r="BF1216" s="62"/>
      <c r="BG1216" s="63"/>
      <c r="BH1216" s="63"/>
      <c r="BI1216" s="63"/>
      <c r="BJ1216" s="56">
        <f t="shared" si="1019"/>
        <v>0</v>
      </c>
      <c r="BL1216" s="268"/>
      <c r="BM1216" s="62"/>
      <c r="BN1216" s="63"/>
      <c r="BO1216" s="63"/>
      <c r="BP1216" s="63"/>
      <c r="BQ1216" s="56">
        <f t="shared" si="1020"/>
        <v>0</v>
      </c>
    </row>
    <row r="1217" spans="1:69" x14ac:dyDescent="0.15">
      <c r="A1217" s="53" t="s">
        <v>98</v>
      </c>
      <c r="B1217" s="54">
        <v>1</v>
      </c>
      <c r="C1217" s="55"/>
      <c r="D1217" s="55"/>
      <c r="E1217" s="55"/>
      <c r="F1217" s="56">
        <f t="shared" ref="F1217:F1220" si="1071">SUM(B1217:E1217)</f>
        <v>1</v>
      </c>
      <c r="G1217" s="54"/>
      <c r="H1217" s="55"/>
      <c r="I1217" s="55"/>
      <c r="J1217" s="55"/>
      <c r="K1217" s="56">
        <f t="shared" ref="K1217:K1220" si="1072">SUM(G1217:J1217)</f>
        <v>0</v>
      </c>
      <c r="L1217" s="54"/>
      <c r="M1217" s="55"/>
      <c r="N1217" s="55"/>
      <c r="O1217" s="55"/>
      <c r="P1217" s="56">
        <f t="shared" ref="P1217:P1220" si="1073">SUM(L1217:O1217)</f>
        <v>0</v>
      </c>
      <c r="Q1217" s="54">
        <v>1</v>
      </c>
      <c r="R1217" s="55">
        <v>1</v>
      </c>
      <c r="S1217" s="55"/>
      <c r="T1217" s="55"/>
      <c r="U1217" s="56">
        <f t="shared" ref="U1217:U1220" si="1074">SUM(Q1217:T1217)</f>
        <v>2</v>
      </c>
      <c r="V1217" s="55"/>
      <c r="W1217" s="55"/>
      <c r="X1217" s="55">
        <v>1</v>
      </c>
      <c r="Y1217" s="55">
        <v>1</v>
      </c>
      <c r="Z1217" s="56">
        <f t="shared" si="1002"/>
        <v>2</v>
      </c>
      <c r="AA1217" s="56">
        <f t="shared" ref="AA1217" si="1075">F1217+K1217+P1217+U1217+Z1217</f>
        <v>5</v>
      </c>
      <c r="AB1217" s="299">
        <v>45498</v>
      </c>
      <c r="AC1217" s="276"/>
      <c r="AD1217" s="54"/>
      <c r="AE1217" s="55"/>
      <c r="AF1217" s="55"/>
      <c r="AG1217" s="55"/>
      <c r="AH1217" s="56">
        <f t="shared" si="1065"/>
        <v>0</v>
      </c>
      <c r="AI1217" s="54"/>
      <c r="AJ1217" s="55"/>
      <c r="AK1217" s="55"/>
      <c r="AL1217" s="55"/>
      <c r="AM1217" s="56">
        <f t="shared" si="1066"/>
        <v>0</v>
      </c>
      <c r="AN1217" s="54"/>
      <c r="AO1217" s="55"/>
      <c r="AP1217" s="55"/>
      <c r="AQ1217" s="55"/>
      <c r="AR1217" s="56">
        <f t="shared" si="1067"/>
        <v>0</v>
      </c>
      <c r="AS1217" s="54"/>
      <c r="AT1217" s="55"/>
      <c r="AU1217" s="55"/>
      <c r="AV1217" s="55"/>
      <c r="AW1217" s="56">
        <f t="shared" si="1068"/>
        <v>0</v>
      </c>
      <c r="AX1217" s="55"/>
      <c r="AY1217" s="55"/>
      <c r="AZ1217" s="55"/>
      <c r="BA1217" s="55"/>
      <c r="BB1217" s="56">
        <f t="shared" si="1069"/>
        <v>0</v>
      </c>
      <c r="BC1217" s="56">
        <f t="shared" si="1070"/>
        <v>0</v>
      </c>
      <c r="BE1217" s="277"/>
      <c r="BF1217" s="54"/>
      <c r="BG1217" s="55"/>
      <c r="BH1217" s="55"/>
      <c r="BI1217" s="55"/>
      <c r="BJ1217" s="56">
        <f t="shared" si="1019"/>
        <v>0</v>
      </c>
      <c r="BL1217" s="277"/>
      <c r="BM1217" s="54"/>
      <c r="BN1217" s="55"/>
      <c r="BO1217" s="55"/>
      <c r="BP1217" s="55"/>
      <c r="BQ1217" s="56">
        <f t="shared" si="1020"/>
        <v>0</v>
      </c>
    </row>
    <row r="1218" spans="1:69" ht="14.25" thickBot="1" x14ac:dyDescent="0.2">
      <c r="A1218" s="53" t="s">
        <v>98</v>
      </c>
      <c r="B1218" s="33">
        <v>1</v>
      </c>
      <c r="C1218" s="34"/>
      <c r="D1218" s="34"/>
      <c r="E1218" s="34"/>
      <c r="F1218" s="30">
        <f t="shared" si="1071"/>
        <v>1</v>
      </c>
      <c r="G1218" s="33"/>
      <c r="H1218" s="34"/>
      <c r="I1218" s="34"/>
      <c r="J1218" s="34"/>
      <c r="K1218" s="30">
        <f t="shared" si="1072"/>
        <v>0</v>
      </c>
      <c r="L1218" s="33"/>
      <c r="M1218" s="34"/>
      <c r="N1218" s="34"/>
      <c r="O1218" s="34"/>
      <c r="P1218" s="30">
        <f t="shared" si="1073"/>
        <v>0</v>
      </c>
      <c r="Q1218" s="33"/>
      <c r="R1218" s="34"/>
      <c r="S1218" s="34"/>
      <c r="T1218" s="34"/>
      <c r="U1218" s="30">
        <f t="shared" si="1074"/>
        <v>0</v>
      </c>
      <c r="V1218" s="34">
        <v>1</v>
      </c>
      <c r="W1218" s="34"/>
      <c r="X1218" s="34"/>
      <c r="Y1218" s="34"/>
      <c r="Z1218" s="30">
        <f t="shared" si="1002"/>
        <v>1</v>
      </c>
      <c r="AA1218" s="56">
        <f>F1218+K1218+P1218+U1218+Z1218</f>
        <v>2</v>
      </c>
      <c r="AB1218" s="299">
        <v>45499</v>
      </c>
      <c r="AC1218" s="276"/>
      <c r="AD1218" s="54"/>
      <c r="AE1218" s="55"/>
      <c r="AF1218" s="55"/>
      <c r="AG1218" s="55"/>
      <c r="AH1218" s="56">
        <f t="shared" si="1065"/>
        <v>0</v>
      </c>
      <c r="AI1218" s="54"/>
      <c r="AJ1218" s="55"/>
      <c r="AK1218" s="55"/>
      <c r="AL1218" s="55"/>
      <c r="AM1218" s="56">
        <f t="shared" si="1066"/>
        <v>0</v>
      </c>
      <c r="AN1218" s="54"/>
      <c r="AO1218" s="55"/>
      <c r="AP1218" s="55"/>
      <c r="AQ1218" s="55"/>
      <c r="AR1218" s="56">
        <f t="shared" si="1067"/>
        <v>0</v>
      </c>
      <c r="AS1218" s="54"/>
      <c r="AT1218" s="55"/>
      <c r="AU1218" s="55"/>
      <c r="AV1218" s="55"/>
      <c r="AW1218" s="56">
        <f t="shared" si="1068"/>
        <v>0</v>
      </c>
      <c r="AX1218" s="55"/>
      <c r="AY1218" s="55"/>
      <c r="AZ1218" s="55"/>
      <c r="BA1218" s="55"/>
      <c r="BB1218" s="56">
        <f t="shared" si="1069"/>
        <v>0</v>
      </c>
      <c r="BC1218" s="56">
        <f t="shared" si="1070"/>
        <v>0</v>
      </c>
      <c r="BE1218" s="282"/>
      <c r="BF1218" s="33"/>
      <c r="BG1218" s="34"/>
      <c r="BH1218" s="34"/>
      <c r="BI1218" s="34"/>
      <c r="BJ1218" s="30">
        <f t="shared" si="1019"/>
        <v>0</v>
      </c>
      <c r="BL1218" s="282"/>
      <c r="BM1218" s="33"/>
      <c r="BN1218" s="34"/>
      <c r="BO1218" s="34"/>
      <c r="BP1218" s="34"/>
      <c r="BQ1218" s="30">
        <f t="shared" si="1020"/>
        <v>0</v>
      </c>
    </row>
    <row r="1219" spans="1:69" ht="15" thickBot="1" x14ac:dyDescent="0.2">
      <c r="A1219" s="9" t="s">
        <v>15</v>
      </c>
      <c r="B1219" s="36">
        <f>SUM(B1193:B1218)</f>
        <v>5</v>
      </c>
      <c r="C1219" s="37">
        <f>SUM(C1193:C1218)</f>
        <v>2</v>
      </c>
      <c r="D1219" s="37">
        <f>SUM(D1193:D1218)</f>
        <v>2</v>
      </c>
      <c r="E1219" s="38">
        <f>SUM(E1193:E1218)</f>
        <v>2</v>
      </c>
      <c r="F1219" s="25">
        <f t="shared" si="1071"/>
        <v>11</v>
      </c>
      <c r="G1219" s="36">
        <f>SUM(G1193:G1218)</f>
        <v>4</v>
      </c>
      <c r="H1219" s="37">
        <f>SUM(H1193:H1218)</f>
        <v>4</v>
      </c>
      <c r="I1219" s="37">
        <f>SUM(I1193:I1218)</f>
        <v>4</v>
      </c>
      <c r="J1219" s="38">
        <f>SUM(J1193:J1218)</f>
        <v>1</v>
      </c>
      <c r="K1219" s="25">
        <f t="shared" si="1072"/>
        <v>13</v>
      </c>
      <c r="L1219" s="36">
        <f>SUM(L1193:L1218)</f>
        <v>4</v>
      </c>
      <c r="M1219" s="37">
        <f>SUM(M1193:M1218)</f>
        <v>5</v>
      </c>
      <c r="N1219" s="37">
        <f>SUM(N1193:N1218)</f>
        <v>2</v>
      </c>
      <c r="O1219" s="38">
        <f>SUM(O1193:O1218)</f>
        <v>3</v>
      </c>
      <c r="P1219" s="25">
        <f t="shared" si="1073"/>
        <v>14</v>
      </c>
      <c r="Q1219" s="36">
        <f>SUM(Q1193:Q1218)</f>
        <v>1</v>
      </c>
      <c r="R1219" s="37">
        <f>SUM(R1193:R1218)</f>
        <v>8</v>
      </c>
      <c r="S1219" s="37">
        <f>SUM(S1193:S1218)</f>
        <v>5</v>
      </c>
      <c r="T1219" s="38">
        <f>SUM(T1193:T1218)</f>
        <v>12</v>
      </c>
      <c r="U1219" s="25">
        <f t="shared" si="1074"/>
        <v>26</v>
      </c>
      <c r="V1219" s="322">
        <f>SUM(V1193:V1218)</f>
        <v>4</v>
      </c>
      <c r="W1219" s="37">
        <f>SUM(W1193:W1218)</f>
        <v>4</v>
      </c>
      <c r="X1219" s="37">
        <f>SUM(X1193:X1218)</f>
        <v>5</v>
      </c>
      <c r="Y1219" s="38">
        <f>SUM(Y1193:Y1218)</f>
        <v>9</v>
      </c>
      <c r="Z1219" s="25">
        <f t="shared" si="1002"/>
        <v>22</v>
      </c>
      <c r="AA1219" s="161">
        <f>F1219+K1219+P1219+U1219+Z1219</f>
        <v>86</v>
      </c>
      <c r="AC1219" s="278" t="s">
        <v>15</v>
      </c>
      <c r="AD1219" s="36">
        <f>SUM(AD1193:AD1218)</f>
        <v>9</v>
      </c>
      <c r="AE1219" s="37">
        <f>SUM(AE1193:AE1218)</f>
        <v>7</v>
      </c>
      <c r="AF1219" s="37">
        <f>SUM(AF1193:AF1218)</f>
        <v>5</v>
      </c>
      <c r="AG1219" s="38">
        <f>SUM(AG1193:AG1218)</f>
        <v>3</v>
      </c>
      <c r="AH1219" s="25">
        <f t="shared" ref="AH1219:AH1220" si="1076">SUM(AD1219:AG1219)</f>
        <v>24</v>
      </c>
      <c r="AI1219" s="36">
        <f>SUM(AI1193:AI1218)</f>
        <v>13</v>
      </c>
      <c r="AJ1219" s="37">
        <f>SUM(AJ1193:AJ1218)</f>
        <v>19</v>
      </c>
      <c r="AK1219" s="37">
        <f>SUM(AK1193:AK1218)</f>
        <v>9</v>
      </c>
      <c r="AL1219" s="38">
        <f>SUM(AL1193:AL1218)</f>
        <v>6</v>
      </c>
      <c r="AM1219" s="25">
        <f t="shared" ref="AM1219:AM1220" si="1077">SUM(AI1219:AL1219)</f>
        <v>47</v>
      </c>
      <c r="AN1219" s="36">
        <f>SUM(AN1193:AN1218)</f>
        <v>5</v>
      </c>
      <c r="AO1219" s="37">
        <f>SUM(AO1193:AO1218)</f>
        <v>9</v>
      </c>
      <c r="AP1219" s="37">
        <f>SUM(AP1193:AP1218)</f>
        <v>5</v>
      </c>
      <c r="AQ1219" s="38">
        <f>SUM(AQ1193:AQ1218)</f>
        <v>5</v>
      </c>
      <c r="AR1219" s="25">
        <f t="shared" si="1012"/>
        <v>24</v>
      </c>
      <c r="AS1219" s="36">
        <f>SUM(AS1193:AS1218)</f>
        <v>5</v>
      </c>
      <c r="AT1219" s="37">
        <f>SUM(AT1193:AT1218)</f>
        <v>16</v>
      </c>
      <c r="AU1219" s="37">
        <f>SUM(AU1193:AU1218)</f>
        <v>14</v>
      </c>
      <c r="AV1219" s="38">
        <f>SUM(AV1193:AV1218)</f>
        <v>26</v>
      </c>
      <c r="AW1219" s="25">
        <f t="shared" si="1013"/>
        <v>61</v>
      </c>
      <c r="AX1219" s="322">
        <f>SUM(AX1193:AX1218)</f>
        <v>5</v>
      </c>
      <c r="AY1219" s="37">
        <f>SUM(AY1193:AY1218)</f>
        <v>3</v>
      </c>
      <c r="AZ1219" s="37">
        <f>SUM(AZ1193:AZ1218)</f>
        <v>7</v>
      </c>
      <c r="BA1219" s="38">
        <f>SUM(BA1193:BA1218)</f>
        <v>8</v>
      </c>
      <c r="BB1219" s="25">
        <f t="shared" si="1014"/>
        <v>23</v>
      </c>
      <c r="BC1219" s="161">
        <f>AH1219+AM1219+AR1219+AW1219+BB1219</f>
        <v>179</v>
      </c>
      <c r="BE1219" s="278" t="s">
        <v>15</v>
      </c>
      <c r="BF1219" s="312">
        <f>SUM(BF1193:BF1218)</f>
        <v>0</v>
      </c>
      <c r="BG1219" s="302">
        <f>SUM(BG1193:BG1218)</f>
        <v>0</v>
      </c>
      <c r="BH1219" s="37">
        <f>SUM(BH1193:BH1218)</f>
        <v>3</v>
      </c>
      <c r="BI1219" s="316">
        <f>SUM(BI1193:BI1218)</f>
        <v>0</v>
      </c>
      <c r="BJ1219" s="25">
        <f t="shared" si="1019"/>
        <v>3</v>
      </c>
      <c r="BL1219" s="278" t="s">
        <v>15</v>
      </c>
      <c r="BM1219" s="312">
        <f>SUM(BM1193:BM1218)</f>
        <v>0</v>
      </c>
      <c r="BN1219" s="302">
        <f>SUM(BN1193:BN1218)</f>
        <v>0</v>
      </c>
      <c r="BO1219" s="37">
        <f>SUM(BO1193:BO1218)</f>
        <v>3</v>
      </c>
      <c r="BP1219" s="316">
        <f>SUM(BP1193:BP1218)</f>
        <v>0</v>
      </c>
      <c r="BQ1219" s="25">
        <f t="shared" si="1020"/>
        <v>3</v>
      </c>
    </row>
    <row r="1220" spans="1:69" ht="14.25" thickBot="1" x14ac:dyDescent="0.2">
      <c r="A1220" s="39" t="s">
        <v>16</v>
      </c>
      <c r="B1220" s="40">
        <f>B1192-B1219</f>
        <v>2</v>
      </c>
      <c r="C1220" s="41">
        <f>C1192-C1219</f>
        <v>3</v>
      </c>
      <c r="D1220" s="41">
        <f>D1192-D1219</f>
        <v>5</v>
      </c>
      <c r="E1220" s="42">
        <f>E1192-E1219</f>
        <v>4</v>
      </c>
      <c r="F1220" s="171">
        <f t="shared" si="1071"/>
        <v>14</v>
      </c>
      <c r="G1220" s="40">
        <f>G1192-G1219</f>
        <v>4</v>
      </c>
      <c r="H1220" s="41">
        <f>H1192-H1219</f>
        <v>5</v>
      </c>
      <c r="I1220" s="41">
        <f>I1192-I1219</f>
        <v>6</v>
      </c>
      <c r="J1220" s="42">
        <f>J1192-J1219</f>
        <v>4</v>
      </c>
      <c r="K1220" s="171">
        <f t="shared" si="1072"/>
        <v>19</v>
      </c>
      <c r="L1220" s="40">
        <f>L1192-L1219</f>
        <v>6</v>
      </c>
      <c r="M1220" s="41">
        <f>M1192-M1219</f>
        <v>6</v>
      </c>
      <c r="N1220" s="41">
        <f>N1192-N1219</f>
        <v>4</v>
      </c>
      <c r="O1220" s="42">
        <f>O1192-O1219</f>
        <v>3</v>
      </c>
      <c r="P1220" s="171">
        <f t="shared" si="1073"/>
        <v>19</v>
      </c>
      <c r="Q1220" s="40">
        <f>Q1192-Q1219</f>
        <v>5</v>
      </c>
      <c r="R1220" s="41">
        <f>R1192-R1219</f>
        <v>3</v>
      </c>
      <c r="S1220" s="41">
        <f>S1192-S1219</f>
        <v>7</v>
      </c>
      <c r="T1220" s="42">
        <f>T1192-T1219</f>
        <v>3</v>
      </c>
      <c r="U1220" s="171">
        <f t="shared" si="1074"/>
        <v>18</v>
      </c>
      <c r="V1220" s="323">
        <f>V1192-V1219</f>
        <v>3</v>
      </c>
      <c r="W1220" s="41">
        <f>W1192-W1219</f>
        <v>4</v>
      </c>
      <c r="X1220" s="41">
        <f>X1192-X1219</f>
        <v>3</v>
      </c>
      <c r="Y1220" s="42">
        <f>Y1192-Y1219</f>
        <v>3</v>
      </c>
      <c r="Z1220" s="171">
        <f>SUM(V1220:Y1220)</f>
        <v>13</v>
      </c>
      <c r="AA1220" s="77">
        <f>F1220+K1220+P1220+U1220+Z1220</f>
        <v>83</v>
      </c>
      <c r="AC1220" s="279" t="s">
        <v>16</v>
      </c>
      <c r="AD1220" s="40">
        <f>AD1192-AD1219</f>
        <v>72</v>
      </c>
      <c r="AE1220" s="41">
        <f>AE1192-AE1219</f>
        <v>66</v>
      </c>
      <c r="AF1220" s="41">
        <f>AF1192-AF1219</f>
        <v>130</v>
      </c>
      <c r="AG1220" s="42">
        <f>AG1192-AG1219</f>
        <v>55</v>
      </c>
      <c r="AH1220" s="171">
        <f t="shared" si="1076"/>
        <v>323</v>
      </c>
      <c r="AI1220" s="40">
        <f>AI1192-AI1219</f>
        <v>110</v>
      </c>
      <c r="AJ1220" s="41">
        <f>AJ1192-AJ1219</f>
        <v>137</v>
      </c>
      <c r="AK1220" s="41">
        <f>AK1192-AK1219</f>
        <v>100</v>
      </c>
      <c r="AL1220" s="42">
        <f>AL1192-AL1219</f>
        <v>93</v>
      </c>
      <c r="AM1220" s="171">
        <f t="shared" si="1077"/>
        <v>440</v>
      </c>
      <c r="AN1220" s="40">
        <f>AN1192-AN1219</f>
        <v>36</v>
      </c>
      <c r="AO1220" s="41">
        <f>AO1192-AO1219</f>
        <v>49</v>
      </c>
      <c r="AP1220" s="41">
        <f>AP1192-AP1219</f>
        <v>38</v>
      </c>
      <c r="AQ1220" s="42">
        <f>AQ1192-AQ1219</f>
        <v>21</v>
      </c>
      <c r="AR1220" s="171">
        <f t="shared" si="1012"/>
        <v>144</v>
      </c>
      <c r="AS1220" s="40">
        <f>AS1192-AS1219</f>
        <v>140</v>
      </c>
      <c r="AT1220" s="41">
        <f>AT1192-AT1219</f>
        <v>169</v>
      </c>
      <c r="AU1220" s="41">
        <f>AU1192-AU1219</f>
        <v>110</v>
      </c>
      <c r="AV1220" s="42">
        <f>AV1192-AV1219</f>
        <v>79</v>
      </c>
      <c r="AW1220" s="171">
        <f t="shared" si="1013"/>
        <v>498</v>
      </c>
      <c r="AX1220" s="323">
        <f>AX1192-AX1219</f>
        <v>101</v>
      </c>
      <c r="AY1220" s="41">
        <f>AY1192-AY1219</f>
        <v>78</v>
      </c>
      <c r="AZ1220" s="41">
        <f>AZ1192-AZ1219</f>
        <v>37</v>
      </c>
      <c r="BA1220" s="42">
        <f>BA1192-BA1219</f>
        <v>28</v>
      </c>
      <c r="BB1220" s="171">
        <f>SUM(AX1220:BA1220)</f>
        <v>244</v>
      </c>
      <c r="BC1220" s="77">
        <f>AH1220+AM1220+AR1220+AW1220+BB1220</f>
        <v>1649</v>
      </c>
      <c r="BE1220" s="279" t="s">
        <v>16</v>
      </c>
      <c r="BF1220" s="313">
        <f>BF1192-BF1219</f>
        <v>0</v>
      </c>
      <c r="BG1220" s="303">
        <f>BG1192-BG1219</f>
        <v>0</v>
      </c>
      <c r="BH1220" s="41">
        <f>BH1192-BH1219</f>
        <v>2</v>
      </c>
      <c r="BI1220" s="317">
        <f>BI1192-BI1219</f>
        <v>0</v>
      </c>
      <c r="BJ1220" s="171">
        <f t="shared" si="1019"/>
        <v>2</v>
      </c>
      <c r="BL1220" s="279" t="s">
        <v>16</v>
      </c>
      <c r="BM1220" s="313">
        <f>BM1192-BM1219</f>
        <v>0</v>
      </c>
      <c r="BN1220" s="303">
        <f>BN1192-BN1219</f>
        <v>0</v>
      </c>
      <c r="BO1220" s="41">
        <f>BO1192-BO1219</f>
        <v>13</v>
      </c>
      <c r="BP1220" s="317">
        <f>BP1192-BP1219</f>
        <v>0</v>
      </c>
      <c r="BQ1220" s="171">
        <f t="shared" si="1020"/>
        <v>13</v>
      </c>
    </row>
    <row r="1221" spans="1:69" x14ac:dyDescent="0.15">
      <c r="AC1221" s="342" t="s">
        <v>609</v>
      </c>
      <c r="AD1221" s="342">
        <f>AD1219+AD1176+AD1133+AD1090</f>
        <v>20</v>
      </c>
      <c r="AE1221" s="342">
        <f t="shared" ref="AE1221:BC1221" si="1078">AE1219+AE1176+AE1133+AE1090</f>
        <v>24</v>
      </c>
      <c r="AF1221" s="342">
        <f t="shared" si="1078"/>
        <v>14</v>
      </c>
      <c r="AG1221" s="342">
        <f t="shared" si="1078"/>
        <v>12</v>
      </c>
      <c r="AH1221" s="342">
        <f t="shared" si="1078"/>
        <v>70</v>
      </c>
      <c r="AI1221" s="342">
        <f t="shared" si="1078"/>
        <v>43</v>
      </c>
      <c r="AJ1221" s="342">
        <f t="shared" si="1078"/>
        <v>53</v>
      </c>
      <c r="AK1221" s="342">
        <f t="shared" si="1078"/>
        <v>26</v>
      </c>
      <c r="AL1221" s="342">
        <f t="shared" si="1078"/>
        <v>25</v>
      </c>
      <c r="AM1221" s="342">
        <f t="shared" si="1078"/>
        <v>147</v>
      </c>
      <c r="AN1221" s="342">
        <f t="shared" si="1078"/>
        <v>10</v>
      </c>
      <c r="AO1221" s="342">
        <f t="shared" si="1078"/>
        <v>16</v>
      </c>
      <c r="AP1221" s="342">
        <f t="shared" si="1078"/>
        <v>12</v>
      </c>
      <c r="AQ1221" s="342">
        <f t="shared" si="1078"/>
        <v>10</v>
      </c>
      <c r="AR1221" s="342">
        <f t="shared" si="1078"/>
        <v>48</v>
      </c>
      <c r="AS1221" s="342">
        <f t="shared" si="1078"/>
        <v>22</v>
      </c>
      <c r="AT1221" s="342">
        <f t="shared" si="1078"/>
        <v>48</v>
      </c>
      <c r="AU1221" s="342">
        <f t="shared" si="1078"/>
        <v>36</v>
      </c>
      <c r="AV1221" s="342">
        <f t="shared" si="1078"/>
        <v>54</v>
      </c>
      <c r="AW1221" s="342">
        <f t="shared" si="1078"/>
        <v>160</v>
      </c>
      <c r="AX1221" s="342">
        <f t="shared" si="1078"/>
        <v>11</v>
      </c>
      <c r="AY1221" s="342">
        <f t="shared" si="1078"/>
        <v>24</v>
      </c>
      <c r="AZ1221" s="342">
        <f t="shared" si="1078"/>
        <v>17</v>
      </c>
      <c r="BA1221" s="342">
        <f t="shared" si="1078"/>
        <v>15</v>
      </c>
      <c r="BB1221" s="342">
        <f t="shared" si="1078"/>
        <v>67</v>
      </c>
      <c r="BC1221" s="342">
        <f t="shared" si="1078"/>
        <v>492</v>
      </c>
    </row>
    <row r="1224" spans="1:69" ht="19.5" thickBot="1" x14ac:dyDescent="0.25">
      <c r="A1224" s="185" t="s">
        <v>19</v>
      </c>
      <c r="B1224" s="186"/>
      <c r="C1224" s="186"/>
      <c r="D1224" s="186"/>
      <c r="E1224" s="186"/>
      <c r="F1224" s="186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C1224" s="187" t="s">
        <v>73</v>
      </c>
      <c r="AD1224" s="188"/>
      <c r="AE1224" s="188"/>
      <c r="AF1224" s="188"/>
      <c r="AG1224" s="188"/>
      <c r="AH1224" s="188"/>
      <c r="AI1224" s="188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E1224" s="185" t="s">
        <v>19</v>
      </c>
      <c r="BF1224" s="186"/>
      <c r="BG1224" s="186"/>
      <c r="BH1224" s="186"/>
      <c r="BI1224" s="186"/>
      <c r="BJ1224" s="186"/>
      <c r="BL1224" s="187" t="s">
        <v>73</v>
      </c>
      <c r="BM1224" s="188"/>
      <c r="BN1224" s="188"/>
      <c r="BO1224" s="188"/>
      <c r="BP1224" s="188"/>
      <c r="BQ1224" s="188"/>
    </row>
    <row r="1225" spans="1:69" ht="14.25" thickBot="1" x14ac:dyDescent="0.2">
      <c r="A1225" s="3" t="s">
        <v>0</v>
      </c>
      <c r="B1225" s="365" t="s">
        <v>17</v>
      </c>
      <c r="C1225" s="366"/>
      <c r="D1225" s="366"/>
      <c r="E1225" s="366"/>
      <c r="F1225" s="367"/>
      <c r="G1225" s="368" t="s">
        <v>18</v>
      </c>
      <c r="H1225" s="369"/>
      <c r="I1225" s="369"/>
      <c r="J1225" s="369"/>
      <c r="K1225" s="370"/>
      <c r="L1225" s="371" t="s">
        <v>320</v>
      </c>
      <c r="M1225" s="372"/>
      <c r="N1225" s="372"/>
      <c r="O1225" s="372"/>
      <c r="P1225" s="373"/>
      <c r="Q1225" s="355" t="s">
        <v>75</v>
      </c>
      <c r="R1225" s="356"/>
      <c r="S1225" s="356"/>
      <c r="T1225" s="356"/>
      <c r="U1225" s="357"/>
      <c r="V1225" s="358" t="s">
        <v>456</v>
      </c>
      <c r="W1225" s="358"/>
      <c r="X1225" s="358"/>
      <c r="Y1225" s="358"/>
      <c r="Z1225" s="359"/>
      <c r="AA1225" s="360" t="s">
        <v>1</v>
      </c>
      <c r="AC1225" s="271" t="s">
        <v>0</v>
      </c>
      <c r="AD1225" s="365" t="s">
        <v>17</v>
      </c>
      <c r="AE1225" s="366"/>
      <c r="AF1225" s="366"/>
      <c r="AG1225" s="366"/>
      <c r="AH1225" s="367"/>
      <c r="AI1225" s="368" t="s">
        <v>18</v>
      </c>
      <c r="AJ1225" s="369"/>
      <c r="AK1225" s="369"/>
      <c r="AL1225" s="369"/>
      <c r="AM1225" s="370"/>
      <c r="AN1225" s="371" t="s">
        <v>320</v>
      </c>
      <c r="AO1225" s="372"/>
      <c r="AP1225" s="372"/>
      <c r="AQ1225" s="372"/>
      <c r="AR1225" s="373"/>
      <c r="AS1225" s="355" t="s">
        <v>75</v>
      </c>
      <c r="AT1225" s="356"/>
      <c r="AU1225" s="356"/>
      <c r="AV1225" s="356"/>
      <c r="AW1225" s="357"/>
      <c r="AX1225" s="358" t="s">
        <v>456</v>
      </c>
      <c r="AY1225" s="358"/>
      <c r="AZ1225" s="358"/>
      <c r="BA1225" s="358"/>
      <c r="BB1225" s="359"/>
      <c r="BC1225" s="360" t="s">
        <v>1</v>
      </c>
      <c r="BE1225" s="271" t="s">
        <v>0</v>
      </c>
      <c r="BF1225" s="362" t="s">
        <v>38</v>
      </c>
      <c r="BG1225" s="363"/>
      <c r="BH1225" s="363"/>
      <c r="BI1225" s="363"/>
      <c r="BJ1225" s="364"/>
      <c r="BL1225" s="271" t="s">
        <v>0</v>
      </c>
      <c r="BM1225" s="362" t="s">
        <v>38</v>
      </c>
      <c r="BN1225" s="363"/>
      <c r="BO1225" s="363"/>
      <c r="BP1225" s="363"/>
      <c r="BQ1225" s="364"/>
    </row>
    <row r="1226" spans="1:69" ht="14.25" thickBot="1" x14ac:dyDescent="0.2">
      <c r="A1226" s="5" t="s">
        <v>2</v>
      </c>
      <c r="B1226" s="6" t="s">
        <v>3</v>
      </c>
      <c r="C1226" s="7" t="s">
        <v>4</v>
      </c>
      <c r="D1226" s="7" t="s">
        <v>5</v>
      </c>
      <c r="E1226" s="8" t="s">
        <v>6</v>
      </c>
      <c r="F1226" s="5" t="s">
        <v>7</v>
      </c>
      <c r="G1226" s="6" t="s">
        <v>3</v>
      </c>
      <c r="H1226" s="7" t="s">
        <v>4</v>
      </c>
      <c r="I1226" s="7" t="s">
        <v>5</v>
      </c>
      <c r="J1226" s="8" t="s">
        <v>6</v>
      </c>
      <c r="K1226" s="5" t="s">
        <v>7</v>
      </c>
      <c r="L1226" s="6" t="s">
        <v>3</v>
      </c>
      <c r="M1226" s="7" t="s">
        <v>4</v>
      </c>
      <c r="N1226" s="7" t="s">
        <v>5</v>
      </c>
      <c r="O1226" s="8" t="s">
        <v>6</v>
      </c>
      <c r="P1226" s="5" t="s">
        <v>7</v>
      </c>
      <c r="Q1226" s="6" t="s">
        <v>3</v>
      </c>
      <c r="R1226" s="7" t="s">
        <v>4</v>
      </c>
      <c r="S1226" s="7" t="s">
        <v>5</v>
      </c>
      <c r="T1226" s="8" t="s">
        <v>6</v>
      </c>
      <c r="U1226" s="5" t="s">
        <v>7</v>
      </c>
      <c r="V1226" s="7" t="s">
        <v>3</v>
      </c>
      <c r="W1226" s="7" t="s">
        <v>4</v>
      </c>
      <c r="X1226" s="7" t="s">
        <v>5</v>
      </c>
      <c r="Y1226" s="8" t="s">
        <v>6</v>
      </c>
      <c r="Z1226" s="5" t="s">
        <v>7</v>
      </c>
      <c r="AA1226" s="361"/>
      <c r="AC1226" s="272" t="s">
        <v>2</v>
      </c>
      <c r="AD1226" s="6" t="s">
        <v>3</v>
      </c>
      <c r="AE1226" s="7" t="s">
        <v>4</v>
      </c>
      <c r="AF1226" s="7" t="s">
        <v>5</v>
      </c>
      <c r="AG1226" s="8" t="s">
        <v>6</v>
      </c>
      <c r="AH1226" s="5" t="s">
        <v>7</v>
      </c>
      <c r="AI1226" s="6" t="s">
        <v>3</v>
      </c>
      <c r="AJ1226" s="7" t="s">
        <v>4</v>
      </c>
      <c r="AK1226" s="7" t="s">
        <v>5</v>
      </c>
      <c r="AL1226" s="8" t="s">
        <v>6</v>
      </c>
      <c r="AM1226" s="5" t="s">
        <v>7</v>
      </c>
      <c r="AN1226" s="6" t="s">
        <v>3</v>
      </c>
      <c r="AO1226" s="7" t="s">
        <v>4</v>
      </c>
      <c r="AP1226" s="7" t="s">
        <v>5</v>
      </c>
      <c r="AQ1226" s="8" t="s">
        <v>6</v>
      </c>
      <c r="AR1226" s="5" t="s">
        <v>7</v>
      </c>
      <c r="AS1226" s="6" t="s">
        <v>3</v>
      </c>
      <c r="AT1226" s="7" t="s">
        <v>4</v>
      </c>
      <c r="AU1226" s="7" t="s">
        <v>5</v>
      </c>
      <c r="AV1226" s="8" t="s">
        <v>6</v>
      </c>
      <c r="AW1226" s="5" t="s">
        <v>7</v>
      </c>
      <c r="AX1226" s="7" t="s">
        <v>3</v>
      </c>
      <c r="AY1226" s="7" t="s">
        <v>4</v>
      </c>
      <c r="AZ1226" s="7" t="s">
        <v>5</v>
      </c>
      <c r="BA1226" s="8" t="s">
        <v>6</v>
      </c>
      <c r="BB1226" s="5" t="s">
        <v>7</v>
      </c>
      <c r="BC1226" s="361"/>
      <c r="BE1226" s="272" t="s">
        <v>2</v>
      </c>
      <c r="BF1226" s="6" t="s">
        <v>3</v>
      </c>
      <c r="BG1226" s="7" t="s">
        <v>4</v>
      </c>
      <c r="BH1226" s="7" t="s">
        <v>5</v>
      </c>
      <c r="BI1226" s="8" t="s">
        <v>6</v>
      </c>
      <c r="BJ1226" s="5" t="s">
        <v>7</v>
      </c>
      <c r="BL1226" s="272" t="s">
        <v>2</v>
      </c>
      <c r="BM1226" s="6" t="s">
        <v>3</v>
      </c>
      <c r="BN1226" s="7" t="s">
        <v>4</v>
      </c>
      <c r="BO1226" s="7" t="s">
        <v>5</v>
      </c>
      <c r="BP1226" s="8" t="s">
        <v>6</v>
      </c>
      <c r="BQ1226" s="5" t="s">
        <v>7</v>
      </c>
    </row>
    <row r="1227" spans="1:69" ht="15" thickBot="1" x14ac:dyDescent="0.2">
      <c r="A1227" s="291" t="s">
        <v>30</v>
      </c>
      <c r="B1227" s="292">
        <f>B1220</f>
        <v>2</v>
      </c>
      <c r="C1227" s="292">
        <f>C1220</f>
        <v>3</v>
      </c>
      <c r="D1227" s="292">
        <f>D1220</f>
        <v>5</v>
      </c>
      <c r="E1227" s="293">
        <f>E1220</f>
        <v>4</v>
      </c>
      <c r="F1227" s="77">
        <f t="shared" ref="F1227" si="1079">SUM(B1227:E1227)</f>
        <v>14</v>
      </c>
      <c r="G1227" s="292">
        <f>G1220</f>
        <v>4</v>
      </c>
      <c r="H1227" s="292">
        <f>H1220</f>
        <v>5</v>
      </c>
      <c r="I1227" s="292">
        <f>I1220</f>
        <v>6</v>
      </c>
      <c r="J1227" s="293">
        <f>J1220</f>
        <v>4</v>
      </c>
      <c r="K1227" s="77">
        <f t="shared" ref="K1227:K1259" si="1080">SUM(G1227:J1227)</f>
        <v>19</v>
      </c>
      <c r="L1227" s="292">
        <f>L1220</f>
        <v>6</v>
      </c>
      <c r="M1227" s="292">
        <f>M1220</f>
        <v>6</v>
      </c>
      <c r="N1227" s="292">
        <f>N1220</f>
        <v>4</v>
      </c>
      <c r="O1227" s="293">
        <f>O1220</f>
        <v>3</v>
      </c>
      <c r="P1227" s="77">
        <f t="shared" ref="P1227:P1259" si="1081">SUM(L1227:O1227)</f>
        <v>19</v>
      </c>
      <c r="Q1227" s="324">
        <f>Q1220</f>
        <v>5</v>
      </c>
      <c r="R1227" s="292">
        <f>R1220</f>
        <v>3</v>
      </c>
      <c r="S1227" s="292">
        <f>S1220</f>
        <v>7</v>
      </c>
      <c r="T1227" s="293">
        <f>T1220</f>
        <v>3</v>
      </c>
      <c r="U1227" s="77">
        <f t="shared" ref="U1227:U1259" si="1082">SUM(Q1227:T1227)</f>
        <v>18</v>
      </c>
      <c r="V1227" s="324">
        <f>V1220</f>
        <v>3</v>
      </c>
      <c r="W1227" s="292">
        <f>W1220</f>
        <v>4</v>
      </c>
      <c r="X1227" s="292">
        <f>X1220</f>
        <v>3</v>
      </c>
      <c r="Y1227" s="293">
        <f>Y1220</f>
        <v>3</v>
      </c>
      <c r="Z1227" s="77">
        <f t="shared" ref="Z1227:Z1262" si="1083">SUM(V1227:Y1227)</f>
        <v>13</v>
      </c>
      <c r="AA1227" s="77">
        <f>F1227+K1227+P1227+U1227+Z1227</f>
        <v>83</v>
      </c>
      <c r="AC1227" s="294" t="s">
        <v>30</v>
      </c>
      <c r="AD1227" s="292">
        <f>AD1220</f>
        <v>72</v>
      </c>
      <c r="AE1227" s="292">
        <f>AE1220</f>
        <v>66</v>
      </c>
      <c r="AF1227" s="292">
        <f>AF1220</f>
        <v>130</v>
      </c>
      <c r="AG1227" s="293">
        <f>AG1220</f>
        <v>55</v>
      </c>
      <c r="AH1227" s="77">
        <f>SUM(AD1227:AG1227)</f>
        <v>323</v>
      </c>
      <c r="AI1227" s="292">
        <f>AI1220</f>
        <v>110</v>
      </c>
      <c r="AJ1227" s="292">
        <f>AJ1220</f>
        <v>137</v>
      </c>
      <c r="AK1227" s="292">
        <f>AK1220</f>
        <v>100</v>
      </c>
      <c r="AL1227" s="293">
        <f>AL1220</f>
        <v>93</v>
      </c>
      <c r="AM1227" s="77">
        <f>SUM(AI1227:AL1227)</f>
        <v>440</v>
      </c>
      <c r="AN1227" s="292">
        <f>AN1220</f>
        <v>36</v>
      </c>
      <c r="AO1227" s="292">
        <f>AO1220</f>
        <v>49</v>
      </c>
      <c r="AP1227" s="292">
        <f>AP1220</f>
        <v>38</v>
      </c>
      <c r="AQ1227" s="293">
        <f>AQ1220</f>
        <v>21</v>
      </c>
      <c r="AR1227" s="77">
        <f>SUM(AN1227:AQ1227)</f>
        <v>144</v>
      </c>
      <c r="AS1227" s="324">
        <f>AS1220</f>
        <v>140</v>
      </c>
      <c r="AT1227" s="292">
        <f>AT1220</f>
        <v>169</v>
      </c>
      <c r="AU1227" s="292">
        <f>AU1220</f>
        <v>110</v>
      </c>
      <c r="AV1227" s="293">
        <f>AV1220</f>
        <v>79</v>
      </c>
      <c r="AW1227" s="77">
        <f>SUM(AS1227:AV1227)</f>
        <v>498</v>
      </c>
      <c r="AX1227" s="324">
        <f>AX1220</f>
        <v>101</v>
      </c>
      <c r="AY1227" s="292">
        <f>AY1220</f>
        <v>78</v>
      </c>
      <c r="AZ1227" s="292">
        <f>AZ1220</f>
        <v>37</v>
      </c>
      <c r="BA1227" s="293">
        <f>BA1220</f>
        <v>28</v>
      </c>
      <c r="BB1227" s="77">
        <f>SUM(AX1227:BA1227)</f>
        <v>244</v>
      </c>
      <c r="BC1227" s="77">
        <f>AH1227+AM1227+AR1227+AW1227+BB1227</f>
        <v>1649</v>
      </c>
      <c r="BE1227" s="294" t="s">
        <v>30</v>
      </c>
      <c r="BF1227" s="40">
        <f>BF1220</f>
        <v>0</v>
      </c>
      <c r="BG1227" s="41">
        <f t="shared" ref="BG1227:BJ1227" si="1084">BG1220</f>
        <v>0</v>
      </c>
      <c r="BH1227" s="41">
        <f t="shared" si="1084"/>
        <v>2</v>
      </c>
      <c r="BI1227" s="42">
        <f t="shared" si="1084"/>
        <v>0</v>
      </c>
      <c r="BJ1227" s="171">
        <f t="shared" si="1084"/>
        <v>2</v>
      </c>
      <c r="BL1227" s="294" t="s">
        <v>30</v>
      </c>
      <c r="BM1227" s="292">
        <f>BM1220</f>
        <v>0</v>
      </c>
      <c r="BN1227" s="292">
        <f t="shared" ref="BN1227:BQ1227" si="1085">BN1220</f>
        <v>0</v>
      </c>
      <c r="BO1227" s="292">
        <f t="shared" si="1085"/>
        <v>13</v>
      </c>
      <c r="BP1227" s="292">
        <f t="shared" si="1085"/>
        <v>0</v>
      </c>
      <c r="BQ1227" s="77">
        <f t="shared" si="1085"/>
        <v>13</v>
      </c>
    </row>
    <row r="1228" spans="1:69" x14ac:dyDescent="0.15">
      <c r="A1228" s="53" t="s">
        <v>610</v>
      </c>
      <c r="B1228" s="17">
        <v>1</v>
      </c>
      <c r="C1228" s="153"/>
      <c r="D1228" s="153"/>
      <c r="E1228" s="168"/>
      <c r="F1228" s="56">
        <f>SUM(B1228:E1228)</f>
        <v>1</v>
      </c>
      <c r="G1228" s="55">
        <v>1</v>
      </c>
      <c r="H1228" s="153"/>
      <c r="I1228" s="153"/>
      <c r="J1228" s="168"/>
      <c r="K1228" s="56">
        <f t="shared" si="1080"/>
        <v>1</v>
      </c>
      <c r="L1228" s="55"/>
      <c r="M1228" s="153"/>
      <c r="N1228" s="153"/>
      <c r="O1228" s="168"/>
      <c r="P1228" s="56">
        <f t="shared" si="1081"/>
        <v>0</v>
      </c>
      <c r="Q1228" s="54"/>
      <c r="R1228" s="153"/>
      <c r="S1228" s="153"/>
      <c r="T1228" s="168"/>
      <c r="U1228" s="56">
        <f t="shared" si="1082"/>
        <v>0</v>
      </c>
      <c r="V1228" s="55"/>
      <c r="W1228" s="153"/>
      <c r="X1228" s="153"/>
      <c r="Y1228" s="168"/>
      <c r="Z1228" s="49">
        <f t="shared" si="1083"/>
        <v>0</v>
      </c>
      <c r="AA1228" s="49">
        <f t="shared" ref="AA1228:AA1234" si="1086">F1228+K1228+P1228+U1228+Z1228</f>
        <v>2</v>
      </c>
      <c r="AB1228" s="299">
        <v>45496</v>
      </c>
      <c r="AC1228" s="268" t="s">
        <v>21</v>
      </c>
      <c r="AD1228" s="55">
        <v>1</v>
      </c>
      <c r="AE1228" s="153">
        <v>2</v>
      </c>
      <c r="AF1228" s="153">
        <v>1</v>
      </c>
      <c r="AG1228" s="168">
        <v>3</v>
      </c>
      <c r="AH1228" s="56">
        <f t="shared" ref="AH1228" si="1087">SUM(AD1228:AG1228)</f>
        <v>7</v>
      </c>
      <c r="AI1228" s="55">
        <v>2</v>
      </c>
      <c r="AJ1228" s="153">
        <v>3</v>
      </c>
      <c r="AK1228" s="153">
        <v>3</v>
      </c>
      <c r="AL1228" s="168">
        <v>4</v>
      </c>
      <c r="AM1228" s="56">
        <f t="shared" ref="AM1228" si="1088">SUM(AI1228:AL1228)</f>
        <v>12</v>
      </c>
      <c r="AN1228" s="55">
        <v>2</v>
      </c>
      <c r="AO1228" s="153">
        <v>2</v>
      </c>
      <c r="AP1228" s="153">
        <v>3</v>
      </c>
      <c r="AQ1228" s="168">
        <v>2</v>
      </c>
      <c r="AR1228" s="56">
        <f t="shared" ref="AR1228" si="1089">SUM(AN1228:AQ1228)</f>
        <v>9</v>
      </c>
      <c r="AS1228" s="54">
        <v>2</v>
      </c>
      <c r="AT1228" s="153">
        <v>4</v>
      </c>
      <c r="AU1228" s="153">
        <v>2</v>
      </c>
      <c r="AV1228" s="168">
        <v>3</v>
      </c>
      <c r="AW1228" s="56">
        <f t="shared" ref="AW1228" si="1090">SUM(AS1228:AV1228)</f>
        <v>11</v>
      </c>
      <c r="AX1228" s="55">
        <v>4</v>
      </c>
      <c r="AY1228" s="153">
        <v>3</v>
      </c>
      <c r="AZ1228" s="153">
        <v>1</v>
      </c>
      <c r="BA1228" s="168"/>
      <c r="BB1228" s="49">
        <f t="shared" ref="BB1228" si="1091">SUM(AX1228:BA1228)</f>
        <v>8</v>
      </c>
      <c r="BC1228" s="49">
        <f t="shared" ref="BC1228" si="1092">AH1228+AM1228+AR1228+AW1228+BB1228</f>
        <v>47</v>
      </c>
      <c r="BD1228" s="299">
        <v>45570</v>
      </c>
      <c r="BE1228" s="268" t="s">
        <v>28</v>
      </c>
      <c r="BF1228" s="55"/>
      <c r="BG1228" s="153"/>
      <c r="BH1228" s="153">
        <v>3</v>
      </c>
      <c r="BI1228" s="168"/>
      <c r="BJ1228" s="56">
        <f t="shared" ref="BJ1228:BJ1230" si="1093">SUM(BF1228:BI1228)</f>
        <v>3</v>
      </c>
      <c r="BK1228" s="306">
        <v>45503</v>
      </c>
      <c r="BL1228" s="268" t="s">
        <v>28</v>
      </c>
      <c r="BM1228" s="51"/>
      <c r="BN1228" s="52"/>
      <c r="BO1228" s="52"/>
      <c r="BP1228" s="52"/>
      <c r="BQ1228" s="49">
        <f t="shared" ref="BQ1228:BQ1230" si="1094">SUM(BM1228:BP1228)</f>
        <v>0</v>
      </c>
    </row>
    <row r="1229" spans="1:69" x14ac:dyDescent="0.15">
      <c r="A1229" s="268" t="s">
        <v>28</v>
      </c>
      <c r="B1229" s="55"/>
      <c r="C1229" s="153">
        <v>3</v>
      </c>
      <c r="D1229" s="153"/>
      <c r="E1229" s="168"/>
      <c r="F1229" s="56">
        <f t="shared" ref="F1229:F1263" si="1095">SUM(B1229:E1229)</f>
        <v>3</v>
      </c>
      <c r="G1229" s="55"/>
      <c r="H1229" s="153"/>
      <c r="I1229" s="153"/>
      <c r="J1229" s="168"/>
      <c r="K1229" s="56">
        <f t="shared" si="1080"/>
        <v>0</v>
      </c>
      <c r="L1229" s="55"/>
      <c r="M1229" s="153"/>
      <c r="N1229" s="153">
        <v>3</v>
      </c>
      <c r="O1229" s="168">
        <v>3</v>
      </c>
      <c r="P1229" s="56">
        <f t="shared" si="1081"/>
        <v>6</v>
      </c>
      <c r="Q1229" s="54"/>
      <c r="R1229" s="153">
        <v>3</v>
      </c>
      <c r="S1229" s="153"/>
      <c r="T1229" s="168">
        <v>3</v>
      </c>
      <c r="U1229" s="56">
        <f t="shared" si="1082"/>
        <v>6</v>
      </c>
      <c r="V1229" s="55"/>
      <c r="W1229" s="153"/>
      <c r="X1229" s="153"/>
      <c r="Y1229" s="168"/>
      <c r="Z1229" s="49">
        <f t="shared" si="1083"/>
        <v>0</v>
      </c>
      <c r="AA1229" s="49">
        <f t="shared" si="1086"/>
        <v>15</v>
      </c>
      <c r="AB1229" s="298">
        <v>45498</v>
      </c>
      <c r="AC1229" s="268" t="s">
        <v>28</v>
      </c>
      <c r="AD1229" s="55"/>
      <c r="AE1229" s="153"/>
      <c r="AF1229" s="153"/>
      <c r="AG1229" s="168"/>
      <c r="AH1229" s="56">
        <f t="shared" ref="AH1229:AH1261" si="1096">SUM(AD1229:AG1229)</f>
        <v>0</v>
      </c>
      <c r="AI1229" s="55"/>
      <c r="AJ1229" s="153"/>
      <c r="AK1229" s="153"/>
      <c r="AL1229" s="168"/>
      <c r="AM1229" s="56">
        <f t="shared" ref="AM1229:AM1261" si="1097">SUM(AI1229:AL1229)</f>
        <v>0</v>
      </c>
      <c r="AN1229" s="55"/>
      <c r="AO1229" s="153"/>
      <c r="AP1229" s="153"/>
      <c r="AQ1229" s="168"/>
      <c r="AR1229" s="56">
        <f t="shared" ref="AR1229:AR1263" si="1098">SUM(AN1229:AQ1229)</f>
        <v>0</v>
      </c>
      <c r="AS1229" s="54"/>
      <c r="AT1229" s="153"/>
      <c r="AU1229" s="153"/>
      <c r="AV1229" s="168"/>
      <c r="AW1229" s="56">
        <f t="shared" ref="AW1229:AW1263" si="1099">SUM(AS1229:AV1229)</f>
        <v>0</v>
      </c>
      <c r="AX1229" s="55"/>
      <c r="AY1229" s="153"/>
      <c r="AZ1229" s="153"/>
      <c r="BA1229" s="168"/>
      <c r="BB1229" s="49">
        <f t="shared" ref="BB1229:BB1262" si="1100">SUM(AX1229:BA1229)</f>
        <v>0</v>
      </c>
      <c r="BC1229" s="49">
        <f t="shared" ref="BC1229:BC1234" si="1101">AH1229+AM1229+AR1229+AW1229+BB1229</f>
        <v>0</v>
      </c>
      <c r="BE1229" s="268" t="s">
        <v>28</v>
      </c>
      <c r="BF1229" s="55"/>
      <c r="BG1229" s="153"/>
      <c r="BH1229" s="153">
        <v>10</v>
      </c>
      <c r="BI1229" s="168"/>
      <c r="BJ1229" s="56">
        <f t="shared" si="1093"/>
        <v>10</v>
      </c>
      <c r="BK1229" s="306">
        <v>45521</v>
      </c>
      <c r="BL1229" s="268" t="s">
        <v>28</v>
      </c>
      <c r="BM1229" s="54"/>
      <c r="BN1229" s="55"/>
      <c r="BO1229" s="55"/>
      <c r="BP1229" s="55"/>
      <c r="BQ1229" s="56">
        <f t="shared" si="1094"/>
        <v>0</v>
      </c>
    </row>
    <row r="1230" spans="1:69" x14ac:dyDescent="0.15">
      <c r="A1230" s="268" t="s">
        <v>28</v>
      </c>
      <c r="B1230" s="55">
        <v>2</v>
      </c>
      <c r="C1230" s="153"/>
      <c r="D1230" s="153"/>
      <c r="E1230" s="168"/>
      <c r="F1230" s="56">
        <f t="shared" si="1095"/>
        <v>2</v>
      </c>
      <c r="G1230" s="55"/>
      <c r="H1230" s="153"/>
      <c r="I1230" s="153"/>
      <c r="J1230" s="168"/>
      <c r="K1230" s="56">
        <f t="shared" si="1080"/>
        <v>0</v>
      </c>
      <c r="L1230" s="55"/>
      <c r="M1230" s="153"/>
      <c r="N1230" s="153"/>
      <c r="O1230" s="168"/>
      <c r="P1230" s="56">
        <f t="shared" si="1081"/>
        <v>0</v>
      </c>
      <c r="Q1230" s="54"/>
      <c r="R1230" s="153"/>
      <c r="S1230" s="153"/>
      <c r="T1230" s="168"/>
      <c r="U1230" s="56">
        <f t="shared" si="1082"/>
        <v>0</v>
      </c>
      <c r="V1230" s="55">
        <v>2</v>
      </c>
      <c r="W1230" s="153"/>
      <c r="X1230" s="153">
        <v>2</v>
      </c>
      <c r="Y1230" s="168">
        <v>2</v>
      </c>
      <c r="Z1230" s="49">
        <f t="shared" si="1083"/>
        <v>6</v>
      </c>
      <c r="AA1230" s="49">
        <f t="shared" si="1086"/>
        <v>8</v>
      </c>
      <c r="AB1230" s="298">
        <v>45502</v>
      </c>
      <c r="AC1230" s="268" t="s">
        <v>28</v>
      </c>
      <c r="AD1230" s="55"/>
      <c r="AE1230" s="153"/>
      <c r="AF1230" s="153"/>
      <c r="AG1230" s="168"/>
      <c r="AH1230" s="56">
        <f t="shared" si="1096"/>
        <v>0</v>
      </c>
      <c r="AI1230" s="55"/>
      <c r="AJ1230" s="153"/>
      <c r="AK1230" s="153"/>
      <c r="AL1230" s="168"/>
      <c r="AM1230" s="56">
        <f t="shared" si="1097"/>
        <v>0</v>
      </c>
      <c r="AN1230" s="55"/>
      <c r="AO1230" s="153"/>
      <c r="AP1230" s="153"/>
      <c r="AQ1230" s="168"/>
      <c r="AR1230" s="56">
        <f t="shared" si="1098"/>
        <v>0</v>
      </c>
      <c r="AS1230" s="54"/>
      <c r="AT1230" s="153"/>
      <c r="AU1230" s="153"/>
      <c r="AV1230" s="168"/>
      <c r="AW1230" s="56">
        <f t="shared" si="1099"/>
        <v>0</v>
      </c>
      <c r="AX1230" s="55"/>
      <c r="AY1230" s="153"/>
      <c r="AZ1230" s="153"/>
      <c r="BA1230" s="168"/>
      <c r="BB1230" s="49">
        <f t="shared" si="1100"/>
        <v>0</v>
      </c>
      <c r="BC1230" s="49">
        <f t="shared" si="1101"/>
        <v>0</v>
      </c>
      <c r="BE1230" s="268" t="s">
        <v>436</v>
      </c>
      <c r="BF1230" s="55"/>
      <c r="BG1230" s="153"/>
      <c r="BH1230" s="153">
        <v>0</v>
      </c>
      <c r="BI1230" s="168"/>
      <c r="BJ1230" s="56">
        <f t="shared" si="1093"/>
        <v>0</v>
      </c>
      <c r="BK1230" s="306">
        <v>45531</v>
      </c>
      <c r="BL1230" s="268" t="s">
        <v>28</v>
      </c>
      <c r="BM1230" s="55"/>
      <c r="BN1230" s="153"/>
      <c r="BO1230" s="153"/>
      <c r="BP1230" s="168"/>
      <c r="BQ1230" s="56">
        <f t="shared" si="1094"/>
        <v>0</v>
      </c>
    </row>
    <row r="1231" spans="1:69" x14ac:dyDescent="0.15">
      <c r="A1231" s="268" t="s">
        <v>28</v>
      </c>
      <c r="B1231" s="55"/>
      <c r="C1231" s="153"/>
      <c r="D1231" s="153"/>
      <c r="E1231" s="168"/>
      <c r="F1231" s="56">
        <f t="shared" si="1095"/>
        <v>0</v>
      </c>
      <c r="G1231" s="55"/>
      <c r="H1231" s="153"/>
      <c r="I1231" s="153"/>
      <c r="J1231" s="168"/>
      <c r="K1231" s="56">
        <f t="shared" si="1080"/>
        <v>0</v>
      </c>
      <c r="L1231" s="55"/>
      <c r="M1231" s="153"/>
      <c r="N1231" s="153"/>
      <c r="O1231" s="168"/>
      <c r="P1231" s="56">
        <f t="shared" si="1081"/>
        <v>0</v>
      </c>
      <c r="Q1231" s="54"/>
      <c r="R1231" s="153"/>
      <c r="S1231" s="153"/>
      <c r="T1231" s="168"/>
      <c r="U1231" s="56">
        <f t="shared" si="1082"/>
        <v>0</v>
      </c>
      <c r="V1231" s="55"/>
      <c r="W1231" s="153">
        <v>3</v>
      </c>
      <c r="X1231" s="153"/>
      <c r="Y1231" s="168"/>
      <c r="Z1231" s="49">
        <f t="shared" si="1083"/>
        <v>3</v>
      </c>
      <c r="AA1231" s="49">
        <f t="shared" si="1086"/>
        <v>3</v>
      </c>
      <c r="AB1231" s="298">
        <v>45505</v>
      </c>
      <c r="AC1231" s="268" t="s">
        <v>28</v>
      </c>
      <c r="AD1231" s="55"/>
      <c r="AE1231" s="153"/>
      <c r="AF1231" s="153"/>
      <c r="AG1231" s="168"/>
      <c r="AH1231" s="56">
        <f t="shared" si="1096"/>
        <v>0</v>
      </c>
      <c r="AI1231" s="55"/>
      <c r="AJ1231" s="153"/>
      <c r="AK1231" s="153"/>
      <c r="AL1231" s="168"/>
      <c r="AM1231" s="56">
        <f t="shared" si="1097"/>
        <v>0</v>
      </c>
      <c r="AN1231" s="55"/>
      <c r="AO1231" s="153"/>
      <c r="AP1231" s="153"/>
      <c r="AQ1231" s="168"/>
      <c r="AR1231" s="56">
        <f t="shared" si="1098"/>
        <v>0</v>
      </c>
      <c r="AS1231" s="54"/>
      <c r="AT1231" s="153"/>
      <c r="AU1231" s="153"/>
      <c r="AV1231" s="168"/>
      <c r="AW1231" s="56">
        <f t="shared" si="1099"/>
        <v>0</v>
      </c>
      <c r="AX1231" s="55"/>
      <c r="AY1231" s="153"/>
      <c r="AZ1231" s="153"/>
      <c r="BA1231" s="168"/>
      <c r="BB1231" s="49">
        <f t="shared" si="1100"/>
        <v>0</v>
      </c>
      <c r="BC1231" s="49">
        <f t="shared" si="1101"/>
        <v>0</v>
      </c>
      <c r="BE1231" s="268" t="s">
        <v>28</v>
      </c>
      <c r="BF1231" s="63"/>
      <c r="BG1231" s="63"/>
      <c r="BH1231" s="63"/>
      <c r="BI1231" s="167"/>
      <c r="BJ1231" s="64">
        <v>0</v>
      </c>
      <c r="BK1231" s="191"/>
      <c r="BL1231" s="268" t="s">
        <v>28</v>
      </c>
      <c r="BM1231" s="63"/>
      <c r="BN1231" s="63"/>
      <c r="BO1231" s="63"/>
      <c r="BP1231" s="167"/>
      <c r="BQ1231" s="64">
        <v>0</v>
      </c>
    </row>
    <row r="1232" spans="1:69" x14ac:dyDescent="0.15">
      <c r="A1232" s="268" t="s">
        <v>28</v>
      </c>
      <c r="B1232" s="55"/>
      <c r="C1232" s="153"/>
      <c r="D1232" s="153">
        <v>2</v>
      </c>
      <c r="E1232" s="168">
        <v>2</v>
      </c>
      <c r="F1232" s="56">
        <f t="shared" si="1095"/>
        <v>4</v>
      </c>
      <c r="G1232" s="55"/>
      <c r="H1232" s="153"/>
      <c r="I1232" s="153"/>
      <c r="J1232" s="168"/>
      <c r="K1232" s="56">
        <f t="shared" si="1080"/>
        <v>0</v>
      </c>
      <c r="L1232" s="55"/>
      <c r="M1232" s="153"/>
      <c r="N1232" s="153"/>
      <c r="O1232" s="168">
        <v>2</v>
      </c>
      <c r="P1232" s="56">
        <f t="shared" si="1081"/>
        <v>2</v>
      </c>
      <c r="Q1232" s="54"/>
      <c r="R1232" s="153"/>
      <c r="S1232" s="153"/>
      <c r="T1232" s="168">
        <v>2</v>
      </c>
      <c r="U1232" s="56">
        <f t="shared" si="1082"/>
        <v>2</v>
      </c>
      <c r="V1232" s="55"/>
      <c r="W1232" s="153"/>
      <c r="X1232" s="153"/>
      <c r="Y1232" s="168"/>
      <c r="Z1232" s="49">
        <f t="shared" si="1083"/>
        <v>0</v>
      </c>
      <c r="AA1232" s="49">
        <f t="shared" si="1086"/>
        <v>8</v>
      </c>
      <c r="AB1232" s="298">
        <v>45511</v>
      </c>
      <c r="AC1232" s="268" t="s">
        <v>28</v>
      </c>
      <c r="AD1232" s="55"/>
      <c r="AE1232" s="153"/>
      <c r="AF1232" s="153"/>
      <c r="AG1232" s="168"/>
      <c r="AH1232" s="56">
        <f t="shared" si="1096"/>
        <v>0</v>
      </c>
      <c r="AI1232" s="55"/>
      <c r="AJ1232" s="153"/>
      <c r="AK1232" s="153"/>
      <c r="AL1232" s="168"/>
      <c r="AM1232" s="56">
        <f t="shared" si="1097"/>
        <v>0</v>
      </c>
      <c r="AN1232" s="55"/>
      <c r="AO1232" s="153"/>
      <c r="AP1232" s="153"/>
      <c r="AQ1232" s="168"/>
      <c r="AR1232" s="56">
        <f t="shared" si="1098"/>
        <v>0</v>
      </c>
      <c r="AS1232" s="54"/>
      <c r="AT1232" s="153"/>
      <c r="AU1232" s="153"/>
      <c r="AV1232" s="168"/>
      <c r="AW1232" s="56">
        <f t="shared" si="1099"/>
        <v>0</v>
      </c>
      <c r="AX1232" s="55"/>
      <c r="AY1232" s="153"/>
      <c r="AZ1232" s="153"/>
      <c r="BA1232" s="168"/>
      <c r="BB1232" s="49">
        <f t="shared" si="1100"/>
        <v>0</v>
      </c>
      <c r="BC1232" s="49">
        <f t="shared" si="1101"/>
        <v>0</v>
      </c>
      <c r="BE1232" s="268" t="s">
        <v>28</v>
      </c>
      <c r="BF1232" s="55"/>
      <c r="BG1232" s="153"/>
      <c r="BH1232" s="153"/>
      <c r="BI1232" s="168"/>
      <c r="BJ1232" s="56">
        <f t="shared" ref="BJ1232:BJ1263" si="1102">SUM(BF1232:BI1232)</f>
        <v>0</v>
      </c>
      <c r="BL1232" s="268" t="s">
        <v>28</v>
      </c>
      <c r="BM1232" s="55"/>
      <c r="BN1232" s="153"/>
      <c r="BO1232" s="153"/>
      <c r="BP1232" s="168"/>
      <c r="BQ1232" s="56">
        <f t="shared" ref="BQ1232:BQ1263" si="1103">SUM(BM1232:BP1232)</f>
        <v>0</v>
      </c>
    </row>
    <row r="1233" spans="1:70" x14ac:dyDescent="0.15">
      <c r="A1233" s="268" t="s">
        <v>28</v>
      </c>
      <c r="B1233" s="55"/>
      <c r="C1233" s="153"/>
      <c r="D1233" s="153"/>
      <c r="E1233" s="168"/>
      <c r="F1233" s="56">
        <f t="shared" si="1095"/>
        <v>0</v>
      </c>
      <c r="G1233" s="55"/>
      <c r="H1233" s="153"/>
      <c r="I1233" s="153"/>
      <c r="J1233" s="168">
        <v>3</v>
      </c>
      <c r="K1233" s="56">
        <f t="shared" si="1080"/>
        <v>3</v>
      </c>
      <c r="L1233" s="55"/>
      <c r="M1233" s="153"/>
      <c r="N1233" s="153"/>
      <c r="O1233" s="168">
        <v>3</v>
      </c>
      <c r="P1233" s="56">
        <f t="shared" si="1081"/>
        <v>3</v>
      </c>
      <c r="Q1233" s="54"/>
      <c r="R1233" s="153"/>
      <c r="S1233" s="153"/>
      <c r="T1233" s="168"/>
      <c r="U1233" s="56">
        <f t="shared" si="1082"/>
        <v>0</v>
      </c>
      <c r="V1233" s="55"/>
      <c r="W1233" s="153"/>
      <c r="X1233" s="153"/>
      <c r="Y1233" s="168"/>
      <c r="Z1233" s="49">
        <f t="shared" si="1083"/>
        <v>0</v>
      </c>
      <c r="AA1233" s="49">
        <f t="shared" si="1086"/>
        <v>6</v>
      </c>
      <c r="AB1233" s="298">
        <v>45514</v>
      </c>
      <c r="AC1233" s="268" t="s">
        <v>28</v>
      </c>
      <c r="AD1233" s="55"/>
      <c r="AE1233" s="153"/>
      <c r="AF1233" s="153"/>
      <c r="AG1233" s="168"/>
      <c r="AH1233" s="56">
        <f t="shared" si="1096"/>
        <v>0</v>
      </c>
      <c r="AI1233" s="55"/>
      <c r="AJ1233" s="153"/>
      <c r="AK1233" s="153"/>
      <c r="AL1233" s="168"/>
      <c r="AM1233" s="56">
        <f t="shared" si="1097"/>
        <v>0</v>
      </c>
      <c r="AN1233" s="55"/>
      <c r="AO1233" s="153"/>
      <c r="AP1233" s="153"/>
      <c r="AQ1233" s="168"/>
      <c r="AR1233" s="56">
        <f t="shared" si="1098"/>
        <v>0</v>
      </c>
      <c r="AS1233" s="54"/>
      <c r="AT1233" s="153"/>
      <c r="AU1233" s="153"/>
      <c r="AV1233" s="168"/>
      <c r="AW1233" s="56">
        <f t="shared" si="1099"/>
        <v>0</v>
      </c>
      <c r="AX1233" s="55"/>
      <c r="AY1233" s="153"/>
      <c r="AZ1233" s="153"/>
      <c r="BA1233" s="168"/>
      <c r="BB1233" s="49">
        <f t="shared" si="1100"/>
        <v>0</v>
      </c>
      <c r="BC1233" s="49">
        <f t="shared" si="1101"/>
        <v>0</v>
      </c>
      <c r="BE1233" s="268" t="s">
        <v>28</v>
      </c>
      <c r="BF1233" s="55"/>
      <c r="BG1233" s="153"/>
      <c r="BH1233" s="153"/>
      <c r="BI1233" s="168"/>
      <c r="BJ1233" s="56">
        <f t="shared" si="1102"/>
        <v>0</v>
      </c>
      <c r="BL1233" s="268" t="s">
        <v>28</v>
      </c>
      <c r="BM1233" s="55"/>
      <c r="BN1233" s="153"/>
      <c r="BO1233" s="153"/>
      <c r="BP1233" s="168"/>
      <c r="BQ1233" s="56">
        <f t="shared" si="1103"/>
        <v>0</v>
      </c>
    </row>
    <row r="1234" spans="1:70" ht="14.25" thickBot="1" x14ac:dyDescent="0.2">
      <c r="A1234" s="268" t="s">
        <v>109</v>
      </c>
      <c r="B1234" s="63"/>
      <c r="C1234" s="164"/>
      <c r="D1234" s="164"/>
      <c r="E1234" s="169"/>
      <c r="F1234" s="170">
        <f t="shared" si="1095"/>
        <v>0</v>
      </c>
      <c r="G1234" s="63"/>
      <c r="H1234" s="164"/>
      <c r="I1234" s="164"/>
      <c r="J1234" s="169"/>
      <c r="K1234" s="170">
        <f t="shared" si="1080"/>
        <v>0</v>
      </c>
      <c r="L1234" s="63"/>
      <c r="M1234" s="164"/>
      <c r="N1234" s="164"/>
      <c r="O1234" s="169"/>
      <c r="P1234" s="170">
        <f t="shared" si="1081"/>
        <v>0</v>
      </c>
      <c r="Q1234" s="62"/>
      <c r="R1234" s="164">
        <v>1</v>
      </c>
      <c r="S1234" s="164"/>
      <c r="T1234" s="169"/>
      <c r="U1234" s="170">
        <f t="shared" si="1082"/>
        <v>1</v>
      </c>
      <c r="V1234" s="63">
        <v>2</v>
      </c>
      <c r="W1234" s="164"/>
      <c r="X1234" s="164"/>
      <c r="Y1234" s="169"/>
      <c r="Z1234" s="170">
        <f t="shared" si="1083"/>
        <v>2</v>
      </c>
      <c r="AA1234" s="49">
        <f t="shared" si="1086"/>
        <v>3</v>
      </c>
      <c r="AB1234" s="299">
        <v>45525</v>
      </c>
      <c r="AC1234" s="268" t="s">
        <v>28</v>
      </c>
      <c r="AD1234" s="63"/>
      <c r="AE1234" s="164"/>
      <c r="AF1234" s="164"/>
      <c r="AG1234" s="169"/>
      <c r="AH1234" s="170">
        <f t="shared" si="1096"/>
        <v>0</v>
      </c>
      <c r="AI1234" s="63"/>
      <c r="AJ1234" s="164"/>
      <c r="AK1234" s="164"/>
      <c r="AL1234" s="169"/>
      <c r="AM1234" s="170">
        <f t="shared" si="1097"/>
        <v>0</v>
      </c>
      <c r="AN1234" s="63"/>
      <c r="AO1234" s="164"/>
      <c r="AP1234" s="164"/>
      <c r="AQ1234" s="169"/>
      <c r="AR1234" s="170">
        <f t="shared" si="1098"/>
        <v>0</v>
      </c>
      <c r="AS1234" s="62"/>
      <c r="AT1234" s="164"/>
      <c r="AU1234" s="164"/>
      <c r="AV1234" s="169"/>
      <c r="AW1234" s="170">
        <f t="shared" si="1099"/>
        <v>0</v>
      </c>
      <c r="AX1234" s="63"/>
      <c r="AY1234" s="164"/>
      <c r="AZ1234" s="164"/>
      <c r="BA1234" s="169"/>
      <c r="BB1234" s="170">
        <f t="shared" si="1100"/>
        <v>0</v>
      </c>
      <c r="BC1234" s="49">
        <f t="shared" si="1101"/>
        <v>0</v>
      </c>
      <c r="BE1234" s="274" t="s">
        <v>28</v>
      </c>
      <c r="BF1234" s="63"/>
      <c r="BG1234" s="164"/>
      <c r="BH1234" s="164"/>
      <c r="BI1234" s="169"/>
      <c r="BJ1234" s="170">
        <f t="shared" si="1102"/>
        <v>0</v>
      </c>
      <c r="BL1234" s="274" t="s">
        <v>28</v>
      </c>
      <c r="BM1234" s="63"/>
      <c r="BN1234" s="164"/>
      <c r="BO1234" s="164"/>
      <c r="BP1234" s="169"/>
      <c r="BQ1234" s="170">
        <f t="shared" si="1103"/>
        <v>0</v>
      </c>
    </row>
    <row r="1235" spans="1:70" ht="15" thickBot="1" x14ac:dyDescent="0.2">
      <c r="A1235" s="181" t="s">
        <v>14</v>
      </c>
      <c r="B1235" s="182">
        <f>SUM(B1227:B1234)</f>
        <v>5</v>
      </c>
      <c r="C1235" s="183">
        <f>SUM(C1227:C1234)</f>
        <v>6</v>
      </c>
      <c r="D1235" s="183">
        <f>SUM(D1227:D1234)</f>
        <v>7</v>
      </c>
      <c r="E1235" s="184">
        <f>SUM(E1227:E1234)</f>
        <v>6</v>
      </c>
      <c r="F1235" s="77">
        <f t="shared" si="1095"/>
        <v>24</v>
      </c>
      <c r="G1235" s="182">
        <f>SUM(G1227:G1234)</f>
        <v>5</v>
      </c>
      <c r="H1235" s="183">
        <f>SUM(H1227:H1234)</f>
        <v>5</v>
      </c>
      <c r="I1235" s="183">
        <f>SUM(I1227:I1234)</f>
        <v>6</v>
      </c>
      <c r="J1235" s="184">
        <f>SUM(J1227:J1234)</f>
        <v>7</v>
      </c>
      <c r="K1235" s="77">
        <f t="shared" si="1080"/>
        <v>23</v>
      </c>
      <c r="L1235" s="182">
        <f>SUM(L1227:L1234)</f>
        <v>6</v>
      </c>
      <c r="M1235" s="183">
        <f>SUM(M1227:M1234)</f>
        <v>6</v>
      </c>
      <c r="N1235" s="183">
        <f>SUM(N1227:N1234)</f>
        <v>7</v>
      </c>
      <c r="O1235" s="184">
        <f>SUM(O1227:O1234)</f>
        <v>11</v>
      </c>
      <c r="P1235" s="77">
        <f t="shared" si="1081"/>
        <v>30</v>
      </c>
      <c r="Q1235" s="182">
        <f>SUM(Q1227:Q1234)</f>
        <v>5</v>
      </c>
      <c r="R1235" s="183">
        <f>SUM(R1227:R1234)</f>
        <v>7</v>
      </c>
      <c r="S1235" s="183">
        <f>SUM(S1227:S1234)</f>
        <v>7</v>
      </c>
      <c r="T1235" s="184">
        <f>SUM(T1227:T1234)</f>
        <v>8</v>
      </c>
      <c r="U1235" s="77">
        <f t="shared" si="1082"/>
        <v>27</v>
      </c>
      <c r="V1235" s="293">
        <f>SUM(V1227:V1234)</f>
        <v>7</v>
      </c>
      <c r="W1235" s="183">
        <f>SUM(W1227:W1234)</f>
        <v>7</v>
      </c>
      <c r="X1235" s="183">
        <f>SUM(X1227:X1234)</f>
        <v>5</v>
      </c>
      <c r="Y1235" s="184">
        <f>SUM(Y1227:Y1234)</f>
        <v>5</v>
      </c>
      <c r="Z1235" s="77">
        <f t="shared" si="1083"/>
        <v>24</v>
      </c>
      <c r="AA1235" s="77">
        <f>F1235+K1235+P1235+U1235+Z1235</f>
        <v>128</v>
      </c>
      <c r="AC1235" s="275" t="s">
        <v>14</v>
      </c>
      <c r="AD1235" s="182">
        <f>SUM(AD1227:AD1234)</f>
        <v>73</v>
      </c>
      <c r="AE1235" s="183">
        <f>SUM(AE1227:AE1234)</f>
        <v>68</v>
      </c>
      <c r="AF1235" s="183">
        <f>SUM(AF1227:AF1234)</f>
        <v>131</v>
      </c>
      <c r="AG1235" s="184">
        <f>SUM(AG1227:AG1234)</f>
        <v>58</v>
      </c>
      <c r="AH1235" s="77">
        <f t="shared" si="1096"/>
        <v>330</v>
      </c>
      <c r="AI1235" s="182">
        <f>SUM(AI1227:AI1234)</f>
        <v>112</v>
      </c>
      <c r="AJ1235" s="183">
        <f>SUM(AJ1227:AJ1234)</f>
        <v>140</v>
      </c>
      <c r="AK1235" s="183">
        <f>SUM(AK1227:AK1234)</f>
        <v>103</v>
      </c>
      <c r="AL1235" s="184">
        <f>SUM(AL1227:AL1234)</f>
        <v>97</v>
      </c>
      <c r="AM1235" s="77">
        <f t="shared" si="1097"/>
        <v>452</v>
      </c>
      <c r="AN1235" s="182">
        <f>SUM(AN1227:AN1234)</f>
        <v>38</v>
      </c>
      <c r="AO1235" s="183">
        <f>SUM(AO1227:AO1234)</f>
        <v>51</v>
      </c>
      <c r="AP1235" s="183">
        <f>SUM(AP1227:AP1234)</f>
        <v>41</v>
      </c>
      <c r="AQ1235" s="184">
        <f>SUM(AQ1227:AQ1234)</f>
        <v>23</v>
      </c>
      <c r="AR1235" s="77">
        <f t="shared" si="1098"/>
        <v>153</v>
      </c>
      <c r="AS1235" s="182">
        <f>SUM(AS1227:AS1234)</f>
        <v>142</v>
      </c>
      <c r="AT1235" s="183">
        <f>SUM(AT1227:AT1234)</f>
        <v>173</v>
      </c>
      <c r="AU1235" s="183">
        <f>SUM(AU1227:AU1234)</f>
        <v>112</v>
      </c>
      <c r="AV1235" s="184">
        <f>SUM(AV1227:AV1234)</f>
        <v>82</v>
      </c>
      <c r="AW1235" s="77">
        <f t="shared" si="1099"/>
        <v>509</v>
      </c>
      <c r="AX1235" s="293">
        <f>SUM(AX1227:AX1234)</f>
        <v>105</v>
      </c>
      <c r="AY1235" s="183">
        <f>SUM(AY1227:AY1234)</f>
        <v>81</v>
      </c>
      <c r="AZ1235" s="183">
        <f>SUM(AZ1227:AZ1234)</f>
        <v>38</v>
      </c>
      <c r="BA1235" s="184">
        <f>SUM(BA1227:BA1234)</f>
        <v>28</v>
      </c>
      <c r="BB1235" s="77">
        <f t="shared" si="1100"/>
        <v>252</v>
      </c>
      <c r="BC1235" s="77">
        <f>AH1235+AM1235+AR1235+AW1235+BB1235</f>
        <v>1696</v>
      </c>
      <c r="BE1235" s="275" t="s">
        <v>14</v>
      </c>
      <c r="BF1235" s="182">
        <f>SUM(BF1227:BF1234)</f>
        <v>0</v>
      </c>
      <c r="BG1235" s="183">
        <f>SUM(BG1227:BG1234)</f>
        <v>0</v>
      </c>
      <c r="BH1235" s="183">
        <f>SUM(BH1227:BH1234)</f>
        <v>15</v>
      </c>
      <c r="BI1235" s="184">
        <f>SUM(BI1227:BI1234)</f>
        <v>0</v>
      </c>
      <c r="BJ1235" s="77">
        <f t="shared" si="1102"/>
        <v>15</v>
      </c>
      <c r="BL1235" s="275" t="s">
        <v>14</v>
      </c>
      <c r="BM1235" s="182">
        <f>SUM(BM1227:BM1234)</f>
        <v>0</v>
      </c>
      <c r="BN1235" s="183">
        <f>SUM(BN1227:BN1234)</f>
        <v>0</v>
      </c>
      <c r="BO1235" s="183">
        <f>SUM(BO1227:BO1234)</f>
        <v>13</v>
      </c>
      <c r="BP1235" s="184">
        <f>SUM(BP1227:BP1234)</f>
        <v>0</v>
      </c>
      <c r="BQ1235" s="77">
        <f t="shared" si="1103"/>
        <v>13</v>
      </c>
    </row>
    <row r="1236" spans="1:70" x14ac:dyDescent="0.15">
      <c r="A1236" s="53" t="s">
        <v>98</v>
      </c>
      <c r="B1236" s="54"/>
      <c r="C1236" s="55"/>
      <c r="D1236" s="55"/>
      <c r="E1236" s="55"/>
      <c r="F1236" s="56">
        <f t="shared" ref="F1236:F1257" si="1104">SUM(B1236:E1236)</f>
        <v>0</v>
      </c>
      <c r="G1236" s="54"/>
      <c r="H1236" s="55"/>
      <c r="I1236" s="55"/>
      <c r="J1236" s="55"/>
      <c r="K1236" s="56">
        <f t="shared" ref="K1236:K1257" si="1105">SUM(G1236:J1236)</f>
        <v>0</v>
      </c>
      <c r="L1236" s="54"/>
      <c r="M1236" s="55"/>
      <c r="N1236" s="55"/>
      <c r="O1236" s="55">
        <v>1</v>
      </c>
      <c r="P1236" s="56">
        <f t="shared" ref="P1236:P1257" si="1106">SUM(L1236:O1236)</f>
        <v>1</v>
      </c>
      <c r="Q1236" s="54"/>
      <c r="R1236" s="55"/>
      <c r="S1236" s="55"/>
      <c r="T1236" s="55">
        <v>1</v>
      </c>
      <c r="U1236" s="56">
        <f t="shared" ref="U1236:U1257" si="1107">SUM(Q1236:T1236)</f>
        <v>1</v>
      </c>
      <c r="V1236" s="55"/>
      <c r="W1236" s="55"/>
      <c r="X1236" s="55">
        <v>1</v>
      </c>
      <c r="Y1236" s="55"/>
      <c r="Z1236" s="56">
        <f t="shared" ref="Z1236:Z1257" si="1108">SUM(V1236:Y1236)</f>
        <v>1</v>
      </c>
      <c r="AA1236" s="56">
        <f t="shared" ref="AA1236:AA1257" si="1109">F1236+K1236+P1236+U1236+Z1236</f>
        <v>3</v>
      </c>
      <c r="AB1236" s="299">
        <v>45502</v>
      </c>
      <c r="AC1236" s="276" t="s">
        <v>611</v>
      </c>
      <c r="AD1236" s="54"/>
      <c r="AE1236" s="55"/>
      <c r="AF1236" s="55"/>
      <c r="AG1236" s="55"/>
      <c r="AH1236" s="56">
        <f t="shared" ref="AH1236:AH1253" si="1110">SUM(AD1236:AG1236)</f>
        <v>0</v>
      </c>
      <c r="AI1236" s="54"/>
      <c r="AJ1236" s="55"/>
      <c r="AK1236" s="55">
        <v>2</v>
      </c>
      <c r="AL1236" s="55"/>
      <c r="AM1236" s="56">
        <f t="shared" ref="AM1236:AM1253" si="1111">SUM(AI1236:AL1236)</f>
        <v>2</v>
      </c>
      <c r="AN1236" s="54"/>
      <c r="AO1236" s="55"/>
      <c r="AP1236" s="55"/>
      <c r="AQ1236" s="55"/>
      <c r="AR1236" s="56">
        <f t="shared" ref="AR1236:AR1253" si="1112">SUM(AN1236:AQ1236)</f>
        <v>0</v>
      </c>
      <c r="AS1236" s="54">
        <v>3</v>
      </c>
      <c r="AT1236" s="55">
        <v>2</v>
      </c>
      <c r="AU1236" s="55"/>
      <c r="AV1236" s="55">
        <v>1</v>
      </c>
      <c r="AW1236" s="56">
        <f t="shared" ref="AW1236:AW1253" si="1113">SUM(AS1236:AV1236)</f>
        <v>6</v>
      </c>
      <c r="AX1236" s="55"/>
      <c r="AY1236" s="55"/>
      <c r="AZ1236" s="55"/>
      <c r="BA1236" s="55"/>
      <c r="BB1236" s="56">
        <f t="shared" ref="BB1236:BB1253" si="1114">SUM(AX1236:BA1236)</f>
        <v>0</v>
      </c>
      <c r="BC1236" s="56">
        <f t="shared" ref="BC1236:BC1253" si="1115">AH1236+AM1236+AR1236+AW1236+BB1236</f>
        <v>8</v>
      </c>
      <c r="BD1236" s="298">
        <v>45509</v>
      </c>
      <c r="BE1236" s="277" t="s">
        <v>98</v>
      </c>
      <c r="BF1236" s="54"/>
      <c r="BG1236" s="55"/>
      <c r="BH1236" s="55">
        <v>1</v>
      </c>
      <c r="BI1236" s="55"/>
      <c r="BJ1236" s="56">
        <f t="shared" ref="BJ1236:BJ1237" si="1116">SUM(BF1236:BI1236)</f>
        <v>1</v>
      </c>
      <c r="BK1236" s="304">
        <v>45502</v>
      </c>
      <c r="BL1236" s="277" t="s">
        <v>99</v>
      </c>
      <c r="BM1236" s="54"/>
      <c r="BN1236" s="55"/>
      <c r="BO1236" s="55">
        <v>3</v>
      </c>
      <c r="BP1236" s="55"/>
      <c r="BQ1236" s="56">
        <f t="shared" si="1103"/>
        <v>3</v>
      </c>
      <c r="BR1236" s="306">
        <v>45503</v>
      </c>
    </row>
    <row r="1237" spans="1:70" x14ac:dyDescent="0.15">
      <c r="A1237" s="53" t="s">
        <v>98</v>
      </c>
      <c r="B1237" s="54"/>
      <c r="C1237" s="55"/>
      <c r="D1237" s="55"/>
      <c r="E1237" s="55"/>
      <c r="F1237" s="56">
        <f t="shared" si="1104"/>
        <v>0</v>
      </c>
      <c r="G1237" s="54"/>
      <c r="H1237" s="55"/>
      <c r="I1237" s="55"/>
      <c r="J1237" s="55"/>
      <c r="K1237" s="56">
        <f t="shared" si="1105"/>
        <v>0</v>
      </c>
      <c r="L1237" s="54"/>
      <c r="M1237" s="55"/>
      <c r="N1237" s="55"/>
      <c r="O1237" s="55"/>
      <c r="P1237" s="56">
        <f t="shared" si="1106"/>
        <v>0</v>
      </c>
      <c r="Q1237" s="54">
        <v>-1</v>
      </c>
      <c r="R1237" s="55">
        <v>1</v>
      </c>
      <c r="S1237" s="55"/>
      <c r="T1237" s="55"/>
      <c r="U1237" s="56">
        <f t="shared" si="1107"/>
        <v>0</v>
      </c>
      <c r="V1237" s="55"/>
      <c r="W1237" s="55"/>
      <c r="X1237" s="55"/>
      <c r="Y1237" s="55"/>
      <c r="Z1237" s="56">
        <f t="shared" si="1108"/>
        <v>0</v>
      </c>
      <c r="AA1237" s="56">
        <f t="shared" si="1109"/>
        <v>0</v>
      </c>
      <c r="AB1237" s="299">
        <v>45503</v>
      </c>
      <c r="AC1237" s="276" t="s">
        <v>612</v>
      </c>
      <c r="AD1237" s="54"/>
      <c r="AE1237" s="55"/>
      <c r="AF1237" s="55"/>
      <c r="AG1237" s="55"/>
      <c r="AH1237" s="56">
        <f t="shared" si="1110"/>
        <v>0</v>
      </c>
      <c r="AI1237" s="54"/>
      <c r="AJ1237" s="55"/>
      <c r="AK1237" s="55"/>
      <c r="AL1237" s="55"/>
      <c r="AM1237" s="56">
        <f t="shared" si="1111"/>
        <v>0</v>
      </c>
      <c r="AN1237" s="54"/>
      <c r="AO1237" s="55"/>
      <c r="AP1237" s="55"/>
      <c r="AQ1237" s="55"/>
      <c r="AR1237" s="56">
        <f t="shared" si="1112"/>
        <v>0</v>
      </c>
      <c r="AS1237" s="54"/>
      <c r="AT1237" s="55">
        <v>2</v>
      </c>
      <c r="AU1237" s="55"/>
      <c r="AV1237" s="55">
        <v>2</v>
      </c>
      <c r="AW1237" s="56">
        <f t="shared" si="1113"/>
        <v>4</v>
      </c>
      <c r="AX1237" s="55"/>
      <c r="AY1237" s="55"/>
      <c r="AZ1237" s="55"/>
      <c r="BA1237" s="55"/>
      <c r="BB1237" s="56">
        <f t="shared" si="1114"/>
        <v>0</v>
      </c>
      <c r="BC1237" s="56">
        <f t="shared" si="1115"/>
        <v>4</v>
      </c>
      <c r="BD1237" s="298">
        <v>45509</v>
      </c>
      <c r="BE1237" s="277" t="s">
        <v>98</v>
      </c>
      <c r="BF1237" s="54"/>
      <c r="BG1237" s="55"/>
      <c r="BH1237" s="55">
        <v>1</v>
      </c>
      <c r="BI1237" s="55"/>
      <c r="BJ1237" s="56">
        <f t="shared" si="1116"/>
        <v>1</v>
      </c>
      <c r="BK1237" s="304">
        <v>45515</v>
      </c>
      <c r="BL1237" s="277" t="s">
        <v>99</v>
      </c>
      <c r="BM1237" s="54"/>
      <c r="BN1237" s="55"/>
      <c r="BO1237" s="55">
        <v>10</v>
      </c>
      <c r="BP1237" s="55"/>
      <c r="BQ1237" s="56">
        <f t="shared" si="1103"/>
        <v>10</v>
      </c>
      <c r="BR1237" s="306">
        <v>45521</v>
      </c>
    </row>
    <row r="1238" spans="1:70" x14ac:dyDescent="0.15">
      <c r="A1238" s="53" t="s">
        <v>98</v>
      </c>
      <c r="B1238" s="54"/>
      <c r="C1238" s="55">
        <v>1</v>
      </c>
      <c r="D1238" s="55">
        <v>1</v>
      </c>
      <c r="E1238" s="55"/>
      <c r="F1238" s="56">
        <f t="shared" si="1104"/>
        <v>2</v>
      </c>
      <c r="G1238" s="54"/>
      <c r="H1238" s="55"/>
      <c r="I1238" s="55"/>
      <c r="J1238" s="55"/>
      <c r="K1238" s="56">
        <f t="shared" si="1105"/>
        <v>0</v>
      </c>
      <c r="L1238" s="54"/>
      <c r="M1238" s="55"/>
      <c r="N1238" s="55"/>
      <c r="O1238" s="55"/>
      <c r="P1238" s="56">
        <f t="shared" si="1106"/>
        <v>0</v>
      </c>
      <c r="Q1238" s="54"/>
      <c r="R1238" s="55"/>
      <c r="S1238" s="55"/>
      <c r="T1238" s="55">
        <v>1</v>
      </c>
      <c r="U1238" s="56">
        <f t="shared" si="1107"/>
        <v>1</v>
      </c>
      <c r="V1238" s="55"/>
      <c r="W1238" s="55">
        <v>1</v>
      </c>
      <c r="X1238" s="55"/>
      <c r="Y1238" s="55">
        <v>2</v>
      </c>
      <c r="Z1238" s="56">
        <f t="shared" si="1108"/>
        <v>3</v>
      </c>
      <c r="AA1238" s="56">
        <f t="shared" si="1109"/>
        <v>6</v>
      </c>
      <c r="AB1238" s="299">
        <v>45504</v>
      </c>
      <c r="AC1238" s="276" t="s">
        <v>99</v>
      </c>
      <c r="AD1238" s="54"/>
      <c r="AE1238" s="55"/>
      <c r="AF1238" s="55"/>
      <c r="AG1238" s="55"/>
      <c r="AH1238" s="56">
        <f t="shared" si="1110"/>
        <v>0</v>
      </c>
      <c r="AI1238" s="54"/>
      <c r="AJ1238" s="55"/>
      <c r="AK1238" s="55"/>
      <c r="AL1238" s="55"/>
      <c r="AM1238" s="56">
        <f t="shared" ref="AM1238" si="1117">SUM(AI1238:AL1238)</f>
        <v>0</v>
      </c>
      <c r="AN1238" s="54"/>
      <c r="AO1238" s="55"/>
      <c r="AP1238" s="55"/>
      <c r="AQ1238" s="55"/>
      <c r="AR1238" s="56">
        <f t="shared" ref="AR1238" si="1118">SUM(AN1238:AQ1238)</f>
        <v>0</v>
      </c>
      <c r="AS1238" s="54"/>
      <c r="AT1238" s="55"/>
      <c r="AU1238" s="55"/>
      <c r="AV1238" s="55"/>
      <c r="AW1238" s="56">
        <f t="shared" ref="AW1238" si="1119">SUM(AS1238:AV1238)</f>
        <v>0</v>
      </c>
      <c r="AX1238" s="55"/>
      <c r="AY1238" s="55">
        <v>3</v>
      </c>
      <c r="AZ1238" s="55"/>
      <c r="BA1238" s="55"/>
      <c r="BB1238" s="56">
        <f t="shared" ref="BB1238" si="1120">SUM(AX1238:BA1238)</f>
        <v>3</v>
      </c>
      <c r="BC1238" s="56">
        <f t="shared" si="1115"/>
        <v>3</v>
      </c>
      <c r="BD1238" s="298">
        <v>45505</v>
      </c>
      <c r="BE1238" s="277" t="s">
        <v>98</v>
      </c>
      <c r="BF1238" s="54"/>
      <c r="BG1238" s="55"/>
      <c r="BH1238" s="55">
        <v>2</v>
      </c>
      <c r="BI1238" s="55"/>
      <c r="BJ1238" s="56">
        <f t="shared" si="1102"/>
        <v>2</v>
      </c>
      <c r="BK1238" s="304">
        <v>45520</v>
      </c>
      <c r="BL1238" s="277"/>
      <c r="BM1238" s="54"/>
      <c r="BN1238" s="55"/>
      <c r="BO1238" s="55"/>
      <c r="BP1238" s="55"/>
      <c r="BQ1238" s="56">
        <f t="shared" si="1103"/>
        <v>0</v>
      </c>
      <c r="BR1238" s="191"/>
    </row>
    <row r="1239" spans="1:70" x14ac:dyDescent="0.15">
      <c r="A1239" s="53" t="s">
        <v>98</v>
      </c>
      <c r="B1239" s="54"/>
      <c r="C1239" s="55"/>
      <c r="D1239" s="55"/>
      <c r="E1239" s="55"/>
      <c r="F1239" s="56">
        <f t="shared" si="1104"/>
        <v>0</v>
      </c>
      <c r="G1239" s="54"/>
      <c r="H1239" s="55"/>
      <c r="I1239" s="55"/>
      <c r="J1239" s="55"/>
      <c r="K1239" s="56">
        <f t="shared" si="1105"/>
        <v>0</v>
      </c>
      <c r="L1239" s="54"/>
      <c r="M1239" s="55"/>
      <c r="N1239" s="55"/>
      <c r="O1239" s="55">
        <v>1</v>
      </c>
      <c r="P1239" s="56">
        <f t="shared" si="1106"/>
        <v>1</v>
      </c>
      <c r="Q1239" s="54"/>
      <c r="R1239" s="55"/>
      <c r="S1239" s="55"/>
      <c r="T1239" s="55"/>
      <c r="U1239" s="56">
        <f t="shared" si="1107"/>
        <v>0</v>
      </c>
      <c r="V1239" s="55"/>
      <c r="W1239" s="55"/>
      <c r="X1239" s="55"/>
      <c r="Y1239" s="55"/>
      <c r="Z1239" s="56">
        <f t="shared" si="1108"/>
        <v>0</v>
      </c>
      <c r="AA1239" s="56">
        <f t="shared" si="1109"/>
        <v>1</v>
      </c>
      <c r="AB1239" s="299">
        <v>45505</v>
      </c>
      <c r="AC1239" s="276" t="s">
        <v>393</v>
      </c>
      <c r="AD1239" s="54"/>
      <c r="AE1239" s="55"/>
      <c r="AF1239" s="55"/>
      <c r="AG1239" s="55"/>
      <c r="AH1239" s="56">
        <f t="shared" si="1110"/>
        <v>0</v>
      </c>
      <c r="AI1239" s="54"/>
      <c r="AJ1239" s="55"/>
      <c r="AK1239" s="55"/>
      <c r="AL1239" s="55"/>
      <c r="AM1239" s="56">
        <f t="shared" si="1111"/>
        <v>0</v>
      </c>
      <c r="AN1239" s="54"/>
      <c r="AO1239" s="55"/>
      <c r="AP1239" s="55"/>
      <c r="AQ1239" s="55"/>
      <c r="AR1239" s="56">
        <f t="shared" si="1112"/>
        <v>0</v>
      </c>
      <c r="AS1239" s="54"/>
      <c r="AT1239" s="55">
        <v>2</v>
      </c>
      <c r="AU1239" s="55"/>
      <c r="AV1239" s="55"/>
      <c r="AW1239" s="56">
        <f t="shared" si="1113"/>
        <v>2</v>
      </c>
      <c r="AX1239" s="55"/>
      <c r="AY1239" s="55"/>
      <c r="AZ1239" s="55"/>
      <c r="BA1239" s="55"/>
      <c r="BB1239" s="56">
        <f t="shared" si="1114"/>
        <v>0</v>
      </c>
      <c r="BC1239" s="56">
        <f t="shared" si="1115"/>
        <v>2</v>
      </c>
      <c r="BD1239" s="298">
        <v>45510</v>
      </c>
      <c r="BE1239" s="277" t="s">
        <v>98</v>
      </c>
      <c r="BF1239" s="54"/>
      <c r="BG1239" s="55"/>
      <c r="BH1239" s="55">
        <v>1</v>
      </c>
      <c r="BI1239" s="55"/>
      <c r="BJ1239" s="56">
        <f t="shared" si="1102"/>
        <v>1</v>
      </c>
      <c r="BK1239" s="304">
        <v>45530</v>
      </c>
      <c r="BL1239" s="277"/>
      <c r="BM1239" s="54"/>
      <c r="BN1239" s="55"/>
      <c r="BO1239" s="55"/>
      <c r="BP1239" s="55"/>
      <c r="BQ1239" s="56">
        <f t="shared" si="1103"/>
        <v>0</v>
      </c>
      <c r="BR1239" s="191"/>
    </row>
    <row r="1240" spans="1:70" x14ac:dyDescent="0.15">
      <c r="A1240" s="53" t="s">
        <v>98</v>
      </c>
      <c r="B1240" s="54">
        <v>1</v>
      </c>
      <c r="C1240" s="55"/>
      <c r="D1240" s="55">
        <v>1</v>
      </c>
      <c r="E1240" s="55"/>
      <c r="F1240" s="56">
        <f t="shared" si="1104"/>
        <v>2</v>
      </c>
      <c r="G1240" s="54"/>
      <c r="H1240" s="55"/>
      <c r="I1240" s="55"/>
      <c r="J1240" s="55"/>
      <c r="K1240" s="56">
        <f t="shared" si="1105"/>
        <v>0</v>
      </c>
      <c r="L1240" s="54"/>
      <c r="M1240" s="55"/>
      <c r="N1240" s="55"/>
      <c r="O1240" s="55">
        <v>1</v>
      </c>
      <c r="P1240" s="56">
        <f t="shared" si="1106"/>
        <v>1</v>
      </c>
      <c r="Q1240" s="54"/>
      <c r="R1240" s="55">
        <v>1</v>
      </c>
      <c r="S1240" s="55">
        <v>1</v>
      </c>
      <c r="T1240" s="55"/>
      <c r="U1240" s="56">
        <f t="shared" si="1107"/>
        <v>2</v>
      </c>
      <c r="V1240" s="55"/>
      <c r="W1240" s="55"/>
      <c r="X1240" s="55"/>
      <c r="Y1240" s="55"/>
      <c r="Z1240" s="56">
        <f t="shared" si="1108"/>
        <v>0</v>
      </c>
      <c r="AA1240" s="56">
        <f t="shared" si="1109"/>
        <v>5</v>
      </c>
      <c r="AB1240" s="299">
        <v>45509</v>
      </c>
      <c r="AC1240" s="276" t="s">
        <v>364</v>
      </c>
      <c r="AD1240" s="54"/>
      <c r="AE1240" s="55"/>
      <c r="AF1240" s="55"/>
      <c r="AG1240" s="55"/>
      <c r="AH1240" s="56">
        <f t="shared" si="1110"/>
        <v>0</v>
      </c>
      <c r="AI1240" s="54"/>
      <c r="AJ1240" s="55"/>
      <c r="AK1240" s="55"/>
      <c r="AL1240" s="55"/>
      <c r="AM1240" s="56">
        <f t="shared" si="1111"/>
        <v>0</v>
      </c>
      <c r="AN1240" s="54"/>
      <c r="AO1240" s="55"/>
      <c r="AP1240" s="55"/>
      <c r="AQ1240" s="55"/>
      <c r="AR1240" s="56">
        <f t="shared" si="1112"/>
        <v>0</v>
      </c>
      <c r="AS1240" s="54"/>
      <c r="AT1240" s="55"/>
      <c r="AU1240" s="55"/>
      <c r="AV1240" s="55"/>
      <c r="AW1240" s="56">
        <f t="shared" si="1113"/>
        <v>0</v>
      </c>
      <c r="AX1240" s="55"/>
      <c r="AY1240" s="55"/>
      <c r="AZ1240" s="55"/>
      <c r="BA1240" s="55">
        <v>2</v>
      </c>
      <c r="BB1240" s="56">
        <f t="shared" si="1114"/>
        <v>2</v>
      </c>
      <c r="BC1240" s="56">
        <f t="shared" si="1115"/>
        <v>2</v>
      </c>
      <c r="BD1240" s="298">
        <v>45510</v>
      </c>
      <c r="BE1240" s="277"/>
      <c r="BF1240" s="54"/>
      <c r="BG1240" s="55"/>
      <c r="BH1240" s="55"/>
      <c r="BI1240" s="55"/>
      <c r="BJ1240" s="56">
        <f t="shared" si="1102"/>
        <v>0</v>
      </c>
      <c r="BL1240" s="277"/>
      <c r="BM1240" s="54"/>
      <c r="BN1240" s="55"/>
      <c r="BO1240" s="55"/>
      <c r="BP1240" s="55"/>
      <c r="BQ1240" s="56">
        <f t="shared" si="1103"/>
        <v>0</v>
      </c>
      <c r="BR1240" s="191"/>
    </row>
    <row r="1241" spans="1:70" x14ac:dyDescent="0.15">
      <c r="A1241" s="53" t="s">
        <v>615</v>
      </c>
      <c r="B1241" s="54"/>
      <c r="C1241" s="55"/>
      <c r="D1241" s="55"/>
      <c r="E1241" s="55"/>
      <c r="F1241" s="56">
        <f t="shared" si="1104"/>
        <v>0</v>
      </c>
      <c r="G1241" s="54"/>
      <c r="H1241" s="55"/>
      <c r="I1241" s="55"/>
      <c r="J1241" s="55"/>
      <c r="K1241" s="56">
        <f t="shared" si="1105"/>
        <v>0</v>
      </c>
      <c r="L1241" s="54"/>
      <c r="M1241" s="55">
        <v>1</v>
      </c>
      <c r="N1241" s="55"/>
      <c r="O1241" s="55"/>
      <c r="P1241" s="56">
        <f t="shared" si="1106"/>
        <v>1</v>
      </c>
      <c r="Q1241" s="54"/>
      <c r="R1241" s="55"/>
      <c r="S1241" s="55"/>
      <c r="T1241" s="55"/>
      <c r="U1241" s="56">
        <f t="shared" si="1107"/>
        <v>0</v>
      </c>
      <c r="V1241" s="55"/>
      <c r="W1241" s="55"/>
      <c r="X1241" s="55"/>
      <c r="Y1241" s="55"/>
      <c r="Z1241" s="56">
        <f t="shared" si="1108"/>
        <v>0</v>
      </c>
      <c r="AA1241" s="56">
        <f t="shared" si="1109"/>
        <v>1</v>
      </c>
      <c r="AB1241" s="298">
        <v>45511</v>
      </c>
      <c r="AC1241" s="276" t="s">
        <v>396</v>
      </c>
      <c r="AD1241" s="54"/>
      <c r="AE1241" s="55"/>
      <c r="AF1241" s="55"/>
      <c r="AG1241" s="55"/>
      <c r="AH1241" s="56">
        <f t="shared" si="1110"/>
        <v>0</v>
      </c>
      <c r="AI1241" s="54">
        <v>8</v>
      </c>
      <c r="AJ1241" s="55"/>
      <c r="AK1241" s="55"/>
      <c r="AL1241" s="55">
        <v>2</v>
      </c>
      <c r="AM1241" s="56">
        <f t="shared" si="1111"/>
        <v>10</v>
      </c>
      <c r="AN1241" s="54"/>
      <c r="AO1241" s="55"/>
      <c r="AP1241" s="55"/>
      <c r="AQ1241" s="55"/>
      <c r="AR1241" s="56">
        <f t="shared" si="1112"/>
        <v>0</v>
      </c>
      <c r="AS1241" s="54"/>
      <c r="AT1241" s="55">
        <f>2+6</f>
        <v>8</v>
      </c>
      <c r="AU1241" s="55"/>
      <c r="AV1241" s="55"/>
      <c r="AW1241" s="56">
        <f t="shared" si="1113"/>
        <v>8</v>
      </c>
      <c r="AX1241" s="55"/>
      <c r="AY1241" s="55"/>
      <c r="AZ1241" s="55"/>
      <c r="BA1241" s="55"/>
      <c r="BB1241" s="56">
        <f t="shared" si="1114"/>
        <v>0</v>
      </c>
      <c r="BC1241" s="56">
        <f t="shared" si="1115"/>
        <v>18</v>
      </c>
      <c r="BD1241" s="298">
        <v>45512</v>
      </c>
      <c r="BE1241" s="277"/>
      <c r="BF1241" s="54"/>
      <c r="BG1241" s="55"/>
      <c r="BH1241" s="55"/>
      <c r="BI1241" s="55"/>
      <c r="BJ1241" s="56">
        <f t="shared" si="1102"/>
        <v>0</v>
      </c>
      <c r="BL1241" s="277"/>
      <c r="BM1241" s="54"/>
      <c r="BN1241" s="55"/>
      <c r="BO1241" s="55"/>
      <c r="BP1241" s="55"/>
      <c r="BQ1241" s="56">
        <f t="shared" si="1103"/>
        <v>0</v>
      </c>
      <c r="BR1241" s="191"/>
    </row>
    <row r="1242" spans="1:70" x14ac:dyDescent="0.15">
      <c r="A1242" s="53" t="s">
        <v>98</v>
      </c>
      <c r="B1242" s="54"/>
      <c r="C1242" s="55"/>
      <c r="D1242" s="55"/>
      <c r="E1242" s="55">
        <v>1</v>
      </c>
      <c r="F1242" s="56">
        <f t="shared" si="1104"/>
        <v>1</v>
      </c>
      <c r="G1242" s="54"/>
      <c r="H1242" s="55"/>
      <c r="I1242" s="55"/>
      <c r="J1242" s="55"/>
      <c r="K1242" s="56">
        <f t="shared" si="1105"/>
        <v>0</v>
      </c>
      <c r="L1242" s="54"/>
      <c r="M1242" s="55"/>
      <c r="N1242" s="55">
        <v>1</v>
      </c>
      <c r="O1242" s="55">
        <v>1</v>
      </c>
      <c r="P1242" s="56">
        <f t="shared" si="1106"/>
        <v>2</v>
      </c>
      <c r="Q1242" s="54"/>
      <c r="R1242" s="55"/>
      <c r="S1242" s="55"/>
      <c r="T1242" s="55">
        <v>1</v>
      </c>
      <c r="U1242" s="56">
        <f t="shared" si="1107"/>
        <v>1</v>
      </c>
      <c r="V1242" s="55"/>
      <c r="W1242" s="55"/>
      <c r="X1242" s="55"/>
      <c r="Y1242" s="55"/>
      <c r="Z1242" s="56">
        <f t="shared" si="1108"/>
        <v>0</v>
      </c>
      <c r="AA1242" s="56">
        <f t="shared" si="1109"/>
        <v>4</v>
      </c>
      <c r="AB1242" s="298">
        <v>45510</v>
      </c>
      <c r="AC1242" s="276" t="s">
        <v>365</v>
      </c>
      <c r="AD1242" s="54"/>
      <c r="AE1242" s="55"/>
      <c r="AF1242" s="55"/>
      <c r="AG1242" s="55"/>
      <c r="AH1242" s="56">
        <f t="shared" si="1110"/>
        <v>0</v>
      </c>
      <c r="AI1242" s="54"/>
      <c r="AJ1242" s="55"/>
      <c r="AK1242" s="55"/>
      <c r="AL1242" s="55"/>
      <c r="AM1242" s="56">
        <f t="shared" si="1111"/>
        <v>0</v>
      </c>
      <c r="AN1242" s="54"/>
      <c r="AO1242" s="55"/>
      <c r="AP1242" s="55"/>
      <c r="AQ1242" s="55"/>
      <c r="AR1242" s="56">
        <f t="shared" si="1112"/>
        <v>0</v>
      </c>
      <c r="AS1242" s="54"/>
      <c r="AT1242" s="55"/>
      <c r="AU1242" s="55"/>
      <c r="AV1242" s="55"/>
      <c r="AW1242" s="56">
        <f t="shared" si="1113"/>
        <v>0</v>
      </c>
      <c r="AX1242" s="55">
        <v>2</v>
      </c>
      <c r="AY1242" s="55"/>
      <c r="AZ1242" s="55"/>
      <c r="BA1242" s="55"/>
      <c r="BB1242" s="56">
        <f t="shared" si="1114"/>
        <v>2</v>
      </c>
      <c r="BC1242" s="56">
        <f t="shared" si="1115"/>
        <v>2</v>
      </c>
      <c r="BD1242" s="298">
        <v>45512</v>
      </c>
      <c r="BE1242" s="277"/>
      <c r="BF1242" s="54"/>
      <c r="BG1242" s="55"/>
      <c r="BH1242" s="55"/>
      <c r="BI1242" s="55"/>
      <c r="BJ1242" s="56">
        <f t="shared" si="1102"/>
        <v>0</v>
      </c>
      <c r="BL1242" s="277"/>
      <c r="BM1242" s="54"/>
      <c r="BN1242" s="55"/>
      <c r="BO1242" s="55"/>
      <c r="BP1242" s="55"/>
      <c r="BQ1242" s="56">
        <f t="shared" si="1103"/>
        <v>0</v>
      </c>
    </row>
    <row r="1243" spans="1:70" x14ac:dyDescent="0.15">
      <c r="A1243" s="53" t="s">
        <v>98</v>
      </c>
      <c r="B1243" s="54"/>
      <c r="C1243" s="55"/>
      <c r="D1243" s="55"/>
      <c r="E1243" s="55"/>
      <c r="F1243" s="56">
        <f t="shared" si="1104"/>
        <v>0</v>
      </c>
      <c r="G1243" s="54"/>
      <c r="H1243" s="55"/>
      <c r="I1243" s="55"/>
      <c r="J1243" s="55">
        <v>1</v>
      </c>
      <c r="K1243" s="56">
        <f t="shared" si="1105"/>
        <v>1</v>
      </c>
      <c r="L1243" s="54"/>
      <c r="M1243" s="55"/>
      <c r="N1243" s="55"/>
      <c r="O1243" s="55"/>
      <c r="P1243" s="56">
        <f t="shared" si="1106"/>
        <v>0</v>
      </c>
      <c r="Q1243" s="54"/>
      <c r="R1243" s="55"/>
      <c r="S1243" s="55"/>
      <c r="T1243" s="55"/>
      <c r="U1243" s="56">
        <f t="shared" si="1107"/>
        <v>0</v>
      </c>
      <c r="V1243" s="55"/>
      <c r="W1243" s="55"/>
      <c r="X1243" s="55"/>
      <c r="Y1243" s="55"/>
      <c r="Z1243" s="56">
        <f t="shared" si="1108"/>
        <v>0</v>
      </c>
      <c r="AA1243" s="56">
        <f t="shared" si="1109"/>
        <v>1</v>
      </c>
      <c r="AB1243" s="299">
        <v>45511</v>
      </c>
      <c r="AC1243" s="276" t="s">
        <v>613</v>
      </c>
      <c r="AD1243" s="54"/>
      <c r="AE1243" s="55">
        <v>1</v>
      </c>
      <c r="AF1243" s="55"/>
      <c r="AG1243" s="55"/>
      <c r="AH1243" s="56">
        <f t="shared" si="1110"/>
        <v>1</v>
      </c>
      <c r="AI1243" s="54">
        <v>4</v>
      </c>
      <c r="AJ1243" s="55">
        <v>3</v>
      </c>
      <c r="AK1243" s="55"/>
      <c r="AL1243" s="55">
        <v>2</v>
      </c>
      <c r="AM1243" s="56">
        <f t="shared" si="1111"/>
        <v>9</v>
      </c>
      <c r="AN1243" s="54"/>
      <c r="AO1243" s="55"/>
      <c r="AP1243" s="55"/>
      <c r="AQ1243" s="55"/>
      <c r="AR1243" s="56">
        <f t="shared" si="1112"/>
        <v>0</v>
      </c>
      <c r="AS1243" s="54"/>
      <c r="AT1243" s="55">
        <v>1</v>
      </c>
      <c r="AU1243" s="55"/>
      <c r="AV1243" s="55">
        <v>2</v>
      </c>
      <c r="AW1243" s="56">
        <f t="shared" si="1113"/>
        <v>3</v>
      </c>
      <c r="AX1243" s="55"/>
      <c r="AY1243" s="55"/>
      <c r="AZ1243" s="55"/>
      <c r="BA1243" s="55"/>
      <c r="BB1243" s="56">
        <f t="shared" si="1114"/>
        <v>0</v>
      </c>
      <c r="BC1243" s="56">
        <f t="shared" si="1115"/>
        <v>13</v>
      </c>
      <c r="BD1243" s="298">
        <v>45513</v>
      </c>
      <c r="BE1243" s="277"/>
      <c r="BF1243" s="54"/>
      <c r="BG1243" s="55"/>
      <c r="BH1243" s="55"/>
      <c r="BI1243" s="55"/>
      <c r="BJ1243" s="56">
        <f t="shared" si="1102"/>
        <v>0</v>
      </c>
      <c r="BL1243" s="277"/>
      <c r="BM1243" s="54"/>
      <c r="BN1243" s="55"/>
      <c r="BO1243" s="55"/>
      <c r="BP1243" s="55"/>
      <c r="BQ1243" s="56">
        <f t="shared" si="1103"/>
        <v>0</v>
      </c>
    </row>
    <row r="1244" spans="1:70" x14ac:dyDescent="0.15">
      <c r="A1244" s="53" t="s">
        <v>98</v>
      </c>
      <c r="B1244" s="54"/>
      <c r="C1244" s="55"/>
      <c r="D1244" s="55"/>
      <c r="E1244" s="55"/>
      <c r="F1244" s="56">
        <f t="shared" si="1104"/>
        <v>0</v>
      </c>
      <c r="G1244" s="54">
        <v>1</v>
      </c>
      <c r="H1244" s="55"/>
      <c r="I1244" s="55"/>
      <c r="J1244" s="55"/>
      <c r="K1244" s="56">
        <f t="shared" si="1105"/>
        <v>1</v>
      </c>
      <c r="L1244" s="54"/>
      <c r="M1244" s="55"/>
      <c r="N1244" s="55"/>
      <c r="O1244" s="55"/>
      <c r="P1244" s="56">
        <f t="shared" si="1106"/>
        <v>0</v>
      </c>
      <c r="Q1244" s="54"/>
      <c r="R1244" s="55"/>
      <c r="S1244" s="55"/>
      <c r="T1244" s="55"/>
      <c r="U1244" s="56">
        <f t="shared" si="1107"/>
        <v>0</v>
      </c>
      <c r="V1244" s="55"/>
      <c r="W1244" s="55"/>
      <c r="X1244" s="55"/>
      <c r="Y1244" s="55"/>
      <c r="Z1244" s="56">
        <f t="shared" si="1108"/>
        <v>0</v>
      </c>
      <c r="AA1244" s="56">
        <f t="shared" si="1109"/>
        <v>1</v>
      </c>
      <c r="AB1244" s="299">
        <v>45512</v>
      </c>
      <c r="AC1244" s="276" t="s">
        <v>614</v>
      </c>
      <c r="AD1244" s="54"/>
      <c r="AE1244" s="55"/>
      <c r="AF1244" s="55"/>
      <c r="AG1244" s="55"/>
      <c r="AH1244" s="56">
        <f t="shared" si="1110"/>
        <v>0</v>
      </c>
      <c r="AI1244" s="54">
        <v>2</v>
      </c>
      <c r="AJ1244" s="55"/>
      <c r="AK1244" s="55"/>
      <c r="AL1244" s="55"/>
      <c r="AM1244" s="56">
        <f t="shared" si="1111"/>
        <v>2</v>
      </c>
      <c r="AN1244" s="54"/>
      <c r="AO1244" s="55"/>
      <c r="AP1244" s="55"/>
      <c r="AQ1244" s="55"/>
      <c r="AR1244" s="56">
        <f t="shared" si="1112"/>
        <v>0</v>
      </c>
      <c r="AS1244" s="54"/>
      <c r="AT1244" s="55"/>
      <c r="AU1244" s="55"/>
      <c r="AV1244" s="55"/>
      <c r="AW1244" s="56">
        <f t="shared" si="1113"/>
        <v>0</v>
      </c>
      <c r="AX1244" s="55"/>
      <c r="AY1244" s="55"/>
      <c r="AZ1244" s="55"/>
      <c r="BA1244" s="55"/>
      <c r="BB1244" s="56">
        <f t="shared" si="1114"/>
        <v>0</v>
      </c>
      <c r="BC1244" s="56">
        <f t="shared" si="1115"/>
        <v>2</v>
      </c>
      <c r="BD1244" s="298">
        <v>45513</v>
      </c>
      <c r="BE1244" s="277"/>
      <c r="BF1244" s="54"/>
      <c r="BG1244" s="55"/>
      <c r="BH1244" s="55"/>
      <c r="BI1244" s="55"/>
      <c r="BJ1244" s="56">
        <f t="shared" si="1102"/>
        <v>0</v>
      </c>
      <c r="BL1244" s="277"/>
      <c r="BM1244" s="54"/>
      <c r="BN1244" s="55"/>
      <c r="BO1244" s="55"/>
      <c r="BP1244" s="55"/>
      <c r="BQ1244" s="56">
        <f t="shared" si="1103"/>
        <v>0</v>
      </c>
    </row>
    <row r="1245" spans="1:70" x14ac:dyDescent="0.15">
      <c r="A1245" s="53" t="s">
        <v>98</v>
      </c>
      <c r="B1245" s="54"/>
      <c r="C1245" s="55"/>
      <c r="D1245" s="55"/>
      <c r="E1245" s="55"/>
      <c r="F1245" s="56">
        <f t="shared" si="1104"/>
        <v>0</v>
      </c>
      <c r="G1245" s="54"/>
      <c r="H1245" s="55"/>
      <c r="I1245" s="55"/>
      <c r="J1245" s="55"/>
      <c r="K1245" s="56">
        <f t="shared" si="1105"/>
        <v>0</v>
      </c>
      <c r="L1245" s="54"/>
      <c r="M1245" s="55"/>
      <c r="N1245" s="55">
        <v>1</v>
      </c>
      <c r="O1245" s="55">
        <v>1</v>
      </c>
      <c r="P1245" s="56">
        <f t="shared" si="1106"/>
        <v>2</v>
      </c>
      <c r="Q1245" s="54">
        <v>1</v>
      </c>
      <c r="R1245" s="55"/>
      <c r="S1245" s="55"/>
      <c r="T1245" s="55"/>
      <c r="U1245" s="56">
        <f t="shared" si="1107"/>
        <v>1</v>
      </c>
      <c r="V1245" s="55"/>
      <c r="W1245" s="55"/>
      <c r="X1245" s="55"/>
      <c r="Y1245" s="55"/>
      <c r="Z1245" s="56">
        <f t="shared" si="1108"/>
        <v>0</v>
      </c>
      <c r="AA1245" s="56">
        <f t="shared" si="1109"/>
        <v>3</v>
      </c>
      <c r="AB1245" s="299">
        <v>45513</v>
      </c>
      <c r="AC1245" s="276" t="s">
        <v>99</v>
      </c>
      <c r="AD1245" s="54"/>
      <c r="AE1245" s="55"/>
      <c r="AF1245" s="55">
        <v>2</v>
      </c>
      <c r="AG1245" s="55">
        <v>2</v>
      </c>
      <c r="AH1245" s="56">
        <f t="shared" si="1110"/>
        <v>4</v>
      </c>
      <c r="AI1245" s="54"/>
      <c r="AJ1245" s="55"/>
      <c r="AK1245" s="55"/>
      <c r="AL1245" s="55"/>
      <c r="AM1245" s="56">
        <f t="shared" ref="AM1245" si="1121">SUM(AI1245:AL1245)</f>
        <v>0</v>
      </c>
      <c r="AN1245" s="54"/>
      <c r="AO1245" s="55"/>
      <c r="AP1245" s="55"/>
      <c r="AQ1245" s="55">
        <v>2</v>
      </c>
      <c r="AR1245" s="56">
        <f t="shared" ref="AR1245" si="1122">SUM(AN1245:AQ1245)</f>
        <v>2</v>
      </c>
      <c r="AS1245" s="54"/>
      <c r="AT1245" s="55"/>
      <c r="AU1245" s="55"/>
      <c r="AV1245" s="55">
        <v>2</v>
      </c>
      <c r="AW1245" s="56">
        <f t="shared" ref="AW1245" si="1123">SUM(AS1245:AV1245)</f>
        <v>2</v>
      </c>
      <c r="AX1245" s="55"/>
      <c r="AY1245" s="55"/>
      <c r="AZ1245" s="55"/>
      <c r="BA1245" s="55"/>
      <c r="BB1245" s="56">
        <f t="shared" ref="BB1245" si="1124">SUM(AX1245:BA1245)</f>
        <v>0</v>
      </c>
      <c r="BC1245" s="56">
        <f t="shared" si="1115"/>
        <v>8</v>
      </c>
      <c r="BD1245" s="298">
        <v>45511</v>
      </c>
      <c r="BE1245" s="277"/>
      <c r="BF1245" s="54"/>
      <c r="BG1245" s="55"/>
      <c r="BH1245" s="55"/>
      <c r="BI1245" s="55"/>
      <c r="BJ1245" s="56">
        <f t="shared" si="1102"/>
        <v>0</v>
      </c>
      <c r="BL1245" s="277"/>
      <c r="BM1245" s="54"/>
      <c r="BN1245" s="55"/>
      <c r="BO1245" s="55"/>
      <c r="BP1245" s="55"/>
      <c r="BQ1245" s="56">
        <f t="shared" si="1103"/>
        <v>0</v>
      </c>
    </row>
    <row r="1246" spans="1:70" x14ac:dyDescent="0.15">
      <c r="A1246" s="53" t="s">
        <v>98</v>
      </c>
      <c r="B1246" s="54">
        <v>1</v>
      </c>
      <c r="C1246" s="55"/>
      <c r="D1246" s="55"/>
      <c r="E1246" s="55"/>
      <c r="F1246" s="56">
        <f t="shared" si="1104"/>
        <v>1</v>
      </c>
      <c r="G1246" s="54"/>
      <c r="H1246" s="55"/>
      <c r="I1246" s="55"/>
      <c r="J1246" s="55"/>
      <c r="K1246" s="56">
        <f t="shared" si="1105"/>
        <v>0</v>
      </c>
      <c r="L1246" s="54"/>
      <c r="M1246" s="55">
        <v>1</v>
      </c>
      <c r="N1246" s="55"/>
      <c r="O1246" s="55"/>
      <c r="P1246" s="56">
        <f t="shared" si="1106"/>
        <v>1</v>
      </c>
      <c r="Q1246" s="54"/>
      <c r="R1246" s="55"/>
      <c r="S1246" s="55"/>
      <c r="T1246" s="55"/>
      <c r="U1246" s="56">
        <f t="shared" si="1107"/>
        <v>0</v>
      </c>
      <c r="V1246" s="55"/>
      <c r="W1246" s="55"/>
      <c r="X1246" s="55"/>
      <c r="Y1246" s="55"/>
      <c r="Z1246" s="56">
        <f t="shared" si="1108"/>
        <v>0</v>
      </c>
      <c r="AA1246" s="56">
        <f t="shared" si="1109"/>
        <v>2</v>
      </c>
      <c r="AB1246" s="299">
        <v>45515</v>
      </c>
      <c r="AC1246" s="276" t="s">
        <v>371</v>
      </c>
      <c r="AD1246" s="54"/>
      <c r="AE1246" s="55"/>
      <c r="AF1246" s="55"/>
      <c r="AG1246" s="55"/>
      <c r="AH1246" s="56">
        <f t="shared" si="1110"/>
        <v>0</v>
      </c>
      <c r="AI1246" s="54"/>
      <c r="AJ1246" s="55"/>
      <c r="AK1246" s="55"/>
      <c r="AL1246" s="55"/>
      <c r="AM1246" s="56">
        <f t="shared" si="1111"/>
        <v>0</v>
      </c>
      <c r="AN1246" s="54"/>
      <c r="AO1246" s="55"/>
      <c r="AP1246" s="55"/>
      <c r="AQ1246" s="55"/>
      <c r="AR1246" s="56">
        <f t="shared" si="1112"/>
        <v>0</v>
      </c>
      <c r="AS1246" s="54"/>
      <c r="AT1246" s="55"/>
      <c r="AU1246" s="55"/>
      <c r="AV1246" s="55"/>
      <c r="AW1246" s="56">
        <f t="shared" si="1113"/>
        <v>0</v>
      </c>
      <c r="AX1246" s="55"/>
      <c r="AY1246" s="55"/>
      <c r="AZ1246" s="55"/>
      <c r="BA1246" s="55">
        <v>2</v>
      </c>
      <c r="BB1246" s="56">
        <f t="shared" si="1114"/>
        <v>2</v>
      </c>
      <c r="BC1246" s="56">
        <f t="shared" si="1115"/>
        <v>2</v>
      </c>
      <c r="BD1246" s="298">
        <v>45517</v>
      </c>
      <c r="BE1246" s="277"/>
      <c r="BF1246" s="54"/>
      <c r="BG1246" s="55"/>
      <c r="BH1246" s="55"/>
      <c r="BI1246" s="55"/>
      <c r="BJ1246" s="56">
        <f t="shared" si="1102"/>
        <v>0</v>
      </c>
      <c r="BL1246" s="277"/>
      <c r="BM1246" s="54"/>
      <c r="BN1246" s="55"/>
      <c r="BO1246" s="55"/>
      <c r="BP1246" s="55"/>
      <c r="BQ1246" s="56">
        <f t="shared" si="1103"/>
        <v>0</v>
      </c>
    </row>
    <row r="1247" spans="1:70" x14ac:dyDescent="0.15">
      <c r="A1247" s="53" t="s">
        <v>98</v>
      </c>
      <c r="B1247" s="54"/>
      <c r="C1247" s="55"/>
      <c r="D1247" s="55"/>
      <c r="E1247" s="55"/>
      <c r="F1247" s="56">
        <f t="shared" si="1104"/>
        <v>0</v>
      </c>
      <c r="G1247" s="54"/>
      <c r="H1247" s="55">
        <v>1</v>
      </c>
      <c r="I1247" s="55">
        <v>1</v>
      </c>
      <c r="J1247" s="55"/>
      <c r="K1247" s="56">
        <f t="shared" si="1105"/>
        <v>2</v>
      </c>
      <c r="L1247" s="54">
        <v>1</v>
      </c>
      <c r="M1247" s="55"/>
      <c r="N1247" s="55"/>
      <c r="O1247" s="55"/>
      <c r="P1247" s="56">
        <f t="shared" si="1106"/>
        <v>1</v>
      </c>
      <c r="Q1247" s="54">
        <v>1</v>
      </c>
      <c r="R1247" s="55"/>
      <c r="S1247" s="55"/>
      <c r="T1247" s="55">
        <v>1</v>
      </c>
      <c r="U1247" s="56">
        <f t="shared" si="1107"/>
        <v>2</v>
      </c>
      <c r="V1247" s="55"/>
      <c r="W1247" s="55"/>
      <c r="X1247" s="55"/>
      <c r="Y1247" s="55"/>
      <c r="Z1247" s="56">
        <f t="shared" si="1108"/>
        <v>0</v>
      </c>
      <c r="AA1247" s="56">
        <f t="shared" si="1109"/>
        <v>5</v>
      </c>
      <c r="AB1247" s="299">
        <v>45520</v>
      </c>
      <c r="AC1247" s="276" t="s">
        <v>99</v>
      </c>
      <c r="AD1247" s="54"/>
      <c r="AE1247" s="55"/>
      <c r="AF1247" s="55"/>
      <c r="AG1247" s="55"/>
      <c r="AH1247" s="56">
        <f t="shared" si="1110"/>
        <v>0</v>
      </c>
      <c r="AI1247" s="54"/>
      <c r="AJ1247" s="55"/>
      <c r="AK1247" s="55"/>
      <c r="AL1247" s="55">
        <v>3</v>
      </c>
      <c r="AM1247" s="56">
        <f t="shared" ref="AM1247" si="1125">SUM(AI1247:AL1247)</f>
        <v>3</v>
      </c>
      <c r="AN1247" s="54"/>
      <c r="AO1247" s="55"/>
      <c r="AP1247" s="55"/>
      <c r="AQ1247" s="55">
        <v>3</v>
      </c>
      <c r="AR1247" s="56">
        <f t="shared" ref="AR1247" si="1126">SUM(AN1247:AQ1247)</f>
        <v>3</v>
      </c>
      <c r="AS1247" s="54"/>
      <c r="AT1247" s="55"/>
      <c r="AU1247" s="55"/>
      <c r="AV1247" s="55"/>
      <c r="AW1247" s="56">
        <f t="shared" ref="AW1247" si="1127">SUM(AS1247:AV1247)</f>
        <v>0</v>
      </c>
      <c r="AX1247" s="55"/>
      <c r="AY1247" s="55"/>
      <c r="AZ1247" s="55"/>
      <c r="BA1247" s="55"/>
      <c r="BB1247" s="56">
        <f t="shared" ref="BB1247" si="1128">SUM(AX1247:BA1247)</f>
        <v>0</v>
      </c>
      <c r="BC1247" s="56">
        <f t="shared" si="1115"/>
        <v>6</v>
      </c>
      <c r="BD1247" s="298">
        <v>45514</v>
      </c>
      <c r="BE1247" s="276"/>
      <c r="BF1247" s="54"/>
      <c r="BG1247" s="55"/>
      <c r="BH1247" s="55"/>
      <c r="BI1247" s="55"/>
      <c r="BJ1247" s="56">
        <f t="shared" si="1102"/>
        <v>0</v>
      </c>
      <c r="BL1247" s="276"/>
      <c r="BM1247" s="54"/>
      <c r="BN1247" s="55"/>
      <c r="BO1247" s="55"/>
      <c r="BP1247" s="55"/>
      <c r="BQ1247" s="56">
        <f t="shared" si="1103"/>
        <v>0</v>
      </c>
    </row>
    <row r="1248" spans="1:70" x14ac:dyDescent="0.15">
      <c r="A1248" s="53" t="s">
        <v>98</v>
      </c>
      <c r="B1248" s="54"/>
      <c r="C1248" s="55"/>
      <c r="D1248" s="55"/>
      <c r="E1248" s="55"/>
      <c r="F1248" s="56">
        <f t="shared" si="1104"/>
        <v>0</v>
      </c>
      <c r="G1248" s="54"/>
      <c r="H1248" s="55"/>
      <c r="I1248" s="55"/>
      <c r="J1248" s="55"/>
      <c r="K1248" s="56">
        <f t="shared" si="1105"/>
        <v>0</v>
      </c>
      <c r="L1248" s="54"/>
      <c r="M1248" s="55"/>
      <c r="N1248" s="55"/>
      <c r="O1248" s="55"/>
      <c r="P1248" s="56">
        <f t="shared" si="1106"/>
        <v>0</v>
      </c>
      <c r="Q1248" s="54"/>
      <c r="R1248" s="55"/>
      <c r="S1248" s="55"/>
      <c r="T1248" s="55"/>
      <c r="U1248" s="56">
        <f t="shared" si="1107"/>
        <v>0</v>
      </c>
      <c r="V1248" s="55"/>
      <c r="W1248" s="55"/>
      <c r="X1248" s="55">
        <v>1</v>
      </c>
      <c r="Y1248" s="55"/>
      <c r="Z1248" s="56">
        <f t="shared" si="1108"/>
        <v>1</v>
      </c>
      <c r="AA1248" s="56">
        <f t="shared" si="1109"/>
        <v>1</v>
      </c>
      <c r="AB1248" s="299">
        <v>45524</v>
      </c>
      <c r="AC1248" s="276" t="s">
        <v>399</v>
      </c>
      <c r="AD1248" s="54"/>
      <c r="AE1248" s="55"/>
      <c r="AF1248" s="55"/>
      <c r="AG1248" s="55"/>
      <c r="AH1248" s="56">
        <f t="shared" si="1110"/>
        <v>0</v>
      </c>
      <c r="AI1248" s="54"/>
      <c r="AJ1248" s="55"/>
      <c r="AK1248" s="55"/>
      <c r="AL1248" s="55"/>
      <c r="AM1248" s="56">
        <f t="shared" si="1111"/>
        <v>0</v>
      </c>
      <c r="AN1248" s="54"/>
      <c r="AO1248" s="55"/>
      <c r="AP1248" s="55"/>
      <c r="AQ1248" s="55"/>
      <c r="AR1248" s="56">
        <f t="shared" si="1112"/>
        <v>0</v>
      </c>
      <c r="AS1248" s="54"/>
      <c r="AT1248" s="55"/>
      <c r="AU1248" s="55"/>
      <c r="AV1248" s="55"/>
      <c r="AW1248" s="56">
        <f t="shared" si="1113"/>
        <v>0</v>
      </c>
      <c r="AX1248" s="55"/>
      <c r="AY1248" s="55">
        <v>3</v>
      </c>
      <c r="AZ1248" s="55"/>
      <c r="BA1248" s="55"/>
      <c r="BB1248" s="56">
        <f t="shared" si="1114"/>
        <v>3</v>
      </c>
      <c r="BC1248" s="56">
        <f t="shared" si="1115"/>
        <v>3</v>
      </c>
      <c r="BD1248" s="298">
        <v>45526</v>
      </c>
      <c r="BE1248" s="277"/>
      <c r="BF1248" s="54"/>
      <c r="BG1248" s="55"/>
      <c r="BH1248" s="55"/>
      <c r="BI1248" s="55"/>
      <c r="BJ1248" s="56">
        <f t="shared" si="1102"/>
        <v>0</v>
      </c>
      <c r="BL1248" s="277"/>
      <c r="BM1248" s="54"/>
      <c r="BN1248" s="55"/>
      <c r="BO1248" s="55"/>
      <c r="BP1248" s="55"/>
      <c r="BQ1248" s="56">
        <f t="shared" si="1103"/>
        <v>0</v>
      </c>
    </row>
    <row r="1249" spans="1:69" x14ac:dyDescent="0.15">
      <c r="A1249" s="53" t="s">
        <v>98</v>
      </c>
      <c r="B1249" s="54"/>
      <c r="C1249" s="55"/>
      <c r="D1249" s="55"/>
      <c r="E1249" s="55"/>
      <c r="F1249" s="56">
        <f t="shared" si="1104"/>
        <v>0</v>
      </c>
      <c r="G1249" s="54"/>
      <c r="H1249" s="55"/>
      <c r="I1249" s="55"/>
      <c r="J1249" s="55"/>
      <c r="K1249" s="56">
        <f t="shared" si="1105"/>
        <v>0</v>
      </c>
      <c r="L1249" s="54"/>
      <c r="M1249" s="55"/>
      <c r="N1249" s="55"/>
      <c r="O1249" s="55">
        <v>1</v>
      </c>
      <c r="P1249" s="56">
        <f t="shared" si="1106"/>
        <v>1</v>
      </c>
      <c r="Q1249" s="54"/>
      <c r="R1249" s="55"/>
      <c r="S1249" s="55"/>
      <c r="T1249" s="55"/>
      <c r="U1249" s="56">
        <f t="shared" si="1107"/>
        <v>0</v>
      </c>
      <c r="V1249" s="55"/>
      <c r="W1249" s="55"/>
      <c r="X1249" s="55"/>
      <c r="Y1249" s="55"/>
      <c r="Z1249" s="56">
        <f t="shared" si="1108"/>
        <v>0</v>
      </c>
      <c r="AA1249" s="56">
        <f t="shared" si="1109"/>
        <v>1</v>
      </c>
      <c r="AB1249" s="299">
        <v>45527</v>
      </c>
      <c r="AC1249" s="276" t="s">
        <v>616</v>
      </c>
      <c r="AD1249" s="54"/>
      <c r="AE1249" s="55">
        <v>1</v>
      </c>
      <c r="AF1249" s="55">
        <v>1</v>
      </c>
      <c r="AG1249" s="55"/>
      <c r="AH1249" s="56">
        <f t="shared" si="1110"/>
        <v>2</v>
      </c>
      <c r="AI1249" s="54">
        <v>1</v>
      </c>
      <c r="AJ1249" s="55"/>
      <c r="AK1249" s="55"/>
      <c r="AL1249" s="55">
        <v>1</v>
      </c>
      <c r="AM1249" s="56">
        <f t="shared" si="1111"/>
        <v>2</v>
      </c>
      <c r="AN1249" s="54"/>
      <c r="AO1249" s="55"/>
      <c r="AP1249" s="55"/>
      <c r="AQ1249" s="55"/>
      <c r="AR1249" s="56">
        <f t="shared" si="1112"/>
        <v>0</v>
      </c>
      <c r="AS1249" s="54">
        <v>3</v>
      </c>
      <c r="AT1249" s="55"/>
      <c r="AU1249" s="55">
        <v>2</v>
      </c>
      <c r="AV1249" s="55"/>
      <c r="AW1249" s="56">
        <f t="shared" si="1113"/>
        <v>5</v>
      </c>
      <c r="AX1249" s="55"/>
      <c r="AY1249" s="55"/>
      <c r="AZ1249" s="55"/>
      <c r="BA1249" s="55"/>
      <c r="BB1249" s="56">
        <f t="shared" si="1114"/>
        <v>0</v>
      </c>
      <c r="BC1249" s="56">
        <f t="shared" si="1115"/>
        <v>9</v>
      </c>
      <c r="BD1249" s="298">
        <v>45530</v>
      </c>
      <c r="BE1249" s="276"/>
      <c r="BF1249" s="54"/>
      <c r="BG1249" s="55"/>
      <c r="BH1249" s="55"/>
      <c r="BI1249" s="55"/>
      <c r="BJ1249" s="56">
        <f t="shared" si="1102"/>
        <v>0</v>
      </c>
      <c r="BL1249" s="276"/>
      <c r="BM1249" s="54"/>
      <c r="BN1249" s="55"/>
      <c r="BO1249" s="55"/>
      <c r="BP1249" s="55"/>
      <c r="BQ1249" s="56">
        <f t="shared" si="1103"/>
        <v>0</v>
      </c>
    </row>
    <row r="1250" spans="1:69" x14ac:dyDescent="0.15">
      <c r="A1250" s="53" t="s">
        <v>98</v>
      </c>
      <c r="B1250" s="54"/>
      <c r="C1250" s="55">
        <v>1</v>
      </c>
      <c r="D1250" s="55"/>
      <c r="E1250" s="55"/>
      <c r="F1250" s="56">
        <f t="shared" si="1104"/>
        <v>1</v>
      </c>
      <c r="G1250" s="54">
        <v>1</v>
      </c>
      <c r="H1250" s="55"/>
      <c r="I1250" s="55"/>
      <c r="J1250" s="55"/>
      <c r="K1250" s="56">
        <f t="shared" si="1105"/>
        <v>1</v>
      </c>
      <c r="L1250" s="54"/>
      <c r="M1250" s="55"/>
      <c r="N1250" s="55"/>
      <c r="O1250" s="55"/>
      <c r="P1250" s="56">
        <f t="shared" si="1106"/>
        <v>0</v>
      </c>
      <c r="Q1250" s="54"/>
      <c r="R1250" s="55"/>
      <c r="S1250" s="55"/>
      <c r="T1250" s="55"/>
      <c r="U1250" s="56">
        <f t="shared" si="1107"/>
        <v>0</v>
      </c>
      <c r="V1250" s="55"/>
      <c r="W1250" s="55"/>
      <c r="X1250" s="55"/>
      <c r="Y1250" s="55"/>
      <c r="Z1250" s="56">
        <f t="shared" si="1108"/>
        <v>0</v>
      </c>
      <c r="AA1250" s="56">
        <f t="shared" si="1109"/>
        <v>2</v>
      </c>
      <c r="AB1250" s="299">
        <v>45530</v>
      </c>
      <c r="AC1250" s="276" t="s">
        <v>617</v>
      </c>
      <c r="AD1250" s="54"/>
      <c r="AE1250" s="55"/>
      <c r="AF1250" s="55"/>
      <c r="AG1250" s="55">
        <v>1</v>
      </c>
      <c r="AH1250" s="56">
        <f t="shared" si="1110"/>
        <v>1</v>
      </c>
      <c r="AI1250" s="54"/>
      <c r="AJ1250" s="55">
        <v>1</v>
      </c>
      <c r="AK1250" s="55"/>
      <c r="AL1250" s="55">
        <v>1</v>
      </c>
      <c r="AM1250" s="56">
        <f t="shared" si="1111"/>
        <v>2</v>
      </c>
      <c r="AN1250" s="54"/>
      <c r="AO1250" s="55"/>
      <c r="AP1250" s="55"/>
      <c r="AQ1250" s="55"/>
      <c r="AR1250" s="56">
        <f t="shared" si="1112"/>
        <v>0</v>
      </c>
      <c r="AS1250" s="54">
        <v>1</v>
      </c>
      <c r="AT1250" s="55"/>
      <c r="AU1250" s="55">
        <v>1</v>
      </c>
      <c r="AV1250" s="55">
        <v>3</v>
      </c>
      <c r="AW1250" s="56">
        <f t="shared" si="1113"/>
        <v>5</v>
      </c>
      <c r="AX1250" s="55"/>
      <c r="AY1250" s="55"/>
      <c r="AZ1250" s="55"/>
      <c r="BA1250" s="55"/>
      <c r="BB1250" s="56">
        <f t="shared" si="1114"/>
        <v>0</v>
      </c>
      <c r="BC1250" s="56">
        <f t="shared" si="1115"/>
        <v>8</v>
      </c>
      <c r="BD1250" s="298">
        <v>45530</v>
      </c>
      <c r="BE1250" s="277"/>
      <c r="BF1250" s="55"/>
      <c r="BG1250" s="55"/>
      <c r="BH1250" s="55"/>
      <c r="BI1250" s="166"/>
      <c r="BJ1250" s="49">
        <f t="shared" si="1102"/>
        <v>0</v>
      </c>
      <c r="BL1250" s="277"/>
      <c r="BM1250" s="55"/>
      <c r="BN1250" s="55"/>
      <c r="BO1250" s="55"/>
      <c r="BP1250" s="166"/>
      <c r="BQ1250" s="49">
        <f t="shared" si="1103"/>
        <v>0</v>
      </c>
    </row>
    <row r="1251" spans="1:69" x14ac:dyDescent="0.15">
      <c r="A1251" s="53" t="s">
        <v>98</v>
      </c>
      <c r="B1251" s="54"/>
      <c r="C1251" s="55"/>
      <c r="D1251" s="55">
        <v>1</v>
      </c>
      <c r="E1251" s="55"/>
      <c r="F1251" s="56">
        <f t="shared" si="1104"/>
        <v>1</v>
      </c>
      <c r="G1251" s="54"/>
      <c r="H1251" s="55"/>
      <c r="I1251" s="55"/>
      <c r="J1251" s="55"/>
      <c r="K1251" s="56">
        <f t="shared" si="1105"/>
        <v>0</v>
      </c>
      <c r="L1251" s="54"/>
      <c r="M1251" s="55"/>
      <c r="N1251" s="55"/>
      <c r="O1251" s="55"/>
      <c r="P1251" s="56">
        <f t="shared" si="1106"/>
        <v>0</v>
      </c>
      <c r="Q1251" s="54"/>
      <c r="R1251" s="55"/>
      <c r="S1251" s="55"/>
      <c r="T1251" s="55"/>
      <c r="U1251" s="56">
        <f t="shared" si="1107"/>
        <v>0</v>
      </c>
      <c r="V1251" s="55"/>
      <c r="W1251" s="55"/>
      <c r="X1251" s="55"/>
      <c r="Y1251" s="55"/>
      <c r="Z1251" s="56">
        <f t="shared" si="1108"/>
        <v>0</v>
      </c>
      <c r="AA1251" s="56">
        <f t="shared" si="1109"/>
        <v>1</v>
      </c>
      <c r="AB1251" s="299">
        <v>45531</v>
      </c>
      <c r="AC1251" s="276" t="s">
        <v>618</v>
      </c>
      <c r="AD1251" s="54"/>
      <c r="AE1251" s="55">
        <v>1</v>
      </c>
      <c r="AF1251" s="55"/>
      <c r="AG1251" s="55"/>
      <c r="AH1251" s="56">
        <f t="shared" si="1110"/>
        <v>1</v>
      </c>
      <c r="AI1251" s="54"/>
      <c r="AJ1251" s="55">
        <v>1</v>
      </c>
      <c r="AK1251" s="55"/>
      <c r="AL1251" s="55"/>
      <c r="AM1251" s="56">
        <f t="shared" si="1111"/>
        <v>1</v>
      </c>
      <c r="AN1251" s="54"/>
      <c r="AO1251" s="55"/>
      <c r="AP1251" s="55"/>
      <c r="AQ1251" s="55"/>
      <c r="AR1251" s="56">
        <f t="shared" si="1112"/>
        <v>0</v>
      </c>
      <c r="AS1251" s="54"/>
      <c r="AT1251" s="55"/>
      <c r="AU1251" s="55"/>
      <c r="AV1251" s="55"/>
      <c r="AW1251" s="56">
        <f t="shared" si="1113"/>
        <v>0</v>
      </c>
      <c r="AX1251" s="55"/>
      <c r="AY1251" s="55"/>
      <c r="AZ1251" s="55"/>
      <c r="BA1251" s="55"/>
      <c r="BB1251" s="56">
        <f t="shared" si="1114"/>
        <v>0</v>
      </c>
      <c r="BC1251" s="56">
        <f t="shared" si="1115"/>
        <v>2</v>
      </c>
      <c r="BD1251" s="298">
        <v>45534</v>
      </c>
      <c r="BE1251" s="277"/>
      <c r="BF1251" s="54"/>
      <c r="BG1251" s="55"/>
      <c r="BH1251" s="55"/>
      <c r="BI1251" s="55"/>
      <c r="BJ1251" s="56">
        <f t="shared" si="1102"/>
        <v>0</v>
      </c>
      <c r="BL1251" s="277"/>
      <c r="BM1251" s="54"/>
      <c r="BN1251" s="55"/>
      <c r="BO1251" s="55"/>
      <c r="BP1251" s="55"/>
      <c r="BQ1251" s="56">
        <f t="shared" si="1103"/>
        <v>0</v>
      </c>
    </row>
    <row r="1252" spans="1:69" x14ac:dyDescent="0.15">
      <c r="A1252" s="53" t="s">
        <v>620</v>
      </c>
      <c r="B1252" s="54">
        <v>0</v>
      </c>
      <c r="C1252" s="55">
        <v>0</v>
      </c>
      <c r="D1252" s="55">
        <v>0</v>
      </c>
      <c r="E1252" s="55">
        <v>0</v>
      </c>
      <c r="F1252" s="56">
        <f t="shared" si="1104"/>
        <v>0</v>
      </c>
      <c r="G1252" s="54">
        <v>2</v>
      </c>
      <c r="H1252" s="55">
        <v>-2</v>
      </c>
      <c r="I1252" s="55">
        <v>0</v>
      </c>
      <c r="J1252" s="55">
        <v>0</v>
      </c>
      <c r="K1252" s="56">
        <f t="shared" si="1105"/>
        <v>0</v>
      </c>
      <c r="L1252" s="54">
        <v>0</v>
      </c>
      <c r="M1252" s="55">
        <v>-1</v>
      </c>
      <c r="N1252" s="55">
        <v>0</v>
      </c>
      <c r="O1252" s="55">
        <v>0</v>
      </c>
      <c r="P1252" s="56">
        <f t="shared" si="1106"/>
        <v>-1</v>
      </c>
      <c r="Q1252" s="54">
        <v>0</v>
      </c>
      <c r="R1252" s="55">
        <v>0</v>
      </c>
      <c r="S1252" s="55">
        <v>1</v>
      </c>
      <c r="T1252" s="55">
        <v>-1</v>
      </c>
      <c r="U1252" s="56">
        <f t="shared" si="1107"/>
        <v>0</v>
      </c>
      <c r="V1252" s="55">
        <v>0</v>
      </c>
      <c r="W1252" s="55">
        <v>1</v>
      </c>
      <c r="X1252" s="55">
        <v>0</v>
      </c>
      <c r="Y1252" s="55">
        <v>0</v>
      </c>
      <c r="Z1252" s="56">
        <f t="shared" si="1108"/>
        <v>1</v>
      </c>
      <c r="AA1252" s="56">
        <f t="shared" si="1109"/>
        <v>0</v>
      </c>
      <c r="AB1252" s="299">
        <v>45531</v>
      </c>
      <c r="AC1252" s="276" t="s">
        <v>619</v>
      </c>
      <c r="AD1252" s="54"/>
      <c r="AE1252" s="55"/>
      <c r="AF1252" s="55"/>
      <c r="AG1252" s="55"/>
      <c r="AH1252" s="56">
        <f t="shared" si="1110"/>
        <v>0</v>
      </c>
      <c r="AI1252" s="54"/>
      <c r="AJ1252" s="55"/>
      <c r="AK1252" s="55"/>
      <c r="AL1252" s="55"/>
      <c r="AM1252" s="56">
        <f t="shared" si="1111"/>
        <v>0</v>
      </c>
      <c r="AN1252" s="54"/>
      <c r="AO1252" s="55"/>
      <c r="AP1252" s="55"/>
      <c r="AQ1252" s="55"/>
      <c r="AR1252" s="56">
        <f t="shared" si="1112"/>
        <v>0</v>
      </c>
      <c r="AS1252" s="54">
        <v>1</v>
      </c>
      <c r="AT1252" s="55"/>
      <c r="AU1252" s="55"/>
      <c r="AV1252" s="55"/>
      <c r="AW1252" s="56">
        <f t="shared" si="1113"/>
        <v>1</v>
      </c>
      <c r="AX1252" s="55"/>
      <c r="AY1252" s="55"/>
      <c r="AZ1252" s="55"/>
      <c r="BA1252" s="55"/>
      <c r="BB1252" s="56">
        <f t="shared" si="1114"/>
        <v>0</v>
      </c>
      <c r="BC1252" s="56">
        <f t="shared" si="1115"/>
        <v>1</v>
      </c>
      <c r="BD1252" s="298">
        <v>45534</v>
      </c>
      <c r="BE1252" s="276"/>
      <c r="BF1252" s="54"/>
      <c r="BG1252" s="55"/>
      <c r="BH1252" s="55"/>
      <c r="BI1252" s="55"/>
      <c r="BJ1252" s="56">
        <f t="shared" si="1102"/>
        <v>0</v>
      </c>
      <c r="BL1252" s="276"/>
      <c r="BM1252" s="54"/>
      <c r="BN1252" s="55"/>
      <c r="BO1252" s="55"/>
      <c r="BP1252" s="55"/>
      <c r="BQ1252" s="56">
        <f t="shared" si="1103"/>
        <v>0</v>
      </c>
    </row>
    <row r="1253" spans="1:69" x14ac:dyDescent="0.15">
      <c r="A1253" s="53" t="s">
        <v>98</v>
      </c>
      <c r="B1253" s="54"/>
      <c r="C1253" s="55"/>
      <c r="D1253" s="55"/>
      <c r="E1253" s="55"/>
      <c r="F1253" s="56">
        <f t="shared" si="1104"/>
        <v>0</v>
      </c>
      <c r="G1253" s="54"/>
      <c r="H1253" s="55"/>
      <c r="I1253" s="55"/>
      <c r="J1253" s="55">
        <v>1</v>
      </c>
      <c r="K1253" s="56">
        <f t="shared" si="1105"/>
        <v>1</v>
      </c>
      <c r="L1253" s="54"/>
      <c r="M1253" s="55"/>
      <c r="N1253" s="55"/>
      <c r="O1253" s="55"/>
      <c r="P1253" s="56">
        <f t="shared" si="1106"/>
        <v>0</v>
      </c>
      <c r="Q1253" s="54"/>
      <c r="R1253" s="55"/>
      <c r="S1253" s="55"/>
      <c r="T1253" s="55"/>
      <c r="U1253" s="56">
        <f t="shared" si="1107"/>
        <v>0</v>
      </c>
      <c r="V1253" s="55"/>
      <c r="W1253" s="55"/>
      <c r="X1253" s="55">
        <v>1</v>
      </c>
      <c r="Y1253" s="55"/>
      <c r="Z1253" s="56">
        <f t="shared" si="1108"/>
        <v>1</v>
      </c>
      <c r="AA1253" s="56">
        <f t="shared" si="1109"/>
        <v>2</v>
      </c>
      <c r="AB1253" s="299">
        <v>45535</v>
      </c>
      <c r="AC1253" s="276" t="s">
        <v>401</v>
      </c>
      <c r="AD1253" s="54"/>
      <c r="AE1253" s="55"/>
      <c r="AF1253" s="55"/>
      <c r="AG1253" s="55"/>
      <c r="AH1253" s="56">
        <f t="shared" si="1110"/>
        <v>0</v>
      </c>
      <c r="AI1253" s="54"/>
      <c r="AJ1253" s="55"/>
      <c r="AK1253" s="55"/>
      <c r="AL1253" s="55"/>
      <c r="AM1253" s="56">
        <f t="shared" si="1111"/>
        <v>0</v>
      </c>
      <c r="AN1253" s="54"/>
      <c r="AO1253" s="55"/>
      <c r="AP1253" s="55"/>
      <c r="AQ1253" s="55"/>
      <c r="AR1253" s="56">
        <f t="shared" si="1112"/>
        <v>0</v>
      </c>
      <c r="AS1253" s="54"/>
      <c r="AT1253" s="55"/>
      <c r="AU1253" s="55">
        <v>2</v>
      </c>
      <c r="AV1253" s="55"/>
      <c r="AW1253" s="56">
        <f t="shared" si="1113"/>
        <v>2</v>
      </c>
      <c r="AX1253" s="55"/>
      <c r="AY1253" s="55"/>
      <c r="AZ1253" s="55"/>
      <c r="BA1253" s="55"/>
      <c r="BB1253" s="56">
        <f t="shared" si="1114"/>
        <v>0</v>
      </c>
      <c r="BC1253" s="56">
        <f t="shared" si="1115"/>
        <v>2</v>
      </c>
      <c r="BD1253" s="298">
        <v>45539</v>
      </c>
      <c r="BE1253" s="276"/>
      <c r="BF1253" s="63"/>
      <c r="BG1253" s="63"/>
      <c r="BH1253" s="63"/>
      <c r="BI1253" s="167"/>
      <c r="BJ1253" s="64">
        <f t="shared" si="1102"/>
        <v>0</v>
      </c>
      <c r="BL1253" s="276"/>
      <c r="BM1253" s="63"/>
      <c r="BN1253" s="63"/>
      <c r="BO1253" s="63"/>
      <c r="BP1253" s="167"/>
      <c r="BQ1253" s="64">
        <f t="shared" si="1103"/>
        <v>0</v>
      </c>
    </row>
    <row r="1254" spans="1:69" x14ac:dyDescent="0.15">
      <c r="A1254" s="53"/>
      <c r="B1254" s="54"/>
      <c r="C1254" s="55"/>
      <c r="D1254" s="55"/>
      <c r="E1254" s="55"/>
      <c r="F1254" s="56">
        <f t="shared" si="1104"/>
        <v>0</v>
      </c>
      <c r="G1254" s="54"/>
      <c r="H1254" s="55"/>
      <c r="I1254" s="55"/>
      <c r="J1254" s="55"/>
      <c r="K1254" s="56">
        <f t="shared" si="1105"/>
        <v>0</v>
      </c>
      <c r="L1254" s="54"/>
      <c r="M1254" s="55"/>
      <c r="N1254" s="55"/>
      <c r="O1254" s="55"/>
      <c r="P1254" s="56">
        <f t="shared" si="1106"/>
        <v>0</v>
      </c>
      <c r="Q1254" s="54"/>
      <c r="R1254" s="55"/>
      <c r="S1254" s="55"/>
      <c r="T1254" s="55"/>
      <c r="U1254" s="56">
        <f t="shared" si="1107"/>
        <v>0</v>
      </c>
      <c r="V1254" s="55"/>
      <c r="W1254" s="55"/>
      <c r="X1254" s="55"/>
      <c r="Y1254" s="55"/>
      <c r="Z1254" s="56">
        <f t="shared" si="1108"/>
        <v>0</v>
      </c>
      <c r="AA1254" s="56">
        <f t="shared" si="1109"/>
        <v>0</v>
      </c>
      <c r="AC1254" s="276" t="s">
        <v>621</v>
      </c>
      <c r="AD1254" s="54"/>
      <c r="AE1254" s="55">
        <v>1</v>
      </c>
      <c r="AF1254" s="55"/>
      <c r="AG1254" s="55"/>
      <c r="AH1254" s="56">
        <f t="shared" si="1096"/>
        <v>1</v>
      </c>
      <c r="AI1254" s="54"/>
      <c r="AJ1254" s="55"/>
      <c r="AK1254" s="55"/>
      <c r="AL1254" s="55"/>
      <c r="AM1254" s="56">
        <f t="shared" si="1097"/>
        <v>0</v>
      </c>
      <c r="AN1254" s="54"/>
      <c r="AO1254" s="55"/>
      <c r="AP1254" s="55"/>
      <c r="AQ1254" s="55"/>
      <c r="AR1254" s="56">
        <f t="shared" si="1098"/>
        <v>0</v>
      </c>
      <c r="AS1254" s="54"/>
      <c r="AT1254" s="55"/>
      <c r="AU1254" s="55"/>
      <c r="AV1254" s="55"/>
      <c r="AW1254" s="56">
        <f t="shared" si="1099"/>
        <v>0</v>
      </c>
      <c r="AX1254" s="55"/>
      <c r="AY1254" s="55"/>
      <c r="AZ1254" s="55"/>
      <c r="BA1254" s="55"/>
      <c r="BB1254" s="56">
        <f t="shared" si="1100"/>
        <v>0</v>
      </c>
      <c r="BC1254" s="56">
        <f t="shared" ref="BC1254:BC1261" si="1129">AH1254+AM1254+AR1254+AW1254+BB1254</f>
        <v>1</v>
      </c>
      <c r="BD1254" s="298">
        <v>45544</v>
      </c>
      <c r="BE1254" s="277"/>
      <c r="BF1254" s="54"/>
      <c r="BG1254" s="55"/>
      <c r="BH1254" s="55"/>
      <c r="BI1254" s="55"/>
      <c r="BJ1254" s="56">
        <f t="shared" si="1102"/>
        <v>0</v>
      </c>
      <c r="BL1254" s="277"/>
      <c r="BM1254" s="54"/>
      <c r="BN1254" s="55"/>
      <c r="BO1254" s="55"/>
      <c r="BP1254" s="55"/>
      <c r="BQ1254" s="56">
        <f t="shared" si="1103"/>
        <v>0</v>
      </c>
    </row>
    <row r="1255" spans="1:69" x14ac:dyDescent="0.15">
      <c r="A1255" s="53"/>
      <c r="B1255" s="54"/>
      <c r="C1255" s="55"/>
      <c r="D1255" s="55"/>
      <c r="E1255" s="55"/>
      <c r="F1255" s="56">
        <f t="shared" si="1104"/>
        <v>0</v>
      </c>
      <c r="G1255" s="54"/>
      <c r="H1255" s="55"/>
      <c r="I1255" s="55"/>
      <c r="J1255" s="55"/>
      <c r="K1255" s="56">
        <f t="shared" si="1105"/>
        <v>0</v>
      </c>
      <c r="L1255" s="54"/>
      <c r="M1255" s="55"/>
      <c r="N1255" s="55"/>
      <c r="O1255" s="55"/>
      <c r="P1255" s="56">
        <f t="shared" si="1106"/>
        <v>0</v>
      </c>
      <c r="Q1255" s="54"/>
      <c r="R1255" s="55"/>
      <c r="S1255" s="55"/>
      <c r="T1255" s="55"/>
      <c r="U1255" s="56">
        <f t="shared" si="1107"/>
        <v>0</v>
      </c>
      <c r="V1255" s="55"/>
      <c r="W1255" s="55"/>
      <c r="X1255" s="55"/>
      <c r="Y1255" s="55"/>
      <c r="Z1255" s="56">
        <f t="shared" si="1108"/>
        <v>0</v>
      </c>
      <c r="AA1255" s="56">
        <f t="shared" si="1109"/>
        <v>0</v>
      </c>
      <c r="AC1255" s="276" t="s">
        <v>405</v>
      </c>
      <c r="AD1255" s="54"/>
      <c r="AE1255" s="55"/>
      <c r="AF1255" s="55"/>
      <c r="AG1255" s="55"/>
      <c r="AH1255" s="56">
        <f t="shared" si="1096"/>
        <v>0</v>
      </c>
      <c r="AI1255" s="54"/>
      <c r="AJ1255" s="55"/>
      <c r="AK1255" s="55"/>
      <c r="AL1255" s="55"/>
      <c r="AM1255" s="56">
        <f t="shared" si="1097"/>
        <v>0</v>
      </c>
      <c r="AN1255" s="54"/>
      <c r="AO1255" s="55"/>
      <c r="AP1255" s="55"/>
      <c r="AQ1255" s="55"/>
      <c r="AR1255" s="56">
        <f t="shared" si="1098"/>
        <v>0</v>
      </c>
      <c r="AS1255" s="54"/>
      <c r="AT1255" s="55"/>
      <c r="AU1255" s="55"/>
      <c r="AV1255" s="55"/>
      <c r="AW1255" s="56">
        <f t="shared" si="1099"/>
        <v>0</v>
      </c>
      <c r="AX1255" s="55">
        <v>2</v>
      </c>
      <c r="AY1255" s="55"/>
      <c r="AZ1255" s="55"/>
      <c r="BA1255" s="55"/>
      <c r="BB1255" s="56">
        <f t="shared" si="1100"/>
        <v>2</v>
      </c>
      <c r="BC1255" s="56">
        <f t="shared" si="1129"/>
        <v>2</v>
      </c>
      <c r="BD1255" s="298">
        <v>45545</v>
      </c>
      <c r="BE1255" s="276"/>
      <c r="BF1255" s="54"/>
      <c r="BG1255" s="55"/>
      <c r="BH1255" s="55"/>
      <c r="BI1255" s="55"/>
      <c r="BJ1255" s="56">
        <f t="shared" si="1102"/>
        <v>0</v>
      </c>
      <c r="BL1255" s="276"/>
      <c r="BM1255" s="54"/>
      <c r="BN1255" s="55"/>
      <c r="BO1255" s="55"/>
      <c r="BP1255" s="55"/>
      <c r="BQ1255" s="56">
        <f t="shared" si="1103"/>
        <v>0</v>
      </c>
    </row>
    <row r="1256" spans="1:69" x14ac:dyDescent="0.15">
      <c r="A1256" s="53"/>
      <c r="B1256" s="54"/>
      <c r="C1256" s="55"/>
      <c r="D1256" s="55"/>
      <c r="E1256" s="55"/>
      <c r="F1256" s="56">
        <f t="shared" si="1104"/>
        <v>0</v>
      </c>
      <c r="G1256" s="54"/>
      <c r="H1256" s="55"/>
      <c r="I1256" s="55"/>
      <c r="J1256" s="55"/>
      <c r="K1256" s="56">
        <f t="shared" si="1105"/>
        <v>0</v>
      </c>
      <c r="L1256" s="54"/>
      <c r="M1256" s="55"/>
      <c r="N1256" s="55"/>
      <c r="O1256" s="55"/>
      <c r="P1256" s="56">
        <f t="shared" si="1106"/>
        <v>0</v>
      </c>
      <c r="Q1256" s="54"/>
      <c r="R1256" s="55"/>
      <c r="S1256" s="55"/>
      <c r="T1256" s="55"/>
      <c r="U1256" s="56">
        <f t="shared" si="1107"/>
        <v>0</v>
      </c>
      <c r="V1256" s="55"/>
      <c r="W1256" s="55"/>
      <c r="X1256" s="55"/>
      <c r="Y1256" s="55"/>
      <c r="Z1256" s="56">
        <f t="shared" si="1108"/>
        <v>0</v>
      </c>
      <c r="AA1256" s="56">
        <f t="shared" si="1109"/>
        <v>0</v>
      </c>
      <c r="AC1256" s="276"/>
      <c r="AD1256" s="54"/>
      <c r="AE1256" s="55"/>
      <c r="AF1256" s="55"/>
      <c r="AG1256" s="55"/>
      <c r="AH1256" s="56">
        <f t="shared" si="1096"/>
        <v>0</v>
      </c>
      <c r="AI1256" s="54"/>
      <c r="AJ1256" s="55"/>
      <c r="AK1256" s="55"/>
      <c r="AL1256" s="55"/>
      <c r="AM1256" s="56">
        <f t="shared" si="1097"/>
        <v>0</v>
      </c>
      <c r="AN1256" s="54"/>
      <c r="AO1256" s="55"/>
      <c r="AP1256" s="55"/>
      <c r="AQ1256" s="55"/>
      <c r="AR1256" s="56">
        <f t="shared" si="1098"/>
        <v>0</v>
      </c>
      <c r="AS1256" s="54"/>
      <c r="AT1256" s="55"/>
      <c r="AU1256" s="55"/>
      <c r="AV1256" s="55"/>
      <c r="AW1256" s="56">
        <f t="shared" si="1099"/>
        <v>0</v>
      </c>
      <c r="AX1256" s="55"/>
      <c r="AY1256" s="55"/>
      <c r="AZ1256" s="55"/>
      <c r="BA1256" s="55"/>
      <c r="BB1256" s="56">
        <f t="shared" si="1100"/>
        <v>0</v>
      </c>
      <c r="BC1256" s="56">
        <f t="shared" si="1129"/>
        <v>0</v>
      </c>
      <c r="BD1256" s="300"/>
      <c r="BE1256" s="277"/>
      <c r="BF1256" s="54"/>
      <c r="BG1256" s="55"/>
      <c r="BH1256" s="55"/>
      <c r="BI1256" s="55"/>
      <c r="BJ1256" s="56">
        <f t="shared" si="1102"/>
        <v>0</v>
      </c>
      <c r="BL1256" s="277"/>
      <c r="BM1256" s="54"/>
      <c r="BN1256" s="55"/>
      <c r="BO1256" s="55"/>
      <c r="BP1256" s="55"/>
      <c r="BQ1256" s="56">
        <f t="shared" si="1103"/>
        <v>0</v>
      </c>
    </row>
    <row r="1257" spans="1:69" x14ac:dyDescent="0.15">
      <c r="A1257" s="53"/>
      <c r="B1257" s="54"/>
      <c r="C1257" s="55"/>
      <c r="D1257" s="55"/>
      <c r="E1257" s="55"/>
      <c r="F1257" s="56">
        <f t="shared" si="1104"/>
        <v>0</v>
      </c>
      <c r="G1257" s="54"/>
      <c r="H1257" s="55"/>
      <c r="I1257" s="55"/>
      <c r="J1257" s="55"/>
      <c r="K1257" s="56">
        <f t="shared" si="1105"/>
        <v>0</v>
      </c>
      <c r="L1257" s="54"/>
      <c r="M1257" s="55"/>
      <c r="N1257" s="55"/>
      <c r="O1257" s="55"/>
      <c r="P1257" s="56">
        <f t="shared" si="1106"/>
        <v>0</v>
      </c>
      <c r="Q1257" s="54"/>
      <c r="R1257" s="55"/>
      <c r="S1257" s="55"/>
      <c r="T1257" s="55"/>
      <c r="U1257" s="56">
        <f t="shared" si="1107"/>
        <v>0</v>
      </c>
      <c r="V1257" s="55"/>
      <c r="W1257" s="55"/>
      <c r="X1257" s="55"/>
      <c r="Y1257" s="55"/>
      <c r="Z1257" s="56">
        <f t="shared" si="1108"/>
        <v>0</v>
      </c>
      <c r="AA1257" s="56">
        <f t="shared" si="1109"/>
        <v>0</v>
      </c>
      <c r="AC1257" s="276"/>
      <c r="AD1257" s="54"/>
      <c r="AE1257" s="55"/>
      <c r="AF1257" s="55"/>
      <c r="AG1257" s="55"/>
      <c r="AH1257" s="56">
        <f t="shared" si="1096"/>
        <v>0</v>
      </c>
      <c r="AI1257" s="54"/>
      <c r="AJ1257" s="55"/>
      <c r="AK1257" s="55"/>
      <c r="AL1257" s="55"/>
      <c r="AM1257" s="56">
        <f t="shared" si="1097"/>
        <v>0</v>
      </c>
      <c r="AN1257" s="54"/>
      <c r="AO1257" s="55"/>
      <c r="AP1257" s="55"/>
      <c r="AQ1257" s="55"/>
      <c r="AR1257" s="56">
        <f t="shared" si="1098"/>
        <v>0</v>
      </c>
      <c r="AS1257" s="54"/>
      <c r="AT1257" s="55"/>
      <c r="AU1257" s="55"/>
      <c r="AV1257" s="55"/>
      <c r="AW1257" s="56">
        <f t="shared" si="1099"/>
        <v>0</v>
      </c>
      <c r="AX1257" s="55"/>
      <c r="AY1257" s="55"/>
      <c r="AZ1257" s="55"/>
      <c r="BA1257" s="55"/>
      <c r="BB1257" s="56">
        <f t="shared" si="1100"/>
        <v>0</v>
      </c>
      <c r="BC1257" s="56">
        <f t="shared" si="1129"/>
        <v>0</v>
      </c>
      <c r="BE1257" s="268"/>
      <c r="BF1257" s="62"/>
      <c r="BG1257" s="63"/>
      <c r="BH1257" s="63"/>
      <c r="BI1257" s="63"/>
      <c r="BJ1257" s="56">
        <f t="shared" si="1102"/>
        <v>0</v>
      </c>
      <c r="BL1257" s="268"/>
      <c r="BM1257" s="62"/>
      <c r="BN1257" s="63"/>
      <c r="BO1257" s="63"/>
      <c r="BP1257" s="63"/>
      <c r="BQ1257" s="56">
        <f t="shared" si="1103"/>
        <v>0</v>
      </c>
    </row>
    <row r="1258" spans="1:69" x14ac:dyDescent="0.15">
      <c r="A1258" s="53"/>
      <c r="B1258" s="54"/>
      <c r="C1258" s="55"/>
      <c r="D1258" s="55"/>
      <c r="E1258" s="55"/>
      <c r="F1258" s="56">
        <f t="shared" si="1095"/>
        <v>0</v>
      </c>
      <c r="G1258" s="54"/>
      <c r="H1258" s="55"/>
      <c r="I1258" s="55"/>
      <c r="J1258" s="55"/>
      <c r="K1258" s="56">
        <f t="shared" si="1080"/>
        <v>0</v>
      </c>
      <c r="L1258" s="54"/>
      <c r="M1258" s="55"/>
      <c r="N1258" s="55"/>
      <c r="O1258" s="55"/>
      <c r="P1258" s="56">
        <f t="shared" si="1081"/>
        <v>0</v>
      </c>
      <c r="Q1258" s="54"/>
      <c r="R1258" s="55"/>
      <c r="S1258" s="55"/>
      <c r="T1258" s="55"/>
      <c r="U1258" s="56">
        <f t="shared" si="1082"/>
        <v>0</v>
      </c>
      <c r="V1258" s="55"/>
      <c r="W1258" s="55"/>
      <c r="X1258" s="55"/>
      <c r="Y1258" s="55"/>
      <c r="Z1258" s="56">
        <f t="shared" si="1083"/>
        <v>0</v>
      </c>
      <c r="AA1258" s="56">
        <f t="shared" ref="AA1258:AA1260" si="1130">F1258+K1258+P1258+U1258+Z1258</f>
        <v>0</v>
      </c>
      <c r="AC1258" s="276" t="s">
        <v>588</v>
      </c>
      <c r="AD1258" s="54"/>
      <c r="AE1258" s="55"/>
      <c r="AF1258" s="55"/>
      <c r="AG1258" s="55"/>
      <c r="AH1258" s="56">
        <f t="shared" si="1096"/>
        <v>0</v>
      </c>
      <c r="AI1258" s="54"/>
      <c r="AJ1258" s="55"/>
      <c r="AK1258" s="55"/>
      <c r="AL1258" s="55"/>
      <c r="AM1258" s="56">
        <f t="shared" si="1097"/>
        <v>0</v>
      </c>
      <c r="AN1258" s="54"/>
      <c r="AO1258" s="55"/>
      <c r="AP1258" s="55"/>
      <c r="AQ1258" s="55"/>
      <c r="AR1258" s="56">
        <f t="shared" si="1098"/>
        <v>0</v>
      </c>
      <c r="AS1258" s="54"/>
      <c r="AT1258" s="55"/>
      <c r="AU1258" s="55"/>
      <c r="AV1258" s="55"/>
      <c r="AW1258" s="56">
        <f t="shared" si="1099"/>
        <v>0</v>
      </c>
      <c r="AX1258" s="55"/>
      <c r="AY1258" s="55"/>
      <c r="AZ1258" s="55"/>
      <c r="BA1258" s="55"/>
      <c r="BB1258" s="56">
        <f t="shared" si="1100"/>
        <v>0</v>
      </c>
      <c r="BC1258" s="56">
        <f t="shared" si="1129"/>
        <v>0</v>
      </c>
      <c r="BD1258" s="300"/>
      <c r="BE1258" s="268"/>
      <c r="BF1258" s="54"/>
      <c r="BG1258" s="55"/>
      <c r="BH1258" s="55"/>
      <c r="BI1258" s="55"/>
      <c r="BJ1258" s="56">
        <f t="shared" si="1102"/>
        <v>0</v>
      </c>
      <c r="BL1258" s="268"/>
      <c r="BM1258" s="54"/>
      <c r="BN1258" s="55"/>
      <c r="BO1258" s="55"/>
      <c r="BP1258" s="55"/>
      <c r="BQ1258" s="56">
        <f t="shared" si="1103"/>
        <v>0</v>
      </c>
    </row>
    <row r="1259" spans="1:69" x14ac:dyDescent="0.15">
      <c r="A1259" s="53"/>
      <c r="B1259" s="54"/>
      <c r="C1259" s="55"/>
      <c r="D1259" s="55"/>
      <c r="E1259" s="55"/>
      <c r="F1259" s="56">
        <f t="shared" si="1095"/>
        <v>0</v>
      </c>
      <c r="G1259" s="54"/>
      <c r="H1259" s="55"/>
      <c r="I1259" s="55"/>
      <c r="J1259" s="55"/>
      <c r="K1259" s="56">
        <f t="shared" si="1080"/>
        <v>0</v>
      </c>
      <c r="L1259" s="54"/>
      <c r="M1259" s="55"/>
      <c r="N1259" s="55"/>
      <c r="O1259" s="55"/>
      <c r="P1259" s="56">
        <f t="shared" si="1081"/>
        <v>0</v>
      </c>
      <c r="Q1259" s="54"/>
      <c r="R1259" s="55"/>
      <c r="S1259" s="55"/>
      <c r="T1259" s="55"/>
      <c r="U1259" s="56">
        <f t="shared" si="1082"/>
        <v>0</v>
      </c>
      <c r="V1259" s="55"/>
      <c r="W1259" s="55"/>
      <c r="X1259" s="55"/>
      <c r="Y1259" s="55"/>
      <c r="Z1259" s="56">
        <f t="shared" si="1083"/>
        <v>0</v>
      </c>
      <c r="AA1259" s="56">
        <f t="shared" si="1130"/>
        <v>0</v>
      </c>
      <c r="AC1259" s="276" t="s">
        <v>563</v>
      </c>
      <c r="AD1259" s="54"/>
      <c r="AE1259" s="55"/>
      <c r="AF1259" s="55"/>
      <c r="AG1259" s="55"/>
      <c r="AH1259" s="56">
        <f t="shared" si="1096"/>
        <v>0</v>
      </c>
      <c r="AI1259" s="54"/>
      <c r="AJ1259" s="55"/>
      <c r="AK1259" s="55"/>
      <c r="AL1259" s="55"/>
      <c r="AM1259" s="56">
        <f t="shared" si="1097"/>
        <v>0</v>
      </c>
      <c r="AN1259" s="54"/>
      <c r="AO1259" s="55"/>
      <c r="AP1259" s="55"/>
      <c r="AQ1259" s="55"/>
      <c r="AR1259" s="56">
        <f t="shared" si="1098"/>
        <v>0</v>
      </c>
      <c r="AS1259" s="54"/>
      <c r="AT1259" s="55"/>
      <c r="AU1259" s="55"/>
      <c r="AV1259" s="55"/>
      <c r="AW1259" s="56">
        <f t="shared" si="1099"/>
        <v>0</v>
      </c>
      <c r="AX1259" s="55"/>
      <c r="AY1259" s="55"/>
      <c r="AZ1259" s="55"/>
      <c r="BA1259" s="55"/>
      <c r="BB1259" s="56">
        <f t="shared" si="1100"/>
        <v>0</v>
      </c>
      <c r="BC1259" s="56">
        <f t="shared" si="1129"/>
        <v>0</v>
      </c>
      <c r="BD1259" s="300"/>
      <c r="BE1259" s="268"/>
      <c r="BF1259" s="62"/>
      <c r="BG1259" s="63"/>
      <c r="BH1259" s="63"/>
      <c r="BI1259" s="63"/>
      <c r="BJ1259" s="56">
        <f t="shared" si="1102"/>
        <v>0</v>
      </c>
      <c r="BL1259" s="268"/>
      <c r="BM1259" s="62"/>
      <c r="BN1259" s="63"/>
      <c r="BO1259" s="63"/>
      <c r="BP1259" s="63"/>
      <c r="BQ1259" s="56">
        <f t="shared" si="1103"/>
        <v>0</v>
      </c>
    </row>
    <row r="1260" spans="1:69" x14ac:dyDescent="0.15">
      <c r="A1260" s="53"/>
      <c r="B1260" s="54"/>
      <c r="C1260" s="55"/>
      <c r="D1260" s="55"/>
      <c r="E1260" s="55"/>
      <c r="F1260" s="56">
        <f t="shared" si="1095"/>
        <v>0</v>
      </c>
      <c r="G1260" s="54"/>
      <c r="H1260" s="55"/>
      <c r="I1260" s="55"/>
      <c r="J1260" s="55"/>
      <c r="K1260" s="56">
        <f t="shared" ref="K1260:K1263" si="1131">SUM(G1260:J1260)</f>
        <v>0</v>
      </c>
      <c r="L1260" s="54"/>
      <c r="M1260" s="55"/>
      <c r="N1260" s="55"/>
      <c r="O1260" s="55"/>
      <c r="P1260" s="56">
        <f t="shared" ref="P1260:P1263" si="1132">SUM(L1260:O1260)</f>
        <v>0</v>
      </c>
      <c r="Q1260" s="54"/>
      <c r="R1260" s="55"/>
      <c r="S1260" s="55"/>
      <c r="T1260" s="55"/>
      <c r="U1260" s="56">
        <f t="shared" ref="U1260:U1263" si="1133">SUM(Q1260:T1260)</f>
        <v>0</v>
      </c>
      <c r="V1260" s="55"/>
      <c r="W1260" s="55"/>
      <c r="X1260" s="55"/>
      <c r="Y1260" s="55"/>
      <c r="Z1260" s="56">
        <f t="shared" si="1083"/>
        <v>0</v>
      </c>
      <c r="AA1260" s="56">
        <f t="shared" si="1130"/>
        <v>0</v>
      </c>
      <c r="AC1260" s="276" t="s">
        <v>558</v>
      </c>
      <c r="AD1260" s="212"/>
      <c r="AE1260" s="216"/>
      <c r="AF1260" s="216"/>
      <c r="AG1260" s="216"/>
      <c r="AH1260" s="56">
        <f t="shared" si="1096"/>
        <v>0</v>
      </c>
      <c r="AI1260" s="54"/>
      <c r="AJ1260" s="55"/>
      <c r="AK1260" s="55"/>
      <c r="AL1260" s="55"/>
      <c r="AM1260" s="56">
        <f t="shared" si="1097"/>
        <v>0</v>
      </c>
      <c r="AN1260" s="212"/>
      <c r="AO1260" s="216"/>
      <c r="AP1260" s="216"/>
      <c r="AQ1260" s="216"/>
      <c r="AR1260" s="56">
        <f t="shared" si="1098"/>
        <v>0</v>
      </c>
      <c r="AS1260" s="54"/>
      <c r="AT1260" s="55"/>
      <c r="AU1260" s="55"/>
      <c r="AV1260" s="55"/>
      <c r="AW1260" s="56">
        <f t="shared" si="1099"/>
        <v>0</v>
      </c>
      <c r="AX1260" s="55"/>
      <c r="AY1260" s="55"/>
      <c r="AZ1260" s="55"/>
      <c r="BA1260" s="55"/>
      <c r="BB1260" s="56">
        <f t="shared" si="1100"/>
        <v>0</v>
      </c>
      <c r="BC1260" s="56">
        <f t="shared" si="1129"/>
        <v>0</v>
      </c>
      <c r="BD1260" s="300"/>
      <c r="BE1260" s="277"/>
      <c r="BF1260" s="54"/>
      <c r="BG1260" s="55"/>
      <c r="BH1260" s="55"/>
      <c r="BI1260" s="55"/>
      <c r="BJ1260" s="56">
        <f t="shared" si="1102"/>
        <v>0</v>
      </c>
      <c r="BL1260" s="277"/>
      <c r="BM1260" s="54"/>
      <c r="BN1260" s="55"/>
      <c r="BO1260" s="55"/>
      <c r="BP1260" s="55"/>
      <c r="BQ1260" s="56">
        <f t="shared" si="1103"/>
        <v>0</v>
      </c>
    </row>
    <row r="1261" spans="1:69" ht="14.25" thickBot="1" x14ac:dyDescent="0.2">
      <c r="A1261" s="53"/>
      <c r="B1261" s="33"/>
      <c r="C1261" s="34"/>
      <c r="D1261" s="34"/>
      <c r="E1261" s="34"/>
      <c r="F1261" s="30">
        <f t="shared" si="1095"/>
        <v>0</v>
      </c>
      <c r="G1261" s="33"/>
      <c r="H1261" s="34"/>
      <c r="I1261" s="34"/>
      <c r="J1261" s="34"/>
      <c r="K1261" s="30">
        <f t="shared" si="1131"/>
        <v>0</v>
      </c>
      <c r="L1261" s="33"/>
      <c r="M1261" s="34"/>
      <c r="N1261" s="34"/>
      <c r="O1261" s="34"/>
      <c r="P1261" s="30">
        <f t="shared" si="1132"/>
        <v>0</v>
      </c>
      <c r="Q1261" s="33"/>
      <c r="R1261" s="34"/>
      <c r="S1261" s="34"/>
      <c r="T1261" s="34"/>
      <c r="U1261" s="30">
        <f t="shared" si="1133"/>
        <v>0</v>
      </c>
      <c r="V1261" s="34"/>
      <c r="W1261" s="34"/>
      <c r="X1261" s="34"/>
      <c r="Y1261" s="34"/>
      <c r="Z1261" s="30">
        <f t="shared" si="1083"/>
        <v>0</v>
      </c>
      <c r="AA1261" s="56">
        <f>F1261+K1261+P1261+U1261+Z1261</f>
        <v>0</v>
      </c>
      <c r="AC1261" s="276" t="s">
        <v>559</v>
      </c>
      <c r="AD1261" s="212"/>
      <c r="AE1261" s="216"/>
      <c r="AF1261" s="216"/>
      <c r="AG1261" s="216"/>
      <c r="AH1261" s="56">
        <f t="shared" si="1096"/>
        <v>0</v>
      </c>
      <c r="AI1261" s="54"/>
      <c r="AJ1261" s="55"/>
      <c r="AK1261" s="55"/>
      <c r="AL1261" s="55"/>
      <c r="AM1261" s="56">
        <f t="shared" si="1097"/>
        <v>0</v>
      </c>
      <c r="AN1261" s="212"/>
      <c r="AO1261" s="216"/>
      <c r="AP1261" s="216"/>
      <c r="AQ1261" s="216"/>
      <c r="AR1261" s="56">
        <f t="shared" si="1098"/>
        <v>0</v>
      </c>
      <c r="AS1261" s="54"/>
      <c r="AT1261" s="55"/>
      <c r="AU1261" s="55"/>
      <c r="AV1261" s="55"/>
      <c r="AW1261" s="56">
        <f t="shared" si="1099"/>
        <v>0</v>
      </c>
      <c r="AX1261" s="55"/>
      <c r="AY1261" s="55"/>
      <c r="AZ1261" s="55"/>
      <c r="BA1261" s="55"/>
      <c r="BB1261" s="56">
        <f t="shared" si="1100"/>
        <v>0</v>
      </c>
      <c r="BC1261" s="56">
        <f t="shared" si="1129"/>
        <v>0</v>
      </c>
      <c r="BD1261" s="300"/>
      <c r="BE1261" s="282"/>
      <c r="BF1261" s="33"/>
      <c r="BG1261" s="34"/>
      <c r="BH1261" s="34"/>
      <c r="BI1261" s="34"/>
      <c r="BJ1261" s="30">
        <f t="shared" si="1102"/>
        <v>0</v>
      </c>
      <c r="BL1261" s="282"/>
      <c r="BM1261" s="33"/>
      <c r="BN1261" s="34"/>
      <c r="BO1261" s="34"/>
      <c r="BP1261" s="34"/>
      <c r="BQ1261" s="30">
        <f t="shared" si="1103"/>
        <v>0</v>
      </c>
    </row>
    <row r="1262" spans="1:69" ht="15" thickBot="1" x14ac:dyDescent="0.2">
      <c r="A1262" s="9" t="s">
        <v>15</v>
      </c>
      <c r="B1262" s="36">
        <f>SUM(B1236:B1261)</f>
        <v>2</v>
      </c>
      <c r="C1262" s="37">
        <f>SUM(C1236:C1261)</f>
        <v>2</v>
      </c>
      <c r="D1262" s="37">
        <f>SUM(D1236:D1261)</f>
        <v>3</v>
      </c>
      <c r="E1262" s="38">
        <f>SUM(E1236:E1261)</f>
        <v>1</v>
      </c>
      <c r="F1262" s="25">
        <f t="shared" si="1095"/>
        <v>8</v>
      </c>
      <c r="G1262" s="36">
        <f>SUM(G1236:G1261)</f>
        <v>4</v>
      </c>
      <c r="H1262" s="37">
        <f>SUM(H1236:H1261)</f>
        <v>-1</v>
      </c>
      <c r="I1262" s="37">
        <f>SUM(I1236:I1261)</f>
        <v>1</v>
      </c>
      <c r="J1262" s="38">
        <f>SUM(J1236:J1261)</f>
        <v>2</v>
      </c>
      <c r="K1262" s="25">
        <f t="shared" si="1131"/>
        <v>6</v>
      </c>
      <c r="L1262" s="36">
        <f>SUM(L1236:L1261)</f>
        <v>1</v>
      </c>
      <c r="M1262" s="37">
        <f>SUM(M1236:M1261)</f>
        <v>1</v>
      </c>
      <c r="N1262" s="37">
        <f>SUM(N1236:N1261)</f>
        <v>2</v>
      </c>
      <c r="O1262" s="38">
        <f>SUM(O1236:O1261)</f>
        <v>6</v>
      </c>
      <c r="P1262" s="25">
        <f t="shared" si="1132"/>
        <v>10</v>
      </c>
      <c r="Q1262" s="36">
        <f>SUM(Q1236:Q1261)</f>
        <v>1</v>
      </c>
      <c r="R1262" s="37">
        <f>SUM(R1236:R1261)</f>
        <v>2</v>
      </c>
      <c r="S1262" s="37">
        <f>SUM(S1236:S1261)</f>
        <v>2</v>
      </c>
      <c r="T1262" s="38">
        <f>SUM(T1236:T1261)</f>
        <v>3</v>
      </c>
      <c r="U1262" s="25">
        <f t="shared" si="1133"/>
        <v>8</v>
      </c>
      <c r="V1262" s="322">
        <f>SUM(V1236:V1261)</f>
        <v>0</v>
      </c>
      <c r="W1262" s="37">
        <f>SUM(W1236:W1261)</f>
        <v>2</v>
      </c>
      <c r="X1262" s="37">
        <f>SUM(X1236:X1261)</f>
        <v>3</v>
      </c>
      <c r="Y1262" s="38">
        <f>SUM(Y1236:Y1261)</f>
        <v>2</v>
      </c>
      <c r="Z1262" s="25">
        <f t="shared" si="1083"/>
        <v>7</v>
      </c>
      <c r="AA1262" s="161">
        <f>F1262+K1262+P1262+U1262+Z1262</f>
        <v>39</v>
      </c>
      <c r="AC1262" s="278" t="s">
        <v>15</v>
      </c>
      <c r="AD1262" s="36">
        <f>SUM(AD1236:AD1261)</f>
        <v>0</v>
      </c>
      <c r="AE1262" s="37">
        <f>SUM(AE1236:AE1261)</f>
        <v>4</v>
      </c>
      <c r="AF1262" s="37">
        <f>SUM(AF1236:AF1261)</f>
        <v>3</v>
      </c>
      <c r="AG1262" s="38">
        <f>SUM(AG1236:AG1261)</f>
        <v>3</v>
      </c>
      <c r="AH1262" s="25">
        <f t="shared" ref="AH1262:AH1263" si="1134">SUM(AD1262:AG1262)</f>
        <v>10</v>
      </c>
      <c r="AI1262" s="36">
        <f>SUM(AI1236:AI1261)</f>
        <v>15</v>
      </c>
      <c r="AJ1262" s="37">
        <f>SUM(AJ1236:AJ1261)</f>
        <v>5</v>
      </c>
      <c r="AK1262" s="37">
        <f>SUM(AK1236:AK1261)</f>
        <v>2</v>
      </c>
      <c r="AL1262" s="38">
        <f>SUM(AL1236:AL1261)</f>
        <v>9</v>
      </c>
      <c r="AM1262" s="25">
        <f t="shared" ref="AM1262:AM1263" si="1135">SUM(AI1262:AL1262)</f>
        <v>31</v>
      </c>
      <c r="AN1262" s="36">
        <f>SUM(AN1236:AN1261)</f>
        <v>0</v>
      </c>
      <c r="AO1262" s="37">
        <f>SUM(AO1236:AO1261)</f>
        <v>0</v>
      </c>
      <c r="AP1262" s="37">
        <f>SUM(AP1236:AP1261)</f>
        <v>0</v>
      </c>
      <c r="AQ1262" s="38">
        <f>SUM(AQ1236:AQ1261)</f>
        <v>5</v>
      </c>
      <c r="AR1262" s="25">
        <f t="shared" si="1098"/>
        <v>5</v>
      </c>
      <c r="AS1262" s="36">
        <f>SUM(AS1236:AS1261)</f>
        <v>8</v>
      </c>
      <c r="AT1262" s="37">
        <f>SUM(AT1236:AT1261)</f>
        <v>15</v>
      </c>
      <c r="AU1262" s="37">
        <f>SUM(AU1236:AU1261)</f>
        <v>5</v>
      </c>
      <c r="AV1262" s="38">
        <f>SUM(AV1236:AV1261)</f>
        <v>10</v>
      </c>
      <c r="AW1262" s="25">
        <f t="shared" si="1099"/>
        <v>38</v>
      </c>
      <c r="AX1262" s="322">
        <f>SUM(AX1236:AX1261)</f>
        <v>4</v>
      </c>
      <c r="AY1262" s="37">
        <f>SUM(AY1236:AY1261)</f>
        <v>6</v>
      </c>
      <c r="AZ1262" s="37">
        <f>SUM(AZ1236:AZ1261)</f>
        <v>0</v>
      </c>
      <c r="BA1262" s="38">
        <f>SUM(BA1236:BA1261)</f>
        <v>4</v>
      </c>
      <c r="BB1262" s="25">
        <f t="shared" si="1100"/>
        <v>14</v>
      </c>
      <c r="BC1262" s="161">
        <f>AH1262+AM1262+AR1262+AW1262+BB1262</f>
        <v>98</v>
      </c>
      <c r="BE1262" s="278" t="s">
        <v>15</v>
      </c>
      <c r="BF1262" s="312">
        <f>SUM(BF1236:BF1261)</f>
        <v>0</v>
      </c>
      <c r="BG1262" s="302">
        <f>SUM(BG1236:BG1261)</f>
        <v>0</v>
      </c>
      <c r="BH1262" s="37">
        <f>SUM(BH1236:BH1261)</f>
        <v>5</v>
      </c>
      <c r="BI1262" s="316">
        <f>SUM(BI1236:BI1261)</f>
        <v>0</v>
      </c>
      <c r="BJ1262" s="25">
        <f t="shared" si="1102"/>
        <v>5</v>
      </c>
      <c r="BL1262" s="278" t="s">
        <v>15</v>
      </c>
      <c r="BM1262" s="312">
        <f>SUM(BM1236:BM1261)</f>
        <v>0</v>
      </c>
      <c r="BN1262" s="302">
        <f>SUM(BN1236:BN1261)</f>
        <v>0</v>
      </c>
      <c r="BO1262" s="302">
        <f>SUM(BO1236:BO1261)</f>
        <v>13</v>
      </c>
      <c r="BP1262" s="316">
        <f>SUM(BP1236:BP1261)</f>
        <v>0</v>
      </c>
      <c r="BQ1262" s="25">
        <f t="shared" si="1103"/>
        <v>13</v>
      </c>
    </row>
    <row r="1263" spans="1:69" ht="14.25" thickBot="1" x14ac:dyDescent="0.2">
      <c r="A1263" s="39" t="s">
        <v>16</v>
      </c>
      <c r="B1263" s="40">
        <f>B1235-B1262</f>
        <v>3</v>
      </c>
      <c r="C1263" s="41">
        <f>C1235-C1262</f>
        <v>4</v>
      </c>
      <c r="D1263" s="41">
        <f>D1235-D1262</f>
        <v>4</v>
      </c>
      <c r="E1263" s="42">
        <f>E1235-E1262</f>
        <v>5</v>
      </c>
      <c r="F1263" s="171">
        <f t="shared" si="1095"/>
        <v>16</v>
      </c>
      <c r="G1263" s="40">
        <f>G1235-G1262</f>
        <v>1</v>
      </c>
      <c r="H1263" s="41">
        <f>H1235-H1262</f>
        <v>6</v>
      </c>
      <c r="I1263" s="41">
        <f>I1235-I1262</f>
        <v>5</v>
      </c>
      <c r="J1263" s="42">
        <f>J1235-J1262</f>
        <v>5</v>
      </c>
      <c r="K1263" s="171">
        <f t="shared" si="1131"/>
        <v>17</v>
      </c>
      <c r="L1263" s="40">
        <f>L1235-L1262</f>
        <v>5</v>
      </c>
      <c r="M1263" s="41">
        <f>M1235-M1262</f>
        <v>5</v>
      </c>
      <c r="N1263" s="41">
        <f>N1235-N1262</f>
        <v>5</v>
      </c>
      <c r="O1263" s="42">
        <f>O1235-O1262</f>
        <v>5</v>
      </c>
      <c r="P1263" s="171">
        <f t="shared" si="1132"/>
        <v>20</v>
      </c>
      <c r="Q1263" s="40">
        <f>Q1235-Q1262</f>
        <v>4</v>
      </c>
      <c r="R1263" s="41">
        <f>R1235-R1262</f>
        <v>5</v>
      </c>
      <c r="S1263" s="41">
        <f>S1235-S1262</f>
        <v>5</v>
      </c>
      <c r="T1263" s="42">
        <f>T1235-T1262</f>
        <v>5</v>
      </c>
      <c r="U1263" s="171">
        <f t="shared" si="1133"/>
        <v>19</v>
      </c>
      <c r="V1263" s="323">
        <f>V1235-V1262</f>
        <v>7</v>
      </c>
      <c r="W1263" s="41">
        <f>W1235-W1262</f>
        <v>5</v>
      </c>
      <c r="X1263" s="41">
        <f>X1235-X1262</f>
        <v>2</v>
      </c>
      <c r="Y1263" s="42">
        <f>Y1235-Y1262</f>
        <v>3</v>
      </c>
      <c r="Z1263" s="171">
        <f>SUM(V1263:Y1263)</f>
        <v>17</v>
      </c>
      <c r="AA1263" s="77">
        <f>F1263+K1263+P1263+U1263+Z1263</f>
        <v>89</v>
      </c>
      <c r="AC1263" s="279" t="s">
        <v>16</v>
      </c>
      <c r="AD1263" s="40">
        <f>AD1235-AD1262</f>
        <v>73</v>
      </c>
      <c r="AE1263" s="41">
        <f>AE1235-AE1262</f>
        <v>64</v>
      </c>
      <c r="AF1263" s="41">
        <f>AF1235-AF1262</f>
        <v>128</v>
      </c>
      <c r="AG1263" s="42">
        <f>AG1235-AG1262</f>
        <v>55</v>
      </c>
      <c r="AH1263" s="171">
        <f t="shared" si="1134"/>
        <v>320</v>
      </c>
      <c r="AI1263" s="40">
        <f>AI1235-AI1262</f>
        <v>97</v>
      </c>
      <c r="AJ1263" s="41">
        <f>AJ1235-AJ1262</f>
        <v>135</v>
      </c>
      <c r="AK1263" s="41">
        <f>AK1235-AK1262</f>
        <v>101</v>
      </c>
      <c r="AL1263" s="42">
        <f>AL1235-AL1262</f>
        <v>88</v>
      </c>
      <c r="AM1263" s="171">
        <f t="shared" si="1135"/>
        <v>421</v>
      </c>
      <c r="AN1263" s="40">
        <f>AN1235-AN1262</f>
        <v>38</v>
      </c>
      <c r="AO1263" s="41">
        <f>AO1235-AO1262</f>
        <v>51</v>
      </c>
      <c r="AP1263" s="41">
        <f>AP1235-AP1262</f>
        <v>41</v>
      </c>
      <c r="AQ1263" s="42">
        <f>AQ1235-AQ1262</f>
        <v>18</v>
      </c>
      <c r="AR1263" s="171">
        <f t="shared" si="1098"/>
        <v>148</v>
      </c>
      <c r="AS1263" s="40">
        <f>AS1235-AS1262</f>
        <v>134</v>
      </c>
      <c r="AT1263" s="41">
        <f>AT1235-AT1262</f>
        <v>158</v>
      </c>
      <c r="AU1263" s="41">
        <f>AU1235-AU1262</f>
        <v>107</v>
      </c>
      <c r="AV1263" s="42">
        <f>AV1235-AV1262</f>
        <v>72</v>
      </c>
      <c r="AW1263" s="171">
        <f t="shared" si="1099"/>
        <v>471</v>
      </c>
      <c r="AX1263" s="323">
        <f>AX1235-AX1262</f>
        <v>101</v>
      </c>
      <c r="AY1263" s="41">
        <f>AY1235-AY1262</f>
        <v>75</v>
      </c>
      <c r="AZ1263" s="41">
        <f>AZ1235-AZ1262</f>
        <v>38</v>
      </c>
      <c r="BA1263" s="42">
        <f>BA1235-BA1262</f>
        <v>24</v>
      </c>
      <c r="BB1263" s="171">
        <f>SUM(AX1263:BA1263)</f>
        <v>238</v>
      </c>
      <c r="BC1263" s="77">
        <f>AH1263+AM1263+AR1263+AW1263+BB1263</f>
        <v>1598</v>
      </c>
      <c r="BE1263" s="279" t="s">
        <v>16</v>
      </c>
      <c r="BF1263" s="313">
        <f>BF1235-BF1262</f>
        <v>0</v>
      </c>
      <c r="BG1263" s="303">
        <f>BG1235-BG1262</f>
        <v>0</v>
      </c>
      <c r="BH1263" s="41">
        <f>BH1235-BH1262</f>
        <v>10</v>
      </c>
      <c r="BI1263" s="317">
        <f>BI1235-BI1262</f>
        <v>0</v>
      </c>
      <c r="BJ1263" s="171">
        <f t="shared" si="1102"/>
        <v>10</v>
      </c>
      <c r="BL1263" s="279" t="s">
        <v>16</v>
      </c>
      <c r="BM1263" s="313">
        <f>BM1235-BM1262</f>
        <v>0</v>
      </c>
      <c r="BN1263" s="303">
        <f>BN1235-BN1262</f>
        <v>0</v>
      </c>
      <c r="BO1263" s="303">
        <f>BO1235-BO1262</f>
        <v>0</v>
      </c>
      <c r="BP1263" s="317">
        <f>BP1235-BP1262</f>
        <v>0</v>
      </c>
      <c r="BQ1263" s="171">
        <f t="shared" si="1103"/>
        <v>0</v>
      </c>
    </row>
    <row r="1264" spans="1:69" x14ac:dyDescent="0.15">
      <c r="AC1264" s="342"/>
      <c r="AD1264" s="342"/>
      <c r="AE1264" s="342"/>
      <c r="AF1264" s="342"/>
      <c r="AG1264" s="342"/>
      <c r="AH1264" s="342"/>
      <c r="AI1264" s="342"/>
      <c r="AJ1264" s="342"/>
      <c r="AK1264" s="342"/>
      <c r="AL1264" s="342"/>
      <c r="AM1264" s="342"/>
      <c r="AN1264" s="342"/>
      <c r="AO1264" s="342"/>
      <c r="AP1264" s="342"/>
      <c r="AQ1264" s="342"/>
      <c r="AR1264" s="342"/>
      <c r="AS1264" s="342"/>
      <c r="AT1264" s="342"/>
      <c r="AU1264" s="342"/>
      <c r="AV1264" s="342"/>
      <c r="AW1264" s="342"/>
      <c r="AX1264" s="342"/>
      <c r="AY1264" s="342"/>
      <c r="AZ1264" s="342"/>
      <c r="BA1264" s="342"/>
      <c r="BB1264" s="342"/>
      <c r="BC1264" s="342"/>
    </row>
    <row r="1267" spans="1:62" ht="19.5" thickBot="1" x14ac:dyDescent="0.25">
      <c r="A1267" s="185" t="s">
        <v>19</v>
      </c>
      <c r="B1267" s="186"/>
      <c r="C1267" s="186"/>
      <c r="D1267" s="186"/>
      <c r="E1267" s="186"/>
      <c r="F1267" s="186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C1267" s="187" t="s">
        <v>73</v>
      </c>
      <c r="AD1267" s="188"/>
      <c r="AE1267" s="188"/>
      <c r="AF1267" s="188"/>
      <c r="AG1267" s="188"/>
      <c r="AH1267" s="188"/>
      <c r="AI1267" s="188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E1267" s="185" t="s">
        <v>19</v>
      </c>
      <c r="BF1267" s="186"/>
      <c r="BG1267" s="186"/>
      <c r="BH1267" s="186"/>
      <c r="BI1267" s="186"/>
      <c r="BJ1267" s="186"/>
    </row>
    <row r="1268" spans="1:62" ht="14.25" thickBot="1" x14ac:dyDescent="0.2">
      <c r="A1268" s="3" t="s">
        <v>0</v>
      </c>
      <c r="B1268" s="365" t="s">
        <v>17</v>
      </c>
      <c r="C1268" s="366"/>
      <c r="D1268" s="366"/>
      <c r="E1268" s="366"/>
      <c r="F1268" s="367"/>
      <c r="G1268" s="368" t="s">
        <v>18</v>
      </c>
      <c r="H1268" s="369"/>
      <c r="I1268" s="369"/>
      <c r="J1268" s="369"/>
      <c r="K1268" s="370"/>
      <c r="L1268" s="371" t="s">
        <v>320</v>
      </c>
      <c r="M1268" s="372"/>
      <c r="N1268" s="372"/>
      <c r="O1268" s="372"/>
      <c r="P1268" s="373"/>
      <c r="Q1268" s="355" t="s">
        <v>75</v>
      </c>
      <c r="R1268" s="356"/>
      <c r="S1268" s="356"/>
      <c r="T1268" s="356"/>
      <c r="U1268" s="357"/>
      <c r="V1268" s="358" t="s">
        <v>456</v>
      </c>
      <c r="W1268" s="358"/>
      <c r="X1268" s="358"/>
      <c r="Y1268" s="358"/>
      <c r="Z1268" s="359"/>
      <c r="AA1268" s="360" t="s">
        <v>1</v>
      </c>
      <c r="AC1268" s="271" t="s">
        <v>0</v>
      </c>
      <c r="AD1268" s="365" t="s">
        <v>17</v>
      </c>
      <c r="AE1268" s="366"/>
      <c r="AF1268" s="366"/>
      <c r="AG1268" s="366"/>
      <c r="AH1268" s="367"/>
      <c r="AI1268" s="368" t="s">
        <v>18</v>
      </c>
      <c r="AJ1268" s="369"/>
      <c r="AK1268" s="369"/>
      <c r="AL1268" s="369"/>
      <c r="AM1268" s="370"/>
      <c r="AN1268" s="371" t="s">
        <v>320</v>
      </c>
      <c r="AO1268" s="372"/>
      <c r="AP1268" s="372"/>
      <c r="AQ1268" s="372"/>
      <c r="AR1268" s="373"/>
      <c r="AS1268" s="355" t="s">
        <v>75</v>
      </c>
      <c r="AT1268" s="356"/>
      <c r="AU1268" s="356"/>
      <c r="AV1268" s="356"/>
      <c r="AW1268" s="357"/>
      <c r="AX1268" s="358" t="s">
        <v>456</v>
      </c>
      <c r="AY1268" s="358"/>
      <c r="AZ1268" s="358"/>
      <c r="BA1268" s="358"/>
      <c r="BB1268" s="359"/>
      <c r="BC1268" s="360" t="s">
        <v>1</v>
      </c>
      <c r="BE1268" s="271" t="s">
        <v>0</v>
      </c>
      <c r="BF1268" s="362" t="s">
        <v>38</v>
      </c>
      <c r="BG1268" s="363"/>
      <c r="BH1268" s="363"/>
      <c r="BI1268" s="363"/>
      <c r="BJ1268" s="364"/>
    </row>
    <row r="1269" spans="1:62" ht="14.25" thickBot="1" x14ac:dyDescent="0.2">
      <c r="A1269" s="5" t="s">
        <v>2</v>
      </c>
      <c r="B1269" s="6" t="s">
        <v>3</v>
      </c>
      <c r="C1269" s="7" t="s">
        <v>4</v>
      </c>
      <c r="D1269" s="7" t="s">
        <v>5</v>
      </c>
      <c r="E1269" s="8" t="s">
        <v>6</v>
      </c>
      <c r="F1269" s="5" t="s">
        <v>7</v>
      </c>
      <c r="G1269" s="6" t="s">
        <v>3</v>
      </c>
      <c r="H1269" s="7" t="s">
        <v>4</v>
      </c>
      <c r="I1269" s="7" t="s">
        <v>5</v>
      </c>
      <c r="J1269" s="8" t="s">
        <v>6</v>
      </c>
      <c r="K1269" s="5" t="s">
        <v>7</v>
      </c>
      <c r="L1269" s="6" t="s">
        <v>3</v>
      </c>
      <c r="M1269" s="7" t="s">
        <v>4</v>
      </c>
      <c r="N1269" s="7" t="s">
        <v>5</v>
      </c>
      <c r="O1269" s="8" t="s">
        <v>6</v>
      </c>
      <c r="P1269" s="5" t="s">
        <v>7</v>
      </c>
      <c r="Q1269" s="6" t="s">
        <v>3</v>
      </c>
      <c r="R1269" s="7" t="s">
        <v>4</v>
      </c>
      <c r="S1269" s="7" t="s">
        <v>5</v>
      </c>
      <c r="T1269" s="8" t="s">
        <v>6</v>
      </c>
      <c r="U1269" s="5" t="s">
        <v>7</v>
      </c>
      <c r="V1269" s="7" t="s">
        <v>3</v>
      </c>
      <c r="W1269" s="7" t="s">
        <v>4</v>
      </c>
      <c r="X1269" s="7" t="s">
        <v>5</v>
      </c>
      <c r="Y1269" s="8" t="s">
        <v>6</v>
      </c>
      <c r="Z1269" s="5" t="s">
        <v>7</v>
      </c>
      <c r="AA1269" s="361"/>
      <c r="AC1269" s="272" t="s">
        <v>2</v>
      </c>
      <c r="AD1269" s="6" t="s">
        <v>3</v>
      </c>
      <c r="AE1269" s="7" t="s">
        <v>4</v>
      </c>
      <c r="AF1269" s="7" t="s">
        <v>5</v>
      </c>
      <c r="AG1269" s="8" t="s">
        <v>6</v>
      </c>
      <c r="AH1269" s="5" t="s">
        <v>7</v>
      </c>
      <c r="AI1269" s="6" t="s">
        <v>3</v>
      </c>
      <c r="AJ1269" s="7" t="s">
        <v>4</v>
      </c>
      <c r="AK1269" s="7" t="s">
        <v>5</v>
      </c>
      <c r="AL1269" s="8" t="s">
        <v>6</v>
      </c>
      <c r="AM1269" s="5" t="s">
        <v>7</v>
      </c>
      <c r="AN1269" s="6" t="s">
        <v>3</v>
      </c>
      <c r="AO1269" s="7" t="s">
        <v>4</v>
      </c>
      <c r="AP1269" s="7" t="s">
        <v>5</v>
      </c>
      <c r="AQ1269" s="8" t="s">
        <v>6</v>
      </c>
      <c r="AR1269" s="5" t="s">
        <v>7</v>
      </c>
      <c r="AS1269" s="6" t="s">
        <v>3</v>
      </c>
      <c r="AT1269" s="7" t="s">
        <v>4</v>
      </c>
      <c r="AU1269" s="7" t="s">
        <v>5</v>
      </c>
      <c r="AV1269" s="8" t="s">
        <v>6</v>
      </c>
      <c r="AW1269" s="5" t="s">
        <v>7</v>
      </c>
      <c r="AX1269" s="7" t="s">
        <v>3</v>
      </c>
      <c r="AY1269" s="7" t="s">
        <v>4</v>
      </c>
      <c r="AZ1269" s="7" t="s">
        <v>5</v>
      </c>
      <c r="BA1269" s="8" t="s">
        <v>6</v>
      </c>
      <c r="BB1269" s="5" t="s">
        <v>7</v>
      </c>
      <c r="BC1269" s="361"/>
      <c r="BE1269" s="272" t="s">
        <v>2</v>
      </c>
      <c r="BF1269" s="6" t="s">
        <v>3</v>
      </c>
      <c r="BG1269" s="7" t="s">
        <v>4</v>
      </c>
      <c r="BH1269" s="7" t="s">
        <v>5</v>
      </c>
      <c r="BI1269" s="8" t="s">
        <v>6</v>
      </c>
      <c r="BJ1269" s="5" t="s">
        <v>7</v>
      </c>
    </row>
    <row r="1270" spans="1:62" ht="15" thickBot="1" x14ac:dyDescent="0.2">
      <c r="A1270" s="291" t="s">
        <v>30</v>
      </c>
      <c r="B1270" s="292">
        <f>B1263</f>
        <v>3</v>
      </c>
      <c r="C1270" s="292">
        <f>C1263</f>
        <v>4</v>
      </c>
      <c r="D1270" s="292">
        <f>D1263</f>
        <v>4</v>
      </c>
      <c r="E1270" s="293">
        <f>E1263</f>
        <v>5</v>
      </c>
      <c r="F1270" s="77">
        <f t="shared" ref="F1270" si="1136">SUM(B1270:E1270)</f>
        <v>16</v>
      </c>
      <c r="G1270" s="292">
        <f>G1263</f>
        <v>1</v>
      </c>
      <c r="H1270" s="292">
        <f>H1263</f>
        <v>6</v>
      </c>
      <c r="I1270" s="292">
        <f>I1263</f>
        <v>5</v>
      </c>
      <c r="J1270" s="293">
        <f>J1263</f>
        <v>5</v>
      </c>
      <c r="K1270" s="77">
        <f t="shared" ref="K1270:K1278" si="1137">SUM(G1270:J1270)</f>
        <v>17</v>
      </c>
      <c r="L1270" s="292">
        <f>L1263</f>
        <v>5</v>
      </c>
      <c r="M1270" s="292">
        <f>M1263</f>
        <v>5</v>
      </c>
      <c r="N1270" s="292">
        <f>N1263</f>
        <v>5</v>
      </c>
      <c r="O1270" s="293">
        <f>O1263</f>
        <v>5</v>
      </c>
      <c r="P1270" s="77">
        <f t="shared" ref="P1270:P1278" si="1138">SUM(L1270:O1270)</f>
        <v>20</v>
      </c>
      <c r="Q1270" s="324">
        <f>Q1263</f>
        <v>4</v>
      </c>
      <c r="R1270" s="292">
        <f>R1263</f>
        <v>5</v>
      </c>
      <c r="S1270" s="292">
        <f>S1263</f>
        <v>5</v>
      </c>
      <c r="T1270" s="293">
        <f>T1263</f>
        <v>5</v>
      </c>
      <c r="U1270" s="77">
        <f t="shared" ref="U1270:U1278" si="1139">SUM(Q1270:T1270)</f>
        <v>19</v>
      </c>
      <c r="V1270" s="324">
        <f>V1263</f>
        <v>7</v>
      </c>
      <c r="W1270" s="292">
        <f>W1263</f>
        <v>5</v>
      </c>
      <c r="X1270" s="292">
        <f>X1263</f>
        <v>2</v>
      </c>
      <c r="Y1270" s="293">
        <f>Y1263</f>
        <v>3</v>
      </c>
      <c r="Z1270" s="77">
        <f t="shared" ref="Z1270:Z1278" si="1140">SUM(V1270:Y1270)</f>
        <v>17</v>
      </c>
      <c r="AA1270" s="77">
        <f>F1270+K1270+P1270+U1270+Z1270</f>
        <v>89</v>
      </c>
      <c r="AC1270" s="294" t="s">
        <v>30</v>
      </c>
      <c r="AD1270" s="292">
        <f>AD1263</f>
        <v>73</v>
      </c>
      <c r="AE1270" s="292">
        <f>AE1263</f>
        <v>64</v>
      </c>
      <c r="AF1270" s="292">
        <f>AF1263</f>
        <v>128</v>
      </c>
      <c r="AG1270" s="293">
        <f>AG1263</f>
        <v>55</v>
      </c>
      <c r="AH1270" s="77">
        <f>SUM(AD1270:AG1270)</f>
        <v>320</v>
      </c>
      <c r="AI1270" s="292">
        <f>AI1263</f>
        <v>97</v>
      </c>
      <c r="AJ1270" s="292">
        <f>AJ1263</f>
        <v>135</v>
      </c>
      <c r="AK1270" s="292">
        <f>AK1263</f>
        <v>101</v>
      </c>
      <c r="AL1270" s="293">
        <f>AL1263</f>
        <v>88</v>
      </c>
      <c r="AM1270" s="77">
        <f>SUM(AI1270:AL1270)</f>
        <v>421</v>
      </c>
      <c r="AN1270" s="292">
        <f>AN1263</f>
        <v>38</v>
      </c>
      <c r="AO1270" s="292">
        <f>AO1263</f>
        <v>51</v>
      </c>
      <c r="AP1270" s="292">
        <f>AP1263</f>
        <v>41</v>
      </c>
      <c r="AQ1270" s="293">
        <f>AQ1263</f>
        <v>18</v>
      </c>
      <c r="AR1270" s="77">
        <f>SUM(AN1270:AQ1270)</f>
        <v>148</v>
      </c>
      <c r="AS1270" s="324">
        <f>AS1263</f>
        <v>134</v>
      </c>
      <c r="AT1270" s="292">
        <f>AT1263</f>
        <v>158</v>
      </c>
      <c r="AU1270" s="292">
        <f>AU1263</f>
        <v>107</v>
      </c>
      <c r="AV1270" s="293">
        <f>AV1263</f>
        <v>72</v>
      </c>
      <c r="AW1270" s="77">
        <f>SUM(AS1270:AV1270)</f>
        <v>471</v>
      </c>
      <c r="AX1270" s="324">
        <f>AX1263</f>
        <v>101</v>
      </c>
      <c r="AY1270" s="292">
        <f>AY1263</f>
        <v>75</v>
      </c>
      <c r="AZ1270" s="292">
        <f>AZ1263</f>
        <v>38</v>
      </c>
      <c r="BA1270" s="293">
        <f>BA1263</f>
        <v>24</v>
      </c>
      <c r="BB1270" s="77">
        <f>SUM(AX1270:BA1270)</f>
        <v>238</v>
      </c>
      <c r="BC1270" s="77">
        <f>AH1270+AM1270+AR1270+AW1270+BB1270</f>
        <v>1598</v>
      </c>
      <c r="BE1270" s="294" t="s">
        <v>30</v>
      </c>
      <c r="BF1270" s="40">
        <f>BF1263</f>
        <v>0</v>
      </c>
      <c r="BG1270" s="41">
        <f t="shared" ref="BG1270:BJ1270" si="1141">BG1263</f>
        <v>0</v>
      </c>
      <c r="BH1270" s="41">
        <f t="shared" si="1141"/>
        <v>10</v>
      </c>
      <c r="BI1270" s="42">
        <f t="shared" si="1141"/>
        <v>0</v>
      </c>
      <c r="BJ1270" s="171">
        <f t="shared" si="1141"/>
        <v>10</v>
      </c>
    </row>
    <row r="1271" spans="1:62" x14ac:dyDescent="0.15">
      <c r="A1271" s="268" t="s">
        <v>28</v>
      </c>
      <c r="B1271" s="55"/>
      <c r="C1271" s="153"/>
      <c r="D1271" s="153"/>
      <c r="E1271" s="168"/>
      <c r="F1271" s="56">
        <f t="shared" ref="F1271:F1277" si="1142">SUM(B1271:E1271)</f>
        <v>0</v>
      </c>
      <c r="G1271" s="55">
        <v>2</v>
      </c>
      <c r="H1271" s="153"/>
      <c r="I1271" s="153"/>
      <c r="J1271" s="168"/>
      <c r="K1271" s="56">
        <f t="shared" ref="K1271:K1277" si="1143">SUM(G1271:J1271)</f>
        <v>2</v>
      </c>
      <c r="L1271" s="55"/>
      <c r="M1271" s="153"/>
      <c r="N1271" s="153"/>
      <c r="O1271" s="168"/>
      <c r="P1271" s="56">
        <f t="shared" ref="P1271:P1277" si="1144">SUM(L1271:O1271)</f>
        <v>0</v>
      </c>
      <c r="Q1271" s="54"/>
      <c r="R1271" s="153"/>
      <c r="S1271" s="153"/>
      <c r="T1271" s="168"/>
      <c r="U1271" s="56">
        <f t="shared" ref="U1271:U1277" si="1145">SUM(Q1271:T1271)</f>
        <v>0</v>
      </c>
      <c r="V1271" s="55"/>
      <c r="W1271" s="153"/>
      <c r="X1271" s="153"/>
      <c r="Y1271" s="168"/>
      <c r="Z1271" s="49">
        <f t="shared" ref="Z1271:Z1277" si="1146">SUM(V1271:Y1271)</f>
        <v>0</v>
      </c>
      <c r="AA1271" s="49">
        <f t="shared" ref="AA1271:AA1277" si="1147">F1271+K1271+P1271+U1271+Z1271</f>
        <v>2</v>
      </c>
      <c r="AB1271" s="299">
        <v>45542</v>
      </c>
      <c r="AC1271" s="268" t="s">
        <v>626</v>
      </c>
      <c r="AD1271" s="55">
        <v>2</v>
      </c>
      <c r="AE1271" s="153">
        <v>2</v>
      </c>
      <c r="AF1271" s="153">
        <v>2</v>
      </c>
      <c r="AG1271" s="168">
        <v>2</v>
      </c>
      <c r="AH1271" s="56">
        <f t="shared" ref="AH1271" si="1148">SUM(AD1271:AG1271)</f>
        <v>8</v>
      </c>
      <c r="AI1271" s="55">
        <v>3</v>
      </c>
      <c r="AJ1271" s="153">
        <v>3</v>
      </c>
      <c r="AK1271" s="153"/>
      <c r="AL1271" s="168">
        <v>1</v>
      </c>
      <c r="AM1271" s="56">
        <f t="shared" ref="AM1271" si="1149">SUM(AI1271:AL1271)</f>
        <v>7</v>
      </c>
      <c r="AN1271" s="55"/>
      <c r="AO1271" s="153"/>
      <c r="AP1271" s="153"/>
      <c r="AQ1271" s="168"/>
      <c r="AR1271" s="56">
        <f t="shared" ref="AR1271" si="1150">SUM(AN1271:AQ1271)</f>
        <v>0</v>
      </c>
      <c r="AS1271" s="54">
        <v>2</v>
      </c>
      <c r="AT1271" s="153">
        <v>1</v>
      </c>
      <c r="AU1271" s="153">
        <v>2</v>
      </c>
      <c r="AV1271" s="168"/>
      <c r="AW1271" s="56">
        <f t="shared" ref="AW1271" si="1151">SUM(AS1271:AV1271)</f>
        <v>5</v>
      </c>
      <c r="AX1271" s="55"/>
      <c r="AY1271" s="153"/>
      <c r="AZ1271" s="153"/>
      <c r="BA1271" s="168"/>
      <c r="BB1271" s="49">
        <f t="shared" ref="BB1271" si="1152">SUM(AX1271:BA1271)</f>
        <v>0</v>
      </c>
      <c r="BC1271" s="49">
        <f t="shared" ref="BC1271" si="1153">AH1271+AM1271+AR1271+AW1271+BB1271</f>
        <v>20</v>
      </c>
      <c r="BD1271" s="298">
        <v>45632</v>
      </c>
      <c r="BE1271" s="268" t="s">
        <v>28</v>
      </c>
      <c r="BF1271" s="55"/>
      <c r="BG1271" s="153"/>
      <c r="BH1271" s="153"/>
      <c r="BI1271" s="168"/>
      <c r="BJ1271" s="56">
        <f t="shared" ref="BJ1271:BJ1274" si="1154">SUM(BF1271:BI1271)</f>
        <v>0</v>
      </c>
    </row>
    <row r="1272" spans="1:62" x14ac:dyDescent="0.15">
      <c r="A1272" s="268" t="s">
        <v>29</v>
      </c>
      <c r="B1272" s="55"/>
      <c r="C1272" s="153"/>
      <c r="D1272" s="153"/>
      <c r="E1272" s="168"/>
      <c r="F1272" s="56">
        <f t="shared" si="1142"/>
        <v>0</v>
      </c>
      <c r="G1272" s="55"/>
      <c r="H1272" s="153"/>
      <c r="I1272" s="153"/>
      <c r="J1272" s="168"/>
      <c r="K1272" s="56">
        <f t="shared" si="1143"/>
        <v>0</v>
      </c>
      <c r="L1272" s="55"/>
      <c r="M1272" s="153"/>
      <c r="N1272" s="153"/>
      <c r="O1272" s="168"/>
      <c r="P1272" s="56">
        <f t="shared" si="1144"/>
        <v>0</v>
      </c>
      <c r="Q1272" s="54">
        <v>1</v>
      </c>
      <c r="R1272" s="153"/>
      <c r="S1272" s="153"/>
      <c r="T1272" s="168"/>
      <c r="U1272" s="56">
        <f t="shared" si="1145"/>
        <v>1</v>
      </c>
      <c r="V1272" s="55"/>
      <c r="W1272" s="153">
        <v>1</v>
      </c>
      <c r="X1272" s="153">
        <v>1</v>
      </c>
      <c r="Y1272" s="168"/>
      <c r="Z1272" s="49">
        <f t="shared" si="1146"/>
        <v>2</v>
      </c>
      <c r="AA1272" s="49">
        <f t="shared" si="1147"/>
        <v>3</v>
      </c>
      <c r="AB1272" s="299">
        <v>45555</v>
      </c>
      <c r="AC1272" s="268" t="s">
        <v>625</v>
      </c>
      <c r="AD1272" s="55">
        <v>2</v>
      </c>
      <c r="AE1272" s="153">
        <v>2</v>
      </c>
      <c r="AF1272" s="153">
        <v>2</v>
      </c>
      <c r="AG1272" s="168">
        <v>1</v>
      </c>
      <c r="AH1272" s="56">
        <f t="shared" ref="AH1272" si="1155">SUM(AD1272:AG1272)</f>
        <v>7</v>
      </c>
      <c r="AI1272" s="55">
        <v>1</v>
      </c>
      <c r="AJ1272" s="153">
        <v>2</v>
      </c>
      <c r="AK1272" s="153">
        <v>2</v>
      </c>
      <c r="AL1272" s="168">
        <v>2</v>
      </c>
      <c r="AM1272" s="56">
        <f t="shared" ref="AM1272" si="1156">SUM(AI1272:AL1272)</f>
        <v>7</v>
      </c>
      <c r="AN1272" s="55"/>
      <c r="AO1272" s="153"/>
      <c r="AP1272" s="153"/>
      <c r="AQ1272" s="168"/>
      <c r="AR1272" s="56">
        <f t="shared" ref="AR1272" si="1157">SUM(AN1272:AQ1272)</f>
        <v>0</v>
      </c>
      <c r="AS1272" s="54">
        <v>1</v>
      </c>
      <c r="AT1272" s="153">
        <v>2</v>
      </c>
      <c r="AU1272" s="153">
        <v>3</v>
      </c>
      <c r="AV1272" s="168">
        <v>3</v>
      </c>
      <c r="AW1272" s="56">
        <f t="shared" ref="AW1272" si="1158">SUM(AS1272:AV1272)</f>
        <v>9</v>
      </c>
      <c r="AX1272" s="55"/>
      <c r="AY1272" s="153"/>
      <c r="AZ1272" s="153"/>
      <c r="BA1272" s="168"/>
      <c r="BB1272" s="49">
        <f t="shared" ref="BB1272" si="1159">SUM(AX1272:BA1272)</f>
        <v>0</v>
      </c>
      <c r="BC1272" s="49">
        <f t="shared" ref="BC1272:BC1275" si="1160">AH1272+AM1272+AR1272+AW1272+BB1272</f>
        <v>23</v>
      </c>
      <c r="BD1272" s="298">
        <v>45632</v>
      </c>
      <c r="BE1272" s="268" t="s">
        <v>28</v>
      </c>
      <c r="BF1272" s="55"/>
      <c r="BG1272" s="153"/>
      <c r="BH1272" s="153"/>
      <c r="BI1272" s="168"/>
      <c r="BJ1272" s="56">
        <f t="shared" si="1154"/>
        <v>0</v>
      </c>
    </row>
    <row r="1273" spans="1:62" x14ac:dyDescent="0.15">
      <c r="A1273" s="268" t="s">
        <v>28</v>
      </c>
      <c r="B1273" s="55"/>
      <c r="C1273" s="153"/>
      <c r="D1273" s="153"/>
      <c r="E1273" s="168"/>
      <c r="F1273" s="56">
        <f t="shared" si="1142"/>
        <v>0</v>
      </c>
      <c r="G1273" s="55"/>
      <c r="H1273" s="153"/>
      <c r="I1273" s="153"/>
      <c r="J1273" s="168"/>
      <c r="K1273" s="56">
        <f t="shared" si="1143"/>
        <v>0</v>
      </c>
      <c r="L1273" s="55"/>
      <c r="M1273" s="153"/>
      <c r="N1273" s="153"/>
      <c r="O1273" s="168"/>
      <c r="P1273" s="56">
        <f t="shared" si="1144"/>
        <v>0</v>
      </c>
      <c r="Q1273" s="54"/>
      <c r="R1273" s="153"/>
      <c r="S1273" s="153">
        <v>2</v>
      </c>
      <c r="T1273" s="168">
        <v>2</v>
      </c>
      <c r="U1273" s="56">
        <f t="shared" si="1145"/>
        <v>4</v>
      </c>
      <c r="V1273" s="55"/>
      <c r="W1273" s="153"/>
      <c r="X1273" s="153"/>
      <c r="Y1273" s="168"/>
      <c r="Z1273" s="49">
        <f t="shared" si="1146"/>
        <v>0</v>
      </c>
      <c r="AA1273" s="49">
        <f t="shared" si="1147"/>
        <v>4</v>
      </c>
      <c r="AB1273" s="298">
        <v>45576</v>
      </c>
      <c r="AC1273" s="268" t="s">
        <v>628</v>
      </c>
      <c r="AD1273" s="55">
        <v>2</v>
      </c>
      <c r="AE1273" s="153">
        <v>2</v>
      </c>
      <c r="AF1273" s="153">
        <v>2</v>
      </c>
      <c r="AG1273" s="168"/>
      <c r="AH1273" s="56">
        <f t="shared" ref="AH1273" si="1161">SUM(AD1273:AG1273)</f>
        <v>6</v>
      </c>
      <c r="AI1273" s="55">
        <v>3</v>
      </c>
      <c r="AJ1273" s="153"/>
      <c r="AK1273" s="153"/>
      <c r="AL1273" s="168"/>
      <c r="AM1273" s="56">
        <f t="shared" ref="AM1273" si="1162">SUM(AI1273:AL1273)</f>
        <v>3</v>
      </c>
      <c r="AN1273" s="55"/>
      <c r="AO1273" s="153"/>
      <c r="AP1273" s="153"/>
      <c r="AQ1273" s="168"/>
      <c r="AR1273" s="56">
        <f t="shared" ref="AR1273" si="1163">SUM(AN1273:AQ1273)</f>
        <v>0</v>
      </c>
      <c r="AS1273" s="54"/>
      <c r="AT1273" s="153"/>
      <c r="AU1273" s="153">
        <v>2</v>
      </c>
      <c r="AV1273" s="168"/>
      <c r="AW1273" s="56">
        <f t="shared" ref="AW1273" si="1164">SUM(AS1273:AV1273)</f>
        <v>2</v>
      </c>
      <c r="AX1273" s="55"/>
      <c r="AY1273" s="153"/>
      <c r="AZ1273" s="153"/>
      <c r="BA1273" s="168"/>
      <c r="BB1273" s="49">
        <f t="shared" ref="BB1273" si="1165">SUM(AX1273:BA1273)</f>
        <v>0</v>
      </c>
      <c r="BC1273" s="49">
        <f t="shared" si="1160"/>
        <v>11</v>
      </c>
      <c r="BD1273" s="298">
        <v>45647</v>
      </c>
      <c r="BE1273" s="268" t="s">
        <v>28</v>
      </c>
      <c r="BF1273" s="55"/>
      <c r="BG1273" s="153"/>
      <c r="BH1273" s="153"/>
      <c r="BI1273" s="168"/>
      <c r="BJ1273" s="56">
        <f t="shared" si="1154"/>
        <v>0</v>
      </c>
    </row>
    <row r="1274" spans="1:62" x14ac:dyDescent="0.15">
      <c r="A1274" s="268" t="s">
        <v>29</v>
      </c>
      <c r="B1274" s="55"/>
      <c r="C1274" s="153"/>
      <c r="D1274" s="153"/>
      <c r="E1274" s="168"/>
      <c r="F1274" s="56">
        <f t="shared" si="1142"/>
        <v>0</v>
      </c>
      <c r="G1274" s="55">
        <v>1</v>
      </c>
      <c r="H1274" s="153"/>
      <c r="I1274" s="153"/>
      <c r="J1274" s="168"/>
      <c r="K1274" s="56">
        <f t="shared" si="1143"/>
        <v>1</v>
      </c>
      <c r="L1274" s="55"/>
      <c r="M1274" s="153"/>
      <c r="N1274" s="153"/>
      <c r="O1274" s="168"/>
      <c r="P1274" s="56">
        <f t="shared" si="1144"/>
        <v>0</v>
      </c>
      <c r="Q1274" s="54"/>
      <c r="R1274" s="153"/>
      <c r="S1274" s="153"/>
      <c r="T1274" s="168"/>
      <c r="U1274" s="56">
        <f t="shared" si="1145"/>
        <v>0</v>
      </c>
      <c r="V1274" s="55"/>
      <c r="W1274" s="153"/>
      <c r="X1274" s="153"/>
      <c r="Y1274" s="168"/>
      <c r="Z1274" s="49">
        <f t="shared" si="1146"/>
        <v>0</v>
      </c>
      <c r="AA1274" s="49">
        <f t="shared" si="1147"/>
        <v>1</v>
      </c>
      <c r="AB1274" s="298">
        <v>45593</v>
      </c>
      <c r="AC1274" s="268" t="s">
        <v>629</v>
      </c>
      <c r="AD1274" s="55"/>
      <c r="AE1274" s="153"/>
      <c r="AF1274" s="153"/>
      <c r="AG1274" s="168"/>
      <c r="AH1274" s="56">
        <f t="shared" ref="AH1274" si="1166">SUM(AD1274:AG1274)</f>
        <v>0</v>
      </c>
      <c r="AI1274" s="55">
        <v>6</v>
      </c>
      <c r="AJ1274" s="153">
        <v>3</v>
      </c>
      <c r="AK1274" s="153">
        <v>4</v>
      </c>
      <c r="AL1274" s="168">
        <v>1</v>
      </c>
      <c r="AM1274" s="56">
        <f t="shared" ref="AM1274" si="1167">SUM(AI1274:AL1274)</f>
        <v>14</v>
      </c>
      <c r="AN1274" s="55"/>
      <c r="AO1274" s="153"/>
      <c r="AP1274" s="153"/>
      <c r="AQ1274" s="168"/>
      <c r="AR1274" s="56">
        <f t="shared" ref="AR1274" si="1168">SUM(AN1274:AQ1274)</f>
        <v>0</v>
      </c>
      <c r="AS1274" s="54">
        <v>19</v>
      </c>
      <c r="AT1274" s="153">
        <v>8</v>
      </c>
      <c r="AU1274" s="153">
        <v>3</v>
      </c>
      <c r="AV1274" s="168">
        <v>6</v>
      </c>
      <c r="AW1274" s="56">
        <f t="shared" ref="AW1274" si="1169">SUM(AS1274:AV1274)</f>
        <v>36</v>
      </c>
      <c r="AX1274" s="55">
        <v>3</v>
      </c>
      <c r="AY1274" s="153">
        <v>4</v>
      </c>
      <c r="AZ1274" s="153">
        <v>3</v>
      </c>
      <c r="BA1274" s="168">
        <v>2</v>
      </c>
      <c r="BB1274" s="49">
        <f t="shared" ref="BB1274" si="1170">SUM(AX1274:BA1274)</f>
        <v>12</v>
      </c>
      <c r="BC1274" s="49">
        <f t="shared" si="1160"/>
        <v>62</v>
      </c>
      <c r="BD1274" s="298">
        <v>45664</v>
      </c>
      <c r="BE1274" s="268" t="s">
        <v>28</v>
      </c>
      <c r="BF1274" s="55"/>
      <c r="BG1274" s="153"/>
      <c r="BH1274" s="153"/>
      <c r="BI1274" s="168"/>
      <c r="BJ1274" s="56">
        <f t="shared" si="1154"/>
        <v>0</v>
      </c>
    </row>
    <row r="1275" spans="1:62" x14ac:dyDescent="0.15">
      <c r="A1275" s="268" t="s">
        <v>28</v>
      </c>
      <c r="B1275" s="55"/>
      <c r="C1275" s="153"/>
      <c r="D1275" s="153"/>
      <c r="E1275" s="168"/>
      <c r="F1275" s="56">
        <f t="shared" si="1142"/>
        <v>0</v>
      </c>
      <c r="G1275" s="55"/>
      <c r="H1275" s="153"/>
      <c r="I1275" s="153"/>
      <c r="J1275" s="168"/>
      <c r="K1275" s="56">
        <f t="shared" si="1143"/>
        <v>0</v>
      </c>
      <c r="L1275" s="55"/>
      <c r="M1275" s="153"/>
      <c r="N1275" s="153"/>
      <c r="O1275" s="168"/>
      <c r="P1275" s="56">
        <f t="shared" si="1144"/>
        <v>0</v>
      </c>
      <c r="Q1275" s="54"/>
      <c r="R1275" s="153">
        <v>2</v>
      </c>
      <c r="S1275" s="153"/>
      <c r="T1275" s="168"/>
      <c r="U1275" s="56">
        <f t="shared" si="1145"/>
        <v>2</v>
      </c>
      <c r="V1275" s="55"/>
      <c r="W1275" s="153">
        <v>2</v>
      </c>
      <c r="X1275" s="153"/>
      <c r="Y1275" s="168"/>
      <c r="Z1275" s="49">
        <f t="shared" si="1146"/>
        <v>2</v>
      </c>
      <c r="AA1275" s="49">
        <f t="shared" si="1147"/>
        <v>4</v>
      </c>
      <c r="AB1275" s="298">
        <v>45594</v>
      </c>
      <c r="AC1275" s="268" t="s">
        <v>630</v>
      </c>
      <c r="AD1275" s="55"/>
      <c r="AE1275" s="153"/>
      <c r="AF1275" s="153"/>
      <c r="AG1275" s="168"/>
      <c r="AH1275" s="56">
        <f t="shared" ref="AH1275" si="1171">SUM(AD1275:AG1275)</f>
        <v>0</v>
      </c>
      <c r="AI1275" s="55">
        <v>1</v>
      </c>
      <c r="AJ1275" s="153">
        <v>6</v>
      </c>
      <c r="AK1275" s="153">
        <v>3</v>
      </c>
      <c r="AL1275" s="168">
        <v>3</v>
      </c>
      <c r="AM1275" s="56">
        <f t="shared" ref="AM1275" si="1172">SUM(AI1275:AL1275)</f>
        <v>13</v>
      </c>
      <c r="AN1275" s="55"/>
      <c r="AO1275" s="153"/>
      <c r="AP1275" s="153"/>
      <c r="AQ1275" s="168"/>
      <c r="AR1275" s="56">
        <f t="shared" ref="AR1275" si="1173">SUM(AN1275:AQ1275)</f>
        <v>0</v>
      </c>
      <c r="AS1275" s="54">
        <v>6</v>
      </c>
      <c r="AT1275" s="153">
        <v>15</v>
      </c>
      <c r="AU1275" s="153">
        <v>3</v>
      </c>
      <c r="AV1275" s="168"/>
      <c r="AW1275" s="56">
        <f t="shared" ref="AW1275" si="1174">SUM(AS1275:AV1275)</f>
        <v>24</v>
      </c>
      <c r="AX1275" s="55">
        <v>2</v>
      </c>
      <c r="AY1275" s="153">
        <v>3</v>
      </c>
      <c r="AZ1275" s="153">
        <v>4</v>
      </c>
      <c r="BA1275" s="168">
        <v>3</v>
      </c>
      <c r="BB1275" s="49">
        <f t="shared" ref="BB1275" si="1175">SUM(AX1275:BA1275)</f>
        <v>12</v>
      </c>
      <c r="BC1275" s="49">
        <f t="shared" si="1160"/>
        <v>49</v>
      </c>
      <c r="BD1275" s="299">
        <v>45664</v>
      </c>
      <c r="BE1275" s="268" t="s">
        <v>28</v>
      </c>
      <c r="BF1275" s="55"/>
      <c r="BG1275" s="153"/>
      <c r="BH1275" s="153"/>
      <c r="BI1275" s="168"/>
      <c r="BJ1275" s="56">
        <f t="shared" ref="BJ1275:BJ1306" si="1176">SUM(BF1275:BI1275)</f>
        <v>0</v>
      </c>
    </row>
    <row r="1276" spans="1:62" x14ac:dyDescent="0.15">
      <c r="A1276" s="268" t="s">
        <v>627</v>
      </c>
      <c r="B1276" s="55">
        <v>2</v>
      </c>
      <c r="C1276" s="153">
        <v>2</v>
      </c>
      <c r="D1276" s="153">
        <v>2</v>
      </c>
      <c r="E1276" s="168">
        <v>2</v>
      </c>
      <c r="F1276" s="56">
        <f t="shared" ref="F1276" si="1177">SUM(B1276:E1276)</f>
        <v>8</v>
      </c>
      <c r="G1276" s="55">
        <v>3</v>
      </c>
      <c r="H1276" s="153">
        <v>3</v>
      </c>
      <c r="I1276" s="153"/>
      <c r="J1276" s="168">
        <v>1</v>
      </c>
      <c r="K1276" s="56">
        <f t="shared" ref="K1276" si="1178">SUM(G1276:J1276)</f>
        <v>7</v>
      </c>
      <c r="L1276" s="55"/>
      <c r="M1276" s="153"/>
      <c r="N1276" s="153"/>
      <c r="O1276" s="168"/>
      <c r="P1276" s="56">
        <f t="shared" ref="P1276" si="1179">SUM(L1276:O1276)</f>
        <v>0</v>
      </c>
      <c r="Q1276" s="54">
        <v>2</v>
      </c>
      <c r="R1276" s="153">
        <v>1</v>
      </c>
      <c r="S1276" s="153">
        <v>2</v>
      </c>
      <c r="T1276" s="168"/>
      <c r="U1276" s="56">
        <f t="shared" ref="U1276" si="1180">SUM(Q1276:T1276)</f>
        <v>5</v>
      </c>
      <c r="V1276" s="55"/>
      <c r="W1276" s="153"/>
      <c r="X1276" s="153"/>
      <c r="Y1276" s="168"/>
      <c r="Z1276" s="49">
        <f t="shared" ref="Z1276" si="1181">SUM(V1276:Y1276)</f>
        <v>0</v>
      </c>
      <c r="AA1276" s="49">
        <f t="shared" si="1147"/>
        <v>20</v>
      </c>
      <c r="AB1276" s="298">
        <v>45633</v>
      </c>
      <c r="AC1276" s="268" t="s">
        <v>28</v>
      </c>
      <c r="AD1276" s="55"/>
      <c r="AE1276" s="153"/>
      <c r="AF1276" s="153"/>
      <c r="AG1276" s="168"/>
      <c r="AH1276" s="56">
        <f t="shared" ref="AH1276:AH1299" si="1182">SUM(AD1276:AG1276)</f>
        <v>0</v>
      </c>
      <c r="AI1276" s="55"/>
      <c r="AJ1276" s="153"/>
      <c r="AK1276" s="153"/>
      <c r="AL1276" s="168"/>
      <c r="AM1276" s="56">
        <f t="shared" ref="AM1276:AM1299" si="1183">SUM(AI1276:AL1276)</f>
        <v>0</v>
      </c>
      <c r="AN1276" s="55"/>
      <c r="AO1276" s="153"/>
      <c r="AP1276" s="153"/>
      <c r="AQ1276" s="168"/>
      <c r="AR1276" s="56">
        <f t="shared" ref="AR1276:AR1306" si="1184">SUM(AN1276:AQ1276)</f>
        <v>0</v>
      </c>
      <c r="AS1276" s="54"/>
      <c r="AT1276" s="153"/>
      <c r="AU1276" s="153"/>
      <c r="AV1276" s="168"/>
      <c r="AW1276" s="56">
        <f t="shared" ref="AW1276:AW1306" si="1185">SUM(AS1276:AV1276)</f>
        <v>0</v>
      </c>
      <c r="AX1276" s="55"/>
      <c r="AY1276" s="153"/>
      <c r="AZ1276" s="153"/>
      <c r="BA1276" s="168"/>
      <c r="BB1276" s="49">
        <f t="shared" ref="BB1276:BB1305" si="1186">SUM(AX1276:BA1276)</f>
        <v>0</v>
      </c>
      <c r="BC1276" s="49">
        <f t="shared" ref="BC1276:BC1277" si="1187">AH1276+AM1276+AR1276+AW1276+BB1276</f>
        <v>0</v>
      </c>
      <c r="BE1276" s="268" t="s">
        <v>28</v>
      </c>
      <c r="BF1276" s="55"/>
      <c r="BG1276" s="153"/>
      <c r="BH1276" s="153"/>
      <c r="BI1276" s="168"/>
      <c r="BJ1276" s="56">
        <f t="shared" si="1176"/>
        <v>0</v>
      </c>
    </row>
    <row r="1277" spans="1:62" ht="14.25" thickBot="1" x14ac:dyDescent="0.2">
      <c r="A1277" s="268" t="s">
        <v>436</v>
      </c>
      <c r="B1277" s="63">
        <v>-1</v>
      </c>
      <c r="C1277" s="164"/>
      <c r="D1277" s="164"/>
      <c r="E1277" s="169"/>
      <c r="F1277" s="170">
        <f t="shared" si="1142"/>
        <v>-1</v>
      </c>
      <c r="G1277" s="63">
        <v>2</v>
      </c>
      <c r="H1277" s="164">
        <v>-2</v>
      </c>
      <c r="I1277" s="164"/>
      <c r="J1277" s="169">
        <v>1</v>
      </c>
      <c r="K1277" s="170">
        <f t="shared" si="1143"/>
        <v>1</v>
      </c>
      <c r="L1277" s="63"/>
      <c r="M1277" s="164"/>
      <c r="N1277" s="164"/>
      <c r="O1277" s="169"/>
      <c r="P1277" s="170">
        <f t="shared" si="1144"/>
        <v>0</v>
      </c>
      <c r="Q1277" s="62"/>
      <c r="R1277" s="164">
        <v>1</v>
      </c>
      <c r="S1277" s="164">
        <v>-1</v>
      </c>
      <c r="T1277" s="169">
        <v>-2</v>
      </c>
      <c r="U1277" s="170">
        <f t="shared" si="1145"/>
        <v>-2</v>
      </c>
      <c r="V1277" s="63"/>
      <c r="W1277" s="164">
        <v>2</v>
      </c>
      <c r="X1277" s="164">
        <v>2</v>
      </c>
      <c r="Y1277" s="169"/>
      <c r="Z1277" s="170">
        <f t="shared" si="1146"/>
        <v>4</v>
      </c>
      <c r="AA1277" s="49">
        <f t="shared" si="1147"/>
        <v>2</v>
      </c>
      <c r="AB1277" s="298">
        <v>45570</v>
      </c>
      <c r="AC1277" s="268" t="s">
        <v>28</v>
      </c>
      <c r="AD1277" s="63"/>
      <c r="AE1277" s="164"/>
      <c r="AF1277" s="164"/>
      <c r="AG1277" s="169"/>
      <c r="AH1277" s="170">
        <f t="shared" si="1182"/>
        <v>0</v>
      </c>
      <c r="AI1277" s="63"/>
      <c r="AJ1277" s="164"/>
      <c r="AK1277" s="164"/>
      <c r="AL1277" s="169"/>
      <c r="AM1277" s="170">
        <f t="shared" si="1183"/>
        <v>0</v>
      </c>
      <c r="AN1277" s="63"/>
      <c r="AO1277" s="164"/>
      <c r="AP1277" s="164"/>
      <c r="AQ1277" s="169"/>
      <c r="AR1277" s="170">
        <f t="shared" si="1184"/>
        <v>0</v>
      </c>
      <c r="AS1277" s="62"/>
      <c r="AT1277" s="164"/>
      <c r="AU1277" s="164"/>
      <c r="AV1277" s="169"/>
      <c r="AW1277" s="170">
        <f t="shared" si="1185"/>
        <v>0</v>
      </c>
      <c r="AX1277" s="63"/>
      <c r="AY1277" s="164"/>
      <c r="AZ1277" s="164"/>
      <c r="BA1277" s="169"/>
      <c r="BB1277" s="170">
        <f t="shared" si="1186"/>
        <v>0</v>
      </c>
      <c r="BC1277" s="49">
        <f t="shared" si="1187"/>
        <v>0</v>
      </c>
      <c r="BE1277" s="274" t="s">
        <v>28</v>
      </c>
      <c r="BF1277" s="63"/>
      <c r="BG1277" s="164"/>
      <c r="BH1277" s="164"/>
      <c r="BI1277" s="169"/>
      <c r="BJ1277" s="170">
        <f t="shared" si="1176"/>
        <v>0</v>
      </c>
    </row>
    <row r="1278" spans="1:62" ht="15" thickBot="1" x14ac:dyDescent="0.2">
      <c r="A1278" s="181" t="s">
        <v>14</v>
      </c>
      <c r="B1278" s="182">
        <f>SUM(B1270:B1277)</f>
        <v>4</v>
      </c>
      <c r="C1278" s="183">
        <f>SUM(C1270:C1277)</f>
        <v>6</v>
      </c>
      <c r="D1278" s="183">
        <f>SUM(D1270:D1277)</f>
        <v>6</v>
      </c>
      <c r="E1278" s="184">
        <f>SUM(E1270:E1277)</f>
        <v>7</v>
      </c>
      <c r="F1278" s="77">
        <f t="shared" ref="F1278" si="1188">SUM(B1278:E1278)</f>
        <v>23</v>
      </c>
      <c r="G1278" s="182">
        <f>SUM(G1270:G1277)</f>
        <v>9</v>
      </c>
      <c r="H1278" s="183">
        <f>SUM(H1270:H1277)</f>
        <v>7</v>
      </c>
      <c r="I1278" s="183">
        <f>SUM(I1270:I1277)</f>
        <v>5</v>
      </c>
      <c r="J1278" s="184">
        <f>SUM(J1270:J1277)</f>
        <v>7</v>
      </c>
      <c r="K1278" s="77">
        <f t="shared" si="1137"/>
        <v>28</v>
      </c>
      <c r="L1278" s="182">
        <f>SUM(L1270:L1277)</f>
        <v>5</v>
      </c>
      <c r="M1278" s="183">
        <f>SUM(M1270:M1277)</f>
        <v>5</v>
      </c>
      <c r="N1278" s="183">
        <f>SUM(N1270:N1277)</f>
        <v>5</v>
      </c>
      <c r="O1278" s="184">
        <f>SUM(O1270:O1277)</f>
        <v>5</v>
      </c>
      <c r="P1278" s="77">
        <f t="shared" si="1138"/>
        <v>20</v>
      </c>
      <c r="Q1278" s="182">
        <f>SUM(Q1270:Q1277)</f>
        <v>7</v>
      </c>
      <c r="R1278" s="183">
        <f>SUM(R1270:R1277)</f>
        <v>9</v>
      </c>
      <c r="S1278" s="183">
        <f>SUM(S1270:S1277)</f>
        <v>8</v>
      </c>
      <c r="T1278" s="184">
        <f>SUM(T1270:T1277)</f>
        <v>5</v>
      </c>
      <c r="U1278" s="77">
        <f t="shared" si="1139"/>
        <v>29</v>
      </c>
      <c r="V1278" s="293">
        <f>SUM(V1270:V1277)</f>
        <v>7</v>
      </c>
      <c r="W1278" s="183">
        <f>SUM(W1270:W1277)</f>
        <v>10</v>
      </c>
      <c r="X1278" s="183">
        <f>SUM(X1270:X1277)</f>
        <v>5</v>
      </c>
      <c r="Y1278" s="184">
        <f>SUM(Y1270:Y1277)</f>
        <v>3</v>
      </c>
      <c r="Z1278" s="77">
        <f t="shared" si="1140"/>
        <v>25</v>
      </c>
      <c r="AA1278" s="77">
        <f>F1278+K1278+P1278+U1278+Z1278</f>
        <v>125</v>
      </c>
      <c r="AC1278" s="275" t="s">
        <v>14</v>
      </c>
      <c r="AD1278" s="182">
        <f>SUM(AD1270:AD1277)</f>
        <v>79</v>
      </c>
      <c r="AE1278" s="183">
        <f>SUM(AE1270:AE1277)</f>
        <v>70</v>
      </c>
      <c r="AF1278" s="183">
        <f>SUM(AF1270:AF1277)</f>
        <v>134</v>
      </c>
      <c r="AG1278" s="184">
        <f>SUM(AG1270:AG1277)</f>
        <v>58</v>
      </c>
      <c r="AH1278" s="77">
        <f t="shared" si="1182"/>
        <v>341</v>
      </c>
      <c r="AI1278" s="182">
        <f>SUM(AI1270:AI1277)</f>
        <v>111</v>
      </c>
      <c r="AJ1278" s="183">
        <f>SUM(AJ1270:AJ1277)</f>
        <v>149</v>
      </c>
      <c r="AK1278" s="183">
        <f>SUM(AK1270:AK1277)</f>
        <v>110</v>
      </c>
      <c r="AL1278" s="184">
        <f>SUM(AL1270:AL1277)</f>
        <v>95</v>
      </c>
      <c r="AM1278" s="77">
        <f t="shared" si="1183"/>
        <v>465</v>
      </c>
      <c r="AN1278" s="182">
        <f>SUM(AN1270:AN1277)</f>
        <v>38</v>
      </c>
      <c r="AO1278" s="183">
        <f>SUM(AO1270:AO1277)</f>
        <v>51</v>
      </c>
      <c r="AP1278" s="183">
        <f>SUM(AP1270:AP1277)</f>
        <v>41</v>
      </c>
      <c r="AQ1278" s="184">
        <f>SUM(AQ1270:AQ1277)</f>
        <v>18</v>
      </c>
      <c r="AR1278" s="77">
        <f t="shared" si="1184"/>
        <v>148</v>
      </c>
      <c r="AS1278" s="182">
        <f>SUM(AS1270:AS1277)</f>
        <v>162</v>
      </c>
      <c r="AT1278" s="183">
        <f>SUM(AT1270:AT1277)</f>
        <v>184</v>
      </c>
      <c r="AU1278" s="183">
        <f>SUM(AU1270:AU1277)</f>
        <v>120</v>
      </c>
      <c r="AV1278" s="184">
        <f>SUM(AV1270:AV1277)</f>
        <v>81</v>
      </c>
      <c r="AW1278" s="77">
        <f t="shared" si="1185"/>
        <v>547</v>
      </c>
      <c r="AX1278" s="293">
        <f>SUM(AX1270:AX1277)</f>
        <v>106</v>
      </c>
      <c r="AY1278" s="183">
        <f>SUM(AY1270:AY1277)</f>
        <v>82</v>
      </c>
      <c r="AZ1278" s="183">
        <f>SUM(AZ1270:AZ1277)</f>
        <v>45</v>
      </c>
      <c r="BA1278" s="184">
        <f>SUM(BA1270:BA1277)</f>
        <v>29</v>
      </c>
      <c r="BB1278" s="77">
        <f t="shared" si="1186"/>
        <v>262</v>
      </c>
      <c r="BC1278" s="77">
        <f>AH1278+AM1278+AR1278+AW1278+BB1278</f>
        <v>1763</v>
      </c>
      <c r="BE1278" s="275" t="s">
        <v>14</v>
      </c>
      <c r="BF1278" s="182">
        <f>SUM(BF1270:BF1277)</f>
        <v>0</v>
      </c>
      <c r="BG1278" s="183">
        <f>SUM(BG1270:BG1277)</f>
        <v>0</v>
      </c>
      <c r="BH1278" s="183">
        <f>SUM(BH1270:BH1277)</f>
        <v>10</v>
      </c>
      <c r="BI1278" s="184">
        <f>SUM(BI1270:BI1277)</f>
        <v>0</v>
      </c>
      <c r="BJ1278" s="77">
        <f t="shared" si="1176"/>
        <v>10</v>
      </c>
    </row>
    <row r="1279" spans="1:62" x14ac:dyDescent="0.15">
      <c r="A1279" s="53" t="s">
        <v>98</v>
      </c>
      <c r="B1279" s="54"/>
      <c r="C1279" s="55"/>
      <c r="D1279" s="55"/>
      <c r="E1279" s="55"/>
      <c r="F1279" s="56">
        <f t="shared" ref="F1279:F1297" si="1189">SUM(B1279:E1279)</f>
        <v>0</v>
      </c>
      <c r="G1279" s="54"/>
      <c r="H1279" s="55"/>
      <c r="I1279" s="55"/>
      <c r="J1279" s="55"/>
      <c r="K1279" s="56">
        <f t="shared" ref="K1279:K1297" si="1190">SUM(G1279:J1279)</f>
        <v>0</v>
      </c>
      <c r="L1279" s="54"/>
      <c r="M1279" s="55">
        <v>1</v>
      </c>
      <c r="N1279" s="55"/>
      <c r="O1279" s="55"/>
      <c r="P1279" s="56">
        <f t="shared" ref="P1279:P1297" si="1191">SUM(L1279:O1279)</f>
        <v>1</v>
      </c>
      <c r="Q1279" s="54"/>
      <c r="R1279" s="55"/>
      <c r="S1279" s="55"/>
      <c r="T1279" s="55"/>
      <c r="U1279" s="56">
        <f t="shared" ref="U1279:U1297" si="1192">SUM(Q1279:T1279)</f>
        <v>0</v>
      </c>
      <c r="V1279" s="55">
        <v>1</v>
      </c>
      <c r="W1279" s="55"/>
      <c r="X1279" s="55"/>
      <c r="Y1279" s="55">
        <v>1</v>
      </c>
      <c r="Z1279" s="56">
        <f t="shared" ref="Z1279:Z1297" si="1193">SUM(V1279:Y1279)</f>
        <v>2</v>
      </c>
      <c r="AA1279" s="56">
        <f t="shared" ref="AA1279:AA1297" si="1194">F1279+K1279+P1279+U1279+Z1279</f>
        <v>3</v>
      </c>
      <c r="AB1279" s="299">
        <v>45545</v>
      </c>
      <c r="AC1279" s="276" t="s">
        <v>99</v>
      </c>
      <c r="AD1279" s="54"/>
      <c r="AE1279" s="55"/>
      <c r="AF1279" s="55"/>
      <c r="AG1279" s="55"/>
      <c r="AH1279" s="56">
        <f t="shared" si="1182"/>
        <v>0</v>
      </c>
      <c r="AI1279" s="54">
        <v>2</v>
      </c>
      <c r="AJ1279" s="55"/>
      <c r="AK1279" s="55"/>
      <c r="AL1279" s="55"/>
      <c r="AM1279" s="56">
        <f t="shared" si="1183"/>
        <v>2</v>
      </c>
      <c r="AN1279" s="54"/>
      <c r="AO1279" s="55"/>
      <c r="AP1279" s="55"/>
      <c r="AQ1279" s="55"/>
      <c r="AR1279" s="56">
        <f t="shared" si="1184"/>
        <v>0</v>
      </c>
      <c r="AS1279" s="54"/>
      <c r="AT1279" s="55"/>
      <c r="AU1279" s="55"/>
      <c r="AV1279" s="55"/>
      <c r="AW1279" s="56">
        <f t="shared" si="1185"/>
        <v>0</v>
      </c>
      <c r="AX1279" s="55"/>
      <c r="AY1279" s="55"/>
      <c r="AZ1279" s="55"/>
      <c r="BA1279" s="55"/>
      <c r="BB1279" s="56">
        <f t="shared" si="1186"/>
        <v>0</v>
      </c>
      <c r="BC1279" s="56">
        <f t="shared" ref="BC1279:BC1287" si="1195">AH1279+AM1279+AR1279+AW1279+BB1279</f>
        <v>2</v>
      </c>
      <c r="BD1279" s="299">
        <v>45542</v>
      </c>
      <c r="BE1279" s="277"/>
      <c r="BF1279" s="54"/>
      <c r="BG1279" s="55"/>
      <c r="BH1279" s="55"/>
      <c r="BI1279" s="55"/>
      <c r="BJ1279" s="56">
        <f t="shared" ref="BJ1279:BJ1282" si="1196">SUM(BF1279:BI1279)</f>
        <v>0</v>
      </c>
    </row>
    <row r="1280" spans="1:62" x14ac:dyDescent="0.15">
      <c r="A1280" s="53" t="s">
        <v>98</v>
      </c>
      <c r="B1280" s="54"/>
      <c r="C1280" s="55"/>
      <c r="D1280" s="55"/>
      <c r="E1280" s="55"/>
      <c r="F1280" s="56">
        <f t="shared" si="1189"/>
        <v>0</v>
      </c>
      <c r="G1280" s="54"/>
      <c r="H1280" s="55"/>
      <c r="I1280" s="55"/>
      <c r="J1280" s="55"/>
      <c r="K1280" s="56">
        <f t="shared" si="1190"/>
        <v>0</v>
      </c>
      <c r="L1280" s="54"/>
      <c r="M1280" s="55"/>
      <c r="N1280" s="55"/>
      <c r="O1280" s="55"/>
      <c r="P1280" s="56">
        <f t="shared" si="1191"/>
        <v>0</v>
      </c>
      <c r="Q1280" s="54"/>
      <c r="R1280" s="55"/>
      <c r="S1280" s="55"/>
      <c r="T1280" s="55"/>
      <c r="U1280" s="56">
        <f t="shared" si="1192"/>
        <v>0</v>
      </c>
      <c r="V1280" s="55"/>
      <c r="W1280" s="55">
        <v>1</v>
      </c>
      <c r="X1280" s="55"/>
      <c r="Y1280" s="55"/>
      <c r="Z1280" s="56">
        <f t="shared" si="1193"/>
        <v>1</v>
      </c>
      <c r="AA1280" s="56">
        <f t="shared" si="1194"/>
        <v>1</v>
      </c>
      <c r="AB1280" s="299">
        <v>45552</v>
      </c>
      <c r="AC1280" s="276" t="s">
        <v>99</v>
      </c>
      <c r="AD1280" s="54"/>
      <c r="AE1280" s="55"/>
      <c r="AF1280" s="55"/>
      <c r="AG1280" s="55"/>
      <c r="AH1280" s="56">
        <f t="shared" ref="AH1280" si="1197">SUM(AD1280:AG1280)</f>
        <v>0</v>
      </c>
      <c r="AI1280" s="54"/>
      <c r="AJ1280" s="55"/>
      <c r="AK1280" s="55"/>
      <c r="AL1280" s="55"/>
      <c r="AM1280" s="56">
        <f t="shared" ref="AM1280" si="1198">SUM(AI1280:AL1280)</f>
        <v>0</v>
      </c>
      <c r="AN1280" s="54"/>
      <c r="AO1280" s="55"/>
      <c r="AP1280" s="55"/>
      <c r="AQ1280" s="55"/>
      <c r="AR1280" s="56">
        <f t="shared" ref="AR1280" si="1199">SUM(AN1280:AQ1280)</f>
        <v>0</v>
      </c>
      <c r="AS1280" s="54"/>
      <c r="AT1280" s="55"/>
      <c r="AU1280" s="55">
        <v>2</v>
      </c>
      <c r="AV1280" s="55">
        <v>2</v>
      </c>
      <c r="AW1280" s="56">
        <f t="shared" ref="AW1280" si="1200">SUM(AS1280:AV1280)</f>
        <v>4</v>
      </c>
      <c r="AX1280" s="55"/>
      <c r="AY1280" s="55"/>
      <c r="AZ1280" s="55"/>
      <c r="BA1280" s="55"/>
      <c r="BB1280" s="56">
        <f t="shared" ref="BB1280" si="1201">SUM(AX1280:BA1280)</f>
        <v>0</v>
      </c>
      <c r="BC1280" s="56">
        <f t="shared" si="1195"/>
        <v>4</v>
      </c>
      <c r="BD1280" s="298">
        <v>45576</v>
      </c>
      <c r="BE1280" s="277"/>
      <c r="BF1280" s="54"/>
      <c r="BG1280" s="55"/>
      <c r="BH1280" s="55"/>
      <c r="BI1280" s="55"/>
      <c r="BJ1280" s="56">
        <f t="shared" si="1196"/>
        <v>0</v>
      </c>
    </row>
    <row r="1281" spans="1:62" x14ac:dyDescent="0.15">
      <c r="A1281" s="53" t="s">
        <v>98</v>
      </c>
      <c r="B1281" s="54"/>
      <c r="C1281" s="55"/>
      <c r="D1281" s="55"/>
      <c r="E1281" s="55"/>
      <c r="F1281" s="56">
        <f t="shared" si="1189"/>
        <v>0</v>
      </c>
      <c r="G1281" s="54"/>
      <c r="H1281" s="55"/>
      <c r="I1281" s="55"/>
      <c r="J1281" s="55"/>
      <c r="K1281" s="56">
        <f t="shared" si="1190"/>
        <v>0</v>
      </c>
      <c r="L1281" s="54">
        <v>1</v>
      </c>
      <c r="M1281" s="55"/>
      <c r="N1281" s="55"/>
      <c r="O1281" s="55">
        <v>1</v>
      </c>
      <c r="P1281" s="56">
        <f t="shared" si="1191"/>
        <v>2</v>
      </c>
      <c r="Q1281" s="54"/>
      <c r="R1281" s="55"/>
      <c r="S1281" s="55"/>
      <c r="T1281" s="55"/>
      <c r="U1281" s="56">
        <f t="shared" si="1192"/>
        <v>0</v>
      </c>
      <c r="V1281" s="55"/>
      <c r="W1281" s="55"/>
      <c r="X1281" s="55"/>
      <c r="Y1281" s="55"/>
      <c r="Z1281" s="56">
        <f t="shared" si="1193"/>
        <v>0</v>
      </c>
      <c r="AA1281" s="56">
        <f t="shared" si="1194"/>
        <v>2</v>
      </c>
      <c r="AB1281" s="299">
        <v>45559</v>
      </c>
      <c r="AC1281" s="276" t="s">
        <v>99</v>
      </c>
      <c r="AD1281" s="54"/>
      <c r="AE1281" s="55"/>
      <c r="AF1281" s="55"/>
      <c r="AG1281" s="55"/>
      <c r="AH1281" s="56">
        <f t="shared" ref="AH1281" si="1202">SUM(AD1281:AG1281)</f>
        <v>0</v>
      </c>
      <c r="AI1281" s="54"/>
      <c r="AJ1281" s="55"/>
      <c r="AK1281" s="55"/>
      <c r="AL1281" s="55"/>
      <c r="AM1281" s="56">
        <f t="shared" ref="AM1281" si="1203">SUM(AI1281:AL1281)</f>
        <v>0</v>
      </c>
      <c r="AN1281" s="54"/>
      <c r="AO1281" s="55"/>
      <c r="AP1281" s="55"/>
      <c r="AQ1281" s="55"/>
      <c r="AR1281" s="56">
        <f t="shared" ref="AR1281" si="1204">SUM(AN1281:AQ1281)</f>
        <v>0</v>
      </c>
      <c r="AS1281" s="54"/>
      <c r="AT1281" s="55">
        <v>2</v>
      </c>
      <c r="AU1281" s="55"/>
      <c r="AV1281" s="55"/>
      <c r="AW1281" s="56">
        <f t="shared" ref="AW1281" si="1205">SUM(AS1281:AV1281)</f>
        <v>2</v>
      </c>
      <c r="AX1281" s="55"/>
      <c r="AY1281" s="55"/>
      <c r="AZ1281" s="55"/>
      <c r="BA1281" s="55"/>
      <c r="BB1281" s="56">
        <f t="shared" ref="BB1281" si="1206">SUM(AX1281:BA1281)</f>
        <v>0</v>
      </c>
      <c r="BC1281" s="56">
        <f t="shared" si="1195"/>
        <v>2</v>
      </c>
      <c r="BD1281" s="298">
        <v>45594</v>
      </c>
      <c r="BE1281" s="277"/>
      <c r="BF1281" s="54"/>
      <c r="BG1281" s="55"/>
      <c r="BH1281" s="55"/>
      <c r="BI1281" s="55"/>
      <c r="BJ1281" s="56">
        <f t="shared" si="1196"/>
        <v>0</v>
      </c>
    </row>
    <row r="1282" spans="1:62" x14ac:dyDescent="0.15">
      <c r="A1282" s="53" t="s">
        <v>98</v>
      </c>
      <c r="B1282" s="54"/>
      <c r="C1282" s="55"/>
      <c r="D1282" s="55">
        <v>1</v>
      </c>
      <c r="E1282" s="55"/>
      <c r="F1282" s="56">
        <f t="shared" si="1189"/>
        <v>1</v>
      </c>
      <c r="G1282" s="54"/>
      <c r="H1282" s="55"/>
      <c r="I1282" s="55"/>
      <c r="J1282" s="55"/>
      <c r="K1282" s="56">
        <f t="shared" si="1190"/>
        <v>0</v>
      </c>
      <c r="L1282" s="54"/>
      <c r="M1282" s="55"/>
      <c r="N1282" s="55"/>
      <c r="O1282" s="55"/>
      <c r="P1282" s="56">
        <f t="shared" si="1191"/>
        <v>0</v>
      </c>
      <c r="Q1282" s="54"/>
      <c r="R1282" s="55"/>
      <c r="S1282" s="55"/>
      <c r="T1282" s="55"/>
      <c r="U1282" s="56">
        <f t="shared" si="1192"/>
        <v>0</v>
      </c>
      <c r="V1282" s="55"/>
      <c r="W1282" s="55"/>
      <c r="X1282" s="55"/>
      <c r="Y1282" s="55"/>
      <c r="Z1282" s="56">
        <f t="shared" si="1193"/>
        <v>0</v>
      </c>
      <c r="AA1282" s="56">
        <f t="shared" si="1194"/>
        <v>1</v>
      </c>
      <c r="AB1282" s="299">
        <v>45559</v>
      </c>
      <c r="AC1282" s="276" t="s">
        <v>99</v>
      </c>
      <c r="AD1282" s="54"/>
      <c r="AE1282" s="55"/>
      <c r="AF1282" s="55"/>
      <c r="AG1282" s="55"/>
      <c r="AH1282" s="56">
        <f t="shared" ref="AH1282" si="1207">SUM(AD1282:AG1282)</f>
        <v>0</v>
      </c>
      <c r="AI1282" s="54"/>
      <c r="AJ1282" s="55"/>
      <c r="AK1282" s="55"/>
      <c r="AL1282" s="55"/>
      <c r="AM1282" s="56">
        <f t="shared" ref="AM1282" si="1208">SUM(AI1282:AL1282)</f>
        <v>0</v>
      </c>
      <c r="AN1282" s="54"/>
      <c r="AO1282" s="55"/>
      <c r="AP1282" s="55"/>
      <c r="AQ1282" s="55"/>
      <c r="AR1282" s="56">
        <f t="shared" ref="AR1282" si="1209">SUM(AN1282:AQ1282)</f>
        <v>0</v>
      </c>
      <c r="AS1282" s="54"/>
      <c r="AT1282" s="55"/>
      <c r="AU1282" s="55"/>
      <c r="AV1282" s="55"/>
      <c r="AW1282" s="56">
        <f t="shared" ref="AW1282" si="1210">SUM(AS1282:AV1282)</f>
        <v>0</v>
      </c>
      <c r="AX1282" s="55"/>
      <c r="AY1282" s="55">
        <v>2</v>
      </c>
      <c r="AZ1282" s="55"/>
      <c r="BA1282" s="55"/>
      <c r="BB1282" s="56">
        <f t="shared" ref="BB1282" si="1211">SUM(AX1282:BA1282)</f>
        <v>2</v>
      </c>
      <c r="BC1282" s="56">
        <f t="shared" si="1195"/>
        <v>2</v>
      </c>
      <c r="BD1282" s="298">
        <v>45598</v>
      </c>
      <c r="BE1282" s="277"/>
      <c r="BF1282" s="54"/>
      <c r="BG1282" s="55"/>
      <c r="BH1282" s="55"/>
      <c r="BI1282" s="55"/>
      <c r="BJ1282" s="56">
        <f t="shared" si="1196"/>
        <v>0</v>
      </c>
    </row>
    <row r="1283" spans="1:62" x14ac:dyDescent="0.15">
      <c r="A1283" s="53" t="s">
        <v>98</v>
      </c>
      <c r="B1283" s="54"/>
      <c r="C1283" s="55"/>
      <c r="D1283" s="55"/>
      <c r="E1283" s="55"/>
      <c r="F1283" s="56">
        <f t="shared" si="1189"/>
        <v>0</v>
      </c>
      <c r="G1283" s="54"/>
      <c r="H1283" s="55"/>
      <c r="I1283" s="55"/>
      <c r="J1283" s="55"/>
      <c r="K1283" s="56">
        <f t="shared" si="1190"/>
        <v>0</v>
      </c>
      <c r="L1283" s="54"/>
      <c r="M1283" s="55"/>
      <c r="N1283" s="55"/>
      <c r="O1283" s="55"/>
      <c r="P1283" s="56">
        <f t="shared" si="1191"/>
        <v>0</v>
      </c>
      <c r="Q1283" s="54">
        <v>1</v>
      </c>
      <c r="R1283" s="55"/>
      <c r="S1283" s="55"/>
      <c r="T1283" s="55"/>
      <c r="U1283" s="56">
        <f t="shared" si="1192"/>
        <v>1</v>
      </c>
      <c r="V1283" s="55"/>
      <c r="W1283" s="55"/>
      <c r="X1283" s="55"/>
      <c r="Y1283" s="55"/>
      <c r="Z1283" s="56">
        <f t="shared" si="1193"/>
        <v>0</v>
      </c>
      <c r="AA1283" s="56">
        <f t="shared" si="1194"/>
        <v>1</v>
      </c>
      <c r="AB1283" s="299">
        <v>45566</v>
      </c>
      <c r="AC1283" s="276" t="s">
        <v>99</v>
      </c>
      <c r="AD1283" s="54"/>
      <c r="AE1283" s="55"/>
      <c r="AF1283" s="55"/>
      <c r="AG1283" s="55"/>
      <c r="AH1283" s="56">
        <f t="shared" ref="AH1283:AH1285" si="1212">SUM(AD1283:AG1283)</f>
        <v>0</v>
      </c>
      <c r="AI1283" s="54"/>
      <c r="AJ1283" s="55"/>
      <c r="AK1283" s="55"/>
      <c r="AL1283" s="55"/>
      <c r="AM1283" s="56">
        <f t="shared" ref="AM1283:AM1285" si="1213">SUM(AI1283:AL1283)</f>
        <v>0</v>
      </c>
      <c r="AN1283" s="54"/>
      <c r="AO1283" s="55"/>
      <c r="AP1283" s="55"/>
      <c r="AQ1283" s="55"/>
      <c r="AR1283" s="56">
        <f t="shared" ref="AR1283:AR1285" si="1214">SUM(AN1283:AQ1283)</f>
        <v>0</v>
      </c>
      <c r="AS1283" s="54">
        <v>2</v>
      </c>
      <c r="AT1283" s="55"/>
      <c r="AU1283" s="55"/>
      <c r="AV1283" s="55"/>
      <c r="AW1283" s="56">
        <f t="shared" ref="AW1283:AW1285" si="1215">SUM(AS1283:AV1283)</f>
        <v>2</v>
      </c>
      <c r="AX1283" s="55"/>
      <c r="AY1283" s="55"/>
      <c r="AZ1283" s="55"/>
      <c r="BA1283" s="55"/>
      <c r="BB1283" s="56">
        <f t="shared" ref="BB1283:BB1285" si="1216">SUM(AX1283:BA1283)</f>
        <v>0</v>
      </c>
      <c r="BC1283" s="56">
        <f t="shared" si="1195"/>
        <v>2</v>
      </c>
      <c r="BD1283" s="298">
        <v>45623</v>
      </c>
      <c r="BE1283" s="277"/>
      <c r="BF1283" s="54"/>
      <c r="BG1283" s="55"/>
      <c r="BH1283" s="55"/>
      <c r="BI1283" s="55"/>
      <c r="BJ1283" s="56">
        <f t="shared" si="1176"/>
        <v>0</v>
      </c>
    </row>
    <row r="1284" spans="1:62" x14ac:dyDescent="0.15">
      <c r="A1284" s="53" t="s">
        <v>623</v>
      </c>
      <c r="B1284" s="54">
        <v>1</v>
      </c>
      <c r="C1284" s="55">
        <v>2</v>
      </c>
      <c r="D1284" s="55">
        <v>1</v>
      </c>
      <c r="E1284" s="55">
        <v>3</v>
      </c>
      <c r="F1284" s="56">
        <f t="shared" si="1189"/>
        <v>7</v>
      </c>
      <c r="G1284" s="54">
        <v>2</v>
      </c>
      <c r="H1284" s="55">
        <v>3</v>
      </c>
      <c r="I1284" s="55">
        <v>3</v>
      </c>
      <c r="J1284" s="55">
        <v>4</v>
      </c>
      <c r="K1284" s="56">
        <f t="shared" si="1190"/>
        <v>12</v>
      </c>
      <c r="L1284" s="54">
        <v>2</v>
      </c>
      <c r="M1284" s="55">
        <v>2</v>
      </c>
      <c r="N1284" s="55">
        <v>3</v>
      </c>
      <c r="O1284" s="55">
        <v>2</v>
      </c>
      <c r="P1284" s="56">
        <f t="shared" si="1191"/>
        <v>9</v>
      </c>
      <c r="Q1284" s="54">
        <v>2</v>
      </c>
      <c r="R1284" s="55">
        <v>4</v>
      </c>
      <c r="S1284" s="55">
        <v>2</v>
      </c>
      <c r="T1284" s="55">
        <v>3</v>
      </c>
      <c r="U1284" s="56">
        <f t="shared" si="1192"/>
        <v>11</v>
      </c>
      <c r="V1284" s="55">
        <v>4</v>
      </c>
      <c r="W1284" s="55">
        <v>3</v>
      </c>
      <c r="X1284" s="55">
        <v>1</v>
      </c>
      <c r="Y1284" s="55"/>
      <c r="Z1284" s="56">
        <f t="shared" si="1193"/>
        <v>8</v>
      </c>
      <c r="AA1284" s="56">
        <f t="shared" si="1194"/>
        <v>47</v>
      </c>
      <c r="AB1284" s="299">
        <v>45570</v>
      </c>
      <c r="AC1284" s="276" t="s">
        <v>99</v>
      </c>
      <c r="AD1284" s="54">
        <v>2</v>
      </c>
      <c r="AE1284" s="55">
        <v>2</v>
      </c>
      <c r="AF1284" s="55">
        <v>2</v>
      </c>
      <c r="AG1284" s="55">
        <v>2</v>
      </c>
      <c r="AH1284" s="56">
        <f t="shared" si="1212"/>
        <v>8</v>
      </c>
      <c r="AI1284" s="54">
        <v>3</v>
      </c>
      <c r="AJ1284" s="55">
        <v>3</v>
      </c>
      <c r="AK1284" s="55"/>
      <c r="AL1284" s="55">
        <v>1</v>
      </c>
      <c r="AM1284" s="56">
        <f t="shared" si="1213"/>
        <v>7</v>
      </c>
      <c r="AN1284" s="54"/>
      <c r="AO1284" s="55"/>
      <c r="AP1284" s="55"/>
      <c r="AQ1284" s="55"/>
      <c r="AR1284" s="56">
        <f t="shared" si="1214"/>
        <v>0</v>
      </c>
      <c r="AS1284" s="54">
        <v>2</v>
      </c>
      <c r="AT1284" s="55">
        <v>1</v>
      </c>
      <c r="AU1284" s="55">
        <v>2</v>
      </c>
      <c r="AV1284" s="55"/>
      <c r="AW1284" s="56">
        <f t="shared" si="1215"/>
        <v>5</v>
      </c>
      <c r="AX1284" s="55"/>
      <c r="AY1284" s="55"/>
      <c r="AZ1284" s="55"/>
      <c r="BA1284" s="55"/>
      <c r="BB1284" s="56">
        <f t="shared" si="1216"/>
        <v>0</v>
      </c>
      <c r="BC1284" s="56">
        <f t="shared" si="1195"/>
        <v>20</v>
      </c>
      <c r="BD1284" s="298">
        <v>45633</v>
      </c>
      <c r="BE1284" s="277"/>
      <c r="BF1284" s="54"/>
      <c r="BG1284" s="55"/>
      <c r="BH1284" s="55"/>
      <c r="BI1284" s="55"/>
      <c r="BJ1284" s="56">
        <f t="shared" si="1176"/>
        <v>0</v>
      </c>
    </row>
    <row r="1285" spans="1:62" x14ac:dyDescent="0.15">
      <c r="A1285" s="53" t="s">
        <v>98</v>
      </c>
      <c r="B1285" s="54"/>
      <c r="C1285" s="55"/>
      <c r="D1285" s="55"/>
      <c r="E1285" s="55"/>
      <c r="F1285" s="56">
        <f t="shared" si="1189"/>
        <v>0</v>
      </c>
      <c r="G1285" s="54"/>
      <c r="H1285" s="55"/>
      <c r="I1285" s="55"/>
      <c r="J1285" s="55"/>
      <c r="K1285" s="56">
        <f t="shared" si="1190"/>
        <v>0</v>
      </c>
      <c r="L1285" s="54"/>
      <c r="M1285" s="55"/>
      <c r="N1285" s="55"/>
      <c r="O1285" s="55"/>
      <c r="P1285" s="56">
        <f t="shared" si="1191"/>
        <v>0</v>
      </c>
      <c r="Q1285" s="54"/>
      <c r="R1285" s="55"/>
      <c r="S1285" s="55">
        <v>1</v>
      </c>
      <c r="T1285" s="55"/>
      <c r="U1285" s="56">
        <f t="shared" si="1192"/>
        <v>1</v>
      </c>
      <c r="V1285" s="55"/>
      <c r="W1285" s="55"/>
      <c r="X1285" s="55"/>
      <c r="Y1285" s="55"/>
      <c r="Z1285" s="56">
        <f t="shared" si="1193"/>
        <v>0</v>
      </c>
      <c r="AA1285" s="56">
        <f t="shared" si="1194"/>
        <v>1</v>
      </c>
      <c r="AB1285" s="299">
        <v>45572</v>
      </c>
      <c r="AC1285" s="276" t="s">
        <v>99</v>
      </c>
      <c r="AD1285" s="54"/>
      <c r="AE1285" s="55"/>
      <c r="AF1285" s="55"/>
      <c r="AG1285" s="55"/>
      <c r="AH1285" s="56">
        <f t="shared" si="1212"/>
        <v>0</v>
      </c>
      <c r="AI1285" s="54"/>
      <c r="AJ1285" s="55"/>
      <c r="AK1285" s="55"/>
      <c r="AL1285" s="55"/>
      <c r="AM1285" s="56">
        <f t="shared" si="1213"/>
        <v>0</v>
      </c>
      <c r="AN1285" s="54"/>
      <c r="AO1285" s="55">
        <v>2</v>
      </c>
      <c r="AP1285" s="55"/>
      <c r="AQ1285" s="55"/>
      <c r="AR1285" s="56">
        <f t="shared" si="1214"/>
        <v>2</v>
      </c>
      <c r="AS1285" s="54"/>
      <c r="AT1285" s="55"/>
      <c r="AU1285" s="55"/>
      <c r="AV1285" s="55"/>
      <c r="AW1285" s="56">
        <f t="shared" si="1215"/>
        <v>0</v>
      </c>
      <c r="AX1285" s="55">
        <v>2</v>
      </c>
      <c r="AY1285" s="55"/>
      <c r="AZ1285" s="55"/>
      <c r="BA1285" s="55"/>
      <c r="BB1285" s="56">
        <f t="shared" si="1216"/>
        <v>2</v>
      </c>
      <c r="BC1285" s="56">
        <f t="shared" si="1195"/>
        <v>4</v>
      </c>
      <c r="BD1285" s="298">
        <v>45643</v>
      </c>
      <c r="BE1285" s="277"/>
      <c r="BF1285" s="54"/>
      <c r="BG1285" s="55"/>
      <c r="BH1285" s="55"/>
      <c r="BI1285" s="55"/>
      <c r="BJ1285" s="56">
        <f t="shared" si="1176"/>
        <v>0</v>
      </c>
    </row>
    <row r="1286" spans="1:62" x14ac:dyDescent="0.15">
      <c r="A1286" s="53" t="s">
        <v>98</v>
      </c>
      <c r="B1286" s="54"/>
      <c r="C1286" s="55"/>
      <c r="D1286" s="55"/>
      <c r="E1286" s="55"/>
      <c r="F1286" s="56">
        <f t="shared" si="1189"/>
        <v>0</v>
      </c>
      <c r="G1286" s="54"/>
      <c r="H1286" s="55"/>
      <c r="I1286" s="55"/>
      <c r="J1286" s="55"/>
      <c r="K1286" s="56">
        <f t="shared" si="1190"/>
        <v>0</v>
      </c>
      <c r="L1286" s="54"/>
      <c r="M1286" s="55"/>
      <c r="N1286" s="55"/>
      <c r="O1286" s="55"/>
      <c r="P1286" s="56">
        <f t="shared" si="1191"/>
        <v>0</v>
      </c>
      <c r="Q1286" s="54"/>
      <c r="R1286" s="55"/>
      <c r="S1286" s="55"/>
      <c r="T1286" s="55">
        <v>1</v>
      </c>
      <c r="U1286" s="56">
        <f t="shared" si="1192"/>
        <v>1</v>
      </c>
      <c r="V1286" s="55"/>
      <c r="W1286" s="55"/>
      <c r="X1286" s="55"/>
      <c r="Y1286" s="55"/>
      <c r="Z1286" s="56">
        <f t="shared" si="1193"/>
        <v>0</v>
      </c>
      <c r="AA1286" s="56">
        <f t="shared" si="1194"/>
        <v>1</v>
      </c>
      <c r="AB1286" s="299">
        <v>45574</v>
      </c>
      <c r="AC1286" s="276" t="s">
        <v>99</v>
      </c>
      <c r="AD1286" s="54"/>
      <c r="AE1286" s="55"/>
      <c r="AF1286" s="55">
        <v>2</v>
      </c>
      <c r="AG1286" s="55"/>
      <c r="AH1286" s="56">
        <f t="shared" ref="AH1286" si="1217">SUM(AD1286:AG1286)</f>
        <v>2</v>
      </c>
      <c r="AI1286" s="54"/>
      <c r="AJ1286" s="55"/>
      <c r="AK1286" s="55">
        <v>2</v>
      </c>
      <c r="AL1286" s="55"/>
      <c r="AM1286" s="56">
        <f t="shared" ref="AM1286" si="1218">SUM(AI1286:AL1286)</f>
        <v>2</v>
      </c>
      <c r="AN1286" s="54"/>
      <c r="AO1286" s="55"/>
      <c r="AP1286" s="55"/>
      <c r="AQ1286" s="55"/>
      <c r="AR1286" s="56">
        <f t="shared" ref="AR1286" si="1219">SUM(AN1286:AQ1286)</f>
        <v>0</v>
      </c>
      <c r="AS1286" s="54"/>
      <c r="AT1286" s="55"/>
      <c r="AU1286" s="55"/>
      <c r="AV1286" s="55">
        <v>2</v>
      </c>
      <c r="AW1286" s="56">
        <f t="shared" ref="AW1286" si="1220">SUM(AS1286:AV1286)</f>
        <v>2</v>
      </c>
      <c r="AX1286" s="55"/>
      <c r="AY1286" s="55"/>
      <c r="AZ1286" s="55">
        <v>2</v>
      </c>
      <c r="BA1286" s="55"/>
      <c r="BB1286" s="56">
        <f t="shared" ref="BB1286" si="1221">SUM(AX1286:BA1286)</f>
        <v>2</v>
      </c>
      <c r="BC1286" s="56">
        <f t="shared" si="1195"/>
        <v>8</v>
      </c>
      <c r="BD1286" s="298">
        <v>45684</v>
      </c>
      <c r="BE1286" s="277"/>
      <c r="BF1286" s="54"/>
      <c r="BG1286" s="55"/>
      <c r="BH1286" s="55"/>
      <c r="BI1286" s="55"/>
      <c r="BJ1286" s="56">
        <f t="shared" si="1176"/>
        <v>0</v>
      </c>
    </row>
    <row r="1287" spans="1:62" x14ac:dyDescent="0.15">
      <c r="A1287" s="53" t="s">
        <v>98</v>
      </c>
      <c r="B1287" s="54"/>
      <c r="C1287" s="55"/>
      <c r="D1287" s="55"/>
      <c r="E1287" s="55"/>
      <c r="F1287" s="56">
        <f t="shared" si="1189"/>
        <v>0</v>
      </c>
      <c r="G1287" s="54"/>
      <c r="H1287" s="55">
        <v>1</v>
      </c>
      <c r="I1287" s="55"/>
      <c r="J1287" s="55"/>
      <c r="K1287" s="56">
        <f t="shared" si="1190"/>
        <v>1</v>
      </c>
      <c r="L1287" s="54"/>
      <c r="M1287" s="55"/>
      <c r="N1287" s="55"/>
      <c r="O1287" s="55"/>
      <c r="P1287" s="56">
        <f t="shared" si="1191"/>
        <v>0</v>
      </c>
      <c r="Q1287" s="54"/>
      <c r="R1287" s="55"/>
      <c r="S1287" s="55"/>
      <c r="T1287" s="55"/>
      <c r="U1287" s="56">
        <f t="shared" si="1192"/>
        <v>0</v>
      </c>
      <c r="V1287" s="55"/>
      <c r="W1287" s="55"/>
      <c r="X1287" s="55"/>
      <c r="Y1287" s="55"/>
      <c r="Z1287" s="56">
        <f t="shared" si="1193"/>
        <v>0</v>
      </c>
      <c r="AA1287" s="56">
        <f t="shared" si="1194"/>
        <v>1</v>
      </c>
      <c r="AB1287" s="299">
        <v>45586</v>
      </c>
      <c r="AC1287" s="276" t="s">
        <v>99</v>
      </c>
      <c r="AD1287" s="54"/>
      <c r="AE1287" s="55"/>
      <c r="AF1287" s="55"/>
      <c r="AG1287" s="55"/>
      <c r="AH1287" s="56">
        <f t="shared" ref="AH1287" si="1222">SUM(AD1287:AG1287)</f>
        <v>0</v>
      </c>
      <c r="AI1287" s="54"/>
      <c r="AJ1287" s="55"/>
      <c r="AK1287" s="55"/>
      <c r="AL1287" s="55"/>
      <c r="AM1287" s="56">
        <f t="shared" ref="AM1287" si="1223">SUM(AI1287:AL1287)</f>
        <v>0</v>
      </c>
      <c r="AN1287" s="54"/>
      <c r="AO1287" s="55"/>
      <c r="AP1287" s="55"/>
      <c r="AQ1287" s="55"/>
      <c r="AR1287" s="56">
        <f t="shared" ref="AR1287" si="1224">SUM(AN1287:AQ1287)</f>
        <v>0</v>
      </c>
      <c r="AS1287" s="54"/>
      <c r="AT1287" s="55"/>
      <c r="AU1287" s="55">
        <v>3</v>
      </c>
      <c r="AV1287" s="55"/>
      <c r="AW1287" s="56">
        <f t="shared" ref="AW1287" si="1225">SUM(AS1287:AV1287)</f>
        <v>3</v>
      </c>
      <c r="AX1287" s="55"/>
      <c r="AY1287" s="55"/>
      <c r="AZ1287" s="55"/>
      <c r="BA1287" s="55"/>
      <c r="BB1287" s="56">
        <f t="shared" ref="BB1287" si="1226">SUM(AX1287:BA1287)</f>
        <v>0</v>
      </c>
      <c r="BC1287" s="56">
        <f t="shared" si="1195"/>
        <v>3</v>
      </c>
      <c r="BD1287" s="298">
        <v>45708</v>
      </c>
      <c r="BE1287" s="277"/>
      <c r="BF1287" s="54"/>
      <c r="BG1287" s="55"/>
      <c r="BH1287" s="55"/>
      <c r="BI1287" s="55"/>
      <c r="BJ1287" s="56">
        <f t="shared" si="1176"/>
        <v>0</v>
      </c>
    </row>
    <row r="1288" spans="1:62" x14ac:dyDescent="0.15">
      <c r="A1288" s="53" t="s">
        <v>98</v>
      </c>
      <c r="B1288" s="54"/>
      <c r="C1288" s="55"/>
      <c r="D1288" s="55"/>
      <c r="E1288" s="55"/>
      <c r="F1288" s="56">
        <f t="shared" si="1189"/>
        <v>0</v>
      </c>
      <c r="G1288" s="54"/>
      <c r="H1288" s="55"/>
      <c r="I1288" s="55"/>
      <c r="J1288" s="55"/>
      <c r="K1288" s="56">
        <f t="shared" si="1190"/>
        <v>0</v>
      </c>
      <c r="L1288" s="54"/>
      <c r="M1288" s="55"/>
      <c r="N1288" s="55"/>
      <c r="O1288" s="55"/>
      <c r="P1288" s="56">
        <f t="shared" si="1191"/>
        <v>0</v>
      </c>
      <c r="Q1288" s="54"/>
      <c r="R1288" s="55">
        <v>1</v>
      </c>
      <c r="S1288" s="55"/>
      <c r="T1288" s="55"/>
      <c r="U1288" s="56">
        <f t="shared" si="1192"/>
        <v>1</v>
      </c>
      <c r="V1288" s="55"/>
      <c r="W1288" s="55"/>
      <c r="X1288" s="55"/>
      <c r="Y1288" s="55"/>
      <c r="Z1288" s="56">
        <f t="shared" si="1193"/>
        <v>0</v>
      </c>
      <c r="AA1288" s="56">
        <f t="shared" si="1194"/>
        <v>1</v>
      </c>
      <c r="AB1288" s="299">
        <v>45589</v>
      </c>
      <c r="AC1288" s="276"/>
      <c r="AD1288" s="54"/>
      <c r="AE1288" s="55"/>
      <c r="AF1288" s="55"/>
      <c r="AG1288" s="55"/>
      <c r="AH1288" s="56">
        <f t="shared" ref="AH1288:AH1298" si="1227">SUM(AD1288:AG1288)</f>
        <v>0</v>
      </c>
      <c r="AI1288" s="54"/>
      <c r="AJ1288" s="55"/>
      <c r="AK1288" s="55"/>
      <c r="AL1288" s="55"/>
      <c r="AM1288" s="56">
        <f t="shared" ref="AM1288:AM1298" si="1228">SUM(AI1288:AL1288)</f>
        <v>0</v>
      </c>
      <c r="AN1288" s="54"/>
      <c r="AO1288" s="55"/>
      <c r="AP1288" s="55"/>
      <c r="AQ1288" s="55"/>
      <c r="AR1288" s="56">
        <f t="shared" ref="AR1288:AR1298" si="1229">SUM(AN1288:AQ1288)</f>
        <v>0</v>
      </c>
      <c r="AS1288" s="54"/>
      <c r="AT1288" s="55"/>
      <c r="AU1288" s="55"/>
      <c r="AV1288" s="55"/>
      <c r="AW1288" s="56">
        <f t="shared" ref="AW1288:AW1298" si="1230">SUM(AS1288:AV1288)</f>
        <v>0</v>
      </c>
      <c r="AX1288" s="55"/>
      <c r="AY1288" s="55"/>
      <c r="AZ1288" s="55"/>
      <c r="BA1288" s="55"/>
      <c r="BB1288" s="56">
        <f t="shared" ref="BB1288:BB1298" si="1231">SUM(AX1288:BA1288)</f>
        <v>0</v>
      </c>
      <c r="BC1288" s="56">
        <f t="shared" ref="BC1288:BC1298" si="1232">AH1288+AM1288+AR1288+AW1288+BB1288</f>
        <v>0</v>
      </c>
      <c r="BE1288" s="277"/>
      <c r="BF1288" s="54"/>
      <c r="BG1288" s="55"/>
      <c r="BH1288" s="55"/>
      <c r="BI1288" s="55"/>
      <c r="BJ1288" s="56">
        <f t="shared" si="1176"/>
        <v>0</v>
      </c>
    </row>
    <row r="1289" spans="1:62" x14ac:dyDescent="0.15">
      <c r="A1289" s="53" t="s">
        <v>98</v>
      </c>
      <c r="B1289" s="54"/>
      <c r="C1289" s="55"/>
      <c r="D1289" s="55"/>
      <c r="E1289" s="55"/>
      <c r="F1289" s="56">
        <f t="shared" si="1189"/>
        <v>0</v>
      </c>
      <c r="G1289" s="54"/>
      <c r="H1289" s="55"/>
      <c r="I1289" s="55"/>
      <c r="J1289" s="55"/>
      <c r="K1289" s="56">
        <f t="shared" si="1190"/>
        <v>0</v>
      </c>
      <c r="L1289" s="54"/>
      <c r="M1289" s="55"/>
      <c r="N1289" s="55"/>
      <c r="O1289" s="55"/>
      <c r="P1289" s="56">
        <f t="shared" si="1191"/>
        <v>0</v>
      </c>
      <c r="Q1289" s="54"/>
      <c r="R1289" s="55"/>
      <c r="S1289" s="55"/>
      <c r="T1289" s="55"/>
      <c r="U1289" s="56">
        <f t="shared" si="1192"/>
        <v>0</v>
      </c>
      <c r="V1289" s="55"/>
      <c r="W1289" s="55">
        <v>1</v>
      </c>
      <c r="X1289" s="55"/>
      <c r="Y1289" s="55"/>
      <c r="Z1289" s="56">
        <f t="shared" si="1193"/>
        <v>1</v>
      </c>
      <c r="AA1289" s="56">
        <f t="shared" si="1194"/>
        <v>1</v>
      </c>
      <c r="AB1289" s="299">
        <v>45594</v>
      </c>
      <c r="AC1289" s="276"/>
      <c r="AD1289" s="54"/>
      <c r="AE1289" s="55"/>
      <c r="AF1289" s="55"/>
      <c r="AG1289" s="55"/>
      <c r="AH1289" s="56">
        <f t="shared" si="1227"/>
        <v>0</v>
      </c>
      <c r="AI1289" s="54"/>
      <c r="AJ1289" s="55"/>
      <c r="AK1289" s="55"/>
      <c r="AL1289" s="55"/>
      <c r="AM1289" s="56">
        <f t="shared" si="1228"/>
        <v>0</v>
      </c>
      <c r="AN1289" s="54"/>
      <c r="AO1289" s="55"/>
      <c r="AP1289" s="55"/>
      <c r="AQ1289" s="55"/>
      <c r="AR1289" s="56">
        <f t="shared" si="1229"/>
        <v>0</v>
      </c>
      <c r="AS1289" s="54"/>
      <c r="AT1289" s="55"/>
      <c r="AU1289" s="55"/>
      <c r="AV1289" s="55"/>
      <c r="AW1289" s="56">
        <f t="shared" si="1230"/>
        <v>0</v>
      </c>
      <c r="AX1289" s="55"/>
      <c r="AY1289" s="55"/>
      <c r="AZ1289" s="55"/>
      <c r="BA1289" s="55"/>
      <c r="BB1289" s="56">
        <f t="shared" si="1231"/>
        <v>0</v>
      </c>
      <c r="BC1289" s="56">
        <f t="shared" si="1232"/>
        <v>0</v>
      </c>
      <c r="BE1289" s="277"/>
      <c r="BF1289" s="54"/>
      <c r="BG1289" s="55"/>
      <c r="BH1289" s="55"/>
      <c r="BI1289" s="55"/>
      <c r="BJ1289" s="56">
        <f t="shared" si="1176"/>
        <v>0</v>
      </c>
    </row>
    <row r="1290" spans="1:62" x14ac:dyDescent="0.15">
      <c r="A1290" s="53" t="s">
        <v>98</v>
      </c>
      <c r="B1290" s="54"/>
      <c r="C1290" s="55"/>
      <c r="D1290" s="55"/>
      <c r="E1290" s="55"/>
      <c r="F1290" s="56">
        <f t="shared" si="1189"/>
        <v>0</v>
      </c>
      <c r="G1290" s="54"/>
      <c r="H1290" s="55"/>
      <c r="I1290" s="55"/>
      <c r="J1290" s="55"/>
      <c r="K1290" s="56">
        <f t="shared" si="1190"/>
        <v>0</v>
      </c>
      <c r="L1290" s="54"/>
      <c r="M1290" s="55"/>
      <c r="N1290" s="55"/>
      <c r="O1290" s="55"/>
      <c r="P1290" s="56">
        <f t="shared" si="1191"/>
        <v>0</v>
      </c>
      <c r="Q1290" s="54"/>
      <c r="R1290" s="55"/>
      <c r="S1290" s="55"/>
      <c r="T1290" s="55"/>
      <c r="U1290" s="56">
        <f t="shared" si="1192"/>
        <v>0</v>
      </c>
      <c r="V1290" s="55"/>
      <c r="W1290" s="55">
        <v>1</v>
      </c>
      <c r="X1290" s="55"/>
      <c r="Y1290" s="55"/>
      <c r="Z1290" s="56">
        <f t="shared" si="1193"/>
        <v>1</v>
      </c>
      <c r="AA1290" s="56">
        <f t="shared" si="1194"/>
        <v>1</v>
      </c>
      <c r="AB1290" s="299">
        <v>45596</v>
      </c>
      <c r="AC1290" s="276"/>
      <c r="AD1290" s="54"/>
      <c r="AE1290" s="55"/>
      <c r="AF1290" s="55"/>
      <c r="AG1290" s="55"/>
      <c r="AH1290" s="56">
        <f t="shared" si="1227"/>
        <v>0</v>
      </c>
      <c r="AI1290" s="54"/>
      <c r="AJ1290" s="55"/>
      <c r="AK1290" s="55"/>
      <c r="AL1290" s="55"/>
      <c r="AM1290" s="56">
        <f t="shared" si="1228"/>
        <v>0</v>
      </c>
      <c r="AN1290" s="54"/>
      <c r="AO1290" s="55"/>
      <c r="AP1290" s="55"/>
      <c r="AQ1290" s="55"/>
      <c r="AR1290" s="56">
        <f t="shared" si="1229"/>
        <v>0</v>
      </c>
      <c r="AS1290" s="54"/>
      <c r="AT1290" s="55"/>
      <c r="AU1290" s="55"/>
      <c r="AV1290" s="55"/>
      <c r="AW1290" s="56">
        <f t="shared" si="1230"/>
        <v>0</v>
      </c>
      <c r="AX1290" s="55"/>
      <c r="AY1290" s="55"/>
      <c r="AZ1290" s="55"/>
      <c r="BA1290" s="55"/>
      <c r="BB1290" s="56">
        <f t="shared" si="1231"/>
        <v>0</v>
      </c>
      <c r="BC1290" s="56">
        <f t="shared" si="1232"/>
        <v>0</v>
      </c>
      <c r="BE1290" s="276"/>
      <c r="BF1290" s="54"/>
      <c r="BG1290" s="55"/>
      <c r="BH1290" s="55"/>
      <c r="BI1290" s="55"/>
      <c r="BJ1290" s="56">
        <f t="shared" si="1176"/>
        <v>0</v>
      </c>
    </row>
    <row r="1291" spans="1:62" x14ac:dyDescent="0.15">
      <c r="A1291" s="53" t="s">
        <v>98</v>
      </c>
      <c r="B1291" s="54"/>
      <c r="C1291" s="55"/>
      <c r="D1291" s="55"/>
      <c r="E1291" s="55"/>
      <c r="F1291" s="56">
        <f t="shared" si="1189"/>
        <v>0</v>
      </c>
      <c r="G1291" s="54">
        <v>1</v>
      </c>
      <c r="H1291" s="55"/>
      <c r="I1291" s="55"/>
      <c r="J1291" s="55"/>
      <c r="K1291" s="56">
        <f t="shared" si="1190"/>
        <v>1</v>
      </c>
      <c r="L1291" s="54"/>
      <c r="M1291" s="55"/>
      <c r="N1291" s="55"/>
      <c r="O1291" s="55"/>
      <c r="P1291" s="56">
        <f t="shared" si="1191"/>
        <v>0</v>
      </c>
      <c r="Q1291" s="54"/>
      <c r="R1291" s="55"/>
      <c r="S1291" s="55"/>
      <c r="T1291" s="55"/>
      <c r="U1291" s="56">
        <f t="shared" si="1192"/>
        <v>0</v>
      </c>
      <c r="V1291" s="55"/>
      <c r="W1291" s="55"/>
      <c r="X1291" s="55"/>
      <c r="Y1291" s="55"/>
      <c r="Z1291" s="56">
        <f t="shared" si="1193"/>
        <v>0</v>
      </c>
      <c r="AA1291" s="56">
        <f t="shared" si="1194"/>
        <v>1</v>
      </c>
      <c r="AB1291" s="299">
        <v>45615</v>
      </c>
      <c r="AC1291" s="276"/>
      <c r="AD1291" s="54"/>
      <c r="AE1291" s="55"/>
      <c r="AF1291" s="55"/>
      <c r="AG1291" s="55"/>
      <c r="AH1291" s="56">
        <f t="shared" si="1227"/>
        <v>0</v>
      </c>
      <c r="AI1291" s="54"/>
      <c r="AJ1291" s="55"/>
      <c r="AK1291" s="55"/>
      <c r="AL1291" s="55"/>
      <c r="AM1291" s="56">
        <f t="shared" si="1228"/>
        <v>0</v>
      </c>
      <c r="AN1291" s="54"/>
      <c r="AO1291" s="55"/>
      <c r="AP1291" s="55"/>
      <c r="AQ1291" s="55"/>
      <c r="AR1291" s="56">
        <f t="shared" si="1229"/>
        <v>0</v>
      </c>
      <c r="AS1291" s="54"/>
      <c r="AT1291" s="55"/>
      <c r="AU1291" s="55"/>
      <c r="AV1291" s="55"/>
      <c r="AW1291" s="56">
        <f t="shared" si="1230"/>
        <v>0</v>
      </c>
      <c r="AX1291" s="55"/>
      <c r="AY1291" s="55"/>
      <c r="AZ1291" s="55"/>
      <c r="BA1291" s="55"/>
      <c r="BB1291" s="56">
        <f t="shared" si="1231"/>
        <v>0</v>
      </c>
      <c r="BC1291" s="56">
        <f t="shared" si="1232"/>
        <v>0</v>
      </c>
      <c r="BE1291" s="277"/>
      <c r="BF1291" s="54"/>
      <c r="BG1291" s="55"/>
      <c r="BH1291" s="55"/>
      <c r="BI1291" s="55"/>
      <c r="BJ1291" s="56">
        <f t="shared" si="1176"/>
        <v>0</v>
      </c>
    </row>
    <row r="1292" spans="1:62" x14ac:dyDescent="0.15">
      <c r="A1292" s="53" t="s">
        <v>98</v>
      </c>
      <c r="B1292" s="54"/>
      <c r="C1292" s="55"/>
      <c r="D1292" s="55"/>
      <c r="E1292" s="55"/>
      <c r="F1292" s="56">
        <f t="shared" si="1189"/>
        <v>0</v>
      </c>
      <c r="G1292" s="54"/>
      <c r="H1292" s="55"/>
      <c r="I1292" s="55"/>
      <c r="J1292" s="55"/>
      <c r="K1292" s="56">
        <f t="shared" si="1190"/>
        <v>0</v>
      </c>
      <c r="L1292" s="54"/>
      <c r="M1292" s="55"/>
      <c r="N1292" s="55"/>
      <c r="O1292" s="55"/>
      <c r="P1292" s="56">
        <f t="shared" si="1191"/>
        <v>0</v>
      </c>
      <c r="Q1292" s="54">
        <v>1</v>
      </c>
      <c r="R1292" s="55"/>
      <c r="S1292" s="55"/>
      <c r="T1292" s="55"/>
      <c r="U1292" s="56">
        <f t="shared" si="1192"/>
        <v>1</v>
      </c>
      <c r="V1292" s="55"/>
      <c r="W1292" s="55"/>
      <c r="X1292" s="55"/>
      <c r="Y1292" s="55"/>
      <c r="Z1292" s="56">
        <f t="shared" si="1193"/>
        <v>0</v>
      </c>
      <c r="AA1292" s="56">
        <f t="shared" si="1194"/>
        <v>1</v>
      </c>
      <c r="AB1292" s="299">
        <v>45622</v>
      </c>
      <c r="AC1292" s="276"/>
      <c r="AD1292" s="54"/>
      <c r="AE1292" s="55"/>
      <c r="AF1292" s="55"/>
      <c r="AG1292" s="55"/>
      <c r="AH1292" s="56">
        <f t="shared" si="1227"/>
        <v>0</v>
      </c>
      <c r="AI1292" s="54"/>
      <c r="AJ1292" s="55"/>
      <c r="AK1292" s="55"/>
      <c r="AL1292" s="55"/>
      <c r="AM1292" s="56">
        <f t="shared" si="1228"/>
        <v>0</v>
      </c>
      <c r="AN1292" s="54"/>
      <c r="AO1292" s="55"/>
      <c r="AP1292" s="55"/>
      <c r="AQ1292" s="55"/>
      <c r="AR1292" s="56">
        <f t="shared" si="1229"/>
        <v>0</v>
      </c>
      <c r="AS1292" s="54"/>
      <c r="AT1292" s="55"/>
      <c r="AU1292" s="55"/>
      <c r="AV1292" s="55"/>
      <c r="AW1292" s="56">
        <f t="shared" si="1230"/>
        <v>0</v>
      </c>
      <c r="AX1292" s="55"/>
      <c r="AY1292" s="55"/>
      <c r="AZ1292" s="55"/>
      <c r="BA1292" s="55"/>
      <c r="BB1292" s="56">
        <f t="shared" si="1231"/>
        <v>0</v>
      </c>
      <c r="BC1292" s="56">
        <f t="shared" si="1232"/>
        <v>0</v>
      </c>
      <c r="BE1292" s="276"/>
      <c r="BF1292" s="54"/>
      <c r="BG1292" s="55"/>
      <c r="BH1292" s="55"/>
      <c r="BI1292" s="55"/>
      <c r="BJ1292" s="56">
        <f t="shared" si="1176"/>
        <v>0</v>
      </c>
    </row>
    <row r="1293" spans="1:62" x14ac:dyDescent="0.15">
      <c r="A1293" s="53" t="s">
        <v>624</v>
      </c>
      <c r="B1293" s="54"/>
      <c r="C1293" s="55"/>
      <c r="D1293" s="55"/>
      <c r="E1293" s="55"/>
      <c r="F1293" s="56">
        <f t="shared" si="1189"/>
        <v>0</v>
      </c>
      <c r="G1293" s="54"/>
      <c r="H1293" s="55"/>
      <c r="I1293" s="55"/>
      <c r="J1293" s="55"/>
      <c r="K1293" s="56">
        <f t="shared" si="1190"/>
        <v>0</v>
      </c>
      <c r="L1293" s="54"/>
      <c r="M1293" s="55"/>
      <c r="N1293" s="55"/>
      <c r="O1293" s="55"/>
      <c r="P1293" s="56">
        <f t="shared" si="1191"/>
        <v>0</v>
      </c>
      <c r="Q1293" s="54">
        <v>-2</v>
      </c>
      <c r="R1293" s="55"/>
      <c r="S1293" s="55"/>
      <c r="T1293" s="55"/>
      <c r="U1293" s="56">
        <f t="shared" si="1192"/>
        <v>-2</v>
      </c>
      <c r="V1293" s="55"/>
      <c r="W1293" s="55"/>
      <c r="X1293" s="55"/>
      <c r="Y1293" s="55"/>
      <c r="Z1293" s="56">
        <f t="shared" si="1193"/>
        <v>0</v>
      </c>
      <c r="AA1293" s="56">
        <f t="shared" si="1194"/>
        <v>-2</v>
      </c>
      <c r="AB1293" s="298">
        <v>45623</v>
      </c>
      <c r="AC1293" s="276"/>
      <c r="AD1293" s="54"/>
      <c r="AE1293" s="55"/>
      <c r="AF1293" s="55"/>
      <c r="AG1293" s="55"/>
      <c r="AH1293" s="56">
        <f t="shared" si="1227"/>
        <v>0</v>
      </c>
      <c r="AI1293" s="54"/>
      <c r="AJ1293" s="55"/>
      <c r="AK1293" s="55"/>
      <c r="AL1293" s="55"/>
      <c r="AM1293" s="56">
        <f t="shared" si="1228"/>
        <v>0</v>
      </c>
      <c r="AN1293" s="54"/>
      <c r="AO1293" s="55"/>
      <c r="AP1293" s="55"/>
      <c r="AQ1293" s="55"/>
      <c r="AR1293" s="56">
        <f t="shared" si="1229"/>
        <v>0</v>
      </c>
      <c r="AS1293" s="54"/>
      <c r="AT1293" s="55"/>
      <c r="AU1293" s="55"/>
      <c r="AV1293" s="55"/>
      <c r="AW1293" s="56">
        <f t="shared" si="1230"/>
        <v>0</v>
      </c>
      <c r="AX1293" s="55"/>
      <c r="AY1293" s="55"/>
      <c r="AZ1293" s="55"/>
      <c r="BA1293" s="55"/>
      <c r="BB1293" s="56">
        <f t="shared" si="1231"/>
        <v>0</v>
      </c>
      <c r="BC1293" s="56">
        <f t="shared" si="1232"/>
        <v>0</v>
      </c>
      <c r="BE1293" s="277"/>
      <c r="BF1293" s="55"/>
      <c r="BG1293" s="55"/>
      <c r="BH1293" s="55"/>
      <c r="BI1293" s="166"/>
      <c r="BJ1293" s="49">
        <f t="shared" si="1176"/>
        <v>0</v>
      </c>
    </row>
    <row r="1294" spans="1:62" x14ac:dyDescent="0.15">
      <c r="A1294" s="53" t="s">
        <v>98</v>
      </c>
      <c r="B1294" s="54"/>
      <c r="C1294" s="55"/>
      <c r="D1294" s="55"/>
      <c r="E1294" s="55">
        <v>1</v>
      </c>
      <c r="F1294" s="56">
        <f t="shared" si="1189"/>
        <v>1</v>
      </c>
      <c r="G1294" s="54"/>
      <c r="H1294" s="55"/>
      <c r="I1294" s="55"/>
      <c r="J1294" s="55"/>
      <c r="K1294" s="56">
        <f t="shared" si="1190"/>
        <v>0</v>
      </c>
      <c r="L1294" s="54"/>
      <c r="M1294" s="55">
        <v>1</v>
      </c>
      <c r="N1294" s="55"/>
      <c r="O1294" s="55"/>
      <c r="P1294" s="56">
        <f t="shared" si="1191"/>
        <v>1</v>
      </c>
      <c r="Q1294" s="54"/>
      <c r="R1294" s="55"/>
      <c r="S1294" s="55"/>
      <c r="T1294" s="55"/>
      <c r="U1294" s="56">
        <f t="shared" si="1192"/>
        <v>0</v>
      </c>
      <c r="V1294" s="55"/>
      <c r="W1294" s="55"/>
      <c r="X1294" s="55"/>
      <c r="Y1294" s="55"/>
      <c r="Z1294" s="56">
        <f t="shared" si="1193"/>
        <v>0</v>
      </c>
      <c r="AA1294" s="56">
        <f t="shared" si="1194"/>
        <v>2</v>
      </c>
      <c r="AB1294" s="298">
        <v>45631</v>
      </c>
      <c r="AC1294" s="276"/>
      <c r="AD1294" s="54"/>
      <c r="AE1294" s="55"/>
      <c r="AF1294" s="55"/>
      <c r="AG1294" s="55"/>
      <c r="AH1294" s="56">
        <f t="shared" si="1227"/>
        <v>0</v>
      </c>
      <c r="AI1294" s="54"/>
      <c r="AJ1294" s="55"/>
      <c r="AK1294" s="55"/>
      <c r="AL1294" s="55"/>
      <c r="AM1294" s="56">
        <f t="shared" si="1228"/>
        <v>0</v>
      </c>
      <c r="AN1294" s="54"/>
      <c r="AO1294" s="55"/>
      <c r="AP1294" s="55"/>
      <c r="AQ1294" s="55"/>
      <c r="AR1294" s="56">
        <f t="shared" si="1229"/>
        <v>0</v>
      </c>
      <c r="AS1294" s="54"/>
      <c r="AT1294" s="55"/>
      <c r="AU1294" s="55"/>
      <c r="AV1294" s="55"/>
      <c r="AW1294" s="56">
        <f t="shared" si="1230"/>
        <v>0</v>
      </c>
      <c r="AX1294" s="55"/>
      <c r="AY1294" s="55"/>
      <c r="AZ1294" s="55"/>
      <c r="BA1294" s="55"/>
      <c r="BB1294" s="56">
        <f t="shared" si="1231"/>
        <v>0</v>
      </c>
      <c r="BC1294" s="56">
        <f t="shared" si="1232"/>
        <v>0</v>
      </c>
      <c r="BE1294" s="277"/>
      <c r="BF1294" s="54"/>
      <c r="BG1294" s="55"/>
      <c r="BH1294" s="55"/>
      <c r="BI1294" s="55"/>
      <c r="BJ1294" s="56">
        <f t="shared" si="1176"/>
        <v>0</v>
      </c>
    </row>
    <row r="1295" spans="1:62" x14ac:dyDescent="0.15">
      <c r="A1295" s="53" t="s">
        <v>98</v>
      </c>
      <c r="B1295" s="54"/>
      <c r="C1295" s="55"/>
      <c r="D1295" s="55"/>
      <c r="E1295" s="55">
        <v>1</v>
      </c>
      <c r="F1295" s="56">
        <f t="shared" si="1189"/>
        <v>1</v>
      </c>
      <c r="G1295" s="54"/>
      <c r="H1295" s="55"/>
      <c r="I1295" s="55"/>
      <c r="J1295" s="55"/>
      <c r="K1295" s="56">
        <f t="shared" si="1190"/>
        <v>0</v>
      </c>
      <c r="L1295" s="54"/>
      <c r="M1295" s="55"/>
      <c r="N1295" s="55"/>
      <c r="O1295" s="55"/>
      <c r="P1295" s="56">
        <f t="shared" si="1191"/>
        <v>0</v>
      </c>
      <c r="Q1295" s="54"/>
      <c r="R1295" s="55"/>
      <c r="S1295" s="55"/>
      <c r="T1295" s="55"/>
      <c r="U1295" s="56">
        <f t="shared" si="1192"/>
        <v>0</v>
      </c>
      <c r="V1295" s="55"/>
      <c r="W1295" s="55"/>
      <c r="X1295" s="55"/>
      <c r="Y1295" s="55"/>
      <c r="Z1295" s="56">
        <f t="shared" si="1193"/>
        <v>0</v>
      </c>
      <c r="AA1295" s="56">
        <f t="shared" si="1194"/>
        <v>1</v>
      </c>
      <c r="AB1295" s="298">
        <v>45633</v>
      </c>
      <c r="AC1295" s="276"/>
      <c r="AD1295" s="54"/>
      <c r="AE1295" s="55"/>
      <c r="AF1295" s="55"/>
      <c r="AG1295" s="55"/>
      <c r="AH1295" s="56">
        <f t="shared" si="1227"/>
        <v>0</v>
      </c>
      <c r="AI1295" s="54"/>
      <c r="AJ1295" s="55"/>
      <c r="AK1295" s="55"/>
      <c r="AL1295" s="55"/>
      <c r="AM1295" s="56">
        <f t="shared" si="1228"/>
        <v>0</v>
      </c>
      <c r="AN1295" s="54"/>
      <c r="AO1295" s="55"/>
      <c r="AP1295" s="55"/>
      <c r="AQ1295" s="55"/>
      <c r="AR1295" s="56">
        <f t="shared" si="1229"/>
        <v>0</v>
      </c>
      <c r="AS1295" s="54"/>
      <c r="AT1295" s="55"/>
      <c r="AU1295" s="55"/>
      <c r="AV1295" s="55"/>
      <c r="AW1295" s="56">
        <f t="shared" si="1230"/>
        <v>0</v>
      </c>
      <c r="AX1295" s="55"/>
      <c r="AY1295" s="55"/>
      <c r="AZ1295" s="55"/>
      <c r="BA1295" s="55"/>
      <c r="BB1295" s="56">
        <f t="shared" si="1231"/>
        <v>0</v>
      </c>
      <c r="BC1295" s="56">
        <f t="shared" si="1232"/>
        <v>0</v>
      </c>
      <c r="BE1295" s="276"/>
      <c r="BF1295" s="54"/>
      <c r="BG1295" s="55"/>
      <c r="BH1295" s="55"/>
      <c r="BI1295" s="55"/>
      <c r="BJ1295" s="56">
        <f t="shared" si="1176"/>
        <v>0</v>
      </c>
    </row>
    <row r="1296" spans="1:62" x14ac:dyDescent="0.15">
      <c r="A1296" s="53" t="s">
        <v>310</v>
      </c>
      <c r="B1296" s="54">
        <v>2</v>
      </c>
      <c r="C1296" s="55">
        <v>2</v>
      </c>
      <c r="D1296" s="55">
        <v>2</v>
      </c>
      <c r="E1296" s="55"/>
      <c r="F1296" s="56">
        <f t="shared" si="1189"/>
        <v>6</v>
      </c>
      <c r="G1296" s="54">
        <v>3</v>
      </c>
      <c r="H1296" s="55"/>
      <c r="I1296" s="55"/>
      <c r="J1296" s="55"/>
      <c r="K1296" s="56">
        <f t="shared" si="1190"/>
        <v>3</v>
      </c>
      <c r="L1296" s="54"/>
      <c r="M1296" s="55"/>
      <c r="N1296" s="55"/>
      <c r="O1296" s="55"/>
      <c r="P1296" s="56">
        <f t="shared" si="1191"/>
        <v>0</v>
      </c>
      <c r="Q1296" s="54"/>
      <c r="R1296" s="55"/>
      <c r="S1296" s="55">
        <v>2</v>
      </c>
      <c r="T1296" s="55"/>
      <c r="U1296" s="56">
        <f t="shared" si="1192"/>
        <v>2</v>
      </c>
      <c r="V1296" s="55"/>
      <c r="W1296" s="55"/>
      <c r="X1296" s="55"/>
      <c r="Y1296" s="55"/>
      <c r="Z1296" s="56">
        <f t="shared" si="1193"/>
        <v>0</v>
      </c>
      <c r="AA1296" s="56">
        <f t="shared" si="1194"/>
        <v>11</v>
      </c>
      <c r="AB1296" s="298">
        <v>45647</v>
      </c>
      <c r="AC1296" s="276"/>
      <c r="AD1296" s="54"/>
      <c r="AE1296" s="55"/>
      <c r="AF1296" s="55"/>
      <c r="AG1296" s="55"/>
      <c r="AH1296" s="56">
        <f t="shared" si="1227"/>
        <v>0</v>
      </c>
      <c r="AI1296" s="54"/>
      <c r="AJ1296" s="55"/>
      <c r="AK1296" s="55"/>
      <c r="AL1296" s="55"/>
      <c r="AM1296" s="56">
        <f t="shared" si="1228"/>
        <v>0</v>
      </c>
      <c r="AN1296" s="54"/>
      <c r="AO1296" s="55"/>
      <c r="AP1296" s="55"/>
      <c r="AQ1296" s="55"/>
      <c r="AR1296" s="56">
        <f t="shared" si="1229"/>
        <v>0</v>
      </c>
      <c r="AS1296" s="54"/>
      <c r="AT1296" s="55"/>
      <c r="AU1296" s="55"/>
      <c r="AV1296" s="55"/>
      <c r="AW1296" s="56">
        <f t="shared" si="1230"/>
        <v>0</v>
      </c>
      <c r="AX1296" s="55"/>
      <c r="AY1296" s="55"/>
      <c r="AZ1296" s="55"/>
      <c r="BA1296" s="55"/>
      <c r="BB1296" s="56">
        <f t="shared" si="1231"/>
        <v>0</v>
      </c>
      <c r="BC1296" s="56">
        <f t="shared" si="1232"/>
        <v>0</v>
      </c>
      <c r="BE1296" s="276"/>
      <c r="BF1296" s="63"/>
      <c r="BG1296" s="63"/>
      <c r="BH1296" s="63"/>
      <c r="BI1296" s="167"/>
      <c r="BJ1296" s="64">
        <f t="shared" si="1176"/>
        <v>0</v>
      </c>
    </row>
    <row r="1297" spans="1:62" x14ac:dyDescent="0.15">
      <c r="A1297" s="53" t="s">
        <v>98</v>
      </c>
      <c r="B1297" s="54"/>
      <c r="C1297" s="55"/>
      <c r="D1297" s="55">
        <v>1</v>
      </c>
      <c r="E1297" s="55"/>
      <c r="F1297" s="56">
        <f t="shared" si="1189"/>
        <v>1</v>
      </c>
      <c r="G1297" s="54"/>
      <c r="H1297" s="55"/>
      <c r="I1297" s="55"/>
      <c r="J1297" s="55"/>
      <c r="K1297" s="56">
        <f t="shared" si="1190"/>
        <v>0</v>
      </c>
      <c r="L1297" s="54"/>
      <c r="M1297" s="55"/>
      <c r="N1297" s="55"/>
      <c r="O1297" s="55"/>
      <c r="P1297" s="56">
        <f t="shared" si="1191"/>
        <v>0</v>
      </c>
      <c r="Q1297" s="54"/>
      <c r="R1297" s="55"/>
      <c r="S1297" s="55"/>
      <c r="T1297" s="55"/>
      <c r="U1297" s="56">
        <f t="shared" si="1192"/>
        <v>0</v>
      </c>
      <c r="V1297" s="55">
        <v>1</v>
      </c>
      <c r="W1297" s="55"/>
      <c r="X1297" s="55"/>
      <c r="Y1297" s="55"/>
      <c r="Z1297" s="56">
        <f t="shared" si="1193"/>
        <v>1</v>
      </c>
      <c r="AA1297" s="56">
        <f t="shared" si="1194"/>
        <v>2</v>
      </c>
      <c r="AB1297" s="298">
        <v>45642</v>
      </c>
      <c r="AC1297" s="276"/>
      <c r="AD1297" s="54"/>
      <c r="AE1297" s="55"/>
      <c r="AF1297" s="55"/>
      <c r="AG1297" s="55"/>
      <c r="AH1297" s="56">
        <f t="shared" si="1227"/>
        <v>0</v>
      </c>
      <c r="AI1297" s="54"/>
      <c r="AJ1297" s="55"/>
      <c r="AK1297" s="55"/>
      <c r="AL1297" s="55"/>
      <c r="AM1297" s="56">
        <f t="shared" si="1228"/>
        <v>0</v>
      </c>
      <c r="AN1297" s="54"/>
      <c r="AO1297" s="55"/>
      <c r="AP1297" s="55"/>
      <c r="AQ1297" s="55"/>
      <c r="AR1297" s="56">
        <f t="shared" si="1229"/>
        <v>0</v>
      </c>
      <c r="AS1297" s="54"/>
      <c r="AT1297" s="55"/>
      <c r="AU1297" s="55"/>
      <c r="AV1297" s="55"/>
      <c r="AW1297" s="56">
        <f t="shared" si="1230"/>
        <v>0</v>
      </c>
      <c r="AX1297" s="55"/>
      <c r="AY1297" s="55"/>
      <c r="AZ1297" s="55"/>
      <c r="BA1297" s="55"/>
      <c r="BB1297" s="56">
        <f t="shared" si="1231"/>
        <v>0</v>
      </c>
      <c r="BC1297" s="56">
        <f t="shared" si="1232"/>
        <v>0</v>
      </c>
      <c r="BE1297" s="277"/>
      <c r="BF1297" s="54"/>
      <c r="BG1297" s="55"/>
      <c r="BH1297" s="55"/>
      <c r="BI1297" s="55"/>
      <c r="BJ1297" s="56">
        <f t="shared" si="1176"/>
        <v>0</v>
      </c>
    </row>
    <row r="1298" spans="1:62" x14ac:dyDescent="0.15">
      <c r="A1298" s="53" t="s">
        <v>111</v>
      </c>
      <c r="B1298" s="54"/>
      <c r="C1298" s="55"/>
      <c r="D1298" s="55"/>
      <c r="E1298" s="55"/>
      <c r="F1298" s="56">
        <f t="shared" ref="F1298:F1300" si="1233">SUM(B1298:E1298)</f>
        <v>0</v>
      </c>
      <c r="G1298" s="54"/>
      <c r="H1298" s="55"/>
      <c r="I1298" s="55"/>
      <c r="J1298" s="55"/>
      <c r="K1298" s="56">
        <f t="shared" ref="K1298:K1300" si="1234">SUM(G1298:J1298)</f>
        <v>0</v>
      </c>
      <c r="L1298" s="54"/>
      <c r="M1298" s="55">
        <v>-2</v>
      </c>
      <c r="N1298" s="55"/>
      <c r="O1298" s="55"/>
      <c r="P1298" s="56">
        <f t="shared" ref="P1298:P1300" si="1235">SUM(L1298:O1298)</f>
        <v>-2</v>
      </c>
      <c r="Q1298" s="54"/>
      <c r="R1298" s="55"/>
      <c r="S1298" s="55"/>
      <c r="T1298" s="55"/>
      <c r="U1298" s="56">
        <f t="shared" ref="U1298:U1300" si="1236">SUM(Q1298:T1298)</f>
        <v>0</v>
      </c>
      <c r="V1298" s="55">
        <v>-2</v>
      </c>
      <c r="W1298" s="55"/>
      <c r="X1298" s="55"/>
      <c r="Y1298" s="55"/>
      <c r="Z1298" s="56">
        <f t="shared" ref="Z1298:Z1300" si="1237">SUM(V1298:Y1298)</f>
        <v>-2</v>
      </c>
      <c r="AA1298" s="56">
        <f t="shared" ref="AA1298:AA1303" si="1238">F1298+K1298+P1298+U1298+Z1298</f>
        <v>-4</v>
      </c>
      <c r="AB1298" s="298">
        <v>45643</v>
      </c>
      <c r="AC1298" s="276"/>
      <c r="AD1298" s="54"/>
      <c r="AE1298" s="55"/>
      <c r="AF1298" s="55"/>
      <c r="AG1298" s="55"/>
      <c r="AH1298" s="56">
        <f t="shared" si="1227"/>
        <v>0</v>
      </c>
      <c r="AI1298" s="54"/>
      <c r="AJ1298" s="55"/>
      <c r="AK1298" s="55"/>
      <c r="AL1298" s="55"/>
      <c r="AM1298" s="56">
        <f t="shared" si="1228"/>
        <v>0</v>
      </c>
      <c r="AN1298" s="54"/>
      <c r="AO1298" s="55"/>
      <c r="AP1298" s="55"/>
      <c r="AQ1298" s="55"/>
      <c r="AR1298" s="56">
        <f t="shared" si="1229"/>
        <v>0</v>
      </c>
      <c r="AS1298" s="54"/>
      <c r="AT1298" s="55"/>
      <c r="AU1298" s="55"/>
      <c r="AV1298" s="55"/>
      <c r="AW1298" s="56">
        <f t="shared" si="1230"/>
        <v>0</v>
      </c>
      <c r="AX1298" s="55"/>
      <c r="AY1298" s="55"/>
      <c r="AZ1298" s="55"/>
      <c r="BA1298" s="55"/>
      <c r="BB1298" s="56">
        <f t="shared" si="1231"/>
        <v>0</v>
      </c>
      <c r="BC1298" s="56">
        <f t="shared" si="1232"/>
        <v>0</v>
      </c>
      <c r="BE1298" s="276"/>
      <c r="BF1298" s="54"/>
      <c r="BG1298" s="55"/>
      <c r="BH1298" s="55"/>
      <c r="BI1298" s="55"/>
      <c r="BJ1298" s="56">
        <f t="shared" si="1176"/>
        <v>0</v>
      </c>
    </row>
    <row r="1299" spans="1:62" x14ac:dyDescent="0.15">
      <c r="A1299" s="53" t="s">
        <v>98</v>
      </c>
      <c r="B1299" s="54"/>
      <c r="C1299" s="55"/>
      <c r="D1299" s="55"/>
      <c r="E1299" s="55"/>
      <c r="F1299" s="56">
        <f t="shared" si="1233"/>
        <v>0</v>
      </c>
      <c r="G1299" s="54"/>
      <c r="H1299" s="55"/>
      <c r="I1299" s="55"/>
      <c r="J1299" s="55"/>
      <c r="K1299" s="56">
        <f t="shared" si="1234"/>
        <v>0</v>
      </c>
      <c r="L1299" s="54"/>
      <c r="M1299" s="55"/>
      <c r="N1299" s="55"/>
      <c r="O1299" s="55"/>
      <c r="P1299" s="56">
        <f t="shared" si="1235"/>
        <v>0</v>
      </c>
      <c r="Q1299" s="54"/>
      <c r="R1299" s="55"/>
      <c r="S1299" s="55"/>
      <c r="T1299" s="55">
        <v>1</v>
      </c>
      <c r="U1299" s="56">
        <f t="shared" si="1236"/>
        <v>1</v>
      </c>
      <c r="V1299" s="55"/>
      <c r="W1299" s="55"/>
      <c r="X1299" s="55"/>
      <c r="Y1299" s="55"/>
      <c r="Z1299" s="56">
        <f t="shared" si="1237"/>
        <v>0</v>
      </c>
      <c r="AA1299" s="56">
        <f t="shared" si="1238"/>
        <v>1</v>
      </c>
      <c r="AB1299" s="298">
        <v>45644</v>
      </c>
      <c r="AC1299" s="276"/>
      <c r="AD1299" s="54"/>
      <c r="AE1299" s="55"/>
      <c r="AF1299" s="55"/>
      <c r="AG1299" s="55"/>
      <c r="AH1299" s="56">
        <f t="shared" si="1182"/>
        <v>0</v>
      </c>
      <c r="AI1299" s="54"/>
      <c r="AJ1299" s="55"/>
      <c r="AK1299" s="55"/>
      <c r="AL1299" s="55"/>
      <c r="AM1299" s="56">
        <f t="shared" si="1183"/>
        <v>0</v>
      </c>
      <c r="AN1299" s="54"/>
      <c r="AO1299" s="55"/>
      <c r="AP1299" s="55"/>
      <c r="AQ1299" s="55"/>
      <c r="AR1299" s="56">
        <f t="shared" si="1184"/>
        <v>0</v>
      </c>
      <c r="AS1299" s="54"/>
      <c r="AT1299" s="55"/>
      <c r="AU1299" s="55"/>
      <c r="AV1299" s="55"/>
      <c r="AW1299" s="56">
        <f t="shared" si="1185"/>
        <v>0</v>
      </c>
      <c r="AX1299" s="55"/>
      <c r="AY1299" s="55"/>
      <c r="AZ1299" s="55"/>
      <c r="BA1299" s="55"/>
      <c r="BB1299" s="56">
        <f t="shared" si="1186"/>
        <v>0</v>
      </c>
      <c r="BC1299" s="56">
        <f t="shared" ref="BC1299" si="1239">AH1299+AM1299+AR1299+AW1299+BB1299</f>
        <v>0</v>
      </c>
      <c r="BE1299" s="277"/>
      <c r="BF1299" s="54"/>
      <c r="BG1299" s="55"/>
      <c r="BH1299" s="55"/>
      <c r="BI1299" s="55"/>
      <c r="BJ1299" s="56">
        <f t="shared" si="1176"/>
        <v>0</v>
      </c>
    </row>
    <row r="1300" spans="1:62" x14ac:dyDescent="0.15">
      <c r="A1300" s="53" t="s">
        <v>98</v>
      </c>
      <c r="B1300" s="54"/>
      <c r="C1300" s="55"/>
      <c r="D1300" s="55"/>
      <c r="E1300" s="55"/>
      <c r="F1300" s="56">
        <f t="shared" si="1233"/>
        <v>0</v>
      </c>
      <c r="G1300" s="54"/>
      <c r="H1300" s="55"/>
      <c r="I1300" s="55"/>
      <c r="J1300" s="55"/>
      <c r="K1300" s="56">
        <f t="shared" si="1234"/>
        <v>0</v>
      </c>
      <c r="L1300" s="54"/>
      <c r="M1300" s="55"/>
      <c r="N1300" s="55"/>
      <c r="O1300" s="55"/>
      <c r="P1300" s="56">
        <f t="shared" si="1235"/>
        <v>0</v>
      </c>
      <c r="Q1300" s="54"/>
      <c r="R1300" s="55"/>
      <c r="S1300" s="55"/>
      <c r="T1300" s="55"/>
      <c r="U1300" s="56">
        <f t="shared" si="1236"/>
        <v>0</v>
      </c>
      <c r="V1300" s="55"/>
      <c r="W1300" s="55"/>
      <c r="X1300" s="55">
        <v>1</v>
      </c>
      <c r="Y1300" s="55"/>
      <c r="Z1300" s="56">
        <f t="shared" si="1237"/>
        <v>1</v>
      </c>
      <c r="AA1300" s="56">
        <f t="shared" si="1238"/>
        <v>1</v>
      </c>
      <c r="AB1300" s="299">
        <v>45677</v>
      </c>
      <c r="AC1300" s="276"/>
      <c r="AD1300" s="54"/>
      <c r="AE1300" s="55"/>
      <c r="AF1300" s="55"/>
      <c r="AG1300" s="55"/>
      <c r="AH1300" s="56">
        <f t="shared" ref="AH1300:AH1304" si="1240">SUM(AD1300:AG1300)</f>
        <v>0</v>
      </c>
      <c r="AI1300" s="54"/>
      <c r="AJ1300" s="55"/>
      <c r="AK1300" s="55"/>
      <c r="AL1300" s="55"/>
      <c r="AM1300" s="56">
        <f t="shared" ref="AM1300:AM1304" si="1241">SUM(AI1300:AL1300)</f>
        <v>0</v>
      </c>
      <c r="AN1300" s="54"/>
      <c r="AO1300" s="55"/>
      <c r="AP1300" s="55"/>
      <c r="AQ1300" s="55"/>
      <c r="AR1300" s="56">
        <f t="shared" ref="AR1300:AR1304" si="1242">SUM(AN1300:AQ1300)</f>
        <v>0</v>
      </c>
      <c r="AS1300" s="54"/>
      <c r="AT1300" s="55"/>
      <c r="AU1300" s="55"/>
      <c r="AV1300" s="55"/>
      <c r="AW1300" s="56">
        <f t="shared" ref="AW1300:AW1304" si="1243">SUM(AS1300:AV1300)</f>
        <v>0</v>
      </c>
      <c r="AX1300" s="55"/>
      <c r="AY1300" s="55"/>
      <c r="AZ1300" s="55"/>
      <c r="BA1300" s="55"/>
      <c r="BB1300" s="56">
        <f t="shared" ref="BB1300:BB1304" si="1244">SUM(AX1300:BA1300)</f>
        <v>0</v>
      </c>
      <c r="BC1300" s="56">
        <f t="shared" ref="BC1300:BC1304" si="1245">AH1300+AM1300+AR1300+AW1300+BB1300</f>
        <v>0</v>
      </c>
      <c r="BE1300" s="268"/>
      <c r="BF1300" s="62"/>
      <c r="BG1300" s="63"/>
      <c r="BH1300" s="63"/>
      <c r="BI1300" s="63"/>
      <c r="BJ1300" s="56">
        <f t="shared" si="1176"/>
        <v>0</v>
      </c>
    </row>
    <row r="1301" spans="1:62" x14ac:dyDescent="0.15">
      <c r="A1301" s="53" t="s">
        <v>98</v>
      </c>
      <c r="B1301" s="54"/>
      <c r="C1301" s="55"/>
      <c r="D1301" s="55"/>
      <c r="E1301" s="55"/>
      <c r="F1301" s="56">
        <f t="shared" ref="F1301:F1306" si="1246">SUM(B1301:E1301)</f>
        <v>0</v>
      </c>
      <c r="G1301" s="54"/>
      <c r="H1301" s="55"/>
      <c r="I1301" s="55"/>
      <c r="J1301" s="55"/>
      <c r="K1301" s="56">
        <f t="shared" ref="K1301:K1302" si="1247">SUM(G1301:J1301)</f>
        <v>0</v>
      </c>
      <c r="L1301" s="54"/>
      <c r="M1301" s="55"/>
      <c r="N1301" s="55"/>
      <c r="O1301" s="55"/>
      <c r="P1301" s="56">
        <f t="shared" ref="P1301:P1302" si="1248">SUM(L1301:O1301)</f>
        <v>0</v>
      </c>
      <c r="Q1301" s="54"/>
      <c r="R1301" s="55"/>
      <c r="S1301" s="55">
        <v>1</v>
      </c>
      <c r="T1301" s="55"/>
      <c r="U1301" s="56">
        <f t="shared" ref="U1301:U1302" si="1249">SUM(Q1301:T1301)</f>
        <v>1</v>
      </c>
      <c r="V1301" s="55"/>
      <c r="W1301" s="55"/>
      <c r="X1301" s="55"/>
      <c r="Y1301" s="55"/>
      <c r="Z1301" s="56">
        <f t="shared" ref="Z1301:Z1305" si="1250">SUM(V1301:Y1301)</f>
        <v>0</v>
      </c>
      <c r="AA1301" s="56">
        <f t="shared" si="1238"/>
        <v>1</v>
      </c>
      <c r="AB1301" s="299">
        <v>45693</v>
      </c>
      <c r="AC1301" s="276"/>
      <c r="AD1301" s="54"/>
      <c r="AE1301" s="55"/>
      <c r="AF1301" s="55"/>
      <c r="AG1301" s="55"/>
      <c r="AH1301" s="56">
        <f t="shared" si="1240"/>
        <v>0</v>
      </c>
      <c r="AI1301" s="54"/>
      <c r="AJ1301" s="55"/>
      <c r="AK1301" s="55"/>
      <c r="AL1301" s="55"/>
      <c r="AM1301" s="56">
        <f t="shared" si="1241"/>
        <v>0</v>
      </c>
      <c r="AN1301" s="54"/>
      <c r="AO1301" s="55"/>
      <c r="AP1301" s="55"/>
      <c r="AQ1301" s="55"/>
      <c r="AR1301" s="56">
        <f t="shared" si="1242"/>
        <v>0</v>
      </c>
      <c r="AS1301" s="54"/>
      <c r="AT1301" s="55"/>
      <c r="AU1301" s="55"/>
      <c r="AV1301" s="55"/>
      <c r="AW1301" s="56">
        <f t="shared" si="1243"/>
        <v>0</v>
      </c>
      <c r="AX1301" s="55"/>
      <c r="AY1301" s="55"/>
      <c r="AZ1301" s="55"/>
      <c r="BA1301" s="55"/>
      <c r="BB1301" s="56">
        <f t="shared" si="1244"/>
        <v>0</v>
      </c>
      <c r="BC1301" s="56">
        <f t="shared" si="1245"/>
        <v>0</v>
      </c>
      <c r="BE1301" s="268"/>
      <c r="BF1301" s="54"/>
      <c r="BG1301" s="55"/>
      <c r="BH1301" s="55"/>
      <c r="BI1301" s="55"/>
      <c r="BJ1301" s="56">
        <f t="shared" si="1176"/>
        <v>0</v>
      </c>
    </row>
    <row r="1302" spans="1:62" x14ac:dyDescent="0.15">
      <c r="A1302" s="53" t="s">
        <v>98</v>
      </c>
      <c r="B1302" s="54"/>
      <c r="C1302" s="55"/>
      <c r="D1302" s="55"/>
      <c r="E1302" s="55"/>
      <c r="F1302" s="56">
        <f t="shared" si="1246"/>
        <v>0</v>
      </c>
      <c r="G1302" s="54"/>
      <c r="H1302" s="55"/>
      <c r="I1302" s="55"/>
      <c r="J1302" s="55"/>
      <c r="K1302" s="56">
        <f t="shared" si="1247"/>
        <v>0</v>
      </c>
      <c r="L1302" s="54"/>
      <c r="M1302" s="55"/>
      <c r="N1302" s="55"/>
      <c r="O1302" s="55"/>
      <c r="P1302" s="56">
        <f t="shared" si="1248"/>
        <v>0</v>
      </c>
      <c r="Q1302" s="54"/>
      <c r="R1302" s="55">
        <v>1</v>
      </c>
      <c r="S1302" s="55"/>
      <c r="T1302" s="55"/>
      <c r="U1302" s="56">
        <f t="shared" si="1249"/>
        <v>1</v>
      </c>
      <c r="V1302" s="55"/>
      <c r="W1302" s="55"/>
      <c r="X1302" s="55"/>
      <c r="Y1302" s="55"/>
      <c r="Z1302" s="56">
        <f t="shared" si="1250"/>
        <v>0</v>
      </c>
      <c r="AA1302" s="56">
        <f t="shared" si="1238"/>
        <v>1</v>
      </c>
      <c r="AB1302" s="299">
        <v>45698</v>
      </c>
      <c r="AC1302" s="276"/>
      <c r="AD1302" s="54"/>
      <c r="AE1302" s="55"/>
      <c r="AF1302" s="55"/>
      <c r="AG1302" s="55"/>
      <c r="AH1302" s="56">
        <f t="shared" si="1240"/>
        <v>0</v>
      </c>
      <c r="AI1302" s="54"/>
      <c r="AJ1302" s="55"/>
      <c r="AK1302" s="55"/>
      <c r="AL1302" s="55"/>
      <c r="AM1302" s="56">
        <f t="shared" si="1241"/>
        <v>0</v>
      </c>
      <c r="AN1302" s="54"/>
      <c r="AO1302" s="55"/>
      <c r="AP1302" s="55"/>
      <c r="AQ1302" s="55"/>
      <c r="AR1302" s="56">
        <f t="shared" si="1242"/>
        <v>0</v>
      </c>
      <c r="AS1302" s="54"/>
      <c r="AT1302" s="55"/>
      <c r="AU1302" s="55"/>
      <c r="AV1302" s="55"/>
      <c r="AW1302" s="56">
        <f t="shared" si="1243"/>
        <v>0</v>
      </c>
      <c r="AX1302" s="55"/>
      <c r="AY1302" s="55"/>
      <c r="AZ1302" s="55"/>
      <c r="BA1302" s="55"/>
      <c r="BB1302" s="56">
        <f t="shared" si="1244"/>
        <v>0</v>
      </c>
      <c r="BC1302" s="56">
        <f t="shared" si="1245"/>
        <v>0</v>
      </c>
      <c r="BE1302" s="268"/>
      <c r="BF1302" s="62"/>
      <c r="BG1302" s="63"/>
      <c r="BH1302" s="63"/>
      <c r="BI1302" s="63"/>
      <c r="BJ1302" s="56">
        <f t="shared" si="1176"/>
        <v>0</v>
      </c>
    </row>
    <row r="1303" spans="1:62" x14ac:dyDescent="0.15">
      <c r="A1303" s="53" t="s">
        <v>98</v>
      </c>
      <c r="B1303" s="54"/>
      <c r="C1303" s="55"/>
      <c r="D1303" s="55"/>
      <c r="E1303" s="55"/>
      <c r="F1303" s="56">
        <f t="shared" si="1246"/>
        <v>0</v>
      </c>
      <c r="G1303" s="54"/>
      <c r="H1303" s="55"/>
      <c r="I1303" s="55">
        <v>1</v>
      </c>
      <c r="J1303" s="55"/>
      <c r="K1303" s="56">
        <f t="shared" ref="K1303:K1306" si="1251">SUM(G1303:J1303)</f>
        <v>1</v>
      </c>
      <c r="L1303" s="54"/>
      <c r="M1303" s="55"/>
      <c r="N1303" s="55"/>
      <c r="O1303" s="55"/>
      <c r="P1303" s="56">
        <f t="shared" ref="P1303:P1306" si="1252">SUM(L1303:O1303)</f>
        <v>0</v>
      </c>
      <c r="Q1303" s="54"/>
      <c r="R1303" s="55"/>
      <c r="S1303" s="55"/>
      <c r="T1303" s="55"/>
      <c r="U1303" s="56">
        <f t="shared" ref="U1303:U1306" si="1253">SUM(Q1303:T1303)</f>
        <v>0</v>
      </c>
      <c r="V1303" s="55"/>
      <c r="W1303" s="55"/>
      <c r="X1303" s="55">
        <v>1</v>
      </c>
      <c r="Y1303" s="55"/>
      <c r="Z1303" s="56">
        <f t="shared" si="1250"/>
        <v>1</v>
      </c>
      <c r="AA1303" s="56">
        <f t="shared" si="1238"/>
        <v>2</v>
      </c>
      <c r="AB1303" s="299">
        <v>45705</v>
      </c>
      <c r="AC1303" s="276"/>
      <c r="AD1303" s="54"/>
      <c r="AE1303" s="55"/>
      <c r="AF1303" s="55"/>
      <c r="AG1303" s="55"/>
      <c r="AH1303" s="56">
        <f t="shared" si="1240"/>
        <v>0</v>
      </c>
      <c r="AI1303" s="54"/>
      <c r="AJ1303" s="55"/>
      <c r="AK1303" s="55"/>
      <c r="AL1303" s="55"/>
      <c r="AM1303" s="56">
        <f t="shared" si="1241"/>
        <v>0</v>
      </c>
      <c r="AN1303" s="54"/>
      <c r="AO1303" s="55"/>
      <c r="AP1303" s="55"/>
      <c r="AQ1303" s="55"/>
      <c r="AR1303" s="56">
        <f t="shared" si="1242"/>
        <v>0</v>
      </c>
      <c r="AS1303" s="54"/>
      <c r="AT1303" s="55"/>
      <c r="AU1303" s="55"/>
      <c r="AV1303" s="55"/>
      <c r="AW1303" s="56">
        <f t="shared" si="1243"/>
        <v>0</v>
      </c>
      <c r="AX1303" s="55"/>
      <c r="AY1303" s="55"/>
      <c r="AZ1303" s="55"/>
      <c r="BA1303" s="55"/>
      <c r="BB1303" s="56">
        <f t="shared" si="1244"/>
        <v>0</v>
      </c>
      <c r="BC1303" s="56">
        <f t="shared" si="1245"/>
        <v>0</v>
      </c>
      <c r="BE1303" s="277"/>
      <c r="BF1303" s="54"/>
      <c r="BG1303" s="55"/>
      <c r="BH1303" s="55"/>
      <c r="BI1303" s="55"/>
      <c r="BJ1303" s="56">
        <f t="shared" si="1176"/>
        <v>0</v>
      </c>
    </row>
    <row r="1304" spans="1:62" ht="14.25" thickBot="1" x14ac:dyDescent="0.2">
      <c r="A1304" s="53" t="s">
        <v>98</v>
      </c>
      <c r="B1304" s="33"/>
      <c r="C1304" s="34"/>
      <c r="D1304" s="34"/>
      <c r="E1304" s="34"/>
      <c r="F1304" s="30">
        <f t="shared" si="1246"/>
        <v>0</v>
      </c>
      <c r="G1304" s="33"/>
      <c r="H1304" s="34"/>
      <c r="I1304" s="34"/>
      <c r="J1304" s="34"/>
      <c r="K1304" s="30">
        <f t="shared" si="1251"/>
        <v>0</v>
      </c>
      <c r="L1304" s="33"/>
      <c r="M1304" s="34"/>
      <c r="N1304" s="34"/>
      <c r="O1304" s="34"/>
      <c r="P1304" s="30">
        <f t="shared" si="1252"/>
        <v>0</v>
      </c>
      <c r="Q1304" s="33">
        <v>1</v>
      </c>
      <c r="R1304" s="34">
        <v>-1</v>
      </c>
      <c r="S1304" s="34"/>
      <c r="T1304" s="34"/>
      <c r="U1304" s="30">
        <f t="shared" si="1253"/>
        <v>0</v>
      </c>
      <c r="V1304" s="34"/>
      <c r="W1304" s="34"/>
      <c r="X1304" s="34"/>
      <c r="Y1304" s="34"/>
      <c r="Z1304" s="30">
        <f t="shared" si="1250"/>
        <v>0</v>
      </c>
      <c r="AA1304" s="56">
        <f>F1304+K1304+P1304+U1304+Z1304</f>
        <v>0</v>
      </c>
      <c r="AB1304" s="299">
        <v>45706</v>
      </c>
      <c r="AC1304" s="276"/>
      <c r="AD1304" s="54"/>
      <c r="AE1304" s="55"/>
      <c r="AF1304" s="55"/>
      <c r="AG1304" s="55"/>
      <c r="AH1304" s="56">
        <f t="shared" si="1240"/>
        <v>0</v>
      </c>
      <c r="AI1304" s="54"/>
      <c r="AJ1304" s="55"/>
      <c r="AK1304" s="55"/>
      <c r="AL1304" s="55"/>
      <c r="AM1304" s="56">
        <f t="shared" si="1241"/>
        <v>0</v>
      </c>
      <c r="AN1304" s="54"/>
      <c r="AO1304" s="55"/>
      <c r="AP1304" s="55"/>
      <c r="AQ1304" s="55"/>
      <c r="AR1304" s="56">
        <f t="shared" si="1242"/>
        <v>0</v>
      </c>
      <c r="AS1304" s="54"/>
      <c r="AT1304" s="55"/>
      <c r="AU1304" s="55"/>
      <c r="AV1304" s="55"/>
      <c r="AW1304" s="56">
        <f t="shared" si="1243"/>
        <v>0</v>
      </c>
      <c r="AX1304" s="55"/>
      <c r="AY1304" s="55"/>
      <c r="AZ1304" s="55"/>
      <c r="BA1304" s="55"/>
      <c r="BB1304" s="56">
        <f t="shared" si="1244"/>
        <v>0</v>
      </c>
      <c r="BC1304" s="56">
        <f t="shared" si="1245"/>
        <v>0</v>
      </c>
      <c r="BE1304" s="282"/>
      <c r="BF1304" s="33"/>
      <c r="BG1304" s="34"/>
      <c r="BH1304" s="34"/>
      <c r="BI1304" s="34"/>
      <c r="BJ1304" s="30">
        <f t="shared" si="1176"/>
        <v>0</v>
      </c>
    </row>
    <row r="1305" spans="1:62" ht="15" thickBot="1" x14ac:dyDescent="0.2">
      <c r="A1305" s="9" t="s">
        <v>15</v>
      </c>
      <c r="B1305" s="36">
        <f>SUM(B1279:B1304)</f>
        <v>3</v>
      </c>
      <c r="C1305" s="37">
        <f>SUM(C1279:C1304)</f>
        <v>4</v>
      </c>
      <c r="D1305" s="37">
        <f>SUM(D1279:D1304)</f>
        <v>5</v>
      </c>
      <c r="E1305" s="38">
        <f>SUM(E1279:E1304)</f>
        <v>5</v>
      </c>
      <c r="F1305" s="25">
        <f t="shared" si="1246"/>
        <v>17</v>
      </c>
      <c r="G1305" s="36">
        <f>SUM(G1279:G1304)</f>
        <v>6</v>
      </c>
      <c r="H1305" s="37">
        <f>SUM(H1279:H1304)</f>
        <v>4</v>
      </c>
      <c r="I1305" s="37">
        <f>SUM(I1279:I1304)</f>
        <v>4</v>
      </c>
      <c r="J1305" s="38">
        <f>SUM(J1279:J1304)</f>
        <v>4</v>
      </c>
      <c r="K1305" s="25">
        <f t="shared" si="1251"/>
        <v>18</v>
      </c>
      <c r="L1305" s="36">
        <f>SUM(L1279:L1304)</f>
        <v>3</v>
      </c>
      <c r="M1305" s="37">
        <f>SUM(M1279:M1304)</f>
        <v>2</v>
      </c>
      <c r="N1305" s="37">
        <f>SUM(N1279:N1304)</f>
        <v>3</v>
      </c>
      <c r="O1305" s="38">
        <f>SUM(O1279:O1304)</f>
        <v>3</v>
      </c>
      <c r="P1305" s="25">
        <f t="shared" si="1252"/>
        <v>11</v>
      </c>
      <c r="Q1305" s="36">
        <f>SUM(Q1279:Q1304)</f>
        <v>3</v>
      </c>
      <c r="R1305" s="37">
        <f>SUM(R1279:R1304)</f>
        <v>5</v>
      </c>
      <c r="S1305" s="37">
        <f>SUM(S1279:S1304)</f>
        <v>6</v>
      </c>
      <c r="T1305" s="38">
        <f>SUM(T1279:T1304)</f>
        <v>5</v>
      </c>
      <c r="U1305" s="25">
        <f t="shared" si="1253"/>
        <v>19</v>
      </c>
      <c r="V1305" s="322">
        <f>SUM(V1279:V1304)</f>
        <v>4</v>
      </c>
      <c r="W1305" s="37">
        <f>SUM(W1279:W1304)</f>
        <v>6</v>
      </c>
      <c r="X1305" s="37">
        <f>SUM(X1279:X1304)</f>
        <v>3</v>
      </c>
      <c r="Y1305" s="38">
        <f>SUM(Y1279:Y1304)</f>
        <v>1</v>
      </c>
      <c r="Z1305" s="25">
        <f t="shared" si="1250"/>
        <v>14</v>
      </c>
      <c r="AA1305" s="161">
        <f>F1305+K1305+P1305+U1305+Z1305</f>
        <v>79</v>
      </c>
      <c r="AC1305" s="278" t="s">
        <v>15</v>
      </c>
      <c r="AD1305" s="36">
        <f>SUM(AD1279:AD1304)</f>
        <v>2</v>
      </c>
      <c r="AE1305" s="37">
        <f>SUM(AE1279:AE1304)</f>
        <v>2</v>
      </c>
      <c r="AF1305" s="37">
        <f>SUM(AF1279:AF1304)</f>
        <v>4</v>
      </c>
      <c r="AG1305" s="38">
        <f>SUM(AG1279:AG1304)</f>
        <v>2</v>
      </c>
      <c r="AH1305" s="25">
        <f t="shared" ref="AH1305:AH1306" si="1254">SUM(AD1305:AG1305)</f>
        <v>10</v>
      </c>
      <c r="AI1305" s="36">
        <f>SUM(AI1279:AI1304)</f>
        <v>5</v>
      </c>
      <c r="AJ1305" s="37">
        <f>SUM(AJ1279:AJ1304)</f>
        <v>3</v>
      </c>
      <c r="AK1305" s="37">
        <f>SUM(AK1279:AK1304)</f>
        <v>2</v>
      </c>
      <c r="AL1305" s="38">
        <f>SUM(AL1279:AL1304)</f>
        <v>1</v>
      </c>
      <c r="AM1305" s="25">
        <f t="shared" ref="AM1305:AM1306" si="1255">SUM(AI1305:AL1305)</f>
        <v>11</v>
      </c>
      <c r="AN1305" s="36">
        <f>SUM(AN1279:AN1304)</f>
        <v>0</v>
      </c>
      <c r="AO1305" s="37">
        <f>SUM(AO1279:AO1304)</f>
        <v>2</v>
      </c>
      <c r="AP1305" s="37">
        <f>SUM(AP1279:AP1304)</f>
        <v>0</v>
      </c>
      <c r="AQ1305" s="38">
        <f>SUM(AQ1279:AQ1304)</f>
        <v>0</v>
      </c>
      <c r="AR1305" s="25">
        <f t="shared" si="1184"/>
        <v>2</v>
      </c>
      <c r="AS1305" s="36">
        <f>SUM(AS1279:AS1304)</f>
        <v>4</v>
      </c>
      <c r="AT1305" s="37">
        <f>SUM(AT1279:AT1304)</f>
        <v>3</v>
      </c>
      <c r="AU1305" s="37">
        <f>SUM(AU1279:AU1304)</f>
        <v>7</v>
      </c>
      <c r="AV1305" s="38">
        <f>SUM(AV1279:AV1304)</f>
        <v>4</v>
      </c>
      <c r="AW1305" s="25">
        <f t="shared" si="1185"/>
        <v>18</v>
      </c>
      <c r="AX1305" s="322">
        <f>SUM(AX1279:AX1304)</f>
        <v>2</v>
      </c>
      <c r="AY1305" s="37">
        <f>SUM(AY1279:AY1304)</f>
        <v>2</v>
      </c>
      <c r="AZ1305" s="37">
        <f>SUM(AZ1279:AZ1304)</f>
        <v>2</v>
      </c>
      <c r="BA1305" s="38">
        <f>SUM(BA1279:BA1304)</f>
        <v>0</v>
      </c>
      <c r="BB1305" s="25">
        <f t="shared" si="1186"/>
        <v>6</v>
      </c>
      <c r="BC1305" s="161">
        <f>AH1305+AM1305+AR1305+AW1305+BB1305</f>
        <v>47</v>
      </c>
      <c r="BE1305" s="278" t="s">
        <v>15</v>
      </c>
      <c r="BF1305" s="312">
        <f>SUM(BF1279:BF1304)</f>
        <v>0</v>
      </c>
      <c r="BG1305" s="302">
        <f>SUM(BG1279:BG1304)</f>
        <v>0</v>
      </c>
      <c r="BH1305" s="37">
        <f>SUM(BH1279:BH1304)</f>
        <v>0</v>
      </c>
      <c r="BI1305" s="316">
        <f>SUM(BI1279:BI1304)</f>
        <v>0</v>
      </c>
      <c r="BJ1305" s="25">
        <f t="shared" si="1176"/>
        <v>0</v>
      </c>
    </row>
    <row r="1306" spans="1:62" ht="14.25" thickBot="1" x14ac:dyDescent="0.2">
      <c r="A1306" s="39" t="s">
        <v>16</v>
      </c>
      <c r="B1306" s="40">
        <f>B1278-B1305</f>
        <v>1</v>
      </c>
      <c r="C1306" s="41">
        <f>C1278-C1305</f>
        <v>2</v>
      </c>
      <c r="D1306" s="41">
        <f>D1278-D1305</f>
        <v>1</v>
      </c>
      <c r="E1306" s="42">
        <f>E1278-E1305</f>
        <v>2</v>
      </c>
      <c r="F1306" s="171">
        <f t="shared" si="1246"/>
        <v>6</v>
      </c>
      <c r="G1306" s="40">
        <f>G1278-G1305</f>
        <v>3</v>
      </c>
      <c r="H1306" s="41">
        <f>H1278-H1305</f>
        <v>3</v>
      </c>
      <c r="I1306" s="41">
        <f>I1278-I1305</f>
        <v>1</v>
      </c>
      <c r="J1306" s="42">
        <f>J1278-J1305</f>
        <v>3</v>
      </c>
      <c r="K1306" s="171">
        <f t="shared" si="1251"/>
        <v>10</v>
      </c>
      <c r="L1306" s="40">
        <f>L1278-L1305</f>
        <v>2</v>
      </c>
      <c r="M1306" s="41">
        <f>M1278-M1305</f>
        <v>3</v>
      </c>
      <c r="N1306" s="41">
        <f>N1278-N1305</f>
        <v>2</v>
      </c>
      <c r="O1306" s="42">
        <f>O1278-O1305</f>
        <v>2</v>
      </c>
      <c r="P1306" s="171">
        <f t="shared" si="1252"/>
        <v>9</v>
      </c>
      <c r="Q1306" s="40">
        <f>Q1278-Q1305</f>
        <v>4</v>
      </c>
      <c r="R1306" s="41">
        <f>R1278-R1305</f>
        <v>4</v>
      </c>
      <c r="S1306" s="41">
        <f>S1278-S1305</f>
        <v>2</v>
      </c>
      <c r="T1306" s="42">
        <f>T1278-T1305</f>
        <v>0</v>
      </c>
      <c r="U1306" s="171">
        <f t="shared" si="1253"/>
        <v>10</v>
      </c>
      <c r="V1306" s="323">
        <f>V1278-V1305</f>
        <v>3</v>
      </c>
      <c r="W1306" s="41">
        <f>W1278-W1305</f>
        <v>4</v>
      </c>
      <c r="X1306" s="41">
        <f>X1278-X1305</f>
        <v>2</v>
      </c>
      <c r="Y1306" s="42">
        <f>Y1278-Y1305</f>
        <v>2</v>
      </c>
      <c r="Z1306" s="171">
        <f>SUM(V1306:Y1306)</f>
        <v>11</v>
      </c>
      <c r="AA1306" s="77">
        <f>F1306+K1306+P1306+U1306+Z1306</f>
        <v>46</v>
      </c>
      <c r="AC1306" s="279" t="s">
        <v>16</v>
      </c>
      <c r="AD1306" s="40">
        <f>AD1278-AD1305</f>
        <v>77</v>
      </c>
      <c r="AE1306" s="41">
        <f>AE1278-AE1305</f>
        <v>68</v>
      </c>
      <c r="AF1306" s="41">
        <f>AF1278-AF1305</f>
        <v>130</v>
      </c>
      <c r="AG1306" s="42">
        <f>AG1278-AG1305</f>
        <v>56</v>
      </c>
      <c r="AH1306" s="171">
        <f t="shared" si="1254"/>
        <v>331</v>
      </c>
      <c r="AI1306" s="40">
        <f>AI1278-AI1305</f>
        <v>106</v>
      </c>
      <c r="AJ1306" s="41">
        <f>AJ1278-AJ1305</f>
        <v>146</v>
      </c>
      <c r="AK1306" s="41">
        <f>AK1278-AK1305</f>
        <v>108</v>
      </c>
      <c r="AL1306" s="42">
        <f>AL1278-AL1305</f>
        <v>94</v>
      </c>
      <c r="AM1306" s="171">
        <f t="shared" si="1255"/>
        <v>454</v>
      </c>
      <c r="AN1306" s="40">
        <f>AN1278-AN1305</f>
        <v>38</v>
      </c>
      <c r="AO1306" s="41">
        <f>AO1278-AO1305</f>
        <v>49</v>
      </c>
      <c r="AP1306" s="41">
        <f>AP1278-AP1305</f>
        <v>41</v>
      </c>
      <c r="AQ1306" s="42">
        <f>AQ1278-AQ1305</f>
        <v>18</v>
      </c>
      <c r="AR1306" s="171">
        <f t="shared" si="1184"/>
        <v>146</v>
      </c>
      <c r="AS1306" s="40">
        <f>AS1278-AS1305</f>
        <v>158</v>
      </c>
      <c r="AT1306" s="41">
        <f>AT1278-AT1305</f>
        <v>181</v>
      </c>
      <c r="AU1306" s="41">
        <f>AU1278-AU1305</f>
        <v>113</v>
      </c>
      <c r="AV1306" s="42">
        <f>AV1278-AV1305</f>
        <v>77</v>
      </c>
      <c r="AW1306" s="171">
        <f t="shared" si="1185"/>
        <v>529</v>
      </c>
      <c r="AX1306" s="323">
        <f>AX1278-AX1305</f>
        <v>104</v>
      </c>
      <c r="AY1306" s="41">
        <f>AY1278-AY1305</f>
        <v>80</v>
      </c>
      <c r="AZ1306" s="41">
        <f>AZ1278-AZ1305</f>
        <v>43</v>
      </c>
      <c r="BA1306" s="42">
        <f>BA1278-BA1305</f>
        <v>29</v>
      </c>
      <c r="BB1306" s="171">
        <f>SUM(AX1306:BA1306)</f>
        <v>256</v>
      </c>
      <c r="BC1306" s="77">
        <f>AH1306+AM1306+AR1306+AW1306+BB1306</f>
        <v>1716</v>
      </c>
      <c r="BE1306" s="279" t="s">
        <v>16</v>
      </c>
      <c r="BF1306" s="313">
        <f>BF1278-BF1305</f>
        <v>0</v>
      </c>
      <c r="BG1306" s="303">
        <f>BG1278-BG1305</f>
        <v>0</v>
      </c>
      <c r="BH1306" s="41">
        <f>BH1278-BH1305</f>
        <v>10</v>
      </c>
      <c r="BI1306" s="317">
        <f>BI1278-BI1305</f>
        <v>0</v>
      </c>
      <c r="BJ1306" s="171">
        <f t="shared" si="1176"/>
        <v>10</v>
      </c>
    </row>
    <row r="1307" spans="1:62" x14ac:dyDescent="0.15">
      <c r="AC1307" s="342"/>
      <c r="AD1307" s="342"/>
      <c r="AE1307" s="342"/>
      <c r="AF1307" s="342"/>
      <c r="AG1307" s="342"/>
      <c r="AH1307" s="342"/>
      <c r="AI1307" s="342"/>
      <c r="AJ1307" s="342"/>
      <c r="AK1307" s="342"/>
      <c r="AL1307" s="342"/>
      <c r="AM1307" s="342"/>
      <c r="AN1307" s="342"/>
      <c r="AO1307" s="342"/>
      <c r="AP1307" s="342"/>
      <c r="AQ1307" s="342"/>
      <c r="AR1307" s="342"/>
      <c r="AS1307" s="342"/>
      <c r="AT1307" s="342"/>
      <c r="AU1307" s="342"/>
      <c r="AV1307" s="342"/>
      <c r="AW1307" s="342"/>
      <c r="AX1307" s="342"/>
      <c r="AY1307" s="342"/>
      <c r="AZ1307" s="342"/>
      <c r="BA1307" s="342"/>
      <c r="BB1307" s="342"/>
      <c r="BC1307" s="342"/>
    </row>
    <row r="1310" spans="1:62" ht="19.5" thickBot="1" x14ac:dyDescent="0.25">
      <c r="A1310" s="185" t="s">
        <v>19</v>
      </c>
      <c r="B1310" s="186"/>
      <c r="C1310" s="186"/>
      <c r="D1310" s="186"/>
      <c r="E1310" s="186"/>
      <c r="F1310" s="186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C1310" s="187" t="s">
        <v>73</v>
      </c>
      <c r="AD1310" s="188"/>
      <c r="AE1310" s="188"/>
      <c r="AF1310" s="188"/>
      <c r="AG1310" s="188"/>
      <c r="AH1310" s="188"/>
      <c r="AI1310" s="188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E1310" s="185" t="s">
        <v>19</v>
      </c>
      <c r="BF1310" s="186"/>
      <c r="BG1310" s="186"/>
      <c r="BH1310" s="186"/>
      <c r="BI1310" s="186"/>
      <c r="BJ1310" s="186"/>
    </row>
    <row r="1311" spans="1:62" ht="14.25" thickBot="1" x14ac:dyDescent="0.2">
      <c r="A1311" s="3" t="s">
        <v>0</v>
      </c>
      <c r="B1311" s="365" t="s">
        <v>17</v>
      </c>
      <c r="C1311" s="366"/>
      <c r="D1311" s="366"/>
      <c r="E1311" s="366"/>
      <c r="F1311" s="367"/>
      <c r="G1311" s="368" t="s">
        <v>18</v>
      </c>
      <c r="H1311" s="369"/>
      <c r="I1311" s="369"/>
      <c r="J1311" s="369"/>
      <c r="K1311" s="370"/>
      <c r="L1311" s="371" t="s">
        <v>320</v>
      </c>
      <c r="M1311" s="372"/>
      <c r="N1311" s="372"/>
      <c r="O1311" s="372"/>
      <c r="P1311" s="373"/>
      <c r="Q1311" s="355" t="s">
        <v>75</v>
      </c>
      <c r="R1311" s="356"/>
      <c r="S1311" s="356"/>
      <c r="T1311" s="356"/>
      <c r="U1311" s="357"/>
      <c r="V1311" s="358" t="s">
        <v>456</v>
      </c>
      <c r="W1311" s="358"/>
      <c r="X1311" s="358"/>
      <c r="Y1311" s="358"/>
      <c r="Z1311" s="359"/>
      <c r="AA1311" s="360" t="s">
        <v>1</v>
      </c>
      <c r="AC1311" s="271" t="s">
        <v>0</v>
      </c>
      <c r="AD1311" s="365" t="s">
        <v>17</v>
      </c>
      <c r="AE1311" s="366"/>
      <c r="AF1311" s="366"/>
      <c r="AG1311" s="366"/>
      <c r="AH1311" s="367"/>
      <c r="AI1311" s="368" t="s">
        <v>18</v>
      </c>
      <c r="AJ1311" s="369"/>
      <c r="AK1311" s="369"/>
      <c r="AL1311" s="369"/>
      <c r="AM1311" s="370"/>
      <c r="AN1311" s="371" t="s">
        <v>320</v>
      </c>
      <c r="AO1311" s="372"/>
      <c r="AP1311" s="372"/>
      <c r="AQ1311" s="372"/>
      <c r="AR1311" s="373"/>
      <c r="AS1311" s="355" t="s">
        <v>75</v>
      </c>
      <c r="AT1311" s="356"/>
      <c r="AU1311" s="356"/>
      <c r="AV1311" s="356"/>
      <c r="AW1311" s="357"/>
      <c r="AX1311" s="358" t="s">
        <v>456</v>
      </c>
      <c r="AY1311" s="358"/>
      <c r="AZ1311" s="358"/>
      <c r="BA1311" s="358"/>
      <c r="BB1311" s="359"/>
      <c r="BC1311" s="360" t="s">
        <v>1</v>
      </c>
      <c r="BE1311" s="271" t="s">
        <v>0</v>
      </c>
      <c r="BF1311" s="362" t="s">
        <v>38</v>
      </c>
      <c r="BG1311" s="363"/>
      <c r="BH1311" s="363"/>
      <c r="BI1311" s="363"/>
      <c r="BJ1311" s="364"/>
    </row>
    <row r="1312" spans="1:62" ht="14.25" thickBot="1" x14ac:dyDescent="0.2">
      <c r="A1312" s="5" t="s">
        <v>2</v>
      </c>
      <c r="B1312" s="6" t="s">
        <v>3</v>
      </c>
      <c r="C1312" s="7" t="s">
        <v>4</v>
      </c>
      <c r="D1312" s="7" t="s">
        <v>5</v>
      </c>
      <c r="E1312" s="8" t="s">
        <v>6</v>
      </c>
      <c r="F1312" s="5" t="s">
        <v>7</v>
      </c>
      <c r="G1312" s="6" t="s">
        <v>3</v>
      </c>
      <c r="H1312" s="7" t="s">
        <v>4</v>
      </c>
      <c r="I1312" s="7" t="s">
        <v>5</v>
      </c>
      <c r="J1312" s="8" t="s">
        <v>6</v>
      </c>
      <c r="K1312" s="5" t="s">
        <v>7</v>
      </c>
      <c r="L1312" s="6" t="s">
        <v>3</v>
      </c>
      <c r="M1312" s="7" t="s">
        <v>4</v>
      </c>
      <c r="N1312" s="7" t="s">
        <v>5</v>
      </c>
      <c r="O1312" s="8" t="s">
        <v>6</v>
      </c>
      <c r="P1312" s="5" t="s">
        <v>7</v>
      </c>
      <c r="Q1312" s="6" t="s">
        <v>3</v>
      </c>
      <c r="R1312" s="7" t="s">
        <v>4</v>
      </c>
      <c r="S1312" s="7" t="s">
        <v>5</v>
      </c>
      <c r="T1312" s="8" t="s">
        <v>6</v>
      </c>
      <c r="U1312" s="5" t="s">
        <v>7</v>
      </c>
      <c r="V1312" s="7" t="s">
        <v>3</v>
      </c>
      <c r="W1312" s="7" t="s">
        <v>4</v>
      </c>
      <c r="X1312" s="7" t="s">
        <v>5</v>
      </c>
      <c r="Y1312" s="8" t="s">
        <v>6</v>
      </c>
      <c r="Z1312" s="5" t="s">
        <v>7</v>
      </c>
      <c r="AA1312" s="361"/>
      <c r="AC1312" s="272" t="s">
        <v>2</v>
      </c>
      <c r="AD1312" s="6" t="s">
        <v>3</v>
      </c>
      <c r="AE1312" s="7" t="s">
        <v>4</v>
      </c>
      <c r="AF1312" s="7" t="s">
        <v>5</v>
      </c>
      <c r="AG1312" s="8" t="s">
        <v>6</v>
      </c>
      <c r="AH1312" s="5" t="s">
        <v>7</v>
      </c>
      <c r="AI1312" s="6" t="s">
        <v>3</v>
      </c>
      <c r="AJ1312" s="7" t="s">
        <v>4</v>
      </c>
      <c r="AK1312" s="7" t="s">
        <v>5</v>
      </c>
      <c r="AL1312" s="8" t="s">
        <v>6</v>
      </c>
      <c r="AM1312" s="5" t="s">
        <v>7</v>
      </c>
      <c r="AN1312" s="6" t="s">
        <v>3</v>
      </c>
      <c r="AO1312" s="7" t="s">
        <v>4</v>
      </c>
      <c r="AP1312" s="7" t="s">
        <v>5</v>
      </c>
      <c r="AQ1312" s="8" t="s">
        <v>6</v>
      </c>
      <c r="AR1312" s="5" t="s">
        <v>7</v>
      </c>
      <c r="AS1312" s="6" t="s">
        <v>3</v>
      </c>
      <c r="AT1312" s="7" t="s">
        <v>4</v>
      </c>
      <c r="AU1312" s="7" t="s">
        <v>5</v>
      </c>
      <c r="AV1312" s="8" t="s">
        <v>6</v>
      </c>
      <c r="AW1312" s="5" t="s">
        <v>7</v>
      </c>
      <c r="AX1312" s="7" t="s">
        <v>3</v>
      </c>
      <c r="AY1312" s="7" t="s">
        <v>4</v>
      </c>
      <c r="AZ1312" s="7" t="s">
        <v>5</v>
      </c>
      <c r="BA1312" s="8" t="s">
        <v>6</v>
      </c>
      <c r="BB1312" s="5" t="s">
        <v>7</v>
      </c>
      <c r="BC1312" s="361"/>
      <c r="BE1312" s="272" t="s">
        <v>2</v>
      </c>
      <c r="BF1312" s="6" t="s">
        <v>3</v>
      </c>
      <c r="BG1312" s="7" t="s">
        <v>4</v>
      </c>
      <c r="BH1312" s="7" t="s">
        <v>5</v>
      </c>
      <c r="BI1312" s="8" t="s">
        <v>6</v>
      </c>
      <c r="BJ1312" s="5" t="s">
        <v>7</v>
      </c>
    </row>
    <row r="1313" spans="1:62" ht="15" thickBot="1" x14ac:dyDescent="0.2">
      <c r="A1313" s="291" t="s">
        <v>30</v>
      </c>
      <c r="B1313" s="292">
        <f>B1306</f>
        <v>1</v>
      </c>
      <c r="C1313" s="292">
        <f>C1306</f>
        <v>2</v>
      </c>
      <c r="D1313" s="292">
        <f>D1306</f>
        <v>1</v>
      </c>
      <c r="E1313" s="293">
        <f>E1306</f>
        <v>2</v>
      </c>
      <c r="F1313" s="77">
        <f t="shared" ref="F1313" si="1256">SUM(B1313:E1313)</f>
        <v>6</v>
      </c>
      <c r="G1313" s="292">
        <f>G1306</f>
        <v>3</v>
      </c>
      <c r="H1313" s="292">
        <f>H1306</f>
        <v>3</v>
      </c>
      <c r="I1313" s="292">
        <f>I1306</f>
        <v>1</v>
      </c>
      <c r="J1313" s="293">
        <f>J1306</f>
        <v>3</v>
      </c>
      <c r="K1313" s="77">
        <f t="shared" ref="K1313:K1321" si="1257">SUM(G1313:J1313)</f>
        <v>10</v>
      </c>
      <c r="L1313" s="292">
        <f>L1306</f>
        <v>2</v>
      </c>
      <c r="M1313" s="292">
        <f>M1306</f>
        <v>3</v>
      </c>
      <c r="N1313" s="292">
        <f>N1306</f>
        <v>2</v>
      </c>
      <c r="O1313" s="293">
        <f>O1306</f>
        <v>2</v>
      </c>
      <c r="P1313" s="77">
        <f t="shared" ref="P1313:P1321" si="1258">SUM(L1313:O1313)</f>
        <v>9</v>
      </c>
      <c r="Q1313" s="324">
        <f>Q1306</f>
        <v>4</v>
      </c>
      <c r="R1313" s="292">
        <f>R1306</f>
        <v>4</v>
      </c>
      <c r="S1313" s="292">
        <f>S1306</f>
        <v>2</v>
      </c>
      <c r="T1313" s="293">
        <f>T1306</f>
        <v>0</v>
      </c>
      <c r="U1313" s="77">
        <f t="shared" ref="U1313:U1321" si="1259">SUM(Q1313:T1313)</f>
        <v>10</v>
      </c>
      <c r="V1313" s="324">
        <f>V1306</f>
        <v>3</v>
      </c>
      <c r="W1313" s="292">
        <f>W1306</f>
        <v>4</v>
      </c>
      <c r="X1313" s="292">
        <f>X1306</f>
        <v>2</v>
      </c>
      <c r="Y1313" s="293">
        <f>Y1306</f>
        <v>2</v>
      </c>
      <c r="Z1313" s="77">
        <f t="shared" ref="Z1313:Z1321" si="1260">SUM(V1313:Y1313)</f>
        <v>11</v>
      </c>
      <c r="AA1313" s="77">
        <f>F1313+K1313+P1313+U1313+Z1313</f>
        <v>46</v>
      </c>
      <c r="AC1313" s="294" t="s">
        <v>30</v>
      </c>
      <c r="AD1313" s="292">
        <f>AD1306</f>
        <v>77</v>
      </c>
      <c r="AE1313" s="292">
        <f>AE1306</f>
        <v>68</v>
      </c>
      <c r="AF1313" s="292">
        <f>AF1306</f>
        <v>130</v>
      </c>
      <c r="AG1313" s="293">
        <f>AG1306</f>
        <v>56</v>
      </c>
      <c r="AH1313" s="77">
        <f>SUM(AD1313:AG1313)</f>
        <v>331</v>
      </c>
      <c r="AI1313" s="292">
        <f>AI1306</f>
        <v>106</v>
      </c>
      <c r="AJ1313" s="292">
        <f>AJ1306</f>
        <v>146</v>
      </c>
      <c r="AK1313" s="292">
        <f>AK1306</f>
        <v>108</v>
      </c>
      <c r="AL1313" s="293">
        <f>AL1306</f>
        <v>94</v>
      </c>
      <c r="AM1313" s="77">
        <f>SUM(AI1313:AL1313)</f>
        <v>454</v>
      </c>
      <c r="AN1313" s="292">
        <f>AN1306</f>
        <v>38</v>
      </c>
      <c r="AO1313" s="292">
        <f>AO1306</f>
        <v>49</v>
      </c>
      <c r="AP1313" s="292">
        <f>AP1306</f>
        <v>41</v>
      </c>
      <c r="AQ1313" s="293">
        <f>AQ1306</f>
        <v>18</v>
      </c>
      <c r="AR1313" s="77">
        <f>SUM(AN1313:AQ1313)</f>
        <v>146</v>
      </c>
      <c r="AS1313" s="324">
        <f>AS1306</f>
        <v>158</v>
      </c>
      <c r="AT1313" s="292">
        <f>AT1306</f>
        <v>181</v>
      </c>
      <c r="AU1313" s="292">
        <f>AU1306</f>
        <v>113</v>
      </c>
      <c r="AV1313" s="293">
        <f>AV1306</f>
        <v>77</v>
      </c>
      <c r="AW1313" s="77">
        <f>SUM(AS1313:AV1313)</f>
        <v>529</v>
      </c>
      <c r="AX1313" s="324">
        <f>AX1306</f>
        <v>104</v>
      </c>
      <c r="AY1313" s="292">
        <f>AY1306</f>
        <v>80</v>
      </c>
      <c r="AZ1313" s="292">
        <f>AZ1306</f>
        <v>43</v>
      </c>
      <c r="BA1313" s="293">
        <f>BA1306</f>
        <v>29</v>
      </c>
      <c r="BB1313" s="77">
        <f>SUM(AX1313:BA1313)</f>
        <v>256</v>
      </c>
      <c r="BC1313" s="77">
        <f>AH1313+AM1313+AR1313+AW1313+BB1313</f>
        <v>1716</v>
      </c>
      <c r="BE1313" s="294" t="s">
        <v>30</v>
      </c>
      <c r="BF1313" s="40">
        <f>BF1306</f>
        <v>0</v>
      </c>
      <c r="BG1313" s="41">
        <f t="shared" ref="BG1313:BJ1313" si="1261">BG1306</f>
        <v>0</v>
      </c>
      <c r="BH1313" s="41">
        <f t="shared" si="1261"/>
        <v>10</v>
      </c>
      <c r="BI1313" s="42">
        <f t="shared" si="1261"/>
        <v>0</v>
      </c>
      <c r="BJ1313" s="171">
        <f t="shared" si="1261"/>
        <v>10</v>
      </c>
    </row>
    <row r="1314" spans="1:62" x14ac:dyDescent="0.15">
      <c r="A1314" s="268" t="s">
        <v>28</v>
      </c>
      <c r="B1314" s="54"/>
      <c r="C1314" s="55"/>
      <c r="D1314" s="55">
        <v>2</v>
      </c>
      <c r="E1314" s="55"/>
      <c r="F1314" s="56">
        <f t="shared" ref="F1314:F1315" si="1262">SUM(B1314:E1314)</f>
        <v>2</v>
      </c>
      <c r="G1314" s="54"/>
      <c r="H1314" s="55"/>
      <c r="I1314" s="55">
        <v>2</v>
      </c>
      <c r="J1314" s="55"/>
      <c r="K1314" s="56">
        <f t="shared" ref="K1314:K1315" si="1263">SUM(G1314:J1314)</f>
        <v>2</v>
      </c>
      <c r="L1314" s="54"/>
      <c r="M1314" s="55"/>
      <c r="N1314" s="55"/>
      <c r="O1314" s="55"/>
      <c r="P1314" s="56">
        <f t="shared" ref="P1314:P1315" si="1264">SUM(L1314:O1314)</f>
        <v>0</v>
      </c>
      <c r="Q1314" s="54"/>
      <c r="R1314" s="55"/>
      <c r="S1314" s="55"/>
      <c r="T1314" s="55">
        <v>2</v>
      </c>
      <c r="U1314" s="56">
        <f t="shared" ref="U1314:U1315" si="1265">SUM(Q1314:T1314)</f>
        <v>2</v>
      </c>
      <c r="V1314" s="55"/>
      <c r="W1314" s="55"/>
      <c r="X1314" s="55">
        <v>2</v>
      </c>
      <c r="Y1314" s="55"/>
      <c r="Z1314" s="56">
        <f t="shared" ref="Z1314:Z1315" si="1266">SUM(V1314:Y1314)</f>
        <v>2</v>
      </c>
      <c r="AA1314" s="56">
        <f t="shared" ref="AA1314:AA1315" si="1267">F1314+K1314+P1314+U1314+Z1314</f>
        <v>8</v>
      </c>
      <c r="AB1314" s="298">
        <v>45684</v>
      </c>
      <c r="AC1314" s="268" t="s">
        <v>28</v>
      </c>
      <c r="AD1314" s="55"/>
      <c r="AE1314" s="153"/>
      <c r="AF1314" s="153"/>
      <c r="AG1314" s="168"/>
      <c r="AH1314" s="56">
        <f t="shared" ref="AH1314:AH1317" si="1268">SUM(AD1314:AG1314)</f>
        <v>0</v>
      </c>
      <c r="AI1314" s="55"/>
      <c r="AJ1314" s="153"/>
      <c r="AK1314" s="153"/>
      <c r="AL1314" s="168"/>
      <c r="AM1314" s="56">
        <f t="shared" ref="AM1314:AM1317" si="1269">SUM(AI1314:AL1314)</f>
        <v>0</v>
      </c>
      <c r="AN1314" s="55"/>
      <c r="AO1314" s="153"/>
      <c r="AP1314" s="153"/>
      <c r="AQ1314" s="168"/>
      <c r="AR1314" s="56">
        <f t="shared" ref="AR1314:AR1317" si="1270">SUM(AN1314:AQ1314)</f>
        <v>0</v>
      </c>
      <c r="AS1314" s="54"/>
      <c r="AT1314" s="153"/>
      <c r="AU1314" s="153"/>
      <c r="AV1314" s="168"/>
      <c r="AW1314" s="56">
        <f t="shared" ref="AW1314:AW1317" si="1271">SUM(AS1314:AV1314)</f>
        <v>0</v>
      </c>
      <c r="AX1314" s="55"/>
      <c r="AY1314" s="153"/>
      <c r="AZ1314" s="153"/>
      <c r="BA1314" s="168"/>
      <c r="BB1314" s="49">
        <f t="shared" ref="BB1314:BB1317" si="1272">SUM(AX1314:BA1314)</f>
        <v>0</v>
      </c>
      <c r="BC1314" s="49">
        <f t="shared" ref="BC1314:BC1317" si="1273">AH1314+AM1314+AR1314+AW1314+BB1314</f>
        <v>0</v>
      </c>
      <c r="BE1314" s="268" t="s">
        <v>28</v>
      </c>
      <c r="BF1314" s="55"/>
      <c r="BG1314" s="153"/>
      <c r="BH1314" s="153"/>
      <c r="BI1314" s="168"/>
      <c r="BJ1314" s="56">
        <f t="shared" ref="BJ1314:BJ1349" si="1274">SUM(BF1314:BI1314)</f>
        <v>0</v>
      </c>
    </row>
    <row r="1315" spans="1:62" x14ac:dyDescent="0.15">
      <c r="A1315" s="268" t="s">
        <v>28</v>
      </c>
      <c r="B1315" s="54"/>
      <c r="C1315" s="55"/>
      <c r="D1315" s="55"/>
      <c r="E1315" s="55"/>
      <c r="F1315" s="56">
        <f t="shared" si="1262"/>
        <v>0</v>
      </c>
      <c r="G1315" s="54"/>
      <c r="H1315" s="55"/>
      <c r="I1315" s="55"/>
      <c r="J1315" s="55"/>
      <c r="K1315" s="56">
        <f t="shared" si="1263"/>
        <v>0</v>
      </c>
      <c r="L1315" s="54"/>
      <c r="M1315" s="55"/>
      <c r="N1315" s="55"/>
      <c r="O1315" s="55"/>
      <c r="P1315" s="56">
        <f t="shared" si="1264"/>
        <v>0</v>
      </c>
      <c r="Q1315" s="54"/>
      <c r="R1315" s="55"/>
      <c r="S1315" s="55">
        <v>3</v>
      </c>
      <c r="T1315" s="55"/>
      <c r="U1315" s="56">
        <f t="shared" si="1265"/>
        <v>3</v>
      </c>
      <c r="V1315" s="55"/>
      <c r="W1315" s="55"/>
      <c r="X1315" s="55"/>
      <c r="Y1315" s="55"/>
      <c r="Z1315" s="56">
        <f t="shared" si="1266"/>
        <v>0</v>
      </c>
      <c r="AA1315" s="56">
        <f t="shared" si="1267"/>
        <v>3</v>
      </c>
      <c r="AB1315" s="298">
        <v>45708</v>
      </c>
      <c r="AC1315" s="268" t="s">
        <v>28</v>
      </c>
      <c r="AD1315" s="55"/>
      <c r="AE1315" s="153"/>
      <c r="AF1315" s="153"/>
      <c r="AG1315" s="168"/>
      <c r="AH1315" s="56">
        <f t="shared" si="1268"/>
        <v>0</v>
      </c>
      <c r="AI1315" s="55"/>
      <c r="AJ1315" s="153"/>
      <c r="AK1315" s="153"/>
      <c r="AL1315" s="168"/>
      <c r="AM1315" s="56">
        <f t="shared" si="1269"/>
        <v>0</v>
      </c>
      <c r="AN1315" s="55"/>
      <c r="AO1315" s="153"/>
      <c r="AP1315" s="153"/>
      <c r="AQ1315" s="168"/>
      <c r="AR1315" s="56">
        <f t="shared" si="1270"/>
        <v>0</v>
      </c>
      <c r="AS1315" s="54"/>
      <c r="AT1315" s="153"/>
      <c r="AU1315" s="153"/>
      <c r="AV1315" s="168"/>
      <c r="AW1315" s="56">
        <f t="shared" si="1271"/>
        <v>0</v>
      </c>
      <c r="AX1315" s="55"/>
      <c r="AY1315" s="153"/>
      <c r="AZ1315" s="153"/>
      <c r="BA1315" s="168"/>
      <c r="BB1315" s="49">
        <f t="shared" si="1272"/>
        <v>0</v>
      </c>
      <c r="BC1315" s="49">
        <f t="shared" si="1273"/>
        <v>0</v>
      </c>
      <c r="BE1315" s="268" t="s">
        <v>28</v>
      </c>
      <c r="BF1315" s="55"/>
      <c r="BG1315" s="153"/>
      <c r="BH1315" s="153"/>
      <c r="BI1315" s="168"/>
      <c r="BJ1315" s="56">
        <f t="shared" si="1274"/>
        <v>0</v>
      </c>
    </row>
    <row r="1316" spans="1:62" x14ac:dyDescent="0.15">
      <c r="A1316" s="268" t="s">
        <v>28</v>
      </c>
      <c r="B1316" s="54"/>
      <c r="C1316" s="55">
        <v>2</v>
      </c>
      <c r="D1316" s="55"/>
      <c r="E1316" s="55"/>
      <c r="F1316" s="56">
        <f t="shared" ref="F1316" si="1275">SUM(B1316:E1316)</f>
        <v>2</v>
      </c>
      <c r="G1316" s="54"/>
      <c r="H1316" s="55"/>
      <c r="I1316" s="55"/>
      <c r="J1316" s="55"/>
      <c r="K1316" s="56">
        <f t="shared" ref="K1316" si="1276">SUM(G1316:J1316)</f>
        <v>0</v>
      </c>
      <c r="L1316" s="54"/>
      <c r="M1316" s="55"/>
      <c r="N1316" s="55"/>
      <c r="O1316" s="55"/>
      <c r="P1316" s="56">
        <f t="shared" ref="P1316" si="1277">SUM(L1316:O1316)</f>
        <v>0</v>
      </c>
      <c r="Q1316" s="54"/>
      <c r="R1316" s="55"/>
      <c r="S1316" s="55"/>
      <c r="T1316" s="55">
        <v>2</v>
      </c>
      <c r="U1316" s="56">
        <f t="shared" ref="U1316" si="1278">SUM(Q1316:T1316)</f>
        <v>2</v>
      </c>
      <c r="V1316" s="55"/>
      <c r="W1316" s="55"/>
      <c r="X1316" s="55"/>
      <c r="Y1316" s="55"/>
      <c r="Z1316" s="56">
        <f t="shared" ref="Z1316" si="1279">SUM(V1316:Y1316)</f>
        <v>0</v>
      </c>
      <c r="AA1316" s="56">
        <f t="shared" ref="AA1316" si="1280">F1316+K1316+P1316+U1316+Z1316</f>
        <v>4</v>
      </c>
      <c r="AB1316" s="298">
        <v>45734</v>
      </c>
      <c r="AC1316" s="268" t="s">
        <v>28</v>
      </c>
      <c r="AD1316" s="55"/>
      <c r="AE1316" s="153"/>
      <c r="AF1316" s="153"/>
      <c r="AG1316" s="168"/>
      <c r="AH1316" s="56">
        <f t="shared" si="1268"/>
        <v>0</v>
      </c>
      <c r="AI1316" s="55"/>
      <c r="AJ1316" s="153"/>
      <c r="AK1316" s="153"/>
      <c r="AL1316" s="168"/>
      <c r="AM1316" s="56">
        <f t="shared" si="1269"/>
        <v>0</v>
      </c>
      <c r="AN1316" s="55"/>
      <c r="AO1316" s="153"/>
      <c r="AP1316" s="153"/>
      <c r="AQ1316" s="168"/>
      <c r="AR1316" s="56">
        <f t="shared" si="1270"/>
        <v>0</v>
      </c>
      <c r="AS1316" s="54"/>
      <c r="AT1316" s="153"/>
      <c r="AU1316" s="153"/>
      <c r="AV1316" s="168"/>
      <c r="AW1316" s="56">
        <f t="shared" si="1271"/>
        <v>0</v>
      </c>
      <c r="AX1316" s="55"/>
      <c r="AY1316" s="153"/>
      <c r="AZ1316" s="153"/>
      <c r="BA1316" s="168"/>
      <c r="BB1316" s="49">
        <f t="shared" si="1272"/>
        <v>0</v>
      </c>
      <c r="BC1316" s="49">
        <f t="shared" si="1273"/>
        <v>0</v>
      </c>
      <c r="BE1316" s="268" t="s">
        <v>28</v>
      </c>
      <c r="BF1316" s="55"/>
      <c r="BG1316" s="153"/>
      <c r="BH1316" s="153"/>
      <c r="BI1316" s="168"/>
      <c r="BJ1316" s="56">
        <f t="shared" si="1274"/>
        <v>0</v>
      </c>
    </row>
    <row r="1317" spans="1:62" x14ac:dyDescent="0.15">
      <c r="A1317" s="268" t="s">
        <v>28</v>
      </c>
      <c r="B1317" s="54"/>
      <c r="C1317" s="55"/>
      <c r="D1317" s="55"/>
      <c r="E1317" s="55"/>
      <c r="F1317" s="56">
        <f t="shared" ref="F1317:F1319" si="1281">SUM(B1317:E1317)</f>
        <v>0</v>
      </c>
      <c r="G1317" s="54">
        <v>2</v>
      </c>
      <c r="H1317" s="55">
        <v>2</v>
      </c>
      <c r="I1317" s="55"/>
      <c r="J1317" s="55"/>
      <c r="K1317" s="56">
        <f t="shared" ref="K1317:K1319" si="1282">SUM(G1317:J1317)</f>
        <v>4</v>
      </c>
      <c r="L1317" s="54"/>
      <c r="M1317" s="55"/>
      <c r="N1317" s="55"/>
      <c r="O1317" s="55"/>
      <c r="P1317" s="56">
        <f t="shared" ref="P1317:P1319" si="1283">SUM(L1317:O1317)</f>
        <v>0</v>
      </c>
      <c r="Q1317" s="54"/>
      <c r="R1317" s="55">
        <v>2</v>
      </c>
      <c r="S1317" s="55"/>
      <c r="T1317" s="55"/>
      <c r="U1317" s="56">
        <f t="shared" ref="U1317:U1319" si="1284">SUM(Q1317:T1317)</f>
        <v>2</v>
      </c>
      <c r="V1317" s="55"/>
      <c r="W1317" s="55">
        <v>2</v>
      </c>
      <c r="X1317" s="55">
        <v>2</v>
      </c>
      <c r="Y1317" s="55">
        <v>2</v>
      </c>
      <c r="Z1317" s="56">
        <f t="shared" ref="Z1317:Z1319" si="1285">SUM(V1317:Y1317)</f>
        <v>6</v>
      </c>
      <c r="AA1317" s="56">
        <f t="shared" ref="AA1317:AA1320" si="1286">F1317+K1317+P1317+U1317+Z1317</f>
        <v>12</v>
      </c>
      <c r="AB1317" s="298">
        <v>45748</v>
      </c>
      <c r="AC1317" s="268" t="s">
        <v>28</v>
      </c>
      <c r="AD1317" s="55"/>
      <c r="AE1317" s="153"/>
      <c r="AF1317" s="153"/>
      <c r="AG1317" s="168"/>
      <c r="AH1317" s="56">
        <f t="shared" si="1268"/>
        <v>0</v>
      </c>
      <c r="AI1317" s="55"/>
      <c r="AJ1317" s="153"/>
      <c r="AK1317" s="153"/>
      <c r="AL1317" s="168"/>
      <c r="AM1317" s="56">
        <f t="shared" si="1269"/>
        <v>0</v>
      </c>
      <c r="AN1317" s="55"/>
      <c r="AO1317" s="153"/>
      <c r="AP1317" s="153"/>
      <c r="AQ1317" s="168"/>
      <c r="AR1317" s="56">
        <f t="shared" si="1270"/>
        <v>0</v>
      </c>
      <c r="AS1317" s="54"/>
      <c r="AT1317" s="153"/>
      <c r="AU1317" s="153"/>
      <c r="AV1317" s="168"/>
      <c r="AW1317" s="56">
        <f t="shared" si="1271"/>
        <v>0</v>
      </c>
      <c r="AX1317" s="55"/>
      <c r="AY1317" s="153"/>
      <c r="AZ1317" s="153"/>
      <c r="BA1317" s="168"/>
      <c r="BB1317" s="49">
        <f t="shared" si="1272"/>
        <v>0</v>
      </c>
      <c r="BC1317" s="49">
        <f t="shared" si="1273"/>
        <v>0</v>
      </c>
      <c r="BE1317" s="268" t="s">
        <v>28</v>
      </c>
      <c r="BF1317" s="55"/>
      <c r="BG1317" s="153"/>
      <c r="BH1317" s="153"/>
      <c r="BI1317" s="168"/>
      <c r="BJ1317" s="56">
        <f t="shared" si="1274"/>
        <v>0</v>
      </c>
    </row>
    <row r="1318" spans="1:62" x14ac:dyDescent="0.15">
      <c r="A1318" s="268" t="s">
        <v>28</v>
      </c>
      <c r="B1318" s="54"/>
      <c r="C1318" s="55"/>
      <c r="D1318" s="55"/>
      <c r="E1318" s="55">
        <v>2</v>
      </c>
      <c r="F1318" s="56">
        <f t="shared" si="1281"/>
        <v>2</v>
      </c>
      <c r="G1318" s="54"/>
      <c r="H1318" s="55"/>
      <c r="I1318" s="55">
        <v>2</v>
      </c>
      <c r="J1318" s="55"/>
      <c r="K1318" s="56">
        <f t="shared" si="1282"/>
        <v>2</v>
      </c>
      <c r="L1318" s="54"/>
      <c r="M1318" s="55"/>
      <c r="N1318" s="55"/>
      <c r="O1318" s="55"/>
      <c r="P1318" s="56">
        <f t="shared" si="1283"/>
        <v>0</v>
      </c>
      <c r="Q1318" s="54"/>
      <c r="R1318" s="55"/>
      <c r="S1318" s="55"/>
      <c r="T1318" s="55"/>
      <c r="U1318" s="56">
        <f t="shared" si="1284"/>
        <v>0</v>
      </c>
      <c r="V1318" s="55"/>
      <c r="W1318" s="55"/>
      <c r="X1318" s="55"/>
      <c r="Y1318" s="55"/>
      <c r="Z1318" s="56">
        <f t="shared" si="1285"/>
        <v>0</v>
      </c>
      <c r="AA1318" s="56">
        <f t="shared" si="1286"/>
        <v>4</v>
      </c>
      <c r="AB1318" s="298">
        <v>45764</v>
      </c>
      <c r="AC1318" s="268" t="s">
        <v>28</v>
      </c>
      <c r="AD1318" s="55"/>
      <c r="AE1318" s="153"/>
      <c r="AF1318" s="153"/>
      <c r="AG1318" s="168"/>
      <c r="AH1318" s="56">
        <f t="shared" ref="AH1318:AH1344" si="1287">SUM(AD1318:AG1318)</f>
        <v>0</v>
      </c>
      <c r="AI1318" s="55"/>
      <c r="AJ1318" s="153"/>
      <c r="AK1318" s="153"/>
      <c r="AL1318" s="168"/>
      <c r="AM1318" s="56">
        <f t="shared" ref="AM1318:AM1344" si="1288">SUM(AI1318:AL1318)</f>
        <v>0</v>
      </c>
      <c r="AN1318" s="55"/>
      <c r="AO1318" s="153"/>
      <c r="AP1318" s="153"/>
      <c r="AQ1318" s="168"/>
      <c r="AR1318" s="56">
        <f t="shared" ref="AR1318:AR1349" si="1289">SUM(AN1318:AQ1318)</f>
        <v>0</v>
      </c>
      <c r="AS1318" s="54"/>
      <c r="AT1318" s="153"/>
      <c r="AU1318" s="153"/>
      <c r="AV1318" s="168"/>
      <c r="AW1318" s="56">
        <f t="shared" ref="AW1318:AW1349" si="1290">SUM(AS1318:AV1318)</f>
        <v>0</v>
      </c>
      <c r="AX1318" s="55"/>
      <c r="AY1318" s="153"/>
      <c r="AZ1318" s="153"/>
      <c r="BA1318" s="168"/>
      <c r="BB1318" s="49">
        <f t="shared" ref="BB1318:BB1348" si="1291">SUM(AX1318:BA1318)</f>
        <v>0</v>
      </c>
      <c r="BC1318" s="49">
        <f t="shared" ref="BC1318:BC1320" si="1292">AH1318+AM1318+AR1318+AW1318+BB1318</f>
        <v>0</v>
      </c>
      <c r="BE1318" s="268" t="s">
        <v>28</v>
      </c>
      <c r="BF1318" s="55"/>
      <c r="BG1318" s="153"/>
      <c r="BH1318" s="153"/>
      <c r="BI1318" s="168"/>
      <c r="BJ1318" s="56">
        <f t="shared" si="1274"/>
        <v>0</v>
      </c>
    </row>
    <row r="1319" spans="1:62" x14ac:dyDescent="0.15">
      <c r="A1319" s="268" t="s">
        <v>28</v>
      </c>
      <c r="B1319" s="54"/>
      <c r="C1319" s="55"/>
      <c r="D1319" s="55"/>
      <c r="E1319" s="55"/>
      <c r="F1319" s="56">
        <f t="shared" si="1281"/>
        <v>0</v>
      </c>
      <c r="G1319" s="54"/>
      <c r="H1319" s="55"/>
      <c r="I1319" s="55"/>
      <c r="J1319" s="55"/>
      <c r="K1319" s="56">
        <f t="shared" si="1282"/>
        <v>0</v>
      </c>
      <c r="L1319" s="54"/>
      <c r="M1319" s="55">
        <v>2</v>
      </c>
      <c r="N1319" s="55"/>
      <c r="O1319" s="55"/>
      <c r="P1319" s="56">
        <f t="shared" si="1283"/>
        <v>2</v>
      </c>
      <c r="Q1319" s="54"/>
      <c r="R1319" s="55"/>
      <c r="S1319" s="55"/>
      <c r="T1319" s="55"/>
      <c r="U1319" s="56">
        <f t="shared" si="1284"/>
        <v>0</v>
      </c>
      <c r="V1319" s="55"/>
      <c r="W1319" s="55"/>
      <c r="X1319" s="55"/>
      <c r="Y1319" s="55"/>
      <c r="Z1319" s="56">
        <f t="shared" si="1285"/>
        <v>0</v>
      </c>
      <c r="AA1319" s="56">
        <f t="shared" si="1286"/>
        <v>2</v>
      </c>
      <c r="AB1319" s="298">
        <v>45797</v>
      </c>
      <c r="AC1319" s="268" t="s">
        <v>28</v>
      </c>
      <c r="AD1319" s="55"/>
      <c r="AE1319" s="153"/>
      <c r="AF1319" s="153"/>
      <c r="AG1319" s="168"/>
      <c r="AH1319" s="56">
        <f t="shared" si="1287"/>
        <v>0</v>
      </c>
      <c r="AI1319" s="55"/>
      <c r="AJ1319" s="153"/>
      <c r="AK1319" s="153"/>
      <c r="AL1319" s="168"/>
      <c r="AM1319" s="56">
        <f t="shared" si="1288"/>
        <v>0</v>
      </c>
      <c r="AN1319" s="55"/>
      <c r="AO1319" s="153"/>
      <c r="AP1319" s="153"/>
      <c r="AQ1319" s="168"/>
      <c r="AR1319" s="56">
        <f t="shared" si="1289"/>
        <v>0</v>
      </c>
      <c r="AS1319" s="54"/>
      <c r="AT1319" s="153"/>
      <c r="AU1319" s="153"/>
      <c r="AV1319" s="168"/>
      <c r="AW1319" s="56">
        <f t="shared" si="1290"/>
        <v>0</v>
      </c>
      <c r="AX1319" s="55"/>
      <c r="AY1319" s="153"/>
      <c r="AZ1319" s="153"/>
      <c r="BA1319" s="168"/>
      <c r="BB1319" s="49">
        <f t="shared" si="1291"/>
        <v>0</v>
      </c>
      <c r="BC1319" s="49">
        <f t="shared" si="1292"/>
        <v>0</v>
      </c>
      <c r="BE1319" s="268" t="s">
        <v>28</v>
      </c>
      <c r="BF1319" s="55"/>
      <c r="BG1319" s="153"/>
      <c r="BH1319" s="153"/>
      <c r="BI1319" s="168"/>
      <c r="BJ1319" s="56">
        <f t="shared" si="1274"/>
        <v>0</v>
      </c>
    </row>
    <row r="1320" spans="1:62" ht="14.25" thickBot="1" x14ac:dyDescent="0.2">
      <c r="A1320" s="268" t="s">
        <v>29</v>
      </c>
      <c r="B1320" s="54"/>
      <c r="C1320" s="55"/>
      <c r="D1320" s="55"/>
      <c r="E1320" s="55"/>
      <c r="F1320" s="56">
        <f t="shared" ref="F1320" si="1293">SUM(B1320:E1320)</f>
        <v>0</v>
      </c>
      <c r="G1320" s="54"/>
      <c r="H1320" s="55"/>
      <c r="I1320" s="55">
        <v>1</v>
      </c>
      <c r="J1320" s="55"/>
      <c r="K1320" s="56">
        <f t="shared" ref="K1320" si="1294">SUM(G1320:J1320)</f>
        <v>1</v>
      </c>
      <c r="L1320" s="54"/>
      <c r="M1320" s="55"/>
      <c r="N1320" s="55"/>
      <c r="O1320" s="55"/>
      <c r="P1320" s="56">
        <f t="shared" ref="P1320" si="1295">SUM(L1320:O1320)</f>
        <v>0</v>
      </c>
      <c r="Q1320" s="54">
        <v>1</v>
      </c>
      <c r="R1320" s="55"/>
      <c r="S1320" s="55"/>
      <c r="T1320" s="55"/>
      <c r="U1320" s="56">
        <f t="shared" ref="U1320" si="1296">SUM(Q1320:T1320)</f>
        <v>1</v>
      </c>
      <c r="V1320" s="55"/>
      <c r="W1320" s="55"/>
      <c r="X1320" s="55"/>
      <c r="Y1320" s="55"/>
      <c r="Z1320" s="56">
        <f t="shared" ref="Z1320" si="1297">SUM(V1320:Y1320)</f>
        <v>0</v>
      </c>
      <c r="AA1320" s="56">
        <f t="shared" si="1286"/>
        <v>2</v>
      </c>
      <c r="AB1320" s="298">
        <v>45799</v>
      </c>
      <c r="AC1320" s="268" t="s">
        <v>28</v>
      </c>
      <c r="AD1320" s="63"/>
      <c r="AE1320" s="164"/>
      <c r="AF1320" s="164"/>
      <c r="AG1320" s="169"/>
      <c r="AH1320" s="170">
        <f t="shared" si="1287"/>
        <v>0</v>
      </c>
      <c r="AI1320" s="63"/>
      <c r="AJ1320" s="164"/>
      <c r="AK1320" s="164"/>
      <c r="AL1320" s="169"/>
      <c r="AM1320" s="170">
        <f t="shared" si="1288"/>
        <v>0</v>
      </c>
      <c r="AN1320" s="63"/>
      <c r="AO1320" s="164"/>
      <c r="AP1320" s="164"/>
      <c r="AQ1320" s="169"/>
      <c r="AR1320" s="170">
        <f t="shared" si="1289"/>
        <v>0</v>
      </c>
      <c r="AS1320" s="62"/>
      <c r="AT1320" s="164"/>
      <c r="AU1320" s="164"/>
      <c r="AV1320" s="169"/>
      <c r="AW1320" s="170">
        <f t="shared" si="1290"/>
        <v>0</v>
      </c>
      <c r="AX1320" s="63"/>
      <c r="AY1320" s="164"/>
      <c r="AZ1320" s="164"/>
      <c r="BA1320" s="169"/>
      <c r="BB1320" s="170">
        <f t="shared" si="1291"/>
        <v>0</v>
      </c>
      <c r="BC1320" s="49">
        <f t="shared" si="1292"/>
        <v>0</v>
      </c>
      <c r="BE1320" s="274" t="s">
        <v>28</v>
      </c>
      <c r="BF1320" s="63"/>
      <c r="BG1320" s="164"/>
      <c r="BH1320" s="164"/>
      <c r="BI1320" s="169"/>
      <c r="BJ1320" s="170">
        <f t="shared" si="1274"/>
        <v>0</v>
      </c>
    </row>
    <row r="1321" spans="1:62" ht="15" thickBot="1" x14ac:dyDescent="0.2">
      <c r="A1321" s="181" t="s">
        <v>14</v>
      </c>
      <c r="B1321" s="182">
        <f>SUM(B1313:B1320)</f>
        <v>1</v>
      </c>
      <c r="C1321" s="183">
        <f>SUM(C1313:C1320)</f>
        <v>4</v>
      </c>
      <c r="D1321" s="183">
        <f>SUM(D1313:D1320)</f>
        <v>3</v>
      </c>
      <c r="E1321" s="184">
        <f>SUM(E1313:E1320)</f>
        <v>4</v>
      </c>
      <c r="F1321" s="77">
        <f t="shared" ref="F1321:F1341" si="1298">SUM(B1321:E1321)</f>
        <v>12</v>
      </c>
      <c r="G1321" s="182">
        <f>SUM(G1313:G1320)</f>
        <v>5</v>
      </c>
      <c r="H1321" s="183">
        <f>SUM(H1313:H1320)</f>
        <v>5</v>
      </c>
      <c r="I1321" s="183">
        <f>SUM(I1313:I1320)</f>
        <v>6</v>
      </c>
      <c r="J1321" s="184">
        <f>SUM(J1313:J1320)</f>
        <v>3</v>
      </c>
      <c r="K1321" s="77">
        <f t="shared" si="1257"/>
        <v>19</v>
      </c>
      <c r="L1321" s="182">
        <f>SUM(L1313:L1320)</f>
        <v>2</v>
      </c>
      <c r="M1321" s="183">
        <f>SUM(M1313:M1320)</f>
        <v>5</v>
      </c>
      <c r="N1321" s="183">
        <f>SUM(N1313:N1320)</f>
        <v>2</v>
      </c>
      <c r="O1321" s="184">
        <f>SUM(O1313:O1320)</f>
        <v>2</v>
      </c>
      <c r="P1321" s="77">
        <f t="shared" si="1258"/>
        <v>11</v>
      </c>
      <c r="Q1321" s="182">
        <f>SUM(Q1313:Q1320)</f>
        <v>5</v>
      </c>
      <c r="R1321" s="183">
        <f>SUM(R1313:R1320)</f>
        <v>6</v>
      </c>
      <c r="S1321" s="183">
        <f>SUM(S1313:S1320)</f>
        <v>5</v>
      </c>
      <c r="T1321" s="184">
        <f>SUM(T1313:T1320)</f>
        <v>4</v>
      </c>
      <c r="U1321" s="77">
        <f t="shared" si="1259"/>
        <v>20</v>
      </c>
      <c r="V1321" s="293">
        <f>SUM(V1313:V1320)</f>
        <v>3</v>
      </c>
      <c r="W1321" s="183">
        <f>SUM(W1313:W1320)</f>
        <v>6</v>
      </c>
      <c r="X1321" s="183">
        <f>SUM(X1313:X1320)</f>
        <v>6</v>
      </c>
      <c r="Y1321" s="184">
        <f>SUM(Y1313:Y1320)</f>
        <v>4</v>
      </c>
      <c r="Z1321" s="77">
        <f t="shared" si="1260"/>
        <v>19</v>
      </c>
      <c r="AA1321" s="77">
        <f>F1321+K1321+P1321+U1321+Z1321</f>
        <v>81</v>
      </c>
      <c r="AC1321" s="275" t="s">
        <v>14</v>
      </c>
      <c r="AD1321" s="182">
        <f>SUM(AD1313:AD1320)</f>
        <v>77</v>
      </c>
      <c r="AE1321" s="183">
        <f>SUM(AE1313:AE1320)</f>
        <v>68</v>
      </c>
      <c r="AF1321" s="183">
        <f>SUM(AF1313:AF1320)</f>
        <v>130</v>
      </c>
      <c r="AG1321" s="184">
        <f>SUM(AG1313:AG1320)</f>
        <v>56</v>
      </c>
      <c r="AH1321" s="77">
        <f t="shared" si="1287"/>
        <v>331</v>
      </c>
      <c r="AI1321" s="182">
        <f>SUM(AI1313:AI1320)</f>
        <v>106</v>
      </c>
      <c r="AJ1321" s="183">
        <f>SUM(AJ1313:AJ1320)</f>
        <v>146</v>
      </c>
      <c r="AK1321" s="183">
        <f>SUM(AK1313:AK1320)</f>
        <v>108</v>
      </c>
      <c r="AL1321" s="184">
        <f>SUM(AL1313:AL1320)</f>
        <v>94</v>
      </c>
      <c r="AM1321" s="77">
        <f t="shared" si="1288"/>
        <v>454</v>
      </c>
      <c r="AN1321" s="182">
        <f>SUM(AN1313:AN1320)</f>
        <v>38</v>
      </c>
      <c r="AO1321" s="183">
        <f>SUM(AO1313:AO1320)</f>
        <v>49</v>
      </c>
      <c r="AP1321" s="183">
        <f>SUM(AP1313:AP1320)</f>
        <v>41</v>
      </c>
      <c r="AQ1321" s="184">
        <f>SUM(AQ1313:AQ1320)</f>
        <v>18</v>
      </c>
      <c r="AR1321" s="77">
        <f t="shared" si="1289"/>
        <v>146</v>
      </c>
      <c r="AS1321" s="182">
        <f>SUM(AS1313:AS1320)</f>
        <v>158</v>
      </c>
      <c r="AT1321" s="183">
        <f>SUM(AT1313:AT1320)</f>
        <v>181</v>
      </c>
      <c r="AU1321" s="183">
        <f>SUM(AU1313:AU1320)</f>
        <v>113</v>
      </c>
      <c r="AV1321" s="184">
        <f>SUM(AV1313:AV1320)</f>
        <v>77</v>
      </c>
      <c r="AW1321" s="77">
        <f t="shared" si="1290"/>
        <v>529</v>
      </c>
      <c r="AX1321" s="293">
        <f>SUM(AX1313:AX1320)</f>
        <v>104</v>
      </c>
      <c r="AY1321" s="183">
        <f>SUM(AY1313:AY1320)</f>
        <v>80</v>
      </c>
      <c r="AZ1321" s="183">
        <f>SUM(AZ1313:AZ1320)</f>
        <v>43</v>
      </c>
      <c r="BA1321" s="184">
        <f>SUM(BA1313:BA1320)</f>
        <v>29</v>
      </c>
      <c r="BB1321" s="77">
        <f t="shared" si="1291"/>
        <v>256</v>
      </c>
      <c r="BC1321" s="77">
        <f>AH1321+AM1321+AR1321+AW1321+BB1321</f>
        <v>1716</v>
      </c>
      <c r="BE1321" s="275" t="s">
        <v>14</v>
      </c>
      <c r="BF1321" s="182">
        <f>SUM(BF1313:BF1320)</f>
        <v>0</v>
      </c>
      <c r="BG1321" s="183">
        <f>SUM(BG1313:BG1320)</f>
        <v>0</v>
      </c>
      <c r="BH1321" s="183">
        <f>SUM(BH1313:BH1320)</f>
        <v>10</v>
      </c>
      <c r="BI1321" s="184">
        <f>SUM(BI1313:BI1320)</f>
        <v>0</v>
      </c>
      <c r="BJ1321" s="77">
        <f t="shared" si="1274"/>
        <v>10</v>
      </c>
    </row>
    <row r="1322" spans="1:62" x14ac:dyDescent="0.15">
      <c r="A1322" s="53" t="s">
        <v>98</v>
      </c>
      <c r="B1322" s="54"/>
      <c r="C1322" s="55"/>
      <c r="D1322" s="55"/>
      <c r="E1322" s="55"/>
      <c r="F1322" s="56">
        <f t="shared" si="1298"/>
        <v>0</v>
      </c>
      <c r="G1322" s="54"/>
      <c r="H1322" s="55"/>
      <c r="I1322" s="55"/>
      <c r="J1322" s="55"/>
      <c r="K1322" s="56">
        <f t="shared" ref="K1322:K1341" si="1299">SUM(G1322:J1322)</f>
        <v>0</v>
      </c>
      <c r="L1322" s="54"/>
      <c r="M1322" s="55"/>
      <c r="N1322" s="55"/>
      <c r="O1322" s="55"/>
      <c r="P1322" s="56">
        <f t="shared" ref="P1322:P1341" si="1300">SUM(L1322:O1322)</f>
        <v>0</v>
      </c>
      <c r="Q1322" s="54"/>
      <c r="R1322" s="55"/>
      <c r="S1322" s="55">
        <v>1</v>
      </c>
      <c r="T1322" s="55"/>
      <c r="U1322" s="56">
        <f t="shared" ref="U1322:U1341" si="1301">SUM(Q1322:T1322)</f>
        <v>1</v>
      </c>
      <c r="V1322" s="55"/>
      <c r="W1322" s="55"/>
      <c r="X1322" s="55"/>
      <c r="Y1322" s="55"/>
      <c r="Z1322" s="56">
        <f t="shared" ref="Z1322:Z1341" si="1302">SUM(V1322:Y1322)</f>
        <v>0</v>
      </c>
      <c r="AA1322" s="56">
        <f t="shared" ref="AA1322:AA1341" si="1303">F1322+K1322+P1322+U1322+Z1322</f>
        <v>1</v>
      </c>
      <c r="AB1322" s="299">
        <v>45708</v>
      </c>
      <c r="AC1322" s="276" t="s">
        <v>633</v>
      </c>
      <c r="AD1322" s="54"/>
      <c r="AE1322" s="55"/>
      <c r="AF1322" s="55"/>
      <c r="AG1322" s="55"/>
      <c r="AH1322" s="56">
        <f t="shared" ref="AH1322:AH1329" si="1304">SUM(AD1322:AG1322)</f>
        <v>0</v>
      </c>
      <c r="AI1322" s="54">
        <v>2</v>
      </c>
      <c r="AJ1322" s="55">
        <v>2</v>
      </c>
      <c r="AK1322" s="55">
        <v>2</v>
      </c>
      <c r="AL1322" s="55">
        <v>2</v>
      </c>
      <c r="AM1322" s="56">
        <f t="shared" ref="AM1322:AM1329" si="1305">SUM(AI1322:AL1322)</f>
        <v>8</v>
      </c>
      <c r="AN1322" s="54"/>
      <c r="AO1322" s="55"/>
      <c r="AP1322" s="55"/>
      <c r="AQ1322" s="55"/>
      <c r="AR1322" s="56">
        <f t="shared" ref="AR1322:AR1329" si="1306">SUM(AN1322:AQ1322)</f>
        <v>0</v>
      </c>
      <c r="AS1322" s="54">
        <v>2</v>
      </c>
      <c r="AT1322" s="55">
        <v>2</v>
      </c>
      <c r="AU1322" s="55">
        <v>2</v>
      </c>
      <c r="AV1322" s="55">
        <v>2</v>
      </c>
      <c r="AW1322" s="56">
        <f t="shared" ref="AW1322:AW1329" si="1307">SUM(AS1322:AV1322)</f>
        <v>8</v>
      </c>
      <c r="AX1322" s="55"/>
      <c r="AY1322" s="55"/>
      <c r="AZ1322" s="55"/>
      <c r="BA1322" s="55"/>
      <c r="BB1322" s="56">
        <f t="shared" ref="BB1322:BB1329" si="1308">SUM(AX1322:BA1322)</f>
        <v>0</v>
      </c>
      <c r="BC1322" s="56">
        <f t="shared" ref="BC1322:BC1329" si="1309">AH1322+AM1322+AR1322+AW1322+BB1322</f>
        <v>16</v>
      </c>
      <c r="BD1322" s="298">
        <v>45735</v>
      </c>
      <c r="BE1322" s="277"/>
      <c r="BF1322" s="54"/>
      <c r="BG1322" s="55"/>
      <c r="BH1322" s="55"/>
      <c r="BI1322" s="55"/>
      <c r="BJ1322" s="56">
        <f t="shared" si="1274"/>
        <v>0</v>
      </c>
    </row>
    <row r="1323" spans="1:62" x14ac:dyDescent="0.15">
      <c r="A1323" s="53" t="s">
        <v>98</v>
      </c>
      <c r="B1323" s="54"/>
      <c r="C1323" s="55"/>
      <c r="D1323" s="55"/>
      <c r="E1323" s="55"/>
      <c r="F1323" s="56">
        <f t="shared" si="1298"/>
        <v>0</v>
      </c>
      <c r="G1323" s="54"/>
      <c r="H1323" s="55"/>
      <c r="I1323" s="55"/>
      <c r="J1323" s="55"/>
      <c r="K1323" s="56">
        <f t="shared" si="1299"/>
        <v>0</v>
      </c>
      <c r="L1323" s="54"/>
      <c r="M1323" s="55"/>
      <c r="N1323" s="55"/>
      <c r="O1323" s="55"/>
      <c r="P1323" s="56">
        <f t="shared" si="1300"/>
        <v>0</v>
      </c>
      <c r="Q1323" s="54"/>
      <c r="R1323" s="55">
        <v>1</v>
      </c>
      <c r="S1323" s="55"/>
      <c r="T1323" s="55"/>
      <c r="U1323" s="56">
        <f t="shared" si="1301"/>
        <v>1</v>
      </c>
      <c r="V1323" s="55"/>
      <c r="W1323" s="55"/>
      <c r="X1323" s="55"/>
      <c r="Y1323" s="55"/>
      <c r="Z1323" s="56">
        <f t="shared" si="1302"/>
        <v>0</v>
      </c>
      <c r="AA1323" s="56">
        <f t="shared" si="1303"/>
        <v>1</v>
      </c>
      <c r="AB1323" s="299">
        <v>45713</v>
      </c>
      <c r="AC1323" s="276" t="s">
        <v>634</v>
      </c>
      <c r="AD1323" s="54"/>
      <c r="AE1323" s="55"/>
      <c r="AF1323" s="55"/>
      <c r="AG1323" s="55"/>
      <c r="AH1323" s="56">
        <f t="shared" si="1304"/>
        <v>0</v>
      </c>
      <c r="AI1323" s="54">
        <v>2</v>
      </c>
      <c r="AJ1323" s="55">
        <v>2</v>
      </c>
      <c r="AK1323" s="55">
        <v>2</v>
      </c>
      <c r="AL1323" s="55">
        <v>2</v>
      </c>
      <c r="AM1323" s="56">
        <f t="shared" si="1305"/>
        <v>8</v>
      </c>
      <c r="AN1323" s="54"/>
      <c r="AO1323" s="55"/>
      <c r="AP1323" s="55"/>
      <c r="AQ1323" s="55"/>
      <c r="AR1323" s="56">
        <f t="shared" si="1306"/>
        <v>0</v>
      </c>
      <c r="AS1323" s="54">
        <v>2</v>
      </c>
      <c r="AT1323" s="55">
        <v>2</v>
      </c>
      <c r="AU1323" s="55">
        <v>2</v>
      </c>
      <c r="AV1323" s="55">
        <v>2</v>
      </c>
      <c r="AW1323" s="56">
        <f t="shared" si="1307"/>
        <v>8</v>
      </c>
      <c r="AX1323" s="55"/>
      <c r="AY1323" s="55"/>
      <c r="AZ1323" s="55"/>
      <c r="BA1323" s="55"/>
      <c r="BB1323" s="56">
        <f t="shared" si="1308"/>
        <v>0</v>
      </c>
      <c r="BC1323" s="56">
        <f t="shared" si="1309"/>
        <v>16</v>
      </c>
      <c r="BD1323" s="298">
        <v>45735</v>
      </c>
      <c r="BE1323" s="277"/>
      <c r="BF1323" s="54"/>
      <c r="BG1323" s="55"/>
      <c r="BH1323" s="55"/>
      <c r="BI1323" s="55"/>
      <c r="BJ1323" s="56">
        <f t="shared" si="1274"/>
        <v>0</v>
      </c>
    </row>
    <row r="1324" spans="1:62" x14ac:dyDescent="0.15">
      <c r="A1324" s="53" t="s">
        <v>98</v>
      </c>
      <c r="B1324" s="54"/>
      <c r="C1324" s="55"/>
      <c r="D1324" s="55"/>
      <c r="E1324" s="55"/>
      <c r="F1324" s="56">
        <f t="shared" si="1298"/>
        <v>0</v>
      </c>
      <c r="G1324" s="54"/>
      <c r="H1324" s="55"/>
      <c r="I1324" s="55"/>
      <c r="J1324" s="55"/>
      <c r="K1324" s="56">
        <f t="shared" si="1299"/>
        <v>0</v>
      </c>
      <c r="L1324" s="54"/>
      <c r="M1324" s="55"/>
      <c r="N1324" s="55"/>
      <c r="O1324" s="55"/>
      <c r="P1324" s="56">
        <f t="shared" si="1300"/>
        <v>0</v>
      </c>
      <c r="Q1324" s="54"/>
      <c r="R1324" s="55"/>
      <c r="S1324" s="55"/>
      <c r="T1324" s="55">
        <v>1</v>
      </c>
      <c r="U1324" s="56">
        <f t="shared" si="1301"/>
        <v>1</v>
      </c>
      <c r="V1324" s="55"/>
      <c r="W1324" s="55"/>
      <c r="X1324" s="55"/>
      <c r="Y1324" s="55"/>
      <c r="Z1324" s="56">
        <f t="shared" si="1302"/>
        <v>0</v>
      </c>
      <c r="AA1324" s="56">
        <f t="shared" si="1303"/>
        <v>1</v>
      </c>
      <c r="AB1324" s="299">
        <v>45715</v>
      </c>
      <c r="AC1324" s="276" t="s">
        <v>99</v>
      </c>
      <c r="AD1324" s="54"/>
      <c r="AE1324" s="55">
        <v>2</v>
      </c>
      <c r="AF1324" s="55"/>
      <c r="AG1324" s="55"/>
      <c r="AH1324" s="56">
        <f t="shared" si="1304"/>
        <v>2</v>
      </c>
      <c r="AI1324" s="54"/>
      <c r="AJ1324" s="55"/>
      <c r="AK1324" s="55"/>
      <c r="AL1324" s="55"/>
      <c r="AM1324" s="56">
        <f t="shared" si="1305"/>
        <v>0</v>
      </c>
      <c r="AN1324" s="54"/>
      <c r="AO1324" s="55"/>
      <c r="AP1324" s="55"/>
      <c r="AQ1324" s="55"/>
      <c r="AR1324" s="56">
        <f t="shared" si="1306"/>
        <v>0</v>
      </c>
      <c r="AS1324" s="54"/>
      <c r="AT1324" s="55"/>
      <c r="AU1324" s="55"/>
      <c r="AV1324" s="55">
        <v>2</v>
      </c>
      <c r="AW1324" s="56">
        <f t="shared" si="1307"/>
        <v>2</v>
      </c>
      <c r="AX1324" s="55"/>
      <c r="AY1324" s="55"/>
      <c r="AZ1324" s="55"/>
      <c r="BA1324" s="55"/>
      <c r="BB1324" s="56">
        <f t="shared" si="1308"/>
        <v>0</v>
      </c>
      <c r="BC1324" s="56">
        <f t="shared" si="1309"/>
        <v>4</v>
      </c>
      <c r="BD1324" s="298">
        <v>45734</v>
      </c>
      <c r="BE1324" s="277"/>
      <c r="BF1324" s="54"/>
      <c r="BG1324" s="55"/>
      <c r="BH1324" s="55"/>
      <c r="BI1324" s="55"/>
      <c r="BJ1324" s="56">
        <f t="shared" si="1274"/>
        <v>0</v>
      </c>
    </row>
    <row r="1325" spans="1:62" x14ac:dyDescent="0.15">
      <c r="A1325" s="53" t="s">
        <v>98</v>
      </c>
      <c r="B1325" s="54"/>
      <c r="C1325" s="55"/>
      <c r="D1325" s="55"/>
      <c r="E1325" s="55"/>
      <c r="F1325" s="56">
        <f t="shared" si="1298"/>
        <v>0</v>
      </c>
      <c r="G1325" s="54"/>
      <c r="H1325" s="55">
        <v>1</v>
      </c>
      <c r="I1325" s="55"/>
      <c r="J1325" s="55"/>
      <c r="K1325" s="56">
        <f t="shared" si="1299"/>
        <v>1</v>
      </c>
      <c r="L1325" s="54"/>
      <c r="M1325" s="55"/>
      <c r="N1325" s="55"/>
      <c r="O1325" s="55"/>
      <c r="P1325" s="56">
        <f t="shared" si="1300"/>
        <v>0</v>
      </c>
      <c r="Q1325" s="54"/>
      <c r="R1325" s="55"/>
      <c r="S1325" s="55"/>
      <c r="T1325" s="55">
        <v>1</v>
      </c>
      <c r="U1325" s="56">
        <f t="shared" si="1301"/>
        <v>1</v>
      </c>
      <c r="V1325" s="55"/>
      <c r="W1325" s="55"/>
      <c r="X1325" s="55"/>
      <c r="Y1325" s="55"/>
      <c r="Z1325" s="56">
        <f t="shared" si="1302"/>
        <v>0</v>
      </c>
      <c r="AA1325" s="56">
        <f t="shared" si="1303"/>
        <v>2</v>
      </c>
      <c r="AB1325" s="299">
        <v>45719</v>
      </c>
      <c r="AC1325" s="276" t="s">
        <v>99</v>
      </c>
      <c r="AD1325" s="54"/>
      <c r="AE1325" s="55"/>
      <c r="AF1325" s="55"/>
      <c r="AG1325" s="55"/>
      <c r="AH1325" s="56">
        <f t="shared" si="1304"/>
        <v>0</v>
      </c>
      <c r="AI1325" s="54">
        <v>2</v>
      </c>
      <c r="AJ1325" s="55">
        <v>2</v>
      </c>
      <c r="AK1325" s="55"/>
      <c r="AL1325" s="55"/>
      <c r="AM1325" s="56">
        <f t="shared" si="1305"/>
        <v>4</v>
      </c>
      <c r="AN1325" s="54"/>
      <c r="AO1325" s="55"/>
      <c r="AP1325" s="55"/>
      <c r="AQ1325" s="55"/>
      <c r="AR1325" s="56">
        <f t="shared" si="1306"/>
        <v>0</v>
      </c>
      <c r="AS1325" s="54"/>
      <c r="AT1325" s="55">
        <v>2</v>
      </c>
      <c r="AU1325" s="55"/>
      <c r="AV1325" s="55"/>
      <c r="AW1325" s="56">
        <f t="shared" si="1307"/>
        <v>2</v>
      </c>
      <c r="AX1325" s="55"/>
      <c r="AY1325" s="55">
        <v>2</v>
      </c>
      <c r="AZ1325" s="55">
        <v>2</v>
      </c>
      <c r="BA1325" s="55">
        <v>2</v>
      </c>
      <c r="BB1325" s="56">
        <f t="shared" si="1308"/>
        <v>6</v>
      </c>
      <c r="BC1325" s="56">
        <f t="shared" si="1309"/>
        <v>12</v>
      </c>
      <c r="BD1325" s="298">
        <v>45748</v>
      </c>
      <c r="BE1325" s="277"/>
      <c r="BF1325" s="54"/>
      <c r="BG1325" s="55"/>
      <c r="BH1325" s="55"/>
      <c r="BI1325" s="55"/>
      <c r="BJ1325" s="56">
        <f t="shared" si="1274"/>
        <v>0</v>
      </c>
    </row>
    <row r="1326" spans="1:62" x14ac:dyDescent="0.15">
      <c r="A1326" s="53" t="s">
        <v>98</v>
      </c>
      <c r="B1326" s="54"/>
      <c r="C1326" s="55"/>
      <c r="D1326" s="55"/>
      <c r="E1326" s="55"/>
      <c r="F1326" s="56">
        <f t="shared" si="1298"/>
        <v>0</v>
      </c>
      <c r="G1326" s="54">
        <v>1</v>
      </c>
      <c r="H1326" s="55"/>
      <c r="I1326" s="55"/>
      <c r="J1326" s="55"/>
      <c r="K1326" s="56">
        <f t="shared" si="1299"/>
        <v>1</v>
      </c>
      <c r="L1326" s="54"/>
      <c r="M1326" s="55"/>
      <c r="N1326" s="55"/>
      <c r="O1326" s="55"/>
      <c r="P1326" s="56">
        <f t="shared" si="1300"/>
        <v>0</v>
      </c>
      <c r="Q1326" s="54"/>
      <c r="R1326" s="55"/>
      <c r="S1326" s="55"/>
      <c r="T1326" s="55"/>
      <c r="U1326" s="56">
        <f t="shared" si="1301"/>
        <v>0</v>
      </c>
      <c r="V1326" s="55"/>
      <c r="W1326" s="55"/>
      <c r="X1326" s="55"/>
      <c r="Y1326" s="55"/>
      <c r="Z1326" s="56">
        <f t="shared" si="1302"/>
        <v>0</v>
      </c>
      <c r="AA1326" s="56">
        <f t="shared" si="1303"/>
        <v>1</v>
      </c>
      <c r="AB1326" s="299">
        <v>45721</v>
      </c>
      <c r="AC1326" s="276" t="s">
        <v>636</v>
      </c>
      <c r="AD1326" s="54">
        <v>2</v>
      </c>
      <c r="AE1326" s="55">
        <v>2</v>
      </c>
      <c r="AF1326" s="55">
        <v>2</v>
      </c>
      <c r="AG1326" s="55">
        <v>2</v>
      </c>
      <c r="AH1326" s="56">
        <f t="shared" si="1304"/>
        <v>8</v>
      </c>
      <c r="AI1326" s="54">
        <v>2</v>
      </c>
      <c r="AJ1326" s="55">
        <v>2</v>
      </c>
      <c r="AK1326" s="55">
        <v>2</v>
      </c>
      <c r="AL1326" s="55">
        <v>2</v>
      </c>
      <c r="AM1326" s="56">
        <f t="shared" si="1305"/>
        <v>8</v>
      </c>
      <c r="AN1326" s="54">
        <v>2</v>
      </c>
      <c r="AO1326" s="55">
        <v>2</v>
      </c>
      <c r="AP1326" s="55">
        <v>2</v>
      </c>
      <c r="AQ1326" s="55">
        <v>2</v>
      </c>
      <c r="AR1326" s="56">
        <f t="shared" si="1306"/>
        <v>8</v>
      </c>
      <c r="AS1326" s="54">
        <v>2</v>
      </c>
      <c r="AT1326" s="55">
        <v>2</v>
      </c>
      <c r="AU1326" s="55">
        <v>2</v>
      </c>
      <c r="AV1326" s="55">
        <v>2</v>
      </c>
      <c r="AW1326" s="56">
        <f t="shared" si="1307"/>
        <v>8</v>
      </c>
      <c r="AX1326" s="55"/>
      <c r="AY1326" s="55"/>
      <c r="AZ1326" s="55"/>
      <c r="BA1326" s="55"/>
      <c r="BB1326" s="56">
        <f t="shared" si="1308"/>
        <v>0</v>
      </c>
      <c r="BC1326" s="56">
        <f t="shared" si="1309"/>
        <v>32</v>
      </c>
      <c r="BD1326" s="298">
        <v>45756</v>
      </c>
      <c r="BE1326" s="277"/>
      <c r="BF1326" s="54"/>
      <c r="BG1326" s="55"/>
      <c r="BH1326" s="55"/>
      <c r="BI1326" s="55"/>
      <c r="BJ1326" s="56">
        <f t="shared" si="1274"/>
        <v>0</v>
      </c>
    </row>
    <row r="1327" spans="1:62" x14ac:dyDescent="0.15">
      <c r="A1327" s="53" t="s">
        <v>98</v>
      </c>
      <c r="B1327" s="54"/>
      <c r="C1327" s="55"/>
      <c r="D1327" s="55"/>
      <c r="E1327" s="55"/>
      <c r="F1327" s="56">
        <f t="shared" si="1298"/>
        <v>0</v>
      </c>
      <c r="G1327" s="54"/>
      <c r="H1327" s="55"/>
      <c r="I1327" s="55"/>
      <c r="J1327" s="55"/>
      <c r="K1327" s="56">
        <f t="shared" si="1299"/>
        <v>0</v>
      </c>
      <c r="L1327" s="54"/>
      <c r="M1327" s="55"/>
      <c r="N1327" s="55"/>
      <c r="O1327" s="55"/>
      <c r="P1327" s="56">
        <f t="shared" si="1300"/>
        <v>0</v>
      </c>
      <c r="Q1327" s="54"/>
      <c r="R1327" s="55"/>
      <c r="S1327" s="55"/>
      <c r="T1327" s="55">
        <v>1</v>
      </c>
      <c r="U1327" s="56">
        <f t="shared" si="1301"/>
        <v>1</v>
      </c>
      <c r="V1327" s="55"/>
      <c r="W1327" s="55"/>
      <c r="X1327" s="55"/>
      <c r="Y1327" s="55"/>
      <c r="Z1327" s="56">
        <f t="shared" si="1302"/>
        <v>0</v>
      </c>
      <c r="AA1327" s="56">
        <f t="shared" si="1303"/>
        <v>1</v>
      </c>
      <c r="AB1327" s="299">
        <v>45726</v>
      </c>
      <c r="AC1327" s="276" t="s">
        <v>637</v>
      </c>
      <c r="AD1327" s="54">
        <v>2</v>
      </c>
      <c r="AE1327" s="55">
        <v>2</v>
      </c>
      <c r="AF1327" s="55">
        <v>2</v>
      </c>
      <c r="AG1327" s="55">
        <v>2</v>
      </c>
      <c r="AH1327" s="56">
        <f t="shared" si="1304"/>
        <v>8</v>
      </c>
      <c r="AI1327" s="54">
        <v>2</v>
      </c>
      <c r="AJ1327" s="55">
        <v>2</v>
      </c>
      <c r="AK1327" s="55">
        <v>2</v>
      </c>
      <c r="AL1327" s="55">
        <v>2</v>
      </c>
      <c r="AM1327" s="56">
        <f t="shared" si="1305"/>
        <v>8</v>
      </c>
      <c r="AN1327" s="54">
        <v>2</v>
      </c>
      <c r="AO1327" s="55">
        <v>2</v>
      </c>
      <c r="AP1327" s="55">
        <v>2</v>
      </c>
      <c r="AQ1327" s="55">
        <v>2</v>
      </c>
      <c r="AR1327" s="56">
        <f t="shared" si="1306"/>
        <v>8</v>
      </c>
      <c r="AS1327" s="54">
        <v>2</v>
      </c>
      <c r="AT1327" s="55">
        <v>2</v>
      </c>
      <c r="AU1327" s="55">
        <v>2</v>
      </c>
      <c r="AV1327" s="55">
        <v>2</v>
      </c>
      <c r="AW1327" s="56">
        <f t="shared" si="1307"/>
        <v>8</v>
      </c>
      <c r="AX1327" s="55"/>
      <c r="AY1327" s="55"/>
      <c r="AZ1327" s="55"/>
      <c r="BA1327" s="55"/>
      <c r="BB1327" s="56">
        <f t="shared" si="1308"/>
        <v>0</v>
      </c>
      <c r="BC1327" s="56">
        <f t="shared" si="1309"/>
        <v>32</v>
      </c>
      <c r="BD1327" s="298">
        <v>45756</v>
      </c>
      <c r="BE1327" s="277"/>
      <c r="BF1327" s="54"/>
      <c r="BG1327" s="55"/>
      <c r="BH1327" s="55"/>
      <c r="BI1327" s="55"/>
      <c r="BJ1327" s="56">
        <f t="shared" si="1274"/>
        <v>0</v>
      </c>
    </row>
    <row r="1328" spans="1:62" x14ac:dyDescent="0.15">
      <c r="A1328" s="53" t="s">
        <v>98</v>
      </c>
      <c r="B1328" s="54"/>
      <c r="C1328" s="55">
        <v>1</v>
      </c>
      <c r="D1328" s="55"/>
      <c r="E1328" s="55"/>
      <c r="F1328" s="56">
        <f t="shared" si="1298"/>
        <v>1</v>
      </c>
      <c r="G1328" s="54"/>
      <c r="H1328" s="55"/>
      <c r="I1328" s="55"/>
      <c r="J1328" s="55"/>
      <c r="K1328" s="56">
        <f t="shared" si="1299"/>
        <v>0</v>
      </c>
      <c r="L1328" s="54"/>
      <c r="M1328" s="55"/>
      <c r="N1328" s="55"/>
      <c r="O1328" s="55"/>
      <c r="P1328" s="56">
        <f t="shared" si="1300"/>
        <v>0</v>
      </c>
      <c r="Q1328" s="54"/>
      <c r="R1328" s="55"/>
      <c r="S1328" s="55"/>
      <c r="T1328" s="55"/>
      <c r="U1328" s="56">
        <f t="shared" si="1301"/>
        <v>0</v>
      </c>
      <c r="V1328" s="55"/>
      <c r="W1328" s="55"/>
      <c r="X1328" s="55"/>
      <c r="Y1328" s="55"/>
      <c r="Z1328" s="56">
        <f t="shared" si="1302"/>
        <v>0</v>
      </c>
      <c r="AA1328" s="56">
        <f t="shared" si="1303"/>
        <v>1</v>
      </c>
      <c r="AB1328" s="299">
        <v>45728</v>
      </c>
      <c r="AC1328" s="276" t="s">
        <v>638</v>
      </c>
      <c r="AD1328" s="54"/>
      <c r="AE1328" s="55"/>
      <c r="AF1328" s="55"/>
      <c r="AG1328" s="55"/>
      <c r="AH1328" s="56">
        <f t="shared" si="1304"/>
        <v>0</v>
      </c>
      <c r="AI1328" s="54"/>
      <c r="AJ1328" s="55">
        <v>3</v>
      </c>
      <c r="AK1328" s="55"/>
      <c r="AL1328" s="55"/>
      <c r="AM1328" s="56">
        <f t="shared" si="1305"/>
        <v>3</v>
      </c>
      <c r="AN1328" s="54"/>
      <c r="AO1328" s="55"/>
      <c r="AP1328" s="55"/>
      <c r="AQ1328" s="55"/>
      <c r="AR1328" s="56">
        <f t="shared" si="1306"/>
        <v>0</v>
      </c>
      <c r="AS1328" s="54">
        <v>3</v>
      </c>
      <c r="AT1328" s="55"/>
      <c r="AU1328" s="55"/>
      <c r="AV1328" s="55"/>
      <c r="AW1328" s="56">
        <f t="shared" si="1307"/>
        <v>3</v>
      </c>
      <c r="AX1328" s="55"/>
      <c r="AY1328" s="55"/>
      <c r="AZ1328" s="55"/>
      <c r="BA1328" s="55"/>
      <c r="BB1328" s="56">
        <f t="shared" si="1308"/>
        <v>0</v>
      </c>
      <c r="BC1328" s="56">
        <f t="shared" si="1309"/>
        <v>6</v>
      </c>
      <c r="BD1328" s="298">
        <v>45757</v>
      </c>
      <c r="BE1328" s="277"/>
      <c r="BF1328" s="54"/>
      <c r="BG1328" s="55"/>
      <c r="BH1328" s="55"/>
      <c r="BI1328" s="55"/>
      <c r="BJ1328" s="56">
        <f t="shared" si="1274"/>
        <v>0</v>
      </c>
    </row>
    <row r="1329" spans="1:62" x14ac:dyDescent="0.15">
      <c r="A1329" s="53" t="s">
        <v>98</v>
      </c>
      <c r="B1329" s="54"/>
      <c r="C1329" s="55"/>
      <c r="D1329" s="55"/>
      <c r="E1329" s="55"/>
      <c r="F1329" s="56">
        <f t="shared" si="1298"/>
        <v>0</v>
      </c>
      <c r="G1329" s="54"/>
      <c r="H1329" s="55"/>
      <c r="I1329" s="55"/>
      <c r="J1329" s="55"/>
      <c r="K1329" s="56">
        <f t="shared" si="1299"/>
        <v>0</v>
      </c>
      <c r="L1329" s="54"/>
      <c r="M1329" s="55"/>
      <c r="N1329" s="55"/>
      <c r="O1329" s="55"/>
      <c r="P1329" s="56">
        <f t="shared" si="1300"/>
        <v>0</v>
      </c>
      <c r="Q1329" s="54"/>
      <c r="R1329" s="55">
        <v>1</v>
      </c>
      <c r="S1329" s="55"/>
      <c r="T1329" s="55"/>
      <c r="U1329" s="56">
        <f t="shared" si="1301"/>
        <v>1</v>
      </c>
      <c r="V1329" s="55"/>
      <c r="W1329" s="55"/>
      <c r="X1329" s="55"/>
      <c r="Y1329" s="55"/>
      <c r="Z1329" s="56">
        <f t="shared" si="1302"/>
        <v>0</v>
      </c>
      <c r="AA1329" s="56">
        <f t="shared" si="1303"/>
        <v>1</v>
      </c>
      <c r="AB1329" s="299">
        <v>45740</v>
      </c>
      <c r="AC1329" s="276" t="s">
        <v>639</v>
      </c>
      <c r="AD1329" s="54"/>
      <c r="AE1329" s="55"/>
      <c r="AF1329" s="55"/>
      <c r="AG1329" s="55"/>
      <c r="AH1329" s="56">
        <f t="shared" si="1304"/>
        <v>0</v>
      </c>
      <c r="AI1329" s="54"/>
      <c r="AJ1329" s="55"/>
      <c r="AK1329" s="55"/>
      <c r="AL1329" s="55"/>
      <c r="AM1329" s="56">
        <f t="shared" si="1305"/>
        <v>0</v>
      </c>
      <c r="AN1329" s="54"/>
      <c r="AO1329" s="55"/>
      <c r="AP1329" s="55"/>
      <c r="AQ1329" s="55"/>
      <c r="AR1329" s="56">
        <f t="shared" si="1306"/>
        <v>0</v>
      </c>
      <c r="AS1329" s="54"/>
      <c r="AT1329" s="55">
        <v>3</v>
      </c>
      <c r="AU1329" s="55"/>
      <c r="AV1329" s="55"/>
      <c r="AW1329" s="56">
        <f t="shared" si="1307"/>
        <v>3</v>
      </c>
      <c r="AX1329" s="55"/>
      <c r="AY1329" s="55"/>
      <c r="AZ1329" s="55"/>
      <c r="BA1329" s="55"/>
      <c r="BB1329" s="56">
        <f t="shared" si="1308"/>
        <v>0</v>
      </c>
      <c r="BC1329" s="56">
        <f t="shared" si="1309"/>
        <v>3</v>
      </c>
      <c r="BD1329" s="298">
        <v>45758</v>
      </c>
      <c r="BE1329" s="277"/>
      <c r="BF1329" s="54"/>
      <c r="BG1329" s="55"/>
      <c r="BH1329" s="55"/>
      <c r="BI1329" s="55"/>
      <c r="BJ1329" s="56">
        <f t="shared" si="1274"/>
        <v>0</v>
      </c>
    </row>
    <row r="1330" spans="1:62" x14ac:dyDescent="0.15">
      <c r="A1330" s="53" t="s">
        <v>98</v>
      </c>
      <c r="B1330" s="54"/>
      <c r="C1330" s="55"/>
      <c r="D1330" s="55"/>
      <c r="E1330" s="55"/>
      <c r="F1330" s="56">
        <f t="shared" si="1298"/>
        <v>0</v>
      </c>
      <c r="G1330" s="54"/>
      <c r="H1330" s="55"/>
      <c r="I1330" s="55"/>
      <c r="J1330" s="55"/>
      <c r="K1330" s="56">
        <f t="shared" si="1299"/>
        <v>0</v>
      </c>
      <c r="L1330" s="54"/>
      <c r="M1330" s="55"/>
      <c r="N1330" s="55"/>
      <c r="O1330" s="55"/>
      <c r="P1330" s="56">
        <f t="shared" si="1300"/>
        <v>0</v>
      </c>
      <c r="Q1330" s="54"/>
      <c r="R1330" s="55"/>
      <c r="S1330" s="55"/>
      <c r="T1330" s="55"/>
      <c r="U1330" s="56">
        <f t="shared" si="1301"/>
        <v>0</v>
      </c>
      <c r="V1330" s="55"/>
      <c r="W1330" s="55"/>
      <c r="X1330" s="55"/>
      <c r="Y1330" s="55">
        <v>1</v>
      </c>
      <c r="Z1330" s="56">
        <f t="shared" si="1302"/>
        <v>1</v>
      </c>
      <c r="AA1330" s="56">
        <f t="shared" si="1303"/>
        <v>1</v>
      </c>
      <c r="AB1330" s="298">
        <v>45743</v>
      </c>
      <c r="AC1330" s="276" t="s">
        <v>640</v>
      </c>
      <c r="AD1330" s="54"/>
      <c r="AE1330" s="55"/>
      <c r="AF1330" s="55"/>
      <c r="AG1330" s="55"/>
      <c r="AH1330" s="56">
        <f t="shared" si="1287"/>
        <v>0</v>
      </c>
      <c r="AI1330" s="54"/>
      <c r="AJ1330" s="55"/>
      <c r="AK1330" s="55"/>
      <c r="AL1330" s="55"/>
      <c r="AM1330" s="56">
        <f t="shared" si="1288"/>
        <v>0</v>
      </c>
      <c r="AN1330" s="54"/>
      <c r="AO1330" s="55"/>
      <c r="AP1330" s="55"/>
      <c r="AQ1330" s="55"/>
      <c r="AR1330" s="56">
        <f t="shared" si="1289"/>
        <v>0</v>
      </c>
      <c r="AS1330" s="54">
        <v>3</v>
      </c>
      <c r="AT1330" s="55">
        <v>3</v>
      </c>
      <c r="AU1330" s="55">
        <v>3</v>
      </c>
      <c r="AV1330" s="55"/>
      <c r="AW1330" s="56">
        <f t="shared" si="1290"/>
        <v>9</v>
      </c>
      <c r="AX1330" s="55"/>
      <c r="AY1330" s="55"/>
      <c r="AZ1330" s="55"/>
      <c r="BA1330" s="55"/>
      <c r="BB1330" s="56">
        <f t="shared" si="1291"/>
        <v>0</v>
      </c>
      <c r="BC1330" s="56">
        <f t="shared" ref="BC1330:BC1344" si="1310">AH1330+AM1330+AR1330+AW1330+BB1330</f>
        <v>9</v>
      </c>
      <c r="BD1330" s="298">
        <v>45758</v>
      </c>
      <c r="BE1330" s="277"/>
      <c r="BF1330" s="54"/>
      <c r="BG1330" s="55"/>
      <c r="BH1330" s="55"/>
      <c r="BI1330" s="55"/>
      <c r="BJ1330" s="56">
        <f t="shared" si="1274"/>
        <v>0</v>
      </c>
    </row>
    <row r="1331" spans="1:62" x14ac:dyDescent="0.15">
      <c r="A1331" s="53" t="s">
        <v>98</v>
      </c>
      <c r="B1331" s="54"/>
      <c r="C1331" s="55"/>
      <c r="D1331" s="55"/>
      <c r="E1331" s="55"/>
      <c r="F1331" s="56">
        <f t="shared" si="1298"/>
        <v>0</v>
      </c>
      <c r="G1331" s="54"/>
      <c r="H1331" s="55">
        <v>1</v>
      </c>
      <c r="I1331" s="55">
        <v>1</v>
      </c>
      <c r="J1331" s="55"/>
      <c r="K1331" s="56">
        <f t="shared" si="1299"/>
        <v>2</v>
      </c>
      <c r="L1331" s="54"/>
      <c r="M1331" s="55"/>
      <c r="N1331" s="55"/>
      <c r="O1331" s="55"/>
      <c r="P1331" s="56">
        <f t="shared" si="1300"/>
        <v>0</v>
      </c>
      <c r="Q1331" s="54">
        <v>1</v>
      </c>
      <c r="R1331" s="55"/>
      <c r="S1331" s="55"/>
      <c r="T1331" s="55"/>
      <c r="U1331" s="56">
        <f t="shared" si="1301"/>
        <v>1</v>
      </c>
      <c r="V1331" s="55"/>
      <c r="W1331" s="55"/>
      <c r="X1331" s="55"/>
      <c r="Y1331" s="55"/>
      <c r="Z1331" s="56">
        <f t="shared" si="1302"/>
        <v>0</v>
      </c>
      <c r="AA1331" s="56">
        <f t="shared" si="1303"/>
        <v>3</v>
      </c>
      <c r="AB1331" s="298">
        <v>45761</v>
      </c>
      <c r="AC1331" s="276" t="s">
        <v>641</v>
      </c>
      <c r="AD1331" s="54"/>
      <c r="AE1331" s="55"/>
      <c r="AF1331" s="55"/>
      <c r="AG1331" s="55"/>
      <c r="AH1331" s="56">
        <f t="shared" si="1287"/>
        <v>0</v>
      </c>
      <c r="AI1331" s="54">
        <v>3</v>
      </c>
      <c r="AJ1331" s="55"/>
      <c r="AK1331" s="55"/>
      <c r="AL1331" s="55"/>
      <c r="AM1331" s="56">
        <f t="shared" si="1288"/>
        <v>3</v>
      </c>
      <c r="AN1331" s="54"/>
      <c r="AO1331" s="55"/>
      <c r="AP1331" s="55"/>
      <c r="AQ1331" s="55"/>
      <c r="AR1331" s="56">
        <f t="shared" si="1289"/>
        <v>0</v>
      </c>
      <c r="AS1331" s="54"/>
      <c r="AT1331" s="55"/>
      <c r="AU1331" s="55"/>
      <c r="AV1331" s="55"/>
      <c r="AW1331" s="56">
        <f t="shared" si="1290"/>
        <v>0</v>
      </c>
      <c r="AX1331" s="55"/>
      <c r="AY1331" s="55"/>
      <c r="AZ1331" s="55"/>
      <c r="BA1331" s="55"/>
      <c r="BB1331" s="56">
        <f t="shared" si="1291"/>
        <v>0</v>
      </c>
      <c r="BC1331" s="56">
        <f t="shared" si="1310"/>
        <v>3</v>
      </c>
      <c r="BD1331" s="298">
        <v>45762</v>
      </c>
      <c r="BE1331" s="277"/>
      <c r="BF1331" s="54"/>
      <c r="BG1331" s="55"/>
      <c r="BH1331" s="55"/>
      <c r="BI1331" s="55"/>
      <c r="BJ1331" s="56">
        <f t="shared" si="1274"/>
        <v>0</v>
      </c>
    </row>
    <row r="1332" spans="1:62" x14ac:dyDescent="0.15">
      <c r="A1332" s="276" t="s">
        <v>644</v>
      </c>
      <c r="B1332" s="54"/>
      <c r="C1332" s="55"/>
      <c r="D1332" s="55">
        <v>1</v>
      </c>
      <c r="E1332" s="55">
        <v>1</v>
      </c>
      <c r="F1332" s="56">
        <f t="shared" si="1298"/>
        <v>2</v>
      </c>
      <c r="G1332" s="54"/>
      <c r="H1332" s="55"/>
      <c r="I1332" s="55"/>
      <c r="J1332" s="55"/>
      <c r="K1332" s="56">
        <f t="shared" ref="K1332" si="1311">SUM(G1332:J1332)</f>
        <v>0</v>
      </c>
      <c r="L1332" s="54"/>
      <c r="M1332" s="55"/>
      <c r="N1332" s="55"/>
      <c r="O1332" s="55"/>
      <c r="P1332" s="56">
        <f t="shared" ref="P1332" si="1312">SUM(L1332:O1332)</f>
        <v>0</v>
      </c>
      <c r="Q1332" s="54"/>
      <c r="R1332" s="55"/>
      <c r="S1332" s="55"/>
      <c r="T1332" s="55"/>
      <c r="U1332" s="56">
        <f t="shared" ref="U1332" si="1313">SUM(Q1332:T1332)</f>
        <v>0</v>
      </c>
      <c r="V1332" s="55"/>
      <c r="W1332" s="55"/>
      <c r="X1332" s="55"/>
      <c r="Y1332" s="55"/>
      <c r="Z1332" s="56">
        <f t="shared" ref="Z1332" si="1314">SUM(V1332:Y1332)</f>
        <v>0</v>
      </c>
      <c r="AA1332" s="56">
        <f t="shared" si="1303"/>
        <v>2</v>
      </c>
      <c r="AB1332" s="298">
        <v>45765</v>
      </c>
      <c r="AC1332" s="276" t="s">
        <v>642</v>
      </c>
      <c r="AD1332" s="54"/>
      <c r="AE1332" s="55"/>
      <c r="AF1332" s="55"/>
      <c r="AG1332" s="55"/>
      <c r="AH1332" s="56">
        <f t="shared" si="1287"/>
        <v>0</v>
      </c>
      <c r="AI1332" s="54"/>
      <c r="AJ1332" s="55"/>
      <c r="AK1332" s="55">
        <v>3</v>
      </c>
      <c r="AL1332" s="55">
        <v>3</v>
      </c>
      <c r="AM1332" s="56">
        <f t="shared" si="1288"/>
        <v>6</v>
      </c>
      <c r="AN1332" s="54"/>
      <c r="AO1332" s="55"/>
      <c r="AP1332" s="55"/>
      <c r="AQ1332" s="55"/>
      <c r="AR1332" s="56">
        <f t="shared" si="1289"/>
        <v>0</v>
      </c>
      <c r="AS1332" s="54"/>
      <c r="AT1332" s="55"/>
      <c r="AU1332" s="55"/>
      <c r="AV1332" s="55"/>
      <c r="AW1332" s="56">
        <f t="shared" si="1290"/>
        <v>0</v>
      </c>
      <c r="AX1332" s="55"/>
      <c r="AY1332" s="55"/>
      <c r="AZ1332" s="55"/>
      <c r="BA1332" s="55"/>
      <c r="BB1332" s="56">
        <f t="shared" si="1291"/>
        <v>0</v>
      </c>
      <c r="BC1332" s="56">
        <f t="shared" si="1310"/>
        <v>6</v>
      </c>
      <c r="BD1332" s="298">
        <v>45764</v>
      </c>
      <c r="BE1332" s="277"/>
      <c r="BF1332" s="54"/>
      <c r="BG1332" s="55"/>
      <c r="BH1332" s="55"/>
      <c r="BI1332" s="55"/>
      <c r="BJ1332" s="56">
        <f t="shared" si="1274"/>
        <v>0</v>
      </c>
    </row>
    <row r="1333" spans="1:62" x14ac:dyDescent="0.15">
      <c r="A1333" s="53" t="s">
        <v>98</v>
      </c>
      <c r="B1333" s="54"/>
      <c r="C1333" s="55"/>
      <c r="D1333" s="55"/>
      <c r="E1333" s="55"/>
      <c r="F1333" s="56">
        <f t="shared" si="1298"/>
        <v>0</v>
      </c>
      <c r="G1333" s="54"/>
      <c r="H1333" s="55"/>
      <c r="I1333" s="55">
        <v>1</v>
      </c>
      <c r="J1333" s="55"/>
      <c r="K1333" s="56">
        <f t="shared" si="1299"/>
        <v>1</v>
      </c>
      <c r="L1333" s="54"/>
      <c r="M1333" s="55"/>
      <c r="N1333" s="55"/>
      <c r="O1333" s="55"/>
      <c r="P1333" s="56">
        <f t="shared" si="1300"/>
        <v>0</v>
      </c>
      <c r="Q1333" s="54"/>
      <c r="R1333" s="55"/>
      <c r="S1333" s="55"/>
      <c r="T1333" s="55"/>
      <c r="U1333" s="56">
        <f t="shared" si="1301"/>
        <v>0</v>
      </c>
      <c r="V1333" s="55"/>
      <c r="W1333" s="55"/>
      <c r="X1333" s="55"/>
      <c r="Y1333" s="55"/>
      <c r="Z1333" s="56">
        <f t="shared" si="1302"/>
        <v>0</v>
      </c>
      <c r="AA1333" s="56">
        <f t="shared" si="1303"/>
        <v>1</v>
      </c>
      <c r="AB1333" s="298">
        <v>45762</v>
      </c>
      <c r="AC1333" s="276" t="s">
        <v>643</v>
      </c>
      <c r="AD1333" s="54"/>
      <c r="AE1333" s="55"/>
      <c r="AF1333" s="55"/>
      <c r="AG1333" s="55"/>
      <c r="AH1333" s="56">
        <f t="shared" si="1287"/>
        <v>0</v>
      </c>
      <c r="AI1333" s="54"/>
      <c r="AJ1333" s="55">
        <v>3</v>
      </c>
      <c r="AK1333" s="55"/>
      <c r="AL1333" s="55"/>
      <c r="AM1333" s="56">
        <f t="shared" si="1288"/>
        <v>3</v>
      </c>
      <c r="AN1333" s="54"/>
      <c r="AO1333" s="55"/>
      <c r="AP1333" s="55"/>
      <c r="AQ1333" s="55"/>
      <c r="AR1333" s="56">
        <f t="shared" si="1289"/>
        <v>0</v>
      </c>
      <c r="AS1333" s="54"/>
      <c r="AT1333" s="55"/>
      <c r="AU1333" s="55"/>
      <c r="AV1333" s="55">
        <v>4</v>
      </c>
      <c r="AW1333" s="56">
        <f t="shared" si="1290"/>
        <v>4</v>
      </c>
      <c r="AX1333" s="55"/>
      <c r="AY1333" s="55"/>
      <c r="AZ1333" s="55"/>
      <c r="BA1333" s="55"/>
      <c r="BB1333" s="56">
        <f t="shared" si="1291"/>
        <v>0</v>
      </c>
      <c r="BC1333" s="56">
        <f t="shared" si="1310"/>
        <v>7</v>
      </c>
      <c r="BD1333" s="298">
        <v>45764</v>
      </c>
      <c r="BE1333" s="276"/>
      <c r="BF1333" s="54"/>
      <c r="BG1333" s="55"/>
      <c r="BH1333" s="55"/>
      <c r="BI1333" s="55"/>
      <c r="BJ1333" s="56">
        <f t="shared" si="1274"/>
        <v>0</v>
      </c>
    </row>
    <row r="1334" spans="1:62" x14ac:dyDescent="0.15">
      <c r="A1334" s="53" t="s">
        <v>646</v>
      </c>
      <c r="B1334" s="54"/>
      <c r="C1334" s="55"/>
      <c r="D1334" s="55"/>
      <c r="E1334" s="55"/>
      <c r="F1334" s="56">
        <f t="shared" si="1298"/>
        <v>0</v>
      </c>
      <c r="G1334" s="54"/>
      <c r="H1334" s="55"/>
      <c r="I1334" s="55"/>
      <c r="J1334" s="55"/>
      <c r="K1334" s="56">
        <f t="shared" si="1299"/>
        <v>0</v>
      </c>
      <c r="L1334" s="54"/>
      <c r="M1334" s="55"/>
      <c r="N1334" s="55"/>
      <c r="O1334" s="55"/>
      <c r="P1334" s="56">
        <f t="shared" si="1300"/>
        <v>0</v>
      </c>
      <c r="Q1334" s="54"/>
      <c r="R1334" s="55"/>
      <c r="S1334" s="55">
        <v>1</v>
      </c>
      <c r="T1334" s="55"/>
      <c r="U1334" s="56">
        <f t="shared" si="1301"/>
        <v>1</v>
      </c>
      <c r="V1334" s="55"/>
      <c r="W1334" s="55"/>
      <c r="X1334" s="55"/>
      <c r="Y1334" s="55"/>
      <c r="Z1334" s="56">
        <f t="shared" si="1302"/>
        <v>0</v>
      </c>
      <c r="AA1334" s="56">
        <f t="shared" si="1303"/>
        <v>1</v>
      </c>
      <c r="AB1334" s="298">
        <v>45773</v>
      </c>
      <c r="AC1334" s="276" t="s">
        <v>99</v>
      </c>
      <c r="AD1334" s="54"/>
      <c r="AE1334" s="55"/>
      <c r="AF1334" s="55"/>
      <c r="AG1334" s="55">
        <v>2</v>
      </c>
      <c r="AH1334" s="56">
        <f t="shared" si="1287"/>
        <v>2</v>
      </c>
      <c r="AI1334" s="54"/>
      <c r="AJ1334" s="55"/>
      <c r="AK1334" s="55">
        <v>2</v>
      </c>
      <c r="AL1334" s="55"/>
      <c r="AM1334" s="56">
        <f t="shared" si="1288"/>
        <v>2</v>
      </c>
      <c r="AN1334" s="54"/>
      <c r="AO1334" s="55"/>
      <c r="AP1334" s="55"/>
      <c r="AQ1334" s="55"/>
      <c r="AR1334" s="56">
        <f t="shared" si="1289"/>
        <v>0</v>
      </c>
      <c r="AS1334" s="54"/>
      <c r="AT1334" s="55"/>
      <c r="AU1334" s="55"/>
      <c r="AV1334" s="55"/>
      <c r="AW1334" s="56">
        <f t="shared" si="1290"/>
        <v>0</v>
      </c>
      <c r="AX1334" s="55"/>
      <c r="AY1334" s="55"/>
      <c r="AZ1334" s="55"/>
      <c r="BA1334" s="55"/>
      <c r="BB1334" s="56">
        <f t="shared" si="1291"/>
        <v>0</v>
      </c>
      <c r="BC1334" s="56">
        <f t="shared" si="1310"/>
        <v>4</v>
      </c>
      <c r="BD1334" s="298">
        <v>45764</v>
      </c>
      <c r="BE1334" s="277"/>
      <c r="BF1334" s="54"/>
      <c r="BG1334" s="55"/>
      <c r="BH1334" s="55"/>
      <c r="BI1334" s="55"/>
      <c r="BJ1334" s="56">
        <f t="shared" si="1274"/>
        <v>0</v>
      </c>
    </row>
    <row r="1335" spans="1:62" x14ac:dyDescent="0.15">
      <c r="A1335" s="276" t="s">
        <v>650</v>
      </c>
      <c r="B1335" s="54"/>
      <c r="C1335" s="55"/>
      <c r="D1335" s="55"/>
      <c r="E1335" s="55"/>
      <c r="F1335" s="56">
        <f t="shared" si="1298"/>
        <v>0</v>
      </c>
      <c r="G1335" s="54"/>
      <c r="H1335" s="55"/>
      <c r="I1335" s="55"/>
      <c r="J1335" s="55"/>
      <c r="K1335" s="56">
        <f t="shared" si="1299"/>
        <v>0</v>
      </c>
      <c r="L1335" s="54"/>
      <c r="M1335" s="55"/>
      <c r="N1335" s="55"/>
      <c r="O1335" s="55"/>
      <c r="P1335" s="56">
        <f t="shared" si="1300"/>
        <v>0</v>
      </c>
      <c r="Q1335" s="54"/>
      <c r="R1335" s="55">
        <v>2</v>
      </c>
      <c r="S1335" s="55"/>
      <c r="T1335" s="55"/>
      <c r="U1335" s="56">
        <f t="shared" si="1301"/>
        <v>2</v>
      </c>
      <c r="V1335" s="55"/>
      <c r="W1335" s="55"/>
      <c r="X1335" s="55"/>
      <c r="Y1335" s="55"/>
      <c r="Z1335" s="56">
        <f t="shared" si="1302"/>
        <v>0</v>
      </c>
      <c r="AA1335" s="56">
        <f t="shared" si="1303"/>
        <v>2</v>
      </c>
      <c r="AB1335" s="298">
        <v>45779</v>
      </c>
      <c r="AC1335" s="276" t="s">
        <v>645</v>
      </c>
      <c r="AD1335" s="54"/>
      <c r="AE1335" s="55"/>
      <c r="AF1335" s="55"/>
      <c r="AG1335" s="55"/>
      <c r="AH1335" s="56">
        <f t="shared" si="1287"/>
        <v>0</v>
      </c>
      <c r="AI1335" s="54"/>
      <c r="AJ1335" s="55"/>
      <c r="AK1335" s="55"/>
      <c r="AL1335" s="55"/>
      <c r="AM1335" s="56">
        <f t="shared" si="1288"/>
        <v>0</v>
      </c>
      <c r="AN1335" s="54"/>
      <c r="AO1335" s="55"/>
      <c r="AP1335" s="55"/>
      <c r="AQ1335" s="55"/>
      <c r="AR1335" s="56">
        <f t="shared" si="1289"/>
        <v>0</v>
      </c>
      <c r="AS1335" s="54"/>
      <c r="AT1335" s="55"/>
      <c r="AU1335" s="55">
        <v>4</v>
      </c>
      <c r="AV1335" s="55"/>
      <c r="AW1335" s="56">
        <f t="shared" si="1290"/>
        <v>4</v>
      </c>
      <c r="AX1335" s="55"/>
      <c r="AY1335" s="55"/>
      <c r="AZ1335" s="55"/>
      <c r="BA1335" s="55"/>
      <c r="BB1335" s="56">
        <f t="shared" si="1291"/>
        <v>0</v>
      </c>
      <c r="BC1335" s="56">
        <f t="shared" si="1310"/>
        <v>4</v>
      </c>
      <c r="BD1335" s="298">
        <v>45775</v>
      </c>
      <c r="BE1335" s="276"/>
      <c r="BF1335" s="54"/>
      <c r="BG1335" s="55"/>
      <c r="BH1335" s="55"/>
      <c r="BI1335" s="55"/>
      <c r="BJ1335" s="56">
        <f t="shared" si="1274"/>
        <v>0</v>
      </c>
    </row>
    <row r="1336" spans="1:62" x14ac:dyDescent="0.15">
      <c r="A1336" s="53" t="s">
        <v>100</v>
      </c>
      <c r="B1336" s="54"/>
      <c r="C1336" s="55"/>
      <c r="D1336" s="55"/>
      <c r="E1336" s="55"/>
      <c r="F1336" s="56">
        <f t="shared" si="1298"/>
        <v>0</v>
      </c>
      <c r="G1336" s="54">
        <v>1</v>
      </c>
      <c r="H1336" s="55"/>
      <c r="I1336" s="55"/>
      <c r="J1336" s="55"/>
      <c r="K1336" s="56">
        <f t="shared" si="1299"/>
        <v>1</v>
      </c>
      <c r="L1336" s="54"/>
      <c r="M1336" s="55"/>
      <c r="N1336" s="55"/>
      <c r="O1336" s="55"/>
      <c r="P1336" s="56">
        <f t="shared" si="1300"/>
        <v>0</v>
      </c>
      <c r="Q1336" s="54"/>
      <c r="R1336" s="55"/>
      <c r="S1336" s="55"/>
      <c r="T1336" s="55"/>
      <c r="U1336" s="56">
        <f t="shared" si="1301"/>
        <v>0</v>
      </c>
      <c r="V1336" s="55"/>
      <c r="W1336" s="55"/>
      <c r="X1336" s="55"/>
      <c r="Y1336" s="55"/>
      <c r="Z1336" s="56">
        <f t="shared" si="1302"/>
        <v>0</v>
      </c>
      <c r="AA1336" s="56">
        <f t="shared" si="1303"/>
        <v>1</v>
      </c>
      <c r="AB1336" s="298">
        <v>45778</v>
      </c>
      <c r="AC1336" s="276" t="s">
        <v>647</v>
      </c>
      <c r="AD1336" s="54"/>
      <c r="AE1336" s="55"/>
      <c r="AF1336" s="55"/>
      <c r="AG1336" s="55"/>
      <c r="AH1336" s="56">
        <f t="shared" si="1287"/>
        <v>0</v>
      </c>
      <c r="AI1336" s="54"/>
      <c r="AJ1336" s="55"/>
      <c r="AK1336" s="55"/>
      <c r="AL1336" s="55"/>
      <c r="AM1336" s="56">
        <f t="shared" si="1288"/>
        <v>0</v>
      </c>
      <c r="AN1336" s="54"/>
      <c r="AO1336" s="55"/>
      <c r="AP1336" s="55"/>
      <c r="AQ1336" s="55"/>
      <c r="AR1336" s="56">
        <f t="shared" si="1289"/>
        <v>0</v>
      </c>
      <c r="AS1336" s="54"/>
      <c r="AT1336" s="55">
        <v>3</v>
      </c>
      <c r="AU1336" s="55"/>
      <c r="AV1336" s="55"/>
      <c r="AW1336" s="56">
        <f t="shared" si="1290"/>
        <v>3</v>
      </c>
      <c r="AX1336" s="55"/>
      <c r="AY1336" s="55"/>
      <c r="AZ1336" s="55"/>
      <c r="BA1336" s="55"/>
      <c r="BB1336" s="56">
        <f t="shared" si="1291"/>
        <v>0</v>
      </c>
      <c r="BC1336" s="56">
        <f t="shared" si="1310"/>
        <v>3</v>
      </c>
      <c r="BD1336" s="298">
        <v>45779</v>
      </c>
      <c r="BE1336" s="277"/>
      <c r="BF1336" s="55"/>
      <c r="BG1336" s="55"/>
      <c r="BH1336" s="55"/>
      <c r="BI1336" s="166"/>
      <c r="BJ1336" s="49">
        <f t="shared" si="1274"/>
        <v>0</v>
      </c>
    </row>
    <row r="1337" spans="1:62" x14ac:dyDescent="0.15">
      <c r="A1337" s="53" t="s">
        <v>98</v>
      </c>
      <c r="B1337" s="54"/>
      <c r="C1337" s="55"/>
      <c r="D1337" s="55"/>
      <c r="E1337" s="55"/>
      <c r="F1337" s="56">
        <f t="shared" si="1298"/>
        <v>0</v>
      </c>
      <c r="G1337" s="54"/>
      <c r="H1337" s="55"/>
      <c r="I1337" s="55"/>
      <c r="J1337" s="55"/>
      <c r="K1337" s="56">
        <f t="shared" si="1299"/>
        <v>0</v>
      </c>
      <c r="L1337" s="54"/>
      <c r="M1337" s="55">
        <v>1</v>
      </c>
      <c r="N1337" s="55"/>
      <c r="O1337" s="55"/>
      <c r="P1337" s="56">
        <f t="shared" si="1300"/>
        <v>1</v>
      </c>
      <c r="Q1337" s="54"/>
      <c r="R1337" s="55"/>
      <c r="S1337" s="55"/>
      <c r="T1337" s="55"/>
      <c r="U1337" s="56">
        <f t="shared" si="1301"/>
        <v>0</v>
      </c>
      <c r="V1337" s="55"/>
      <c r="W1337" s="55"/>
      <c r="X1337" s="55"/>
      <c r="Y1337" s="55"/>
      <c r="Z1337" s="56">
        <f t="shared" si="1302"/>
        <v>0</v>
      </c>
      <c r="AA1337" s="56">
        <f t="shared" si="1303"/>
        <v>1</v>
      </c>
      <c r="AB1337" s="298">
        <v>45779</v>
      </c>
      <c r="AC1337" s="276" t="s">
        <v>648</v>
      </c>
      <c r="AD1337" s="54"/>
      <c r="AE1337" s="55"/>
      <c r="AF1337" s="55"/>
      <c r="AG1337" s="55"/>
      <c r="AH1337" s="56">
        <f t="shared" si="1287"/>
        <v>0</v>
      </c>
      <c r="AI1337" s="54">
        <v>3</v>
      </c>
      <c r="AJ1337" s="55"/>
      <c r="AK1337" s="55"/>
      <c r="AL1337" s="55"/>
      <c r="AM1337" s="56">
        <f t="shared" si="1288"/>
        <v>3</v>
      </c>
      <c r="AN1337" s="54"/>
      <c r="AO1337" s="55"/>
      <c r="AP1337" s="55"/>
      <c r="AQ1337" s="55"/>
      <c r="AR1337" s="56">
        <f t="shared" si="1289"/>
        <v>0</v>
      </c>
      <c r="AS1337" s="54"/>
      <c r="AT1337" s="55"/>
      <c r="AU1337" s="55"/>
      <c r="AV1337" s="55"/>
      <c r="AW1337" s="56">
        <f t="shared" si="1290"/>
        <v>0</v>
      </c>
      <c r="AX1337" s="55"/>
      <c r="AY1337" s="55"/>
      <c r="AZ1337" s="55"/>
      <c r="BA1337" s="55"/>
      <c r="BB1337" s="56">
        <f t="shared" si="1291"/>
        <v>0</v>
      </c>
      <c r="BC1337" s="56">
        <f t="shared" si="1310"/>
        <v>3</v>
      </c>
      <c r="BD1337" s="298">
        <v>45784</v>
      </c>
      <c r="BE1337" s="277"/>
      <c r="BF1337" s="54"/>
      <c r="BG1337" s="55"/>
      <c r="BH1337" s="55"/>
      <c r="BI1337" s="55"/>
      <c r="BJ1337" s="56">
        <f t="shared" si="1274"/>
        <v>0</v>
      </c>
    </row>
    <row r="1338" spans="1:62" x14ac:dyDescent="0.15">
      <c r="A1338" s="53" t="s">
        <v>98</v>
      </c>
      <c r="B1338" s="54"/>
      <c r="C1338" s="55"/>
      <c r="D1338" s="55"/>
      <c r="E1338" s="55"/>
      <c r="F1338" s="56">
        <f t="shared" si="1298"/>
        <v>0</v>
      </c>
      <c r="G1338" s="54"/>
      <c r="H1338" s="55"/>
      <c r="I1338" s="55"/>
      <c r="J1338" s="55"/>
      <c r="K1338" s="56">
        <f t="shared" si="1299"/>
        <v>0</v>
      </c>
      <c r="L1338" s="54"/>
      <c r="M1338" s="55"/>
      <c r="N1338" s="55"/>
      <c r="O1338" s="55"/>
      <c r="P1338" s="56">
        <f t="shared" si="1300"/>
        <v>0</v>
      </c>
      <c r="Q1338" s="54">
        <v>1</v>
      </c>
      <c r="R1338" s="55"/>
      <c r="S1338" s="55"/>
      <c r="T1338" s="55"/>
      <c r="U1338" s="56">
        <f t="shared" si="1301"/>
        <v>1</v>
      </c>
      <c r="V1338" s="55"/>
      <c r="W1338" s="55"/>
      <c r="X1338" s="55"/>
      <c r="Y1338" s="55"/>
      <c r="Z1338" s="56">
        <f t="shared" si="1302"/>
        <v>0</v>
      </c>
      <c r="AA1338" s="56">
        <f t="shared" si="1303"/>
        <v>1</v>
      </c>
      <c r="AB1338" s="298">
        <v>45793</v>
      </c>
      <c r="AC1338" s="276" t="s">
        <v>649</v>
      </c>
      <c r="AD1338" s="54"/>
      <c r="AE1338" s="55"/>
      <c r="AF1338" s="55"/>
      <c r="AG1338" s="55"/>
      <c r="AH1338" s="56">
        <f t="shared" si="1287"/>
        <v>0</v>
      </c>
      <c r="AI1338" s="54">
        <v>4</v>
      </c>
      <c r="AJ1338" s="55"/>
      <c r="AK1338" s="55"/>
      <c r="AL1338" s="55"/>
      <c r="AM1338" s="56">
        <f t="shared" si="1288"/>
        <v>4</v>
      </c>
      <c r="AN1338" s="54"/>
      <c r="AO1338" s="55"/>
      <c r="AP1338" s="55"/>
      <c r="AQ1338" s="55"/>
      <c r="AR1338" s="56">
        <f t="shared" si="1289"/>
        <v>0</v>
      </c>
      <c r="AS1338" s="54"/>
      <c r="AT1338" s="55"/>
      <c r="AU1338" s="55"/>
      <c r="AV1338" s="55"/>
      <c r="AW1338" s="56">
        <f t="shared" si="1290"/>
        <v>0</v>
      </c>
      <c r="AX1338" s="55"/>
      <c r="AY1338" s="55"/>
      <c r="AZ1338" s="55"/>
      <c r="BA1338" s="55"/>
      <c r="BB1338" s="56">
        <f t="shared" si="1291"/>
        <v>0</v>
      </c>
      <c r="BC1338" s="56">
        <f t="shared" si="1310"/>
        <v>4</v>
      </c>
      <c r="BD1338" s="298">
        <v>45784</v>
      </c>
      <c r="BE1338" s="276"/>
      <c r="BF1338" s="54"/>
      <c r="BG1338" s="55"/>
      <c r="BH1338" s="55"/>
      <c r="BI1338" s="55"/>
      <c r="BJ1338" s="56">
        <f t="shared" si="1274"/>
        <v>0</v>
      </c>
    </row>
    <row r="1339" spans="1:62" x14ac:dyDescent="0.15">
      <c r="A1339" s="53" t="s">
        <v>98</v>
      </c>
      <c r="B1339" s="54"/>
      <c r="C1339" s="55"/>
      <c r="D1339" s="55"/>
      <c r="E1339" s="55"/>
      <c r="F1339" s="56">
        <f t="shared" si="1298"/>
        <v>0</v>
      </c>
      <c r="G1339" s="54"/>
      <c r="H1339" s="55"/>
      <c r="I1339" s="55"/>
      <c r="J1339" s="55"/>
      <c r="K1339" s="56">
        <f t="shared" si="1299"/>
        <v>0</v>
      </c>
      <c r="L1339" s="54"/>
      <c r="M1339" s="55">
        <v>2</v>
      </c>
      <c r="N1339" s="55"/>
      <c r="O1339" s="55"/>
      <c r="P1339" s="56">
        <f t="shared" si="1300"/>
        <v>2</v>
      </c>
      <c r="Q1339" s="54"/>
      <c r="R1339" s="55"/>
      <c r="S1339" s="55"/>
      <c r="T1339" s="55"/>
      <c r="U1339" s="56">
        <f t="shared" si="1301"/>
        <v>0</v>
      </c>
      <c r="V1339" s="55"/>
      <c r="W1339" s="55"/>
      <c r="X1339" s="55"/>
      <c r="Y1339" s="55"/>
      <c r="Z1339" s="56">
        <f t="shared" si="1302"/>
        <v>0</v>
      </c>
      <c r="AA1339" s="56">
        <f t="shared" si="1303"/>
        <v>2</v>
      </c>
      <c r="AB1339" s="298">
        <v>45796</v>
      </c>
      <c r="AC1339" s="276" t="s">
        <v>651</v>
      </c>
      <c r="AD1339" s="54"/>
      <c r="AE1339" s="55"/>
      <c r="AF1339" s="55"/>
      <c r="AG1339" s="55"/>
      <c r="AH1339" s="56">
        <f t="shared" si="1287"/>
        <v>0</v>
      </c>
      <c r="AI1339" s="54"/>
      <c r="AJ1339" s="55"/>
      <c r="AK1339" s="55">
        <v>2</v>
      </c>
      <c r="AL1339" s="55"/>
      <c r="AM1339" s="56">
        <f t="shared" si="1288"/>
        <v>2</v>
      </c>
      <c r="AN1339" s="54"/>
      <c r="AO1339" s="55"/>
      <c r="AP1339" s="55"/>
      <c r="AQ1339" s="55"/>
      <c r="AR1339" s="56">
        <f t="shared" si="1289"/>
        <v>0</v>
      </c>
      <c r="AS1339" s="54"/>
      <c r="AT1339" s="55"/>
      <c r="AU1339" s="55"/>
      <c r="AV1339" s="55"/>
      <c r="AW1339" s="56">
        <f t="shared" si="1290"/>
        <v>0</v>
      </c>
      <c r="AX1339" s="55"/>
      <c r="AY1339" s="55"/>
      <c r="AZ1339" s="55"/>
      <c r="BA1339" s="55"/>
      <c r="BB1339" s="56">
        <f t="shared" si="1291"/>
        <v>0</v>
      </c>
      <c r="BC1339" s="56">
        <f t="shared" si="1310"/>
        <v>2</v>
      </c>
      <c r="BD1339" s="298">
        <v>45790</v>
      </c>
      <c r="BE1339" s="276"/>
      <c r="BF1339" s="63"/>
      <c r="BG1339" s="63"/>
      <c r="BH1339" s="63"/>
      <c r="BI1339" s="167"/>
      <c r="BJ1339" s="64">
        <f t="shared" si="1274"/>
        <v>0</v>
      </c>
    </row>
    <row r="1340" spans="1:62" x14ac:dyDescent="0.15">
      <c r="A1340" s="53" t="s">
        <v>98</v>
      </c>
      <c r="B1340" s="54"/>
      <c r="C1340" s="55"/>
      <c r="D1340" s="55"/>
      <c r="E1340" s="55">
        <v>1</v>
      </c>
      <c r="F1340" s="56">
        <f t="shared" si="1298"/>
        <v>1</v>
      </c>
      <c r="G1340" s="54"/>
      <c r="H1340" s="55"/>
      <c r="I1340" s="55"/>
      <c r="J1340" s="55"/>
      <c r="K1340" s="56">
        <f t="shared" si="1299"/>
        <v>0</v>
      </c>
      <c r="L1340" s="54"/>
      <c r="M1340" s="55"/>
      <c r="N1340" s="55"/>
      <c r="O1340" s="55"/>
      <c r="P1340" s="56">
        <f t="shared" si="1300"/>
        <v>0</v>
      </c>
      <c r="Q1340" s="54"/>
      <c r="R1340" s="55"/>
      <c r="S1340" s="55"/>
      <c r="T1340" s="55"/>
      <c r="U1340" s="56">
        <f t="shared" si="1301"/>
        <v>0</v>
      </c>
      <c r="V1340" s="55"/>
      <c r="W1340" s="55"/>
      <c r="X1340" s="55"/>
      <c r="Y1340" s="55"/>
      <c r="Z1340" s="56">
        <f t="shared" si="1302"/>
        <v>0</v>
      </c>
      <c r="AA1340" s="56">
        <f t="shared" si="1303"/>
        <v>1</v>
      </c>
      <c r="AB1340" s="299">
        <v>45798</v>
      </c>
      <c r="AC1340" s="276" t="s">
        <v>652</v>
      </c>
      <c r="AD1340" s="54"/>
      <c r="AE1340" s="55"/>
      <c r="AF1340" s="55"/>
      <c r="AG1340" s="55"/>
      <c r="AH1340" s="56">
        <f t="shared" si="1287"/>
        <v>0</v>
      </c>
      <c r="AI1340" s="54"/>
      <c r="AJ1340" s="55"/>
      <c r="AK1340" s="55"/>
      <c r="AL1340" s="55"/>
      <c r="AM1340" s="56">
        <f t="shared" si="1288"/>
        <v>0</v>
      </c>
      <c r="AN1340" s="54"/>
      <c r="AO1340" s="55"/>
      <c r="AP1340" s="55"/>
      <c r="AQ1340" s="55"/>
      <c r="AR1340" s="56">
        <f t="shared" si="1289"/>
        <v>0</v>
      </c>
      <c r="AS1340" s="54"/>
      <c r="AT1340" s="55"/>
      <c r="AU1340" s="55"/>
      <c r="AV1340" s="55">
        <v>3</v>
      </c>
      <c r="AW1340" s="56">
        <f t="shared" si="1290"/>
        <v>3</v>
      </c>
      <c r="AX1340" s="55"/>
      <c r="AY1340" s="55"/>
      <c r="AZ1340" s="55"/>
      <c r="BA1340" s="55"/>
      <c r="BB1340" s="56">
        <f t="shared" si="1291"/>
        <v>0</v>
      </c>
      <c r="BC1340" s="56">
        <f t="shared" si="1310"/>
        <v>3</v>
      </c>
      <c r="BD1340" s="298">
        <v>45790</v>
      </c>
      <c r="BE1340" s="277"/>
      <c r="BF1340" s="54"/>
      <c r="BG1340" s="55"/>
      <c r="BH1340" s="55"/>
      <c r="BI1340" s="55"/>
      <c r="BJ1340" s="56">
        <f t="shared" si="1274"/>
        <v>0</v>
      </c>
    </row>
    <row r="1341" spans="1:62" x14ac:dyDescent="0.15">
      <c r="A1341" s="53" t="s">
        <v>98</v>
      </c>
      <c r="B1341" s="54"/>
      <c r="C1341" s="55"/>
      <c r="D1341" s="55">
        <v>1</v>
      </c>
      <c r="E1341" s="55"/>
      <c r="F1341" s="56">
        <f t="shared" si="1298"/>
        <v>1</v>
      </c>
      <c r="G1341" s="54"/>
      <c r="H1341" s="55"/>
      <c r="I1341" s="55"/>
      <c r="J1341" s="55"/>
      <c r="K1341" s="56">
        <f t="shared" si="1299"/>
        <v>0</v>
      </c>
      <c r="L1341" s="54"/>
      <c r="M1341" s="55"/>
      <c r="N1341" s="55"/>
      <c r="O1341" s="55"/>
      <c r="P1341" s="56">
        <f t="shared" si="1300"/>
        <v>0</v>
      </c>
      <c r="Q1341" s="54"/>
      <c r="R1341" s="55"/>
      <c r="S1341" s="55">
        <v>1</v>
      </c>
      <c r="T1341" s="55">
        <v>1</v>
      </c>
      <c r="U1341" s="56">
        <f t="shared" si="1301"/>
        <v>2</v>
      </c>
      <c r="V1341" s="55"/>
      <c r="W1341" s="55"/>
      <c r="X1341" s="55"/>
      <c r="Y1341" s="55"/>
      <c r="Z1341" s="56">
        <f t="shared" si="1302"/>
        <v>0</v>
      </c>
      <c r="AA1341" s="56">
        <f t="shared" si="1303"/>
        <v>3</v>
      </c>
      <c r="AB1341" s="298">
        <v>45803</v>
      </c>
      <c r="AC1341" s="276" t="s">
        <v>653</v>
      </c>
      <c r="AD1341" s="54"/>
      <c r="AE1341" s="55"/>
      <c r="AF1341" s="55"/>
      <c r="AG1341" s="55"/>
      <c r="AH1341" s="56">
        <f t="shared" si="1287"/>
        <v>0</v>
      </c>
      <c r="AI1341" s="54"/>
      <c r="AJ1341" s="55"/>
      <c r="AK1341" s="55"/>
      <c r="AL1341" s="55"/>
      <c r="AM1341" s="56">
        <f t="shared" si="1288"/>
        <v>0</v>
      </c>
      <c r="AN1341" s="54"/>
      <c r="AO1341" s="55"/>
      <c r="AP1341" s="55"/>
      <c r="AQ1341" s="55"/>
      <c r="AR1341" s="56">
        <f t="shared" si="1289"/>
        <v>0</v>
      </c>
      <c r="AS1341" s="54">
        <v>7</v>
      </c>
      <c r="AT1341" s="55"/>
      <c r="AU1341" s="55">
        <v>3</v>
      </c>
      <c r="AV1341" s="55"/>
      <c r="AW1341" s="56">
        <f t="shared" si="1290"/>
        <v>10</v>
      </c>
      <c r="AX1341" s="55"/>
      <c r="AY1341" s="55"/>
      <c r="AZ1341" s="55"/>
      <c r="BA1341" s="55"/>
      <c r="BB1341" s="56">
        <f t="shared" si="1291"/>
        <v>0</v>
      </c>
      <c r="BC1341" s="56">
        <f t="shared" si="1310"/>
        <v>10</v>
      </c>
      <c r="BD1341" s="298">
        <v>45790</v>
      </c>
      <c r="BE1341" s="276"/>
      <c r="BF1341" s="54"/>
      <c r="BG1341" s="55"/>
      <c r="BH1341" s="55"/>
      <c r="BI1341" s="55"/>
      <c r="BJ1341" s="56">
        <f t="shared" si="1274"/>
        <v>0</v>
      </c>
    </row>
    <row r="1342" spans="1:62" x14ac:dyDescent="0.15">
      <c r="A1342" s="53" t="s">
        <v>100</v>
      </c>
      <c r="B1342" s="54"/>
      <c r="C1342" s="55"/>
      <c r="D1342" s="55"/>
      <c r="E1342" s="55"/>
      <c r="F1342" s="56">
        <f t="shared" ref="F1342:F1349" si="1315">SUM(B1342:E1342)</f>
        <v>0</v>
      </c>
      <c r="G1342" s="54"/>
      <c r="H1342" s="55"/>
      <c r="I1342" s="55"/>
      <c r="J1342" s="55"/>
      <c r="K1342" s="56">
        <f t="shared" ref="K1342:K1349" si="1316">SUM(G1342:J1342)</f>
        <v>0</v>
      </c>
      <c r="L1342" s="54"/>
      <c r="M1342" s="55"/>
      <c r="N1342" s="55"/>
      <c r="O1342" s="55"/>
      <c r="P1342" s="56">
        <f t="shared" ref="P1342:P1349" si="1317">SUM(L1342:O1342)</f>
        <v>0</v>
      </c>
      <c r="Q1342" s="54"/>
      <c r="R1342" s="55"/>
      <c r="S1342" s="55"/>
      <c r="T1342" s="55"/>
      <c r="U1342" s="56">
        <f t="shared" ref="U1342:U1349" si="1318">SUM(Q1342:T1342)</f>
        <v>0</v>
      </c>
      <c r="V1342" s="55"/>
      <c r="W1342" s="55"/>
      <c r="X1342" s="55"/>
      <c r="Y1342" s="55">
        <v>1</v>
      </c>
      <c r="Z1342" s="56">
        <f t="shared" ref="Z1342:Z1348" si="1319">SUM(V1342:Y1342)</f>
        <v>1</v>
      </c>
      <c r="AA1342" s="56">
        <f t="shared" ref="AA1342:AA1346" si="1320">F1342+K1342+P1342+U1342+Z1342</f>
        <v>1</v>
      </c>
      <c r="AB1342" s="298">
        <v>45804</v>
      </c>
      <c r="AC1342" s="276" t="s">
        <v>654</v>
      </c>
      <c r="AD1342" s="54"/>
      <c r="AE1342" s="55"/>
      <c r="AF1342" s="55"/>
      <c r="AG1342" s="55"/>
      <c r="AH1342" s="56">
        <f t="shared" si="1287"/>
        <v>0</v>
      </c>
      <c r="AI1342" s="54"/>
      <c r="AJ1342" s="55">
        <v>2</v>
      </c>
      <c r="AK1342" s="55"/>
      <c r="AL1342" s="55"/>
      <c r="AM1342" s="56">
        <f t="shared" si="1288"/>
        <v>2</v>
      </c>
      <c r="AN1342" s="54"/>
      <c r="AO1342" s="55"/>
      <c r="AP1342" s="55"/>
      <c r="AQ1342" s="55"/>
      <c r="AR1342" s="56">
        <f t="shared" si="1289"/>
        <v>0</v>
      </c>
      <c r="AS1342" s="54">
        <v>2</v>
      </c>
      <c r="AT1342" s="55"/>
      <c r="AU1342" s="55"/>
      <c r="AV1342" s="55">
        <v>1</v>
      </c>
      <c r="AW1342" s="56">
        <f t="shared" si="1290"/>
        <v>3</v>
      </c>
      <c r="AX1342" s="55"/>
      <c r="AY1342" s="55"/>
      <c r="AZ1342" s="55"/>
      <c r="BA1342" s="55"/>
      <c r="BB1342" s="56">
        <f t="shared" si="1291"/>
        <v>0</v>
      </c>
      <c r="BC1342" s="56">
        <f t="shared" si="1310"/>
        <v>5</v>
      </c>
      <c r="BD1342" s="298">
        <v>45796</v>
      </c>
      <c r="BE1342" s="277"/>
      <c r="BF1342" s="54"/>
      <c r="BG1342" s="55"/>
      <c r="BH1342" s="55"/>
      <c r="BI1342" s="55"/>
      <c r="BJ1342" s="56">
        <f t="shared" si="1274"/>
        <v>0</v>
      </c>
    </row>
    <row r="1343" spans="1:62" x14ac:dyDescent="0.15">
      <c r="A1343" s="53" t="s">
        <v>98</v>
      </c>
      <c r="B1343" s="54"/>
      <c r="C1343" s="55"/>
      <c r="D1343" s="55"/>
      <c r="E1343" s="55"/>
      <c r="F1343" s="56">
        <f t="shared" si="1315"/>
        <v>0</v>
      </c>
      <c r="G1343" s="54"/>
      <c r="H1343" s="55"/>
      <c r="I1343" s="55"/>
      <c r="J1343" s="55"/>
      <c r="K1343" s="56">
        <f t="shared" si="1316"/>
        <v>0</v>
      </c>
      <c r="L1343" s="54"/>
      <c r="M1343" s="55"/>
      <c r="N1343" s="55"/>
      <c r="O1343" s="55"/>
      <c r="P1343" s="56">
        <f t="shared" si="1317"/>
        <v>0</v>
      </c>
      <c r="Q1343" s="54"/>
      <c r="R1343" s="55">
        <v>1</v>
      </c>
      <c r="S1343" s="55"/>
      <c r="T1343" s="55"/>
      <c r="U1343" s="56">
        <f t="shared" si="1318"/>
        <v>1</v>
      </c>
      <c r="V1343" s="55"/>
      <c r="W1343" s="55"/>
      <c r="X1343" s="55"/>
      <c r="Y1343" s="55"/>
      <c r="Z1343" s="56">
        <f t="shared" si="1319"/>
        <v>0</v>
      </c>
      <c r="AA1343" s="56">
        <f t="shared" si="1320"/>
        <v>1</v>
      </c>
      <c r="AB1343" s="298">
        <v>45806</v>
      </c>
      <c r="AC1343" s="276" t="s">
        <v>655</v>
      </c>
      <c r="AD1343" s="54"/>
      <c r="AE1343" s="55"/>
      <c r="AF1343" s="55"/>
      <c r="AG1343" s="55"/>
      <c r="AH1343" s="56">
        <f t="shared" si="1287"/>
        <v>0</v>
      </c>
      <c r="AI1343" s="54"/>
      <c r="AJ1343" s="55"/>
      <c r="AK1343" s="55"/>
      <c r="AL1343" s="55"/>
      <c r="AM1343" s="56">
        <f t="shared" si="1288"/>
        <v>0</v>
      </c>
      <c r="AN1343" s="54"/>
      <c r="AO1343" s="55">
        <v>1</v>
      </c>
      <c r="AP1343" s="55"/>
      <c r="AQ1343" s="55"/>
      <c r="AR1343" s="56">
        <f t="shared" si="1289"/>
        <v>1</v>
      </c>
      <c r="AS1343" s="54"/>
      <c r="AT1343" s="55"/>
      <c r="AU1343" s="55">
        <v>1</v>
      </c>
      <c r="AV1343" s="55"/>
      <c r="AW1343" s="56">
        <f t="shared" si="1290"/>
        <v>1</v>
      </c>
      <c r="AX1343" s="55"/>
      <c r="AY1343" s="55"/>
      <c r="AZ1343" s="55"/>
      <c r="BA1343" s="55"/>
      <c r="BB1343" s="56">
        <f t="shared" si="1291"/>
        <v>0</v>
      </c>
      <c r="BC1343" s="56">
        <f t="shared" si="1310"/>
        <v>2</v>
      </c>
      <c r="BD1343" s="298">
        <v>45796</v>
      </c>
      <c r="BE1343" s="268"/>
      <c r="BF1343" s="62"/>
      <c r="BG1343" s="63"/>
      <c r="BH1343" s="63"/>
      <c r="BI1343" s="63"/>
      <c r="BJ1343" s="56">
        <f t="shared" si="1274"/>
        <v>0</v>
      </c>
    </row>
    <row r="1344" spans="1:62" x14ac:dyDescent="0.15">
      <c r="A1344" s="53" t="s">
        <v>100</v>
      </c>
      <c r="B1344" s="54"/>
      <c r="C1344" s="55"/>
      <c r="D1344" s="55"/>
      <c r="E1344" s="55"/>
      <c r="F1344" s="56">
        <f t="shared" si="1315"/>
        <v>0</v>
      </c>
      <c r="G1344" s="54"/>
      <c r="H1344" s="55"/>
      <c r="I1344" s="55"/>
      <c r="J1344" s="55"/>
      <c r="K1344" s="56">
        <f t="shared" si="1316"/>
        <v>0</v>
      </c>
      <c r="L1344" s="54"/>
      <c r="M1344" s="55"/>
      <c r="N1344" s="55">
        <v>1</v>
      </c>
      <c r="O1344" s="55"/>
      <c r="P1344" s="56">
        <f t="shared" si="1317"/>
        <v>1</v>
      </c>
      <c r="Q1344" s="54"/>
      <c r="R1344" s="55"/>
      <c r="S1344" s="55"/>
      <c r="T1344" s="55"/>
      <c r="U1344" s="56">
        <f t="shared" si="1318"/>
        <v>0</v>
      </c>
      <c r="V1344" s="55"/>
      <c r="W1344" s="55"/>
      <c r="X1344" s="55"/>
      <c r="Y1344" s="55"/>
      <c r="Z1344" s="56">
        <f t="shared" si="1319"/>
        <v>0</v>
      </c>
      <c r="AA1344" s="56">
        <f t="shared" si="1320"/>
        <v>1</v>
      </c>
      <c r="AB1344" s="298">
        <v>45808</v>
      </c>
      <c r="AC1344" s="276" t="s">
        <v>656</v>
      </c>
      <c r="AD1344" s="54"/>
      <c r="AE1344" s="55"/>
      <c r="AF1344" s="55"/>
      <c r="AG1344" s="55"/>
      <c r="AH1344" s="56">
        <f t="shared" si="1287"/>
        <v>0</v>
      </c>
      <c r="AI1344" s="54"/>
      <c r="AJ1344" s="55"/>
      <c r="AK1344" s="55">
        <v>2</v>
      </c>
      <c r="AL1344" s="55"/>
      <c r="AM1344" s="56">
        <f t="shared" si="1288"/>
        <v>2</v>
      </c>
      <c r="AN1344" s="54"/>
      <c r="AO1344" s="55"/>
      <c r="AP1344" s="55"/>
      <c r="AQ1344" s="55"/>
      <c r="AR1344" s="56">
        <f t="shared" si="1289"/>
        <v>0</v>
      </c>
      <c r="AS1344" s="54"/>
      <c r="AT1344" s="55"/>
      <c r="AU1344" s="55"/>
      <c r="AV1344" s="55"/>
      <c r="AW1344" s="56">
        <f t="shared" si="1290"/>
        <v>0</v>
      </c>
      <c r="AX1344" s="55"/>
      <c r="AY1344" s="55"/>
      <c r="AZ1344" s="55"/>
      <c r="BA1344" s="55"/>
      <c r="BB1344" s="56">
        <f t="shared" si="1291"/>
        <v>0</v>
      </c>
      <c r="BC1344" s="56">
        <f t="shared" si="1310"/>
        <v>2</v>
      </c>
      <c r="BD1344" s="298">
        <v>45796</v>
      </c>
      <c r="BE1344" s="268"/>
      <c r="BF1344" s="54"/>
      <c r="BG1344" s="55"/>
      <c r="BH1344" s="55"/>
      <c r="BI1344" s="55"/>
      <c r="BJ1344" s="56">
        <f t="shared" si="1274"/>
        <v>0</v>
      </c>
    </row>
    <row r="1345" spans="1:62" x14ac:dyDescent="0.15">
      <c r="A1345" s="53"/>
      <c r="B1345" s="54"/>
      <c r="C1345" s="55"/>
      <c r="D1345" s="55"/>
      <c r="E1345" s="55"/>
      <c r="F1345" s="56">
        <f t="shared" si="1315"/>
        <v>0</v>
      </c>
      <c r="G1345" s="54"/>
      <c r="H1345" s="55"/>
      <c r="I1345" s="55"/>
      <c r="J1345" s="55"/>
      <c r="K1345" s="56">
        <f t="shared" si="1316"/>
        <v>0</v>
      </c>
      <c r="L1345" s="54"/>
      <c r="M1345" s="55"/>
      <c r="N1345" s="55"/>
      <c r="O1345" s="55"/>
      <c r="P1345" s="56">
        <f t="shared" si="1317"/>
        <v>0</v>
      </c>
      <c r="Q1345" s="54"/>
      <c r="R1345" s="55"/>
      <c r="S1345" s="55"/>
      <c r="T1345" s="55"/>
      <c r="U1345" s="56">
        <f t="shared" si="1318"/>
        <v>0</v>
      </c>
      <c r="V1345" s="55"/>
      <c r="W1345" s="55"/>
      <c r="X1345" s="55"/>
      <c r="Y1345" s="55"/>
      <c r="Z1345" s="56">
        <f t="shared" si="1319"/>
        <v>0</v>
      </c>
      <c r="AA1345" s="56">
        <f t="shared" si="1320"/>
        <v>0</v>
      </c>
      <c r="AB1345" s="300"/>
      <c r="AC1345" s="276" t="s">
        <v>657</v>
      </c>
      <c r="AD1345" s="54"/>
      <c r="AE1345" s="55"/>
      <c r="AF1345" s="55"/>
      <c r="AG1345" s="55"/>
      <c r="AH1345" s="56">
        <f t="shared" ref="AH1345:AH1347" si="1321">SUM(AD1345:AG1345)</f>
        <v>0</v>
      </c>
      <c r="AI1345" s="54"/>
      <c r="AJ1345" s="55">
        <v>5</v>
      </c>
      <c r="AK1345" s="55"/>
      <c r="AL1345" s="55"/>
      <c r="AM1345" s="56">
        <f t="shared" ref="AM1345:AM1347" si="1322">SUM(AI1345:AL1345)</f>
        <v>5</v>
      </c>
      <c r="AN1345" s="54"/>
      <c r="AO1345" s="55"/>
      <c r="AP1345" s="55"/>
      <c r="AQ1345" s="55"/>
      <c r="AR1345" s="56">
        <f t="shared" ref="AR1345:AR1347" si="1323">SUM(AN1345:AQ1345)</f>
        <v>0</v>
      </c>
      <c r="AS1345" s="54"/>
      <c r="AT1345" s="55"/>
      <c r="AU1345" s="55"/>
      <c r="AV1345" s="55"/>
      <c r="AW1345" s="56">
        <f t="shared" ref="AW1345:AW1347" si="1324">SUM(AS1345:AV1345)</f>
        <v>0</v>
      </c>
      <c r="AX1345" s="55"/>
      <c r="AY1345" s="55"/>
      <c r="AZ1345" s="55"/>
      <c r="BA1345" s="55"/>
      <c r="BB1345" s="56">
        <f t="shared" ref="BB1345:BB1347" si="1325">SUM(AX1345:BA1345)</f>
        <v>0</v>
      </c>
      <c r="BC1345" s="56">
        <f t="shared" ref="BC1345:BC1347" si="1326">AH1345+AM1345+AR1345+AW1345+BB1345</f>
        <v>5</v>
      </c>
      <c r="BD1345" s="298">
        <v>45797</v>
      </c>
      <c r="BE1345" s="268"/>
      <c r="BF1345" s="62"/>
      <c r="BG1345" s="63"/>
      <c r="BH1345" s="63"/>
      <c r="BI1345" s="63"/>
      <c r="BJ1345" s="56">
        <f t="shared" si="1274"/>
        <v>0</v>
      </c>
    </row>
    <row r="1346" spans="1:62" x14ac:dyDescent="0.15">
      <c r="A1346" s="53"/>
      <c r="B1346" s="54"/>
      <c r="C1346" s="55"/>
      <c r="D1346" s="55"/>
      <c r="E1346" s="55"/>
      <c r="F1346" s="56">
        <f t="shared" si="1315"/>
        <v>0</v>
      </c>
      <c r="G1346" s="54"/>
      <c r="H1346" s="55"/>
      <c r="I1346" s="55"/>
      <c r="J1346" s="55"/>
      <c r="K1346" s="56">
        <f t="shared" si="1316"/>
        <v>0</v>
      </c>
      <c r="L1346" s="54"/>
      <c r="M1346" s="55"/>
      <c r="N1346" s="55"/>
      <c r="O1346" s="55"/>
      <c r="P1346" s="56">
        <f t="shared" si="1317"/>
        <v>0</v>
      </c>
      <c r="Q1346" s="54"/>
      <c r="R1346" s="55"/>
      <c r="S1346" s="55"/>
      <c r="T1346" s="55"/>
      <c r="U1346" s="56">
        <f t="shared" si="1318"/>
        <v>0</v>
      </c>
      <c r="V1346" s="55"/>
      <c r="W1346" s="55"/>
      <c r="X1346" s="55"/>
      <c r="Y1346" s="55"/>
      <c r="Z1346" s="56">
        <f t="shared" si="1319"/>
        <v>0</v>
      </c>
      <c r="AA1346" s="56">
        <f t="shared" si="1320"/>
        <v>0</v>
      </c>
      <c r="AB1346" s="300"/>
      <c r="AC1346" s="276" t="s">
        <v>99</v>
      </c>
      <c r="AD1346" s="54"/>
      <c r="AE1346" s="55"/>
      <c r="AF1346" s="55"/>
      <c r="AG1346" s="55"/>
      <c r="AH1346" s="56">
        <f t="shared" si="1321"/>
        <v>0</v>
      </c>
      <c r="AI1346" s="54"/>
      <c r="AJ1346" s="55"/>
      <c r="AK1346" s="55"/>
      <c r="AL1346" s="55"/>
      <c r="AM1346" s="56">
        <f t="shared" si="1322"/>
        <v>0</v>
      </c>
      <c r="AN1346" s="54"/>
      <c r="AO1346" s="55">
        <v>2</v>
      </c>
      <c r="AP1346" s="55"/>
      <c r="AQ1346" s="55"/>
      <c r="AR1346" s="56">
        <f t="shared" si="1323"/>
        <v>2</v>
      </c>
      <c r="AS1346" s="54"/>
      <c r="AT1346" s="55"/>
      <c r="AU1346" s="55"/>
      <c r="AV1346" s="55"/>
      <c r="AW1346" s="56">
        <f t="shared" si="1324"/>
        <v>0</v>
      </c>
      <c r="AX1346" s="55"/>
      <c r="AY1346" s="55"/>
      <c r="AZ1346" s="55"/>
      <c r="BA1346" s="55"/>
      <c r="BB1346" s="56">
        <f t="shared" si="1325"/>
        <v>0</v>
      </c>
      <c r="BC1346" s="56">
        <f t="shared" si="1326"/>
        <v>2</v>
      </c>
      <c r="BD1346" s="298">
        <v>45797</v>
      </c>
      <c r="BE1346" s="277"/>
      <c r="BF1346" s="54"/>
      <c r="BG1346" s="55"/>
      <c r="BH1346" s="55"/>
      <c r="BI1346" s="55"/>
      <c r="BJ1346" s="56">
        <f t="shared" si="1274"/>
        <v>0</v>
      </c>
    </row>
    <row r="1347" spans="1:62" ht="14.25" thickBot="1" x14ac:dyDescent="0.2">
      <c r="A1347" s="53"/>
      <c r="B1347" s="33"/>
      <c r="C1347" s="34"/>
      <c r="D1347" s="34"/>
      <c r="E1347" s="34"/>
      <c r="F1347" s="30">
        <f t="shared" si="1315"/>
        <v>0</v>
      </c>
      <c r="G1347" s="33"/>
      <c r="H1347" s="34"/>
      <c r="I1347" s="34"/>
      <c r="J1347" s="34"/>
      <c r="K1347" s="30">
        <f t="shared" si="1316"/>
        <v>0</v>
      </c>
      <c r="L1347" s="33"/>
      <c r="M1347" s="34"/>
      <c r="N1347" s="34"/>
      <c r="O1347" s="34"/>
      <c r="P1347" s="30">
        <f t="shared" si="1317"/>
        <v>0</v>
      </c>
      <c r="Q1347" s="33"/>
      <c r="R1347" s="34"/>
      <c r="S1347" s="34"/>
      <c r="T1347" s="34"/>
      <c r="U1347" s="30">
        <f t="shared" si="1318"/>
        <v>0</v>
      </c>
      <c r="V1347" s="34"/>
      <c r="W1347" s="34"/>
      <c r="X1347" s="34"/>
      <c r="Y1347" s="34"/>
      <c r="Z1347" s="30">
        <f t="shared" si="1319"/>
        <v>0</v>
      </c>
      <c r="AA1347" s="56">
        <f>F1347+K1347+P1347+U1347+Z1347</f>
        <v>0</v>
      </c>
      <c r="AB1347" s="300"/>
      <c r="AC1347" s="276" t="s">
        <v>658</v>
      </c>
      <c r="AD1347" s="54"/>
      <c r="AE1347" s="55"/>
      <c r="AF1347" s="55"/>
      <c r="AG1347" s="55"/>
      <c r="AH1347" s="56">
        <f t="shared" si="1321"/>
        <v>0</v>
      </c>
      <c r="AI1347" s="54"/>
      <c r="AJ1347" s="55"/>
      <c r="AK1347" s="55"/>
      <c r="AL1347" s="55"/>
      <c r="AM1347" s="56">
        <f t="shared" si="1322"/>
        <v>0</v>
      </c>
      <c r="AN1347" s="54"/>
      <c r="AO1347" s="55"/>
      <c r="AP1347" s="55"/>
      <c r="AQ1347" s="55"/>
      <c r="AR1347" s="56">
        <f t="shared" si="1323"/>
        <v>0</v>
      </c>
      <c r="AS1347" s="54"/>
      <c r="AT1347" s="55"/>
      <c r="AU1347" s="55"/>
      <c r="AV1347" s="55"/>
      <c r="AW1347" s="56">
        <f t="shared" si="1324"/>
        <v>0</v>
      </c>
      <c r="AX1347" s="55"/>
      <c r="AY1347" s="55"/>
      <c r="AZ1347" s="55"/>
      <c r="BA1347" s="55"/>
      <c r="BB1347" s="56">
        <f t="shared" si="1325"/>
        <v>0</v>
      </c>
      <c r="BC1347" s="56">
        <f t="shared" si="1326"/>
        <v>0</v>
      </c>
      <c r="BE1347" s="282"/>
      <c r="BF1347" s="33"/>
      <c r="BG1347" s="34"/>
      <c r="BH1347" s="34"/>
      <c r="BI1347" s="34"/>
      <c r="BJ1347" s="30">
        <f t="shared" si="1274"/>
        <v>0</v>
      </c>
    </row>
    <row r="1348" spans="1:62" ht="15" thickBot="1" x14ac:dyDescent="0.2">
      <c r="A1348" s="9" t="s">
        <v>15</v>
      </c>
      <c r="B1348" s="36">
        <f>SUM(B1322:B1347)</f>
        <v>0</v>
      </c>
      <c r="C1348" s="37">
        <f>SUM(C1322:C1347)</f>
        <v>1</v>
      </c>
      <c r="D1348" s="37">
        <f>SUM(D1322:D1347)</f>
        <v>2</v>
      </c>
      <c r="E1348" s="38">
        <f>SUM(E1322:E1347)</f>
        <v>2</v>
      </c>
      <c r="F1348" s="25">
        <f t="shared" si="1315"/>
        <v>5</v>
      </c>
      <c r="G1348" s="36">
        <f>SUM(G1322:G1347)</f>
        <v>2</v>
      </c>
      <c r="H1348" s="37">
        <f>SUM(H1322:H1347)</f>
        <v>2</v>
      </c>
      <c r="I1348" s="37">
        <f>SUM(I1322:I1347)</f>
        <v>2</v>
      </c>
      <c r="J1348" s="38">
        <f>SUM(J1322:J1347)</f>
        <v>0</v>
      </c>
      <c r="K1348" s="25">
        <f t="shared" si="1316"/>
        <v>6</v>
      </c>
      <c r="L1348" s="36">
        <f>SUM(L1322:L1347)</f>
        <v>0</v>
      </c>
      <c r="M1348" s="37">
        <f>SUM(M1322:M1347)</f>
        <v>3</v>
      </c>
      <c r="N1348" s="37">
        <f>SUM(N1322:N1347)</f>
        <v>1</v>
      </c>
      <c r="O1348" s="38">
        <f>SUM(O1322:O1347)</f>
        <v>0</v>
      </c>
      <c r="P1348" s="25">
        <f t="shared" si="1317"/>
        <v>4</v>
      </c>
      <c r="Q1348" s="36">
        <f>SUM(Q1322:Q1347)</f>
        <v>2</v>
      </c>
      <c r="R1348" s="37">
        <f>SUM(R1322:R1347)</f>
        <v>5</v>
      </c>
      <c r="S1348" s="37">
        <f>SUM(S1322:S1347)</f>
        <v>3</v>
      </c>
      <c r="T1348" s="38">
        <f>SUM(T1322:T1347)</f>
        <v>4</v>
      </c>
      <c r="U1348" s="25">
        <f t="shared" si="1318"/>
        <v>14</v>
      </c>
      <c r="V1348" s="322">
        <f>SUM(V1322:V1347)</f>
        <v>0</v>
      </c>
      <c r="W1348" s="37">
        <f>SUM(W1322:W1347)</f>
        <v>0</v>
      </c>
      <c r="X1348" s="37">
        <f>SUM(X1322:X1347)</f>
        <v>0</v>
      </c>
      <c r="Y1348" s="38">
        <f>SUM(Y1322:Y1347)</f>
        <v>2</v>
      </c>
      <c r="Z1348" s="25">
        <f t="shared" si="1319"/>
        <v>2</v>
      </c>
      <c r="AA1348" s="161">
        <f>F1348+K1348+P1348+U1348+Z1348</f>
        <v>31</v>
      </c>
      <c r="AC1348" s="278" t="s">
        <v>15</v>
      </c>
      <c r="AD1348" s="36">
        <f>SUM(AD1322:AD1347)</f>
        <v>4</v>
      </c>
      <c r="AE1348" s="37">
        <f>SUM(AE1322:AE1347)</f>
        <v>6</v>
      </c>
      <c r="AF1348" s="37">
        <f>SUM(AF1322:AF1347)</f>
        <v>4</v>
      </c>
      <c r="AG1348" s="38">
        <f>SUM(AG1322:AG1347)</f>
        <v>6</v>
      </c>
      <c r="AH1348" s="25">
        <f t="shared" ref="AH1348:AH1349" si="1327">SUM(AD1348:AG1348)</f>
        <v>20</v>
      </c>
      <c r="AI1348" s="36">
        <f>SUM(AI1322:AI1347)</f>
        <v>20</v>
      </c>
      <c r="AJ1348" s="37">
        <f>SUM(AJ1322:AJ1347)</f>
        <v>23</v>
      </c>
      <c r="AK1348" s="37">
        <f>SUM(AK1322:AK1347)</f>
        <v>17</v>
      </c>
      <c r="AL1348" s="38">
        <f>SUM(AL1322:AL1347)</f>
        <v>11</v>
      </c>
      <c r="AM1348" s="25">
        <f t="shared" ref="AM1348:AM1349" si="1328">SUM(AI1348:AL1348)</f>
        <v>71</v>
      </c>
      <c r="AN1348" s="36">
        <f>SUM(AN1322:AN1347)</f>
        <v>4</v>
      </c>
      <c r="AO1348" s="37">
        <f>SUM(AO1322:AO1347)</f>
        <v>7</v>
      </c>
      <c r="AP1348" s="37">
        <f>SUM(AP1322:AP1347)</f>
        <v>4</v>
      </c>
      <c r="AQ1348" s="38">
        <f>SUM(AQ1322:AQ1347)</f>
        <v>4</v>
      </c>
      <c r="AR1348" s="25">
        <f t="shared" si="1289"/>
        <v>19</v>
      </c>
      <c r="AS1348" s="36">
        <f>SUM(AS1322:AS1347)</f>
        <v>23</v>
      </c>
      <c r="AT1348" s="37">
        <f>SUM(AT1322:AT1347)</f>
        <v>19</v>
      </c>
      <c r="AU1348" s="37">
        <f>SUM(AU1322:AU1347)</f>
        <v>19</v>
      </c>
      <c r="AV1348" s="38">
        <f>SUM(AV1322:AV1347)</f>
        <v>18</v>
      </c>
      <c r="AW1348" s="25">
        <f t="shared" si="1290"/>
        <v>79</v>
      </c>
      <c r="AX1348" s="322">
        <f>SUM(AX1322:AX1347)</f>
        <v>0</v>
      </c>
      <c r="AY1348" s="37">
        <f>SUM(AY1322:AY1347)</f>
        <v>2</v>
      </c>
      <c r="AZ1348" s="37">
        <f>SUM(AZ1322:AZ1347)</f>
        <v>2</v>
      </c>
      <c r="BA1348" s="38">
        <f>SUM(BA1322:BA1347)</f>
        <v>2</v>
      </c>
      <c r="BB1348" s="25">
        <f t="shared" si="1291"/>
        <v>6</v>
      </c>
      <c r="BC1348" s="161">
        <f>AH1348+AM1348+AR1348+AW1348+BB1348</f>
        <v>195</v>
      </c>
      <c r="BE1348" s="278" t="s">
        <v>15</v>
      </c>
      <c r="BF1348" s="312">
        <f>SUM(BF1322:BF1347)</f>
        <v>0</v>
      </c>
      <c r="BG1348" s="302">
        <f>SUM(BG1322:BG1347)</f>
        <v>0</v>
      </c>
      <c r="BH1348" s="37">
        <f>SUM(BH1322:BH1347)</f>
        <v>0</v>
      </c>
      <c r="BI1348" s="316">
        <f>SUM(BI1322:BI1347)</f>
        <v>0</v>
      </c>
      <c r="BJ1348" s="25">
        <f t="shared" si="1274"/>
        <v>0</v>
      </c>
    </row>
    <row r="1349" spans="1:62" ht="14.25" thickBot="1" x14ac:dyDescent="0.2">
      <c r="A1349" s="39" t="s">
        <v>16</v>
      </c>
      <c r="B1349" s="40">
        <f>B1321-B1348</f>
        <v>1</v>
      </c>
      <c r="C1349" s="41">
        <f>C1321-C1348</f>
        <v>3</v>
      </c>
      <c r="D1349" s="41">
        <f>D1321-D1348</f>
        <v>1</v>
      </c>
      <c r="E1349" s="42">
        <f>E1321-E1348</f>
        <v>2</v>
      </c>
      <c r="F1349" s="171">
        <f t="shared" si="1315"/>
        <v>7</v>
      </c>
      <c r="G1349" s="40">
        <f>G1321-G1348</f>
        <v>3</v>
      </c>
      <c r="H1349" s="41">
        <f>H1321-H1348</f>
        <v>3</v>
      </c>
      <c r="I1349" s="41">
        <f>I1321-I1348</f>
        <v>4</v>
      </c>
      <c r="J1349" s="42">
        <f>J1321-J1348</f>
        <v>3</v>
      </c>
      <c r="K1349" s="171">
        <f t="shared" si="1316"/>
        <v>13</v>
      </c>
      <c r="L1349" s="40">
        <f>L1321-L1348</f>
        <v>2</v>
      </c>
      <c r="M1349" s="41">
        <f>M1321-M1348</f>
        <v>2</v>
      </c>
      <c r="N1349" s="41">
        <f>N1321-N1348</f>
        <v>1</v>
      </c>
      <c r="O1349" s="42">
        <f>O1321-O1348</f>
        <v>2</v>
      </c>
      <c r="P1349" s="171">
        <f t="shared" si="1317"/>
        <v>7</v>
      </c>
      <c r="Q1349" s="40">
        <f>Q1321-Q1348</f>
        <v>3</v>
      </c>
      <c r="R1349" s="41">
        <f>R1321-R1348</f>
        <v>1</v>
      </c>
      <c r="S1349" s="41">
        <f>S1321-S1348</f>
        <v>2</v>
      </c>
      <c r="T1349" s="42">
        <f>T1321-T1348</f>
        <v>0</v>
      </c>
      <c r="U1349" s="171">
        <f t="shared" si="1318"/>
        <v>6</v>
      </c>
      <c r="V1349" s="323">
        <f>V1321-V1348</f>
        <v>3</v>
      </c>
      <c r="W1349" s="41">
        <f>W1321-W1348</f>
        <v>6</v>
      </c>
      <c r="X1349" s="41">
        <f>X1321-X1348</f>
        <v>6</v>
      </c>
      <c r="Y1349" s="42">
        <f>Y1321-Y1348</f>
        <v>2</v>
      </c>
      <c r="Z1349" s="171">
        <f>SUM(V1349:Y1349)</f>
        <v>17</v>
      </c>
      <c r="AA1349" s="77">
        <f>F1349+K1349+P1349+U1349+Z1349</f>
        <v>50</v>
      </c>
      <c r="AC1349" s="279" t="s">
        <v>16</v>
      </c>
      <c r="AD1349" s="40">
        <f>AD1321-AD1348</f>
        <v>73</v>
      </c>
      <c r="AE1349" s="41">
        <f>AE1321-AE1348</f>
        <v>62</v>
      </c>
      <c r="AF1349" s="41">
        <f>AF1321-AF1348</f>
        <v>126</v>
      </c>
      <c r="AG1349" s="42">
        <f>AG1321-AG1348</f>
        <v>50</v>
      </c>
      <c r="AH1349" s="171">
        <f t="shared" si="1327"/>
        <v>311</v>
      </c>
      <c r="AI1349" s="40">
        <f>AI1321-AI1348</f>
        <v>86</v>
      </c>
      <c r="AJ1349" s="41">
        <f>AJ1321-AJ1348</f>
        <v>123</v>
      </c>
      <c r="AK1349" s="41">
        <f>AK1321-AK1348</f>
        <v>91</v>
      </c>
      <c r="AL1349" s="42">
        <f>AL1321-AL1348</f>
        <v>83</v>
      </c>
      <c r="AM1349" s="171">
        <f t="shared" si="1328"/>
        <v>383</v>
      </c>
      <c r="AN1349" s="40">
        <f>AN1321-AN1348</f>
        <v>34</v>
      </c>
      <c r="AO1349" s="41">
        <f>AO1321-AO1348</f>
        <v>42</v>
      </c>
      <c r="AP1349" s="41">
        <f>AP1321-AP1348</f>
        <v>37</v>
      </c>
      <c r="AQ1349" s="42">
        <f>AQ1321-AQ1348</f>
        <v>14</v>
      </c>
      <c r="AR1349" s="171">
        <f t="shared" si="1289"/>
        <v>127</v>
      </c>
      <c r="AS1349" s="40">
        <f>AS1321-AS1348</f>
        <v>135</v>
      </c>
      <c r="AT1349" s="41">
        <f>AT1321-AT1348</f>
        <v>162</v>
      </c>
      <c r="AU1349" s="41">
        <f>AU1321-AU1348</f>
        <v>94</v>
      </c>
      <c r="AV1349" s="42">
        <f>AV1321-AV1348</f>
        <v>59</v>
      </c>
      <c r="AW1349" s="171">
        <f t="shared" si="1290"/>
        <v>450</v>
      </c>
      <c r="AX1349" s="323">
        <f>AX1321-AX1348</f>
        <v>104</v>
      </c>
      <c r="AY1349" s="41">
        <f>AY1321-AY1348</f>
        <v>78</v>
      </c>
      <c r="AZ1349" s="41">
        <f>AZ1321-AZ1348</f>
        <v>41</v>
      </c>
      <c r="BA1349" s="42">
        <f>BA1321-BA1348</f>
        <v>27</v>
      </c>
      <c r="BB1349" s="171">
        <f>SUM(AX1349:BA1349)</f>
        <v>250</v>
      </c>
      <c r="BC1349" s="77">
        <f>AH1349+AM1349+AR1349+AW1349+BB1349</f>
        <v>1521</v>
      </c>
      <c r="BE1349" s="279" t="s">
        <v>16</v>
      </c>
      <c r="BF1349" s="313">
        <f>BF1321-BF1348</f>
        <v>0</v>
      </c>
      <c r="BG1349" s="303">
        <f>BG1321-BG1348</f>
        <v>0</v>
      </c>
      <c r="BH1349" s="41">
        <f>BH1321-BH1348</f>
        <v>10</v>
      </c>
      <c r="BI1349" s="317">
        <f>BI1321-BI1348</f>
        <v>0</v>
      </c>
      <c r="BJ1349" s="171">
        <f t="shared" si="1274"/>
        <v>10</v>
      </c>
    </row>
    <row r="1350" spans="1:62" x14ac:dyDescent="0.15">
      <c r="AC1350" s="342"/>
      <c r="AD1350" s="342"/>
      <c r="AE1350" s="342"/>
      <c r="AF1350" s="342"/>
      <c r="AG1350" s="342"/>
      <c r="AH1350" s="342"/>
      <c r="AI1350" s="342"/>
      <c r="AJ1350" s="342"/>
      <c r="AK1350" s="342"/>
      <c r="AL1350" s="342"/>
      <c r="AM1350" s="342"/>
      <c r="AN1350" s="342"/>
      <c r="AO1350" s="342"/>
      <c r="AP1350" s="342"/>
      <c r="AQ1350" s="342"/>
      <c r="AR1350" s="342"/>
      <c r="AS1350" s="342"/>
      <c r="AT1350" s="342"/>
      <c r="AU1350" s="342"/>
      <c r="AV1350" s="342"/>
      <c r="AW1350" s="342"/>
      <c r="AX1350" s="342"/>
      <c r="AY1350" s="342"/>
      <c r="AZ1350" s="342"/>
      <c r="BA1350" s="342"/>
      <c r="BB1350" s="342"/>
      <c r="BC1350" s="342"/>
    </row>
    <row r="1353" spans="1:62" ht="19.5" thickBot="1" x14ac:dyDescent="0.25">
      <c r="A1353" s="185" t="s">
        <v>19</v>
      </c>
      <c r="B1353" s="186"/>
      <c r="C1353" s="186"/>
      <c r="D1353" s="186"/>
      <c r="E1353" s="186"/>
      <c r="F1353" s="186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C1353" s="187" t="s">
        <v>73</v>
      </c>
      <c r="AD1353" s="188"/>
      <c r="AE1353" s="188"/>
      <c r="AF1353" s="188"/>
      <c r="AG1353" s="188"/>
      <c r="AH1353" s="188"/>
      <c r="AI1353" s="188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E1353" s="185" t="s">
        <v>19</v>
      </c>
      <c r="BF1353" s="186"/>
      <c r="BG1353" s="186"/>
      <c r="BH1353" s="186"/>
      <c r="BI1353" s="186"/>
      <c r="BJ1353" s="186"/>
    </row>
    <row r="1354" spans="1:62" ht="14.25" thickBot="1" x14ac:dyDescent="0.2">
      <c r="A1354" s="3" t="s">
        <v>0</v>
      </c>
      <c r="B1354" s="365" t="s">
        <v>17</v>
      </c>
      <c r="C1354" s="366"/>
      <c r="D1354" s="366"/>
      <c r="E1354" s="366"/>
      <c r="F1354" s="367"/>
      <c r="G1354" s="368" t="s">
        <v>18</v>
      </c>
      <c r="H1354" s="369"/>
      <c r="I1354" s="369"/>
      <c r="J1354" s="369"/>
      <c r="K1354" s="370"/>
      <c r="L1354" s="371" t="s">
        <v>320</v>
      </c>
      <c r="M1354" s="372"/>
      <c r="N1354" s="372"/>
      <c r="O1354" s="372"/>
      <c r="P1354" s="373"/>
      <c r="Q1354" s="355" t="s">
        <v>75</v>
      </c>
      <c r="R1354" s="356"/>
      <c r="S1354" s="356"/>
      <c r="T1354" s="356"/>
      <c r="U1354" s="357"/>
      <c r="V1354" s="358" t="s">
        <v>456</v>
      </c>
      <c r="W1354" s="358"/>
      <c r="X1354" s="358"/>
      <c r="Y1354" s="358"/>
      <c r="Z1354" s="359"/>
      <c r="AA1354" s="360" t="s">
        <v>1</v>
      </c>
      <c r="AC1354" s="271" t="s">
        <v>0</v>
      </c>
      <c r="AD1354" s="365" t="s">
        <v>17</v>
      </c>
      <c r="AE1354" s="366"/>
      <c r="AF1354" s="366"/>
      <c r="AG1354" s="366"/>
      <c r="AH1354" s="367"/>
      <c r="AI1354" s="368" t="s">
        <v>18</v>
      </c>
      <c r="AJ1354" s="369"/>
      <c r="AK1354" s="369"/>
      <c r="AL1354" s="369"/>
      <c r="AM1354" s="370"/>
      <c r="AN1354" s="371" t="s">
        <v>320</v>
      </c>
      <c r="AO1354" s="372"/>
      <c r="AP1354" s="372"/>
      <c r="AQ1354" s="372"/>
      <c r="AR1354" s="373"/>
      <c r="AS1354" s="355" t="s">
        <v>75</v>
      </c>
      <c r="AT1354" s="356"/>
      <c r="AU1354" s="356"/>
      <c r="AV1354" s="356"/>
      <c r="AW1354" s="357"/>
      <c r="AX1354" s="358" t="s">
        <v>456</v>
      </c>
      <c r="AY1354" s="358"/>
      <c r="AZ1354" s="358"/>
      <c r="BA1354" s="358"/>
      <c r="BB1354" s="359"/>
      <c r="BC1354" s="360" t="s">
        <v>1</v>
      </c>
      <c r="BE1354" s="271" t="s">
        <v>0</v>
      </c>
      <c r="BF1354" s="362" t="s">
        <v>38</v>
      </c>
      <c r="BG1354" s="363"/>
      <c r="BH1354" s="363"/>
      <c r="BI1354" s="363"/>
      <c r="BJ1354" s="364"/>
    </row>
    <row r="1355" spans="1:62" ht="14.25" thickBot="1" x14ac:dyDescent="0.2">
      <c r="A1355" s="5" t="s">
        <v>2</v>
      </c>
      <c r="B1355" s="6" t="s">
        <v>3</v>
      </c>
      <c r="C1355" s="7" t="s">
        <v>4</v>
      </c>
      <c r="D1355" s="7" t="s">
        <v>5</v>
      </c>
      <c r="E1355" s="8" t="s">
        <v>6</v>
      </c>
      <c r="F1355" s="5" t="s">
        <v>7</v>
      </c>
      <c r="G1355" s="6" t="s">
        <v>3</v>
      </c>
      <c r="H1355" s="7" t="s">
        <v>4</v>
      </c>
      <c r="I1355" s="7" t="s">
        <v>5</v>
      </c>
      <c r="J1355" s="8" t="s">
        <v>6</v>
      </c>
      <c r="K1355" s="5" t="s">
        <v>7</v>
      </c>
      <c r="L1355" s="6" t="s">
        <v>3</v>
      </c>
      <c r="M1355" s="7" t="s">
        <v>4</v>
      </c>
      <c r="N1355" s="7" t="s">
        <v>5</v>
      </c>
      <c r="O1355" s="8" t="s">
        <v>6</v>
      </c>
      <c r="P1355" s="5" t="s">
        <v>7</v>
      </c>
      <c r="Q1355" s="6" t="s">
        <v>3</v>
      </c>
      <c r="R1355" s="7" t="s">
        <v>4</v>
      </c>
      <c r="S1355" s="7" t="s">
        <v>5</v>
      </c>
      <c r="T1355" s="8" t="s">
        <v>6</v>
      </c>
      <c r="U1355" s="5" t="s">
        <v>7</v>
      </c>
      <c r="V1355" s="7" t="s">
        <v>3</v>
      </c>
      <c r="W1355" s="7" t="s">
        <v>4</v>
      </c>
      <c r="X1355" s="7" t="s">
        <v>5</v>
      </c>
      <c r="Y1355" s="8" t="s">
        <v>6</v>
      </c>
      <c r="Z1355" s="5" t="s">
        <v>7</v>
      </c>
      <c r="AA1355" s="361"/>
      <c r="AC1355" s="272" t="s">
        <v>2</v>
      </c>
      <c r="AD1355" s="6" t="s">
        <v>3</v>
      </c>
      <c r="AE1355" s="7" t="s">
        <v>4</v>
      </c>
      <c r="AF1355" s="7" t="s">
        <v>5</v>
      </c>
      <c r="AG1355" s="8" t="s">
        <v>6</v>
      </c>
      <c r="AH1355" s="5" t="s">
        <v>7</v>
      </c>
      <c r="AI1355" s="6" t="s">
        <v>3</v>
      </c>
      <c r="AJ1355" s="7" t="s">
        <v>4</v>
      </c>
      <c r="AK1355" s="7" t="s">
        <v>5</v>
      </c>
      <c r="AL1355" s="8" t="s">
        <v>6</v>
      </c>
      <c r="AM1355" s="5" t="s">
        <v>7</v>
      </c>
      <c r="AN1355" s="6" t="s">
        <v>3</v>
      </c>
      <c r="AO1355" s="7" t="s">
        <v>4</v>
      </c>
      <c r="AP1355" s="7" t="s">
        <v>5</v>
      </c>
      <c r="AQ1355" s="8" t="s">
        <v>6</v>
      </c>
      <c r="AR1355" s="5" t="s">
        <v>7</v>
      </c>
      <c r="AS1355" s="6" t="s">
        <v>3</v>
      </c>
      <c r="AT1355" s="7" t="s">
        <v>4</v>
      </c>
      <c r="AU1355" s="7" t="s">
        <v>5</v>
      </c>
      <c r="AV1355" s="8" t="s">
        <v>6</v>
      </c>
      <c r="AW1355" s="5" t="s">
        <v>7</v>
      </c>
      <c r="AX1355" s="7" t="s">
        <v>3</v>
      </c>
      <c r="AY1355" s="7" t="s">
        <v>4</v>
      </c>
      <c r="AZ1355" s="7" t="s">
        <v>5</v>
      </c>
      <c r="BA1355" s="8" t="s">
        <v>6</v>
      </c>
      <c r="BB1355" s="5" t="s">
        <v>7</v>
      </c>
      <c r="BC1355" s="361"/>
      <c r="BE1355" s="272" t="s">
        <v>2</v>
      </c>
      <c r="BF1355" s="6" t="s">
        <v>3</v>
      </c>
      <c r="BG1355" s="7" t="s">
        <v>4</v>
      </c>
      <c r="BH1355" s="7" t="s">
        <v>5</v>
      </c>
      <c r="BI1355" s="8" t="s">
        <v>6</v>
      </c>
      <c r="BJ1355" s="5" t="s">
        <v>7</v>
      </c>
    </row>
    <row r="1356" spans="1:62" ht="15" thickBot="1" x14ac:dyDescent="0.2">
      <c r="A1356" s="291" t="s">
        <v>30</v>
      </c>
      <c r="B1356" s="292">
        <f>B1349</f>
        <v>1</v>
      </c>
      <c r="C1356" s="292">
        <f>C1349</f>
        <v>3</v>
      </c>
      <c r="D1356" s="292">
        <f>D1349</f>
        <v>1</v>
      </c>
      <c r="E1356" s="293">
        <f>E1349</f>
        <v>2</v>
      </c>
      <c r="F1356" s="77">
        <f t="shared" ref="F1356" si="1329">SUM(B1356:E1356)</f>
        <v>7</v>
      </c>
      <c r="G1356" s="292">
        <f>G1349</f>
        <v>3</v>
      </c>
      <c r="H1356" s="292">
        <f>H1349</f>
        <v>3</v>
      </c>
      <c r="I1356" s="292">
        <f>I1349</f>
        <v>4</v>
      </c>
      <c r="J1356" s="293">
        <f>J1349</f>
        <v>3</v>
      </c>
      <c r="K1356" s="77">
        <f t="shared" ref="K1356:K1357" si="1330">SUM(G1356:J1356)</f>
        <v>13</v>
      </c>
      <c r="L1356" s="292">
        <f>L1349</f>
        <v>2</v>
      </c>
      <c r="M1356" s="292">
        <f>M1349</f>
        <v>2</v>
      </c>
      <c r="N1356" s="292">
        <f>N1349</f>
        <v>1</v>
      </c>
      <c r="O1356" s="293">
        <f>O1349</f>
        <v>2</v>
      </c>
      <c r="P1356" s="77">
        <f t="shared" ref="P1356:P1357" si="1331">SUM(L1356:O1356)</f>
        <v>7</v>
      </c>
      <c r="Q1356" s="324">
        <f>Q1349</f>
        <v>3</v>
      </c>
      <c r="R1356" s="292">
        <f>R1349</f>
        <v>1</v>
      </c>
      <c r="S1356" s="292">
        <f>S1349</f>
        <v>2</v>
      </c>
      <c r="T1356" s="293">
        <f>T1349</f>
        <v>0</v>
      </c>
      <c r="U1356" s="77">
        <f t="shared" ref="U1356:U1357" si="1332">SUM(Q1356:T1356)</f>
        <v>6</v>
      </c>
      <c r="V1356" s="324">
        <f>V1349</f>
        <v>3</v>
      </c>
      <c r="W1356" s="292">
        <f>W1349</f>
        <v>6</v>
      </c>
      <c r="X1356" s="292">
        <f>X1349</f>
        <v>6</v>
      </c>
      <c r="Y1356" s="293">
        <f>Y1349</f>
        <v>2</v>
      </c>
      <c r="Z1356" s="77">
        <f t="shared" ref="Z1356:Z1357" si="1333">SUM(V1356:Y1356)</f>
        <v>17</v>
      </c>
      <c r="AA1356" s="77">
        <f>F1356+K1356+P1356+U1356+Z1356</f>
        <v>50</v>
      </c>
      <c r="AC1356" s="294" t="s">
        <v>30</v>
      </c>
      <c r="AD1356" s="292">
        <f>AD1349</f>
        <v>73</v>
      </c>
      <c r="AE1356" s="292">
        <f>AE1349</f>
        <v>62</v>
      </c>
      <c r="AF1356" s="292">
        <f>AF1349</f>
        <v>126</v>
      </c>
      <c r="AG1356" s="293">
        <f>AG1349</f>
        <v>50</v>
      </c>
      <c r="AH1356" s="77">
        <f>SUM(AD1356:AG1356)</f>
        <v>311</v>
      </c>
      <c r="AI1356" s="292">
        <f>AI1349</f>
        <v>86</v>
      </c>
      <c r="AJ1356" s="292">
        <f>AJ1349</f>
        <v>123</v>
      </c>
      <c r="AK1356" s="292">
        <f>AK1349</f>
        <v>91</v>
      </c>
      <c r="AL1356" s="293">
        <f>AL1349</f>
        <v>83</v>
      </c>
      <c r="AM1356" s="77">
        <f>SUM(AI1356:AL1356)</f>
        <v>383</v>
      </c>
      <c r="AN1356" s="292">
        <f>AN1349</f>
        <v>34</v>
      </c>
      <c r="AO1356" s="292">
        <f>AO1349</f>
        <v>42</v>
      </c>
      <c r="AP1356" s="292">
        <f>AP1349</f>
        <v>37</v>
      </c>
      <c r="AQ1356" s="293">
        <f>AQ1349</f>
        <v>14</v>
      </c>
      <c r="AR1356" s="77">
        <f>SUM(AN1356:AQ1356)</f>
        <v>127</v>
      </c>
      <c r="AS1356" s="324">
        <f>AS1349</f>
        <v>135</v>
      </c>
      <c r="AT1356" s="292">
        <f>AT1349</f>
        <v>162</v>
      </c>
      <c r="AU1356" s="292">
        <f>AU1349</f>
        <v>94</v>
      </c>
      <c r="AV1356" s="293">
        <f>AV1349</f>
        <v>59</v>
      </c>
      <c r="AW1356" s="77">
        <f>SUM(AS1356:AV1356)</f>
        <v>450</v>
      </c>
      <c r="AX1356" s="324">
        <f>AX1349</f>
        <v>104</v>
      </c>
      <c r="AY1356" s="292">
        <f>AY1349</f>
        <v>78</v>
      </c>
      <c r="AZ1356" s="292">
        <f>AZ1349</f>
        <v>41</v>
      </c>
      <c r="BA1356" s="293">
        <f>BA1349</f>
        <v>27</v>
      </c>
      <c r="BB1356" s="77">
        <f>SUM(AX1356:BA1356)</f>
        <v>250</v>
      </c>
      <c r="BC1356" s="77">
        <f>AH1356+AM1356+AR1356+AW1356+BB1356</f>
        <v>1521</v>
      </c>
      <c r="BE1356" s="294" t="s">
        <v>30</v>
      </c>
      <c r="BF1356" s="40">
        <f>BF1349</f>
        <v>0</v>
      </c>
      <c r="BG1356" s="41">
        <f t="shared" ref="BG1356:BJ1356" si="1334">BG1349</f>
        <v>0</v>
      </c>
      <c r="BH1356" s="41">
        <f t="shared" si="1334"/>
        <v>10</v>
      </c>
      <c r="BI1356" s="42">
        <f t="shared" si="1334"/>
        <v>0</v>
      </c>
      <c r="BJ1356" s="171">
        <f t="shared" si="1334"/>
        <v>10</v>
      </c>
    </row>
    <row r="1357" spans="1:62" x14ac:dyDescent="0.15">
      <c r="A1357" s="268" t="s">
        <v>28</v>
      </c>
      <c r="B1357" s="54"/>
      <c r="C1357" s="55"/>
      <c r="D1357" s="55">
        <v>2</v>
      </c>
      <c r="E1357" s="55"/>
      <c r="F1357" s="56">
        <f t="shared" ref="F1357" si="1335">SUM(B1357:E1357)</f>
        <v>2</v>
      </c>
      <c r="G1357" s="54"/>
      <c r="H1357" s="55"/>
      <c r="I1357" s="55"/>
      <c r="J1357" s="55"/>
      <c r="K1357" s="56">
        <f t="shared" si="1330"/>
        <v>0</v>
      </c>
      <c r="L1357" s="54"/>
      <c r="M1357" s="55"/>
      <c r="N1357" s="55">
        <v>2</v>
      </c>
      <c r="O1357" s="55"/>
      <c r="P1357" s="56">
        <f t="shared" si="1331"/>
        <v>2</v>
      </c>
      <c r="Q1357" s="54"/>
      <c r="R1357" s="55">
        <v>2</v>
      </c>
      <c r="S1357" s="55">
        <v>2</v>
      </c>
      <c r="T1357" s="55">
        <v>2</v>
      </c>
      <c r="U1357" s="56">
        <f t="shared" si="1332"/>
        <v>6</v>
      </c>
      <c r="V1357" s="55"/>
      <c r="W1357" s="55"/>
      <c r="X1357" s="55"/>
      <c r="Y1357" s="55"/>
      <c r="Z1357" s="56">
        <f t="shared" si="1333"/>
        <v>0</v>
      </c>
      <c r="AA1357" s="56">
        <f t="shared" ref="AA1357" si="1336">F1357+K1357+P1357+U1357+Z1357</f>
        <v>10</v>
      </c>
      <c r="AB1357" s="298">
        <v>45808</v>
      </c>
      <c r="AC1357" s="268" t="s">
        <v>28</v>
      </c>
      <c r="AD1357" s="55"/>
      <c r="AE1357" s="153"/>
      <c r="AF1357" s="153"/>
      <c r="AG1357" s="168"/>
      <c r="AH1357" s="56">
        <f t="shared" ref="AH1357:AH1387" si="1337">SUM(AD1357:AG1357)</f>
        <v>0</v>
      </c>
      <c r="AI1357" s="55"/>
      <c r="AJ1357" s="153"/>
      <c r="AK1357" s="153"/>
      <c r="AL1357" s="168"/>
      <c r="AM1357" s="56">
        <f t="shared" ref="AM1357:AM1387" si="1338">SUM(AI1357:AL1357)</f>
        <v>0</v>
      </c>
      <c r="AN1357" s="55"/>
      <c r="AO1357" s="153"/>
      <c r="AP1357" s="153"/>
      <c r="AQ1357" s="168"/>
      <c r="AR1357" s="56">
        <f t="shared" ref="AR1357:AR1392" si="1339">SUM(AN1357:AQ1357)</f>
        <v>0</v>
      </c>
      <c r="AS1357" s="54"/>
      <c r="AT1357" s="153"/>
      <c r="AU1357" s="153"/>
      <c r="AV1357" s="168"/>
      <c r="AW1357" s="56">
        <f t="shared" ref="AW1357:AW1392" si="1340">SUM(AS1357:AV1357)</f>
        <v>0</v>
      </c>
      <c r="AX1357" s="55"/>
      <c r="AY1357" s="153"/>
      <c r="AZ1357" s="153"/>
      <c r="BA1357" s="168"/>
      <c r="BB1357" s="49">
        <f t="shared" ref="BB1357:BB1391" si="1341">SUM(AX1357:BA1357)</f>
        <v>0</v>
      </c>
      <c r="BC1357" s="49">
        <f t="shared" ref="BC1357:BC1363" si="1342">AH1357+AM1357+AR1357+AW1357+BB1357</f>
        <v>0</v>
      </c>
      <c r="BE1357" s="268" t="s">
        <v>28</v>
      </c>
      <c r="BF1357" s="55"/>
      <c r="BG1357" s="153"/>
      <c r="BH1357" s="153"/>
      <c r="BI1357" s="168"/>
      <c r="BJ1357" s="56">
        <f t="shared" ref="BJ1357:BJ1392" si="1343">SUM(BF1357:BI1357)</f>
        <v>0</v>
      </c>
    </row>
    <row r="1358" spans="1:62" x14ac:dyDescent="0.15">
      <c r="A1358" s="268" t="s">
        <v>28</v>
      </c>
      <c r="B1358" s="54"/>
      <c r="C1358" s="55"/>
      <c r="D1358" s="55"/>
      <c r="E1358" s="55"/>
      <c r="F1358" s="56">
        <f t="shared" ref="F1358:F1361" si="1344">SUM(B1358:E1358)</f>
        <v>0</v>
      </c>
      <c r="G1358" s="54"/>
      <c r="H1358" s="55"/>
      <c r="I1358" s="55"/>
      <c r="J1358" s="55">
        <v>2</v>
      </c>
      <c r="K1358" s="56">
        <f t="shared" ref="K1358:K1361" si="1345">SUM(G1358:J1358)</f>
        <v>2</v>
      </c>
      <c r="L1358" s="54"/>
      <c r="M1358" s="55"/>
      <c r="N1358" s="55"/>
      <c r="O1358" s="55"/>
      <c r="P1358" s="56">
        <f t="shared" ref="P1358:P1361" si="1346">SUM(L1358:O1358)</f>
        <v>0</v>
      </c>
      <c r="Q1358" s="54"/>
      <c r="R1358" s="55">
        <v>2</v>
      </c>
      <c r="S1358" s="55"/>
      <c r="T1358" s="55"/>
      <c r="U1358" s="56">
        <f t="shared" ref="U1358:U1361" si="1347">SUM(Q1358:T1358)</f>
        <v>2</v>
      </c>
      <c r="V1358" s="55"/>
      <c r="W1358" s="55"/>
      <c r="X1358" s="55"/>
      <c r="Y1358" s="55"/>
      <c r="Z1358" s="56">
        <f t="shared" ref="Z1358:Z1361" si="1348">SUM(V1358:Y1358)</f>
        <v>0</v>
      </c>
      <c r="AA1358" s="56">
        <f t="shared" ref="AA1358:AA1361" si="1349">F1358+K1358+P1358+U1358+Z1358</f>
        <v>4</v>
      </c>
      <c r="AB1358" s="298">
        <v>45819</v>
      </c>
      <c r="AC1358" s="268" t="s">
        <v>28</v>
      </c>
      <c r="AD1358" s="55"/>
      <c r="AE1358" s="153"/>
      <c r="AF1358" s="153"/>
      <c r="AG1358" s="168"/>
      <c r="AH1358" s="56">
        <f t="shared" si="1337"/>
        <v>0</v>
      </c>
      <c r="AI1358" s="55"/>
      <c r="AJ1358" s="153"/>
      <c r="AK1358" s="153"/>
      <c r="AL1358" s="168"/>
      <c r="AM1358" s="56">
        <f t="shared" si="1338"/>
        <v>0</v>
      </c>
      <c r="AN1358" s="55"/>
      <c r="AO1358" s="153"/>
      <c r="AP1358" s="153"/>
      <c r="AQ1358" s="168"/>
      <c r="AR1358" s="56">
        <f t="shared" si="1339"/>
        <v>0</v>
      </c>
      <c r="AS1358" s="54"/>
      <c r="AT1358" s="153"/>
      <c r="AU1358" s="153"/>
      <c r="AV1358" s="168"/>
      <c r="AW1358" s="56">
        <f t="shared" si="1340"/>
        <v>0</v>
      </c>
      <c r="AX1358" s="55"/>
      <c r="AY1358" s="153"/>
      <c r="AZ1358" s="153"/>
      <c r="BA1358" s="168"/>
      <c r="BB1358" s="49">
        <f t="shared" si="1341"/>
        <v>0</v>
      </c>
      <c r="BC1358" s="49">
        <f t="shared" si="1342"/>
        <v>0</v>
      </c>
      <c r="BE1358" s="268" t="s">
        <v>28</v>
      </c>
      <c r="BF1358" s="55"/>
      <c r="BG1358" s="153"/>
      <c r="BH1358" s="153"/>
      <c r="BI1358" s="168"/>
      <c r="BJ1358" s="56">
        <f t="shared" si="1343"/>
        <v>0</v>
      </c>
    </row>
    <row r="1359" spans="1:62" x14ac:dyDescent="0.15">
      <c r="A1359" s="268" t="s">
        <v>28</v>
      </c>
      <c r="B1359" s="54">
        <v>3</v>
      </c>
      <c r="C1359" s="55"/>
      <c r="D1359" s="55"/>
      <c r="E1359" s="55"/>
      <c r="F1359" s="56">
        <f t="shared" si="1344"/>
        <v>3</v>
      </c>
      <c r="G1359" s="54"/>
      <c r="H1359" s="55"/>
      <c r="I1359" s="55"/>
      <c r="J1359" s="55"/>
      <c r="K1359" s="56">
        <f t="shared" si="1345"/>
        <v>0</v>
      </c>
      <c r="L1359" s="54"/>
      <c r="M1359" s="55">
        <v>3</v>
      </c>
      <c r="N1359" s="55"/>
      <c r="O1359" s="55"/>
      <c r="P1359" s="56">
        <f t="shared" si="1346"/>
        <v>3</v>
      </c>
      <c r="Q1359" s="54"/>
      <c r="R1359" s="55">
        <v>3</v>
      </c>
      <c r="S1359" s="55"/>
      <c r="T1359" s="55"/>
      <c r="U1359" s="56">
        <f t="shared" si="1347"/>
        <v>3</v>
      </c>
      <c r="V1359" s="55"/>
      <c r="W1359" s="55"/>
      <c r="X1359" s="55"/>
      <c r="Y1359" s="55"/>
      <c r="Z1359" s="56">
        <f t="shared" si="1348"/>
        <v>0</v>
      </c>
      <c r="AA1359" s="56">
        <f t="shared" si="1349"/>
        <v>9</v>
      </c>
      <c r="AB1359" s="298">
        <v>45842</v>
      </c>
      <c r="AC1359" s="268" t="s">
        <v>28</v>
      </c>
      <c r="AD1359" s="55"/>
      <c r="AE1359" s="153"/>
      <c r="AF1359" s="153"/>
      <c r="AG1359" s="168"/>
      <c r="AH1359" s="56">
        <f t="shared" si="1337"/>
        <v>0</v>
      </c>
      <c r="AI1359" s="55"/>
      <c r="AJ1359" s="153"/>
      <c r="AK1359" s="153"/>
      <c r="AL1359" s="168"/>
      <c r="AM1359" s="56">
        <f t="shared" si="1338"/>
        <v>0</v>
      </c>
      <c r="AN1359" s="55"/>
      <c r="AO1359" s="153"/>
      <c r="AP1359" s="153"/>
      <c r="AQ1359" s="168"/>
      <c r="AR1359" s="56">
        <f t="shared" si="1339"/>
        <v>0</v>
      </c>
      <c r="AS1359" s="54"/>
      <c r="AT1359" s="153"/>
      <c r="AU1359" s="153"/>
      <c r="AV1359" s="168"/>
      <c r="AW1359" s="56">
        <f t="shared" si="1340"/>
        <v>0</v>
      </c>
      <c r="AX1359" s="55"/>
      <c r="AY1359" s="153"/>
      <c r="AZ1359" s="153"/>
      <c r="BA1359" s="168"/>
      <c r="BB1359" s="49">
        <f t="shared" si="1341"/>
        <v>0</v>
      </c>
      <c r="BC1359" s="49">
        <f t="shared" si="1342"/>
        <v>0</v>
      </c>
      <c r="BE1359" s="268" t="s">
        <v>28</v>
      </c>
      <c r="BF1359" s="55"/>
      <c r="BG1359" s="153"/>
      <c r="BH1359" s="153"/>
      <c r="BI1359" s="168"/>
      <c r="BJ1359" s="56">
        <f t="shared" si="1343"/>
        <v>0</v>
      </c>
    </row>
    <row r="1360" spans="1:62" x14ac:dyDescent="0.15">
      <c r="A1360" s="268" t="s">
        <v>28</v>
      </c>
      <c r="B1360" s="54"/>
      <c r="C1360" s="55"/>
      <c r="D1360" s="55"/>
      <c r="E1360" s="55"/>
      <c r="F1360" s="56">
        <f t="shared" si="1344"/>
        <v>0</v>
      </c>
      <c r="G1360" s="54"/>
      <c r="H1360" s="55"/>
      <c r="I1360" s="55"/>
      <c r="J1360" s="55"/>
      <c r="K1360" s="56">
        <f t="shared" si="1345"/>
        <v>0</v>
      </c>
      <c r="L1360" s="54">
        <v>3</v>
      </c>
      <c r="M1360" s="55"/>
      <c r="N1360" s="55"/>
      <c r="O1360" s="55"/>
      <c r="P1360" s="56">
        <f t="shared" si="1346"/>
        <v>3</v>
      </c>
      <c r="Q1360" s="54">
        <v>3</v>
      </c>
      <c r="R1360" s="55"/>
      <c r="S1360" s="55">
        <v>3</v>
      </c>
      <c r="T1360" s="55">
        <v>3</v>
      </c>
      <c r="U1360" s="56">
        <f t="shared" si="1347"/>
        <v>9</v>
      </c>
      <c r="V1360" s="55">
        <v>3</v>
      </c>
      <c r="W1360" s="55"/>
      <c r="X1360" s="55"/>
      <c r="Y1360" s="55">
        <v>3</v>
      </c>
      <c r="Z1360" s="56">
        <f t="shared" si="1348"/>
        <v>6</v>
      </c>
      <c r="AA1360" s="56">
        <f t="shared" si="1349"/>
        <v>18</v>
      </c>
      <c r="AB1360" s="298">
        <v>45846</v>
      </c>
      <c r="AC1360" s="268" t="s">
        <v>28</v>
      </c>
      <c r="AD1360" s="55"/>
      <c r="AE1360" s="153"/>
      <c r="AF1360" s="153"/>
      <c r="AG1360" s="168"/>
      <c r="AH1360" s="56">
        <f t="shared" si="1337"/>
        <v>0</v>
      </c>
      <c r="AI1360" s="55"/>
      <c r="AJ1360" s="153"/>
      <c r="AK1360" s="153"/>
      <c r="AL1360" s="168"/>
      <c r="AM1360" s="56">
        <f t="shared" si="1338"/>
        <v>0</v>
      </c>
      <c r="AN1360" s="55"/>
      <c r="AO1360" s="153"/>
      <c r="AP1360" s="153"/>
      <c r="AQ1360" s="168"/>
      <c r="AR1360" s="56">
        <f t="shared" si="1339"/>
        <v>0</v>
      </c>
      <c r="AS1360" s="54"/>
      <c r="AT1360" s="153"/>
      <c r="AU1360" s="153"/>
      <c r="AV1360" s="168"/>
      <c r="AW1360" s="56">
        <f t="shared" si="1340"/>
        <v>0</v>
      </c>
      <c r="AX1360" s="55"/>
      <c r="AY1360" s="153"/>
      <c r="AZ1360" s="153"/>
      <c r="BA1360" s="168"/>
      <c r="BB1360" s="49">
        <f t="shared" si="1341"/>
        <v>0</v>
      </c>
      <c r="BC1360" s="49">
        <f t="shared" si="1342"/>
        <v>0</v>
      </c>
      <c r="BE1360" s="268" t="s">
        <v>28</v>
      </c>
      <c r="BF1360" s="55"/>
      <c r="BG1360" s="153"/>
      <c r="BH1360" s="153"/>
      <c r="BI1360" s="168"/>
      <c r="BJ1360" s="56">
        <f t="shared" si="1343"/>
        <v>0</v>
      </c>
    </row>
    <row r="1361" spans="1:62" x14ac:dyDescent="0.15">
      <c r="A1361" s="268" t="s">
        <v>29</v>
      </c>
      <c r="B1361" s="54"/>
      <c r="C1361" s="55"/>
      <c r="D1361" s="55"/>
      <c r="E1361" s="55"/>
      <c r="F1361" s="56">
        <f t="shared" si="1344"/>
        <v>0</v>
      </c>
      <c r="G1361" s="54"/>
      <c r="H1361" s="55">
        <v>1</v>
      </c>
      <c r="I1361" s="55"/>
      <c r="J1361" s="55"/>
      <c r="K1361" s="56">
        <f t="shared" si="1345"/>
        <v>1</v>
      </c>
      <c r="L1361" s="54"/>
      <c r="M1361" s="55"/>
      <c r="N1361" s="55"/>
      <c r="O1361" s="55"/>
      <c r="P1361" s="56">
        <f t="shared" si="1346"/>
        <v>0</v>
      </c>
      <c r="Q1361" s="54"/>
      <c r="R1361" s="55"/>
      <c r="S1361" s="55"/>
      <c r="T1361" s="55"/>
      <c r="U1361" s="56">
        <f t="shared" si="1347"/>
        <v>0</v>
      </c>
      <c r="V1361" s="55"/>
      <c r="W1361" s="55"/>
      <c r="X1361" s="55"/>
      <c r="Y1361" s="55"/>
      <c r="Z1361" s="56">
        <f t="shared" si="1348"/>
        <v>0</v>
      </c>
      <c r="AA1361" s="56">
        <f t="shared" si="1349"/>
        <v>1</v>
      </c>
      <c r="AB1361" s="298">
        <v>45847</v>
      </c>
      <c r="AC1361" s="268" t="s">
        <v>28</v>
      </c>
      <c r="AD1361" s="55"/>
      <c r="AE1361" s="153"/>
      <c r="AF1361" s="153"/>
      <c r="AG1361" s="168"/>
      <c r="AH1361" s="56">
        <f t="shared" si="1337"/>
        <v>0</v>
      </c>
      <c r="AI1361" s="55"/>
      <c r="AJ1361" s="153"/>
      <c r="AK1361" s="153"/>
      <c r="AL1361" s="168"/>
      <c r="AM1361" s="56">
        <f t="shared" si="1338"/>
        <v>0</v>
      </c>
      <c r="AN1361" s="55"/>
      <c r="AO1361" s="153"/>
      <c r="AP1361" s="153"/>
      <c r="AQ1361" s="168"/>
      <c r="AR1361" s="56">
        <f t="shared" si="1339"/>
        <v>0</v>
      </c>
      <c r="AS1361" s="54"/>
      <c r="AT1361" s="153"/>
      <c r="AU1361" s="153"/>
      <c r="AV1361" s="168"/>
      <c r="AW1361" s="56">
        <f t="shared" si="1340"/>
        <v>0</v>
      </c>
      <c r="AX1361" s="55"/>
      <c r="AY1361" s="153"/>
      <c r="AZ1361" s="153"/>
      <c r="BA1361" s="168"/>
      <c r="BB1361" s="49">
        <f t="shared" si="1341"/>
        <v>0</v>
      </c>
      <c r="BC1361" s="49">
        <f t="shared" si="1342"/>
        <v>0</v>
      </c>
      <c r="BE1361" s="268" t="s">
        <v>28</v>
      </c>
      <c r="BF1361" s="55"/>
      <c r="BG1361" s="153"/>
      <c r="BH1361" s="153"/>
      <c r="BI1361" s="168"/>
      <c r="BJ1361" s="56">
        <f t="shared" si="1343"/>
        <v>0</v>
      </c>
    </row>
    <row r="1362" spans="1:62" x14ac:dyDescent="0.15">
      <c r="A1362" s="268" t="s">
        <v>28</v>
      </c>
      <c r="B1362" s="54"/>
      <c r="C1362" s="55">
        <v>3</v>
      </c>
      <c r="D1362" s="55">
        <v>3</v>
      </c>
      <c r="E1362" s="55">
        <v>3</v>
      </c>
      <c r="F1362" s="56">
        <f t="shared" ref="F1362:F1392" si="1350">SUM(B1362:E1362)</f>
        <v>9</v>
      </c>
      <c r="G1362" s="54"/>
      <c r="H1362" s="55"/>
      <c r="I1362" s="55"/>
      <c r="J1362" s="55"/>
      <c r="K1362" s="56">
        <f t="shared" ref="K1362:K1363" si="1351">SUM(G1362:J1362)</f>
        <v>0</v>
      </c>
      <c r="L1362" s="54"/>
      <c r="M1362" s="55"/>
      <c r="N1362" s="55"/>
      <c r="O1362" s="55">
        <v>3</v>
      </c>
      <c r="P1362" s="56">
        <f t="shared" ref="P1362:P1363" si="1352">SUM(L1362:O1362)</f>
        <v>3</v>
      </c>
      <c r="Q1362" s="54"/>
      <c r="R1362" s="55"/>
      <c r="S1362" s="55"/>
      <c r="T1362" s="55"/>
      <c r="U1362" s="56">
        <f t="shared" ref="U1362:U1363" si="1353">SUM(Q1362:T1362)</f>
        <v>0</v>
      </c>
      <c r="V1362" s="55"/>
      <c r="W1362" s="55"/>
      <c r="X1362" s="55"/>
      <c r="Y1362" s="55"/>
      <c r="Z1362" s="56">
        <f t="shared" ref="Z1362:Z1363" si="1354">SUM(V1362:Y1362)</f>
        <v>0</v>
      </c>
      <c r="AA1362" s="56">
        <f t="shared" ref="AA1362:AA1363" si="1355">F1362+K1362+P1362+U1362+Z1362</f>
        <v>12</v>
      </c>
      <c r="AB1362" s="298">
        <v>45853</v>
      </c>
      <c r="AC1362" s="268" t="s">
        <v>28</v>
      </c>
      <c r="AD1362" s="55"/>
      <c r="AE1362" s="153"/>
      <c r="AF1362" s="153"/>
      <c r="AG1362" s="168"/>
      <c r="AH1362" s="56">
        <f t="shared" si="1337"/>
        <v>0</v>
      </c>
      <c r="AI1362" s="55"/>
      <c r="AJ1362" s="153"/>
      <c r="AK1362" s="153"/>
      <c r="AL1362" s="168"/>
      <c r="AM1362" s="56">
        <f t="shared" si="1338"/>
        <v>0</v>
      </c>
      <c r="AN1362" s="55"/>
      <c r="AO1362" s="153"/>
      <c r="AP1362" s="153"/>
      <c r="AQ1362" s="168"/>
      <c r="AR1362" s="56">
        <f t="shared" si="1339"/>
        <v>0</v>
      </c>
      <c r="AS1362" s="54"/>
      <c r="AT1362" s="153"/>
      <c r="AU1362" s="153"/>
      <c r="AV1362" s="168"/>
      <c r="AW1362" s="56">
        <f t="shared" si="1340"/>
        <v>0</v>
      </c>
      <c r="AX1362" s="55"/>
      <c r="AY1362" s="153"/>
      <c r="AZ1362" s="153"/>
      <c r="BA1362" s="168"/>
      <c r="BB1362" s="49">
        <f t="shared" si="1341"/>
        <v>0</v>
      </c>
      <c r="BC1362" s="49">
        <f t="shared" si="1342"/>
        <v>0</v>
      </c>
      <c r="BE1362" s="268" t="s">
        <v>28</v>
      </c>
      <c r="BF1362" s="55"/>
      <c r="BG1362" s="153"/>
      <c r="BH1362" s="153"/>
      <c r="BI1362" s="168"/>
      <c r="BJ1362" s="56">
        <f t="shared" si="1343"/>
        <v>0</v>
      </c>
    </row>
    <row r="1363" spans="1:62" ht="14.25" thickBot="1" x14ac:dyDescent="0.2">
      <c r="A1363" s="268" t="s">
        <v>28</v>
      </c>
      <c r="B1363" s="54"/>
      <c r="C1363" s="55"/>
      <c r="D1363" s="55"/>
      <c r="E1363" s="55"/>
      <c r="F1363" s="56">
        <f t="shared" si="1350"/>
        <v>0</v>
      </c>
      <c r="G1363" s="54"/>
      <c r="H1363" s="55"/>
      <c r="I1363" s="55"/>
      <c r="J1363" s="55"/>
      <c r="K1363" s="56">
        <f t="shared" si="1351"/>
        <v>0</v>
      </c>
      <c r="L1363" s="54"/>
      <c r="M1363" s="55"/>
      <c r="N1363" s="55"/>
      <c r="O1363" s="55"/>
      <c r="P1363" s="56">
        <f t="shared" si="1352"/>
        <v>0</v>
      </c>
      <c r="Q1363" s="54"/>
      <c r="R1363" s="55"/>
      <c r="S1363" s="55"/>
      <c r="T1363" s="55"/>
      <c r="U1363" s="56">
        <f t="shared" si="1353"/>
        <v>0</v>
      </c>
      <c r="V1363" s="55"/>
      <c r="W1363" s="55"/>
      <c r="X1363" s="55"/>
      <c r="Y1363" s="55"/>
      <c r="Z1363" s="56">
        <f t="shared" si="1354"/>
        <v>0</v>
      </c>
      <c r="AA1363" s="56">
        <f t="shared" si="1355"/>
        <v>0</v>
      </c>
      <c r="AC1363" s="268" t="s">
        <v>28</v>
      </c>
      <c r="AD1363" s="63"/>
      <c r="AE1363" s="164"/>
      <c r="AF1363" s="164"/>
      <c r="AG1363" s="169"/>
      <c r="AH1363" s="170">
        <f t="shared" si="1337"/>
        <v>0</v>
      </c>
      <c r="AI1363" s="63"/>
      <c r="AJ1363" s="164"/>
      <c r="AK1363" s="164"/>
      <c r="AL1363" s="169"/>
      <c r="AM1363" s="170">
        <f t="shared" si="1338"/>
        <v>0</v>
      </c>
      <c r="AN1363" s="63"/>
      <c r="AO1363" s="164"/>
      <c r="AP1363" s="164"/>
      <c r="AQ1363" s="169"/>
      <c r="AR1363" s="170">
        <f t="shared" si="1339"/>
        <v>0</v>
      </c>
      <c r="AS1363" s="62"/>
      <c r="AT1363" s="164"/>
      <c r="AU1363" s="164"/>
      <c r="AV1363" s="169"/>
      <c r="AW1363" s="170">
        <f t="shared" si="1340"/>
        <v>0</v>
      </c>
      <c r="AX1363" s="63"/>
      <c r="AY1363" s="164"/>
      <c r="AZ1363" s="164"/>
      <c r="BA1363" s="169"/>
      <c r="BB1363" s="170">
        <f t="shared" si="1341"/>
        <v>0</v>
      </c>
      <c r="BC1363" s="49">
        <f t="shared" si="1342"/>
        <v>0</v>
      </c>
      <c r="BE1363" s="274" t="s">
        <v>28</v>
      </c>
      <c r="BF1363" s="63"/>
      <c r="BG1363" s="164"/>
      <c r="BH1363" s="164"/>
      <c r="BI1363" s="169"/>
      <c r="BJ1363" s="170">
        <f t="shared" si="1343"/>
        <v>0</v>
      </c>
    </row>
    <row r="1364" spans="1:62" ht="15" thickBot="1" x14ac:dyDescent="0.2">
      <c r="A1364" s="181" t="s">
        <v>14</v>
      </c>
      <c r="B1364" s="182">
        <f>SUM(B1356:B1363)</f>
        <v>4</v>
      </c>
      <c r="C1364" s="183">
        <f>SUM(C1356:C1363)</f>
        <v>6</v>
      </c>
      <c r="D1364" s="183">
        <f>SUM(D1356:D1363)</f>
        <v>6</v>
      </c>
      <c r="E1364" s="184">
        <f>SUM(E1356:E1363)</f>
        <v>5</v>
      </c>
      <c r="F1364" s="77">
        <f t="shared" si="1350"/>
        <v>21</v>
      </c>
      <c r="G1364" s="182">
        <f>SUM(G1356:G1363)</f>
        <v>3</v>
      </c>
      <c r="H1364" s="183">
        <f>SUM(H1356:H1363)</f>
        <v>4</v>
      </c>
      <c r="I1364" s="183">
        <f>SUM(I1356:I1363)</f>
        <v>4</v>
      </c>
      <c r="J1364" s="184">
        <f>SUM(J1356:J1363)</f>
        <v>5</v>
      </c>
      <c r="K1364" s="77">
        <f t="shared" ref="K1364:K1380" si="1356">SUM(G1364:J1364)</f>
        <v>16</v>
      </c>
      <c r="L1364" s="182">
        <f>SUM(L1356:L1363)</f>
        <v>5</v>
      </c>
      <c r="M1364" s="183">
        <f>SUM(M1356:M1363)</f>
        <v>5</v>
      </c>
      <c r="N1364" s="183">
        <f>SUM(N1356:N1363)</f>
        <v>3</v>
      </c>
      <c r="O1364" s="184">
        <f>SUM(O1356:O1363)</f>
        <v>5</v>
      </c>
      <c r="P1364" s="77">
        <f t="shared" ref="P1364:P1380" si="1357">SUM(L1364:O1364)</f>
        <v>18</v>
      </c>
      <c r="Q1364" s="182">
        <f>SUM(Q1356:Q1363)</f>
        <v>6</v>
      </c>
      <c r="R1364" s="183">
        <f>SUM(R1356:R1363)</f>
        <v>8</v>
      </c>
      <c r="S1364" s="183">
        <f>SUM(S1356:S1363)</f>
        <v>7</v>
      </c>
      <c r="T1364" s="184">
        <f>SUM(T1356:T1363)</f>
        <v>5</v>
      </c>
      <c r="U1364" s="77">
        <f t="shared" ref="U1364:U1380" si="1358">SUM(Q1364:T1364)</f>
        <v>26</v>
      </c>
      <c r="V1364" s="293">
        <f>SUM(V1356:V1363)</f>
        <v>6</v>
      </c>
      <c r="W1364" s="183">
        <f>SUM(W1356:W1363)</f>
        <v>6</v>
      </c>
      <c r="X1364" s="183">
        <f>SUM(X1356:X1363)</f>
        <v>6</v>
      </c>
      <c r="Y1364" s="184">
        <f>SUM(Y1356:Y1363)</f>
        <v>5</v>
      </c>
      <c r="Z1364" s="77">
        <f t="shared" ref="Z1364:Z1380" si="1359">SUM(V1364:Y1364)</f>
        <v>23</v>
      </c>
      <c r="AA1364" s="77">
        <f>F1364+K1364+P1364+U1364+Z1364</f>
        <v>104</v>
      </c>
      <c r="AC1364" s="275" t="s">
        <v>14</v>
      </c>
      <c r="AD1364" s="182">
        <f>SUM(AD1356:AD1363)</f>
        <v>73</v>
      </c>
      <c r="AE1364" s="183">
        <f>SUM(AE1356:AE1363)</f>
        <v>62</v>
      </c>
      <c r="AF1364" s="183">
        <f>SUM(AF1356:AF1363)</f>
        <v>126</v>
      </c>
      <c r="AG1364" s="184">
        <f>SUM(AG1356:AG1363)</f>
        <v>50</v>
      </c>
      <c r="AH1364" s="77">
        <f t="shared" si="1337"/>
        <v>311</v>
      </c>
      <c r="AI1364" s="182">
        <f>SUM(AI1356:AI1363)</f>
        <v>86</v>
      </c>
      <c r="AJ1364" s="183">
        <f>SUM(AJ1356:AJ1363)</f>
        <v>123</v>
      </c>
      <c r="AK1364" s="183">
        <f>SUM(AK1356:AK1363)</f>
        <v>91</v>
      </c>
      <c r="AL1364" s="184">
        <f>SUM(AL1356:AL1363)</f>
        <v>83</v>
      </c>
      <c r="AM1364" s="77">
        <f t="shared" si="1338"/>
        <v>383</v>
      </c>
      <c r="AN1364" s="182">
        <f>SUM(AN1356:AN1363)</f>
        <v>34</v>
      </c>
      <c r="AO1364" s="183">
        <f>SUM(AO1356:AO1363)</f>
        <v>42</v>
      </c>
      <c r="AP1364" s="183">
        <f>SUM(AP1356:AP1363)</f>
        <v>37</v>
      </c>
      <c r="AQ1364" s="184">
        <f>SUM(AQ1356:AQ1363)</f>
        <v>14</v>
      </c>
      <c r="AR1364" s="77">
        <f t="shared" si="1339"/>
        <v>127</v>
      </c>
      <c r="AS1364" s="182">
        <f>SUM(AS1356:AS1363)</f>
        <v>135</v>
      </c>
      <c r="AT1364" s="183">
        <f>SUM(AT1356:AT1363)</f>
        <v>162</v>
      </c>
      <c r="AU1364" s="183">
        <f>SUM(AU1356:AU1363)</f>
        <v>94</v>
      </c>
      <c r="AV1364" s="184">
        <f>SUM(AV1356:AV1363)</f>
        <v>59</v>
      </c>
      <c r="AW1364" s="77">
        <f t="shared" si="1340"/>
        <v>450</v>
      </c>
      <c r="AX1364" s="293">
        <f>SUM(AX1356:AX1363)</f>
        <v>104</v>
      </c>
      <c r="AY1364" s="183">
        <f>SUM(AY1356:AY1363)</f>
        <v>78</v>
      </c>
      <c r="AZ1364" s="183">
        <f>SUM(AZ1356:AZ1363)</f>
        <v>41</v>
      </c>
      <c r="BA1364" s="184">
        <f>SUM(BA1356:BA1363)</f>
        <v>27</v>
      </c>
      <c r="BB1364" s="77">
        <f t="shared" si="1341"/>
        <v>250</v>
      </c>
      <c r="BC1364" s="77">
        <f>AH1364+AM1364+AR1364+AW1364+BB1364</f>
        <v>1521</v>
      </c>
      <c r="BE1364" s="275" t="s">
        <v>14</v>
      </c>
      <c r="BF1364" s="182">
        <f>SUM(BF1356:BF1363)</f>
        <v>0</v>
      </c>
      <c r="BG1364" s="183">
        <f>SUM(BG1356:BG1363)</f>
        <v>0</v>
      </c>
      <c r="BH1364" s="183">
        <f>SUM(BH1356:BH1363)</f>
        <v>10</v>
      </c>
      <c r="BI1364" s="184">
        <f>SUM(BI1356:BI1363)</f>
        <v>0</v>
      </c>
      <c r="BJ1364" s="77">
        <f t="shared" si="1343"/>
        <v>10</v>
      </c>
    </row>
    <row r="1365" spans="1:62" x14ac:dyDescent="0.15">
      <c r="A1365" s="53" t="s">
        <v>98</v>
      </c>
      <c r="B1365" s="54"/>
      <c r="C1365" s="55">
        <v>1</v>
      </c>
      <c r="D1365" s="55"/>
      <c r="E1365" s="55"/>
      <c r="F1365" s="56">
        <f t="shared" si="1350"/>
        <v>1</v>
      </c>
      <c r="G1365" s="54"/>
      <c r="H1365" s="55"/>
      <c r="I1365" s="55"/>
      <c r="J1365" s="55">
        <v>1</v>
      </c>
      <c r="K1365" s="56">
        <f t="shared" ref="K1365" si="1360">SUM(G1365:J1365)</f>
        <v>1</v>
      </c>
      <c r="L1365" s="54"/>
      <c r="M1365" s="55"/>
      <c r="N1365" s="55"/>
      <c r="O1365" s="55"/>
      <c r="P1365" s="56">
        <f t="shared" ref="P1365" si="1361">SUM(L1365:O1365)</f>
        <v>0</v>
      </c>
      <c r="Q1365" s="54"/>
      <c r="R1365" s="55"/>
      <c r="S1365" s="55"/>
      <c r="T1365" s="55"/>
      <c r="U1365" s="56">
        <f t="shared" ref="U1365" si="1362">SUM(Q1365:T1365)</f>
        <v>0</v>
      </c>
      <c r="V1365" s="55"/>
      <c r="W1365" s="55"/>
      <c r="X1365" s="55"/>
      <c r="Y1365" s="55"/>
      <c r="Z1365" s="56">
        <f t="shared" ref="Z1365" si="1363">SUM(V1365:Y1365)</f>
        <v>0</v>
      </c>
      <c r="AA1365" s="56">
        <f t="shared" ref="AA1365" si="1364">F1365+K1365+P1365+U1365+Z1365</f>
        <v>2</v>
      </c>
      <c r="AB1365" s="298">
        <v>45813</v>
      </c>
      <c r="AC1365" s="276" t="s">
        <v>658</v>
      </c>
      <c r="AD1365" s="54"/>
      <c r="AE1365" s="55"/>
      <c r="AF1365" s="55"/>
      <c r="AG1365" s="55"/>
      <c r="AH1365" s="56">
        <f t="shared" ref="AH1365:AH1386" si="1365">SUM(AD1365:AG1365)</f>
        <v>0</v>
      </c>
      <c r="AI1365" s="54"/>
      <c r="AJ1365" s="55"/>
      <c r="AK1365" s="55"/>
      <c r="AL1365" s="55"/>
      <c r="AM1365" s="56">
        <f t="shared" ref="AM1365:AM1386" si="1366">SUM(AI1365:AL1365)</f>
        <v>0</v>
      </c>
      <c r="AN1365" s="54"/>
      <c r="AO1365" s="55"/>
      <c r="AP1365" s="55"/>
      <c r="AQ1365" s="55"/>
      <c r="AR1365" s="56">
        <f t="shared" ref="AR1365:AR1386" si="1367">SUM(AN1365:AQ1365)</f>
        <v>0</v>
      </c>
      <c r="AS1365" s="54"/>
      <c r="AT1365" s="55">
        <v>5</v>
      </c>
      <c r="AU1365" s="55"/>
      <c r="AV1365" s="55"/>
      <c r="AW1365" s="56">
        <f t="shared" ref="AW1365:AW1386" si="1368">SUM(AS1365:AV1365)</f>
        <v>5</v>
      </c>
      <c r="AX1365" s="55"/>
      <c r="AY1365" s="55"/>
      <c r="AZ1365" s="55"/>
      <c r="BA1365" s="55"/>
      <c r="BB1365" s="56">
        <f t="shared" ref="BB1365:BB1386" si="1369">SUM(AX1365:BA1365)</f>
        <v>0</v>
      </c>
      <c r="BC1365" s="56">
        <f t="shared" ref="BC1365:BC1386" si="1370">AH1365+AM1365+AR1365+AW1365+BB1365</f>
        <v>5</v>
      </c>
      <c r="BD1365" s="298">
        <v>45800</v>
      </c>
      <c r="BE1365" s="277"/>
      <c r="BF1365" s="54"/>
      <c r="BG1365" s="55"/>
      <c r="BH1365" s="55"/>
      <c r="BI1365" s="55"/>
      <c r="BJ1365" s="56">
        <f t="shared" si="1343"/>
        <v>0</v>
      </c>
    </row>
    <row r="1366" spans="1:62" x14ac:dyDescent="0.15">
      <c r="A1366" s="53" t="s">
        <v>98</v>
      </c>
      <c r="B1366" s="54"/>
      <c r="C1366" s="55"/>
      <c r="D1366" s="55"/>
      <c r="E1366" s="55"/>
      <c r="F1366" s="56">
        <f t="shared" ref="F1366:F1380" si="1371">SUM(B1366:E1366)</f>
        <v>0</v>
      </c>
      <c r="G1366" s="54"/>
      <c r="H1366" s="55"/>
      <c r="I1366" s="55"/>
      <c r="J1366" s="55"/>
      <c r="K1366" s="56">
        <f t="shared" si="1356"/>
        <v>0</v>
      </c>
      <c r="L1366" s="54"/>
      <c r="M1366" s="55"/>
      <c r="N1366" s="55"/>
      <c r="O1366" s="55"/>
      <c r="P1366" s="56">
        <f t="shared" si="1357"/>
        <v>0</v>
      </c>
      <c r="Q1366" s="54"/>
      <c r="R1366" s="55">
        <v>1</v>
      </c>
      <c r="S1366" s="55"/>
      <c r="T1366" s="55"/>
      <c r="U1366" s="56">
        <f t="shared" si="1358"/>
        <v>1</v>
      </c>
      <c r="V1366" s="55"/>
      <c r="W1366" s="55"/>
      <c r="X1366" s="55"/>
      <c r="Y1366" s="55"/>
      <c r="Z1366" s="56">
        <f t="shared" si="1359"/>
        <v>0</v>
      </c>
      <c r="AA1366" s="56">
        <f t="shared" ref="AA1366:AA1380" si="1372">F1366+K1366+P1366+U1366+Z1366</f>
        <v>1</v>
      </c>
      <c r="AB1366" s="298">
        <v>45814</v>
      </c>
      <c r="AC1366" s="276" t="s">
        <v>659</v>
      </c>
      <c r="AD1366" s="54"/>
      <c r="AE1366" s="55"/>
      <c r="AF1366" s="55"/>
      <c r="AG1366" s="55"/>
      <c r="AH1366" s="56">
        <f t="shared" si="1365"/>
        <v>0</v>
      </c>
      <c r="AI1366" s="54">
        <v>4</v>
      </c>
      <c r="AJ1366" s="55"/>
      <c r="AK1366" s="55"/>
      <c r="AL1366" s="55"/>
      <c r="AM1366" s="56">
        <f t="shared" si="1366"/>
        <v>4</v>
      </c>
      <c r="AN1366" s="54"/>
      <c r="AO1366" s="55"/>
      <c r="AP1366" s="55"/>
      <c r="AQ1366" s="55"/>
      <c r="AR1366" s="56">
        <f t="shared" si="1367"/>
        <v>0</v>
      </c>
      <c r="AS1366" s="54"/>
      <c r="AT1366" s="55"/>
      <c r="AU1366" s="55"/>
      <c r="AV1366" s="55"/>
      <c r="AW1366" s="56">
        <f t="shared" si="1368"/>
        <v>0</v>
      </c>
      <c r="AX1366" s="55"/>
      <c r="AY1366" s="55"/>
      <c r="AZ1366" s="55"/>
      <c r="BA1366" s="55"/>
      <c r="BB1366" s="56">
        <f t="shared" si="1369"/>
        <v>0</v>
      </c>
      <c r="BC1366" s="56">
        <f t="shared" si="1370"/>
        <v>4</v>
      </c>
      <c r="BD1366" s="298">
        <v>45803</v>
      </c>
      <c r="BE1366" s="277"/>
      <c r="BF1366" s="54"/>
      <c r="BG1366" s="55"/>
      <c r="BH1366" s="55"/>
      <c r="BI1366" s="55"/>
      <c r="BJ1366" s="56">
        <f t="shared" si="1343"/>
        <v>0</v>
      </c>
    </row>
    <row r="1367" spans="1:62" x14ac:dyDescent="0.15">
      <c r="A1367" s="53" t="s">
        <v>98</v>
      </c>
      <c r="B1367" s="54"/>
      <c r="C1367" s="55"/>
      <c r="D1367" s="55"/>
      <c r="E1367" s="55"/>
      <c r="F1367" s="56">
        <f t="shared" si="1371"/>
        <v>0</v>
      </c>
      <c r="G1367" s="54"/>
      <c r="H1367" s="55"/>
      <c r="I1367" s="55"/>
      <c r="J1367" s="55"/>
      <c r="K1367" s="56">
        <f t="shared" si="1356"/>
        <v>0</v>
      </c>
      <c r="L1367" s="54"/>
      <c r="M1367" s="55"/>
      <c r="N1367" s="55"/>
      <c r="O1367" s="55"/>
      <c r="P1367" s="56">
        <f t="shared" si="1357"/>
        <v>0</v>
      </c>
      <c r="Q1367" s="54"/>
      <c r="R1367" s="55"/>
      <c r="S1367" s="55">
        <v>1</v>
      </c>
      <c r="T1367" s="55"/>
      <c r="U1367" s="56">
        <f t="shared" si="1358"/>
        <v>1</v>
      </c>
      <c r="V1367" s="55"/>
      <c r="W1367" s="55"/>
      <c r="X1367" s="55"/>
      <c r="Y1367" s="55"/>
      <c r="Z1367" s="56">
        <f t="shared" si="1359"/>
        <v>0</v>
      </c>
      <c r="AA1367" s="56">
        <f t="shared" si="1372"/>
        <v>1</v>
      </c>
      <c r="AB1367" s="298">
        <v>45817</v>
      </c>
      <c r="AC1367" s="276" t="s">
        <v>660</v>
      </c>
      <c r="AD1367" s="54"/>
      <c r="AE1367" s="55"/>
      <c r="AF1367" s="55"/>
      <c r="AG1367" s="55"/>
      <c r="AH1367" s="56">
        <f t="shared" si="1365"/>
        <v>0</v>
      </c>
      <c r="AI1367" s="54"/>
      <c r="AJ1367" s="55">
        <v>2</v>
      </c>
      <c r="AK1367" s="55"/>
      <c r="AL1367" s="55">
        <v>2</v>
      </c>
      <c r="AM1367" s="56">
        <f t="shared" si="1366"/>
        <v>4</v>
      </c>
      <c r="AN1367" s="54"/>
      <c r="AO1367" s="55"/>
      <c r="AP1367" s="55"/>
      <c r="AQ1367" s="55"/>
      <c r="AR1367" s="56">
        <f t="shared" si="1367"/>
        <v>0</v>
      </c>
      <c r="AS1367" s="54"/>
      <c r="AT1367" s="55"/>
      <c r="AU1367" s="55">
        <v>2</v>
      </c>
      <c r="AV1367" s="55"/>
      <c r="AW1367" s="56">
        <f t="shared" si="1368"/>
        <v>2</v>
      </c>
      <c r="AX1367" s="55"/>
      <c r="AY1367" s="55"/>
      <c r="AZ1367" s="55"/>
      <c r="BA1367" s="55"/>
      <c r="BB1367" s="56">
        <f t="shared" si="1369"/>
        <v>0</v>
      </c>
      <c r="BC1367" s="56">
        <f t="shared" si="1370"/>
        <v>6</v>
      </c>
      <c r="BD1367" s="298">
        <v>45806</v>
      </c>
      <c r="BE1367" s="277"/>
      <c r="BF1367" s="54"/>
      <c r="BG1367" s="55"/>
      <c r="BH1367" s="55"/>
      <c r="BI1367" s="55"/>
      <c r="BJ1367" s="56">
        <f t="shared" si="1343"/>
        <v>0</v>
      </c>
    </row>
    <row r="1368" spans="1:62" x14ac:dyDescent="0.15">
      <c r="A1368" s="53" t="s">
        <v>98</v>
      </c>
      <c r="B1368" s="54"/>
      <c r="C1368" s="55"/>
      <c r="D1368" s="55">
        <v>1</v>
      </c>
      <c r="E1368" s="55"/>
      <c r="F1368" s="56">
        <f t="shared" si="1371"/>
        <v>1</v>
      </c>
      <c r="G1368" s="54"/>
      <c r="H1368" s="55"/>
      <c r="I1368" s="55"/>
      <c r="J1368" s="55"/>
      <c r="K1368" s="56">
        <f t="shared" si="1356"/>
        <v>0</v>
      </c>
      <c r="L1368" s="54"/>
      <c r="M1368" s="55"/>
      <c r="N1368" s="55"/>
      <c r="O1368" s="55"/>
      <c r="P1368" s="56">
        <f t="shared" si="1357"/>
        <v>0</v>
      </c>
      <c r="Q1368" s="54"/>
      <c r="R1368" s="55">
        <v>1</v>
      </c>
      <c r="S1368" s="55"/>
      <c r="T1368" s="55">
        <v>1</v>
      </c>
      <c r="U1368" s="56">
        <f t="shared" si="1358"/>
        <v>2</v>
      </c>
      <c r="V1368" s="55"/>
      <c r="W1368" s="55"/>
      <c r="X1368" s="55"/>
      <c r="Y1368" s="55"/>
      <c r="Z1368" s="56">
        <f t="shared" si="1359"/>
        <v>0</v>
      </c>
      <c r="AA1368" s="56">
        <f t="shared" si="1372"/>
        <v>3</v>
      </c>
      <c r="AB1368" s="298">
        <v>45818</v>
      </c>
      <c r="AC1368" s="276" t="s">
        <v>99</v>
      </c>
      <c r="AD1368" s="54"/>
      <c r="AE1368" s="55"/>
      <c r="AF1368" s="55">
        <v>2</v>
      </c>
      <c r="AG1368" s="55"/>
      <c r="AH1368" s="56">
        <f t="shared" ref="AH1368" si="1373">SUM(AD1368:AG1368)</f>
        <v>2</v>
      </c>
      <c r="AI1368" s="54"/>
      <c r="AJ1368" s="55"/>
      <c r="AK1368" s="55"/>
      <c r="AL1368" s="55"/>
      <c r="AM1368" s="56">
        <f t="shared" ref="AM1368" si="1374">SUM(AI1368:AL1368)</f>
        <v>0</v>
      </c>
      <c r="AN1368" s="54"/>
      <c r="AO1368" s="55"/>
      <c r="AP1368" s="55">
        <v>2</v>
      </c>
      <c r="AQ1368" s="55"/>
      <c r="AR1368" s="56">
        <f t="shared" ref="AR1368" si="1375">SUM(AN1368:AQ1368)</f>
        <v>2</v>
      </c>
      <c r="AS1368" s="54"/>
      <c r="AT1368" s="55">
        <v>2</v>
      </c>
      <c r="AU1368" s="55">
        <v>2</v>
      </c>
      <c r="AV1368" s="55">
        <v>2</v>
      </c>
      <c r="AW1368" s="56">
        <f t="shared" ref="AW1368" si="1376">SUM(AS1368:AV1368)</f>
        <v>6</v>
      </c>
      <c r="AX1368" s="55"/>
      <c r="AY1368" s="55"/>
      <c r="AZ1368" s="55"/>
      <c r="BA1368" s="55"/>
      <c r="BB1368" s="56">
        <f t="shared" ref="BB1368" si="1377">SUM(AX1368:BA1368)</f>
        <v>0</v>
      </c>
      <c r="BC1368" s="56">
        <f t="shared" si="1370"/>
        <v>10</v>
      </c>
      <c r="BD1368" s="298">
        <v>45808</v>
      </c>
      <c r="BE1368" s="277"/>
      <c r="BF1368" s="54"/>
      <c r="BG1368" s="55"/>
      <c r="BH1368" s="55"/>
      <c r="BI1368" s="55"/>
      <c r="BJ1368" s="56">
        <f t="shared" si="1343"/>
        <v>0</v>
      </c>
    </row>
    <row r="1369" spans="1:62" x14ac:dyDescent="0.15">
      <c r="A1369" s="53" t="s">
        <v>98</v>
      </c>
      <c r="B1369" s="54"/>
      <c r="C1369" s="55"/>
      <c r="D1369" s="55"/>
      <c r="E1369" s="55"/>
      <c r="F1369" s="56">
        <f t="shared" si="1371"/>
        <v>0</v>
      </c>
      <c r="G1369" s="54"/>
      <c r="H1369" s="55"/>
      <c r="I1369" s="55"/>
      <c r="J1369" s="55"/>
      <c r="K1369" s="56">
        <f t="shared" si="1356"/>
        <v>0</v>
      </c>
      <c r="L1369" s="54"/>
      <c r="M1369" s="55"/>
      <c r="N1369" s="55"/>
      <c r="O1369" s="55"/>
      <c r="P1369" s="56">
        <f t="shared" si="1357"/>
        <v>0</v>
      </c>
      <c r="Q1369" s="54"/>
      <c r="R1369" s="55">
        <v>1</v>
      </c>
      <c r="S1369" s="55"/>
      <c r="T1369" s="55"/>
      <c r="U1369" s="56">
        <f t="shared" si="1358"/>
        <v>1</v>
      </c>
      <c r="V1369" s="55"/>
      <c r="W1369" s="55"/>
      <c r="X1369" s="55"/>
      <c r="Y1369" s="55"/>
      <c r="Z1369" s="56">
        <f t="shared" si="1359"/>
        <v>0</v>
      </c>
      <c r="AA1369" s="56">
        <f t="shared" si="1372"/>
        <v>1</v>
      </c>
      <c r="AB1369" s="298">
        <v>45834</v>
      </c>
      <c r="AC1369" s="276" t="s">
        <v>661</v>
      </c>
      <c r="AD1369" s="54"/>
      <c r="AE1369" s="55"/>
      <c r="AF1369" s="55"/>
      <c r="AG1369" s="55"/>
      <c r="AH1369" s="56">
        <f t="shared" si="1365"/>
        <v>0</v>
      </c>
      <c r="AI1369" s="54"/>
      <c r="AJ1369" s="55"/>
      <c r="AK1369" s="55"/>
      <c r="AL1369" s="55">
        <v>3</v>
      </c>
      <c r="AM1369" s="56">
        <f t="shared" si="1366"/>
        <v>3</v>
      </c>
      <c r="AN1369" s="54"/>
      <c r="AO1369" s="55"/>
      <c r="AP1369" s="55"/>
      <c r="AQ1369" s="55"/>
      <c r="AR1369" s="56">
        <f t="shared" si="1367"/>
        <v>0</v>
      </c>
      <c r="AS1369" s="54"/>
      <c r="AT1369" s="55"/>
      <c r="AU1369" s="55"/>
      <c r="AV1369" s="55"/>
      <c r="AW1369" s="56">
        <f t="shared" si="1368"/>
        <v>0</v>
      </c>
      <c r="AX1369" s="55"/>
      <c r="AY1369" s="55"/>
      <c r="AZ1369" s="55"/>
      <c r="BA1369" s="55"/>
      <c r="BB1369" s="56">
        <f t="shared" si="1369"/>
        <v>0</v>
      </c>
      <c r="BC1369" s="56">
        <f t="shared" si="1370"/>
        <v>3</v>
      </c>
      <c r="BD1369" s="298">
        <v>45813</v>
      </c>
      <c r="BE1369" s="277"/>
      <c r="BF1369" s="54"/>
      <c r="BG1369" s="55"/>
      <c r="BH1369" s="55"/>
      <c r="BI1369" s="55"/>
      <c r="BJ1369" s="56">
        <f t="shared" si="1343"/>
        <v>0</v>
      </c>
    </row>
    <row r="1370" spans="1:62" x14ac:dyDescent="0.15">
      <c r="A1370" s="53" t="s">
        <v>98</v>
      </c>
      <c r="B1370" s="54"/>
      <c r="C1370" s="55"/>
      <c r="D1370" s="55"/>
      <c r="E1370" s="55"/>
      <c r="F1370" s="56">
        <f t="shared" si="1371"/>
        <v>0</v>
      </c>
      <c r="G1370" s="54"/>
      <c r="H1370" s="55"/>
      <c r="I1370" s="55"/>
      <c r="J1370" s="55"/>
      <c r="K1370" s="56">
        <f t="shared" si="1356"/>
        <v>0</v>
      </c>
      <c r="L1370" s="54"/>
      <c r="M1370" s="55">
        <v>1</v>
      </c>
      <c r="N1370" s="55"/>
      <c r="O1370" s="55"/>
      <c r="P1370" s="56">
        <f t="shared" si="1357"/>
        <v>1</v>
      </c>
      <c r="Q1370" s="54"/>
      <c r="R1370" s="55"/>
      <c r="S1370" s="55"/>
      <c r="T1370" s="55"/>
      <c r="U1370" s="56">
        <f t="shared" si="1358"/>
        <v>0</v>
      </c>
      <c r="V1370" s="55"/>
      <c r="W1370" s="55"/>
      <c r="X1370" s="55"/>
      <c r="Y1370" s="55"/>
      <c r="Z1370" s="56">
        <f t="shared" si="1359"/>
        <v>0</v>
      </c>
      <c r="AA1370" s="56">
        <f t="shared" si="1372"/>
        <v>1</v>
      </c>
      <c r="AB1370" s="298">
        <v>45838</v>
      </c>
      <c r="AC1370" s="276" t="s">
        <v>99</v>
      </c>
      <c r="AD1370" s="54"/>
      <c r="AE1370" s="55"/>
      <c r="AF1370" s="55"/>
      <c r="AG1370" s="55"/>
      <c r="AH1370" s="56">
        <f t="shared" si="1365"/>
        <v>0</v>
      </c>
      <c r="AI1370" s="54"/>
      <c r="AJ1370" s="55"/>
      <c r="AK1370" s="55"/>
      <c r="AL1370" s="55">
        <v>2</v>
      </c>
      <c r="AM1370" s="56">
        <f t="shared" si="1366"/>
        <v>2</v>
      </c>
      <c r="AN1370" s="54"/>
      <c r="AO1370" s="55"/>
      <c r="AP1370" s="55"/>
      <c r="AQ1370" s="55"/>
      <c r="AR1370" s="56">
        <f t="shared" si="1367"/>
        <v>0</v>
      </c>
      <c r="AS1370" s="54"/>
      <c r="AT1370" s="55">
        <v>2</v>
      </c>
      <c r="AU1370" s="55"/>
      <c r="AV1370" s="55"/>
      <c r="AW1370" s="56">
        <f t="shared" si="1368"/>
        <v>2</v>
      </c>
      <c r="AX1370" s="55"/>
      <c r="AY1370" s="55"/>
      <c r="AZ1370" s="55"/>
      <c r="BA1370" s="55"/>
      <c r="BB1370" s="56">
        <f t="shared" si="1369"/>
        <v>0</v>
      </c>
      <c r="BC1370" s="56">
        <f t="shared" si="1370"/>
        <v>4</v>
      </c>
      <c r="BD1370" s="298">
        <v>45819</v>
      </c>
      <c r="BE1370" s="277"/>
      <c r="BF1370" s="54"/>
      <c r="BG1370" s="55"/>
      <c r="BH1370" s="55"/>
      <c r="BI1370" s="55"/>
      <c r="BJ1370" s="56">
        <f t="shared" si="1343"/>
        <v>0</v>
      </c>
    </row>
    <row r="1371" spans="1:62" x14ac:dyDescent="0.15">
      <c r="A1371" s="53" t="s">
        <v>98</v>
      </c>
      <c r="B1371" s="54">
        <v>1</v>
      </c>
      <c r="C1371" s="55"/>
      <c r="D1371" s="55"/>
      <c r="E1371" s="55"/>
      <c r="F1371" s="56">
        <f t="shared" si="1371"/>
        <v>1</v>
      </c>
      <c r="G1371" s="54"/>
      <c r="H1371" s="55"/>
      <c r="I1371" s="55"/>
      <c r="J1371" s="55"/>
      <c r="K1371" s="56">
        <f t="shared" si="1356"/>
        <v>0</v>
      </c>
      <c r="L1371" s="54"/>
      <c r="M1371" s="55"/>
      <c r="N1371" s="55"/>
      <c r="O1371" s="55"/>
      <c r="P1371" s="56">
        <f t="shared" si="1357"/>
        <v>0</v>
      </c>
      <c r="Q1371" s="54"/>
      <c r="R1371" s="55"/>
      <c r="S1371" s="55"/>
      <c r="T1371" s="55"/>
      <c r="U1371" s="56">
        <f t="shared" si="1358"/>
        <v>0</v>
      </c>
      <c r="V1371" s="55"/>
      <c r="W1371" s="55"/>
      <c r="X1371" s="55"/>
      <c r="Y1371" s="55"/>
      <c r="Z1371" s="56">
        <f t="shared" si="1359"/>
        <v>0</v>
      </c>
      <c r="AA1371" s="56">
        <f t="shared" si="1372"/>
        <v>1</v>
      </c>
      <c r="AB1371" s="298">
        <v>45839</v>
      </c>
      <c r="AC1371" s="276" t="s">
        <v>662</v>
      </c>
      <c r="AD1371" s="54"/>
      <c r="AE1371" s="55"/>
      <c r="AF1371" s="55"/>
      <c r="AG1371" s="55"/>
      <c r="AH1371" s="56">
        <f t="shared" si="1365"/>
        <v>0</v>
      </c>
      <c r="AI1371" s="54"/>
      <c r="AJ1371" s="55"/>
      <c r="AK1371" s="55"/>
      <c r="AL1371" s="55"/>
      <c r="AM1371" s="56">
        <f t="shared" si="1366"/>
        <v>0</v>
      </c>
      <c r="AN1371" s="54"/>
      <c r="AO1371" s="55"/>
      <c r="AP1371" s="55"/>
      <c r="AQ1371" s="55"/>
      <c r="AR1371" s="56">
        <f t="shared" si="1367"/>
        <v>0</v>
      </c>
      <c r="AS1371" s="54"/>
      <c r="AT1371" s="55"/>
      <c r="AU1371" s="55"/>
      <c r="AV1371" s="55">
        <v>3</v>
      </c>
      <c r="AW1371" s="56">
        <f t="shared" si="1368"/>
        <v>3</v>
      </c>
      <c r="AX1371" s="55"/>
      <c r="AY1371" s="55"/>
      <c r="AZ1371" s="55"/>
      <c r="BA1371" s="55"/>
      <c r="BB1371" s="56">
        <f t="shared" si="1369"/>
        <v>0</v>
      </c>
      <c r="BC1371" s="56">
        <f t="shared" si="1370"/>
        <v>3</v>
      </c>
      <c r="BD1371" s="298">
        <v>45821</v>
      </c>
      <c r="BE1371" s="277"/>
      <c r="BF1371" s="54"/>
      <c r="BG1371" s="55"/>
      <c r="BH1371" s="55"/>
      <c r="BI1371" s="55"/>
      <c r="BJ1371" s="56">
        <f t="shared" si="1343"/>
        <v>0</v>
      </c>
    </row>
    <row r="1372" spans="1:62" x14ac:dyDescent="0.15">
      <c r="A1372" s="53" t="s">
        <v>98</v>
      </c>
      <c r="B1372" s="54"/>
      <c r="C1372" s="55"/>
      <c r="D1372" s="55"/>
      <c r="E1372" s="55"/>
      <c r="F1372" s="56">
        <f t="shared" si="1371"/>
        <v>0</v>
      </c>
      <c r="G1372" s="54"/>
      <c r="H1372" s="55"/>
      <c r="I1372" s="55"/>
      <c r="J1372" s="55">
        <v>1</v>
      </c>
      <c r="K1372" s="56">
        <f t="shared" si="1356"/>
        <v>1</v>
      </c>
      <c r="L1372" s="54"/>
      <c r="M1372" s="55"/>
      <c r="N1372" s="55"/>
      <c r="O1372" s="55"/>
      <c r="P1372" s="56">
        <f t="shared" si="1357"/>
        <v>0</v>
      </c>
      <c r="Q1372" s="54"/>
      <c r="R1372" s="55">
        <v>1</v>
      </c>
      <c r="S1372" s="55"/>
      <c r="T1372" s="55"/>
      <c r="U1372" s="56">
        <f t="shared" si="1358"/>
        <v>1</v>
      </c>
      <c r="V1372" s="55"/>
      <c r="W1372" s="55"/>
      <c r="X1372" s="55"/>
      <c r="Y1372" s="55"/>
      <c r="Z1372" s="56">
        <f t="shared" si="1359"/>
        <v>0</v>
      </c>
      <c r="AA1372" s="56">
        <f t="shared" si="1372"/>
        <v>2</v>
      </c>
      <c r="AB1372" s="298">
        <v>45840</v>
      </c>
      <c r="AC1372" s="276" t="s">
        <v>663</v>
      </c>
      <c r="AD1372" s="54"/>
      <c r="AE1372" s="55"/>
      <c r="AF1372" s="55"/>
      <c r="AG1372" s="55">
        <v>1</v>
      </c>
      <c r="AH1372" s="56">
        <f t="shared" si="1365"/>
        <v>1</v>
      </c>
      <c r="AI1372" s="54">
        <v>2</v>
      </c>
      <c r="AJ1372" s="55">
        <v>1</v>
      </c>
      <c r="AK1372" s="55">
        <v>1</v>
      </c>
      <c r="AL1372" s="55"/>
      <c r="AM1372" s="56">
        <f t="shared" si="1366"/>
        <v>4</v>
      </c>
      <c r="AN1372" s="54">
        <v>2</v>
      </c>
      <c r="AO1372" s="55">
        <v>1</v>
      </c>
      <c r="AP1372" s="55"/>
      <c r="AQ1372" s="55"/>
      <c r="AR1372" s="56">
        <f t="shared" si="1367"/>
        <v>3</v>
      </c>
      <c r="AS1372" s="54">
        <v>2</v>
      </c>
      <c r="AT1372" s="55">
        <v>1</v>
      </c>
      <c r="AU1372" s="55"/>
      <c r="AV1372" s="55"/>
      <c r="AW1372" s="56">
        <f t="shared" si="1368"/>
        <v>3</v>
      </c>
      <c r="AX1372" s="55"/>
      <c r="AY1372" s="55"/>
      <c r="AZ1372" s="55"/>
      <c r="BA1372" s="55"/>
      <c r="BB1372" s="56">
        <f t="shared" si="1369"/>
        <v>0</v>
      </c>
      <c r="BC1372" s="56">
        <f t="shared" si="1370"/>
        <v>11</v>
      </c>
      <c r="BD1372" s="298">
        <v>45835</v>
      </c>
      <c r="BE1372" s="277"/>
      <c r="BF1372" s="54"/>
      <c r="BG1372" s="55"/>
      <c r="BH1372" s="55"/>
      <c r="BI1372" s="55"/>
      <c r="BJ1372" s="56">
        <f t="shared" si="1343"/>
        <v>0</v>
      </c>
    </row>
    <row r="1373" spans="1:62" x14ac:dyDescent="0.15">
      <c r="A1373" s="53" t="s">
        <v>98</v>
      </c>
      <c r="B1373" s="54"/>
      <c r="C1373" s="55"/>
      <c r="D1373" s="55"/>
      <c r="E1373" s="55"/>
      <c r="F1373" s="56">
        <f t="shared" si="1371"/>
        <v>0</v>
      </c>
      <c r="G1373" s="54"/>
      <c r="H1373" s="55"/>
      <c r="I1373" s="55"/>
      <c r="J1373" s="55"/>
      <c r="K1373" s="56">
        <f t="shared" si="1356"/>
        <v>0</v>
      </c>
      <c r="L1373" s="54">
        <v>2</v>
      </c>
      <c r="M1373" s="55">
        <v>1</v>
      </c>
      <c r="N1373" s="55"/>
      <c r="O1373" s="55"/>
      <c r="P1373" s="56">
        <f t="shared" si="1357"/>
        <v>3</v>
      </c>
      <c r="Q1373" s="54">
        <v>1</v>
      </c>
      <c r="R1373" s="55"/>
      <c r="S1373" s="55"/>
      <c r="T1373" s="55"/>
      <c r="U1373" s="56">
        <f t="shared" si="1358"/>
        <v>1</v>
      </c>
      <c r="V1373" s="55"/>
      <c r="W1373" s="55"/>
      <c r="X1373" s="55"/>
      <c r="Y1373" s="55"/>
      <c r="Z1373" s="56">
        <f t="shared" si="1359"/>
        <v>0</v>
      </c>
      <c r="AA1373" s="56">
        <f t="shared" si="1372"/>
        <v>4</v>
      </c>
      <c r="AB1373" s="298">
        <v>45845</v>
      </c>
      <c r="AC1373" s="276" t="s">
        <v>664</v>
      </c>
      <c r="AD1373" s="54"/>
      <c r="AE1373" s="55"/>
      <c r="AF1373" s="55"/>
      <c r="AG1373" s="55"/>
      <c r="AH1373" s="56">
        <f t="shared" si="1365"/>
        <v>0</v>
      </c>
      <c r="AI1373" s="54"/>
      <c r="AJ1373" s="55"/>
      <c r="AK1373" s="55"/>
      <c r="AL1373" s="55"/>
      <c r="AM1373" s="56">
        <f t="shared" si="1366"/>
        <v>0</v>
      </c>
      <c r="AN1373" s="54"/>
      <c r="AO1373" s="55"/>
      <c r="AP1373" s="55"/>
      <c r="AQ1373" s="55"/>
      <c r="AR1373" s="56">
        <f t="shared" si="1367"/>
        <v>0</v>
      </c>
      <c r="AS1373" s="54"/>
      <c r="AT1373" s="55"/>
      <c r="AU1373" s="55">
        <v>8</v>
      </c>
      <c r="AV1373" s="55"/>
      <c r="AW1373" s="56">
        <f t="shared" si="1368"/>
        <v>8</v>
      </c>
      <c r="AX1373" s="55"/>
      <c r="AY1373" s="55"/>
      <c r="AZ1373" s="55"/>
      <c r="BA1373" s="55"/>
      <c r="BB1373" s="56">
        <f t="shared" si="1369"/>
        <v>0</v>
      </c>
      <c r="BC1373" s="56">
        <f t="shared" si="1370"/>
        <v>8</v>
      </c>
      <c r="BD1373" s="298">
        <v>45835</v>
      </c>
      <c r="BE1373" s="277"/>
      <c r="BF1373" s="54"/>
      <c r="BG1373" s="55"/>
      <c r="BH1373" s="55"/>
      <c r="BI1373" s="55"/>
      <c r="BJ1373" s="56">
        <f t="shared" si="1343"/>
        <v>0</v>
      </c>
    </row>
    <row r="1374" spans="1:62" x14ac:dyDescent="0.15">
      <c r="A1374" s="53" t="s">
        <v>98</v>
      </c>
      <c r="B1374" s="54"/>
      <c r="C1374" s="55"/>
      <c r="D1374" s="55"/>
      <c r="E1374" s="55"/>
      <c r="F1374" s="56">
        <f t="shared" si="1371"/>
        <v>0</v>
      </c>
      <c r="G1374" s="54"/>
      <c r="H1374" s="55"/>
      <c r="I1374" s="55"/>
      <c r="J1374" s="55"/>
      <c r="K1374" s="56">
        <f t="shared" si="1356"/>
        <v>0</v>
      </c>
      <c r="L1374" s="54"/>
      <c r="M1374" s="55"/>
      <c r="N1374" s="55"/>
      <c r="O1374" s="55"/>
      <c r="P1374" s="56">
        <f t="shared" si="1357"/>
        <v>0</v>
      </c>
      <c r="Q1374" s="54"/>
      <c r="R1374" s="55">
        <v>1</v>
      </c>
      <c r="S1374" s="55"/>
      <c r="T1374" s="55"/>
      <c r="U1374" s="56">
        <f t="shared" si="1358"/>
        <v>1</v>
      </c>
      <c r="V1374" s="55"/>
      <c r="W1374" s="55"/>
      <c r="X1374" s="55"/>
      <c r="Y1374" s="55"/>
      <c r="Z1374" s="56">
        <f t="shared" si="1359"/>
        <v>0</v>
      </c>
      <c r="AA1374" s="56">
        <f t="shared" si="1372"/>
        <v>1</v>
      </c>
      <c r="AB1374" s="298">
        <v>45849</v>
      </c>
      <c r="AC1374" s="276" t="s">
        <v>665</v>
      </c>
      <c r="AD1374" s="54"/>
      <c r="AE1374" s="55"/>
      <c r="AF1374" s="55"/>
      <c r="AG1374" s="55"/>
      <c r="AH1374" s="56">
        <f t="shared" si="1365"/>
        <v>0</v>
      </c>
      <c r="AI1374" s="54"/>
      <c r="AJ1374" s="55"/>
      <c r="AK1374" s="55"/>
      <c r="AL1374" s="55"/>
      <c r="AM1374" s="56">
        <f t="shared" si="1366"/>
        <v>0</v>
      </c>
      <c r="AN1374" s="54"/>
      <c r="AO1374" s="55"/>
      <c r="AP1374" s="55"/>
      <c r="AQ1374" s="55"/>
      <c r="AR1374" s="56">
        <f t="shared" si="1367"/>
        <v>0</v>
      </c>
      <c r="AS1374" s="54"/>
      <c r="AT1374" s="55"/>
      <c r="AU1374" s="55">
        <v>3</v>
      </c>
      <c r="AV1374" s="55"/>
      <c r="AW1374" s="56">
        <f t="shared" si="1368"/>
        <v>3</v>
      </c>
      <c r="AX1374" s="55"/>
      <c r="AY1374" s="55"/>
      <c r="AZ1374" s="55"/>
      <c r="BA1374" s="55"/>
      <c r="BB1374" s="56">
        <f t="shared" si="1369"/>
        <v>0</v>
      </c>
      <c r="BC1374" s="56">
        <f t="shared" si="1370"/>
        <v>3</v>
      </c>
      <c r="BD1374" s="298">
        <v>45838</v>
      </c>
      <c r="BE1374" s="277"/>
      <c r="BF1374" s="54"/>
      <c r="BG1374" s="55"/>
      <c r="BH1374" s="55"/>
      <c r="BI1374" s="55"/>
      <c r="BJ1374" s="56">
        <f t="shared" si="1343"/>
        <v>0</v>
      </c>
    </row>
    <row r="1375" spans="1:62" x14ac:dyDescent="0.15">
      <c r="A1375" s="53" t="s">
        <v>98</v>
      </c>
      <c r="B1375" s="54"/>
      <c r="C1375" s="55"/>
      <c r="D1375" s="55">
        <v>1</v>
      </c>
      <c r="E1375" s="55"/>
      <c r="F1375" s="56">
        <f t="shared" si="1371"/>
        <v>1</v>
      </c>
      <c r="G1375" s="54"/>
      <c r="H1375" s="55"/>
      <c r="I1375" s="55"/>
      <c r="J1375" s="55"/>
      <c r="K1375" s="56">
        <f t="shared" si="1356"/>
        <v>0</v>
      </c>
      <c r="L1375" s="54"/>
      <c r="M1375" s="55"/>
      <c r="N1375" s="55"/>
      <c r="O1375" s="55"/>
      <c r="P1375" s="56">
        <f t="shared" si="1357"/>
        <v>0</v>
      </c>
      <c r="Q1375" s="54"/>
      <c r="R1375" s="55"/>
      <c r="S1375" s="55"/>
      <c r="T1375" s="55"/>
      <c r="U1375" s="56">
        <f t="shared" si="1358"/>
        <v>0</v>
      </c>
      <c r="V1375" s="55"/>
      <c r="W1375" s="55"/>
      <c r="X1375" s="55"/>
      <c r="Y1375" s="55"/>
      <c r="Z1375" s="56">
        <f t="shared" si="1359"/>
        <v>0</v>
      </c>
      <c r="AA1375" s="56">
        <f t="shared" si="1372"/>
        <v>1</v>
      </c>
      <c r="AB1375" s="298">
        <v>45852</v>
      </c>
      <c r="AC1375" s="276" t="s">
        <v>666</v>
      </c>
      <c r="AD1375" s="54"/>
      <c r="AE1375" s="55"/>
      <c r="AF1375" s="55"/>
      <c r="AG1375" s="55">
        <v>1</v>
      </c>
      <c r="AH1375" s="56">
        <f t="shared" si="1365"/>
        <v>1</v>
      </c>
      <c r="AI1375" s="54"/>
      <c r="AJ1375" s="55"/>
      <c r="AK1375" s="55"/>
      <c r="AL1375" s="55">
        <v>2</v>
      </c>
      <c r="AM1375" s="56">
        <f t="shared" si="1366"/>
        <v>2</v>
      </c>
      <c r="AN1375" s="54"/>
      <c r="AO1375" s="55"/>
      <c r="AP1375" s="55"/>
      <c r="AQ1375" s="55"/>
      <c r="AR1375" s="56">
        <f t="shared" si="1367"/>
        <v>0</v>
      </c>
      <c r="AS1375" s="54"/>
      <c r="AT1375" s="55"/>
      <c r="AU1375" s="55"/>
      <c r="AV1375" s="55"/>
      <c r="AW1375" s="56">
        <f t="shared" si="1368"/>
        <v>0</v>
      </c>
      <c r="AX1375" s="55"/>
      <c r="AY1375" s="55"/>
      <c r="AZ1375" s="55"/>
      <c r="BA1375" s="55"/>
      <c r="BB1375" s="56">
        <f t="shared" si="1369"/>
        <v>0</v>
      </c>
      <c r="BC1375" s="56">
        <f t="shared" si="1370"/>
        <v>3</v>
      </c>
      <c r="BD1375" s="298">
        <v>45842</v>
      </c>
      <c r="BE1375" s="277"/>
      <c r="BF1375" s="54"/>
      <c r="BG1375" s="55"/>
      <c r="BH1375" s="55"/>
      <c r="BI1375" s="55"/>
      <c r="BJ1375" s="56">
        <f t="shared" si="1343"/>
        <v>0</v>
      </c>
    </row>
    <row r="1376" spans="1:62" x14ac:dyDescent="0.15">
      <c r="A1376" s="53" t="s">
        <v>98</v>
      </c>
      <c r="B1376" s="54"/>
      <c r="C1376" s="55"/>
      <c r="D1376" s="55"/>
      <c r="E1376" s="55"/>
      <c r="F1376" s="56">
        <f t="shared" si="1371"/>
        <v>0</v>
      </c>
      <c r="G1376" s="54"/>
      <c r="H1376" s="55"/>
      <c r="I1376" s="55"/>
      <c r="J1376" s="55"/>
      <c r="K1376" s="56">
        <f t="shared" si="1356"/>
        <v>0</v>
      </c>
      <c r="L1376" s="54"/>
      <c r="M1376" s="55"/>
      <c r="N1376" s="55"/>
      <c r="O1376" s="55"/>
      <c r="P1376" s="56">
        <f t="shared" si="1357"/>
        <v>0</v>
      </c>
      <c r="Q1376" s="54"/>
      <c r="R1376" s="55">
        <v>1</v>
      </c>
      <c r="S1376" s="55"/>
      <c r="T1376" s="55"/>
      <c r="U1376" s="56">
        <f t="shared" si="1358"/>
        <v>1</v>
      </c>
      <c r="V1376" s="55"/>
      <c r="W1376" s="55"/>
      <c r="X1376" s="55"/>
      <c r="Y1376" s="55"/>
      <c r="Z1376" s="56">
        <f t="shared" si="1359"/>
        <v>0</v>
      </c>
      <c r="AA1376" s="56">
        <f t="shared" si="1372"/>
        <v>1</v>
      </c>
      <c r="AB1376" s="298">
        <v>45854</v>
      </c>
      <c r="AC1376" s="276" t="s">
        <v>99</v>
      </c>
      <c r="AD1376" s="54">
        <v>3</v>
      </c>
      <c r="AE1376" s="55"/>
      <c r="AF1376" s="55"/>
      <c r="AG1376" s="55"/>
      <c r="AH1376" s="56">
        <f t="shared" si="1365"/>
        <v>3</v>
      </c>
      <c r="AI1376" s="54"/>
      <c r="AJ1376" s="55"/>
      <c r="AK1376" s="55"/>
      <c r="AL1376" s="55"/>
      <c r="AM1376" s="56">
        <f t="shared" si="1366"/>
        <v>0</v>
      </c>
      <c r="AN1376" s="54"/>
      <c r="AO1376" s="55">
        <v>3</v>
      </c>
      <c r="AP1376" s="55"/>
      <c r="AQ1376" s="55"/>
      <c r="AR1376" s="56">
        <f t="shared" si="1367"/>
        <v>3</v>
      </c>
      <c r="AS1376" s="54"/>
      <c r="AT1376" s="55">
        <v>3</v>
      </c>
      <c r="AU1376" s="55"/>
      <c r="AV1376" s="55"/>
      <c r="AW1376" s="56">
        <f t="shared" si="1368"/>
        <v>3</v>
      </c>
      <c r="AX1376" s="55"/>
      <c r="AY1376" s="55"/>
      <c r="AZ1376" s="55"/>
      <c r="BA1376" s="55"/>
      <c r="BB1376" s="56">
        <f t="shared" si="1369"/>
        <v>0</v>
      </c>
      <c r="BC1376" s="56">
        <f t="shared" si="1370"/>
        <v>9</v>
      </c>
      <c r="BD1376" s="298">
        <v>45842</v>
      </c>
      <c r="BE1376" s="276"/>
      <c r="BF1376" s="54"/>
      <c r="BG1376" s="55"/>
      <c r="BH1376" s="55"/>
      <c r="BI1376" s="55"/>
      <c r="BJ1376" s="56">
        <f t="shared" si="1343"/>
        <v>0</v>
      </c>
    </row>
    <row r="1377" spans="1:62" x14ac:dyDescent="0.15">
      <c r="A1377" s="53"/>
      <c r="B1377" s="54"/>
      <c r="C1377" s="55"/>
      <c r="D1377" s="55"/>
      <c r="E1377" s="55"/>
      <c r="F1377" s="56">
        <f t="shared" si="1371"/>
        <v>0</v>
      </c>
      <c r="G1377" s="54"/>
      <c r="H1377" s="55"/>
      <c r="I1377" s="55"/>
      <c r="J1377" s="55"/>
      <c r="K1377" s="56">
        <f t="shared" si="1356"/>
        <v>0</v>
      </c>
      <c r="L1377" s="54"/>
      <c r="M1377" s="55"/>
      <c r="N1377" s="55"/>
      <c r="O1377" s="55"/>
      <c r="P1377" s="56">
        <f t="shared" si="1357"/>
        <v>0</v>
      </c>
      <c r="Q1377" s="54"/>
      <c r="R1377" s="55"/>
      <c r="S1377" s="55"/>
      <c r="T1377" s="55"/>
      <c r="U1377" s="56">
        <f t="shared" si="1358"/>
        <v>0</v>
      </c>
      <c r="V1377" s="55"/>
      <c r="W1377" s="55"/>
      <c r="X1377" s="55"/>
      <c r="Y1377" s="55"/>
      <c r="Z1377" s="56">
        <f t="shared" si="1359"/>
        <v>0</v>
      </c>
      <c r="AA1377" s="56">
        <f t="shared" si="1372"/>
        <v>0</v>
      </c>
      <c r="AB1377" s="300"/>
      <c r="AC1377" s="276" t="s">
        <v>667</v>
      </c>
      <c r="AD1377" s="54"/>
      <c r="AE1377" s="55"/>
      <c r="AF1377" s="55"/>
      <c r="AG1377" s="55"/>
      <c r="AH1377" s="56">
        <f t="shared" si="1365"/>
        <v>0</v>
      </c>
      <c r="AI1377" s="54"/>
      <c r="AJ1377" s="55"/>
      <c r="AK1377" s="55">
        <v>3</v>
      </c>
      <c r="AL1377" s="55"/>
      <c r="AM1377" s="56">
        <f t="shared" si="1366"/>
        <v>3</v>
      </c>
      <c r="AN1377" s="54"/>
      <c r="AO1377" s="55"/>
      <c r="AP1377" s="55"/>
      <c r="AQ1377" s="55"/>
      <c r="AR1377" s="56">
        <f t="shared" si="1367"/>
        <v>0</v>
      </c>
      <c r="AS1377" s="54"/>
      <c r="AT1377" s="55"/>
      <c r="AU1377" s="55"/>
      <c r="AV1377" s="55"/>
      <c r="AW1377" s="56">
        <f t="shared" si="1368"/>
        <v>0</v>
      </c>
      <c r="AX1377" s="55"/>
      <c r="AY1377" s="55"/>
      <c r="AZ1377" s="55"/>
      <c r="BA1377" s="55"/>
      <c r="BB1377" s="56">
        <f t="shared" si="1369"/>
        <v>0</v>
      </c>
      <c r="BC1377" s="56">
        <f t="shared" si="1370"/>
        <v>3</v>
      </c>
      <c r="BD1377" s="298">
        <v>45845</v>
      </c>
      <c r="BE1377" s="277"/>
      <c r="BF1377" s="54"/>
      <c r="BG1377" s="55"/>
      <c r="BH1377" s="55"/>
      <c r="BI1377" s="55"/>
      <c r="BJ1377" s="56">
        <f t="shared" si="1343"/>
        <v>0</v>
      </c>
    </row>
    <row r="1378" spans="1:62" x14ac:dyDescent="0.15">
      <c r="A1378" s="53"/>
      <c r="B1378" s="54"/>
      <c r="C1378" s="55"/>
      <c r="D1378" s="55"/>
      <c r="E1378" s="55"/>
      <c r="F1378" s="56">
        <f t="shared" si="1371"/>
        <v>0</v>
      </c>
      <c r="G1378" s="54"/>
      <c r="H1378" s="55"/>
      <c r="I1378" s="55"/>
      <c r="J1378" s="55"/>
      <c r="K1378" s="56">
        <f t="shared" si="1356"/>
        <v>0</v>
      </c>
      <c r="L1378" s="54"/>
      <c r="M1378" s="55"/>
      <c r="N1378" s="55"/>
      <c r="O1378" s="55"/>
      <c r="P1378" s="56">
        <f t="shared" si="1357"/>
        <v>0</v>
      </c>
      <c r="Q1378" s="54"/>
      <c r="R1378" s="55"/>
      <c r="S1378" s="55"/>
      <c r="T1378" s="55"/>
      <c r="U1378" s="56">
        <f t="shared" si="1358"/>
        <v>0</v>
      </c>
      <c r="V1378" s="55"/>
      <c r="W1378" s="55"/>
      <c r="X1378" s="55"/>
      <c r="Y1378" s="55"/>
      <c r="Z1378" s="56">
        <f t="shared" si="1359"/>
        <v>0</v>
      </c>
      <c r="AA1378" s="56">
        <f t="shared" si="1372"/>
        <v>0</v>
      </c>
      <c r="AB1378" s="300"/>
      <c r="AC1378" s="276" t="s">
        <v>668</v>
      </c>
      <c r="AD1378" s="54"/>
      <c r="AE1378" s="55"/>
      <c r="AF1378" s="55"/>
      <c r="AG1378" s="55"/>
      <c r="AH1378" s="56">
        <f t="shared" si="1365"/>
        <v>0</v>
      </c>
      <c r="AI1378" s="54">
        <v>2</v>
      </c>
      <c r="AJ1378" s="55"/>
      <c r="AK1378" s="55"/>
      <c r="AL1378" s="55"/>
      <c r="AM1378" s="56">
        <f t="shared" si="1366"/>
        <v>2</v>
      </c>
      <c r="AN1378" s="54"/>
      <c r="AO1378" s="55"/>
      <c r="AP1378" s="55"/>
      <c r="AQ1378" s="55"/>
      <c r="AR1378" s="56">
        <f t="shared" si="1367"/>
        <v>0</v>
      </c>
      <c r="AS1378" s="54"/>
      <c r="AT1378" s="55"/>
      <c r="AU1378" s="55"/>
      <c r="AV1378" s="55"/>
      <c r="AW1378" s="56">
        <f t="shared" si="1368"/>
        <v>0</v>
      </c>
      <c r="AX1378" s="55"/>
      <c r="AY1378" s="55"/>
      <c r="AZ1378" s="55"/>
      <c r="BA1378" s="55"/>
      <c r="BB1378" s="56">
        <f t="shared" si="1369"/>
        <v>0</v>
      </c>
      <c r="BC1378" s="56">
        <f t="shared" si="1370"/>
        <v>2</v>
      </c>
      <c r="BD1378" s="298">
        <v>45848</v>
      </c>
      <c r="BE1378" s="276"/>
      <c r="BF1378" s="54"/>
      <c r="BG1378" s="55"/>
      <c r="BH1378" s="55"/>
      <c r="BI1378" s="55"/>
      <c r="BJ1378" s="56">
        <f t="shared" si="1343"/>
        <v>0</v>
      </c>
    </row>
    <row r="1379" spans="1:62" x14ac:dyDescent="0.15">
      <c r="A1379" s="53"/>
      <c r="B1379" s="54"/>
      <c r="C1379" s="55"/>
      <c r="D1379" s="55"/>
      <c r="E1379" s="55"/>
      <c r="F1379" s="56">
        <f t="shared" si="1371"/>
        <v>0</v>
      </c>
      <c r="G1379" s="54"/>
      <c r="H1379" s="55"/>
      <c r="I1379" s="55"/>
      <c r="J1379" s="55"/>
      <c r="K1379" s="56">
        <f t="shared" si="1356"/>
        <v>0</v>
      </c>
      <c r="L1379" s="54"/>
      <c r="M1379" s="55"/>
      <c r="N1379" s="55"/>
      <c r="O1379" s="55"/>
      <c r="P1379" s="56">
        <f t="shared" si="1357"/>
        <v>0</v>
      </c>
      <c r="Q1379" s="54"/>
      <c r="R1379" s="55"/>
      <c r="S1379" s="55"/>
      <c r="T1379" s="55"/>
      <c r="U1379" s="56">
        <f t="shared" si="1358"/>
        <v>0</v>
      </c>
      <c r="V1379" s="55"/>
      <c r="W1379" s="55"/>
      <c r="X1379" s="55"/>
      <c r="Y1379" s="55"/>
      <c r="Z1379" s="56">
        <f t="shared" si="1359"/>
        <v>0</v>
      </c>
      <c r="AA1379" s="56">
        <f t="shared" si="1372"/>
        <v>0</v>
      </c>
      <c r="AB1379" s="300"/>
      <c r="AC1379" s="276" t="s">
        <v>99</v>
      </c>
      <c r="AD1379" s="54"/>
      <c r="AE1379" s="55"/>
      <c r="AF1379" s="55"/>
      <c r="AG1379" s="55"/>
      <c r="AH1379" s="56">
        <f t="shared" si="1365"/>
        <v>0</v>
      </c>
      <c r="AI1379" s="54"/>
      <c r="AJ1379" s="55"/>
      <c r="AK1379" s="55"/>
      <c r="AL1379" s="55"/>
      <c r="AM1379" s="56">
        <f t="shared" si="1366"/>
        <v>0</v>
      </c>
      <c r="AN1379" s="54">
        <v>3</v>
      </c>
      <c r="AO1379" s="55"/>
      <c r="AP1379" s="55"/>
      <c r="AQ1379" s="55"/>
      <c r="AR1379" s="56">
        <f t="shared" si="1367"/>
        <v>3</v>
      </c>
      <c r="AS1379" s="54">
        <v>3</v>
      </c>
      <c r="AT1379" s="55"/>
      <c r="AU1379" s="55">
        <v>3</v>
      </c>
      <c r="AV1379" s="55">
        <v>3</v>
      </c>
      <c r="AW1379" s="56">
        <f t="shared" si="1368"/>
        <v>9</v>
      </c>
      <c r="AX1379" s="55">
        <v>3</v>
      </c>
      <c r="AY1379" s="55"/>
      <c r="AZ1379" s="55"/>
      <c r="BA1379" s="55">
        <v>3</v>
      </c>
      <c r="BB1379" s="56">
        <f t="shared" si="1369"/>
        <v>6</v>
      </c>
      <c r="BC1379" s="56">
        <f t="shared" si="1370"/>
        <v>18</v>
      </c>
      <c r="BD1379" s="298">
        <v>45846</v>
      </c>
      <c r="BE1379" s="277"/>
      <c r="BF1379" s="55"/>
      <c r="BG1379" s="55"/>
      <c r="BH1379" s="55"/>
      <c r="BI1379" s="166"/>
      <c r="BJ1379" s="49">
        <f t="shared" si="1343"/>
        <v>0</v>
      </c>
    </row>
    <row r="1380" spans="1:62" x14ac:dyDescent="0.15">
      <c r="A1380" s="53"/>
      <c r="B1380" s="54"/>
      <c r="C1380" s="55"/>
      <c r="D1380" s="55"/>
      <c r="E1380" s="55"/>
      <c r="F1380" s="56">
        <f t="shared" si="1371"/>
        <v>0</v>
      </c>
      <c r="G1380" s="54"/>
      <c r="H1380" s="55"/>
      <c r="I1380" s="55"/>
      <c r="J1380" s="55"/>
      <c r="K1380" s="56">
        <f t="shared" si="1356"/>
        <v>0</v>
      </c>
      <c r="L1380" s="54"/>
      <c r="M1380" s="55"/>
      <c r="N1380" s="55"/>
      <c r="O1380" s="55"/>
      <c r="P1380" s="56">
        <f t="shared" si="1357"/>
        <v>0</v>
      </c>
      <c r="Q1380" s="54"/>
      <c r="R1380" s="55"/>
      <c r="S1380" s="55"/>
      <c r="T1380" s="55"/>
      <c r="U1380" s="56">
        <f t="shared" si="1358"/>
        <v>0</v>
      </c>
      <c r="V1380" s="55"/>
      <c r="W1380" s="55"/>
      <c r="X1380" s="55"/>
      <c r="Y1380" s="55"/>
      <c r="Z1380" s="56">
        <f t="shared" si="1359"/>
        <v>0</v>
      </c>
      <c r="AA1380" s="56">
        <f t="shared" si="1372"/>
        <v>0</v>
      </c>
      <c r="AB1380" s="300"/>
      <c r="AC1380" s="276" t="s">
        <v>669</v>
      </c>
      <c r="AD1380" s="54"/>
      <c r="AE1380" s="55"/>
      <c r="AF1380" s="55"/>
      <c r="AG1380" s="55"/>
      <c r="AH1380" s="56">
        <f t="shared" si="1365"/>
        <v>0</v>
      </c>
      <c r="AI1380" s="54">
        <v>2</v>
      </c>
      <c r="AJ1380" s="55"/>
      <c r="AK1380" s="55">
        <v>1</v>
      </c>
      <c r="AL1380" s="55"/>
      <c r="AM1380" s="56">
        <f t="shared" si="1366"/>
        <v>3</v>
      </c>
      <c r="AN1380" s="54"/>
      <c r="AO1380" s="55"/>
      <c r="AP1380" s="55">
        <v>1</v>
      </c>
      <c r="AQ1380" s="55"/>
      <c r="AR1380" s="56">
        <f t="shared" si="1367"/>
        <v>1</v>
      </c>
      <c r="AS1380" s="54">
        <v>1</v>
      </c>
      <c r="AT1380" s="55"/>
      <c r="AU1380" s="55"/>
      <c r="AV1380" s="55">
        <v>2</v>
      </c>
      <c r="AW1380" s="56">
        <f t="shared" si="1368"/>
        <v>3</v>
      </c>
      <c r="AX1380" s="55"/>
      <c r="AY1380" s="55"/>
      <c r="AZ1380" s="55"/>
      <c r="BA1380" s="55"/>
      <c r="BB1380" s="56">
        <f t="shared" si="1369"/>
        <v>0</v>
      </c>
      <c r="BC1380" s="56">
        <f t="shared" si="1370"/>
        <v>7</v>
      </c>
      <c r="BD1380" s="298">
        <v>45849</v>
      </c>
      <c r="BE1380" s="277"/>
      <c r="BF1380" s="54"/>
      <c r="BG1380" s="55"/>
      <c r="BH1380" s="55"/>
      <c r="BI1380" s="55"/>
      <c r="BJ1380" s="56">
        <f t="shared" si="1343"/>
        <v>0</v>
      </c>
    </row>
    <row r="1381" spans="1:62" x14ac:dyDescent="0.15">
      <c r="A1381" s="53"/>
      <c r="B1381" s="54"/>
      <c r="C1381" s="55"/>
      <c r="D1381" s="55"/>
      <c r="E1381" s="55"/>
      <c r="F1381" s="56">
        <f t="shared" si="1350"/>
        <v>0</v>
      </c>
      <c r="G1381" s="54"/>
      <c r="H1381" s="55"/>
      <c r="I1381" s="55"/>
      <c r="J1381" s="55"/>
      <c r="K1381" s="56">
        <f t="shared" ref="K1381:K1384" si="1378">SUM(G1381:J1381)</f>
        <v>0</v>
      </c>
      <c r="L1381" s="54"/>
      <c r="M1381" s="55"/>
      <c r="N1381" s="55"/>
      <c r="O1381" s="55"/>
      <c r="P1381" s="56">
        <f t="shared" ref="P1381:P1384" si="1379">SUM(L1381:O1381)</f>
        <v>0</v>
      </c>
      <c r="Q1381" s="54"/>
      <c r="R1381" s="55"/>
      <c r="S1381" s="55"/>
      <c r="T1381" s="55"/>
      <c r="U1381" s="56">
        <f t="shared" ref="U1381:U1384" si="1380">SUM(Q1381:T1381)</f>
        <v>0</v>
      </c>
      <c r="V1381" s="55"/>
      <c r="W1381" s="55"/>
      <c r="X1381" s="55"/>
      <c r="Y1381" s="55"/>
      <c r="Z1381" s="56">
        <f t="shared" ref="Z1381:Z1384" si="1381">SUM(V1381:Y1381)</f>
        <v>0</v>
      </c>
      <c r="AA1381" s="56">
        <f t="shared" ref="AA1381:AA1389" si="1382">F1381+K1381+P1381+U1381+Z1381</f>
        <v>0</v>
      </c>
      <c r="AB1381" s="300"/>
      <c r="AC1381" s="276" t="s">
        <v>670</v>
      </c>
      <c r="AD1381" s="54"/>
      <c r="AE1381" s="55"/>
      <c r="AF1381" s="55"/>
      <c r="AG1381" s="55"/>
      <c r="AH1381" s="56">
        <f t="shared" si="1365"/>
        <v>0</v>
      </c>
      <c r="AI1381" s="54">
        <v>2</v>
      </c>
      <c r="AJ1381" s="55">
        <v>1</v>
      </c>
      <c r="AK1381" s="55"/>
      <c r="AL1381" s="55">
        <v>1</v>
      </c>
      <c r="AM1381" s="56">
        <f t="shared" si="1366"/>
        <v>4</v>
      </c>
      <c r="AN1381" s="54"/>
      <c r="AO1381" s="55"/>
      <c r="AP1381" s="55"/>
      <c r="AQ1381" s="55"/>
      <c r="AR1381" s="56">
        <f t="shared" si="1367"/>
        <v>0</v>
      </c>
      <c r="AS1381" s="54"/>
      <c r="AT1381" s="55">
        <v>2</v>
      </c>
      <c r="AU1381" s="55">
        <v>1</v>
      </c>
      <c r="AV1381" s="55"/>
      <c r="AW1381" s="56">
        <f t="shared" si="1368"/>
        <v>3</v>
      </c>
      <c r="AX1381" s="55"/>
      <c r="AY1381" s="55"/>
      <c r="AZ1381" s="55"/>
      <c r="BA1381" s="55"/>
      <c r="BB1381" s="56">
        <f t="shared" si="1369"/>
        <v>0</v>
      </c>
      <c r="BC1381" s="56">
        <f t="shared" si="1370"/>
        <v>7</v>
      </c>
      <c r="BD1381" s="298">
        <v>45849</v>
      </c>
      <c r="BE1381" s="276"/>
      <c r="BF1381" s="54"/>
      <c r="BG1381" s="55"/>
      <c r="BH1381" s="55"/>
      <c r="BI1381" s="55"/>
      <c r="BJ1381" s="56">
        <f t="shared" si="1343"/>
        <v>0</v>
      </c>
    </row>
    <row r="1382" spans="1:62" x14ac:dyDescent="0.15">
      <c r="A1382" s="53"/>
      <c r="B1382" s="54"/>
      <c r="C1382" s="55"/>
      <c r="D1382" s="55"/>
      <c r="E1382" s="55"/>
      <c r="F1382" s="56">
        <f t="shared" si="1350"/>
        <v>0</v>
      </c>
      <c r="G1382" s="54"/>
      <c r="H1382" s="55"/>
      <c r="I1382" s="55"/>
      <c r="J1382" s="55"/>
      <c r="K1382" s="56">
        <f t="shared" si="1378"/>
        <v>0</v>
      </c>
      <c r="L1382" s="54"/>
      <c r="M1382" s="55"/>
      <c r="N1382" s="55"/>
      <c r="O1382" s="55"/>
      <c r="P1382" s="56">
        <f t="shared" si="1379"/>
        <v>0</v>
      </c>
      <c r="Q1382" s="54"/>
      <c r="R1382" s="55"/>
      <c r="S1382" s="55"/>
      <c r="T1382" s="55"/>
      <c r="U1382" s="56">
        <f t="shared" si="1380"/>
        <v>0</v>
      </c>
      <c r="V1382" s="55"/>
      <c r="W1382" s="55"/>
      <c r="X1382" s="55"/>
      <c r="Y1382" s="55"/>
      <c r="Z1382" s="56">
        <f t="shared" si="1381"/>
        <v>0</v>
      </c>
      <c r="AA1382" s="56">
        <f t="shared" si="1382"/>
        <v>0</v>
      </c>
      <c r="AB1382" s="300"/>
      <c r="AC1382" s="276" t="s">
        <v>99</v>
      </c>
      <c r="AD1382" s="54"/>
      <c r="AE1382" s="55">
        <v>3</v>
      </c>
      <c r="AF1382" s="55">
        <v>3</v>
      </c>
      <c r="AG1382" s="55">
        <v>3</v>
      </c>
      <c r="AH1382" s="56">
        <f t="shared" si="1365"/>
        <v>9</v>
      </c>
      <c r="AI1382" s="54"/>
      <c r="AJ1382" s="55"/>
      <c r="AK1382" s="55"/>
      <c r="AL1382" s="55"/>
      <c r="AM1382" s="56">
        <f t="shared" si="1366"/>
        <v>0</v>
      </c>
      <c r="AN1382" s="54"/>
      <c r="AO1382" s="55"/>
      <c r="AP1382" s="55"/>
      <c r="AQ1382" s="55">
        <v>3</v>
      </c>
      <c r="AR1382" s="56">
        <f t="shared" si="1367"/>
        <v>3</v>
      </c>
      <c r="AS1382" s="54"/>
      <c r="AT1382" s="55"/>
      <c r="AU1382" s="55"/>
      <c r="AV1382" s="55"/>
      <c r="AW1382" s="56">
        <f t="shared" si="1368"/>
        <v>0</v>
      </c>
      <c r="AX1382" s="55"/>
      <c r="AY1382" s="55"/>
      <c r="AZ1382" s="55"/>
      <c r="BA1382" s="55"/>
      <c r="BB1382" s="56">
        <f t="shared" si="1369"/>
        <v>0</v>
      </c>
      <c r="BC1382" s="56">
        <f t="shared" si="1370"/>
        <v>12</v>
      </c>
      <c r="BD1382" s="298">
        <v>45853</v>
      </c>
      <c r="BE1382" s="276"/>
      <c r="BF1382" s="63"/>
      <c r="BG1382" s="63"/>
      <c r="BH1382" s="63"/>
      <c r="BI1382" s="167"/>
      <c r="BJ1382" s="64">
        <f t="shared" si="1343"/>
        <v>0</v>
      </c>
    </row>
    <row r="1383" spans="1:62" x14ac:dyDescent="0.15">
      <c r="A1383" s="53"/>
      <c r="B1383" s="54"/>
      <c r="C1383" s="55"/>
      <c r="D1383" s="55"/>
      <c r="E1383" s="55"/>
      <c r="F1383" s="56">
        <f t="shared" si="1350"/>
        <v>0</v>
      </c>
      <c r="G1383" s="54"/>
      <c r="H1383" s="55"/>
      <c r="I1383" s="55"/>
      <c r="J1383" s="55"/>
      <c r="K1383" s="56">
        <f t="shared" si="1378"/>
        <v>0</v>
      </c>
      <c r="L1383" s="54"/>
      <c r="M1383" s="55"/>
      <c r="N1383" s="55"/>
      <c r="O1383" s="55"/>
      <c r="P1383" s="56">
        <f t="shared" si="1379"/>
        <v>0</v>
      </c>
      <c r="Q1383" s="54"/>
      <c r="R1383" s="55"/>
      <c r="S1383" s="55"/>
      <c r="T1383" s="55"/>
      <c r="U1383" s="56">
        <f t="shared" si="1380"/>
        <v>0</v>
      </c>
      <c r="V1383" s="55"/>
      <c r="W1383" s="55"/>
      <c r="X1383" s="55"/>
      <c r="Y1383" s="55"/>
      <c r="Z1383" s="56">
        <f t="shared" si="1381"/>
        <v>0</v>
      </c>
      <c r="AA1383" s="56">
        <f t="shared" si="1382"/>
        <v>0</v>
      </c>
      <c r="AC1383" s="276" t="s">
        <v>671</v>
      </c>
      <c r="AD1383" s="54"/>
      <c r="AE1383" s="55"/>
      <c r="AF1383" s="55">
        <v>2</v>
      </c>
      <c r="AG1383" s="55"/>
      <c r="AH1383" s="56">
        <f t="shared" si="1365"/>
        <v>2</v>
      </c>
      <c r="AI1383" s="54">
        <v>2</v>
      </c>
      <c r="AJ1383" s="55"/>
      <c r="AK1383" s="55"/>
      <c r="AL1383" s="55">
        <v>1</v>
      </c>
      <c r="AM1383" s="56">
        <f t="shared" si="1366"/>
        <v>3</v>
      </c>
      <c r="AN1383" s="54"/>
      <c r="AO1383" s="55"/>
      <c r="AP1383" s="55"/>
      <c r="AQ1383" s="55"/>
      <c r="AR1383" s="56">
        <f t="shared" si="1367"/>
        <v>0</v>
      </c>
      <c r="AS1383" s="54">
        <v>1</v>
      </c>
      <c r="AT1383" s="55">
        <v>1</v>
      </c>
      <c r="AU1383" s="55"/>
      <c r="AV1383" s="55"/>
      <c r="AW1383" s="56">
        <f t="shared" si="1368"/>
        <v>2</v>
      </c>
      <c r="AX1383" s="55"/>
      <c r="AY1383" s="55"/>
      <c r="AZ1383" s="55"/>
      <c r="BA1383" s="55"/>
      <c r="BB1383" s="56">
        <f t="shared" si="1369"/>
        <v>0</v>
      </c>
      <c r="BC1383" s="56">
        <f t="shared" si="1370"/>
        <v>7</v>
      </c>
      <c r="BD1383" s="298">
        <v>45856</v>
      </c>
      <c r="BE1383" s="277"/>
      <c r="BF1383" s="54"/>
      <c r="BG1383" s="55"/>
      <c r="BH1383" s="55"/>
      <c r="BI1383" s="55"/>
      <c r="BJ1383" s="56">
        <f t="shared" si="1343"/>
        <v>0</v>
      </c>
    </row>
    <row r="1384" spans="1:62" x14ac:dyDescent="0.15">
      <c r="A1384" s="53"/>
      <c r="B1384" s="54"/>
      <c r="C1384" s="55"/>
      <c r="D1384" s="55"/>
      <c r="E1384" s="55"/>
      <c r="F1384" s="56">
        <f t="shared" si="1350"/>
        <v>0</v>
      </c>
      <c r="G1384" s="54"/>
      <c r="H1384" s="55"/>
      <c r="I1384" s="55"/>
      <c r="J1384" s="55"/>
      <c r="K1384" s="56">
        <f t="shared" si="1378"/>
        <v>0</v>
      </c>
      <c r="L1384" s="54"/>
      <c r="M1384" s="55"/>
      <c r="N1384" s="55"/>
      <c r="O1384" s="55"/>
      <c r="P1384" s="56">
        <f t="shared" si="1379"/>
        <v>0</v>
      </c>
      <c r="Q1384" s="54"/>
      <c r="R1384" s="55"/>
      <c r="S1384" s="55"/>
      <c r="T1384" s="55"/>
      <c r="U1384" s="56">
        <f t="shared" si="1380"/>
        <v>0</v>
      </c>
      <c r="V1384" s="55"/>
      <c r="W1384" s="55"/>
      <c r="X1384" s="55"/>
      <c r="Y1384" s="55"/>
      <c r="Z1384" s="56">
        <f t="shared" si="1381"/>
        <v>0</v>
      </c>
      <c r="AA1384" s="56">
        <f t="shared" si="1382"/>
        <v>0</v>
      </c>
      <c r="AC1384" s="276" t="s">
        <v>672</v>
      </c>
      <c r="AD1384" s="54"/>
      <c r="AE1384" s="55"/>
      <c r="AF1384" s="55"/>
      <c r="AG1384" s="55"/>
      <c r="AH1384" s="56">
        <f t="shared" si="1365"/>
        <v>0</v>
      </c>
      <c r="AI1384" s="54"/>
      <c r="AJ1384" s="55"/>
      <c r="AK1384" s="55"/>
      <c r="AL1384" s="55"/>
      <c r="AM1384" s="56">
        <f t="shared" si="1366"/>
        <v>0</v>
      </c>
      <c r="AN1384" s="54"/>
      <c r="AO1384" s="55"/>
      <c r="AP1384" s="55"/>
      <c r="AQ1384" s="55"/>
      <c r="AR1384" s="56">
        <f t="shared" si="1367"/>
        <v>0</v>
      </c>
      <c r="AS1384" s="54"/>
      <c r="AT1384" s="55"/>
      <c r="AU1384" s="55">
        <v>1</v>
      </c>
      <c r="AV1384" s="55">
        <v>2</v>
      </c>
      <c r="AW1384" s="56">
        <f t="shared" si="1368"/>
        <v>3</v>
      </c>
      <c r="AX1384" s="55"/>
      <c r="AY1384" s="55"/>
      <c r="AZ1384" s="55"/>
      <c r="BA1384" s="55"/>
      <c r="BB1384" s="56">
        <f t="shared" si="1369"/>
        <v>0</v>
      </c>
      <c r="BC1384" s="56">
        <f t="shared" si="1370"/>
        <v>3</v>
      </c>
      <c r="BD1384" s="298">
        <v>45856</v>
      </c>
      <c r="BE1384" s="276"/>
      <c r="BF1384" s="54"/>
      <c r="BG1384" s="55"/>
      <c r="BH1384" s="55"/>
      <c r="BI1384" s="55"/>
      <c r="BJ1384" s="56">
        <f t="shared" si="1343"/>
        <v>0</v>
      </c>
    </row>
    <row r="1385" spans="1:62" x14ac:dyDescent="0.15">
      <c r="A1385" s="53"/>
      <c r="B1385" s="54"/>
      <c r="C1385" s="55"/>
      <c r="D1385" s="55"/>
      <c r="E1385" s="55"/>
      <c r="F1385" s="56">
        <f t="shared" si="1350"/>
        <v>0</v>
      </c>
      <c r="G1385" s="54"/>
      <c r="H1385" s="55"/>
      <c r="I1385" s="55"/>
      <c r="J1385" s="55"/>
      <c r="K1385" s="56">
        <f t="shared" ref="K1385:K1392" si="1383">SUM(G1385:J1385)</f>
        <v>0</v>
      </c>
      <c r="L1385" s="54"/>
      <c r="M1385" s="55"/>
      <c r="N1385" s="55"/>
      <c r="O1385" s="55"/>
      <c r="P1385" s="56">
        <f t="shared" ref="P1385:P1392" si="1384">SUM(L1385:O1385)</f>
        <v>0</v>
      </c>
      <c r="Q1385" s="54"/>
      <c r="R1385" s="55"/>
      <c r="S1385" s="55"/>
      <c r="T1385" s="55"/>
      <c r="U1385" s="56">
        <f t="shared" ref="U1385:U1392" si="1385">SUM(Q1385:T1385)</f>
        <v>0</v>
      </c>
      <c r="V1385" s="55"/>
      <c r="W1385" s="55"/>
      <c r="X1385" s="55"/>
      <c r="Y1385" s="55"/>
      <c r="Z1385" s="56">
        <f t="shared" ref="Z1385:Z1391" si="1386">SUM(V1385:Y1385)</f>
        <v>0</v>
      </c>
      <c r="AA1385" s="56">
        <f t="shared" si="1382"/>
        <v>0</v>
      </c>
      <c r="AC1385" s="276" t="s">
        <v>673</v>
      </c>
      <c r="AD1385" s="54"/>
      <c r="AE1385" s="55"/>
      <c r="AF1385" s="55"/>
      <c r="AG1385" s="55"/>
      <c r="AH1385" s="56">
        <f t="shared" si="1365"/>
        <v>0</v>
      </c>
      <c r="AI1385" s="54">
        <v>3</v>
      </c>
      <c r="AJ1385" s="55"/>
      <c r="AK1385" s="55"/>
      <c r="AL1385" s="55"/>
      <c r="AM1385" s="56">
        <f t="shared" si="1366"/>
        <v>3</v>
      </c>
      <c r="AN1385" s="54"/>
      <c r="AO1385" s="55"/>
      <c r="AP1385" s="55"/>
      <c r="AQ1385" s="55"/>
      <c r="AR1385" s="56">
        <f t="shared" si="1367"/>
        <v>0</v>
      </c>
      <c r="AS1385" s="54"/>
      <c r="AT1385" s="55">
        <v>2</v>
      </c>
      <c r="AU1385" s="55"/>
      <c r="AV1385" s="55"/>
      <c r="AW1385" s="56">
        <f t="shared" si="1368"/>
        <v>2</v>
      </c>
      <c r="AX1385" s="55"/>
      <c r="AY1385" s="55"/>
      <c r="AZ1385" s="55"/>
      <c r="BA1385" s="55"/>
      <c r="BB1385" s="56">
        <f t="shared" si="1369"/>
        <v>0</v>
      </c>
      <c r="BC1385" s="56">
        <f t="shared" si="1370"/>
        <v>5</v>
      </c>
      <c r="BD1385" s="298">
        <v>45855</v>
      </c>
      <c r="BE1385" s="277"/>
      <c r="BF1385" s="54"/>
      <c r="BG1385" s="55"/>
      <c r="BH1385" s="55"/>
      <c r="BI1385" s="55"/>
      <c r="BJ1385" s="56">
        <f t="shared" si="1343"/>
        <v>0</v>
      </c>
    </row>
    <row r="1386" spans="1:62" x14ac:dyDescent="0.15">
      <c r="A1386" s="53"/>
      <c r="B1386" s="54"/>
      <c r="C1386" s="55"/>
      <c r="D1386" s="55"/>
      <c r="E1386" s="55"/>
      <c r="F1386" s="56">
        <f t="shared" si="1350"/>
        <v>0</v>
      </c>
      <c r="G1386" s="54"/>
      <c r="H1386" s="55"/>
      <c r="I1386" s="55"/>
      <c r="J1386" s="55"/>
      <c r="K1386" s="56">
        <f t="shared" si="1383"/>
        <v>0</v>
      </c>
      <c r="L1386" s="54"/>
      <c r="M1386" s="55"/>
      <c r="N1386" s="55"/>
      <c r="O1386" s="55"/>
      <c r="P1386" s="56">
        <f t="shared" si="1384"/>
        <v>0</v>
      </c>
      <c r="Q1386" s="54"/>
      <c r="R1386" s="55"/>
      <c r="S1386" s="55"/>
      <c r="T1386" s="55"/>
      <c r="U1386" s="56">
        <f t="shared" si="1385"/>
        <v>0</v>
      </c>
      <c r="V1386" s="55"/>
      <c r="W1386" s="55"/>
      <c r="X1386" s="55"/>
      <c r="Y1386" s="55"/>
      <c r="Z1386" s="56">
        <f t="shared" si="1386"/>
        <v>0</v>
      </c>
      <c r="AA1386" s="56">
        <f t="shared" si="1382"/>
        <v>0</v>
      </c>
      <c r="AC1386" s="276" t="s">
        <v>674</v>
      </c>
      <c r="AD1386" s="54"/>
      <c r="AE1386" s="55"/>
      <c r="AF1386" s="55"/>
      <c r="AG1386" s="55"/>
      <c r="AH1386" s="56">
        <f t="shared" si="1365"/>
        <v>0</v>
      </c>
      <c r="AI1386" s="54"/>
      <c r="AJ1386" s="55"/>
      <c r="AK1386" s="55">
        <v>3</v>
      </c>
      <c r="AL1386" s="55"/>
      <c r="AM1386" s="56">
        <f t="shared" si="1366"/>
        <v>3</v>
      </c>
      <c r="AN1386" s="54"/>
      <c r="AO1386" s="55"/>
      <c r="AP1386" s="55"/>
      <c r="AQ1386" s="55"/>
      <c r="AR1386" s="56">
        <f t="shared" si="1367"/>
        <v>0</v>
      </c>
      <c r="AS1386" s="54"/>
      <c r="AT1386" s="55"/>
      <c r="AU1386" s="55"/>
      <c r="AV1386" s="55"/>
      <c r="AW1386" s="56">
        <f t="shared" si="1368"/>
        <v>0</v>
      </c>
      <c r="AX1386" s="55"/>
      <c r="AY1386" s="55"/>
      <c r="AZ1386" s="55"/>
      <c r="BA1386" s="55"/>
      <c r="BB1386" s="56">
        <f t="shared" si="1369"/>
        <v>0</v>
      </c>
      <c r="BC1386" s="56">
        <f t="shared" si="1370"/>
        <v>3</v>
      </c>
      <c r="BD1386" s="298">
        <v>45856</v>
      </c>
      <c r="BE1386" s="268"/>
      <c r="BF1386" s="62"/>
      <c r="BG1386" s="63"/>
      <c r="BH1386" s="63"/>
      <c r="BI1386" s="63"/>
      <c r="BJ1386" s="56">
        <f t="shared" si="1343"/>
        <v>0</v>
      </c>
    </row>
    <row r="1387" spans="1:62" x14ac:dyDescent="0.15">
      <c r="A1387" s="53"/>
      <c r="B1387" s="54"/>
      <c r="C1387" s="55"/>
      <c r="D1387" s="55"/>
      <c r="E1387" s="55"/>
      <c r="F1387" s="56">
        <f t="shared" si="1350"/>
        <v>0</v>
      </c>
      <c r="G1387" s="54"/>
      <c r="H1387" s="55"/>
      <c r="I1387" s="55"/>
      <c r="J1387" s="55"/>
      <c r="K1387" s="56">
        <f t="shared" si="1383"/>
        <v>0</v>
      </c>
      <c r="L1387" s="54"/>
      <c r="M1387" s="55"/>
      <c r="N1387" s="55"/>
      <c r="O1387" s="55"/>
      <c r="P1387" s="56">
        <f t="shared" si="1384"/>
        <v>0</v>
      </c>
      <c r="Q1387" s="54"/>
      <c r="R1387" s="55"/>
      <c r="S1387" s="55"/>
      <c r="T1387" s="55"/>
      <c r="U1387" s="56">
        <f t="shared" si="1385"/>
        <v>0</v>
      </c>
      <c r="V1387" s="55"/>
      <c r="W1387" s="55"/>
      <c r="X1387" s="55"/>
      <c r="Y1387" s="55"/>
      <c r="Z1387" s="56">
        <f t="shared" si="1386"/>
        <v>0</v>
      </c>
      <c r="AA1387" s="56">
        <f t="shared" si="1382"/>
        <v>0</v>
      </c>
      <c r="AC1387" s="276"/>
      <c r="AD1387" s="54"/>
      <c r="AE1387" s="55"/>
      <c r="AF1387" s="55"/>
      <c r="AG1387" s="55"/>
      <c r="AH1387" s="56">
        <f t="shared" si="1337"/>
        <v>0</v>
      </c>
      <c r="AI1387" s="54"/>
      <c r="AJ1387" s="55"/>
      <c r="AK1387" s="55"/>
      <c r="AL1387" s="55"/>
      <c r="AM1387" s="56">
        <f t="shared" si="1338"/>
        <v>0</v>
      </c>
      <c r="AN1387" s="54"/>
      <c r="AO1387" s="55"/>
      <c r="AP1387" s="55"/>
      <c r="AQ1387" s="55"/>
      <c r="AR1387" s="56">
        <f t="shared" si="1339"/>
        <v>0</v>
      </c>
      <c r="AS1387" s="54"/>
      <c r="AT1387" s="55"/>
      <c r="AU1387" s="55"/>
      <c r="AV1387" s="55"/>
      <c r="AW1387" s="56">
        <f t="shared" si="1340"/>
        <v>0</v>
      </c>
      <c r="AX1387" s="55"/>
      <c r="AY1387" s="55"/>
      <c r="AZ1387" s="55"/>
      <c r="BA1387" s="55"/>
      <c r="BB1387" s="56">
        <f t="shared" si="1341"/>
        <v>0</v>
      </c>
      <c r="BC1387" s="56">
        <f t="shared" ref="BC1387" si="1387">AH1387+AM1387+AR1387+AW1387+BB1387</f>
        <v>0</v>
      </c>
      <c r="BE1387" s="268"/>
      <c r="BF1387" s="54"/>
      <c r="BG1387" s="55"/>
      <c r="BH1387" s="55"/>
      <c r="BI1387" s="55"/>
      <c r="BJ1387" s="56">
        <f t="shared" si="1343"/>
        <v>0</v>
      </c>
    </row>
    <row r="1388" spans="1:62" x14ac:dyDescent="0.15">
      <c r="A1388" s="53"/>
      <c r="B1388" s="54"/>
      <c r="C1388" s="55"/>
      <c r="D1388" s="55"/>
      <c r="E1388" s="55"/>
      <c r="F1388" s="56">
        <f t="shared" si="1350"/>
        <v>0</v>
      </c>
      <c r="G1388" s="54"/>
      <c r="H1388" s="55"/>
      <c r="I1388" s="55"/>
      <c r="J1388" s="55"/>
      <c r="K1388" s="56">
        <f t="shared" si="1383"/>
        <v>0</v>
      </c>
      <c r="L1388" s="54"/>
      <c r="M1388" s="55"/>
      <c r="N1388" s="55"/>
      <c r="O1388" s="55"/>
      <c r="P1388" s="56">
        <f t="shared" si="1384"/>
        <v>0</v>
      </c>
      <c r="Q1388" s="54"/>
      <c r="R1388" s="55"/>
      <c r="S1388" s="55"/>
      <c r="T1388" s="55"/>
      <c r="U1388" s="56">
        <f t="shared" si="1385"/>
        <v>0</v>
      </c>
      <c r="V1388" s="55"/>
      <c r="W1388" s="55"/>
      <c r="X1388" s="55"/>
      <c r="Y1388" s="55"/>
      <c r="Z1388" s="56">
        <f t="shared" si="1386"/>
        <v>0</v>
      </c>
      <c r="AA1388" s="56">
        <f t="shared" si="1382"/>
        <v>0</v>
      </c>
      <c r="AC1388" s="276"/>
      <c r="AD1388" s="54"/>
      <c r="AE1388" s="55"/>
      <c r="AF1388" s="55"/>
      <c r="AG1388" s="55"/>
      <c r="AH1388" s="56">
        <f t="shared" ref="AH1388" si="1388">SUM(AD1388:AG1388)</f>
        <v>0</v>
      </c>
      <c r="AI1388" s="54"/>
      <c r="AJ1388" s="55"/>
      <c r="AK1388" s="55"/>
      <c r="AL1388" s="55"/>
      <c r="AM1388" s="56">
        <f t="shared" ref="AM1388" si="1389">SUM(AI1388:AL1388)</f>
        <v>0</v>
      </c>
      <c r="AN1388" s="54"/>
      <c r="AO1388" s="55"/>
      <c r="AP1388" s="55"/>
      <c r="AQ1388" s="55"/>
      <c r="AR1388" s="56">
        <f t="shared" ref="AR1388" si="1390">SUM(AN1388:AQ1388)</f>
        <v>0</v>
      </c>
      <c r="AS1388" s="54"/>
      <c r="AT1388" s="55"/>
      <c r="AU1388" s="55"/>
      <c r="AV1388" s="55"/>
      <c r="AW1388" s="56">
        <f t="shared" ref="AW1388" si="1391">SUM(AS1388:AV1388)</f>
        <v>0</v>
      </c>
      <c r="AX1388" s="55"/>
      <c r="AY1388" s="55"/>
      <c r="AZ1388" s="55"/>
      <c r="BA1388" s="55"/>
      <c r="BB1388" s="56">
        <f t="shared" ref="BB1388" si="1392">SUM(AX1388:BA1388)</f>
        <v>0</v>
      </c>
      <c r="BC1388" s="56">
        <f t="shared" ref="BC1388" si="1393">AH1388+AM1388+AR1388+AW1388+BB1388</f>
        <v>0</v>
      </c>
      <c r="BE1388" s="268"/>
      <c r="BF1388" s="62"/>
      <c r="BG1388" s="63"/>
      <c r="BH1388" s="63"/>
      <c r="BI1388" s="63"/>
      <c r="BJ1388" s="56">
        <f t="shared" si="1343"/>
        <v>0</v>
      </c>
    </row>
    <row r="1389" spans="1:62" x14ac:dyDescent="0.15">
      <c r="A1389" s="53"/>
      <c r="B1389" s="54"/>
      <c r="C1389" s="55"/>
      <c r="D1389" s="55"/>
      <c r="E1389" s="55"/>
      <c r="F1389" s="56">
        <f t="shared" si="1350"/>
        <v>0</v>
      </c>
      <c r="G1389" s="54"/>
      <c r="H1389" s="55"/>
      <c r="I1389" s="55"/>
      <c r="J1389" s="55"/>
      <c r="K1389" s="56">
        <f t="shared" si="1383"/>
        <v>0</v>
      </c>
      <c r="L1389" s="54"/>
      <c r="M1389" s="55"/>
      <c r="N1389" s="55"/>
      <c r="O1389" s="55"/>
      <c r="P1389" s="56">
        <f t="shared" si="1384"/>
        <v>0</v>
      </c>
      <c r="Q1389" s="54"/>
      <c r="R1389" s="55"/>
      <c r="S1389" s="55"/>
      <c r="T1389" s="55"/>
      <c r="U1389" s="56">
        <f t="shared" si="1385"/>
        <v>0</v>
      </c>
      <c r="V1389" s="55"/>
      <c r="W1389" s="55"/>
      <c r="X1389" s="55"/>
      <c r="Y1389" s="55"/>
      <c r="Z1389" s="56">
        <f t="shared" si="1386"/>
        <v>0</v>
      </c>
      <c r="AA1389" s="56">
        <f t="shared" si="1382"/>
        <v>0</v>
      </c>
      <c r="AC1389" s="276" t="s">
        <v>622</v>
      </c>
      <c r="AD1389" s="54"/>
      <c r="AE1389" s="55"/>
      <c r="AF1389" s="55"/>
      <c r="AG1389" s="55"/>
      <c r="AH1389" s="56">
        <f t="shared" ref="AH1389:AH1390" si="1394">SUM(AD1389:AG1389)</f>
        <v>0</v>
      </c>
      <c r="AI1389" s="54"/>
      <c r="AJ1389" s="55"/>
      <c r="AK1389" s="55"/>
      <c r="AL1389" s="55"/>
      <c r="AM1389" s="56">
        <f t="shared" ref="AM1389:AM1390" si="1395">SUM(AI1389:AL1389)</f>
        <v>0</v>
      </c>
      <c r="AN1389" s="54"/>
      <c r="AO1389" s="55"/>
      <c r="AP1389" s="55"/>
      <c r="AQ1389" s="55"/>
      <c r="AR1389" s="56">
        <f t="shared" ref="AR1389:AR1390" si="1396">SUM(AN1389:AQ1389)</f>
        <v>0</v>
      </c>
      <c r="AS1389" s="54"/>
      <c r="AT1389" s="55"/>
      <c r="AU1389" s="55"/>
      <c r="AV1389" s="55"/>
      <c r="AW1389" s="56">
        <f t="shared" ref="AW1389:AW1390" si="1397">SUM(AS1389:AV1389)</f>
        <v>0</v>
      </c>
      <c r="AX1389" s="344"/>
      <c r="AY1389" s="344"/>
      <c r="AZ1389" s="344"/>
      <c r="BA1389" s="344"/>
      <c r="BB1389" s="56">
        <f t="shared" ref="BB1389:BB1390" si="1398">SUM(AX1389:BA1389)</f>
        <v>0</v>
      </c>
      <c r="BC1389" s="56">
        <f t="shared" ref="BC1389:BC1390" si="1399">AH1389+AM1389+AR1389+AW1389+BB1389</f>
        <v>0</v>
      </c>
      <c r="BD1389" s="300" t="s">
        <v>635</v>
      </c>
      <c r="BE1389" s="277"/>
      <c r="BF1389" s="54"/>
      <c r="BG1389" s="55"/>
      <c r="BH1389" s="55"/>
      <c r="BI1389" s="55"/>
      <c r="BJ1389" s="56">
        <f t="shared" si="1343"/>
        <v>0</v>
      </c>
    </row>
    <row r="1390" spans="1:62" ht="14.25" thickBot="1" x14ac:dyDescent="0.2">
      <c r="A1390" s="53"/>
      <c r="B1390" s="33"/>
      <c r="C1390" s="34"/>
      <c r="D1390" s="34"/>
      <c r="E1390" s="34"/>
      <c r="F1390" s="30">
        <f t="shared" si="1350"/>
        <v>0</v>
      </c>
      <c r="G1390" s="33"/>
      <c r="H1390" s="34"/>
      <c r="I1390" s="34"/>
      <c r="J1390" s="34"/>
      <c r="K1390" s="30">
        <f t="shared" si="1383"/>
        <v>0</v>
      </c>
      <c r="L1390" s="33"/>
      <c r="M1390" s="34"/>
      <c r="N1390" s="34"/>
      <c r="O1390" s="34"/>
      <c r="P1390" s="30">
        <f t="shared" si="1384"/>
        <v>0</v>
      </c>
      <c r="Q1390" s="33"/>
      <c r="R1390" s="34"/>
      <c r="S1390" s="34"/>
      <c r="T1390" s="34"/>
      <c r="U1390" s="30">
        <f t="shared" si="1385"/>
        <v>0</v>
      </c>
      <c r="V1390" s="34"/>
      <c r="W1390" s="34"/>
      <c r="X1390" s="34"/>
      <c r="Y1390" s="34"/>
      <c r="Z1390" s="30">
        <f t="shared" si="1386"/>
        <v>0</v>
      </c>
      <c r="AA1390" s="56">
        <f>F1390+K1390+P1390+U1390+Z1390</f>
        <v>0</v>
      </c>
      <c r="AC1390" s="276" t="s">
        <v>631</v>
      </c>
      <c r="AD1390" s="345"/>
      <c r="AE1390" s="344"/>
      <c r="AF1390" s="344"/>
      <c r="AG1390" s="344"/>
      <c r="AH1390" s="56">
        <f t="shared" si="1394"/>
        <v>0</v>
      </c>
      <c r="AI1390" s="54"/>
      <c r="AJ1390" s="55"/>
      <c r="AK1390" s="55"/>
      <c r="AL1390" s="55"/>
      <c r="AM1390" s="56">
        <f t="shared" si="1395"/>
        <v>0</v>
      </c>
      <c r="AN1390" s="345"/>
      <c r="AO1390" s="344"/>
      <c r="AP1390" s="344"/>
      <c r="AQ1390" s="344"/>
      <c r="AR1390" s="56">
        <f t="shared" si="1396"/>
        <v>0</v>
      </c>
      <c r="AS1390" s="54"/>
      <c r="AT1390" s="55"/>
      <c r="AU1390" s="55"/>
      <c r="AV1390" s="55"/>
      <c r="AW1390" s="56">
        <f t="shared" si="1397"/>
        <v>0</v>
      </c>
      <c r="AX1390" s="344"/>
      <c r="AY1390" s="344"/>
      <c r="AZ1390" s="344"/>
      <c r="BA1390" s="344"/>
      <c r="BB1390" s="56">
        <f t="shared" si="1398"/>
        <v>0</v>
      </c>
      <c r="BC1390" s="56">
        <f t="shared" si="1399"/>
        <v>0</v>
      </c>
      <c r="BD1390" s="300" t="s">
        <v>632</v>
      </c>
      <c r="BE1390" s="282"/>
      <c r="BF1390" s="33"/>
      <c r="BG1390" s="34"/>
      <c r="BH1390" s="34"/>
      <c r="BI1390" s="34"/>
      <c r="BJ1390" s="30">
        <f t="shared" si="1343"/>
        <v>0</v>
      </c>
    </row>
    <row r="1391" spans="1:62" ht="15" thickBot="1" x14ac:dyDescent="0.2">
      <c r="A1391" s="9" t="s">
        <v>15</v>
      </c>
      <c r="B1391" s="36">
        <f>SUM(B1365:B1390)</f>
        <v>1</v>
      </c>
      <c r="C1391" s="37">
        <f>SUM(C1365:C1390)</f>
        <v>1</v>
      </c>
      <c r="D1391" s="37">
        <f>SUM(D1365:D1390)</f>
        <v>2</v>
      </c>
      <c r="E1391" s="38">
        <f>SUM(E1365:E1390)</f>
        <v>0</v>
      </c>
      <c r="F1391" s="25">
        <f t="shared" si="1350"/>
        <v>4</v>
      </c>
      <c r="G1391" s="36">
        <f>SUM(G1365:G1390)</f>
        <v>0</v>
      </c>
      <c r="H1391" s="37">
        <f>SUM(H1365:H1390)</f>
        <v>0</v>
      </c>
      <c r="I1391" s="37">
        <f>SUM(I1365:I1390)</f>
        <v>0</v>
      </c>
      <c r="J1391" s="38">
        <f>SUM(J1365:J1390)</f>
        <v>2</v>
      </c>
      <c r="K1391" s="25">
        <f t="shared" si="1383"/>
        <v>2</v>
      </c>
      <c r="L1391" s="36">
        <f>SUM(L1365:L1390)</f>
        <v>2</v>
      </c>
      <c r="M1391" s="37">
        <f>SUM(M1365:M1390)</f>
        <v>2</v>
      </c>
      <c r="N1391" s="37">
        <f>SUM(N1365:N1390)</f>
        <v>0</v>
      </c>
      <c r="O1391" s="38">
        <f>SUM(O1365:O1390)</f>
        <v>0</v>
      </c>
      <c r="P1391" s="25">
        <f t="shared" si="1384"/>
        <v>4</v>
      </c>
      <c r="Q1391" s="36">
        <f>SUM(Q1365:Q1390)</f>
        <v>1</v>
      </c>
      <c r="R1391" s="37">
        <f>SUM(R1365:R1390)</f>
        <v>6</v>
      </c>
      <c r="S1391" s="37">
        <f>SUM(S1365:S1390)</f>
        <v>1</v>
      </c>
      <c r="T1391" s="38">
        <f>SUM(T1365:T1390)</f>
        <v>1</v>
      </c>
      <c r="U1391" s="25">
        <f t="shared" si="1385"/>
        <v>9</v>
      </c>
      <c r="V1391" s="322">
        <f>SUM(V1365:V1390)</f>
        <v>0</v>
      </c>
      <c r="W1391" s="37">
        <f>SUM(W1365:W1390)</f>
        <v>0</v>
      </c>
      <c r="X1391" s="37">
        <f>SUM(X1365:X1390)</f>
        <v>0</v>
      </c>
      <c r="Y1391" s="38">
        <f>SUM(Y1365:Y1390)</f>
        <v>0</v>
      </c>
      <c r="Z1391" s="25">
        <f t="shared" si="1386"/>
        <v>0</v>
      </c>
      <c r="AA1391" s="161">
        <f>F1391+K1391+P1391+U1391+Z1391</f>
        <v>19</v>
      </c>
      <c r="AC1391" s="278" t="s">
        <v>15</v>
      </c>
      <c r="AD1391" s="36">
        <f>SUM(AD1365:AD1390)</f>
        <v>3</v>
      </c>
      <c r="AE1391" s="37">
        <f>SUM(AE1365:AE1390)</f>
        <v>3</v>
      </c>
      <c r="AF1391" s="37">
        <f>SUM(AF1365:AF1390)</f>
        <v>7</v>
      </c>
      <c r="AG1391" s="38">
        <f>SUM(AG1365:AG1390)</f>
        <v>5</v>
      </c>
      <c r="AH1391" s="25">
        <f t="shared" ref="AH1391:AH1392" si="1400">SUM(AD1391:AG1391)</f>
        <v>18</v>
      </c>
      <c r="AI1391" s="36">
        <f>SUM(AI1365:AI1390)</f>
        <v>17</v>
      </c>
      <c r="AJ1391" s="37">
        <f>SUM(AJ1365:AJ1390)</f>
        <v>4</v>
      </c>
      <c r="AK1391" s="37">
        <f>SUM(AK1365:AK1390)</f>
        <v>8</v>
      </c>
      <c r="AL1391" s="38">
        <f>SUM(AL1365:AL1390)</f>
        <v>11</v>
      </c>
      <c r="AM1391" s="25">
        <f t="shared" ref="AM1391:AM1392" si="1401">SUM(AI1391:AL1391)</f>
        <v>40</v>
      </c>
      <c r="AN1391" s="36">
        <f>SUM(AN1365:AN1390)</f>
        <v>5</v>
      </c>
      <c r="AO1391" s="37">
        <f>SUM(AO1365:AO1390)</f>
        <v>4</v>
      </c>
      <c r="AP1391" s="37">
        <f>SUM(AP1365:AP1390)</f>
        <v>3</v>
      </c>
      <c r="AQ1391" s="38">
        <f>SUM(AQ1365:AQ1390)</f>
        <v>3</v>
      </c>
      <c r="AR1391" s="25">
        <f t="shared" si="1339"/>
        <v>15</v>
      </c>
      <c r="AS1391" s="36">
        <f>SUM(AS1365:AS1390)</f>
        <v>7</v>
      </c>
      <c r="AT1391" s="37">
        <f>SUM(AT1365:AT1390)</f>
        <v>18</v>
      </c>
      <c r="AU1391" s="37">
        <f>SUM(AU1365:AU1390)</f>
        <v>20</v>
      </c>
      <c r="AV1391" s="38">
        <f>SUM(AV1365:AV1390)</f>
        <v>12</v>
      </c>
      <c r="AW1391" s="25">
        <f t="shared" si="1340"/>
        <v>57</v>
      </c>
      <c r="AX1391" s="322">
        <f>SUM(AX1365:AX1390)</f>
        <v>3</v>
      </c>
      <c r="AY1391" s="37">
        <f>SUM(AY1365:AY1390)</f>
        <v>0</v>
      </c>
      <c r="AZ1391" s="37">
        <f>SUM(AZ1365:AZ1390)</f>
        <v>0</v>
      </c>
      <c r="BA1391" s="38">
        <f>SUM(BA1365:BA1390)</f>
        <v>3</v>
      </c>
      <c r="BB1391" s="25">
        <f t="shared" si="1341"/>
        <v>6</v>
      </c>
      <c r="BC1391" s="161">
        <f>AH1391+AM1391+AR1391+AW1391+BB1391</f>
        <v>136</v>
      </c>
      <c r="BE1391" s="278" t="s">
        <v>15</v>
      </c>
      <c r="BF1391" s="312">
        <f>SUM(BF1365:BF1390)</f>
        <v>0</v>
      </c>
      <c r="BG1391" s="302">
        <f>SUM(BG1365:BG1390)</f>
        <v>0</v>
      </c>
      <c r="BH1391" s="37">
        <f>SUM(BH1365:BH1390)</f>
        <v>0</v>
      </c>
      <c r="BI1391" s="316">
        <f>SUM(BI1365:BI1390)</f>
        <v>0</v>
      </c>
      <c r="BJ1391" s="25">
        <f t="shared" si="1343"/>
        <v>0</v>
      </c>
    </row>
    <row r="1392" spans="1:62" ht="14.25" thickBot="1" x14ac:dyDescent="0.2">
      <c r="A1392" s="39" t="s">
        <v>16</v>
      </c>
      <c r="B1392" s="40">
        <f>B1364-B1391</f>
        <v>3</v>
      </c>
      <c r="C1392" s="41">
        <f>C1364-C1391</f>
        <v>5</v>
      </c>
      <c r="D1392" s="41">
        <f>D1364-D1391</f>
        <v>4</v>
      </c>
      <c r="E1392" s="42">
        <f>E1364-E1391</f>
        <v>5</v>
      </c>
      <c r="F1392" s="171">
        <f t="shared" si="1350"/>
        <v>17</v>
      </c>
      <c r="G1392" s="40">
        <f>G1364-G1391</f>
        <v>3</v>
      </c>
      <c r="H1392" s="41">
        <f>H1364-H1391</f>
        <v>4</v>
      </c>
      <c r="I1392" s="41">
        <f>I1364-I1391</f>
        <v>4</v>
      </c>
      <c r="J1392" s="42">
        <f>J1364-J1391</f>
        <v>3</v>
      </c>
      <c r="K1392" s="171">
        <f t="shared" si="1383"/>
        <v>14</v>
      </c>
      <c r="L1392" s="40">
        <f>L1364-L1391</f>
        <v>3</v>
      </c>
      <c r="M1392" s="41">
        <f>M1364-M1391</f>
        <v>3</v>
      </c>
      <c r="N1392" s="41">
        <f>N1364-N1391</f>
        <v>3</v>
      </c>
      <c r="O1392" s="42">
        <f>O1364-O1391</f>
        <v>5</v>
      </c>
      <c r="P1392" s="171">
        <f t="shared" si="1384"/>
        <v>14</v>
      </c>
      <c r="Q1392" s="40">
        <f>Q1364-Q1391</f>
        <v>5</v>
      </c>
      <c r="R1392" s="41">
        <f>R1364-R1391</f>
        <v>2</v>
      </c>
      <c r="S1392" s="41">
        <f>S1364-S1391</f>
        <v>6</v>
      </c>
      <c r="T1392" s="42">
        <f>T1364-T1391</f>
        <v>4</v>
      </c>
      <c r="U1392" s="171">
        <f t="shared" si="1385"/>
        <v>17</v>
      </c>
      <c r="V1392" s="323">
        <f>V1364-V1391</f>
        <v>6</v>
      </c>
      <c r="W1392" s="41">
        <f>W1364-W1391</f>
        <v>6</v>
      </c>
      <c r="X1392" s="41">
        <f>X1364-X1391</f>
        <v>6</v>
      </c>
      <c r="Y1392" s="42">
        <f>Y1364-Y1391</f>
        <v>5</v>
      </c>
      <c r="Z1392" s="171">
        <f>SUM(V1392:Y1392)</f>
        <v>23</v>
      </c>
      <c r="AA1392" s="77">
        <f>F1392+K1392+P1392+U1392+Z1392</f>
        <v>85</v>
      </c>
      <c r="AC1392" s="279" t="s">
        <v>16</v>
      </c>
      <c r="AD1392" s="40">
        <f>AD1364-AD1391</f>
        <v>70</v>
      </c>
      <c r="AE1392" s="41">
        <f>AE1364-AE1391</f>
        <v>59</v>
      </c>
      <c r="AF1392" s="41">
        <f>AF1364-AF1391</f>
        <v>119</v>
      </c>
      <c r="AG1392" s="42">
        <f>AG1364-AG1391</f>
        <v>45</v>
      </c>
      <c r="AH1392" s="171">
        <f t="shared" si="1400"/>
        <v>293</v>
      </c>
      <c r="AI1392" s="40">
        <f>AI1364-AI1391</f>
        <v>69</v>
      </c>
      <c r="AJ1392" s="41">
        <f>AJ1364-AJ1391</f>
        <v>119</v>
      </c>
      <c r="AK1392" s="41">
        <f>AK1364-AK1391</f>
        <v>83</v>
      </c>
      <c r="AL1392" s="42">
        <f>AL1364-AL1391</f>
        <v>72</v>
      </c>
      <c r="AM1392" s="171">
        <f t="shared" si="1401"/>
        <v>343</v>
      </c>
      <c r="AN1392" s="40">
        <f>AN1364-AN1391</f>
        <v>29</v>
      </c>
      <c r="AO1392" s="41">
        <f>AO1364-AO1391</f>
        <v>38</v>
      </c>
      <c r="AP1392" s="41">
        <f>AP1364-AP1391</f>
        <v>34</v>
      </c>
      <c r="AQ1392" s="42">
        <f>AQ1364-AQ1391</f>
        <v>11</v>
      </c>
      <c r="AR1392" s="171">
        <f t="shared" si="1339"/>
        <v>112</v>
      </c>
      <c r="AS1392" s="40">
        <f>AS1364-AS1391</f>
        <v>128</v>
      </c>
      <c r="AT1392" s="41">
        <f>AT1364-AT1391</f>
        <v>144</v>
      </c>
      <c r="AU1392" s="41">
        <f>AU1364-AU1391</f>
        <v>74</v>
      </c>
      <c r="AV1392" s="42">
        <f>AV1364-AV1391</f>
        <v>47</v>
      </c>
      <c r="AW1392" s="171">
        <f t="shared" si="1340"/>
        <v>393</v>
      </c>
      <c r="AX1392" s="323">
        <f>AX1364-AX1391</f>
        <v>101</v>
      </c>
      <c r="AY1392" s="41">
        <f>AY1364-AY1391</f>
        <v>78</v>
      </c>
      <c r="AZ1392" s="41">
        <f>AZ1364-AZ1391</f>
        <v>41</v>
      </c>
      <c r="BA1392" s="42">
        <f>BA1364-BA1391</f>
        <v>24</v>
      </c>
      <c r="BB1392" s="171">
        <f>SUM(AX1392:BA1392)</f>
        <v>244</v>
      </c>
      <c r="BC1392" s="77">
        <f>AH1392+AM1392+AR1392+AW1392+BB1392</f>
        <v>1385</v>
      </c>
      <c r="BE1392" s="279" t="s">
        <v>16</v>
      </c>
      <c r="BF1392" s="313">
        <f>BF1364-BF1391</f>
        <v>0</v>
      </c>
      <c r="BG1392" s="303">
        <f>BG1364-BG1391</f>
        <v>0</v>
      </c>
      <c r="BH1392" s="41">
        <f>BH1364-BH1391</f>
        <v>10</v>
      </c>
      <c r="BI1392" s="317">
        <f>BI1364-BI1391</f>
        <v>0</v>
      </c>
      <c r="BJ1392" s="171">
        <f t="shared" si="1343"/>
        <v>10</v>
      </c>
    </row>
    <row r="1393" spans="1:63" x14ac:dyDescent="0.15">
      <c r="AC1393" s="342"/>
      <c r="AD1393" s="342"/>
      <c r="AE1393" s="342"/>
      <c r="AF1393" s="342"/>
      <c r="AG1393" s="342"/>
      <c r="AH1393" s="342"/>
      <c r="AI1393" s="342"/>
      <c r="AJ1393" s="342"/>
      <c r="AK1393" s="342"/>
      <c r="AL1393" s="342"/>
      <c r="AM1393" s="342"/>
      <c r="AN1393" s="342"/>
      <c r="AO1393" s="342"/>
      <c r="AP1393" s="342"/>
      <c r="AQ1393" s="342"/>
      <c r="AR1393" s="342"/>
      <c r="AS1393" s="342"/>
      <c r="AT1393" s="342"/>
      <c r="AU1393" s="342"/>
      <c r="AV1393" s="342"/>
      <c r="AW1393" s="342"/>
      <c r="AX1393" s="342"/>
      <c r="AY1393" s="342"/>
      <c r="AZ1393" s="342"/>
      <c r="BA1393" s="342"/>
      <c r="BB1393" s="342"/>
      <c r="BC1393" s="342"/>
    </row>
    <row r="1396" spans="1:63" ht="19.5" thickBot="1" x14ac:dyDescent="0.25">
      <c r="A1396" s="185" t="s">
        <v>19</v>
      </c>
      <c r="B1396" s="186"/>
      <c r="C1396" s="186"/>
      <c r="D1396" s="186"/>
      <c r="E1396" s="186"/>
      <c r="F1396" s="186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C1396" s="187" t="s">
        <v>73</v>
      </c>
      <c r="AD1396" s="188"/>
      <c r="AE1396" s="188"/>
      <c r="AF1396" s="188"/>
      <c r="AG1396" s="188"/>
      <c r="AH1396" s="188"/>
      <c r="AI1396" s="188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E1396" s="185" t="s">
        <v>19</v>
      </c>
      <c r="BF1396" s="186"/>
      <c r="BG1396" s="186"/>
      <c r="BH1396" s="186"/>
      <c r="BI1396" s="186"/>
      <c r="BJ1396" s="186"/>
    </row>
    <row r="1397" spans="1:63" ht="14.25" thickBot="1" x14ac:dyDescent="0.2">
      <c r="A1397" s="3" t="s">
        <v>0</v>
      </c>
      <c r="B1397" s="365" t="s">
        <v>17</v>
      </c>
      <c r="C1397" s="366"/>
      <c r="D1397" s="366"/>
      <c r="E1397" s="366"/>
      <c r="F1397" s="367"/>
      <c r="G1397" s="368" t="s">
        <v>18</v>
      </c>
      <c r="H1397" s="369"/>
      <c r="I1397" s="369"/>
      <c r="J1397" s="369"/>
      <c r="K1397" s="370"/>
      <c r="L1397" s="371" t="s">
        <v>320</v>
      </c>
      <c r="M1397" s="372"/>
      <c r="N1397" s="372"/>
      <c r="O1397" s="372"/>
      <c r="P1397" s="373"/>
      <c r="Q1397" s="355" t="s">
        <v>75</v>
      </c>
      <c r="R1397" s="356"/>
      <c r="S1397" s="356"/>
      <c r="T1397" s="356"/>
      <c r="U1397" s="357"/>
      <c r="V1397" s="358" t="s">
        <v>456</v>
      </c>
      <c r="W1397" s="358"/>
      <c r="X1397" s="358"/>
      <c r="Y1397" s="358"/>
      <c r="Z1397" s="359"/>
      <c r="AA1397" s="360" t="s">
        <v>1</v>
      </c>
      <c r="AC1397" s="271" t="s">
        <v>0</v>
      </c>
      <c r="AD1397" s="365" t="s">
        <v>17</v>
      </c>
      <c r="AE1397" s="366"/>
      <c r="AF1397" s="366"/>
      <c r="AG1397" s="366"/>
      <c r="AH1397" s="367"/>
      <c r="AI1397" s="368" t="s">
        <v>18</v>
      </c>
      <c r="AJ1397" s="369"/>
      <c r="AK1397" s="369"/>
      <c r="AL1397" s="369"/>
      <c r="AM1397" s="370"/>
      <c r="AN1397" s="371" t="s">
        <v>320</v>
      </c>
      <c r="AO1397" s="372"/>
      <c r="AP1397" s="372"/>
      <c r="AQ1397" s="372"/>
      <c r="AR1397" s="373"/>
      <c r="AS1397" s="355" t="s">
        <v>75</v>
      </c>
      <c r="AT1397" s="356"/>
      <c r="AU1397" s="356"/>
      <c r="AV1397" s="356"/>
      <c r="AW1397" s="357"/>
      <c r="AX1397" s="358" t="s">
        <v>456</v>
      </c>
      <c r="AY1397" s="358"/>
      <c r="AZ1397" s="358"/>
      <c r="BA1397" s="358"/>
      <c r="BB1397" s="359"/>
      <c r="BC1397" s="360" t="s">
        <v>1</v>
      </c>
      <c r="BE1397" s="271" t="s">
        <v>0</v>
      </c>
      <c r="BF1397" s="362" t="s">
        <v>38</v>
      </c>
      <c r="BG1397" s="363"/>
      <c r="BH1397" s="363"/>
      <c r="BI1397" s="363"/>
      <c r="BJ1397" s="364"/>
    </row>
    <row r="1398" spans="1:63" ht="14.25" thickBot="1" x14ac:dyDescent="0.2">
      <c r="A1398" s="5" t="s">
        <v>2</v>
      </c>
      <c r="B1398" s="6" t="s">
        <v>3</v>
      </c>
      <c r="C1398" s="7" t="s">
        <v>4</v>
      </c>
      <c r="D1398" s="7" t="s">
        <v>5</v>
      </c>
      <c r="E1398" s="8" t="s">
        <v>6</v>
      </c>
      <c r="F1398" s="5" t="s">
        <v>7</v>
      </c>
      <c r="G1398" s="6" t="s">
        <v>3</v>
      </c>
      <c r="H1398" s="7" t="s">
        <v>4</v>
      </c>
      <c r="I1398" s="7" t="s">
        <v>5</v>
      </c>
      <c r="J1398" s="8" t="s">
        <v>6</v>
      </c>
      <c r="K1398" s="5" t="s">
        <v>7</v>
      </c>
      <c r="L1398" s="6" t="s">
        <v>3</v>
      </c>
      <c r="M1398" s="7" t="s">
        <v>4</v>
      </c>
      <c r="N1398" s="7" t="s">
        <v>5</v>
      </c>
      <c r="O1398" s="8" t="s">
        <v>6</v>
      </c>
      <c r="P1398" s="5" t="s">
        <v>7</v>
      </c>
      <c r="Q1398" s="6" t="s">
        <v>3</v>
      </c>
      <c r="R1398" s="7" t="s">
        <v>4</v>
      </c>
      <c r="S1398" s="7" t="s">
        <v>5</v>
      </c>
      <c r="T1398" s="8" t="s">
        <v>6</v>
      </c>
      <c r="U1398" s="5" t="s">
        <v>7</v>
      </c>
      <c r="V1398" s="7" t="s">
        <v>3</v>
      </c>
      <c r="W1398" s="7" t="s">
        <v>4</v>
      </c>
      <c r="X1398" s="7" t="s">
        <v>5</v>
      </c>
      <c r="Y1398" s="8" t="s">
        <v>6</v>
      </c>
      <c r="Z1398" s="5" t="s">
        <v>7</v>
      </c>
      <c r="AA1398" s="361"/>
      <c r="AC1398" s="272" t="s">
        <v>2</v>
      </c>
      <c r="AD1398" s="6" t="s">
        <v>3</v>
      </c>
      <c r="AE1398" s="7" t="s">
        <v>4</v>
      </c>
      <c r="AF1398" s="7" t="s">
        <v>5</v>
      </c>
      <c r="AG1398" s="8" t="s">
        <v>6</v>
      </c>
      <c r="AH1398" s="5" t="s">
        <v>7</v>
      </c>
      <c r="AI1398" s="6" t="s">
        <v>3</v>
      </c>
      <c r="AJ1398" s="7" t="s">
        <v>4</v>
      </c>
      <c r="AK1398" s="7" t="s">
        <v>5</v>
      </c>
      <c r="AL1398" s="8" t="s">
        <v>6</v>
      </c>
      <c r="AM1398" s="5" t="s">
        <v>7</v>
      </c>
      <c r="AN1398" s="6" t="s">
        <v>3</v>
      </c>
      <c r="AO1398" s="7" t="s">
        <v>4</v>
      </c>
      <c r="AP1398" s="7" t="s">
        <v>5</v>
      </c>
      <c r="AQ1398" s="8" t="s">
        <v>6</v>
      </c>
      <c r="AR1398" s="5" t="s">
        <v>7</v>
      </c>
      <c r="AS1398" s="6" t="s">
        <v>3</v>
      </c>
      <c r="AT1398" s="7" t="s">
        <v>4</v>
      </c>
      <c r="AU1398" s="7" t="s">
        <v>5</v>
      </c>
      <c r="AV1398" s="8" t="s">
        <v>6</v>
      </c>
      <c r="AW1398" s="5" t="s">
        <v>7</v>
      </c>
      <c r="AX1398" s="7" t="s">
        <v>3</v>
      </c>
      <c r="AY1398" s="7" t="s">
        <v>4</v>
      </c>
      <c r="AZ1398" s="7" t="s">
        <v>5</v>
      </c>
      <c r="BA1398" s="8" t="s">
        <v>6</v>
      </c>
      <c r="BB1398" s="5" t="s">
        <v>7</v>
      </c>
      <c r="BC1398" s="361"/>
      <c r="BE1398" s="272" t="s">
        <v>2</v>
      </c>
      <c r="BF1398" s="6" t="s">
        <v>3</v>
      </c>
      <c r="BG1398" s="7" t="s">
        <v>4</v>
      </c>
      <c r="BH1398" s="7" t="s">
        <v>5</v>
      </c>
      <c r="BI1398" s="8" t="s">
        <v>6</v>
      </c>
      <c r="BJ1398" s="5" t="s">
        <v>7</v>
      </c>
    </row>
    <row r="1399" spans="1:63" ht="15" thickBot="1" x14ac:dyDescent="0.2">
      <c r="A1399" s="291" t="s">
        <v>30</v>
      </c>
      <c r="B1399" s="292">
        <f>B1392</f>
        <v>3</v>
      </c>
      <c r="C1399" s="292">
        <f>C1392</f>
        <v>5</v>
      </c>
      <c r="D1399" s="292">
        <f>D1392</f>
        <v>4</v>
      </c>
      <c r="E1399" s="293">
        <f>E1392</f>
        <v>5</v>
      </c>
      <c r="F1399" s="77">
        <f t="shared" ref="F1399" si="1402">SUM(B1399:E1399)</f>
        <v>17</v>
      </c>
      <c r="G1399" s="292">
        <f>G1392</f>
        <v>3</v>
      </c>
      <c r="H1399" s="292">
        <f>H1392</f>
        <v>4</v>
      </c>
      <c r="I1399" s="292">
        <f>I1392</f>
        <v>4</v>
      </c>
      <c r="J1399" s="293">
        <f>J1392</f>
        <v>3</v>
      </c>
      <c r="K1399" s="77">
        <f t="shared" ref="K1399:K1400" si="1403">SUM(G1399:J1399)</f>
        <v>14</v>
      </c>
      <c r="L1399" s="292">
        <f>L1392</f>
        <v>3</v>
      </c>
      <c r="M1399" s="292">
        <f>M1392</f>
        <v>3</v>
      </c>
      <c r="N1399" s="292">
        <f>N1392</f>
        <v>3</v>
      </c>
      <c r="O1399" s="293">
        <f>O1392</f>
        <v>5</v>
      </c>
      <c r="P1399" s="77">
        <f t="shared" ref="P1399:P1400" si="1404">SUM(L1399:O1399)</f>
        <v>14</v>
      </c>
      <c r="Q1399" s="324">
        <f>Q1392</f>
        <v>5</v>
      </c>
      <c r="R1399" s="292">
        <f>R1392</f>
        <v>2</v>
      </c>
      <c r="S1399" s="292">
        <f>S1392</f>
        <v>6</v>
      </c>
      <c r="T1399" s="293">
        <f>T1392</f>
        <v>4</v>
      </c>
      <c r="U1399" s="77">
        <f t="shared" ref="U1399:U1400" si="1405">SUM(Q1399:T1399)</f>
        <v>17</v>
      </c>
      <c r="V1399" s="324">
        <f>V1392</f>
        <v>6</v>
      </c>
      <c r="W1399" s="292">
        <f>W1392</f>
        <v>6</v>
      </c>
      <c r="X1399" s="292">
        <f>X1392</f>
        <v>6</v>
      </c>
      <c r="Y1399" s="293">
        <f>Y1392</f>
        <v>5</v>
      </c>
      <c r="Z1399" s="77">
        <f t="shared" ref="Z1399:Z1400" si="1406">SUM(V1399:Y1399)</f>
        <v>23</v>
      </c>
      <c r="AA1399" s="77">
        <f>F1399+K1399+P1399+U1399+Z1399</f>
        <v>85</v>
      </c>
      <c r="AC1399" s="294" t="s">
        <v>30</v>
      </c>
      <c r="AD1399" s="292">
        <f>AD1392</f>
        <v>70</v>
      </c>
      <c r="AE1399" s="292">
        <f>AE1392</f>
        <v>59</v>
      </c>
      <c r="AF1399" s="292">
        <f>AF1392</f>
        <v>119</v>
      </c>
      <c r="AG1399" s="293">
        <f>AG1392</f>
        <v>45</v>
      </c>
      <c r="AH1399" s="77">
        <f>SUM(AD1399:AG1399)</f>
        <v>293</v>
      </c>
      <c r="AI1399" s="292">
        <f>AI1392</f>
        <v>69</v>
      </c>
      <c r="AJ1399" s="292">
        <f>AJ1392</f>
        <v>119</v>
      </c>
      <c r="AK1399" s="292">
        <f>AK1392</f>
        <v>83</v>
      </c>
      <c r="AL1399" s="293">
        <f>AL1392</f>
        <v>72</v>
      </c>
      <c r="AM1399" s="77">
        <f>SUM(AI1399:AL1399)</f>
        <v>343</v>
      </c>
      <c r="AN1399" s="292">
        <f>AN1392</f>
        <v>29</v>
      </c>
      <c r="AO1399" s="292">
        <f>AO1392</f>
        <v>38</v>
      </c>
      <c r="AP1399" s="292">
        <f>AP1392</f>
        <v>34</v>
      </c>
      <c r="AQ1399" s="293">
        <f>AQ1392</f>
        <v>11</v>
      </c>
      <c r="AR1399" s="77">
        <f>SUM(AN1399:AQ1399)</f>
        <v>112</v>
      </c>
      <c r="AS1399" s="324">
        <f>AS1392</f>
        <v>128</v>
      </c>
      <c r="AT1399" s="292">
        <f>AT1392</f>
        <v>144</v>
      </c>
      <c r="AU1399" s="292">
        <f>AU1392</f>
        <v>74</v>
      </c>
      <c r="AV1399" s="293">
        <f>AV1392</f>
        <v>47</v>
      </c>
      <c r="AW1399" s="77">
        <f>SUM(AS1399:AV1399)</f>
        <v>393</v>
      </c>
      <c r="AX1399" s="324">
        <f>AX1392</f>
        <v>101</v>
      </c>
      <c r="AY1399" s="292">
        <f>AY1392</f>
        <v>78</v>
      </c>
      <c r="AZ1399" s="292">
        <f>AZ1392</f>
        <v>41</v>
      </c>
      <c r="BA1399" s="293">
        <f>BA1392</f>
        <v>24</v>
      </c>
      <c r="BB1399" s="77">
        <f>SUM(AX1399:BA1399)</f>
        <v>244</v>
      </c>
      <c r="BC1399" s="77">
        <f>AH1399+AM1399+AR1399+AW1399+BB1399</f>
        <v>1385</v>
      </c>
      <c r="BE1399" s="294" t="s">
        <v>30</v>
      </c>
      <c r="BF1399" s="40">
        <f>BF1392</f>
        <v>0</v>
      </c>
      <c r="BG1399" s="41">
        <f t="shared" ref="BG1399:BJ1399" si="1407">BG1392</f>
        <v>0</v>
      </c>
      <c r="BH1399" s="41">
        <f t="shared" si="1407"/>
        <v>10</v>
      </c>
      <c r="BI1399" s="42">
        <f t="shared" si="1407"/>
        <v>0</v>
      </c>
      <c r="BJ1399" s="171">
        <f t="shared" si="1407"/>
        <v>10</v>
      </c>
    </row>
    <row r="1400" spans="1:63" x14ac:dyDescent="0.15">
      <c r="A1400" s="268" t="s">
        <v>28</v>
      </c>
      <c r="B1400" s="54"/>
      <c r="C1400" s="55"/>
      <c r="D1400" s="55"/>
      <c r="E1400" s="55"/>
      <c r="F1400" s="56">
        <f t="shared" ref="F1400" si="1408">SUM(B1400:E1400)</f>
        <v>0</v>
      </c>
      <c r="G1400" s="54">
        <v>2</v>
      </c>
      <c r="H1400" s="55"/>
      <c r="I1400" s="55"/>
      <c r="J1400" s="55">
        <v>2</v>
      </c>
      <c r="K1400" s="56">
        <f t="shared" si="1403"/>
        <v>4</v>
      </c>
      <c r="L1400" s="54"/>
      <c r="M1400" s="55"/>
      <c r="N1400" s="55"/>
      <c r="O1400" s="55"/>
      <c r="P1400" s="56">
        <f t="shared" si="1404"/>
        <v>0</v>
      </c>
      <c r="Q1400" s="54"/>
      <c r="R1400" s="55">
        <v>2</v>
      </c>
      <c r="S1400" s="55"/>
      <c r="T1400" s="55"/>
      <c r="U1400" s="56">
        <f t="shared" si="1405"/>
        <v>2</v>
      </c>
      <c r="V1400" s="55"/>
      <c r="W1400" s="55"/>
      <c r="X1400" s="55"/>
      <c r="Y1400" s="55"/>
      <c r="Z1400" s="56">
        <f t="shared" si="1406"/>
        <v>0</v>
      </c>
      <c r="AA1400" s="56">
        <f t="shared" ref="AA1400:AA1406" si="1409">F1400+K1400+P1400+U1400+Z1400</f>
        <v>6</v>
      </c>
      <c r="AB1400" s="298">
        <v>45857</v>
      </c>
      <c r="AC1400" s="268" t="s">
        <v>28</v>
      </c>
      <c r="AD1400" s="55"/>
      <c r="AE1400" s="153"/>
      <c r="AF1400" s="153"/>
      <c r="AG1400" s="168"/>
      <c r="AH1400" s="56">
        <f t="shared" ref="AH1400:AH1430" si="1410">SUM(AD1400:AG1400)</f>
        <v>0</v>
      </c>
      <c r="AI1400" s="55"/>
      <c r="AJ1400" s="153"/>
      <c r="AK1400" s="153"/>
      <c r="AL1400" s="168"/>
      <c r="AM1400" s="56">
        <f t="shared" ref="AM1400:AM1430" si="1411">SUM(AI1400:AL1400)</f>
        <v>0</v>
      </c>
      <c r="AN1400" s="55"/>
      <c r="AO1400" s="153"/>
      <c r="AP1400" s="153"/>
      <c r="AQ1400" s="168"/>
      <c r="AR1400" s="56">
        <f t="shared" ref="AR1400:AR1435" si="1412">SUM(AN1400:AQ1400)</f>
        <v>0</v>
      </c>
      <c r="AS1400" s="54"/>
      <c r="AT1400" s="153"/>
      <c r="AU1400" s="153"/>
      <c r="AV1400" s="168"/>
      <c r="AW1400" s="56">
        <f t="shared" ref="AW1400:AW1435" si="1413">SUM(AS1400:AV1400)</f>
        <v>0</v>
      </c>
      <c r="AX1400" s="55"/>
      <c r="AY1400" s="153"/>
      <c r="AZ1400" s="153"/>
      <c r="BA1400" s="168"/>
      <c r="BB1400" s="49">
        <f t="shared" ref="BB1400:BB1434" si="1414">SUM(AX1400:BA1400)</f>
        <v>0</v>
      </c>
      <c r="BC1400" s="49">
        <f t="shared" ref="BC1400:BC1406" si="1415">AH1400+AM1400+AR1400+AW1400+BB1400</f>
        <v>0</v>
      </c>
      <c r="BE1400" s="268" t="s">
        <v>436</v>
      </c>
      <c r="BF1400" s="55">
        <v>0</v>
      </c>
      <c r="BG1400" s="153">
        <v>0</v>
      </c>
      <c r="BH1400" s="153">
        <v>0</v>
      </c>
      <c r="BI1400" s="168">
        <v>0</v>
      </c>
      <c r="BJ1400" s="56">
        <f t="shared" ref="BJ1400:BJ1435" si="1416">SUM(BF1400:BI1400)</f>
        <v>0</v>
      </c>
      <c r="BK1400" s="304">
        <v>45878</v>
      </c>
    </row>
    <row r="1401" spans="1:63" x14ac:dyDescent="0.15">
      <c r="A1401" s="268" t="s">
        <v>28</v>
      </c>
      <c r="B1401" s="54"/>
      <c r="C1401" s="55"/>
      <c r="D1401" s="55"/>
      <c r="E1401" s="55"/>
      <c r="F1401" s="56">
        <f t="shared" ref="F1401:F1435" si="1417">SUM(B1401:E1401)</f>
        <v>0</v>
      </c>
      <c r="G1401" s="54"/>
      <c r="H1401" s="55">
        <v>2</v>
      </c>
      <c r="I1401" s="55"/>
      <c r="J1401" s="55"/>
      <c r="K1401" s="56">
        <f t="shared" ref="K1401:K1418" si="1418">SUM(G1401:J1401)</f>
        <v>2</v>
      </c>
      <c r="L1401" s="54"/>
      <c r="M1401" s="55">
        <v>2</v>
      </c>
      <c r="N1401" s="55"/>
      <c r="O1401" s="55"/>
      <c r="P1401" s="56">
        <f t="shared" ref="P1401:P1418" si="1419">SUM(L1401:O1401)</f>
        <v>2</v>
      </c>
      <c r="Q1401" s="54"/>
      <c r="R1401" s="55"/>
      <c r="S1401" s="55"/>
      <c r="T1401" s="55"/>
      <c r="U1401" s="56">
        <f t="shared" ref="U1401:U1418" si="1420">SUM(Q1401:T1401)</f>
        <v>0</v>
      </c>
      <c r="V1401" s="55"/>
      <c r="W1401" s="55"/>
      <c r="X1401" s="55"/>
      <c r="Y1401" s="55"/>
      <c r="Z1401" s="56">
        <f t="shared" ref="Z1401:Z1418" si="1421">SUM(V1401:Y1401)</f>
        <v>0</v>
      </c>
      <c r="AA1401" s="56">
        <f t="shared" si="1409"/>
        <v>4</v>
      </c>
      <c r="AB1401" s="298">
        <v>45862</v>
      </c>
      <c r="AC1401" s="268" t="s">
        <v>691</v>
      </c>
      <c r="AD1401" s="54"/>
      <c r="AE1401" s="55"/>
      <c r="AF1401" s="55"/>
      <c r="AG1401" s="55"/>
      <c r="AH1401" s="56">
        <f t="shared" si="1410"/>
        <v>0</v>
      </c>
      <c r="AI1401" s="54"/>
      <c r="AJ1401" s="55">
        <v>1</v>
      </c>
      <c r="AK1401" s="55"/>
      <c r="AL1401" s="55">
        <v>2</v>
      </c>
      <c r="AM1401" s="56">
        <f t="shared" si="1411"/>
        <v>3</v>
      </c>
      <c r="AN1401" s="54"/>
      <c r="AO1401" s="55"/>
      <c r="AP1401" s="55">
        <v>2</v>
      </c>
      <c r="AQ1401" s="55">
        <v>3</v>
      </c>
      <c r="AR1401" s="56">
        <f t="shared" si="1412"/>
        <v>5</v>
      </c>
      <c r="AS1401" s="54"/>
      <c r="AT1401" s="55"/>
      <c r="AU1401" s="55"/>
      <c r="AV1401" s="55"/>
      <c r="AW1401" s="56">
        <f t="shared" si="1413"/>
        <v>0</v>
      </c>
      <c r="AX1401" s="55"/>
      <c r="AY1401" s="55"/>
      <c r="AZ1401" s="55"/>
      <c r="BA1401" s="55"/>
      <c r="BB1401" s="56">
        <f t="shared" si="1414"/>
        <v>0</v>
      </c>
      <c r="BC1401" s="56">
        <f t="shared" si="1415"/>
        <v>8</v>
      </c>
      <c r="BD1401" s="298">
        <v>45906</v>
      </c>
      <c r="BE1401" s="268" t="s">
        <v>28</v>
      </c>
      <c r="BF1401" s="55"/>
      <c r="BG1401" s="153"/>
      <c r="BH1401" s="153"/>
      <c r="BI1401" s="168"/>
      <c r="BJ1401" s="56">
        <f t="shared" si="1416"/>
        <v>0</v>
      </c>
    </row>
    <row r="1402" spans="1:63" x14ac:dyDescent="0.15">
      <c r="A1402" s="268" t="s">
        <v>28</v>
      </c>
      <c r="B1402" s="54"/>
      <c r="C1402" s="55"/>
      <c r="D1402" s="55"/>
      <c r="E1402" s="55"/>
      <c r="F1402" s="56">
        <f t="shared" si="1417"/>
        <v>0</v>
      </c>
      <c r="G1402" s="54"/>
      <c r="H1402" s="55"/>
      <c r="I1402" s="55">
        <v>3</v>
      </c>
      <c r="J1402" s="55"/>
      <c r="K1402" s="56">
        <f t="shared" si="1418"/>
        <v>3</v>
      </c>
      <c r="L1402" s="54"/>
      <c r="M1402" s="55"/>
      <c r="N1402" s="55"/>
      <c r="O1402" s="55"/>
      <c r="P1402" s="56">
        <f t="shared" si="1419"/>
        <v>0</v>
      </c>
      <c r="Q1402" s="54"/>
      <c r="R1402" s="55"/>
      <c r="S1402" s="55"/>
      <c r="T1402" s="55"/>
      <c r="U1402" s="56">
        <f t="shared" si="1420"/>
        <v>0</v>
      </c>
      <c r="V1402" s="55"/>
      <c r="W1402" s="55"/>
      <c r="X1402" s="55"/>
      <c r="Y1402" s="55"/>
      <c r="Z1402" s="56">
        <f t="shared" si="1421"/>
        <v>0</v>
      </c>
      <c r="AA1402" s="56">
        <f t="shared" si="1409"/>
        <v>3</v>
      </c>
      <c r="AB1402" s="298">
        <v>45869</v>
      </c>
      <c r="AC1402" s="268" t="s">
        <v>28</v>
      </c>
      <c r="AD1402" s="55"/>
      <c r="AE1402" s="153"/>
      <c r="AF1402" s="153"/>
      <c r="AG1402" s="168"/>
      <c r="AH1402" s="56">
        <f t="shared" si="1410"/>
        <v>0</v>
      </c>
      <c r="AI1402" s="55"/>
      <c r="AJ1402" s="153"/>
      <c r="AK1402" s="153"/>
      <c r="AL1402" s="168"/>
      <c r="AM1402" s="56">
        <f t="shared" si="1411"/>
        <v>0</v>
      </c>
      <c r="AN1402" s="55"/>
      <c r="AO1402" s="153"/>
      <c r="AP1402" s="153"/>
      <c r="AQ1402" s="168"/>
      <c r="AR1402" s="56">
        <f t="shared" si="1412"/>
        <v>0</v>
      </c>
      <c r="AS1402" s="54"/>
      <c r="AT1402" s="153"/>
      <c r="AU1402" s="153"/>
      <c r="AV1402" s="168"/>
      <c r="AW1402" s="56">
        <f t="shared" si="1413"/>
        <v>0</v>
      </c>
      <c r="AX1402" s="55"/>
      <c r="AY1402" s="153"/>
      <c r="AZ1402" s="153"/>
      <c r="BA1402" s="168"/>
      <c r="BB1402" s="49">
        <f t="shared" si="1414"/>
        <v>0</v>
      </c>
      <c r="BC1402" s="49">
        <f t="shared" si="1415"/>
        <v>0</v>
      </c>
      <c r="BE1402" s="268" t="s">
        <v>28</v>
      </c>
      <c r="BF1402" s="55"/>
      <c r="BG1402" s="153"/>
      <c r="BH1402" s="153"/>
      <c r="BI1402" s="168"/>
      <c r="BJ1402" s="56">
        <f t="shared" si="1416"/>
        <v>0</v>
      </c>
    </row>
    <row r="1403" spans="1:63" x14ac:dyDescent="0.15">
      <c r="A1403" s="268" t="s">
        <v>28</v>
      </c>
      <c r="B1403" s="54"/>
      <c r="C1403" s="55"/>
      <c r="D1403" s="55"/>
      <c r="E1403" s="55"/>
      <c r="F1403" s="56">
        <f t="shared" si="1417"/>
        <v>0</v>
      </c>
      <c r="G1403" s="54">
        <v>2</v>
      </c>
      <c r="H1403" s="55"/>
      <c r="I1403" s="55"/>
      <c r="J1403" s="55"/>
      <c r="K1403" s="56">
        <f t="shared" si="1418"/>
        <v>2</v>
      </c>
      <c r="L1403" s="54"/>
      <c r="M1403" s="55"/>
      <c r="N1403" s="55">
        <v>2</v>
      </c>
      <c r="O1403" s="55"/>
      <c r="P1403" s="56">
        <f t="shared" si="1419"/>
        <v>2</v>
      </c>
      <c r="Q1403" s="54"/>
      <c r="R1403" s="55"/>
      <c r="S1403" s="55"/>
      <c r="T1403" s="55"/>
      <c r="U1403" s="56">
        <f t="shared" si="1420"/>
        <v>0</v>
      </c>
      <c r="V1403" s="55"/>
      <c r="W1403" s="55"/>
      <c r="X1403" s="55"/>
      <c r="Y1403" s="55"/>
      <c r="Z1403" s="56">
        <f t="shared" si="1421"/>
        <v>0</v>
      </c>
      <c r="AA1403" s="56">
        <f t="shared" si="1409"/>
        <v>4</v>
      </c>
      <c r="AB1403" s="298">
        <v>45877</v>
      </c>
      <c r="AC1403" s="268" t="s">
        <v>554</v>
      </c>
      <c r="AD1403" s="55">
        <v>1</v>
      </c>
      <c r="AE1403" s="153">
        <v>2</v>
      </c>
      <c r="AF1403" s="153">
        <v>3</v>
      </c>
      <c r="AG1403" s="168"/>
      <c r="AH1403" s="56">
        <f t="shared" si="1410"/>
        <v>6</v>
      </c>
      <c r="AI1403" s="55"/>
      <c r="AJ1403" s="153"/>
      <c r="AK1403" s="153"/>
      <c r="AL1403" s="168"/>
      <c r="AM1403" s="56">
        <f t="shared" si="1411"/>
        <v>0</v>
      </c>
      <c r="AN1403" s="55">
        <v>1</v>
      </c>
      <c r="AO1403" s="153"/>
      <c r="AP1403" s="153">
        <v>1</v>
      </c>
      <c r="AQ1403" s="168"/>
      <c r="AR1403" s="56">
        <f t="shared" si="1412"/>
        <v>2</v>
      </c>
      <c r="AS1403" s="54"/>
      <c r="AT1403" s="153"/>
      <c r="AU1403" s="153"/>
      <c r="AV1403" s="168"/>
      <c r="AW1403" s="56">
        <f t="shared" si="1413"/>
        <v>0</v>
      </c>
      <c r="AX1403" s="55"/>
      <c r="AY1403" s="153"/>
      <c r="AZ1403" s="153"/>
      <c r="BA1403" s="168"/>
      <c r="BB1403" s="49">
        <f t="shared" si="1414"/>
        <v>0</v>
      </c>
      <c r="BC1403" s="49">
        <f t="shared" si="1415"/>
        <v>8</v>
      </c>
      <c r="BD1403" s="298">
        <v>45947</v>
      </c>
      <c r="BE1403" s="268" t="s">
        <v>28</v>
      </c>
      <c r="BF1403" s="55"/>
      <c r="BG1403" s="153"/>
      <c r="BH1403" s="153"/>
      <c r="BI1403" s="168"/>
      <c r="BJ1403" s="56">
        <f t="shared" si="1416"/>
        <v>0</v>
      </c>
    </row>
    <row r="1404" spans="1:63" x14ac:dyDescent="0.15">
      <c r="A1404" s="268" t="s">
        <v>436</v>
      </c>
      <c r="B1404" s="54">
        <v>0</v>
      </c>
      <c r="C1404" s="55">
        <v>0</v>
      </c>
      <c r="D1404" s="55">
        <v>0</v>
      </c>
      <c r="E1404" s="55">
        <v>0</v>
      </c>
      <c r="F1404" s="56">
        <f t="shared" si="1417"/>
        <v>0</v>
      </c>
      <c r="G1404" s="54">
        <v>0</v>
      </c>
      <c r="H1404" s="55">
        <v>0</v>
      </c>
      <c r="I1404" s="55">
        <v>0</v>
      </c>
      <c r="J1404" s="55">
        <v>0</v>
      </c>
      <c r="K1404" s="56">
        <f t="shared" si="1418"/>
        <v>0</v>
      </c>
      <c r="L1404" s="54">
        <v>0</v>
      </c>
      <c r="M1404" s="55">
        <v>0</v>
      </c>
      <c r="N1404" s="55">
        <v>0</v>
      </c>
      <c r="O1404" s="55">
        <v>0</v>
      </c>
      <c r="P1404" s="56">
        <f t="shared" si="1419"/>
        <v>0</v>
      </c>
      <c r="Q1404" s="54">
        <v>0</v>
      </c>
      <c r="R1404" s="55">
        <v>0</v>
      </c>
      <c r="S1404" s="55">
        <v>0</v>
      </c>
      <c r="T1404" s="55">
        <v>0</v>
      </c>
      <c r="U1404" s="56">
        <f t="shared" si="1420"/>
        <v>0</v>
      </c>
      <c r="V1404" s="55">
        <v>0</v>
      </c>
      <c r="W1404" s="55">
        <v>0</v>
      </c>
      <c r="X1404" s="55">
        <v>0</v>
      </c>
      <c r="Y1404" s="55">
        <v>0</v>
      </c>
      <c r="Z1404" s="56">
        <f t="shared" si="1421"/>
        <v>0</v>
      </c>
      <c r="AA1404" s="56">
        <f t="shared" si="1409"/>
        <v>0</v>
      </c>
      <c r="AB1404" s="298">
        <v>45878</v>
      </c>
      <c r="AC1404" s="268" t="s">
        <v>28</v>
      </c>
      <c r="AD1404" s="55"/>
      <c r="AE1404" s="153"/>
      <c r="AF1404" s="153"/>
      <c r="AG1404" s="168"/>
      <c r="AH1404" s="56">
        <f t="shared" si="1410"/>
        <v>0</v>
      </c>
      <c r="AI1404" s="55"/>
      <c r="AJ1404" s="153"/>
      <c r="AK1404" s="153"/>
      <c r="AL1404" s="168"/>
      <c r="AM1404" s="56">
        <f t="shared" si="1411"/>
        <v>0</v>
      </c>
      <c r="AN1404" s="55"/>
      <c r="AO1404" s="153"/>
      <c r="AP1404" s="153"/>
      <c r="AQ1404" s="168"/>
      <c r="AR1404" s="56">
        <f t="shared" si="1412"/>
        <v>0</v>
      </c>
      <c r="AS1404" s="54"/>
      <c r="AT1404" s="153"/>
      <c r="AU1404" s="153"/>
      <c r="AV1404" s="168"/>
      <c r="AW1404" s="56">
        <f t="shared" si="1413"/>
        <v>0</v>
      </c>
      <c r="AX1404" s="55"/>
      <c r="AY1404" s="153"/>
      <c r="AZ1404" s="153"/>
      <c r="BA1404" s="168"/>
      <c r="BB1404" s="49">
        <f t="shared" si="1414"/>
        <v>0</v>
      </c>
      <c r="BC1404" s="49">
        <f t="shared" si="1415"/>
        <v>0</v>
      </c>
      <c r="BD1404" s="300"/>
      <c r="BE1404" s="268" t="s">
        <v>28</v>
      </c>
      <c r="BF1404" s="55"/>
      <c r="BG1404" s="153"/>
      <c r="BH1404" s="153"/>
      <c r="BI1404" s="168"/>
      <c r="BJ1404" s="56">
        <f t="shared" si="1416"/>
        <v>0</v>
      </c>
    </row>
    <row r="1405" spans="1:63" x14ac:dyDescent="0.15">
      <c r="A1405" s="268" t="s">
        <v>29</v>
      </c>
      <c r="B1405" s="54"/>
      <c r="C1405" s="55"/>
      <c r="D1405" s="55"/>
      <c r="E1405" s="55"/>
      <c r="F1405" s="56">
        <f t="shared" si="1417"/>
        <v>0</v>
      </c>
      <c r="G1405" s="54">
        <v>1</v>
      </c>
      <c r="H1405" s="55">
        <v>1</v>
      </c>
      <c r="I1405" s="55"/>
      <c r="J1405" s="55"/>
      <c r="K1405" s="56">
        <f t="shared" si="1418"/>
        <v>2</v>
      </c>
      <c r="L1405" s="54"/>
      <c r="M1405" s="55"/>
      <c r="N1405" s="55"/>
      <c r="O1405" s="55"/>
      <c r="P1405" s="56">
        <f t="shared" si="1419"/>
        <v>0</v>
      </c>
      <c r="Q1405" s="54"/>
      <c r="R1405" s="55"/>
      <c r="S1405" s="55"/>
      <c r="T1405" s="55"/>
      <c r="U1405" s="56">
        <f t="shared" si="1420"/>
        <v>0</v>
      </c>
      <c r="V1405" s="55"/>
      <c r="W1405" s="55"/>
      <c r="X1405" s="55"/>
      <c r="Y1405" s="55"/>
      <c r="Z1405" s="56">
        <f t="shared" si="1421"/>
        <v>0</v>
      </c>
      <c r="AA1405" s="56">
        <f t="shared" si="1409"/>
        <v>2</v>
      </c>
      <c r="AB1405" s="298">
        <v>45894</v>
      </c>
      <c r="AC1405" s="268" t="s">
        <v>691</v>
      </c>
      <c r="AD1405" s="54">
        <v>1</v>
      </c>
      <c r="AE1405" s="55">
        <v>1</v>
      </c>
      <c r="AF1405" s="55">
        <v>1</v>
      </c>
      <c r="AG1405" s="55">
        <v>1</v>
      </c>
      <c r="AH1405" s="56">
        <f t="shared" si="1410"/>
        <v>4</v>
      </c>
      <c r="AI1405" s="54">
        <v>1</v>
      </c>
      <c r="AJ1405" s="55">
        <v>2</v>
      </c>
      <c r="AK1405" s="55">
        <v>2</v>
      </c>
      <c r="AL1405" s="55"/>
      <c r="AM1405" s="56">
        <f t="shared" si="1411"/>
        <v>5</v>
      </c>
      <c r="AN1405" s="54">
        <v>1</v>
      </c>
      <c r="AO1405" s="55"/>
      <c r="AP1405" s="55"/>
      <c r="AQ1405" s="55"/>
      <c r="AR1405" s="56">
        <f t="shared" si="1412"/>
        <v>1</v>
      </c>
      <c r="AS1405" s="54">
        <v>3</v>
      </c>
      <c r="AT1405" s="55">
        <v>2</v>
      </c>
      <c r="AU1405" s="55">
        <v>1</v>
      </c>
      <c r="AV1405" s="55"/>
      <c r="AW1405" s="56">
        <f t="shared" si="1413"/>
        <v>6</v>
      </c>
      <c r="AX1405" s="55">
        <v>4</v>
      </c>
      <c r="AY1405" s="55">
        <v>1</v>
      </c>
      <c r="AZ1405" s="55">
        <v>1</v>
      </c>
      <c r="BA1405" s="55">
        <v>3</v>
      </c>
      <c r="BB1405" s="56">
        <f t="shared" si="1414"/>
        <v>9</v>
      </c>
      <c r="BC1405" s="56">
        <f t="shared" si="1415"/>
        <v>25</v>
      </c>
      <c r="BD1405" s="298">
        <v>45962</v>
      </c>
      <c r="BE1405" s="268" t="s">
        <v>28</v>
      </c>
      <c r="BF1405" s="55"/>
      <c r="BG1405" s="153"/>
      <c r="BH1405" s="153"/>
      <c r="BI1405" s="168"/>
      <c r="BJ1405" s="56">
        <f t="shared" si="1416"/>
        <v>0</v>
      </c>
    </row>
    <row r="1406" spans="1:63" ht="14.25" thickBot="1" x14ac:dyDescent="0.2">
      <c r="A1406" s="268" t="s">
        <v>28</v>
      </c>
      <c r="B1406" s="54"/>
      <c r="C1406" s="55"/>
      <c r="D1406" s="55"/>
      <c r="E1406" s="55">
        <v>3</v>
      </c>
      <c r="F1406" s="56">
        <f t="shared" si="1417"/>
        <v>3</v>
      </c>
      <c r="G1406" s="54"/>
      <c r="H1406" s="55"/>
      <c r="I1406" s="55"/>
      <c r="J1406" s="55"/>
      <c r="K1406" s="56">
        <f t="shared" si="1418"/>
        <v>0</v>
      </c>
      <c r="L1406" s="54"/>
      <c r="M1406" s="55"/>
      <c r="N1406" s="55"/>
      <c r="O1406" s="55"/>
      <c r="P1406" s="56">
        <f t="shared" si="1419"/>
        <v>0</v>
      </c>
      <c r="Q1406" s="54"/>
      <c r="R1406" s="55"/>
      <c r="S1406" s="55"/>
      <c r="T1406" s="55"/>
      <c r="U1406" s="56">
        <f t="shared" si="1420"/>
        <v>0</v>
      </c>
      <c r="V1406" s="55"/>
      <c r="W1406" s="55"/>
      <c r="X1406" s="55"/>
      <c r="Y1406" s="55"/>
      <c r="Z1406" s="56">
        <f t="shared" si="1421"/>
        <v>0</v>
      </c>
      <c r="AA1406" s="56">
        <f t="shared" si="1409"/>
        <v>3</v>
      </c>
      <c r="AB1406" s="298">
        <v>45917</v>
      </c>
      <c r="AC1406" s="268" t="s">
        <v>28</v>
      </c>
      <c r="AD1406" s="63"/>
      <c r="AE1406" s="164"/>
      <c r="AF1406" s="164"/>
      <c r="AG1406" s="169"/>
      <c r="AH1406" s="170">
        <f t="shared" si="1410"/>
        <v>0</v>
      </c>
      <c r="AI1406" s="63"/>
      <c r="AJ1406" s="164"/>
      <c r="AK1406" s="164"/>
      <c r="AL1406" s="169"/>
      <c r="AM1406" s="170">
        <f t="shared" si="1411"/>
        <v>0</v>
      </c>
      <c r="AN1406" s="63"/>
      <c r="AO1406" s="164"/>
      <c r="AP1406" s="164"/>
      <c r="AQ1406" s="169"/>
      <c r="AR1406" s="170">
        <f t="shared" si="1412"/>
        <v>0</v>
      </c>
      <c r="AS1406" s="62"/>
      <c r="AT1406" s="164"/>
      <c r="AU1406" s="164"/>
      <c r="AV1406" s="169"/>
      <c r="AW1406" s="170">
        <f t="shared" si="1413"/>
        <v>0</v>
      </c>
      <c r="AX1406" s="63"/>
      <c r="AY1406" s="164"/>
      <c r="AZ1406" s="164"/>
      <c r="BA1406" s="169"/>
      <c r="BB1406" s="170">
        <f t="shared" si="1414"/>
        <v>0</v>
      </c>
      <c r="BC1406" s="49">
        <f t="shared" si="1415"/>
        <v>0</v>
      </c>
      <c r="BE1406" s="274" t="s">
        <v>28</v>
      </c>
      <c r="BF1406" s="63"/>
      <c r="BG1406" s="164"/>
      <c r="BH1406" s="164"/>
      <c r="BI1406" s="169"/>
      <c r="BJ1406" s="170">
        <f t="shared" si="1416"/>
        <v>0</v>
      </c>
    </row>
    <row r="1407" spans="1:63" ht="15" thickBot="1" x14ac:dyDescent="0.2">
      <c r="A1407" s="181" t="s">
        <v>14</v>
      </c>
      <c r="B1407" s="182">
        <f>SUM(B1399:B1406)</f>
        <v>3</v>
      </c>
      <c r="C1407" s="183">
        <f>SUM(C1399:C1406)</f>
        <v>5</v>
      </c>
      <c r="D1407" s="183">
        <f>SUM(D1399:D1406)</f>
        <v>4</v>
      </c>
      <c r="E1407" s="184">
        <f>SUM(E1399:E1406)</f>
        <v>8</v>
      </c>
      <c r="F1407" s="77">
        <f t="shared" si="1417"/>
        <v>20</v>
      </c>
      <c r="G1407" s="182">
        <f>SUM(G1399:G1406)</f>
        <v>8</v>
      </c>
      <c r="H1407" s="183">
        <f>SUM(H1399:H1406)</f>
        <v>7</v>
      </c>
      <c r="I1407" s="183">
        <f>SUM(I1399:I1406)</f>
        <v>7</v>
      </c>
      <c r="J1407" s="184">
        <f>SUM(J1399:J1406)</f>
        <v>5</v>
      </c>
      <c r="K1407" s="77">
        <f t="shared" si="1418"/>
        <v>27</v>
      </c>
      <c r="L1407" s="182">
        <f>SUM(L1399:L1406)</f>
        <v>3</v>
      </c>
      <c r="M1407" s="183">
        <f>SUM(M1399:M1406)</f>
        <v>5</v>
      </c>
      <c r="N1407" s="183">
        <f>SUM(N1399:N1406)</f>
        <v>5</v>
      </c>
      <c r="O1407" s="184">
        <f>SUM(O1399:O1406)</f>
        <v>5</v>
      </c>
      <c r="P1407" s="77">
        <f t="shared" si="1419"/>
        <v>18</v>
      </c>
      <c r="Q1407" s="182">
        <f>SUM(Q1399:Q1406)</f>
        <v>5</v>
      </c>
      <c r="R1407" s="183">
        <f>SUM(R1399:R1406)</f>
        <v>4</v>
      </c>
      <c r="S1407" s="183">
        <f>SUM(S1399:S1406)</f>
        <v>6</v>
      </c>
      <c r="T1407" s="184">
        <f>SUM(T1399:T1406)</f>
        <v>4</v>
      </c>
      <c r="U1407" s="77">
        <f t="shared" si="1420"/>
        <v>19</v>
      </c>
      <c r="V1407" s="293">
        <f>SUM(V1399:V1406)</f>
        <v>6</v>
      </c>
      <c r="W1407" s="183">
        <f>SUM(W1399:W1406)</f>
        <v>6</v>
      </c>
      <c r="X1407" s="183">
        <f>SUM(X1399:X1406)</f>
        <v>6</v>
      </c>
      <c r="Y1407" s="184">
        <f>SUM(Y1399:Y1406)</f>
        <v>5</v>
      </c>
      <c r="Z1407" s="77">
        <f t="shared" si="1421"/>
        <v>23</v>
      </c>
      <c r="AA1407" s="77">
        <f>F1407+K1407+P1407+U1407+Z1407</f>
        <v>107</v>
      </c>
      <c r="AC1407" s="275" t="s">
        <v>14</v>
      </c>
      <c r="AD1407" s="182">
        <f>SUM(AD1399:AD1406)</f>
        <v>72</v>
      </c>
      <c r="AE1407" s="183">
        <f>SUM(AE1399:AE1406)</f>
        <v>62</v>
      </c>
      <c r="AF1407" s="183">
        <f>SUM(AF1399:AF1406)</f>
        <v>123</v>
      </c>
      <c r="AG1407" s="184">
        <f>SUM(AG1399:AG1406)</f>
        <v>46</v>
      </c>
      <c r="AH1407" s="77">
        <f t="shared" si="1410"/>
        <v>303</v>
      </c>
      <c r="AI1407" s="182">
        <f>SUM(AI1399:AI1406)</f>
        <v>70</v>
      </c>
      <c r="AJ1407" s="183">
        <f>SUM(AJ1399:AJ1406)</f>
        <v>122</v>
      </c>
      <c r="AK1407" s="183">
        <f>SUM(AK1399:AK1406)</f>
        <v>85</v>
      </c>
      <c r="AL1407" s="184">
        <f>SUM(AL1399:AL1406)</f>
        <v>74</v>
      </c>
      <c r="AM1407" s="77">
        <f t="shared" si="1411"/>
        <v>351</v>
      </c>
      <c r="AN1407" s="182">
        <f>SUM(AN1399:AN1406)</f>
        <v>31</v>
      </c>
      <c r="AO1407" s="183">
        <f>SUM(AO1399:AO1406)</f>
        <v>38</v>
      </c>
      <c r="AP1407" s="183">
        <f>SUM(AP1399:AP1406)</f>
        <v>37</v>
      </c>
      <c r="AQ1407" s="184">
        <f>SUM(AQ1399:AQ1406)</f>
        <v>14</v>
      </c>
      <c r="AR1407" s="77">
        <f t="shared" si="1412"/>
        <v>120</v>
      </c>
      <c r="AS1407" s="182">
        <f>SUM(AS1399:AS1406)</f>
        <v>131</v>
      </c>
      <c r="AT1407" s="183">
        <f>SUM(AT1399:AT1406)</f>
        <v>146</v>
      </c>
      <c r="AU1407" s="183">
        <f>SUM(AU1399:AU1406)</f>
        <v>75</v>
      </c>
      <c r="AV1407" s="184">
        <f>SUM(AV1399:AV1406)</f>
        <v>47</v>
      </c>
      <c r="AW1407" s="77">
        <f t="shared" si="1413"/>
        <v>399</v>
      </c>
      <c r="AX1407" s="293">
        <f>SUM(AX1399:AX1406)</f>
        <v>105</v>
      </c>
      <c r="AY1407" s="183">
        <f>SUM(AY1399:AY1406)</f>
        <v>79</v>
      </c>
      <c r="AZ1407" s="183">
        <f>SUM(AZ1399:AZ1406)</f>
        <v>42</v>
      </c>
      <c r="BA1407" s="184">
        <f>SUM(BA1399:BA1406)</f>
        <v>27</v>
      </c>
      <c r="BB1407" s="77">
        <f t="shared" si="1414"/>
        <v>253</v>
      </c>
      <c r="BC1407" s="77">
        <f>AH1407+AM1407+AR1407+AW1407+BB1407</f>
        <v>1426</v>
      </c>
      <c r="BE1407" s="275" t="s">
        <v>14</v>
      </c>
      <c r="BF1407" s="182">
        <f>SUM(BF1399:BF1406)</f>
        <v>0</v>
      </c>
      <c r="BG1407" s="183">
        <f>SUM(BG1399:BG1406)</f>
        <v>0</v>
      </c>
      <c r="BH1407" s="183">
        <f>SUM(BH1399:BH1406)</f>
        <v>10</v>
      </c>
      <c r="BI1407" s="184">
        <f>SUM(BI1399:BI1406)</f>
        <v>0</v>
      </c>
      <c r="BJ1407" s="77">
        <f t="shared" si="1416"/>
        <v>10</v>
      </c>
    </row>
    <row r="1408" spans="1:63" x14ac:dyDescent="0.15">
      <c r="A1408" s="53" t="s">
        <v>679</v>
      </c>
      <c r="B1408" s="54"/>
      <c r="C1408" s="55"/>
      <c r="D1408" s="55"/>
      <c r="E1408" s="55"/>
      <c r="F1408" s="56">
        <f t="shared" ref="F1408:F1418" si="1422">SUM(B1408:E1408)</f>
        <v>0</v>
      </c>
      <c r="G1408" s="54"/>
      <c r="H1408" s="55"/>
      <c r="I1408" s="55"/>
      <c r="J1408" s="55"/>
      <c r="K1408" s="56">
        <f t="shared" si="1418"/>
        <v>0</v>
      </c>
      <c r="L1408" s="54"/>
      <c r="M1408" s="55"/>
      <c r="N1408" s="55"/>
      <c r="O1408" s="55"/>
      <c r="P1408" s="56">
        <f t="shared" si="1419"/>
        <v>0</v>
      </c>
      <c r="Q1408" s="54"/>
      <c r="R1408" s="55"/>
      <c r="S1408" s="55">
        <v>1</v>
      </c>
      <c r="T1408" s="55"/>
      <c r="U1408" s="56">
        <f t="shared" si="1420"/>
        <v>1</v>
      </c>
      <c r="V1408" s="55"/>
      <c r="W1408" s="55"/>
      <c r="X1408" s="55"/>
      <c r="Y1408" s="55"/>
      <c r="Z1408" s="56">
        <f t="shared" si="1421"/>
        <v>0</v>
      </c>
      <c r="AA1408" s="56">
        <f t="shared" ref="AA1408:AA1418" si="1423">F1408+K1408+P1408+U1408+Z1408</f>
        <v>1</v>
      </c>
      <c r="AB1408" s="298">
        <v>45857</v>
      </c>
      <c r="AC1408" s="276" t="s">
        <v>675</v>
      </c>
      <c r="AD1408" s="54"/>
      <c r="AE1408" s="55"/>
      <c r="AF1408" s="55"/>
      <c r="AG1408" s="55"/>
      <c r="AH1408" s="56">
        <f t="shared" ref="AH1408:AH1429" si="1424">SUM(AD1408:AG1408)</f>
        <v>0</v>
      </c>
      <c r="AI1408" s="54"/>
      <c r="AJ1408" s="55"/>
      <c r="AK1408" s="55"/>
      <c r="AL1408" s="55"/>
      <c r="AM1408" s="56">
        <f t="shared" ref="AM1408:AM1429" si="1425">SUM(AI1408:AL1408)</f>
        <v>0</v>
      </c>
      <c r="AN1408" s="54"/>
      <c r="AO1408" s="55"/>
      <c r="AP1408" s="55"/>
      <c r="AQ1408" s="55"/>
      <c r="AR1408" s="56">
        <f t="shared" ref="AR1408:AR1429" si="1426">SUM(AN1408:AQ1408)</f>
        <v>0</v>
      </c>
      <c r="AS1408" s="54"/>
      <c r="AT1408" s="55"/>
      <c r="AU1408" s="55">
        <v>2</v>
      </c>
      <c r="AV1408" s="55"/>
      <c r="AW1408" s="56">
        <f t="shared" ref="AW1408:AW1429" si="1427">SUM(AS1408:AV1408)</f>
        <v>2</v>
      </c>
      <c r="AX1408" s="55"/>
      <c r="AY1408" s="55"/>
      <c r="AZ1408" s="55"/>
      <c r="BA1408" s="55"/>
      <c r="BB1408" s="56">
        <f t="shared" ref="BB1408:BB1429" si="1428">SUM(AX1408:BA1408)</f>
        <v>0</v>
      </c>
      <c r="BC1408" s="56">
        <f t="shared" ref="BC1408:BC1429" si="1429">AH1408+AM1408+AR1408+AW1408+BB1408</f>
        <v>2</v>
      </c>
      <c r="BD1408" s="298">
        <v>45860</v>
      </c>
      <c r="BE1408" s="277" t="s">
        <v>680</v>
      </c>
      <c r="BF1408" s="54"/>
      <c r="BG1408" s="55"/>
      <c r="BH1408" s="55">
        <v>1</v>
      </c>
      <c r="BI1408" s="55"/>
      <c r="BJ1408" s="56">
        <f t="shared" si="1416"/>
        <v>1</v>
      </c>
      <c r="BK1408" s="304">
        <v>45863</v>
      </c>
    </row>
    <row r="1409" spans="1:63" x14ac:dyDescent="0.15">
      <c r="A1409" s="53" t="s">
        <v>98</v>
      </c>
      <c r="B1409" s="54"/>
      <c r="C1409" s="55"/>
      <c r="D1409" s="55">
        <v>1</v>
      </c>
      <c r="E1409" s="55">
        <v>1</v>
      </c>
      <c r="F1409" s="56">
        <f t="shared" si="1422"/>
        <v>2</v>
      </c>
      <c r="G1409" s="54"/>
      <c r="H1409" s="55">
        <v>1</v>
      </c>
      <c r="I1409" s="55"/>
      <c r="J1409" s="55"/>
      <c r="K1409" s="56">
        <f t="shared" si="1418"/>
        <v>1</v>
      </c>
      <c r="L1409" s="54"/>
      <c r="M1409" s="55">
        <v>1</v>
      </c>
      <c r="N1409" s="55"/>
      <c r="O1409" s="55"/>
      <c r="P1409" s="56">
        <f t="shared" si="1419"/>
        <v>1</v>
      </c>
      <c r="Q1409" s="54"/>
      <c r="R1409" s="55"/>
      <c r="S1409" s="55">
        <v>1</v>
      </c>
      <c r="T1409" s="55"/>
      <c r="U1409" s="56">
        <f t="shared" si="1420"/>
        <v>1</v>
      </c>
      <c r="V1409" s="55"/>
      <c r="W1409" s="55"/>
      <c r="X1409" s="55"/>
      <c r="Y1409" s="55"/>
      <c r="Z1409" s="56">
        <f t="shared" si="1421"/>
        <v>0</v>
      </c>
      <c r="AA1409" s="56">
        <f t="shared" si="1423"/>
        <v>5</v>
      </c>
      <c r="AB1409" s="298">
        <v>45860</v>
      </c>
      <c r="AC1409" s="276" t="s">
        <v>676</v>
      </c>
      <c r="AD1409" s="54"/>
      <c r="AE1409" s="55"/>
      <c r="AF1409" s="55"/>
      <c r="AG1409" s="55"/>
      <c r="AH1409" s="56">
        <f t="shared" si="1424"/>
        <v>0</v>
      </c>
      <c r="AI1409" s="54"/>
      <c r="AJ1409" s="55"/>
      <c r="AK1409" s="55">
        <v>2</v>
      </c>
      <c r="AL1409" s="55"/>
      <c r="AM1409" s="56">
        <f t="shared" si="1425"/>
        <v>2</v>
      </c>
      <c r="AN1409" s="54"/>
      <c r="AO1409" s="55"/>
      <c r="AP1409" s="55"/>
      <c r="AQ1409" s="55"/>
      <c r="AR1409" s="56">
        <f t="shared" si="1426"/>
        <v>0</v>
      </c>
      <c r="AS1409" s="54"/>
      <c r="AT1409" s="55"/>
      <c r="AU1409" s="55"/>
      <c r="AV1409" s="55"/>
      <c r="AW1409" s="56">
        <f t="shared" si="1427"/>
        <v>0</v>
      </c>
      <c r="AX1409" s="55"/>
      <c r="AY1409" s="55"/>
      <c r="AZ1409" s="55"/>
      <c r="BA1409" s="55"/>
      <c r="BB1409" s="56">
        <f t="shared" si="1428"/>
        <v>0</v>
      </c>
      <c r="BC1409" s="56">
        <f t="shared" si="1429"/>
        <v>2</v>
      </c>
      <c r="BD1409" s="298">
        <v>45862</v>
      </c>
      <c r="BE1409" s="277" t="s">
        <v>98</v>
      </c>
      <c r="BF1409" s="54"/>
      <c r="BG1409" s="55"/>
      <c r="BH1409" s="55">
        <v>1</v>
      </c>
      <c r="BI1409" s="55"/>
      <c r="BJ1409" s="56">
        <f t="shared" si="1416"/>
        <v>1</v>
      </c>
      <c r="BK1409" s="304">
        <v>45868</v>
      </c>
    </row>
    <row r="1410" spans="1:63" x14ac:dyDescent="0.15">
      <c r="A1410" s="53" t="s">
        <v>98</v>
      </c>
      <c r="B1410" s="54"/>
      <c r="C1410" s="55"/>
      <c r="D1410" s="55"/>
      <c r="E1410" s="55"/>
      <c r="F1410" s="56">
        <f t="shared" si="1422"/>
        <v>0</v>
      </c>
      <c r="G1410" s="54"/>
      <c r="H1410" s="55"/>
      <c r="I1410" s="55"/>
      <c r="J1410" s="55"/>
      <c r="K1410" s="56">
        <f t="shared" si="1418"/>
        <v>0</v>
      </c>
      <c r="L1410" s="54"/>
      <c r="M1410" s="55">
        <v>1</v>
      </c>
      <c r="N1410" s="55"/>
      <c r="O1410" s="55"/>
      <c r="P1410" s="56">
        <f t="shared" si="1419"/>
        <v>1</v>
      </c>
      <c r="Q1410" s="54"/>
      <c r="R1410" s="55"/>
      <c r="S1410" s="55"/>
      <c r="T1410" s="55"/>
      <c r="U1410" s="56">
        <f t="shared" si="1420"/>
        <v>0</v>
      </c>
      <c r="V1410" s="55"/>
      <c r="W1410" s="55"/>
      <c r="X1410" s="55"/>
      <c r="Y1410" s="55"/>
      <c r="Z1410" s="56">
        <f t="shared" si="1421"/>
        <v>0</v>
      </c>
      <c r="AA1410" s="56">
        <f t="shared" si="1423"/>
        <v>1</v>
      </c>
      <c r="AB1410" s="298">
        <v>45861</v>
      </c>
      <c r="AC1410" s="276" t="s">
        <v>678</v>
      </c>
      <c r="AD1410" s="54"/>
      <c r="AE1410" s="55"/>
      <c r="AF1410" s="55"/>
      <c r="AG1410" s="55"/>
      <c r="AH1410" s="56">
        <f t="shared" si="1424"/>
        <v>0</v>
      </c>
      <c r="AI1410" s="54">
        <v>2</v>
      </c>
      <c r="AJ1410" s="55"/>
      <c r="AK1410" s="55"/>
      <c r="AL1410" s="55"/>
      <c r="AM1410" s="56">
        <f t="shared" si="1425"/>
        <v>2</v>
      </c>
      <c r="AN1410" s="54"/>
      <c r="AO1410" s="55"/>
      <c r="AP1410" s="55"/>
      <c r="AQ1410" s="55"/>
      <c r="AR1410" s="56">
        <f t="shared" si="1426"/>
        <v>0</v>
      </c>
      <c r="AS1410" s="54"/>
      <c r="AT1410" s="55">
        <v>2</v>
      </c>
      <c r="AU1410" s="55">
        <v>2</v>
      </c>
      <c r="AV1410" s="55"/>
      <c r="AW1410" s="56">
        <f t="shared" si="1427"/>
        <v>4</v>
      </c>
      <c r="AX1410" s="55"/>
      <c r="AY1410" s="55"/>
      <c r="AZ1410" s="55"/>
      <c r="BA1410" s="55"/>
      <c r="BB1410" s="56">
        <f t="shared" si="1428"/>
        <v>0</v>
      </c>
      <c r="BC1410" s="56">
        <f t="shared" si="1429"/>
        <v>6</v>
      </c>
      <c r="BD1410" s="298">
        <v>45863</v>
      </c>
      <c r="BE1410" s="277" t="s">
        <v>98</v>
      </c>
      <c r="BF1410" s="54"/>
      <c r="BG1410" s="55"/>
      <c r="BH1410" s="55">
        <v>1</v>
      </c>
      <c r="BI1410" s="55"/>
      <c r="BJ1410" s="56">
        <f t="shared" si="1416"/>
        <v>1</v>
      </c>
      <c r="BK1410" s="304">
        <v>45910</v>
      </c>
    </row>
    <row r="1411" spans="1:63" x14ac:dyDescent="0.15">
      <c r="A1411" s="53" t="s">
        <v>98</v>
      </c>
      <c r="B1411" s="54"/>
      <c r="C1411" s="55"/>
      <c r="D1411" s="55"/>
      <c r="E1411" s="55"/>
      <c r="F1411" s="56">
        <f t="shared" si="1422"/>
        <v>0</v>
      </c>
      <c r="G1411" s="54"/>
      <c r="H1411" s="55"/>
      <c r="I1411" s="55">
        <v>1</v>
      </c>
      <c r="J1411" s="55"/>
      <c r="K1411" s="56">
        <f t="shared" si="1418"/>
        <v>1</v>
      </c>
      <c r="L1411" s="54"/>
      <c r="M1411" s="55"/>
      <c r="N1411" s="55"/>
      <c r="O1411" s="55"/>
      <c r="P1411" s="56">
        <f t="shared" si="1419"/>
        <v>0</v>
      </c>
      <c r="Q1411" s="54"/>
      <c r="R1411" s="55"/>
      <c r="S1411" s="55"/>
      <c r="T1411" s="55"/>
      <c r="U1411" s="56">
        <f t="shared" si="1420"/>
        <v>0</v>
      </c>
      <c r="V1411" s="55"/>
      <c r="W1411" s="55"/>
      <c r="X1411" s="55"/>
      <c r="Y1411" s="55"/>
      <c r="Z1411" s="56">
        <f t="shared" si="1421"/>
        <v>0</v>
      </c>
      <c r="AA1411" s="56">
        <f t="shared" si="1423"/>
        <v>1</v>
      </c>
      <c r="AB1411" s="298">
        <v>45862</v>
      </c>
      <c r="AC1411" s="276" t="s">
        <v>99</v>
      </c>
      <c r="AD1411" s="54"/>
      <c r="AE1411" s="55"/>
      <c r="AF1411" s="55"/>
      <c r="AG1411" s="55"/>
      <c r="AH1411" s="56">
        <f t="shared" ref="AH1411:AH1412" si="1430">SUM(AD1411:AG1411)</f>
        <v>0</v>
      </c>
      <c r="AI1411" s="54">
        <v>2</v>
      </c>
      <c r="AJ1411" s="55"/>
      <c r="AK1411" s="55"/>
      <c r="AL1411" s="55">
        <v>2</v>
      </c>
      <c r="AM1411" s="56">
        <f t="shared" ref="AM1411:AM1412" si="1431">SUM(AI1411:AL1411)</f>
        <v>4</v>
      </c>
      <c r="AN1411" s="54"/>
      <c r="AO1411" s="55"/>
      <c r="AP1411" s="55"/>
      <c r="AQ1411" s="55"/>
      <c r="AR1411" s="56">
        <f t="shared" ref="AR1411:AR1412" si="1432">SUM(AN1411:AQ1411)</f>
        <v>0</v>
      </c>
      <c r="AS1411" s="54"/>
      <c r="AT1411" s="55">
        <v>2</v>
      </c>
      <c r="AU1411" s="55"/>
      <c r="AV1411" s="55"/>
      <c r="AW1411" s="56">
        <f t="shared" ref="AW1411:AW1412" si="1433">SUM(AS1411:AV1411)</f>
        <v>2</v>
      </c>
      <c r="AX1411" s="55"/>
      <c r="AY1411" s="55"/>
      <c r="AZ1411" s="55"/>
      <c r="BA1411" s="55"/>
      <c r="BB1411" s="56">
        <f t="shared" ref="BB1411:BB1412" si="1434">SUM(AX1411:BA1411)</f>
        <v>0</v>
      </c>
      <c r="BC1411" s="56">
        <f t="shared" si="1429"/>
        <v>6</v>
      </c>
      <c r="BD1411" s="298">
        <v>45857</v>
      </c>
      <c r="BE1411" s="277" t="s">
        <v>98</v>
      </c>
      <c r="BF1411" s="54"/>
      <c r="BG1411" s="55"/>
      <c r="BH1411" s="55">
        <v>1</v>
      </c>
      <c r="BI1411" s="55"/>
      <c r="BJ1411" s="56">
        <f t="shared" si="1416"/>
        <v>1</v>
      </c>
      <c r="BK1411" s="304">
        <v>45950</v>
      </c>
    </row>
    <row r="1412" spans="1:63" x14ac:dyDescent="0.15">
      <c r="A1412" s="53" t="s">
        <v>98</v>
      </c>
      <c r="B1412" s="54"/>
      <c r="C1412" s="55"/>
      <c r="D1412" s="55"/>
      <c r="E1412" s="55"/>
      <c r="F1412" s="56">
        <f t="shared" si="1422"/>
        <v>0</v>
      </c>
      <c r="G1412" s="54"/>
      <c r="H1412" s="55"/>
      <c r="I1412" s="55"/>
      <c r="J1412" s="55"/>
      <c r="K1412" s="56">
        <f t="shared" si="1418"/>
        <v>0</v>
      </c>
      <c r="L1412" s="54"/>
      <c r="M1412" s="55"/>
      <c r="N1412" s="55">
        <v>1</v>
      </c>
      <c r="O1412" s="55"/>
      <c r="P1412" s="56">
        <f t="shared" si="1419"/>
        <v>1</v>
      </c>
      <c r="Q1412" s="54"/>
      <c r="R1412" s="55"/>
      <c r="S1412" s="55"/>
      <c r="T1412" s="55">
        <v>1</v>
      </c>
      <c r="U1412" s="56">
        <f t="shared" si="1420"/>
        <v>1</v>
      </c>
      <c r="V1412" s="55"/>
      <c r="W1412" s="55"/>
      <c r="X1412" s="55"/>
      <c r="Y1412" s="55"/>
      <c r="Z1412" s="56">
        <f t="shared" si="1421"/>
        <v>0</v>
      </c>
      <c r="AA1412" s="56">
        <f t="shared" si="1423"/>
        <v>2</v>
      </c>
      <c r="AB1412" s="298">
        <v>45863</v>
      </c>
      <c r="AC1412" s="276" t="s">
        <v>99</v>
      </c>
      <c r="AD1412" s="54"/>
      <c r="AE1412" s="55"/>
      <c r="AF1412" s="55"/>
      <c r="AG1412" s="55"/>
      <c r="AH1412" s="56">
        <f t="shared" si="1430"/>
        <v>0</v>
      </c>
      <c r="AI1412" s="54"/>
      <c r="AJ1412" s="55">
        <v>2</v>
      </c>
      <c r="AK1412" s="55"/>
      <c r="AL1412" s="55"/>
      <c r="AM1412" s="56">
        <f t="shared" si="1431"/>
        <v>2</v>
      </c>
      <c r="AN1412" s="54"/>
      <c r="AO1412" s="55">
        <v>2</v>
      </c>
      <c r="AP1412" s="55"/>
      <c r="AQ1412" s="55"/>
      <c r="AR1412" s="56">
        <f t="shared" si="1432"/>
        <v>2</v>
      </c>
      <c r="AS1412" s="54"/>
      <c r="AT1412" s="55"/>
      <c r="AU1412" s="55"/>
      <c r="AV1412" s="55"/>
      <c r="AW1412" s="56">
        <f t="shared" si="1433"/>
        <v>0</v>
      </c>
      <c r="AX1412" s="55"/>
      <c r="AY1412" s="55"/>
      <c r="AZ1412" s="55"/>
      <c r="BA1412" s="55"/>
      <c r="BB1412" s="56">
        <f t="shared" si="1434"/>
        <v>0</v>
      </c>
      <c r="BC1412" s="56">
        <f t="shared" si="1429"/>
        <v>4</v>
      </c>
      <c r="BD1412" s="298">
        <v>45862</v>
      </c>
      <c r="BE1412" s="277" t="s">
        <v>98</v>
      </c>
      <c r="BF1412" s="54"/>
      <c r="BG1412" s="55"/>
      <c r="BH1412" s="55">
        <v>1</v>
      </c>
      <c r="BI1412" s="55"/>
      <c r="BJ1412" s="56">
        <f t="shared" si="1416"/>
        <v>1</v>
      </c>
      <c r="BK1412" s="304">
        <v>46049</v>
      </c>
    </row>
    <row r="1413" spans="1:63" x14ac:dyDescent="0.15">
      <c r="A1413" s="53" t="s">
        <v>98</v>
      </c>
      <c r="B1413" s="54"/>
      <c r="C1413" s="55"/>
      <c r="D1413" s="55"/>
      <c r="E1413" s="55">
        <v>1</v>
      </c>
      <c r="F1413" s="56">
        <f t="shared" si="1422"/>
        <v>1</v>
      </c>
      <c r="G1413" s="54">
        <v>1</v>
      </c>
      <c r="H1413" s="55"/>
      <c r="I1413" s="55"/>
      <c r="J1413" s="55"/>
      <c r="K1413" s="56">
        <f t="shared" si="1418"/>
        <v>1</v>
      </c>
      <c r="L1413" s="54"/>
      <c r="M1413" s="55"/>
      <c r="N1413" s="55"/>
      <c r="O1413" s="55"/>
      <c r="P1413" s="56">
        <f t="shared" si="1419"/>
        <v>0</v>
      </c>
      <c r="Q1413" s="54"/>
      <c r="R1413" s="55"/>
      <c r="S1413" s="55"/>
      <c r="T1413" s="55"/>
      <c r="U1413" s="56">
        <f t="shared" si="1420"/>
        <v>0</v>
      </c>
      <c r="V1413" s="55"/>
      <c r="W1413" s="55"/>
      <c r="X1413" s="55"/>
      <c r="Y1413" s="55"/>
      <c r="Z1413" s="56">
        <f t="shared" si="1421"/>
        <v>0</v>
      </c>
      <c r="AA1413" s="56">
        <f t="shared" si="1423"/>
        <v>2</v>
      </c>
      <c r="AB1413" s="298">
        <v>45866</v>
      </c>
      <c r="AC1413" s="276" t="s">
        <v>681</v>
      </c>
      <c r="AD1413" s="54"/>
      <c r="AE1413" s="55"/>
      <c r="AF1413" s="55"/>
      <c r="AG1413" s="55"/>
      <c r="AH1413" s="56">
        <f t="shared" si="1424"/>
        <v>0</v>
      </c>
      <c r="AI1413" s="54"/>
      <c r="AJ1413" s="55">
        <v>6</v>
      </c>
      <c r="AK1413" s="55"/>
      <c r="AL1413" s="55"/>
      <c r="AM1413" s="56">
        <f t="shared" si="1425"/>
        <v>6</v>
      </c>
      <c r="AN1413" s="54"/>
      <c r="AO1413" s="55"/>
      <c r="AP1413" s="55"/>
      <c r="AQ1413" s="55"/>
      <c r="AR1413" s="56">
        <f t="shared" si="1426"/>
        <v>0</v>
      </c>
      <c r="AS1413" s="54"/>
      <c r="AT1413" s="55"/>
      <c r="AU1413" s="55"/>
      <c r="AV1413" s="55"/>
      <c r="AW1413" s="56">
        <f t="shared" si="1427"/>
        <v>0</v>
      </c>
      <c r="AX1413" s="55"/>
      <c r="AY1413" s="55"/>
      <c r="AZ1413" s="55"/>
      <c r="BA1413" s="55"/>
      <c r="BB1413" s="56">
        <f t="shared" si="1428"/>
        <v>0</v>
      </c>
      <c r="BC1413" s="56">
        <f t="shared" si="1429"/>
        <v>6</v>
      </c>
      <c r="BD1413" s="298">
        <v>45870</v>
      </c>
      <c r="BE1413" s="277"/>
      <c r="BF1413" s="54"/>
      <c r="BG1413" s="55"/>
      <c r="BH1413" s="55"/>
      <c r="BI1413" s="55"/>
      <c r="BJ1413" s="56">
        <f t="shared" si="1416"/>
        <v>0</v>
      </c>
    </row>
    <row r="1414" spans="1:63" x14ac:dyDescent="0.15">
      <c r="A1414" s="53" t="s">
        <v>98</v>
      </c>
      <c r="B1414" s="54"/>
      <c r="C1414" s="55"/>
      <c r="D1414" s="55"/>
      <c r="E1414" s="55"/>
      <c r="F1414" s="56">
        <f t="shared" si="1422"/>
        <v>0</v>
      </c>
      <c r="G1414" s="54"/>
      <c r="H1414" s="55"/>
      <c r="I1414" s="55">
        <v>1</v>
      </c>
      <c r="J1414" s="55"/>
      <c r="K1414" s="56">
        <f t="shared" si="1418"/>
        <v>1</v>
      </c>
      <c r="L1414" s="54"/>
      <c r="M1414" s="55"/>
      <c r="N1414" s="55"/>
      <c r="O1414" s="55"/>
      <c r="P1414" s="56">
        <f t="shared" si="1419"/>
        <v>0</v>
      </c>
      <c r="Q1414" s="54"/>
      <c r="R1414" s="55"/>
      <c r="S1414" s="55"/>
      <c r="T1414" s="55"/>
      <c r="U1414" s="56">
        <f t="shared" si="1420"/>
        <v>0</v>
      </c>
      <c r="V1414" s="55"/>
      <c r="W1414" s="55"/>
      <c r="X1414" s="55"/>
      <c r="Y1414" s="55"/>
      <c r="Z1414" s="56">
        <f t="shared" si="1421"/>
        <v>0</v>
      </c>
      <c r="AA1414" s="56">
        <f t="shared" si="1423"/>
        <v>1</v>
      </c>
      <c r="AB1414" s="298">
        <v>45867</v>
      </c>
      <c r="AC1414" s="276" t="s">
        <v>682</v>
      </c>
      <c r="AD1414" s="54"/>
      <c r="AE1414" s="55"/>
      <c r="AF1414" s="55"/>
      <c r="AG1414" s="55"/>
      <c r="AH1414" s="56">
        <f t="shared" si="1424"/>
        <v>0</v>
      </c>
      <c r="AI1414" s="54">
        <v>7</v>
      </c>
      <c r="AJ1414" s="55"/>
      <c r="AK1414" s="55"/>
      <c r="AL1414" s="55"/>
      <c r="AM1414" s="56">
        <f t="shared" si="1425"/>
        <v>7</v>
      </c>
      <c r="AN1414" s="54"/>
      <c r="AO1414" s="55"/>
      <c r="AP1414" s="55"/>
      <c r="AQ1414" s="55"/>
      <c r="AR1414" s="56">
        <f t="shared" si="1426"/>
        <v>0</v>
      </c>
      <c r="AS1414" s="54"/>
      <c r="AT1414" s="55"/>
      <c r="AU1414" s="55"/>
      <c r="AV1414" s="55"/>
      <c r="AW1414" s="56">
        <f t="shared" si="1427"/>
        <v>0</v>
      </c>
      <c r="AX1414" s="55"/>
      <c r="AY1414" s="55"/>
      <c r="AZ1414" s="55"/>
      <c r="BA1414" s="55"/>
      <c r="BB1414" s="56">
        <f t="shared" si="1428"/>
        <v>0</v>
      </c>
      <c r="BC1414" s="56">
        <f t="shared" si="1429"/>
        <v>7</v>
      </c>
      <c r="BD1414" s="298">
        <v>45870</v>
      </c>
      <c r="BE1414" s="277"/>
      <c r="BF1414" s="54"/>
      <c r="BG1414" s="55"/>
      <c r="BH1414" s="55"/>
      <c r="BI1414" s="55"/>
      <c r="BJ1414" s="56">
        <f t="shared" si="1416"/>
        <v>0</v>
      </c>
    </row>
    <row r="1415" spans="1:63" x14ac:dyDescent="0.15">
      <c r="A1415" s="53" t="s">
        <v>98</v>
      </c>
      <c r="B1415" s="54"/>
      <c r="C1415" s="55"/>
      <c r="D1415" s="55"/>
      <c r="E1415" s="55"/>
      <c r="F1415" s="56">
        <f t="shared" si="1422"/>
        <v>0</v>
      </c>
      <c r="G1415" s="54"/>
      <c r="H1415" s="55"/>
      <c r="I1415" s="55"/>
      <c r="J1415" s="55"/>
      <c r="K1415" s="56">
        <f t="shared" si="1418"/>
        <v>0</v>
      </c>
      <c r="L1415" s="54"/>
      <c r="M1415" s="55"/>
      <c r="N1415" s="55">
        <v>1</v>
      </c>
      <c r="O1415" s="55"/>
      <c r="P1415" s="56">
        <f t="shared" si="1419"/>
        <v>1</v>
      </c>
      <c r="Q1415" s="54"/>
      <c r="R1415" s="55"/>
      <c r="S1415" s="55"/>
      <c r="T1415" s="55"/>
      <c r="U1415" s="56">
        <f t="shared" si="1420"/>
        <v>0</v>
      </c>
      <c r="V1415" s="55"/>
      <c r="W1415" s="55">
        <v>2</v>
      </c>
      <c r="X1415" s="55">
        <v>2</v>
      </c>
      <c r="Y1415" s="55"/>
      <c r="Z1415" s="56">
        <f t="shared" si="1421"/>
        <v>4</v>
      </c>
      <c r="AA1415" s="56">
        <f t="shared" si="1423"/>
        <v>5</v>
      </c>
      <c r="AB1415" s="298">
        <v>45873</v>
      </c>
      <c r="AC1415" s="276" t="s">
        <v>683</v>
      </c>
      <c r="AD1415" s="54"/>
      <c r="AE1415" s="55"/>
      <c r="AF1415" s="55"/>
      <c r="AG1415" s="55"/>
      <c r="AH1415" s="56">
        <f t="shared" si="1424"/>
        <v>0</v>
      </c>
      <c r="AI1415" s="54"/>
      <c r="AJ1415" s="55"/>
      <c r="AK1415" s="55"/>
      <c r="AL1415" s="55"/>
      <c r="AM1415" s="56">
        <f t="shared" si="1425"/>
        <v>0</v>
      </c>
      <c r="AN1415" s="54"/>
      <c r="AO1415" s="55"/>
      <c r="AP1415" s="55"/>
      <c r="AQ1415" s="55"/>
      <c r="AR1415" s="56">
        <f t="shared" si="1426"/>
        <v>0</v>
      </c>
      <c r="AS1415" s="54"/>
      <c r="AT1415" s="55"/>
      <c r="AU1415" s="55">
        <v>2</v>
      </c>
      <c r="AV1415" s="55"/>
      <c r="AW1415" s="56">
        <f t="shared" si="1427"/>
        <v>2</v>
      </c>
      <c r="AX1415" s="55"/>
      <c r="AY1415" s="55"/>
      <c r="AZ1415" s="55"/>
      <c r="BA1415" s="55"/>
      <c r="BB1415" s="56">
        <f t="shared" si="1428"/>
        <v>0</v>
      </c>
      <c r="BC1415" s="56">
        <f t="shared" si="1429"/>
        <v>2</v>
      </c>
      <c r="BD1415" s="298">
        <v>45869</v>
      </c>
      <c r="BE1415" s="277"/>
      <c r="BF1415" s="54"/>
      <c r="BG1415" s="55"/>
      <c r="BH1415" s="55"/>
      <c r="BI1415" s="55"/>
      <c r="BJ1415" s="56">
        <f t="shared" si="1416"/>
        <v>0</v>
      </c>
    </row>
    <row r="1416" spans="1:63" x14ac:dyDescent="0.15">
      <c r="A1416" s="53" t="s">
        <v>100</v>
      </c>
      <c r="B1416" s="54"/>
      <c r="C1416" s="55"/>
      <c r="D1416" s="55"/>
      <c r="E1416" s="55"/>
      <c r="F1416" s="56">
        <f t="shared" si="1422"/>
        <v>0</v>
      </c>
      <c r="G1416" s="54">
        <v>1</v>
      </c>
      <c r="H1416" s="55"/>
      <c r="I1416" s="55"/>
      <c r="J1416" s="55"/>
      <c r="K1416" s="56">
        <f t="shared" si="1418"/>
        <v>1</v>
      </c>
      <c r="L1416" s="54"/>
      <c r="M1416" s="55"/>
      <c r="N1416" s="55"/>
      <c r="O1416" s="55"/>
      <c r="P1416" s="56">
        <f t="shared" si="1419"/>
        <v>0</v>
      </c>
      <c r="Q1416" s="54"/>
      <c r="R1416" s="55"/>
      <c r="S1416" s="55"/>
      <c r="T1416" s="55"/>
      <c r="U1416" s="56">
        <f t="shared" si="1420"/>
        <v>0</v>
      </c>
      <c r="V1416" s="55"/>
      <c r="W1416" s="55"/>
      <c r="X1416" s="55"/>
      <c r="Y1416" s="55"/>
      <c r="Z1416" s="56">
        <f t="shared" si="1421"/>
        <v>0</v>
      </c>
      <c r="AA1416" s="56">
        <f t="shared" si="1423"/>
        <v>1</v>
      </c>
      <c r="AB1416" s="298">
        <v>45875</v>
      </c>
      <c r="AC1416" s="276" t="s">
        <v>99</v>
      </c>
      <c r="AD1416" s="54"/>
      <c r="AE1416" s="55"/>
      <c r="AF1416" s="55"/>
      <c r="AG1416" s="55"/>
      <c r="AH1416" s="56">
        <f t="shared" si="1424"/>
        <v>0</v>
      </c>
      <c r="AI1416" s="54"/>
      <c r="AJ1416" s="55"/>
      <c r="AK1416" s="55">
        <v>3</v>
      </c>
      <c r="AL1416" s="55"/>
      <c r="AM1416" s="56">
        <f t="shared" si="1425"/>
        <v>3</v>
      </c>
      <c r="AN1416" s="54"/>
      <c r="AO1416" s="55"/>
      <c r="AP1416" s="55"/>
      <c r="AQ1416" s="55"/>
      <c r="AR1416" s="56">
        <f t="shared" si="1426"/>
        <v>0</v>
      </c>
      <c r="AS1416" s="54"/>
      <c r="AT1416" s="55"/>
      <c r="AU1416" s="55"/>
      <c r="AV1416" s="55"/>
      <c r="AW1416" s="56">
        <f t="shared" si="1427"/>
        <v>0</v>
      </c>
      <c r="AX1416" s="55"/>
      <c r="AY1416" s="55"/>
      <c r="AZ1416" s="55"/>
      <c r="BA1416" s="55"/>
      <c r="BB1416" s="56">
        <f t="shared" si="1428"/>
        <v>0</v>
      </c>
      <c r="BC1416" s="56">
        <f t="shared" si="1429"/>
        <v>3</v>
      </c>
      <c r="BD1416" s="298">
        <v>45869</v>
      </c>
      <c r="BE1416" s="277"/>
      <c r="BF1416" s="54"/>
      <c r="BG1416" s="55"/>
      <c r="BH1416" s="55"/>
      <c r="BI1416" s="55"/>
      <c r="BJ1416" s="56">
        <f t="shared" si="1416"/>
        <v>0</v>
      </c>
    </row>
    <row r="1417" spans="1:63" x14ac:dyDescent="0.15">
      <c r="A1417" s="53" t="s">
        <v>98</v>
      </c>
      <c r="B1417" s="54"/>
      <c r="C1417" s="55">
        <v>2</v>
      </c>
      <c r="D1417" s="55"/>
      <c r="E1417" s="55"/>
      <c r="F1417" s="56">
        <f t="shared" si="1422"/>
        <v>2</v>
      </c>
      <c r="G1417" s="54">
        <v>1</v>
      </c>
      <c r="H1417" s="55"/>
      <c r="I1417" s="55"/>
      <c r="J1417" s="55"/>
      <c r="K1417" s="56">
        <f t="shared" si="1418"/>
        <v>1</v>
      </c>
      <c r="L1417" s="54"/>
      <c r="M1417" s="55"/>
      <c r="N1417" s="55"/>
      <c r="O1417" s="55"/>
      <c r="P1417" s="56">
        <f t="shared" si="1419"/>
        <v>0</v>
      </c>
      <c r="Q1417" s="54"/>
      <c r="R1417" s="55"/>
      <c r="S1417" s="55"/>
      <c r="T1417" s="55">
        <v>1</v>
      </c>
      <c r="U1417" s="56">
        <f t="shared" si="1420"/>
        <v>1</v>
      </c>
      <c r="V1417" s="55"/>
      <c r="W1417" s="55"/>
      <c r="X1417" s="55"/>
      <c r="Y1417" s="55"/>
      <c r="Z1417" s="56">
        <f t="shared" si="1421"/>
        <v>0</v>
      </c>
      <c r="AA1417" s="56">
        <f t="shared" si="1423"/>
        <v>4</v>
      </c>
      <c r="AB1417" s="298">
        <v>45875</v>
      </c>
      <c r="AC1417" s="276" t="s">
        <v>99</v>
      </c>
      <c r="AD1417" s="54"/>
      <c r="AE1417" s="55"/>
      <c r="AF1417" s="55"/>
      <c r="AG1417" s="55"/>
      <c r="AH1417" s="56">
        <f t="shared" si="1424"/>
        <v>0</v>
      </c>
      <c r="AI1417" s="54">
        <v>2</v>
      </c>
      <c r="AJ1417" s="55"/>
      <c r="AK1417" s="55"/>
      <c r="AL1417" s="55"/>
      <c r="AM1417" s="56">
        <f t="shared" si="1425"/>
        <v>2</v>
      </c>
      <c r="AN1417" s="54"/>
      <c r="AO1417" s="55"/>
      <c r="AP1417" s="55">
        <v>2</v>
      </c>
      <c r="AQ1417" s="55"/>
      <c r="AR1417" s="56">
        <f t="shared" si="1426"/>
        <v>2</v>
      </c>
      <c r="AS1417" s="54"/>
      <c r="AT1417" s="55"/>
      <c r="AU1417" s="55"/>
      <c r="AV1417" s="55"/>
      <c r="AW1417" s="56">
        <f t="shared" si="1427"/>
        <v>0</v>
      </c>
      <c r="AX1417" s="55"/>
      <c r="AY1417" s="55"/>
      <c r="AZ1417" s="55"/>
      <c r="BA1417" s="55"/>
      <c r="BB1417" s="56">
        <f t="shared" si="1428"/>
        <v>0</v>
      </c>
      <c r="BC1417" s="56">
        <f t="shared" si="1429"/>
        <v>4</v>
      </c>
      <c r="BD1417" s="298">
        <v>45877</v>
      </c>
      <c r="BE1417" s="277"/>
      <c r="BF1417" s="54"/>
      <c r="BG1417" s="55"/>
      <c r="BH1417" s="55"/>
      <c r="BI1417" s="55"/>
      <c r="BJ1417" s="56">
        <f t="shared" si="1416"/>
        <v>0</v>
      </c>
    </row>
    <row r="1418" spans="1:63" x14ac:dyDescent="0.15">
      <c r="A1418" s="53" t="s">
        <v>98</v>
      </c>
      <c r="B1418" s="54"/>
      <c r="C1418" s="55"/>
      <c r="D1418" s="55"/>
      <c r="E1418" s="55"/>
      <c r="F1418" s="56">
        <f t="shared" si="1422"/>
        <v>0</v>
      </c>
      <c r="G1418" s="54"/>
      <c r="H1418" s="55"/>
      <c r="I1418" s="55"/>
      <c r="J1418" s="55"/>
      <c r="K1418" s="56">
        <f t="shared" si="1418"/>
        <v>0</v>
      </c>
      <c r="L1418" s="54"/>
      <c r="M1418" s="55">
        <v>1</v>
      </c>
      <c r="N1418" s="55"/>
      <c r="O1418" s="55"/>
      <c r="P1418" s="56">
        <f t="shared" si="1419"/>
        <v>1</v>
      </c>
      <c r="Q1418" s="54"/>
      <c r="R1418" s="55"/>
      <c r="S1418" s="55"/>
      <c r="T1418" s="55"/>
      <c r="U1418" s="56">
        <f t="shared" si="1420"/>
        <v>0</v>
      </c>
      <c r="V1418" s="55"/>
      <c r="W1418" s="55"/>
      <c r="X1418" s="55"/>
      <c r="Y1418" s="55"/>
      <c r="Z1418" s="56">
        <f t="shared" si="1421"/>
        <v>0</v>
      </c>
      <c r="AA1418" s="56">
        <f t="shared" si="1423"/>
        <v>1</v>
      </c>
      <c r="AB1418" s="298">
        <v>45888</v>
      </c>
      <c r="AC1418" s="276" t="s">
        <v>684</v>
      </c>
      <c r="AD1418" s="54"/>
      <c r="AE1418" s="55"/>
      <c r="AF1418" s="55"/>
      <c r="AG1418" s="55"/>
      <c r="AH1418" s="56">
        <f t="shared" si="1424"/>
        <v>0</v>
      </c>
      <c r="AI1418" s="54"/>
      <c r="AJ1418" s="55"/>
      <c r="AK1418" s="55"/>
      <c r="AL1418" s="55"/>
      <c r="AM1418" s="56">
        <f t="shared" si="1425"/>
        <v>0</v>
      </c>
      <c r="AN1418" s="54"/>
      <c r="AO1418" s="55"/>
      <c r="AP1418" s="55"/>
      <c r="AQ1418" s="55"/>
      <c r="AR1418" s="56">
        <f t="shared" si="1426"/>
        <v>0</v>
      </c>
      <c r="AS1418" s="54">
        <v>3</v>
      </c>
      <c r="AT1418" s="55"/>
      <c r="AU1418" s="55"/>
      <c r="AV1418" s="55"/>
      <c r="AW1418" s="56">
        <f t="shared" si="1427"/>
        <v>3</v>
      </c>
      <c r="AX1418" s="55"/>
      <c r="AY1418" s="55"/>
      <c r="AZ1418" s="55"/>
      <c r="BA1418" s="55"/>
      <c r="BB1418" s="56">
        <f t="shared" si="1428"/>
        <v>0</v>
      </c>
      <c r="BC1418" s="56">
        <f t="shared" si="1429"/>
        <v>3</v>
      </c>
      <c r="BD1418" s="298">
        <v>45891</v>
      </c>
      <c r="BE1418" s="277"/>
      <c r="BF1418" s="54"/>
      <c r="BG1418" s="55"/>
      <c r="BH1418" s="55"/>
      <c r="BI1418" s="55"/>
      <c r="BJ1418" s="56">
        <f t="shared" si="1416"/>
        <v>0</v>
      </c>
    </row>
    <row r="1419" spans="1:63" x14ac:dyDescent="0.15">
      <c r="A1419" s="53" t="s">
        <v>98</v>
      </c>
      <c r="B1419" s="54"/>
      <c r="C1419" s="55"/>
      <c r="D1419" s="55"/>
      <c r="E1419" s="55"/>
      <c r="F1419" s="56">
        <f t="shared" si="1417"/>
        <v>0</v>
      </c>
      <c r="G1419" s="54">
        <v>1</v>
      </c>
      <c r="H1419" s="55"/>
      <c r="I1419" s="55"/>
      <c r="J1419" s="55"/>
      <c r="K1419" s="56">
        <f t="shared" ref="K1419:K1435" si="1435">SUM(G1419:J1419)</f>
        <v>1</v>
      </c>
      <c r="L1419" s="54"/>
      <c r="M1419" s="55"/>
      <c r="N1419" s="55"/>
      <c r="O1419" s="55"/>
      <c r="P1419" s="56">
        <f t="shared" ref="P1419:P1435" si="1436">SUM(L1419:O1419)</f>
        <v>0</v>
      </c>
      <c r="Q1419" s="54"/>
      <c r="R1419" s="55"/>
      <c r="S1419" s="55"/>
      <c r="T1419" s="55"/>
      <c r="U1419" s="56">
        <f t="shared" ref="U1419:U1435" si="1437">SUM(Q1419:T1419)</f>
        <v>0</v>
      </c>
      <c r="V1419" s="55"/>
      <c r="W1419" s="55"/>
      <c r="X1419" s="55"/>
      <c r="Y1419" s="55"/>
      <c r="Z1419" s="56">
        <f t="shared" ref="Z1419:Z1434" si="1438">SUM(V1419:Y1419)</f>
        <v>0</v>
      </c>
      <c r="AA1419" s="56">
        <f t="shared" ref="AA1419:AA1432" si="1439">F1419+K1419+P1419+U1419+Z1419</f>
        <v>1</v>
      </c>
      <c r="AB1419" s="298">
        <v>45894</v>
      </c>
      <c r="AC1419" s="276" t="s">
        <v>685</v>
      </c>
      <c r="AD1419" s="54"/>
      <c r="AE1419" s="55"/>
      <c r="AF1419" s="55"/>
      <c r="AG1419" s="55"/>
      <c r="AH1419" s="56">
        <f t="shared" si="1424"/>
        <v>0</v>
      </c>
      <c r="AI1419" s="54"/>
      <c r="AJ1419" s="55"/>
      <c r="AK1419" s="55"/>
      <c r="AL1419" s="55"/>
      <c r="AM1419" s="56">
        <f t="shared" si="1425"/>
        <v>0</v>
      </c>
      <c r="AN1419" s="54"/>
      <c r="AO1419" s="55"/>
      <c r="AP1419" s="55"/>
      <c r="AQ1419" s="55"/>
      <c r="AR1419" s="56">
        <f t="shared" si="1426"/>
        <v>0</v>
      </c>
      <c r="AS1419" s="54"/>
      <c r="AT1419" s="55">
        <v>2</v>
      </c>
      <c r="AU1419" s="55"/>
      <c r="AV1419" s="55"/>
      <c r="AW1419" s="56">
        <f t="shared" si="1427"/>
        <v>2</v>
      </c>
      <c r="AX1419" s="55"/>
      <c r="AY1419" s="55"/>
      <c r="AZ1419" s="55"/>
      <c r="BA1419" s="55"/>
      <c r="BB1419" s="56">
        <f t="shared" si="1428"/>
        <v>0</v>
      </c>
      <c r="BC1419" s="56">
        <f t="shared" si="1429"/>
        <v>2</v>
      </c>
      <c r="BD1419" s="298">
        <v>45895</v>
      </c>
      <c r="BE1419" s="276"/>
      <c r="BF1419" s="54"/>
      <c r="BG1419" s="55"/>
      <c r="BH1419" s="55"/>
      <c r="BI1419" s="55"/>
      <c r="BJ1419" s="56">
        <f t="shared" si="1416"/>
        <v>0</v>
      </c>
    </row>
    <row r="1420" spans="1:63" x14ac:dyDescent="0.15">
      <c r="A1420" s="53" t="s">
        <v>690</v>
      </c>
      <c r="B1420" s="54"/>
      <c r="C1420" s="55"/>
      <c r="D1420" s="55"/>
      <c r="E1420" s="55"/>
      <c r="F1420" s="56">
        <f t="shared" si="1417"/>
        <v>0</v>
      </c>
      <c r="G1420" s="54"/>
      <c r="H1420" s="55">
        <v>1</v>
      </c>
      <c r="I1420" s="55"/>
      <c r="J1420" s="55">
        <v>2</v>
      </c>
      <c r="K1420" s="56">
        <f t="shared" si="1435"/>
        <v>3</v>
      </c>
      <c r="L1420" s="54"/>
      <c r="M1420" s="55"/>
      <c r="N1420" s="55">
        <v>2</v>
      </c>
      <c r="O1420" s="55">
        <v>3</v>
      </c>
      <c r="P1420" s="56">
        <f t="shared" si="1436"/>
        <v>5</v>
      </c>
      <c r="Q1420" s="54"/>
      <c r="R1420" s="55"/>
      <c r="S1420" s="55"/>
      <c r="T1420" s="55"/>
      <c r="U1420" s="56">
        <f t="shared" si="1437"/>
        <v>0</v>
      </c>
      <c r="V1420" s="55"/>
      <c r="W1420" s="55"/>
      <c r="X1420" s="55"/>
      <c r="Y1420" s="55"/>
      <c r="Z1420" s="56">
        <f t="shared" si="1438"/>
        <v>0</v>
      </c>
      <c r="AA1420" s="56">
        <f t="shared" si="1439"/>
        <v>8</v>
      </c>
      <c r="AB1420" s="298">
        <v>45906</v>
      </c>
      <c r="AC1420" s="276" t="s">
        <v>686</v>
      </c>
      <c r="AD1420" s="54"/>
      <c r="AE1420" s="55"/>
      <c r="AF1420" s="55"/>
      <c r="AG1420" s="55"/>
      <c r="AH1420" s="56">
        <f t="shared" si="1424"/>
        <v>0</v>
      </c>
      <c r="AI1420" s="54"/>
      <c r="AJ1420" s="55"/>
      <c r="AK1420" s="55"/>
      <c r="AL1420" s="55"/>
      <c r="AM1420" s="56">
        <f t="shared" si="1425"/>
        <v>0</v>
      </c>
      <c r="AN1420" s="54"/>
      <c r="AO1420" s="55"/>
      <c r="AP1420" s="55"/>
      <c r="AQ1420" s="55"/>
      <c r="AR1420" s="56">
        <f t="shared" si="1426"/>
        <v>0</v>
      </c>
      <c r="AS1420" s="54"/>
      <c r="AT1420" s="55">
        <v>2</v>
      </c>
      <c r="AU1420" s="55"/>
      <c r="AV1420" s="55"/>
      <c r="AW1420" s="56">
        <f t="shared" si="1427"/>
        <v>2</v>
      </c>
      <c r="AX1420" s="55"/>
      <c r="AY1420" s="55"/>
      <c r="AZ1420" s="55"/>
      <c r="BA1420" s="55"/>
      <c r="BB1420" s="56">
        <f t="shared" si="1428"/>
        <v>0</v>
      </c>
      <c r="BC1420" s="56">
        <f t="shared" si="1429"/>
        <v>2</v>
      </c>
      <c r="BD1420" s="298">
        <v>45897</v>
      </c>
      <c r="BE1420" s="277"/>
      <c r="BF1420" s="54"/>
      <c r="BG1420" s="55"/>
      <c r="BH1420" s="55"/>
      <c r="BI1420" s="55"/>
      <c r="BJ1420" s="56">
        <f t="shared" si="1416"/>
        <v>0</v>
      </c>
    </row>
    <row r="1421" spans="1:63" x14ac:dyDescent="0.15">
      <c r="A1421" s="53" t="s">
        <v>98</v>
      </c>
      <c r="B1421" s="54"/>
      <c r="C1421" s="55"/>
      <c r="D1421" s="55"/>
      <c r="E1421" s="55">
        <v>1</v>
      </c>
      <c r="F1421" s="56">
        <f t="shared" si="1417"/>
        <v>1</v>
      </c>
      <c r="G1421" s="54"/>
      <c r="H1421" s="55"/>
      <c r="I1421" s="55"/>
      <c r="J1421" s="55"/>
      <c r="K1421" s="56">
        <f t="shared" si="1435"/>
        <v>0</v>
      </c>
      <c r="L1421" s="54"/>
      <c r="M1421" s="55"/>
      <c r="N1421" s="55"/>
      <c r="O1421" s="55"/>
      <c r="P1421" s="56">
        <f t="shared" si="1436"/>
        <v>0</v>
      </c>
      <c r="Q1421" s="54"/>
      <c r="R1421" s="55"/>
      <c r="S1421" s="55"/>
      <c r="T1421" s="55">
        <v>1</v>
      </c>
      <c r="U1421" s="56">
        <f t="shared" si="1437"/>
        <v>1</v>
      </c>
      <c r="V1421" s="55"/>
      <c r="W1421" s="55"/>
      <c r="X1421" s="55"/>
      <c r="Y1421" s="55"/>
      <c r="Z1421" s="56">
        <f t="shared" si="1438"/>
        <v>0</v>
      </c>
      <c r="AA1421" s="56">
        <f t="shared" si="1439"/>
        <v>2</v>
      </c>
      <c r="AB1421" s="298">
        <v>45910</v>
      </c>
      <c r="AC1421" s="276" t="s">
        <v>687</v>
      </c>
      <c r="AD1421" s="54"/>
      <c r="AE1421" s="55"/>
      <c r="AF1421" s="55"/>
      <c r="AG1421" s="55"/>
      <c r="AH1421" s="56">
        <f t="shared" si="1424"/>
        <v>0</v>
      </c>
      <c r="AI1421" s="54"/>
      <c r="AJ1421" s="55"/>
      <c r="AK1421" s="55">
        <v>1</v>
      </c>
      <c r="AL1421" s="55"/>
      <c r="AM1421" s="56">
        <f t="shared" si="1425"/>
        <v>1</v>
      </c>
      <c r="AN1421" s="54"/>
      <c r="AO1421" s="55"/>
      <c r="AP1421" s="55"/>
      <c r="AQ1421" s="55"/>
      <c r="AR1421" s="56">
        <f t="shared" si="1426"/>
        <v>0</v>
      </c>
      <c r="AS1421" s="54"/>
      <c r="AT1421" s="55"/>
      <c r="AU1421" s="55"/>
      <c r="AV1421" s="55"/>
      <c r="AW1421" s="56">
        <f t="shared" si="1427"/>
        <v>0</v>
      </c>
      <c r="AX1421" s="55"/>
      <c r="AY1421" s="55"/>
      <c r="AZ1421" s="55"/>
      <c r="BA1421" s="55"/>
      <c r="BB1421" s="56">
        <f t="shared" si="1428"/>
        <v>0</v>
      </c>
      <c r="BC1421" s="56">
        <f t="shared" si="1429"/>
        <v>1</v>
      </c>
      <c r="BD1421" s="298">
        <v>45902</v>
      </c>
      <c r="BE1421" s="276"/>
      <c r="BF1421" s="54"/>
      <c r="BG1421" s="55"/>
      <c r="BH1421" s="55"/>
      <c r="BI1421" s="55"/>
      <c r="BJ1421" s="56">
        <f t="shared" si="1416"/>
        <v>0</v>
      </c>
    </row>
    <row r="1422" spans="1:63" x14ac:dyDescent="0.15">
      <c r="A1422" s="53" t="s">
        <v>98</v>
      </c>
      <c r="B1422" s="54"/>
      <c r="C1422" s="55"/>
      <c r="D1422" s="55"/>
      <c r="E1422" s="55">
        <v>1</v>
      </c>
      <c r="F1422" s="56">
        <f t="shared" si="1417"/>
        <v>1</v>
      </c>
      <c r="G1422" s="54"/>
      <c r="H1422" s="55"/>
      <c r="I1422" s="55"/>
      <c r="J1422" s="55"/>
      <c r="K1422" s="56">
        <f t="shared" si="1435"/>
        <v>0</v>
      </c>
      <c r="L1422" s="54"/>
      <c r="M1422" s="55"/>
      <c r="N1422" s="55"/>
      <c r="O1422" s="55"/>
      <c r="P1422" s="56">
        <f t="shared" si="1436"/>
        <v>0</v>
      </c>
      <c r="Q1422" s="54"/>
      <c r="R1422" s="55"/>
      <c r="S1422" s="55"/>
      <c r="T1422" s="55"/>
      <c r="U1422" s="56">
        <f t="shared" si="1437"/>
        <v>0</v>
      </c>
      <c r="V1422" s="55"/>
      <c r="W1422" s="55"/>
      <c r="X1422" s="55"/>
      <c r="Y1422" s="55"/>
      <c r="Z1422" s="56">
        <f t="shared" si="1438"/>
        <v>0</v>
      </c>
      <c r="AA1422" s="56">
        <f t="shared" si="1439"/>
        <v>1</v>
      </c>
      <c r="AB1422" s="298">
        <v>45911</v>
      </c>
      <c r="AC1422" s="276" t="s">
        <v>688</v>
      </c>
      <c r="AD1422" s="54"/>
      <c r="AE1422" s="55"/>
      <c r="AF1422" s="55"/>
      <c r="AG1422" s="55"/>
      <c r="AH1422" s="56">
        <f t="shared" si="1424"/>
        <v>0</v>
      </c>
      <c r="AI1422" s="54"/>
      <c r="AJ1422" s="55"/>
      <c r="AK1422" s="55">
        <v>1</v>
      </c>
      <c r="AL1422" s="55"/>
      <c r="AM1422" s="56">
        <f t="shared" si="1425"/>
        <v>1</v>
      </c>
      <c r="AN1422" s="54"/>
      <c r="AO1422" s="55"/>
      <c r="AP1422" s="55"/>
      <c r="AQ1422" s="55"/>
      <c r="AR1422" s="56">
        <f t="shared" si="1426"/>
        <v>0</v>
      </c>
      <c r="AS1422" s="54"/>
      <c r="AT1422" s="55"/>
      <c r="AU1422" s="55"/>
      <c r="AV1422" s="55"/>
      <c r="AW1422" s="56">
        <f t="shared" si="1427"/>
        <v>0</v>
      </c>
      <c r="AX1422" s="55"/>
      <c r="AY1422" s="55"/>
      <c r="AZ1422" s="55"/>
      <c r="BA1422" s="55"/>
      <c r="BB1422" s="56">
        <f t="shared" si="1428"/>
        <v>0</v>
      </c>
      <c r="BC1422" s="56">
        <f t="shared" si="1429"/>
        <v>1</v>
      </c>
      <c r="BD1422" s="298">
        <v>45902</v>
      </c>
      <c r="BE1422" s="277"/>
      <c r="BF1422" s="55"/>
      <c r="BG1422" s="55"/>
      <c r="BH1422" s="55"/>
      <c r="BI1422" s="166"/>
      <c r="BJ1422" s="49">
        <f t="shared" si="1416"/>
        <v>0</v>
      </c>
    </row>
    <row r="1423" spans="1:63" x14ac:dyDescent="0.15">
      <c r="A1423" s="53" t="s">
        <v>98</v>
      </c>
      <c r="B1423" s="54"/>
      <c r="C1423" s="55"/>
      <c r="D1423" s="55"/>
      <c r="E1423" s="55">
        <v>1</v>
      </c>
      <c r="F1423" s="56">
        <f t="shared" si="1417"/>
        <v>1</v>
      </c>
      <c r="G1423" s="54"/>
      <c r="H1423" s="55"/>
      <c r="I1423" s="55"/>
      <c r="J1423" s="55"/>
      <c r="K1423" s="56">
        <f t="shared" si="1435"/>
        <v>0</v>
      </c>
      <c r="L1423" s="54"/>
      <c r="M1423" s="55"/>
      <c r="N1423" s="55"/>
      <c r="O1423" s="55"/>
      <c r="P1423" s="56">
        <f t="shared" si="1436"/>
        <v>0</v>
      </c>
      <c r="Q1423" s="54"/>
      <c r="R1423" s="55">
        <v>1</v>
      </c>
      <c r="S1423" s="55"/>
      <c r="T1423" s="55"/>
      <c r="U1423" s="56">
        <f t="shared" si="1437"/>
        <v>1</v>
      </c>
      <c r="V1423" s="55"/>
      <c r="W1423" s="55"/>
      <c r="X1423" s="55"/>
      <c r="Y1423" s="55"/>
      <c r="Z1423" s="56">
        <f t="shared" si="1438"/>
        <v>0</v>
      </c>
      <c r="AA1423" s="56">
        <f t="shared" si="1439"/>
        <v>2</v>
      </c>
      <c r="AB1423" s="298">
        <v>45916</v>
      </c>
      <c r="AC1423" s="276" t="s">
        <v>689</v>
      </c>
      <c r="AD1423" s="54"/>
      <c r="AE1423" s="55"/>
      <c r="AF1423" s="55"/>
      <c r="AG1423" s="55"/>
      <c r="AH1423" s="56">
        <f t="shared" si="1424"/>
        <v>0</v>
      </c>
      <c r="AI1423" s="54"/>
      <c r="AJ1423" s="55"/>
      <c r="AK1423" s="55">
        <v>2</v>
      </c>
      <c r="AL1423" s="55"/>
      <c r="AM1423" s="56">
        <f t="shared" si="1425"/>
        <v>2</v>
      </c>
      <c r="AN1423" s="54"/>
      <c r="AO1423" s="55"/>
      <c r="AP1423" s="55"/>
      <c r="AQ1423" s="55"/>
      <c r="AR1423" s="56">
        <f t="shared" si="1426"/>
        <v>0</v>
      </c>
      <c r="AS1423" s="54"/>
      <c r="AT1423" s="55"/>
      <c r="AU1423" s="55"/>
      <c r="AV1423" s="55"/>
      <c r="AW1423" s="56">
        <f t="shared" si="1427"/>
        <v>0</v>
      </c>
      <c r="AX1423" s="55"/>
      <c r="AY1423" s="55"/>
      <c r="AZ1423" s="55"/>
      <c r="BA1423" s="55"/>
      <c r="BB1423" s="56">
        <f t="shared" si="1428"/>
        <v>0</v>
      </c>
      <c r="BC1423" s="56">
        <f t="shared" si="1429"/>
        <v>2</v>
      </c>
      <c r="BD1423" s="298">
        <v>45905</v>
      </c>
      <c r="BE1423" s="277"/>
      <c r="BF1423" s="54"/>
      <c r="BG1423" s="55"/>
      <c r="BH1423" s="55"/>
      <c r="BI1423" s="55"/>
      <c r="BJ1423" s="56">
        <f t="shared" si="1416"/>
        <v>0</v>
      </c>
    </row>
    <row r="1424" spans="1:63" x14ac:dyDescent="0.15">
      <c r="A1424" s="53" t="s">
        <v>692</v>
      </c>
      <c r="B1424" s="54"/>
      <c r="C1424" s="55"/>
      <c r="D1424" s="55"/>
      <c r="E1424" s="55"/>
      <c r="F1424" s="56">
        <f t="shared" si="1417"/>
        <v>0</v>
      </c>
      <c r="G1424" s="54"/>
      <c r="H1424" s="55"/>
      <c r="I1424" s="55"/>
      <c r="J1424" s="55"/>
      <c r="K1424" s="56">
        <f t="shared" si="1435"/>
        <v>0</v>
      </c>
      <c r="L1424" s="54"/>
      <c r="M1424" s="55"/>
      <c r="N1424" s="55"/>
      <c r="O1424" s="55"/>
      <c r="P1424" s="56">
        <f t="shared" si="1436"/>
        <v>0</v>
      </c>
      <c r="Q1424" s="54"/>
      <c r="R1424" s="55"/>
      <c r="S1424" s="55">
        <v>1</v>
      </c>
      <c r="T1424" s="55">
        <v>-1</v>
      </c>
      <c r="U1424" s="56">
        <f t="shared" si="1437"/>
        <v>0</v>
      </c>
      <c r="V1424" s="55"/>
      <c r="W1424" s="55"/>
      <c r="X1424" s="55"/>
      <c r="Y1424" s="55"/>
      <c r="Z1424" s="56">
        <f t="shared" si="1438"/>
        <v>0</v>
      </c>
      <c r="AA1424" s="56">
        <f t="shared" si="1439"/>
        <v>0</v>
      </c>
      <c r="AB1424" s="298">
        <v>45918</v>
      </c>
      <c r="AC1424" s="276" t="s">
        <v>99</v>
      </c>
      <c r="AD1424" s="54"/>
      <c r="AE1424" s="55"/>
      <c r="AF1424" s="55"/>
      <c r="AG1424" s="55">
        <v>3</v>
      </c>
      <c r="AH1424" s="56">
        <f t="shared" si="1424"/>
        <v>3</v>
      </c>
      <c r="AI1424" s="54"/>
      <c r="AJ1424" s="55"/>
      <c r="AK1424" s="55"/>
      <c r="AL1424" s="55"/>
      <c r="AM1424" s="56">
        <f t="shared" si="1425"/>
        <v>0</v>
      </c>
      <c r="AN1424" s="54"/>
      <c r="AO1424" s="55"/>
      <c r="AP1424" s="55"/>
      <c r="AQ1424" s="55"/>
      <c r="AR1424" s="56">
        <f t="shared" si="1426"/>
        <v>0</v>
      </c>
      <c r="AS1424" s="54"/>
      <c r="AT1424" s="55"/>
      <c r="AU1424" s="55"/>
      <c r="AV1424" s="55"/>
      <c r="AW1424" s="56">
        <f t="shared" si="1427"/>
        <v>0</v>
      </c>
      <c r="AX1424" s="55"/>
      <c r="AY1424" s="55"/>
      <c r="AZ1424" s="55"/>
      <c r="BA1424" s="55"/>
      <c r="BB1424" s="56">
        <f t="shared" si="1428"/>
        <v>0</v>
      </c>
      <c r="BC1424" s="56">
        <f t="shared" si="1429"/>
        <v>3</v>
      </c>
      <c r="BD1424" s="298">
        <v>45917</v>
      </c>
      <c r="BE1424" s="276"/>
      <c r="BF1424" s="54"/>
      <c r="BG1424" s="55"/>
      <c r="BH1424" s="55"/>
      <c r="BI1424" s="55"/>
      <c r="BJ1424" s="56">
        <f t="shared" si="1416"/>
        <v>0</v>
      </c>
    </row>
    <row r="1425" spans="1:62" x14ac:dyDescent="0.15">
      <c r="A1425" s="53" t="s">
        <v>98</v>
      </c>
      <c r="B1425" s="54"/>
      <c r="C1425" s="55"/>
      <c r="D1425" s="55"/>
      <c r="E1425" s="55"/>
      <c r="F1425" s="56">
        <f t="shared" si="1417"/>
        <v>0</v>
      </c>
      <c r="G1425" s="54"/>
      <c r="H1425" s="55"/>
      <c r="I1425" s="55"/>
      <c r="J1425" s="55"/>
      <c r="K1425" s="56">
        <f t="shared" si="1435"/>
        <v>0</v>
      </c>
      <c r="L1425" s="54"/>
      <c r="M1425" s="55"/>
      <c r="N1425" s="55"/>
      <c r="O1425" s="55"/>
      <c r="P1425" s="56">
        <f t="shared" si="1436"/>
        <v>0</v>
      </c>
      <c r="Q1425" s="54"/>
      <c r="R1425" s="55"/>
      <c r="S1425" s="55"/>
      <c r="T1425" s="55">
        <v>1</v>
      </c>
      <c r="U1425" s="56">
        <f t="shared" si="1437"/>
        <v>1</v>
      </c>
      <c r="V1425" s="55"/>
      <c r="W1425" s="55"/>
      <c r="X1425" s="55"/>
      <c r="Y1425" s="55"/>
      <c r="Z1425" s="56">
        <f t="shared" si="1438"/>
        <v>0</v>
      </c>
      <c r="AA1425" s="56">
        <f t="shared" si="1439"/>
        <v>1</v>
      </c>
      <c r="AB1425" s="298">
        <v>45922</v>
      </c>
      <c r="AC1425" s="276" t="s">
        <v>696</v>
      </c>
      <c r="AD1425" s="54"/>
      <c r="AE1425" s="55"/>
      <c r="AF1425" s="55"/>
      <c r="AG1425" s="55"/>
      <c r="AH1425" s="56">
        <f t="shared" si="1424"/>
        <v>0</v>
      </c>
      <c r="AI1425" s="54"/>
      <c r="AJ1425" s="55"/>
      <c r="AK1425" s="55"/>
      <c r="AL1425" s="55"/>
      <c r="AM1425" s="56">
        <f t="shared" si="1425"/>
        <v>0</v>
      </c>
      <c r="AN1425" s="54"/>
      <c r="AO1425" s="55"/>
      <c r="AP1425" s="55"/>
      <c r="AQ1425" s="55"/>
      <c r="AR1425" s="56">
        <f t="shared" si="1426"/>
        <v>0</v>
      </c>
      <c r="AS1425" s="54"/>
      <c r="AT1425" s="55"/>
      <c r="AU1425" s="55"/>
      <c r="AV1425" s="55">
        <v>2</v>
      </c>
      <c r="AW1425" s="56">
        <f t="shared" si="1427"/>
        <v>2</v>
      </c>
      <c r="AX1425" s="55"/>
      <c r="AY1425" s="55"/>
      <c r="AZ1425" s="55"/>
      <c r="BA1425" s="55"/>
      <c r="BB1425" s="56">
        <f t="shared" si="1428"/>
        <v>0</v>
      </c>
      <c r="BC1425" s="56">
        <f t="shared" si="1429"/>
        <v>2</v>
      </c>
      <c r="BD1425" s="298">
        <v>45959</v>
      </c>
      <c r="BE1425" s="276"/>
      <c r="BF1425" s="63"/>
      <c r="BG1425" s="63"/>
      <c r="BH1425" s="63"/>
      <c r="BI1425" s="167"/>
      <c r="BJ1425" s="64">
        <f t="shared" si="1416"/>
        <v>0</v>
      </c>
    </row>
    <row r="1426" spans="1:62" x14ac:dyDescent="0.15">
      <c r="A1426" s="53" t="s">
        <v>98</v>
      </c>
      <c r="B1426" s="54"/>
      <c r="C1426" s="55"/>
      <c r="D1426" s="55"/>
      <c r="E1426" s="55"/>
      <c r="F1426" s="56">
        <f t="shared" si="1417"/>
        <v>0</v>
      </c>
      <c r="G1426" s="54"/>
      <c r="H1426" s="55"/>
      <c r="I1426" s="55"/>
      <c r="J1426" s="55"/>
      <c r="K1426" s="56">
        <f t="shared" si="1435"/>
        <v>0</v>
      </c>
      <c r="L1426" s="54"/>
      <c r="M1426" s="55"/>
      <c r="N1426" s="55"/>
      <c r="O1426" s="55"/>
      <c r="P1426" s="56">
        <f t="shared" si="1436"/>
        <v>0</v>
      </c>
      <c r="Q1426" s="54"/>
      <c r="R1426" s="55"/>
      <c r="S1426" s="55"/>
      <c r="T1426" s="55"/>
      <c r="U1426" s="56">
        <f t="shared" si="1437"/>
        <v>0</v>
      </c>
      <c r="V1426" s="55"/>
      <c r="W1426" s="55"/>
      <c r="X1426" s="55">
        <v>1</v>
      </c>
      <c r="Y1426" s="55"/>
      <c r="Z1426" s="56">
        <f t="shared" si="1438"/>
        <v>1</v>
      </c>
      <c r="AA1426" s="56">
        <f t="shared" si="1439"/>
        <v>1</v>
      </c>
      <c r="AB1426" s="299">
        <v>45938</v>
      </c>
      <c r="AC1426" s="276"/>
      <c r="AD1426" s="54"/>
      <c r="AE1426" s="55"/>
      <c r="AF1426" s="55"/>
      <c r="AG1426" s="55"/>
      <c r="AH1426" s="56">
        <f t="shared" si="1424"/>
        <v>0</v>
      </c>
      <c r="AI1426" s="54"/>
      <c r="AJ1426" s="55"/>
      <c r="AK1426" s="55"/>
      <c r="AL1426" s="55"/>
      <c r="AM1426" s="56">
        <f t="shared" si="1425"/>
        <v>0</v>
      </c>
      <c r="AN1426" s="54"/>
      <c r="AO1426" s="55"/>
      <c r="AP1426" s="55"/>
      <c r="AQ1426" s="55"/>
      <c r="AR1426" s="56">
        <f t="shared" si="1426"/>
        <v>0</v>
      </c>
      <c r="AS1426" s="54"/>
      <c r="AT1426" s="55"/>
      <c r="AU1426" s="55"/>
      <c r="AV1426" s="55"/>
      <c r="AW1426" s="56">
        <f t="shared" si="1427"/>
        <v>0</v>
      </c>
      <c r="AX1426" s="55"/>
      <c r="AY1426" s="55"/>
      <c r="AZ1426" s="55"/>
      <c r="BA1426" s="55"/>
      <c r="BB1426" s="56">
        <f t="shared" si="1428"/>
        <v>0</v>
      </c>
      <c r="BC1426" s="56">
        <f t="shared" si="1429"/>
        <v>0</v>
      </c>
      <c r="BD1426" s="300"/>
      <c r="BE1426" s="277"/>
      <c r="BF1426" s="54"/>
      <c r="BG1426" s="55"/>
      <c r="BH1426" s="55"/>
      <c r="BI1426" s="55"/>
      <c r="BJ1426" s="56">
        <f t="shared" si="1416"/>
        <v>0</v>
      </c>
    </row>
    <row r="1427" spans="1:62" x14ac:dyDescent="0.15">
      <c r="A1427" s="65" t="s">
        <v>693</v>
      </c>
      <c r="B1427" s="54"/>
      <c r="C1427" s="55"/>
      <c r="D1427" s="55"/>
      <c r="E1427" s="55"/>
      <c r="F1427" s="56">
        <f t="shared" si="1417"/>
        <v>0</v>
      </c>
      <c r="G1427" s="54">
        <v>1</v>
      </c>
      <c r="H1427" s="55">
        <v>1</v>
      </c>
      <c r="I1427" s="55">
        <v>1</v>
      </c>
      <c r="J1427" s="55">
        <v>1</v>
      </c>
      <c r="K1427" s="56">
        <f t="shared" si="1435"/>
        <v>4</v>
      </c>
      <c r="L1427" s="54"/>
      <c r="M1427" s="55"/>
      <c r="N1427" s="55"/>
      <c r="O1427" s="55"/>
      <c r="P1427" s="56">
        <f t="shared" si="1436"/>
        <v>0</v>
      </c>
      <c r="Q1427" s="54"/>
      <c r="R1427" s="55"/>
      <c r="S1427" s="55"/>
      <c r="T1427" s="55"/>
      <c r="U1427" s="56">
        <f t="shared" si="1437"/>
        <v>0</v>
      </c>
      <c r="V1427" s="55"/>
      <c r="W1427" s="55"/>
      <c r="X1427" s="55"/>
      <c r="Y1427" s="55"/>
      <c r="Z1427" s="56">
        <f t="shared" si="1438"/>
        <v>0</v>
      </c>
      <c r="AA1427" s="56">
        <f t="shared" si="1439"/>
        <v>4</v>
      </c>
      <c r="AB1427" s="299">
        <v>45946</v>
      </c>
      <c r="AC1427" s="276"/>
      <c r="AD1427" s="54"/>
      <c r="AE1427" s="55"/>
      <c r="AF1427" s="55"/>
      <c r="AG1427" s="55"/>
      <c r="AH1427" s="56">
        <f t="shared" si="1424"/>
        <v>0</v>
      </c>
      <c r="AI1427" s="54"/>
      <c r="AJ1427" s="55"/>
      <c r="AK1427" s="55"/>
      <c r="AL1427" s="55"/>
      <c r="AM1427" s="56">
        <f t="shared" si="1425"/>
        <v>0</v>
      </c>
      <c r="AN1427" s="54"/>
      <c r="AO1427" s="55"/>
      <c r="AP1427" s="55"/>
      <c r="AQ1427" s="55"/>
      <c r="AR1427" s="56">
        <f t="shared" si="1426"/>
        <v>0</v>
      </c>
      <c r="AS1427" s="54"/>
      <c r="AT1427" s="55"/>
      <c r="AU1427" s="55"/>
      <c r="AV1427" s="55"/>
      <c r="AW1427" s="56">
        <f t="shared" si="1427"/>
        <v>0</v>
      </c>
      <c r="AX1427" s="55"/>
      <c r="AY1427" s="55"/>
      <c r="AZ1427" s="55"/>
      <c r="BA1427" s="55"/>
      <c r="BB1427" s="56">
        <f t="shared" si="1428"/>
        <v>0</v>
      </c>
      <c r="BC1427" s="56">
        <f t="shared" si="1429"/>
        <v>0</v>
      </c>
      <c r="BE1427" s="276"/>
      <c r="BF1427" s="54"/>
      <c r="BG1427" s="55"/>
      <c r="BH1427" s="55"/>
      <c r="BI1427" s="55"/>
      <c r="BJ1427" s="56">
        <f t="shared" si="1416"/>
        <v>0</v>
      </c>
    </row>
    <row r="1428" spans="1:62" x14ac:dyDescent="0.15">
      <c r="A1428" s="53" t="s">
        <v>694</v>
      </c>
      <c r="B1428" s="54"/>
      <c r="C1428" s="55"/>
      <c r="D1428" s="55"/>
      <c r="E1428" s="55"/>
      <c r="F1428" s="56">
        <f t="shared" si="1417"/>
        <v>0</v>
      </c>
      <c r="G1428" s="54"/>
      <c r="H1428" s="55"/>
      <c r="I1428" s="55"/>
      <c r="J1428" s="55"/>
      <c r="K1428" s="56">
        <f t="shared" si="1435"/>
        <v>0</v>
      </c>
      <c r="L1428" s="54"/>
      <c r="M1428" s="55"/>
      <c r="N1428" s="55"/>
      <c r="O1428" s="55"/>
      <c r="P1428" s="56">
        <f t="shared" si="1436"/>
        <v>0</v>
      </c>
      <c r="Q1428" s="54"/>
      <c r="R1428" s="55"/>
      <c r="S1428" s="55"/>
      <c r="T1428" s="55"/>
      <c r="U1428" s="56">
        <f t="shared" si="1437"/>
        <v>0</v>
      </c>
      <c r="V1428" s="55"/>
      <c r="W1428" s="55">
        <v>1</v>
      </c>
      <c r="X1428" s="55"/>
      <c r="Y1428" s="55"/>
      <c r="Z1428" s="56">
        <f t="shared" si="1438"/>
        <v>1</v>
      </c>
      <c r="AA1428" s="56">
        <f t="shared" si="1439"/>
        <v>1</v>
      </c>
      <c r="AB1428" s="298">
        <v>45947</v>
      </c>
      <c r="AC1428" s="276"/>
      <c r="AD1428" s="54"/>
      <c r="AE1428" s="55"/>
      <c r="AF1428" s="55"/>
      <c r="AG1428" s="55"/>
      <c r="AH1428" s="56">
        <f t="shared" si="1424"/>
        <v>0</v>
      </c>
      <c r="AI1428" s="54"/>
      <c r="AJ1428" s="55"/>
      <c r="AK1428" s="55"/>
      <c r="AL1428" s="55"/>
      <c r="AM1428" s="56">
        <f t="shared" si="1425"/>
        <v>0</v>
      </c>
      <c r="AN1428" s="54"/>
      <c r="AO1428" s="55"/>
      <c r="AP1428" s="55"/>
      <c r="AQ1428" s="55"/>
      <c r="AR1428" s="56">
        <f t="shared" si="1426"/>
        <v>0</v>
      </c>
      <c r="AS1428" s="54"/>
      <c r="AT1428" s="55"/>
      <c r="AU1428" s="55"/>
      <c r="AV1428" s="55"/>
      <c r="AW1428" s="56">
        <f t="shared" si="1427"/>
        <v>0</v>
      </c>
      <c r="AX1428" s="55"/>
      <c r="AY1428" s="55"/>
      <c r="AZ1428" s="55"/>
      <c r="BA1428" s="55"/>
      <c r="BB1428" s="56">
        <f t="shared" si="1428"/>
        <v>0</v>
      </c>
      <c r="BC1428" s="56">
        <f t="shared" si="1429"/>
        <v>0</v>
      </c>
      <c r="BE1428" s="277"/>
      <c r="BF1428" s="54"/>
      <c r="BG1428" s="55"/>
      <c r="BH1428" s="55"/>
      <c r="BI1428" s="55"/>
      <c r="BJ1428" s="56">
        <f t="shared" si="1416"/>
        <v>0</v>
      </c>
    </row>
    <row r="1429" spans="1:62" x14ac:dyDescent="0.15">
      <c r="A1429" s="53" t="s">
        <v>98</v>
      </c>
      <c r="B1429" s="54"/>
      <c r="C1429" s="55"/>
      <c r="D1429" s="55"/>
      <c r="E1429" s="55"/>
      <c r="F1429" s="56">
        <f t="shared" si="1417"/>
        <v>0</v>
      </c>
      <c r="G1429" s="54"/>
      <c r="H1429" s="55"/>
      <c r="I1429" s="55"/>
      <c r="J1429" s="55">
        <v>1</v>
      </c>
      <c r="K1429" s="56">
        <f t="shared" si="1435"/>
        <v>1</v>
      </c>
      <c r="L1429" s="54"/>
      <c r="M1429" s="55"/>
      <c r="N1429" s="55"/>
      <c r="O1429" s="55"/>
      <c r="P1429" s="56">
        <f t="shared" si="1436"/>
        <v>0</v>
      </c>
      <c r="Q1429" s="54"/>
      <c r="R1429" s="55"/>
      <c r="S1429" s="55"/>
      <c r="T1429" s="55"/>
      <c r="U1429" s="56">
        <f t="shared" si="1437"/>
        <v>0</v>
      </c>
      <c r="V1429" s="55"/>
      <c r="W1429" s="55"/>
      <c r="X1429" s="55"/>
      <c r="Y1429" s="55"/>
      <c r="Z1429" s="56">
        <f t="shared" si="1438"/>
        <v>0</v>
      </c>
      <c r="AA1429" s="56">
        <f t="shared" si="1439"/>
        <v>1</v>
      </c>
      <c r="AB1429" s="299">
        <v>45951</v>
      </c>
      <c r="AC1429" s="276"/>
      <c r="AD1429" s="54"/>
      <c r="AE1429" s="55"/>
      <c r="AF1429" s="55"/>
      <c r="AG1429" s="55"/>
      <c r="AH1429" s="56">
        <f t="shared" si="1424"/>
        <v>0</v>
      </c>
      <c r="AI1429" s="54"/>
      <c r="AJ1429" s="55"/>
      <c r="AK1429" s="55"/>
      <c r="AL1429" s="55"/>
      <c r="AM1429" s="56">
        <f t="shared" si="1425"/>
        <v>0</v>
      </c>
      <c r="AN1429" s="54"/>
      <c r="AO1429" s="55"/>
      <c r="AP1429" s="55"/>
      <c r="AQ1429" s="55"/>
      <c r="AR1429" s="56">
        <f t="shared" si="1426"/>
        <v>0</v>
      </c>
      <c r="AS1429" s="54"/>
      <c r="AT1429" s="55"/>
      <c r="AU1429" s="55"/>
      <c r="AV1429" s="55"/>
      <c r="AW1429" s="56">
        <f t="shared" si="1427"/>
        <v>0</v>
      </c>
      <c r="AX1429" s="55"/>
      <c r="AY1429" s="55"/>
      <c r="AZ1429" s="55"/>
      <c r="BA1429" s="55"/>
      <c r="BB1429" s="56">
        <f t="shared" si="1428"/>
        <v>0</v>
      </c>
      <c r="BC1429" s="56">
        <f t="shared" si="1429"/>
        <v>0</v>
      </c>
      <c r="BE1429" s="268"/>
      <c r="BF1429" s="62"/>
      <c r="BG1429" s="63"/>
      <c r="BH1429" s="63"/>
      <c r="BI1429" s="63"/>
      <c r="BJ1429" s="56">
        <f t="shared" si="1416"/>
        <v>0</v>
      </c>
    </row>
    <row r="1430" spans="1:62" x14ac:dyDescent="0.15">
      <c r="A1430" s="53" t="s">
        <v>695</v>
      </c>
      <c r="B1430" s="54"/>
      <c r="C1430" s="55"/>
      <c r="D1430" s="55"/>
      <c r="E1430" s="55"/>
      <c r="F1430" s="56">
        <f t="shared" si="1417"/>
        <v>0</v>
      </c>
      <c r="G1430" s="54"/>
      <c r="H1430" s="55"/>
      <c r="I1430" s="55"/>
      <c r="J1430" s="55"/>
      <c r="K1430" s="56">
        <f t="shared" si="1435"/>
        <v>0</v>
      </c>
      <c r="L1430" s="54"/>
      <c r="M1430" s="55"/>
      <c r="N1430" s="55"/>
      <c r="O1430" s="55"/>
      <c r="P1430" s="56">
        <f t="shared" si="1436"/>
        <v>0</v>
      </c>
      <c r="Q1430" s="54"/>
      <c r="R1430" s="55">
        <v>-1</v>
      </c>
      <c r="S1430" s="55"/>
      <c r="T1430" s="55"/>
      <c r="U1430" s="56">
        <f t="shared" si="1437"/>
        <v>-1</v>
      </c>
      <c r="V1430" s="55"/>
      <c r="W1430" s="55"/>
      <c r="X1430" s="55"/>
      <c r="Y1430" s="55"/>
      <c r="Z1430" s="56">
        <f t="shared" si="1438"/>
        <v>0</v>
      </c>
      <c r="AA1430" s="56">
        <f t="shared" si="1439"/>
        <v>-1</v>
      </c>
      <c r="AB1430" s="298">
        <v>45950</v>
      </c>
      <c r="AC1430" s="276"/>
      <c r="AD1430" s="54"/>
      <c r="AE1430" s="55"/>
      <c r="AF1430" s="55"/>
      <c r="AG1430" s="55"/>
      <c r="AH1430" s="56">
        <f t="shared" si="1410"/>
        <v>0</v>
      </c>
      <c r="AI1430" s="54"/>
      <c r="AJ1430" s="55"/>
      <c r="AK1430" s="55"/>
      <c r="AL1430" s="55"/>
      <c r="AM1430" s="56">
        <f t="shared" si="1411"/>
        <v>0</v>
      </c>
      <c r="AN1430" s="54"/>
      <c r="AO1430" s="55"/>
      <c r="AP1430" s="55"/>
      <c r="AQ1430" s="55"/>
      <c r="AR1430" s="56">
        <f t="shared" si="1412"/>
        <v>0</v>
      </c>
      <c r="AS1430" s="54"/>
      <c r="AT1430" s="55"/>
      <c r="AU1430" s="55"/>
      <c r="AV1430" s="55"/>
      <c r="AW1430" s="56">
        <f t="shared" si="1413"/>
        <v>0</v>
      </c>
      <c r="AX1430" s="55"/>
      <c r="AY1430" s="55"/>
      <c r="AZ1430" s="55"/>
      <c r="BA1430" s="55"/>
      <c r="BB1430" s="56">
        <f t="shared" si="1414"/>
        <v>0</v>
      </c>
      <c r="BC1430" s="56">
        <f t="shared" ref="BC1430" si="1440">AH1430+AM1430+AR1430+AW1430+BB1430</f>
        <v>0</v>
      </c>
      <c r="BE1430" s="268"/>
      <c r="BF1430" s="54"/>
      <c r="BG1430" s="55"/>
      <c r="BH1430" s="55"/>
      <c r="BI1430" s="55"/>
      <c r="BJ1430" s="56">
        <f t="shared" si="1416"/>
        <v>0</v>
      </c>
    </row>
    <row r="1431" spans="1:62" x14ac:dyDescent="0.15">
      <c r="A1431" s="53" t="s">
        <v>697</v>
      </c>
      <c r="B1431" s="54">
        <v>1</v>
      </c>
      <c r="C1431" s="55">
        <v>1</v>
      </c>
      <c r="D1431" s="55">
        <v>1</v>
      </c>
      <c r="E1431" s="55">
        <v>1</v>
      </c>
      <c r="F1431" s="56">
        <f t="shared" si="1417"/>
        <v>4</v>
      </c>
      <c r="G1431" s="54">
        <v>1</v>
      </c>
      <c r="H1431" s="55">
        <v>2</v>
      </c>
      <c r="I1431" s="55">
        <v>2</v>
      </c>
      <c r="J1431" s="55"/>
      <c r="K1431" s="56">
        <f t="shared" si="1435"/>
        <v>5</v>
      </c>
      <c r="L1431" s="54">
        <v>1</v>
      </c>
      <c r="M1431" s="55"/>
      <c r="N1431" s="55"/>
      <c r="O1431" s="55"/>
      <c r="P1431" s="56">
        <f t="shared" si="1436"/>
        <v>1</v>
      </c>
      <c r="Q1431" s="54">
        <v>3</v>
      </c>
      <c r="R1431" s="55">
        <v>2</v>
      </c>
      <c r="S1431" s="55">
        <v>1</v>
      </c>
      <c r="T1431" s="55"/>
      <c r="U1431" s="56">
        <f t="shared" si="1437"/>
        <v>6</v>
      </c>
      <c r="V1431" s="55">
        <v>4</v>
      </c>
      <c r="W1431" s="55">
        <v>1</v>
      </c>
      <c r="X1431" s="55">
        <v>1</v>
      </c>
      <c r="Y1431" s="55">
        <v>3</v>
      </c>
      <c r="Z1431" s="56">
        <f t="shared" si="1438"/>
        <v>9</v>
      </c>
      <c r="AA1431" s="56">
        <f t="shared" si="1439"/>
        <v>25</v>
      </c>
      <c r="AB1431" s="298">
        <v>45962</v>
      </c>
      <c r="AC1431" s="276"/>
      <c r="AD1431" s="54"/>
      <c r="AE1431" s="55"/>
      <c r="AF1431" s="55"/>
      <c r="AG1431" s="55"/>
      <c r="AH1431" s="56">
        <f t="shared" ref="AH1431:AH1432" si="1441">SUM(AD1431:AG1431)</f>
        <v>0</v>
      </c>
      <c r="AI1431" s="54"/>
      <c r="AJ1431" s="55"/>
      <c r="AK1431" s="55"/>
      <c r="AL1431" s="55"/>
      <c r="AM1431" s="56">
        <f t="shared" ref="AM1431:AM1432" si="1442">SUM(AI1431:AL1431)</f>
        <v>0</v>
      </c>
      <c r="AN1431" s="54"/>
      <c r="AO1431" s="55"/>
      <c r="AP1431" s="55"/>
      <c r="AQ1431" s="55"/>
      <c r="AR1431" s="56">
        <f t="shared" ref="AR1431:AR1432" si="1443">SUM(AN1431:AQ1431)</f>
        <v>0</v>
      </c>
      <c r="AS1431" s="54"/>
      <c r="AT1431" s="55"/>
      <c r="AU1431" s="55"/>
      <c r="AV1431" s="55"/>
      <c r="AW1431" s="56">
        <f t="shared" ref="AW1431:AW1432" si="1444">SUM(AS1431:AV1431)</f>
        <v>0</v>
      </c>
      <c r="AX1431" s="55"/>
      <c r="AY1431" s="55"/>
      <c r="AZ1431" s="55"/>
      <c r="BA1431" s="55"/>
      <c r="BB1431" s="56">
        <f t="shared" ref="BB1431:BB1432" si="1445">SUM(AX1431:BA1431)</f>
        <v>0</v>
      </c>
      <c r="BC1431" s="56">
        <f t="shared" ref="BC1431:BC1432" si="1446">AH1431+AM1431+AR1431+AW1431+BB1431</f>
        <v>0</v>
      </c>
      <c r="BE1431" s="268"/>
      <c r="BF1431" s="62"/>
      <c r="BG1431" s="63"/>
      <c r="BH1431" s="63"/>
      <c r="BI1431" s="63"/>
      <c r="BJ1431" s="56">
        <f t="shared" si="1416"/>
        <v>0</v>
      </c>
    </row>
    <row r="1432" spans="1:62" x14ac:dyDescent="0.15">
      <c r="A1432" s="53" t="s">
        <v>98</v>
      </c>
      <c r="B1432" s="54"/>
      <c r="C1432" s="55"/>
      <c r="D1432" s="55"/>
      <c r="E1432" s="55">
        <v>1</v>
      </c>
      <c r="F1432" s="56">
        <f t="shared" si="1417"/>
        <v>1</v>
      </c>
      <c r="G1432" s="54"/>
      <c r="H1432" s="55"/>
      <c r="I1432" s="55"/>
      <c r="J1432" s="55"/>
      <c r="K1432" s="56">
        <f t="shared" si="1435"/>
        <v>0</v>
      </c>
      <c r="L1432" s="54"/>
      <c r="M1432" s="55">
        <v>1</v>
      </c>
      <c r="N1432" s="55"/>
      <c r="O1432" s="55"/>
      <c r="P1432" s="56">
        <f t="shared" si="1436"/>
        <v>1</v>
      </c>
      <c r="Q1432" s="54"/>
      <c r="R1432" s="55"/>
      <c r="S1432" s="55"/>
      <c r="T1432" s="55"/>
      <c r="U1432" s="56">
        <f t="shared" si="1437"/>
        <v>0</v>
      </c>
      <c r="V1432" s="55"/>
      <c r="W1432" s="55"/>
      <c r="X1432" s="55"/>
      <c r="Y1432" s="55"/>
      <c r="Z1432" s="56">
        <f t="shared" si="1438"/>
        <v>0</v>
      </c>
      <c r="AA1432" s="56">
        <f t="shared" si="1439"/>
        <v>2</v>
      </c>
      <c r="AB1432" s="299">
        <v>45982</v>
      </c>
      <c r="AC1432" s="276"/>
      <c r="AD1432" s="54"/>
      <c r="AE1432" s="55"/>
      <c r="AF1432" s="55"/>
      <c r="AG1432" s="55"/>
      <c r="AH1432" s="56">
        <f t="shared" si="1441"/>
        <v>0</v>
      </c>
      <c r="AI1432" s="54"/>
      <c r="AJ1432" s="55"/>
      <c r="AK1432" s="55"/>
      <c r="AL1432" s="55"/>
      <c r="AM1432" s="56">
        <f t="shared" si="1442"/>
        <v>0</v>
      </c>
      <c r="AN1432" s="54"/>
      <c r="AO1432" s="55"/>
      <c r="AP1432" s="55"/>
      <c r="AQ1432" s="55"/>
      <c r="AR1432" s="56">
        <f t="shared" si="1443"/>
        <v>0</v>
      </c>
      <c r="AS1432" s="54"/>
      <c r="AT1432" s="55"/>
      <c r="AU1432" s="55"/>
      <c r="AV1432" s="55"/>
      <c r="AW1432" s="56">
        <f t="shared" si="1444"/>
        <v>0</v>
      </c>
      <c r="AX1432" s="55"/>
      <c r="AY1432" s="55"/>
      <c r="AZ1432" s="55"/>
      <c r="BA1432" s="55"/>
      <c r="BB1432" s="56">
        <f t="shared" si="1445"/>
        <v>0</v>
      </c>
      <c r="BC1432" s="56">
        <f t="shared" si="1446"/>
        <v>0</v>
      </c>
      <c r="BE1432" s="277"/>
      <c r="BF1432" s="54"/>
      <c r="BG1432" s="55"/>
      <c r="BH1432" s="55"/>
      <c r="BI1432" s="55"/>
      <c r="BJ1432" s="56">
        <f t="shared" si="1416"/>
        <v>0</v>
      </c>
    </row>
    <row r="1433" spans="1:62" ht="14.25" thickBot="1" x14ac:dyDescent="0.2">
      <c r="A1433" s="53" t="s">
        <v>701</v>
      </c>
      <c r="B1433" s="33"/>
      <c r="C1433" s="34"/>
      <c r="D1433" s="34"/>
      <c r="E1433" s="34"/>
      <c r="F1433" s="30">
        <f t="shared" si="1417"/>
        <v>0</v>
      </c>
      <c r="G1433" s="33"/>
      <c r="H1433" s="34"/>
      <c r="I1433" s="34"/>
      <c r="J1433" s="34"/>
      <c r="K1433" s="30">
        <f t="shared" si="1435"/>
        <v>0</v>
      </c>
      <c r="L1433" s="33"/>
      <c r="M1433" s="34"/>
      <c r="N1433" s="34"/>
      <c r="O1433" s="34"/>
      <c r="P1433" s="30">
        <f t="shared" si="1436"/>
        <v>0</v>
      </c>
      <c r="Q1433" s="33"/>
      <c r="R1433" s="34"/>
      <c r="S1433" s="34"/>
      <c r="T1433" s="34">
        <v>1</v>
      </c>
      <c r="U1433" s="30">
        <f t="shared" si="1437"/>
        <v>1</v>
      </c>
      <c r="V1433" s="34"/>
      <c r="W1433" s="34"/>
      <c r="X1433" s="34"/>
      <c r="Y1433" s="34"/>
      <c r="Z1433" s="30">
        <f t="shared" si="1438"/>
        <v>0</v>
      </c>
      <c r="AA1433" s="56">
        <f>F1433+K1433+P1433+U1433+Z1433</f>
        <v>1</v>
      </c>
      <c r="AB1433" s="298">
        <v>45988</v>
      </c>
      <c r="AC1433" s="276"/>
      <c r="AD1433" s="54"/>
      <c r="AE1433" s="55"/>
      <c r="AF1433" s="55"/>
      <c r="AG1433" s="55"/>
      <c r="AH1433" s="56">
        <f t="shared" ref="AH1433" si="1447">SUM(AD1433:AG1433)</f>
        <v>0</v>
      </c>
      <c r="AI1433" s="54"/>
      <c r="AJ1433" s="55"/>
      <c r="AK1433" s="55"/>
      <c r="AL1433" s="55"/>
      <c r="AM1433" s="56">
        <f t="shared" ref="AM1433" si="1448">SUM(AI1433:AL1433)</f>
        <v>0</v>
      </c>
      <c r="AN1433" s="54"/>
      <c r="AO1433" s="55"/>
      <c r="AP1433" s="55"/>
      <c r="AQ1433" s="55"/>
      <c r="AR1433" s="56">
        <f t="shared" ref="AR1433" si="1449">SUM(AN1433:AQ1433)</f>
        <v>0</v>
      </c>
      <c r="AS1433" s="54"/>
      <c r="AT1433" s="55"/>
      <c r="AU1433" s="55"/>
      <c r="AV1433" s="55"/>
      <c r="AW1433" s="56">
        <f t="shared" ref="AW1433" si="1450">SUM(AS1433:AV1433)</f>
        <v>0</v>
      </c>
      <c r="AX1433" s="55"/>
      <c r="AY1433" s="55"/>
      <c r="AZ1433" s="55"/>
      <c r="BA1433" s="55"/>
      <c r="BB1433" s="56">
        <f t="shared" ref="BB1433" si="1451">SUM(AX1433:BA1433)</f>
        <v>0</v>
      </c>
      <c r="BC1433" s="56">
        <f t="shared" ref="BC1433" si="1452">AH1433+AM1433+AR1433+AW1433+BB1433</f>
        <v>0</v>
      </c>
      <c r="BE1433" s="282"/>
      <c r="BF1433" s="33"/>
      <c r="BG1433" s="34"/>
      <c r="BH1433" s="34"/>
      <c r="BI1433" s="34"/>
      <c r="BJ1433" s="30">
        <f t="shared" si="1416"/>
        <v>0</v>
      </c>
    </row>
    <row r="1434" spans="1:62" ht="15" thickBot="1" x14ac:dyDescent="0.2">
      <c r="A1434" s="9" t="s">
        <v>15</v>
      </c>
      <c r="B1434" s="36">
        <f>SUM(B1408:B1433)</f>
        <v>1</v>
      </c>
      <c r="C1434" s="37">
        <f>SUM(C1408:C1433)</f>
        <v>3</v>
      </c>
      <c r="D1434" s="37">
        <f>SUM(D1408:D1433)</f>
        <v>2</v>
      </c>
      <c r="E1434" s="38">
        <f>SUM(E1408:E1433)</f>
        <v>7</v>
      </c>
      <c r="F1434" s="25">
        <f t="shared" si="1417"/>
        <v>13</v>
      </c>
      <c r="G1434" s="36">
        <f>SUM(G1408:G1433)</f>
        <v>6</v>
      </c>
      <c r="H1434" s="37">
        <f>SUM(H1408:H1433)</f>
        <v>5</v>
      </c>
      <c r="I1434" s="37">
        <f>SUM(I1408:I1433)</f>
        <v>5</v>
      </c>
      <c r="J1434" s="38">
        <f>SUM(J1408:J1433)</f>
        <v>4</v>
      </c>
      <c r="K1434" s="25">
        <f t="shared" si="1435"/>
        <v>20</v>
      </c>
      <c r="L1434" s="36">
        <f>SUM(L1408:L1433)</f>
        <v>1</v>
      </c>
      <c r="M1434" s="37">
        <f>SUM(M1408:M1433)</f>
        <v>4</v>
      </c>
      <c r="N1434" s="37">
        <f>SUM(N1408:N1433)</f>
        <v>4</v>
      </c>
      <c r="O1434" s="38">
        <f>SUM(O1408:O1433)</f>
        <v>3</v>
      </c>
      <c r="P1434" s="25">
        <f t="shared" si="1436"/>
        <v>12</v>
      </c>
      <c r="Q1434" s="36">
        <f>SUM(Q1408:Q1433)</f>
        <v>3</v>
      </c>
      <c r="R1434" s="37">
        <f>SUM(R1408:R1433)</f>
        <v>2</v>
      </c>
      <c r="S1434" s="37">
        <f>SUM(S1408:S1433)</f>
        <v>4</v>
      </c>
      <c r="T1434" s="38">
        <f>SUM(T1408:T1433)</f>
        <v>4</v>
      </c>
      <c r="U1434" s="25">
        <f t="shared" si="1437"/>
        <v>13</v>
      </c>
      <c r="V1434" s="322">
        <f>SUM(V1408:V1433)</f>
        <v>4</v>
      </c>
      <c r="W1434" s="37">
        <f>SUM(W1408:W1433)</f>
        <v>4</v>
      </c>
      <c r="X1434" s="37">
        <f>SUM(X1408:X1433)</f>
        <v>4</v>
      </c>
      <c r="Y1434" s="38">
        <f>SUM(Y1408:Y1433)</f>
        <v>3</v>
      </c>
      <c r="Z1434" s="25">
        <f t="shared" si="1438"/>
        <v>15</v>
      </c>
      <c r="AA1434" s="161">
        <f>F1434+K1434+P1434+U1434+Z1434</f>
        <v>73</v>
      </c>
      <c r="AC1434" s="278" t="s">
        <v>15</v>
      </c>
      <c r="AD1434" s="36">
        <f>SUM(AD1408:AD1433)</f>
        <v>0</v>
      </c>
      <c r="AE1434" s="37">
        <f>SUM(AE1408:AE1433)</f>
        <v>0</v>
      </c>
      <c r="AF1434" s="37">
        <f>SUM(AF1408:AF1433)</f>
        <v>0</v>
      </c>
      <c r="AG1434" s="38">
        <f>SUM(AG1408:AG1433)</f>
        <v>3</v>
      </c>
      <c r="AH1434" s="25">
        <f t="shared" ref="AH1434:AH1435" si="1453">SUM(AD1434:AG1434)</f>
        <v>3</v>
      </c>
      <c r="AI1434" s="36">
        <f>SUM(AI1408:AI1433)</f>
        <v>13</v>
      </c>
      <c r="AJ1434" s="37">
        <f>SUM(AJ1408:AJ1433)</f>
        <v>8</v>
      </c>
      <c r="AK1434" s="37">
        <f>SUM(AK1408:AK1433)</f>
        <v>9</v>
      </c>
      <c r="AL1434" s="38">
        <f>SUM(AL1408:AL1433)</f>
        <v>2</v>
      </c>
      <c r="AM1434" s="25">
        <f t="shared" ref="AM1434:AM1435" si="1454">SUM(AI1434:AL1434)</f>
        <v>32</v>
      </c>
      <c r="AN1434" s="36">
        <f>SUM(AN1408:AN1433)</f>
        <v>0</v>
      </c>
      <c r="AO1434" s="37">
        <f>SUM(AO1408:AO1433)</f>
        <v>2</v>
      </c>
      <c r="AP1434" s="37">
        <f>SUM(AP1408:AP1433)</f>
        <v>2</v>
      </c>
      <c r="AQ1434" s="38">
        <f>SUM(AQ1408:AQ1433)</f>
        <v>0</v>
      </c>
      <c r="AR1434" s="25">
        <f t="shared" si="1412"/>
        <v>4</v>
      </c>
      <c r="AS1434" s="36">
        <f>SUM(AS1408:AS1433)</f>
        <v>3</v>
      </c>
      <c r="AT1434" s="37">
        <f>SUM(AT1408:AT1433)</f>
        <v>8</v>
      </c>
      <c r="AU1434" s="37">
        <f>SUM(AU1408:AU1433)</f>
        <v>6</v>
      </c>
      <c r="AV1434" s="38">
        <f>SUM(AV1408:AV1433)</f>
        <v>2</v>
      </c>
      <c r="AW1434" s="25">
        <f t="shared" si="1413"/>
        <v>19</v>
      </c>
      <c r="AX1434" s="322">
        <f>SUM(AX1408:AX1433)</f>
        <v>0</v>
      </c>
      <c r="AY1434" s="37">
        <f>SUM(AY1408:AY1433)</f>
        <v>0</v>
      </c>
      <c r="AZ1434" s="37">
        <f>SUM(AZ1408:AZ1433)</f>
        <v>0</v>
      </c>
      <c r="BA1434" s="38">
        <f>SUM(BA1408:BA1433)</f>
        <v>0</v>
      </c>
      <c r="BB1434" s="25">
        <f t="shared" si="1414"/>
        <v>0</v>
      </c>
      <c r="BC1434" s="161">
        <f>AH1434+AM1434+AR1434+AW1434+BB1434</f>
        <v>58</v>
      </c>
      <c r="BE1434" s="278" t="s">
        <v>15</v>
      </c>
      <c r="BF1434" s="312">
        <f>SUM(BF1408:BF1433)</f>
        <v>0</v>
      </c>
      <c r="BG1434" s="302">
        <f>SUM(BG1408:BG1433)</f>
        <v>0</v>
      </c>
      <c r="BH1434" s="37">
        <f>SUM(BH1408:BH1433)</f>
        <v>5</v>
      </c>
      <c r="BI1434" s="316">
        <f>SUM(BI1408:BI1433)</f>
        <v>0</v>
      </c>
      <c r="BJ1434" s="25">
        <f t="shared" si="1416"/>
        <v>5</v>
      </c>
    </row>
    <row r="1435" spans="1:62" ht="14.25" thickBot="1" x14ac:dyDescent="0.2">
      <c r="A1435" s="39" t="s">
        <v>16</v>
      </c>
      <c r="B1435" s="40">
        <f>B1407-B1434</f>
        <v>2</v>
      </c>
      <c r="C1435" s="41">
        <f>C1407-C1434</f>
        <v>2</v>
      </c>
      <c r="D1435" s="41">
        <f>D1407-D1434</f>
        <v>2</v>
      </c>
      <c r="E1435" s="42">
        <f>E1407-E1434</f>
        <v>1</v>
      </c>
      <c r="F1435" s="171">
        <f t="shared" si="1417"/>
        <v>7</v>
      </c>
      <c r="G1435" s="40">
        <f>G1407-G1434</f>
        <v>2</v>
      </c>
      <c r="H1435" s="41">
        <f>H1407-H1434</f>
        <v>2</v>
      </c>
      <c r="I1435" s="41">
        <f>I1407-I1434</f>
        <v>2</v>
      </c>
      <c r="J1435" s="42">
        <f>J1407-J1434</f>
        <v>1</v>
      </c>
      <c r="K1435" s="171">
        <f t="shared" si="1435"/>
        <v>7</v>
      </c>
      <c r="L1435" s="40">
        <f>L1407-L1434</f>
        <v>2</v>
      </c>
      <c r="M1435" s="41">
        <f>M1407-M1434</f>
        <v>1</v>
      </c>
      <c r="N1435" s="41">
        <f>N1407-N1434</f>
        <v>1</v>
      </c>
      <c r="O1435" s="42">
        <f>O1407-O1434</f>
        <v>2</v>
      </c>
      <c r="P1435" s="171">
        <f t="shared" si="1436"/>
        <v>6</v>
      </c>
      <c r="Q1435" s="40">
        <f>Q1407-Q1434</f>
        <v>2</v>
      </c>
      <c r="R1435" s="41">
        <f>R1407-R1434</f>
        <v>2</v>
      </c>
      <c r="S1435" s="41">
        <f>S1407-S1434</f>
        <v>2</v>
      </c>
      <c r="T1435" s="42">
        <f>T1407-T1434</f>
        <v>0</v>
      </c>
      <c r="U1435" s="171">
        <f t="shared" si="1437"/>
        <v>6</v>
      </c>
      <c r="V1435" s="323">
        <f>V1407-V1434</f>
        <v>2</v>
      </c>
      <c r="W1435" s="41">
        <f>W1407-W1434</f>
        <v>2</v>
      </c>
      <c r="X1435" s="41">
        <f>X1407-X1434</f>
        <v>2</v>
      </c>
      <c r="Y1435" s="42">
        <f>Y1407-Y1434</f>
        <v>2</v>
      </c>
      <c r="Z1435" s="171">
        <f>SUM(V1435:Y1435)</f>
        <v>8</v>
      </c>
      <c r="AA1435" s="77">
        <f>F1435+K1435+P1435+U1435+Z1435</f>
        <v>34</v>
      </c>
      <c r="AC1435" s="279" t="s">
        <v>16</v>
      </c>
      <c r="AD1435" s="40">
        <f>AD1407-AD1434</f>
        <v>72</v>
      </c>
      <c r="AE1435" s="41">
        <f>AE1407-AE1434</f>
        <v>62</v>
      </c>
      <c r="AF1435" s="41">
        <f>AF1407-AF1434</f>
        <v>123</v>
      </c>
      <c r="AG1435" s="42">
        <f>AG1407-AG1434</f>
        <v>43</v>
      </c>
      <c r="AH1435" s="171">
        <f t="shared" si="1453"/>
        <v>300</v>
      </c>
      <c r="AI1435" s="40">
        <f>AI1407-AI1434</f>
        <v>57</v>
      </c>
      <c r="AJ1435" s="41">
        <f>AJ1407-AJ1434</f>
        <v>114</v>
      </c>
      <c r="AK1435" s="41">
        <f>AK1407-AK1434</f>
        <v>76</v>
      </c>
      <c r="AL1435" s="42">
        <f>AL1407-AL1434</f>
        <v>72</v>
      </c>
      <c r="AM1435" s="171">
        <f t="shared" si="1454"/>
        <v>319</v>
      </c>
      <c r="AN1435" s="40">
        <f>AN1407-AN1434</f>
        <v>31</v>
      </c>
      <c r="AO1435" s="41">
        <f>AO1407-AO1434</f>
        <v>36</v>
      </c>
      <c r="AP1435" s="41">
        <f>AP1407-AP1434</f>
        <v>35</v>
      </c>
      <c r="AQ1435" s="42">
        <f>AQ1407-AQ1434</f>
        <v>14</v>
      </c>
      <c r="AR1435" s="171">
        <f t="shared" si="1412"/>
        <v>116</v>
      </c>
      <c r="AS1435" s="40">
        <f>AS1407-AS1434</f>
        <v>128</v>
      </c>
      <c r="AT1435" s="41">
        <f>AT1407-AT1434</f>
        <v>138</v>
      </c>
      <c r="AU1435" s="41">
        <f>AU1407-AU1434</f>
        <v>69</v>
      </c>
      <c r="AV1435" s="42">
        <f>AV1407-AV1434</f>
        <v>45</v>
      </c>
      <c r="AW1435" s="171">
        <f t="shared" si="1413"/>
        <v>380</v>
      </c>
      <c r="AX1435" s="323">
        <f>AX1407-AX1434</f>
        <v>105</v>
      </c>
      <c r="AY1435" s="41">
        <f>AY1407-AY1434</f>
        <v>79</v>
      </c>
      <c r="AZ1435" s="41">
        <f>AZ1407-AZ1434</f>
        <v>42</v>
      </c>
      <c r="BA1435" s="42">
        <f>BA1407-BA1434</f>
        <v>27</v>
      </c>
      <c r="BB1435" s="171">
        <f>SUM(AX1435:BA1435)</f>
        <v>253</v>
      </c>
      <c r="BC1435" s="77">
        <f>AH1435+AM1435+AR1435+AW1435+BB1435</f>
        <v>1368</v>
      </c>
      <c r="BE1435" s="279" t="s">
        <v>16</v>
      </c>
      <c r="BF1435" s="313">
        <f>BF1407-BF1434</f>
        <v>0</v>
      </c>
      <c r="BG1435" s="303">
        <f>BG1407-BG1434</f>
        <v>0</v>
      </c>
      <c r="BH1435" s="41">
        <f>BH1407-BH1434</f>
        <v>5</v>
      </c>
      <c r="BI1435" s="317">
        <f>BI1407-BI1434</f>
        <v>0</v>
      </c>
      <c r="BJ1435" s="171">
        <f t="shared" si="1416"/>
        <v>5</v>
      </c>
    </row>
    <row r="1439" spans="1:62" ht="19.5" thickBot="1" x14ac:dyDescent="0.25">
      <c r="A1439" s="185" t="s">
        <v>19</v>
      </c>
      <c r="B1439" s="186"/>
      <c r="C1439" s="186"/>
      <c r="D1439" s="186"/>
      <c r="E1439" s="186"/>
      <c r="F1439" s="186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C1439" s="187" t="s">
        <v>73</v>
      </c>
      <c r="AD1439" s="188"/>
      <c r="AE1439" s="188"/>
      <c r="AF1439" s="188"/>
      <c r="AG1439" s="188"/>
      <c r="AH1439" s="188"/>
      <c r="AI1439" s="188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E1439" s="185" t="s">
        <v>19</v>
      </c>
      <c r="BF1439" s="186"/>
      <c r="BG1439" s="186"/>
      <c r="BH1439" s="186"/>
      <c r="BI1439" s="186"/>
      <c r="BJ1439" s="186"/>
    </row>
    <row r="1440" spans="1:62" ht="14.25" thickBot="1" x14ac:dyDescent="0.2">
      <c r="A1440" s="3" t="s">
        <v>0</v>
      </c>
      <c r="B1440" s="365" t="s">
        <v>17</v>
      </c>
      <c r="C1440" s="366"/>
      <c r="D1440" s="366"/>
      <c r="E1440" s="366"/>
      <c r="F1440" s="367"/>
      <c r="G1440" s="368" t="s">
        <v>704</v>
      </c>
      <c r="H1440" s="369"/>
      <c r="I1440" s="369"/>
      <c r="J1440" s="369"/>
      <c r="K1440" s="370"/>
      <c r="L1440" s="371" t="s">
        <v>320</v>
      </c>
      <c r="M1440" s="372"/>
      <c r="N1440" s="372"/>
      <c r="O1440" s="372"/>
      <c r="P1440" s="373"/>
      <c r="Q1440" s="355" t="s">
        <v>75</v>
      </c>
      <c r="R1440" s="356"/>
      <c r="S1440" s="356"/>
      <c r="T1440" s="356"/>
      <c r="U1440" s="357"/>
      <c r="V1440" s="358" t="s">
        <v>456</v>
      </c>
      <c r="W1440" s="358"/>
      <c r="X1440" s="358"/>
      <c r="Y1440" s="358"/>
      <c r="Z1440" s="359"/>
      <c r="AA1440" s="360" t="s">
        <v>1</v>
      </c>
      <c r="AC1440" s="271" t="s">
        <v>0</v>
      </c>
      <c r="AD1440" s="365" t="s">
        <v>17</v>
      </c>
      <c r="AE1440" s="366"/>
      <c r="AF1440" s="366"/>
      <c r="AG1440" s="366"/>
      <c r="AH1440" s="367"/>
      <c r="AI1440" s="368" t="s">
        <v>18</v>
      </c>
      <c r="AJ1440" s="369"/>
      <c r="AK1440" s="369"/>
      <c r="AL1440" s="369"/>
      <c r="AM1440" s="370"/>
      <c r="AN1440" s="371" t="s">
        <v>320</v>
      </c>
      <c r="AO1440" s="372"/>
      <c r="AP1440" s="372"/>
      <c r="AQ1440" s="372"/>
      <c r="AR1440" s="373"/>
      <c r="AS1440" s="355" t="s">
        <v>75</v>
      </c>
      <c r="AT1440" s="356"/>
      <c r="AU1440" s="356"/>
      <c r="AV1440" s="356"/>
      <c r="AW1440" s="357"/>
      <c r="AX1440" s="358" t="s">
        <v>456</v>
      </c>
      <c r="AY1440" s="358"/>
      <c r="AZ1440" s="358"/>
      <c r="BA1440" s="358"/>
      <c r="BB1440" s="359"/>
      <c r="BC1440" s="360" t="s">
        <v>1</v>
      </c>
      <c r="BE1440" s="271" t="s">
        <v>0</v>
      </c>
      <c r="BF1440" s="362" t="s">
        <v>38</v>
      </c>
      <c r="BG1440" s="363"/>
      <c r="BH1440" s="363"/>
      <c r="BI1440" s="363"/>
      <c r="BJ1440" s="364"/>
    </row>
    <row r="1441" spans="1:63" ht="14.25" thickBot="1" x14ac:dyDescent="0.2">
      <c r="A1441" s="5" t="s">
        <v>2</v>
      </c>
      <c r="B1441" s="6" t="s">
        <v>3</v>
      </c>
      <c r="C1441" s="7" t="s">
        <v>4</v>
      </c>
      <c r="D1441" s="7" t="s">
        <v>5</v>
      </c>
      <c r="E1441" s="8" t="s">
        <v>6</v>
      </c>
      <c r="F1441" s="5" t="s">
        <v>7</v>
      </c>
      <c r="G1441" s="6" t="s">
        <v>3</v>
      </c>
      <c r="H1441" s="7" t="s">
        <v>4</v>
      </c>
      <c r="I1441" s="7" t="s">
        <v>5</v>
      </c>
      <c r="J1441" s="8" t="s">
        <v>6</v>
      </c>
      <c r="K1441" s="5" t="s">
        <v>7</v>
      </c>
      <c r="L1441" s="6" t="s">
        <v>3</v>
      </c>
      <c r="M1441" s="7" t="s">
        <v>4</v>
      </c>
      <c r="N1441" s="7" t="s">
        <v>5</v>
      </c>
      <c r="O1441" s="8" t="s">
        <v>6</v>
      </c>
      <c r="P1441" s="5" t="s">
        <v>7</v>
      </c>
      <c r="Q1441" s="6" t="s">
        <v>3</v>
      </c>
      <c r="R1441" s="7" t="s">
        <v>4</v>
      </c>
      <c r="S1441" s="7" t="s">
        <v>5</v>
      </c>
      <c r="T1441" s="8" t="s">
        <v>6</v>
      </c>
      <c r="U1441" s="5" t="s">
        <v>7</v>
      </c>
      <c r="V1441" s="7" t="s">
        <v>3</v>
      </c>
      <c r="W1441" s="7" t="s">
        <v>4</v>
      </c>
      <c r="X1441" s="7" t="s">
        <v>5</v>
      </c>
      <c r="Y1441" s="8" t="s">
        <v>6</v>
      </c>
      <c r="Z1441" s="5" t="s">
        <v>7</v>
      </c>
      <c r="AA1441" s="361"/>
      <c r="AC1441" s="272" t="s">
        <v>2</v>
      </c>
      <c r="AD1441" s="6" t="s">
        <v>3</v>
      </c>
      <c r="AE1441" s="7" t="s">
        <v>4</v>
      </c>
      <c r="AF1441" s="7" t="s">
        <v>5</v>
      </c>
      <c r="AG1441" s="8" t="s">
        <v>6</v>
      </c>
      <c r="AH1441" s="5" t="s">
        <v>7</v>
      </c>
      <c r="AI1441" s="6" t="s">
        <v>3</v>
      </c>
      <c r="AJ1441" s="7" t="s">
        <v>4</v>
      </c>
      <c r="AK1441" s="7" t="s">
        <v>5</v>
      </c>
      <c r="AL1441" s="8" t="s">
        <v>6</v>
      </c>
      <c r="AM1441" s="5" t="s">
        <v>7</v>
      </c>
      <c r="AN1441" s="6" t="s">
        <v>3</v>
      </c>
      <c r="AO1441" s="7" t="s">
        <v>4</v>
      </c>
      <c r="AP1441" s="7" t="s">
        <v>5</v>
      </c>
      <c r="AQ1441" s="8" t="s">
        <v>6</v>
      </c>
      <c r="AR1441" s="5" t="s">
        <v>7</v>
      </c>
      <c r="AS1441" s="6" t="s">
        <v>3</v>
      </c>
      <c r="AT1441" s="7" t="s">
        <v>4</v>
      </c>
      <c r="AU1441" s="7" t="s">
        <v>5</v>
      </c>
      <c r="AV1441" s="8" t="s">
        <v>6</v>
      </c>
      <c r="AW1441" s="5" t="s">
        <v>7</v>
      </c>
      <c r="AX1441" s="7" t="s">
        <v>3</v>
      </c>
      <c r="AY1441" s="7" t="s">
        <v>4</v>
      </c>
      <c r="AZ1441" s="7" t="s">
        <v>5</v>
      </c>
      <c r="BA1441" s="8" t="s">
        <v>6</v>
      </c>
      <c r="BB1441" s="5" t="s">
        <v>7</v>
      </c>
      <c r="BC1441" s="361"/>
      <c r="BE1441" s="272" t="s">
        <v>2</v>
      </c>
      <c r="BF1441" s="6" t="s">
        <v>3</v>
      </c>
      <c r="BG1441" s="7" t="s">
        <v>4</v>
      </c>
      <c r="BH1441" s="7" t="s">
        <v>5</v>
      </c>
      <c r="BI1441" s="8" t="s">
        <v>6</v>
      </c>
      <c r="BJ1441" s="5" t="s">
        <v>7</v>
      </c>
    </row>
    <row r="1442" spans="1:63" ht="15" thickBot="1" x14ac:dyDescent="0.2">
      <c r="A1442" s="291" t="s">
        <v>30</v>
      </c>
      <c r="B1442" s="292">
        <f>B1435</f>
        <v>2</v>
      </c>
      <c r="C1442" s="292">
        <f>C1435</f>
        <v>2</v>
      </c>
      <c r="D1442" s="292">
        <f>D1435</f>
        <v>2</v>
      </c>
      <c r="E1442" s="293">
        <f>E1435</f>
        <v>1</v>
      </c>
      <c r="F1442" s="77">
        <f t="shared" ref="F1442" si="1455">SUM(B1442:E1442)</f>
        <v>7</v>
      </c>
      <c r="G1442" s="292">
        <f>G1435</f>
        <v>2</v>
      </c>
      <c r="H1442" s="292">
        <f>H1435</f>
        <v>2</v>
      </c>
      <c r="I1442" s="292">
        <f>I1435</f>
        <v>2</v>
      </c>
      <c r="J1442" s="293">
        <f>J1435</f>
        <v>1</v>
      </c>
      <c r="K1442" s="77">
        <f t="shared" ref="K1442:K1443" si="1456">SUM(G1442:J1442)</f>
        <v>7</v>
      </c>
      <c r="L1442" s="292">
        <f>L1435</f>
        <v>2</v>
      </c>
      <c r="M1442" s="292">
        <f>M1435</f>
        <v>1</v>
      </c>
      <c r="N1442" s="292">
        <f>N1435</f>
        <v>1</v>
      </c>
      <c r="O1442" s="293">
        <f>O1435</f>
        <v>2</v>
      </c>
      <c r="P1442" s="77">
        <f t="shared" ref="P1442:P1443" si="1457">SUM(L1442:O1442)</f>
        <v>6</v>
      </c>
      <c r="Q1442" s="324">
        <f>Q1435</f>
        <v>2</v>
      </c>
      <c r="R1442" s="292">
        <f>R1435</f>
        <v>2</v>
      </c>
      <c r="S1442" s="292">
        <f>S1435</f>
        <v>2</v>
      </c>
      <c r="T1442" s="293">
        <f>T1435</f>
        <v>0</v>
      </c>
      <c r="U1442" s="77">
        <f t="shared" ref="U1442:U1443" si="1458">SUM(Q1442:T1442)</f>
        <v>6</v>
      </c>
      <c r="V1442" s="324">
        <f>V1435</f>
        <v>2</v>
      </c>
      <c r="W1442" s="292">
        <f>W1435</f>
        <v>2</v>
      </c>
      <c r="X1442" s="292">
        <f>X1435</f>
        <v>2</v>
      </c>
      <c r="Y1442" s="293">
        <f>Y1435</f>
        <v>2</v>
      </c>
      <c r="Z1442" s="77">
        <f t="shared" ref="Z1442:Z1443" si="1459">SUM(V1442:Y1442)</f>
        <v>8</v>
      </c>
      <c r="AA1442" s="77">
        <f>F1442+K1442+P1442+U1442+Z1442</f>
        <v>34</v>
      </c>
      <c r="AC1442" s="294" t="s">
        <v>30</v>
      </c>
      <c r="AD1442" s="292">
        <f>AD1435</f>
        <v>72</v>
      </c>
      <c r="AE1442" s="292">
        <f>AE1435</f>
        <v>62</v>
      </c>
      <c r="AF1442" s="292">
        <f>AF1435</f>
        <v>123</v>
      </c>
      <c r="AG1442" s="293">
        <f>AG1435</f>
        <v>43</v>
      </c>
      <c r="AH1442" s="77">
        <f>SUM(AD1442:AG1442)</f>
        <v>300</v>
      </c>
      <c r="AI1442" s="292">
        <f>AI1435</f>
        <v>57</v>
      </c>
      <c r="AJ1442" s="292">
        <f>AJ1435</f>
        <v>114</v>
      </c>
      <c r="AK1442" s="292">
        <f>AK1435</f>
        <v>76</v>
      </c>
      <c r="AL1442" s="293">
        <f>AL1435</f>
        <v>72</v>
      </c>
      <c r="AM1442" s="77">
        <f>SUM(AI1442:AL1442)</f>
        <v>319</v>
      </c>
      <c r="AN1442" s="292">
        <f>AN1435</f>
        <v>31</v>
      </c>
      <c r="AO1442" s="292">
        <f>AO1435</f>
        <v>36</v>
      </c>
      <c r="AP1442" s="292">
        <f>AP1435</f>
        <v>35</v>
      </c>
      <c r="AQ1442" s="293">
        <f>AQ1435</f>
        <v>14</v>
      </c>
      <c r="AR1442" s="77">
        <f>SUM(AN1442:AQ1442)</f>
        <v>116</v>
      </c>
      <c r="AS1442" s="324">
        <f>AS1435</f>
        <v>128</v>
      </c>
      <c r="AT1442" s="292">
        <f>AT1435</f>
        <v>138</v>
      </c>
      <c r="AU1442" s="292">
        <f>AU1435</f>
        <v>69</v>
      </c>
      <c r="AV1442" s="293">
        <f>AV1435</f>
        <v>45</v>
      </c>
      <c r="AW1442" s="77">
        <f>SUM(AS1442:AV1442)</f>
        <v>380</v>
      </c>
      <c r="AX1442" s="324">
        <f>AX1435</f>
        <v>105</v>
      </c>
      <c r="AY1442" s="292">
        <f>AY1435</f>
        <v>79</v>
      </c>
      <c r="AZ1442" s="292">
        <f>AZ1435</f>
        <v>42</v>
      </c>
      <c r="BA1442" s="293">
        <f>BA1435</f>
        <v>27</v>
      </c>
      <c r="BB1442" s="77">
        <f>SUM(AX1442:BA1442)</f>
        <v>253</v>
      </c>
      <c r="BC1442" s="77">
        <f>AH1442+AM1442+AR1442+AW1442+BB1442</f>
        <v>1368</v>
      </c>
      <c r="BE1442" s="294" t="s">
        <v>30</v>
      </c>
      <c r="BF1442" s="40">
        <f>BF1435</f>
        <v>0</v>
      </c>
      <c r="BG1442" s="41">
        <f t="shared" ref="BG1442:BJ1442" si="1460">BG1435</f>
        <v>0</v>
      </c>
      <c r="BH1442" s="41">
        <f t="shared" si="1460"/>
        <v>5</v>
      </c>
      <c r="BI1442" s="42">
        <f t="shared" si="1460"/>
        <v>0</v>
      </c>
      <c r="BJ1442" s="171">
        <f t="shared" si="1460"/>
        <v>5</v>
      </c>
    </row>
    <row r="1443" spans="1:63" x14ac:dyDescent="0.15">
      <c r="A1443" s="268" t="s">
        <v>28</v>
      </c>
      <c r="B1443" s="54"/>
      <c r="C1443" s="55"/>
      <c r="D1443" s="55"/>
      <c r="E1443" s="55"/>
      <c r="F1443" s="56">
        <f t="shared" ref="F1443" si="1461">SUM(B1443:E1443)</f>
        <v>0</v>
      </c>
      <c r="G1443" s="54"/>
      <c r="H1443" s="55"/>
      <c r="I1443" s="55"/>
      <c r="J1443" s="55"/>
      <c r="K1443" s="56">
        <f t="shared" si="1456"/>
        <v>0</v>
      </c>
      <c r="L1443" s="54"/>
      <c r="M1443" s="55"/>
      <c r="N1443" s="55"/>
      <c r="O1443" s="55"/>
      <c r="P1443" s="56">
        <f t="shared" si="1457"/>
        <v>0</v>
      </c>
      <c r="Q1443" s="54"/>
      <c r="R1443" s="55"/>
      <c r="S1443" s="55"/>
      <c r="T1443" s="55"/>
      <c r="U1443" s="56">
        <f t="shared" si="1458"/>
        <v>0</v>
      </c>
      <c r="V1443" s="55"/>
      <c r="W1443" s="55"/>
      <c r="X1443" s="55">
        <v>3</v>
      </c>
      <c r="Y1443" s="55"/>
      <c r="Z1443" s="56">
        <f t="shared" si="1459"/>
        <v>3</v>
      </c>
      <c r="AA1443" s="56">
        <f t="shared" ref="AA1443:AA1449" si="1462">F1443+K1443+P1443+U1443+Z1443</f>
        <v>3</v>
      </c>
      <c r="AB1443" s="298">
        <v>46028</v>
      </c>
      <c r="AC1443" s="268" t="s">
        <v>28</v>
      </c>
      <c r="AD1443" s="55"/>
      <c r="AE1443" s="153"/>
      <c r="AF1443" s="153"/>
      <c r="AG1443" s="168"/>
      <c r="AH1443" s="56">
        <f t="shared" ref="AH1443:AH1476" si="1463">SUM(AD1443:AG1443)</f>
        <v>0</v>
      </c>
      <c r="AI1443" s="55"/>
      <c r="AJ1443" s="153"/>
      <c r="AK1443" s="153"/>
      <c r="AL1443" s="168"/>
      <c r="AM1443" s="56">
        <f t="shared" ref="AM1443:AM1476" si="1464">SUM(AI1443:AL1443)</f>
        <v>0</v>
      </c>
      <c r="AN1443" s="55"/>
      <c r="AO1443" s="153"/>
      <c r="AP1443" s="153"/>
      <c r="AQ1443" s="168"/>
      <c r="AR1443" s="56">
        <f t="shared" ref="AR1443:AR1478" si="1465">SUM(AN1443:AQ1443)</f>
        <v>0</v>
      </c>
      <c r="AS1443" s="54"/>
      <c r="AT1443" s="153"/>
      <c r="AU1443" s="153"/>
      <c r="AV1443" s="168"/>
      <c r="AW1443" s="56">
        <f t="shared" ref="AW1443:AW1478" si="1466">SUM(AS1443:AV1443)</f>
        <v>0</v>
      </c>
      <c r="AX1443" s="55"/>
      <c r="AY1443" s="153"/>
      <c r="AZ1443" s="153"/>
      <c r="BA1443" s="168"/>
      <c r="BB1443" s="49">
        <f t="shared" ref="BB1443:BB1477" si="1467">SUM(AX1443:BA1443)</f>
        <v>0</v>
      </c>
      <c r="BC1443" s="49">
        <f t="shared" ref="BC1443:BC1449" si="1468">AH1443+AM1443+AR1443+AW1443+BB1443</f>
        <v>0</v>
      </c>
      <c r="BE1443" s="268" t="s">
        <v>28</v>
      </c>
      <c r="BF1443" s="55"/>
      <c r="BG1443" s="153"/>
      <c r="BH1443" s="153"/>
      <c r="BI1443" s="168"/>
      <c r="BJ1443" s="56">
        <f t="shared" ref="BJ1443:BJ1444" si="1469">SUM(BF1443:BI1443)</f>
        <v>0</v>
      </c>
    </row>
    <row r="1444" spans="1:63" x14ac:dyDescent="0.15">
      <c r="A1444" s="268" t="s">
        <v>28</v>
      </c>
      <c r="B1444" s="54"/>
      <c r="C1444" s="55"/>
      <c r="D1444" s="55"/>
      <c r="E1444" s="55">
        <v>2</v>
      </c>
      <c r="F1444" s="56">
        <f t="shared" ref="F1444" si="1470">SUM(B1444:E1444)</f>
        <v>2</v>
      </c>
      <c r="G1444" s="54"/>
      <c r="H1444" s="55"/>
      <c r="I1444" s="55"/>
      <c r="J1444" s="55">
        <v>2</v>
      </c>
      <c r="K1444" s="56">
        <f t="shared" ref="K1444" si="1471">SUM(G1444:J1444)</f>
        <v>2</v>
      </c>
      <c r="L1444" s="54"/>
      <c r="M1444" s="55">
        <v>2</v>
      </c>
      <c r="N1444" s="55">
        <v>2</v>
      </c>
      <c r="O1444" s="55"/>
      <c r="P1444" s="56">
        <f t="shared" ref="P1444" si="1472">SUM(L1444:O1444)</f>
        <v>4</v>
      </c>
      <c r="Q1444" s="54"/>
      <c r="R1444" s="55"/>
      <c r="S1444" s="55">
        <v>2</v>
      </c>
      <c r="T1444" s="55">
        <v>4</v>
      </c>
      <c r="U1444" s="56">
        <f t="shared" ref="U1444" si="1473">SUM(Q1444:T1444)</f>
        <v>6</v>
      </c>
      <c r="V1444" s="55">
        <v>2</v>
      </c>
      <c r="W1444" s="55"/>
      <c r="X1444" s="55"/>
      <c r="Y1444" s="55"/>
      <c r="Z1444" s="56">
        <f t="shared" ref="Z1444" si="1474">SUM(V1444:Y1444)</f>
        <v>2</v>
      </c>
      <c r="AA1444" s="56">
        <f t="shared" ref="AA1444" si="1475">F1444+K1444+P1444+U1444+Z1444</f>
        <v>16</v>
      </c>
      <c r="AB1444" s="298">
        <v>46045</v>
      </c>
      <c r="AC1444" s="268" t="s">
        <v>28</v>
      </c>
      <c r="AD1444" s="55"/>
      <c r="AE1444" s="153"/>
      <c r="AF1444" s="153"/>
      <c r="AG1444" s="168"/>
      <c r="AH1444" s="56">
        <f t="shared" ref="AH1444:AH1446" si="1476">SUM(AD1444:AG1444)</f>
        <v>0</v>
      </c>
      <c r="AI1444" s="55"/>
      <c r="AJ1444" s="153"/>
      <c r="AK1444" s="153"/>
      <c r="AL1444" s="168"/>
      <c r="AM1444" s="56">
        <f t="shared" ref="AM1444:AM1446" si="1477">SUM(AI1444:AL1444)</f>
        <v>0</v>
      </c>
      <c r="AN1444" s="55"/>
      <c r="AO1444" s="153"/>
      <c r="AP1444" s="153"/>
      <c r="AQ1444" s="168"/>
      <c r="AR1444" s="56">
        <f t="shared" ref="AR1444:AR1446" si="1478">SUM(AN1444:AQ1444)</f>
        <v>0</v>
      </c>
      <c r="AS1444" s="54"/>
      <c r="AT1444" s="153"/>
      <c r="AU1444" s="153"/>
      <c r="AV1444" s="168"/>
      <c r="AW1444" s="56">
        <f t="shared" ref="AW1444:AW1446" si="1479">SUM(AS1444:AV1444)</f>
        <v>0</v>
      </c>
      <c r="AX1444" s="55"/>
      <c r="AY1444" s="153"/>
      <c r="AZ1444" s="153"/>
      <c r="BA1444" s="168"/>
      <c r="BB1444" s="49">
        <f t="shared" ref="BB1444:BB1446" si="1480">SUM(AX1444:BA1444)</f>
        <v>0</v>
      </c>
      <c r="BC1444" s="49">
        <f t="shared" ref="BC1444:BC1446" si="1481">AH1444+AM1444+AR1444+AW1444+BB1444</f>
        <v>0</v>
      </c>
      <c r="BD1444" s="300"/>
      <c r="BE1444" s="268" t="s">
        <v>28</v>
      </c>
      <c r="BF1444" s="55"/>
      <c r="BG1444" s="153"/>
      <c r="BH1444" s="153"/>
      <c r="BI1444" s="168"/>
      <c r="BJ1444" s="56">
        <f t="shared" si="1469"/>
        <v>0</v>
      </c>
    </row>
    <row r="1445" spans="1:63" x14ac:dyDescent="0.15">
      <c r="A1445" s="351" t="s">
        <v>28</v>
      </c>
      <c r="B1445" s="15"/>
      <c r="C1445" s="16"/>
      <c r="D1445" s="16"/>
      <c r="E1445" s="16"/>
      <c r="F1445" s="28">
        <f t="shared" ref="F1445:F1450" si="1482">SUM(B1445:E1445)</f>
        <v>0</v>
      </c>
      <c r="G1445" s="15"/>
      <c r="H1445" s="16"/>
      <c r="I1445" s="16"/>
      <c r="J1445" s="16"/>
      <c r="K1445" s="28">
        <f t="shared" ref="K1445:K1478" si="1483">SUM(G1445:J1445)</f>
        <v>0</v>
      </c>
      <c r="L1445" s="15"/>
      <c r="M1445" s="16"/>
      <c r="N1445" s="16"/>
      <c r="O1445" s="16"/>
      <c r="P1445" s="28">
        <f t="shared" ref="P1445:P1478" si="1484">SUM(L1445:O1445)</f>
        <v>0</v>
      </c>
      <c r="Q1445" s="15"/>
      <c r="R1445" s="16"/>
      <c r="S1445" s="16">
        <v>2</v>
      </c>
      <c r="T1445" s="16"/>
      <c r="U1445" s="28">
        <f t="shared" ref="U1445:U1478" si="1485">SUM(Q1445:T1445)</f>
        <v>2</v>
      </c>
      <c r="V1445" s="16"/>
      <c r="W1445" s="16"/>
      <c r="X1445" s="16"/>
      <c r="Y1445" s="16"/>
      <c r="Z1445" s="28">
        <f t="shared" ref="Z1445:Z1477" si="1486">SUM(V1445:Y1445)</f>
        <v>0</v>
      </c>
      <c r="AA1445" s="28">
        <f t="shared" si="1462"/>
        <v>2</v>
      </c>
      <c r="AB1445" s="299">
        <v>46071</v>
      </c>
      <c r="AC1445" s="268" t="s">
        <v>28</v>
      </c>
      <c r="AD1445" s="55"/>
      <c r="AE1445" s="153"/>
      <c r="AF1445" s="153"/>
      <c r="AG1445" s="168"/>
      <c r="AH1445" s="56">
        <f t="shared" si="1476"/>
        <v>0</v>
      </c>
      <c r="AI1445" s="55"/>
      <c r="AJ1445" s="153"/>
      <c r="AK1445" s="153"/>
      <c r="AL1445" s="168"/>
      <c r="AM1445" s="56">
        <f t="shared" si="1477"/>
        <v>0</v>
      </c>
      <c r="AN1445" s="55"/>
      <c r="AO1445" s="153"/>
      <c r="AP1445" s="153"/>
      <c r="AQ1445" s="168"/>
      <c r="AR1445" s="56">
        <f t="shared" si="1478"/>
        <v>0</v>
      </c>
      <c r="AS1445" s="54"/>
      <c r="AT1445" s="153"/>
      <c r="AU1445" s="153"/>
      <c r="AV1445" s="168"/>
      <c r="AW1445" s="56">
        <f t="shared" si="1479"/>
        <v>0</v>
      </c>
      <c r="AX1445" s="55"/>
      <c r="AY1445" s="153"/>
      <c r="AZ1445" s="153"/>
      <c r="BA1445" s="168"/>
      <c r="BB1445" s="49">
        <f t="shared" si="1480"/>
        <v>0</v>
      </c>
      <c r="BC1445" s="49">
        <f t="shared" si="1481"/>
        <v>0</v>
      </c>
      <c r="BD1445" s="300"/>
      <c r="BE1445" s="268" t="s">
        <v>28</v>
      </c>
      <c r="BF1445" s="55"/>
      <c r="BG1445" s="153"/>
      <c r="BH1445" s="153"/>
      <c r="BI1445" s="168"/>
      <c r="BJ1445" s="56">
        <f t="shared" ref="BJ1445:BJ1478" si="1487">SUM(BF1445:BI1445)</f>
        <v>0</v>
      </c>
    </row>
    <row r="1446" spans="1:63" x14ac:dyDescent="0.15">
      <c r="A1446" s="268" t="s">
        <v>28</v>
      </c>
      <c r="B1446" s="54"/>
      <c r="C1446" s="55"/>
      <c r="D1446" s="55"/>
      <c r="E1446" s="55"/>
      <c r="F1446" s="56">
        <f t="shared" si="1482"/>
        <v>0</v>
      </c>
      <c r="G1446" s="54"/>
      <c r="H1446" s="55"/>
      <c r="I1446" s="55"/>
      <c r="J1446" s="55"/>
      <c r="K1446" s="56">
        <f t="shared" si="1483"/>
        <v>0</v>
      </c>
      <c r="L1446" s="54"/>
      <c r="M1446" s="55"/>
      <c r="N1446" s="55">
        <v>2</v>
      </c>
      <c r="O1446" s="55"/>
      <c r="P1446" s="56">
        <f t="shared" si="1484"/>
        <v>2</v>
      </c>
      <c r="Q1446" s="54"/>
      <c r="R1446" s="55"/>
      <c r="S1446" s="55"/>
      <c r="T1446" s="55"/>
      <c r="U1446" s="56">
        <f t="shared" si="1485"/>
        <v>0</v>
      </c>
      <c r="V1446" s="55"/>
      <c r="W1446" s="55"/>
      <c r="X1446" s="55"/>
      <c r="Y1446" s="55"/>
      <c r="Z1446" s="56">
        <f t="shared" si="1486"/>
        <v>0</v>
      </c>
      <c r="AA1446" s="56">
        <f t="shared" si="1462"/>
        <v>2</v>
      </c>
      <c r="AB1446" s="298">
        <v>46093</v>
      </c>
      <c r="AC1446" s="268" t="s">
        <v>28</v>
      </c>
      <c r="AD1446" s="55"/>
      <c r="AE1446" s="153"/>
      <c r="AF1446" s="153"/>
      <c r="AG1446" s="168"/>
      <c r="AH1446" s="56">
        <f t="shared" si="1476"/>
        <v>0</v>
      </c>
      <c r="AI1446" s="55"/>
      <c r="AJ1446" s="153"/>
      <c r="AK1446" s="153"/>
      <c r="AL1446" s="168"/>
      <c r="AM1446" s="56">
        <f t="shared" si="1477"/>
        <v>0</v>
      </c>
      <c r="AN1446" s="55"/>
      <c r="AO1446" s="153"/>
      <c r="AP1446" s="153"/>
      <c r="AQ1446" s="168"/>
      <c r="AR1446" s="56">
        <f t="shared" si="1478"/>
        <v>0</v>
      </c>
      <c r="AS1446" s="54"/>
      <c r="AT1446" s="153"/>
      <c r="AU1446" s="153"/>
      <c r="AV1446" s="168"/>
      <c r="AW1446" s="56">
        <f t="shared" si="1479"/>
        <v>0</v>
      </c>
      <c r="AX1446" s="55"/>
      <c r="AY1446" s="153"/>
      <c r="AZ1446" s="153"/>
      <c r="BA1446" s="168"/>
      <c r="BB1446" s="49">
        <f t="shared" si="1480"/>
        <v>0</v>
      </c>
      <c r="BC1446" s="49">
        <f t="shared" si="1481"/>
        <v>0</v>
      </c>
      <c r="BD1446" s="300"/>
      <c r="BE1446" s="268" t="s">
        <v>28</v>
      </c>
      <c r="BF1446" s="55"/>
      <c r="BG1446" s="153"/>
      <c r="BH1446" s="153"/>
      <c r="BI1446" s="168"/>
      <c r="BJ1446" s="56">
        <f t="shared" si="1487"/>
        <v>0</v>
      </c>
    </row>
    <row r="1447" spans="1:63" x14ac:dyDescent="0.15">
      <c r="A1447" s="65" t="s">
        <v>709</v>
      </c>
      <c r="B1447" s="54"/>
      <c r="C1447" s="55"/>
      <c r="D1447" s="55"/>
      <c r="E1447" s="55"/>
      <c r="F1447" s="56">
        <f t="shared" si="1482"/>
        <v>0</v>
      </c>
      <c r="G1447" s="54"/>
      <c r="H1447" s="55">
        <v>1</v>
      </c>
      <c r="I1447" s="55">
        <v>1</v>
      </c>
      <c r="J1447" s="55">
        <v>1</v>
      </c>
      <c r="K1447" s="56">
        <f t="shared" si="1483"/>
        <v>3</v>
      </c>
      <c r="L1447" s="54"/>
      <c r="M1447" s="55"/>
      <c r="N1447" s="55"/>
      <c r="O1447" s="55"/>
      <c r="P1447" s="56">
        <f t="shared" si="1484"/>
        <v>0</v>
      </c>
      <c r="Q1447" s="54"/>
      <c r="R1447" s="55"/>
      <c r="S1447" s="55"/>
      <c r="T1447" s="55"/>
      <c r="U1447" s="56">
        <f t="shared" si="1485"/>
        <v>0</v>
      </c>
      <c r="V1447" s="55"/>
      <c r="W1447" s="55"/>
      <c r="X1447" s="55"/>
      <c r="Y1447" s="55"/>
      <c r="Z1447" s="56">
        <f t="shared" si="1486"/>
        <v>0</v>
      </c>
      <c r="AA1447" s="56">
        <f t="shared" si="1462"/>
        <v>3</v>
      </c>
      <c r="AB1447" s="298">
        <v>46106</v>
      </c>
      <c r="AC1447" s="268" t="s">
        <v>28</v>
      </c>
      <c r="AD1447" s="55"/>
      <c r="AE1447" s="153"/>
      <c r="AF1447" s="153"/>
      <c r="AG1447" s="168"/>
      <c r="AH1447" s="56">
        <f t="shared" si="1463"/>
        <v>0</v>
      </c>
      <c r="AI1447" s="55"/>
      <c r="AJ1447" s="153"/>
      <c r="AK1447" s="153"/>
      <c r="AL1447" s="168"/>
      <c r="AM1447" s="56">
        <f t="shared" si="1464"/>
        <v>0</v>
      </c>
      <c r="AN1447" s="55"/>
      <c r="AO1447" s="153"/>
      <c r="AP1447" s="153"/>
      <c r="AQ1447" s="168"/>
      <c r="AR1447" s="56">
        <f t="shared" si="1465"/>
        <v>0</v>
      </c>
      <c r="AS1447" s="54"/>
      <c r="AT1447" s="153"/>
      <c r="AU1447" s="153"/>
      <c r="AV1447" s="168"/>
      <c r="AW1447" s="56">
        <f t="shared" si="1466"/>
        <v>0</v>
      </c>
      <c r="AX1447" s="55"/>
      <c r="AY1447" s="153"/>
      <c r="AZ1447" s="153"/>
      <c r="BA1447" s="168"/>
      <c r="BB1447" s="49">
        <f t="shared" si="1467"/>
        <v>0</v>
      </c>
      <c r="BC1447" s="49">
        <f t="shared" si="1468"/>
        <v>0</v>
      </c>
      <c r="BD1447" s="300"/>
      <c r="BE1447" s="268" t="s">
        <v>28</v>
      </c>
      <c r="BF1447" s="55"/>
      <c r="BG1447" s="153"/>
      <c r="BH1447" s="153"/>
      <c r="BI1447" s="168"/>
      <c r="BJ1447" s="56">
        <f t="shared" si="1487"/>
        <v>0</v>
      </c>
    </row>
    <row r="1448" spans="1:63" x14ac:dyDescent="0.15">
      <c r="A1448" s="268" t="s">
        <v>28</v>
      </c>
      <c r="B1448" s="54"/>
      <c r="C1448" s="55"/>
      <c r="D1448" s="55">
        <v>2</v>
      </c>
      <c r="E1448" s="55"/>
      <c r="F1448" s="56">
        <f t="shared" si="1482"/>
        <v>2</v>
      </c>
      <c r="G1448" s="54">
        <v>2</v>
      </c>
      <c r="H1448" s="55"/>
      <c r="I1448" s="55"/>
      <c r="J1448" s="55"/>
      <c r="K1448" s="56">
        <f t="shared" si="1483"/>
        <v>2</v>
      </c>
      <c r="L1448" s="54"/>
      <c r="M1448" s="55"/>
      <c r="N1448" s="55"/>
      <c r="O1448" s="55"/>
      <c r="P1448" s="56">
        <f t="shared" si="1484"/>
        <v>0</v>
      </c>
      <c r="Q1448" s="54"/>
      <c r="R1448" s="55"/>
      <c r="S1448" s="55"/>
      <c r="T1448" s="55"/>
      <c r="U1448" s="56">
        <f t="shared" si="1485"/>
        <v>0</v>
      </c>
      <c r="V1448" s="55"/>
      <c r="W1448" s="55"/>
      <c r="X1448" s="55"/>
      <c r="Y1448" s="55"/>
      <c r="Z1448" s="56">
        <f t="shared" si="1486"/>
        <v>0</v>
      </c>
      <c r="AA1448" s="56">
        <f t="shared" si="1462"/>
        <v>4</v>
      </c>
      <c r="AB1448" s="298">
        <v>46121</v>
      </c>
      <c r="AC1448" s="268" t="s">
        <v>28</v>
      </c>
      <c r="AD1448" s="55"/>
      <c r="AE1448" s="153"/>
      <c r="AF1448" s="153"/>
      <c r="AG1448" s="168"/>
      <c r="AH1448" s="56">
        <f t="shared" si="1463"/>
        <v>0</v>
      </c>
      <c r="AI1448" s="55"/>
      <c r="AJ1448" s="153"/>
      <c r="AK1448" s="153"/>
      <c r="AL1448" s="168"/>
      <c r="AM1448" s="56">
        <f t="shared" si="1464"/>
        <v>0</v>
      </c>
      <c r="AN1448" s="55"/>
      <c r="AO1448" s="153"/>
      <c r="AP1448" s="153"/>
      <c r="AQ1448" s="168"/>
      <c r="AR1448" s="56">
        <f t="shared" si="1465"/>
        <v>0</v>
      </c>
      <c r="AS1448" s="54"/>
      <c r="AT1448" s="153"/>
      <c r="AU1448" s="153"/>
      <c r="AV1448" s="168"/>
      <c r="AW1448" s="56">
        <f t="shared" si="1466"/>
        <v>0</v>
      </c>
      <c r="AX1448" s="55"/>
      <c r="AY1448" s="153"/>
      <c r="AZ1448" s="153"/>
      <c r="BA1448" s="168"/>
      <c r="BB1448" s="49">
        <f t="shared" si="1467"/>
        <v>0</v>
      </c>
      <c r="BC1448" s="49">
        <f t="shared" si="1468"/>
        <v>0</v>
      </c>
      <c r="BE1448" s="268" t="s">
        <v>28</v>
      </c>
      <c r="BF1448" s="55"/>
      <c r="BG1448" s="153"/>
      <c r="BH1448" s="153"/>
      <c r="BI1448" s="168"/>
      <c r="BJ1448" s="56">
        <f t="shared" si="1487"/>
        <v>0</v>
      </c>
    </row>
    <row r="1449" spans="1:63" ht="14.25" thickBot="1" x14ac:dyDescent="0.2">
      <c r="A1449" s="351" t="s">
        <v>28</v>
      </c>
      <c r="B1449" s="15"/>
      <c r="C1449" s="16"/>
      <c r="D1449" s="16"/>
      <c r="E1449" s="16">
        <v>3</v>
      </c>
      <c r="F1449" s="28">
        <f t="shared" si="1482"/>
        <v>3</v>
      </c>
      <c r="G1449" s="15"/>
      <c r="H1449" s="16"/>
      <c r="I1449" s="16"/>
      <c r="J1449" s="16"/>
      <c r="K1449" s="28">
        <f t="shared" si="1483"/>
        <v>0</v>
      </c>
      <c r="L1449" s="15"/>
      <c r="M1449" s="16"/>
      <c r="N1449" s="16"/>
      <c r="O1449" s="16"/>
      <c r="P1449" s="28">
        <f t="shared" si="1484"/>
        <v>0</v>
      </c>
      <c r="Q1449" s="15"/>
      <c r="R1449" s="16">
        <v>2</v>
      </c>
      <c r="S1449" s="16"/>
      <c r="T1449" s="16"/>
      <c r="U1449" s="28">
        <f t="shared" si="1485"/>
        <v>2</v>
      </c>
      <c r="V1449" s="16"/>
      <c r="W1449" s="16"/>
      <c r="X1449" s="16"/>
      <c r="Y1449" s="16"/>
      <c r="Z1449" s="28">
        <f t="shared" si="1486"/>
        <v>0</v>
      </c>
      <c r="AA1449" s="28">
        <f t="shared" si="1462"/>
        <v>5</v>
      </c>
      <c r="AB1449" s="299">
        <v>46133</v>
      </c>
      <c r="AC1449" s="268" t="s">
        <v>28</v>
      </c>
      <c r="AD1449" s="63"/>
      <c r="AE1449" s="164"/>
      <c r="AF1449" s="164"/>
      <c r="AG1449" s="169"/>
      <c r="AH1449" s="170">
        <f t="shared" si="1463"/>
        <v>0</v>
      </c>
      <c r="AI1449" s="63"/>
      <c r="AJ1449" s="164"/>
      <c r="AK1449" s="164"/>
      <c r="AL1449" s="169"/>
      <c r="AM1449" s="170">
        <f t="shared" si="1464"/>
        <v>0</v>
      </c>
      <c r="AN1449" s="63"/>
      <c r="AO1449" s="164"/>
      <c r="AP1449" s="164"/>
      <c r="AQ1449" s="169"/>
      <c r="AR1449" s="170">
        <f t="shared" si="1465"/>
        <v>0</v>
      </c>
      <c r="AS1449" s="62"/>
      <c r="AT1449" s="164"/>
      <c r="AU1449" s="164"/>
      <c r="AV1449" s="169"/>
      <c r="AW1449" s="170">
        <f t="shared" si="1466"/>
        <v>0</v>
      </c>
      <c r="AX1449" s="63"/>
      <c r="AY1449" s="164"/>
      <c r="AZ1449" s="164"/>
      <c r="BA1449" s="169"/>
      <c r="BB1449" s="170">
        <f t="shared" si="1467"/>
        <v>0</v>
      </c>
      <c r="BC1449" s="49">
        <f t="shared" si="1468"/>
        <v>0</v>
      </c>
      <c r="BE1449" s="274" t="s">
        <v>28</v>
      </c>
      <c r="BF1449" s="63"/>
      <c r="BG1449" s="164"/>
      <c r="BH1449" s="164"/>
      <c r="BI1449" s="169"/>
      <c r="BJ1449" s="170">
        <f t="shared" si="1487"/>
        <v>0</v>
      </c>
    </row>
    <row r="1450" spans="1:63" ht="15" thickBot="1" x14ac:dyDescent="0.2">
      <c r="A1450" s="181" t="s">
        <v>14</v>
      </c>
      <c r="B1450" s="182">
        <f>SUM(B1442:B1449)</f>
        <v>2</v>
      </c>
      <c r="C1450" s="183">
        <f>SUM(C1442:C1449)</f>
        <v>2</v>
      </c>
      <c r="D1450" s="183">
        <f>SUM(D1442:D1449)</f>
        <v>4</v>
      </c>
      <c r="E1450" s="184">
        <f>SUM(E1442:E1449)</f>
        <v>6</v>
      </c>
      <c r="F1450" s="77">
        <f t="shared" si="1482"/>
        <v>14</v>
      </c>
      <c r="G1450" s="182">
        <f>SUM(G1442:G1449)</f>
        <v>4</v>
      </c>
      <c r="H1450" s="183">
        <f>SUM(H1442:H1449)</f>
        <v>3</v>
      </c>
      <c r="I1450" s="183">
        <f>SUM(I1442:I1449)</f>
        <v>3</v>
      </c>
      <c r="J1450" s="184">
        <f>SUM(J1442:J1449)</f>
        <v>4</v>
      </c>
      <c r="K1450" s="77">
        <f t="shared" si="1483"/>
        <v>14</v>
      </c>
      <c r="L1450" s="182">
        <f>SUM(L1442:L1449)</f>
        <v>2</v>
      </c>
      <c r="M1450" s="183">
        <f>SUM(M1442:M1449)</f>
        <v>3</v>
      </c>
      <c r="N1450" s="183">
        <f>SUM(N1442:N1449)</f>
        <v>5</v>
      </c>
      <c r="O1450" s="184">
        <f>SUM(O1442:O1449)</f>
        <v>2</v>
      </c>
      <c r="P1450" s="77">
        <f t="shared" si="1484"/>
        <v>12</v>
      </c>
      <c r="Q1450" s="182">
        <f>SUM(Q1442:Q1449)</f>
        <v>2</v>
      </c>
      <c r="R1450" s="183">
        <f>SUM(R1442:R1449)</f>
        <v>4</v>
      </c>
      <c r="S1450" s="183">
        <f>SUM(S1442:S1449)</f>
        <v>6</v>
      </c>
      <c r="T1450" s="184">
        <f>SUM(T1442:T1449)</f>
        <v>4</v>
      </c>
      <c r="U1450" s="77">
        <f t="shared" si="1485"/>
        <v>16</v>
      </c>
      <c r="V1450" s="293">
        <f>SUM(V1442:V1449)</f>
        <v>4</v>
      </c>
      <c r="W1450" s="183">
        <f>SUM(W1442:W1449)</f>
        <v>2</v>
      </c>
      <c r="X1450" s="183">
        <f>SUM(X1442:X1449)</f>
        <v>5</v>
      </c>
      <c r="Y1450" s="184">
        <f>SUM(Y1442:Y1449)</f>
        <v>2</v>
      </c>
      <c r="Z1450" s="77">
        <f t="shared" si="1486"/>
        <v>13</v>
      </c>
      <c r="AA1450" s="77">
        <f>F1450+K1450+P1450+U1450+Z1450</f>
        <v>69</v>
      </c>
      <c r="AC1450" s="275" t="s">
        <v>14</v>
      </c>
      <c r="AD1450" s="182">
        <f>SUM(AD1442:AD1449)</f>
        <v>72</v>
      </c>
      <c r="AE1450" s="183">
        <f>SUM(AE1442:AE1449)</f>
        <v>62</v>
      </c>
      <c r="AF1450" s="183">
        <f>SUM(AF1442:AF1449)</f>
        <v>123</v>
      </c>
      <c r="AG1450" s="184">
        <f>SUM(AG1442:AG1449)</f>
        <v>43</v>
      </c>
      <c r="AH1450" s="77">
        <f t="shared" si="1463"/>
        <v>300</v>
      </c>
      <c r="AI1450" s="182">
        <f>SUM(AI1442:AI1449)</f>
        <v>57</v>
      </c>
      <c r="AJ1450" s="183">
        <f>SUM(AJ1442:AJ1449)</f>
        <v>114</v>
      </c>
      <c r="AK1450" s="183">
        <f>SUM(AK1442:AK1449)</f>
        <v>76</v>
      </c>
      <c r="AL1450" s="184">
        <f>SUM(AL1442:AL1449)</f>
        <v>72</v>
      </c>
      <c r="AM1450" s="77">
        <f t="shared" si="1464"/>
        <v>319</v>
      </c>
      <c r="AN1450" s="182">
        <f>SUM(AN1442:AN1449)</f>
        <v>31</v>
      </c>
      <c r="AO1450" s="183">
        <f>SUM(AO1442:AO1449)</f>
        <v>36</v>
      </c>
      <c r="AP1450" s="183">
        <f>SUM(AP1442:AP1449)</f>
        <v>35</v>
      </c>
      <c r="AQ1450" s="184">
        <f>SUM(AQ1442:AQ1449)</f>
        <v>14</v>
      </c>
      <c r="AR1450" s="77">
        <f t="shared" si="1465"/>
        <v>116</v>
      </c>
      <c r="AS1450" s="182">
        <f>SUM(AS1442:AS1449)</f>
        <v>128</v>
      </c>
      <c r="AT1450" s="183">
        <f>SUM(AT1442:AT1449)</f>
        <v>138</v>
      </c>
      <c r="AU1450" s="183">
        <f>SUM(AU1442:AU1449)</f>
        <v>69</v>
      </c>
      <c r="AV1450" s="184">
        <f>SUM(AV1442:AV1449)</f>
        <v>45</v>
      </c>
      <c r="AW1450" s="77">
        <f t="shared" si="1466"/>
        <v>380</v>
      </c>
      <c r="AX1450" s="293">
        <f>SUM(AX1442:AX1449)</f>
        <v>105</v>
      </c>
      <c r="AY1450" s="183">
        <f>SUM(AY1442:AY1449)</f>
        <v>79</v>
      </c>
      <c r="AZ1450" s="183">
        <f>SUM(AZ1442:AZ1449)</f>
        <v>42</v>
      </c>
      <c r="BA1450" s="184">
        <f>SUM(BA1442:BA1449)</f>
        <v>27</v>
      </c>
      <c r="BB1450" s="77">
        <f t="shared" si="1467"/>
        <v>253</v>
      </c>
      <c r="BC1450" s="77">
        <f>AH1450+AM1450+AR1450+AW1450+BB1450</f>
        <v>1368</v>
      </c>
      <c r="BE1450" s="275" t="s">
        <v>14</v>
      </c>
      <c r="BF1450" s="182">
        <f>SUM(BF1442:BF1449)</f>
        <v>0</v>
      </c>
      <c r="BG1450" s="183">
        <f>SUM(BG1442:BG1449)</f>
        <v>0</v>
      </c>
      <c r="BH1450" s="183">
        <f>SUM(BH1442:BH1449)</f>
        <v>5</v>
      </c>
      <c r="BI1450" s="184">
        <f>SUM(BI1442:BI1449)</f>
        <v>0</v>
      </c>
      <c r="BJ1450" s="77">
        <f t="shared" si="1487"/>
        <v>5</v>
      </c>
    </row>
    <row r="1451" spans="1:63" x14ac:dyDescent="0.15">
      <c r="A1451" s="53" t="s">
        <v>98</v>
      </c>
      <c r="B1451" s="54"/>
      <c r="C1451" s="55"/>
      <c r="D1451" s="55"/>
      <c r="E1451" s="55"/>
      <c r="F1451" s="56">
        <f t="shared" ref="F1451:F1461" si="1488">SUM(B1451:E1451)</f>
        <v>0</v>
      </c>
      <c r="G1451" s="54"/>
      <c r="H1451" s="55"/>
      <c r="I1451" s="55"/>
      <c r="J1451" s="55"/>
      <c r="K1451" s="56">
        <f t="shared" si="1483"/>
        <v>0</v>
      </c>
      <c r="L1451" s="54"/>
      <c r="M1451" s="55"/>
      <c r="N1451" s="55"/>
      <c r="O1451" s="55"/>
      <c r="P1451" s="56">
        <f t="shared" si="1484"/>
        <v>0</v>
      </c>
      <c r="Q1451" s="54"/>
      <c r="R1451" s="55"/>
      <c r="S1451" s="55"/>
      <c r="T1451" s="55"/>
      <c r="U1451" s="56">
        <f t="shared" si="1485"/>
        <v>0</v>
      </c>
      <c r="V1451" s="55">
        <v>1</v>
      </c>
      <c r="W1451" s="55"/>
      <c r="X1451" s="55"/>
      <c r="Y1451" s="55"/>
      <c r="Z1451" s="56">
        <f t="shared" si="1486"/>
        <v>1</v>
      </c>
      <c r="AA1451" s="56">
        <f t="shared" ref="AA1451:AA1475" si="1489">F1451+K1451+P1451+U1451+Z1451</f>
        <v>1</v>
      </c>
      <c r="AB1451" s="298">
        <v>45995</v>
      </c>
      <c r="AC1451" s="276" t="s">
        <v>702</v>
      </c>
      <c r="AD1451" s="54"/>
      <c r="AE1451" s="55"/>
      <c r="AF1451" s="55"/>
      <c r="AG1451" s="55"/>
      <c r="AH1451" s="56">
        <f t="shared" ref="AH1451:AH1468" si="1490">SUM(AD1451:AG1451)</f>
        <v>0</v>
      </c>
      <c r="AI1451" s="54"/>
      <c r="AJ1451" s="55"/>
      <c r="AK1451" s="55"/>
      <c r="AL1451" s="55"/>
      <c r="AM1451" s="56">
        <f t="shared" ref="AM1451:AM1468" si="1491">SUM(AI1451:AL1451)</f>
        <v>0</v>
      </c>
      <c r="AN1451" s="54"/>
      <c r="AO1451" s="55"/>
      <c r="AP1451" s="55"/>
      <c r="AQ1451" s="55"/>
      <c r="AR1451" s="56">
        <f t="shared" ref="AR1451:AR1468" si="1492">SUM(AN1451:AQ1451)</f>
        <v>0</v>
      </c>
      <c r="AS1451" s="54"/>
      <c r="AT1451" s="55"/>
      <c r="AU1451" s="55"/>
      <c r="AV1451" s="55"/>
      <c r="AW1451" s="56">
        <f t="shared" ref="AW1451:AW1468" si="1493">SUM(AS1451:AV1451)</f>
        <v>0</v>
      </c>
      <c r="AX1451" s="55"/>
      <c r="AY1451" s="55"/>
      <c r="AZ1451" s="55">
        <v>3</v>
      </c>
      <c r="BA1451" s="55"/>
      <c r="BB1451" s="56">
        <f t="shared" ref="BB1451:BB1468" si="1494">SUM(AX1451:BA1451)</f>
        <v>3</v>
      </c>
      <c r="BC1451" s="56">
        <f t="shared" ref="BC1451:BC1468" si="1495">AH1451+AM1451+AR1451+AW1451+BB1451</f>
        <v>3</v>
      </c>
      <c r="BD1451" s="298">
        <v>46028</v>
      </c>
      <c r="BE1451" s="277" t="s">
        <v>710</v>
      </c>
      <c r="BF1451" s="54"/>
      <c r="BG1451" s="55"/>
      <c r="BH1451" s="55">
        <v>1</v>
      </c>
      <c r="BI1451" s="55"/>
      <c r="BJ1451" s="56">
        <f t="shared" ref="BJ1451:BJ1454" si="1496">SUM(BF1451:BI1451)</f>
        <v>1</v>
      </c>
      <c r="BK1451" s="304">
        <v>46108</v>
      </c>
    </row>
    <row r="1452" spans="1:63" x14ac:dyDescent="0.15">
      <c r="A1452" s="53" t="s">
        <v>98</v>
      </c>
      <c r="B1452" s="54"/>
      <c r="C1452" s="55"/>
      <c r="D1452" s="55"/>
      <c r="E1452" s="55"/>
      <c r="F1452" s="56">
        <f t="shared" si="1488"/>
        <v>0</v>
      </c>
      <c r="G1452" s="54"/>
      <c r="H1452" s="55"/>
      <c r="I1452" s="55"/>
      <c r="J1452" s="55"/>
      <c r="K1452" s="56">
        <f t="shared" si="1483"/>
        <v>0</v>
      </c>
      <c r="L1452" s="54"/>
      <c r="M1452" s="55"/>
      <c r="N1452" s="55"/>
      <c r="O1452" s="55"/>
      <c r="P1452" s="56">
        <f t="shared" si="1484"/>
        <v>0</v>
      </c>
      <c r="Q1452" s="54"/>
      <c r="R1452" s="55"/>
      <c r="S1452" s="55">
        <v>1</v>
      </c>
      <c r="T1452" s="55"/>
      <c r="U1452" s="56">
        <f t="shared" si="1485"/>
        <v>1</v>
      </c>
      <c r="V1452" s="55"/>
      <c r="W1452" s="55"/>
      <c r="X1452" s="55"/>
      <c r="Y1452" s="55"/>
      <c r="Z1452" s="56">
        <f t="shared" si="1486"/>
        <v>0</v>
      </c>
      <c r="AA1452" s="56">
        <f t="shared" si="1489"/>
        <v>1</v>
      </c>
      <c r="AB1452" s="298">
        <v>46035</v>
      </c>
      <c r="AC1452" s="276" t="s">
        <v>703</v>
      </c>
      <c r="AD1452" s="54"/>
      <c r="AE1452" s="55"/>
      <c r="AF1452" s="55"/>
      <c r="AG1452" s="55">
        <v>2</v>
      </c>
      <c r="AH1452" s="56">
        <f t="shared" ref="AH1452" si="1497">SUM(AD1452:AG1452)</f>
        <v>2</v>
      </c>
      <c r="AI1452" s="54"/>
      <c r="AJ1452" s="55"/>
      <c r="AK1452" s="55"/>
      <c r="AL1452" s="55">
        <v>2</v>
      </c>
      <c r="AM1452" s="56">
        <f t="shared" ref="AM1452" si="1498">SUM(AI1452:AL1452)</f>
        <v>2</v>
      </c>
      <c r="AN1452" s="54"/>
      <c r="AO1452" s="55">
        <v>2</v>
      </c>
      <c r="AP1452" s="55">
        <v>2</v>
      </c>
      <c r="AQ1452" s="55"/>
      <c r="AR1452" s="56">
        <f t="shared" ref="AR1452" si="1499">SUM(AN1452:AQ1452)</f>
        <v>4</v>
      </c>
      <c r="AS1452" s="54"/>
      <c r="AT1452" s="55"/>
      <c r="AU1452" s="55">
        <v>2</v>
      </c>
      <c r="AV1452" s="55">
        <v>4</v>
      </c>
      <c r="AW1452" s="56">
        <f t="shared" ref="AW1452" si="1500">SUM(AS1452:AV1452)</f>
        <v>6</v>
      </c>
      <c r="AX1452" s="55">
        <v>2</v>
      </c>
      <c r="AY1452" s="55"/>
      <c r="AZ1452" s="55"/>
      <c r="BA1452" s="55"/>
      <c r="BB1452" s="56">
        <f t="shared" ref="BB1452" si="1501">SUM(AX1452:BA1452)</f>
        <v>2</v>
      </c>
      <c r="BC1452" s="56">
        <f t="shared" ref="BC1452" si="1502">AH1452+AM1452+AR1452+AW1452+BB1452</f>
        <v>16</v>
      </c>
      <c r="BD1452" s="298">
        <v>46045</v>
      </c>
      <c r="BE1452" s="277" t="s">
        <v>177</v>
      </c>
      <c r="BF1452" s="54"/>
      <c r="BG1452" s="55"/>
      <c r="BH1452" s="55">
        <v>2</v>
      </c>
      <c r="BI1452" s="55"/>
      <c r="BJ1452" s="56">
        <f t="shared" si="1496"/>
        <v>2</v>
      </c>
      <c r="BK1452" s="304">
        <v>46217</v>
      </c>
    </row>
    <row r="1453" spans="1:63" x14ac:dyDescent="0.15">
      <c r="A1453" s="53" t="s">
        <v>98</v>
      </c>
      <c r="B1453" s="54"/>
      <c r="C1453" s="55"/>
      <c r="D1453" s="55"/>
      <c r="E1453" s="55"/>
      <c r="F1453" s="56">
        <f t="shared" si="1488"/>
        <v>0</v>
      </c>
      <c r="G1453" s="54"/>
      <c r="H1453" s="55"/>
      <c r="I1453" s="55"/>
      <c r="J1453" s="55"/>
      <c r="K1453" s="56">
        <f t="shared" si="1483"/>
        <v>0</v>
      </c>
      <c r="L1453" s="54"/>
      <c r="M1453" s="55"/>
      <c r="N1453" s="55"/>
      <c r="O1453" s="55"/>
      <c r="P1453" s="56">
        <f t="shared" si="1484"/>
        <v>0</v>
      </c>
      <c r="Q1453" s="54"/>
      <c r="R1453" s="55"/>
      <c r="S1453" s="55"/>
      <c r="T1453" s="55">
        <v>1</v>
      </c>
      <c r="U1453" s="56">
        <f t="shared" si="1485"/>
        <v>1</v>
      </c>
      <c r="V1453" s="55"/>
      <c r="W1453" s="55"/>
      <c r="X1453" s="55"/>
      <c r="Y1453" s="55"/>
      <c r="Z1453" s="56">
        <f t="shared" si="1486"/>
        <v>0</v>
      </c>
      <c r="AA1453" s="56">
        <f t="shared" si="1489"/>
        <v>1</v>
      </c>
      <c r="AB1453" s="298">
        <v>46045</v>
      </c>
      <c r="AC1453" s="352" t="s">
        <v>703</v>
      </c>
      <c r="AD1453" s="15"/>
      <c r="AE1453" s="16"/>
      <c r="AF1453" s="16"/>
      <c r="AG1453" s="16"/>
      <c r="AH1453" s="28">
        <f t="shared" si="1490"/>
        <v>0</v>
      </c>
      <c r="AI1453" s="15"/>
      <c r="AJ1453" s="16"/>
      <c r="AK1453" s="16"/>
      <c r="AL1453" s="16"/>
      <c r="AM1453" s="28">
        <f t="shared" si="1491"/>
        <v>0</v>
      </c>
      <c r="AN1453" s="15"/>
      <c r="AO1453" s="16"/>
      <c r="AP1453" s="16"/>
      <c r="AQ1453" s="16"/>
      <c r="AR1453" s="28">
        <f t="shared" si="1492"/>
        <v>0</v>
      </c>
      <c r="AS1453" s="15"/>
      <c r="AT1453" s="16"/>
      <c r="AU1453" s="16">
        <v>2</v>
      </c>
      <c r="AV1453" s="16"/>
      <c r="AW1453" s="28">
        <f t="shared" si="1493"/>
        <v>2</v>
      </c>
      <c r="AX1453" s="16"/>
      <c r="AY1453" s="16"/>
      <c r="AZ1453" s="16"/>
      <c r="BA1453" s="16"/>
      <c r="BB1453" s="28">
        <f t="shared" si="1494"/>
        <v>0</v>
      </c>
      <c r="BC1453" s="28">
        <f t="shared" si="1495"/>
        <v>2</v>
      </c>
      <c r="BD1453" s="299">
        <v>46071</v>
      </c>
      <c r="BE1453" s="277"/>
      <c r="BF1453" s="54"/>
      <c r="BG1453" s="55"/>
      <c r="BH1453" s="55"/>
      <c r="BI1453" s="55"/>
      <c r="BJ1453" s="56">
        <f t="shared" si="1496"/>
        <v>0</v>
      </c>
    </row>
    <row r="1454" spans="1:63" x14ac:dyDescent="0.15">
      <c r="A1454" s="53" t="s">
        <v>98</v>
      </c>
      <c r="B1454" s="54"/>
      <c r="C1454" s="55"/>
      <c r="D1454" s="55"/>
      <c r="E1454" s="55"/>
      <c r="F1454" s="56">
        <f t="shared" si="1488"/>
        <v>0</v>
      </c>
      <c r="G1454" s="54"/>
      <c r="H1454" s="55"/>
      <c r="I1454" s="55"/>
      <c r="J1454" s="55"/>
      <c r="K1454" s="56">
        <f t="shared" si="1483"/>
        <v>0</v>
      </c>
      <c r="L1454" s="54"/>
      <c r="M1454" s="55"/>
      <c r="N1454" s="55"/>
      <c r="O1454" s="55"/>
      <c r="P1454" s="56">
        <f t="shared" si="1484"/>
        <v>0</v>
      </c>
      <c r="Q1454" s="54"/>
      <c r="R1454" s="55"/>
      <c r="S1454" s="55"/>
      <c r="T1454" s="55"/>
      <c r="U1454" s="56">
        <f t="shared" si="1485"/>
        <v>0</v>
      </c>
      <c r="V1454" s="55"/>
      <c r="W1454" s="55"/>
      <c r="X1454" s="55">
        <v>1</v>
      </c>
      <c r="Y1454" s="55"/>
      <c r="Z1454" s="56">
        <f t="shared" si="1486"/>
        <v>1</v>
      </c>
      <c r="AA1454" s="56">
        <f t="shared" si="1489"/>
        <v>1</v>
      </c>
      <c r="AB1454" s="298">
        <v>46050</v>
      </c>
      <c r="AC1454" s="276" t="s">
        <v>705</v>
      </c>
      <c r="AD1454" s="54"/>
      <c r="AE1454" s="55"/>
      <c r="AF1454" s="55"/>
      <c r="AG1454" s="55"/>
      <c r="AH1454" s="56">
        <f t="shared" si="1490"/>
        <v>0</v>
      </c>
      <c r="AI1454" s="54"/>
      <c r="AJ1454" s="55">
        <v>2</v>
      </c>
      <c r="AK1454" s="55"/>
      <c r="AL1454" s="55"/>
      <c r="AM1454" s="56">
        <f t="shared" si="1491"/>
        <v>2</v>
      </c>
      <c r="AN1454" s="54"/>
      <c r="AO1454" s="55"/>
      <c r="AP1454" s="55"/>
      <c r="AQ1454" s="55"/>
      <c r="AR1454" s="56">
        <f t="shared" si="1492"/>
        <v>0</v>
      </c>
      <c r="AS1454" s="54"/>
      <c r="AT1454" s="55"/>
      <c r="AU1454" s="55"/>
      <c r="AV1454" s="55"/>
      <c r="AW1454" s="56">
        <f t="shared" si="1493"/>
        <v>0</v>
      </c>
      <c r="AX1454" s="55"/>
      <c r="AY1454" s="55"/>
      <c r="AZ1454" s="55"/>
      <c r="BA1454" s="55"/>
      <c r="BB1454" s="56">
        <f t="shared" si="1494"/>
        <v>0</v>
      </c>
      <c r="BC1454" s="56">
        <f t="shared" si="1495"/>
        <v>2</v>
      </c>
      <c r="BD1454" s="298">
        <v>46084</v>
      </c>
      <c r="BE1454" s="277"/>
      <c r="BF1454" s="54"/>
      <c r="BG1454" s="55"/>
      <c r="BH1454" s="55"/>
      <c r="BI1454" s="55"/>
      <c r="BJ1454" s="56">
        <f t="shared" si="1496"/>
        <v>0</v>
      </c>
    </row>
    <row r="1455" spans="1:63" x14ac:dyDescent="0.15">
      <c r="A1455" s="53" t="s">
        <v>547</v>
      </c>
      <c r="B1455" s="54"/>
      <c r="C1455" s="55"/>
      <c r="D1455" s="55"/>
      <c r="E1455" s="55"/>
      <c r="F1455" s="56"/>
      <c r="G1455" s="54"/>
      <c r="H1455" s="55"/>
      <c r="I1455" s="55"/>
      <c r="J1455" s="55"/>
      <c r="K1455" s="56"/>
      <c r="L1455" s="54"/>
      <c r="M1455" s="55"/>
      <c r="N1455" s="55"/>
      <c r="O1455" s="55"/>
      <c r="P1455" s="56"/>
      <c r="Q1455" s="54"/>
      <c r="R1455" s="55"/>
      <c r="S1455" s="55"/>
      <c r="T1455" s="55"/>
      <c r="U1455" s="56"/>
      <c r="V1455" s="55">
        <v>-4</v>
      </c>
      <c r="W1455" s="55">
        <v>-3</v>
      </c>
      <c r="X1455" s="55"/>
      <c r="Y1455" s="55"/>
      <c r="Z1455" s="56"/>
      <c r="AA1455" s="56"/>
      <c r="AB1455" s="298"/>
      <c r="AC1455" s="352" t="s">
        <v>703</v>
      </c>
      <c r="AD1455" s="15"/>
      <c r="AE1455" s="16"/>
      <c r="AF1455" s="16"/>
      <c r="AG1455" s="16"/>
      <c r="AH1455" s="28">
        <f t="shared" si="1490"/>
        <v>0</v>
      </c>
      <c r="AI1455" s="15"/>
      <c r="AJ1455" s="16"/>
      <c r="AK1455" s="16"/>
      <c r="AL1455" s="16"/>
      <c r="AM1455" s="28">
        <f t="shared" si="1491"/>
        <v>0</v>
      </c>
      <c r="AN1455" s="15"/>
      <c r="AO1455" s="16"/>
      <c r="AP1455" s="16">
        <v>2</v>
      </c>
      <c r="AQ1455" s="16"/>
      <c r="AR1455" s="28">
        <f t="shared" si="1492"/>
        <v>2</v>
      </c>
      <c r="AS1455" s="15"/>
      <c r="AT1455" s="16"/>
      <c r="AU1455" s="16"/>
      <c r="AV1455" s="16"/>
      <c r="AW1455" s="28">
        <f t="shared" si="1493"/>
        <v>0</v>
      </c>
      <c r="AX1455" s="16"/>
      <c r="AY1455" s="16"/>
      <c r="AZ1455" s="16"/>
      <c r="BA1455" s="16"/>
      <c r="BB1455" s="28">
        <f t="shared" si="1494"/>
        <v>0</v>
      </c>
      <c r="BC1455" s="28">
        <f t="shared" si="1495"/>
        <v>2</v>
      </c>
      <c r="BD1455" s="299">
        <v>46093</v>
      </c>
      <c r="BE1455" s="277"/>
      <c r="BF1455" s="54"/>
      <c r="BG1455" s="55"/>
      <c r="BH1455" s="55"/>
      <c r="BI1455" s="55"/>
      <c r="BJ1455" s="56">
        <f t="shared" si="1487"/>
        <v>0</v>
      </c>
    </row>
    <row r="1456" spans="1:63" x14ac:dyDescent="0.15">
      <c r="A1456" s="53" t="s">
        <v>98</v>
      </c>
      <c r="B1456" s="54"/>
      <c r="C1456" s="55"/>
      <c r="D1456" s="55"/>
      <c r="E1456" s="55"/>
      <c r="F1456" s="56">
        <f t="shared" si="1488"/>
        <v>0</v>
      </c>
      <c r="G1456" s="54"/>
      <c r="H1456" s="55"/>
      <c r="I1456" s="55"/>
      <c r="J1456" s="55"/>
      <c r="K1456" s="56">
        <f t="shared" si="1483"/>
        <v>0</v>
      </c>
      <c r="L1456" s="54"/>
      <c r="M1456" s="55"/>
      <c r="N1456" s="55"/>
      <c r="O1456" s="55"/>
      <c r="P1456" s="56">
        <f t="shared" si="1484"/>
        <v>0</v>
      </c>
      <c r="Q1456" s="54"/>
      <c r="R1456" s="55"/>
      <c r="S1456" s="55">
        <v>1</v>
      </c>
      <c r="T1456" s="55"/>
      <c r="U1456" s="56">
        <f t="shared" si="1485"/>
        <v>1</v>
      </c>
      <c r="V1456" s="55"/>
      <c r="W1456" s="55"/>
      <c r="X1456" s="55"/>
      <c r="Y1456" s="55"/>
      <c r="Z1456" s="56">
        <f t="shared" si="1486"/>
        <v>0</v>
      </c>
      <c r="AA1456" s="56">
        <f t="shared" si="1489"/>
        <v>1</v>
      </c>
      <c r="AB1456" s="298">
        <v>46066</v>
      </c>
      <c r="AC1456" s="276" t="s">
        <v>706</v>
      </c>
      <c r="AD1456" s="54"/>
      <c r="AE1456" s="55"/>
      <c r="AF1456" s="55"/>
      <c r="AG1456" s="55"/>
      <c r="AH1456" s="56">
        <f t="shared" si="1490"/>
        <v>0</v>
      </c>
      <c r="AI1456" s="54"/>
      <c r="AJ1456" s="55"/>
      <c r="AK1456" s="55"/>
      <c r="AL1456" s="55"/>
      <c r="AM1456" s="56">
        <f t="shared" si="1491"/>
        <v>0</v>
      </c>
      <c r="AN1456" s="54"/>
      <c r="AO1456" s="55"/>
      <c r="AP1456" s="55"/>
      <c r="AQ1456" s="55"/>
      <c r="AR1456" s="56">
        <f t="shared" si="1492"/>
        <v>0</v>
      </c>
      <c r="AS1456" s="54"/>
      <c r="AT1456" s="55">
        <v>2</v>
      </c>
      <c r="AU1456" s="55"/>
      <c r="AV1456" s="55"/>
      <c r="AW1456" s="56">
        <f t="shared" si="1493"/>
        <v>2</v>
      </c>
      <c r="AX1456" s="55"/>
      <c r="AY1456" s="55"/>
      <c r="AZ1456" s="55"/>
      <c r="BA1456" s="55"/>
      <c r="BB1456" s="56">
        <f t="shared" si="1494"/>
        <v>0</v>
      </c>
      <c r="BC1456" s="56">
        <f t="shared" si="1495"/>
        <v>2</v>
      </c>
      <c r="BD1456" s="298">
        <v>46105</v>
      </c>
      <c r="BE1456" s="277"/>
      <c r="BF1456" s="54"/>
      <c r="BG1456" s="55"/>
      <c r="BH1456" s="55"/>
      <c r="BI1456" s="55"/>
      <c r="BJ1456" s="56">
        <f t="shared" si="1487"/>
        <v>0</v>
      </c>
    </row>
    <row r="1457" spans="1:62" x14ac:dyDescent="0.15">
      <c r="A1457" s="53" t="s">
        <v>98</v>
      </c>
      <c r="B1457" s="54"/>
      <c r="C1457" s="55"/>
      <c r="D1457" s="55"/>
      <c r="E1457" s="55"/>
      <c r="F1457" s="56">
        <f t="shared" si="1488"/>
        <v>0</v>
      </c>
      <c r="G1457" s="54"/>
      <c r="H1457" s="55"/>
      <c r="I1457" s="55"/>
      <c r="J1457" s="55"/>
      <c r="K1457" s="56">
        <f t="shared" si="1483"/>
        <v>0</v>
      </c>
      <c r="L1457" s="54"/>
      <c r="M1457" s="55"/>
      <c r="N1457" s="55"/>
      <c r="O1457" s="55"/>
      <c r="P1457" s="56">
        <f t="shared" si="1484"/>
        <v>0</v>
      </c>
      <c r="Q1457" s="54"/>
      <c r="R1457" s="55"/>
      <c r="S1457" s="55">
        <v>1</v>
      </c>
      <c r="T1457" s="55"/>
      <c r="U1457" s="56">
        <f t="shared" si="1485"/>
        <v>1</v>
      </c>
      <c r="V1457" s="55"/>
      <c r="W1457" s="55"/>
      <c r="X1457" s="55"/>
      <c r="Y1457" s="55"/>
      <c r="Z1457" s="56">
        <f t="shared" si="1486"/>
        <v>0</v>
      </c>
      <c r="AA1457" s="56">
        <f t="shared" si="1489"/>
        <v>1</v>
      </c>
      <c r="AB1457" s="298">
        <v>46070</v>
      </c>
      <c r="AC1457" s="276" t="s">
        <v>707</v>
      </c>
      <c r="AD1457" s="54"/>
      <c r="AE1457" s="55"/>
      <c r="AF1457" s="55"/>
      <c r="AG1457" s="55"/>
      <c r="AH1457" s="56">
        <f t="shared" si="1490"/>
        <v>0</v>
      </c>
      <c r="AI1457" s="54">
        <v>2</v>
      </c>
      <c r="AJ1457" s="55">
        <v>4</v>
      </c>
      <c r="AK1457" s="55">
        <v>2</v>
      </c>
      <c r="AL1457" s="55">
        <v>3</v>
      </c>
      <c r="AM1457" s="56">
        <f t="shared" si="1491"/>
        <v>11</v>
      </c>
      <c r="AN1457" s="54"/>
      <c r="AO1457" s="55"/>
      <c r="AP1457" s="55"/>
      <c r="AQ1457" s="55"/>
      <c r="AR1457" s="56">
        <f t="shared" si="1492"/>
        <v>0</v>
      </c>
      <c r="AS1457" s="54"/>
      <c r="AT1457" s="55">
        <v>2</v>
      </c>
      <c r="AU1457" s="55"/>
      <c r="AV1457" s="55">
        <v>1</v>
      </c>
      <c r="AW1457" s="56">
        <f t="shared" si="1493"/>
        <v>3</v>
      </c>
      <c r="AX1457" s="55"/>
      <c r="AY1457" s="55"/>
      <c r="AZ1457" s="55"/>
      <c r="BA1457" s="55"/>
      <c r="BB1457" s="56">
        <f t="shared" si="1494"/>
        <v>0</v>
      </c>
      <c r="BC1457" s="56">
        <f t="shared" si="1495"/>
        <v>14</v>
      </c>
      <c r="BD1457" s="298">
        <v>46115</v>
      </c>
      <c r="BE1457" s="277"/>
      <c r="BF1457" s="54"/>
      <c r="BG1457" s="55"/>
      <c r="BH1457" s="55"/>
      <c r="BI1457" s="55"/>
      <c r="BJ1457" s="56">
        <f t="shared" si="1487"/>
        <v>0</v>
      </c>
    </row>
    <row r="1458" spans="1:62" x14ac:dyDescent="0.15">
      <c r="A1458" s="53" t="s">
        <v>98</v>
      </c>
      <c r="B1458" s="54"/>
      <c r="C1458" s="55"/>
      <c r="D1458" s="55"/>
      <c r="E1458" s="55">
        <v>1</v>
      </c>
      <c r="F1458" s="56">
        <f t="shared" si="1488"/>
        <v>1</v>
      </c>
      <c r="G1458" s="54"/>
      <c r="H1458" s="55"/>
      <c r="I1458" s="55"/>
      <c r="J1458" s="55"/>
      <c r="K1458" s="56">
        <f t="shared" si="1483"/>
        <v>0</v>
      </c>
      <c r="L1458" s="54"/>
      <c r="M1458" s="55"/>
      <c r="N1458" s="55"/>
      <c r="O1458" s="55"/>
      <c r="P1458" s="56">
        <f t="shared" si="1484"/>
        <v>0</v>
      </c>
      <c r="Q1458" s="54"/>
      <c r="R1458" s="55"/>
      <c r="S1458" s="55"/>
      <c r="T1458" s="55"/>
      <c r="U1458" s="56">
        <f t="shared" si="1485"/>
        <v>0</v>
      </c>
      <c r="V1458" s="55"/>
      <c r="W1458" s="55"/>
      <c r="X1458" s="55"/>
      <c r="Y1458" s="55"/>
      <c r="Z1458" s="56">
        <f t="shared" si="1486"/>
        <v>0</v>
      </c>
      <c r="AA1458" s="56">
        <f t="shared" si="1489"/>
        <v>1</v>
      </c>
      <c r="AB1458" s="298">
        <v>46078</v>
      </c>
      <c r="AC1458" s="276" t="s">
        <v>708</v>
      </c>
      <c r="AD1458" s="54"/>
      <c r="AE1458" s="55"/>
      <c r="AF1458" s="55"/>
      <c r="AG1458" s="55"/>
      <c r="AH1458" s="56">
        <f t="shared" si="1490"/>
        <v>0</v>
      </c>
      <c r="AI1458" s="54"/>
      <c r="AJ1458" s="55">
        <v>2</v>
      </c>
      <c r="AK1458" s="55">
        <v>2</v>
      </c>
      <c r="AL1458" s="55">
        <v>1</v>
      </c>
      <c r="AM1458" s="56">
        <f t="shared" si="1491"/>
        <v>5</v>
      </c>
      <c r="AN1458" s="54"/>
      <c r="AO1458" s="55"/>
      <c r="AP1458" s="55"/>
      <c r="AQ1458" s="55"/>
      <c r="AR1458" s="56">
        <f t="shared" si="1492"/>
        <v>0</v>
      </c>
      <c r="AS1458" s="54"/>
      <c r="AT1458" s="55"/>
      <c r="AU1458" s="55"/>
      <c r="AV1458" s="55"/>
      <c r="AW1458" s="56">
        <f t="shared" si="1493"/>
        <v>0</v>
      </c>
      <c r="AX1458" s="55"/>
      <c r="AY1458" s="55"/>
      <c r="AZ1458" s="55"/>
      <c r="BA1458" s="55"/>
      <c r="BB1458" s="56">
        <f t="shared" si="1494"/>
        <v>0</v>
      </c>
      <c r="BC1458" s="56">
        <f t="shared" si="1495"/>
        <v>5</v>
      </c>
      <c r="BD1458" s="298">
        <v>46115</v>
      </c>
      <c r="BE1458" s="277"/>
      <c r="BF1458" s="54"/>
      <c r="BG1458" s="55"/>
      <c r="BH1458" s="55"/>
      <c r="BI1458" s="55"/>
      <c r="BJ1458" s="56">
        <f t="shared" si="1487"/>
        <v>0</v>
      </c>
    </row>
    <row r="1459" spans="1:62" x14ac:dyDescent="0.15">
      <c r="A1459" s="53" t="s">
        <v>98</v>
      </c>
      <c r="B1459" s="54"/>
      <c r="C1459" s="55"/>
      <c r="D1459" s="55"/>
      <c r="E1459" s="55"/>
      <c r="F1459" s="56">
        <f t="shared" si="1488"/>
        <v>0</v>
      </c>
      <c r="G1459" s="54"/>
      <c r="H1459" s="55"/>
      <c r="I1459" s="55"/>
      <c r="J1459" s="55"/>
      <c r="K1459" s="56">
        <f t="shared" si="1483"/>
        <v>0</v>
      </c>
      <c r="L1459" s="54"/>
      <c r="M1459" s="55"/>
      <c r="N1459" s="55">
        <v>1</v>
      </c>
      <c r="O1459" s="55"/>
      <c r="P1459" s="56">
        <f t="shared" si="1484"/>
        <v>1</v>
      </c>
      <c r="Q1459" s="54"/>
      <c r="R1459" s="55"/>
      <c r="S1459" s="55"/>
      <c r="T1459" s="55"/>
      <c r="U1459" s="56">
        <f t="shared" si="1485"/>
        <v>0</v>
      </c>
      <c r="V1459" s="55"/>
      <c r="W1459" s="55"/>
      <c r="X1459" s="55"/>
      <c r="Y1459" s="55"/>
      <c r="Z1459" s="56">
        <f t="shared" si="1486"/>
        <v>0</v>
      </c>
      <c r="AA1459" s="56">
        <f t="shared" si="1489"/>
        <v>1</v>
      </c>
      <c r="AB1459" s="298">
        <v>46086</v>
      </c>
      <c r="AC1459" s="276" t="s">
        <v>711</v>
      </c>
      <c r="AD1459" s="54"/>
      <c r="AE1459" s="55"/>
      <c r="AF1459" s="55"/>
      <c r="AG1459" s="55"/>
      <c r="AH1459" s="56">
        <f t="shared" si="1490"/>
        <v>0</v>
      </c>
      <c r="AI1459" s="54"/>
      <c r="AJ1459" s="55"/>
      <c r="AK1459" s="55"/>
      <c r="AL1459" s="55"/>
      <c r="AM1459" s="56">
        <f t="shared" si="1491"/>
        <v>0</v>
      </c>
      <c r="AN1459" s="54"/>
      <c r="AO1459" s="55"/>
      <c r="AP1459" s="55"/>
      <c r="AQ1459" s="55"/>
      <c r="AR1459" s="56">
        <f t="shared" si="1492"/>
        <v>0</v>
      </c>
      <c r="AS1459" s="54">
        <v>2</v>
      </c>
      <c r="AT1459" s="55"/>
      <c r="AU1459" s="55"/>
      <c r="AV1459" s="55"/>
      <c r="AW1459" s="56">
        <f t="shared" si="1493"/>
        <v>2</v>
      </c>
      <c r="AX1459" s="55"/>
      <c r="AY1459" s="55"/>
      <c r="AZ1459" s="55"/>
      <c r="BA1459" s="55"/>
      <c r="BB1459" s="56">
        <f t="shared" si="1494"/>
        <v>0</v>
      </c>
      <c r="BC1459" s="56">
        <f t="shared" si="1495"/>
        <v>2</v>
      </c>
      <c r="BD1459" s="298">
        <v>46115</v>
      </c>
      <c r="BE1459" s="277"/>
      <c r="BF1459" s="54"/>
      <c r="BG1459" s="55"/>
      <c r="BH1459" s="55"/>
      <c r="BI1459" s="55"/>
      <c r="BJ1459" s="56">
        <f t="shared" si="1487"/>
        <v>0</v>
      </c>
    </row>
    <row r="1460" spans="1:62" x14ac:dyDescent="0.15">
      <c r="A1460" s="53" t="s">
        <v>98</v>
      </c>
      <c r="B1460" s="54"/>
      <c r="C1460" s="55"/>
      <c r="D1460" s="55"/>
      <c r="E1460" s="55"/>
      <c r="F1460" s="56">
        <f t="shared" si="1488"/>
        <v>0</v>
      </c>
      <c r="G1460" s="54"/>
      <c r="H1460" s="55"/>
      <c r="I1460" s="55"/>
      <c r="J1460" s="55"/>
      <c r="K1460" s="56">
        <f t="shared" si="1483"/>
        <v>0</v>
      </c>
      <c r="L1460" s="54"/>
      <c r="M1460" s="55"/>
      <c r="N1460" s="55">
        <v>1</v>
      </c>
      <c r="O1460" s="55"/>
      <c r="P1460" s="56">
        <f t="shared" si="1484"/>
        <v>1</v>
      </c>
      <c r="Q1460" s="54"/>
      <c r="R1460" s="55"/>
      <c r="S1460" s="55"/>
      <c r="T1460" s="55"/>
      <c r="U1460" s="56">
        <f t="shared" si="1485"/>
        <v>0</v>
      </c>
      <c r="V1460" s="55"/>
      <c r="W1460" s="55"/>
      <c r="X1460" s="55"/>
      <c r="Y1460" s="55"/>
      <c r="Z1460" s="56">
        <f t="shared" si="1486"/>
        <v>0</v>
      </c>
      <c r="AA1460" s="56">
        <f t="shared" si="1489"/>
        <v>1</v>
      </c>
      <c r="AB1460" s="298">
        <v>46092</v>
      </c>
      <c r="AC1460" s="276" t="s">
        <v>712</v>
      </c>
      <c r="AD1460" s="54"/>
      <c r="AE1460" s="55"/>
      <c r="AF1460" s="55"/>
      <c r="AG1460" s="55"/>
      <c r="AH1460" s="56">
        <f t="shared" si="1490"/>
        <v>0</v>
      </c>
      <c r="AI1460" s="54"/>
      <c r="AJ1460" s="55"/>
      <c r="AK1460" s="55"/>
      <c r="AL1460" s="55"/>
      <c r="AM1460" s="56">
        <f t="shared" si="1491"/>
        <v>0</v>
      </c>
      <c r="AN1460" s="54"/>
      <c r="AO1460" s="55"/>
      <c r="AP1460" s="55"/>
      <c r="AQ1460" s="55"/>
      <c r="AR1460" s="56">
        <f t="shared" si="1492"/>
        <v>0</v>
      </c>
      <c r="AS1460" s="54"/>
      <c r="AT1460" s="55"/>
      <c r="AU1460" s="55"/>
      <c r="AV1460" s="55">
        <v>3</v>
      </c>
      <c r="AW1460" s="56">
        <f t="shared" si="1493"/>
        <v>3</v>
      </c>
      <c r="AX1460" s="55"/>
      <c r="AY1460" s="55"/>
      <c r="AZ1460" s="55"/>
      <c r="BA1460" s="55"/>
      <c r="BB1460" s="56">
        <f t="shared" si="1494"/>
        <v>0</v>
      </c>
      <c r="BC1460" s="56">
        <f t="shared" si="1495"/>
        <v>3</v>
      </c>
      <c r="BD1460" s="298">
        <v>46120</v>
      </c>
      <c r="BE1460" s="277"/>
      <c r="BF1460" s="54"/>
      <c r="BG1460" s="55"/>
      <c r="BH1460" s="55"/>
      <c r="BI1460" s="55"/>
      <c r="BJ1460" s="56">
        <f t="shared" si="1487"/>
        <v>0</v>
      </c>
    </row>
    <row r="1461" spans="1:62" x14ac:dyDescent="0.15">
      <c r="A1461" s="53" t="s">
        <v>98</v>
      </c>
      <c r="B1461" s="54"/>
      <c r="C1461" s="55"/>
      <c r="D1461" s="55"/>
      <c r="E1461" s="55"/>
      <c r="F1461" s="56">
        <f t="shared" si="1488"/>
        <v>0</v>
      </c>
      <c r="G1461" s="54"/>
      <c r="H1461" s="55"/>
      <c r="I1461" s="55"/>
      <c r="J1461" s="55"/>
      <c r="K1461" s="56">
        <f t="shared" si="1483"/>
        <v>0</v>
      </c>
      <c r="L1461" s="54"/>
      <c r="M1461" s="55"/>
      <c r="N1461" s="55">
        <v>1</v>
      </c>
      <c r="O1461" s="55"/>
      <c r="P1461" s="56">
        <f t="shared" si="1484"/>
        <v>1</v>
      </c>
      <c r="Q1461" s="54"/>
      <c r="R1461" s="55"/>
      <c r="S1461" s="55"/>
      <c r="T1461" s="55"/>
      <c r="U1461" s="56">
        <f t="shared" si="1485"/>
        <v>0</v>
      </c>
      <c r="V1461" s="55"/>
      <c r="W1461" s="55"/>
      <c r="X1461" s="55"/>
      <c r="Y1461" s="55"/>
      <c r="Z1461" s="56">
        <f t="shared" si="1486"/>
        <v>0</v>
      </c>
      <c r="AA1461" s="56">
        <f t="shared" si="1489"/>
        <v>1</v>
      </c>
      <c r="AB1461" s="298">
        <v>46111</v>
      </c>
      <c r="AC1461" s="276" t="s">
        <v>713</v>
      </c>
      <c r="AD1461" s="54"/>
      <c r="AE1461" s="55"/>
      <c r="AF1461" s="55"/>
      <c r="AG1461" s="55"/>
      <c r="AH1461" s="56">
        <f t="shared" si="1490"/>
        <v>0</v>
      </c>
      <c r="AI1461" s="54"/>
      <c r="AJ1461" s="55"/>
      <c r="AK1461" s="55"/>
      <c r="AL1461" s="55"/>
      <c r="AM1461" s="56">
        <f t="shared" si="1491"/>
        <v>0</v>
      </c>
      <c r="AN1461" s="54"/>
      <c r="AO1461" s="55"/>
      <c r="AP1461" s="55"/>
      <c r="AQ1461" s="55"/>
      <c r="AR1461" s="56">
        <f t="shared" si="1492"/>
        <v>0</v>
      </c>
      <c r="AS1461" s="54"/>
      <c r="AT1461" s="55">
        <v>3</v>
      </c>
      <c r="AU1461" s="55"/>
      <c r="AV1461" s="55"/>
      <c r="AW1461" s="56">
        <f t="shared" si="1493"/>
        <v>3</v>
      </c>
      <c r="AX1461" s="55"/>
      <c r="AY1461" s="55"/>
      <c r="AZ1461" s="55"/>
      <c r="BA1461" s="55"/>
      <c r="BB1461" s="56">
        <f t="shared" si="1494"/>
        <v>0</v>
      </c>
      <c r="BC1461" s="56">
        <f t="shared" si="1495"/>
        <v>3</v>
      </c>
      <c r="BD1461" s="298">
        <v>46122</v>
      </c>
      <c r="BE1461" s="277"/>
      <c r="BF1461" s="54"/>
      <c r="BG1461" s="55"/>
      <c r="BH1461" s="55"/>
      <c r="BI1461" s="55"/>
      <c r="BJ1461" s="56">
        <f t="shared" si="1487"/>
        <v>0</v>
      </c>
    </row>
    <row r="1462" spans="1:62" x14ac:dyDescent="0.15">
      <c r="A1462" s="53" t="s">
        <v>98</v>
      </c>
      <c r="B1462" s="54"/>
      <c r="C1462" s="55"/>
      <c r="D1462" s="55">
        <v>1</v>
      </c>
      <c r="E1462" s="55"/>
      <c r="F1462" s="56">
        <f t="shared" ref="F1462:F1478" si="1503">SUM(B1462:E1462)</f>
        <v>1</v>
      </c>
      <c r="G1462" s="54"/>
      <c r="H1462" s="55">
        <v>1</v>
      </c>
      <c r="I1462" s="55"/>
      <c r="J1462" s="55"/>
      <c r="K1462" s="56">
        <f t="shared" si="1483"/>
        <v>1</v>
      </c>
      <c r="L1462" s="54"/>
      <c r="M1462" s="55"/>
      <c r="N1462" s="55"/>
      <c r="O1462" s="55"/>
      <c r="P1462" s="56">
        <f t="shared" si="1484"/>
        <v>0</v>
      </c>
      <c r="Q1462" s="54"/>
      <c r="R1462" s="55"/>
      <c r="S1462" s="55"/>
      <c r="T1462" s="55"/>
      <c r="U1462" s="56">
        <f t="shared" si="1485"/>
        <v>0</v>
      </c>
      <c r="V1462" s="55"/>
      <c r="W1462" s="55"/>
      <c r="X1462" s="55"/>
      <c r="Y1462" s="55"/>
      <c r="Z1462" s="56">
        <f t="shared" si="1486"/>
        <v>0</v>
      </c>
      <c r="AA1462" s="56">
        <f t="shared" si="1489"/>
        <v>2</v>
      </c>
      <c r="AB1462" s="298">
        <v>46114</v>
      </c>
      <c r="AC1462" s="276" t="s">
        <v>703</v>
      </c>
      <c r="AD1462" s="54"/>
      <c r="AE1462" s="55"/>
      <c r="AF1462" s="55">
        <v>2</v>
      </c>
      <c r="AG1462" s="55"/>
      <c r="AH1462" s="56">
        <f t="shared" si="1490"/>
        <v>2</v>
      </c>
      <c r="AI1462" s="54">
        <v>2</v>
      </c>
      <c r="AJ1462" s="55"/>
      <c r="AK1462" s="55"/>
      <c r="AL1462" s="55"/>
      <c r="AM1462" s="56">
        <f t="shared" si="1491"/>
        <v>2</v>
      </c>
      <c r="AN1462" s="54"/>
      <c r="AO1462" s="55"/>
      <c r="AP1462" s="55"/>
      <c r="AQ1462" s="55"/>
      <c r="AR1462" s="56">
        <f t="shared" si="1492"/>
        <v>0</v>
      </c>
      <c r="AS1462" s="54"/>
      <c r="AT1462" s="55"/>
      <c r="AU1462" s="55"/>
      <c r="AV1462" s="55"/>
      <c r="AW1462" s="56">
        <f t="shared" si="1493"/>
        <v>0</v>
      </c>
      <c r="AX1462" s="55"/>
      <c r="AY1462" s="55"/>
      <c r="AZ1462" s="55"/>
      <c r="BA1462" s="55"/>
      <c r="BB1462" s="56">
        <f t="shared" si="1494"/>
        <v>0</v>
      </c>
      <c r="BC1462" s="56">
        <f t="shared" si="1495"/>
        <v>4</v>
      </c>
      <c r="BD1462" s="298">
        <v>46121</v>
      </c>
      <c r="BE1462" s="276"/>
      <c r="BF1462" s="54"/>
      <c r="BG1462" s="55"/>
      <c r="BH1462" s="55"/>
      <c r="BI1462" s="55"/>
      <c r="BJ1462" s="56">
        <f t="shared" si="1487"/>
        <v>0</v>
      </c>
    </row>
    <row r="1463" spans="1:62" x14ac:dyDescent="0.15">
      <c r="A1463" s="53" t="s">
        <v>98</v>
      </c>
      <c r="B1463" s="54"/>
      <c r="C1463" s="55"/>
      <c r="D1463" s="55"/>
      <c r="E1463" s="55"/>
      <c r="F1463" s="56">
        <f t="shared" si="1503"/>
        <v>0</v>
      </c>
      <c r="G1463" s="54"/>
      <c r="H1463" s="55"/>
      <c r="I1463" s="55"/>
      <c r="J1463" s="55"/>
      <c r="K1463" s="56">
        <f t="shared" si="1483"/>
        <v>0</v>
      </c>
      <c r="L1463" s="54"/>
      <c r="M1463" s="55"/>
      <c r="N1463" s="55"/>
      <c r="O1463" s="55"/>
      <c r="P1463" s="56">
        <f t="shared" si="1484"/>
        <v>0</v>
      </c>
      <c r="Q1463" s="54"/>
      <c r="R1463" s="55"/>
      <c r="S1463" s="55"/>
      <c r="T1463" s="55">
        <v>1</v>
      </c>
      <c r="U1463" s="56">
        <f t="shared" si="1485"/>
        <v>1</v>
      </c>
      <c r="V1463" s="55"/>
      <c r="W1463" s="55"/>
      <c r="X1463" s="55"/>
      <c r="Y1463" s="55"/>
      <c r="Z1463" s="56">
        <f t="shared" si="1486"/>
        <v>0</v>
      </c>
      <c r="AA1463" s="56">
        <f t="shared" si="1489"/>
        <v>1</v>
      </c>
      <c r="AB1463" s="298">
        <v>46119</v>
      </c>
      <c r="AC1463" s="352" t="s">
        <v>703</v>
      </c>
      <c r="AD1463" s="15"/>
      <c r="AE1463" s="16"/>
      <c r="AF1463" s="16"/>
      <c r="AG1463" s="16">
        <v>3</v>
      </c>
      <c r="AH1463" s="28">
        <f t="shared" si="1490"/>
        <v>3</v>
      </c>
      <c r="AI1463" s="15"/>
      <c r="AJ1463" s="16"/>
      <c r="AK1463" s="16"/>
      <c r="AL1463" s="16"/>
      <c r="AM1463" s="28">
        <f t="shared" si="1491"/>
        <v>0</v>
      </c>
      <c r="AN1463" s="15"/>
      <c r="AO1463" s="16"/>
      <c r="AP1463" s="16"/>
      <c r="AQ1463" s="16"/>
      <c r="AR1463" s="28">
        <f t="shared" si="1492"/>
        <v>0</v>
      </c>
      <c r="AS1463" s="15"/>
      <c r="AT1463" s="16">
        <v>2</v>
      </c>
      <c r="AU1463" s="16"/>
      <c r="AV1463" s="16"/>
      <c r="AW1463" s="28">
        <f t="shared" si="1493"/>
        <v>2</v>
      </c>
      <c r="AX1463" s="16"/>
      <c r="AY1463" s="16"/>
      <c r="AZ1463" s="16"/>
      <c r="BA1463" s="16"/>
      <c r="BB1463" s="28">
        <f t="shared" si="1494"/>
        <v>0</v>
      </c>
      <c r="BC1463" s="28">
        <f t="shared" si="1495"/>
        <v>5</v>
      </c>
      <c r="BD1463" s="299">
        <v>46133</v>
      </c>
      <c r="BE1463" s="277"/>
      <c r="BF1463" s="54"/>
      <c r="BG1463" s="55"/>
      <c r="BH1463" s="55"/>
      <c r="BI1463" s="55"/>
      <c r="BJ1463" s="56">
        <f t="shared" si="1487"/>
        <v>0</v>
      </c>
    </row>
    <row r="1464" spans="1:62" x14ac:dyDescent="0.15">
      <c r="A1464" s="53" t="s">
        <v>98</v>
      </c>
      <c r="B1464" s="54"/>
      <c r="C1464" s="55"/>
      <c r="D1464" s="55"/>
      <c r="E1464" s="55"/>
      <c r="F1464" s="56">
        <f t="shared" si="1503"/>
        <v>0</v>
      </c>
      <c r="G1464" s="54">
        <v>1</v>
      </c>
      <c r="H1464" s="55"/>
      <c r="I1464" s="55"/>
      <c r="J1464" s="55"/>
      <c r="K1464" s="56">
        <f t="shared" si="1483"/>
        <v>1</v>
      </c>
      <c r="L1464" s="54"/>
      <c r="M1464" s="55"/>
      <c r="N1464" s="55"/>
      <c r="O1464" s="55"/>
      <c r="P1464" s="56">
        <f t="shared" si="1484"/>
        <v>0</v>
      </c>
      <c r="Q1464" s="54"/>
      <c r="R1464" s="55"/>
      <c r="S1464" s="55"/>
      <c r="T1464" s="55"/>
      <c r="U1464" s="56">
        <f t="shared" si="1485"/>
        <v>0</v>
      </c>
      <c r="V1464" s="55"/>
      <c r="W1464" s="55"/>
      <c r="X1464" s="55"/>
      <c r="Y1464" s="55"/>
      <c r="Z1464" s="56">
        <f t="shared" si="1486"/>
        <v>0</v>
      </c>
      <c r="AA1464" s="56">
        <f t="shared" si="1489"/>
        <v>1</v>
      </c>
      <c r="AB1464" s="298">
        <v>46120</v>
      </c>
      <c r="AC1464" s="352" t="s">
        <v>703</v>
      </c>
      <c r="AD1464" s="15"/>
      <c r="AE1464" s="16"/>
      <c r="AF1464" s="16"/>
      <c r="AG1464" s="16"/>
      <c r="AH1464" s="28">
        <f t="shared" si="1490"/>
        <v>0</v>
      </c>
      <c r="AI1464" s="15"/>
      <c r="AJ1464" s="16"/>
      <c r="AK1464" s="16"/>
      <c r="AL1464" s="16"/>
      <c r="AM1464" s="28">
        <f t="shared" si="1491"/>
        <v>0</v>
      </c>
      <c r="AN1464" s="15"/>
      <c r="AO1464" s="16"/>
      <c r="AP1464" s="16"/>
      <c r="AQ1464" s="16">
        <v>2</v>
      </c>
      <c r="AR1464" s="28">
        <f t="shared" si="1492"/>
        <v>2</v>
      </c>
      <c r="AS1464" s="15"/>
      <c r="AT1464" s="16"/>
      <c r="AU1464" s="16"/>
      <c r="AV1464" s="16">
        <v>2</v>
      </c>
      <c r="AW1464" s="28">
        <f t="shared" si="1493"/>
        <v>2</v>
      </c>
      <c r="AX1464" s="16"/>
      <c r="AY1464" s="16"/>
      <c r="AZ1464" s="16"/>
      <c r="BA1464" s="16"/>
      <c r="BB1464" s="28">
        <f t="shared" si="1494"/>
        <v>0</v>
      </c>
      <c r="BC1464" s="28">
        <f t="shared" si="1495"/>
        <v>4</v>
      </c>
      <c r="BD1464" s="299">
        <v>46135</v>
      </c>
      <c r="BE1464" s="276"/>
      <c r="BF1464" s="54"/>
      <c r="BG1464" s="55"/>
      <c r="BH1464" s="55"/>
      <c r="BI1464" s="55"/>
      <c r="BJ1464" s="56">
        <f t="shared" si="1487"/>
        <v>0</v>
      </c>
    </row>
    <row r="1465" spans="1:62" x14ac:dyDescent="0.15">
      <c r="A1465" s="53" t="s">
        <v>98</v>
      </c>
      <c r="B1465" s="54"/>
      <c r="C1465" s="55"/>
      <c r="D1465" s="55"/>
      <c r="E1465" s="55"/>
      <c r="F1465" s="56">
        <f t="shared" si="1503"/>
        <v>0</v>
      </c>
      <c r="G1465" s="54"/>
      <c r="H1465" s="55"/>
      <c r="I1465" s="55"/>
      <c r="J1465" s="55"/>
      <c r="K1465" s="56">
        <f t="shared" si="1483"/>
        <v>0</v>
      </c>
      <c r="L1465" s="54"/>
      <c r="M1465" s="55"/>
      <c r="N1465" s="55"/>
      <c r="O1465" s="55"/>
      <c r="P1465" s="56">
        <f t="shared" si="1484"/>
        <v>0</v>
      </c>
      <c r="Q1465" s="54"/>
      <c r="R1465" s="55">
        <v>1</v>
      </c>
      <c r="S1465" s="55"/>
      <c r="T1465" s="55"/>
      <c r="U1465" s="56">
        <f t="shared" si="1485"/>
        <v>1</v>
      </c>
      <c r="V1465" s="55"/>
      <c r="W1465" s="55">
        <v>1</v>
      </c>
      <c r="X1465" s="55"/>
      <c r="Y1465" s="55"/>
      <c r="Z1465" s="56">
        <f t="shared" si="1486"/>
        <v>1</v>
      </c>
      <c r="AA1465" s="56">
        <f t="shared" si="1489"/>
        <v>2</v>
      </c>
      <c r="AB1465" s="298">
        <v>46125</v>
      </c>
      <c r="AC1465" s="276" t="s">
        <v>715</v>
      </c>
      <c r="AD1465" s="54"/>
      <c r="AE1465" s="55"/>
      <c r="AF1465" s="55"/>
      <c r="AG1465" s="55"/>
      <c r="AH1465" s="56">
        <f t="shared" si="1490"/>
        <v>0</v>
      </c>
      <c r="AI1465" s="54"/>
      <c r="AJ1465" s="55"/>
      <c r="AK1465" s="55">
        <v>1</v>
      </c>
      <c r="AL1465" s="55"/>
      <c r="AM1465" s="56">
        <f t="shared" si="1491"/>
        <v>1</v>
      </c>
      <c r="AN1465" s="54"/>
      <c r="AO1465" s="55"/>
      <c r="AP1465" s="55"/>
      <c r="AQ1465" s="55"/>
      <c r="AR1465" s="56">
        <f t="shared" si="1492"/>
        <v>0</v>
      </c>
      <c r="AS1465" s="54"/>
      <c r="AT1465" s="55"/>
      <c r="AU1465" s="55"/>
      <c r="AV1465" s="55"/>
      <c r="AW1465" s="56">
        <f t="shared" si="1493"/>
        <v>0</v>
      </c>
      <c r="AX1465" s="55"/>
      <c r="AY1465" s="55"/>
      <c r="AZ1465" s="55"/>
      <c r="BA1465" s="55"/>
      <c r="BB1465" s="56">
        <f t="shared" si="1494"/>
        <v>0</v>
      </c>
      <c r="BC1465" s="56">
        <f t="shared" si="1495"/>
        <v>1</v>
      </c>
      <c r="BD1465" s="298">
        <v>46139</v>
      </c>
      <c r="BE1465" s="277"/>
      <c r="BF1465" s="55"/>
      <c r="BG1465" s="55"/>
      <c r="BH1465" s="55"/>
      <c r="BI1465" s="166"/>
      <c r="BJ1465" s="49">
        <f t="shared" si="1487"/>
        <v>0</v>
      </c>
    </row>
    <row r="1466" spans="1:62" x14ac:dyDescent="0.15">
      <c r="A1466" s="53" t="s">
        <v>714</v>
      </c>
      <c r="B1466" s="54"/>
      <c r="C1466" s="55"/>
      <c r="D1466" s="55">
        <v>-4</v>
      </c>
      <c r="E1466" s="55">
        <v>2</v>
      </c>
      <c r="F1466" s="56">
        <f t="shared" si="1503"/>
        <v>-2</v>
      </c>
      <c r="G1466" s="54"/>
      <c r="H1466" s="55"/>
      <c r="I1466" s="55"/>
      <c r="J1466" s="55"/>
      <c r="K1466" s="56">
        <f t="shared" si="1483"/>
        <v>0</v>
      </c>
      <c r="L1466" s="54"/>
      <c r="M1466" s="55"/>
      <c r="N1466" s="55"/>
      <c r="O1466" s="55"/>
      <c r="P1466" s="56">
        <f t="shared" si="1484"/>
        <v>0</v>
      </c>
      <c r="Q1466" s="54"/>
      <c r="R1466" s="55"/>
      <c r="S1466" s="55"/>
      <c r="T1466" s="55"/>
      <c r="U1466" s="56">
        <f t="shared" si="1485"/>
        <v>0</v>
      </c>
      <c r="V1466" s="55"/>
      <c r="W1466" s="55"/>
      <c r="X1466" s="55"/>
      <c r="Y1466" s="55"/>
      <c r="Z1466" s="56">
        <f t="shared" si="1486"/>
        <v>0</v>
      </c>
      <c r="AA1466" s="56">
        <f t="shared" si="1489"/>
        <v>-2</v>
      </c>
      <c r="AB1466" s="298">
        <v>46132</v>
      </c>
      <c r="AC1466" s="276" t="s">
        <v>716</v>
      </c>
      <c r="AD1466" s="54"/>
      <c r="AE1466" s="55"/>
      <c r="AF1466" s="55"/>
      <c r="AG1466" s="55"/>
      <c r="AH1466" s="56">
        <f t="shared" si="1490"/>
        <v>0</v>
      </c>
      <c r="AI1466" s="54"/>
      <c r="AJ1466" s="55"/>
      <c r="AK1466" s="55">
        <v>3</v>
      </c>
      <c r="AL1466" s="55"/>
      <c r="AM1466" s="56">
        <f t="shared" si="1491"/>
        <v>3</v>
      </c>
      <c r="AN1466" s="54"/>
      <c r="AO1466" s="55"/>
      <c r="AP1466" s="55"/>
      <c r="AQ1466" s="55"/>
      <c r="AR1466" s="56">
        <f t="shared" si="1492"/>
        <v>0</v>
      </c>
      <c r="AS1466" s="54"/>
      <c r="AT1466" s="55"/>
      <c r="AU1466" s="55"/>
      <c r="AV1466" s="55"/>
      <c r="AW1466" s="56">
        <f t="shared" si="1493"/>
        <v>0</v>
      </c>
      <c r="AX1466" s="55"/>
      <c r="AY1466" s="55"/>
      <c r="AZ1466" s="55"/>
      <c r="BA1466" s="55"/>
      <c r="BB1466" s="56">
        <f t="shared" si="1494"/>
        <v>0</v>
      </c>
      <c r="BC1466" s="56">
        <f t="shared" si="1495"/>
        <v>3</v>
      </c>
      <c r="BD1466" s="298">
        <v>46140</v>
      </c>
      <c r="BE1466" s="277"/>
      <c r="BF1466" s="54"/>
      <c r="BG1466" s="55"/>
      <c r="BH1466" s="55"/>
      <c r="BI1466" s="55"/>
      <c r="BJ1466" s="56">
        <f t="shared" si="1487"/>
        <v>0</v>
      </c>
    </row>
    <row r="1467" spans="1:62" x14ac:dyDescent="0.15">
      <c r="A1467" s="53" t="s">
        <v>98</v>
      </c>
      <c r="B1467" s="54"/>
      <c r="C1467" s="55"/>
      <c r="D1467" s="55"/>
      <c r="E1467" s="55"/>
      <c r="F1467" s="56">
        <f t="shared" si="1503"/>
        <v>0</v>
      </c>
      <c r="G1467" s="54"/>
      <c r="H1467" s="55"/>
      <c r="I1467" s="55"/>
      <c r="J1467" s="55"/>
      <c r="K1467" s="56">
        <f t="shared" si="1483"/>
        <v>0</v>
      </c>
      <c r="L1467" s="54"/>
      <c r="M1467" s="55"/>
      <c r="N1467" s="55"/>
      <c r="O1467" s="55"/>
      <c r="P1467" s="56">
        <f t="shared" si="1484"/>
        <v>0</v>
      </c>
      <c r="Q1467" s="54"/>
      <c r="R1467" s="55"/>
      <c r="S1467" s="55"/>
      <c r="T1467" s="55">
        <v>1</v>
      </c>
      <c r="U1467" s="56">
        <f t="shared" si="1485"/>
        <v>1</v>
      </c>
      <c r="V1467" s="55"/>
      <c r="W1467" s="55"/>
      <c r="X1467" s="55"/>
      <c r="Y1467" s="55"/>
      <c r="Z1467" s="56">
        <f t="shared" si="1486"/>
        <v>0</v>
      </c>
      <c r="AA1467" s="56">
        <f t="shared" si="1489"/>
        <v>1</v>
      </c>
      <c r="AB1467" s="298">
        <v>46132</v>
      </c>
      <c r="AC1467" s="301" t="s">
        <v>717</v>
      </c>
      <c r="AD1467" s="347"/>
      <c r="AE1467" s="346"/>
      <c r="AF1467" s="346"/>
      <c r="AG1467" s="346"/>
      <c r="AH1467" s="147">
        <f t="shared" si="1490"/>
        <v>0</v>
      </c>
      <c r="AI1467" s="347"/>
      <c r="AJ1467" s="346">
        <v>3</v>
      </c>
      <c r="AK1467" s="346"/>
      <c r="AL1467" s="346"/>
      <c r="AM1467" s="147">
        <f t="shared" si="1491"/>
        <v>3</v>
      </c>
      <c r="AN1467" s="347"/>
      <c r="AO1467" s="346"/>
      <c r="AP1467" s="346"/>
      <c r="AQ1467" s="346"/>
      <c r="AR1467" s="147">
        <f t="shared" si="1492"/>
        <v>0</v>
      </c>
      <c r="AS1467" s="347"/>
      <c r="AT1467" s="346"/>
      <c r="AU1467" s="346"/>
      <c r="AV1467" s="346"/>
      <c r="AW1467" s="147">
        <f t="shared" si="1493"/>
        <v>0</v>
      </c>
      <c r="AX1467" s="346"/>
      <c r="AY1467" s="346"/>
      <c r="AZ1467" s="346"/>
      <c r="BA1467" s="346"/>
      <c r="BB1467" s="147">
        <f t="shared" si="1494"/>
        <v>0</v>
      </c>
      <c r="BC1467" s="147">
        <f t="shared" si="1495"/>
        <v>3</v>
      </c>
      <c r="BD1467" s="354">
        <v>46155</v>
      </c>
      <c r="BE1467" s="276"/>
      <c r="BF1467" s="54"/>
      <c r="BG1467" s="55"/>
      <c r="BH1467" s="55"/>
      <c r="BI1467" s="55"/>
      <c r="BJ1467" s="56">
        <f t="shared" si="1487"/>
        <v>0</v>
      </c>
    </row>
    <row r="1468" spans="1:62" x14ac:dyDescent="0.15">
      <c r="A1468" s="53" t="s">
        <v>98</v>
      </c>
      <c r="B1468" s="54"/>
      <c r="C1468" s="55"/>
      <c r="D1468" s="55"/>
      <c r="E1468" s="55">
        <v>1</v>
      </c>
      <c r="F1468" s="56">
        <f t="shared" si="1503"/>
        <v>1</v>
      </c>
      <c r="G1468" s="54"/>
      <c r="H1468" s="55"/>
      <c r="I1468" s="55"/>
      <c r="J1468" s="55"/>
      <c r="K1468" s="56">
        <f t="shared" si="1483"/>
        <v>0</v>
      </c>
      <c r="L1468" s="54"/>
      <c r="M1468" s="55"/>
      <c r="N1468" s="55"/>
      <c r="O1468" s="55"/>
      <c r="P1468" s="56">
        <f t="shared" si="1484"/>
        <v>0</v>
      </c>
      <c r="Q1468" s="54"/>
      <c r="R1468" s="55"/>
      <c r="S1468" s="55"/>
      <c r="T1468" s="55"/>
      <c r="U1468" s="56">
        <f t="shared" si="1485"/>
        <v>0</v>
      </c>
      <c r="V1468" s="55"/>
      <c r="W1468" s="55"/>
      <c r="X1468" s="55"/>
      <c r="Y1468" s="55"/>
      <c r="Z1468" s="56">
        <f t="shared" si="1486"/>
        <v>0</v>
      </c>
      <c r="AA1468" s="56">
        <f t="shared" si="1489"/>
        <v>1</v>
      </c>
      <c r="AB1468" s="298">
        <v>46133</v>
      </c>
      <c r="AC1468" s="276"/>
      <c r="AD1468" s="54"/>
      <c r="AE1468" s="55"/>
      <c r="AF1468" s="55"/>
      <c r="AG1468" s="55"/>
      <c r="AH1468" s="56">
        <f t="shared" si="1490"/>
        <v>0</v>
      </c>
      <c r="AI1468" s="54"/>
      <c r="AJ1468" s="55"/>
      <c r="AK1468" s="55"/>
      <c r="AL1468" s="55"/>
      <c r="AM1468" s="56">
        <f t="shared" si="1491"/>
        <v>0</v>
      </c>
      <c r="AN1468" s="54"/>
      <c r="AO1468" s="55"/>
      <c r="AP1468" s="55"/>
      <c r="AQ1468" s="55"/>
      <c r="AR1468" s="56">
        <f t="shared" si="1492"/>
        <v>0</v>
      </c>
      <c r="AS1468" s="54"/>
      <c r="AT1468" s="55"/>
      <c r="AU1468" s="55"/>
      <c r="AV1468" s="55"/>
      <c r="AW1468" s="56">
        <f t="shared" si="1493"/>
        <v>0</v>
      </c>
      <c r="AX1468" s="55"/>
      <c r="AY1468" s="55"/>
      <c r="AZ1468" s="55"/>
      <c r="BA1468" s="55"/>
      <c r="BB1468" s="56">
        <f t="shared" si="1494"/>
        <v>0</v>
      </c>
      <c r="BC1468" s="56">
        <f t="shared" si="1495"/>
        <v>0</v>
      </c>
      <c r="BD1468" s="300"/>
      <c r="BE1468" s="276"/>
      <c r="BF1468" s="63"/>
      <c r="BG1468" s="63"/>
      <c r="BH1468" s="63"/>
      <c r="BI1468" s="167"/>
      <c r="BJ1468" s="64">
        <f t="shared" si="1487"/>
        <v>0</v>
      </c>
    </row>
    <row r="1469" spans="1:62" x14ac:dyDescent="0.15">
      <c r="A1469" s="53" t="s">
        <v>98</v>
      </c>
      <c r="B1469" s="54"/>
      <c r="C1469" s="55"/>
      <c r="D1469" s="55"/>
      <c r="E1469" s="55"/>
      <c r="F1469" s="56">
        <f t="shared" si="1503"/>
        <v>0</v>
      </c>
      <c r="G1469" s="54"/>
      <c r="H1469" s="55"/>
      <c r="I1469" s="55"/>
      <c r="J1469" s="55"/>
      <c r="K1469" s="56">
        <f t="shared" si="1483"/>
        <v>0</v>
      </c>
      <c r="L1469" s="54"/>
      <c r="M1469" s="55"/>
      <c r="N1469" s="55"/>
      <c r="O1469" s="55">
        <v>1</v>
      </c>
      <c r="P1469" s="56">
        <f t="shared" si="1484"/>
        <v>1</v>
      </c>
      <c r="Q1469" s="54"/>
      <c r="R1469" s="55"/>
      <c r="S1469" s="55"/>
      <c r="T1469" s="55"/>
      <c r="U1469" s="56">
        <f t="shared" si="1485"/>
        <v>0</v>
      </c>
      <c r="V1469" s="55"/>
      <c r="W1469" s="55"/>
      <c r="X1469" s="55"/>
      <c r="Y1469" s="55"/>
      <c r="Z1469" s="56">
        <f t="shared" si="1486"/>
        <v>0</v>
      </c>
      <c r="AA1469" s="56">
        <f t="shared" si="1489"/>
        <v>1</v>
      </c>
      <c r="AB1469" s="299">
        <v>46134</v>
      </c>
      <c r="AC1469" s="276"/>
      <c r="AD1469" s="54"/>
      <c r="AE1469" s="55"/>
      <c r="AF1469" s="55"/>
      <c r="AG1469" s="55"/>
      <c r="AH1469" s="56">
        <f t="shared" si="1463"/>
        <v>0</v>
      </c>
      <c r="AI1469" s="54"/>
      <c r="AJ1469" s="55"/>
      <c r="AK1469" s="55"/>
      <c r="AL1469" s="55"/>
      <c r="AM1469" s="56">
        <f t="shared" si="1464"/>
        <v>0</v>
      </c>
      <c r="AN1469" s="54"/>
      <c r="AO1469" s="55"/>
      <c r="AP1469" s="55"/>
      <c r="AQ1469" s="55"/>
      <c r="AR1469" s="56">
        <f t="shared" si="1465"/>
        <v>0</v>
      </c>
      <c r="AS1469" s="54"/>
      <c r="AT1469" s="55"/>
      <c r="AU1469" s="55"/>
      <c r="AV1469" s="55"/>
      <c r="AW1469" s="56">
        <f t="shared" si="1466"/>
        <v>0</v>
      </c>
      <c r="AX1469" s="55"/>
      <c r="AY1469" s="55"/>
      <c r="AZ1469" s="55"/>
      <c r="BA1469" s="55"/>
      <c r="BB1469" s="56">
        <f t="shared" si="1467"/>
        <v>0</v>
      </c>
      <c r="BC1469" s="56">
        <f t="shared" ref="BC1469:BC1476" si="1504">AH1469+AM1469+AR1469+AW1469+BB1469</f>
        <v>0</v>
      </c>
      <c r="BD1469" s="300"/>
      <c r="BE1469" s="277"/>
      <c r="BF1469" s="54"/>
      <c r="BG1469" s="55"/>
      <c r="BH1469" s="55"/>
      <c r="BI1469" s="55"/>
      <c r="BJ1469" s="56">
        <f t="shared" si="1487"/>
        <v>0</v>
      </c>
    </row>
    <row r="1470" spans="1:62" x14ac:dyDescent="0.15">
      <c r="A1470" s="353" t="s">
        <v>28</v>
      </c>
      <c r="B1470" s="15"/>
      <c r="C1470" s="16"/>
      <c r="D1470" s="16"/>
      <c r="E1470" s="16"/>
      <c r="F1470" s="28">
        <f t="shared" si="1503"/>
        <v>0</v>
      </c>
      <c r="G1470" s="15"/>
      <c r="H1470" s="16"/>
      <c r="I1470" s="16"/>
      <c r="J1470" s="16"/>
      <c r="K1470" s="28">
        <f t="shared" si="1483"/>
        <v>0</v>
      </c>
      <c r="L1470" s="15"/>
      <c r="M1470" s="16"/>
      <c r="N1470" s="16"/>
      <c r="O1470" s="16">
        <v>-2</v>
      </c>
      <c r="P1470" s="28">
        <f t="shared" si="1484"/>
        <v>-2</v>
      </c>
      <c r="Q1470" s="15"/>
      <c r="R1470" s="16"/>
      <c r="S1470" s="16"/>
      <c r="T1470" s="16">
        <v>-2</v>
      </c>
      <c r="U1470" s="28">
        <f t="shared" si="1485"/>
        <v>-2</v>
      </c>
      <c r="V1470" s="16"/>
      <c r="W1470" s="16"/>
      <c r="X1470" s="16"/>
      <c r="Y1470" s="16"/>
      <c r="Z1470" s="28">
        <f t="shared" si="1486"/>
        <v>0</v>
      </c>
      <c r="AA1470" s="28">
        <f t="shared" si="1489"/>
        <v>-4</v>
      </c>
      <c r="AB1470" s="299">
        <v>46135</v>
      </c>
      <c r="AC1470" s="276"/>
      <c r="AD1470" s="54"/>
      <c r="AE1470" s="55"/>
      <c r="AF1470" s="55"/>
      <c r="AG1470" s="55"/>
      <c r="AH1470" s="56">
        <f t="shared" si="1463"/>
        <v>0</v>
      </c>
      <c r="AI1470" s="54"/>
      <c r="AJ1470" s="55"/>
      <c r="AK1470" s="55"/>
      <c r="AL1470" s="55"/>
      <c r="AM1470" s="56">
        <f t="shared" si="1464"/>
        <v>0</v>
      </c>
      <c r="AN1470" s="54"/>
      <c r="AO1470" s="55"/>
      <c r="AP1470" s="55"/>
      <c r="AQ1470" s="55"/>
      <c r="AR1470" s="56">
        <f t="shared" si="1465"/>
        <v>0</v>
      </c>
      <c r="AS1470" s="54"/>
      <c r="AT1470" s="55"/>
      <c r="AU1470" s="55"/>
      <c r="AV1470" s="55"/>
      <c r="AW1470" s="56">
        <f t="shared" si="1466"/>
        <v>0</v>
      </c>
      <c r="AX1470" s="55"/>
      <c r="AY1470" s="55"/>
      <c r="AZ1470" s="55"/>
      <c r="BA1470" s="55"/>
      <c r="BB1470" s="56">
        <f t="shared" si="1467"/>
        <v>0</v>
      </c>
      <c r="BC1470" s="56">
        <f t="shared" si="1504"/>
        <v>0</v>
      </c>
      <c r="BE1470" s="276"/>
      <c r="BF1470" s="54"/>
      <c r="BG1470" s="55"/>
      <c r="BH1470" s="55"/>
      <c r="BI1470" s="55"/>
      <c r="BJ1470" s="56">
        <f t="shared" si="1487"/>
        <v>0</v>
      </c>
    </row>
    <row r="1471" spans="1:62" x14ac:dyDescent="0.15">
      <c r="A1471" s="53" t="s">
        <v>98</v>
      </c>
      <c r="B1471" s="54">
        <v>1</v>
      </c>
      <c r="C1471" s="55"/>
      <c r="D1471" s="55"/>
      <c r="E1471" s="55">
        <v>1</v>
      </c>
      <c r="F1471" s="56">
        <f t="shared" si="1503"/>
        <v>2</v>
      </c>
      <c r="G1471" s="54"/>
      <c r="H1471" s="55"/>
      <c r="I1471" s="55"/>
      <c r="J1471" s="55"/>
      <c r="K1471" s="56">
        <f t="shared" si="1483"/>
        <v>0</v>
      </c>
      <c r="L1471" s="54"/>
      <c r="M1471" s="55"/>
      <c r="N1471" s="55"/>
      <c r="O1471" s="55"/>
      <c r="P1471" s="56">
        <f t="shared" si="1484"/>
        <v>0</v>
      </c>
      <c r="Q1471" s="54"/>
      <c r="R1471" s="55">
        <v>1</v>
      </c>
      <c r="S1471" s="55"/>
      <c r="T1471" s="55"/>
      <c r="U1471" s="56">
        <f t="shared" si="1485"/>
        <v>1</v>
      </c>
      <c r="V1471" s="55"/>
      <c r="W1471" s="55"/>
      <c r="X1471" s="55"/>
      <c r="Y1471" s="55"/>
      <c r="Z1471" s="56">
        <f t="shared" si="1486"/>
        <v>0</v>
      </c>
      <c r="AA1471" s="56">
        <f t="shared" si="1489"/>
        <v>3</v>
      </c>
      <c r="AB1471" s="298">
        <v>46149</v>
      </c>
      <c r="AC1471" s="276"/>
      <c r="AD1471" s="54"/>
      <c r="AE1471" s="55"/>
      <c r="AF1471" s="55"/>
      <c r="AG1471" s="55"/>
      <c r="AH1471" s="56">
        <f t="shared" si="1463"/>
        <v>0</v>
      </c>
      <c r="AI1471" s="54"/>
      <c r="AJ1471" s="55"/>
      <c r="AK1471" s="55"/>
      <c r="AL1471" s="55"/>
      <c r="AM1471" s="56">
        <f t="shared" si="1464"/>
        <v>0</v>
      </c>
      <c r="AN1471" s="54"/>
      <c r="AO1471" s="55"/>
      <c r="AP1471" s="55"/>
      <c r="AQ1471" s="55"/>
      <c r="AR1471" s="56">
        <f t="shared" si="1465"/>
        <v>0</v>
      </c>
      <c r="AS1471" s="54"/>
      <c r="AT1471" s="55"/>
      <c r="AU1471" s="55"/>
      <c r="AV1471" s="55"/>
      <c r="AW1471" s="56">
        <f t="shared" si="1466"/>
        <v>0</v>
      </c>
      <c r="AX1471" s="55"/>
      <c r="AY1471" s="55"/>
      <c r="AZ1471" s="55"/>
      <c r="BA1471" s="55"/>
      <c r="BB1471" s="56">
        <f t="shared" si="1467"/>
        <v>0</v>
      </c>
      <c r="BC1471" s="56">
        <f t="shared" si="1504"/>
        <v>0</v>
      </c>
      <c r="BE1471" s="277"/>
      <c r="BF1471" s="54"/>
      <c r="BG1471" s="55"/>
      <c r="BH1471" s="55"/>
      <c r="BI1471" s="55"/>
      <c r="BJ1471" s="56">
        <f t="shared" si="1487"/>
        <v>0</v>
      </c>
    </row>
    <row r="1472" spans="1:62" x14ac:dyDescent="0.15">
      <c r="A1472" s="53" t="s">
        <v>98</v>
      </c>
      <c r="B1472" s="54"/>
      <c r="C1472" s="55"/>
      <c r="D1472" s="55"/>
      <c r="E1472" s="55"/>
      <c r="F1472" s="56">
        <f t="shared" si="1503"/>
        <v>0</v>
      </c>
      <c r="G1472" s="54"/>
      <c r="H1472" s="55"/>
      <c r="I1472" s="55"/>
      <c r="J1472" s="55"/>
      <c r="K1472" s="56">
        <f t="shared" si="1483"/>
        <v>0</v>
      </c>
      <c r="L1472" s="54"/>
      <c r="M1472" s="55"/>
      <c r="N1472" s="55"/>
      <c r="O1472" s="55"/>
      <c r="P1472" s="56">
        <f t="shared" si="1484"/>
        <v>0</v>
      </c>
      <c r="Q1472" s="54"/>
      <c r="R1472" s="55"/>
      <c r="S1472" s="55"/>
      <c r="T1472" s="55"/>
      <c r="U1472" s="56">
        <f t="shared" si="1485"/>
        <v>0</v>
      </c>
      <c r="V1472" s="55"/>
      <c r="W1472" s="55"/>
      <c r="X1472" s="55">
        <v>1</v>
      </c>
      <c r="Y1472" s="55"/>
      <c r="Z1472" s="56">
        <f t="shared" si="1486"/>
        <v>1</v>
      </c>
      <c r="AA1472" s="56">
        <f t="shared" si="1489"/>
        <v>1</v>
      </c>
      <c r="AB1472" s="299">
        <v>46150</v>
      </c>
      <c r="AC1472" s="276"/>
      <c r="AD1472" s="54"/>
      <c r="AE1472" s="55"/>
      <c r="AF1472" s="55"/>
      <c r="AG1472" s="55"/>
      <c r="AH1472" s="56">
        <f t="shared" si="1463"/>
        <v>0</v>
      </c>
      <c r="AI1472" s="54"/>
      <c r="AJ1472" s="55"/>
      <c r="AK1472" s="55"/>
      <c r="AL1472" s="55"/>
      <c r="AM1472" s="56">
        <f t="shared" si="1464"/>
        <v>0</v>
      </c>
      <c r="AN1472" s="54"/>
      <c r="AO1472" s="55"/>
      <c r="AP1472" s="55"/>
      <c r="AQ1472" s="55"/>
      <c r="AR1472" s="56">
        <f t="shared" si="1465"/>
        <v>0</v>
      </c>
      <c r="AS1472" s="54"/>
      <c r="AT1472" s="55"/>
      <c r="AU1472" s="55"/>
      <c r="AV1472" s="55"/>
      <c r="AW1472" s="56">
        <f t="shared" si="1466"/>
        <v>0</v>
      </c>
      <c r="AX1472" s="55"/>
      <c r="AY1472" s="55"/>
      <c r="AZ1472" s="55"/>
      <c r="BA1472" s="55"/>
      <c r="BB1472" s="56">
        <f t="shared" si="1467"/>
        <v>0</v>
      </c>
      <c r="BC1472" s="56">
        <f t="shared" si="1504"/>
        <v>0</v>
      </c>
      <c r="BE1472" s="268"/>
      <c r="BF1472" s="62"/>
      <c r="BG1472" s="63"/>
      <c r="BH1472" s="63"/>
      <c r="BI1472" s="63"/>
      <c r="BJ1472" s="56">
        <f t="shared" si="1487"/>
        <v>0</v>
      </c>
    </row>
    <row r="1473" spans="1:62" x14ac:dyDescent="0.15">
      <c r="A1473" s="53" t="s">
        <v>29</v>
      </c>
      <c r="B1473" s="54"/>
      <c r="C1473" s="55"/>
      <c r="D1473" s="55"/>
      <c r="E1473" s="55"/>
      <c r="F1473" s="56">
        <f t="shared" si="1503"/>
        <v>0</v>
      </c>
      <c r="G1473" s="54"/>
      <c r="H1473" s="55">
        <v>-1</v>
      </c>
      <c r="I1473" s="55"/>
      <c r="J1473" s="55"/>
      <c r="K1473" s="56">
        <f t="shared" si="1483"/>
        <v>-1</v>
      </c>
      <c r="L1473" s="54"/>
      <c r="M1473" s="55"/>
      <c r="N1473" s="55"/>
      <c r="O1473" s="55"/>
      <c r="P1473" s="56">
        <f t="shared" si="1484"/>
        <v>0</v>
      </c>
      <c r="Q1473" s="54"/>
      <c r="R1473" s="55"/>
      <c r="S1473" s="55"/>
      <c r="T1473" s="55"/>
      <c r="U1473" s="56">
        <f t="shared" si="1485"/>
        <v>0</v>
      </c>
      <c r="V1473" s="55"/>
      <c r="W1473" s="55"/>
      <c r="X1473" s="55"/>
      <c r="Y1473" s="55"/>
      <c r="Z1473" s="56">
        <f t="shared" si="1486"/>
        <v>0</v>
      </c>
      <c r="AA1473" s="56">
        <f t="shared" si="1489"/>
        <v>-1</v>
      </c>
      <c r="AB1473" s="299">
        <v>46154</v>
      </c>
      <c r="AC1473" s="276"/>
      <c r="AD1473" s="54"/>
      <c r="AE1473" s="55"/>
      <c r="AF1473" s="55"/>
      <c r="AG1473" s="55"/>
      <c r="AH1473" s="56">
        <f t="shared" si="1463"/>
        <v>0</v>
      </c>
      <c r="AI1473" s="54"/>
      <c r="AJ1473" s="55"/>
      <c r="AK1473" s="55"/>
      <c r="AL1473" s="55"/>
      <c r="AM1473" s="56">
        <f t="shared" si="1464"/>
        <v>0</v>
      </c>
      <c r="AN1473" s="54"/>
      <c r="AO1473" s="55"/>
      <c r="AP1473" s="55"/>
      <c r="AQ1473" s="55"/>
      <c r="AR1473" s="56">
        <f t="shared" si="1465"/>
        <v>0</v>
      </c>
      <c r="AS1473" s="54"/>
      <c r="AT1473" s="55"/>
      <c r="AU1473" s="55"/>
      <c r="AV1473" s="55"/>
      <c r="AW1473" s="56">
        <f t="shared" si="1466"/>
        <v>0</v>
      </c>
      <c r="AX1473" s="55"/>
      <c r="AY1473" s="55"/>
      <c r="AZ1473" s="55"/>
      <c r="BA1473" s="55"/>
      <c r="BB1473" s="56">
        <f t="shared" si="1467"/>
        <v>0</v>
      </c>
      <c r="BC1473" s="56">
        <f t="shared" si="1504"/>
        <v>0</v>
      </c>
      <c r="BE1473" s="268"/>
      <c r="BF1473" s="54"/>
      <c r="BG1473" s="55"/>
      <c r="BH1473" s="55"/>
      <c r="BI1473" s="55"/>
      <c r="BJ1473" s="56">
        <f t="shared" si="1487"/>
        <v>0</v>
      </c>
    </row>
    <row r="1474" spans="1:62" x14ac:dyDescent="0.15">
      <c r="A1474" s="53" t="s">
        <v>98</v>
      </c>
      <c r="B1474" s="54"/>
      <c r="C1474" s="55"/>
      <c r="D1474" s="55"/>
      <c r="E1474" s="55"/>
      <c r="F1474" s="56">
        <f t="shared" si="1503"/>
        <v>0</v>
      </c>
      <c r="G1474" s="54"/>
      <c r="H1474" s="55"/>
      <c r="I1474" s="55"/>
      <c r="J1474" s="55"/>
      <c r="K1474" s="56">
        <f t="shared" si="1483"/>
        <v>0</v>
      </c>
      <c r="L1474" s="54"/>
      <c r="M1474" s="55"/>
      <c r="N1474" s="55"/>
      <c r="O1474" s="55"/>
      <c r="P1474" s="56">
        <f t="shared" si="1484"/>
        <v>0</v>
      </c>
      <c r="Q1474" s="54"/>
      <c r="R1474" s="55"/>
      <c r="S1474" s="55">
        <v>1</v>
      </c>
      <c r="T1474" s="55"/>
      <c r="U1474" s="56">
        <f t="shared" si="1485"/>
        <v>1</v>
      </c>
      <c r="V1474" s="55"/>
      <c r="W1474" s="55"/>
      <c r="X1474" s="55"/>
      <c r="Y1474" s="55"/>
      <c r="Z1474" s="56">
        <f t="shared" si="1486"/>
        <v>0</v>
      </c>
      <c r="AA1474" s="56">
        <f t="shared" si="1489"/>
        <v>1</v>
      </c>
      <c r="AB1474" s="299">
        <v>46161</v>
      </c>
      <c r="AC1474" s="276"/>
      <c r="AD1474" s="54"/>
      <c r="AE1474" s="55"/>
      <c r="AF1474" s="55"/>
      <c r="AG1474" s="55"/>
      <c r="AH1474" s="56">
        <f t="shared" si="1463"/>
        <v>0</v>
      </c>
      <c r="AI1474" s="54"/>
      <c r="AJ1474" s="55"/>
      <c r="AK1474" s="55"/>
      <c r="AL1474" s="55"/>
      <c r="AM1474" s="56">
        <f t="shared" si="1464"/>
        <v>0</v>
      </c>
      <c r="AN1474" s="54"/>
      <c r="AO1474" s="55"/>
      <c r="AP1474" s="55"/>
      <c r="AQ1474" s="55"/>
      <c r="AR1474" s="56">
        <f t="shared" si="1465"/>
        <v>0</v>
      </c>
      <c r="AS1474" s="54"/>
      <c r="AT1474" s="55"/>
      <c r="AU1474" s="55"/>
      <c r="AV1474" s="55"/>
      <c r="AW1474" s="56">
        <f t="shared" si="1466"/>
        <v>0</v>
      </c>
      <c r="AX1474" s="55"/>
      <c r="AY1474" s="55"/>
      <c r="AZ1474" s="55"/>
      <c r="BA1474" s="55"/>
      <c r="BB1474" s="56">
        <f t="shared" si="1467"/>
        <v>0</v>
      </c>
      <c r="BC1474" s="56">
        <f t="shared" si="1504"/>
        <v>0</v>
      </c>
      <c r="BE1474" s="268"/>
      <c r="BF1474" s="62"/>
      <c r="BG1474" s="63"/>
      <c r="BH1474" s="63"/>
      <c r="BI1474" s="63"/>
      <c r="BJ1474" s="56">
        <f t="shared" si="1487"/>
        <v>0</v>
      </c>
    </row>
    <row r="1475" spans="1:62" x14ac:dyDescent="0.15">
      <c r="A1475" s="53" t="s">
        <v>98</v>
      </c>
      <c r="B1475" s="54"/>
      <c r="C1475" s="55"/>
      <c r="D1475" s="55"/>
      <c r="E1475" s="55"/>
      <c r="F1475" s="56">
        <f t="shared" si="1503"/>
        <v>0</v>
      </c>
      <c r="G1475" s="54"/>
      <c r="H1475" s="55"/>
      <c r="I1475" s="55"/>
      <c r="J1475" s="55"/>
      <c r="K1475" s="56">
        <f t="shared" si="1483"/>
        <v>0</v>
      </c>
      <c r="L1475" s="54"/>
      <c r="M1475" s="55"/>
      <c r="N1475" s="55"/>
      <c r="O1475" s="55"/>
      <c r="P1475" s="56">
        <f t="shared" si="1484"/>
        <v>0</v>
      </c>
      <c r="Q1475" s="54">
        <v>1</v>
      </c>
      <c r="R1475" s="55"/>
      <c r="S1475" s="55"/>
      <c r="T1475" s="55"/>
      <c r="U1475" s="56">
        <f t="shared" si="1485"/>
        <v>1</v>
      </c>
      <c r="V1475" s="55"/>
      <c r="W1475" s="55"/>
      <c r="X1475" s="55"/>
      <c r="Y1475" s="55"/>
      <c r="Z1475" s="56">
        <f t="shared" si="1486"/>
        <v>0</v>
      </c>
      <c r="AA1475" s="56">
        <f t="shared" si="1489"/>
        <v>1</v>
      </c>
      <c r="AB1475" s="299">
        <v>46168</v>
      </c>
      <c r="AC1475" s="301" t="s">
        <v>699</v>
      </c>
      <c r="AD1475" s="348"/>
      <c r="AE1475" s="349"/>
      <c r="AF1475" s="349"/>
      <c r="AG1475" s="349"/>
      <c r="AH1475" s="147">
        <f t="shared" si="1463"/>
        <v>0</v>
      </c>
      <c r="AI1475" s="348"/>
      <c r="AJ1475" s="349"/>
      <c r="AK1475" s="349"/>
      <c r="AL1475" s="349"/>
      <c r="AM1475" s="147">
        <f t="shared" si="1464"/>
        <v>0</v>
      </c>
      <c r="AN1475" s="348"/>
      <c r="AO1475" s="349"/>
      <c r="AP1475" s="349"/>
      <c r="AQ1475" s="349"/>
      <c r="AR1475" s="147">
        <f t="shared" si="1465"/>
        <v>0</v>
      </c>
      <c r="AS1475" s="347">
        <f>12-2</f>
        <v>10</v>
      </c>
      <c r="AT1475" s="346">
        <f>15-2-3</f>
        <v>10</v>
      </c>
      <c r="AU1475" s="346">
        <v>11</v>
      </c>
      <c r="AV1475" s="346">
        <f>12-1</f>
        <v>11</v>
      </c>
      <c r="AW1475" s="147">
        <f t="shared" si="1466"/>
        <v>42</v>
      </c>
      <c r="AX1475" s="349"/>
      <c r="AY1475" s="349"/>
      <c r="AZ1475" s="349"/>
      <c r="BA1475" s="349"/>
      <c r="BB1475" s="147">
        <f t="shared" si="1467"/>
        <v>0</v>
      </c>
      <c r="BC1475" s="147">
        <f t="shared" si="1504"/>
        <v>42</v>
      </c>
      <c r="BD1475" s="350" t="s">
        <v>700</v>
      </c>
      <c r="BE1475" s="277"/>
      <c r="BF1475" s="54"/>
      <c r="BG1475" s="55"/>
      <c r="BH1475" s="55"/>
      <c r="BI1475" s="55"/>
      <c r="BJ1475" s="56">
        <f t="shared" si="1487"/>
        <v>0</v>
      </c>
    </row>
    <row r="1476" spans="1:62" ht="14.25" thickBot="1" x14ac:dyDescent="0.2">
      <c r="A1476" s="53" t="s">
        <v>98</v>
      </c>
      <c r="B1476" s="33"/>
      <c r="C1476" s="34"/>
      <c r="D1476" s="34"/>
      <c r="E1476" s="34"/>
      <c r="F1476" s="30">
        <f t="shared" si="1503"/>
        <v>0</v>
      </c>
      <c r="G1476" s="33"/>
      <c r="H1476" s="34"/>
      <c r="I1476" s="34"/>
      <c r="J1476" s="34">
        <v>1</v>
      </c>
      <c r="K1476" s="30">
        <f t="shared" si="1483"/>
        <v>1</v>
      </c>
      <c r="L1476" s="33"/>
      <c r="M1476" s="34"/>
      <c r="N1476" s="34"/>
      <c r="O1476" s="34"/>
      <c r="P1476" s="30">
        <f t="shared" si="1484"/>
        <v>0</v>
      </c>
      <c r="Q1476" s="33"/>
      <c r="R1476" s="34"/>
      <c r="S1476" s="34"/>
      <c r="T1476" s="34"/>
      <c r="U1476" s="30">
        <f t="shared" si="1485"/>
        <v>0</v>
      </c>
      <c r="V1476" s="34"/>
      <c r="W1476" s="34"/>
      <c r="X1476" s="34"/>
      <c r="Y1476" s="34"/>
      <c r="Z1476" s="30">
        <f t="shared" si="1486"/>
        <v>0</v>
      </c>
      <c r="AA1476" s="56">
        <f>F1476+K1476+P1476+U1476+Z1476</f>
        <v>1</v>
      </c>
      <c r="AB1476" s="299">
        <v>46177</v>
      </c>
      <c r="AC1476" s="301" t="s">
        <v>698</v>
      </c>
      <c r="AD1476" s="348"/>
      <c r="AE1476" s="349"/>
      <c r="AF1476" s="349"/>
      <c r="AG1476" s="349"/>
      <c r="AH1476" s="147">
        <f t="shared" si="1463"/>
        <v>0</v>
      </c>
      <c r="AI1476" s="347">
        <f>30-2</f>
        <v>28</v>
      </c>
      <c r="AJ1476" s="346">
        <f>36-2-4-2-3</f>
        <v>25</v>
      </c>
      <c r="AK1476" s="346">
        <f>26-2-2-1-3</f>
        <v>18</v>
      </c>
      <c r="AL1476" s="346">
        <f>29-3-1</f>
        <v>25</v>
      </c>
      <c r="AM1476" s="147">
        <f t="shared" si="1464"/>
        <v>96</v>
      </c>
      <c r="AN1476" s="348"/>
      <c r="AO1476" s="349"/>
      <c r="AP1476" s="349"/>
      <c r="AQ1476" s="349"/>
      <c r="AR1476" s="147">
        <f t="shared" si="1465"/>
        <v>0</v>
      </c>
      <c r="AS1476" s="348"/>
      <c r="AT1476" s="349"/>
      <c r="AU1476" s="349"/>
      <c r="AV1476" s="349"/>
      <c r="AW1476" s="147">
        <f t="shared" si="1466"/>
        <v>0</v>
      </c>
      <c r="AX1476" s="349"/>
      <c r="AY1476" s="349"/>
      <c r="AZ1476" s="349"/>
      <c r="BA1476" s="349"/>
      <c r="BB1476" s="147">
        <f t="shared" si="1467"/>
        <v>0</v>
      </c>
      <c r="BC1476" s="147">
        <f t="shared" si="1504"/>
        <v>96</v>
      </c>
      <c r="BD1476" s="350" t="s">
        <v>700</v>
      </c>
      <c r="BE1476" s="282"/>
      <c r="BF1476" s="33"/>
      <c r="BG1476" s="34"/>
      <c r="BH1476" s="34"/>
      <c r="BI1476" s="34"/>
      <c r="BJ1476" s="30">
        <f t="shared" si="1487"/>
        <v>0</v>
      </c>
    </row>
    <row r="1477" spans="1:62" ht="15" thickBot="1" x14ac:dyDescent="0.2">
      <c r="A1477" s="9" t="s">
        <v>15</v>
      </c>
      <c r="B1477" s="36">
        <f>SUM(B1451:B1476)</f>
        <v>1</v>
      </c>
      <c r="C1477" s="37">
        <f>SUM(C1451:C1476)</f>
        <v>0</v>
      </c>
      <c r="D1477" s="37">
        <f>SUM(D1451:D1476)</f>
        <v>-3</v>
      </c>
      <c r="E1477" s="38">
        <f>SUM(E1451:E1476)</f>
        <v>5</v>
      </c>
      <c r="F1477" s="25">
        <f t="shared" si="1503"/>
        <v>3</v>
      </c>
      <c r="G1477" s="36">
        <f>SUM(G1451:G1476)</f>
        <v>1</v>
      </c>
      <c r="H1477" s="37">
        <f>SUM(H1451:H1476)</f>
        <v>0</v>
      </c>
      <c r="I1477" s="37">
        <f>SUM(I1451:I1476)</f>
        <v>0</v>
      </c>
      <c r="J1477" s="38">
        <f>SUM(J1451:J1476)</f>
        <v>1</v>
      </c>
      <c r="K1477" s="25">
        <f t="shared" si="1483"/>
        <v>2</v>
      </c>
      <c r="L1477" s="36">
        <f>SUM(L1451:L1476)</f>
        <v>0</v>
      </c>
      <c r="M1477" s="37">
        <f>SUM(M1451:M1476)</f>
        <v>0</v>
      </c>
      <c r="N1477" s="37">
        <f>SUM(N1451:N1476)</f>
        <v>3</v>
      </c>
      <c r="O1477" s="38">
        <f>SUM(O1451:O1476)</f>
        <v>-1</v>
      </c>
      <c r="P1477" s="25">
        <f t="shared" si="1484"/>
        <v>2</v>
      </c>
      <c r="Q1477" s="36">
        <f>SUM(Q1451:Q1476)</f>
        <v>1</v>
      </c>
      <c r="R1477" s="37">
        <f>SUM(R1451:R1476)</f>
        <v>2</v>
      </c>
      <c r="S1477" s="37">
        <f>SUM(S1451:S1476)</f>
        <v>4</v>
      </c>
      <c r="T1477" s="38">
        <f>SUM(T1451:T1476)</f>
        <v>1</v>
      </c>
      <c r="U1477" s="25">
        <f t="shared" si="1485"/>
        <v>8</v>
      </c>
      <c r="V1477" s="322">
        <f>SUM(V1451:V1476)</f>
        <v>-3</v>
      </c>
      <c r="W1477" s="37">
        <f>SUM(W1451:W1476)</f>
        <v>-2</v>
      </c>
      <c r="X1477" s="37">
        <f>SUM(X1451:X1476)</f>
        <v>2</v>
      </c>
      <c r="Y1477" s="38">
        <f>SUM(Y1451:Y1476)</f>
        <v>0</v>
      </c>
      <c r="Z1477" s="25">
        <f t="shared" si="1486"/>
        <v>-3</v>
      </c>
      <c r="AA1477" s="161">
        <f>F1477+K1477+P1477+U1477+Z1477</f>
        <v>12</v>
      </c>
      <c r="AC1477" s="278" t="s">
        <v>15</v>
      </c>
      <c r="AD1477" s="36">
        <f>SUM(AD1451:AD1476)</f>
        <v>0</v>
      </c>
      <c r="AE1477" s="37">
        <f>SUM(AE1451:AE1476)</f>
        <v>0</v>
      </c>
      <c r="AF1477" s="37">
        <f>SUM(AF1451:AF1476)</f>
        <v>2</v>
      </c>
      <c r="AG1477" s="38">
        <f>SUM(AG1451:AG1476)</f>
        <v>5</v>
      </c>
      <c r="AH1477" s="25">
        <f t="shared" ref="AH1477:AH1478" si="1505">SUM(AD1477:AG1477)</f>
        <v>7</v>
      </c>
      <c r="AI1477" s="36">
        <f>SUM(AI1451:AI1476)</f>
        <v>32</v>
      </c>
      <c r="AJ1477" s="37">
        <f>SUM(AJ1451:AJ1476)</f>
        <v>36</v>
      </c>
      <c r="AK1477" s="37">
        <f>SUM(AK1451:AK1476)</f>
        <v>26</v>
      </c>
      <c r="AL1477" s="38">
        <f>SUM(AL1451:AL1476)</f>
        <v>31</v>
      </c>
      <c r="AM1477" s="25">
        <f t="shared" ref="AM1477:AM1478" si="1506">SUM(AI1477:AL1477)</f>
        <v>125</v>
      </c>
      <c r="AN1477" s="36">
        <f>SUM(AN1451:AN1476)</f>
        <v>0</v>
      </c>
      <c r="AO1477" s="37">
        <f>SUM(AO1451:AO1476)</f>
        <v>2</v>
      </c>
      <c r="AP1477" s="37">
        <f>SUM(AP1451:AP1476)</f>
        <v>4</v>
      </c>
      <c r="AQ1477" s="38">
        <f>SUM(AQ1451:AQ1476)</f>
        <v>2</v>
      </c>
      <c r="AR1477" s="25">
        <f t="shared" si="1465"/>
        <v>8</v>
      </c>
      <c r="AS1477" s="36">
        <f>SUM(AS1451:AS1476)</f>
        <v>12</v>
      </c>
      <c r="AT1477" s="37">
        <f>SUM(AT1451:AT1476)</f>
        <v>19</v>
      </c>
      <c r="AU1477" s="37">
        <f>SUM(AU1451:AU1476)</f>
        <v>15</v>
      </c>
      <c r="AV1477" s="38">
        <f>SUM(AV1451:AV1476)</f>
        <v>21</v>
      </c>
      <c r="AW1477" s="25">
        <f t="shared" si="1466"/>
        <v>67</v>
      </c>
      <c r="AX1477" s="322">
        <f>SUM(AX1451:AX1476)</f>
        <v>2</v>
      </c>
      <c r="AY1477" s="37">
        <f>SUM(AY1451:AY1476)</f>
        <v>0</v>
      </c>
      <c r="AZ1477" s="37">
        <f>SUM(AZ1451:AZ1476)</f>
        <v>3</v>
      </c>
      <c r="BA1477" s="38">
        <f>SUM(BA1451:BA1476)</f>
        <v>0</v>
      </c>
      <c r="BB1477" s="25">
        <f t="shared" si="1467"/>
        <v>5</v>
      </c>
      <c r="BC1477" s="161">
        <f>AH1477+AM1477+AR1477+AW1477+BB1477</f>
        <v>212</v>
      </c>
      <c r="BE1477" s="278" t="s">
        <v>15</v>
      </c>
      <c r="BF1477" s="312">
        <f>SUM(BF1451:BF1476)</f>
        <v>0</v>
      </c>
      <c r="BG1477" s="302">
        <f>SUM(BG1451:BG1476)</f>
        <v>0</v>
      </c>
      <c r="BH1477" s="37">
        <f>SUM(BH1451:BH1476)</f>
        <v>3</v>
      </c>
      <c r="BI1477" s="316">
        <f>SUM(BI1451:BI1476)</f>
        <v>0</v>
      </c>
      <c r="BJ1477" s="25">
        <f t="shared" si="1487"/>
        <v>3</v>
      </c>
    </row>
    <row r="1478" spans="1:62" ht="14.25" thickBot="1" x14ac:dyDescent="0.2">
      <c r="A1478" s="39" t="s">
        <v>16</v>
      </c>
      <c r="B1478" s="40">
        <f>B1450-B1477</f>
        <v>1</v>
      </c>
      <c r="C1478" s="41">
        <f>C1450-C1477</f>
        <v>2</v>
      </c>
      <c r="D1478" s="41">
        <f>D1450-D1477</f>
        <v>7</v>
      </c>
      <c r="E1478" s="42">
        <f>E1450-E1477</f>
        <v>1</v>
      </c>
      <c r="F1478" s="171">
        <f t="shared" si="1503"/>
        <v>11</v>
      </c>
      <c r="G1478" s="40">
        <f>G1450-G1477</f>
        <v>3</v>
      </c>
      <c r="H1478" s="41">
        <f>H1450-H1477</f>
        <v>3</v>
      </c>
      <c r="I1478" s="41">
        <f>I1450-I1477</f>
        <v>3</v>
      </c>
      <c r="J1478" s="42">
        <f>J1450-J1477</f>
        <v>3</v>
      </c>
      <c r="K1478" s="171">
        <f t="shared" si="1483"/>
        <v>12</v>
      </c>
      <c r="L1478" s="40">
        <f>L1450-L1477</f>
        <v>2</v>
      </c>
      <c r="M1478" s="41">
        <f>M1450-M1477</f>
        <v>3</v>
      </c>
      <c r="N1478" s="41">
        <f>N1450-N1477</f>
        <v>2</v>
      </c>
      <c r="O1478" s="42">
        <f>O1450-O1477</f>
        <v>3</v>
      </c>
      <c r="P1478" s="171">
        <f t="shared" si="1484"/>
        <v>10</v>
      </c>
      <c r="Q1478" s="40">
        <f>Q1450-Q1477</f>
        <v>1</v>
      </c>
      <c r="R1478" s="41">
        <f>R1450-R1477</f>
        <v>2</v>
      </c>
      <c r="S1478" s="41">
        <f>S1450-S1477</f>
        <v>2</v>
      </c>
      <c r="T1478" s="42">
        <f>T1450-T1477</f>
        <v>3</v>
      </c>
      <c r="U1478" s="171">
        <f t="shared" si="1485"/>
        <v>8</v>
      </c>
      <c r="V1478" s="323">
        <f>V1450-V1477</f>
        <v>7</v>
      </c>
      <c r="W1478" s="41">
        <f>W1450-W1477</f>
        <v>4</v>
      </c>
      <c r="X1478" s="41">
        <f>X1450-X1477</f>
        <v>3</v>
      </c>
      <c r="Y1478" s="42">
        <f>Y1450-Y1477</f>
        <v>2</v>
      </c>
      <c r="Z1478" s="171">
        <f>SUM(V1478:Y1478)</f>
        <v>16</v>
      </c>
      <c r="AA1478" s="77">
        <f>F1478+K1478+P1478+U1478+Z1478</f>
        <v>57</v>
      </c>
      <c r="AC1478" s="279" t="s">
        <v>16</v>
      </c>
      <c r="AD1478" s="40">
        <f>AD1450-AD1477</f>
        <v>72</v>
      </c>
      <c r="AE1478" s="41">
        <f>AE1450-AE1477</f>
        <v>62</v>
      </c>
      <c r="AF1478" s="41">
        <f>AF1450-AF1477</f>
        <v>121</v>
      </c>
      <c r="AG1478" s="42">
        <f>AG1450-AG1477</f>
        <v>38</v>
      </c>
      <c r="AH1478" s="171">
        <f t="shared" si="1505"/>
        <v>293</v>
      </c>
      <c r="AI1478" s="40">
        <f>AI1450-AI1477</f>
        <v>25</v>
      </c>
      <c r="AJ1478" s="41">
        <f>AJ1450-AJ1477</f>
        <v>78</v>
      </c>
      <c r="AK1478" s="41">
        <f>AK1450-AK1477</f>
        <v>50</v>
      </c>
      <c r="AL1478" s="42">
        <f>AL1450-AL1477</f>
        <v>41</v>
      </c>
      <c r="AM1478" s="171">
        <f t="shared" si="1506"/>
        <v>194</v>
      </c>
      <c r="AN1478" s="40">
        <f>AN1450-AN1477</f>
        <v>31</v>
      </c>
      <c r="AO1478" s="41">
        <f>AO1450-AO1477</f>
        <v>34</v>
      </c>
      <c r="AP1478" s="41">
        <f>AP1450-AP1477</f>
        <v>31</v>
      </c>
      <c r="AQ1478" s="42">
        <f>AQ1450-AQ1477</f>
        <v>12</v>
      </c>
      <c r="AR1478" s="171">
        <f t="shared" si="1465"/>
        <v>108</v>
      </c>
      <c r="AS1478" s="40">
        <f>AS1450-AS1477</f>
        <v>116</v>
      </c>
      <c r="AT1478" s="41">
        <f>AT1450-AT1477</f>
        <v>119</v>
      </c>
      <c r="AU1478" s="41">
        <f>AU1450-AU1477</f>
        <v>54</v>
      </c>
      <c r="AV1478" s="42">
        <f>AV1450-AV1477</f>
        <v>24</v>
      </c>
      <c r="AW1478" s="171">
        <f t="shared" si="1466"/>
        <v>313</v>
      </c>
      <c r="AX1478" s="323">
        <f>AX1450-AX1477</f>
        <v>103</v>
      </c>
      <c r="AY1478" s="41">
        <f>AY1450-AY1477</f>
        <v>79</v>
      </c>
      <c r="AZ1478" s="41">
        <f>AZ1450-AZ1477</f>
        <v>39</v>
      </c>
      <c r="BA1478" s="42">
        <f>BA1450-BA1477</f>
        <v>27</v>
      </c>
      <c r="BB1478" s="171">
        <f>SUM(AX1478:BA1478)</f>
        <v>248</v>
      </c>
      <c r="BC1478" s="77">
        <f>AH1478+AM1478+AR1478+AW1478+BB1478</f>
        <v>1156</v>
      </c>
      <c r="BE1478" s="279" t="s">
        <v>16</v>
      </c>
      <c r="BF1478" s="313">
        <f>BF1450-BF1477</f>
        <v>0</v>
      </c>
      <c r="BG1478" s="303">
        <f>BG1450-BG1477</f>
        <v>0</v>
      </c>
      <c r="BH1478" s="41">
        <f>BH1450-BH1477</f>
        <v>2</v>
      </c>
      <c r="BI1478" s="317">
        <f>BI1450-BI1477</f>
        <v>0</v>
      </c>
      <c r="BJ1478" s="171">
        <f t="shared" si="1487"/>
        <v>2</v>
      </c>
    </row>
    <row r="1482" spans="1:62" ht="19.5" thickBot="1" x14ac:dyDescent="0.25">
      <c r="A1482" s="185" t="s">
        <v>19</v>
      </c>
      <c r="B1482" s="186"/>
      <c r="C1482" s="186"/>
      <c r="D1482" s="186"/>
      <c r="E1482" s="186"/>
      <c r="F1482" s="186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C1482" s="187" t="s">
        <v>73</v>
      </c>
      <c r="AD1482" s="188"/>
      <c r="AE1482" s="188"/>
      <c r="AF1482" s="188"/>
      <c r="AG1482" s="188"/>
      <c r="AH1482" s="188"/>
      <c r="AI1482" s="188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E1482" s="185" t="s">
        <v>19</v>
      </c>
      <c r="BF1482" s="186"/>
      <c r="BG1482" s="186"/>
      <c r="BH1482" s="186"/>
      <c r="BI1482" s="186"/>
      <c r="BJ1482" s="186"/>
    </row>
    <row r="1483" spans="1:62" ht="14.25" thickBot="1" x14ac:dyDescent="0.2">
      <c r="A1483" s="3" t="s">
        <v>0</v>
      </c>
      <c r="B1483" s="365" t="s">
        <v>17</v>
      </c>
      <c r="C1483" s="366"/>
      <c r="D1483" s="366"/>
      <c r="E1483" s="366"/>
      <c r="F1483" s="367"/>
      <c r="G1483" s="368" t="s">
        <v>704</v>
      </c>
      <c r="H1483" s="369"/>
      <c r="I1483" s="369"/>
      <c r="J1483" s="369"/>
      <c r="K1483" s="370"/>
      <c r="L1483" s="371" t="s">
        <v>320</v>
      </c>
      <c r="M1483" s="372"/>
      <c r="N1483" s="372"/>
      <c r="O1483" s="372"/>
      <c r="P1483" s="373"/>
      <c r="Q1483" s="355" t="s">
        <v>75</v>
      </c>
      <c r="R1483" s="356"/>
      <c r="S1483" s="356"/>
      <c r="T1483" s="356"/>
      <c r="U1483" s="357"/>
      <c r="V1483" s="358" t="s">
        <v>456</v>
      </c>
      <c r="W1483" s="358"/>
      <c r="X1483" s="358"/>
      <c r="Y1483" s="358"/>
      <c r="Z1483" s="359"/>
      <c r="AA1483" s="360" t="s">
        <v>1</v>
      </c>
      <c r="AC1483" s="271" t="s">
        <v>0</v>
      </c>
      <c r="AD1483" s="365" t="s">
        <v>17</v>
      </c>
      <c r="AE1483" s="366"/>
      <c r="AF1483" s="366"/>
      <c r="AG1483" s="366"/>
      <c r="AH1483" s="367"/>
      <c r="AI1483" s="368" t="s">
        <v>18</v>
      </c>
      <c r="AJ1483" s="369"/>
      <c r="AK1483" s="369"/>
      <c r="AL1483" s="369"/>
      <c r="AM1483" s="370"/>
      <c r="AN1483" s="371" t="s">
        <v>320</v>
      </c>
      <c r="AO1483" s="372"/>
      <c r="AP1483" s="372"/>
      <c r="AQ1483" s="372"/>
      <c r="AR1483" s="373"/>
      <c r="AS1483" s="355" t="s">
        <v>75</v>
      </c>
      <c r="AT1483" s="356"/>
      <c r="AU1483" s="356"/>
      <c r="AV1483" s="356"/>
      <c r="AW1483" s="357"/>
      <c r="AX1483" s="358" t="s">
        <v>456</v>
      </c>
      <c r="AY1483" s="358"/>
      <c r="AZ1483" s="358"/>
      <c r="BA1483" s="358"/>
      <c r="BB1483" s="359"/>
      <c r="BC1483" s="360" t="s">
        <v>1</v>
      </c>
      <c r="BE1483" s="271" t="s">
        <v>0</v>
      </c>
      <c r="BF1483" s="362" t="s">
        <v>38</v>
      </c>
      <c r="BG1483" s="363"/>
      <c r="BH1483" s="363"/>
      <c r="BI1483" s="363"/>
      <c r="BJ1483" s="364"/>
    </row>
    <row r="1484" spans="1:62" ht="14.25" thickBot="1" x14ac:dyDescent="0.2">
      <c r="A1484" s="5" t="s">
        <v>2</v>
      </c>
      <c r="B1484" s="6" t="s">
        <v>3</v>
      </c>
      <c r="C1484" s="7" t="s">
        <v>4</v>
      </c>
      <c r="D1484" s="7" t="s">
        <v>5</v>
      </c>
      <c r="E1484" s="8" t="s">
        <v>6</v>
      </c>
      <c r="F1484" s="5" t="s">
        <v>7</v>
      </c>
      <c r="G1484" s="6" t="s">
        <v>3</v>
      </c>
      <c r="H1484" s="7" t="s">
        <v>4</v>
      </c>
      <c r="I1484" s="7" t="s">
        <v>5</v>
      </c>
      <c r="J1484" s="8" t="s">
        <v>6</v>
      </c>
      <c r="K1484" s="5" t="s">
        <v>7</v>
      </c>
      <c r="L1484" s="6" t="s">
        <v>3</v>
      </c>
      <c r="M1484" s="7" t="s">
        <v>4</v>
      </c>
      <c r="N1484" s="7" t="s">
        <v>5</v>
      </c>
      <c r="O1484" s="8" t="s">
        <v>6</v>
      </c>
      <c r="P1484" s="5" t="s">
        <v>7</v>
      </c>
      <c r="Q1484" s="6" t="s">
        <v>3</v>
      </c>
      <c r="R1484" s="7" t="s">
        <v>4</v>
      </c>
      <c r="S1484" s="7" t="s">
        <v>5</v>
      </c>
      <c r="T1484" s="8" t="s">
        <v>6</v>
      </c>
      <c r="U1484" s="5" t="s">
        <v>7</v>
      </c>
      <c r="V1484" s="7" t="s">
        <v>3</v>
      </c>
      <c r="W1484" s="7" t="s">
        <v>4</v>
      </c>
      <c r="X1484" s="7" t="s">
        <v>5</v>
      </c>
      <c r="Y1484" s="8" t="s">
        <v>6</v>
      </c>
      <c r="Z1484" s="5" t="s">
        <v>7</v>
      </c>
      <c r="AA1484" s="361"/>
      <c r="AC1484" s="272" t="s">
        <v>2</v>
      </c>
      <c r="AD1484" s="6" t="s">
        <v>3</v>
      </c>
      <c r="AE1484" s="7" t="s">
        <v>4</v>
      </c>
      <c r="AF1484" s="7" t="s">
        <v>5</v>
      </c>
      <c r="AG1484" s="8" t="s">
        <v>6</v>
      </c>
      <c r="AH1484" s="5" t="s">
        <v>7</v>
      </c>
      <c r="AI1484" s="6" t="s">
        <v>3</v>
      </c>
      <c r="AJ1484" s="7" t="s">
        <v>4</v>
      </c>
      <c r="AK1484" s="7" t="s">
        <v>5</v>
      </c>
      <c r="AL1484" s="8" t="s">
        <v>6</v>
      </c>
      <c r="AM1484" s="5" t="s">
        <v>7</v>
      </c>
      <c r="AN1484" s="6" t="s">
        <v>3</v>
      </c>
      <c r="AO1484" s="7" t="s">
        <v>4</v>
      </c>
      <c r="AP1484" s="7" t="s">
        <v>5</v>
      </c>
      <c r="AQ1484" s="8" t="s">
        <v>6</v>
      </c>
      <c r="AR1484" s="5" t="s">
        <v>7</v>
      </c>
      <c r="AS1484" s="6" t="s">
        <v>3</v>
      </c>
      <c r="AT1484" s="7" t="s">
        <v>4</v>
      </c>
      <c r="AU1484" s="7" t="s">
        <v>5</v>
      </c>
      <c r="AV1484" s="8" t="s">
        <v>6</v>
      </c>
      <c r="AW1484" s="5" t="s">
        <v>7</v>
      </c>
      <c r="AX1484" s="7" t="s">
        <v>3</v>
      </c>
      <c r="AY1484" s="7" t="s">
        <v>4</v>
      </c>
      <c r="AZ1484" s="7" t="s">
        <v>5</v>
      </c>
      <c r="BA1484" s="8" t="s">
        <v>6</v>
      </c>
      <c r="BB1484" s="5" t="s">
        <v>7</v>
      </c>
      <c r="BC1484" s="361"/>
      <c r="BE1484" s="272" t="s">
        <v>2</v>
      </c>
      <c r="BF1484" s="6" t="s">
        <v>3</v>
      </c>
      <c r="BG1484" s="7" t="s">
        <v>4</v>
      </c>
      <c r="BH1484" s="7" t="s">
        <v>5</v>
      </c>
      <c r="BI1484" s="8" t="s">
        <v>6</v>
      </c>
      <c r="BJ1484" s="5" t="s">
        <v>7</v>
      </c>
    </row>
    <row r="1485" spans="1:62" ht="15" thickBot="1" x14ac:dyDescent="0.2">
      <c r="A1485" s="291" t="s">
        <v>30</v>
      </c>
      <c r="B1485" s="292">
        <f>B1478</f>
        <v>1</v>
      </c>
      <c r="C1485" s="292">
        <f>C1478</f>
        <v>2</v>
      </c>
      <c r="D1485" s="292">
        <f>D1478</f>
        <v>7</v>
      </c>
      <c r="E1485" s="293">
        <f>E1478</f>
        <v>1</v>
      </c>
      <c r="F1485" s="77">
        <f t="shared" ref="F1485:F1496" si="1507">SUM(B1485:E1485)</f>
        <v>11</v>
      </c>
      <c r="G1485" s="292">
        <f>G1478</f>
        <v>3</v>
      </c>
      <c r="H1485" s="292">
        <f>H1478</f>
        <v>3</v>
      </c>
      <c r="I1485" s="292">
        <f>I1478</f>
        <v>3</v>
      </c>
      <c r="J1485" s="293">
        <f>J1478</f>
        <v>3</v>
      </c>
      <c r="K1485" s="77">
        <f t="shared" ref="K1485:K1496" si="1508">SUM(G1485:J1485)</f>
        <v>12</v>
      </c>
      <c r="L1485" s="292">
        <f>L1478</f>
        <v>2</v>
      </c>
      <c r="M1485" s="292">
        <f>M1478</f>
        <v>3</v>
      </c>
      <c r="N1485" s="292">
        <f>N1478</f>
        <v>2</v>
      </c>
      <c r="O1485" s="293">
        <f>O1478</f>
        <v>3</v>
      </c>
      <c r="P1485" s="77">
        <f t="shared" ref="P1485:P1496" si="1509">SUM(L1485:O1485)</f>
        <v>10</v>
      </c>
      <c r="Q1485" s="324">
        <f>Q1478</f>
        <v>1</v>
      </c>
      <c r="R1485" s="292">
        <f>R1478</f>
        <v>2</v>
      </c>
      <c r="S1485" s="292">
        <f>S1478</f>
        <v>2</v>
      </c>
      <c r="T1485" s="293">
        <f>T1478</f>
        <v>3</v>
      </c>
      <c r="U1485" s="77">
        <f t="shared" ref="U1485:U1496" si="1510">SUM(Q1485:T1485)</f>
        <v>8</v>
      </c>
      <c r="V1485" s="324">
        <f>V1478</f>
        <v>7</v>
      </c>
      <c r="W1485" s="292">
        <f>W1478</f>
        <v>4</v>
      </c>
      <c r="X1485" s="292">
        <f>X1478</f>
        <v>3</v>
      </c>
      <c r="Y1485" s="293">
        <f>Y1478</f>
        <v>2</v>
      </c>
      <c r="Z1485" s="77">
        <f t="shared" ref="Z1485:Z1496" si="1511">SUM(V1485:Y1485)</f>
        <v>16</v>
      </c>
      <c r="AA1485" s="77">
        <f>F1485+K1485+P1485+U1485+Z1485</f>
        <v>57</v>
      </c>
      <c r="AC1485" s="294" t="s">
        <v>30</v>
      </c>
      <c r="AD1485" s="292">
        <f>AD1478</f>
        <v>72</v>
      </c>
      <c r="AE1485" s="292">
        <f>AE1478</f>
        <v>62</v>
      </c>
      <c r="AF1485" s="292">
        <f>AF1478</f>
        <v>121</v>
      </c>
      <c r="AG1485" s="293">
        <f>AG1478</f>
        <v>38</v>
      </c>
      <c r="AH1485" s="77">
        <f>SUM(AD1485:AG1485)</f>
        <v>293</v>
      </c>
      <c r="AI1485" s="292">
        <f>AI1478</f>
        <v>25</v>
      </c>
      <c r="AJ1485" s="292">
        <f>AJ1478</f>
        <v>78</v>
      </c>
      <c r="AK1485" s="292">
        <f>AK1478</f>
        <v>50</v>
      </c>
      <c r="AL1485" s="293">
        <f>AL1478</f>
        <v>41</v>
      </c>
      <c r="AM1485" s="77">
        <f>SUM(AI1485:AL1485)</f>
        <v>194</v>
      </c>
      <c r="AN1485" s="292">
        <f>AN1478</f>
        <v>31</v>
      </c>
      <c r="AO1485" s="292">
        <f>AO1478</f>
        <v>34</v>
      </c>
      <c r="AP1485" s="292">
        <f>AP1478</f>
        <v>31</v>
      </c>
      <c r="AQ1485" s="293">
        <f>AQ1478</f>
        <v>12</v>
      </c>
      <c r="AR1485" s="77">
        <f>SUM(AN1485:AQ1485)</f>
        <v>108</v>
      </c>
      <c r="AS1485" s="324">
        <f>AS1478</f>
        <v>116</v>
      </c>
      <c r="AT1485" s="292">
        <f>AT1478</f>
        <v>119</v>
      </c>
      <c r="AU1485" s="292">
        <f>AU1478</f>
        <v>54</v>
      </c>
      <c r="AV1485" s="293">
        <f>AV1478</f>
        <v>24</v>
      </c>
      <c r="AW1485" s="77">
        <f>SUM(AS1485:AV1485)</f>
        <v>313</v>
      </c>
      <c r="AX1485" s="324">
        <f>AX1478</f>
        <v>103</v>
      </c>
      <c r="AY1485" s="292">
        <f>AY1478</f>
        <v>79</v>
      </c>
      <c r="AZ1485" s="292">
        <f>AZ1478</f>
        <v>39</v>
      </c>
      <c r="BA1485" s="293">
        <f>BA1478</f>
        <v>27</v>
      </c>
      <c r="BB1485" s="77">
        <f>SUM(AX1485:BA1485)</f>
        <v>248</v>
      </c>
      <c r="BC1485" s="77">
        <f>AH1485+AM1485+AR1485+AW1485+BB1485</f>
        <v>1156</v>
      </c>
      <c r="BE1485" s="294" t="s">
        <v>30</v>
      </c>
      <c r="BF1485" s="40">
        <f>BF1478</f>
        <v>0</v>
      </c>
      <c r="BG1485" s="41">
        <f t="shared" ref="BG1485:BJ1485" si="1512">BG1478</f>
        <v>0</v>
      </c>
      <c r="BH1485" s="41">
        <f t="shared" si="1512"/>
        <v>2</v>
      </c>
      <c r="BI1485" s="42">
        <f t="shared" si="1512"/>
        <v>0</v>
      </c>
      <c r="BJ1485" s="171">
        <f t="shared" si="1512"/>
        <v>2</v>
      </c>
    </row>
    <row r="1486" spans="1:62" x14ac:dyDescent="0.15">
      <c r="A1486" s="268" t="s">
        <v>28</v>
      </c>
      <c r="B1486" s="54">
        <v>3</v>
      </c>
      <c r="C1486" s="55"/>
      <c r="D1486" s="55"/>
      <c r="E1486" s="55">
        <v>3</v>
      </c>
      <c r="F1486" s="56">
        <f t="shared" si="1507"/>
        <v>6</v>
      </c>
      <c r="G1486" s="54"/>
      <c r="H1486" s="55"/>
      <c r="I1486" s="55"/>
      <c r="J1486" s="55"/>
      <c r="K1486" s="56">
        <f t="shared" si="1508"/>
        <v>0</v>
      </c>
      <c r="L1486" s="54"/>
      <c r="M1486" s="55"/>
      <c r="N1486" s="55"/>
      <c r="O1486" s="55"/>
      <c r="P1486" s="56">
        <f t="shared" si="1509"/>
        <v>0</v>
      </c>
      <c r="Q1486" s="54">
        <v>3</v>
      </c>
      <c r="R1486" s="55">
        <v>3</v>
      </c>
      <c r="S1486" s="55"/>
      <c r="T1486" s="55"/>
      <c r="U1486" s="56">
        <f t="shared" si="1510"/>
        <v>6</v>
      </c>
      <c r="V1486" s="55"/>
      <c r="W1486" s="55"/>
      <c r="X1486" s="55"/>
      <c r="Y1486" s="55"/>
      <c r="Z1486" s="56">
        <f t="shared" si="1511"/>
        <v>0</v>
      </c>
      <c r="AA1486" s="56">
        <f t="shared" ref="AA1486:AA1492" si="1513">F1486+K1486+P1486+U1486+Z1486</f>
        <v>12</v>
      </c>
      <c r="AB1486" s="298">
        <v>46179</v>
      </c>
      <c r="AC1486" s="268" t="s">
        <v>28</v>
      </c>
      <c r="AD1486" s="55"/>
      <c r="AE1486" s="153"/>
      <c r="AF1486" s="153"/>
      <c r="AG1486" s="168"/>
      <c r="AH1486" s="56">
        <f t="shared" ref="AH1486:AH1521" si="1514">SUM(AD1486:AG1486)</f>
        <v>0</v>
      </c>
      <c r="AI1486" s="55"/>
      <c r="AJ1486" s="153"/>
      <c r="AK1486" s="153"/>
      <c r="AL1486" s="168"/>
      <c r="AM1486" s="56">
        <f t="shared" ref="AM1486:AM1521" si="1515">SUM(AI1486:AL1486)</f>
        <v>0</v>
      </c>
      <c r="AN1486" s="55"/>
      <c r="AO1486" s="153"/>
      <c r="AP1486" s="153"/>
      <c r="AQ1486" s="168"/>
      <c r="AR1486" s="56">
        <f t="shared" ref="AR1486:AR1521" si="1516">SUM(AN1486:AQ1486)</f>
        <v>0</v>
      </c>
      <c r="AS1486" s="54"/>
      <c r="AT1486" s="153"/>
      <c r="AU1486" s="153"/>
      <c r="AV1486" s="168"/>
      <c r="AW1486" s="56">
        <f t="shared" ref="AW1486:AW1521" si="1517">SUM(AS1486:AV1486)</f>
        <v>0</v>
      </c>
      <c r="AX1486" s="55"/>
      <c r="AY1486" s="153"/>
      <c r="AZ1486" s="153"/>
      <c r="BA1486" s="168"/>
      <c r="BB1486" s="49">
        <f t="shared" ref="BB1486:BB1520" si="1518">SUM(AX1486:BA1486)</f>
        <v>0</v>
      </c>
      <c r="BC1486" s="49">
        <f t="shared" ref="BC1486:BC1492" si="1519">AH1486+AM1486+AR1486+AW1486+BB1486</f>
        <v>0</v>
      </c>
      <c r="BE1486" s="268" t="s">
        <v>28</v>
      </c>
      <c r="BF1486" s="55"/>
      <c r="BG1486" s="153"/>
      <c r="BH1486" s="153"/>
      <c r="BI1486" s="168"/>
      <c r="BJ1486" s="56">
        <f t="shared" ref="BJ1486:BJ1521" si="1520">SUM(BF1486:BI1486)</f>
        <v>0</v>
      </c>
    </row>
    <row r="1487" spans="1:62" x14ac:dyDescent="0.15">
      <c r="A1487" s="268" t="s">
        <v>28</v>
      </c>
      <c r="B1487" s="54"/>
      <c r="C1487" s="55"/>
      <c r="D1487" s="55"/>
      <c r="E1487" s="55"/>
      <c r="F1487" s="56">
        <f t="shared" si="1507"/>
        <v>0</v>
      </c>
      <c r="G1487" s="54"/>
      <c r="H1487" s="55"/>
      <c r="I1487" s="55"/>
      <c r="J1487" s="55"/>
      <c r="K1487" s="56">
        <f t="shared" si="1508"/>
        <v>0</v>
      </c>
      <c r="L1487" s="54"/>
      <c r="M1487" s="55"/>
      <c r="N1487" s="55"/>
      <c r="O1487" s="55"/>
      <c r="P1487" s="56">
        <f t="shared" si="1509"/>
        <v>0</v>
      </c>
      <c r="Q1487" s="54"/>
      <c r="R1487" s="55"/>
      <c r="S1487" s="55"/>
      <c r="T1487" s="55"/>
      <c r="U1487" s="56">
        <f t="shared" si="1510"/>
        <v>0</v>
      </c>
      <c r="V1487" s="55"/>
      <c r="W1487" s="55"/>
      <c r="X1487" s="55"/>
      <c r="Y1487" s="55"/>
      <c r="Z1487" s="56">
        <f t="shared" si="1511"/>
        <v>0</v>
      </c>
      <c r="AA1487" s="56">
        <f t="shared" si="1513"/>
        <v>0</v>
      </c>
      <c r="AB1487" s="298"/>
      <c r="AC1487" s="268" t="s">
        <v>28</v>
      </c>
      <c r="AD1487" s="55"/>
      <c r="AE1487" s="153"/>
      <c r="AF1487" s="153"/>
      <c r="AG1487" s="168"/>
      <c r="AH1487" s="56">
        <f t="shared" si="1514"/>
        <v>0</v>
      </c>
      <c r="AI1487" s="55"/>
      <c r="AJ1487" s="153"/>
      <c r="AK1487" s="153"/>
      <c r="AL1487" s="168"/>
      <c r="AM1487" s="56">
        <f t="shared" si="1515"/>
        <v>0</v>
      </c>
      <c r="AN1487" s="55"/>
      <c r="AO1487" s="153"/>
      <c r="AP1487" s="153"/>
      <c r="AQ1487" s="168"/>
      <c r="AR1487" s="56">
        <f t="shared" si="1516"/>
        <v>0</v>
      </c>
      <c r="AS1487" s="54"/>
      <c r="AT1487" s="153"/>
      <c r="AU1487" s="153"/>
      <c r="AV1487" s="168"/>
      <c r="AW1487" s="56">
        <f t="shared" si="1517"/>
        <v>0</v>
      </c>
      <c r="AX1487" s="55"/>
      <c r="AY1487" s="153"/>
      <c r="AZ1487" s="153"/>
      <c r="BA1487" s="168"/>
      <c r="BB1487" s="49">
        <f t="shared" si="1518"/>
        <v>0</v>
      </c>
      <c r="BC1487" s="49">
        <f t="shared" si="1519"/>
        <v>0</v>
      </c>
      <c r="BD1487" s="300"/>
      <c r="BE1487" s="268" t="s">
        <v>28</v>
      </c>
      <c r="BF1487" s="55"/>
      <c r="BG1487" s="153"/>
      <c r="BH1487" s="153"/>
      <c r="BI1487" s="168"/>
      <c r="BJ1487" s="56">
        <f t="shared" si="1520"/>
        <v>0</v>
      </c>
    </row>
    <row r="1488" spans="1:62" x14ac:dyDescent="0.15">
      <c r="A1488" s="268" t="s">
        <v>28</v>
      </c>
      <c r="B1488" s="15"/>
      <c r="C1488" s="16"/>
      <c r="D1488" s="16"/>
      <c r="E1488" s="16"/>
      <c r="F1488" s="28">
        <f t="shared" si="1507"/>
        <v>0</v>
      </c>
      <c r="G1488" s="15"/>
      <c r="H1488" s="16"/>
      <c r="I1488" s="16"/>
      <c r="J1488" s="16"/>
      <c r="K1488" s="28">
        <f t="shared" si="1508"/>
        <v>0</v>
      </c>
      <c r="L1488" s="15"/>
      <c r="M1488" s="16"/>
      <c r="N1488" s="16"/>
      <c r="O1488" s="16"/>
      <c r="P1488" s="28">
        <f t="shared" si="1509"/>
        <v>0</v>
      </c>
      <c r="Q1488" s="15"/>
      <c r="R1488" s="16"/>
      <c r="S1488" s="16"/>
      <c r="T1488" s="16"/>
      <c r="U1488" s="28">
        <f t="shared" si="1510"/>
        <v>0</v>
      </c>
      <c r="V1488" s="16"/>
      <c r="W1488" s="16"/>
      <c r="X1488" s="16"/>
      <c r="Y1488" s="16"/>
      <c r="Z1488" s="28">
        <f t="shared" si="1511"/>
        <v>0</v>
      </c>
      <c r="AA1488" s="28">
        <f t="shared" si="1513"/>
        <v>0</v>
      </c>
      <c r="AB1488" s="299"/>
      <c r="AC1488" s="268" t="s">
        <v>28</v>
      </c>
      <c r="AD1488" s="55"/>
      <c r="AE1488" s="153"/>
      <c r="AF1488" s="153"/>
      <c r="AG1488" s="168"/>
      <c r="AH1488" s="56">
        <f t="shared" si="1514"/>
        <v>0</v>
      </c>
      <c r="AI1488" s="55"/>
      <c r="AJ1488" s="153"/>
      <c r="AK1488" s="153"/>
      <c r="AL1488" s="168"/>
      <c r="AM1488" s="56">
        <f t="shared" si="1515"/>
        <v>0</v>
      </c>
      <c r="AN1488" s="55"/>
      <c r="AO1488" s="153"/>
      <c r="AP1488" s="153"/>
      <c r="AQ1488" s="168"/>
      <c r="AR1488" s="56">
        <f t="shared" si="1516"/>
        <v>0</v>
      </c>
      <c r="AS1488" s="54"/>
      <c r="AT1488" s="153"/>
      <c r="AU1488" s="153"/>
      <c r="AV1488" s="168"/>
      <c r="AW1488" s="56">
        <f t="shared" si="1517"/>
        <v>0</v>
      </c>
      <c r="AX1488" s="55"/>
      <c r="AY1488" s="153"/>
      <c r="AZ1488" s="153"/>
      <c r="BA1488" s="168"/>
      <c r="BB1488" s="49">
        <f t="shared" si="1518"/>
        <v>0</v>
      </c>
      <c r="BC1488" s="49">
        <f t="shared" si="1519"/>
        <v>0</v>
      </c>
      <c r="BD1488" s="300"/>
      <c r="BE1488" s="268" t="s">
        <v>28</v>
      </c>
      <c r="BF1488" s="55"/>
      <c r="BG1488" s="153"/>
      <c r="BH1488" s="153"/>
      <c r="BI1488" s="168"/>
      <c r="BJ1488" s="56">
        <f t="shared" si="1520"/>
        <v>0</v>
      </c>
    </row>
    <row r="1489" spans="1:62" x14ac:dyDescent="0.15">
      <c r="A1489" s="268" t="s">
        <v>28</v>
      </c>
      <c r="B1489" s="54"/>
      <c r="C1489" s="55"/>
      <c r="D1489" s="55"/>
      <c r="E1489" s="55"/>
      <c r="F1489" s="56">
        <f t="shared" si="1507"/>
        <v>0</v>
      </c>
      <c r="G1489" s="54"/>
      <c r="H1489" s="55"/>
      <c r="I1489" s="55"/>
      <c r="J1489" s="55"/>
      <c r="K1489" s="56">
        <f t="shared" si="1508"/>
        <v>0</v>
      </c>
      <c r="L1489" s="54"/>
      <c r="M1489" s="55"/>
      <c r="N1489" s="55"/>
      <c r="O1489" s="55"/>
      <c r="P1489" s="56">
        <f t="shared" si="1509"/>
        <v>0</v>
      </c>
      <c r="Q1489" s="54"/>
      <c r="R1489" s="55"/>
      <c r="S1489" s="55"/>
      <c r="T1489" s="55"/>
      <c r="U1489" s="56">
        <f t="shared" si="1510"/>
        <v>0</v>
      </c>
      <c r="V1489" s="55"/>
      <c r="W1489" s="55"/>
      <c r="X1489" s="55"/>
      <c r="Y1489" s="55"/>
      <c r="Z1489" s="56">
        <f t="shared" si="1511"/>
        <v>0</v>
      </c>
      <c r="AA1489" s="56">
        <f t="shared" si="1513"/>
        <v>0</v>
      </c>
      <c r="AB1489" s="298"/>
      <c r="AC1489" s="268" t="s">
        <v>28</v>
      </c>
      <c r="AD1489" s="55"/>
      <c r="AE1489" s="153"/>
      <c r="AF1489" s="153"/>
      <c r="AG1489" s="168"/>
      <c r="AH1489" s="56">
        <f t="shared" si="1514"/>
        <v>0</v>
      </c>
      <c r="AI1489" s="55"/>
      <c r="AJ1489" s="153"/>
      <c r="AK1489" s="153"/>
      <c r="AL1489" s="168"/>
      <c r="AM1489" s="56">
        <f t="shared" si="1515"/>
        <v>0</v>
      </c>
      <c r="AN1489" s="55"/>
      <c r="AO1489" s="153"/>
      <c r="AP1489" s="153"/>
      <c r="AQ1489" s="168"/>
      <c r="AR1489" s="56">
        <f t="shared" si="1516"/>
        <v>0</v>
      </c>
      <c r="AS1489" s="54"/>
      <c r="AT1489" s="153"/>
      <c r="AU1489" s="153"/>
      <c r="AV1489" s="168"/>
      <c r="AW1489" s="56">
        <f t="shared" si="1517"/>
        <v>0</v>
      </c>
      <c r="AX1489" s="55"/>
      <c r="AY1489" s="153"/>
      <c r="AZ1489" s="153"/>
      <c r="BA1489" s="168"/>
      <c r="BB1489" s="49">
        <f t="shared" si="1518"/>
        <v>0</v>
      </c>
      <c r="BC1489" s="49">
        <f t="shared" si="1519"/>
        <v>0</v>
      </c>
      <c r="BD1489" s="300"/>
      <c r="BE1489" s="268" t="s">
        <v>28</v>
      </c>
      <c r="BF1489" s="55"/>
      <c r="BG1489" s="153"/>
      <c r="BH1489" s="153"/>
      <c r="BI1489" s="168"/>
      <c r="BJ1489" s="56">
        <f t="shared" si="1520"/>
        <v>0</v>
      </c>
    </row>
    <row r="1490" spans="1:62" x14ac:dyDescent="0.15">
      <c r="A1490" s="268" t="s">
        <v>28</v>
      </c>
      <c r="B1490" s="54"/>
      <c r="C1490" s="55"/>
      <c r="D1490" s="55"/>
      <c r="E1490" s="55"/>
      <c r="F1490" s="56">
        <f t="shared" si="1507"/>
        <v>0</v>
      </c>
      <c r="G1490" s="54"/>
      <c r="H1490" s="55"/>
      <c r="I1490" s="55"/>
      <c r="J1490" s="55"/>
      <c r="K1490" s="56">
        <f t="shared" si="1508"/>
        <v>0</v>
      </c>
      <c r="L1490" s="54"/>
      <c r="M1490" s="55"/>
      <c r="N1490" s="55"/>
      <c r="O1490" s="55"/>
      <c r="P1490" s="56">
        <f t="shared" si="1509"/>
        <v>0</v>
      </c>
      <c r="Q1490" s="54"/>
      <c r="R1490" s="55"/>
      <c r="S1490" s="55"/>
      <c r="T1490" s="55"/>
      <c r="U1490" s="56">
        <f t="shared" si="1510"/>
        <v>0</v>
      </c>
      <c r="V1490" s="55"/>
      <c r="W1490" s="55"/>
      <c r="X1490" s="55"/>
      <c r="Y1490" s="55"/>
      <c r="Z1490" s="56">
        <f t="shared" si="1511"/>
        <v>0</v>
      </c>
      <c r="AA1490" s="56">
        <f t="shared" si="1513"/>
        <v>0</v>
      </c>
      <c r="AB1490" s="298"/>
      <c r="AC1490" s="268" t="s">
        <v>28</v>
      </c>
      <c r="AD1490" s="55"/>
      <c r="AE1490" s="153"/>
      <c r="AF1490" s="153"/>
      <c r="AG1490" s="168"/>
      <c r="AH1490" s="56">
        <f t="shared" si="1514"/>
        <v>0</v>
      </c>
      <c r="AI1490" s="55"/>
      <c r="AJ1490" s="153"/>
      <c r="AK1490" s="153"/>
      <c r="AL1490" s="168"/>
      <c r="AM1490" s="56">
        <f t="shared" si="1515"/>
        <v>0</v>
      </c>
      <c r="AN1490" s="55"/>
      <c r="AO1490" s="153"/>
      <c r="AP1490" s="153"/>
      <c r="AQ1490" s="168"/>
      <c r="AR1490" s="56">
        <f t="shared" si="1516"/>
        <v>0</v>
      </c>
      <c r="AS1490" s="54"/>
      <c r="AT1490" s="153"/>
      <c r="AU1490" s="153"/>
      <c r="AV1490" s="168"/>
      <c r="AW1490" s="56">
        <f t="shared" si="1517"/>
        <v>0</v>
      </c>
      <c r="AX1490" s="55"/>
      <c r="AY1490" s="153"/>
      <c r="AZ1490" s="153"/>
      <c r="BA1490" s="168"/>
      <c r="BB1490" s="49">
        <f t="shared" si="1518"/>
        <v>0</v>
      </c>
      <c r="BC1490" s="49">
        <f t="shared" si="1519"/>
        <v>0</v>
      </c>
      <c r="BD1490" s="300"/>
      <c r="BE1490" s="268" t="s">
        <v>28</v>
      </c>
      <c r="BF1490" s="55"/>
      <c r="BG1490" s="153"/>
      <c r="BH1490" s="153"/>
      <c r="BI1490" s="168"/>
      <c r="BJ1490" s="56">
        <f t="shared" si="1520"/>
        <v>0</v>
      </c>
    </row>
    <row r="1491" spans="1:62" x14ac:dyDescent="0.15">
      <c r="A1491" s="268" t="s">
        <v>28</v>
      </c>
      <c r="B1491" s="54"/>
      <c r="C1491" s="55"/>
      <c r="D1491" s="55"/>
      <c r="E1491" s="55"/>
      <c r="F1491" s="56">
        <f t="shared" si="1507"/>
        <v>0</v>
      </c>
      <c r="G1491" s="54"/>
      <c r="H1491" s="55"/>
      <c r="I1491" s="55"/>
      <c r="J1491" s="55"/>
      <c r="K1491" s="56">
        <f t="shared" si="1508"/>
        <v>0</v>
      </c>
      <c r="L1491" s="54"/>
      <c r="M1491" s="55"/>
      <c r="N1491" s="55"/>
      <c r="O1491" s="55"/>
      <c r="P1491" s="56">
        <f t="shared" si="1509"/>
        <v>0</v>
      </c>
      <c r="Q1491" s="54"/>
      <c r="R1491" s="55"/>
      <c r="S1491" s="55"/>
      <c r="T1491" s="55"/>
      <c r="U1491" s="56">
        <f t="shared" si="1510"/>
        <v>0</v>
      </c>
      <c r="V1491" s="55"/>
      <c r="W1491" s="55"/>
      <c r="X1491" s="55"/>
      <c r="Y1491" s="55"/>
      <c r="Z1491" s="56">
        <f t="shared" si="1511"/>
        <v>0</v>
      </c>
      <c r="AA1491" s="56">
        <f t="shared" si="1513"/>
        <v>0</v>
      </c>
      <c r="AB1491" s="298"/>
      <c r="AC1491" s="268" t="s">
        <v>28</v>
      </c>
      <c r="AD1491" s="55"/>
      <c r="AE1491" s="153"/>
      <c r="AF1491" s="153"/>
      <c r="AG1491" s="168"/>
      <c r="AH1491" s="56">
        <f t="shared" si="1514"/>
        <v>0</v>
      </c>
      <c r="AI1491" s="55"/>
      <c r="AJ1491" s="153"/>
      <c r="AK1491" s="153"/>
      <c r="AL1491" s="168"/>
      <c r="AM1491" s="56">
        <f t="shared" si="1515"/>
        <v>0</v>
      </c>
      <c r="AN1491" s="55"/>
      <c r="AO1491" s="153"/>
      <c r="AP1491" s="153"/>
      <c r="AQ1491" s="168"/>
      <c r="AR1491" s="56">
        <f t="shared" si="1516"/>
        <v>0</v>
      </c>
      <c r="AS1491" s="54"/>
      <c r="AT1491" s="153"/>
      <c r="AU1491" s="153"/>
      <c r="AV1491" s="168"/>
      <c r="AW1491" s="56">
        <f t="shared" si="1517"/>
        <v>0</v>
      </c>
      <c r="AX1491" s="55"/>
      <c r="AY1491" s="153"/>
      <c r="AZ1491" s="153"/>
      <c r="BA1491" s="168"/>
      <c r="BB1491" s="49">
        <f t="shared" si="1518"/>
        <v>0</v>
      </c>
      <c r="BC1491" s="49">
        <f t="shared" si="1519"/>
        <v>0</v>
      </c>
      <c r="BE1491" s="268" t="s">
        <v>28</v>
      </c>
      <c r="BF1491" s="55"/>
      <c r="BG1491" s="153"/>
      <c r="BH1491" s="153"/>
      <c r="BI1491" s="168"/>
      <c r="BJ1491" s="56">
        <f t="shared" si="1520"/>
        <v>0</v>
      </c>
    </row>
    <row r="1492" spans="1:62" ht="14.25" thickBot="1" x14ac:dyDescent="0.2">
      <c r="A1492" s="351" t="s">
        <v>28</v>
      </c>
      <c r="B1492" s="15"/>
      <c r="C1492" s="16"/>
      <c r="D1492" s="16"/>
      <c r="E1492" s="16"/>
      <c r="F1492" s="28">
        <f t="shared" si="1507"/>
        <v>0</v>
      </c>
      <c r="G1492" s="15"/>
      <c r="H1492" s="16"/>
      <c r="I1492" s="16"/>
      <c r="J1492" s="16"/>
      <c r="K1492" s="28">
        <f t="shared" si="1508"/>
        <v>0</v>
      </c>
      <c r="L1492" s="15"/>
      <c r="M1492" s="16"/>
      <c r="N1492" s="16"/>
      <c r="O1492" s="16"/>
      <c r="P1492" s="28">
        <f t="shared" si="1509"/>
        <v>0</v>
      </c>
      <c r="Q1492" s="15"/>
      <c r="R1492" s="16"/>
      <c r="S1492" s="16"/>
      <c r="T1492" s="16"/>
      <c r="U1492" s="28">
        <f t="shared" si="1510"/>
        <v>0</v>
      </c>
      <c r="V1492" s="16"/>
      <c r="W1492" s="16"/>
      <c r="X1492" s="16"/>
      <c r="Y1492" s="16"/>
      <c r="Z1492" s="28">
        <f t="shared" si="1511"/>
        <v>0</v>
      </c>
      <c r="AA1492" s="28">
        <f t="shared" si="1513"/>
        <v>0</v>
      </c>
      <c r="AB1492" s="299"/>
      <c r="AC1492" s="268" t="s">
        <v>28</v>
      </c>
      <c r="AD1492" s="63"/>
      <c r="AE1492" s="164"/>
      <c r="AF1492" s="164"/>
      <c r="AG1492" s="169"/>
      <c r="AH1492" s="170">
        <f t="shared" si="1514"/>
        <v>0</v>
      </c>
      <c r="AI1492" s="63"/>
      <c r="AJ1492" s="164"/>
      <c r="AK1492" s="164"/>
      <c r="AL1492" s="169"/>
      <c r="AM1492" s="170">
        <f t="shared" si="1515"/>
        <v>0</v>
      </c>
      <c r="AN1492" s="63"/>
      <c r="AO1492" s="164"/>
      <c r="AP1492" s="164"/>
      <c r="AQ1492" s="169"/>
      <c r="AR1492" s="170">
        <f t="shared" si="1516"/>
        <v>0</v>
      </c>
      <c r="AS1492" s="62"/>
      <c r="AT1492" s="164"/>
      <c r="AU1492" s="164"/>
      <c r="AV1492" s="169"/>
      <c r="AW1492" s="170">
        <f t="shared" si="1517"/>
        <v>0</v>
      </c>
      <c r="AX1492" s="63"/>
      <c r="AY1492" s="164"/>
      <c r="AZ1492" s="164"/>
      <c r="BA1492" s="169"/>
      <c r="BB1492" s="170">
        <f t="shared" si="1518"/>
        <v>0</v>
      </c>
      <c r="BC1492" s="49">
        <f t="shared" si="1519"/>
        <v>0</v>
      </c>
      <c r="BE1492" s="274" t="s">
        <v>28</v>
      </c>
      <c r="BF1492" s="63"/>
      <c r="BG1492" s="164"/>
      <c r="BH1492" s="164"/>
      <c r="BI1492" s="169"/>
      <c r="BJ1492" s="170">
        <f t="shared" si="1520"/>
        <v>0</v>
      </c>
    </row>
    <row r="1493" spans="1:62" ht="15" thickBot="1" x14ac:dyDescent="0.2">
      <c r="A1493" s="181" t="s">
        <v>14</v>
      </c>
      <c r="B1493" s="182">
        <f>SUM(B1485:B1492)</f>
        <v>4</v>
      </c>
      <c r="C1493" s="183">
        <f>SUM(C1485:C1492)</f>
        <v>2</v>
      </c>
      <c r="D1493" s="183">
        <f>SUM(D1485:D1492)</f>
        <v>7</v>
      </c>
      <c r="E1493" s="184">
        <f>SUM(E1485:E1492)</f>
        <v>4</v>
      </c>
      <c r="F1493" s="77">
        <f t="shared" si="1507"/>
        <v>17</v>
      </c>
      <c r="G1493" s="182">
        <f>SUM(G1485:G1492)</f>
        <v>3</v>
      </c>
      <c r="H1493" s="183">
        <f>SUM(H1485:H1492)</f>
        <v>3</v>
      </c>
      <c r="I1493" s="183">
        <f>SUM(I1485:I1492)</f>
        <v>3</v>
      </c>
      <c r="J1493" s="184">
        <f>SUM(J1485:J1492)</f>
        <v>3</v>
      </c>
      <c r="K1493" s="77">
        <f t="shared" si="1508"/>
        <v>12</v>
      </c>
      <c r="L1493" s="182">
        <f>SUM(L1485:L1492)</f>
        <v>2</v>
      </c>
      <c r="M1493" s="183">
        <f>SUM(M1485:M1492)</f>
        <v>3</v>
      </c>
      <c r="N1493" s="183">
        <f>SUM(N1485:N1492)</f>
        <v>2</v>
      </c>
      <c r="O1493" s="184">
        <f>SUM(O1485:O1492)</f>
        <v>3</v>
      </c>
      <c r="P1493" s="77">
        <f t="shared" si="1509"/>
        <v>10</v>
      </c>
      <c r="Q1493" s="182">
        <f>SUM(Q1485:Q1492)</f>
        <v>4</v>
      </c>
      <c r="R1493" s="183">
        <f>SUM(R1485:R1492)</f>
        <v>5</v>
      </c>
      <c r="S1493" s="183">
        <f>SUM(S1485:S1492)</f>
        <v>2</v>
      </c>
      <c r="T1493" s="184">
        <f>SUM(T1485:T1492)</f>
        <v>3</v>
      </c>
      <c r="U1493" s="77">
        <f t="shared" si="1510"/>
        <v>14</v>
      </c>
      <c r="V1493" s="293">
        <f>SUM(V1485:V1492)</f>
        <v>7</v>
      </c>
      <c r="W1493" s="183">
        <f>SUM(W1485:W1492)</f>
        <v>4</v>
      </c>
      <c r="X1493" s="183">
        <f>SUM(X1485:X1492)</f>
        <v>3</v>
      </c>
      <c r="Y1493" s="184">
        <f>SUM(Y1485:Y1492)</f>
        <v>2</v>
      </c>
      <c r="Z1493" s="77">
        <f t="shared" si="1511"/>
        <v>16</v>
      </c>
      <c r="AA1493" s="77">
        <f>F1493+K1493+P1493+U1493+Z1493</f>
        <v>69</v>
      </c>
      <c r="AC1493" s="275" t="s">
        <v>14</v>
      </c>
      <c r="AD1493" s="182">
        <f>SUM(AD1485:AD1492)</f>
        <v>72</v>
      </c>
      <c r="AE1493" s="183">
        <f>SUM(AE1485:AE1492)</f>
        <v>62</v>
      </c>
      <c r="AF1493" s="183">
        <f>SUM(AF1485:AF1492)</f>
        <v>121</v>
      </c>
      <c r="AG1493" s="184">
        <f>SUM(AG1485:AG1492)</f>
        <v>38</v>
      </c>
      <c r="AH1493" s="77">
        <f t="shared" si="1514"/>
        <v>293</v>
      </c>
      <c r="AI1493" s="182">
        <f>SUM(AI1485:AI1492)</f>
        <v>25</v>
      </c>
      <c r="AJ1493" s="183">
        <f>SUM(AJ1485:AJ1492)</f>
        <v>78</v>
      </c>
      <c r="AK1493" s="183">
        <f>SUM(AK1485:AK1492)</f>
        <v>50</v>
      </c>
      <c r="AL1493" s="184">
        <f>SUM(AL1485:AL1492)</f>
        <v>41</v>
      </c>
      <c r="AM1493" s="77">
        <f t="shared" si="1515"/>
        <v>194</v>
      </c>
      <c r="AN1493" s="182">
        <f>SUM(AN1485:AN1492)</f>
        <v>31</v>
      </c>
      <c r="AO1493" s="183">
        <f>SUM(AO1485:AO1492)</f>
        <v>34</v>
      </c>
      <c r="AP1493" s="183">
        <f>SUM(AP1485:AP1492)</f>
        <v>31</v>
      </c>
      <c r="AQ1493" s="184">
        <f>SUM(AQ1485:AQ1492)</f>
        <v>12</v>
      </c>
      <c r="AR1493" s="77">
        <f t="shared" si="1516"/>
        <v>108</v>
      </c>
      <c r="AS1493" s="182">
        <f>SUM(AS1485:AS1492)</f>
        <v>116</v>
      </c>
      <c r="AT1493" s="183">
        <f>SUM(AT1485:AT1492)</f>
        <v>119</v>
      </c>
      <c r="AU1493" s="183">
        <f>SUM(AU1485:AU1492)</f>
        <v>54</v>
      </c>
      <c r="AV1493" s="184">
        <f>SUM(AV1485:AV1492)</f>
        <v>24</v>
      </c>
      <c r="AW1493" s="77">
        <f t="shared" si="1517"/>
        <v>313</v>
      </c>
      <c r="AX1493" s="293">
        <f>SUM(AX1485:AX1492)</f>
        <v>103</v>
      </c>
      <c r="AY1493" s="183">
        <f>SUM(AY1485:AY1492)</f>
        <v>79</v>
      </c>
      <c r="AZ1493" s="183">
        <f>SUM(AZ1485:AZ1492)</f>
        <v>39</v>
      </c>
      <c r="BA1493" s="184">
        <f>SUM(BA1485:BA1492)</f>
        <v>27</v>
      </c>
      <c r="BB1493" s="77">
        <f t="shared" si="1518"/>
        <v>248</v>
      </c>
      <c r="BC1493" s="77">
        <f>AH1493+AM1493+AR1493+AW1493+BB1493</f>
        <v>1156</v>
      </c>
      <c r="BE1493" s="275" t="s">
        <v>14</v>
      </c>
      <c r="BF1493" s="182">
        <f>SUM(BF1485:BF1492)</f>
        <v>0</v>
      </c>
      <c r="BG1493" s="183">
        <f>SUM(BG1485:BG1492)</f>
        <v>0</v>
      </c>
      <c r="BH1493" s="183">
        <f>SUM(BH1485:BH1492)</f>
        <v>2</v>
      </c>
      <c r="BI1493" s="184">
        <f>SUM(BI1485:BI1492)</f>
        <v>0</v>
      </c>
      <c r="BJ1493" s="77">
        <f t="shared" si="1520"/>
        <v>2</v>
      </c>
    </row>
    <row r="1494" spans="1:62" x14ac:dyDescent="0.15">
      <c r="A1494" s="53" t="s">
        <v>718</v>
      </c>
      <c r="B1494" s="54"/>
      <c r="C1494" s="55"/>
      <c r="D1494" s="55"/>
      <c r="E1494" s="55"/>
      <c r="F1494" s="56">
        <f t="shared" si="1507"/>
        <v>0</v>
      </c>
      <c r="G1494" s="54"/>
      <c r="H1494" s="55"/>
      <c r="I1494" s="55"/>
      <c r="J1494" s="55"/>
      <c r="K1494" s="56">
        <f t="shared" si="1508"/>
        <v>0</v>
      </c>
      <c r="L1494" s="54"/>
      <c r="M1494" s="55"/>
      <c r="N1494" s="55"/>
      <c r="O1494" s="55"/>
      <c r="P1494" s="56">
        <f t="shared" si="1509"/>
        <v>0</v>
      </c>
      <c r="Q1494" s="54"/>
      <c r="R1494" s="55">
        <v>1</v>
      </c>
      <c r="S1494" s="55"/>
      <c r="T1494" s="55"/>
      <c r="U1494" s="56">
        <f t="shared" si="1510"/>
        <v>1</v>
      </c>
      <c r="V1494" s="55"/>
      <c r="W1494" s="55"/>
      <c r="X1494" s="55"/>
      <c r="Y1494" s="55"/>
      <c r="Z1494" s="56">
        <f t="shared" si="1511"/>
        <v>0</v>
      </c>
      <c r="AA1494" s="56">
        <f t="shared" ref="AA1494:AA1496" si="1521">F1494+K1494+P1494+U1494+Z1494</f>
        <v>1</v>
      </c>
      <c r="AB1494" s="298">
        <v>46178</v>
      </c>
      <c r="AC1494" s="276" t="s">
        <v>719</v>
      </c>
      <c r="AD1494" s="54">
        <v>3</v>
      </c>
      <c r="AE1494" s="55"/>
      <c r="AF1494" s="55"/>
      <c r="AG1494" s="55">
        <v>3</v>
      </c>
      <c r="AH1494" s="56">
        <f t="shared" ref="AH1494:AH1510" si="1522">SUM(AD1494:AG1494)</f>
        <v>6</v>
      </c>
      <c r="AI1494" s="54"/>
      <c r="AJ1494" s="55"/>
      <c r="AK1494" s="55"/>
      <c r="AL1494" s="55"/>
      <c r="AM1494" s="56">
        <f t="shared" ref="AM1494:AM1510" si="1523">SUM(AI1494:AL1494)</f>
        <v>0</v>
      </c>
      <c r="AN1494" s="54"/>
      <c r="AO1494" s="55"/>
      <c r="AP1494" s="55"/>
      <c r="AQ1494" s="55"/>
      <c r="AR1494" s="56">
        <f t="shared" ref="AR1494:AR1510" si="1524">SUM(AN1494:AQ1494)</f>
        <v>0</v>
      </c>
      <c r="AS1494" s="54">
        <v>3</v>
      </c>
      <c r="AT1494" s="55">
        <v>3</v>
      </c>
      <c r="AU1494" s="55"/>
      <c r="AV1494" s="55"/>
      <c r="AW1494" s="56">
        <f t="shared" ref="AW1494:AW1510" si="1525">SUM(AS1494:AV1494)</f>
        <v>6</v>
      </c>
      <c r="AX1494" s="55"/>
      <c r="AY1494" s="55"/>
      <c r="AZ1494" s="55"/>
      <c r="BA1494" s="55"/>
      <c r="BB1494" s="56">
        <f t="shared" ref="BB1494:BB1510" si="1526">SUM(AX1494:BA1494)</f>
        <v>0</v>
      </c>
      <c r="BC1494" s="56">
        <f t="shared" ref="BC1494:BC1510" si="1527">AH1494+AM1494+AR1494+AW1494+BB1494</f>
        <v>12</v>
      </c>
      <c r="BD1494" s="298">
        <v>46179</v>
      </c>
      <c r="BE1494" s="277"/>
      <c r="BF1494" s="54"/>
      <c r="BG1494" s="55"/>
      <c r="BH1494" s="55"/>
      <c r="BI1494" s="55"/>
      <c r="BJ1494" s="56">
        <f t="shared" si="1520"/>
        <v>0</v>
      </c>
    </row>
    <row r="1495" spans="1:62" x14ac:dyDescent="0.15">
      <c r="A1495" s="53" t="s">
        <v>98</v>
      </c>
      <c r="B1495" s="54"/>
      <c r="C1495" s="55"/>
      <c r="D1495" s="55"/>
      <c r="E1495" s="55"/>
      <c r="F1495" s="56">
        <f t="shared" si="1507"/>
        <v>0</v>
      </c>
      <c r="G1495" s="54"/>
      <c r="H1495" s="55"/>
      <c r="I1495" s="55"/>
      <c r="J1495" s="55"/>
      <c r="K1495" s="56">
        <f t="shared" si="1508"/>
        <v>0</v>
      </c>
      <c r="L1495" s="54"/>
      <c r="M1495" s="55"/>
      <c r="N1495" s="55">
        <v>1</v>
      </c>
      <c r="O1495" s="55"/>
      <c r="P1495" s="56">
        <f t="shared" si="1509"/>
        <v>1</v>
      </c>
      <c r="Q1495" s="54"/>
      <c r="R1495" s="55"/>
      <c r="S1495" s="55"/>
      <c r="T1495" s="55"/>
      <c r="U1495" s="56">
        <f t="shared" si="1510"/>
        <v>0</v>
      </c>
      <c r="V1495" s="55"/>
      <c r="W1495" s="55"/>
      <c r="X1495" s="55"/>
      <c r="Y1495" s="55"/>
      <c r="Z1495" s="56">
        <f t="shared" si="1511"/>
        <v>0</v>
      </c>
      <c r="AA1495" s="56">
        <f t="shared" si="1521"/>
        <v>1</v>
      </c>
      <c r="AB1495" s="298">
        <v>46185</v>
      </c>
      <c r="AC1495" s="276"/>
      <c r="AD1495" s="54"/>
      <c r="AE1495" s="55"/>
      <c r="AF1495" s="55"/>
      <c r="AG1495" s="55"/>
      <c r="AH1495" s="56">
        <f t="shared" si="1522"/>
        <v>0</v>
      </c>
      <c r="AI1495" s="54"/>
      <c r="AJ1495" s="55"/>
      <c r="AK1495" s="55"/>
      <c r="AL1495" s="55"/>
      <c r="AM1495" s="56">
        <f t="shared" si="1523"/>
        <v>0</v>
      </c>
      <c r="AN1495" s="54"/>
      <c r="AO1495" s="55"/>
      <c r="AP1495" s="55"/>
      <c r="AQ1495" s="55"/>
      <c r="AR1495" s="56">
        <f t="shared" si="1524"/>
        <v>0</v>
      </c>
      <c r="AS1495" s="54"/>
      <c r="AT1495" s="55"/>
      <c r="AU1495" s="55"/>
      <c r="AV1495" s="55"/>
      <c r="AW1495" s="56">
        <f t="shared" si="1525"/>
        <v>0</v>
      </c>
      <c r="AX1495" s="55"/>
      <c r="AY1495" s="55"/>
      <c r="AZ1495" s="55"/>
      <c r="BA1495" s="55"/>
      <c r="BB1495" s="56">
        <f t="shared" si="1526"/>
        <v>0</v>
      </c>
      <c r="BC1495" s="56">
        <f t="shared" si="1527"/>
        <v>0</v>
      </c>
      <c r="BD1495" s="300"/>
      <c r="BE1495" s="277"/>
      <c r="BF1495" s="54"/>
      <c r="BG1495" s="55"/>
      <c r="BH1495" s="55"/>
      <c r="BI1495" s="55"/>
      <c r="BJ1495" s="56">
        <f t="shared" si="1520"/>
        <v>0</v>
      </c>
    </row>
    <row r="1496" spans="1:62" x14ac:dyDescent="0.15">
      <c r="A1496" s="53" t="s">
        <v>98</v>
      </c>
      <c r="B1496" s="54"/>
      <c r="C1496" s="55"/>
      <c r="D1496" s="55"/>
      <c r="E1496" s="55"/>
      <c r="F1496" s="56">
        <f t="shared" si="1507"/>
        <v>0</v>
      </c>
      <c r="G1496" s="54"/>
      <c r="H1496" s="55"/>
      <c r="I1496" s="55"/>
      <c r="J1496" s="55"/>
      <c r="K1496" s="56">
        <f t="shared" si="1508"/>
        <v>0</v>
      </c>
      <c r="L1496" s="54"/>
      <c r="M1496" s="55"/>
      <c r="N1496" s="55"/>
      <c r="O1496" s="55"/>
      <c r="P1496" s="56">
        <f t="shared" si="1509"/>
        <v>0</v>
      </c>
      <c r="Q1496" s="54"/>
      <c r="R1496" s="55"/>
      <c r="S1496" s="55"/>
      <c r="T1496" s="55"/>
      <c r="U1496" s="56">
        <f t="shared" si="1510"/>
        <v>0</v>
      </c>
      <c r="V1496" s="55"/>
      <c r="W1496" s="55"/>
      <c r="X1496" s="55">
        <v>1</v>
      </c>
      <c r="Y1496" s="55"/>
      <c r="Z1496" s="56">
        <f t="shared" si="1511"/>
        <v>1</v>
      </c>
      <c r="AA1496" s="56">
        <f t="shared" si="1521"/>
        <v>1</v>
      </c>
      <c r="AB1496" s="298">
        <v>46188</v>
      </c>
      <c r="AC1496" s="276"/>
      <c r="AD1496" s="54"/>
      <c r="AE1496" s="55"/>
      <c r="AF1496" s="55"/>
      <c r="AG1496" s="55"/>
      <c r="AH1496" s="56">
        <f t="shared" si="1522"/>
        <v>0</v>
      </c>
      <c r="AI1496" s="54"/>
      <c r="AJ1496" s="55"/>
      <c r="AK1496" s="55"/>
      <c r="AL1496" s="55"/>
      <c r="AM1496" s="56">
        <f t="shared" si="1523"/>
        <v>0</v>
      </c>
      <c r="AN1496" s="54"/>
      <c r="AO1496" s="55"/>
      <c r="AP1496" s="55"/>
      <c r="AQ1496" s="55"/>
      <c r="AR1496" s="56">
        <f t="shared" si="1524"/>
        <v>0</v>
      </c>
      <c r="AS1496" s="54"/>
      <c r="AT1496" s="55"/>
      <c r="AU1496" s="55"/>
      <c r="AV1496" s="55"/>
      <c r="AW1496" s="56">
        <f t="shared" si="1525"/>
        <v>0</v>
      </c>
      <c r="AX1496" s="55"/>
      <c r="AY1496" s="55"/>
      <c r="AZ1496" s="55"/>
      <c r="BA1496" s="55"/>
      <c r="BB1496" s="56">
        <f t="shared" si="1526"/>
        <v>0</v>
      </c>
      <c r="BC1496" s="56">
        <f t="shared" si="1527"/>
        <v>0</v>
      </c>
      <c r="BD1496" s="300"/>
      <c r="BE1496" s="277"/>
      <c r="BF1496" s="54"/>
      <c r="BG1496" s="55"/>
      <c r="BH1496" s="55"/>
      <c r="BI1496" s="55"/>
      <c r="BJ1496" s="56">
        <f t="shared" si="1520"/>
        <v>0</v>
      </c>
    </row>
    <row r="1497" spans="1:62" x14ac:dyDescent="0.15">
      <c r="A1497" s="53" t="s">
        <v>177</v>
      </c>
      <c r="B1497" s="54"/>
      <c r="C1497" s="55"/>
      <c r="D1497" s="55"/>
      <c r="E1497" s="55"/>
      <c r="F1497" s="56">
        <f t="shared" ref="F1497:F1513" si="1528">SUM(B1497:E1497)</f>
        <v>0</v>
      </c>
      <c r="G1497" s="54">
        <v>1</v>
      </c>
      <c r="H1497" s="55"/>
      <c r="I1497" s="55"/>
      <c r="J1497" s="55"/>
      <c r="K1497" s="56">
        <f t="shared" ref="K1497:K1513" si="1529">SUM(G1497:J1497)</f>
        <v>1</v>
      </c>
      <c r="L1497" s="54"/>
      <c r="M1497" s="55"/>
      <c r="N1497" s="55"/>
      <c r="O1497" s="55"/>
      <c r="P1497" s="56">
        <f t="shared" ref="P1497:P1513" si="1530">SUM(L1497:O1497)</f>
        <v>0</v>
      </c>
      <c r="Q1497" s="54"/>
      <c r="R1497" s="55"/>
      <c r="S1497" s="55"/>
      <c r="T1497" s="55"/>
      <c r="U1497" s="56">
        <f t="shared" ref="U1497:U1513" si="1531">SUM(Q1497:T1497)</f>
        <v>0</v>
      </c>
      <c r="V1497" s="55"/>
      <c r="W1497" s="55"/>
      <c r="X1497" s="55"/>
      <c r="Y1497" s="55"/>
      <c r="Z1497" s="56">
        <f t="shared" ref="Z1497:Z1513" si="1532">SUM(V1497:Y1497)</f>
        <v>0</v>
      </c>
      <c r="AA1497" s="56">
        <f t="shared" ref="AA1497:AA1513" si="1533">F1497+K1497+P1497+U1497+Z1497</f>
        <v>1</v>
      </c>
      <c r="AB1497" s="298">
        <v>46204</v>
      </c>
      <c r="AC1497" s="276"/>
      <c r="AD1497" s="54"/>
      <c r="AE1497" s="55"/>
      <c r="AF1497" s="55"/>
      <c r="AG1497" s="55"/>
      <c r="AH1497" s="56">
        <f t="shared" si="1522"/>
        <v>0</v>
      </c>
      <c r="AI1497" s="54"/>
      <c r="AJ1497" s="55"/>
      <c r="AK1497" s="55"/>
      <c r="AL1497" s="55"/>
      <c r="AM1497" s="56">
        <f t="shared" si="1523"/>
        <v>0</v>
      </c>
      <c r="AN1497" s="54"/>
      <c r="AO1497" s="55"/>
      <c r="AP1497" s="55"/>
      <c r="AQ1497" s="55"/>
      <c r="AR1497" s="56">
        <f t="shared" si="1524"/>
        <v>0</v>
      </c>
      <c r="AS1497" s="54"/>
      <c r="AT1497" s="55"/>
      <c r="AU1497" s="55"/>
      <c r="AV1497" s="55"/>
      <c r="AW1497" s="56">
        <f t="shared" si="1525"/>
        <v>0</v>
      </c>
      <c r="AX1497" s="55"/>
      <c r="AY1497" s="55"/>
      <c r="AZ1497" s="55"/>
      <c r="BA1497" s="55"/>
      <c r="BB1497" s="56">
        <f t="shared" si="1526"/>
        <v>0</v>
      </c>
      <c r="BC1497" s="56">
        <f t="shared" si="1527"/>
        <v>0</v>
      </c>
      <c r="BD1497" s="300"/>
      <c r="BE1497" s="277"/>
      <c r="BF1497" s="54"/>
      <c r="BG1497" s="55"/>
      <c r="BH1497" s="55"/>
      <c r="BI1497" s="55"/>
      <c r="BJ1497" s="56">
        <f t="shared" si="1520"/>
        <v>0</v>
      </c>
    </row>
    <row r="1498" spans="1:62" x14ac:dyDescent="0.15">
      <c r="A1498" s="53" t="s">
        <v>177</v>
      </c>
      <c r="B1498" s="54"/>
      <c r="C1498" s="55"/>
      <c r="D1498" s="55"/>
      <c r="E1498" s="55"/>
      <c r="F1498" s="56">
        <f t="shared" si="1528"/>
        <v>0</v>
      </c>
      <c r="G1498" s="54"/>
      <c r="H1498" s="55"/>
      <c r="I1498" s="55">
        <v>1</v>
      </c>
      <c r="J1498" s="55">
        <v>1</v>
      </c>
      <c r="K1498" s="56">
        <f t="shared" si="1529"/>
        <v>2</v>
      </c>
      <c r="L1498" s="54"/>
      <c r="M1498" s="55"/>
      <c r="N1498" s="55"/>
      <c r="O1498" s="55"/>
      <c r="P1498" s="56">
        <f t="shared" si="1530"/>
        <v>0</v>
      </c>
      <c r="Q1498" s="54"/>
      <c r="R1498" s="55"/>
      <c r="S1498" s="55"/>
      <c r="T1498" s="55"/>
      <c r="U1498" s="56">
        <f t="shared" si="1531"/>
        <v>0</v>
      </c>
      <c r="V1498" s="55">
        <v>1</v>
      </c>
      <c r="W1498" s="55"/>
      <c r="X1498" s="55"/>
      <c r="Y1498" s="55"/>
      <c r="Z1498" s="56">
        <f t="shared" si="1532"/>
        <v>1</v>
      </c>
      <c r="AA1498" s="56">
        <f t="shared" si="1533"/>
        <v>3</v>
      </c>
      <c r="AB1498" s="298">
        <v>46217</v>
      </c>
      <c r="AC1498" s="276"/>
      <c r="AD1498" s="54"/>
      <c r="AE1498" s="55"/>
      <c r="AF1498" s="55"/>
      <c r="AG1498" s="55"/>
      <c r="AH1498" s="56">
        <f t="shared" si="1522"/>
        <v>0</v>
      </c>
      <c r="AI1498" s="54"/>
      <c r="AJ1498" s="55"/>
      <c r="AK1498" s="55"/>
      <c r="AL1498" s="55"/>
      <c r="AM1498" s="56">
        <f t="shared" si="1523"/>
        <v>0</v>
      </c>
      <c r="AN1498" s="54"/>
      <c r="AO1498" s="55"/>
      <c r="AP1498" s="55"/>
      <c r="AQ1498" s="55"/>
      <c r="AR1498" s="56">
        <f t="shared" si="1524"/>
        <v>0</v>
      </c>
      <c r="AS1498" s="54"/>
      <c r="AT1498" s="55"/>
      <c r="AU1498" s="55"/>
      <c r="AV1498" s="55"/>
      <c r="AW1498" s="56">
        <f t="shared" si="1525"/>
        <v>0</v>
      </c>
      <c r="AX1498" s="55"/>
      <c r="AY1498" s="55"/>
      <c r="AZ1498" s="55"/>
      <c r="BA1498" s="55"/>
      <c r="BB1498" s="56">
        <f t="shared" si="1526"/>
        <v>0</v>
      </c>
      <c r="BC1498" s="56">
        <f t="shared" si="1527"/>
        <v>0</v>
      </c>
      <c r="BD1498" s="300"/>
      <c r="BE1498" s="277"/>
      <c r="BF1498" s="54"/>
      <c r="BG1498" s="55"/>
      <c r="BH1498" s="55"/>
      <c r="BI1498" s="55"/>
      <c r="BJ1498" s="56">
        <f t="shared" si="1520"/>
        <v>0</v>
      </c>
    </row>
    <row r="1499" spans="1:62" x14ac:dyDescent="0.15">
      <c r="A1499" s="53" t="s">
        <v>177</v>
      </c>
      <c r="B1499" s="54"/>
      <c r="C1499" s="55"/>
      <c r="D1499" s="55"/>
      <c r="E1499" s="55"/>
      <c r="F1499" s="56">
        <f t="shared" si="1528"/>
        <v>0</v>
      </c>
      <c r="G1499" s="54"/>
      <c r="H1499" s="55"/>
      <c r="I1499" s="55"/>
      <c r="J1499" s="55"/>
      <c r="K1499" s="56">
        <f t="shared" si="1529"/>
        <v>0</v>
      </c>
      <c r="L1499" s="54"/>
      <c r="M1499" s="55"/>
      <c r="N1499" s="55"/>
      <c r="O1499" s="55"/>
      <c r="P1499" s="56">
        <f t="shared" si="1530"/>
        <v>0</v>
      </c>
      <c r="Q1499" s="54"/>
      <c r="R1499" s="55"/>
      <c r="S1499" s="55"/>
      <c r="T1499" s="55"/>
      <c r="U1499" s="56">
        <f t="shared" si="1531"/>
        <v>0</v>
      </c>
      <c r="V1499" s="55"/>
      <c r="W1499" s="55"/>
      <c r="X1499" s="55"/>
      <c r="Y1499" s="55"/>
      <c r="Z1499" s="56">
        <f t="shared" si="1532"/>
        <v>0</v>
      </c>
      <c r="AA1499" s="56">
        <f t="shared" si="1533"/>
        <v>0</v>
      </c>
      <c r="AB1499" s="298">
        <v>46217</v>
      </c>
      <c r="AC1499" s="276"/>
      <c r="AD1499" s="54"/>
      <c r="AE1499" s="55"/>
      <c r="AF1499" s="55"/>
      <c r="AG1499" s="55"/>
      <c r="AH1499" s="56">
        <f t="shared" si="1522"/>
        <v>0</v>
      </c>
      <c r="AI1499" s="54"/>
      <c r="AJ1499" s="55"/>
      <c r="AK1499" s="55"/>
      <c r="AL1499" s="55"/>
      <c r="AM1499" s="56">
        <f t="shared" si="1523"/>
        <v>0</v>
      </c>
      <c r="AN1499" s="54"/>
      <c r="AO1499" s="55"/>
      <c r="AP1499" s="55"/>
      <c r="AQ1499" s="55"/>
      <c r="AR1499" s="56">
        <f t="shared" si="1524"/>
        <v>0</v>
      </c>
      <c r="AS1499" s="54"/>
      <c r="AT1499" s="55"/>
      <c r="AU1499" s="55"/>
      <c r="AV1499" s="55"/>
      <c r="AW1499" s="56">
        <f t="shared" si="1525"/>
        <v>0</v>
      </c>
      <c r="AX1499" s="55"/>
      <c r="AY1499" s="55"/>
      <c r="AZ1499" s="55"/>
      <c r="BA1499" s="55"/>
      <c r="BB1499" s="56">
        <f t="shared" si="1526"/>
        <v>0</v>
      </c>
      <c r="BC1499" s="56">
        <f t="shared" si="1527"/>
        <v>0</v>
      </c>
      <c r="BD1499" s="300"/>
      <c r="BE1499" s="277"/>
      <c r="BF1499" s="54"/>
      <c r="BG1499" s="55"/>
      <c r="BH1499" s="55"/>
      <c r="BI1499" s="55"/>
      <c r="BJ1499" s="56">
        <f t="shared" si="1520"/>
        <v>0</v>
      </c>
    </row>
    <row r="1500" spans="1:62" x14ac:dyDescent="0.15">
      <c r="A1500" s="53" t="s">
        <v>177</v>
      </c>
      <c r="B1500" s="54"/>
      <c r="C1500" s="55"/>
      <c r="D1500" s="55"/>
      <c r="E1500" s="55"/>
      <c r="F1500" s="56">
        <f t="shared" si="1528"/>
        <v>0</v>
      </c>
      <c r="G1500" s="54"/>
      <c r="H1500" s="55"/>
      <c r="I1500" s="55"/>
      <c r="J1500" s="55"/>
      <c r="K1500" s="56">
        <f t="shared" si="1529"/>
        <v>0</v>
      </c>
      <c r="L1500" s="54"/>
      <c r="M1500" s="55"/>
      <c r="N1500" s="55"/>
      <c r="O1500" s="55"/>
      <c r="P1500" s="56">
        <f t="shared" si="1530"/>
        <v>0</v>
      </c>
      <c r="Q1500" s="54"/>
      <c r="R1500" s="55"/>
      <c r="S1500" s="55"/>
      <c r="T1500" s="55"/>
      <c r="U1500" s="56">
        <f t="shared" si="1531"/>
        <v>0</v>
      </c>
      <c r="V1500" s="55"/>
      <c r="W1500" s="55"/>
      <c r="X1500" s="55"/>
      <c r="Y1500" s="55"/>
      <c r="Z1500" s="56">
        <f t="shared" si="1532"/>
        <v>0</v>
      </c>
      <c r="AA1500" s="56">
        <f t="shared" si="1533"/>
        <v>0</v>
      </c>
      <c r="AB1500" s="298">
        <v>46217</v>
      </c>
      <c r="AC1500" s="276"/>
      <c r="AD1500" s="54"/>
      <c r="AE1500" s="55"/>
      <c r="AF1500" s="55"/>
      <c r="AG1500" s="55"/>
      <c r="AH1500" s="56">
        <f t="shared" si="1522"/>
        <v>0</v>
      </c>
      <c r="AI1500" s="54"/>
      <c r="AJ1500" s="55"/>
      <c r="AK1500" s="55"/>
      <c r="AL1500" s="55"/>
      <c r="AM1500" s="56">
        <f t="shared" si="1523"/>
        <v>0</v>
      </c>
      <c r="AN1500" s="54"/>
      <c r="AO1500" s="55"/>
      <c r="AP1500" s="55"/>
      <c r="AQ1500" s="55"/>
      <c r="AR1500" s="56">
        <f t="shared" si="1524"/>
        <v>0</v>
      </c>
      <c r="AS1500" s="54"/>
      <c r="AT1500" s="55"/>
      <c r="AU1500" s="55"/>
      <c r="AV1500" s="55"/>
      <c r="AW1500" s="56">
        <f t="shared" si="1525"/>
        <v>0</v>
      </c>
      <c r="AX1500" s="55"/>
      <c r="AY1500" s="55"/>
      <c r="AZ1500" s="55"/>
      <c r="BA1500" s="55"/>
      <c r="BB1500" s="56">
        <f t="shared" si="1526"/>
        <v>0</v>
      </c>
      <c r="BC1500" s="56">
        <f t="shared" si="1527"/>
        <v>0</v>
      </c>
      <c r="BD1500" s="300"/>
      <c r="BE1500" s="277"/>
      <c r="BF1500" s="54"/>
      <c r="BG1500" s="55"/>
      <c r="BH1500" s="55"/>
      <c r="BI1500" s="55"/>
      <c r="BJ1500" s="56">
        <f t="shared" si="1520"/>
        <v>0</v>
      </c>
    </row>
    <row r="1501" spans="1:62" x14ac:dyDescent="0.15">
      <c r="A1501" s="53" t="s">
        <v>177</v>
      </c>
      <c r="B1501" s="54"/>
      <c r="C1501" s="55"/>
      <c r="D1501" s="55"/>
      <c r="E1501" s="55">
        <v>1</v>
      </c>
      <c r="F1501" s="56">
        <f t="shared" si="1528"/>
        <v>1</v>
      </c>
      <c r="G1501" s="54"/>
      <c r="H1501" s="55"/>
      <c r="I1501" s="55"/>
      <c r="J1501" s="55"/>
      <c r="K1501" s="56">
        <f t="shared" si="1529"/>
        <v>0</v>
      </c>
      <c r="L1501" s="54"/>
      <c r="M1501" s="55"/>
      <c r="N1501" s="55"/>
      <c r="O1501" s="55"/>
      <c r="P1501" s="56">
        <f t="shared" si="1530"/>
        <v>0</v>
      </c>
      <c r="Q1501" s="54"/>
      <c r="R1501" s="55"/>
      <c r="S1501" s="55"/>
      <c r="T1501" s="55"/>
      <c r="U1501" s="56">
        <f t="shared" si="1531"/>
        <v>0</v>
      </c>
      <c r="V1501" s="55"/>
      <c r="W1501" s="55"/>
      <c r="X1501" s="55"/>
      <c r="Y1501" s="55"/>
      <c r="Z1501" s="56">
        <f t="shared" si="1532"/>
        <v>0</v>
      </c>
      <c r="AA1501" s="56">
        <f t="shared" si="1533"/>
        <v>1</v>
      </c>
      <c r="AB1501" s="298">
        <v>46219</v>
      </c>
      <c r="AC1501" s="276"/>
      <c r="AD1501" s="54"/>
      <c r="AE1501" s="55"/>
      <c r="AF1501" s="55"/>
      <c r="AG1501" s="55"/>
      <c r="AH1501" s="56">
        <f t="shared" si="1522"/>
        <v>0</v>
      </c>
      <c r="AI1501" s="54"/>
      <c r="AJ1501" s="55"/>
      <c r="AK1501" s="55"/>
      <c r="AL1501" s="55"/>
      <c r="AM1501" s="56">
        <f t="shared" si="1523"/>
        <v>0</v>
      </c>
      <c r="AN1501" s="54"/>
      <c r="AO1501" s="55"/>
      <c r="AP1501" s="55"/>
      <c r="AQ1501" s="55"/>
      <c r="AR1501" s="56">
        <f t="shared" si="1524"/>
        <v>0</v>
      </c>
      <c r="AS1501" s="54"/>
      <c r="AT1501" s="55"/>
      <c r="AU1501" s="55"/>
      <c r="AV1501" s="55"/>
      <c r="AW1501" s="56">
        <f t="shared" si="1525"/>
        <v>0</v>
      </c>
      <c r="AX1501" s="55"/>
      <c r="AY1501" s="55"/>
      <c r="AZ1501" s="55"/>
      <c r="BA1501" s="55"/>
      <c r="BB1501" s="56">
        <f t="shared" si="1526"/>
        <v>0</v>
      </c>
      <c r="BC1501" s="56">
        <f t="shared" si="1527"/>
        <v>0</v>
      </c>
      <c r="BD1501" s="300"/>
      <c r="BE1501" s="277"/>
      <c r="BF1501" s="54"/>
      <c r="BG1501" s="55"/>
      <c r="BH1501" s="55"/>
      <c r="BI1501" s="55"/>
      <c r="BJ1501" s="56">
        <f t="shared" si="1520"/>
        <v>0</v>
      </c>
    </row>
    <row r="1502" spans="1:62" x14ac:dyDescent="0.15">
      <c r="A1502" s="53"/>
      <c r="B1502" s="54"/>
      <c r="C1502" s="55"/>
      <c r="D1502" s="55"/>
      <c r="E1502" s="55"/>
      <c r="F1502" s="56">
        <f t="shared" si="1528"/>
        <v>0</v>
      </c>
      <c r="G1502" s="54"/>
      <c r="H1502" s="55"/>
      <c r="I1502" s="55"/>
      <c r="J1502" s="55"/>
      <c r="K1502" s="56">
        <f t="shared" si="1529"/>
        <v>0</v>
      </c>
      <c r="L1502" s="54"/>
      <c r="M1502" s="55"/>
      <c r="N1502" s="55"/>
      <c r="O1502" s="55"/>
      <c r="P1502" s="56">
        <f t="shared" si="1530"/>
        <v>0</v>
      </c>
      <c r="Q1502" s="54"/>
      <c r="R1502" s="55"/>
      <c r="S1502" s="55"/>
      <c r="T1502" s="55"/>
      <c r="U1502" s="56">
        <f t="shared" si="1531"/>
        <v>0</v>
      </c>
      <c r="V1502" s="55"/>
      <c r="W1502" s="55"/>
      <c r="X1502" s="55"/>
      <c r="Y1502" s="55"/>
      <c r="Z1502" s="56">
        <f t="shared" si="1532"/>
        <v>0</v>
      </c>
      <c r="AA1502" s="56">
        <f t="shared" si="1533"/>
        <v>0</v>
      </c>
      <c r="AB1502" s="298"/>
      <c r="AC1502" s="276"/>
      <c r="AD1502" s="54"/>
      <c r="AE1502" s="55"/>
      <c r="AF1502" s="55"/>
      <c r="AG1502" s="55"/>
      <c r="AH1502" s="56">
        <f t="shared" si="1522"/>
        <v>0</v>
      </c>
      <c r="AI1502" s="54"/>
      <c r="AJ1502" s="55"/>
      <c r="AK1502" s="55"/>
      <c r="AL1502" s="55"/>
      <c r="AM1502" s="56">
        <f t="shared" si="1523"/>
        <v>0</v>
      </c>
      <c r="AN1502" s="54"/>
      <c r="AO1502" s="55"/>
      <c r="AP1502" s="55"/>
      <c r="AQ1502" s="55"/>
      <c r="AR1502" s="56">
        <f t="shared" si="1524"/>
        <v>0</v>
      </c>
      <c r="AS1502" s="54"/>
      <c r="AT1502" s="55"/>
      <c r="AU1502" s="55"/>
      <c r="AV1502" s="55"/>
      <c r="AW1502" s="56">
        <f t="shared" si="1525"/>
        <v>0</v>
      </c>
      <c r="AX1502" s="55"/>
      <c r="AY1502" s="55"/>
      <c r="AZ1502" s="55"/>
      <c r="BA1502" s="55"/>
      <c r="BB1502" s="56">
        <f t="shared" si="1526"/>
        <v>0</v>
      </c>
      <c r="BC1502" s="56">
        <f t="shared" si="1527"/>
        <v>0</v>
      </c>
      <c r="BD1502" s="300"/>
      <c r="BE1502" s="277"/>
      <c r="BF1502" s="54"/>
      <c r="BG1502" s="55"/>
      <c r="BH1502" s="55"/>
      <c r="BI1502" s="55"/>
      <c r="BJ1502" s="56">
        <f t="shared" si="1520"/>
        <v>0</v>
      </c>
    </row>
    <row r="1503" spans="1:62" x14ac:dyDescent="0.15">
      <c r="A1503" s="53"/>
      <c r="B1503" s="54"/>
      <c r="C1503" s="55"/>
      <c r="D1503" s="55"/>
      <c r="E1503" s="55"/>
      <c r="F1503" s="56">
        <f t="shared" si="1528"/>
        <v>0</v>
      </c>
      <c r="G1503" s="54"/>
      <c r="H1503" s="55"/>
      <c r="I1503" s="55"/>
      <c r="J1503" s="55"/>
      <c r="K1503" s="56">
        <f t="shared" si="1529"/>
        <v>0</v>
      </c>
      <c r="L1503" s="54"/>
      <c r="M1503" s="55"/>
      <c r="N1503" s="55"/>
      <c r="O1503" s="55"/>
      <c r="P1503" s="56">
        <f t="shared" si="1530"/>
        <v>0</v>
      </c>
      <c r="Q1503" s="54"/>
      <c r="R1503" s="55"/>
      <c r="S1503" s="55"/>
      <c r="T1503" s="55"/>
      <c r="U1503" s="56">
        <f t="shared" si="1531"/>
        <v>0</v>
      </c>
      <c r="V1503" s="55"/>
      <c r="W1503" s="55"/>
      <c r="X1503" s="55"/>
      <c r="Y1503" s="55"/>
      <c r="Z1503" s="56">
        <f t="shared" si="1532"/>
        <v>0</v>
      </c>
      <c r="AA1503" s="56">
        <f t="shared" si="1533"/>
        <v>0</v>
      </c>
      <c r="AB1503" s="298"/>
      <c r="AC1503" s="276"/>
      <c r="AD1503" s="54"/>
      <c r="AE1503" s="55"/>
      <c r="AF1503" s="55"/>
      <c r="AG1503" s="55"/>
      <c r="AH1503" s="56">
        <f t="shared" si="1522"/>
        <v>0</v>
      </c>
      <c r="AI1503" s="54"/>
      <c r="AJ1503" s="55"/>
      <c r="AK1503" s="55"/>
      <c r="AL1503" s="55"/>
      <c r="AM1503" s="56">
        <f t="shared" si="1523"/>
        <v>0</v>
      </c>
      <c r="AN1503" s="54"/>
      <c r="AO1503" s="55"/>
      <c r="AP1503" s="55"/>
      <c r="AQ1503" s="55"/>
      <c r="AR1503" s="56">
        <f t="shared" si="1524"/>
        <v>0</v>
      </c>
      <c r="AS1503" s="54"/>
      <c r="AT1503" s="55"/>
      <c r="AU1503" s="55"/>
      <c r="AV1503" s="55"/>
      <c r="AW1503" s="56">
        <f t="shared" si="1525"/>
        <v>0</v>
      </c>
      <c r="AX1503" s="55"/>
      <c r="AY1503" s="55"/>
      <c r="AZ1503" s="55"/>
      <c r="BA1503" s="55"/>
      <c r="BB1503" s="56">
        <f t="shared" si="1526"/>
        <v>0</v>
      </c>
      <c r="BC1503" s="56">
        <f t="shared" si="1527"/>
        <v>0</v>
      </c>
      <c r="BD1503" s="300"/>
      <c r="BE1503" s="277"/>
      <c r="BF1503" s="54"/>
      <c r="BG1503" s="55"/>
      <c r="BH1503" s="55"/>
      <c r="BI1503" s="55"/>
      <c r="BJ1503" s="56">
        <f t="shared" si="1520"/>
        <v>0</v>
      </c>
    </row>
    <row r="1504" spans="1:62" x14ac:dyDescent="0.15">
      <c r="A1504" s="53"/>
      <c r="B1504" s="54"/>
      <c r="C1504" s="55"/>
      <c r="D1504" s="55"/>
      <c r="E1504" s="55"/>
      <c r="F1504" s="56">
        <f t="shared" si="1528"/>
        <v>0</v>
      </c>
      <c r="G1504" s="54"/>
      <c r="H1504" s="55"/>
      <c r="I1504" s="55"/>
      <c r="J1504" s="55"/>
      <c r="K1504" s="56">
        <f t="shared" si="1529"/>
        <v>0</v>
      </c>
      <c r="L1504" s="54"/>
      <c r="M1504" s="55"/>
      <c r="N1504" s="55"/>
      <c r="O1504" s="55"/>
      <c r="P1504" s="56">
        <f t="shared" si="1530"/>
        <v>0</v>
      </c>
      <c r="Q1504" s="54"/>
      <c r="R1504" s="55"/>
      <c r="S1504" s="55"/>
      <c r="T1504" s="55"/>
      <c r="U1504" s="56">
        <f t="shared" si="1531"/>
        <v>0</v>
      </c>
      <c r="V1504" s="55"/>
      <c r="W1504" s="55"/>
      <c r="X1504" s="55"/>
      <c r="Y1504" s="55"/>
      <c r="Z1504" s="56">
        <f t="shared" si="1532"/>
        <v>0</v>
      </c>
      <c r="AA1504" s="56">
        <f t="shared" si="1533"/>
        <v>0</v>
      </c>
      <c r="AB1504" s="298"/>
      <c r="AC1504" s="276"/>
      <c r="AD1504" s="54"/>
      <c r="AE1504" s="55"/>
      <c r="AF1504" s="55"/>
      <c r="AG1504" s="55"/>
      <c r="AH1504" s="56">
        <f t="shared" si="1522"/>
        <v>0</v>
      </c>
      <c r="AI1504" s="54"/>
      <c r="AJ1504" s="55"/>
      <c r="AK1504" s="55"/>
      <c r="AL1504" s="55"/>
      <c r="AM1504" s="56">
        <f t="shared" si="1523"/>
        <v>0</v>
      </c>
      <c r="AN1504" s="54"/>
      <c r="AO1504" s="55"/>
      <c r="AP1504" s="55"/>
      <c r="AQ1504" s="55"/>
      <c r="AR1504" s="56">
        <f t="shared" si="1524"/>
        <v>0</v>
      </c>
      <c r="AS1504" s="54"/>
      <c r="AT1504" s="55"/>
      <c r="AU1504" s="55"/>
      <c r="AV1504" s="55"/>
      <c r="AW1504" s="56">
        <f t="shared" si="1525"/>
        <v>0</v>
      </c>
      <c r="AX1504" s="55"/>
      <c r="AY1504" s="55"/>
      <c r="AZ1504" s="55"/>
      <c r="BA1504" s="55"/>
      <c r="BB1504" s="56">
        <f t="shared" si="1526"/>
        <v>0</v>
      </c>
      <c r="BC1504" s="56">
        <f t="shared" si="1527"/>
        <v>0</v>
      </c>
      <c r="BD1504" s="300"/>
      <c r="BE1504" s="277"/>
      <c r="BF1504" s="54"/>
      <c r="BG1504" s="55"/>
      <c r="BH1504" s="55"/>
      <c r="BI1504" s="55"/>
      <c r="BJ1504" s="56">
        <f t="shared" si="1520"/>
        <v>0</v>
      </c>
    </row>
    <row r="1505" spans="1:62" x14ac:dyDescent="0.15">
      <c r="A1505" s="53"/>
      <c r="B1505" s="54"/>
      <c r="C1505" s="55"/>
      <c r="D1505" s="55"/>
      <c r="E1505" s="55"/>
      <c r="F1505" s="56">
        <f t="shared" si="1528"/>
        <v>0</v>
      </c>
      <c r="G1505" s="54"/>
      <c r="H1505" s="55"/>
      <c r="I1505" s="55"/>
      <c r="J1505" s="55"/>
      <c r="K1505" s="56">
        <f t="shared" si="1529"/>
        <v>0</v>
      </c>
      <c r="L1505" s="54"/>
      <c r="M1505" s="55"/>
      <c r="N1505" s="55"/>
      <c r="O1505" s="55"/>
      <c r="P1505" s="56">
        <f t="shared" si="1530"/>
        <v>0</v>
      </c>
      <c r="Q1505" s="54"/>
      <c r="R1505" s="55"/>
      <c r="S1505" s="55"/>
      <c r="T1505" s="55"/>
      <c r="U1505" s="56">
        <f t="shared" si="1531"/>
        <v>0</v>
      </c>
      <c r="V1505" s="55"/>
      <c r="W1505" s="55"/>
      <c r="X1505" s="55"/>
      <c r="Y1505" s="55"/>
      <c r="Z1505" s="56">
        <f t="shared" si="1532"/>
        <v>0</v>
      </c>
      <c r="AA1505" s="56">
        <f t="shared" si="1533"/>
        <v>0</v>
      </c>
      <c r="AB1505" s="298"/>
      <c r="AC1505" s="276"/>
      <c r="AD1505" s="54"/>
      <c r="AE1505" s="55"/>
      <c r="AF1505" s="55"/>
      <c r="AG1505" s="55"/>
      <c r="AH1505" s="56">
        <f t="shared" si="1522"/>
        <v>0</v>
      </c>
      <c r="AI1505" s="54"/>
      <c r="AJ1505" s="55"/>
      <c r="AK1505" s="55"/>
      <c r="AL1505" s="55"/>
      <c r="AM1505" s="56">
        <f t="shared" si="1523"/>
        <v>0</v>
      </c>
      <c r="AN1505" s="54"/>
      <c r="AO1505" s="55"/>
      <c r="AP1505" s="55"/>
      <c r="AQ1505" s="55"/>
      <c r="AR1505" s="56">
        <f t="shared" si="1524"/>
        <v>0</v>
      </c>
      <c r="AS1505" s="54"/>
      <c r="AT1505" s="55"/>
      <c r="AU1505" s="55"/>
      <c r="AV1505" s="55"/>
      <c r="AW1505" s="56">
        <f t="shared" si="1525"/>
        <v>0</v>
      </c>
      <c r="AX1505" s="55"/>
      <c r="AY1505" s="55"/>
      <c r="AZ1505" s="55"/>
      <c r="BA1505" s="55"/>
      <c r="BB1505" s="56">
        <f t="shared" si="1526"/>
        <v>0</v>
      </c>
      <c r="BC1505" s="56">
        <f t="shared" si="1527"/>
        <v>0</v>
      </c>
      <c r="BD1505" s="300"/>
      <c r="BE1505" s="276"/>
      <c r="BF1505" s="54"/>
      <c r="BG1505" s="55"/>
      <c r="BH1505" s="55"/>
      <c r="BI1505" s="55"/>
      <c r="BJ1505" s="56">
        <f t="shared" si="1520"/>
        <v>0</v>
      </c>
    </row>
    <row r="1506" spans="1:62" x14ac:dyDescent="0.15">
      <c r="A1506" s="53"/>
      <c r="B1506" s="54"/>
      <c r="C1506" s="55"/>
      <c r="D1506" s="55"/>
      <c r="E1506" s="55"/>
      <c r="F1506" s="56">
        <f t="shared" si="1528"/>
        <v>0</v>
      </c>
      <c r="G1506" s="54"/>
      <c r="H1506" s="55"/>
      <c r="I1506" s="55"/>
      <c r="J1506" s="55"/>
      <c r="K1506" s="56">
        <f t="shared" si="1529"/>
        <v>0</v>
      </c>
      <c r="L1506" s="54"/>
      <c r="M1506" s="55"/>
      <c r="N1506" s="55"/>
      <c r="O1506" s="55"/>
      <c r="P1506" s="56">
        <f t="shared" si="1530"/>
        <v>0</v>
      </c>
      <c r="Q1506" s="54"/>
      <c r="R1506" s="55"/>
      <c r="S1506" s="55"/>
      <c r="T1506" s="55"/>
      <c r="U1506" s="56">
        <f t="shared" si="1531"/>
        <v>0</v>
      </c>
      <c r="V1506" s="55"/>
      <c r="W1506" s="55"/>
      <c r="X1506" s="55"/>
      <c r="Y1506" s="55"/>
      <c r="Z1506" s="56">
        <f t="shared" si="1532"/>
        <v>0</v>
      </c>
      <c r="AA1506" s="56">
        <f t="shared" si="1533"/>
        <v>0</v>
      </c>
      <c r="AB1506" s="298"/>
      <c r="AC1506" s="276"/>
      <c r="AD1506" s="54"/>
      <c r="AE1506" s="55"/>
      <c r="AF1506" s="55"/>
      <c r="AG1506" s="55"/>
      <c r="AH1506" s="56">
        <f t="shared" si="1522"/>
        <v>0</v>
      </c>
      <c r="AI1506" s="54"/>
      <c r="AJ1506" s="55"/>
      <c r="AK1506" s="55"/>
      <c r="AL1506" s="55"/>
      <c r="AM1506" s="56">
        <f t="shared" si="1523"/>
        <v>0</v>
      </c>
      <c r="AN1506" s="54"/>
      <c r="AO1506" s="55"/>
      <c r="AP1506" s="55"/>
      <c r="AQ1506" s="55"/>
      <c r="AR1506" s="56">
        <f t="shared" si="1524"/>
        <v>0</v>
      </c>
      <c r="AS1506" s="54"/>
      <c r="AT1506" s="55"/>
      <c r="AU1506" s="55"/>
      <c r="AV1506" s="55"/>
      <c r="AW1506" s="56">
        <f t="shared" si="1525"/>
        <v>0</v>
      </c>
      <c r="AX1506" s="55"/>
      <c r="AY1506" s="55"/>
      <c r="AZ1506" s="55"/>
      <c r="BA1506" s="55"/>
      <c r="BB1506" s="56">
        <f t="shared" si="1526"/>
        <v>0</v>
      </c>
      <c r="BC1506" s="56">
        <f t="shared" si="1527"/>
        <v>0</v>
      </c>
      <c r="BD1506" s="300"/>
      <c r="BE1506" s="277"/>
      <c r="BF1506" s="54"/>
      <c r="BG1506" s="55"/>
      <c r="BH1506" s="55"/>
      <c r="BI1506" s="55"/>
      <c r="BJ1506" s="56">
        <f t="shared" si="1520"/>
        <v>0</v>
      </c>
    </row>
    <row r="1507" spans="1:62" x14ac:dyDescent="0.15">
      <c r="A1507" s="53"/>
      <c r="B1507" s="54"/>
      <c r="C1507" s="55"/>
      <c r="D1507" s="55"/>
      <c r="E1507" s="55"/>
      <c r="F1507" s="56">
        <f t="shared" si="1528"/>
        <v>0</v>
      </c>
      <c r="G1507" s="54"/>
      <c r="H1507" s="55"/>
      <c r="I1507" s="55"/>
      <c r="J1507" s="55"/>
      <c r="K1507" s="56">
        <f t="shared" si="1529"/>
        <v>0</v>
      </c>
      <c r="L1507" s="54"/>
      <c r="M1507" s="55"/>
      <c r="N1507" s="55"/>
      <c r="O1507" s="55"/>
      <c r="P1507" s="56">
        <f t="shared" si="1530"/>
        <v>0</v>
      </c>
      <c r="Q1507" s="54"/>
      <c r="R1507" s="55"/>
      <c r="S1507" s="55"/>
      <c r="T1507" s="55"/>
      <c r="U1507" s="56">
        <f t="shared" si="1531"/>
        <v>0</v>
      </c>
      <c r="V1507" s="55"/>
      <c r="W1507" s="55"/>
      <c r="X1507" s="55"/>
      <c r="Y1507" s="55"/>
      <c r="Z1507" s="56">
        <f t="shared" si="1532"/>
        <v>0</v>
      </c>
      <c r="AA1507" s="56">
        <f t="shared" si="1533"/>
        <v>0</v>
      </c>
      <c r="AB1507" s="298"/>
      <c r="AC1507" s="276"/>
      <c r="AD1507" s="54"/>
      <c r="AE1507" s="55"/>
      <c r="AF1507" s="55"/>
      <c r="AG1507" s="55"/>
      <c r="AH1507" s="56">
        <f t="shared" si="1522"/>
        <v>0</v>
      </c>
      <c r="AI1507" s="54"/>
      <c r="AJ1507" s="55"/>
      <c r="AK1507" s="55"/>
      <c r="AL1507" s="55"/>
      <c r="AM1507" s="56">
        <f t="shared" si="1523"/>
        <v>0</v>
      </c>
      <c r="AN1507" s="54"/>
      <c r="AO1507" s="55"/>
      <c r="AP1507" s="55"/>
      <c r="AQ1507" s="55"/>
      <c r="AR1507" s="56">
        <f t="shared" si="1524"/>
        <v>0</v>
      </c>
      <c r="AS1507" s="54"/>
      <c r="AT1507" s="55"/>
      <c r="AU1507" s="55"/>
      <c r="AV1507" s="55"/>
      <c r="AW1507" s="56">
        <f t="shared" si="1525"/>
        <v>0</v>
      </c>
      <c r="AX1507" s="55"/>
      <c r="AY1507" s="55"/>
      <c r="AZ1507" s="55"/>
      <c r="BA1507" s="55"/>
      <c r="BB1507" s="56">
        <f t="shared" si="1526"/>
        <v>0</v>
      </c>
      <c r="BC1507" s="56">
        <f t="shared" si="1527"/>
        <v>0</v>
      </c>
      <c r="BD1507" s="300"/>
      <c r="BE1507" s="276"/>
      <c r="BF1507" s="54"/>
      <c r="BG1507" s="55"/>
      <c r="BH1507" s="55"/>
      <c r="BI1507" s="55"/>
      <c r="BJ1507" s="56">
        <f t="shared" si="1520"/>
        <v>0</v>
      </c>
    </row>
    <row r="1508" spans="1:62" x14ac:dyDescent="0.15">
      <c r="A1508" s="53"/>
      <c r="B1508" s="54"/>
      <c r="C1508" s="55"/>
      <c r="D1508" s="55"/>
      <c r="E1508" s="55"/>
      <c r="F1508" s="56">
        <f t="shared" si="1528"/>
        <v>0</v>
      </c>
      <c r="G1508" s="54"/>
      <c r="H1508" s="55"/>
      <c r="I1508" s="55"/>
      <c r="J1508" s="55"/>
      <c r="K1508" s="56">
        <f t="shared" si="1529"/>
        <v>0</v>
      </c>
      <c r="L1508" s="54"/>
      <c r="M1508" s="55"/>
      <c r="N1508" s="55"/>
      <c r="O1508" s="55"/>
      <c r="P1508" s="56">
        <f t="shared" si="1530"/>
        <v>0</v>
      </c>
      <c r="Q1508" s="54"/>
      <c r="R1508" s="55"/>
      <c r="S1508" s="55"/>
      <c r="T1508" s="55"/>
      <c r="U1508" s="56">
        <f t="shared" si="1531"/>
        <v>0</v>
      </c>
      <c r="V1508" s="55"/>
      <c r="W1508" s="55"/>
      <c r="X1508" s="55"/>
      <c r="Y1508" s="55"/>
      <c r="Z1508" s="56">
        <f t="shared" si="1532"/>
        <v>0</v>
      </c>
      <c r="AA1508" s="56">
        <f t="shared" si="1533"/>
        <v>0</v>
      </c>
      <c r="AB1508" s="298"/>
      <c r="AC1508" s="276"/>
      <c r="AD1508" s="54"/>
      <c r="AE1508" s="55"/>
      <c r="AF1508" s="55"/>
      <c r="AG1508" s="55"/>
      <c r="AH1508" s="56">
        <f t="shared" si="1522"/>
        <v>0</v>
      </c>
      <c r="AI1508" s="54"/>
      <c r="AJ1508" s="55"/>
      <c r="AK1508" s="55"/>
      <c r="AL1508" s="55"/>
      <c r="AM1508" s="56">
        <f t="shared" si="1523"/>
        <v>0</v>
      </c>
      <c r="AN1508" s="54"/>
      <c r="AO1508" s="55"/>
      <c r="AP1508" s="55"/>
      <c r="AQ1508" s="55"/>
      <c r="AR1508" s="56">
        <f t="shared" si="1524"/>
        <v>0</v>
      </c>
      <c r="AS1508" s="54"/>
      <c r="AT1508" s="55"/>
      <c r="AU1508" s="55"/>
      <c r="AV1508" s="55"/>
      <c r="AW1508" s="56">
        <f t="shared" si="1525"/>
        <v>0</v>
      </c>
      <c r="AX1508" s="55"/>
      <c r="AY1508" s="55"/>
      <c r="AZ1508" s="55"/>
      <c r="BA1508" s="55"/>
      <c r="BB1508" s="56">
        <f t="shared" si="1526"/>
        <v>0</v>
      </c>
      <c r="BC1508" s="56">
        <f t="shared" si="1527"/>
        <v>0</v>
      </c>
      <c r="BD1508" s="300"/>
      <c r="BE1508" s="277"/>
      <c r="BF1508" s="55"/>
      <c r="BG1508" s="55"/>
      <c r="BH1508" s="55"/>
      <c r="BI1508" s="166"/>
      <c r="BJ1508" s="49">
        <f t="shared" si="1520"/>
        <v>0</v>
      </c>
    </row>
    <row r="1509" spans="1:62" x14ac:dyDescent="0.15">
      <c r="A1509" s="53"/>
      <c r="B1509" s="54"/>
      <c r="C1509" s="55"/>
      <c r="D1509" s="55"/>
      <c r="E1509" s="55"/>
      <c r="F1509" s="56">
        <f t="shared" si="1528"/>
        <v>0</v>
      </c>
      <c r="G1509" s="54"/>
      <c r="H1509" s="55"/>
      <c r="I1509" s="55"/>
      <c r="J1509" s="55"/>
      <c r="K1509" s="56">
        <f t="shared" si="1529"/>
        <v>0</v>
      </c>
      <c r="L1509" s="54"/>
      <c r="M1509" s="55"/>
      <c r="N1509" s="55"/>
      <c r="O1509" s="55"/>
      <c r="P1509" s="56">
        <f t="shared" si="1530"/>
        <v>0</v>
      </c>
      <c r="Q1509" s="54"/>
      <c r="R1509" s="55"/>
      <c r="S1509" s="55"/>
      <c r="T1509" s="55"/>
      <c r="U1509" s="56">
        <f t="shared" si="1531"/>
        <v>0</v>
      </c>
      <c r="V1509" s="55"/>
      <c r="W1509" s="55"/>
      <c r="X1509" s="55"/>
      <c r="Y1509" s="55"/>
      <c r="Z1509" s="56">
        <f t="shared" si="1532"/>
        <v>0</v>
      </c>
      <c r="AA1509" s="56">
        <f t="shared" si="1533"/>
        <v>0</v>
      </c>
      <c r="AB1509" s="298"/>
      <c r="AC1509" s="276"/>
      <c r="AD1509" s="54"/>
      <c r="AE1509" s="55"/>
      <c r="AF1509" s="55"/>
      <c r="AG1509" s="55"/>
      <c r="AH1509" s="56">
        <f t="shared" si="1522"/>
        <v>0</v>
      </c>
      <c r="AI1509" s="54"/>
      <c r="AJ1509" s="55"/>
      <c r="AK1509" s="55"/>
      <c r="AL1509" s="55"/>
      <c r="AM1509" s="56">
        <f t="shared" si="1523"/>
        <v>0</v>
      </c>
      <c r="AN1509" s="54"/>
      <c r="AO1509" s="55"/>
      <c r="AP1509" s="55"/>
      <c r="AQ1509" s="55"/>
      <c r="AR1509" s="56">
        <f t="shared" si="1524"/>
        <v>0</v>
      </c>
      <c r="AS1509" s="54"/>
      <c r="AT1509" s="55"/>
      <c r="AU1509" s="55"/>
      <c r="AV1509" s="55"/>
      <c r="AW1509" s="56">
        <f t="shared" si="1525"/>
        <v>0</v>
      </c>
      <c r="AX1509" s="55"/>
      <c r="AY1509" s="55"/>
      <c r="AZ1509" s="55"/>
      <c r="BA1509" s="55"/>
      <c r="BB1509" s="56">
        <f t="shared" si="1526"/>
        <v>0</v>
      </c>
      <c r="BC1509" s="56">
        <f t="shared" si="1527"/>
        <v>0</v>
      </c>
      <c r="BD1509" s="300"/>
      <c r="BE1509" s="277"/>
      <c r="BF1509" s="54"/>
      <c r="BG1509" s="55"/>
      <c r="BH1509" s="55"/>
      <c r="BI1509" s="55"/>
      <c r="BJ1509" s="56">
        <f t="shared" si="1520"/>
        <v>0</v>
      </c>
    </row>
    <row r="1510" spans="1:62" x14ac:dyDescent="0.15">
      <c r="A1510" s="53"/>
      <c r="B1510" s="54"/>
      <c r="C1510" s="55"/>
      <c r="D1510" s="55"/>
      <c r="E1510" s="55"/>
      <c r="F1510" s="56">
        <f t="shared" si="1528"/>
        <v>0</v>
      </c>
      <c r="G1510" s="54"/>
      <c r="H1510" s="55"/>
      <c r="I1510" s="55"/>
      <c r="J1510" s="55"/>
      <c r="K1510" s="56">
        <f t="shared" si="1529"/>
        <v>0</v>
      </c>
      <c r="L1510" s="54"/>
      <c r="M1510" s="55"/>
      <c r="N1510" s="55"/>
      <c r="O1510" s="55"/>
      <c r="P1510" s="56">
        <f t="shared" si="1530"/>
        <v>0</v>
      </c>
      <c r="Q1510" s="54"/>
      <c r="R1510" s="55"/>
      <c r="S1510" s="55"/>
      <c r="T1510" s="55"/>
      <c r="U1510" s="56">
        <f t="shared" si="1531"/>
        <v>0</v>
      </c>
      <c r="V1510" s="55"/>
      <c r="W1510" s="55"/>
      <c r="X1510" s="55"/>
      <c r="Y1510" s="55"/>
      <c r="Z1510" s="56">
        <f t="shared" si="1532"/>
        <v>0</v>
      </c>
      <c r="AA1510" s="56">
        <f t="shared" si="1533"/>
        <v>0</v>
      </c>
      <c r="AB1510" s="298"/>
      <c r="AC1510" s="276"/>
      <c r="AD1510" s="54"/>
      <c r="AE1510" s="55"/>
      <c r="AF1510" s="55"/>
      <c r="AG1510" s="55"/>
      <c r="AH1510" s="56">
        <f t="shared" si="1522"/>
        <v>0</v>
      </c>
      <c r="AI1510" s="54"/>
      <c r="AJ1510" s="55"/>
      <c r="AK1510" s="55"/>
      <c r="AL1510" s="55"/>
      <c r="AM1510" s="56">
        <f t="shared" si="1523"/>
        <v>0</v>
      </c>
      <c r="AN1510" s="54"/>
      <c r="AO1510" s="55"/>
      <c r="AP1510" s="55"/>
      <c r="AQ1510" s="55"/>
      <c r="AR1510" s="56">
        <f t="shared" si="1524"/>
        <v>0</v>
      </c>
      <c r="AS1510" s="54"/>
      <c r="AT1510" s="55"/>
      <c r="AU1510" s="55"/>
      <c r="AV1510" s="55"/>
      <c r="AW1510" s="56">
        <f t="shared" si="1525"/>
        <v>0</v>
      </c>
      <c r="AX1510" s="55"/>
      <c r="AY1510" s="55"/>
      <c r="AZ1510" s="55"/>
      <c r="BA1510" s="55"/>
      <c r="BB1510" s="56">
        <f t="shared" si="1526"/>
        <v>0</v>
      </c>
      <c r="BC1510" s="56">
        <f t="shared" si="1527"/>
        <v>0</v>
      </c>
      <c r="BD1510" s="300"/>
      <c r="BE1510" s="276"/>
      <c r="BF1510" s="54"/>
      <c r="BG1510" s="55"/>
      <c r="BH1510" s="55"/>
      <c r="BI1510" s="55"/>
      <c r="BJ1510" s="56">
        <f t="shared" si="1520"/>
        <v>0</v>
      </c>
    </row>
    <row r="1511" spans="1:62" x14ac:dyDescent="0.15">
      <c r="A1511" s="53"/>
      <c r="B1511" s="54"/>
      <c r="C1511" s="55"/>
      <c r="D1511" s="55"/>
      <c r="E1511" s="55"/>
      <c r="F1511" s="56">
        <f t="shared" si="1528"/>
        <v>0</v>
      </c>
      <c r="G1511" s="54"/>
      <c r="H1511" s="55"/>
      <c r="I1511" s="55"/>
      <c r="J1511" s="55"/>
      <c r="K1511" s="56">
        <f t="shared" si="1529"/>
        <v>0</v>
      </c>
      <c r="L1511" s="54"/>
      <c r="M1511" s="55"/>
      <c r="N1511" s="55"/>
      <c r="O1511" s="55"/>
      <c r="P1511" s="56">
        <f t="shared" si="1530"/>
        <v>0</v>
      </c>
      <c r="Q1511" s="54"/>
      <c r="R1511" s="55"/>
      <c r="S1511" s="55"/>
      <c r="T1511" s="55"/>
      <c r="U1511" s="56">
        <f t="shared" si="1531"/>
        <v>0</v>
      </c>
      <c r="V1511" s="55"/>
      <c r="W1511" s="55"/>
      <c r="X1511" s="55"/>
      <c r="Y1511" s="55"/>
      <c r="Z1511" s="56">
        <f t="shared" si="1532"/>
        <v>0</v>
      </c>
      <c r="AA1511" s="56">
        <f t="shared" si="1533"/>
        <v>0</v>
      </c>
      <c r="AB1511" s="298"/>
      <c r="AC1511" s="276"/>
      <c r="AD1511" s="54"/>
      <c r="AE1511" s="55"/>
      <c r="AF1511" s="55"/>
      <c r="AG1511" s="55"/>
      <c r="AH1511" s="56">
        <f t="shared" si="1514"/>
        <v>0</v>
      </c>
      <c r="AI1511" s="54"/>
      <c r="AJ1511" s="55"/>
      <c r="AK1511" s="55"/>
      <c r="AL1511" s="55"/>
      <c r="AM1511" s="56">
        <f t="shared" si="1515"/>
        <v>0</v>
      </c>
      <c r="AN1511" s="54"/>
      <c r="AO1511" s="55"/>
      <c r="AP1511" s="55"/>
      <c r="AQ1511" s="55"/>
      <c r="AR1511" s="56">
        <f t="shared" si="1516"/>
        <v>0</v>
      </c>
      <c r="AS1511" s="54"/>
      <c r="AT1511" s="55"/>
      <c r="AU1511" s="55"/>
      <c r="AV1511" s="55"/>
      <c r="AW1511" s="56">
        <f t="shared" si="1517"/>
        <v>0</v>
      </c>
      <c r="AX1511" s="55"/>
      <c r="AY1511" s="55"/>
      <c r="AZ1511" s="55"/>
      <c r="BA1511" s="55"/>
      <c r="BB1511" s="56">
        <f t="shared" si="1518"/>
        <v>0</v>
      </c>
      <c r="BC1511" s="56">
        <f t="shared" ref="BC1511:BC1517" si="1534">AH1511+AM1511+AR1511+AW1511+BB1511</f>
        <v>0</v>
      </c>
      <c r="BD1511" s="300"/>
      <c r="BE1511" s="276"/>
      <c r="BF1511" s="63"/>
      <c r="BG1511" s="63"/>
      <c r="BH1511" s="63"/>
      <c r="BI1511" s="167"/>
      <c r="BJ1511" s="64">
        <f t="shared" si="1520"/>
        <v>0</v>
      </c>
    </row>
    <row r="1512" spans="1:62" x14ac:dyDescent="0.15">
      <c r="A1512" s="53"/>
      <c r="B1512" s="54"/>
      <c r="C1512" s="55"/>
      <c r="D1512" s="55"/>
      <c r="E1512" s="55"/>
      <c r="F1512" s="56">
        <f t="shared" si="1528"/>
        <v>0</v>
      </c>
      <c r="G1512" s="54"/>
      <c r="H1512" s="55"/>
      <c r="I1512" s="55"/>
      <c r="J1512" s="55"/>
      <c r="K1512" s="56">
        <f t="shared" si="1529"/>
        <v>0</v>
      </c>
      <c r="L1512" s="54"/>
      <c r="M1512" s="55"/>
      <c r="N1512" s="55"/>
      <c r="O1512" s="55"/>
      <c r="P1512" s="56">
        <f t="shared" si="1530"/>
        <v>0</v>
      </c>
      <c r="Q1512" s="54"/>
      <c r="R1512" s="55"/>
      <c r="S1512" s="55"/>
      <c r="T1512" s="55"/>
      <c r="U1512" s="56">
        <f t="shared" si="1531"/>
        <v>0</v>
      </c>
      <c r="V1512" s="55"/>
      <c r="W1512" s="55"/>
      <c r="X1512" s="55"/>
      <c r="Y1512" s="55"/>
      <c r="Z1512" s="56">
        <f t="shared" si="1532"/>
        <v>0</v>
      </c>
      <c r="AA1512" s="56">
        <f t="shared" si="1533"/>
        <v>0</v>
      </c>
      <c r="AB1512" s="299"/>
      <c r="AC1512" s="276"/>
      <c r="AD1512" s="54"/>
      <c r="AE1512" s="55"/>
      <c r="AF1512" s="55"/>
      <c r="AG1512" s="55"/>
      <c r="AH1512" s="56">
        <f t="shared" si="1514"/>
        <v>0</v>
      </c>
      <c r="AI1512" s="54"/>
      <c r="AJ1512" s="55"/>
      <c r="AK1512" s="55"/>
      <c r="AL1512" s="55"/>
      <c r="AM1512" s="56">
        <f t="shared" si="1515"/>
        <v>0</v>
      </c>
      <c r="AN1512" s="54"/>
      <c r="AO1512" s="55"/>
      <c r="AP1512" s="55"/>
      <c r="AQ1512" s="55"/>
      <c r="AR1512" s="56">
        <f t="shared" si="1516"/>
        <v>0</v>
      </c>
      <c r="AS1512" s="54"/>
      <c r="AT1512" s="55"/>
      <c r="AU1512" s="55"/>
      <c r="AV1512" s="55"/>
      <c r="AW1512" s="56">
        <f t="shared" si="1517"/>
        <v>0</v>
      </c>
      <c r="AX1512" s="55"/>
      <c r="AY1512" s="55"/>
      <c r="AZ1512" s="55"/>
      <c r="BA1512" s="55"/>
      <c r="BB1512" s="56">
        <f t="shared" si="1518"/>
        <v>0</v>
      </c>
      <c r="BC1512" s="56">
        <f t="shared" si="1534"/>
        <v>0</v>
      </c>
      <c r="BD1512" s="300"/>
      <c r="BE1512" s="277"/>
      <c r="BF1512" s="54"/>
      <c r="BG1512" s="55"/>
      <c r="BH1512" s="55"/>
      <c r="BI1512" s="55"/>
      <c r="BJ1512" s="56">
        <f t="shared" si="1520"/>
        <v>0</v>
      </c>
    </row>
    <row r="1513" spans="1:62" x14ac:dyDescent="0.15">
      <c r="A1513" s="53"/>
      <c r="B1513" s="54"/>
      <c r="C1513" s="55"/>
      <c r="D1513" s="55"/>
      <c r="E1513" s="55"/>
      <c r="F1513" s="56">
        <f t="shared" si="1528"/>
        <v>0</v>
      </c>
      <c r="G1513" s="54"/>
      <c r="H1513" s="55"/>
      <c r="I1513" s="55"/>
      <c r="J1513" s="55"/>
      <c r="K1513" s="56">
        <f t="shared" si="1529"/>
        <v>0</v>
      </c>
      <c r="L1513" s="54"/>
      <c r="M1513" s="55"/>
      <c r="N1513" s="55"/>
      <c r="O1513" s="55"/>
      <c r="P1513" s="56">
        <f t="shared" si="1530"/>
        <v>0</v>
      </c>
      <c r="Q1513" s="54"/>
      <c r="R1513" s="55"/>
      <c r="S1513" s="55"/>
      <c r="T1513" s="55"/>
      <c r="U1513" s="56">
        <f t="shared" si="1531"/>
        <v>0</v>
      </c>
      <c r="V1513" s="55"/>
      <c r="W1513" s="55"/>
      <c r="X1513" s="55"/>
      <c r="Y1513" s="55"/>
      <c r="Z1513" s="56">
        <f t="shared" si="1532"/>
        <v>0</v>
      </c>
      <c r="AA1513" s="56">
        <f t="shared" si="1533"/>
        <v>0</v>
      </c>
      <c r="AB1513" s="299"/>
      <c r="AC1513" s="276"/>
      <c r="AD1513" s="54"/>
      <c r="AE1513" s="55"/>
      <c r="AF1513" s="55"/>
      <c r="AG1513" s="55"/>
      <c r="AH1513" s="56">
        <f t="shared" si="1514"/>
        <v>0</v>
      </c>
      <c r="AI1513" s="54"/>
      <c r="AJ1513" s="55"/>
      <c r="AK1513" s="55"/>
      <c r="AL1513" s="55"/>
      <c r="AM1513" s="56">
        <f t="shared" si="1515"/>
        <v>0</v>
      </c>
      <c r="AN1513" s="54"/>
      <c r="AO1513" s="55"/>
      <c r="AP1513" s="55"/>
      <c r="AQ1513" s="55"/>
      <c r="AR1513" s="56">
        <f t="shared" si="1516"/>
        <v>0</v>
      </c>
      <c r="AS1513" s="54"/>
      <c r="AT1513" s="55"/>
      <c r="AU1513" s="55"/>
      <c r="AV1513" s="55"/>
      <c r="AW1513" s="56">
        <f t="shared" si="1517"/>
        <v>0</v>
      </c>
      <c r="AX1513" s="55"/>
      <c r="AY1513" s="55"/>
      <c r="AZ1513" s="55"/>
      <c r="BA1513" s="55"/>
      <c r="BB1513" s="56">
        <f t="shared" si="1518"/>
        <v>0</v>
      </c>
      <c r="BC1513" s="56">
        <f t="shared" si="1534"/>
        <v>0</v>
      </c>
      <c r="BE1513" s="276"/>
      <c r="BF1513" s="54"/>
      <c r="BG1513" s="55"/>
      <c r="BH1513" s="55"/>
      <c r="BI1513" s="55"/>
      <c r="BJ1513" s="56">
        <f t="shared" si="1520"/>
        <v>0</v>
      </c>
    </row>
    <row r="1514" spans="1:62" x14ac:dyDescent="0.15">
      <c r="A1514" s="53"/>
      <c r="B1514" s="54"/>
      <c r="C1514" s="55"/>
      <c r="D1514" s="55"/>
      <c r="E1514" s="55"/>
      <c r="F1514" s="56">
        <f t="shared" ref="F1514:F1521" si="1535">SUM(B1514:E1514)</f>
        <v>0</v>
      </c>
      <c r="G1514" s="54"/>
      <c r="H1514" s="55"/>
      <c r="I1514" s="55"/>
      <c r="J1514" s="55"/>
      <c r="K1514" s="56">
        <f t="shared" ref="K1514:K1521" si="1536">SUM(G1514:J1514)</f>
        <v>0</v>
      </c>
      <c r="L1514" s="54"/>
      <c r="M1514" s="55"/>
      <c r="N1514" s="55"/>
      <c r="O1514" s="55"/>
      <c r="P1514" s="56">
        <f t="shared" ref="P1514:P1521" si="1537">SUM(L1514:O1514)</f>
        <v>0</v>
      </c>
      <c r="Q1514" s="54"/>
      <c r="R1514" s="55"/>
      <c r="S1514" s="55"/>
      <c r="T1514" s="55"/>
      <c r="U1514" s="56">
        <f t="shared" ref="U1514:U1521" si="1538">SUM(Q1514:T1514)</f>
        <v>0</v>
      </c>
      <c r="V1514" s="55"/>
      <c r="W1514" s="55"/>
      <c r="X1514" s="55"/>
      <c r="Y1514" s="55"/>
      <c r="Z1514" s="56">
        <f t="shared" ref="Z1514:Z1520" si="1539">SUM(V1514:Y1514)</f>
        <v>0</v>
      </c>
      <c r="AA1514" s="56">
        <f t="shared" ref="AA1514:AA1518" si="1540">F1514+K1514+P1514+U1514+Z1514</f>
        <v>0</v>
      </c>
      <c r="AB1514" s="298"/>
      <c r="AC1514" s="276"/>
      <c r="AD1514" s="54"/>
      <c r="AE1514" s="55"/>
      <c r="AF1514" s="55"/>
      <c r="AG1514" s="55"/>
      <c r="AH1514" s="56">
        <f t="shared" si="1514"/>
        <v>0</v>
      </c>
      <c r="AI1514" s="54"/>
      <c r="AJ1514" s="55"/>
      <c r="AK1514" s="55"/>
      <c r="AL1514" s="55"/>
      <c r="AM1514" s="56">
        <f t="shared" si="1515"/>
        <v>0</v>
      </c>
      <c r="AN1514" s="54"/>
      <c r="AO1514" s="55"/>
      <c r="AP1514" s="55"/>
      <c r="AQ1514" s="55"/>
      <c r="AR1514" s="56">
        <f t="shared" si="1516"/>
        <v>0</v>
      </c>
      <c r="AS1514" s="54"/>
      <c r="AT1514" s="55"/>
      <c r="AU1514" s="55"/>
      <c r="AV1514" s="55"/>
      <c r="AW1514" s="56">
        <f t="shared" si="1517"/>
        <v>0</v>
      </c>
      <c r="AX1514" s="55"/>
      <c r="AY1514" s="55"/>
      <c r="AZ1514" s="55"/>
      <c r="BA1514" s="55"/>
      <c r="BB1514" s="56">
        <f t="shared" si="1518"/>
        <v>0</v>
      </c>
      <c r="BC1514" s="56">
        <f t="shared" si="1534"/>
        <v>0</v>
      </c>
      <c r="BE1514" s="277"/>
      <c r="BF1514" s="54"/>
      <c r="BG1514" s="55"/>
      <c r="BH1514" s="55"/>
      <c r="BI1514" s="55"/>
      <c r="BJ1514" s="56">
        <f t="shared" si="1520"/>
        <v>0</v>
      </c>
    </row>
    <row r="1515" spans="1:62" x14ac:dyDescent="0.15">
      <c r="A1515" s="53"/>
      <c r="B1515" s="54"/>
      <c r="C1515" s="55"/>
      <c r="D1515" s="55"/>
      <c r="E1515" s="55"/>
      <c r="F1515" s="56">
        <f t="shared" si="1535"/>
        <v>0</v>
      </c>
      <c r="G1515" s="54"/>
      <c r="H1515" s="55"/>
      <c r="I1515" s="55"/>
      <c r="J1515" s="55"/>
      <c r="K1515" s="56">
        <f t="shared" si="1536"/>
        <v>0</v>
      </c>
      <c r="L1515" s="54"/>
      <c r="M1515" s="55"/>
      <c r="N1515" s="55"/>
      <c r="O1515" s="55"/>
      <c r="P1515" s="56">
        <f t="shared" si="1537"/>
        <v>0</v>
      </c>
      <c r="Q1515" s="54"/>
      <c r="R1515" s="55"/>
      <c r="S1515" s="55"/>
      <c r="T1515" s="55"/>
      <c r="U1515" s="56">
        <f t="shared" si="1538"/>
        <v>0</v>
      </c>
      <c r="V1515" s="55"/>
      <c r="W1515" s="55"/>
      <c r="X1515" s="55"/>
      <c r="Y1515" s="55"/>
      <c r="Z1515" s="56">
        <f t="shared" si="1539"/>
        <v>0</v>
      </c>
      <c r="AA1515" s="56">
        <f t="shared" si="1540"/>
        <v>0</v>
      </c>
      <c r="AB1515" s="299"/>
      <c r="AC1515" s="276"/>
      <c r="AD1515" s="54"/>
      <c r="AE1515" s="55"/>
      <c r="AF1515" s="55"/>
      <c r="AG1515" s="55"/>
      <c r="AH1515" s="56">
        <f t="shared" si="1514"/>
        <v>0</v>
      </c>
      <c r="AI1515" s="54"/>
      <c r="AJ1515" s="55"/>
      <c r="AK1515" s="55"/>
      <c r="AL1515" s="55"/>
      <c r="AM1515" s="56">
        <f t="shared" si="1515"/>
        <v>0</v>
      </c>
      <c r="AN1515" s="54"/>
      <c r="AO1515" s="55"/>
      <c r="AP1515" s="55"/>
      <c r="AQ1515" s="55"/>
      <c r="AR1515" s="56">
        <f t="shared" si="1516"/>
        <v>0</v>
      </c>
      <c r="AS1515" s="54"/>
      <c r="AT1515" s="55"/>
      <c r="AU1515" s="55"/>
      <c r="AV1515" s="55"/>
      <c r="AW1515" s="56">
        <f t="shared" si="1517"/>
        <v>0</v>
      </c>
      <c r="AX1515" s="55"/>
      <c r="AY1515" s="55"/>
      <c r="AZ1515" s="55"/>
      <c r="BA1515" s="55"/>
      <c r="BB1515" s="56">
        <f t="shared" si="1518"/>
        <v>0</v>
      </c>
      <c r="BC1515" s="56">
        <f t="shared" si="1534"/>
        <v>0</v>
      </c>
      <c r="BE1515" s="268"/>
      <c r="BF1515" s="62"/>
      <c r="BG1515" s="63"/>
      <c r="BH1515" s="63"/>
      <c r="BI1515" s="63"/>
      <c r="BJ1515" s="56">
        <f t="shared" si="1520"/>
        <v>0</v>
      </c>
    </row>
    <row r="1516" spans="1:62" x14ac:dyDescent="0.15">
      <c r="A1516" s="53"/>
      <c r="B1516" s="54"/>
      <c r="C1516" s="55"/>
      <c r="D1516" s="55"/>
      <c r="E1516" s="55"/>
      <c r="F1516" s="56">
        <f t="shared" si="1535"/>
        <v>0</v>
      </c>
      <c r="G1516" s="54"/>
      <c r="H1516" s="55"/>
      <c r="I1516" s="55"/>
      <c r="J1516" s="55"/>
      <c r="K1516" s="56">
        <f t="shared" si="1536"/>
        <v>0</v>
      </c>
      <c r="L1516" s="54"/>
      <c r="M1516" s="55"/>
      <c r="N1516" s="55"/>
      <c r="O1516" s="55"/>
      <c r="P1516" s="56">
        <f t="shared" si="1537"/>
        <v>0</v>
      </c>
      <c r="Q1516" s="54"/>
      <c r="R1516" s="55"/>
      <c r="S1516" s="55"/>
      <c r="T1516" s="55"/>
      <c r="U1516" s="56">
        <f t="shared" si="1538"/>
        <v>0</v>
      </c>
      <c r="V1516" s="55"/>
      <c r="W1516" s="55"/>
      <c r="X1516" s="55"/>
      <c r="Y1516" s="55"/>
      <c r="Z1516" s="56">
        <f t="shared" si="1539"/>
        <v>0</v>
      </c>
      <c r="AA1516" s="56">
        <f t="shared" si="1540"/>
        <v>0</v>
      </c>
      <c r="AB1516" s="299"/>
      <c r="AC1516" s="276"/>
      <c r="AD1516" s="54"/>
      <c r="AE1516" s="55"/>
      <c r="AF1516" s="55"/>
      <c r="AG1516" s="55"/>
      <c r="AH1516" s="56">
        <f t="shared" si="1514"/>
        <v>0</v>
      </c>
      <c r="AI1516" s="54"/>
      <c r="AJ1516" s="55"/>
      <c r="AK1516" s="55"/>
      <c r="AL1516" s="55"/>
      <c r="AM1516" s="56">
        <f t="shared" si="1515"/>
        <v>0</v>
      </c>
      <c r="AN1516" s="54"/>
      <c r="AO1516" s="55"/>
      <c r="AP1516" s="55"/>
      <c r="AQ1516" s="55"/>
      <c r="AR1516" s="56">
        <f t="shared" si="1516"/>
        <v>0</v>
      </c>
      <c r="AS1516" s="54"/>
      <c r="AT1516" s="55"/>
      <c r="AU1516" s="55"/>
      <c r="AV1516" s="55"/>
      <c r="AW1516" s="56">
        <f t="shared" si="1517"/>
        <v>0</v>
      </c>
      <c r="AX1516" s="55"/>
      <c r="AY1516" s="55"/>
      <c r="AZ1516" s="55"/>
      <c r="BA1516" s="55"/>
      <c r="BB1516" s="56">
        <f t="shared" si="1518"/>
        <v>0</v>
      </c>
      <c r="BC1516" s="56">
        <f t="shared" si="1534"/>
        <v>0</v>
      </c>
      <c r="BE1516" s="268"/>
      <c r="BF1516" s="54"/>
      <c r="BG1516" s="55"/>
      <c r="BH1516" s="55"/>
      <c r="BI1516" s="55"/>
      <c r="BJ1516" s="56">
        <f t="shared" si="1520"/>
        <v>0</v>
      </c>
    </row>
    <row r="1517" spans="1:62" x14ac:dyDescent="0.15">
      <c r="A1517" s="53"/>
      <c r="B1517" s="54"/>
      <c r="C1517" s="55"/>
      <c r="D1517" s="55"/>
      <c r="E1517" s="55"/>
      <c r="F1517" s="56">
        <f t="shared" si="1535"/>
        <v>0</v>
      </c>
      <c r="G1517" s="54"/>
      <c r="H1517" s="55"/>
      <c r="I1517" s="55"/>
      <c r="J1517" s="55"/>
      <c r="K1517" s="56">
        <f t="shared" si="1536"/>
        <v>0</v>
      </c>
      <c r="L1517" s="54"/>
      <c r="M1517" s="55"/>
      <c r="N1517" s="55"/>
      <c r="O1517" s="55"/>
      <c r="P1517" s="56">
        <f t="shared" si="1537"/>
        <v>0</v>
      </c>
      <c r="Q1517" s="54"/>
      <c r="R1517" s="55"/>
      <c r="S1517" s="55"/>
      <c r="T1517" s="55"/>
      <c r="U1517" s="56">
        <f t="shared" si="1538"/>
        <v>0</v>
      </c>
      <c r="V1517" s="55"/>
      <c r="W1517" s="55"/>
      <c r="X1517" s="55"/>
      <c r="Y1517" s="55"/>
      <c r="Z1517" s="56">
        <f t="shared" si="1539"/>
        <v>0</v>
      </c>
      <c r="AA1517" s="56">
        <f t="shared" si="1540"/>
        <v>0</v>
      </c>
      <c r="AB1517" s="299"/>
      <c r="AC1517" s="276"/>
      <c r="AD1517" s="54"/>
      <c r="AE1517" s="55"/>
      <c r="AF1517" s="55"/>
      <c r="AG1517" s="55"/>
      <c r="AH1517" s="56">
        <f t="shared" si="1514"/>
        <v>0</v>
      </c>
      <c r="AI1517" s="54"/>
      <c r="AJ1517" s="55"/>
      <c r="AK1517" s="55"/>
      <c r="AL1517" s="55"/>
      <c r="AM1517" s="56">
        <f t="shared" si="1515"/>
        <v>0</v>
      </c>
      <c r="AN1517" s="54"/>
      <c r="AO1517" s="55"/>
      <c r="AP1517" s="55"/>
      <c r="AQ1517" s="55"/>
      <c r="AR1517" s="56">
        <f t="shared" si="1516"/>
        <v>0</v>
      </c>
      <c r="AS1517" s="54"/>
      <c r="AT1517" s="55"/>
      <c r="AU1517" s="55"/>
      <c r="AV1517" s="55"/>
      <c r="AW1517" s="56">
        <f t="shared" si="1517"/>
        <v>0</v>
      </c>
      <c r="AX1517" s="55"/>
      <c r="AY1517" s="55"/>
      <c r="AZ1517" s="55"/>
      <c r="BA1517" s="55"/>
      <c r="BB1517" s="56">
        <f t="shared" si="1518"/>
        <v>0</v>
      </c>
      <c r="BC1517" s="56">
        <f t="shared" si="1534"/>
        <v>0</v>
      </c>
      <c r="BE1517" s="268"/>
      <c r="BF1517" s="62"/>
      <c r="BG1517" s="63"/>
      <c r="BH1517" s="63"/>
      <c r="BI1517" s="63"/>
      <c r="BJ1517" s="56">
        <f t="shared" si="1520"/>
        <v>0</v>
      </c>
    </row>
    <row r="1518" spans="1:62" x14ac:dyDescent="0.15">
      <c r="A1518" s="53"/>
      <c r="B1518" s="54"/>
      <c r="C1518" s="55"/>
      <c r="D1518" s="55"/>
      <c r="E1518" s="55"/>
      <c r="F1518" s="56">
        <f t="shared" si="1535"/>
        <v>0</v>
      </c>
      <c r="G1518" s="54"/>
      <c r="H1518" s="55"/>
      <c r="I1518" s="55"/>
      <c r="J1518" s="55"/>
      <c r="K1518" s="56">
        <f t="shared" si="1536"/>
        <v>0</v>
      </c>
      <c r="L1518" s="54"/>
      <c r="M1518" s="55"/>
      <c r="N1518" s="55"/>
      <c r="O1518" s="55"/>
      <c r="P1518" s="56">
        <f t="shared" si="1537"/>
        <v>0</v>
      </c>
      <c r="Q1518" s="54"/>
      <c r="R1518" s="55"/>
      <c r="S1518" s="55"/>
      <c r="T1518" s="55"/>
      <c r="U1518" s="56">
        <f t="shared" si="1538"/>
        <v>0</v>
      </c>
      <c r="V1518" s="55"/>
      <c r="W1518" s="55"/>
      <c r="X1518" s="55"/>
      <c r="Y1518" s="55"/>
      <c r="Z1518" s="56">
        <f t="shared" si="1539"/>
        <v>0</v>
      </c>
      <c r="AA1518" s="56">
        <f t="shared" si="1540"/>
        <v>0</v>
      </c>
      <c r="AB1518" s="299"/>
      <c r="AC1518" s="276"/>
      <c r="AD1518" s="54"/>
      <c r="AE1518" s="55"/>
      <c r="AF1518" s="55"/>
      <c r="AG1518" s="55"/>
      <c r="AH1518" s="56">
        <f t="shared" ref="AH1518:AH1519" si="1541">SUM(AD1518:AG1518)</f>
        <v>0</v>
      </c>
      <c r="AI1518" s="54"/>
      <c r="AJ1518" s="55"/>
      <c r="AK1518" s="55"/>
      <c r="AL1518" s="55"/>
      <c r="AM1518" s="56">
        <f t="shared" ref="AM1518:AM1519" si="1542">SUM(AI1518:AL1518)</f>
        <v>0</v>
      </c>
      <c r="AN1518" s="54"/>
      <c r="AO1518" s="55"/>
      <c r="AP1518" s="55"/>
      <c r="AQ1518" s="55"/>
      <c r="AR1518" s="56">
        <f t="shared" ref="AR1518:AR1519" si="1543">SUM(AN1518:AQ1518)</f>
        <v>0</v>
      </c>
      <c r="AS1518" s="54"/>
      <c r="AT1518" s="55"/>
      <c r="AU1518" s="55"/>
      <c r="AV1518" s="55"/>
      <c r="AW1518" s="56">
        <f t="shared" ref="AW1518:AW1519" si="1544">SUM(AS1518:AV1518)</f>
        <v>0</v>
      </c>
      <c r="AX1518" s="55"/>
      <c r="AY1518" s="55"/>
      <c r="AZ1518" s="55"/>
      <c r="BA1518" s="55"/>
      <c r="BB1518" s="56">
        <f t="shared" ref="BB1518:BB1519" si="1545">SUM(AX1518:BA1518)</f>
        <v>0</v>
      </c>
      <c r="BC1518" s="56">
        <f t="shared" ref="BC1518:BC1519" si="1546">AH1518+AM1518+AR1518+AW1518+BB1518</f>
        <v>0</v>
      </c>
      <c r="BE1518" s="277"/>
      <c r="BF1518" s="54"/>
      <c r="BG1518" s="55"/>
      <c r="BH1518" s="55"/>
      <c r="BI1518" s="55"/>
      <c r="BJ1518" s="56">
        <f t="shared" si="1520"/>
        <v>0</v>
      </c>
    </row>
    <row r="1519" spans="1:62" ht="14.25" thickBot="1" x14ac:dyDescent="0.2">
      <c r="A1519" s="53"/>
      <c r="B1519" s="33"/>
      <c r="C1519" s="34"/>
      <c r="D1519" s="34"/>
      <c r="E1519" s="34"/>
      <c r="F1519" s="30">
        <f t="shared" si="1535"/>
        <v>0</v>
      </c>
      <c r="G1519" s="33"/>
      <c r="H1519" s="34"/>
      <c r="I1519" s="34"/>
      <c r="J1519" s="34"/>
      <c r="K1519" s="30">
        <f t="shared" si="1536"/>
        <v>0</v>
      </c>
      <c r="L1519" s="33"/>
      <c r="M1519" s="34"/>
      <c r="N1519" s="34"/>
      <c r="O1519" s="34"/>
      <c r="P1519" s="30">
        <f t="shared" si="1537"/>
        <v>0</v>
      </c>
      <c r="Q1519" s="33"/>
      <c r="R1519" s="34"/>
      <c r="S1519" s="34"/>
      <c r="T1519" s="34"/>
      <c r="U1519" s="30">
        <f t="shared" si="1538"/>
        <v>0</v>
      </c>
      <c r="V1519" s="34"/>
      <c r="W1519" s="34"/>
      <c r="X1519" s="34"/>
      <c r="Y1519" s="34"/>
      <c r="Z1519" s="30">
        <f t="shared" si="1539"/>
        <v>0</v>
      </c>
      <c r="AA1519" s="56">
        <f>F1519+K1519+P1519+U1519+Z1519</f>
        <v>0</v>
      </c>
      <c r="AB1519" s="299"/>
      <c r="AC1519" s="276"/>
      <c r="AD1519" s="54"/>
      <c r="AE1519" s="55"/>
      <c r="AF1519" s="55"/>
      <c r="AG1519" s="55"/>
      <c r="AH1519" s="56">
        <f t="shared" si="1541"/>
        <v>0</v>
      </c>
      <c r="AI1519" s="54"/>
      <c r="AJ1519" s="55"/>
      <c r="AK1519" s="55"/>
      <c r="AL1519" s="55"/>
      <c r="AM1519" s="56">
        <f t="shared" si="1542"/>
        <v>0</v>
      </c>
      <c r="AN1519" s="54"/>
      <c r="AO1519" s="55"/>
      <c r="AP1519" s="55"/>
      <c r="AQ1519" s="55"/>
      <c r="AR1519" s="56">
        <f t="shared" si="1543"/>
        <v>0</v>
      </c>
      <c r="AS1519" s="54"/>
      <c r="AT1519" s="55"/>
      <c r="AU1519" s="55"/>
      <c r="AV1519" s="55"/>
      <c r="AW1519" s="56">
        <f t="shared" si="1544"/>
        <v>0</v>
      </c>
      <c r="AX1519" s="55"/>
      <c r="AY1519" s="55"/>
      <c r="AZ1519" s="55"/>
      <c r="BA1519" s="55"/>
      <c r="BB1519" s="56">
        <f t="shared" si="1545"/>
        <v>0</v>
      </c>
      <c r="BC1519" s="56">
        <f t="shared" si="1546"/>
        <v>0</v>
      </c>
      <c r="BE1519" s="282"/>
      <c r="BF1519" s="33"/>
      <c r="BG1519" s="34"/>
      <c r="BH1519" s="34"/>
      <c r="BI1519" s="34"/>
      <c r="BJ1519" s="30">
        <f t="shared" si="1520"/>
        <v>0</v>
      </c>
    </row>
    <row r="1520" spans="1:62" ht="15" thickBot="1" x14ac:dyDescent="0.2">
      <c r="A1520" s="9" t="s">
        <v>15</v>
      </c>
      <c r="B1520" s="36">
        <f>SUM(B1494:B1519)</f>
        <v>0</v>
      </c>
      <c r="C1520" s="37">
        <f>SUM(C1494:C1519)</f>
        <v>0</v>
      </c>
      <c r="D1520" s="37">
        <f>SUM(D1494:D1519)</f>
        <v>0</v>
      </c>
      <c r="E1520" s="38">
        <f>SUM(E1494:E1519)</f>
        <v>1</v>
      </c>
      <c r="F1520" s="25">
        <f t="shared" si="1535"/>
        <v>1</v>
      </c>
      <c r="G1520" s="36">
        <f>SUM(G1494:G1519)</f>
        <v>1</v>
      </c>
      <c r="H1520" s="37">
        <f>SUM(H1494:H1519)</f>
        <v>0</v>
      </c>
      <c r="I1520" s="37">
        <f>SUM(I1494:I1519)</f>
        <v>1</v>
      </c>
      <c r="J1520" s="38">
        <f>SUM(J1494:J1519)</f>
        <v>1</v>
      </c>
      <c r="K1520" s="25">
        <f t="shared" si="1536"/>
        <v>3</v>
      </c>
      <c r="L1520" s="36">
        <f>SUM(L1494:L1519)</f>
        <v>0</v>
      </c>
      <c r="M1520" s="37">
        <f>SUM(M1494:M1519)</f>
        <v>0</v>
      </c>
      <c r="N1520" s="37">
        <f>SUM(N1494:N1519)</f>
        <v>1</v>
      </c>
      <c r="O1520" s="38">
        <f>SUM(O1494:O1519)</f>
        <v>0</v>
      </c>
      <c r="P1520" s="25">
        <f t="shared" si="1537"/>
        <v>1</v>
      </c>
      <c r="Q1520" s="36">
        <f>SUM(Q1494:Q1519)</f>
        <v>0</v>
      </c>
      <c r="R1520" s="37">
        <f>SUM(R1494:R1519)</f>
        <v>1</v>
      </c>
      <c r="S1520" s="37">
        <f>SUM(S1494:S1519)</f>
        <v>0</v>
      </c>
      <c r="T1520" s="38">
        <f>SUM(T1494:T1519)</f>
        <v>0</v>
      </c>
      <c r="U1520" s="25">
        <f t="shared" si="1538"/>
        <v>1</v>
      </c>
      <c r="V1520" s="322">
        <f>SUM(V1494:V1519)</f>
        <v>1</v>
      </c>
      <c r="W1520" s="37">
        <f>SUM(W1494:W1519)</f>
        <v>0</v>
      </c>
      <c r="X1520" s="37">
        <f>SUM(X1494:X1519)</f>
        <v>1</v>
      </c>
      <c r="Y1520" s="38">
        <f>SUM(Y1494:Y1519)</f>
        <v>0</v>
      </c>
      <c r="Z1520" s="25">
        <f t="shared" si="1539"/>
        <v>2</v>
      </c>
      <c r="AA1520" s="161">
        <f>F1520+K1520+P1520+U1520+Z1520</f>
        <v>8</v>
      </c>
      <c r="AC1520" s="278" t="s">
        <v>15</v>
      </c>
      <c r="AD1520" s="36">
        <f>SUM(AD1494:AD1519)</f>
        <v>3</v>
      </c>
      <c r="AE1520" s="37">
        <f>SUM(AE1494:AE1519)</f>
        <v>0</v>
      </c>
      <c r="AF1520" s="37">
        <f>SUM(AF1494:AF1519)</f>
        <v>0</v>
      </c>
      <c r="AG1520" s="38">
        <f>SUM(AG1494:AG1519)</f>
        <v>3</v>
      </c>
      <c r="AH1520" s="25">
        <f t="shared" si="1514"/>
        <v>6</v>
      </c>
      <c r="AI1520" s="36">
        <f>SUM(AI1494:AI1519)</f>
        <v>0</v>
      </c>
      <c r="AJ1520" s="37">
        <f>SUM(AJ1494:AJ1519)</f>
        <v>0</v>
      </c>
      <c r="AK1520" s="37">
        <f>SUM(AK1494:AK1519)</f>
        <v>0</v>
      </c>
      <c r="AL1520" s="38">
        <f>SUM(AL1494:AL1519)</f>
        <v>0</v>
      </c>
      <c r="AM1520" s="25">
        <f t="shared" si="1515"/>
        <v>0</v>
      </c>
      <c r="AN1520" s="36">
        <f>SUM(AN1494:AN1519)</f>
        <v>0</v>
      </c>
      <c r="AO1520" s="37">
        <f>SUM(AO1494:AO1519)</f>
        <v>0</v>
      </c>
      <c r="AP1520" s="37">
        <f>SUM(AP1494:AP1519)</f>
        <v>0</v>
      </c>
      <c r="AQ1520" s="38">
        <f>SUM(AQ1494:AQ1519)</f>
        <v>0</v>
      </c>
      <c r="AR1520" s="25">
        <f t="shared" si="1516"/>
        <v>0</v>
      </c>
      <c r="AS1520" s="36">
        <f>SUM(AS1494:AS1519)</f>
        <v>3</v>
      </c>
      <c r="AT1520" s="37">
        <f>SUM(AT1494:AT1519)</f>
        <v>3</v>
      </c>
      <c r="AU1520" s="37">
        <f>SUM(AU1494:AU1519)</f>
        <v>0</v>
      </c>
      <c r="AV1520" s="38">
        <f>SUM(AV1494:AV1519)</f>
        <v>0</v>
      </c>
      <c r="AW1520" s="25">
        <f t="shared" si="1517"/>
        <v>6</v>
      </c>
      <c r="AX1520" s="322">
        <f>SUM(AX1494:AX1519)</f>
        <v>0</v>
      </c>
      <c r="AY1520" s="37">
        <f>SUM(AY1494:AY1519)</f>
        <v>0</v>
      </c>
      <c r="AZ1520" s="37">
        <f>SUM(AZ1494:AZ1519)</f>
        <v>0</v>
      </c>
      <c r="BA1520" s="38">
        <f>SUM(BA1494:BA1519)</f>
        <v>0</v>
      </c>
      <c r="BB1520" s="25">
        <f t="shared" si="1518"/>
        <v>0</v>
      </c>
      <c r="BC1520" s="161">
        <f>AH1520+AM1520+AR1520+AW1520+BB1520</f>
        <v>12</v>
      </c>
      <c r="BE1520" s="278" t="s">
        <v>15</v>
      </c>
      <c r="BF1520" s="312">
        <f>SUM(BF1494:BF1519)</f>
        <v>0</v>
      </c>
      <c r="BG1520" s="302">
        <f>SUM(BG1494:BG1519)</f>
        <v>0</v>
      </c>
      <c r="BH1520" s="37">
        <f>SUM(BH1494:BH1519)</f>
        <v>0</v>
      </c>
      <c r="BI1520" s="316">
        <f>SUM(BI1494:BI1519)</f>
        <v>0</v>
      </c>
      <c r="BJ1520" s="25">
        <f t="shared" si="1520"/>
        <v>0</v>
      </c>
    </row>
    <row r="1521" spans="1:62" ht="14.25" thickBot="1" x14ac:dyDescent="0.2">
      <c r="A1521" s="39" t="s">
        <v>16</v>
      </c>
      <c r="B1521" s="40">
        <f>B1493-B1520</f>
        <v>4</v>
      </c>
      <c r="C1521" s="41">
        <f>C1493-C1520</f>
        <v>2</v>
      </c>
      <c r="D1521" s="41">
        <f>D1493-D1520</f>
        <v>7</v>
      </c>
      <c r="E1521" s="42">
        <f>E1493-E1520</f>
        <v>3</v>
      </c>
      <c r="F1521" s="171">
        <f t="shared" si="1535"/>
        <v>16</v>
      </c>
      <c r="G1521" s="40">
        <f>G1493-G1520</f>
        <v>2</v>
      </c>
      <c r="H1521" s="41">
        <f>H1493-H1520</f>
        <v>3</v>
      </c>
      <c r="I1521" s="41">
        <f>I1493-I1520</f>
        <v>2</v>
      </c>
      <c r="J1521" s="42">
        <f>J1493-J1520</f>
        <v>2</v>
      </c>
      <c r="K1521" s="171">
        <f t="shared" si="1536"/>
        <v>9</v>
      </c>
      <c r="L1521" s="40">
        <f>L1493-L1520</f>
        <v>2</v>
      </c>
      <c r="M1521" s="41">
        <f>M1493-M1520</f>
        <v>3</v>
      </c>
      <c r="N1521" s="41">
        <f>N1493-N1520</f>
        <v>1</v>
      </c>
      <c r="O1521" s="42">
        <f>O1493-O1520</f>
        <v>3</v>
      </c>
      <c r="P1521" s="171">
        <f t="shared" si="1537"/>
        <v>9</v>
      </c>
      <c r="Q1521" s="40">
        <f>Q1493-Q1520</f>
        <v>4</v>
      </c>
      <c r="R1521" s="41">
        <f>R1493-R1520</f>
        <v>4</v>
      </c>
      <c r="S1521" s="41">
        <f>S1493-S1520</f>
        <v>2</v>
      </c>
      <c r="T1521" s="42">
        <f>T1493-T1520</f>
        <v>3</v>
      </c>
      <c r="U1521" s="171">
        <f t="shared" si="1538"/>
        <v>13</v>
      </c>
      <c r="V1521" s="323">
        <f>V1493-V1520</f>
        <v>6</v>
      </c>
      <c r="W1521" s="41">
        <f>W1493-W1520</f>
        <v>4</v>
      </c>
      <c r="X1521" s="41">
        <f>X1493-X1520</f>
        <v>2</v>
      </c>
      <c r="Y1521" s="42">
        <f>Y1493-Y1520</f>
        <v>2</v>
      </c>
      <c r="Z1521" s="171">
        <f>SUM(V1521:Y1521)</f>
        <v>14</v>
      </c>
      <c r="AA1521" s="77">
        <f>F1521+K1521+P1521+U1521+Z1521</f>
        <v>61</v>
      </c>
      <c r="AC1521" s="279" t="s">
        <v>16</v>
      </c>
      <c r="AD1521" s="40">
        <f>AD1493-AD1520</f>
        <v>69</v>
      </c>
      <c r="AE1521" s="41">
        <f>AE1493-AE1520</f>
        <v>62</v>
      </c>
      <c r="AF1521" s="41">
        <f>AF1493-AF1520</f>
        <v>121</v>
      </c>
      <c r="AG1521" s="42">
        <f>AG1493-AG1520</f>
        <v>35</v>
      </c>
      <c r="AH1521" s="171">
        <f t="shared" si="1514"/>
        <v>287</v>
      </c>
      <c r="AI1521" s="40">
        <f>AI1493-AI1520</f>
        <v>25</v>
      </c>
      <c r="AJ1521" s="41">
        <f>AJ1493-AJ1520</f>
        <v>78</v>
      </c>
      <c r="AK1521" s="41">
        <f>AK1493-AK1520</f>
        <v>50</v>
      </c>
      <c r="AL1521" s="42">
        <f>AL1493-AL1520</f>
        <v>41</v>
      </c>
      <c r="AM1521" s="171">
        <f t="shared" si="1515"/>
        <v>194</v>
      </c>
      <c r="AN1521" s="40">
        <f>AN1493-AN1520</f>
        <v>31</v>
      </c>
      <c r="AO1521" s="41">
        <f>AO1493-AO1520</f>
        <v>34</v>
      </c>
      <c r="AP1521" s="41">
        <f>AP1493-AP1520</f>
        <v>31</v>
      </c>
      <c r="AQ1521" s="42">
        <f>AQ1493-AQ1520</f>
        <v>12</v>
      </c>
      <c r="AR1521" s="171">
        <f t="shared" si="1516"/>
        <v>108</v>
      </c>
      <c r="AS1521" s="40">
        <f>AS1493-AS1520</f>
        <v>113</v>
      </c>
      <c r="AT1521" s="41">
        <f>AT1493-AT1520</f>
        <v>116</v>
      </c>
      <c r="AU1521" s="41">
        <f>AU1493-AU1520</f>
        <v>54</v>
      </c>
      <c r="AV1521" s="42">
        <f>AV1493-AV1520</f>
        <v>24</v>
      </c>
      <c r="AW1521" s="171">
        <f t="shared" si="1517"/>
        <v>307</v>
      </c>
      <c r="AX1521" s="323">
        <f>AX1493-AX1520</f>
        <v>103</v>
      </c>
      <c r="AY1521" s="41">
        <f>AY1493-AY1520</f>
        <v>79</v>
      </c>
      <c r="AZ1521" s="41">
        <f>AZ1493-AZ1520</f>
        <v>39</v>
      </c>
      <c r="BA1521" s="42">
        <f>BA1493-BA1520</f>
        <v>27</v>
      </c>
      <c r="BB1521" s="171">
        <f>SUM(AX1521:BA1521)</f>
        <v>248</v>
      </c>
      <c r="BC1521" s="77">
        <f>AH1521+AM1521+AR1521+AW1521+BB1521</f>
        <v>1144</v>
      </c>
      <c r="BE1521" s="279" t="s">
        <v>16</v>
      </c>
      <c r="BF1521" s="313">
        <f>BF1493-BF1520</f>
        <v>0</v>
      </c>
      <c r="BG1521" s="303">
        <f>BG1493-BG1520</f>
        <v>0</v>
      </c>
      <c r="BH1521" s="41">
        <f>BH1493-BH1520</f>
        <v>2</v>
      </c>
      <c r="BI1521" s="317">
        <f>BI1493-BI1520</f>
        <v>0</v>
      </c>
      <c r="BJ1521" s="171">
        <f t="shared" si="1520"/>
        <v>2</v>
      </c>
    </row>
  </sheetData>
  <mergeCells count="436">
    <mergeCell ref="AS1397:AW1397"/>
    <mergeCell ref="AX1397:BB1397"/>
    <mergeCell ref="BC1397:BC1398"/>
    <mergeCell ref="BF1397:BJ1397"/>
    <mergeCell ref="B1397:F1397"/>
    <mergeCell ref="G1397:K1397"/>
    <mergeCell ref="L1397:P1397"/>
    <mergeCell ref="Q1397:U1397"/>
    <mergeCell ref="V1397:Z1397"/>
    <mergeCell ref="AA1397:AA1398"/>
    <mergeCell ref="AD1397:AH1397"/>
    <mergeCell ref="AI1397:AM1397"/>
    <mergeCell ref="AN1397:AR1397"/>
    <mergeCell ref="AS1354:AW1354"/>
    <mergeCell ref="AX1354:BB1354"/>
    <mergeCell ref="BC1354:BC1355"/>
    <mergeCell ref="BF1354:BJ1354"/>
    <mergeCell ref="B1354:F1354"/>
    <mergeCell ref="G1354:K1354"/>
    <mergeCell ref="L1354:P1354"/>
    <mergeCell ref="Q1354:U1354"/>
    <mergeCell ref="V1354:Z1354"/>
    <mergeCell ref="AA1354:AA1355"/>
    <mergeCell ref="AD1354:AH1354"/>
    <mergeCell ref="AI1354:AM1354"/>
    <mergeCell ref="AN1354:AR1354"/>
    <mergeCell ref="AS1268:AW1268"/>
    <mergeCell ref="AX1268:BB1268"/>
    <mergeCell ref="BC1268:BC1269"/>
    <mergeCell ref="BF1268:BJ1268"/>
    <mergeCell ref="B1268:F1268"/>
    <mergeCell ref="G1268:K1268"/>
    <mergeCell ref="L1268:P1268"/>
    <mergeCell ref="Q1268:U1268"/>
    <mergeCell ref="V1268:Z1268"/>
    <mergeCell ref="AA1268:AA1269"/>
    <mergeCell ref="AD1268:AH1268"/>
    <mergeCell ref="AI1268:AM1268"/>
    <mergeCell ref="AN1268:AR1268"/>
    <mergeCell ref="AS1225:AW1225"/>
    <mergeCell ref="AX1225:BB1225"/>
    <mergeCell ref="BC1225:BC1226"/>
    <mergeCell ref="BF1225:BJ1225"/>
    <mergeCell ref="BM1225:BQ1225"/>
    <mergeCell ref="B1225:F1225"/>
    <mergeCell ref="G1225:K1225"/>
    <mergeCell ref="L1225:P1225"/>
    <mergeCell ref="Q1225:U1225"/>
    <mergeCell ref="V1225:Z1225"/>
    <mergeCell ref="AA1225:AA1226"/>
    <mergeCell ref="AD1225:AH1225"/>
    <mergeCell ref="AI1225:AM1225"/>
    <mergeCell ref="AN1225:AR1225"/>
    <mergeCell ref="BF1139:BJ1139"/>
    <mergeCell ref="BM1139:BQ1139"/>
    <mergeCell ref="AD1139:AH1139"/>
    <mergeCell ref="AI1139:AM1139"/>
    <mergeCell ref="AN1139:AR1139"/>
    <mergeCell ref="AS1139:AW1139"/>
    <mergeCell ref="AX1139:BB1139"/>
    <mergeCell ref="BC1139:BC1140"/>
    <mergeCell ref="B1139:F1139"/>
    <mergeCell ref="G1139:K1139"/>
    <mergeCell ref="L1139:P1139"/>
    <mergeCell ref="Q1139:U1139"/>
    <mergeCell ref="V1139:Z1139"/>
    <mergeCell ref="AA1139:AA1140"/>
    <mergeCell ref="AS1096:AW1096"/>
    <mergeCell ref="AX1096:BB1096"/>
    <mergeCell ref="BC1096:BC1097"/>
    <mergeCell ref="BF1096:BJ1096"/>
    <mergeCell ref="BM1096:BQ1096"/>
    <mergeCell ref="B1096:F1096"/>
    <mergeCell ref="G1096:K1096"/>
    <mergeCell ref="L1096:P1096"/>
    <mergeCell ref="Q1096:U1096"/>
    <mergeCell ref="V1096:Z1096"/>
    <mergeCell ref="AA1096:AA1097"/>
    <mergeCell ref="AD1096:AH1096"/>
    <mergeCell ref="AI1096:AM1096"/>
    <mergeCell ref="AN1096:AR1096"/>
    <mergeCell ref="BM968:BQ968"/>
    <mergeCell ref="BF968:BJ968"/>
    <mergeCell ref="AS926:AW926"/>
    <mergeCell ref="AX926:BB926"/>
    <mergeCell ref="BC926:BC927"/>
    <mergeCell ref="BF926:BJ926"/>
    <mergeCell ref="BM926:BQ926"/>
    <mergeCell ref="B926:F926"/>
    <mergeCell ref="G926:K926"/>
    <mergeCell ref="L926:P926"/>
    <mergeCell ref="Q926:U926"/>
    <mergeCell ref="V926:Z926"/>
    <mergeCell ref="AA926:AA927"/>
    <mergeCell ref="AD926:AH926"/>
    <mergeCell ref="AI926:AM926"/>
    <mergeCell ref="AN926:AR926"/>
    <mergeCell ref="AS968:AW968"/>
    <mergeCell ref="AX968:BB968"/>
    <mergeCell ref="BC968:BC969"/>
    <mergeCell ref="B968:F968"/>
    <mergeCell ref="G968:K968"/>
    <mergeCell ref="L968:P968"/>
    <mergeCell ref="Q968:U968"/>
    <mergeCell ref="V968:Z968"/>
    <mergeCell ref="AX884:BB884"/>
    <mergeCell ref="BC884:BC885"/>
    <mergeCell ref="BF884:BJ884"/>
    <mergeCell ref="BM884:BQ884"/>
    <mergeCell ref="B884:F884"/>
    <mergeCell ref="G884:K884"/>
    <mergeCell ref="L884:P884"/>
    <mergeCell ref="Q884:U884"/>
    <mergeCell ref="V884:Z884"/>
    <mergeCell ref="AA884:AA885"/>
    <mergeCell ref="AD884:AH884"/>
    <mergeCell ref="AI884:AM884"/>
    <mergeCell ref="AN884:AR884"/>
    <mergeCell ref="G842:K842"/>
    <mergeCell ref="L842:P842"/>
    <mergeCell ref="Q842:U842"/>
    <mergeCell ref="V842:Z842"/>
    <mergeCell ref="AA842:AA843"/>
    <mergeCell ref="AD842:AH842"/>
    <mergeCell ref="AI842:AM842"/>
    <mergeCell ref="AN842:AR842"/>
    <mergeCell ref="AS884:AW884"/>
    <mergeCell ref="AX674:AX675"/>
    <mergeCell ref="BF674:BJ674"/>
    <mergeCell ref="BM674:BQ674"/>
    <mergeCell ref="B674:F674"/>
    <mergeCell ref="G674:K674"/>
    <mergeCell ref="L674:P674"/>
    <mergeCell ref="Q674:U674"/>
    <mergeCell ref="V674:V675"/>
    <mergeCell ref="AD674:AH674"/>
    <mergeCell ref="AI674:AM674"/>
    <mergeCell ref="AN674:AR674"/>
    <mergeCell ref="AS674:AW674"/>
    <mergeCell ref="AX632:AX633"/>
    <mergeCell ref="BF632:BJ632"/>
    <mergeCell ref="BM632:BQ632"/>
    <mergeCell ref="B632:F632"/>
    <mergeCell ref="G632:K632"/>
    <mergeCell ref="L632:P632"/>
    <mergeCell ref="Q632:U632"/>
    <mergeCell ref="V632:V633"/>
    <mergeCell ref="AD632:AH632"/>
    <mergeCell ref="AI632:AM632"/>
    <mergeCell ref="AN632:AR632"/>
    <mergeCell ref="AS632:AW632"/>
    <mergeCell ref="AD506:AH506"/>
    <mergeCell ref="AI506:AM506"/>
    <mergeCell ref="AN506:AR506"/>
    <mergeCell ref="AS506:AW506"/>
    <mergeCell ref="AX506:AX507"/>
    <mergeCell ref="B464:F464"/>
    <mergeCell ref="AX380:AX381"/>
    <mergeCell ref="B380:F380"/>
    <mergeCell ref="G380:K380"/>
    <mergeCell ref="L380:P380"/>
    <mergeCell ref="Q380:U380"/>
    <mergeCell ref="V380:V381"/>
    <mergeCell ref="AN464:AR464"/>
    <mergeCell ref="AS464:AW464"/>
    <mergeCell ref="BM506:BQ506"/>
    <mergeCell ref="AD422:AH422"/>
    <mergeCell ref="AI422:AM422"/>
    <mergeCell ref="AN422:AR422"/>
    <mergeCell ref="AS422:AW422"/>
    <mergeCell ref="AX422:AX423"/>
    <mergeCell ref="B422:F422"/>
    <mergeCell ref="G422:K422"/>
    <mergeCell ref="L422:P422"/>
    <mergeCell ref="Q422:U422"/>
    <mergeCell ref="V422:V423"/>
    <mergeCell ref="BF506:BJ506"/>
    <mergeCell ref="AX464:AX465"/>
    <mergeCell ref="B506:F506"/>
    <mergeCell ref="G506:K506"/>
    <mergeCell ref="L506:P506"/>
    <mergeCell ref="Q506:U506"/>
    <mergeCell ref="V506:V507"/>
    <mergeCell ref="G464:K464"/>
    <mergeCell ref="L464:P464"/>
    <mergeCell ref="Q464:U464"/>
    <mergeCell ref="V464:V465"/>
    <mergeCell ref="AD464:AH464"/>
    <mergeCell ref="AI464:AM464"/>
    <mergeCell ref="B2:F2"/>
    <mergeCell ref="G2:K2"/>
    <mergeCell ref="L2:P2"/>
    <mergeCell ref="V2:V3"/>
    <mergeCell ref="Q2:U2"/>
    <mergeCell ref="B44:F44"/>
    <mergeCell ref="G44:K44"/>
    <mergeCell ref="L44:P44"/>
    <mergeCell ref="Q44:U44"/>
    <mergeCell ref="V44:V45"/>
    <mergeCell ref="AD44:AH44"/>
    <mergeCell ref="AI2:AM2"/>
    <mergeCell ref="AN2:AR2"/>
    <mergeCell ref="AS2:AW2"/>
    <mergeCell ref="AX2:AX3"/>
    <mergeCell ref="AD86:AH86"/>
    <mergeCell ref="AI44:AM44"/>
    <mergeCell ref="AN44:AR44"/>
    <mergeCell ref="AS44:AW44"/>
    <mergeCell ref="AX44:AX45"/>
    <mergeCell ref="AX86:AX87"/>
    <mergeCell ref="AD2:AH2"/>
    <mergeCell ref="AX212:AX213"/>
    <mergeCell ref="AI170:AM170"/>
    <mergeCell ref="AN170:AR170"/>
    <mergeCell ref="AS170:AW170"/>
    <mergeCell ref="AX170:AX171"/>
    <mergeCell ref="AI212:AM212"/>
    <mergeCell ref="AN212:AR212"/>
    <mergeCell ref="AS212:AW212"/>
    <mergeCell ref="AI86:AM86"/>
    <mergeCell ref="AN86:AR86"/>
    <mergeCell ref="AS86:AW86"/>
    <mergeCell ref="AS128:AW128"/>
    <mergeCell ref="AX128:AX129"/>
    <mergeCell ref="AI128:AM128"/>
    <mergeCell ref="AN128:AR128"/>
    <mergeCell ref="AS254:AW254"/>
    <mergeCell ref="AD212:AH212"/>
    <mergeCell ref="B86:F86"/>
    <mergeCell ref="G86:K86"/>
    <mergeCell ref="L86:P86"/>
    <mergeCell ref="Q86:U86"/>
    <mergeCell ref="V86:V87"/>
    <mergeCell ref="B212:F212"/>
    <mergeCell ref="G212:K212"/>
    <mergeCell ref="L212:P212"/>
    <mergeCell ref="Q212:U212"/>
    <mergeCell ref="V212:V213"/>
    <mergeCell ref="B170:F170"/>
    <mergeCell ref="G170:K170"/>
    <mergeCell ref="AD128:AH128"/>
    <mergeCell ref="L170:P170"/>
    <mergeCell ref="Q170:U170"/>
    <mergeCell ref="B128:F128"/>
    <mergeCell ref="G128:K128"/>
    <mergeCell ref="L128:P128"/>
    <mergeCell ref="Q128:U128"/>
    <mergeCell ref="V128:V129"/>
    <mergeCell ref="V170:V171"/>
    <mergeCell ref="AD170:AH170"/>
    <mergeCell ref="B338:F338"/>
    <mergeCell ref="G338:K338"/>
    <mergeCell ref="L338:P338"/>
    <mergeCell ref="Q338:U338"/>
    <mergeCell ref="V338:V339"/>
    <mergeCell ref="AX254:AX255"/>
    <mergeCell ref="B296:F296"/>
    <mergeCell ref="G296:K296"/>
    <mergeCell ref="L296:P296"/>
    <mergeCell ref="Q296:U296"/>
    <mergeCell ref="V296:V297"/>
    <mergeCell ref="AD296:AH296"/>
    <mergeCell ref="AI296:AM296"/>
    <mergeCell ref="AN296:AR296"/>
    <mergeCell ref="AS296:AW296"/>
    <mergeCell ref="AX296:AX297"/>
    <mergeCell ref="B254:F254"/>
    <mergeCell ref="G254:K254"/>
    <mergeCell ref="L254:P254"/>
    <mergeCell ref="Q254:U254"/>
    <mergeCell ref="V254:V255"/>
    <mergeCell ref="AD254:AH254"/>
    <mergeCell ref="AI254:AM254"/>
    <mergeCell ref="AN254:AR254"/>
    <mergeCell ref="AD338:AH338"/>
    <mergeCell ref="AI338:AM338"/>
    <mergeCell ref="AN338:AR338"/>
    <mergeCell ref="AS338:AW338"/>
    <mergeCell ref="AD380:AH380"/>
    <mergeCell ref="AI380:AM380"/>
    <mergeCell ref="AN380:AR380"/>
    <mergeCell ref="AS380:AW380"/>
    <mergeCell ref="AX338:AX339"/>
    <mergeCell ref="AX548:AX549"/>
    <mergeCell ref="BF548:BJ548"/>
    <mergeCell ref="BM548:BQ548"/>
    <mergeCell ref="B548:F548"/>
    <mergeCell ref="G548:K548"/>
    <mergeCell ref="L548:P548"/>
    <mergeCell ref="Q548:U548"/>
    <mergeCell ref="V548:V549"/>
    <mergeCell ref="AD548:AH548"/>
    <mergeCell ref="AI548:AM548"/>
    <mergeCell ref="AN548:AR548"/>
    <mergeCell ref="AS548:AW548"/>
    <mergeCell ref="AX590:AX591"/>
    <mergeCell ref="BF590:BJ590"/>
    <mergeCell ref="BM590:BQ590"/>
    <mergeCell ref="B590:F590"/>
    <mergeCell ref="G590:K590"/>
    <mergeCell ref="L590:P590"/>
    <mergeCell ref="Q590:U590"/>
    <mergeCell ref="V590:V591"/>
    <mergeCell ref="AD590:AH590"/>
    <mergeCell ref="AI590:AM590"/>
    <mergeCell ref="AN590:AR590"/>
    <mergeCell ref="AS590:AW590"/>
    <mergeCell ref="BF758:BJ758"/>
    <mergeCell ref="BM758:BQ758"/>
    <mergeCell ref="AD758:AH758"/>
    <mergeCell ref="AI758:AM758"/>
    <mergeCell ref="AN758:AR758"/>
    <mergeCell ref="AS758:AW758"/>
    <mergeCell ref="AX758:AX759"/>
    <mergeCell ref="B716:F716"/>
    <mergeCell ref="G716:K716"/>
    <mergeCell ref="L716:P716"/>
    <mergeCell ref="Q716:U716"/>
    <mergeCell ref="V716:V717"/>
    <mergeCell ref="B758:F758"/>
    <mergeCell ref="G758:K758"/>
    <mergeCell ref="L758:P758"/>
    <mergeCell ref="Q758:U758"/>
    <mergeCell ref="V758:V759"/>
    <mergeCell ref="BF716:BJ716"/>
    <mergeCell ref="BM716:BQ716"/>
    <mergeCell ref="AD716:AH716"/>
    <mergeCell ref="AI716:AM716"/>
    <mergeCell ref="AN716:AR716"/>
    <mergeCell ref="AS716:AW716"/>
    <mergeCell ref="AX716:AX717"/>
    <mergeCell ref="AA968:AA969"/>
    <mergeCell ref="AD968:AH968"/>
    <mergeCell ref="AI968:AM968"/>
    <mergeCell ref="AN968:AR968"/>
    <mergeCell ref="BC800:BC801"/>
    <mergeCell ref="BF800:BJ800"/>
    <mergeCell ref="BM800:BQ800"/>
    <mergeCell ref="B800:F800"/>
    <mergeCell ref="G800:K800"/>
    <mergeCell ref="L800:P800"/>
    <mergeCell ref="Q800:U800"/>
    <mergeCell ref="AA800:AA801"/>
    <mergeCell ref="AD800:AH800"/>
    <mergeCell ref="AI800:AM800"/>
    <mergeCell ref="AN800:AR800"/>
    <mergeCell ref="AS800:AW800"/>
    <mergeCell ref="V800:Z800"/>
    <mergeCell ref="AX800:BB800"/>
    <mergeCell ref="AS842:AW842"/>
    <mergeCell ref="AX842:BB842"/>
    <mergeCell ref="BC842:BC843"/>
    <mergeCell ref="BF842:BJ842"/>
    <mergeCell ref="BM842:BQ842"/>
    <mergeCell ref="B842:F842"/>
    <mergeCell ref="AS1010:AW1010"/>
    <mergeCell ref="AX1010:BB1010"/>
    <mergeCell ref="BC1010:BC1011"/>
    <mergeCell ref="BF1010:BJ1010"/>
    <mergeCell ref="BM1010:BQ1010"/>
    <mergeCell ref="B1010:F1010"/>
    <mergeCell ref="G1010:K1010"/>
    <mergeCell ref="L1010:P1010"/>
    <mergeCell ref="Q1010:U1010"/>
    <mergeCell ref="V1010:Z1010"/>
    <mergeCell ref="AA1010:AA1011"/>
    <mergeCell ref="AD1010:AH1010"/>
    <mergeCell ref="AI1010:AM1010"/>
    <mergeCell ref="AN1010:AR1010"/>
    <mergeCell ref="AS1053:AW1053"/>
    <mergeCell ref="AX1053:BB1053"/>
    <mergeCell ref="BC1053:BC1054"/>
    <mergeCell ref="BF1053:BJ1053"/>
    <mergeCell ref="BM1053:BQ1053"/>
    <mergeCell ref="B1053:F1053"/>
    <mergeCell ref="G1053:K1053"/>
    <mergeCell ref="L1053:P1053"/>
    <mergeCell ref="Q1053:U1053"/>
    <mergeCell ref="V1053:Z1053"/>
    <mergeCell ref="AA1053:AA1054"/>
    <mergeCell ref="AD1053:AH1053"/>
    <mergeCell ref="AI1053:AM1053"/>
    <mergeCell ref="AN1053:AR1053"/>
    <mergeCell ref="AS1182:AW1182"/>
    <mergeCell ref="AX1182:BB1182"/>
    <mergeCell ref="BC1182:BC1183"/>
    <mergeCell ref="BF1182:BJ1182"/>
    <mergeCell ref="BM1182:BQ1182"/>
    <mergeCell ref="B1182:F1182"/>
    <mergeCell ref="G1182:K1182"/>
    <mergeCell ref="L1182:P1182"/>
    <mergeCell ref="Q1182:U1182"/>
    <mergeCell ref="V1182:Z1182"/>
    <mergeCell ref="AA1182:AA1183"/>
    <mergeCell ref="AD1182:AH1182"/>
    <mergeCell ref="AI1182:AM1182"/>
    <mergeCell ref="AN1182:AR1182"/>
    <mergeCell ref="AS1311:AW1311"/>
    <mergeCell ref="AX1311:BB1311"/>
    <mergeCell ref="BC1311:BC1312"/>
    <mergeCell ref="BF1311:BJ1311"/>
    <mergeCell ref="B1311:F1311"/>
    <mergeCell ref="G1311:K1311"/>
    <mergeCell ref="L1311:P1311"/>
    <mergeCell ref="Q1311:U1311"/>
    <mergeCell ref="V1311:Z1311"/>
    <mergeCell ref="AA1311:AA1312"/>
    <mergeCell ref="AD1311:AH1311"/>
    <mergeCell ref="AI1311:AM1311"/>
    <mergeCell ref="AN1311:AR1311"/>
    <mergeCell ref="AS1440:AW1440"/>
    <mergeCell ref="AX1440:BB1440"/>
    <mergeCell ref="BC1440:BC1441"/>
    <mergeCell ref="BF1440:BJ1440"/>
    <mergeCell ref="B1440:F1440"/>
    <mergeCell ref="G1440:K1440"/>
    <mergeCell ref="L1440:P1440"/>
    <mergeCell ref="Q1440:U1440"/>
    <mergeCell ref="V1440:Z1440"/>
    <mergeCell ref="AA1440:AA1441"/>
    <mergeCell ref="AD1440:AH1440"/>
    <mergeCell ref="AI1440:AM1440"/>
    <mergeCell ref="AN1440:AR1440"/>
    <mergeCell ref="AS1483:AW1483"/>
    <mergeCell ref="AX1483:BB1483"/>
    <mergeCell ref="BC1483:BC1484"/>
    <mergeCell ref="BF1483:BJ1483"/>
    <mergeCell ref="B1483:F1483"/>
    <mergeCell ref="G1483:K1483"/>
    <mergeCell ref="L1483:P1483"/>
    <mergeCell ref="Q1483:U1483"/>
    <mergeCell ref="V1483:Z1483"/>
    <mergeCell ref="AA1483:AA1484"/>
    <mergeCell ref="AD1483:AH1483"/>
    <mergeCell ref="AI1483:AM1483"/>
    <mergeCell ref="AN1483:AR1483"/>
  </mergeCells>
  <phoneticPr fontId="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27"/>
  <sheetViews>
    <sheetView topLeftCell="A404" zoomScale="92" zoomScaleNormal="92" workbookViewId="0">
      <selection activeCell="A411" sqref="A411"/>
    </sheetView>
  </sheetViews>
  <sheetFormatPr defaultRowHeight="13.5" x14ac:dyDescent="0.15"/>
  <cols>
    <col min="1" max="1" width="22.5" style="2" customWidth="1"/>
    <col min="2" max="13" width="8.125" style="2" customWidth="1"/>
    <col min="14" max="14" width="7.625" style="2" customWidth="1"/>
    <col min="15" max="16" width="8.125" style="2" customWidth="1"/>
    <col min="17" max="17" width="7.875" style="2" customWidth="1"/>
    <col min="18" max="18" width="9.25" style="2" bestFit="1" customWidth="1"/>
    <col min="19" max="19" width="22.5" style="2" customWidth="1"/>
    <col min="20" max="20" width="9" style="2"/>
    <col min="21" max="23" width="7.875" style="2" customWidth="1"/>
    <col min="24" max="24" width="9" style="2"/>
    <col min="25" max="25" width="11.625" style="2" bestFit="1" customWidth="1"/>
    <col min="26" max="26" width="8.125" style="2" customWidth="1"/>
    <col min="27" max="29" width="7.875" style="2" customWidth="1"/>
    <col min="30" max="30" width="10" style="2" customWidth="1"/>
    <col min="31" max="31" width="8.625" style="2" customWidth="1"/>
    <col min="32" max="34" width="7.875" style="2" customWidth="1"/>
    <col min="35" max="35" width="9" style="2"/>
    <col min="36" max="36" width="9.25" style="2" bestFit="1" customWidth="1"/>
    <col min="37" max="16384" width="9" style="2"/>
  </cols>
  <sheetData>
    <row r="1" spans="1:31" ht="19.5" thickBot="1" x14ac:dyDescent="0.25">
      <c r="A1" s="1" t="s">
        <v>19</v>
      </c>
      <c r="S1" s="1" t="s">
        <v>20</v>
      </c>
    </row>
    <row r="2" spans="1:31" ht="15" thickBot="1" x14ac:dyDescent="0.2">
      <c r="A2" s="3" t="s">
        <v>0</v>
      </c>
      <c r="B2" s="371" t="s">
        <v>17</v>
      </c>
      <c r="C2" s="372"/>
      <c r="D2" s="372"/>
      <c r="E2" s="372"/>
      <c r="F2" s="373"/>
      <c r="G2" s="371" t="s">
        <v>18</v>
      </c>
      <c r="H2" s="372"/>
      <c r="I2" s="372"/>
      <c r="J2" s="372"/>
      <c r="K2" s="373"/>
      <c r="L2" s="360" t="s">
        <v>1</v>
      </c>
      <c r="S2" s="4"/>
      <c r="T2" s="82" t="s">
        <v>17</v>
      </c>
      <c r="U2" s="83"/>
      <c r="V2" s="83"/>
      <c r="W2" s="83"/>
      <c r="X2" s="84"/>
      <c r="Y2" s="82" t="s">
        <v>18</v>
      </c>
      <c r="Z2" s="83"/>
      <c r="AA2" s="83"/>
      <c r="AB2" s="83"/>
      <c r="AC2" s="84"/>
      <c r="AD2" s="80" t="s">
        <v>1</v>
      </c>
    </row>
    <row r="3" spans="1:31" ht="15" thickBot="1" x14ac:dyDescent="0.2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  <c r="F3" s="5" t="s">
        <v>7</v>
      </c>
      <c r="G3" s="6" t="s">
        <v>3</v>
      </c>
      <c r="H3" s="7" t="s">
        <v>4</v>
      </c>
      <c r="I3" s="7" t="s">
        <v>5</v>
      </c>
      <c r="J3" s="8" t="s">
        <v>6</v>
      </c>
      <c r="K3" s="5" t="s">
        <v>7</v>
      </c>
      <c r="L3" s="375"/>
      <c r="S3" s="9" t="s">
        <v>2</v>
      </c>
      <c r="T3" s="6" t="s">
        <v>3</v>
      </c>
      <c r="U3" s="7" t="s">
        <v>4</v>
      </c>
      <c r="V3" s="7" t="s">
        <v>5</v>
      </c>
      <c r="W3" s="8" t="s">
        <v>6</v>
      </c>
      <c r="X3" s="5" t="s">
        <v>7</v>
      </c>
      <c r="Y3" s="6" t="s">
        <v>3</v>
      </c>
      <c r="Z3" s="7" t="s">
        <v>4</v>
      </c>
      <c r="AA3" s="7" t="s">
        <v>5</v>
      </c>
      <c r="AB3" s="8" t="s">
        <v>6</v>
      </c>
      <c r="AC3" s="5" t="s">
        <v>7</v>
      </c>
      <c r="AD3" s="81"/>
    </row>
    <row r="4" spans="1:31" ht="14.25" x14ac:dyDescent="0.15">
      <c r="A4" s="10" t="s">
        <v>8</v>
      </c>
      <c r="B4" s="51">
        <v>5</v>
      </c>
      <c r="C4" s="52">
        <v>5</v>
      </c>
      <c r="D4" s="52">
        <v>5</v>
      </c>
      <c r="E4" s="52">
        <v>5</v>
      </c>
      <c r="F4" s="48">
        <f t="shared" ref="F4:F35" si="0">SUM(B4:E4)</f>
        <v>20</v>
      </c>
      <c r="G4" s="51">
        <v>5</v>
      </c>
      <c r="H4" s="52">
        <v>5</v>
      </c>
      <c r="I4" s="52">
        <v>5</v>
      </c>
      <c r="J4" s="52">
        <v>5</v>
      </c>
      <c r="K4" s="48">
        <f t="shared" ref="K4:K35" si="1">SUM(G4:J4)</f>
        <v>20</v>
      </c>
      <c r="L4" s="49">
        <f>F4+K4</f>
        <v>40</v>
      </c>
      <c r="M4" s="50">
        <v>43157</v>
      </c>
      <c r="S4" s="57" t="s">
        <v>9</v>
      </c>
      <c r="T4" s="58">
        <v>193</v>
      </c>
      <c r="U4" s="59">
        <v>150</v>
      </c>
      <c r="V4" s="59">
        <v>119</v>
      </c>
      <c r="W4" s="59">
        <v>127</v>
      </c>
      <c r="X4" s="60">
        <f t="shared" ref="X4:X35" si="2">SUM(T4:W4)</f>
        <v>589</v>
      </c>
      <c r="Y4" s="58">
        <v>138</v>
      </c>
      <c r="Z4" s="59">
        <v>103</v>
      </c>
      <c r="AA4" s="59">
        <v>79</v>
      </c>
      <c r="AB4" s="59">
        <v>77</v>
      </c>
      <c r="AC4" s="60">
        <f t="shared" ref="AC4:AC35" si="3">SUM(Y4:AB4)</f>
        <v>397</v>
      </c>
      <c r="AD4" s="19">
        <f>X4+AC4</f>
        <v>986</v>
      </c>
      <c r="AE4" s="61">
        <v>43183</v>
      </c>
    </row>
    <row r="5" spans="1:31" ht="14.25" x14ac:dyDescent="0.15">
      <c r="A5" s="10" t="s">
        <v>22</v>
      </c>
      <c r="B5" s="15"/>
      <c r="C5" s="16">
        <v>1</v>
      </c>
      <c r="D5" s="16"/>
      <c r="E5" s="16">
        <v>1</v>
      </c>
      <c r="F5" s="13">
        <f t="shared" si="0"/>
        <v>2</v>
      </c>
      <c r="G5" s="15"/>
      <c r="H5" s="16"/>
      <c r="I5" s="16">
        <v>1</v>
      </c>
      <c r="J5" s="16"/>
      <c r="K5" s="13">
        <f t="shared" si="1"/>
        <v>1</v>
      </c>
      <c r="L5" s="13">
        <f t="shared" ref="L5:L37" si="4">F5+K5</f>
        <v>3</v>
      </c>
      <c r="M5" s="14">
        <v>43154</v>
      </c>
      <c r="S5" s="10" t="s">
        <v>10</v>
      </c>
      <c r="T5" s="17"/>
      <c r="U5" s="18"/>
      <c r="V5" s="18"/>
      <c r="W5" s="18"/>
      <c r="X5" s="19">
        <f t="shared" si="2"/>
        <v>0</v>
      </c>
      <c r="Y5" s="17"/>
      <c r="Z5" s="18"/>
      <c r="AA5" s="18"/>
      <c r="AB5" s="18"/>
      <c r="AC5" s="19">
        <f t="shared" si="3"/>
        <v>0</v>
      </c>
      <c r="AD5" s="20">
        <f t="shared" ref="AD5:AD37" si="5">X5+AC5</f>
        <v>0</v>
      </c>
    </row>
    <row r="6" spans="1:31" ht="14.25" x14ac:dyDescent="0.15">
      <c r="A6" s="10" t="s">
        <v>27</v>
      </c>
      <c r="B6" s="15"/>
      <c r="C6" s="16">
        <v>3</v>
      </c>
      <c r="D6" s="16">
        <v>1</v>
      </c>
      <c r="E6" s="16">
        <v>1</v>
      </c>
      <c r="F6" s="13">
        <f t="shared" si="0"/>
        <v>5</v>
      </c>
      <c r="G6" s="15">
        <v>1</v>
      </c>
      <c r="H6" s="16"/>
      <c r="I6" s="16">
        <v>1</v>
      </c>
      <c r="J6" s="16">
        <v>1</v>
      </c>
      <c r="K6" s="13">
        <f t="shared" si="1"/>
        <v>3</v>
      </c>
      <c r="L6" s="13">
        <f t="shared" si="4"/>
        <v>8</v>
      </c>
      <c r="M6" s="14">
        <v>43182</v>
      </c>
      <c r="S6" s="10" t="s">
        <v>11</v>
      </c>
      <c r="T6" s="15"/>
      <c r="U6" s="16"/>
      <c r="V6" s="16"/>
      <c r="W6" s="16"/>
      <c r="X6" s="13">
        <f t="shared" si="2"/>
        <v>0</v>
      </c>
      <c r="Y6" s="15"/>
      <c r="Z6" s="16"/>
      <c r="AA6" s="16"/>
      <c r="AB6" s="16"/>
      <c r="AC6" s="13">
        <f t="shared" si="3"/>
        <v>0</v>
      </c>
      <c r="AD6" s="20">
        <f t="shared" si="5"/>
        <v>0</v>
      </c>
    </row>
    <row r="7" spans="1:31" ht="14.25" x14ac:dyDescent="0.15">
      <c r="A7" s="10" t="s">
        <v>12</v>
      </c>
      <c r="B7" s="54">
        <v>10</v>
      </c>
      <c r="C7" s="55">
        <v>5</v>
      </c>
      <c r="D7" s="55">
        <v>5</v>
      </c>
      <c r="E7" s="55">
        <v>5</v>
      </c>
      <c r="F7" s="49">
        <f t="shared" si="0"/>
        <v>25</v>
      </c>
      <c r="G7" s="54">
        <v>15</v>
      </c>
      <c r="H7" s="55">
        <v>10</v>
      </c>
      <c r="I7" s="55">
        <v>5</v>
      </c>
      <c r="J7" s="55">
        <v>5</v>
      </c>
      <c r="K7" s="49">
        <f t="shared" si="1"/>
        <v>35</v>
      </c>
      <c r="L7" s="49">
        <f t="shared" si="4"/>
        <v>60</v>
      </c>
      <c r="M7" s="50">
        <v>43185</v>
      </c>
      <c r="S7" s="10" t="s">
        <v>12</v>
      </c>
      <c r="T7" s="17"/>
      <c r="U7" s="18"/>
      <c r="V7" s="18"/>
      <c r="W7" s="18"/>
      <c r="X7" s="19">
        <f t="shared" si="2"/>
        <v>0</v>
      </c>
      <c r="Y7" s="17"/>
      <c r="Z7" s="18"/>
      <c r="AA7" s="18"/>
      <c r="AB7" s="18"/>
      <c r="AC7" s="19">
        <f t="shared" si="3"/>
        <v>0</v>
      </c>
      <c r="AD7" s="20">
        <f t="shared" si="5"/>
        <v>0</v>
      </c>
    </row>
    <row r="8" spans="1:31" ht="15" thickBot="1" x14ac:dyDescent="0.2">
      <c r="A8" s="10" t="s">
        <v>13</v>
      </c>
      <c r="B8" s="54"/>
      <c r="C8" s="55">
        <v>3</v>
      </c>
      <c r="D8" s="55">
        <v>5</v>
      </c>
      <c r="E8" s="55"/>
      <c r="F8" s="49">
        <f t="shared" si="0"/>
        <v>8</v>
      </c>
      <c r="G8" s="54">
        <v>3</v>
      </c>
      <c r="H8" s="55">
        <v>10</v>
      </c>
      <c r="I8" s="55">
        <v>3</v>
      </c>
      <c r="J8" s="55"/>
      <c r="K8" s="49">
        <f t="shared" si="1"/>
        <v>16</v>
      </c>
      <c r="L8" s="64">
        <f t="shared" si="4"/>
        <v>24</v>
      </c>
      <c r="M8" s="50">
        <v>43195</v>
      </c>
      <c r="S8" s="10" t="s">
        <v>13</v>
      </c>
      <c r="T8" s="17"/>
      <c r="U8" s="18"/>
      <c r="V8" s="18"/>
      <c r="W8" s="18"/>
      <c r="X8" s="19">
        <f t="shared" si="2"/>
        <v>0</v>
      </c>
      <c r="Y8" s="17"/>
      <c r="Z8" s="18"/>
      <c r="AA8" s="18"/>
      <c r="AB8" s="18"/>
      <c r="AC8" s="19">
        <f t="shared" si="3"/>
        <v>0</v>
      </c>
      <c r="AD8" s="22">
        <f t="shared" si="5"/>
        <v>0</v>
      </c>
    </row>
    <row r="9" spans="1:31" ht="15" thickBot="1" x14ac:dyDescent="0.2">
      <c r="A9" s="4" t="s">
        <v>14</v>
      </c>
      <c r="B9" s="23">
        <f>SUM(B4:B8)</f>
        <v>15</v>
      </c>
      <c r="C9" s="24">
        <f>SUM(C4:C8)</f>
        <v>17</v>
      </c>
      <c r="D9" s="24">
        <f>SUM(D4:D8)</f>
        <v>16</v>
      </c>
      <c r="E9" s="24">
        <f>SUM(E4:E8)</f>
        <v>12</v>
      </c>
      <c r="F9" s="25">
        <f t="shared" si="0"/>
        <v>60</v>
      </c>
      <c r="G9" s="23">
        <f>SUM(G4:G8)</f>
        <v>24</v>
      </c>
      <c r="H9" s="24">
        <f>SUM(H4:H8)</f>
        <v>25</v>
      </c>
      <c r="I9" s="24">
        <f>SUM(I4:I8)</f>
        <v>15</v>
      </c>
      <c r="J9" s="24">
        <f>SUM(J4:J8)</f>
        <v>11</v>
      </c>
      <c r="K9" s="25">
        <f t="shared" si="1"/>
        <v>75</v>
      </c>
      <c r="L9" s="45">
        <f t="shared" si="4"/>
        <v>135</v>
      </c>
      <c r="S9" s="4" t="s">
        <v>14</v>
      </c>
      <c r="T9" s="23">
        <f>SUM(T4:T8)</f>
        <v>193</v>
      </c>
      <c r="U9" s="24">
        <f>SUM(U4:U8)</f>
        <v>150</v>
      </c>
      <c r="V9" s="24">
        <f>SUM(V4:V8)</f>
        <v>119</v>
      </c>
      <c r="W9" s="24">
        <f>SUM(W4:W8)</f>
        <v>127</v>
      </c>
      <c r="X9" s="25">
        <f t="shared" si="2"/>
        <v>589</v>
      </c>
      <c r="Y9" s="23">
        <f>SUM(Y4:Y8)</f>
        <v>138</v>
      </c>
      <c r="Z9" s="24">
        <f>SUM(Z4:Z8)</f>
        <v>103</v>
      </c>
      <c r="AA9" s="24">
        <f>SUM(AA4:AA8)</f>
        <v>79</v>
      </c>
      <c r="AB9" s="24">
        <f>SUM(AB4:AB8)</f>
        <v>77</v>
      </c>
      <c r="AC9" s="25">
        <f t="shared" si="3"/>
        <v>397</v>
      </c>
      <c r="AD9" s="26">
        <f t="shared" si="5"/>
        <v>986</v>
      </c>
    </row>
    <row r="10" spans="1:31" ht="14.25" x14ac:dyDescent="0.15">
      <c r="A10" s="27" t="s">
        <v>24</v>
      </c>
      <c r="B10" s="46">
        <v>2</v>
      </c>
      <c r="C10" s="47">
        <v>2</v>
      </c>
      <c r="D10" s="47">
        <v>2</v>
      </c>
      <c r="E10" s="47">
        <v>2</v>
      </c>
      <c r="F10" s="48">
        <f t="shared" si="0"/>
        <v>8</v>
      </c>
      <c r="G10" s="46">
        <v>2</v>
      </c>
      <c r="H10" s="47">
        <v>2</v>
      </c>
      <c r="I10" s="47">
        <v>2</v>
      </c>
      <c r="J10" s="47">
        <v>2</v>
      </c>
      <c r="K10" s="48">
        <f t="shared" si="1"/>
        <v>8</v>
      </c>
      <c r="L10" s="49">
        <f t="shared" si="4"/>
        <v>16</v>
      </c>
      <c r="M10" s="50">
        <v>43165</v>
      </c>
      <c r="S10" s="27" t="s">
        <v>21</v>
      </c>
      <c r="T10" s="46">
        <v>5</v>
      </c>
      <c r="U10" s="47">
        <v>5</v>
      </c>
      <c r="V10" s="47">
        <v>5</v>
      </c>
      <c r="W10" s="47">
        <v>5</v>
      </c>
      <c r="X10" s="48">
        <f t="shared" si="2"/>
        <v>20</v>
      </c>
      <c r="Y10" s="46">
        <v>5</v>
      </c>
      <c r="Z10" s="47">
        <v>5</v>
      </c>
      <c r="AA10" s="47">
        <v>5</v>
      </c>
      <c r="AB10" s="47">
        <v>5</v>
      </c>
      <c r="AC10" s="48">
        <f t="shared" si="3"/>
        <v>20</v>
      </c>
      <c r="AD10" s="49">
        <f t="shared" si="5"/>
        <v>40</v>
      </c>
      <c r="AE10" s="50">
        <v>43157</v>
      </c>
    </row>
    <row r="11" spans="1:31" ht="14.25" x14ac:dyDescent="0.15">
      <c r="A11" s="53" t="s">
        <v>23</v>
      </c>
      <c r="B11" s="54"/>
      <c r="C11" s="55"/>
      <c r="D11" s="55"/>
      <c r="E11" s="55"/>
      <c r="F11" s="56">
        <f t="shared" si="0"/>
        <v>0</v>
      </c>
      <c r="G11" s="54">
        <v>3</v>
      </c>
      <c r="H11" s="55">
        <v>3</v>
      </c>
      <c r="I11" s="55">
        <v>2</v>
      </c>
      <c r="J11" s="55">
        <v>3</v>
      </c>
      <c r="K11" s="56">
        <f t="shared" si="1"/>
        <v>11</v>
      </c>
      <c r="L11" s="49">
        <f t="shared" si="4"/>
        <v>11</v>
      </c>
      <c r="M11" s="50">
        <v>43165</v>
      </c>
      <c r="S11" s="27" t="s">
        <v>21</v>
      </c>
      <c r="T11" s="15">
        <v>10</v>
      </c>
      <c r="U11" s="16">
        <v>5</v>
      </c>
      <c r="V11" s="16">
        <v>5</v>
      </c>
      <c r="W11" s="16">
        <v>5</v>
      </c>
      <c r="X11" s="28">
        <f t="shared" si="2"/>
        <v>25</v>
      </c>
      <c r="Y11" s="15">
        <v>15</v>
      </c>
      <c r="Z11" s="16">
        <v>10</v>
      </c>
      <c r="AA11" s="16">
        <v>5</v>
      </c>
      <c r="AB11" s="16">
        <v>5</v>
      </c>
      <c r="AC11" s="28">
        <f t="shared" si="3"/>
        <v>35</v>
      </c>
      <c r="AD11" s="13">
        <f t="shared" si="5"/>
        <v>60</v>
      </c>
      <c r="AE11" s="14">
        <v>43185</v>
      </c>
    </row>
    <row r="12" spans="1:31" ht="14.25" x14ac:dyDescent="0.15">
      <c r="A12" s="53" t="s">
        <v>23</v>
      </c>
      <c r="B12" s="54">
        <v>3</v>
      </c>
      <c r="C12" s="55">
        <v>3</v>
      </c>
      <c r="D12" s="55">
        <v>3</v>
      </c>
      <c r="E12" s="55">
        <v>3</v>
      </c>
      <c r="F12" s="56">
        <f t="shared" si="0"/>
        <v>12</v>
      </c>
      <c r="G12" s="54"/>
      <c r="H12" s="55"/>
      <c r="I12" s="55"/>
      <c r="J12" s="55"/>
      <c r="K12" s="56">
        <f t="shared" si="1"/>
        <v>0</v>
      </c>
      <c r="L12" s="49">
        <f t="shared" si="4"/>
        <v>12</v>
      </c>
      <c r="M12" s="50">
        <v>43175</v>
      </c>
      <c r="S12" s="27" t="s">
        <v>21</v>
      </c>
      <c r="T12" s="54"/>
      <c r="U12" s="55">
        <v>3</v>
      </c>
      <c r="V12" s="55">
        <v>5</v>
      </c>
      <c r="W12" s="55"/>
      <c r="X12" s="56">
        <f t="shared" si="2"/>
        <v>8</v>
      </c>
      <c r="Y12" s="54">
        <v>3</v>
      </c>
      <c r="Z12" s="55">
        <v>10</v>
      </c>
      <c r="AA12" s="55">
        <v>3</v>
      </c>
      <c r="AB12" s="55"/>
      <c r="AC12" s="56">
        <f t="shared" si="3"/>
        <v>16</v>
      </c>
      <c r="AD12" s="49">
        <f t="shared" si="5"/>
        <v>24</v>
      </c>
      <c r="AE12" s="50">
        <v>43195</v>
      </c>
    </row>
    <row r="13" spans="1:31" ht="14.25" x14ac:dyDescent="0.15">
      <c r="A13" s="53" t="s">
        <v>25</v>
      </c>
      <c r="B13" s="54">
        <v>5</v>
      </c>
      <c r="C13" s="55"/>
      <c r="D13" s="55"/>
      <c r="E13" s="55"/>
      <c r="F13" s="56">
        <f t="shared" si="0"/>
        <v>5</v>
      </c>
      <c r="G13" s="54"/>
      <c r="H13" s="55"/>
      <c r="I13" s="55"/>
      <c r="J13" s="55"/>
      <c r="K13" s="56">
        <f t="shared" si="1"/>
        <v>0</v>
      </c>
      <c r="L13" s="49">
        <f t="shared" si="4"/>
        <v>5</v>
      </c>
      <c r="M13" s="50">
        <v>43187</v>
      </c>
      <c r="S13" s="27" t="s">
        <v>21</v>
      </c>
      <c r="T13" s="54">
        <v>10</v>
      </c>
      <c r="U13" s="55"/>
      <c r="V13" s="55"/>
      <c r="W13" s="55"/>
      <c r="X13" s="56">
        <f t="shared" si="2"/>
        <v>10</v>
      </c>
      <c r="Y13" s="54">
        <v>5</v>
      </c>
      <c r="Z13" s="55"/>
      <c r="AA13" s="55">
        <v>5</v>
      </c>
      <c r="AB13" s="55">
        <v>5</v>
      </c>
      <c r="AC13" s="56">
        <f t="shared" si="3"/>
        <v>15</v>
      </c>
      <c r="AD13" s="49">
        <f t="shared" si="5"/>
        <v>25</v>
      </c>
      <c r="AE13" s="50">
        <v>43200</v>
      </c>
    </row>
    <row r="14" spans="1:31" ht="14.25" x14ac:dyDescent="0.15">
      <c r="A14" s="53" t="s">
        <v>25</v>
      </c>
      <c r="B14" s="54"/>
      <c r="C14" s="55">
        <v>5</v>
      </c>
      <c r="D14" s="55"/>
      <c r="E14" s="55"/>
      <c r="F14" s="56">
        <f t="shared" si="0"/>
        <v>5</v>
      </c>
      <c r="G14" s="54">
        <v>5</v>
      </c>
      <c r="H14" s="55"/>
      <c r="I14" s="55"/>
      <c r="J14" s="55"/>
      <c r="K14" s="56">
        <f t="shared" si="1"/>
        <v>5</v>
      </c>
      <c r="L14" s="49">
        <f t="shared" si="4"/>
        <v>10</v>
      </c>
      <c r="M14" s="50">
        <v>43187</v>
      </c>
      <c r="S14" s="27" t="s">
        <v>21</v>
      </c>
      <c r="T14" s="54"/>
      <c r="U14" s="55"/>
      <c r="V14" s="55"/>
      <c r="W14" s="55"/>
      <c r="X14" s="56">
        <f t="shared" si="2"/>
        <v>0</v>
      </c>
      <c r="Y14" s="54"/>
      <c r="Z14" s="55">
        <v>5</v>
      </c>
      <c r="AA14" s="55">
        <v>5</v>
      </c>
      <c r="AB14" s="55"/>
      <c r="AC14" s="56">
        <f t="shared" si="3"/>
        <v>10</v>
      </c>
      <c r="AD14" s="49">
        <f t="shared" si="5"/>
        <v>10</v>
      </c>
      <c r="AE14" s="50">
        <v>43202</v>
      </c>
    </row>
    <row r="15" spans="1:31" ht="14.25" x14ac:dyDescent="0.15">
      <c r="A15" s="53" t="s">
        <v>26</v>
      </c>
      <c r="B15" s="54"/>
      <c r="C15" s="55"/>
      <c r="D15" s="55"/>
      <c r="E15" s="55">
        <v>2</v>
      </c>
      <c r="F15" s="56">
        <f t="shared" si="0"/>
        <v>2</v>
      </c>
      <c r="G15" s="54">
        <v>1</v>
      </c>
      <c r="H15" s="55"/>
      <c r="I15" s="55"/>
      <c r="J15" s="55"/>
      <c r="K15" s="56">
        <f t="shared" si="1"/>
        <v>1</v>
      </c>
      <c r="L15" s="49">
        <f t="shared" si="4"/>
        <v>3</v>
      </c>
      <c r="M15" s="50">
        <v>43187</v>
      </c>
      <c r="S15" s="27" t="s">
        <v>21</v>
      </c>
      <c r="T15" s="54"/>
      <c r="U15" s="55">
        <v>5</v>
      </c>
      <c r="V15" s="55"/>
      <c r="W15" s="55"/>
      <c r="X15" s="56">
        <f t="shared" si="2"/>
        <v>5</v>
      </c>
      <c r="Y15" s="54">
        <v>5</v>
      </c>
      <c r="Z15" s="55"/>
      <c r="AA15" s="55">
        <v>10</v>
      </c>
      <c r="AB15" s="55"/>
      <c r="AC15" s="56">
        <f t="shared" si="3"/>
        <v>15</v>
      </c>
      <c r="AD15" s="49">
        <f t="shared" si="5"/>
        <v>20</v>
      </c>
      <c r="AE15" s="50">
        <v>43208</v>
      </c>
    </row>
    <row r="16" spans="1:31" ht="14.25" x14ac:dyDescent="0.15">
      <c r="A16" s="53" t="s">
        <v>25</v>
      </c>
      <c r="B16" s="54"/>
      <c r="C16" s="55"/>
      <c r="D16" s="55">
        <v>3</v>
      </c>
      <c r="E16" s="55"/>
      <c r="F16" s="56">
        <f t="shared" si="0"/>
        <v>3</v>
      </c>
      <c r="G16" s="54"/>
      <c r="H16" s="55"/>
      <c r="I16" s="55"/>
      <c r="J16" s="55"/>
      <c r="K16" s="56">
        <f t="shared" si="1"/>
        <v>0</v>
      </c>
      <c r="L16" s="49">
        <f t="shared" si="4"/>
        <v>3</v>
      </c>
      <c r="M16" s="50">
        <v>43187</v>
      </c>
      <c r="S16" s="27"/>
      <c r="T16" s="15"/>
      <c r="U16" s="16"/>
      <c r="V16" s="16"/>
      <c r="W16" s="16"/>
      <c r="X16" s="28">
        <f t="shared" si="2"/>
        <v>0</v>
      </c>
      <c r="Y16" s="15"/>
      <c r="Z16" s="16"/>
      <c r="AA16" s="16"/>
      <c r="AB16" s="16"/>
      <c r="AC16" s="28">
        <f t="shared" si="3"/>
        <v>0</v>
      </c>
      <c r="AD16" s="13">
        <f t="shared" si="5"/>
        <v>0</v>
      </c>
      <c r="AE16" s="14"/>
    </row>
    <row r="17" spans="1:31" ht="14.25" x14ac:dyDescent="0.15">
      <c r="A17" s="53" t="s">
        <v>26</v>
      </c>
      <c r="B17" s="54"/>
      <c r="C17" s="55"/>
      <c r="D17" s="55"/>
      <c r="E17" s="55"/>
      <c r="F17" s="56">
        <f t="shared" si="0"/>
        <v>0</v>
      </c>
      <c r="G17" s="54"/>
      <c r="H17" s="55">
        <v>1</v>
      </c>
      <c r="I17" s="55"/>
      <c r="J17" s="55"/>
      <c r="K17" s="56">
        <f t="shared" si="1"/>
        <v>1</v>
      </c>
      <c r="L17" s="49">
        <f t="shared" si="4"/>
        <v>1</v>
      </c>
      <c r="M17" s="50">
        <v>43187</v>
      </c>
      <c r="S17" s="27"/>
      <c r="T17" s="15"/>
      <c r="U17" s="16"/>
      <c r="V17" s="16"/>
      <c r="W17" s="16"/>
      <c r="X17" s="28">
        <f t="shared" si="2"/>
        <v>0</v>
      </c>
      <c r="Y17" s="15"/>
      <c r="Z17" s="16"/>
      <c r="AA17" s="16"/>
      <c r="AB17" s="16"/>
      <c r="AC17" s="28">
        <f t="shared" si="3"/>
        <v>0</v>
      </c>
      <c r="AD17" s="13">
        <f t="shared" si="5"/>
        <v>0</v>
      </c>
      <c r="AE17" s="14"/>
    </row>
    <row r="18" spans="1:31" ht="14.25" x14ac:dyDescent="0.15">
      <c r="A18" s="53" t="s">
        <v>25</v>
      </c>
      <c r="B18" s="17"/>
      <c r="C18" s="18"/>
      <c r="D18" s="18"/>
      <c r="E18" s="18"/>
      <c r="F18" s="30">
        <f t="shared" si="0"/>
        <v>0</v>
      </c>
      <c r="G18" s="17"/>
      <c r="H18" s="18">
        <v>3</v>
      </c>
      <c r="I18" s="18">
        <v>3</v>
      </c>
      <c r="J18" s="18"/>
      <c r="K18" s="30">
        <f t="shared" si="1"/>
        <v>6</v>
      </c>
      <c r="L18" s="49">
        <f t="shared" si="4"/>
        <v>6</v>
      </c>
      <c r="M18" s="50">
        <v>43187</v>
      </c>
      <c r="S18" s="27"/>
      <c r="T18" s="15"/>
      <c r="U18" s="16"/>
      <c r="V18" s="16"/>
      <c r="W18" s="16"/>
      <c r="X18" s="28">
        <f t="shared" si="2"/>
        <v>0</v>
      </c>
      <c r="Y18" s="15"/>
      <c r="Z18" s="16"/>
      <c r="AA18" s="16"/>
      <c r="AB18" s="16"/>
      <c r="AC18" s="28">
        <f t="shared" si="3"/>
        <v>0</v>
      </c>
      <c r="AD18" s="13">
        <f t="shared" si="5"/>
        <v>0</v>
      </c>
      <c r="AE18" s="14"/>
    </row>
    <row r="19" spans="1:31" ht="14.25" x14ac:dyDescent="0.15">
      <c r="A19" s="53" t="s">
        <v>25</v>
      </c>
      <c r="B19" s="62"/>
      <c r="C19" s="63"/>
      <c r="D19" s="63"/>
      <c r="E19" s="63"/>
      <c r="F19" s="56">
        <f t="shared" si="0"/>
        <v>0</v>
      </c>
      <c r="G19" s="62">
        <v>5</v>
      </c>
      <c r="H19" s="63"/>
      <c r="I19" s="63"/>
      <c r="J19" s="63"/>
      <c r="K19" s="56">
        <f t="shared" si="1"/>
        <v>5</v>
      </c>
      <c r="L19" s="49">
        <f t="shared" si="4"/>
        <v>5</v>
      </c>
      <c r="M19" s="50">
        <v>43188</v>
      </c>
      <c r="S19" s="27"/>
      <c r="T19" s="31"/>
      <c r="U19" s="32"/>
      <c r="V19" s="32"/>
      <c r="W19" s="32"/>
      <c r="X19" s="28">
        <f t="shared" si="2"/>
        <v>0</v>
      </c>
      <c r="Y19" s="31"/>
      <c r="Z19" s="32"/>
      <c r="AA19" s="32"/>
      <c r="AB19" s="32"/>
      <c r="AC19" s="28">
        <f t="shared" si="3"/>
        <v>0</v>
      </c>
      <c r="AD19" s="13">
        <f t="shared" si="5"/>
        <v>0</v>
      </c>
      <c r="AE19" s="14"/>
    </row>
    <row r="20" spans="1:31" ht="14.25" x14ac:dyDescent="0.15">
      <c r="A20" s="53" t="s">
        <v>26</v>
      </c>
      <c r="B20" s="54"/>
      <c r="C20" s="55">
        <v>3</v>
      </c>
      <c r="D20" s="55"/>
      <c r="E20" s="55"/>
      <c r="F20" s="56">
        <f t="shared" si="0"/>
        <v>3</v>
      </c>
      <c r="G20" s="54"/>
      <c r="H20" s="55"/>
      <c r="I20" s="55"/>
      <c r="J20" s="55"/>
      <c r="K20" s="56">
        <f t="shared" si="1"/>
        <v>0</v>
      </c>
      <c r="L20" s="49">
        <f t="shared" si="4"/>
        <v>3</v>
      </c>
      <c r="M20" s="50">
        <v>43188</v>
      </c>
      <c r="S20" s="27"/>
      <c r="T20" s="15"/>
      <c r="U20" s="16"/>
      <c r="V20" s="16"/>
      <c r="W20" s="16"/>
      <c r="X20" s="28">
        <f t="shared" si="2"/>
        <v>0</v>
      </c>
      <c r="Y20" s="15"/>
      <c r="Z20" s="16"/>
      <c r="AA20" s="16"/>
      <c r="AB20" s="16"/>
      <c r="AC20" s="28">
        <f t="shared" si="3"/>
        <v>0</v>
      </c>
      <c r="AD20" s="13">
        <f t="shared" si="5"/>
        <v>0</v>
      </c>
      <c r="AE20" s="14"/>
    </row>
    <row r="21" spans="1:31" ht="14.25" x14ac:dyDescent="0.15">
      <c r="A21" s="53" t="s">
        <v>26</v>
      </c>
      <c r="B21" s="54"/>
      <c r="C21" s="55"/>
      <c r="D21" s="55"/>
      <c r="E21" s="55"/>
      <c r="F21" s="56">
        <f t="shared" si="0"/>
        <v>0</v>
      </c>
      <c r="G21" s="54">
        <v>3</v>
      </c>
      <c r="H21" s="55"/>
      <c r="I21" s="55"/>
      <c r="J21" s="55"/>
      <c r="K21" s="56">
        <f t="shared" si="1"/>
        <v>3</v>
      </c>
      <c r="L21" s="49">
        <f t="shared" si="4"/>
        <v>3</v>
      </c>
      <c r="M21" s="50">
        <v>43192</v>
      </c>
      <c r="S21" s="27"/>
      <c r="T21" s="15"/>
      <c r="U21" s="16"/>
      <c r="V21" s="16"/>
      <c r="W21" s="16"/>
      <c r="X21" s="28">
        <f t="shared" si="2"/>
        <v>0</v>
      </c>
      <c r="Y21" s="15"/>
      <c r="Z21" s="16"/>
      <c r="AA21" s="16"/>
      <c r="AB21" s="16"/>
      <c r="AC21" s="28">
        <f t="shared" si="3"/>
        <v>0</v>
      </c>
      <c r="AD21" s="13">
        <f t="shared" si="5"/>
        <v>0</v>
      </c>
      <c r="AE21" s="14"/>
    </row>
    <row r="22" spans="1:31" ht="14.25" x14ac:dyDescent="0.15">
      <c r="A22" s="53" t="s">
        <v>26</v>
      </c>
      <c r="B22" s="54"/>
      <c r="C22" s="55"/>
      <c r="D22" s="55"/>
      <c r="E22" s="55"/>
      <c r="F22" s="56">
        <f t="shared" si="0"/>
        <v>0</v>
      </c>
      <c r="G22" s="54"/>
      <c r="H22" s="55">
        <v>5</v>
      </c>
      <c r="I22" s="55"/>
      <c r="J22" s="55"/>
      <c r="K22" s="56">
        <f t="shared" si="1"/>
        <v>5</v>
      </c>
      <c r="L22" s="49">
        <f t="shared" si="4"/>
        <v>5</v>
      </c>
      <c r="M22" s="50">
        <v>43196</v>
      </c>
      <c r="S22" s="27"/>
      <c r="T22" s="15"/>
      <c r="U22" s="16"/>
      <c r="V22" s="16"/>
      <c r="W22" s="16"/>
      <c r="X22" s="28">
        <f t="shared" si="2"/>
        <v>0</v>
      </c>
      <c r="Y22" s="15"/>
      <c r="Z22" s="16"/>
      <c r="AA22" s="16"/>
      <c r="AB22" s="16"/>
      <c r="AC22" s="28">
        <f t="shared" si="3"/>
        <v>0</v>
      </c>
      <c r="AD22" s="13">
        <f t="shared" si="5"/>
        <v>0</v>
      </c>
      <c r="AE22" s="14"/>
    </row>
    <row r="23" spans="1:31" ht="14.25" x14ac:dyDescent="0.15">
      <c r="A23" s="53" t="s">
        <v>25</v>
      </c>
      <c r="B23" s="54"/>
      <c r="C23" s="55"/>
      <c r="D23" s="55">
        <v>3</v>
      </c>
      <c r="E23" s="55"/>
      <c r="F23" s="56">
        <f t="shared" si="0"/>
        <v>3</v>
      </c>
      <c r="G23" s="54"/>
      <c r="H23" s="55">
        <v>5</v>
      </c>
      <c r="I23" s="55">
        <v>3</v>
      </c>
      <c r="J23" s="55">
        <v>3</v>
      </c>
      <c r="K23" s="56">
        <f t="shared" si="1"/>
        <v>11</v>
      </c>
      <c r="L23" s="49">
        <f t="shared" si="4"/>
        <v>14</v>
      </c>
      <c r="M23" s="50">
        <v>43199</v>
      </c>
      <c r="S23" s="27"/>
      <c r="T23" s="11"/>
      <c r="U23" s="12"/>
      <c r="V23" s="12"/>
      <c r="W23" s="12"/>
      <c r="X23" s="13">
        <f t="shared" si="2"/>
        <v>0</v>
      </c>
      <c r="Y23" s="11"/>
      <c r="Z23" s="12"/>
      <c r="AA23" s="12"/>
      <c r="AB23" s="12"/>
      <c r="AC23" s="13">
        <f t="shared" si="3"/>
        <v>0</v>
      </c>
      <c r="AD23" s="13">
        <f t="shared" si="5"/>
        <v>0</v>
      </c>
      <c r="AE23" s="14"/>
    </row>
    <row r="24" spans="1:31" ht="14.25" x14ac:dyDescent="0.15">
      <c r="A24" s="53" t="s">
        <v>26</v>
      </c>
      <c r="B24" s="54"/>
      <c r="C24" s="55"/>
      <c r="D24" s="55"/>
      <c r="E24" s="55"/>
      <c r="F24" s="56">
        <f t="shared" si="0"/>
        <v>0</v>
      </c>
      <c r="G24" s="54"/>
      <c r="H24" s="55"/>
      <c r="I24" s="55">
        <v>3</v>
      </c>
      <c r="J24" s="55"/>
      <c r="K24" s="56">
        <f t="shared" si="1"/>
        <v>3</v>
      </c>
      <c r="L24" s="49">
        <f t="shared" si="4"/>
        <v>3</v>
      </c>
      <c r="M24" s="50">
        <v>43199</v>
      </c>
      <c r="S24" s="27"/>
      <c r="T24" s="15"/>
      <c r="U24" s="16"/>
      <c r="V24" s="16"/>
      <c r="W24" s="16"/>
      <c r="X24" s="28">
        <f t="shared" si="2"/>
        <v>0</v>
      </c>
      <c r="Y24" s="15"/>
      <c r="Z24" s="16"/>
      <c r="AA24" s="16"/>
      <c r="AB24" s="16"/>
      <c r="AC24" s="28">
        <f t="shared" si="3"/>
        <v>0</v>
      </c>
      <c r="AD24" s="13">
        <f t="shared" si="5"/>
        <v>0</v>
      </c>
      <c r="AE24" s="14"/>
    </row>
    <row r="25" spans="1:31" ht="14.25" x14ac:dyDescent="0.15">
      <c r="A25" s="53" t="s">
        <v>26</v>
      </c>
      <c r="B25" s="54">
        <v>2</v>
      </c>
      <c r="C25" s="55"/>
      <c r="D25" s="55"/>
      <c r="E25" s="55"/>
      <c r="F25" s="56">
        <f t="shared" si="0"/>
        <v>2</v>
      </c>
      <c r="G25" s="54"/>
      <c r="H25" s="55"/>
      <c r="I25" s="55"/>
      <c r="J25" s="55"/>
      <c r="K25" s="56">
        <f t="shared" si="1"/>
        <v>0</v>
      </c>
      <c r="L25" s="49">
        <f t="shared" si="4"/>
        <v>2</v>
      </c>
      <c r="M25" s="50">
        <v>43203</v>
      </c>
      <c r="S25" s="27"/>
      <c r="T25" s="17"/>
      <c r="U25" s="18"/>
      <c r="V25" s="18"/>
      <c r="W25" s="18"/>
      <c r="X25" s="30">
        <f t="shared" si="2"/>
        <v>0</v>
      </c>
      <c r="Y25" s="17"/>
      <c r="Z25" s="18"/>
      <c r="AA25" s="18"/>
      <c r="AB25" s="18"/>
      <c r="AC25" s="30">
        <f t="shared" si="3"/>
        <v>0</v>
      </c>
      <c r="AD25" s="13">
        <f t="shared" si="5"/>
        <v>0</v>
      </c>
      <c r="AE25" s="14"/>
    </row>
    <row r="26" spans="1:31" ht="14.25" x14ac:dyDescent="0.15">
      <c r="A26" s="53" t="s">
        <v>25</v>
      </c>
      <c r="B26" s="54">
        <v>5</v>
      </c>
      <c r="C26" s="55"/>
      <c r="D26" s="55"/>
      <c r="E26" s="55"/>
      <c r="F26" s="56">
        <f t="shared" si="0"/>
        <v>5</v>
      </c>
      <c r="G26" s="54">
        <v>5</v>
      </c>
      <c r="H26" s="55"/>
      <c r="I26" s="55">
        <v>3</v>
      </c>
      <c r="J26" s="55"/>
      <c r="K26" s="56">
        <f t="shared" si="1"/>
        <v>8</v>
      </c>
      <c r="L26" s="49">
        <f t="shared" si="4"/>
        <v>13</v>
      </c>
      <c r="M26" s="50">
        <v>43203</v>
      </c>
      <c r="S26" s="29"/>
      <c r="T26" s="17"/>
      <c r="U26" s="18"/>
      <c r="V26" s="18"/>
      <c r="W26" s="18"/>
      <c r="X26" s="30">
        <f t="shared" si="2"/>
        <v>0</v>
      </c>
      <c r="Y26" s="17"/>
      <c r="Z26" s="18"/>
      <c r="AA26" s="18"/>
      <c r="AB26" s="18"/>
      <c r="AC26" s="30">
        <f t="shared" si="3"/>
        <v>0</v>
      </c>
      <c r="AD26" s="13">
        <f t="shared" si="5"/>
        <v>0</v>
      </c>
    </row>
    <row r="27" spans="1:31" ht="14.25" x14ac:dyDescent="0.15">
      <c r="A27" s="65" t="s">
        <v>28</v>
      </c>
      <c r="B27" s="54">
        <v>-10</v>
      </c>
      <c r="C27" s="55"/>
      <c r="D27" s="55"/>
      <c r="E27" s="55"/>
      <c r="F27" s="56">
        <f t="shared" si="0"/>
        <v>-10</v>
      </c>
      <c r="G27" s="54">
        <v>-5</v>
      </c>
      <c r="H27" s="55"/>
      <c r="I27" s="55">
        <v>-5</v>
      </c>
      <c r="J27" s="55">
        <v>-5</v>
      </c>
      <c r="K27" s="56">
        <f t="shared" si="1"/>
        <v>-15</v>
      </c>
      <c r="L27" s="49">
        <f t="shared" si="4"/>
        <v>-25</v>
      </c>
      <c r="M27" s="50">
        <v>43203</v>
      </c>
      <c r="S27" s="29"/>
      <c r="T27" s="17"/>
      <c r="U27" s="18"/>
      <c r="V27" s="18"/>
      <c r="W27" s="18"/>
      <c r="X27" s="30">
        <f t="shared" si="2"/>
        <v>0</v>
      </c>
      <c r="Y27" s="17"/>
      <c r="Z27" s="18"/>
      <c r="AA27" s="18"/>
      <c r="AB27" s="18"/>
      <c r="AC27" s="30">
        <f t="shared" si="3"/>
        <v>0</v>
      </c>
      <c r="AD27" s="13">
        <f t="shared" si="5"/>
        <v>0</v>
      </c>
    </row>
    <row r="28" spans="1:31" ht="14.25" x14ac:dyDescent="0.15">
      <c r="A28" s="53" t="s">
        <v>25</v>
      </c>
      <c r="B28" s="54"/>
      <c r="C28" s="55"/>
      <c r="D28" s="55"/>
      <c r="E28" s="55"/>
      <c r="F28" s="56">
        <f t="shared" si="0"/>
        <v>0</v>
      </c>
      <c r="G28" s="54"/>
      <c r="H28" s="55">
        <v>5</v>
      </c>
      <c r="I28" s="55">
        <v>5</v>
      </c>
      <c r="J28" s="55"/>
      <c r="K28" s="56">
        <f t="shared" si="1"/>
        <v>10</v>
      </c>
      <c r="L28" s="49">
        <f t="shared" si="4"/>
        <v>10</v>
      </c>
      <c r="M28" s="50">
        <v>43206</v>
      </c>
      <c r="S28" s="29"/>
      <c r="T28" s="17"/>
      <c r="U28" s="18"/>
      <c r="V28" s="18"/>
      <c r="W28" s="18"/>
      <c r="X28" s="30">
        <f t="shared" si="2"/>
        <v>0</v>
      </c>
      <c r="Y28" s="17"/>
      <c r="Z28" s="18"/>
      <c r="AA28" s="18"/>
      <c r="AB28" s="18"/>
      <c r="AC28" s="30">
        <f t="shared" si="3"/>
        <v>0</v>
      </c>
      <c r="AD28" s="13">
        <f t="shared" si="5"/>
        <v>0</v>
      </c>
    </row>
    <row r="29" spans="1:31" ht="14.25" x14ac:dyDescent="0.15">
      <c r="A29" s="65" t="s">
        <v>28</v>
      </c>
      <c r="B29" s="17"/>
      <c r="C29" s="18"/>
      <c r="D29" s="18"/>
      <c r="E29" s="18"/>
      <c r="F29" s="30">
        <f t="shared" si="0"/>
        <v>0</v>
      </c>
      <c r="G29" s="17"/>
      <c r="H29" s="18">
        <v>-5</v>
      </c>
      <c r="I29" s="18">
        <v>-5</v>
      </c>
      <c r="J29" s="18"/>
      <c r="K29" s="30">
        <f t="shared" si="1"/>
        <v>-10</v>
      </c>
      <c r="L29" s="49">
        <f t="shared" si="4"/>
        <v>-10</v>
      </c>
      <c r="M29" s="50">
        <v>43202</v>
      </c>
      <c r="S29" s="29"/>
      <c r="T29" s="17"/>
      <c r="U29" s="18"/>
      <c r="V29" s="18"/>
      <c r="W29" s="18"/>
      <c r="X29" s="30">
        <f t="shared" si="2"/>
        <v>0</v>
      </c>
      <c r="Y29" s="17"/>
      <c r="Z29" s="18"/>
      <c r="AA29" s="18"/>
      <c r="AB29" s="18"/>
      <c r="AC29" s="30">
        <f t="shared" si="3"/>
        <v>0</v>
      </c>
      <c r="AD29" s="13">
        <f t="shared" si="5"/>
        <v>0</v>
      </c>
    </row>
    <row r="30" spans="1:31" ht="14.25" x14ac:dyDescent="0.15">
      <c r="A30" s="66" t="s">
        <v>29</v>
      </c>
      <c r="B30" s="54">
        <v>-1</v>
      </c>
      <c r="C30" s="55"/>
      <c r="D30" s="55"/>
      <c r="E30" s="55"/>
      <c r="F30" s="56">
        <f t="shared" si="0"/>
        <v>-1</v>
      </c>
      <c r="G30" s="54"/>
      <c r="H30" s="55"/>
      <c r="I30" s="55"/>
      <c r="J30" s="55"/>
      <c r="K30" s="56">
        <f t="shared" si="1"/>
        <v>0</v>
      </c>
      <c r="L30" s="49">
        <f t="shared" si="4"/>
        <v>-1</v>
      </c>
      <c r="M30" s="50">
        <v>43202</v>
      </c>
      <c r="S30" s="29"/>
      <c r="T30" s="17"/>
      <c r="U30" s="18"/>
      <c r="V30" s="18"/>
      <c r="W30" s="18"/>
      <c r="X30" s="30">
        <f t="shared" si="2"/>
        <v>0</v>
      </c>
      <c r="Y30" s="17"/>
      <c r="Z30" s="18"/>
      <c r="AA30" s="18"/>
      <c r="AB30" s="18"/>
      <c r="AC30" s="30">
        <f t="shared" si="3"/>
        <v>0</v>
      </c>
      <c r="AD30" s="13">
        <f t="shared" si="5"/>
        <v>0</v>
      </c>
    </row>
    <row r="31" spans="1:31" ht="14.25" x14ac:dyDescent="0.15">
      <c r="A31" s="53" t="s">
        <v>25</v>
      </c>
      <c r="B31" s="62"/>
      <c r="C31" s="63"/>
      <c r="D31" s="63"/>
      <c r="E31" s="63"/>
      <c r="F31" s="56">
        <f t="shared" si="0"/>
        <v>0</v>
      </c>
      <c r="G31" s="62"/>
      <c r="H31" s="63">
        <v>5</v>
      </c>
      <c r="I31" s="63"/>
      <c r="J31" s="63">
        <v>3</v>
      </c>
      <c r="K31" s="56">
        <f t="shared" si="1"/>
        <v>8</v>
      </c>
      <c r="L31" s="49">
        <f t="shared" si="4"/>
        <v>8</v>
      </c>
      <c r="M31" s="50">
        <v>43207</v>
      </c>
      <c r="S31" s="29"/>
      <c r="T31" s="31"/>
      <c r="U31" s="32"/>
      <c r="V31" s="32"/>
      <c r="W31" s="32"/>
      <c r="X31" s="28">
        <f t="shared" si="2"/>
        <v>0</v>
      </c>
      <c r="Y31" s="31"/>
      <c r="Z31" s="32"/>
      <c r="AA31" s="32"/>
      <c r="AB31" s="32"/>
      <c r="AC31" s="28">
        <f t="shared" si="3"/>
        <v>0</v>
      </c>
      <c r="AD31" s="13">
        <f t="shared" si="5"/>
        <v>0</v>
      </c>
    </row>
    <row r="32" spans="1:31" ht="14.25" x14ac:dyDescent="0.15">
      <c r="A32" s="53" t="s">
        <v>26</v>
      </c>
      <c r="B32" s="54"/>
      <c r="C32" s="55"/>
      <c r="D32" s="55"/>
      <c r="E32" s="55"/>
      <c r="F32" s="56">
        <f t="shared" si="0"/>
        <v>0</v>
      </c>
      <c r="G32" s="54">
        <v>3</v>
      </c>
      <c r="H32" s="55"/>
      <c r="I32" s="55">
        <v>3</v>
      </c>
      <c r="J32" s="55"/>
      <c r="K32" s="56">
        <f t="shared" si="1"/>
        <v>6</v>
      </c>
      <c r="L32" s="49">
        <f t="shared" si="4"/>
        <v>6</v>
      </c>
      <c r="M32" s="50">
        <v>43210</v>
      </c>
      <c r="S32" s="29"/>
      <c r="T32" s="15"/>
      <c r="U32" s="16"/>
      <c r="V32" s="16"/>
      <c r="W32" s="16"/>
      <c r="X32" s="28">
        <f t="shared" si="2"/>
        <v>0</v>
      </c>
      <c r="Y32" s="15"/>
      <c r="Z32" s="16"/>
      <c r="AA32" s="16"/>
      <c r="AB32" s="16"/>
      <c r="AC32" s="28">
        <f t="shared" si="3"/>
        <v>0</v>
      </c>
      <c r="AD32" s="13">
        <f t="shared" si="5"/>
        <v>0</v>
      </c>
    </row>
    <row r="33" spans="1:31" ht="14.25" x14ac:dyDescent="0.15">
      <c r="A33" s="53" t="s">
        <v>25</v>
      </c>
      <c r="B33" s="54">
        <v>5</v>
      </c>
      <c r="C33" s="55">
        <v>5</v>
      </c>
      <c r="D33" s="55">
        <v>3</v>
      </c>
      <c r="E33" s="55"/>
      <c r="F33" s="56">
        <f t="shared" si="0"/>
        <v>13</v>
      </c>
      <c r="G33" s="54">
        <v>5</v>
      </c>
      <c r="H33" s="55"/>
      <c r="I33" s="55">
        <v>5</v>
      </c>
      <c r="J33" s="55"/>
      <c r="K33" s="56">
        <f t="shared" si="1"/>
        <v>10</v>
      </c>
      <c r="L33" s="49">
        <f t="shared" si="4"/>
        <v>23</v>
      </c>
      <c r="M33" s="50">
        <v>43210</v>
      </c>
      <c r="S33" s="29"/>
      <c r="T33" s="15"/>
      <c r="U33" s="16"/>
      <c r="V33" s="16"/>
      <c r="W33" s="16"/>
      <c r="X33" s="28">
        <f t="shared" si="2"/>
        <v>0</v>
      </c>
      <c r="Y33" s="15"/>
      <c r="Z33" s="16"/>
      <c r="AA33" s="16"/>
      <c r="AB33" s="16"/>
      <c r="AC33" s="28">
        <f t="shared" si="3"/>
        <v>0</v>
      </c>
      <c r="AD33" s="13">
        <f t="shared" si="5"/>
        <v>0</v>
      </c>
    </row>
    <row r="34" spans="1:31" ht="14.25" x14ac:dyDescent="0.15">
      <c r="A34" s="65" t="s">
        <v>28</v>
      </c>
      <c r="B34" s="54"/>
      <c r="C34" s="55">
        <v>-5</v>
      </c>
      <c r="D34" s="55"/>
      <c r="E34" s="55"/>
      <c r="F34" s="56">
        <f t="shared" si="0"/>
        <v>-5</v>
      </c>
      <c r="G34" s="54">
        <v>-5</v>
      </c>
      <c r="H34" s="55"/>
      <c r="I34" s="55">
        <v>-10</v>
      </c>
      <c r="J34" s="55"/>
      <c r="K34" s="56">
        <f t="shared" si="1"/>
        <v>-15</v>
      </c>
      <c r="L34" s="49">
        <f t="shared" si="4"/>
        <v>-20</v>
      </c>
      <c r="M34" s="50">
        <v>43208</v>
      </c>
      <c r="S34" s="29"/>
      <c r="T34" s="15"/>
      <c r="U34" s="16"/>
      <c r="V34" s="16"/>
      <c r="W34" s="16"/>
      <c r="X34" s="28">
        <f t="shared" si="2"/>
        <v>0</v>
      </c>
      <c r="Y34" s="15"/>
      <c r="Z34" s="16"/>
      <c r="AA34" s="16"/>
      <c r="AB34" s="16"/>
      <c r="AC34" s="28">
        <f t="shared" si="3"/>
        <v>0</v>
      </c>
      <c r="AD34" s="13">
        <f t="shared" si="5"/>
        <v>0</v>
      </c>
    </row>
    <row r="35" spans="1:31" ht="15" thickBot="1" x14ac:dyDescent="0.2">
      <c r="A35" s="67" t="s">
        <v>29</v>
      </c>
      <c r="B35" s="33"/>
      <c r="C35" s="34"/>
      <c r="D35" s="34"/>
      <c r="E35" s="34"/>
      <c r="F35" s="30">
        <f t="shared" si="0"/>
        <v>0</v>
      </c>
      <c r="G35" s="33"/>
      <c r="H35" s="34">
        <v>-1</v>
      </c>
      <c r="I35" s="34">
        <v>-2</v>
      </c>
      <c r="J35" s="34"/>
      <c r="K35" s="30">
        <f t="shared" si="1"/>
        <v>-3</v>
      </c>
      <c r="L35" s="21">
        <f t="shared" si="4"/>
        <v>-3</v>
      </c>
      <c r="M35" s="61">
        <v>43216</v>
      </c>
      <c r="S35" s="73"/>
      <c r="T35" s="62"/>
      <c r="U35" s="63"/>
      <c r="V35" s="63"/>
      <c r="W35" s="63"/>
      <c r="X35" s="56">
        <f t="shared" si="2"/>
        <v>0</v>
      </c>
      <c r="Y35" s="62"/>
      <c r="Z35" s="63"/>
      <c r="AA35" s="63"/>
      <c r="AB35" s="63"/>
      <c r="AC35" s="56">
        <f t="shared" si="3"/>
        <v>0</v>
      </c>
      <c r="AD35" s="64">
        <f t="shared" si="5"/>
        <v>0</v>
      </c>
      <c r="AE35" s="74"/>
    </row>
    <row r="36" spans="1:31" ht="15" thickBot="1" x14ac:dyDescent="0.2">
      <c r="A36" s="9" t="s">
        <v>15</v>
      </c>
      <c r="B36" s="36">
        <f>SUM(B10:B35)</f>
        <v>11</v>
      </c>
      <c r="C36" s="37">
        <f>SUM(C10:C35)</f>
        <v>13</v>
      </c>
      <c r="D36" s="37">
        <f>SUM(D10:D35)</f>
        <v>14</v>
      </c>
      <c r="E36" s="38">
        <f>SUM(E10:E35)</f>
        <v>7</v>
      </c>
      <c r="F36" s="25">
        <f>SUM(B36:E36)</f>
        <v>45</v>
      </c>
      <c r="G36" s="36">
        <f>SUM(G10:G35)</f>
        <v>22</v>
      </c>
      <c r="H36" s="37">
        <f>SUM(H10:H35)</f>
        <v>23</v>
      </c>
      <c r="I36" s="37">
        <f>SUM(I10:I35)</f>
        <v>7</v>
      </c>
      <c r="J36" s="38">
        <f>SUM(J10:J35)</f>
        <v>6</v>
      </c>
      <c r="K36" s="25">
        <f>SUM(G36:J36)</f>
        <v>58</v>
      </c>
      <c r="L36" s="26">
        <f t="shared" si="4"/>
        <v>103</v>
      </c>
      <c r="S36" s="9" t="s">
        <v>15</v>
      </c>
      <c r="T36" s="36">
        <f>SUM(T10:T35)</f>
        <v>25</v>
      </c>
      <c r="U36" s="37">
        <f>SUM(U10:U35)</f>
        <v>18</v>
      </c>
      <c r="V36" s="37">
        <f>SUM(V10:V35)</f>
        <v>15</v>
      </c>
      <c r="W36" s="38">
        <f>SUM(W10:W35)</f>
        <v>10</v>
      </c>
      <c r="X36" s="25">
        <f>SUM(T36:W36)</f>
        <v>68</v>
      </c>
      <c r="Y36" s="36">
        <f>SUM(Y10:Y35)</f>
        <v>33</v>
      </c>
      <c r="Z36" s="37">
        <f>SUM(Z10:Z35)</f>
        <v>30</v>
      </c>
      <c r="AA36" s="37">
        <f>SUM(AA10:AA35)</f>
        <v>33</v>
      </c>
      <c r="AB36" s="38">
        <f>SUM(AB10:AB35)</f>
        <v>15</v>
      </c>
      <c r="AC36" s="25">
        <f>SUM(Y36:AB36)</f>
        <v>111</v>
      </c>
      <c r="AD36" s="26">
        <f t="shared" si="5"/>
        <v>179</v>
      </c>
    </row>
    <row r="37" spans="1:31" ht="15" thickBot="1" x14ac:dyDescent="0.2">
      <c r="A37" s="39" t="s">
        <v>16</v>
      </c>
      <c r="B37" s="40">
        <f t="shared" ref="B37:K37" si="6">B9-B36</f>
        <v>4</v>
      </c>
      <c r="C37" s="41">
        <f t="shared" si="6"/>
        <v>4</v>
      </c>
      <c r="D37" s="41">
        <f t="shared" si="6"/>
        <v>2</v>
      </c>
      <c r="E37" s="42">
        <f t="shared" si="6"/>
        <v>5</v>
      </c>
      <c r="F37" s="42">
        <f t="shared" si="6"/>
        <v>15</v>
      </c>
      <c r="G37" s="40">
        <f t="shared" si="6"/>
        <v>2</v>
      </c>
      <c r="H37" s="41">
        <f t="shared" si="6"/>
        <v>2</v>
      </c>
      <c r="I37" s="41">
        <f t="shared" si="6"/>
        <v>8</v>
      </c>
      <c r="J37" s="42">
        <f t="shared" si="6"/>
        <v>5</v>
      </c>
      <c r="K37" s="42">
        <f t="shared" si="6"/>
        <v>17</v>
      </c>
      <c r="L37" s="26">
        <f t="shared" si="4"/>
        <v>32</v>
      </c>
      <c r="M37" s="35"/>
      <c r="S37" s="43" t="s">
        <v>16</v>
      </c>
      <c r="T37" s="40">
        <f t="shared" ref="T37:AC37" si="7">T9-T36</f>
        <v>168</v>
      </c>
      <c r="U37" s="41">
        <f t="shared" si="7"/>
        <v>132</v>
      </c>
      <c r="V37" s="41">
        <f t="shared" si="7"/>
        <v>104</v>
      </c>
      <c r="W37" s="42">
        <f t="shared" si="7"/>
        <v>117</v>
      </c>
      <c r="X37" s="42">
        <f t="shared" si="7"/>
        <v>521</v>
      </c>
      <c r="Y37" s="40">
        <f t="shared" si="7"/>
        <v>105</v>
      </c>
      <c r="Z37" s="41">
        <f t="shared" si="7"/>
        <v>73</v>
      </c>
      <c r="AA37" s="41">
        <f t="shared" si="7"/>
        <v>46</v>
      </c>
      <c r="AB37" s="42">
        <f t="shared" si="7"/>
        <v>62</v>
      </c>
      <c r="AC37" s="42">
        <f t="shared" si="7"/>
        <v>286</v>
      </c>
      <c r="AD37" s="26">
        <f t="shared" si="5"/>
        <v>807</v>
      </c>
    </row>
    <row r="40" spans="1:31" ht="19.5" thickBot="1" x14ac:dyDescent="0.25">
      <c r="A40" s="1" t="s">
        <v>19</v>
      </c>
      <c r="S40" s="1" t="s">
        <v>20</v>
      </c>
    </row>
    <row r="41" spans="1:31" ht="14.25" thickBot="1" x14ac:dyDescent="0.2">
      <c r="A41" s="3" t="s">
        <v>0</v>
      </c>
      <c r="B41" s="371" t="s">
        <v>17</v>
      </c>
      <c r="C41" s="372"/>
      <c r="D41" s="372"/>
      <c r="E41" s="372"/>
      <c r="F41" s="373"/>
      <c r="G41" s="371" t="s">
        <v>18</v>
      </c>
      <c r="H41" s="372"/>
      <c r="I41" s="372"/>
      <c r="J41" s="372"/>
      <c r="K41" s="373"/>
      <c r="L41" s="360" t="s">
        <v>1</v>
      </c>
      <c r="S41" s="3" t="s">
        <v>0</v>
      </c>
      <c r="T41" s="82" t="s">
        <v>17</v>
      </c>
      <c r="U41" s="83"/>
      <c r="V41" s="83"/>
      <c r="W41" s="83"/>
      <c r="X41" s="84"/>
      <c r="Y41" s="82" t="s">
        <v>18</v>
      </c>
      <c r="Z41" s="83"/>
      <c r="AA41" s="83"/>
      <c r="AB41" s="83"/>
      <c r="AC41" s="84"/>
      <c r="AD41" s="80" t="s">
        <v>1</v>
      </c>
    </row>
    <row r="42" spans="1:31" ht="14.25" thickBot="1" x14ac:dyDescent="0.2">
      <c r="A42" s="5" t="s">
        <v>2</v>
      </c>
      <c r="B42" s="6" t="s">
        <v>3</v>
      </c>
      <c r="C42" s="7" t="s">
        <v>4</v>
      </c>
      <c r="D42" s="7" t="s">
        <v>5</v>
      </c>
      <c r="E42" s="8" t="s">
        <v>6</v>
      </c>
      <c r="F42" s="5" t="s">
        <v>7</v>
      </c>
      <c r="G42" s="6" t="s">
        <v>3</v>
      </c>
      <c r="H42" s="7" t="s">
        <v>4</v>
      </c>
      <c r="I42" s="7" t="s">
        <v>5</v>
      </c>
      <c r="J42" s="8" t="s">
        <v>6</v>
      </c>
      <c r="K42" s="5" t="s">
        <v>7</v>
      </c>
      <c r="L42" s="375"/>
      <c r="S42" s="5" t="s">
        <v>2</v>
      </c>
      <c r="T42" s="6" t="s">
        <v>3</v>
      </c>
      <c r="U42" s="7" t="s">
        <v>4</v>
      </c>
      <c r="V42" s="7" t="s">
        <v>5</v>
      </c>
      <c r="W42" s="8" t="s">
        <v>6</v>
      </c>
      <c r="X42" s="5" t="s">
        <v>7</v>
      </c>
      <c r="Y42" s="6" t="s">
        <v>3</v>
      </c>
      <c r="Z42" s="7" t="s">
        <v>4</v>
      </c>
      <c r="AA42" s="7" t="s">
        <v>5</v>
      </c>
      <c r="AB42" s="8" t="s">
        <v>6</v>
      </c>
      <c r="AC42" s="5" t="s">
        <v>7</v>
      </c>
      <c r="AD42" s="81"/>
    </row>
    <row r="43" spans="1:31" ht="14.25" x14ac:dyDescent="0.15">
      <c r="A43" s="68" t="s">
        <v>30</v>
      </c>
      <c r="B43" s="69">
        <f>B37</f>
        <v>4</v>
      </c>
      <c r="C43" s="70">
        <f>C37</f>
        <v>4</v>
      </c>
      <c r="D43" s="70">
        <f>D37</f>
        <v>2</v>
      </c>
      <c r="E43" s="70">
        <f>E37</f>
        <v>5</v>
      </c>
      <c r="F43" s="71">
        <f t="shared" ref="F43:F74" si="8">SUM(B43:E43)</f>
        <v>15</v>
      </c>
      <c r="G43" s="69">
        <f>G37</f>
        <v>2</v>
      </c>
      <c r="H43" s="70">
        <f>H37</f>
        <v>2</v>
      </c>
      <c r="I43" s="70">
        <f>I37</f>
        <v>8</v>
      </c>
      <c r="J43" s="70">
        <f>J37</f>
        <v>5</v>
      </c>
      <c r="K43" s="71">
        <f t="shared" ref="K43:K74" si="9">SUM(G43:J43)</f>
        <v>17</v>
      </c>
      <c r="L43" s="72">
        <f>F43+K43</f>
        <v>32</v>
      </c>
      <c r="M43" s="44"/>
      <c r="S43" s="68" t="s">
        <v>30</v>
      </c>
      <c r="T43" s="69">
        <f>T37</f>
        <v>168</v>
      </c>
      <c r="U43" s="70">
        <f>U37</f>
        <v>132</v>
      </c>
      <c r="V43" s="70">
        <f>V37</f>
        <v>104</v>
      </c>
      <c r="W43" s="70">
        <f>W37</f>
        <v>117</v>
      </c>
      <c r="X43" s="71">
        <f t="shared" ref="X43:X74" si="10">SUM(T43:W43)</f>
        <v>521</v>
      </c>
      <c r="Y43" s="69">
        <f>Y37</f>
        <v>105</v>
      </c>
      <c r="Z43" s="70">
        <f>Z37</f>
        <v>73</v>
      </c>
      <c r="AA43" s="70">
        <f>AA37</f>
        <v>46</v>
      </c>
      <c r="AB43" s="70">
        <f>AB37</f>
        <v>62</v>
      </c>
      <c r="AC43" s="71">
        <f t="shared" ref="AC43:AC74" si="11">SUM(Y43:AB43)</f>
        <v>286</v>
      </c>
      <c r="AD43" s="72">
        <f>X43+AC43</f>
        <v>807</v>
      </c>
    </row>
    <row r="44" spans="1:31" ht="14.25" x14ac:dyDescent="0.15">
      <c r="A44" s="10" t="s">
        <v>10</v>
      </c>
      <c r="B44" s="54"/>
      <c r="C44" s="55"/>
      <c r="D44" s="55"/>
      <c r="E44" s="55"/>
      <c r="F44" s="49">
        <f t="shared" si="8"/>
        <v>0</v>
      </c>
      <c r="G44" s="54">
        <v>10</v>
      </c>
      <c r="H44" s="55">
        <v>10</v>
      </c>
      <c r="I44" s="55"/>
      <c r="J44" s="55">
        <v>3</v>
      </c>
      <c r="K44" s="49">
        <f t="shared" si="9"/>
        <v>23</v>
      </c>
      <c r="L44" s="49">
        <f t="shared" ref="L44:L76" si="12">F44+K44</f>
        <v>23</v>
      </c>
      <c r="M44" s="50">
        <v>43216</v>
      </c>
      <c r="S44" s="10" t="s">
        <v>10</v>
      </c>
      <c r="T44" s="15"/>
      <c r="U44" s="16"/>
      <c r="V44" s="16"/>
      <c r="W44" s="16"/>
      <c r="X44" s="13">
        <f t="shared" si="10"/>
        <v>0</v>
      </c>
      <c r="Y44" s="15"/>
      <c r="Z44" s="16"/>
      <c r="AA44" s="16"/>
      <c r="AB44" s="16"/>
      <c r="AC44" s="13">
        <f t="shared" si="11"/>
        <v>0</v>
      </c>
      <c r="AD44" s="13">
        <f t="shared" ref="AD44:AD76" si="13">X44+AC44</f>
        <v>0</v>
      </c>
    </row>
    <row r="45" spans="1:31" ht="14.25" x14ac:dyDescent="0.15">
      <c r="A45" s="10" t="s">
        <v>11</v>
      </c>
      <c r="B45" s="54"/>
      <c r="C45" s="55">
        <v>10</v>
      </c>
      <c r="D45" s="55"/>
      <c r="E45" s="55">
        <v>6</v>
      </c>
      <c r="F45" s="49">
        <f t="shared" si="8"/>
        <v>16</v>
      </c>
      <c r="G45" s="54"/>
      <c r="H45" s="55"/>
      <c r="I45" s="55"/>
      <c r="J45" s="55"/>
      <c r="K45" s="49">
        <f t="shared" si="9"/>
        <v>0</v>
      </c>
      <c r="L45" s="49">
        <f t="shared" si="12"/>
        <v>16</v>
      </c>
      <c r="M45" s="50">
        <v>43221</v>
      </c>
      <c r="S45" s="10" t="s">
        <v>11</v>
      </c>
      <c r="T45" s="15"/>
      <c r="U45" s="16"/>
      <c r="V45" s="16"/>
      <c r="W45" s="16"/>
      <c r="X45" s="13">
        <f t="shared" si="10"/>
        <v>0</v>
      </c>
      <c r="Y45" s="15"/>
      <c r="Z45" s="16"/>
      <c r="AA45" s="16"/>
      <c r="AB45" s="16"/>
      <c r="AC45" s="13">
        <f t="shared" si="11"/>
        <v>0</v>
      </c>
      <c r="AD45" s="13">
        <f t="shared" si="13"/>
        <v>0</v>
      </c>
    </row>
    <row r="46" spans="1:31" ht="14.25" x14ac:dyDescent="0.15">
      <c r="A46" s="10" t="s">
        <v>12</v>
      </c>
      <c r="B46" s="54"/>
      <c r="C46" s="55"/>
      <c r="D46" s="55">
        <v>5</v>
      </c>
      <c r="E46" s="55"/>
      <c r="F46" s="49">
        <f t="shared" si="8"/>
        <v>5</v>
      </c>
      <c r="G46" s="54"/>
      <c r="H46" s="55"/>
      <c r="I46" s="55"/>
      <c r="J46" s="55"/>
      <c r="K46" s="49">
        <f t="shared" si="9"/>
        <v>0</v>
      </c>
      <c r="L46" s="49">
        <f t="shared" si="12"/>
        <v>5</v>
      </c>
      <c r="M46" s="50">
        <v>43227</v>
      </c>
      <c r="S46" s="10" t="s">
        <v>12</v>
      </c>
      <c r="T46" s="54"/>
      <c r="U46" s="55"/>
      <c r="V46" s="55"/>
      <c r="W46" s="55"/>
      <c r="X46" s="49">
        <f t="shared" si="10"/>
        <v>0</v>
      </c>
      <c r="Y46" s="54"/>
      <c r="Z46" s="55"/>
      <c r="AA46" s="55"/>
      <c r="AB46" s="55"/>
      <c r="AC46" s="49">
        <f t="shared" si="11"/>
        <v>0</v>
      </c>
      <c r="AD46" s="49">
        <f t="shared" si="13"/>
        <v>0</v>
      </c>
    </row>
    <row r="47" spans="1:31" ht="15" thickBot="1" x14ac:dyDescent="0.2">
      <c r="A47" s="10" t="s">
        <v>13</v>
      </c>
      <c r="B47" s="54"/>
      <c r="C47" s="55">
        <v>3</v>
      </c>
      <c r="D47" s="55"/>
      <c r="E47" s="55">
        <v>3</v>
      </c>
      <c r="F47" s="49">
        <f t="shared" si="8"/>
        <v>6</v>
      </c>
      <c r="G47" s="54">
        <v>15</v>
      </c>
      <c r="H47" s="55"/>
      <c r="I47" s="55"/>
      <c r="J47" s="55"/>
      <c r="K47" s="49">
        <f t="shared" si="9"/>
        <v>15</v>
      </c>
      <c r="L47" s="64">
        <f t="shared" si="12"/>
        <v>21</v>
      </c>
      <c r="M47" s="50">
        <v>43238</v>
      </c>
      <c r="S47" s="10" t="s">
        <v>13</v>
      </c>
      <c r="T47" s="54"/>
      <c r="U47" s="55"/>
      <c r="V47" s="55"/>
      <c r="W47" s="55"/>
      <c r="X47" s="49">
        <f t="shared" si="10"/>
        <v>0</v>
      </c>
      <c r="Y47" s="54"/>
      <c r="Z47" s="55"/>
      <c r="AA47" s="55"/>
      <c r="AB47" s="55"/>
      <c r="AC47" s="49">
        <f t="shared" si="11"/>
        <v>0</v>
      </c>
      <c r="AD47" s="64">
        <f t="shared" si="13"/>
        <v>0</v>
      </c>
    </row>
    <row r="48" spans="1:31" ht="15" thickBot="1" x14ac:dyDescent="0.2">
      <c r="A48" s="4" t="s">
        <v>14</v>
      </c>
      <c r="B48" s="23">
        <f>SUM(B43:B47)</f>
        <v>4</v>
      </c>
      <c r="C48" s="24">
        <f>SUM(C43:C47)</f>
        <v>17</v>
      </c>
      <c r="D48" s="24">
        <f>SUM(D43:D47)</f>
        <v>7</v>
      </c>
      <c r="E48" s="24">
        <f>SUM(E43:E47)</f>
        <v>14</v>
      </c>
      <c r="F48" s="25">
        <f t="shared" si="8"/>
        <v>42</v>
      </c>
      <c r="G48" s="23">
        <f>SUM(G43:G47)</f>
        <v>27</v>
      </c>
      <c r="H48" s="24">
        <f>SUM(H43:H47)</f>
        <v>12</v>
      </c>
      <c r="I48" s="24">
        <f>SUM(I43:I47)</f>
        <v>8</v>
      </c>
      <c r="J48" s="24">
        <f>SUM(J43:J47)</f>
        <v>8</v>
      </c>
      <c r="K48" s="25">
        <f t="shared" si="9"/>
        <v>55</v>
      </c>
      <c r="L48" s="45">
        <f t="shared" si="12"/>
        <v>97</v>
      </c>
      <c r="S48" s="4" t="s">
        <v>14</v>
      </c>
      <c r="T48" s="23">
        <f>SUM(T43:T47)</f>
        <v>168</v>
      </c>
      <c r="U48" s="24">
        <f>SUM(U43:U47)</f>
        <v>132</v>
      </c>
      <c r="V48" s="24">
        <f>SUM(V43:V47)</f>
        <v>104</v>
      </c>
      <c r="W48" s="24">
        <f>SUM(W43:W47)</f>
        <v>117</v>
      </c>
      <c r="X48" s="25">
        <f t="shared" si="10"/>
        <v>521</v>
      </c>
      <c r="Y48" s="23">
        <f>SUM(Y43:Y47)</f>
        <v>105</v>
      </c>
      <c r="Z48" s="24">
        <f>SUM(Z43:Z47)</f>
        <v>73</v>
      </c>
      <c r="AA48" s="24">
        <f>SUM(AA43:AA47)</f>
        <v>46</v>
      </c>
      <c r="AB48" s="24">
        <f>SUM(AB43:AB47)</f>
        <v>62</v>
      </c>
      <c r="AC48" s="25">
        <f t="shared" si="11"/>
        <v>286</v>
      </c>
      <c r="AD48" s="45">
        <f t="shared" si="13"/>
        <v>807</v>
      </c>
    </row>
    <row r="49" spans="1:31" ht="14.25" x14ac:dyDescent="0.15">
      <c r="A49" s="53" t="s">
        <v>25</v>
      </c>
      <c r="B49" s="46"/>
      <c r="C49" s="47"/>
      <c r="D49" s="47"/>
      <c r="E49" s="47"/>
      <c r="F49" s="48">
        <f t="shared" si="8"/>
        <v>0</v>
      </c>
      <c r="G49" s="46">
        <v>10</v>
      </c>
      <c r="H49" s="47">
        <v>10</v>
      </c>
      <c r="I49" s="47"/>
      <c r="J49" s="47">
        <v>3</v>
      </c>
      <c r="K49" s="48">
        <f t="shared" si="9"/>
        <v>23</v>
      </c>
      <c r="L49" s="49">
        <f t="shared" si="12"/>
        <v>23</v>
      </c>
      <c r="M49" s="50">
        <v>43221</v>
      </c>
      <c r="S49" s="27" t="s">
        <v>21</v>
      </c>
      <c r="T49" s="46"/>
      <c r="U49" s="47"/>
      <c r="V49" s="47"/>
      <c r="W49" s="47"/>
      <c r="X49" s="48">
        <f t="shared" si="10"/>
        <v>0</v>
      </c>
      <c r="Y49" s="46">
        <v>10</v>
      </c>
      <c r="Z49" s="47">
        <v>10</v>
      </c>
      <c r="AA49" s="47"/>
      <c r="AB49" s="47">
        <v>3</v>
      </c>
      <c r="AC49" s="48">
        <f t="shared" si="11"/>
        <v>23</v>
      </c>
      <c r="AD49" s="49">
        <f t="shared" si="13"/>
        <v>23</v>
      </c>
      <c r="AE49" s="50">
        <v>43216</v>
      </c>
    </row>
    <row r="50" spans="1:31" ht="14.25" x14ac:dyDescent="0.15">
      <c r="A50" s="53" t="s">
        <v>25</v>
      </c>
      <c r="B50" s="54"/>
      <c r="C50" s="55">
        <v>10</v>
      </c>
      <c r="D50" s="55"/>
      <c r="E50" s="55">
        <v>6</v>
      </c>
      <c r="F50" s="56">
        <f t="shared" si="8"/>
        <v>16</v>
      </c>
      <c r="G50" s="54"/>
      <c r="H50" s="55"/>
      <c r="I50" s="55"/>
      <c r="J50" s="55"/>
      <c r="K50" s="56">
        <f t="shared" si="9"/>
        <v>0</v>
      </c>
      <c r="L50" s="49">
        <f t="shared" si="12"/>
        <v>16</v>
      </c>
      <c r="M50" s="50">
        <v>43228</v>
      </c>
      <c r="S50" s="27" t="s">
        <v>21</v>
      </c>
      <c r="T50" s="54"/>
      <c r="U50" s="55">
        <v>10</v>
      </c>
      <c r="V50" s="55"/>
      <c r="W50" s="55">
        <v>6</v>
      </c>
      <c r="X50" s="56">
        <f t="shared" si="10"/>
        <v>16</v>
      </c>
      <c r="Y50" s="54"/>
      <c r="Z50" s="55"/>
      <c r="AA50" s="55"/>
      <c r="AB50" s="55"/>
      <c r="AC50" s="56">
        <f t="shared" si="11"/>
        <v>0</v>
      </c>
      <c r="AD50" s="49">
        <f t="shared" si="13"/>
        <v>16</v>
      </c>
      <c r="AE50" s="50">
        <v>43221</v>
      </c>
    </row>
    <row r="51" spans="1:31" ht="14.25" x14ac:dyDescent="0.15">
      <c r="A51" s="53" t="s">
        <v>26</v>
      </c>
      <c r="B51" s="54"/>
      <c r="C51" s="55"/>
      <c r="D51" s="55">
        <v>2</v>
      </c>
      <c r="E51" s="55"/>
      <c r="F51" s="56">
        <f t="shared" si="8"/>
        <v>2</v>
      </c>
      <c r="G51" s="54"/>
      <c r="H51" s="55"/>
      <c r="I51" s="55"/>
      <c r="J51" s="55"/>
      <c r="K51" s="56">
        <f t="shared" si="9"/>
        <v>0</v>
      </c>
      <c r="L51" s="49">
        <f t="shared" si="12"/>
        <v>2</v>
      </c>
      <c r="M51" s="50">
        <v>43230</v>
      </c>
      <c r="S51" s="27" t="s">
        <v>21</v>
      </c>
      <c r="T51" s="54"/>
      <c r="U51" s="55"/>
      <c r="V51" s="55">
        <v>5</v>
      </c>
      <c r="W51" s="55"/>
      <c r="X51" s="56">
        <f t="shared" si="10"/>
        <v>5</v>
      </c>
      <c r="Y51" s="54"/>
      <c r="Z51" s="55"/>
      <c r="AA51" s="55"/>
      <c r="AB51" s="55"/>
      <c r="AC51" s="56">
        <f t="shared" si="11"/>
        <v>0</v>
      </c>
      <c r="AD51" s="49">
        <f t="shared" si="13"/>
        <v>5</v>
      </c>
      <c r="AE51" s="50">
        <v>43227</v>
      </c>
    </row>
    <row r="52" spans="1:31" ht="14.25" x14ac:dyDescent="0.15">
      <c r="A52" s="53" t="s">
        <v>29</v>
      </c>
      <c r="B52" s="54">
        <v>-2</v>
      </c>
      <c r="C52" s="55"/>
      <c r="D52" s="55"/>
      <c r="E52" s="55"/>
      <c r="F52" s="56">
        <f t="shared" si="8"/>
        <v>-2</v>
      </c>
      <c r="G52" s="54">
        <v>-2</v>
      </c>
      <c r="H52" s="55">
        <v>-1</v>
      </c>
      <c r="I52" s="55">
        <v>-1</v>
      </c>
      <c r="J52" s="55"/>
      <c r="K52" s="56">
        <f t="shared" si="9"/>
        <v>-4</v>
      </c>
      <c r="L52" s="49">
        <f t="shared" si="12"/>
        <v>-6</v>
      </c>
      <c r="M52" s="14">
        <v>43231</v>
      </c>
      <c r="S52" s="27" t="s">
        <v>21</v>
      </c>
      <c r="T52" s="54"/>
      <c r="U52" s="55">
        <v>3</v>
      </c>
      <c r="V52" s="55"/>
      <c r="W52" s="55">
        <v>3</v>
      </c>
      <c r="X52" s="56">
        <f t="shared" si="10"/>
        <v>6</v>
      </c>
      <c r="Y52" s="54">
        <v>15</v>
      </c>
      <c r="Z52" s="55"/>
      <c r="AA52" s="55"/>
      <c r="AB52" s="55"/>
      <c r="AC52" s="56">
        <f t="shared" si="11"/>
        <v>15</v>
      </c>
      <c r="AD52" s="49">
        <f t="shared" si="13"/>
        <v>21</v>
      </c>
      <c r="AE52" s="50">
        <v>43238</v>
      </c>
    </row>
    <row r="53" spans="1:31" ht="14.25" x14ac:dyDescent="0.15">
      <c r="A53" s="53" t="s">
        <v>25</v>
      </c>
      <c r="B53" s="54">
        <v>3</v>
      </c>
      <c r="C53" s="55">
        <v>3</v>
      </c>
      <c r="D53" s="55"/>
      <c r="E53" s="55">
        <v>3</v>
      </c>
      <c r="F53" s="56">
        <f t="shared" si="8"/>
        <v>9</v>
      </c>
      <c r="G53" s="54">
        <v>10</v>
      </c>
      <c r="H53" s="55"/>
      <c r="I53" s="55"/>
      <c r="J53" s="55"/>
      <c r="K53" s="56">
        <f t="shared" si="9"/>
        <v>10</v>
      </c>
      <c r="L53" s="49">
        <f t="shared" si="12"/>
        <v>19</v>
      </c>
      <c r="M53" s="50">
        <v>43241</v>
      </c>
      <c r="S53" s="27" t="s">
        <v>21</v>
      </c>
      <c r="T53" s="54">
        <v>5</v>
      </c>
      <c r="U53" s="55">
        <v>5</v>
      </c>
      <c r="V53" s="55"/>
      <c r="W53" s="55"/>
      <c r="X53" s="56">
        <f t="shared" si="10"/>
        <v>10</v>
      </c>
      <c r="Y53" s="54"/>
      <c r="Z53" s="55"/>
      <c r="AA53" s="55"/>
      <c r="AB53" s="55"/>
      <c r="AC53" s="56">
        <f t="shared" si="11"/>
        <v>0</v>
      </c>
      <c r="AD53" s="49">
        <f t="shared" si="13"/>
        <v>10</v>
      </c>
      <c r="AE53" s="50">
        <v>43244</v>
      </c>
    </row>
    <row r="54" spans="1:31" ht="14.25" x14ac:dyDescent="0.15">
      <c r="A54" s="53" t="s">
        <v>26</v>
      </c>
      <c r="B54" s="54">
        <v>3</v>
      </c>
      <c r="C54" s="55">
        <v>5</v>
      </c>
      <c r="D54" s="55"/>
      <c r="E54" s="55"/>
      <c r="F54" s="56">
        <f t="shared" si="8"/>
        <v>8</v>
      </c>
      <c r="G54" s="54"/>
      <c r="H54" s="55"/>
      <c r="I54" s="55"/>
      <c r="J54" s="55"/>
      <c r="K54" s="56">
        <f t="shared" si="9"/>
        <v>0</v>
      </c>
      <c r="L54" s="49">
        <f t="shared" si="12"/>
        <v>8</v>
      </c>
      <c r="M54" s="50">
        <v>43248</v>
      </c>
      <c r="S54" s="27" t="s">
        <v>21</v>
      </c>
      <c r="T54" s="54"/>
      <c r="U54" s="55"/>
      <c r="V54" s="55"/>
      <c r="W54" s="55"/>
      <c r="X54" s="56">
        <f t="shared" si="10"/>
        <v>0</v>
      </c>
      <c r="Y54" s="54"/>
      <c r="Z54" s="55">
        <v>5</v>
      </c>
      <c r="AA54" s="55">
        <v>5</v>
      </c>
      <c r="AB54" s="55"/>
      <c r="AC54" s="56">
        <f t="shared" si="11"/>
        <v>10</v>
      </c>
      <c r="AD54" s="49">
        <f t="shared" si="13"/>
        <v>10</v>
      </c>
      <c r="AE54" s="50">
        <v>43253</v>
      </c>
    </row>
    <row r="55" spans="1:31" ht="14.25" x14ac:dyDescent="0.15">
      <c r="A55" s="53" t="s">
        <v>28</v>
      </c>
      <c r="B55" s="54">
        <v>-5</v>
      </c>
      <c r="C55" s="55">
        <v>-5</v>
      </c>
      <c r="D55" s="55"/>
      <c r="E55" s="55"/>
      <c r="F55" s="56">
        <f t="shared" si="8"/>
        <v>-10</v>
      </c>
      <c r="G55" s="54"/>
      <c r="H55" s="55"/>
      <c r="I55" s="55"/>
      <c r="J55" s="55"/>
      <c r="K55" s="56">
        <f t="shared" si="9"/>
        <v>0</v>
      </c>
      <c r="L55" s="49">
        <f t="shared" si="12"/>
        <v>-10</v>
      </c>
      <c r="M55" s="50">
        <v>43244</v>
      </c>
      <c r="S55" s="27" t="s">
        <v>21</v>
      </c>
      <c r="T55" s="54"/>
      <c r="U55" s="55"/>
      <c r="V55" s="55">
        <v>3</v>
      </c>
      <c r="W55" s="55"/>
      <c r="X55" s="56">
        <f t="shared" si="10"/>
        <v>3</v>
      </c>
      <c r="Y55" s="54"/>
      <c r="Z55" s="55">
        <v>3</v>
      </c>
      <c r="AA55" s="55"/>
      <c r="AB55" s="55"/>
      <c r="AC55" s="56">
        <f t="shared" si="11"/>
        <v>3</v>
      </c>
      <c r="AD55" s="49">
        <f t="shared" si="13"/>
        <v>6</v>
      </c>
      <c r="AE55" s="50">
        <v>43262</v>
      </c>
    </row>
    <row r="56" spans="1:31" ht="14.25" x14ac:dyDescent="0.15">
      <c r="A56" s="53" t="s">
        <v>25</v>
      </c>
      <c r="B56" s="54"/>
      <c r="C56" s="55"/>
      <c r="D56" s="55"/>
      <c r="E56" s="55"/>
      <c r="F56" s="56">
        <f t="shared" si="8"/>
        <v>0</v>
      </c>
      <c r="G56" s="54"/>
      <c r="H56" s="55">
        <v>3</v>
      </c>
      <c r="I56" s="55">
        <v>5</v>
      </c>
      <c r="J56" s="55"/>
      <c r="K56" s="56">
        <f t="shared" si="9"/>
        <v>8</v>
      </c>
      <c r="L56" s="49">
        <f t="shared" si="12"/>
        <v>8</v>
      </c>
      <c r="M56" s="50">
        <v>43249</v>
      </c>
      <c r="S56" s="27" t="s">
        <v>21</v>
      </c>
      <c r="T56" s="54"/>
      <c r="U56" s="55">
        <v>10</v>
      </c>
      <c r="V56" s="55"/>
      <c r="W56" s="55">
        <v>5</v>
      </c>
      <c r="X56" s="56">
        <f t="shared" si="10"/>
        <v>15</v>
      </c>
      <c r="Y56" s="54"/>
      <c r="Z56" s="55"/>
      <c r="AA56" s="55"/>
      <c r="AB56" s="55"/>
      <c r="AC56" s="56">
        <f t="shared" si="11"/>
        <v>0</v>
      </c>
      <c r="AD56" s="49">
        <f t="shared" si="13"/>
        <v>15</v>
      </c>
      <c r="AE56" s="50">
        <v>43263</v>
      </c>
    </row>
    <row r="57" spans="1:31" ht="14.25" x14ac:dyDescent="0.15">
      <c r="A57" s="53" t="s">
        <v>26</v>
      </c>
      <c r="B57" s="17"/>
      <c r="C57" s="18"/>
      <c r="D57" s="18"/>
      <c r="E57" s="18"/>
      <c r="F57" s="30">
        <f t="shared" si="8"/>
        <v>0</v>
      </c>
      <c r="G57" s="17">
        <v>3</v>
      </c>
      <c r="H57" s="18"/>
      <c r="I57" s="18"/>
      <c r="J57" s="18"/>
      <c r="K57" s="30">
        <f t="shared" si="9"/>
        <v>3</v>
      </c>
      <c r="L57" s="49">
        <f t="shared" si="12"/>
        <v>3</v>
      </c>
      <c r="M57" s="50">
        <v>43249</v>
      </c>
      <c r="S57" s="27" t="s">
        <v>21</v>
      </c>
      <c r="T57" s="17"/>
      <c r="U57" s="18"/>
      <c r="V57" s="18"/>
      <c r="W57" s="18"/>
      <c r="X57" s="30">
        <f t="shared" si="10"/>
        <v>0</v>
      </c>
      <c r="Y57" s="17">
        <v>10</v>
      </c>
      <c r="Z57" s="18">
        <v>10</v>
      </c>
      <c r="AA57" s="18"/>
      <c r="AB57" s="18">
        <v>5</v>
      </c>
      <c r="AC57" s="30">
        <f t="shared" si="11"/>
        <v>25</v>
      </c>
      <c r="AD57" s="49">
        <f t="shared" si="13"/>
        <v>25</v>
      </c>
      <c r="AE57" s="50">
        <v>43272</v>
      </c>
    </row>
    <row r="58" spans="1:31" ht="14.25" x14ac:dyDescent="0.15">
      <c r="A58" s="53" t="s">
        <v>26</v>
      </c>
      <c r="B58" s="54">
        <v>3</v>
      </c>
      <c r="C58" s="55"/>
      <c r="D58" s="55"/>
      <c r="E58" s="55"/>
      <c r="F58" s="56">
        <f>SUM(B58:E58)</f>
        <v>3</v>
      </c>
      <c r="G58" s="54"/>
      <c r="H58" s="55"/>
      <c r="I58" s="55"/>
      <c r="J58" s="55"/>
      <c r="K58" s="56">
        <f>SUM(G58:J58)</f>
        <v>0</v>
      </c>
      <c r="L58" s="49">
        <f>F58+K58</f>
        <v>3</v>
      </c>
      <c r="M58" s="50">
        <v>43255</v>
      </c>
      <c r="S58" s="27" t="s">
        <v>21</v>
      </c>
      <c r="T58" s="62">
        <v>10</v>
      </c>
      <c r="U58" s="63"/>
      <c r="V58" s="63"/>
      <c r="W58" s="63"/>
      <c r="X58" s="56">
        <f t="shared" si="10"/>
        <v>10</v>
      </c>
      <c r="Y58" s="62"/>
      <c r="Z58" s="63">
        <v>5</v>
      </c>
      <c r="AA58" s="63">
        <v>5</v>
      </c>
      <c r="AB58" s="63"/>
      <c r="AC58" s="56">
        <f t="shared" si="11"/>
        <v>10</v>
      </c>
      <c r="AD58" s="49">
        <f t="shared" si="13"/>
        <v>20</v>
      </c>
      <c r="AE58" s="50">
        <v>43280</v>
      </c>
    </row>
    <row r="59" spans="1:31" x14ac:dyDescent="0.15">
      <c r="A59" s="53" t="s">
        <v>26</v>
      </c>
      <c r="B59" s="54"/>
      <c r="C59" s="55"/>
      <c r="D59" s="55"/>
      <c r="E59" s="55"/>
      <c r="F59" s="56">
        <f>SUM(B59:E59)</f>
        <v>0</v>
      </c>
      <c r="G59" s="54"/>
      <c r="H59" s="55"/>
      <c r="I59" s="55">
        <v>5</v>
      </c>
      <c r="J59" s="55"/>
      <c r="K59" s="56">
        <f>SUM(G59:J59)</f>
        <v>5</v>
      </c>
      <c r="L59" s="49">
        <f>F59+K59</f>
        <v>5</v>
      </c>
      <c r="M59" s="50">
        <v>43257</v>
      </c>
      <c r="S59" s="53"/>
      <c r="T59" s="54"/>
      <c r="U59" s="55"/>
      <c r="V59" s="55"/>
      <c r="W59" s="55"/>
      <c r="X59" s="56">
        <f t="shared" si="10"/>
        <v>0</v>
      </c>
      <c r="Y59" s="54"/>
      <c r="Z59" s="55"/>
      <c r="AA59" s="55"/>
      <c r="AB59" s="55"/>
      <c r="AC59" s="56">
        <f t="shared" si="11"/>
        <v>0</v>
      </c>
      <c r="AD59" s="49">
        <f t="shared" si="13"/>
        <v>0</v>
      </c>
    </row>
    <row r="60" spans="1:31" x14ac:dyDescent="0.15">
      <c r="A60" s="53" t="s">
        <v>28</v>
      </c>
      <c r="B60" s="54"/>
      <c r="C60" s="55"/>
      <c r="D60" s="55"/>
      <c r="E60" s="55"/>
      <c r="F60" s="56">
        <f>SUM(B60:E60)</f>
        <v>0</v>
      </c>
      <c r="G60" s="54"/>
      <c r="H60" s="55">
        <v>-5</v>
      </c>
      <c r="I60" s="55">
        <v>-5</v>
      </c>
      <c r="J60" s="55"/>
      <c r="K60" s="56">
        <f>SUM(G60:J60)</f>
        <v>-10</v>
      </c>
      <c r="L60" s="49">
        <f>F60+K60</f>
        <v>-10</v>
      </c>
      <c r="M60" s="50">
        <v>43253</v>
      </c>
      <c r="S60" s="53"/>
      <c r="T60" s="54"/>
      <c r="U60" s="55"/>
      <c r="V60" s="55"/>
      <c r="W60" s="55"/>
      <c r="X60" s="56">
        <f t="shared" si="10"/>
        <v>0</v>
      </c>
      <c r="Y60" s="54"/>
      <c r="Z60" s="55"/>
      <c r="AA60" s="55"/>
      <c r="AB60" s="55"/>
      <c r="AC60" s="56">
        <f t="shared" si="11"/>
        <v>0</v>
      </c>
      <c r="AD60" s="49">
        <f t="shared" si="13"/>
        <v>0</v>
      </c>
    </row>
    <row r="61" spans="1:31" x14ac:dyDescent="0.15">
      <c r="A61" s="53" t="s">
        <v>26</v>
      </c>
      <c r="B61" s="54"/>
      <c r="C61" s="55"/>
      <c r="D61" s="55"/>
      <c r="E61" s="55"/>
      <c r="F61" s="56">
        <f t="shared" si="8"/>
        <v>0</v>
      </c>
      <c r="G61" s="54"/>
      <c r="H61" s="55">
        <v>3</v>
      </c>
      <c r="I61" s="55"/>
      <c r="J61" s="55"/>
      <c r="K61" s="56">
        <f t="shared" si="9"/>
        <v>3</v>
      </c>
      <c r="L61" s="49">
        <f t="shared" si="12"/>
        <v>3</v>
      </c>
      <c r="M61" s="50">
        <v>43263</v>
      </c>
      <c r="S61" s="53"/>
      <c r="T61" s="54"/>
      <c r="U61" s="55"/>
      <c r="V61" s="55"/>
      <c r="W61" s="55"/>
      <c r="X61" s="56">
        <f t="shared" si="10"/>
        <v>0</v>
      </c>
      <c r="Y61" s="54"/>
      <c r="Z61" s="55"/>
      <c r="AA61" s="55"/>
      <c r="AB61" s="55"/>
      <c r="AC61" s="56">
        <f t="shared" si="11"/>
        <v>0</v>
      </c>
      <c r="AD61" s="49">
        <f t="shared" si="13"/>
        <v>0</v>
      </c>
    </row>
    <row r="62" spans="1:31" x14ac:dyDescent="0.15">
      <c r="A62" s="53" t="s">
        <v>25</v>
      </c>
      <c r="B62" s="54"/>
      <c r="C62" s="55"/>
      <c r="D62" s="55">
        <v>3</v>
      </c>
      <c r="E62" s="55"/>
      <c r="F62" s="56">
        <f t="shared" si="8"/>
        <v>3</v>
      </c>
      <c r="G62" s="54"/>
      <c r="H62" s="55">
        <v>5</v>
      </c>
      <c r="I62" s="55"/>
      <c r="J62" s="55"/>
      <c r="K62" s="56">
        <f t="shared" si="9"/>
        <v>5</v>
      </c>
      <c r="L62" s="49">
        <f t="shared" si="12"/>
        <v>8</v>
      </c>
      <c r="M62" s="50">
        <v>43265</v>
      </c>
      <c r="S62" s="53"/>
      <c r="T62" s="54"/>
      <c r="U62" s="55"/>
      <c r="V62" s="55"/>
      <c r="W62" s="55"/>
      <c r="X62" s="56">
        <f t="shared" si="10"/>
        <v>0</v>
      </c>
      <c r="Y62" s="54"/>
      <c r="Z62" s="55"/>
      <c r="AA62" s="55"/>
      <c r="AB62" s="55"/>
      <c r="AC62" s="56">
        <f t="shared" si="11"/>
        <v>0</v>
      </c>
      <c r="AD62" s="49">
        <f t="shared" si="13"/>
        <v>0</v>
      </c>
    </row>
    <row r="63" spans="1:31" x14ac:dyDescent="0.15">
      <c r="A63" s="53" t="s">
        <v>28</v>
      </c>
      <c r="B63" s="54"/>
      <c r="C63" s="55"/>
      <c r="D63" s="55">
        <v>-3</v>
      </c>
      <c r="E63" s="55"/>
      <c r="F63" s="56">
        <f t="shared" si="8"/>
        <v>-3</v>
      </c>
      <c r="G63" s="54"/>
      <c r="H63" s="55">
        <v>-3</v>
      </c>
      <c r="I63" s="55"/>
      <c r="J63" s="55"/>
      <c r="K63" s="56">
        <f t="shared" si="9"/>
        <v>-3</v>
      </c>
      <c r="L63" s="49">
        <f t="shared" si="12"/>
        <v>-6</v>
      </c>
      <c r="M63" s="50">
        <v>43262</v>
      </c>
      <c r="S63" s="53"/>
      <c r="T63" s="54"/>
      <c r="U63" s="55"/>
      <c r="V63" s="55"/>
      <c r="W63" s="55"/>
      <c r="X63" s="56">
        <f t="shared" si="10"/>
        <v>0</v>
      </c>
      <c r="Y63" s="54"/>
      <c r="Z63" s="55"/>
      <c r="AA63" s="55"/>
      <c r="AB63" s="55"/>
      <c r="AC63" s="56">
        <f t="shared" si="11"/>
        <v>0</v>
      </c>
      <c r="AD63" s="49">
        <f t="shared" si="13"/>
        <v>0</v>
      </c>
    </row>
    <row r="64" spans="1:31" x14ac:dyDescent="0.15">
      <c r="A64" s="53" t="s">
        <v>25</v>
      </c>
      <c r="B64" s="54"/>
      <c r="C64" s="55">
        <v>10</v>
      </c>
      <c r="D64" s="55"/>
      <c r="E64" s="55">
        <v>5</v>
      </c>
      <c r="F64" s="56">
        <f t="shared" si="8"/>
        <v>15</v>
      </c>
      <c r="G64" s="54"/>
      <c r="H64" s="55"/>
      <c r="I64" s="55"/>
      <c r="J64" s="55"/>
      <c r="K64" s="56">
        <f t="shared" si="9"/>
        <v>0</v>
      </c>
      <c r="L64" s="49">
        <f t="shared" si="12"/>
        <v>15</v>
      </c>
      <c r="M64" s="50">
        <v>43265</v>
      </c>
      <c r="S64" s="53"/>
      <c r="T64" s="54"/>
      <c r="U64" s="55"/>
      <c r="V64" s="55"/>
      <c r="W64" s="55"/>
      <c r="X64" s="56">
        <f t="shared" si="10"/>
        <v>0</v>
      </c>
      <c r="Y64" s="54"/>
      <c r="Z64" s="55"/>
      <c r="AA64" s="55"/>
      <c r="AB64" s="55"/>
      <c r="AC64" s="56">
        <f t="shared" si="11"/>
        <v>0</v>
      </c>
      <c r="AD64" s="49">
        <f t="shared" si="13"/>
        <v>0</v>
      </c>
    </row>
    <row r="65" spans="1:30" x14ac:dyDescent="0.15">
      <c r="A65" s="53" t="s">
        <v>28</v>
      </c>
      <c r="B65" s="54"/>
      <c r="C65" s="55">
        <v>-10</v>
      </c>
      <c r="D65" s="55"/>
      <c r="E65" s="55">
        <v>-5</v>
      </c>
      <c r="F65" s="56">
        <f t="shared" si="8"/>
        <v>-15</v>
      </c>
      <c r="G65" s="54"/>
      <c r="H65" s="55"/>
      <c r="I65" s="55"/>
      <c r="J65" s="55"/>
      <c r="K65" s="56">
        <f t="shared" si="9"/>
        <v>0</v>
      </c>
      <c r="L65" s="49">
        <f t="shared" si="12"/>
        <v>-15</v>
      </c>
      <c r="M65" s="50">
        <v>43263</v>
      </c>
      <c r="S65" s="53"/>
      <c r="T65" s="54"/>
      <c r="U65" s="55"/>
      <c r="V65" s="55"/>
      <c r="W65" s="55"/>
      <c r="X65" s="56">
        <f t="shared" si="10"/>
        <v>0</v>
      </c>
      <c r="Y65" s="54"/>
      <c r="Z65" s="55"/>
      <c r="AA65" s="55"/>
      <c r="AB65" s="55"/>
      <c r="AC65" s="56">
        <f t="shared" si="11"/>
        <v>0</v>
      </c>
      <c r="AD65" s="49">
        <f t="shared" si="13"/>
        <v>0</v>
      </c>
    </row>
    <row r="66" spans="1:30" x14ac:dyDescent="0.15">
      <c r="A66" s="65" t="s">
        <v>29</v>
      </c>
      <c r="B66" s="54"/>
      <c r="C66" s="55"/>
      <c r="D66" s="55"/>
      <c r="E66" s="55"/>
      <c r="F66" s="56">
        <f t="shared" si="8"/>
        <v>0</v>
      </c>
      <c r="G66" s="54">
        <v>-1</v>
      </c>
      <c r="H66" s="55">
        <v>-1</v>
      </c>
      <c r="I66" s="55"/>
      <c r="J66" s="55"/>
      <c r="K66" s="56">
        <f t="shared" si="9"/>
        <v>-2</v>
      </c>
      <c r="L66" s="49">
        <f t="shared" si="12"/>
        <v>-2</v>
      </c>
      <c r="M66" s="14">
        <v>43264</v>
      </c>
      <c r="S66" s="65"/>
      <c r="T66" s="54"/>
      <c r="U66" s="55"/>
      <c r="V66" s="55"/>
      <c r="W66" s="55"/>
      <c r="X66" s="56">
        <f t="shared" si="10"/>
        <v>0</v>
      </c>
      <c r="Y66" s="54"/>
      <c r="Z66" s="55"/>
      <c r="AA66" s="55"/>
      <c r="AB66" s="55"/>
      <c r="AC66" s="56">
        <f t="shared" si="11"/>
        <v>0</v>
      </c>
      <c r="AD66" s="49">
        <f t="shared" si="13"/>
        <v>0</v>
      </c>
    </row>
    <row r="67" spans="1:30" x14ac:dyDescent="0.15">
      <c r="A67" s="53" t="s">
        <v>25</v>
      </c>
      <c r="B67" s="54"/>
      <c r="C67" s="55"/>
      <c r="D67" s="55"/>
      <c r="E67" s="55"/>
      <c r="F67" s="56">
        <f t="shared" si="8"/>
        <v>0</v>
      </c>
      <c r="G67" s="54">
        <v>5</v>
      </c>
      <c r="H67" s="55">
        <v>5</v>
      </c>
      <c r="I67" s="55"/>
      <c r="J67" s="55"/>
      <c r="K67" s="56">
        <f t="shared" si="9"/>
        <v>10</v>
      </c>
      <c r="L67" s="49">
        <f t="shared" si="12"/>
        <v>10</v>
      </c>
      <c r="M67" s="50">
        <v>43276</v>
      </c>
      <c r="S67" s="53"/>
      <c r="T67" s="54"/>
      <c r="U67" s="55"/>
      <c r="V67" s="55"/>
      <c r="W67" s="55"/>
      <c r="X67" s="56">
        <f t="shared" si="10"/>
        <v>0</v>
      </c>
      <c r="Y67" s="54"/>
      <c r="Z67" s="55"/>
      <c r="AA67" s="55"/>
      <c r="AB67" s="55"/>
      <c r="AC67" s="56">
        <f t="shared" si="11"/>
        <v>0</v>
      </c>
      <c r="AD67" s="49">
        <f t="shared" si="13"/>
        <v>0</v>
      </c>
    </row>
    <row r="68" spans="1:30" x14ac:dyDescent="0.15">
      <c r="A68" s="53" t="s">
        <v>26</v>
      </c>
      <c r="B68" s="17"/>
      <c r="C68" s="18"/>
      <c r="D68" s="18"/>
      <c r="E68" s="18"/>
      <c r="F68" s="30">
        <f t="shared" si="8"/>
        <v>0</v>
      </c>
      <c r="G68" s="17">
        <v>5</v>
      </c>
      <c r="H68" s="18"/>
      <c r="I68" s="18"/>
      <c r="J68" s="18"/>
      <c r="K68" s="30">
        <f t="shared" si="9"/>
        <v>5</v>
      </c>
      <c r="L68" s="49">
        <f t="shared" si="12"/>
        <v>5</v>
      </c>
      <c r="M68" s="50">
        <v>43276</v>
      </c>
      <c r="S68" s="65"/>
      <c r="T68" s="17"/>
      <c r="U68" s="18"/>
      <c r="V68" s="18"/>
      <c r="W68" s="18"/>
      <c r="X68" s="30">
        <f t="shared" si="10"/>
        <v>0</v>
      </c>
      <c r="Y68" s="17"/>
      <c r="Z68" s="18"/>
      <c r="AA68" s="18"/>
      <c r="AB68" s="18"/>
      <c r="AC68" s="30">
        <f t="shared" si="11"/>
        <v>0</v>
      </c>
      <c r="AD68" s="49">
        <f t="shared" si="13"/>
        <v>0</v>
      </c>
    </row>
    <row r="69" spans="1:30" x14ac:dyDescent="0.15">
      <c r="A69" s="53" t="s">
        <v>28</v>
      </c>
      <c r="B69" s="54"/>
      <c r="C69" s="55"/>
      <c r="D69" s="55"/>
      <c r="E69" s="55"/>
      <c r="F69" s="56">
        <f t="shared" si="8"/>
        <v>0</v>
      </c>
      <c r="G69" s="54">
        <v>-10</v>
      </c>
      <c r="H69" s="55">
        <v>-10</v>
      </c>
      <c r="I69" s="55"/>
      <c r="J69" s="55">
        <v>-5</v>
      </c>
      <c r="K69" s="56">
        <f t="shared" si="9"/>
        <v>-25</v>
      </c>
      <c r="L69" s="49">
        <f t="shared" si="12"/>
        <v>-25</v>
      </c>
      <c r="M69" s="50">
        <v>43272</v>
      </c>
      <c r="S69" s="66"/>
      <c r="T69" s="54"/>
      <c r="U69" s="55"/>
      <c r="V69" s="55"/>
      <c r="W69" s="55"/>
      <c r="X69" s="56">
        <f t="shared" si="10"/>
        <v>0</v>
      </c>
      <c r="Y69" s="54"/>
      <c r="Z69" s="55"/>
      <c r="AA69" s="55"/>
      <c r="AB69" s="55"/>
      <c r="AC69" s="56">
        <f t="shared" si="11"/>
        <v>0</v>
      </c>
      <c r="AD69" s="49">
        <f t="shared" si="13"/>
        <v>0</v>
      </c>
    </row>
    <row r="70" spans="1:30" x14ac:dyDescent="0.15">
      <c r="A70" s="53" t="s">
        <v>25</v>
      </c>
      <c r="B70" s="62"/>
      <c r="C70" s="63"/>
      <c r="D70" s="63"/>
      <c r="E70" s="63"/>
      <c r="F70" s="56">
        <f t="shared" si="8"/>
        <v>0</v>
      </c>
      <c r="G70" s="62"/>
      <c r="H70" s="63"/>
      <c r="I70" s="63"/>
      <c r="J70" s="63">
        <v>5</v>
      </c>
      <c r="K70" s="56">
        <f t="shared" si="9"/>
        <v>5</v>
      </c>
      <c r="L70" s="49">
        <f t="shared" si="12"/>
        <v>5</v>
      </c>
      <c r="M70" s="50">
        <v>43277</v>
      </c>
      <c r="S70" s="53"/>
      <c r="T70" s="62"/>
      <c r="U70" s="63"/>
      <c r="V70" s="63"/>
      <c r="W70" s="63"/>
      <c r="X70" s="56">
        <f t="shared" si="10"/>
        <v>0</v>
      </c>
      <c r="Y70" s="62"/>
      <c r="Z70" s="63"/>
      <c r="AA70" s="63"/>
      <c r="AB70" s="63"/>
      <c r="AC70" s="56">
        <f t="shared" si="11"/>
        <v>0</v>
      </c>
      <c r="AD70" s="49">
        <f t="shared" si="13"/>
        <v>0</v>
      </c>
    </row>
    <row r="71" spans="1:30" x14ac:dyDescent="0.15">
      <c r="A71" s="53" t="s">
        <v>29</v>
      </c>
      <c r="B71" s="54"/>
      <c r="C71" s="55"/>
      <c r="D71" s="55">
        <v>-1</v>
      </c>
      <c r="E71" s="55"/>
      <c r="F71" s="56">
        <f t="shared" si="8"/>
        <v>-1</v>
      </c>
      <c r="G71" s="54"/>
      <c r="H71" s="55"/>
      <c r="I71" s="55"/>
      <c r="J71" s="55"/>
      <c r="K71" s="56">
        <f t="shared" si="9"/>
        <v>0</v>
      </c>
      <c r="L71" s="49">
        <f t="shared" si="12"/>
        <v>-1</v>
      </c>
      <c r="M71" s="50">
        <v>43272</v>
      </c>
      <c r="S71" s="53"/>
      <c r="T71" s="54"/>
      <c r="U71" s="55"/>
      <c r="V71" s="55"/>
      <c r="W71" s="55"/>
      <c r="X71" s="56">
        <f t="shared" si="10"/>
        <v>0</v>
      </c>
      <c r="Y71" s="54"/>
      <c r="Z71" s="55"/>
      <c r="AA71" s="55"/>
      <c r="AB71" s="55"/>
      <c r="AC71" s="56">
        <f t="shared" si="11"/>
        <v>0</v>
      </c>
      <c r="AD71" s="49">
        <f t="shared" si="13"/>
        <v>0</v>
      </c>
    </row>
    <row r="72" spans="1:30" x14ac:dyDescent="0.15">
      <c r="A72" s="53" t="s">
        <v>26</v>
      </c>
      <c r="B72" s="54"/>
      <c r="C72" s="55"/>
      <c r="D72" s="55"/>
      <c r="E72" s="55"/>
      <c r="F72" s="56">
        <f t="shared" si="8"/>
        <v>0</v>
      </c>
      <c r="G72" s="54"/>
      <c r="H72" s="55">
        <v>1</v>
      </c>
      <c r="I72" s="55"/>
      <c r="J72" s="55"/>
      <c r="K72" s="56">
        <f t="shared" si="9"/>
        <v>1</v>
      </c>
      <c r="L72" s="49">
        <f t="shared" si="12"/>
        <v>1</v>
      </c>
      <c r="M72" s="50">
        <v>43283</v>
      </c>
      <c r="S72" s="53"/>
      <c r="T72" s="54"/>
      <c r="U72" s="55"/>
      <c r="V72" s="55"/>
      <c r="W72" s="55"/>
      <c r="X72" s="56">
        <f t="shared" si="10"/>
        <v>0</v>
      </c>
      <c r="Y72" s="54"/>
      <c r="Z72" s="55"/>
      <c r="AA72" s="55"/>
      <c r="AB72" s="55"/>
      <c r="AC72" s="56">
        <f t="shared" si="11"/>
        <v>0</v>
      </c>
      <c r="AD72" s="49">
        <f t="shared" si="13"/>
        <v>0</v>
      </c>
    </row>
    <row r="73" spans="1:30" x14ac:dyDescent="0.15">
      <c r="A73" s="53" t="s">
        <v>25</v>
      </c>
      <c r="B73" s="54">
        <v>10</v>
      </c>
      <c r="C73" s="55"/>
      <c r="D73" s="55"/>
      <c r="E73" s="55"/>
      <c r="F73" s="56">
        <f t="shared" si="8"/>
        <v>10</v>
      </c>
      <c r="G73" s="54"/>
      <c r="H73" s="55"/>
      <c r="I73" s="55">
        <v>5</v>
      </c>
      <c r="J73" s="55"/>
      <c r="K73" s="56">
        <f t="shared" si="9"/>
        <v>5</v>
      </c>
      <c r="L73" s="49">
        <f t="shared" si="12"/>
        <v>15</v>
      </c>
      <c r="M73" s="50">
        <v>43284</v>
      </c>
      <c r="S73" s="65"/>
      <c r="T73" s="54"/>
      <c r="U73" s="55"/>
      <c r="V73" s="55"/>
      <c r="W73" s="55"/>
      <c r="X73" s="56">
        <f t="shared" si="10"/>
        <v>0</v>
      </c>
      <c r="Y73" s="54"/>
      <c r="Z73" s="55"/>
      <c r="AA73" s="55"/>
      <c r="AB73" s="55"/>
      <c r="AC73" s="56">
        <f t="shared" si="11"/>
        <v>0</v>
      </c>
      <c r="AD73" s="49">
        <f t="shared" si="13"/>
        <v>0</v>
      </c>
    </row>
    <row r="74" spans="1:30" ht="14.25" thickBot="1" x14ac:dyDescent="0.2">
      <c r="A74" s="67" t="s">
        <v>28</v>
      </c>
      <c r="B74" s="33">
        <v>-10</v>
      </c>
      <c r="C74" s="34"/>
      <c r="D74" s="34"/>
      <c r="E74" s="34"/>
      <c r="F74" s="30">
        <f t="shared" si="8"/>
        <v>-10</v>
      </c>
      <c r="G74" s="33"/>
      <c r="H74" s="34">
        <v>-5</v>
      </c>
      <c r="I74" s="34">
        <v>-5</v>
      </c>
      <c r="J74" s="34"/>
      <c r="K74" s="30">
        <f t="shared" si="9"/>
        <v>-10</v>
      </c>
      <c r="L74" s="64">
        <f t="shared" si="12"/>
        <v>-20</v>
      </c>
      <c r="M74" s="50">
        <v>43280</v>
      </c>
      <c r="S74" s="67"/>
      <c r="T74" s="33"/>
      <c r="U74" s="34"/>
      <c r="V74" s="34"/>
      <c r="W74" s="34"/>
      <c r="X74" s="30">
        <f t="shared" si="10"/>
        <v>0</v>
      </c>
      <c r="Y74" s="33"/>
      <c r="Z74" s="34"/>
      <c r="AA74" s="34"/>
      <c r="AB74" s="34"/>
      <c r="AC74" s="30">
        <f t="shared" si="11"/>
        <v>0</v>
      </c>
      <c r="AD74" s="21">
        <f t="shared" si="13"/>
        <v>0</v>
      </c>
    </row>
    <row r="75" spans="1:30" ht="15" thickBot="1" x14ac:dyDescent="0.2">
      <c r="A75" s="9" t="s">
        <v>15</v>
      </c>
      <c r="B75" s="36">
        <f>SUM(B49:B74)</f>
        <v>2</v>
      </c>
      <c r="C75" s="37">
        <f>SUM(C49:C74)</f>
        <v>13</v>
      </c>
      <c r="D75" s="37">
        <f>SUM(D49:D74)</f>
        <v>1</v>
      </c>
      <c r="E75" s="38">
        <f>SUM(E49:E74)</f>
        <v>9</v>
      </c>
      <c r="F75" s="25">
        <f>SUM(B75:E75)</f>
        <v>25</v>
      </c>
      <c r="G75" s="36">
        <f>SUM(G49:G74)</f>
        <v>20</v>
      </c>
      <c r="H75" s="37">
        <f>SUM(H49:H74)</f>
        <v>2</v>
      </c>
      <c r="I75" s="37">
        <f>SUM(I49:I74)</f>
        <v>4</v>
      </c>
      <c r="J75" s="38">
        <f>SUM(J49:J74)</f>
        <v>3</v>
      </c>
      <c r="K75" s="25">
        <f>SUM(G75:J75)</f>
        <v>29</v>
      </c>
      <c r="L75" s="26">
        <f t="shared" si="12"/>
        <v>54</v>
      </c>
      <c r="S75" s="9" t="s">
        <v>15</v>
      </c>
      <c r="T75" s="36">
        <f>SUM(T49:T74)</f>
        <v>15</v>
      </c>
      <c r="U75" s="37">
        <f>SUM(U49:U74)</f>
        <v>28</v>
      </c>
      <c r="V75" s="37">
        <f>SUM(V49:V74)</f>
        <v>8</v>
      </c>
      <c r="W75" s="38">
        <f>SUM(W49:W74)</f>
        <v>14</v>
      </c>
      <c r="X75" s="25">
        <f>SUM(T75:W75)</f>
        <v>65</v>
      </c>
      <c r="Y75" s="36">
        <f>SUM(Y49:Y74)</f>
        <v>35</v>
      </c>
      <c r="Z75" s="37">
        <f>SUM(Z49:Z74)</f>
        <v>33</v>
      </c>
      <c r="AA75" s="37">
        <f>SUM(AA49:AA74)</f>
        <v>10</v>
      </c>
      <c r="AB75" s="38">
        <f>SUM(AB49:AB74)</f>
        <v>8</v>
      </c>
      <c r="AC75" s="25">
        <f>SUM(Y75:AB75)</f>
        <v>86</v>
      </c>
      <c r="AD75" s="26">
        <f t="shared" si="13"/>
        <v>151</v>
      </c>
    </row>
    <row r="76" spans="1:30" ht="14.25" thickBot="1" x14ac:dyDescent="0.2">
      <c r="A76" s="39" t="s">
        <v>16</v>
      </c>
      <c r="B76" s="40">
        <f t="shared" ref="B76:K76" si="14">B48-B75</f>
        <v>2</v>
      </c>
      <c r="C76" s="41">
        <f t="shared" si="14"/>
        <v>4</v>
      </c>
      <c r="D76" s="41">
        <f t="shared" si="14"/>
        <v>6</v>
      </c>
      <c r="E76" s="42">
        <f t="shared" si="14"/>
        <v>5</v>
      </c>
      <c r="F76" s="42">
        <f t="shared" si="14"/>
        <v>17</v>
      </c>
      <c r="G76" s="40">
        <f t="shared" si="14"/>
        <v>7</v>
      </c>
      <c r="H76" s="41">
        <f t="shared" si="14"/>
        <v>10</v>
      </c>
      <c r="I76" s="41">
        <f t="shared" si="14"/>
        <v>4</v>
      </c>
      <c r="J76" s="42">
        <f t="shared" si="14"/>
        <v>5</v>
      </c>
      <c r="K76" s="42">
        <f t="shared" si="14"/>
        <v>26</v>
      </c>
      <c r="L76" s="26">
        <f t="shared" si="12"/>
        <v>43</v>
      </c>
      <c r="S76" s="39" t="s">
        <v>16</v>
      </c>
      <c r="T76" s="40">
        <f t="shared" ref="T76:AC76" si="15">T48-T75</f>
        <v>153</v>
      </c>
      <c r="U76" s="41">
        <f t="shared" si="15"/>
        <v>104</v>
      </c>
      <c r="V76" s="41">
        <f t="shared" si="15"/>
        <v>96</v>
      </c>
      <c r="W76" s="42">
        <f t="shared" si="15"/>
        <v>103</v>
      </c>
      <c r="X76" s="42">
        <f t="shared" si="15"/>
        <v>456</v>
      </c>
      <c r="Y76" s="40">
        <f t="shared" si="15"/>
        <v>70</v>
      </c>
      <c r="Z76" s="41">
        <f t="shared" si="15"/>
        <v>40</v>
      </c>
      <c r="AA76" s="41">
        <f t="shared" si="15"/>
        <v>36</v>
      </c>
      <c r="AB76" s="42">
        <f t="shared" si="15"/>
        <v>54</v>
      </c>
      <c r="AC76" s="42">
        <f t="shared" si="15"/>
        <v>200</v>
      </c>
      <c r="AD76" s="26">
        <f t="shared" si="13"/>
        <v>656</v>
      </c>
    </row>
    <row r="79" spans="1:30" ht="19.5" thickBot="1" x14ac:dyDescent="0.25">
      <c r="A79" s="1" t="s">
        <v>19</v>
      </c>
      <c r="S79" s="1" t="s">
        <v>20</v>
      </c>
    </row>
    <row r="80" spans="1:30" ht="14.25" thickBot="1" x14ac:dyDescent="0.2">
      <c r="A80" s="3" t="s">
        <v>0</v>
      </c>
      <c r="B80" s="371" t="s">
        <v>17</v>
      </c>
      <c r="C80" s="372"/>
      <c r="D80" s="372"/>
      <c r="E80" s="372"/>
      <c r="F80" s="373"/>
      <c r="G80" s="371" t="s">
        <v>18</v>
      </c>
      <c r="H80" s="372"/>
      <c r="I80" s="372"/>
      <c r="J80" s="372"/>
      <c r="K80" s="373"/>
      <c r="L80" s="360" t="s">
        <v>1</v>
      </c>
      <c r="S80" s="3" t="s">
        <v>0</v>
      </c>
      <c r="T80" s="82" t="s">
        <v>17</v>
      </c>
      <c r="U80" s="83"/>
      <c r="V80" s="83"/>
      <c r="W80" s="83"/>
      <c r="X80" s="84"/>
      <c r="Y80" s="82" t="s">
        <v>18</v>
      </c>
      <c r="Z80" s="83"/>
      <c r="AA80" s="83"/>
      <c r="AB80" s="83"/>
      <c r="AC80" s="84"/>
      <c r="AD80" s="80" t="s">
        <v>1</v>
      </c>
    </row>
    <row r="81" spans="1:31" ht="14.25" thickBot="1" x14ac:dyDescent="0.2">
      <c r="A81" s="5" t="s">
        <v>2</v>
      </c>
      <c r="B81" s="6" t="s">
        <v>3</v>
      </c>
      <c r="C81" s="7" t="s">
        <v>4</v>
      </c>
      <c r="D81" s="7" t="s">
        <v>5</v>
      </c>
      <c r="E81" s="8" t="s">
        <v>6</v>
      </c>
      <c r="F81" s="5" t="s">
        <v>7</v>
      </c>
      <c r="G81" s="6" t="s">
        <v>3</v>
      </c>
      <c r="H81" s="7" t="s">
        <v>4</v>
      </c>
      <c r="I81" s="7" t="s">
        <v>5</v>
      </c>
      <c r="J81" s="8" t="s">
        <v>6</v>
      </c>
      <c r="K81" s="5" t="s">
        <v>7</v>
      </c>
      <c r="L81" s="375"/>
      <c r="S81" s="5" t="s">
        <v>2</v>
      </c>
      <c r="T81" s="6" t="s">
        <v>3</v>
      </c>
      <c r="U81" s="7" t="s">
        <v>4</v>
      </c>
      <c r="V81" s="7" t="s">
        <v>5</v>
      </c>
      <c r="W81" s="8" t="s">
        <v>6</v>
      </c>
      <c r="X81" s="5" t="s">
        <v>7</v>
      </c>
      <c r="Y81" s="6" t="s">
        <v>3</v>
      </c>
      <c r="Z81" s="7" t="s">
        <v>4</v>
      </c>
      <c r="AA81" s="7" t="s">
        <v>5</v>
      </c>
      <c r="AB81" s="8" t="s">
        <v>6</v>
      </c>
      <c r="AC81" s="5" t="s">
        <v>7</v>
      </c>
      <c r="AD81" s="81"/>
    </row>
    <row r="82" spans="1:31" ht="14.25" x14ac:dyDescent="0.15">
      <c r="A82" s="68" t="s">
        <v>30</v>
      </c>
      <c r="B82" s="69">
        <f>B76</f>
        <v>2</v>
      </c>
      <c r="C82" s="70">
        <f>C76</f>
        <v>4</v>
      </c>
      <c r="D82" s="70">
        <f>D76</f>
        <v>6</v>
      </c>
      <c r="E82" s="70">
        <f>E76</f>
        <v>5</v>
      </c>
      <c r="F82" s="71">
        <f t="shared" ref="F82:F99" si="16">SUM(B82:E82)</f>
        <v>17</v>
      </c>
      <c r="G82" s="69">
        <f>G76</f>
        <v>7</v>
      </c>
      <c r="H82" s="70">
        <f>H76</f>
        <v>10</v>
      </c>
      <c r="I82" s="70">
        <f>I76</f>
        <v>4</v>
      </c>
      <c r="J82" s="70">
        <f>J76</f>
        <v>5</v>
      </c>
      <c r="K82" s="71">
        <f t="shared" ref="K82:K99" si="17">SUM(G82:J82)</f>
        <v>26</v>
      </c>
      <c r="L82" s="72">
        <f t="shared" ref="L82:L99" si="18">F82+K82</f>
        <v>43</v>
      </c>
      <c r="M82" s="44"/>
      <c r="S82" s="68" t="s">
        <v>30</v>
      </c>
      <c r="T82" s="69">
        <f>T76</f>
        <v>153</v>
      </c>
      <c r="U82" s="70">
        <f>U76</f>
        <v>104</v>
      </c>
      <c r="V82" s="70">
        <f>V76</f>
        <v>96</v>
      </c>
      <c r="W82" s="70">
        <f>W76</f>
        <v>103</v>
      </c>
      <c r="X82" s="71">
        <f t="shared" ref="X82:X113" si="19">SUM(T82:W82)</f>
        <v>456</v>
      </c>
      <c r="Y82" s="69">
        <f>Y76</f>
        <v>70</v>
      </c>
      <c r="Z82" s="70">
        <f>Z76</f>
        <v>40</v>
      </c>
      <c r="AA82" s="70">
        <f>AA76</f>
        <v>36</v>
      </c>
      <c r="AB82" s="70">
        <f>AB76</f>
        <v>54</v>
      </c>
      <c r="AC82" s="71">
        <f t="shared" ref="AC82:AC113" si="20">SUM(Y82:AB82)</f>
        <v>200</v>
      </c>
      <c r="AD82" s="72">
        <f>X82+AC82</f>
        <v>656</v>
      </c>
    </row>
    <row r="83" spans="1:31" ht="14.25" x14ac:dyDescent="0.15">
      <c r="A83" s="10" t="s">
        <v>10</v>
      </c>
      <c r="B83" s="54"/>
      <c r="C83" s="55">
        <v>5</v>
      </c>
      <c r="D83" s="55">
        <v>5</v>
      </c>
      <c r="E83" s="55"/>
      <c r="F83" s="49">
        <f t="shared" si="16"/>
        <v>10</v>
      </c>
      <c r="G83" s="54">
        <v>5</v>
      </c>
      <c r="H83" s="55"/>
      <c r="I83" s="55"/>
      <c r="J83" s="55"/>
      <c r="K83" s="49">
        <f t="shared" si="17"/>
        <v>5</v>
      </c>
      <c r="L83" s="49">
        <f t="shared" si="18"/>
        <v>15</v>
      </c>
      <c r="M83" s="50">
        <v>43283</v>
      </c>
      <c r="S83" s="10" t="s">
        <v>10</v>
      </c>
      <c r="T83" s="54">
        <v>2</v>
      </c>
      <c r="U83" s="55">
        <v>4</v>
      </c>
      <c r="V83" s="55">
        <v>10</v>
      </c>
      <c r="W83" s="55">
        <v>5</v>
      </c>
      <c r="X83" s="49">
        <f t="shared" si="19"/>
        <v>21</v>
      </c>
      <c r="Y83" s="54">
        <v>8</v>
      </c>
      <c r="Z83" s="55">
        <v>4</v>
      </c>
      <c r="AA83" s="55">
        <v>4</v>
      </c>
      <c r="AB83" s="55">
        <v>4</v>
      </c>
      <c r="AC83" s="49">
        <f t="shared" si="20"/>
        <v>20</v>
      </c>
      <c r="AD83" s="49">
        <f t="shared" ref="AD83:AD115" si="21">X83+AC83</f>
        <v>41</v>
      </c>
      <c r="AE83" s="50">
        <v>43309</v>
      </c>
    </row>
    <row r="84" spans="1:31" ht="14.25" x14ac:dyDescent="0.15">
      <c r="A84" s="10" t="s">
        <v>11</v>
      </c>
      <c r="B84" s="54"/>
      <c r="C84" s="55"/>
      <c r="D84" s="55">
        <v>5</v>
      </c>
      <c r="E84" s="55"/>
      <c r="F84" s="49">
        <f t="shared" si="16"/>
        <v>5</v>
      </c>
      <c r="G84" s="54">
        <v>10</v>
      </c>
      <c r="H84" s="55">
        <v>10</v>
      </c>
      <c r="I84" s="55"/>
      <c r="J84" s="55">
        <v>10</v>
      </c>
      <c r="K84" s="49">
        <f t="shared" si="17"/>
        <v>30</v>
      </c>
      <c r="L84" s="49">
        <f t="shared" si="18"/>
        <v>35</v>
      </c>
      <c r="M84" s="50">
        <v>43284</v>
      </c>
      <c r="S84" s="10" t="s">
        <v>11</v>
      </c>
      <c r="T84" s="15"/>
      <c r="U84" s="16"/>
      <c r="V84" s="16"/>
      <c r="W84" s="16"/>
      <c r="X84" s="13">
        <f t="shared" si="19"/>
        <v>0</v>
      </c>
      <c r="Y84" s="15"/>
      <c r="Z84" s="16"/>
      <c r="AA84" s="16">
        <v>2</v>
      </c>
      <c r="AB84" s="16">
        <v>2</v>
      </c>
      <c r="AC84" s="13">
        <f t="shared" si="20"/>
        <v>4</v>
      </c>
      <c r="AD84" s="13">
        <f t="shared" si="21"/>
        <v>4</v>
      </c>
      <c r="AE84" s="14">
        <v>43316</v>
      </c>
    </row>
    <row r="85" spans="1:31" ht="14.25" x14ac:dyDescent="0.15">
      <c r="A85" s="10" t="s">
        <v>12</v>
      </c>
      <c r="B85" s="54"/>
      <c r="C85" s="55">
        <v>10</v>
      </c>
      <c r="D85" s="55"/>
      <c r="E85" s="55"/>
      <c r="F85" s="49">
        <f t="shared" si="16"/>
        <v>10</v>
      </c>
      <c r="G85" s="54"/>
      <c r="H85" s="55"/>
      <c r="I85" s="55"/>
      <c r="J85" s="55"/>
      <c r="K85" s="49">
        <f t="shared" si="17"/>
        <v>0</v>
      </c>
      <c r="L85" s="49">
        <f t="shared" si="18"/>
        <v>10</v>
      </c>
      <c r="M85" s="50">
        <v>43288</v>
      </c>
      <c r="S85" s="10" t="s">
        <v>35</v>
      </c>
      <c r="T85" s="54"/>
      <c r="U85" s="55"/>
      <c r="V85" s="55"/>
      <c r="W85" s="55"/>
      <c r="X85" s="49">
        <f t="shared" si="19"/>
        <v>0</v>
      </c>
      <c r="Y85" s="54"/>
      <c r="Z85" s="55"/>
      <c r="AA85" s="55"/>
      <c r="AB85" s="55">
        <v>5</v>
      </c>
      <c r="AC85" s="49">
        <f t="shared" si="20"/>
        <v>5</v>
      </c>
      <c r="AD85" s="49">
        <f t="shared" si="21"/>
        <v>5</v>
      </c>
      <c r="AE85" s="14">
        <v>43319</v>
      </c>
    </row>
    <row r="86" spans="1:31" ht="15" thickBot="1" x14ac:dyDescent="0.2">
      <c r="A86" s="10" t="s">
        <v>13</v>
      </c>
      <c r="B86" s="54"/>
      <c r="C86" s="55"/>
      <c r="D86" s="55"/>
      <c r="E86" s="55">
        <v>5</v>
      </c>
      <c r="F86" s="49">
        <f t="shared" si="16"/>
        <v>5</v>
      </c>
      <c r="G86" s="54"/>
      <c r="H86" s="55"/>
      <c r="I86" s="55">
        <v>5</v>
      </c>
      <c r="J86" s="55"/>
      <c r="K86" s="49">
        <f t="shared" si="17"/>
        <v>5</v>
      </c>
      <c r="L86" s="64">
        <f t="shared" si="18"/>
        <v>10</v>
      </c>
      <c r="M86" s="50">
        <v>43292</v>
      </c>
      <c r="S86" s="10" t="s">
        <v>13</v>
      </c>
      <c r="T86" s="54"/>
      <c r="U86" s="55"/>
      <c r="V86" s="55"/>
      <c r="W86" s="55"/>
      <c r="X86" s="49">
        <f t="shared" si="19"/>
        <v>0</v>
      </c>
      <c r="Y86" s="54"/>
      <c r="Z86" s="55"/>
      <c r="AA86" s="55"/>
      <c r="AB86" s="55"/>
      <c r="AC86" s="49">
        <f t="shared" si="20"/>
        <v>0</v>
      </c>
      <c r="AD86" s="64">
        <f t="shared" si="21"/>
        <v>0</v>
      </c>
    </row>
    <row r="87" spans="1:31" ht="15" thickBot="1" x14ac:dyDescent="0.2">
      <c r="A87" s="4" t="s">
        <v>14</v>
      </c>
      <c r="B87" s="23">
        <f>SUM(B82:B86)</f>
        <v>2</v>
      </c>
      <c r="C87" s="24">
        <f>SUM(C82:C86)</f>
        <v>19</v>
      </c>
      <c r="D87" s="24">
        <f>SUM(D82:D86)</f>
        <v>16</v>
      </c>
      <c r="E87" s="24">
        <f>SUM(E82:E86)</f>
        <v>10</v>
      </c>
      <c r="F87" s="25">
        <f t="shared" si="16"/>
        <v>47</v>
      </c>
      <c r="G87" s="23">
        <f>SUM(G82:G86)</f>
        <v>22</v>
      </c>
      <c r="H87" s="24">
        <f>SUM(H82:H86)</f>
        <v>20</v>
      </c>
      <c r="I87" s="24">
        <f>SUM(I82:I86)</f>
        <v>9</v>
      </c>
      <c r="J87" s="24">
        <f>SUM(J82:J86)</f>
        <v>15</v>
      </c>
      <c r="K87" s="25">
        <f t="shared" si="17"/>
        <v>66</v>
      </c>
      <c r="L87" s="45">
        <f t="shared" si="18"/>
        <v>113</v>
      </c>
      <c r="S87" s="4" t="s">
        <v>14</v>
      </c>
      <c r="T87" s="23">
        <f>SUM(T82:T86)</f>
        <v>155</v>
      </c>
      <c r="U87" s="24">
        <f>SUM(U82:U86)</f>
        <v>108</v>
      </c>
      <c r="V87" s="24">
        <f>SUM(V82:V86)</f>
        <v>106</v>
      </c>
      <c r="W87" s="24">
        <f>SUM(W82:W86)</f>
        <v>108</v>
      </c>
      <c r="X87" s="25">
        <f t="shared" si="19"/>
        <v>477</v>
      </c>
      <c r="Y87" s="23">
        <f>SUM(Y82:Y86)</f>
        <v>78</v>
      </c>
      <c r="Z87" s="24">
        <f>SUM(Z82:Z86)</f>
        <v>44</v>
      </c>
      <c r="AA87" s="24">
        <f>SUM(AA82:AA86)</f>
        <v>42</v>
      </c>
      <c r="AB87" s="24">
        <f>SUM(AB82:AB86)</f>
        <v>65</v>
      </c>
      <c r="AC87" s="25">
        <f t="shared" si="20"/>
        <v>229</v>
      </c>
      <c r="AD87" s="45">
        <f t="shared" si="21"/>
        <v>706</v>
      </c>
    </row>
    <row r="88" spans="1:31" ht="14.25" x14ac:dyDescent="0.15">
      <c r="A88" s="53" t="s">
        <v>26</v>
      </c>
      <c r="B88" s="46"/>
      <c r="C88" s="47"/>
      <c r="D88" s="47"/>
      <c r="E88" s="47"/>
      <c r="F88" s="48">
        <f t="shared" si="16"/>
        <v>0</v>
      </c>
      <c r="G88" s="46"/>
      <c r="H88" s="47"/>
      <c r="I88" s="47"/>
      <c r="J88" s="47">
        <v>3</v>
      </c>
      <c r="K88" s="48">
        <f t="shared" si="17"/>
        <v>3</v>
      </c>
      <c r="L88" s="49">
        <f t="shared" si="18"/>
        <v>3</v>
      </c>
      <c r="M88" s="50">
        <v>43284</v>
      </c>
      <c r="S88" s="27" t="s">
        <v>21</v>
      </c>
      <c r="T88" s="46"/>
      <c r="U88" s="47">
        <v>5</v>
      </c>
      <c r="V88" s="47">
        <v>5</v>
      </c>
      <c r="W88" s="47"/>
      <c r="X88" s="48">
        <f t="shared" si="19"/>
        <v>10</v>
      </c>
      <c r="Y88" s="46">
        <v>5</v>
      </c>
      <c r="Z88" s="47"/>
      <c r="AA88" s="47"/>
      <c r="AB88" s="47"/>
      <c r="AC88" s="48">
        <f t="shared" si="20"/>
        <v>5</v>
      </c>
      <c r="AD88" s="49">
        <f t="shared" si="21"/>
        <v>15</v>
      </c>
      <c r="AE88" s="50">
        <v>43283</v>
      </c>
    </row>
    <row r="89" spans="1:31" ht="14.25" x14ac:dyDescent="0.15">
      <c r="A89" s="53" t="s">
        <v>26</v>
      </c>
      <c r="B89" s="54"/>
      <c r="C89" s="55">
        <v>5</v>
      </c>
      <c r="D89" s="55">
        <v>3</v>
      </c>
      <c r="E89" s="55"/>
      <c r="F89" s="56">
        <f t="shared" si="16"/>
        <v>8</v>
      </c>
      <c r="G89" s="54">
        <v>5</v>
      </c>
      <c r="H89" s="55"/>
      <c r="I89" s="55"/>
      <c r="J89" s="55"/>
      <c r="K89" s="56">
        <f t="shared" si="17"/>
        <v>5</v>
      </c>
      <c r="L89" s="49">
        <f t="shared" si="18"/>
        <v>13</v>
      </c>
      <c r="M89" s="50">
        <v>43290</v>
      </c>
      <c r="S89" s="27" t="s">
        <v>21</v>
      </c>
      <c r="T89" s="54"/>
      <c r="U89" s="55"/>
      <c r="V89" s="55">
        <v>5</v>
      </c>
      <c r="W89" s="55"/>
      <c r="X89" s="56">
        <f t="shared" si="19"/>
        <v>5</v>
      </c>
      <c r="Y89" s="54">
        <v>10</v>
      </c>
      <c r="Z89" s="55">
        <v>10</v>
      </c>
      <c r="AA89" s="55"/>
      <c r="AB89" s="55">
        <v>10</v>
      </c>
      <c r="AC89" s="56">
        <f t="shared" si="20"/>
        <v>30</v>
      </c>
      <c r="AD89" s="49">
        <f t="shared" si="21"/>
        <v>35</v>
      </c>
      <c r="AE89" s="50">
        <v>43284</v>
      </c>
    </row>
    <row r="90" spans="1:31" ht="14.25" x14ac:dyDescent="0.15">
      <c r="A90" s="53" t="s">
        <v>26</v>
      </c>
      <c r="B90" s="54"/>
      <c r="C90" s="55"/>
      <c r="D90" s="55"/>
      <c r="E90" s="55"/>
      <c r="F90" s="56">
        <f t="shared" si="16"/>
        <v>0</v>
      </c>
      <c r="G90" s="54"/>
      <c r="H90" s="55"/>
      <c r="I90" s="55"/>
      <c r="J90" s="55">
        <v>3</v>
      </c>
      <c r="K90" s="56">
        <f t="shared" si="17"/>
        <v>3</v>
      </c>
      <c r="L90" s="49">
        <f t="shared" si="18"/>
        <v>3</v>
      </c>
      <c r="M90" s="50">
        <v>43287</v>
      </c>
      <c r="S90" s="27" t="s">
        <v>21</v>
      </c>
      <c r="T90" s="54"/>
      <c r="U90" s="55"/>
      <c r="V90" s="55"/>
      <c r="W90" s="55">
        <v>5</v>
      </c>
      <c r="X90" s="56">
        <f t="shared" si="19"/>
        <v>5</v>
      </c>
      <c r="Y90" s="54"/>
      <c r="Z90" s="55"/>
      <c r="AA90" s="55">
        <v>5</v>
      </c>
      <c r="AB90" s="55"/>
      <c r="AC90" s="56">
        <f t="shared" si="20"/>
        <v>5</v>
      </c>
      <c r="AD90" s="49">
        <f t="shared" si="21"/>
        <v>10</v>
      </c>
      <c r="AE90" s="50">
        <v>43292</v>
      </c>
    </row>
    <row r="91" spans="1:31" ht="14.25" x14ac:dyDescent="0.15">
      <c r="A91" s="53" t="s">
        <v>25</v>
      </c>
      <c r="B91" s="54"/>
      <c r="C91" s="55"/>
      <c r="D91" s="55">
        <v>5</v>
      </c>
      <c r="E91" s="55"/>
      <c r="F91" s="56">
        <f t="shared" si="16"/>
        <v>5</v>
      </c>
      <c r="G91" s="54">
        <v>10</v>
      </c>
      <c r="H91" s="55">
        <v>10</v>
      </c>
      <c r="I91" s="55"/>
      <c r="J91" s="55">
        <v>5</v>
      </c>
      <c r="K91" s="56">
        <f t="shared" si="17"/>
        <v>25</v>
      </c>
      <c r="L91" s="49">
        <f t="shared" si="18"/>
        <v>30</v>
      </c>
      <c r="M91" s="50">
        <v>43287</v>
      </c>
      <c r="S91" s="27" t="s">
        <v>21</v>
      </c>
      <c r="T91" s="54"/>
      <c r="U91" s="55">
        <v>5</v>
      </c>
      <c r="V91" s="55">
        <v>10</v>
      </c>
      <c r="W91" s="55"/>
      <c r="X91" s="56">
        <f t="shared" si="19"/>
        <v>15</v>
      </c>
      <c r="Y91" s="54"/>
      <c r="Z91" s="55"/>
      <c r="AA91" s="55">
        <v>5</v>
      </c>
      <c r="AB91" s="55"/>
      <c r="AC91" s="56">
        <f t="shared" si="20"/>
        <v>5</v>
      </c>
      <c r="AD91" s="49">
        <f t="shared" si="21"/>
        <v>20</v>
      </c>
      <c r="AE91" s="50">
        <v>43294</v>
      </c>
    </row>
    <row r="92" spans="1:31" ht="14.25" x14ac:dyDescent="0.15">
      <c r="A92" s="53" t="s">
        <v>26</v>
      </c>
      <c r="B92" s="54"/>
      <c r="C92" s="55"/>
      <c r="D92" s="55"/>
      <c r="E92" s="55"/>
      <c r="F92" s="56">
        <f t="shared" si="16"/>
        <v>0</v>
      </c>
      <c r="G92" s="54"/>
      <c r="H92" s="55">
        <v>5</v>
      </c>
      <c r="I92" s="55"/>
      <c r="J92" s="55"/>
      <c r="K92" s="56">
        <f t="shared" si="17"/>
        <v>5</v>
      </c>
      <c r="L92" s="49">
        <f t="shared" si="18"/>
        <v>5</v>
      </c>
      <c r="M92" s="50">
        <v>43291</v>
      </c>
      <c r="S92" s="27" t="s">
        <v>33</v>
      </c>
      <c r="T92" s="54">
        <v>10</v>
      </c>
      <c r="U92" s="55"/>
      <c r="V92" s="55"/>
      <c r="W92" s="55">
        <v>5</v>
      </c>
      <c r="X92" s="56">
        <f t="shared" si="19"/>
        <v>15</v>
      </c>
      <c r="Y92" s="54">
        <v>10</v>
      </c>
      <c r="Z92" s="55">
        <v>10</v>
      </c>
      <c r="AA92" s="55">
        <v>5</v>
      </c>
      <c r="AB92" s="55">
        <v>5</v>
      </c>
      <c r="AC92" s="56">
        <f t="shared" si="20"/>
        <v>30</v>
      </c>
      <c r="AD92" s="49">
        <f t="shared" si="21"/>
        <v>45</v>
      </c>
      <c r="AE92" s="50">
        <v>43295</v>
      </c>
    </row>
    <row r="93" spans="1:31" x14ac:dyDescent="0.15">
      <c r="A93" s="53" t="s">
        <v>25</v>
      </c>
      <c r="B93" s="54"/>
      <c r="C93" s="55">
        <v>10</v>
      </c>
      <c r="D93" s="55"/>
      <c r="E93" s="55"/>
      <c r="F93" s="56">
        <f t="shared" si="16"/>
        <v>10</v>
      </c>
      <c r="G93" s="54"/>
      <c r="H93" s="55"/>
      <c r="I93" s="55"/>
      <c r="J93" s="55"/>
      <c r="K93" s="56">
        <f t="shared" si="17"/>
        <v>0</v>
      </c>
      <c r="L93" s="49">
        <f t="shared" si="18"/>
        <v>10</v>
      </c>
      <c r="M93" s="50">
        <v>43291</v>
      </c>
      <c r="S93" s="53" t="s">
        <v>26</v>
      </c>
      <c r="T93" s="54"/>
      <c r="U93" s="55"/>
      <c r="V93" s="55"/>
      <c r="W93" s="55"/>
      <c r="X93" s="56">
        <f t="shared" si="19"/>
        <v>0</v>
      </c>
      <c r="Y93" s="54"/>
      <c r="Z93" s="55"/>
      <c r="AA93" s="55"/>
      <c r="AB93" s="55">
        <v>5</v>
      </c>
      <c r="AC93" s="56">
        <f t="shared" si="20"/>
        <v>5</v>
      </c>
      <c r="AD93" s="49">
        <f t="shared" si="21"/>
        <v>5</v>
      </c>
      <c r="AE93" s="50">
        <v>43301</v>
      </c>
    </row>
    <row r="94" spans="1:31" x14ac:dyDescent="0.15">
      <c r="A94" s="53" t="s">
        <v>29</v>
      </c>
      <c r="B94" s="54"/>
      <c r="C94" s="55"/>
      <c r="D94" s="55">
        <v>-1</v>
      </c>
      <c r="E94" s="55"/>
      <c r="F94" s="56">
        <f t="shared" si="16"/>
        <v>-1</v>
      </c>
      <c r="G94" s="54"/>
      <c r="H94" s="55">
        <v>-2</v>
      </c>
      <c r="I94" s="55"/>
      <c r="J94" s="55"/>
      <c r="K94" s="56">
        <f t="shared" si="17"/>
        <v>-2</v>
      </c>
      <c r="L94" s="49">
        <f t="shared" si="18"/>
        <v>-3</v>
      </c>
      <c r="M94" s="50">
        <v>43288</v>
      </c>
      <c r="S94" s="53" t="s">
        <v>25</v>
      </c>
      <c r="T94" s="54"/>
      <c r="U94" s="55">
        <v>10</v>
      </c>
      <c r="V94" s="55"/>
      <c r="W94" s="55"/>
      <c r="X94" s="56">
        <f t="shared" si="19"/>
        <v>10</v>
      </c>
      <c r="Y94" s="54"/>
      <c r="Z94" s="55"/>
      <c r="AA94" s="55"/>
      <c r="AB94" s="55"/>
      <c r="AC94" s="56">
        <f t="shared" si="20"/>
        <v>0</v>
      </c>
      <c r="AD94" s="49">
        <f t="shared" si="21"/>
        <v>10</v>
      </c>
      <c r="AE94" s="50">
        <v>43301</v>
      </c>
    </row>
    <row r="95" spans="1:31" ht="14.25" x14ac:dyDescent="0.15">
      <c r="A95" s="53" t="s">
        <v>26</v>
      </c>
      <c r="B95" s="54"/>
      <c r="C95" s="55"/>
      <c r="D95" s="55"/>
      <c r="E95" s="55"/>
      <c r="F95" s="56">
        <f t="shared" si="16"/>
        <v>0</v>
      </c>
      <c r="G95" s="54"/>
      <c r="H95" s="55"/>
      <c r="I95" s="55">
        <v>5</v>
      </c>
      <c r="J95" s="55"/>
      <c r="K95" s="56">
        <f t="shared" si="17"/>
        <v>5</v>
      </c>
      <c r="L95" s="49">
        <f t="shared" si="18"/>
        <v>5</v>
      </c>
      <c r="M95" s="50">
        <v>43298</v>
      </c>
      <c r="S95" s="27" t="s">
        <v>21</v>
      </c>
      <c r="T95" s="54"/>
      <c r="U95" s="55"/>
      <c r="V95" s="55"/>
      <c r="W95" s="55"/>
      <c r="X95" s="56">
        <f t="shared" si="19"/>
        <v>0</v>
      </c>
      <c r="Y95" s="54">
        <v>5</v>
      </c>
      <c r="Z95" s="55"/>
      <c r="AA95" s="55"/>
      <c r="AB95" s="55">
        <v>5</v>
      </c>
      <c r="AC95" s="56">
        <f t="shared" si="20"/>
        <v>10</v>
      </c>
      <c r="AD95" s="49">
        <f t="shared" si="21"/>
        <v>10</v>
      </c>
      <c r="AE95" s="50">
        <v>43301</v>
      </c>
    </row>
    <row r="96" spans="1:31" x14ac:dyDescent="0.15">
      <c r="A96" s="53" t="s">
        <v>25</v>
      </c>
      <c r="B96" s="17"/>
      <c r="C96" s="18"/>
      <c r="D96" s="18"/>
      <c r="E96" s="18">
        <v>5</v>
      </c>
      <c r="F96" s="30">
        <f t="shared" si="16"/>
        <v>5</v>
      </c>
      <c r="G96" s="17"/>
      <c r="H96" s="18"/>
      <c r="I96" s="18"/>
      <c r="J96" s="18"/>
      <c r="K96" s="30">
        <f t="shared" si="17"/>
        <v>0</v>
      </c>
      <c r="L96" s="49">
        <f t="shared" si="18"/>
        <v>5</v>
      </c>
      <c r="M96" s="50">
        <v>43298</v>
      </c>
      <c r="S96" s="53" t="s">
        <v>26</v>
      </c>
      <c r="T96" s="17">
        <v>5</v>
      </c>
      <c r="U96" s="18"/>
      <c r="V96" s="18"/>
      <c r="W96" s="18">
        <v>5</v>
      </c>
      <c r="X96" s="30">
        <f t="shared" si="19"/>
        <v>10</v>
      </c>
      <c r="Y96" s="17">
        <v>10</v>
      </c>
      <c r="Z96" s="18"/>
      <c r="AA96" s="18"/>
      <c r="AB96" s="18"/>
      <c r="AC96" s="30">
        <f t="shared" si="20"/>
        <v>10</v>
      </c>
      <c r="AD96" s="49">
        <f t="shared" si="21"/>
        <v>20</v>
      </c>
      <c r="AE96" s="50">
        <v>43306</v>
      </c>
    </row>
    <row r="97" spans="1:31" x14ac:dyDescent="0.15">
      <c r="A97" s="53" t="s">
        <v>25</v>
      </c>
      <c r="B97" s="54"/>
      <c r="C97" s="55"/>
      <c r="D97" s="55"/>
      <c r="E97" s="55"/>
      <c r="F97" s="56">
        <f t="shared" si="16"/>
        <v>0</v>
      </c>
      <c r="G97" s="54"/>
      <c r="H97" s="55"/>
      <c r="I97" s="55">
        <v>5</v>
      </c>
      <c r="J97" s="55"/>
      <c r="K97" s="56">
        <f t="shared" si="17"/>
        <v>5</v>
      </c>
      <c r="L97" s="49">
        <f t="shared" si="18"/>
        <v>5</v>
      </c>
      <c r="M97" s="50">
        <v>43298</v>
      </c>
      <c r="S97" s="53" t="s">
        <v>25</v>
      </c>
      <c r="T97" s="62">
        <v>10</v>
      </c>
      <c r="U97" s="63"/>
      <c r="V97" s="63">
        <v>10</v>
      </c>
      <c r="W97" s="63"/>
      <c r="X97" s="56">
        <f t="shared" si="19"/>
        <v>20</v>
      </c>
      <c r="Y97" s="62">
        <v>10</v>
      </c>
      <c r="Z97" s="63">
        <v>10</v>
      </c>
      <c r="AA97" s="63">
        <v>10</v>
      </c>
      <c r="AB97" s="63">
        <v>10</v>
      </c>
      <c r="AC97" s="56">
        <f t="shared" si="20"/>
        <v>40</v>
      </c>
      <c r="AD97" s="49">
        <f t="shared" si="21"/>
        <v>60</v>
      </c>
      <c r="AE97" s="50">
        <v>43306</v>
      </c>
    </row>
    <row r="98" spans="1:31" x14ac:dyDescent="0.15">
      <c r="A98" s="53" t="s">
        <v>28</v>
      </c>
      <c r="B98" s="54"/>
      <c r="C98" s="55">
        <v>-5</v>
      </c>
      <c r="D98" s="55">
        <v>-10</v>
      </c>
      <c r="E98" s="55"/>
      <c r="F98" s="56">
        <f t="shared" si="16"/>
        <v>-15</v>
      </c>
      <c r="G98" s="54"/>
      <c r="H98" s="55"/>
      <c r="I98" s="55">
        <v>-5</v>
      </c>
      <c r="J98" s="55"/>
      <c r="K98" s="56">
        <f t="shared" si="17"/>
        <v>-5</v>
      </c>
      <c r="L98" s="49">
        <f t="shared" si="18"/>
        <v>-20</v>
      </c>
      <c r="M98" s="50">
        <v>43294</v>
      </c>
      <c r="S98" s="53" t="s">
        <v>26</v>
      </c>
      <c r="T98" s="54"/>
      <c r="U98" s="55"/>
      <c r="V98" s="55"/>
      <c r="W98" s="55"/>
      <c r="X98" s="56">
        <f t="shared" si="19"/>
        <v>0</v>
      </c>
      <c r="Y98" s="54"/>
      <c r="Z98" s="55">
        <v>10</v>
      </c>
      <c r="AA98" s="55"/>
      <c r="AB98" s="55"/>
      <c r="AC98" s="56">
        <f t="shared" si="20"/>
        <v>10</v>
      </c>
      <c r="AD98" s="49">
        <f t="shared" si="21"/>
        <v>10</v>
      </c>
      <c r="AE98" s="50">
        <v>43308</v>
      </c>
    </row>
    <row r="99" spans="1:31" x14ac:dyDescent="0.15">
      <c r="A99" s="53" t="s">
        <v>26</v>
      </c>
      <c r="B99" s="54"/>
      <c r="C99" s="55">
        <v>5</v>
      </c>
      <c r="D99" s="55"/>
      <c r="E99" s="55"/>
      <c r="F99" s="56">
        <f t="shared" si="16"/>
        <v>5</v>
      </c>
      <c r="G99" s="54"/>
      <c r="H99" s="55"/>
      <c r="I99" s="55"/>
      <c r="J99" s="55"/>
      <c r="K99" s="56">
        <f t="shared" si="17"/>
        <v>0</v>
      </c>
      <c r="L99" s="49">
        <f t="shared" si="18"/>
        <v>5</v>
      </c>
      <c r="M99" s="50">
        <v>43298</v>
      </c>
      <c r="S99" s="53" t="s">
        <v>26</v>
      </c>
      <c r="T99" s="54"/>
      <c r="U99" s="55"/>
      <c r="V99" s="55"/>
      <c r="W99" s="55"/>
      <c r="X99" s="56">
        <f t="shared" si="19"/>
        <v>0</v>
      </c>
      <c r="Y99" s="54"/>
      <c r="Z99" s="55"/>
      <c r="AA99" s="55">
        <v>5</v>
      </c>
      <c r="AB99" s="55"/>
      <c r="AC99" s="56">
        <f t="shared" si="20"/>
        <v>5</v>
      </c>
      <c r="AD99" s="49">
        <f t="shared" si="21"/>
        <v>5</v>
      </c>
      <c r="AE99" s="50">
        <v>43311</v>
      </c>
    </row>
    <row r="100" spans="1:31" x14ac:dyDescent="0.15">
      <c r="A100" s="53" t="s">
        <v>25</v>
      </c>
      <c r="B100" s="54"/>
      <c r="C100" s="55"/>
      <c r="D100" s="55">
        <v>10</v>
      </c>
      <c r="E100" s="55"/>
      <c r="F100" s="56">
        <f t="shared" ref="F100:F113" si="22">SUM(B100:E100)</f>
        <v>10</v>
      </c>
      <c r="G100" s="54"/>
      <c r="H100" s="55"/>
      <c r="I100" s="55"/>
      <c r="J100" s="55"/>
      <c r="K100" s="56">
        <f t="shared" ref="K100:K113" si="23">SUM(G100:J100)</f>
        <v>0</v>
      </c>
      <c r="L100" s="49">
        <f t="shared" ref="L100:L115" si="24">F100+K100</f>
        <v>10</v>
      </c>
      <c r="M100" s="50">
        <v>43298</v>
      </c>
      <c r="S100" s="53" t="s">
        <v>25</v>
      </c>
      <c r="T100" s="54"/>
      <c r="U100" s="55"/>
      <c r="V100" s="55"/>
      <c r="W100" s="55"/>
      <c r="X100" s="56">
        <f t="shared" si="19"/>
        <v>0</v>
      </c>
      <c r="Y100" s="54"/>
      <c r="Z100" s="55"/>
      <c r="AA100" s="55"/>
      <c r="AB100" s="55">
        <v>10</v>
      </c>
      <c r="AC100" s="56">
        <f t="shared" si="20"/>
        <v>10</v>
      </c>
      <c r="AD100" s="49">
        <f t="shared" si="21"/>
        <v>10</v>
      </c>
      <c r="AE100" s="50">
        <v>43312</v>
      </c>
    </row>
    <row r="101" spans="1:31" x14ac:dyDescent="0.15">
      <c r="A101" s="53" t="s">
        <v>26</v>
      </c>
      <c r="B101" s="54"/>
      <c r="C101" s="55"/>
      <c r="D101" s="55"/>
      <c r="E101" s="55"/>
      <c r="F101" s="56">
        <f t="shared" si="22"/>
        <v>0</v>
      </c>
      <c r="G101" s="54"/>
      <c r="H101" s="55">
        <v>5</v>
      </c>
      <c r="I101" s="55"/>
      <c r="J101" s="55"/>
      <c r="K101" s="56">
        <f t="shared" si="23"/>
        <v>5</v>
      </c>
      <c r="L101" s="49">
        <f t="shared" si="24"/>
        <v>5</v>
      </c>
      <c r="M101" s="50">
        <v>43299</v>
      </c>
      <c r="S101" s="53" t="s">
        <v>26</v>
      </c>
      <c r="T101" s="54"/>
      <c r="U101" s="55">
        <v>5</v>
      </c>
      <c r="V101" s="55"/>
      <c r="W101" s="55"/>
      <c r="X101" s="56">
        <f t="shared" si="19"/>
        <v>5</v>
      </c>
      <c r="Y101" s="54"/>
      <c r="Z101" s="55"/>
      <c r="AA101" s="55"/>
      <c r="AB101" s="55"/>
      <c r="AC101" s="56">
        <f t="shared" si="20"/>
        <v>0</v>
      </c>
      <c r="AD101" s="49">
        <f t="shared" si="21"/>
        <v>5</v>
      </c>
      <c r="AE101" s="50">
        <v>43312</v>
      </c>
    </row>
    <row r="102" spans="1:31" x14ac:dyDescent="0.15">
      <c r="A102" s="53" t="s">
        <v>25</v>
      </c>
      <c r="B102" s="54">
        <v>10</v>
      </c>
      <c r="C102" s="55"/>
      <c r="D102" s="55"/>
      <c r="E102" s="55">
        <v>5</v>
      </c>
      <c r="F102" s="56">
        <f t="shared" si="22"/>
        <v>15</v>
      </c>
      <c r="G102" s="54">
        <v>10</v>
      </c>
      <c r="H102" s="55">
        <v>10</v>
      </c>
      <c r="I102" s="55">
        <v>5</v>
      </c>
      <c r="J102" s="55">
        <v>5</v>
      </c>
      <c r="K102" s="56">
        <f t="shared" si="23"/>
        <v>30</v>
      </c>
      <c r="L102" s="49">
        <f t="shared" si="24"/>
        <v>45</v>
      </c>
      <c r="M102" s="50">
        <v>43299</v>
      </c>
      <c r="S102" s="53" t="s">
        <v>25</v>
      </c>
      <c r="T102" s="54"/>
      <c r="U102" s="55">
        <v>10</v>
      </c>
      <c r="V102" s="55"/>
      <c r="W102" s="55"/>
      <c r="X102" s="56">
        <f t="shared" si="19"/>
        <v>10</v>
      </c>
      <c r="Y102" s="54"/>
      <c r="Z102" s="55"/>
      <c r="AA102" s="55"/>
      <c r="AB102" s="55"/>
      <c r="AC102" s="56">
        <f t="shared" si="20"/>
        <v>0</v>
      </c>
      <c r="AD102" s="49">
        <f t="shared" si="21"/>
        <v>10</v>
      </c>
      <c r="AE102" s="50">
        <v>43312</v>
      </c>
    </row>
    <row r="103" spans="1:31" x14ac:dyDescent="0.15">
      <c r="A103" s="53" t="s">
        <v>28</v>
      </c>
      <c r="B103" s="54">
        <v>-10</v>
      </c>
      <c r="C103" s="55"/>
      <c r="D103" s="55"/>
      <c r="E103" s="55">
        <v>-5</v>
      </c>
      <c r="F103" s="56">
        <f t="shared" si="22"/>
        <v>-15</v>
      </c>
      <c r="G103" s="54">
        <v>-10</v>
      </c>
      <c r="H103" s="55">
        <v>-10</v>
      </c>
      <c r="I103" s="55">
        <v>-5</v>
      </c>
      <c r="J103" s="55">
        <v>-5</v>
      </c>
      <c r="K103" s="56">
        <f t="shared" si="23"/>
        <v>-30</v>
      </c>
      <c r="L103" s="49">
        <f t="shared" si="24"/>
        <v>-45</v>
      </c>
      <c r="M103" s="50">
        <v>43295</v>
      </c>
      <c r="S103" s="53" t="s">
        <v>26</v>
      </c>
      <c r="T103" s="54"/>
      <c r="U103" s="55"/>
      <c r="V103" s="55"/>
      <c r="W103" s="55">
        <v>5</v>
      </c>
      <c r="X103" s="56">
        <f t="shared" si="19"/>
        <v>5</v>
      </c>
      <c r="Y103" s="54"/>
      <c r="Z103" s="55"/>
      <c r="AA103" s="55"/>
      <c r="AB103" s="55"/>
      <c r="AC103" s="56">
        <f t="shared" si="20"/>
        <v>0</v>
      </c>
      <c r="AD103" s="49">
        <f t="shared" si="21"/>
        <v>5</v>
      </c>
      <c r="AE103" s="50">
        <v>43314</v>
      </c>
    </row>
    <row r="104" spans="1:31" x14ac:dyDescent="0.15">
      <c r="A104" s="53" t="s">
        <v>26</v>
      </c>
      <c r="B104" s="54"/>
      <c r="C104" s="55"/>
      <c r="D104" s="55"/>
      <c r="E104" s="55"/>
      <c r="F104" s="56">
        <f t="shared" si="22"/>
        <v>0</v>
      </c>
      <c r="G104" s="54">
        <v>5</v>
      </c>
      <c r="H104" s="55"/>
      <c r="I104" s="55"/>
      <c r="J104" s="55"/>
      <c r="K104" s="56">
        <f t="shared" si="23"/>
        <v>5</v>
      </c>
      <c r="L104" s="49">
        <f t="shared" si="24"/>
        <v>5</v>
      </c>
      <c r="M104" s="50">
        <v>43304</v>
      </c>
      <c r="S104" s="53" t="s">
        <v>25</v>
      </c>
      <c r="T104" s="54"/>
      <c r="U104" s="55"/>
      <c r="V104" s="55"/>
      <c r="W104" s="55">
        <v>3</v>
      </c>
      <c r="X104" s="56">
        <f t="shared" si="19"/>
        <v>3</v>
      </c>
      <c r="Y104" s="54"/>
      <c r="Z104" s="55"/>
      <c r="AA104" s="55"/>
      <c r="AB104" s="55"/>
      <c r="AC104" s="56">
        <f t="shared" si="20"/>
        <v>0</v>
      </c>
      <c r="AD104" s="49">
        <f t="shared" si="21"/>
        <v>3</v>
      </c>
      <c r="AE104" s="50">
        <v>43314</v>
      </c>
    </row>
    <row r="105" spans="1:31" x14ac:dyDescent="0.15">
      <c r="A105" s="53" t="s">
        <v>25</v>
      </c>
      <c r="B105" s="54"/>
      <c r="C105" s="55"/>
      <c r="D105" s="55"/>
      <c r="E105" s="55"/>
      <c r="F105" s="56">
        <f t="shared" si="22"/>
        <v>0</v>
      </c>
      <c r="G105" s="54"/>
      <c r="H105" s="55"/>
      <c r="I105" s="55"/>
      <c r="J105" s="55">
        <v>5</v>
      </c>
      <c r="K105" s="56">
        <f t="shared" si="23"/>
        <v>5</v>
      </c>
      <c r="L105" s="49">
        <f t="shared" si="24"/>
        <v>5</v>
      </c>
      <c r="M105" s="50">
        <v>43304</v>
      </c>
      <c r="S105" s="53" t="s">
        <v>26</v>
      </c>
      <c r="T105" s="54"/>
      <c r="U105" s="55"/>
      <c r="V105" s="55"/>
      <c r="W105" s="55"/>
      <c r="X105" s="56">
        <f t="shared" si="19"/>
        <v>0</v>
      </c>
      <c r="Y105" s="54"/>
      <c r="Z105" s="55"/>
      <c r="AA105" s="55"/>
      <c r="AB105" s="55">
        <v>6</v>
      </c>
      <c r="AC105" s="56">
        <f t="shared" si="20"/>
        <v>6</v>
      </c>
      <c r="AD105" s="49">
        <f t="shared" si="21"/>
        <v>6</v>
      </c>
      <c r="AE105" s="50">
        <v>43314</v>
      </c>
    </row>
    <row r="106" spans="1:31" x14ac:dyDescent="0.15">
      <c r="A106" s="53" t="s">
        <v>28</v>
      </c>
      <c r="B106" s="54"/>
      <c r="C106" s="55"/>
      <c r="D106" s="55"/>
      <c r="E106" s="55"/>
      <c r="F106" s="56">
        <f t="shared" si="22"/>
        <v>0</v>
      </c>
      <c r="G106" s="54">
        <v>-5</v>
      </c>
      <c r="H106" s="55"/>
      <c r="I106" s="55"/>
      <c r="J106" s="55">
        <v>-5</v>
      </c>
      <c r="K106" s="56">
        <f t="shared" si="23"/>
        <v>-10</v>
      </c>
      <c r="L106" s="49">
        <f t="shared" si="24"/>
        <v>-10</v>
      </c>
      <c r="M106" s="50">
        <v>43301</v>
      </c>
      <c r="S106" s="53" t="s">
        <v>26</v>
      </c>
      <c r="T106" s="54"/>
      <c r="U106" s="55"/>
      <c r="V106" s="55">
        <v>2</v>
      </c>
      <c r="W106" s="55"/>
      <c r="X106" s="56">
        <f t="shared" si="19"/>
        <v>2</v>
      </c>
      <c r="Y106" s="54"/>
      <c r="Z106" s="55"/>
      <c r="AA106" s="55"/>
      <c r="AB106" s="55"/>
      <c r="AC106" s="56">
        <f t="shared" si="20"/>
        <v>0</v>
      </c>
      <c r="AD106" s="49">
        <f t="shared" si="21"/>
        <v>2</v>
      </c>
      <c r="AE106" s="50">
        <v>43318</v>
      </c>
    </row>
    <row r="107" spans="1:31" x14ac:dyDescent="0.15">
      <c r="A107" s="53" t="s">
        <v>29</v>
      </c>
      <c r="B107" s="17"/>
      <c r="C107" s="18"/>
      <c r="D107" s="18">
        <v>-1</v>
      </c>
      <c r="E107" s="18"/>
      <c r="F107" s="30">
        <f t="shared" si="22"/>
        <v>-1</v>
      </c>
      <c r="G107" s="17">
        <v>-1</v>
      </c>
      <c r="H107" s="18">
        <v>-2</v>
      </c>
      <c r="I107" s="18"/>
      <c r="J107" s="18"/>
      <c r="K107" s="30">
        <f t="shared" si="23"/>
        <v>-3</v>
      </c>
      <c r="L107" s="49">
        <f t="shared" si="24"/>
        <v>-4</v>
      </c>
      <c r="M107" s="50">
        <v>43302</v>
      </c>
      <c r="S107" s="53" t="s">
        <v>25</v>
      </c>
      <c r="T107" s="17"/>
      <c r="U107" s="18"/>
      <c r="V107" s="18"/>
      <c r="W107" s="18"/>
      <c r="X107" s="30">
        <f t="shared" si="19"/>
        <v>0</v>
      </c>
      <c r="Y107" s="17">
        <v>5</v>
      </c>
      <c r="Z107" s="18">
        <v>4</v>
      </c>
      <c r="AA107" s="18"/>
      <c r="AB107" s="18"/>
      <c r="AC107" s="30">
        <f t="shared" si="20"/>
        <v>9</v>
      </c>
      <c r="AD107" s="49">
        <f t="shared" si="21"/>
        <v>9</v>
      </c>
      <c r="AE107" s="50">
        <v>43318</v>
      </c>
    </row>
    <row r="108" spans="1:31" x14ac:dyDescent="0.15">
      <c r="A108" s="53" t="s">
        <v>34</v>
      </c>
      <c r="B108" s="54">
        <v>2</v>
      </c>
      <c r="C108" s="55">
        <v>4</v>
      </c>
      <c r="D108" s="55">
        <v>10</v>
      </c>
      <c r="E108" s="55">
        <v>5</v>
      </c>
      <c r="F108" s="56">
        <f t="shared" si="22"/>
        <v>21</v>
      </c>
      <c r="G108" s="54">
        <v>8</v>
      </c>
      <c r="H108" s="55">
        <v>4</v>
      </c>
      <c r="I108" s="55">
        <v>4</v>
      </c>
      <c r="J108" s="55">
        <v>4</v>
      </c>
      <c r="K108" s="56">
        <f t="shared" si="23"/>
        <v>20</v>
      </c>
      <c r="L108" s="49">
        <f t="shared" si="24"/>
        <v>41</v>
      </c>
      <c r="M108" s="50">
        <v>43309</v>
      </c>
      <c r="S108" s="53" t="s">
        <v>25</v>
      </c>
      <c r="T108" s="54"/>
      <c r="U108" s="55"/>
      <c r="V108" s="55"/>
      <c r="W108" s="55"/>
      <c r="X108" s="56">
        <f t="shared" si="19"/>
        <v>0</v>
      </c>
      <c r="Y108" s="54"/>
      <c r="Z108" s="55"/>
      <c r="AA108" s="55"/>
      <c r="AB108" s="55">
        <v>3</v>
      </c>
      <c r="AC108" s="56">
        <f t="shared" si="20"/>
        <v>3</v>
      </c>
      <c r="AD108" s="49">
        <f t="shared" si="21"/>
        <v>3</v>
      </c>
      <c r="AE108" s="50">
        <v>43318</v>
      </c>
    </row>
    <row r="109" spans="1:31" x14ac:dyDescent="0.15">
      <c r="A109" s="53" t="s">
        <v>29</v>
      </c>
      <c r="B109" s="62"/>
      <c r="C109" s="63"/>
      <c r="D109" s="63"/>
      <c r="E109" s="63"/>
      <c r="F109" s="56">
        <f t="shared" si="22"/>
        <v>0</v>
      </c>
      <c r="G109" s="62"/>
      <c r="H109" s="63"/>
      <c r="I109" s="63">
        <v>-2</v>
      </c>
      <c r="J109" s="63">
        <v>-2</v>
      </c>
      <c r="K109" s="56">
        <f t="shared" si="23"/>
        <v>-4</v>
      </c>
      <c r="L109" s="49">
        <f t="shared" si="24"/>
        <v>-4</v>
      </c>
      <c r="M109" s="50">
        <v>43314</v>
      </c>
      <c r="S109" s="53" t="s">
        <v>26</v>
      </c>
      <c r="T109" s="62"/>
      <c r="U109" s="63"/>
      <c r="V109" s="63"/>
      <c r="W109" s="63"/>
      <c r="X109" s="56">
        <f t="shared" si="19"/>
        <v>0</v>
      </c>
      <c r="Y109" s="62"/>
      <c r="Z109" s="63"/>
      <c r="AA109" s="63"/>
      <c r="AB109" s="63">
        <v>3</v>
      </c>
      <c r="AC109" s="56">
        <f t="shared" si="20"/>
        <v>3</v>
      </c>
      <c r="AD109" s="49">
        <f t="shared" si="21"/>
        <v>3</v>
      </c>
      <c r="AE109" s="50">
        <v>43318</v>
      </c>
    </row>
    <row r="110" spans="1:31" x14ac:dyDescent="0.15">
      <c r="A110" s="53" t="s">
        <v>34</v>
      </c>
      <c r="B110" s="54"/>
      <c r="C110" s="55"/>
      <c r="D110" s="55"/>
      <c r="E110" s="55"/>
      <c r="F110" s="56">
        <f t="shared" si="22"/>
        <v>0</v>
      </c>
      <c r="G110" s="54"/>
      <c r="H110" s="55"/>
      <c r="I110" s="55">
        <v>2</v>
      </c>
      <c r="J110" s="55">
        <v>2</v>
      </c>
      <c r="K110" s="56">
        <f t="shared" si="23"/>
        <v>4</v>
      </c>
      <c r="L110" s="49">
        <f t="shared" si="24"/>
        <v>4</v>
      </c>
      <c r="M110" s="14">
        <v>43316</v>
      </c>
      <c r="S110" s="53" t="s">
        <v>25</v>
      </c>
      <c r="T110" s="54">
        <v>15</v>
      </c>
      <c r="U110" s="55"/>
      <c r="V110" s="55"/>
      <c r="W110" s="55"/>
      <c r="X110" s="56">
        <f t="shared" si="19"/>
        <v>15</v>
      </c>
      <c r="Y110" s="54"/>
      <c r="Z110" s="55"/>
      <c r="AA110" s="55"/>
      <c r="AB110" s="55"/>
      <c r="AC110" s="56">
        <f t="shared" si="20"/>
        <v>0</v>
      </c>
      <c r="AD110" s="49">
        <f t="shared" si="21"/>
        <v>15</v>
      </c>
      <c r="AE110" s="50">
        <v>43320</v>
      </c>
    </row>
    <row r="111" spans="1:31" x14ac:dyDescent="0.15">
      <c r="A111" s="53"/>
      <c r="B111" s="54"/>
      <c r="C111" s="55"/>
      <c r="D111" s="55"/>
      <c r="E111" s="55"/>
      <c r="F111" s="56">
        <f t="shared" si="22"/>
        <v>0</v>
      </c>
      <c r="G111" s="54"/>
      <c r="H111" s="55"/>
      <c r="I111" s="55"/>
      <c r="J111" s="55"/>
      <c r="K111" s="56">
        <f t="shared" si="23"/>
        <v>0</v>
      </c>
      <c r="L111" s="49">
        <f t="shared" si="24"/>
        <v>0</v>
      </c>
      <c r="M111" s="50"/>
      <c r="S111" s="53" t="s">
        <v>25</v>
      </c>
      <c r="T111" s="54"/>
      <c r="U111" s="55"/>
      <c r="V111" s="55"/>
      <c r="W111" s="55"/>
      <c r="X111" s="56">
        <f t="shared" si="19"/>
        <v>0</v>
      </c>
      <c r="Y111" s="54"/>
      <c r="Z111" s="55"/>
      <c r="AA111" s="55">
        <v>5</v>
      </c>
      <c r="AB111" s="55"/>
      <c r="AC111" s="56">
        <f t="shared" si="20"/>
        <v>5</v>
      </c>
      <c r="AD111" s="49">
        <f t="shared" si="21"/>
        <v>5</v>
      </c>
      <c r="AE111" s="50">
        <v>43320</v>
      </c>
    </row>
    <row r="112" spans="1:31" x14ac:dyDescent="0.15">
      <c r="A112" s="65"/>
      <c r="B112" s="54"/>
      <c r="C112" s="55"/>
      <c r="D112" s="55"/>
      <c r="E112" s="55"/>
      <c r="F112" s="56">
        <f t="shared" si="22"/>
        <v>0</v>
      </c>
      <c r="G112" s="54"/>
      <c r="H112" s="55"/>
      <c r="I112" s="55"/>
      <c r="J112" s="55"/>
      <c r="K112" s="56">
        <f t="shared" si="23"/>
        <v>0</v>
      </c>
      <c r="L112" s="49">
        <f t="shared" si="24"/>
        <v>0</v>
      </c>
      <c r="S112" s="53" t="s">
        <v>26</v>
      </c>
      <c r="T112" s="54">
        <v>10</v>
      </c>
      <c r="U112" s="55">
        <v>5</v>
      </c>
      <c r="V112" s="55">
        <v>5</v>
      </c>
      <c r="W112" s="55"/>
      <c r="X112" s="56">
        <f t="shared" si="19"/>
        <v>20</v>
      </c>
      <c r="Y112" s="54"/>
      <c r="Z112" s="55"/>
      <c r="AA112" s="55"/>
      <c r="AB112" s="55"/>
      <c r="AC112" s="56">
        <f t="shared" si="20"/>
        <v>0</v>
      </c>
      <c r="AD112" s="49">
        <f t="shared" si="21"/>
        <v>20</v>
      </c>
      <c r="AE112" s="50">
        <v>43321</v>
      </c>
    </row>
    <row r="113" spans="1:31" ht="14.25" thickBot="1" x14ac:dyDescent="0.2">
      <c r="A113" s="67"/>
      <c r="B113" s="33"/>
      <c r="C113" s="34"/>
      <c r="D113" s="34"/>
      <c r="E113" s="34"/>
      <c r="F113" s="30">
        <f t="shared" si="22"/>
        <v>0</v>
      </c>
      <c r="G113" s="33"/>
      <c r="H113" s="34"/>
      <c r="I113" s="34"/>
      <c r="J113" s="34"/>
      <c r="K113" s="30">
        <f t="shared" si="23"/>
        <v>0</v>
      </c>
      <c r="L113" s="21">
        <f t="shared" si="24"/>
        <v>0</v>
      </c>
      <c r="S113" s="53" t="s">
        <v>25</v>
      </c>
      <c r="T113" s="33"/>
      <c r="U113" s="34">
        <v>10</v>
      </c>
      <c r="V113" s="34">
        <v>10</v>
      </c>
      <c r="W113" s="34">
        <v>10</v>
      </c>
      <c r="X113" s="30">
        <f t="shared" si="19"/>
        <v>30</v>
      </c>
      <c r="Y113" s="33">
        <v>23</v>
      </c>
      <c r="Z113" s="34"/>
      <c r="AA113" s="34">
        <v>7</v>
      </c>
      <c r="AB113" s="34">
        <v>6</v>
      </c>
      <c r="AC113" s="30">
        <f t="shared" si="20"/>
        <v>36</v>
      </c>
      <c r="AD113" s="64">
        <f t="shared" si="21"/>
        <v>66</v>
      </c>
      <c r="AE113" s="50">
        <v>43321</v>
      </c>
    </row>
    <row r="114" spans="1:31" ht="15" thickBot="1" x14ac:dyDescent="0.2">
      <c r="A114" s="9" t="s">
        <v>15</v>
      </c>
      <c r="B114" s="36">
        <f>SUM(B88:B113)</f>
        <v>2</v>
      </c>
      <c r="C114" s="37">
        <f>SUM(C88:C113)</f>
        <v>19</v>
      </c>
      <c r="D114" s="37">
        <f>SUM(D88:D113)</f>
        <v>16</v>
      </c>
      <c r="E114" s="38">
        <f>SUM(E88:E113)</f>
        <v>10</v>
      </c>
      <c r="F114" s="25">
        <f>SUM(B114:E114)</f>
        <v>47</v>
      </c>
      <c r="G114" s="36">
        <f>SUM(G88:G113)</f>
        <v>22</v>
      </c>
      <c r="H114" s="37">
        <f>SUM(H88:H113)</f>
        <v>20</v>
      </c>
      <c r="I114" s="37">
        <f>SUM(I88:I113)</f>
        <v>9</v>
      </c>
      <c r="J114" s="38">
        <f>SUM(J88:J113)</f>
        <v>15</v>
      </c>
      <c r="K114" s="25">
        <f>SUM(G114:J114)</f>
        <v>66</v>
      </c>
      <c r="L114" s="26">
        <f t="shared" si="24"/>
        <v>113</v>
      </c>
      <c r="S114" s="9" t="s">
        <v>15</v>
      </c>
      <c r="T114" s="36">
        <f>SUM(T88:T113)</f>
        <v>50</v>
      </c>
      <c r="U114" s="37">
        <f>SUM(U88:U113)</f>
        <v>50</v>
      </c>
      <c r="V114" s="37">
        <f>SUM(V88:V113)</f>
        <v>47</v>
      </c>
      <c r="W114" s="38">
        <f>SUM(W88:W113)</f>
        <v>33</v>
      </c>
      <c r="X114" s="25">
        <f>SUM(T114:W114)</f>
        <v>180</v>
      </c>
      <c r="Y114" s="36">
        <f>SUM(Y88:Y113)</f>
        <v>78</v>
      </c>
      <c r="Z114" s="37">
        <f>SUM(Z88:Z113)</f>
        <v>44</v>
      </c>
      <c r="AA114" s="37">
        <f>SUM(AA88:AA113)</f>
        <v>42</v>
      </c>
      <c r="AB114" s="38">
        <f>SUM(AB88:AB113)</f>
        <v>63</v>
      </c>
      <c r="AC114" s="25">
        <f>SUM(Y114:AB114)</f>
        <v>227</v>
      </c>
      <c r="AD114" s="26">
        <f t="shared" si="21"/>
        <v>407</v>
      </c>
    </row>
    <row r="115" spans="1:31" ht="14.25" thickBot="1" x14ac:dyDescent="0.2">
      <c r="A115" s="39" t="s">
        <v>16</v>
      </c>
      <c r="B115" s="40">
        <f t="shared" ref="B115:K115" si="25">B87-B114</f>
        <v>0</v>
      </c>
      <c r="C115" s="41">
        <f t="shared" si="25"/>
        <v>0</v>
      </c>
      <c r="D115" s="41">
        <f t="shared" si="25"/>
        <v>0</v>
      </c>
      <c r="E115" s="42">
        <f t="shared" si="25"/>
        <v>0</v>
      </c>
      <c r="F115" s="42">
        <f t="shared" si="25"/>
        <v>0</v>
      </c>
      <c r="G115" s="40">
        <f t="shared" si="25"/>
        <v>0</v>
      </c>
      <c r="H115" s="41">
        <f t="shared" si="25"/>
        <v>0</v>
      </c>
      <c r="I115" s="41">
        <f t="shared" si="25"/>
        <v>0</v>
      </c>
      <c r="J115" s="42">
        <f t="shared" si="25"/>
        <v>0</v>
      </c>
      <c r="K115" s="42">
        <f t="shared" si="25"/>
        <v>0</v>
      </c>
      <c r="L115" s="26">
        <f t="shared" si="24"/>
        <v>0</v>
      </c>
      <c r="S115" s="39" t="s">
        <v>16</v>
      </c>
      <c r="T115" s="40">
        <f t="shared" ref="T115:AC115" si="26">T87-T114</f>
        <v>105</v>
      </c>
      <c r="U115" s="41">
        <f t="shared" si="26"/>
        <v>58</v>
      </c>
      <c r="V115" s="41">
        <f t="shared" si="26"/>
        <v>59</v>
      </c>
      <c r="W115" s="42">
        <f t="shared" si="26"/>
        <v>75</v>
      </c>
      <c r="X115" s="42">
        <f t="shared" si="26"/>
        <v>297</v>
      </c>
      <c r="Y115" s="40">
        <f t="shared" si="26"/>
        <v>0</v>
      </c>
      <c r="Z115" s="41">
        <f t="shared" si="26"/>
        <v>0</v>
      </c>
      <c r="AA115" s="41">
        <f t="shared" si="26"/>
        <v>0</v>
      </c>
      <c r="AB115" s="42">
        <f t="shared" si="26"/>
        <v>2</v>
      </c>
      <c r="AC115" s="42">
        <f t="shared" si="26"/>
        <v>2</v>
      </c>
      <c r="AD115" s="26">
        <f t="shared" si="21"/>
        <v>299</v>
      </c>
    </row>
    <row r="118" spans="1:31" ht="19.5" thickBot="1" x14ac:dyDescent="0.25">
      <c r="A118" s="85" t="s">
        <v>19</v>
      </c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S118" s="85" t="s">
        <v>20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 spans="1:31" ht="14.25" thickBot="1" x14ac:dyDescent="0.2">
      <c r="A119" s="87" t="s">
        <v>0</v>
      </c>
      <c r="B119" s="376" t="s">
        <v>17</v>
      </c>
      <c r="C119" s="377"/>
      <c r="D119" s="377"/>
      <c r="E119" s="377"/>
      <c r="F119" s="378"/>
      <c r="G119" s="376" t="s">
        <v>18</v>
      </c>
      <c r="H119" s="377"/>
      <c r="I119" s="377"/>
      <c r="J119" s="377"/>
      <c r="K119" s="378"/>
      <c r="L119" s="379" t="s">
        <v>1</v>
      </c>
      <c r="S119" s="87" t="s">
        <v>0</v>
      </c>
      <c r="T119" s="88" t="s">
        <v>17</v>
      </c>
      <c r="U119" s="89"/>
      <c r="V119" s="89"/>
      <c r="W119" s="89"/>
      <c r="X119" s="90"/>
      <c r="Y119" s="88" t="s">
        <v>18</v>
      </c>
      <c r="Z119" s="89"/>
      <c r="AA119" s="89"/>
      <c r="AB119" s="89"/>
      <c r="AC119" s="90"/>
      <c r="AD119" s="91" t="s">
        <v>1</v>
      </c>
    </row>
    <row r="120" spans="1:31" ht="14.25" thickBot="1" x14ac:dyDescent="0.2">
      <c r="A120" s="92" t="s">
        <v>2</v>
      </c>
      <c r="B120" s="93" t="s">
        <v>3</v>
      </c>
      <c r="C120" s="94" t="s">
        <v>4</v>
      </c>
      <c r="D120" s="94" t="s">
        <v>5</v>
      </c>
      <c r="E120" s="95" t="s">
        <v>6</v>
      </c>
      <c r="F120" s="92" t="s">
        <v>7</v>
      </c>
      <c r="G120" s="93" t="s">
        <v>3</v>
      </c>
      <c r="H120" s="94" t="s">
        <v>4</v>
      </c>
      <c r="I120" s="94" t="s">
        <v>5</v>
      </c>
      <c r="J120" s="95" t="s">
        <v>6</v>
      </c>
      <c r="K120" s="92" t="s">
        <v>7</v>
      </c>
      <c r="L120" s="380"/>
      <c r="S120" s="92" t="s">
        <v>2</v>
      </c>
      <c r="T120" s="93" t="s">
        <v>3</v>
      </c>
      <c r="U120" s="94" t="s">
        <v>4</v>
      </c>
      <c r="V120" s="94" t="s">
        <v>5</v>
      </c>
      <c r="W120" s="95" t="s">
        <v>6</v>
      </c>
      <c r="X120" s="92" t="s">
        <v>7</v>
      </c>
      <c r="Y120" s="93" t="s">
        <v>3</v>
      </c>
      <c r="Z120" s="94" t="s">
        <v>4</v>
      </c>
      <c r="AA120" s="94" t="s">
        <v>5</v>
      </c>
      <c r="AB120" s="95" t="s">
        <v>6</v>
      </c>
      <c r="AC120" s="92" t="s">
        <v>7</v>
      </c>
      <c r="AD120" s="96"/>
    </row>
    <row r="121" spans="1:31" ht="14.25" x14ac:dyDescent="0.15">
      <c r="A121" s="97" t="s">
        <v>30</v>
      </c>
      <c r="B121" s="98">
        <f>B115</f>
        <v>0</v>
      </c>
      <c r="C121" s="99">
        <f>C115</f>
        <v>0</v>
      </c>
      <c r="D121" s="99">
        <f>D115</f>
        <v>0</v>
      </c>
      <c r="E121" s="99">
        <f>E115</f>
        <v>0</v>
      </c>
      <c r="F121" s="100">
        <f t="shared" ref="F121:F152" si="27">SUM(B121:E121)</f>
        <v>0</v>
      </c>
      <c r="G121" s="98">
        <f>G115</f>
        <v>0</v>
      </c>
      <c r="H121" s="99">
        <f>H115</f>
        <v>0</v>
      </c>
      <c r="I121" s="99">
        <f>I115</f>
        <v>0</v>
      </c>
      <c r="J121" s="99">
        <f>J115</f>
        <v>0</v>
      </c>
      <c r="K121" s="100">
        <f t="shared" ref="K121:K152" si="28">SUM(G121:J121)</f>
        <v>0</v>
      </c>
      <c r="L121" s="101">
        <f t="shared" ref="L121:L154" si="29">F121+K121</f>
        <v>0</v>
      </c>
      <c r="M121" s="44"/>
      <c r="S121" s="97" t="s">
        <v>30</v>
      </c>
      <c r="T121" s="98">
        <f>T115</f>
        <v>105</v>
      </c>
      <c r="U121" s="99">
        <f>U115</f>
        <v>58</v>
      </c>
      <c r="V121" s="99">
        <f>V115</f>
        <v>59</v>
      </c>
      <c r="W121" s="99">
        <f>W115</f>
        <v>75</v>
      </c>
      <c r="X121" s="100">
        <f t="shared" ref="X121:X152" si="30">SUM(T121:W121)</f>
        <v>297</v>
      </c>
      <c r="Y121" s="98">
        <f>Y115</f>
        <v>0</v>
      </c>
      <c r="Z121" s="99">
        <f>Z115</f>
        <v>0</v>
      </c>
      <c r="AA121" s="99">
        <f>AA115</f>
        <v>0</v>
      </c>
      <c r="AB121" s="99">
        <f>AB115</f>
        <v>2</v>
      </c>
      <c r="AC121" s="100">
        <f t="shared" ref="AC121:AC152" si="31">SUM(Y121:AB121)</f>
        <v>2</v>
      </c>
      <c r="AD121" s="101">
        <f>X121+AC121</f>
        <v>299</v>
      </c>
    </row>
    <row r="122" spans="1:31" ht="14.25" x14ac:dyDescent="0.15">
      <c r="A122" s="115" t="s">
        <v>29</v>
      </c>
      <c r="B122" s="103"/>
      <c r="C122" s="104"/>
      <c r="D122" s="104"/>
      <c r="E122" s="104">
        <v>1</v>
      </c>
      <c r="F122" s="105">
        <f t="shared" si="27"/>
        <v>1</v>
      </c>
      <c r="G122" s="103">
        <v>1</v>
      </c>
      <c r="H122" s="104"/>
      <c r="I122" s="104">
        <v>1</v>
      </c>
      <c r="J122" s="104">
        <v>2</v>
      </c>
      <c r="K122" s="105">
        <f t="shared" si="28"/>
        <v>4</v>
      </c>
      <c r="L122" s="105">
        <f t="shared" si="29"/>
        <v>5</v>
      </c>
      <c r="M122" s="50">
        <v>43328</v>
      </c>
      <c r="S122" s="102"/>
      <c r="T122" s="103"/>
      <c r="U122" s="104"/>
      <c r="V122" s="104">
        <v>5</v>
      </c>
      <c r="W122" s="104"/>
      <c r="X122" s="105">
        <f t="shared" si="30"/>
        <v>5</v>
      </c>
      <c r="Y122" s="103">
        <v>2</v>
      </c>
      <c r="Z122" s="104"/>
      <c r="AA122" s="104"/>
      <c r="AB122" s="104">
        <v>1</v>
      </c>
      <c r="AC122" s="105">
        <f t="shared" si="31"/>
        <v>3</v>
      </c>
      <c r="AD122" s="105">
        <f t="shared" ref="AD122:AD154" si="32">X122+AC122</f>
        <v>8</v>
      </c>
      <c r="AE122" s="50">
        <v>43344</v>
      </c>
    </row>
    <row r="123" spans="1:31" ht="14.25" x14ac:dyDescent="0.15">
      <c r="A123" s="115" t="s">
        <v>29</v>
      </c>
      <c r="B123" s="103"/>
      <c r="C123" s="104"/>
      <c r="D123" s="104">
        <v>1</v>
      </c>
      <c r="E123" s="104">
        <v>1</v>
      </c>
      <c r="F123" s="105">
        <f t="shared" si="27"/>
        <v>2</v>
      </c>
      <c r="G123" s="103"/>
      <c r="H123" s="104">
        <v>1</v>
      </c>
      <c r="I123" s="104">
        <v>1</v>
      </c>
      <c r="J123" s="104">
        <v>3</v>
      </c>
      <c r="K123" s="105">
        <f t="shared" si="28"/>
        <v>5</v>
      </c>
      <c r="L123" s="105">
        <f t="shared" si="29"/>
        <v>7</v>
      </c>
      <c r="M123" s="50">
        <v>43332</v>
      </c>
      <c r="S123" s="102" t="s">
        <v>11</v>
      </c>
      <c r="T123" s="106"/>
      <c r="U123" s="107">
        <v>1</v>
      </c>
      <c r="V123" s="107"/>
      <c r="W123" s="107"/>
      <c r="X123" s="108">
        <f t="shared" si="30"/>
        <v>1</v>
      </c>
      <c r="Y123" s="106">
        <v>1</v>
      </c>
      <c r="Z123" s="107"/>
      <c r="AA123" s="107">
        <v>1</v>
      </c>
      <c r="AB123" s="107"/>
      <c r="AC123" s="108">
        <f t="shared" si="31"/>
        <v>2</v>
      </c>
      <c r="AD123" s="108">
        <f t="shared" si="32"/>
        <v>3</v>
      </c>
      <c r="AE123" s="14">
        <v>43351</v>
      </c>
    </row>
    <row r="124" spans="1:31" ht="14.25" x14ac:dyDescent="0.15">
      <c r="A124" s="115" t="s">
        <v>29</v>
      </c>
      <c r="B124" s="103">
        <v>1</v>
      </c>
      <c r="C124" s="104"/>
      <c r="D124" s="104"/>
      <c r="E124" s="104"/>
      <c r="F124" s="105">
        <f t="shared" si="27"/>
        <v>1</v>
      </c>
      <c r="G124" s="103">
        <v>2</v>
      </c>
      <c r="H124" s="104"/>
      <c r="I124" s="104"/>
      <c r="J124" s="104">
        <v>1</v>
      </c>
      <c r="K124" s="105">
        <f t="shared" si="28"/>
        <v>3</v>
      </c>
      <c r="L124" s="105">
        <f t="shared" si="29"/>
        <v>4</v>
      </c>
      <c r="M124" s="50">
        <v>43336</v>
      </c>
      <c r="S124" s="102" t="s">
        <v>12</v>
      </c>
      <c r="T124" s="103"/>
      <c r="U124" s="104">
        <v>1</v>
      </c>
      <c r="V124" s="104"/>
      <c r="W124" s="104"/>
      <c r="X124" s="105">
        <f t="shared" si="30"/>
        <v>1</v>
      </c>
      <c r="Y124" s="103"/>
      <c r="Z124" s="104"/>
      <c r="AA124" s="104"/>
      <c r="AB124" s="104"/>
      <c r="AC124" s="105">
        <f t="shared" si="31"/>
        <v>0</v>
      </c>
      <c r="AD124" s="105">
        <f t="shared" si="32"/>
        <v>1</v>
      </c>
      <c r="AE124" s="14">
        <v>43386</v>
      </c>
    </row>
    <row r="125" spans="1:31" ht="15" thickBot="1" x14ac:dyDescent="0.2">
      <c r="A125" s="115" t="s">
        <v>29</v>
      </c>
      <c r="B125" s="103">
        <v>1</v>
      </c>
      <c r="C125" s="104">
        <v>1</v>
      </c>
      <c r="D125" s="104">
        <v>4</v>
      </c>
      <c r="E125" s="104"/>
      <c r="F125" s="105">
        <f t="shared" si="27"/>
        <v>6</v>
      </c>
      <c r="G125" s="103"/>
      <c r="H125" s="104"/>
      <c r="I125" s="104"/>
      <c r="J125" s="104"/>
      <c r="K125" s="105">
        <f t="shared" si="28"/>
        <v>0</v>
      </c>
      <c r="L125" s="109">
        <f t="shared" si="29"/>
        <v>6</v>
      </c>
      <c r="M125" s="50">
        <v>43343</v>
      </c>
      <c r="S125" s="102" t="s">
        <v>13</v>
      </c>
      <c r="T125" s="103"/>
      <c r="U125" s="104"/>
      <c r="V125" s="104"/>
      <c r="W125" s="104"/>
      <c r="X125" s="105">
        <f t="shared" si="30"/>
        <v>0</v>
      </c>
      <c r="Y125" s="103"/>
      <c r="Z125" s="104"/>
      <c r="AA125" s="104"/>
      <c r="AB125" s="104"/>
      <c r="AC125" s="105">
        <f t="shared" si="31"/>
        <v>0</v>
      </c>
      <c r="AD125" s="109">
        <f t="shared" si="32"/>
        <v>0</v>
      </c>
    </row>
    <row r="126" spans="1:31" ht="15" thickBot="1" x14ac:dyDescent="0.2">
      <c r="A126" s="110" t="s">
        <v>14</v>
      </c>
      <c r="B126" s="111">
        <f>SUM(B121:B125)</f>
        <v>2</v>
      </c>
      <c r="C126" s="112">
        <f>SUM(C121:C125)</f>
        <v>1</v>
      </c>
      <c r="D126" s="112">
        <f>SUM(D121:D125)</f>
        <v>5</v>
      </c>
      <c r="E126" s="112">
        <f>SUM(E121:E125)</f>
        <v>2</v>
      </c>
      <c r="F126" s="113">
        <f t="shared" si="27"/>
        <v>10</v>
      </c>
      <c r="G126" s="111">
        <f>SUM(G121:G125)</f>
        <v>3</v>
      </c>
      <c r="H126" s="112">
        <f>SUM(H121:H125)</f>
        <v>1</v>
      </c>
      <c r="I126" s="112">
        <f>SUM(I121:I125)</f>
        <v>2</v>
      </c>
      <c r="J126" s="112">
        <f>SUM(J121:J125)</f>
        <v>6</v>
      </c>
      <c r="K126" s="113">
        <f t="shared" si="28"/>
        <v>12</v>
      </c>
      <c r="L126" s="114">
        <f t="shared" si="29"/>
        <v>22</v>
      </c>
      <c r="S126" s="110" t="s">
        <v>14</v>
      </c>
      <c r="T126" s="111">
        <f>SUM(T121:T125)</f>
        <v>105</v>
      </c>
      <c r="U126" s="112">
        <f>SUM(U121:U125)</f>
        <v>60</v>
      </c>
      <c r="V126" s="112">
        <f>SUM(V121:V125)</f>
        <v>64</v>
      </c>
      <c r="W126" s="112">
        <f>SUM(W121:W125)</f>
        <v>75</v>
      </c>
      <c r="X126" s="113">
        <f t="shared" si="30"/>
        <v>304</v>
      </c>
      <c r="Y126" s="111">
        <f>SUM(Y121:Y125)</f>
        <v>3</v>
      </c>
      <c r="Z126" s="112">
        <f>SUM(Z121:Z125)</f>
        <v>0</v>
      </c>
      <c r="AA126" s="112">
        <f>SUM(AA121:AA125)</f>
        <v>1</v>
      </c>
      <c r="AB126" s="112">
        <f>SUM(AB121:AB125)</f>
        <v>3</v>
      </c>
      <c r="AC126" s="113">
        <f t="shared" si="31"/>
        <v>7</v>
      </c>
      <c r="AD126" s="114">
        <f t="shared" si="32"/>
        <v>311</v>
      </c>
    </row>
    <row r="127" spans="1:31" x14ac:dyDescent="0.15">
      <c r="A127" s="115" t="s">
        <v>25</v>
      </c>
      <c r="B127" s="116"/>
      <c r="C127" s="117"/>
      <c r="D127" s="117"/>
      <c r="E127" s="117"/>
      <c r="F127" s="118">
        <f t="shared" si="27"/>
        <v>0</v>
      </c>
      <c r="G127" s="116">
        <v>1</v>
      </c>
      <c r="H127" s="117"/>
      <c r="I127" s="117">
        <v>1</v>
      </c>
      <c r="J127" s="117">
        <v>2</v>
      </c>
      <c r="K127" s="118">
        <f t="shared" si="28"/>
        <v>4</v>
      </c>
      <c r="L127" s="105">
        <f t="shared" si="29"/>
        <v>4</v>
      </c>
      <c r="M127" s="50">
        <v>43333</v>
      </c>
      <c r="S127" s="115" t="s">
        <v>26</v>
      </c>
      <c r="T127" s="116">
        <v>5</v>
      </c>
      <c r="U127" s="117"/>
      <c r="V127" s="117"/>
      <c r="W127" s="117"/>
      <c r="X127" s="118">
        <f t="shared" si="30"/>
        <v>5</v>
      </c>
      <c r="Y127" s="116"/>
      <c r="Z127" s="117"/>
      <c r="AA127" s="117"/>
      <c r="AB127" s="117"/>
      <c r="AC127" s="118">
        <f t="shared" si="31"/>
        <v>0</v>
      </c>
      <c r="AD127" s="105">
        <f t="shared" si="32"/>
        <v>5</v>
      </c>
      <c r="AE127" s="50">
        <v>43322</v>
      </c>
    </row>
    <row r="128" spans="1:31" x14ac:dyDescent="0.15">
      <c r="A128" s="115" t="s">
        <v>25</v>
      </c>
      <c r="B128" s="103"/>
      <c r="C128" s="104"/>
      <c r="D128" s="104"/>
      <c r="E128" s="104"/>
      <c r="F128" s="119">
        <f t="shared" si="27"/>
        <v>0</v>
      </c>
      <c r="G128" s="103"/>
      <c r="H128" s="104">
        <v>1</v>
      </c>
      <c r="I128" s="104">
        <v>1</v>
      </c>
      <c r="J128" s="104">
        <v>3</v>
      </c>
      <c r="K128" s="119">
        <f t="shared" si="28"/>
        <v>5</v>
      </c>
      <c r="L128" s="105">
        <f t="shared" si="29"/>
        <v>5</v>
      </c>
      <c r="M128" s="50">
        <v>43339</v>
      </c>
      <c r="S128" s="115" t="s">
        <v>25</v>
      </c>
      <c r="T128" s="103">
        <v>5</v>
      </c>
      <c r="U128" s="104">
        <v>10</v>
      </c>
      <c r="V128" s="104">
        <v>10</v>
      </c>
      <c r="W128" s="104">
        <v>5</v>
      </c>
      <c r="X128" s="119">
        <f t="shared" si="30"/>
        <v>30</v>
      </c>
      <c r="Y128" s="103"/>
      <c r="Z128" s="104"/>
      <c r="AA128" s="104"/>
      <c r="AB128" s="104"/>
      <c r="AC128" s="119">
        <f t="shared" si="31"/>
        <v>0</v>
      </c>
      <c r="AD128" s="105">
        <f t="shared" si="32"/>
        <v>30</v>
      </c>
      <c r="AE128" s="50">
        <v>43326</v>
      </c>
    </row>
    <row r="129" spans="1:31" x14ac:dyDescent="0.15">
      <c r="A129" s="115" t="s">
        <v>36</v>
      </c>
      <c r="B129" s="103">
        <v>2</v>
      </c>
      <c r="C129" s="104">
        <v>1</v>
      </c>
      <c r="D129" s="104">
        <v>5</v>
      </c>
      <c r="E129" s="104">
        <v>2</v>
      </c>
      <c r="F129" s="119">
        <f t="shared" si="27"/>
        <v>10</v>
      </c>
      <c r="G129" s="103">
        <v>2</v>
      </c>
      <c r="H129" s="104"/>
      <c r="I129" s="104"/>
      <c r="J129" s="104">
        <v>1</v>
      </c>
      <c r="K129" s="119">
        <f t="shared" si="28"/>
        <v>3</v>
      </c>
      <c r="L129" s="105">
        <f t="shared" si="29"/>
        <v>13</v>
      </c>
      <c r="M129" s="50">
        <v>43344</v>
      </c>
      <c r="S129" s="115" t="s">
        <v>25</v>
      </c>
      <c r="T129" s="103">
        <v>5</v>
      </c>
      <c r="U129" s="104">
        <v>3</v>
      </c>
      <c r="V129" s="104">
        <v>5</v>
      </c>
      <c r="W129" s="104"/>
      <c r="X129" s="119">
        <f t="shared" si="30"/>
        <v>13</v>
      </c>
      <c r="Y129" s="103"/>
      <c r="Z129" s="104"/>
      <c r="AA129" s="104"/>
      <c r="AB129" s="104"/>
      <c r="AC129" s="119">
        <f t="shared" si="31"/>
        <v>0</v>
      </c>
      <c r="AD129" s="105">
        <f t="shared" si="32"/>
        <v>13</v>
      </c>
      <c r="AE129" s="50">
        <v>43329</v>
      </c>
    </row>
    <row r="130" spans="1:31" x14ac:dyDescent="0.15">
      <c r="A130" s="115" t="s">
        <v>29</v>
      </c>
      <c r="B130" s="103"/>
      <c r="C130" s="104">
        <v>-1</v>
      </c>
      <c r="D130" s="104"/>
      <c r="E130" s="104">
        <v>-1</v>
      </c>
      <c r="F130" s="119">
        <f t="shared" si="27"/>
        <v>-2</v>
      </c>
      <c r="G130" s="103">
        <v>-1</v>
      </c>
      <c r="H130" s="104"/>
      <c r="I130" s="104">
        <v>-1</v>
      </c>
      <c r="J130" s="104"/>
      <c r="K130" s="119">
        <f t="shared" si="28"/>
        <v>-2</v>
      </c>
      <c r="L130" s="105">
        <f t="shared" si="29"/>
        <v>-4</v>
      </c>
      <c r="M130" s="50">
        <v>43348</v>
      </c>
      <c r="S130" s="115" t="s">
        <v>26</v>
      </c>
      <c r="T130" s="103"/>
      <c r="U130" s="104">
        <v>5</v>
      </c>
      <c r="V130" s="104"/>
      <c r="W130" s="104"/>
      <c r="X130" s="119">
        <f t="shared" si="30"/>
        <v>5</v>
      </c>
      <c r="Y130" s="103"/>
      <c r="Z130" s="104"/>
      <c r="AA130" s="104"/>
      <c r="AB130" s="104"/>
      <c r="AC130" s="119">
        <f t="shared" si="31"/>
        <v>0</v>
      </c>
      <c r="AD130" s="105">
        <f t="shared" si="32"/>
        <v>5</v>
      </c>
      <c r="AE130" s="50">
        <v>43335</v>
      </c>
    </row>
    <row r="131" spans="1:31" x14ac:dyDescent="0.15">
      <c r="A131" s="115" t="s">
        <v>34</v>
      </c>
      <c r="B131" s="103"/>
      <c r="C131" s="104">
        <v>1</v>
      </c>
      <c r="D131" s="104"/>
      <c r="E131" s="104">
        <v>1</v>
      </c>
      <c r="F131" s="119">
        <f t="shared" si="27"/>
        <v>2</v>
      </c>
      <c r="G131" s="103">
        <v>1</v>
      </c>
      <c r="H131" s="104"/>
      <c r="I131" s="104">
        <v>1</v>
      </c>
      <c r="J131" s="104"/>
      <c r="K131" s="119">
        <f t="shared" si="28"/>
        <v>2</v>
      </c>
      <c r="L131" s="105">
        <f t="shared" si="29"/>
        <v>4</v>
      </c>
      <c r="M131" s="50">
        <v>43351</v>
      </c>
      <c r="S131" s="115" t="s">
        <v>25</v>
      </c>
      <c r="T131" s="103">
        <v>3</v>
      </c>
      <c r="U131" s="104"/>
      <c r="V131" s="104"/>
      <c r="W131" s="104"/>
      <c r="X131" s="119">
        <f t="shared" si="30"/>
        <v>3</v>
      </c>
      <c r="Y131" s="103"/>
      <c r="Z131" s="104"/>
      <c r="AA131" s="104"/>
      <c r="AB131" s="104"/>
      <c r="AC131" s="119">
        <f t="shared" si="31"/>
        <v>0</v>
      </c>
      <c r="AD131" s="105">
        <f t="shared" si="32"/>
        <v>3</v>
      </c>
      <c r="AE131" s="50">
        <v>43341</v>
      </c>
    </row>
    <row r="132" spans="1:31" x14ac:dyDescent="0.15">
      <c r="A132" s="115" t="s">
        <v>29</v>
      </c>
      <c r="B132" s="103"/>
      <c r="C132" s="104"/>
      <c r="D132" s="104">
        <v>-1</v>
      </c>
      <c r="E132" s="104"/>
      <c r="F132" s="119">
        <f t="shared" si="27"/>
        <v>-1</v>
      </c>
      <c r="G132" s="103"/>
      <c r="H132" s="104"/>
      <c r="I132" s="104"/>
      <c r="J132" s="104">
        <v>-2</v>
      </c>
      <c r="K132" s="119">
        <f t="shared" si="28"/>
        <v>-2</v>
      </c>
      <c r="L132" s="105">
        <f t="shared" si="29"/>
        <v>-3</v>
      </c>
      <c r="M132" s="50">
        <v>43363</v>
      </c>
      <c r="S132" s="115" t="s">
        <v>25</v>
      </c>
      <c r="T132" s="103">
        <v>2</v>
      </c>
      <c r="U132" s="104"/>
      <c r="V132" s="104"/>
      <c r="W132" s="104"/>
      <c r="X132" s="119">
        <f t="shared" si="30"/>
        <v>2</v>
      </c>
      <c r="Y132" s="103"/>
      <c r="Z132" s="104"/>
      <c r="AA132" s="104"/>
      <c r="AB132" s="104"/>
      <c r="AC132" s="119">
        <f t="shared" si="31"/>
        <v>0</v>
      </c>
      <c r="AD132" s="105">
        <f t="shared" si="32"/>
        <v>2</v>
      </c>
      <c r="AE132" s="50">
        <v>43361</v>
      </c>
    </row>
    <row r="133" spans="1:31" x14ac:dyDescent="0.15">
      <c r="A133" s="115" t="s">
        <v>26</v>
      </c>
      <c r="B133" s="103"/>
      <c r="C133" s="104"/>
      <c r="D133" s="104"/>
      <c r="E133" s="104"/>
      <c r="F133" s="119">
        <f t="shared" si="27"/>
        <v>0</v>
      </c>
      <c r="G133" s="103"/>
      <c r="H133" s="104"/>
      <c r="I133" s="104"/>
      <c r="J133" s="104">
        <v>2</v>
      </c>
      <c r="K133" s="119">
        <f t="shared" si="28"/>
        <v>2</v>
      </c>
      <c r="L133" s="105">
        <f t="shared" si="29"/>
        <v>2</v>
      </c>
      <c r="M133" s="50">
        <v>43374</v>
      </c>
      <c r="S133" s="115" t="s">
        <v>26</v>
      </c>
      <c r="T133" s="103">
        <v>2</v>
      </c>
      <c r="U133" s="104"/>
      <c r="V133" s="104">
        <v>3</v>
      </c>
      <c r="W133" s="104"/>
      <c r="X133" s="119">
        <f t="shared" si="30"/>
        <v>5</v>
      </c>
      <c r="Y133" s="103"/>
      <c r="Z133" s="104"/>
      <c r="AA133" s="104"/>
      <c r="AB133" s="104"/>
      <c r="AC133" s="119">
        <f t="shared" si="31"/>
        <v>0</v>
      </c>
      <c r="AD133" s="105">
        <f t="shared" si="32"/>
        <v>5</v>
      </c>
      <c r="AE133" s="50">
        <v>43368</v>
      </c>
    </row>
    <row r="134" spans="1:31" x14ac:dyDescent="0.15">
      <c r="A134" s="115" t="s">
        <v>34</v>
      </c>
      <c r="B134" s="103"/>
      <c r="C134" s="104"/>
      <c r="D134" s="104">
        <v>1</v>
      </c>
      <c r="E134" s="104"/>
      <c r="F134" s="119">
        <f t="shared" si="27"/>
        <v>1</v>
      </c>
      <c r="G134" s="103"/>
      <c r="H134" s="104"/>
      <c r="I134" s="104"/>
      <c r="J134" s="104"/>
      <c r="K134" s="119">
        <f t="shared" si="28"/>
        <v>0</v>
      </c>
      <c r="L134" s="105">
        <f t="shared" si="29"/>
        <v>1</v>
      </c>
      <c r="M134" s="50">
        <v>43386</v>
      </c>
      <c r="S134" s="115" t="s">
        <v>25</v>
      </c>
      <c r="T134" s="103"/>
      <c r="U134" s="104"/>
      <c r="V134" s="104"/>
      <c r="W134" s="104">
        <v>3</v>
      </c>
      <c r="X134" s="119">
        <f t="shared" si="30"/>
        <v>3</v>
      </c>
      <c r="Y134" s="103"/>
      <c r="Z134" s="104"/>
      <c r="AA134" s="104"/>
      <c r="AB134" s="104"/>
      <c r="AC134" s="119">
        <f t="shared" si="31"/>
        <v>0</v>
      </c>
      <c r="AD134" s="105">
        <f t="shared" si="32"/>
        <v>3</v>
      </c>
      <c r="AE134" s="50">
        <v>43402</v>
      </c>
    </row>
    <row r="135" spans="1:31" x14ac:dyDescent="0.15">
      <c r="A135" s="115" t="s">
        <v>29</v>
      </c>
      <c r="B135" s="120"/>
      <c r="C135" s="121"/>
      <c r="D135" s="121"/>
      <c r="E135" s="121"/>
      <c r="F135" s="122">
        <f t="shared" si="27"/>
        <v>0</v>
      </c>
      <c r="G135" s="120"/>
      <c r="H135" s="121"/>
      <c r="I135" s="121">
        <v>-1</v>
      </c>
      <c r="J135" s="121"/>
      <c r="K135" s="122">
        <f t="shared" si="28"/>
        <v>-1</v>
      </c>
      <c r="L135" s="105">
        <f t="shared" si="29"/>
        <v>-1</v>
      </c>
      <c r="M135" s="50">
        <v>43403</v>
      </c>
      <c r="S135" s="115" t="s">
        <v>26</v>
      </c>
      <c r="T135" s="120"/>
      <c r="U135" s="121">
        <v>3</v>
      </c>
      <c r="V135" s="121"/>
      <c r="W135" s="121"/>
      <c r="X135" s="122">
        <f t="shared" si="30"/>
        <v>3</v>
      </c>
      <c r="Y135" s="120"/>
      <c r="Z135" s="121"/>
      <c r="AA135" s="121"/>
      <c r="AB135" s="121"/>
      <c r="AC135" s="122">
        <f t="shared" si="31"/>
        <v>0</v>
      </c>
      <c r="AD135" s="105">
        <f t="shared" si="32"/>
        <v>3</v>
      </c>
      <c r="AE135" s="50">
        <v>43410</v>
      </c>
    </row>
    <row r="136" spans="1:31" x14ac:dyDescent="0.15">
      <c r="A136" s="115"/>
      <c r="B136" s="103"/>
      <c r="C136" s="104"/>
      <c r="D136" s="104"/>
      <c r="E136" s="104"/>
      <c r="F136" s="119">
        <f t="shared" si="27"/>
        <v>0</v>
      </c>
      <c r="G136" s="103"/>
      <c r="H136" s="104"/>
      <c r="I136" s="104"/>
      <c r="J136" s="104"/>
      <c r="K136" s="119">
        <f t="shared" si="28"/>
        <v>0</v>
      </c>
      <c r="L136" s="105">
        <f t="shared" si="29"/>
        <v>0</v>
      </c>
      <c r="M136" s="50"/>
      <c r="S136" s="115" t="s">
        <v>25</v>
      </c>
      <c r="T136" s="123">
        <v>2</v>
      </c>
      <c r="U136" s="124"/>
      <c r="V136" s="124"/>
      <c r="W136" s="124"/>
      <c r="X136" s="119">
        <f t="shared" si="30"/>
        <v>2</v>
      </c>
      <c r="Y136" s="123"/>
      <c r="Z136" s="124"/>
      <c r="AA136" s="124"/>
      <c r="AB136" s="124"/>
      <c r="AC136" s="119">
        <f t="shared" si="31"/>
        <v>0</v>
      </c>
      <c r="AD136" s="105">
        <f t="shared" si="32"/>
        <v>2</v>
      </c>
      <c r="AE136" s="50">
        <v>43419</v>
      </c>
    </row>
    <row r="137" spans="1:31" x14ac:dyDescent="0.15">
      <c r="A137" s="115"/>
      <c r="B137" s="103"/>
      <c r="C137" s="104"/>
      <c r="D137" s="104"/>
      <c r="E137" s="104"/>
      <c r="F137" s="119">
        <f t="shared" si="27"/>
        <v>0</v>
      </c>
      <c r="G137" s="103"/>
      <c r="H137" s="104"/>
      <c r="I137" s="104"/>
      <c r="J137" s="104"/>
      <c r="K137" s="119">
        <f t="shared" si="28"/>
        <v>0</v>
      </c>
      <c r="L137" s="105">
        <f t="shared" si="29"/>
        <v>0</v>
      </c>
      <c r="M137" s="50"/>
      <c r="S137" s="115" t="s">
        <v>25</v>
      </c>
      <c r="T137" s="103"/>
      <c r="U137" s="104">
        <v>2</v>
      </c>
      <c r="V137" s="104"/>
      <c r="W137" s="104"/>
      <c r="X137" s="119">
        <f t="shared" si="30"/>
        <v>2</v>
      </c>
      <c r="Y137" s="103"/>
      <c r="Z137" s="104"/>
      <c r="AA137" s="104"/>
      <c r="AB137" s="104"/>
      <c r="AC137" s="119">
        <f t="shared" si="31"/>
        <v>0</v>
      </c>
      <c r="AD137" s="105">
        <f t="shared" si="32"/>
        <v>2</v>
      </c>
      <c r="AE137" s="50">
        <v>43424</v>
      </c>
    </row>
    <row r="138" spans="1:31" x14ac:dyDescent="0.15">
      <c r="A138" s="115"/>
      <c r="B138" s="103"/>
      <c r="C138" s="104"/>
      <c r="D138" s="104"/>
      <c r="E138" s="104"/>
      <c r="F138" s="119">
        <f t="shared" si="27"/>
        <v>0</v>
      </c>
      <c r="G138" s="103"/>
      <c r="H138" s="104"/>
      <c r="I138" s="104"/>
      <c r="J138" s="104"/>
      <c r="K138" s="119">
        <f t="shared" si="28"/>
        <v>0</v>
      </c>
      <c r="L138" s="105">
        <f t="shared" si="29"/>
        <v>0</v>
      </c>
      <c r="M138" s="50"/>
      <c r="S138" s="115" t="s">
        <v>29</v>
      </c>
      <c r="T138" s="103"/>
      <c r="U138" s="104"/>
      <c r="V138" s="104">
        <v>-1</v>
      </c>
      <c r="W138" s="104"/>
      <c r="X138" s="119">
        <f t="shared" si="30"/>
        <v>-1</v>
      </c>
      <c r="Y138" s="103"/>
      <c r="Z138" s="104"/>
      <c r="AA138" s="104"/>
      <c r="AB138" s="104"/>
      <c r="AC138" s="119">
        <f t="shared" si="31"/>
        <v>0</v>
      </c>
      <c r="AD138" s="105">
        <f t="shared" si="32"/>
        <v>-1</v>
      </c>
      <c r="AE138" s="50">
        <v>43426</v>
      </c>
    </row>
    <row r="139" spans="1:31" x14ac:dyDescent="0.15">
      <c r="A139" s="115"/>
      <c r="B139" s="103"/>
      <c r="C139" s="104"/>
      <c r="D139" s="104"/>
      <c r="E139" s="104"/>
      <c r="F139" s="119">
        <f t="shared" si="27"/>
        <v>0</v>
      </c>
      <c r="G139" s="103"/>
      <c r="H139" s="104"/>
      <c r="I139" s="104"/>
      <c r="J139" s="104"/>
      <c r="K139" s="119">
        <f t="shared" si="28"/>
        <v>0</v>
      </c>
      <c r="L139" s="105">
        <f t="shared" si="29"/>
        <v>0</v>
      </c>
      <c r="M139" s="50"/>
      <c r="S139" s="115" t="s">
        <v>25</v>
      </c>
      <c r="T139" s="103"/>
      <c r="U139" s="104"/>
      <c r="V139" s="104"/>
      <c r="W139" s="104"/>
      <c r="X139" s="119">
        <f t="shared" si="30"/>
        <v>0</v>
      </c>
      <c r="Y139" s="103">
        <v>3</v>
      </c>
      <c r="Z139" s="104"/>
      <c r="AA139" s="104">
        <v>1</v>
      </c>
      <c r="AB139" s="104">
        <v>3</v>
      </c>
      <c r="AC139" s="119">
        <f t="shared" si="31"/>
        <v>7</v>
      </c>
      <c r="AD139" s="105">
        <f t="shared" si="32"/>
        <v>7</v>
      </c>
      <c r="AE139" s="50">
        <v>43432</v>
      </c>
    </row>
    <row r="140" spans="1:31" x14ac:dyDescent="0.15">
      <c r="A140" s="115"/>
      <c r="B140" s="103"/>
      <c r="C140" s="104"/>
      <c r="D140" s="104"/>
      <c r="E140" s="104"/>
      <c r="F140" s="119">
        <f t="shared" si="27"/>
        <v>0</v>
      </c>
      <c r="G140" s="103"/>
      <c r="H140" s="104"/>
      <c r="I140" s="104"/>
      <c r="J140" s="104"/>
      <c r="K140" s="119">
        <f t="shared" si="28"/>
        <v>0</v>
      </c>
      <c r="L140" s="105">
        <f t="shared" si="29"/>
        <v>0</v>
      </c>
      <c r="M140" s="50"/>
      <c r="S140" s="115" t="s">
        <v>26</v>
      </c>
      <c r="T140" s="103"/>
      <c r="U140" s="104">
        <v>2</v>
      </c>
      <c r="V140" s="104"/>
      <c r="W140" s="104"/>
      <c r="X140" s="119">
        <f t="shared" si="30"/>
        <v>2</v>
      </c>
      <c r="Y140" s="103"/>
      <c r="Z140" s="104"/>
      <c r="AA140" s="104"/>
      <c r="AB140" s="104"/>
      <c r="AC140" s="119">
        <f t="shared" si="31"/>
        <v>0</v>
      </c>
      <c r="AD140" s="105">
        <f t="shared" si="32"/>
        <v>2</v>
      </c>
      <c r="AE140" s="50">
        <v>43444</v>
      </c>
    </row>
    <row r="141" spans="1:31" x14ac:dyDescent="0.15">
      <c r="A141" s="115"/>
      <c r="B141" s="103"/>
      <c r="C141" s="104"/>
      <c r="D141" s="104"/>
      <c r="E141" s="104"/>
      <c r="F141" s="119">
        <f t="shared" si="27"/>
        <v>0</v>
      </c>
      <c r="G141" s="103"/>
      <c r="H141" s="104"/>
      <c r="I141" s="104"/>
      <c r="J141" s="104"/>
      <c r="K141" s="119">
        <f t="shared" si="28"/>
        <v>0</v>
      </c>
      <c r="L141" s="105">
        <f t="shared" si="29"/>
        <v>0</v>
      </c>
      <c r="M141" s="50"/>
      <c r="S141" s="115" t="s">
        <v>25</v>
      </c>
      <c r="T141" s="103"/>
      <c r="U141" s="104">
        <v>2</v>
      </c>
      <c r="V141" s="104"/>
      <c r="W141" s="104"/>
      <c r="X141" s="119">
        <f t="shared" si="30"/>
        <v>2</v>
      </c>
      <c r="Y141" s="103"/>
      <c r="Z141" s="104"/>
      <c r="AA141" s="104"/>
      <c r="AB141" s="104"/>
      <c r="AC141" s="119">
        <f t="shared" si="31"/>
        <v>0</v>
      </c>
      <c r="AD141" s="105">
        <f t="shared" si="32"/>
        <v>2</v>
      </c>
      <c r="AE141" s="50">
        <v>43446</v>
      </c>
    </row>
    <row r="142" spans="1:31" x14ac:dyDescent="0.15">
      <c r="A142" s="115"/>
      <c r="B142" s="103"/>
      <c r="C142" s="104"/>
      <c r="D142" s="104"/>
      <c r="E142" s="104"/>
      <c r="F142" s="119">
        <f t="shared" si="27"/>
        <v>0</v>
      </c>
      <c r="G142" s="103"/>
      <c r="H142" s="104"/>
      <c r="I142" s="104"/>
      <c r="J142" s="104"/>
      <c r="K142" s="119">
        <f t="shared" si="28"/>
        <v>0</v>
      </c>
      <c r="L142" s="105">
        <f t="shared" si="29"/>
        <v>0</v>
      </c>
      <c r="M142" s="50"/>
      <c r="S142" s="115" t="s">
        <v>25</v>
      </c>
      <c r="T142" s="103">
        <v>2</v>
      </c>
      <c r="U142" s="104"/>
      <c r="V142" s="104"/>
      <c r="W142" s="104">
        <v>2</v>
      </c>
      <c r="X142" s="119">
        <f>SUM(T142:W142)</f>
        <v>4</v>
      </c>
      <c r="Y142" s="103"/>
      <c r="Z142" s="104"/>
      <c r="AA142" s="104"/>
      <c r="AB142" s="104"/>
      <c r="AC142" s="119">
        <f>SUM(Y142:AB142)</f>
        <v>0</v>
      </c>
      <c r="AD142" s="105">
        <f>X142+AC142</f>
        <v>4</v>
      </c>
      <c r="AE142" s="50">
        <v>43451</v>
      </c>
    </row>
    <row r="143" spans="1:31" x14ac:dyDescent="0.15">
      <c r="A143" s="115"/>
      <c r="B143" s="103"/>
      <c r="C143" s="104"/>
      <c r="D143" s="104"/>
      <c r="E143" s="104"/>
      <c r="F143" s="119">
        <f t="shared" si="27"/>
        <v>0</v>
      </c>
      <c r="G143" s="103"/>
      <c r="H143" s="104"/>
      <c r="I143" s="104"/>
      <c r="J143" s="104"/>
      <c r="K143" s="119">
        <f t="shared" si="28"/>
        <v>0</v>
      </c>
      <c r="L143" s="105">
        <f t="shared" si="29"/>
        <v>0</v>
      </c>
      <c r="M143" s="50"/>
      <c r="S143" s="115" t="s">
        <v>26</v>
      </c>
      <c r="T143" s="103"/>
      <c r="U143" s="104"/>
      <c r="V143" s="104"/>
      <c r="W143" s="104">
        <v>3</v>
      </c>
      <c r="X143" s="119">
        <f t="shared" si="30"/>
        <v>3</v>
      </c>
      <c r="Y143" s="103"/>
      <c r="Z143" s="104"/>
      <c r="AA143" s="104"/>
      <c r="AB143" s="104"/>
      <c r="AC143" s="119">
        <f t="shared" si="31"/>
        <v>0</v>
      </c>
      <c r="AD143" s="105">
        <f t="shared" si="32"/>
        <v>3</v>
      </c>
      <c r="AE143" s="50">
        <v>43451</v>
      </c>
    </row>
    <row r="144" spans="1:31" x14ac:dyDescent="0.15">
      <c r="A144" s="115"/>
      <c r="B144" s="103"/>
      <c r="C144" s="104"/>
      <c r="D144" s="104"/>
      <c r="E144" s="104"/>
      <c r="F144" s="119">
        <f t="shared" si="27"/>
        <v>0</v>
      </c>
      <c r="G144" s="103"/>
      <c r="H144" s="104"/>
      <c r="I144" s="104"/>
      <c r="J144" s="104"/>
      <c r="K144" s="119">
        <f t="shared" si="28"/>
        <v>0</v>
      </c>
      <c r="L144" s="105">
        <f t="shared" si="29"/>
        <v>0</v>
      </c>
      <c r="M144" s="50"/>
      <c r="S144" s="115" t="s">
        <v>25</v>
      </c>
      <c r="T144" s="103">
        <v>2</v>
      </c>
      <c r="U144" s="104">
        <v>3</v>
      </c>
      <c r="V144" s="104"/>
      <c r="W144" s="104"/>
      <c r="X144" s="119">
        <f t="shared" si="30"/>
        <v>5</v>
      </c>
      <c r="Y144" s="103"/>
      <c r="Z144" s="104"/>
      <c r="AA144" s="104"/>
      <c r="AB144" s="104"/>
      <c r="AC144" s="119">
        <f t="shared" si="31"/>
        <v>0</v>
      </c>
      <c r="AD144" s="105">
        <f t="shared" si="32"/>
        <v>5</v>
      </c>
      <c r="AE144" s="50">
        <v>43455</v>
      </c>
    </row>
    <row r="145" spans="1:35" x14ac:dyDescent="0.15">
      <c r="A145" s="115"/>
      <c r="B145" s="103"/>
      <c r="C145" s="104"/>
      <c r="D145" s="104"/>
      <c r="E145" s="104"/>
      <c r="F145" s="119">
        <f t="shared" si="27"/>
        <v>0</v>
      </c>
      <c r="G145" s="103"/>
      <c r="H145" s="104"/>
      <c r="I145" s="104"/>
      <c r="J145" s="104"/>
      <c r="K145" s="119">
        <f t="shared" si="28"/>
        <v>0</v>
      </c>
      <c r="L145" s="105">
        <f t="shared" si="29"/>
        <v>0</v>
      </c>
      <c r="M145" s="50"/>
      <c r="S145" s="115" t="s">
        <v>25</v>
      </c>
      <c r="T145" s="103"/>
      <c r="U145" s="104"/>
      <c r="V145" s="104"/>
      <c r="W145" s="104">
        <v>5</v>
      </c>
      <c r="X145" s="119">
        <f t="shared" si="30"/>
        <v>5</v>
      </c>
      <c r="Y145" s="103"/>
      <c r="Z145" s="104"/>
      <c r="AA145" s="104"/>
      <c r="AB145" s="104"/>
      <c r="AC145" s="119">
        <f t="shared" si="31"/>
        <v>0</v>
      </c>
      <c r="AD145" s="105">
        <f t="shared" si="32"/>
        <v>5</v>
      </c>
      <c r="AE145" s="50">
        <v>43475</v>
      </c>
    </row>
    <row r="146" spans="1:35" x14ac:dyDescent="0.15">
      <c r="A146" s="115"/>
      <c r="B146" s="120"/>
      <c r="C146" s="121"/>
      <c r="D146" s="121"/>
      <c r="E146" s="121"/>
      <c r="F146" s="122">
        <f t="shared" si="27"/>
        <v>0</v>
      </c>
      <c r="G146" s="120"/>
      <c r="H146" s="121"/>
      <c r="I146" s="121"/>
      <c r="J146" s="121"/>
      <c r="K146" s="122">
        <f t="shared" si="28"/>
        <v>0</v>
      </c>
      <c r="L146" s="105">
        <f t="shared" si="29"/>
        <v>0</v>
      </c>
      <c r="M146" s="50"/>
      <c r="S146" s="115"/>
      <c r="T146" s="120"/>
      <c r="U146" s="121"/>
      <c r="V146" s="121"/>
      <c r="W146" s="121"/>
      <c r="X146" s="122">
        <f t="shared" si="30"/>
        <v>0</v>
      </c>
      <c r="Y146" s="120"/>
      <c r="Z146" s="121"/>
      <c r="AA146" s="121"/>
      <c r="AB146" s="121"/>
      <c r="AC146" s="122">
        <f t="shared" si="31"/>
        <v>0</v>
      </c>
      <c r="AD146" s="105">
        <f t="shared" si="32"/>
        <v>0</v>
      </c>
      <c r="AE146" s="50"/>
    </row>
    <row r="147" spans="1:35" x14ac:dyDescent="0.15">
      <c r="A147" s="115"/>
      <c r="B147" s="103"/>
      <c r="C147" s="104"/>
      <c r="D147" s="104"/>
      <c r="E147" s="104"/>
      <c r="F147" s="119">
        <f t="shared" si="27"/>
        <v>0</v>
      </c>
      <c r="G147" s="103"/>
      <c r="H147" s="104"/>
      <c r="I147" s="104"/>
      <c r="J147" s="104"/>
      <c r="K147" s="119">
        <f t="shared" si="28"/>
        <v>0</v>
      </c>
      <c r="L147" s="105">
        <f t="shared" si="29"/>
        <v>0</v>
      </c>
      <c r="M147" s="50"/>
      <c r="S147" s="115"/>
      <c r="T147" s="103"/>
      <c r="U147" s="104"/>
      <c r="V147" s="104"/>
      <c r="W147" s="104"/>
      <c r="X147" s="119">
        <f t="shared" si="30"/>
        <v>0</v>
      </c>
      <c r="Y147" s="103"/>
      <c r="Z147" s="104"/>
      <c r="AA147" s="104"/>
      <c r="AB147" s="104"/>
      <c r="AC147" s="119">
        <f t="shared" si="31"/>
        <v>0</v>
      </c>
      <c r="AD147" s="105">
        <f t="shared" si="32"/>
        <v>0</v>
      </c>
      <c r="AE147" s="50"/>
    </row>
    <row r="148" spans="1:35" x14ac:dyDescent="0.15">
      <c r="A148" s="115"/>
      <c r="B148" s="123"/>
      <c r="C148" s="124"/>
      <c r="D148" s="124"/>
      <c r="E148" s="124"/>
      <c r="F148" s="119">
        <f t="shared" si="27"/>
        <v>0</v>
      </c>
      <c r="G148" s="123"/>
      <c r="H148" s="124"/>
      <c r="I148" s="124"/>
      <c r="J148" s="124"/>
      <c r="K148" s="119">
        <f t="shared" si="28"/>
        <v>0</v>
      </c>
      <c r="L148" s="105">
        <f t="shared" si="29"/>
        <v>0</v>
      </c>
      <c r="M148" s="50"/>
      <c r="S148" s="115"/>
      <c r="T148" s="123"/>
      <c r="U148" s="124"/>
      <c r="V148" s="124"/>
      <c r="W148" s="124"/>
      <c r="X148" s="119">
        <f t="shared" si="30"/>
        <v>0</v>
      </c>
      <c r="Y148" s="123"/>
      <c r="Z148" s="124"/>
      <c r="AA148" s="124"/>
      <c r="AB148" s="124"/>
      <c r="AC148" s="119">
        <f t="shared" si="31"/>
        <v>0</v>
      </c>
      <c r="AD148" s="105">
        <f t="shared" si="32"/>
        <v>0</v>
      </c>
      <c r="AE148" s="50"/>
    </row>
    <row r="149" spans="1:35" x14ac:dyDescent="0.15">
      <c r="A149" s="115"/>
      <c r="B149" s="103"/>
      <c r="C149" s="104"/>
      <c r="D149" s="104"/>
      <c r="E149" s="104"/>
      <c r="F149" s="119">
        <f t="shared" si="27"/>
        <v>0</v>
      </c>
      <c r="G149" s="103"/>
      <c r="H149" s="104"/>
      <c r="I149" s="104"/>
      <c r="J149" s="104"/>
      <c r="K149" s="119">
        <f t="shared" si="28"/>
        <v>0</v>
      </c>
      <c r="L149" s="105">
        <f t="shared" si="29"/>
        <v>0</v>
      </c>
      <c r="M149" s="14"/>
      <c r="S149" s="115"/>
      <c r="T149" s="103"/>
      <c r="U149" s="104"/>
      <c r="V149" s="104"/>
      <c r="W149" s="104"/>
      <c r="X149" s="119">
        <f t="shared" si="30"/>
        <v>0</v>
      </c>
      <c r="Y149" s="103"/>
      <c r="Z149" s="104"/>
      <c r="AA149" s="104"/>
      <c r="AB149" s="104"/>
      <c r="AC149" s="119">
        <f t="shared" si="31"/>
        <v>0</v>
      </c>
      <c r="AD149" s="105">
        <f t="shared" si="32"/>
        <v>0</v>
      </c>
      <c r="AE149" s="50"/>
    </row>
    <row r="150" spans="1:35" x14ac:dyDescent="0.15">
      <c r="A150" s="115"/>
      <c r="B150" s="103"/>
      <c r="C150" s="104"/>
      <c r="D150" s="104"/>
      <c r="E150" s="104"/>
      <c r="F150" s="119">
        <f t="shared" si="27"/>
        <v>0</v>
      </c>
      <c r="G150" s="103"/>
      <c r="H150" s="104"/>
      <c r="I150" s="104"/>
      <c r="J150" s="104"/>
      <c r="K150" s="119">
        <f t="shared" si="28"/>
        <v>0</v>
      </c>
      <c r="L150" s="105">
        <f t="shared" si="29"/>
        <v>0</v>
      </c>
      <c r="M150" s="50"/>
      <c r="S150" s="115"/>
      <c r="T150" s="103"/>
      <c r="U150" s="104"/>
      <c r="V150" s="104"/>
      <c r="W150" s="104"/>
      <c r="X150" s="119">
        <f t="shared" si="30"/>
        <v>0</v>
      </c>
      <c r="Y150" s="103"/>
      <c r="Z150" s="104"/>
      <c r="AA150" s="104"/>
      <c r="AB150" s="104"/>
      <c r="AC150" s="119">
        <f t="shared" si="31"/>
        <v>0</v>
      </c>
      <c r="AD150" s="105">
        <f t="shared" si="32"/>
        <v>0</v>
      </c>
      <c r="AE150" s="50"/>
    </row>
    <row r="151" spans="1:35" x14ac:dyDescent="0.15">
      <c r="A151" s="125"/>
      <c r="B151" s="103"/>
      <c r="C151" s="104"/>
      <c r="D151" s="104"/>
      <c r="E151" s="104"/>
      <c r="F151" s="119">
        <f t="shared" si="27"/>
        <v>0</v>
      </c>
      <c r="G151" s="103"/>
      <c r="H151" s="104"/>
      <c r="I151" s="104"/>
      <c r="J151" s="104"/>
      <c r="K151" s="119">
        <f t="shared" si="28"/>
        <v>0</v>
      </c>
      <c r="L151" s="105">
        <f t="shared" si="29"/>
        <v>0</v>
      </c>
      <c r="S151" s="125"/>
      <c r="T151" s="103"/>
      <c r="U151" s="104"/>
      <c r="V151" s="104"/>
      <c r="W151" s="104"/>
      <c r="X151" s="119">
        <f t="shared" si="30"/>
        <v>0</v>
      </c>
      <c r="Y151" s="103"/>
      <c r="Z151" s="104"/>
      <c r="AA151" s="104"/>
      <c r="AB151" s="104"/>
      <c r="AC151" s="119">
        <f t="shared" si="31"/>
        <v>0</v>
      </c>
      <c r="AD151" s="105">
        <f t="shared" si="32"/>
        <v>0</v>
      </c>
    </row>
    <row r="152" spans="1:35" ht="14.25" thickBot="1" x14ac:dyDescent="0.2">
      <c r="A152" s="140"/>
      <c r="B152" s="141"/>
      <c r="C152" s="142"/>
      <c r="D152" s="142"/>
      <c r="E152" s="142"/>
      <c r="F152" s="122">
        <f t="shared" si="27"/>
        <v>0</v>
      </c>
      <c r="G152" s="141"/>
      <c r="H152" s="142"/>
      <c r="I152" s="142"/>
      <c r="J152" s="142"/>
      <c r="K152" s="122">
        <f t="shared" si="28"/>
        <v>0</v>
      </c>
      <c r="L152" s="143">
        <f t="shared" si="29"/>
        <v>0</v>
      </c>
      <c r="S152" s="126" t="s">
        <v>31</v>
      </c>
      <c r="T152" s="127"/>
      <c r="U152" s="128"/>
      <c r="V152" s="128"/>
      <c r="W152" s="128"/>
      <c r="X152" s="129">
        <f t="shared" si="30"/>
        <v>0</v>
      </c>
      <c r="Y152" s="127"/>
      <c r="Z152" s="128"/>
      <c r="AA152" s="128"/>
      <c r="AB152" s="128"/>
      <c r="AC152" s="129">
        <f t="shared" si="31"/>
        <v>0</v>
      </c>
      <c r="AD152" s="130">
        <f t="shared" si="32"/>
        <v>0</v>
      </c>
      <c r="AE152" s="75" t="s">
        <v>32</v>
      </c>
    </row>
    <row r="153" spans="1:35" ht="15" thickBot="1" x14ac:dyDescent="0.2">
      <c r="A153" s="131" t="s">
        <v>15</v>
      </c>
      <c r="B153" s="132">
        <f>SUM(B127:B152)</f>
        <v>2</v>
      </c>
      <c r="C153" s="133">
        <f>SUM(C127:C152)</f>
        <v>1</v>
      </c>
      <c r="D153" s="133">
        <f>SUM(D127:D152)</f>
        <v>5</v>
      </c>
      <c r="E153" s="134">
        <f>SUM(E127:E152)</f>
        <v>2</v>
      </c>
      <c r="F153" s="113">
        <f>SUM(B153:E153)</f>
        <v>10</v>
      </c>
      <c r="G153" s="132">
        <f>SUM(G127:G152)</f>
        <v>3</v>
      </c>
      <c r="H153" s="133">
        <f>SUM(H127:H152)</f>
        <v>1</v>
      </c>
      <c r="I153" s="133">
        <f>SUM(I127:I152)</f>
        <v>1</v>
      </c>
      <c r="J153" s="134">
        <f>SUM(J127:J152)</f>
        <v>6</v>
      </c>
      <c r="K153" s="113">
        <f>SUM(G153:J153)</f>
        <v>11</v>
      </c>
      <c r="L153" s="135">
        <f t="shared" si="29"/>
        <v>21</v>
      </c>
      <c r="S153" s="131" t="s">
        <v>15</v>
      </c>
      <c r="T153" s="132">
        <f>SUM(T127:T152)</f>
        <v>28</v>
      </c>
      <c r="U153" s="133">
        <f>SUM(U127:U152)</f>
        <v>30</v>
      </c>
      <c r="V153" s="133">
        <f>SUM(V127:V152)</f>
        <v>17</v>
      </c>
      <c r="W153" s="134">
        <f>SUM(W127:W152)</f>
        <v>18</v>
      </c>
      <c r="X153" s="113">
        <f>SUM(T153:W153)</f>
        <v>93</v>
      </c>
      <c r="Y153" s="132">
        <f>SUM(Y127:Y152)</f>
        <v>3</v>
      </c>
      <c r="Z153" s="133">
        <f>SUM(Z127:Z152)</f>
        <v>0</v>
      </c>
      <c r="AA153" s="133">
        <f>SUM(AA127:AA152)</f>
        <v>1</v>
      </c>
      <c r="AB153" s="134">
        <f>SUM(AB127:AB152)</f>
        <v>3</v>
      </c>
      <c r="AC153" s="113">
        <f>SUM(Y153:AB153)</f>
        <v>7</v>
      </c>
      <c r="AD153" s="135">
        <f t="shared" si="32"/>
        <v>100</v>
      </c>
    </row>
    <row r="154" spans="1:35" ht="14.25" thickBot="1" x14ac:dyDescent="0.2">
      <c r="A154" s="136" t="s">
        <v>16</v>
      </c>
      <c r="B154" s="137">
        <f t="shared" ref="B154:K154" si="33">B126-B153</f>
        <v>0</v>
      </c>
      <c r="C154" s="138">
        <f t="shared" si="33"/>
        <v>0</v>
      </c>
      <c r="D154" s="138">
        <f t="shared" si="33"/>
        <v>0</v>
      </c>
      <c r="E154" s="139">
        <f t="shared" si="33"/>
        <v>0</v>
      </c>
      <c r="F154" s="139">
        <f t="shared" si="33"/>
        <v>0</v>
      </c>
      <c r="G154" s="137">
        <f t="shared" si="33"/>
        <v>0</v>
      </c>
      <c r="H154" s="138">
        <f t="shared" si="33"/>
        <v>0</v>
      </c>
      <c r="I154" s="138">
        <f t="shared" si="33"/>
        <v>1</v>
      </c>
      <c r="J154" s="139">
        <f t="shared" si="33"/>
        <v>0</v>
      </c>
      <c r="K154" s="139">
        <f t="shared" si="33"/>
        <v>1</v>
      </c>
      <c r="L154" s="135">
        <f t="shared" si="29"/>
        <v>1</v>
      </c>
      <c r="S154" s="136" t="s">
        <v>16</v>
      </c>
      <c r="T154" s="137">
        <f t="shared" ref="T154:AC154" si="34">T126-T153</f>
        <v>77</v>
      </c>
      <c r="U154" s="138">
        <f t="shared" si="34"/>
        <v>30</v>
      </c>
      <c r="V154" s="138">
        <f t="shared" si="34"/>
        <v>47</v>
      </c>
      <c r="W154" s="139">
        <f t="shared" si="34"/>
        <v>57</v>
      </c>
      <c r="X154" s="139">
        <f t="shared" si="34"/>
        <v>211</v>
      </c>
      <c r="Y154" s="137">
        <f t="shared" si="34"/>
        <v>0</v>
      </c>
      <c r="Z154" s="138">
        <f t="shared" si="34"/>
        <v>0</v>
      </c>
      <c r="AA154" s="138">
        <f t="shared" si="34"/>
        <v>0</v>
      </c>
      <c r="AB154" s="139">
        <f t="shared" si="34"/>
        <v>0</v>
      </c>
      <c r="AC154" s="139">
        <f t="shared" si="34"/>
        <v>0</v>
      </c>
      <c r="AD154" s="135">
        <f t="shared" si="32"/>
        <v>211</v>
      </c>
    </row>
    <row r="157" spans="1:35" ht="19.5" thickBot="1" x14ac:dyDescent="0.25">
      <c r="A157" s="1" t="s">
        <v>19</v>
      </c>
      <c r="S157" s="1" t="s">
        <v>37</v>
      </c>
    </row>
    <row r="158" spans="1:35" ht="14.25" thickBot="1" x14ac:dyDescent="0.2">
      <c r="A158" s="3" t="s">
        <v>0</v>
      </c>
      <c r="B158" s="371" t="s">
        <v>17</v>
      </c>
      <c r="C158" s="372"/>
      <c r="D158" s="372"/>
      <c r="E158" s="372"/>
      <c r="F158" s="373"/>
      <c r="G158" s="371" t="s">
        <v>18</v>
      </c>
      <c r="H158" s="372"/>
      <c r="I158" s="372"/>
      <c r="J158" s="372"/>
      <c r="K158" s="373"/>
      <c r="L158" s="371" t="s">
        <v>38</v>
      </c>
      <c r="M158" s="372"/>
      <c r="N158" s="372"/>
      <c r="O158" s="372"/>
      <c r="P158" s="373"/>
      <c r="Q158" s="360" t="s">
        <v>1</v>
      </c>
      <c r="S158" s="3" t="s">
        <v>0</v>
      </c>
      <c r="T158" s="371" t="s">
        <v>17</v>
      </c>
      <c r="U158" s="372"/>
      <c r="V158" s="372"/>
      <c r="W158" s="372"/>
      <c r="X158" s="373"/>
      <c r="Y158" s="371" t="s">
        <v>18</v>
      </c>
      <c r="Z158" s="372"/>
      <c r="AA158" s="372"/>
      <c r="AB158" s="372"/>
      <c r="AC158" s="373"/>
      <c r="AD158" s="371" t="s">
        <v>38</v>
      </c>
      <c r="AE158" s="372"/>
      <c r="AF158" s="372"/>
      <c r="AG158" s="372"/>
      <c r="AH158" s="373"/>
      <c r="AI158" s="360" t="s">
        <v>1</v>
      </c>
    </row>
    <row r="159" spans="1:35" ht="14.25" thickBot="1" x14ac:dyDescent="0.2">
      <c r="A159" s="5" t="s">
        <v>2</v>
      </c>
      <c r="B159" s="6" t="s">
        <v>3</v>
      </c>
      <c r="C159" s="7" t="s">
        <v>4</v>
      </c>
      <c r="D159" s="7" t="s">
        <v>5</v>
      </c>
      <c r="E159" s="8" t="s">
        <v>6</v>
      </c>
      <c r="F159" s="5" t="s">
        <v>7</v>
      </c>
      <c r="G159" s="6" t="s">
        <v>3</v>
      </c>
      <c r="H159" s="7" t="s">
        <v>4</v>
      </c>
      <c r="I159" s="7" t="s">
        <v>5</v>
      </c>
      <c r="J159" s="8" t="s">
        <v>6</v>
      </c>
      <c r="K159" s="5" t="s">
        <v>7</v>
      </c>
      <c r="L159" s="6" t="s">
        <v>3</v>
      </c>
      <c r="M159" s="7" t="s">
        <v>4</v>
      </c>
      <c r="N159" s="7" t="s">
        <v>5</v>
      </c>
      <c r="O159" s="8" t="s">
        <v>6</v>
      </c>
      <c r="P159" s="5" t="s">
        <v>7</v>
      </c>
      <c r="Q159" s="375"/>
      <c r="S159" s="5" t="s">
        <v>2</v>
      </c>
      <c r="T159" s="6" t="s">
        <v>3</v>
      </c>
      <c r="U159" s="7" t="s">
        <v>4</v>
      </c>
      <c r="V159" s="7" t="s">
        <v>5</v>
      </c>
      <c r="W159" s="8" t="s">
        <v>6</v>
      </c>
      <c r="X159" s="5" t="s">
        <v>7</v>
      </c>
      <c r="Y159" s="6" t="s">
        <v>3</v>
      </c>
      <c r="Z159" s="7" t="s">
        <v>4</v>
      </c>
      <c r="AA159" s="7" t="s">
        <v>5</v>
      </c>
      <c r="AB159" s="8" t="s">
        <v>6</v>
      </c>
      <c r="AC159" s="5" t="s">
        <v>7</v>
      </c>
      <c r="AD159" s="6" t="s">
        <v>3</v>
      </c>
      <c r="AE159" s="7" t="s">
        <v>4</v>
      </c>
      <c r="AF159" s="7" t="s">
        <v>5</v>
      </c>
      <c r="AG159" s="8" t="s">
        <v>6</v>
      </c>
      <c r="AH159" s="5" t="s">
        <v>7</v>
      </c>
      <c r="AI159" s="375"/>
    </row>
    <row r="160" spans="1:35" ht="14.25" x14ac:dyDescent="0.15">
      <c r="A160" s="68" t="s">
        <v>30</v>
      </c>
      <c r="B160" s="69">
        <v>0</v>
      </c>
      <c r="C160" s="70">
        <v>0</v>
      </c>
      <c r="D160" s="70">
        <v>0</v>
      </c>
      <c r="E160" s="70">
        <v>0</v>
      </c>
      <c r="F160" s="71">
        <v>0</v>
      </c>
      <c r="G160" s="69">
        <v>0</v>
      </c>
      <c r="H160" s="70">
        <v>0</v>
      </c>
      <c r="I160" s="70">
        <v>1</v>
      </c>
      <c r="J160" s="70">
        <v>0</v>
      </c>
      <c r="K160" s="71">
        <v>1</v>
      </c>
      <c r="L160" s="144">
        <v>0</v>
      </c>
      <c r="M160" s="145">
        <f>M154</f>
        <v>0</v>
      </c>
      <c r="N160" s="145">
        <v>0</v>
      </c>
      <c r="O160" s="145">
        <v>0</v>
      </c>
      <c r="P160" s="71">
        <f t="shared" ref="P160:P191" si="35">SUM(L160:O160)</f>
        <v>0</v>
      </c>
      <c r="Q160" s="72">
        <f t="shared" ref="Q160:Q165" si="36">K160+P160+F160</f>
        <v>1</v>
      </c>
      <c r="S160" s="68" t="s">
        <v>30</v>
      </c>
      <c r="T160" s="69">
        <v>77</v>
      </c>
      <c r="U160" s="70">
        <v>30</v>
      </c>
      <c r="V160" s="70">
        <v>47</v>
      </c>
      <c r="W160" s="70">
        <v>57</v>
      </c>
      <c r="X160" s="71">
        <v>246</v>
      </c>
      <c r="Y160" s="69">
        <v>3</v>
      </c>
      <c r="Z160" s="70">
        <v>0</v>
      </c>
      <c r="AA160" s="70">
        <v>1</v>
      </c>
      <c r="AB160" s="70">
        <v>3</v>
      </c>
      <c r="AC160" s="71">
        <v>7</v>
      </c>
      <c r="AD160" s="69">
        <v>0</v>
      </c>
      <c r="AE160" s="70">
        <v>0</v>
      </c>
      <c r="AF160" s="70">
        <v>0</v>
      </c>
      <c r="AG160" s="70">
        <v>0</v>
      </c>
      <c r="AH160" s="71">
        <f t="shared" ref="AH160:AH191" si="37">SUM(AD160:AG160)</f>
        <v>0</v>
      </c>
      <c r="AI160" s="72">
        <f t="shared" ref="AI160:AI166" si="38">AC160+AH160+X160</f>
        <v>253</v>
      </c>
    </row>
    <row r="161" spans="1:37" x14ac:dyDescent="0.15">
      <c r="A161" s="53" t="s">
        <v>29</v>
      </c>
      <c r="B161" s="54"/>
      <c r="C161" s="55">
        <v>1</v>
      </c>
      <c r="D161" s="55"/>
      <c r="E161" s="55">
        <v>3</v>
      </c>
      <c r="F161" s="49">
        <f>SUM(B161:E161)</f>
        <v>4</v>
      </c>
      <c r="G161" s="54">
        <v>1</v>
      </c>
      <c r="H161" s="55"/>
      <c r="I161" s="55"/>
      <c r="J161" s="55"/>
      <c r="K161" s="49">
        <f>SUM(G161:J161)</f>
        <v>1</v>
      </c>
      <c r="L161" s="54"/>
      <c r="M161" s="55"/>
      <c r="N161" s="55"/>
      <c r="O161" s="55"/>
      <c r="P161" s="49">
        <f>SUM(L161:O161)</f>
        <v>0</v>
      </c>
      <c r="Q161" s="72">
        <f>K161+P161+F161</f>
        <v>5</v>
      </c>
      <c r="R161" s="14">
        <v>43488</v>
      </c>
      <c r="S161" s="53" t="s">
        <v>39</v>
      </c>
      <c r="T161" s="54"/>
      <c r="U161" s="55"/>
      <c r="V161" s="55"/>
      <c r="W161" s="55"/>
      <c r="X161" s="49">
        <f t="shared" ref="X161:X191" si="39">SUM(T161:W161)</f>
        <v>0</v>
      </c>
      <c r="Y161" s="54">
        <v>149</v>
      </c>
      <c r="Z161" s="55">
        <v>130</v>
      </c>
      <c r="AA161" s="55">
        <v>109</v>
      </c>
      <c r="AB161" s="55">
        <v>110</v>
      </c>
      <c r="AC161" s="49">
        <f t="shared" ref="AC161:AC191" si="40">SUM(Y161:AB161)</f>
        <v>498</v>
      </c>
      <c r="AD161" s="54">
        <v>150</v>
      </c>
      <c r="AE161" s="55">
        <v>128</v>
      </c>
      <c r="AF161" s="55">
        <v>110</v>
      </c>
      <c r="AG161" s="55">
        <v>109</v>
      </c>
      <c r="AH161" s="49">
        <f t="shared" si="37"/>
        <v>497</v>
      </c>
      <c r="AI161" s="49">
        <f t="shared" si="38"/>
        <v>995</v>
      </c>
      <c r="AJ161" s="50">
        <v>43509</v>
      </c>
    </row>
    <row r="162" spans="1:37" x14ac:dyDescent="0.15">
      <c r="A162" s="53" t="s">
        <v>44</v>
      </c>
      <c r="B162" s="54"/>
      <c r="C162" s="55"/>
      <c r="D162" s="55"/>
      <c r="E162" s="55"/>
      <c r="F162" s="49">
        <f>SUM(B162:E162)</f>
        <v>0</v>
      </c>
      <c r="G162" s="54">
        <v>1</v>
      </c>
      <c r="H162" s="55"/>
      <c r="I162" s="55">
        <v>1</v>
      </c>
      <c r="J162" s="55"/>
      <c r="K162" s="49">
        <f>SUM(G162:J162)</f>
        <v>2</v>
      </c>
      <c r="L162" s="54"/>
      <c r="M162" s="55"/>
      <c r="N162" s="55"/>
      <c r="O162" s="55">
        <v>1</v>
      </c>
      <c r="P162" s="49">
        <f>SUM(L162:O162)</f>
        <v>1</v>
      </c>
      <c r="Q162" s="72">
        <f>K162+P162+F162</f>
        <v>3</v>
      </c>
      <c r="R162" s="14">
        <v>43498</v>
      </c>
      <c r="S162" s="53" t="s">
        <v>40</v>
      </c>
      <c r="T162" s="54"/>
      <c r="U162" s="55"/>
      <c r="V162" s="55"/>
      <c r="W162" s="55"/>
      <c r="X162" s="49">
        <f t="shared" si="39"/>
        <v>0</v>
      </c>
      <c r="Y162" s="54"/>
      <c r="Z162" s="55"/>
      <c r="AA162" s="55"/>
      <c r="AB162" s="55"/>
      <c r="AC162" s="49">
        <f t="shared" si="40"/>
        <v>0</v>
      </c>
      <c r="AD162" s="54"/>
      <c r="AE162" s="55"/>
      <c r="AF162" s="55"/>
      <c r="AG162" s="55"/>
      <c r="AH162" s="49">
        <f t="shared" si="37"/>
        <v>0</v>
      </c>
      <c r="AI162" s="72">
        <f t="shared" si="38"/>
        <v>0</v>
      </c>
    </row>
    <row r="163" spans="1:37" x14ac:dyDescent="0.15">
      <c r="A163" s="53" t="s">
        <v>29</v>
      </c>
      <c r="B163" s="54"/>
      <c r="C163" s="55"/>
      <c r="D163" s="55"/>
      <c r="E163" s="55"/>
      <c r="F163" s="49">
        <f t="shared" ref="F163:F191" si="41">SUM(B163:E163)</f>
        <v>0</v>
      </c>
      <c r="G163" s="54">
        <v>4</v>
      </c>
      <c r="H163" s="55">
        <v>4</v>
      </c>
      <c r="I163" s="55">
        <v>3</v>
      </c>
      <c r="J163" s="55">
        <v>2</v>
      </c>
      <c r="K163" s="49">
        <f t="shared" ref="K163:K191" si="42">SUM(G163:J163)</f>
        <v>13</v>
      </c>
      <c r="L163" s="54">
        <v>2</v>
      </c>
      <c r="M163" s="55">
        <v>7</v>
      </c>
      <c r="N163" s="55">
        <v>4</v>
      </c>
      <c r="O163" s="55">
        <v>5</v>
      </c>
      <c r="P163" s="49">
        <f t="shared" si="35"/>
        <v>18</v>
      </c>
      <c r="Q163" s="72">
        <f t="shared" si="36"/>
        <v>31</v>
      </c>
      <c r="R163" s="14">
        <v>43516</v>
      </c>
      <c r="S163" s="53" t="s">
        <v>41</v>
      </c>
      <c r="T163" s="54"/>
      <c r="U163" s="55"/>
      <c r="V163" s="55"/>
      <c r="W163" s="55"/>
      <c r="X163" s="49">
        <f t="shared" si="39"/>
        <v>0</v>
      </c>
      <c r="Y163" s="54"/>
      <c r="Z163" s="55"/>
      <c r="AA163" s="55"/>
      <c r="AB163" s="55"/>
      <c r="AC163" s="49">
        <f t="shared" si="40"/>
        <v>0</v>
      </c>
      <c r="AD163" s="54"/>
      <c r="AE163" s="55"/>
      <c r="AF163" s="55"/>
      <c r="AG163" s="55"/>
      <c r="AH163" s="49">
        <f t="shared" si="37"/>
        <v>0</v>
      </c>
      <c r="AI163" s="72">
        <f t="shared" si="38"/>
        <v>0</v>
      </c>
    </row>
    <row r="164" spans="1:37" ht="14.25" thickBot="1" x14ac:dyDescent="0.2">
      <c r="A164" s="53" t="s">
        <v>28</v>
      </c>
      <c r="B164" s="54"/>
      <c r="C164" s="55"/>
      <c r="D164" s="55"/>
      <c r="E164" s="55"/>
      <c r="F164" s="49">
        <f t="shared" si="41"/>
        <v>0</v>
      </c>
      <c r="G164" s="54"/>
      <c r="H164" s="55"/>
      <c r="I164" s="55"/>
      <c r="J164" s="55"/>
      <c r="K164" s="49">
        <f t="shared" si="42"/>
        <v>0</v>
      </c>
      <c r="L164" s="54">
        <v>1</v>
      </c>
      <c r="M164" s="55"/>
      <c r="N164" s="55"/>
      <c r="O164" s="55"/>
      <c r="P164" s="49">
        <f t="shared" si="35"/>
        <v>1</v>
      </c>
      <c r="Q164" s="76">
        <f t="shared" si="36"/>
        <v>1</v>
      </c>
      <c r="R164" s="14">
        <v>43518</v>
      </c>
      <c r="S164" s="53" t="s">
        <v>42</v>
      </c>
      <c r="T164" s="54"/>
      <c r="U164" s="55"/>
      <c r="V164" s="55"/>
      <c r="W164" s="55"/>
      <c r="X164" s="49">
        <f t="shared" si="39"/>
        <v>0</v>
      </c>
      <c r="Y164" s="54"/>
      <c r="Z164" s="55"/>
      <c r="AA164" s="55"/>
      <c r="AB164" s="55"/>
      <c r="AC164" s="49">
        <f t="shared" si="40"/>
        <v>0</v>
      </c>
      <c r="AD164" s="54"/>
      <c r="AE164" s="55"/>
      <c r="AF164" s="55"/>
      <c r="AG164" s="55"/>
      <c r="AH164" s="49">
        <f t="shared" si="37"/>
        <v>0</v>
      </c>
      <c r="AI164" s="76">
        <f t="shared" si="38"/>
        <v>0</v>
      </c>
    </row>
    <row r="165" spans="1:37" ht="15" thickBot="1" x14ac:dyDescent="0.2">
      <c r="A165" s="4" t="s">
        <v>14</v>
      </c>
      <c r="B165" s="23">
        <f>SUM(B160:B164)</f>
        <v>0</v>
      </c>
      <c r="C165" s="24">
        <f>SUM(C160:C164)</f>
        <v>1</v>
      </c>
      <c r="D165" s="24">
        <f>SUM(D160:D164)</f>
        <v>0</v>
      </c>
      <c r="E165" s="24">
        <f>SUM(E160:E164)</f>
        <v>3</v>
      </c>
      <c r="F165" s="25">
        <f t="shared" si="41"/>
        <v>4</v>
      </c>
      <c r="G165" s="23">
        <f>SUM(G160:G164)</f>
        <v>6</v>
      </c>
      <c r="H165" s="24">
        <f>SUM(H160:H164)</f>
        <v>4</v>
      </c>
      <c r="I165" s="24">
        <f>SUM(I160:I164)</f>
        <v>5</v>
      </c>
      <c r="J165" s="24">
        <f>SUM(J160:J164)</f>
        <v>2</v>
      </c>
      <c r="K165" s="25">
        <f t="shared" si="42"/>
        <v>17</v>
      </c>
      <c r="L165" s="23">
        <f>SUM(L160:L164)</f>
        <v>3</v>
      </c>
      <c r="M165" s="24">
        <f>SUM(M160:M164)</f>
        <v>7</v>
      </c>
      <c r="N165" s="24">
        <f>SUM(N160:N164)</f>
        <v>4</v>
      </c>
      <c r="O165" s="24">
        <f>SUM(O160:O164)</f>
        <v>6</v>
      </c>
      <c r="P165" s="146">
        <f t="shared" si="35"/>
        <v>20</v>
      </c>
      <c r="Q165" s="77">
        <f t="shared" si="36"/>
        <v>41</v>
      </c>
      <c r="S165" s="4" t="s">
        <v>14</v>
      </c>
      <c r="T165" s="23">
        <f>SUM(T160:T164)</f>
        <v>77</v>
      </c>
      <c r="U165" s="24">
        <f>SUM(U160:U164)</f>
        <v>30</v>
      </c>
      <c r="V165" s="24">
        <f>SUM(V160:V164)</f>
        <v>47</v>
      </c>
      <c r="W165" s="24">
        <f>SUM(W160:W164)</f>
        <v>57</v>
      </c>
      <c r="X165" s="25">
        <f t="shared" si="39"/>
        <v>211</v>
      </c>
      <c r="Y165" s="23">
        <f>SUM(Y160:Y164)</f>
        <v>152</v>
      </c>
      <c r="Z165" s="24">
        <f>SUM(Z160:Z164)</f>
        <v>130</v>
      </c>
      <c r="AA165" s="24">
        <f>SUM(AA160:AA164)</f>
        <v>110</v>
      </c>
      <c r="AB165" s="24">
        <f>SUM(AB160:AB164)</f>
        <v>113</v>
      </c>
      <c r="AC165" s="25">
        <f t="shared" si="40"/>
        <v>505</v>
      </c>
      <c r="AD165" s="23">
        <f>SUM(AD160:AD164)</f>
        <v>150</v>
      </c>
      <c r="AE165" s="24">
        <f>SUM(AE160:AE164)</f>
        <v>128</v>
      </c>
      <c r="AF165" s="24">
        <f>SUM(AF160:AF164)</f>
        <v>110</v>
      </c>
      <c r="AG165" s="24">
        <f>SUM(AG160:AG164)</f>
        <v>109</v>
      </c>
      <c r="AH165" s="25">
        <f t="shared" si="37"/>
        <v>497</v>
      </c>
      <c r="AI165" s="77">
        <f t="shared" si="38"/>
        <v>1213</v>
      </c>
    </row>
    <row r="166" spans="1:37" x14ac:dyDescent="0.15">
      <c r="A166" s="53" t="s">
        <v>50</v>
      </c>
      <c r="B166" s="46"/>
      <c r="C166" s="47"/>
      <c r="D166" s="47"/>
      <c r="E166" s="47"/>
      <c r="F166" s="48">
        <f t="shared" si="41"/>
        <v>0</v>
      </c>
      <c r="G166" s="46">
        <v>4</v>
      </c>
      <c r="H166" s="47">
        <v>4</v>
      </c>
      <c r="I166" s="47">
        <v>3</v>
      </c>
      <c r="J166" s="47">
        <v>2</v>
      </c>
      <c r="K166" s="48">
        <f t="shared" si="42"/>
        <v>13</v>
      </c>
      <c r="L166" s="51">
        <v>2</v>
      </c>
      <c r="M166" s="52">
        <v>7</v>
      </c>
      <c r="N166" s="52">
        <v>4</v>
      </c>
      <c r="O166" s="52">
        <v>5</v>
      </c>
      <c r="P166" s="49">
        <f>SUM(L166:O166)</f>
        <v>18</v>
      </c>
      <c r="Q166" s="49">
        <f>K166+P166+F166</f>
        <v>31</v>
      </c>
      <c r="R166" s="50">
        <v>43521</v>
      </c>
      <c r="S166" s="53" t="s">
        <v>45</v>
      </c>
      <c r="T166" s="46"/>
      <c r="U166" s="47"/>
      <c r="V166" s="47"/>
      <c r="W166" s="47"/>
      <c r="X166" s="48">
        <f t="shared" si="39"/>
        <v>0</v>
      </c>
      <c r="Y166" s="46"/>
      <c r="Z166" s="47"/>
      <c r="AA166" s="47"/>
      <c r="AB166" s="47"/>
      <c r="AC166" s="48">
        <f t="shared" si="40"/>
        <v>0</v>
      </c>
      <c r="AD166" s="46">
        <v>5</v>
      </c>
      <c r="AE166" s="47">
        <v>5</v>
      </c>
      <c r="AF166" s="47">
        <v>5</v>
      </c>
      <c r="AG166" s="47">
        <v>5</v>
      </c>
      <c r="AH166" s="48">
        <f t="shared" si="37"/>
        <v>20</v>
      </c>
      <c r="AI166" s="49">
        <f t="shared" si="38"/>
        <v>20</v>
      </c>
      <c r="AJ166" s="50">
        <v>43514</v>
      </c>
    </row>
    <row r="167" spans="1:37" x14ac:dyDescent="0.15">
      <c r="A167" s="53" t="s">
        <v>28</v>
      </c>
      <c r="B167" s="54"/>
      <c r="C167" s="55"/>
      <c r="D167" s="55"/>
      <c r="E167" s="55"/>
      <c r="F167" s="56">
        <f t="shared" si="41"/>
        <v>0</v>
      </c>
      <c r="G167" s="54"/>
      <c r="H167" s="55">
        <v>-2</v>
      </c>
      <c r="I167" s="55"/>
      <c r="J167" s="55"/>
      <c r="K167" s="56">
        <f t="shared" si="42"/>
        <v>-2</v>
      </c>
      <c r="L167" s="54"/>
      <c r="M167" s="55"/>
      <c r="N167" s="55"/>
      <c r="O167" s="55"/>
      <c r="P167" s="56">
        <f t="shared" si="35"/>
        <v>0</v>
      </c>
      <c r="Q167" s="49">
        <f t="shared" ref="Q167:Q193" si="43">K167+P167+F167</f>
        <v>-2</v>
      </c>
      <c r="R167" s="14">
        <v>43529</v>
      </c>
      <c r="S167" s="53" t="s">
        <v>46</v>
      </c>
      <c r="T167" s="54"/>
      <c r="U167" s="55"/>
      <c r="V167" s="55"/>
      <c r="W167" s="55"/>
      <c r="X167" s="56">
        <f t="shared" si="39"/>
        <v>0</v>
      </c>
      <c r="Y167" s="54">
        <v>15</v>
      </c>
      <c r="Z167" s="55">
        <v>13</v>
      </c>
      <c r="AA167" s="55">
        <v>11</v>
      </c>
      <c r="AB167" s="55">
        <v>11</v>
      </c>
      <c r="AC167" s="56">
        <f t="shared" si="40"/>
        <v>50</v>
      </c>
      <c r="AD167" s="54">
        <v>15</v>
      </c>
      <c r="AE167" s="55">
        <v>13</v>
      </c>
      <c r="AF167" s="55">
        <v>11</v>
      </c>
      <c r="AG167" s="55">
        <v>11</v>
      </c>
      <c r="AH167" s="56">
        <f t="shared" si="37"/>
        <v>50</v>
      </c>
      <c r="AI167" s="49">
        <f t="shared" ref="AI167:AI193" si="44">AC167+AH167+X167</f>
        <v>100</v>
      </c>
      <c r="AJ167" s="50">
        <v>43514</v>
      </c>
    </row>
    <row r="168" spans="1:37" x14ac:dyDescent="0.15">
      <c r="A168" s="53" t="s">
        <v>51</v>
      </c>
      <c r="B168" s="54"/>
      <c r="C168" s="55"/>
      <c r="D168" s="55"/>
      <c r="E168" s="55"/>
      <c r="F168" s="56">
        <f t="shared" si="41"/>
        <v>0</v>
      </c>
      <c r="G168" s="54"/>
      <c r="H168" s="55">
        <v>1</v>
      </c>
      <c r="I168" s="55"/>
      <c r="J168" s="55"/>
      <c r="K168" s="56">
        <f t="shared" si="42"/>
        <v>1</v>
      </c>
      <c r="L168" s="54"/>
      <c r="M168" s="55"/>
      <c r="N168" s="55"/>
      <c r="O168" s="55"/>
      <c r="P168" s="56">
        <f t="shared" si="35"/>
        <v>0</v>
      </c>
      <c r="Q168" s="49">
        <f t="shared" si="43"/>
        <v>1</v>
      </c>
      <c r="R168" s="14">
        <v>43529</v>
      </c>
      <c r="S168" s="53" t="s">
        <v>47</v>
      </c>
      <c r="T168" s="54"/>
      <c r="U168" s="55">
        <v>10</v>
      </c>
      <c r="V168" s="55"/>
      <c r="W168" s="55"/>
      <c r="X168" s="56">
        <f t="shared" si="39"/>
        <v>10</v>
      </c>
      <c r="Y168" s="54">
        <v>10</v>
      </c>
      <c r="Z168" s="55">
        <v>10</v>
      </c>
      <c r="AA168" s="55">
        <v>10</v>
      </c>
      <c r="AB168" s="55"/>
      <c r="AC168" s="56">
        <f t="shared" si="40"/>
        <v>30</v>
      </c>
      <c r="AD168" s="54"/>
      <c r="AE168" s="55"/>
      <c r="AF168" s="55"/>
      <c r="AG168" s="55"/>
      <c r="AH168" s="56">
        <f t="shared" si="37"/>
        <v>0</v>
      </c>
      <c r="AI168" s="49">
        <f t="shared" si="44"/>
        <v>40</v>
      </c>
      <c r="AJ168" s="50">
        <v>43514</v>
      </c>
    </row>
    <row r="169" spans="1:37" x14ac:dyDescent="0.15">
      <c r="A169" s="53" t="s">
        <v>51</v>
      </c>
      <c r="B169" s="54"/>
      <c r="C169" s="55"/>
      <c r="D169" s="55"/>
      <c r="E169" s="55"/>
      <c r="F169" s="56">
        <f t="shared" si="41"/>
        <v>0</v>
      </c>
      <c r="G169" s="54"/>
      <c r="H169" s="55">
        <v>1</v>
      </c>
      <c r="I169" s="55"/>
      <c r="J169" s="55"/>
      <c r="K169" s="56">
        <f t="shared" si="42"/>
        <v>1</v>
      </c>
      <c r="L169" s="54"/>
      <c r="M169" s="55"/>
      <c r="N169" s="55"/>
      <c r="O169" s="55"/>
      <c r="P169" s="56">
        <f t="shared" si="35"/>
        <v>0</v>
      </c>
      <c r="Q169" s="49">
        <f t="shared" si="43"/>
        <v>1</v>
      </c>
      <c r="R169" s="14">
        <v>43530</v>
      </c>
      <c r="S169" s="53" t="s">
        <v>47</v>
      </c>
      <c r="T169" s="54"/>
      <c r="U169" s="55"/>
      <c r="V169" s="55"/>
      <c r="W169" s="55"/>
      <c r="X169" s="56">
        <f t="shared" si="39"/>
        <v>0</v>
      </c>
      <c r="Y169" s="54"/>
      <c r="Z169" s="55"/>
      <c r="AA169" s="55"/>
      <c r="AB169" s="55">
        <v>5</v>
      </c>
      <c r="AC169" s="56">
        <f t="shared" si="40"/>
        <v>5</v>
      </c>
      <c r="AD169" s="54"/>
      <c r="AE169" s="55"/>
      <c r="AF169" s="55"/>
      <c r="AG169" s="55"/>
      <c r="AH169" s="56">
        <f t="shared" si="37"/>
        <v>0</v>
      </c>
      <c r="AI169" s="49">
        <f t="shared" si="44"/>
        <v>5</v>
      </c>
      <c r="AJ169" s="50">
        <v>43529</v>
      </c>
    </row>
    <row r="170" spans="1:37" x14ac:dyDescent="0.15">
      <c r="A170" s="53" t="s">
        <v>51</v>
      </c>
      <c r="B170" s="54"/>
      <c r="C170" s="55">
        <v>1</v>
      </c>
      <c r="D170" s="55"/>
      <c r="E170" s="55"/>
      <c r="F170" s="56">
        <f t="shared" si="41"/>
        <v>1</v>
      </c>
      <c r="G170" s="54"/>
      <c r="H170" s="55"/>
      <c r="I170" s="55"/>
      <c r="J170" s="55"/>
      <c r="K170" s="56">
        <f t="shared" si="42"/>
        <v>0</v>
      </c>
      <c r="L170" s="54"/>
      <c r="M170" s="55"/>
      <c r="N170" s="55"/>
      <c r="O170" s="55"/>
      <c r="P170" s="56">
        <f t="shared" si="35"/>
        <v>0</v>
      </c>
      <c r="Q170" s="49">
        <f t="shared" si="43"/>
        <v>1</v>
      </c>
      <c r="R170" s="14">
        <v>43532</v>
      </c>
      <c r="S170" s="53" t="s">
        <v>21</v>
      </c>
      <c r="T170" s="54"/>
      <c r="U170" s="55"/>
      <c r="V170" s="55"/>
      <c r="W170" s="55"/>
      <c r="X170" s="56">
        <f t="shared" si="39"/>
        <v>0</v>
      </c>
      <c r="Y170" s="54"/>
      <c r="Z170" s="55"/>
      <c r="AA170" s="55"/>
      <c r="AB170" s="55"/>
      <c r="AC170" s="56">
        <f t="shared" si="40"/>
        <v>0</v>
      </c>
      <c r="AD170" s="54">
        <v>1</v>
      </c>
      <c r="AE170" s="55"/>
      <c r="AF170" s="55"/>
      <c r="AG170" s="55"/>
      <c r="AH170" s="56">
        <f t="shared" si="37"/>
        <v>1</v>
      </c>
      <c r="AI170" s="49">
        <f t="shared" si="44"/>
        <v>1</v>
      </c>
      <c r="AJ170" s="14">
        <v>43518</v>
      </c>
    </row>
    <row r="171" spans="1:37" x14ac:dyDescent="0.15">
      <c r="A171" s="53" t="s">
        <v>28</v>
      </c>
      <c r="B171" s="54"/>
      <c r="C171" s="55"/>
      <c r="D171" s="55"/>
      <c r="E171" s="55"/>
      <c r="F171" s="56">
        <f t="shared" si="41"/>
        <v>0</v>
      </c>
      <c r="G171" s="54"/>
      <c r="H171" s="55"/>
      <c r="I171" s="55"/>
      <c r="J171" s="55">
        <v>-1</v>
      </c>
      <c r="K171" s="56">
        <f t="shared" si="42"/>
        <v>-1</v>
      </c>
      <c r="L171" s="54"/>
      <c r="M171" s="55"/>
      <c r="N171" s="55"/>
      <c r="O171" s="55"/>
      <c r="P171" s="56">
        <f t="shared" si="35"/>
        <v>0</v>
      </c>
      <c r="Q171" s="49">
        <f t="shared" si="43"/>
        <v>-1</v>
      </c>
      <c r="R171" s="14">
        <v>43536</v>
      </c>
      <c r="S171" s="53" t="s">
        <v>21</v>
      </c>
      <c r="T171" s="54"/>
      <c r="U171" s="55"/>
      <c r="V171" s="55"/>
      <c r="W171" s="55"/>
      <c r="X171" s="56">
        <f t="shared" si="39"/>
        <v>0</v>
      </c>
      <c r="Y171" s="54"/>
      <c r="Z171" s="55">
        <v>2</v>
      </c>
      <c r="AA171" s="55"/>
      <c r="AB171" s="55"/>
      <c r="AC171" s="56">
        <f t="shared" si="40"/>
        <v>2</v>
      </c>
      <c r="AD171" s="54"/>
      <c r="AE171" s="55"/>
      <c r="AF171" s="55"/>
      <c r="AG171" s="55"/>
      <c r="AH171" s="56">
        <f t="shared" si="37"/>
        <v>0</v>
      </c>
      <c r="AI171" s="49">
        <f t="shared" si="44"/>
        <v>2</v>
      </c>
      <c r="AJ171" s="14">
        <v>43529</v>
      </c>
    </row>
    <row r="172" spans="1:37" x14ac:dyDescent="0.15">
      <c r="A172" s="53" t="s">
        <v>51</v>
      </c>
      <c r="B172" s="54"/>
      <c r="C172" s="55"/>
      <c r="D172" s="55"/>
      <c r="E172" s="55"/>
      <c r="F172" s="56">
        <f t="shared" si="41"/>
        <v>0</v>
      </c>
      <c r="G172" s="54"/>
      <c r="H172" s="55"/>
      <c r="I172" s="55"/>
      <c r="J172" s="55">
        <v>1</v>
      </c>
      <c r="K172" s="56">
        <f t="shared" si="42"/>
        <v>1</v>
      </c>
      <c r="L172" s="54"/>
      <c r="M172" s="55"/>
      <c r="N172" s="55"/>
      <c r="O172" s="55"/>
      <c r="P172" s="56">
        <f t="shared" si="35"/>
        <v>0</v>
      </c>
      <c r="Q172" s="49">
        <f t="shared" si="43"/>
        <v>1</v>
      </c>
      <c r="R172" s="14">
        <v>43536</v>
      </c>
      <c r="S172" s="53" t="s">
        <v>52</v>
      </c>
      <c r="T172" s="54"/>
      <c r="U172" s="55"/>
      <c r="V172" s="55"/>
      <c r="W172" s="55"/>
      <c r="X172" s="56">
        <f t="shared" si="39"/>
        <v>0</v>
      </c>
      <c r="Y172" s="54"/>
      <c r="Z172" s="55"/>
      <c r="AA172" s="55"/>
      <c r="AB172" s="55"/>
      <c r="AC172" s="56">
        <f t="shared" si="40"/>
        <v>0</v>
      </c>
      <c r="AD172" s="54"/>
      <c r="AE172" s="55">
        <v>20</v>
      </c>
      <c r="AF172" s="55">
        <v>15</v>
      </c>
      <c r="AG172" s="55"/>
      <c r="AH172" s="56">
        <f t="shared" si="37"/>
        <v>35</v>
      </c>
      <c r="AI172" s="49">
        <f t="shared" si="44"/>
        <v>35</v>
      </c>
      <c r="AJ172" s="50">
        <v>43537</v>
      </c>
    </row>
    <row r="173" spans="1:37" x14ac:dyDescent="0.15">
      <c r="A173" s="53" t="s">
        <v>28</v>
      </c>
      <c r="B173" s="54"/>
      <c r="C173" s="55"/>
      <c r="D173" s="55"/>
      <c r="E173" s="55"/>
      <c r="F173" s="56">
        <f t="shared" si="41"/>
        <v>0</v>
      </c>
      <c r="G173" s="54"/>
      <c r="H173" s="55">
        <v>-3</v>
      </c>
      <c r="I173" s="55"/>
      <c r="J173" s="55">
        <v>-3</v>
      </c>
      <c r="K173" s="56">
        <f t="shared" si="42"/>
        <v>-6</v>
      </c>
      <c r="L173" s="54"/>
      <c r="M173" s="55"/>
      <c r="N173" s="55"/>
      <c r="O173" s="55"/>
      <c r="P173" s="56">
        <f t="shared" si="35"/>
        <v>0</v>
      </c>
      <c r="Q173" s="49">
        <f t="shared" si="43"/>
        <v>-6</v>
      </c>
      <c r="R173" s="50">
        <v>43549</v>
      </c>
      <c r="S173" s="53" t="s">
        <v>52</v>
      </c>
      <c r="T173" s="54"/>
      <c r="U173" s="55"/>
      <c r="V173" s="55"/>
      <c r="W173" s="55"/>
      <c r="X173" s="56">
        <f t="shared" si="39"/>
        <v>0</v>
      </c>
      <c r="Y173" s="54"/>
      <c r="Z173" s="55"/>
      <c r="AA173" s="55"/>
      <c r="AB173" s="55"/>
      <c r="AC173" s="56">
        <f t="shared" si="40"/>
        <v>0</v>
      </c>
      <c r="AD173" s="54"/>
      <c r="AE173" s="55"/>
      <c r="AF173" s="55"/>
      <c r="AG173" s="55">
        <v>10</v>
      </c>
      <c r="AH173" s="56">
        <f t="shared" si="37"/>
        <v>10</v>
      </c>
      <c r="AI173" s="49">
        <f t="shared" si="44"/>
        <v>10</v>
      </c>
      <c r="AJ173" s="50">
        <v>43543</v>
      </c>
    </row>
    <row r="174" spans="1:37" x14ac:dyDescent="0.15">
      <c r="A174" s="53" t="s">
        <v>51</v>
      </c>
      <c r="B174" s="17"/>
      <c r="C174" s="18"/>
      <c r="D174" s="18"/>
      <c r="E174" s="18"/>
      <c r="F174" s="30">
        <f t="shared" si="41"/>
        <v>0</v>
      </c>
      <c r="G174" s="17"/>
      <c r="H174" s="18">
        <v>1</v>
      </c>
      <c r="I174" s="18"/>
      <c r="J174" s="18"/>
      <c r="K174" s="30">
        <f t="shared" si="42"/>
        <v>1</v>
      </c>
      <c r="L174" s="17"/>
      <c r="M174" s="18"/>
      <c r="N174" s="18"/>
      <c r="O174" s="18"/>
      <c r="P174" s="30">
        <f t="shared" si="35"/>
        <v>0</v>
      </c>
      <c r="Q174" s="49">
        <f t="shared" si="43"/>
        <v>1</v>
      </c>
      <c r="R174" s="14">
        <v>43549</v>
      </c>
      <c r="S174" s="53" t="s">
        <v>21</v>
      </c>
      <c r="T174" s="17"/>
      <c r="U174" s="18"/>
      <c r="V174" s="18"/>
      <c r="W174" s="18"/>
      <c r="X174" s="30">
        <f t="shared" si="39"/>
        <v>0</v>
      </c>
      <c r="Y174" s="17"/>
      <c r="Z174" s="18"/>
      <c r="AA174" s="18"/>
      <c r="AB174" s="18">
        <v>1</v>
      </c>
      <c r="AC174" s="30">
        <f t="shared" si="40"/>
        <v>1</v>
      </c>
      <c r="AD174" s="17"/>
      <c r="AE174" s="18"/>
      <c r="AF174" s="18"/>
      <c r="AG174" s="18"/>
      <c r="AH174" s="30">
        <f t="shared" si="37"/>
        <v>0</v>
      </c>
      <c r="AI174" s="49">
        <f t="shared" si="44"/>
        <v>1</v>
      </c>
      <c r="AJ174" s="14">
        <v>43536</v>
      </c>
    </row>
    <row r="175" spans="1:37" x14ac:dyDescent="0.15">
      <c r="A175" s="53" t="s">
        <v>29</v>
      </c>
      <c r="B175" s="54"/>
      <c r="C175" s="55">
        <v>-1</v>
      </c>
      <c r="D175" s="55"/>
      <c r="E175" s="55"/>
      <c r="F175" s="56">
        <f t="shared" si="41"/>
        <v>-1</v>
      </c>
      <c r="G175" s="54"/>
      <c r="H175" s="55"/>
      <c r="I175" s="55"/>
      <c r="J175" s="55">
        <v>-2</v>
      </c>
      <c r="K175" s="56">
        <f t="shared" si="42"/>
        <v>-2</v>
      </c>
      <c r="L175" s="54">
        <v>-1</v>
      </c>
      <c r="M175" s="55"/>
      <c r="N175" s="55">
        <v>-2</v>
      </c>
      <c r="O175" s="55"/>
      <c r="P175" s="56">
        <f t="shared" si="35"/>
        <v>-3</v>
      </c>
      <c r="Q175" s="49">
        <f t="shared" si="43"/>
        <v>-6</v>
      </c>
      <c r="R175" s="14">
        <v>43550</v>
      </c>
      <c r="S175" s="53" t="s">
        <v>52</v>
      </c>
      <c r="T175" s="54"/>
      <c r="U175" s="55"/>
      <c r="V175" s="55"/>
      <c r="W175" s="55"/>
      <c r="X175" s="56">
        <f t="shared" si="39"/>
        <v>0</v>
      </c>
      <c r="Y175" s="54"/>
      <c r="Z175" s="55">
        <v>20</v>
      </c>
      <c r="AA175" s="55">
        <v>20</v>
      </c>
      <c r="AB175" s="55"/>
      <c r="AC175" s="56">
        <f t="shared" si="40"/>
        <v>40</v>
      </c>
      <c r="AD175" s="54"/>
      <c r="AE175" s="55"/>
      <c r="AF175" s="55"/>
      <c r="AG175" s="55"/>
      <c r="AH175" s="56">
        <f t="shared" si="37"/>
        <v>0</v>
      </c>
      <c r="AI175" s="49">
        <f t="shared" si="44"/>
        <v>40</v>
      </c>
      <c r="AJ175" s="50">
        <v>43544</v>
      </c>
      <c r="AK175" s="74"/>
    </row>
    <row r="176" spans="1:37" x14ac:dyDescent="0.15">
      <c r="A176" s="53" t="s">
        <v>53</v>
      </c>
      <c r="B176" s="54"/>
      <c r="C176" s="55"/>
      <c r="D176" s="55"/>
      <c r="E176" s="55"/>
      <c r="F176" s="56">
        <f t="shared" si="41"/>
        <v>0</v>
      </c>
      <c r="G176" s="54"/>
      <c r="H176" s="55"/>
      <c r="I176" s="55">
        <v>-1</v>
      </c>
      <c r="J176" s="55"/>
      <c r="K176" s="56">
        <f t="shared" si="42"/>
        <v>-1</v>
      </c>
      <c r="L176" s="54"/>
      <c r="M176" s="55"/>
      <c r="N176" s="55">
        <v>-2</v>
      </c>
      <c r="O176" s="55"/>
      <c r="P176" s="56">
        <f t="shared" si="35"/>
        <v>-2</v>
      </c>
      <c r="Q176" s="49">
        <f t="shared" si="43"/>
        <v>-3</v>
      </c>
      <c r="R176" s="14">
        <v>43559</v>
      </c>
      <c r="S176" s="53" t="s">
        <v>52</v>
      </c>
      <c r="T176" s="54"/>
      <c r="U176" s="55"/>
      <c r="V176" s="55"/>
      <c r="W176" s="55"/>
      <c r="X176" s="56">
        <f t="shared" si="39"/>
        <v>0</v>
      </c>
      <c r="Y176" s="54"/>
      <c r="Z176" s="55"/>
      <c r="AA176" s="55"/>
      <c r="AB176" s="55">
        <v>5</v>
      </c>
      <c r="AC176" s="56">
        <f t="shared" si="40"/>
        <v>5</v>
      </c>
      <c r="AD176" s="54"/>
      <c r="AE176" s="55"/>
      <c r="AF176" s="55"/>
      <c r="AG176" s="55">
        <v>10</v>
      </c>
      <c r="AH176" s="56">
        <f t="shared" si="37"/>
        <v>10</v>
      </c>
      <c r="AI176" s="49">
        <f t="shared" si="44"/>
        <v>15</v>
      </c>
      <c r="AJ176" s="50">
        <v>43550</v>
      </c>
    </row>
    <row r="177" spans="1:36" x14ac:dyDescent="0.15">
      <c r="A177" s="53" t="s">
        <v>53</v>
      </c>
      <c r="B177" s="54"/>
      <c r="C177" s="55"/>
      <c r="D177" s="55"/>
      <c r="E177" s="55"/>
      <c r="F177" s="56">
        <f t="shared" si="41"/>
        <v>0</v>
      </c>
      <c r="G177" s="54"/>
      <c r="H177" s="55"/>
      <c r="I177" s="55"/>
      <c r="J177" s="55"/>
      <c r="K177" s="56">
        <f t="shared" si="42"/>
        <v>0</v>
      </c>
      <c r="L177" s="54"/>
      <c r="M177" s="55">
        <v>-1</v>
      </c>
      <c r="N177" s="55"/>
      <c r="O177" s="55"/>
      <c r="P177" s="56">
        <f t="shared" si="35"/>
        <v>-1</v>
      </c>
      <c r="Q177" s="49">
        <f t="shared" si="43"/>
        <v>-1</v>
      </c>
      <c r="R177" s="14">
        <v>43565</v>
      </c>
      <c r="S177" s="53" t="s">
        <v>21</v>
      </c>
      <c r="T177" s="54"/>
      <c r="U177" s="55"/>
      <c r="V177" s="55"/>
      <c r="W177" s="55"/>
      <c r="X177" s="56">
        <f t="shared" si="39"/>
        <v>0</v>
      </c>
      <c r="Y177" s="54"/>
      <c r="Z177" s="55">
        <v>3</v>
      </c>
      <c r="AA177" s="55"/>
      <c r="AB177" s="55">
        <v>3</v>
      </c>
      <c r="AC177" s="56">
        <f t="shared" si="40"/>
        <v>6</v>
      </c>
      <c r="AD177" s="54"/>
      <c r="AE177" s="55"/>
      <c r="AF177" s="55"/>
      <c r="AG177" s="55"/>
      <c r="AH177" s="56">
        <f t="shared" si="37"/>
        <v>0</v>
      </c>
      <c r="AI177" s="49">
        <f t="shared" si="44"/>
        <v>6</v>
      </c>
      <c r="AJ177" s="50">
        <v>43549</v>
      </c>
    </row>
    <row r="178" spans="1:36" x14ac:dyDescent="0.15">
      <c r="A178" s="53" t="s">
        <v>51</v>
      </c>
      <c r="B178" s="54"/>
      <c r="C178" s="55"/>
      <c r="D178" s="55"/>
      <c r="E178" s="55"/>
      <c r="F178" s="56">
        <f t="shared" si="41"/>
        <v>0</v>
      </c>
      <c r="G178" s="54"/>
      <c r="H178" s="55"/>
      <c r="I178" s="55"/>
      <c r="J178" s="55"/>
      <c r="K178" s="56">
        <f t="shared" si="42"/>
        <v>0</v>
      </c>
      <c r="L178" s="54"/>
      <c r="M178" s="55"/>
      <c r="N178" s="55"/>
      <c r="O178" s="55">
        <v>1</v>
      </c>
      <c r="P178" s="56">
        <f t="shared" si="35"/>
        <v>1</v>
      </c>
      <c r="Q178" s="49">
        <f t="shared" si="43"/>
        <v>1</v>
      </c>
      <c r="R178" s="14">
        <v>43570</v>
      </c>
      <c r="S178" s="53" t="s">
        <v>52</v>
      </c>
      <c r="T178" s="54"/>
      <c r="U178" s="55"/>
      <c r="V178" s="55"/>
      <c r="W178" s="55"/>
      <c r="X178" s="56">
        <f t="shared" si="39"/>
        <v>0</v>
      </c>
      <c r="Y178" s="54"/>
      <c r="Z178" s="55"/>
      <c r="AA178" s="55"/>
      <c r="AB178" s="55"/>
      <c r="AC178" s="56">
        <f t="shared" si="40"/>
        <v>0</v>
      </c>
      <c r="AD178" s="54">
        <v>5</v>
      </c>
      <c r="AE178" s="55"/>
      <c r="AF178" s="55"/>
      <c r="AG178" s="55"/>
      <c r="AH178" s="56">
        <f t="shared" si="37"/>
        <v>5</v>
      </c>
      <c r="AI178" s="49">
        <f t="shared" si="44"/>
        <v>5</v>
      </c>
      <c r="AJ178" s="50">
        <v>43552</v>
      </c>
    </row>
    <row r="179" spans="1:36" x14ac:dyDescent="0.15">
      <c r="A179" s="53" t="s">
        <v>51</v>
      </c>
      <c r="B179" s="54"/>
      <c r="C179" s="55"/>
      <c r="D179" s="55"/>
      <c r="E179" s="55"/>
      <c r="F179" s="56">
        <f t="shared" si="41"/>
        <v>0</v>
      </c>
      <c r="G179" s="54"/>
      <c r="H179" s="55">
        <v>1</v>
      </c>
      <c r="I179" s="55"/>
      <c r="J179" s="55"/>
      <c r="K179" s="56">
        <f t="shared" si="42"/>
        <v>1</v>
      </c>
      <c r="L179" s="54"/>
      <c r="M179" s="55"/>
      <c r="N179" s="55"/>
      <c r="O179" s="55"/>
      <c r="P179" s="56">
        <f t="shared" si="35"/>
        <v>0</v>
      </c>
      <c r="Q179" s="49">
        <f t="shared" si="43"/>
        <v>1</v>
      </c>
      <c r="R179" s="14">
        <v>43571</v>
      </c>
      <c r="S179" s="53" t="s">
        <v>52</v>
      </c>
      <c r="T179" s="54"/>
      <c r="U179" s="55"/>
      <c r="V179" s="55"/>
      <c r="W179" s="55">
        <v>13</v>
      </c>
      <c r="X179" s="56">
        <f t="shared" si="39"/>
        <v>13</v>
      </c>
      <c r="Y179" s="54"/>
      <c r="Z179" s="55"/>
      <c r="AA179" s="55"/>
      <c r="AB179" s="55"/>
      <c r="AC179" s="56">
        <f t="shared" si="40"/>
        <v>0</v>
      </c>
      <c r="AD179" s="54"/>
      <c r="AE179" s="55"/>
      <c r="AF179" s="55"/>
      <c r="AG179" s="55"/>
      <c r="AH179" s="56">
        <f t="shared" si="37"/>
        <v>0</v>
      </c>
      <c r="AI179" s="49">
        <f t="shared" si="44"/>
        <v>13</v>
      </c>
      <c r="AJ179" s="50">
        <v>43558</v>
      </c>
    </row>
    <row r="180" spans="1:36" x14ac:dyDescent="0.15">
      <c r="A180" s="53" t="s">
        <v>29</v>
      </c>
      <c r="B180" s="54"/>
      <c r="C180" s="55"/>
      <c r="D180" s="55"/>
      <c r="E180" s="55"/>
      <c r="F180" s="56">
        <f t="shared" si="41"/>
        <v>0</v>
      </c>
      <c r="G180" s="54"/>
      <c r="H180" s="55"/>
      <c r="I180" s="55">
        <v>-1</v>
      </c>
      <c r="J180" s="55">
        <v>-1</v>
      </c>
      <c r="K180" s="56">
        <f t="shared" si="42"/>
        <v>-2</v>
      </c>
      <c r="L180" s="54"/>
      <c r="M180" s="55">
        <v>-1</v>
      </c>
      <c r="N180" s="55"/>
      <c r="O180" s="55">
        <v>-1</v>
      </c>
      <c r="P180" s="56">
        <f t="shared" si="35"/>
        <v>-2</v>
      </c>
      <c r="Q180" s="49">
        <f t="shared" si="43"/>
        <v>-4</v>
      </c>
      <c r="R180" s="14">
        <v>43573</v>
      </c>
      <c r="S180" s="53" t="s">
        <v>47</v>
      </c>
      <c r="T180" s="54"/>
      <c r="U180" s="55"/>
      <c r="V180" s="55">
        <v>5</v>
      </c>
      <c r="W180" s="55"/>
      <c r="X180" s="56">
        <f t="shared" si="39"/>
        <v>5</v>
      </c>
      <c r="Y180" s="54"/>
      <c r="Z180" s="55"/>
      <c r="AA180" s="55"/>
      <c r="AB180" s="55"/>
      <c r="AC180" s="56">
        <f t="shared" si="40"/>
        <v>0</v>
      </c>
      <c r="AD180" s="54"/>
      <c r="AE180" s="55"/>
      <c r="AF180" s="55"/>
      <c r="AG180" s="55"/>
      <c r="AH180" s="56">
        <f t="shared" si="37"/>
        <v>0</v>
      </c>
      <c r="AI180" s="49">
        <f t="shared" si="44"/>
        <v>5</v>
      </c>
      <c r="AJ180" s="50">
        <v>43559</v>
      </c>
    </row>
    <row r="181" spans="1:36" x14ac:dyDescent="0.15">
      <c r="A181" s="53" t="s">
        <v>54</v>
      </c>
      <c r="B181" s="54"/>
      <c r="C181" s="55"/>
      <c r="D181" s="55"/>
      <c r="E181" s="55"/>
      <c r="F181" s="56">
        <f t="shared" si="41"/>
        <v>0</v>
      </c>
      <c r="G181" s="54">
        <v>1</v>
      </c>
      <c r="H181" s="55"/>
      <c r="I181" s="55"/>
      <c r="J181" s="55"/>
      <c r="K181" s="56">
        <f t="shared" si="42"/>
        <v>1</v>
      </c>
      <c r="L181" s="54"/>
      <c r="M181" s="55"/>
      <c r="N181" s="55"/>
      <c r="O181" s="55"/>
      <c r="P181" s="56">
        <f t="shared" si="35"/>
        <v>0</v>
      </c>
      <c r="Q181" s="49">
        <f t="shared" si="43"/>
        <v>1</v>
      </c>
      <c r="R181" s="50">
        <v>43578</v>
      </c>
      <c r="S181" s="53" t="s">
        <v>52</v>
      </c>
      <c r="T181" s="54"/>
      <c r="U181" s="55"/>
      <c r="V181" s="55"/>
      <c r="W181" s="55"/>
      <c r="X181" s="56">
        <f t="shared" si="39"/>
        <v>0</v>
      </c>
      <c r="Y181" s="54"/>
      <c r="Z181" s="55"/>
      <c r="AA181" s="55"/>
      <c r="AB181" s="55">
        <v>5</v>
      </c>
      <c r="AC181" s="56">
        <f t="shared" si="40"/>
        <v>5</v>
      </c>
      <c r="AD181" s="54"/>
      <c r="AE181" s="55"/>
      <c r="AF181" s="55"/>
      <c r="AG181" s="55"/>
      <c r="AH181" s="56">
        <f t="shared" si="37"/>
        <v>0</v>
      </c>
      <c r="AI181" s="49">
        <f t="shared" si="44"/>
        <v>5</v>
      </c>
      <c r="AJ181" s="50">
        <v>43563</v>
      </c>
    </row>
    <row r="182" spans="1:36" x14ac:dyDescent="0.15">
      <c r="A182" s="53" t="s">
        <v>29</v>
      </c>
      <c r="B182" s="54"/>
      <c r="C182" s="55"/>
      <c r="D182" s="55"/>
      <c r="E182" s="55">
        <v>-1</v>
      </c>
      <c r="F182" s="56">
        <f t="shared" si="41"/>
        <v>-1</v>
      </c>
      <c r="G182" s="54"/>
      <c r="H182" s="55"/>
      <c r="I182" s="55">
        <v>-1</v>
      </c>
      <c r="J182" s="55">
        <v>-1</v>
      </c>
      <c r="K182" s="56">
        <f t="shared" si="42"/>
        <v>-2</v>
      </c>
      <c r="L182" s="54">
        <v>-1</v>
      </c>
      <c r="M182" s="55"/>
      <c r="N182" s="55"/>
      <c r="O182" s="55"/>
      <c r="P182" s="56">
        <f t="shared" si="35"/>
        <v>-1</v>
      </c>
      <c r="Q182" s="49">
        <f t="shared" si="43"/>
        <v>-4</v>
      </c>
      <c r="R182" s="14">
        <v>43580</v>
      </c>
      <c r="S182" s="53" t="s">
        <v>52</v>
      </c>
      <c r="T182" s="54"/>
      <c r="U182" s="55">
        <v>3</v>
      </c>
      <c r="V182" s="55"/>
      <c r="W182" s="55"/>
      <c r="X182" s="56">
        <f t="shared" si="39"/>
        <v>3</v>
      </c>
      <c r="Y182" s="54"/>
      <c r="Z182" s="55"/>
      <c r="AA182" s="55"/>
      <c r="AB182" s="55"/>
      <c r="AC182" s="56">
        <f t="shared" si="40"/>
        <v>0</v>
      </c>
      <c r="AD182" s="54">
        <v>3</v>
      </c>
      <c r="AE182" s="55"/>
      <c r="AF182" s="55"/>
      <c r="AG182" s="55"/>
      <c r="AH182" s="56">
        <f t="shared" si="37"/>
        <v>3</v>
      </c>
      <c r="AI182" s="49">
        <f t="shared" si="44"/>
        <v>6</v>
      </c>
      <c r="AJ182" s="50">
        <v>43571</v>
      </c>
    </row>
    <row r="183" spans="1:36" x14ac:dyDescent="0.15">
      <c r="A183" s="53" t="s">
        <v>54</v>
      </c>
      <c r="B183" s="54"/>
      <c r="C183" s="55">
        <v>1</v>
      </c>
      <c r="D183" s="55"/>
      <c r="E183" s="55"/>
      <c r="F183" s="56">
        <f t="shared" si="41"/>
        <v>1</v>
      </c>
      <c r="G183" s="54"/>
      <c r="H183" s="55"/>
      <c r="I183" s="55"/>
      <c r="J183" s="55"/>
      <c r="K183" s="56">
        <f t="shared" si="42"/>
        <v>0</v>
      </c>
      <c r="L183" s="54"/>
      <c r="M183" s="55"/>
      <c r="N183" s="55"/>
      <c r="O183" s="55"/>
      <c r="P183" s="56">
        <f t="shared" si="35"/>
        <v>0</v>
      </c>
      <c r="Q183" s="49">
        <f t="shared" si="43"/>
        <v>1</v>
      </c>
      <c r="R183" s="50">
        <v>43593</v>
      </c>
      <c r="S183" s="53" t="s">
        <v>47</v>
      </c>
      <c r="T183" s="54"/>
      <c r="U183" s="55">
        <v>10</v>
      </c>
      <c r="V183" s="55"/>
      <c r="W183" s="55"/>
      <c r="X183" s="56">
        <f t="shared" si="39"/>
        <v>10</v>
      </c>
      <c r="Y183" s="54"/>
      <c r="Z183" s="55"/>
      <c r="AA183" s="55"/>
      <c r="AB183" s="55"/>
      <c r="AC183" s="56">
        <f t="shared" si="40"/>
        <v>0</v>
      </c>
      <c r="AD183" s="54"/>
      <c r="AE183" s="55">
        <v>10</v>
      </c>
      <c r="AF183" s="55">
        <v>5</v>
      </c>
      <c r="AG183" s="55"/>
      <c r="AH183" s="56">
        <f t="shared" si="37"/>
        <v>15</v>
      </c>
      <c r="AI183" s="49">
        <f t="shared" si="44"/>
        <v>25</v>
      </c>
      <c r="AJ183" s="50">
        <v>43572</v>
      </c>
    </row>
    <row r="184" spans="1:36" x14ac:dyDescent="0.15">
      <c r="A184" s="53" t="s">
        <v>51</v>
      </c>
      <c r="B184" s="54"/>
      <c r="C184" s="55"/>
      <c r="D184" s="55"/>
      <c r="E184" s="55">
        <v>1</v>
      </c>
      <c r="F184" s="56">
        <f t="shared" si="41"/>
        <v>1</v>
      </c>
      <c r="G184" s="54"/>
      <c r="H184" s="55"/>
      <c r="I184" s="55"/>
      <c r="J184" s="55"/>
      <c r="K184" s="56">
        <f t="shared" si="42"/>
        <v>0</v>
      </c>
      <c r="L184" s="54"/>
      <c r="M184" s="55"/>
      <c r="N184" s="55"/>
      <c r="O184" s="55"/>
      <c r="P184" s="56">
        <f t="shared" si="35"/>
        <v>0</v>
      </c>
      <c r="Q184" s="49">
        <f t="shared" si="43"/>
        <v>1</v>
      </c>
      <c r="R184" s="14">
        <v>43592</v>
      </c>
      <c r="S184" s="53" t="s">
        <v>52</v>
      </c>
      <c r="T184" s="54">
        <v>5</v>
      </c>
      <c r="U184" s="55"/>
      <c r="V184" s="55"/>
      <c r="W184" s="55"/>
      <c r="X184" s="56">
        <f t="shared" si="39"/>
        <v>5</v>
      </c>
      <c r="Y184" s="54">
        <v>5</v>
      </c>
      <c r="Z184" s="55"/>
      <c r="AA184" s="55"/>
      <c r="AB184" s="55"/>
      <c r="AC184" s="56">
        <f t="shared" si="40"/>
        <v>5</v>
      </c>
      <c r="AD184" s="54"/>
      <c r="AE184" s="55">
        <v>20</v>
      </c>
      <c r="AF184" s="55"/>
      <c r="AG184" s="55"/>
      <c r="AH184" s="56">
        <f t="shared" si="37"/>
        <v>20</v>
      </c>
      <c r="AI184" s="49">
        <f t="shared" si="44"/>
        <v>30</v>
      </c>
      <c r="AJ184" s="50">
        <v>43572</v>
      </c>
    </row>
    <row r="185" spans="1:36" x14ac:dyDescent="0.15">
      <c r="A185" s="53"/>
      <c r="B185" s="17"/>
      <c r="C185" s="18"/>
      <c r="D185" s="18"/>
      <c r="E185" s="18"/>
      <c r="F185" s="30">
        <f t="shared" si="41"/>
        <v>0</v>
      </c>
      <c r="G185" s="17"/>
      <c r="H185" s="18"/>
      <c r="I185" s="18"/>
      <c r="J185" s="18"/>
      <c r="K185" s="30">
        <f t="shared" si="42"/>
        <v>0</v>
      </c>
      <c r="L185" s="17"/>
      <c r="M185" s="18"/>
      <c r="N185" s="18"/>
      <c r="O185" s="18"/>
      <c r="P185" s="30">
        <f t="shared" si="35"/>
        <v>0</v>
      </c>
      <c r="Q185" s="49">
        <f t="shared" si="43"/>
        <v>0</v>
      </c>
      <c r="S185" s="53" t="s">
        <v>47</v>
      </c>
      <c r="T185" s="17"/>
      <c r="U185" s="18"/>
      <c r="V185" s="18"/>
      <c r="W185" s="18">
        <v>3</v>
      </c>
      <c r="X185" s="30">
        <f t="shared" si="39"/>
        <v>3</v>
      </c>
      <c r="Y185" s="17"/>
      <c r="Z185" s="18"/>
      <c r="AA185" s="18"/>
      <c r="AB185" s="18"/>
      <c r="AC185" s="30">
        <f t="shared" si="40"/>
        <v>0</v>
      </c>
      <c r="AD185" s="17"/>
      <c r="AE185" s="18"/>
      <c r="AF185" s="18"/>
      <c r="AG185" s="18">
        <v>3</v>
      </c>
      <c r="AH185" s="30">
        <f t="shared" si="37"/>
        <v>3</v>
      </c>
      <c r="AI185" s="49">
        <f t="shared" si="44"/>
        <v>6</v>
      </c>
      <c r="AJ185" s="50">
        <v>43573</v>
      </c>
    </row>
    <row r="186" spans="1:36" x14ac:dyDescent="0.15">
      <c r="A186" s="53"/>
      <c r="B186" s="54"/>
      <c r="C186" s="55"/>
      <c r="D186" s="55"/>
      <c r="E186" s="55"/>
      <c r="F186" s="56">
        <f t="shared" si="41"/>
        <v>0</v>
      </c>
      <c r="G186" s="54"/>
      <c r="H186" s="55"/>
      <c r="I186" s="55"/>
      <c r="J186" s="55"/>
      <c r="K186" s="56">
        <f t="shared" si="42"/>
        <v>0</v>
      </c>
      <c r="L186" s="54"/>
      <c r="M186" s="55"/>
      <c r="N186" s="55"/>
      <c r="O186" s="55"/>
      <c r="P186" s="56">
        <f t="shared" si="35"/>
        <v>0</v>
      </c>
      <c r="Q186" s="49">
        <f t="shared" si="43"/>
        <v>0</v>
      </c>
      <c r="S186" s="53" t="s">
        <v>52</v>
      </c>
      <c r="T186" s="54"/>
      <c r="U186" s="55"/>
      <c r="V186" s="55"/>
      <c r="W186" s="55"/>
      <c r="X186" s="56">
        <f t="shared" si="39"/>
        <v>0</v>
      </c>
      <c r="Y186" s="54"/>
      <c r="Z186" s="55"/>
      <c r="AA186" s="55"/>
      <c r="AB186" s="55">
        <v>5</v>
      </c>
      <c r="AC186" s="56">
        <f t="shared" si="40"/>
        <v>5</v>
      </c>
      <c r="AD186" s="54"/>
      <c r="AE186" s="55"/>
      <c r="AF186" s="55"/>
      <c r="AG186" s="55"/>
      <c r="AH186" s="56">
        <f t="shared" si="37"/>
        <v>0</v>
      </c>
      <c r="AI186" s="49">
        <f t="shared" si="44"/>
        <v>5</v>
      </c>
      <c r="AJ186" s="50">
        <v>43573</v>
      </c>
    </row>
    <row r="187" spans="1:36" x14ac:dyDescent="0.15">
      <c r="A187" s="53"/>
      <c r="B187" s="62"/>
      <c r="C187" s="63"/>
      <c r="D187" s="63"/>
      <c r="E187" s="63"/>
      <c r="F187" s="56">
        <f t="shared" si="41"/>
        <v>0</v>
      </c>
      <c r="G187" s="62"/>
      <c r="H187" s="63"/>
      <c r="I187" s="63"/>
      <c r="J187" s="63"/>
      <c r="K187" s="56">
        <f t="shared" si="42"/>
        <v>0</v>
      </c>
      <c r="L187" s="62"/>
      <c r="M187" s="63"/>
      <c r="N187" s="63"/>
      <c r="O187" s="63"/>
      <c r="P187" s="56">
        <f t="shared" si="35"/>
        <v>0</v>
      </c>
      <c r="Q187" s="49">
        <f t="shared" si="43"/>
        <v>0</v>
      </c>
      <c r="S187" s="53" t="s">
        <v>47</v>
      </c>
      <c r="T187" s="62"/>
      <c r="U187" s="63"/>
      <c r="V187" s="63"/>
      <c r="W187" s="63"/>
      <c r="X187" s="56">
        <f t="shared" si="39"/>
        <v>0</v>
      </c>
      <c r="Y187" s="62"/>
      <c r="Z187" s="63"/>
      <c r="AA187" s="63"/>
      <c r="AB187" s="63">
        <v>5</v>
      </c>
      <c r="AC187" s="56">
        <f t="shared" si="40"/>
        <v>5</v>
      </c>
      <c r="AD187" s="62"/>
      <c r="AE187" s="63"/>
      <c r="AF187" s="63"/>
      <c r="AG187" s="63"/>
      <c r="AH187" s="56">
        <f t="shared" si="37"/>
        <v>0</v>
      </c>
      <c r="AI187" s="49">
        <f t="shared" si="44"/>
        <v>5</v>
      </c>
      <c r="AJ187" s="50">
        <v>43573</v>
      </c>
    </row>
    <row r="188" spans="1:36" x14ac:dyDescent="0.15">
      <c r="A188" s="53"/>
      <c r="B188" s="54"/>
      <c r="C188" s="55"/>
      <c r="D188" s="55"/>
      <c r="E188" s="55"/>
      <c r="F188" s="56">
        <f t="shared" si="41"/>
        <v>0</v>
      </c>
      <c r="G188" s="54"/>
      <c r="H188" s="55"/>
      <c r="I188" s="55"/>
      <c r="J188" s="55"/>
      <c r="K188" s="56">
        <f t="shared" si="42"/>
        <v>0</v>
      </c>
      <c r="L188" s="54"/>
      <c r="M188" s="55"/>
      <c r="N188" s="55"/>
      <c r="O188" s="55"/>
      <c r="P188" s="56">
        <f t="shared" si="35"/>
        <v>0</v>
      </c>
      <c r="Q188" s="49">
        <f t="shared" si="43"/>
        <v>0</v>
      </c>
      <c r="S188" s="53" t="s">
        <v>52</v>
      </c>
      <c r="T188" s="54"/>
      <c r="U188" s="55"/>
      <c r="V188" s="55"/>
      <c r="W188" s="55"/>
      <c r="X188" s="56">
        <f t="shared" si="39"/>
        <v>0</v>
      </c>
      <c r="Y188" s="54"/>
      <c r="Z188" s="55"/>
      <c r="AA188" s="55"/>
      <c r="AB188" s="55">
        <v>10</v>
      </c>
      <c r="AC188" s="56">
        <f t="shared" si="40"/>
        <v>10</v>
      </c>
      <c r="AD188" s="54">
        <v>5</v>
      </c>
      <c r="AE188" s="55"/>
      <c r="AF188" s="55">
        <v>10</v>
      </c>
      <c r="AG188" s="55"/>
      <c r="AH188" s="56">
        <f t="shared" si="37"/>
        <v>15</v>
      </c>
      <c r="AI188" s="49">
        <f t="shared" si="44"/>
        <v>25</v>
      </c>
      <c r="AJ188" s="50">
        <v>43573</v>
      </c>
    </row>
    <row r="189" spans="1:36" x14ac:dyDescent="0.15">
      <c r="A189" s="53"/>
      <c r="B189" s="54"/>
      <c r="C189" s="55"/>
      <c r="D189" s="55"/>
      <c r="E189" s="55"/>
      <c r="F189" s="56">
        <f t="shared" si="41"/>
        <v>0</v>
      </c>
      <c r="G189" s="54"/>
      <c r="H189" s="55"/>
      <c r="I189" s="55"/>
      <c r="J189" s="55"/>
      <c r="K189" s="56">
        <f t="shared" si="42"/>
        <v>0</v>
      </c>
      <c r="L189" s="54"/>
      <c r="M189" s="55"/>
      <c r="N189" s="55"/>
      <c r="O189" s="55"/>
      <c r="P189" s="56">
        <f t="shared" si="35"/>
        <v>0</v>
      </c>
      <c r="Q189" s="49">
        <f t="shared" si="43"/>
        <v>0</v>
      </c>
      <c r="S189" s="53" t="s">
        <v>47</v>
      </c>
      <c r="T189" s="33"/>
      <c r="U189" s="34"/>
      <c r="V189" s="34">
        <v>5</v>
      </c>
      <c r="W189" s="34"/>
      <c r="X189" s="56">
        <f t="shared" si="39"/>
        <v>5</v>
      </c>
      <c r="Y189" s="33"/>
      <c r="Z189" s="34"/>
      <c r="AA189" s="34"/>
      <c r="AB189" s="34"/>
      <c r="AC189" s="56">
        <f t="shared" si="40"/>
        <v>0</v>
      </c>
      <c r="AD189" s="33">
        <v>10</v>
      </c>
      <c r="AE189" s="34"/>
      <c r="AF189" s="34"/>
      <c r="AG189" s="34"/>
      <c r="AH189" s="56">
        <f t="shared" si="37"/>
        <v>10</v>
      </c>
      <c r="AI189" s="49">
        <f t="shared" si="44"/>
        <v>15</v>
      </c>
      <c r="AJ189" s="50">
        <v>43593</v>
      </c>
    </row>
    <row r="190" spans="1:36" x14ac:dyDescent="0.15">
      <c r="A190" s="65"/>
      <c r="B190" s="54"/>
      <c r="C190" s="55"/>
      <c r="D190" s="55"/>
      <c r="E190" s="55"/>
      <c r="F190" s="56">
        <f t="shared" si="41"/>
        <v>0</v>
      </c>
      <c r="G190" s="54"/>
      <c r="H190" s="55"/>
      <c r="I190" s="55"/>
      <c r="J190" s="55"/>
      <c r="K190" s="56">
        <f t="shared" si="42"/>
        <v>0</v>
      </c>
      <c r="L190" s="54"/>
      <c r="M190" s="55"/>
      <c r="N190" s="55"/>
      <c r="O190" s="55"/>
      <c r="P190" s="56">
        <f t="shared" si="35"/>
        <v>0</v>
      </c>
      <c r="Q190" s="49">
        <f t="shared" si="43"/>
        <v>0</v>
      </c>
      <c r="S190" s="53" t="s">
        <v>52</v>
      </c>
      <c r="T190" s="33">
        <v>5</v>
      </c>
      <c r="U190" s="34"/>
      <c r="V190" s="34"/>
      <c r="W190" s="34"/>
      <c r="X190" s="56">
        <f t="shared" si="39"/>
        <v>5</v>
      </c>
      <c r="Y190" s="33">
        <v>10</v>
      </c>
      <c r="Z190" s="34">
        <v>15</v>
      </c>
      <c r="AA190" s="34"/>
      <c r="AB190" s="34"/>
      <c r="AC190" s="56">
        <f t="shared" si="40"/>
        <v>25</v>
      </c>
      <c r="AD190" s="33">
        <v>5</v>
      </c>
      <c r="AE190" s="34"/>
      <c r="AF190" s="34"/>
      <c r="AG190" s="34"/>
      <c r="AH190" s="56">
        <f t="shared" si="37"/>
        <v>5</v>
      </c>
      <c r="AI190" s="49">
        <f t="shared" si="44"/>
        <v>35</v>
      </c>
      <c r="AJ190" s="50">
        <v>43593</v>
      </c>
    </row>
    <row r="191" spans="1:36" ht="14.25" thickBot="1" x14ac:dyDescent="0.2">
      <c r="A191" s="67"/>
      <c r="B191" s="33"/>
      <c r="C191" s="34"/>
      <c r="D191" s="34"/>
      <c r="E191" s="34"/>
      <c r="F191" s="30">
        <f t="shared" si="41"/>
        <v>0</v>
      </c>
      <c r="G191" s="33"/>
      <c r="H191" s="34"/>
      <c r="I191" s="34"/>
      <c r="J191" s="34"/>
      <c r="K191" s="30">
        <f t="shared" si="42"/>
        <v>0</v>
      </c>
      <c r="L191" s="33"/>
      <c r="M191" s="34"/>
      <c r="N191" s="34"/>
      <c r="O191" s="34"/>
      <c r="P191" s="30">
        <f t="shared" si="35"/>
        <v>0</v>
      </c>
      <c r="Q191" s="78">
        <f t="shared" si="43"/>
        <v>0</v>
      </c>
      <c r="S191" s="53" t="s">
        <v>47</v>
      </c>
      <c r="T191" s="33"/>
      <c r="U191" s="34"/>
      <c r="V191" s="34"/>
      <c r="W191" s="34">
        <v>3</v>
      </c>
      <c r="X191" s="30">
        <f t="shared" si="39"/>
        <v>3</v>
      </c>
      <c r="Y191" s="33">
        <v>5</v>
      </c>
      <c r="Z191" s="34"/>
      <c r="AA191" s="34"/>
      <c r="AB191" s="34"/>
      <c r="AC191" s="30">
        <f t="shared" si="40"/>
        <v>5</v>
      </c>
      <c r="AD191" s="33"/>
      <c r="AE191" s="34"/>
      <c r="AF191" s="34"/>
      <c r="AG191" s="34"/>
      <c r="AH191" s="30">
        <f t="shared" si="37"/>
        <v>0</v>
      </c>
      <c r="AI191" s="78">
        <f t="shared" si="44"/>
        <v>8</v>
      </c>
      <c r="AJ191" s="50">
        <v>43594</v>
      </c>
    </row>
    <row r="192" spans="1:36" ht="15" thickBot="1" x14ac:dyDescent="0.2">
      <c r="A192" s="9" t="s">
        <v>15</v>
      </c>
      <c r="B192" s="36">
        <f>SUM(B166:B191)</f>
        <v>0</v>
      </c>
      <c r="C192" s="37">
        <f>SUM(C166:C191)</f>
        <v>1</v>
      </c>
      <c r="D192" s="37">
        <f>SUM(D166:D191)</f>
        <v>0</v>
      </c>
      <c r="E192" s="38">
        <f>SUM(E166:E191)</f>
        <v>0</v>
      </c>
      <c r="F192" s="25">
        <f>SUM(B192:E192)</f>
        <v>1</v>
      </c>
      <c r="G192" s="36">
        <f>SUM(G166:G191)</f>
        <v>5</v>
      </c>
      <c r="H192" s="37">
        <f>SUM(H166:H191)</f>
        <v>3</v>
      </c>
      <c r="I192" s="37">
        <f>SUM(I166:I191)</f>
        <v>0</v>
      </c>
      <c r="J192" s="38">
        <f>SUM(J166:J191)</f>
        <v>-5</v>
      </c>
      <c r="K192" s="25">
        <f>SUM(G192:J192)</f>
        <v>3</v>
      </c>
      <c r="L192" s="36">
        <f>SUM(L166:L191)</f>
        <v>0</v>
      </c>
      <c r="M192" s="37">
        <f>SUM(M166:M191)</f>
        <v>5</v>
      </c>
      <c r="N192" s="37">
        <f>SUM(N166:N191)</f>
        <v>0</v>
      </c>
      <c r="O192" s="38">
        <f>SUM(O166:O191)</f>
        <v>5</v>
      </c>
      <c r="P192" s="25">
        <f>SUM(L192:O192)</f>
        <v>10</v>
      </c>
      <c r="Q192" s="79">
        <f t="shared" si="43"/>
        <v>14</v>
      </c>
      <c r="S192" s="9" t="s">
        <v>15</v>
      </c>
      <c r="T192" s="36">
        <f>SUM(T166:T191)</f>
        <v>10</v>
      </c>
      <c r="U192" s="37">
        <f>SUM(U166:U191)</f>
        <v>23</v>
      </c>
      <c r="V192" s="37">
        <f>SUM(V166:V191)</f>
        <v>10</v>
      </c>
      <c r="W192" s="38">
        <f>SUM(W166:W191)</f>
        <v>19</v>
      </c>
      <c r="X192" s="25">
        <f>SUM(T192:W192)</f>
        <v>62</v>
      </c>
      <c r="Y192" s="36">
        <f>SUM(Y166:Y191)</f>
        <v>45</v>
      </c>
      <c r="Z192" s="37">
        <f>SUM(Z166:Z191)</f>
        <v>63</v>
      </c>
      <c r="AA192" s="37">
        <f>SUM(AA166:AA191)</f>
        <v>41</v>
      </c>
      <c r="AB192" s="38">
        <f>SUM(AB166:AB191)</f>
        <v>50</v>
      </c>
      <c r="AC192" s="25">
        <f>SUM(Y192:AB192)</f>
        <v>199</v>
      </c>
      <c r="AD192" s="36">
        <f>SUM(AD166:AD191)</f>
        <v>49</v>
      </c>
      <c r="AE192" s="37">
        <f>SUM(AE166:AE191)</f>
        <v>68</v>
      </c>
      <c r="AF192" s="37">
        <f>SUM(AF166:AF191)</f>
        <v>46</v>
      </c>
      <c r="AG192" s="38">
        <f>SUM(AG166:AG191)</f>
        <v>39</v>
      </c>
      <c r="AH192" s="25">
        <f>SUM(AD192:AG192)</f>
        <v>202</v>
      </c>
      <c r="AI192" s="79">
        <f t="shared" si="44"/>
        <v>463</v>
      </c>
    </row>
    <row r="193" spans="1:36" ht="14.25" thickBot="1" x14ac:dyDescent="0.2">
      <c r="A193" s="39" t="s">
        <v>16</v>
      </c>
      <c r="B193" s="40">
        <f t="shared" ref="B193:K193" si="45">B165-B192</f>
        <v>0</v>
      </c>
      <c r="C193" s="41">
        <f t="shared" si="45"/>
        <v>0</v>
      </c>
      <c r="D193" s="41">
        <f t="shared" si="45"/>
        <v>0</v>
      </c>
      <c r="E193" s="42">
        <f t="shared" si="45"/>
        <v>3</v>
      </c>
      <c r="F193" s="42">
        <f t="shared" si="45"/>
        <v>3</v>
      </c>
      <c r="G193" s="40">
        <f t="shared" si="45"/>
        <v>1</v>
      </c>
      <c r="H193" s="41">
        <f t="shared" si="45"/>
        <v>1</v>
      </c>
      <c r="I193" s="41">
        <f t="shared" si="45"/>
        <v>5</v>
      </c>
      <c r="J193" s="42">
        <f t="shared" si="45"/>
        <v>7</v>
      </c>
      <c r="K193" s="42">
        <f t="shared" si="45"/>
        <v>14</v>
      </c>
      <c r="L193" s="40">
        <f>L165-L192</f>
        <v>3</v>
      </c>
      <c r="M193" s="41">
        <f>M165-M192</f>
        <v>2</v>
      </c>
      <c r="N193" s="41">
        <f>N165-N192</f>
        <v>4</v>
      </c>
      <c r="O193" s="42">
        <f>O165-O192</f>
        <v>1</v>
      </c>
      <c r="P193" s="42">
        <f>P165-P192</f>
        <v>10</v>
      </c>
      <c r="Q193" s="77">
        <f t="shared" si="43"/>
        <v>27</v>
      </c>
      <c r="S193" s="39" t="s">
        <v>16</v>
      </c>
      <c r="T193" s="40">
        <f t="shared" ref="T193:AH193" si="46">T165-T192</f>
        <v>67</v>
      </c>
      <c r="U193" s="41">
        <f t="shared" si="46"/>
        <v>7</v>
      </c>
      <c r="V193" s="41">
        <f t="shared" si="46"/>
        <v>37</v>
      </c>
      <c r="W193" s="42">
        <f t="shared" si="46"/>
        <v>38</v>
      </c>
      <c r="X193" s="42">
        <f t="shared" si="46"/>
        <v>149</v>
      </c>
      <c r="Y193" s="40">
        <f t="shared" si="46"/>
        <v>107</v>
      </c>
      <c r="Z193" s="41">
        <f t="shared" si="46"/>
        <v>67</v>
      </c>
      <c r="AA193" s="41">
        <f t="shared" si="46"/>
        <v>69</v>
      </c>
      <c r="AB193" s="42">
        <f t="shared" si="46"/>
        <v>63</v>
      </c>
      <c r="AC193" s="42">
        <f t="shared" si="46"/>
        <v>306</v>
      </c>
      <c r="AD193" s="40">
        <f t="shared" si="46"/>
        <v>101</v>
      </c>
      <c r="AE193" s="41">
        <f t="shared" si="46"/>
        <v>60</v>
      </c>
      <c r="AF193" s="41">
        <f t="shared" si="46"/>
        <v>64</v>
      </c>
      <c r="AG193" s="42">
        <f t="shared" si="46"/>
        <v>70</v>
      </c>
      <c r="AH193" s="42">
        <f t="shared" si="46"/>
        <v>295</v>
      </c>
      <c r="AI193" s="77">
        <f t="shared" si="44"/>
        <v>750</v>
      </c>
    </row>
    <row r="196" spans="1:36" ht="19.5" thickBot="1" x14ac:dyDescent="0.25">
      <c r="A196" s="1" t="s">
        <v>19</v>
      </c>
      <c r="S196" s="1" t="s">
        <v>37</v>
      </c>
    </row>
    <row r="197" spans="1:36" ht="14.25" thickBot="1" x14ac:dyDescent="0.2">
      <c r="A197" s="3" t="s">
        <v>0</v>
      </c>
      <c r="B197" s="371" t="s">
        <v>17</v>
      </c>
      <c r="C197" s="372"/>
      <c r="D197" s="372"/>
      <c r="E197" s="372"/>
      <c r="F197" s="373"/>
      <c r="G197" s="371" t="s">
        <v>18</v>
      </c>
      <c r="H197" s="372"/>
      <c r="I197" s="372"/>
      <c r="J197" s="372"/>
      <c r="K197" s="373"/>
      <c r="L197" s="371" t="s">
        <v>38</v>
      </c>
      <c r="M197" s="372"/>
      <c r="N197" s="372"/>
      <c r="O197" s="372"/>
      <c r="P197" s="373"/>
      <c r="Q197" s="360" t="s">
        <v>1</v>
      </c>
      <c r="S197" s="3" t="s">
        <v>0</v>
      </c>
      <c r="T197" s="371" t="s">
        <v>17</v>
      </c>
      <c r="U197" s="372"/>
      <c r="V197" s="372"/>
      <c r="W197" s="372"/>
      <c r="X197" s="373"/>
      <c r="Y197" s="371" t="s">
        <v>18</v>
      </c>
      <c r="Z197" s="372"/>
      <c r="AA197" s="372"/>
      <c r="AB197" s="372"/>
      <c r="AC197" s="373"/>
      <c r="AD197" s="371" t="s">
        <v>38</v>
      </c>
      <c r="AE197" s="372"/>
      <c r="AF197" s="372"/>
      <c r="AG197" s="372"/>
      <c r="AH197" s="373"/>
      <c r="AI197" s="360" t="s">
        <v>1</v>
      </c>
    </row>
    <row r="198" spans="1:36" ht="14.25" thickBot="1" x14ac:dyDescent="0.2">
      <c r="A198" s="5" t="s">
        <v>2</v>
      </c>
      <c r="B198" s="150" t="s">
        <v>3</v>
      </c>
      <c r="C198" s="151" t="s">
        <v>4</v>
      </c>
      <c r="D198" s="151" t="s">
        <v>5</v>
      </c>
      <c r="E198" s="152" t="s">
        <v>6</v>
      </c>
      <c r="F198" s="5" t="s">
        <v>7</v>
      </c>
      <c r="G198" s="6" t="s">
        <v>3</v>
      </c>
      <c r="H198" s="7" t="s">
        <v>4</v>
      </c>
      <c r="I198" s="7" t="s">
        <v>5</v>
      </c>
      <c r="J198" s="8" t="s">
        <v>6</v>
      </c>
      <c r="K198" s="5" t="s">
        <v>7</v>
      </c>
      <c r="L198" s="6" t="s">
        <v>3</v>
      </c>
      <c r="M198" s="7" t="s">
        <v>4</v>
      </c>
      <c r="N198" s="7" t="s">
        <v>5</v>
      </c>
      <c r="O198" s="8" t="s">
        <v>6</v>
      </c>
      <c r="P198" s="5" t="s">
        <v>7</v>
      </c>
      <c r="Q198" s="375"/>
      <c r="S198" s="5" t="s">
        <v>2</v>
      </c>
      <c r="T198" s="150" t="s">
        <v>3</v>
      </c>
      <c r="U198" s="151" t="s">
        <v>4</v>
      </c>
      <c r="V198" s="151" t="s">
        <v>5</v>
      </c>
      <c r="W198" s="152" t="s">
        <v>6</v>
      </c>
      <c r="X198" s="5" t="s">
        <v>7</v>
      </c>
      <c r="Y198" s="6" t="s">
        <v>3</v>
      </c>
      <c r="Z198" s="7" t="s">
        <v>4</v>
      </c>
      <c r="AA198" s="7" t="s">
        <v>5</v>
      </c>
      <c r="AB198" s="8" t="s">
        <v>6</v>
      </c>
      <c r="AC198" s="5" t="s">
        <v>7</v>
      </c>
      <c r="AD198" s="6" t="s">
        <v>3</v>
      </c>
      <c r="AE198" s="7" t="s">
        <v>4</v>
      </c>
      <c r="AF198" s="7" t="s">
        <v>5</v>
      </c>
      <c r="AG198" s="8" t="s">
        <v>6</v>
      </c>
      <c r="AH198" s="5" t="s">
        <v>7</v>
      </c>
      <c r="AI198" s="375"/>
    </row>
    <row r="199" spans="1:36" ht="14.25" x14ac:dyDescent="0.15">
      <c r="A199" s="68" t="s">
        <v>30</v>
      </c>
      <c r="B199" s="144">
        <f>B193</f>
        <v>0</v>
      </c>
      <c r="C199" s="154">
        <f>C193</f>
        <v>0</v>
      </c>
      <c r="D199" s="154">
        <f>D193</f>
        <v>0</v>
      </c>
      <c r="E199" s="155">
        <f>E193</f>
        <v>3</v>
      </c>
      <c r="F199" s="149">
        <f>SUM(B199:E199)</f>
        <v>3</v>
      </c>
      <c r="G199" s="144">
        <f>G193</f>
        <v>1</v>
      </c>
      <c r="H199" s="154">
        <f>H193</f>
        <v>1</v>
      </c>
      <c r="I199" s="154">
        <f>I193</f>
        <v>5</v>
      </c>
      <c r="J199" s="155">
        <f>J193</f>
        <v>7</v>
      </c>
      <c r="K199" s="149">
        <f>SUM(G199:J199)</f>
        <v>14</v>
      </c>
      <c r="L199" s="144">
        <f>L193</f>
        <v>3</v>
      </c>
      <c r="M199" s="154">
        <f>M193</f>
        <v>2</v>
      </c>
      <c r="N199" s="154">
        <f>N193</f>
        <v>4</v>
      </c>
      <c r="O199" s="155">
        <f>O193</f>
        <v>1</v>
      </c>
      <c r="P199" s="149">
        <f>SUM(L199:O199)</f>
        <v>10</v>
      </c>
      <c r="Q199" s="72">
        <f t="shared" ref="Q199:Q232" si="47">K199+P199+F199</f>
        <v>27</v>
      </c>
      <c r="S199" s="68" t="s">
        <v>30</v>
      </c>
      <c r="T199" s="144">
        <f>T193</f>
        <v>67</v>
      </c>
      <c r="U199" s="154">
        <f>U193</f>
        <v>7</v>
      </c>
      <c r="V199" s="154">
        <f>V193</f>
        <v>37</v>
      </c>
      <c r="W199" s="155">
        <f>W193</f>
        <v>38</v>
      </c>
      <c r="X199" s="149">
        <f t="shared" ref="X199:X204" si="48">SUM(T199:W199)</f>
        <v>149</v>
      </c>
      <c r="Y199" s="144">
        <f>Y193</f>
        <v>107</v>
      </c>
      <c r="Z199" s="154">
        <f>Z193</f>
        <v>67</v>
      </c>
      <c r="AA199" s="154">
        <f>AA193</f>
        <v>69</v>
      </c>
      <c r="AB199" s="155">
        <f>AB193</f>
        <v>63</v>
      </c>
      <c r="AC199" s="149">
        <f>SUM(Y199:AB199)</f>
        <v>306</v>
      </c>
      <c r="AD199" s="144">
        <f>AD193</f>
        <v>101</v>
      </c>
      <c r="AE199" s="154">
        <f>AE193</f>
        <v>60</v>
      </c>
      <c r="AF199" s="154">
        <f>AF193</f>
        <v>64</v>
      </c>
      <c r="AG199" s="155">
        <f>AG193</f>
        <v>70</v>
      </c>
      <c r="AH199" s="149">
        <f>SUM(AD199:AG199)</f>
        <v>295</v>
      </c>
      <c r="AI199" s="72">
        <f t="shared" ref="AI199:AI232" si="49">AC199+AH199+X199</f>
        <v>750</v>
      </c>
    </row>
    <row r="200" spans="1:36" x14ac:dyDescent="0.15">
      <c r="A200" s="148" t="s">
        <v>29</v>
      </c>
      <c r="B200" s="54"/>
      <c r="C200" s="153">
        <v>1</v>
      </c>
      <c r="D200" s="153"/>
      <c r="E200" s="156"/>
      <c r="F200" s="49">
        <f t="shared" ref="F200:F230" si="50">SUM(B200:E200)</f>
        <v>1</v>
      </c>
      <c r="G200" s="54"/>
      <c r="H200" s="55"/>
      <c r="I200" s="55">
        <v>1</v>
      </c>
      <c r="J200" s="55">
        <v>1</v>
      </c>
      <c r="K200" s="49">
        <f t="shared" ref="K200:K230" si="51">SUM(G200:J200)</f>
        <v>2</v>
      </c>
      <c r="L200" s="54"/>
      <c r="M200" s="55">
        <v>2</v>
      </c>
      <c r="N200" s="55">
        <v>2</v>
      </c>
      <c r="O200" s="55"/>
      <c r="P200" s="49">
        <f t="shared" ref="P200:P230" si="52">SUM(L200:O200)</f>
        <v>4</v>
      </c>
      <c r="Q200" s="72">
        <f t="shared" si="47"/>
        <v>7</v>
      </c>
      <c r="R200" s="14">
        <v>43593</v>
      </c>
      <c r="S200" s="148" t="s">
        <v>39</v>
      </c>
      <c r="T200" s="54"/>
      <c r="U200" s="153">
        <v>1</v>
      </c>
      <c r="V200" s="153"/>
      <c r="W200" s="156"/>
      <c r="X200" s="49">
        <f t="shared" si="48"/>
        <v>1</v>
      </c>
      <c r="Y200" s="54"/>
      <c r="Z200" s="55"/>
      <c r="AA200" s="55"/>
      <c r="AB200" s="55"/>
      <c r="AC200" s="49">
        <f t="shared" ref="AC200:AC230" si="53">SUM(Y200:AB200)</f>
        <v>0</v>
      </c>
      <c r="AD200" s="54"/>
      <c r="AE200" s="55"/>
      <c r="AF200" s="55"/>
      <c r="AG200" s="55"/>
      <c r="AH200" s="49">
        <f t="shared" ref="AH200:AH230" si="54">SUM(AD200:AG200)</f>
        <v>0</v>
      </c>
      <c r="AI200" s="49">
        <f t="shared" si="49"/>
        <v>1</v>
      </c>
      <c r="AJ200" s="50">
        <v>43617</v>
      </c>
    </row>
    <row r="201" spans="1:36" x14ac:dyDescent="0.15">
      <c r="A201" s="148" t="s">
        <v>40</v>
      </c>
      <c r="B201" s="54"/>
      <c r="C201" s="153"/>
      <c r="D201" s="153"/>
      <c r="E201" s="156"/>
      <c r="F201" s="49">
        <f t="shared" si="50"/>
        <v>0</v>
      </c>
      <c r="G201" s="54">
        <v>2</v>
      </c>
      <c r="H201" s="55">
        <v>2</v>
      </c>
      <c r="I201" s="55"/>
      <c r="J201" s="55"/>
      <c r="K201" s="49">
        <f t="shared" si="51"/>
        <v>4</v>
      </c>
      <c r="L201" s="54"/>
      <c r="M201" s="55"/>
      <c r="N201" s="55"/>
      <c r="O201" s="55">
        <v>3</v>
      </c>
      <c r="P201" s="49">
        <f t="shared" si="52"/>
        <v>3</v>
      </c>
      <c r="Q201" s="49">
        <f t="shared" si="47"/>
        <v>7</v>
      </c>
      <c r="R201" s="50">
        <v>43600</v>
      </c>
      <c r="S201" s="148" t="s">
        <v>40</v>
      </c>
      <c r="T201" s="54"/>
      <c r="U201" s="153">
        <v>1</v>
      </c>
      <c r="V201" s="153"/>
      <c r="W201" s="156"/>
      <c r="X201" s="49">
        <f t="shared" si="48"/>
        <v>1</v>
      </c>
      <c r="Y201" s="54"/>
      <c r="Z201" s="55"/>
      <c r="AA201" s="55"/>
      <c r="AB201" s="55"/>
      <c r="AC201" s="49">
        <f t="shared" si="53"/>
        <v>0</v>
      </c>
      <c r="AD201" s="54"/>
      <c r="AE201" s="55"/>
      <c r="AF201" s="55"/>
      <c r="AG201" s="55"/>
      <c r="AH201" s="49">
        <f t="shared" si="54"/>
        <v>0</v>
      </c>
      <c r="AI201" s="49">
        <f t="shared" si="49"/>
        <v>1</v>
      </c>
      <c r="AJ201" s="50">
        <v>43622</v>
      </c>
    </row>
    <row r="202" spans="1:36" x14ac:dyDescent="0.15">
      <c r="A202" s="148" t="s">
        <v>57</v>
      </c>
      <c r="B202" s="54"/>
      <c r="C202" s="153"/>
      <c r="D202" s="153"/>
      <c r="E202" s="156"/>
      <c r="F202" s="49">
        <f t="shared" si="50"/>
        <v>0</v>
      </c>
      <c r="G202" s="54">
        <v>1</v>
      </c>
      <c r="H202" s="55"/>
      <c r="I202" s="55">
        <v>1</v>
      </c>
      <c r="J202" s="55"/>
      <c r="K202" s="49">
        <f t="shared" si="51"/>
        <v>2</v>
      </c>
      <c r="L202" s="54"/>
      <c r="M202" s="55">
        <v>1</v>
      </c>
      <c r="N202" s="55"/>
      <c r="O202" s="55">
        <v>1</v>
      </c>
      <c r="P202" s="49">
        <f t="shared" si="52"/>
        <v>2</v>
      </c>
      <c r="Q202" s="72">
        <f t="shared" si="47"/>
        <v>4</v>
      </c>
      <c r="R202" s="14">
        <v>43606</v>
      </c>
      <c r="S202" s="148" t="s">
        <v>41</v>
      </c>
      <c r="T202" s="54"/>
      <c r="U202" s="153"/>
      <c r="V202" s="153"/>
      <c r="W202" s="156"/>
      <c r="X202" s="49">
        <f t="shared" si="48"/>
        <v>0</v>
      </c>
      <c r="Y202" s="54"/>
      <c r="Z202" s="55"/>
      <c r="AA202" s="55"/>
      <c r="AB202" s="55"/>
      <c r="AC202" s="49">
        <f t="shared" si="53"/>
        <v>0</v>
      </c>
      <c r="AD202" s="54"/>
      <c r="AE202" s="55"/>
      <c r="AF202" s="55"/>
      <c r="AG202" s="55"/>
      <c r="AH202" s="49">
        <f t="shared" si="54"/>
        <v>0</v>
      </c>
      <c r="AI202" s="72">
        <f t="shared" si="49"/>
        <v>0</v>
      </c>
    </row>
    <row r="203" spans="1:36" ht="14.25" thickBot="1" x14ac:dyDescent="0.2">
      <c r="A203" s="148" t="s">
        <v>29</v>
      </c>
      <c r="B203" s="157">
        <v>1</v>
      </c>
      <c r="C203" s="158"/>
      <c r="D203" s="158"/>
      <c r="E203" s="159"/>
      <c r="F203" s="49">
        <f t="shared" si="50"/>
        <v>1</v>
      </c>
      <c r="G203" s="54"/>
      <c r="H203" s="55"/>
      <c r="I203" s="55">
        <v>1</v>
      </c>
      <c r="J203" s="55"/>
      <c r="K203" s="49">
        <f t="shared" si="51"/>
        <v>1</v>
      </c>
      <c r="L203" s="54">
        <v>1</v>
      </c>
      <c r="M203" s="55"/>
      <c r="N203" s="55"/>
      <c r="O203" s="55"/>
      <c r="P203" s="49">
        <f t="shared" si="52"/>
        <v>1</v>
      </c>
      <c r="Q203" s="76">
        <f t="shared" si="47"/>
        <v>3</v>
      </c>
      <c r="R203" s="14">
        <v>43606</v>
      </c>
      <c r="S203" s="148" t="s">
        <v>42</v>
      </c>
      <c r="T203" s="157"/>
      <c r="U203" s="158"/>
      <c r="V203" s="158"/>
      <c r="W203" s="159"/>
      <c r="X203" s="49">
        <f t="shared" si="48"/>
        <v>0</v>
      </c>
      <c r="Y203" s="54"/>
      <c r="Z203" s="55"/>
      <c r="AA203" s="55"/>
      <c r="AB203" s="55"/>
      <c r="AC203" s="49">
        <f t="shared" si="53"/>
        <v>0</v>
      </c>
      <c r="AD203" s="54"/>
      <c r="AE203" s="55"/>
      <c r="AF203" s="55"/>
      <c r="AG203" s="55"/>
      <c r="AH203" s="49">
        <f t="shared" si="54"/>
        <v>0</v>
      </c>
      <c r="AI203" s="76">
        <f t="shared" si="49"/>
        <v>0</v>
      </c>
    </row>
    <row r="204" spans="1:36" ht="15" thickBot="1" x14ac:dyDescent="0.2">
      <c r="A204" s="4" t="s">
        <v>14</v>
      </c>
      <c r="B204" s="23">
        <f>SUM(B199:B203)</f>
        <v>1</v>
      </c>
      <c r="C204" s="24">
        <f>SUM(C199:C203)</f>
        <v>1</v>
      </c>
      <c r="D204" s="24">
        <f>SUM(D199:D203)</f>
        <v>0</v>
      </c>
      <c r="E204" s="24">
        <f>SUM(E199:E203)</f>
        <v>3</v>
      </c>
      <c r="F204" s="25">
        <f t="shared" si="50"/>
        <v>5</v>
      </c>
      <c r="G204" s="23">
        <f>SUM(G199:G203)</f>
        <v>4</v>
      </c>
      <c r="H204" s="24">
        <f>SUM(H199:H203)</f>
        <v>3</v>
      </c>
      <c r="I204" s="24">
        <f>SUM(I199:I203)</f>
        <v>8</v>
      </c>
      <c r="J204" s="24">
        <f>SUM(J199:J203)</f>
        <v>8</v>
      </c>
      <c r="K204" s="25">
        <f t="shared" si="51"/>
        <v>23</v>
      </c>
      <c r="L204" s="23">
        <f>SUM(L199:L203)</f>
        <v>4</v>
      </c>
      <c r="M204" s="24">
        <f>SUM(M199:M203)</f>
        <v>5</v>
      </c>
      <c r="N204" s="24">
        <f>SUM(N199:N203)</f>
        <v>6</v>
      </c>
      <c r="O204" s="24">
        <f>SUM(O199:O203)</f>
        <v>5</v>
      </c>
      <c r="P204" s="25">
        <f t="shared" si="52"/>
        <v>20</v>
      </c>
      <c r="Q204" s="77">
        <f t="shared" si="47"/>
        <v>48</v>
      </c>
      <c r="S204" s="4" t="s">
        <v>14</v>
      </c>
      <c r="T204" s="23">
        <f>SUM(T199:T203)</f>
        <v>67</v>
      </c>
      <c r="U204" s="24">
        <f>SUM(U199:U203)</f>
        <v>9</v>
      </c>
      <c r="V204" s="24">
        <f>SUM(V199:V203)</f>
        <v>37</v>
      </c>
      <c r="W204" s="24">
        <f>SUM(W199:W203)</f>
        <v>38</v>
      </c>
      <c r="X204" s="25">
        <f t="shared" si="48"/>
        <v>151</v>
      </c>
      <c r="Y204" s="23">
        <f>SUM(Y199:Y203)</f>
        <v>107</v>
      </c>
      <c r="Z204" s="24">
        <f>SUM(Z199:Z203)</f>
        <v>67</v>
      </c>
      <c r="AA204" s="24">
        <f>SUM(AA199:AA203)</f>
        <v>69</v>
      </c>
      <c r="AB204" s="24">
        <f>SUM(AB199:AB203)</f>
        <v>63</v>
      </c>
      <c r="AC204" s="25">
        <f t="shared" si="53"/>
        <v>306</v>
      </c>
      <c r="AD204" s="23">
        <f>SUM(AD199:AD203)</f>
        <v>101</v>
      </c>
      <c r="AE204" s="24">
        <f>SUM(AE199:AE203)</f>
        <v>60</v>
      </c>
      <c r="AF204" s="24">
        <f>SUM(AF199:AF203)</f>
        <v>64</v>
      </c>
      <c r="AG204" s="24">
        <f>SUM(AG199:AG203)</f>
        <v>70</v>
      </c>
      <c r="AH204" s="25">
        <f t="shared" si="54"/>
        <v>295</v>
      </c>
      <c r="AI204" s="77">
        <f t="shared" si="49"/>
        <v>752</v>
      </c>
    </row>
    <row r="205" spans="1:36" x14ac:dyDescent="0.15">
      <c r="A205" s="53" t="s">
        <v>54</v>
      </c>
      <c r="B205" s="46"/>
      <c r="C205" s="47"/>
      <c r="D205" s="47"/>
      <c r="E205" s="47"/>
      <c r="F205" s="48">
        <f t="shared" si="50"/>
        <v>0</v>
      </c>
      <c r="G205" s="46"/>
      <c r="H205" s="47"/>
      <c r="I205" s="47"/>
      <c r="J205" s="47"/>
      <c r="K205" s="48">
        <f t="shared" si="51"/>
        <v>0</v>
      </c>
      <c r="L205" s="46"/>
      <c r="M205" s="47"/>
      <c r="N205" s="47"/>
      <c r="O205" s="47">
        <v>1</v>
      </c>
      <c r="P205" s="48">
        <f t="shared" si="52"/>
        <v>1</v>
      </c>
      <c r="Q205" s="49">
        <f t="shared" si="47"/>
        <v>1</v>
      </c>
      <c r="R205" s="50">
        <v>43599</v>
      </c>
      <c r="S205" s="53" t="s">
        <v>47</v>
      </c>
      <c r="T205" s="46"/>
      <c r="U205" s="47"/>
      <c r="V205" s="47"/>
      <c r="W205" s="47"/>
      <c r="X205" s="48">
        <f t="shared" ref="X205:X230" si="55">SUM(T205:W205)</f>
        <v>0</v>
      </c>
      <c r="Y205" s="46"/>
      <c r="Z205" s="47"/>
      <c r="AA205" s="47"/>
      <c r="AB205" s="47"/>
      <c r="AC205" s="48">
        <f t="shared" si="53"/>
        <v>0</v>
      </c>
      <c r="AD205" s="46"/>
      <c r="AE205" s="47">
        <v>10</v>
      </c>
      <c r="AF205" s="47"/>
      <c r="AG205" s="47"/>
      <c r="AH205" s="48">
        <f t="shared" si="54"/>
        <v>10</v>
      </c>
      <c r="AI205" s="49">
        <f t="shared" si="49"/>
        <v>10</v>
      </c>
      <c r="AJ205" s="50">
        <v>43593</v>
      </c>
    </row>
    <row r="206" spans="1:36" x14ac:dyDescent="0.15">
      <c r="A206" s="53" t="s">
        <v>56</v>
      </c>
      <c r="B206" s="54"/>
      <c r="C206" s="55"/>
      <c r="D206" s="55"/>
      <c r="E206" s="55"/>
      <c r="F206" s="56">
        <f t="shared" si="50"/>
        <v>0</v>
      </c>
      <c r="G206" s="54"/>
      <c r="H206" s="55"/>
      <c r="I206" s="55"/>
      <c r="J206" s="55"/>
      <c r="K206" s="56">
        <f t="shared" si="51"/>
        <v>0</v>
      </c>
      <c r="L206" s="54">
        <v>1</v>
      </c>
      <c r="M206" s="55"/>
      <c r="N206" s="55"/>
      <c r="O206" s="55"/>
      <c r="P206" s="56">
        <f t="shared" si="52"/>
        <v>1</v>
      </c>
      <c r="Q206" s="49">
        <f t="shared" si="47"/>
        <v>1</v>
      </c>
      <c r="R206" s="50">
        <v>43599</v>
      </c>
      <c r="S206" s="53" t="s">
        <v>52</v>
      </c>
      <c r="T206" s="54"/>
      <c r="U206" s="55"/>
      <c r="V206" s="55"/>
      <c r="W206" s="55"/>
      <c r="X206" s="56">
        <f t="shared" si="55"/>
        <v>0</v>
      </c>
      <c r="Y206" s="54">
        <v>20</v>
      </c>
      <c r="Z206" s="55"/>
      <c r="AA206" s="55"/>
      <c r="AB206" s="55"/>
      <c r="AC206" s="56">
        <f t="shared" si="53"/>
        <v>20</v>
      </c>
      <c r="AD206" s="54">
        <v>10</v>
      </c>
      <c r="AE206" s="55"/>
      <c r="AF206" s="55"/>
      <c r="AG206" s="55"/>
      <c r="AH206" s="56">
        <f t="shared" si="54"/>
        <v>10</v>
      </c>
      <c r="AI206" s="49">
        <f t="shared" si="49"/>
        <v>30</v>
      </c>
      <c r="AJ206" s="50">
        <v>43593</v>
      </c>
    </row>
    <row r="207" spans="1:36" x14ac:dyDescent="0.15">
      <c r="A207" s="53" t="s">
        <v>51</v>
      </c>
      <c r="B207" s="54"/>
      <c r="C207" s="55"/>
      <c r="D207" s="55"/>
      <c r="E207" s="55"/>
      <c r="F207" s="56">
        <f t="shared" si="50"/>
        <v>0</v>
      </c>
      <c r="G207" s="54"/>
      <c r="H207" s="55">
        <v>1</v>
      </c>
      <c r="I207" s="55"/>
      <c r="J207" s="55"/>
      <c r="K207" s="56">
        <f t="shared" si="51"/>
        <v>1</v>
      </c>
      <c r="L207" s="54">
        <v>1</v>
      </c>
      <c r="M207" s="55"/>
      <c r="N207" s="55"/>
      <c r="O207" s="55"/>
      <c r="P207" s="56">
        <f t="shared" si="52"/>
        <v>1</v>
      </c>
      <c r="Q207" s="49">
        <f t="shared" si="47"/>
        <v>2</v>
      </c>
      <c r="R207" s="14">
        <v>43601</v>
      </c>
      <c r="S207" s="53" t="s">
        <v>52</v>
      </c>
      <c r="T207" s="54"/>
      <c r="U207" s="55"/>
      <c r="V207" s="55"/>
      <c r="W207" s="55"/>
      <c r="X207" s="56">
        <f t="shared" si="55"/>
        <v>0</v>
      </c>
      <c r="Y207" s="54"/>
      <c r="Z207" s="55">
        <v>20</v>
      </c>
      <c r="AA207" s="55"/>
      <c r="AB207" s="55"/>
      <c r="AC207" s="56">
        <f t="shared" si="53"/>
        <v>20</v>
      </c>
      <c r="AD207" s="54"/>
      <c r="AE207" s="55"/>
      <c r="AF207" s="55"/>
      <c r="AG207" s="55"/>
      <c r="AH207" s="56">
        <f t="shared" si="54"/>
        <v>0</v>
      </c>
      <c r="AI207" s="49">
        <f t="shared" si="49"/>
        <v>20</v>
      </c>
      <c r="AJ207" s="50">
        <v>43595</v>
      </c>
    </row>
    <row r="208" spans="1:36" x14ac:dyDescent="0.15">
      <c r="A208" s="53" t="s">
        <v>51</v>
      </c>
      <c r="B208" s="54"/>
      <c r="C208" s="55"/>
      <c r="D208" s="55"/>
      <c r="E208" s="55"/>
      <c r="F208" s="56">
        <f t="shared" si="50"/>
        <v>0</v>
      </c>
      <c r="G208" s="54">
        <v>1</v>
      </c>
      <c r="H208" s="55"/>
      <c r="I208" s="55"/>
      <c r="J208" s="55"/>
      <c r="K208" s="56">
        <f t="shared" si="51"/>
        <v>1</v>
      </c>
      <c r="L208" s="54"/>
      <c r="M208" s="55"/>
      <c r="N208" s="55"/>
      <c r="O208" s="55"/>
      <c r="P208" s="56">
        <f t="shared" si="52"/>
        <v>0</v>
      </c>
      <c r="Q208" s="49">
        <f t="shared" si="47"/>
        <v>1</v>
      </c>
      <c r="R208" s="50">
        <v>43603</v>
      </c>
      <c r="S208" s="53" t="s">
        <v>52</v>
      </c>
      <c r="T208" s="54">
        <v>5</v>
      </c>
      <c r="U208" s="55">
        <v>5</v>
      </c>
      <c r="V208" s="55">
        <v>3</v>
      </c>
      <c r="W208" s="55"/>
      <c r="X208" s="56">
        <f>SUM(T208:W208)</f>
        <v>13</v>
      </c>
      <c r="Y208" s="54"/>
      <c r="Z208" s="55"/>
      <c r="AA208" s="55"/>
      <c r="AB208" s="55">
        <v>10</v>
      </c>
      <c r="AC208" s="56">
        <f>SUM(Y208:AB208)</f>
        <v>10</v>
      </c>
      <c r="AD208" s="54"/>
      <c r="AE208" s="55"/>
      <c r="AF208" s="55"/>
      <c r="AG208" s="55"/>
      <c r="AH208" s="56">
        <f>SUM(AD208:AG208)</f>
        <v>0</v>
      </c>
      <c r="AI208" s="49">
        <f>AC208+AH208+X208</f>
        <v>23</v>
      </c>
      <c r="AJ208" s="50">
        <v>43598</v>
      </c>
    </row>
    <row r="209" spans="1:37" x14ac:dyDescent="0.15">
      <c r="A209" s="53" t="s">
        <v>54</v>
      </c>
      <c r="B209" s="54"/>
      <c r="C209" s="55"/>
      <c r="D209" s="55"/>
      <c r="E209" s="55"/>
      <c r="F209" s="56">
        <f t="shared" si="50"/>
        <v>0</v>
      </c>
      <c r="G209" s="54"/>
      <c r="H209" s="55"/>
      <c r="I209" s="55"/>
      <c r="J209" s="55"/>
      <c r="K209" s="56">
        <f t="shared" si="51"/>
        <v>0</v>
      </c>
      <c r="L209" s="54"/>
      <c r="M209" s="55">
        <v>1</v>
      </c>
      <c r="N209" s="55"/>
      <c r="O209" s="55"/>
      <c r="P209" s="56">
        <f t="shared" si="52"/>
        <v>1</v>
      </c>
      <c r="Q209" s="49">
        <f t="shared" si="47"/>
        <v>1</v>
      </c>
      <c r="R209" s="50">
        <v>43606</v>
      </c>
      <c r="S209" s="53" t="s">
        <v>52</v>
      </c>
      <c r="T209" s="54"/>
      <c r="U209" s="55"/>
      <c r="V209" s="55"/>
      <c r="W209" s="55"/>
      <c r="X209" s="56">
        <f>SUM(T209:W209)</f>
        <v>0</v>
      </c>
      <c r="Y209" s="54"/>
      <c r="Z209" s="55"/>
      <c r="AA209" s="55">
        <v>20</v>
      </c>
      <c r="AB209" s="55"/>
      <c r="AC209" s="56">
        <f>SUM(Y209:AB209)</f>
        <v>20</v>
      </c>
      <c r="AD209" s="54"/>
      <c r="AE209" s="55">
        <v>10</v>
      </c>
      <c r="AF209" s="55"/>
      <c r="AG209" s="55"/>
      <c r="AH209" s="56">
        <f>SUM(AD209:AG209)</f>
        <v>10</v>
      </c>
      <c r="AI209" s="49">
        <f>AC209+AH209+X209</f>
        <v>30</v>
      </c>
      <c r="AJ209" s="50">
        <v>43598</v>
      </c>
    </row>
    <row r="210" spans="1:37" x14ac:dyDescent="0.15">
      <c r="A210" s="53" t="s">
        <v>51</v>
      </c>
      <c r="B210" s="54"/>
      <c r="C210" s="55"/>
      <c r="D210" s="55"/>
      <c r="E210" s="55"/>
      <c r="F210" s="56">
        <f t="shared" si="50"/>
        <v>0</v>
      </c>
      <c r="G210" s="54">
        <v>1</v>
      </c>
      <c r="H210" s="55"/>
      <c r="I210" s="55"/>
      <c r="J210" s="55"/>
      <c r="K210" s="56">
        <f t="shared" si="51"/>
        <v>1</v>
      </c>
      <c r="L210" s="54"/>
      <c r="M210" s="55"/>
      <c r="N210" s="55"/>
      <c r="O210" s="55"/>
      <c r="P210" s="56">
        <f t="shared" si="52"/>
        <v>0</v>
      </c>
      <c r="Q210" s="49">
        <f t="shared" si="47"/>
        <v>1</v>
      </c>
      <c r="R210" s="14">
        <v>43607</v>
      </c>
      <c r="S210" s="53" t="s">
        <v>55</v>
      </c>
      <c r="T210" s="54"/>
      <c r="U210" s="55"/>
      <c r="V210" s="55"/>
      <c r="W210" s="55"/>
      <c r="X210" s="56">
        <f>SUM(T210:W210)</f>
        <v>0</v>
      </c>
      <c r="Y210" s="54"/>
      <c r="Z210" s="55">
        <v>10</v>
      </c>
      <c r="AA210" s="55"/>
      <c r="AB210" s="55"/>
      <c r="AC210" s="56">
        <f>SUM(Y210:AB210)</f>
        <v>10</v>
      </c>
      <c r="AD210" s="54"/>
      <c r="AE210" s="55"/>
      <c r="AF210" s="55"/>
      <c r="AG210" s="55"/>
      <c r="AH210" s="56">
        <f>SUM(AD210:AG210)</f>
        <v>0</v>
      </c>
      <c r="AI210" s="49">
        <f>AC210+AH210+X210</f>
        <v>10</v>
      </c>
      <c r="AJ210" s="50">
        <v>43599</v>
      </c>
    </row>
    <row r="211" spans="1:37" x14ac:dyDescent="0.15">
      <c r="A211" s="53" t="s">
        <v>51</v>
      </c>
      <c r="B211" s="54"/>
      <c r="C211" s="55"/>
      <c r="D211" s="55"/>
      <c r="E211" s="55"/>
      <c r="F211" s="56">
        <f t="shared" si="50"/>
        <v>0</v>
      </c>
      <c r="G211" s="54">
        <v>1</v>
      </c>
      <c r="H211" s="55"/>
      <c r="I211" s="55"/>
      <c r="J211" s="55"/>
      <c r="K211" s="56">
        <f t="shared" si="51"/>
        <v>1</v>
      </c>
      <c r="L211" s="54"/>
      <c r="M211" s="55"/>
      <c r="N211" s="55"/>
      <c r="O211" s="55"/>
      <c r="P211" s="56">
        <f t="shared" si="52"/>
        <v>0</v>
      </c>
      <c r="Q211" s="49">
        <f t="shared" si="47"/>
        <v>1</v>
      </c>
      <c r="R211" s="14">
        <v>43612</v>
      </c>
      <c r="S211" s="53" t="s">
        <v>21</v>
      </c>
      <c r="T211" s="54"/>
      <c r="U211" s="55"/>
      <c r="V211" s="55"/>
      <c r="W211" s="55"/>
      <c r="X211" s="56">
        <f t="shared" si="55"/>
        <v>0</v>
      </c>
      <c r="Y211" s="54">
        <v>2</v>
      </c>
      <c r="Z211" s="55">
        <v>2</v>
      </c>
      <c r="AA211" s="55"/>
      <c r="AB211" s="55"/>
      <c r="AC211" s="56">
        <f t="shared" si="53"/>
        <v>4</v>
      </c>
      <c r="AD211" s="54"/>
      <c r="AE211" s="55"/>
      <c r="AF211" s="55"/>
      <c r="AG211" s="55">
        <v>3</v>
      </c>
      <c r="AH211" s="56">
        <f t="shared" si="54"/>
        <v>3</v>
      </c>
      <c r="AI211" s="49">
        <f t="shared" si="49"/>
        <v>7</v>
      </c>
      <c r="AJ211" s="50">
        <v>43600</v>
      </c>
    </row>
    <row r="212" spans="1:37" x14ac:dyDescent="0.15">
      <c r="A212" s="148" t="s">
        <v>29</v>
      </c>
      <c r="B212" s="54"/>
      <c r="C212" s="55">
        <v>-1</v>
      </c>
      <c r="D212" s="55"/>
      <c r="E212" s="55"/>
      <c r="F212" s="56">
        <f t="shared" si="50"/>
        <v>-1</v>
      </c>
      <c r="G212" s="54"/>
      <c r="H212" s="55"/>
      <c r="I212" s="55">
        <v>-1</v>
      </c>
      <c r="J212" s="55"/>
      <c r="K212" s="56">
        <f t="shared" si="51"/>
        <v>-1</v>
      </c>
      <c r="L212" s="54"/>
      <c r="M212" s="55"/>
      <c r="N212" s="55"/>
      <c r="O212" s="55"/>
      <c r="P212" s="56">
        <f t="shared" si="52"/>
        <v>0</v>
      </c>
      <c r="Q212" s="49">
        <f t="shared" si="47"/>
        <v>-2</v>
      </c>
      <c r="R212" s="14">
        <v>43613</v>
      </c>
      <c r="S212" s="53" t="s">
        <v>52</v>
      </c>
      <c r="T212" s="54"/>
      <c r="U212" s="55"/>
      <c r="V212" s="55"/>
      <c r="W212" s="55"/>
      <c r="X212" s="56">
        <f t="shared" si="55"/>
        <v>0</v>
      </c>
      <c r="Y212" s="54"/>
      <c r="Z212" s="55"/>
      <c r="AA212" s="55"/>
      <c r="AB212" s="55"/>
      <c r="AC212" s="56">
        <f t="shared" si="53"/>
        <v>0</v>
      </c>
      <c r="AD212" s="54"/>
      <c r="AE212" s="55"/>
      <c r="AF212" s="55"/>
      <c r="AG212" s="55">
        <v>10</v>
      </c>
      <c r="AH212" s="56">
        <f t="shared" si="54"/>
        <v>10</v>
      </c>
      <c r="AI212" s="49">
        <f t="shared" si="49"/>
        <v>10</v>
      </c>
      <c r="AJ212" s="50">
        <v>43606</v>
      </c>
    </row>
    <row r="213" spans="1:37" x14ac:dyDescent="0.15">
      <c r="A213" s="53" t="s">
        <v>58</v>
      </c>
      <c r="B213" s="17"/>
      <c r="C213" s="18">
        <v>1</v>
      </c>
      <c r="D213" s="18"/>
      <c r="E213" s="18"/>
      <c r="F213" s="30">
        <f t="shared" si="50"/>
        <v>1</v>
      </c>
      <c r="G213" s="17"/>
      <c r="H213" s="18"/>
      <c r="I213" s="18"/>
      <c r="J213" s="18"/>
      <c r="K213" s="30">
        <f t="shared" si="51"/>
        <v>0</v>
      </c>
      <c r="L213" s="17"/>
      <c r="M213" s="18"/>
      <c r="N213" s="18"/>
      <c r="O213" s="18"/>
      <c r="P213" s="30">
        <f t="shared" si="52"/>
        <v>0</v>
      </c>
      <c r="Q213" s="49">
        <f t="shared" si="47"/>
        <v>1</v>
      </c>
      <c r="R213" s="14">
        <v>43617</v>
      </c>
      <c r="S213" s="53" t="s">
        <v>52</v>
      </c>
      <c r="T213" s="17"/>
      <c r="U213" s="18">
        <v>2</v>
      </c>
      <c r="V213" s="18"/>
      <c r="W213" s="18"/>
      <c r="X213" s="30">
        <f t="shared" si="55"/>
        <v>2</v>
      </c>
      <c r="Y213" s="17"/>
      <c r="Z213" s="18"/>
      <c r="AA213" s="18"/>
      <c r="AB213" s="18"/>
      <c r="AC213" s="30">
        <f t="shared" si="53"/>
        <v>0</v>
      </c>
      <c r="AD213" s="17"/>
      <c r="AE213" s="18"/>
      <c r="AF213" s="18"/>
      <c r="AG213" s="18"/>
      <c r="AH213" s="30">
        <f t="shared" si="54"/>
        <v>0</v>
      </c>
      <c r="AI213" s="49">
        <f t="shared" si="49"/>
        <v>2</v>
      </c>
      <c r="AJ213" s="50">
        <v>43612</v>
      </c>
    </row>
    <row r="214" spans="1:37" x14ac:dyDescent="0.15">
      <c r="A214" s="53" t="s">
        <v>28</v>
      </c>
      <c r="B214" s="54"/>
      <c r="C214" s="55"/>
      <c r="D214" s="55">
        <v>-2</v>
      </c>
      <c r="E214" s="55"/>
      <c r="F214" s="56">
        <f t="shared" si="50"/>
        <v>-2</v>
      </c>
      <c r="G214" s="54"/>
      <c r="H214" s="55"/>
      <c r="I214" s="55"/>
      <c r="J214" s="55"/>
      <c r="K214" s="56">
        <f t="shared" si="51"/>
        <v>0</v>
      </c>
      <c r="L214" s="54"/>
      <c r="M214" s="55"/>
      <c r="N214" s="55"/>
      <c r="O214" s="55"/>
      <c r="P214" s="56">
        <f t="shared" si="52"/>
        <v>0</v>
      </c>
      <c r="Q214" s="49">
        <f t="shared" si="47"/>
        <v>-2</v>
      </c>
      <c r="R214" s="50">
        <v>43619</v>
      </c>
      <c r="S214" s="53" t="s">
        <v>55</v>
      </c>
      <c r="T214" s="54"/>
      <c r="U214" s="55"/>
      <c r="V214" s="55"/>
      <c r="W214" s="55">
        <v>3</v>
      </c>
      <c r="X214" s="56">
        <f t="shared" si="55"/>
        <v>3</v>
      </c>
      <c r="Y214" s="54"/>
      <c r="Z214" s="55"/>
      <c r="AA214" s="55"/>
      <c r="AB214" s="55"/>
      <c r="AC214" s="56">
        <f t="shared" si="53"/>
        <v>0</v>
      </c>
      <c r="AD214" s="54"/>
      <c r="AE214" s="55"/>
      <c r="AF214" s="55"/>
      <c r="AG214" s="55"/>
      <c r="AH214" s="56">
        <f t="shared" si="54"/>
        <v>0</v>
      </c>
      <c r="AI214" s="49">
        <f t="shared" si="49"/>
        <v>3</v>
      </c>
      <c r="AJ214" s="50">
        <v>43612</v>
      </c>
    </row>
    <row r="215" spans="1:37" x14ac:dyDescent="0.15">
      <c r="A215" s="53" t="s">
        <v>51</v>
      </c>
      <c r="B215" s="54"/>
      <c r="C215" s="55"/>
      <c r="D215" s="55">
        <v>1</v>
      </c>
      <c r="E215" s="55"/>
      <c r="F215" s="56">
        <f t="shared" si="50"/>
        <v>1</v>
      </c>
      <c r="G215" s="54"/>
      <c r="H215" s="55"/>
      <c r="I215" s="55">
        <v>1</v>
      </c>
      <c r="J215" s="55"/>
      <c r="K215" s="56">
        <f t="shared" si="51"/>
        <v>1</v>
      </c>
      <c r="L215" s="54"/>
      <c r="M215" s="55"/>
      <c r="N215" s="55"/>
      <c r="O215" s="55"/>
      <c r="P215" s="56">
        <f t="shared" si="52"/>
        <v>0</v>
      </c>
      <c r="Q215" s="49">
        <f t="shared" si="47"/>
        <v>2</v>
      </c>
      <c r="R215" s="14">
        <v>43617</v>
      </c>
      <c r="S215" s="53" t="s">
        <v>52</v>
      </c>
      <c r="T215" s="54"/>
      <c r="U215" s="55"/>
      <c r="V215" s="55"/>
      <c r="W215" s="55"/>
      <c r="X215" s="56">
        <f t="shared" si="55"/>
        <v>0</v>
      </c>
      <c r="Y215" s="54"/>
      <c r="Z215" s="55"/>
      <c r="AA215" s="55"/>
      <c r="AB215" s="55"/>
      <c r="AC215" s="56">
        <f t="shared" si="53"/>
        <v>0</v>
      </c>
      <c r="AD215" s="54"/>
      <c r="AE215" s="55"/>
      <c r="AF215" s="55">
        <v>5</v>
      </c>
      <c r="AG215" s="55"/>
      <c r="AH215" s="56">
        <f t="shared" si="54"/>
        <v>5</v>
      </c>
      <c r="AI215" s="49">
        <f t="shared" si="49"/>
        <v>5</v>
      </c>
      <c r="AJ215" s="50">
        <v>43613</v>
      </c>
    </row>
    <row r="216" spans="1:37" x14ac:dyDescent="0.15">
      <c r="A216" s="53" t="s">
        <v>54</v>
      </c>
      <c r="B216" s="54"/>
      <c r="C216" s="55"/>
      <c r="D216" s="55"/>
      <c r="E216" s="55"/>
      <c r="F216" s="56">
        <f t="shared" si="50"/>
        <v>0</v>
      </c>
      <c r="G216" s="54">
        <v>1</v>
      </c>
      <c r="H216" s="55"/>
      <c r="I216" s="55"/>
      <c r="J216" s="55"/>
      <c r="K216" s="56">
        <f t="shared" si="51"/>
        <v>1</v>
      </c>
      <c r="L216" s="54"/>
      <c r="M216" s="55"/>
      <c r="N216" s="55"/>
      <c r="O216" s="55"/>
      <c r="P216" s="56">
        <f t="shared" si="52"/>
        <v>0</v>
      </c>
      <c r="Q216" s="49">
        <f t="shared" si="47"/>
        <v>1</v>
      </c>
      <c r="R216" s="50">
        <v>43620</v>
      </c>
      <c r="S216" s="53" t="s">
        <v>55</v>
      </c>
      <c r="T216" s="54"/>
      <c r="U216" s="55"/>
      <c r="V216" s="55"/>
      <c r="W216" s="55"/>
      <c r="X216" s="56">
        <f t="shared" si="55"/>
        <v>0</v>
      </c>
      <c r="Y216" s="54">
        <v>5</v>
      </c>
      <c r="Z216" s="55"/>
      <c r="AA216" s="55"/>
      <c r="AB216" s="55"/>
      <c r="AC216" s="56">
        <f t="shared" si="53"/>
        <v>5</v>
      </c>
      <c r="AD216" s="54"/>
      <c r="AE216" s="55"/>
      <c r="AF216" s="55"/>
      <c r="AG216" s="55"/>
      <c r="AH216" s="56">
        <f t="shared" si="54"/>
        <v>0</v>
      </c>
      <c r="AI216" s="49">
        <f t="shared" si="49"/>
        <v>5</v>
      </c>
      <c r="AJ216" s="50">
        <v>43613</v>
      </c>
    </row>
    <row r="217" spans="1:37" x14ac:dyDescent="0.15">
      <c r="A217" s="53" t="s">
        <v>54</v>
      </c>
      <c r="B217" s="54"/>
      <c r="C217" s="55"/>
      <c r="D217" s="55"/>
      <c r="E217" s="55"/>
      <c r="F217" s="56">
        <f t="shared" si="50"/>
        <v>0</v>
      </c>
      <c r="G217" s="54">
        <v>1</v>
      </c>
      <c r="H217" s="55"/>
      <c r="I217" s="55"/>
      <c r="J217" s="55"/>
      <c r="K217" s="56">
        <f t="shared" si="51"/>
        <v>1</v>
      </c>
      <c r="L217" s="54"/>
      <c r="M217" s="55"/>
      <c r="N217" s="55"/>
      <c r="O217" s="55"/>
      <c r="P217" s="56">
        <f t="shared" si="52"/>
        <v>0</v>
      </c>
      <c r="Q217" s="49">
        <f t="shared" si="47"/>
        <v>1</v>
      </c>
      <c r="R217" s="50">
        <v>43622</v>
      </c>
      <c r="S217" s="53" t="s">
        <v>52</v>
      </c>
      <c r="T217" s="54"/>
      <c r="U217" s="55"/>
      <c r="V217" s="55"/>
      <c r="W217" s="55"/>
      <c r="X217" s="56">
        <f t="shared" si="55"/>
        <v>0</v>
      </c>
      <c r="Y217" s="54"/>
      <c r="Z217" s="55">
        <v>10</v>
      </c>
      <c r="AA217" s="55"/>
      <c r="AB217" s="55"/>
      <c r="AC217" s="56">
        <f t="shared" si="53"/>
        <v>10</v>
      </c>
      <c r="AD217" s="54">
        <v>13</v>
      </c>
      <c r="AE217" s="55">
        <v>10</v>
      </c>
      <c r="AF217" s="55"/>
      <c r="AG217" s="55"/>
      <c r="AH217" s="56">
        <f t="shared" si="54"/>
        <v>23</v>
      </c>
      <c r="AI217" s="49">
        <f t="shared" si="49"/>
        <v>33</v>
      </c>
      <c r="AJ217" s="50">
        <v>43615</v>
      </c>
    </row>
    <row r="218" spans="1:37" x14ac:dyDescent="0.15">
      <c r="A218" s="53" t="s">
        <v>28</v>
      </c>
      <c r="B218" s="54"/>
      <c r="C218" s="55"/>
      <c r="D218" s="55"/>
      <c r="E218" s="55"/>
      <c r="F218" s="56">
        <f t="shared" si="50"/>
        <v>0</v>
      </c>
      <c r="G218" s="54">
        <v>-10</v>
      </c>
      <c r="H218" s="55"/>
      <c r="I218" s="55"/>
      <c r="J218" s="55"/>
      <c r="K218" s="56">
        <f t="shared" si="51"/>
        <v>-10</v>
      </c>
      <c r="L218" s="54"/>
      <c r="M218" s="55"/>
      <c r="N218" s="55"/>
      <c r="O218" s="55"/>
      <c r="P218" s="56">
        <f t="shared" si="52"/>
        <v>0</v>
      </c>
      <c r="Q218" s="49">
        <f t="shared" si="47"/>
        <v>-10</v>
      </c>
      <c r="R218" s="50">
        <v>43621</v>
      </c>
      <c r="S218" s="53" t="s">
        <v>55</v>
      </c>
      <c r="T218" s="54">
        <v>5</v>
      </c>
      <c r="U218" s="55"/>
      <c r="V218" s="55">
        <v>5</v>
      </c>
      <c r="W218" s="55"/>
      <c r="X218" s="56">
        <f t="shared" si="55"/>
        <v>10</v>
      </c>
      <c r="Y218" s="54">
        <v>5</v>
      </c>
      <c r="Z218" s="55"/>
      <c r="AA218" s="55"/>
      <c r="AB218" s="55"/>
      <c r="AC218" s="56">
        <f t="shared" si="53"/>
        <v>5</v>
      </c>
      <c r="AD218" s="54"/>
      <c r="AE218" s="55"/>
      <c r="AF218" s="55"/>
      <c r="AG218" s="55"/>
      <c r="AH218" s="56">
        <f t="shared" si="54"/>
        <v>0</v>
      </c>
      <c r="AI218" s="49">
        <f t="shared" si="49"/>
        <v>15</v>
      </c>
      <c r="AJ218" s="50">
        <v>43619</v>
      </c>
    </row>
    <row r="219" spans="1:37" x14ac:dyDescent="0.15">
      <c r="A219" s="53" t="s">
        <v>54</v>
      </c>
      <c r="B219" s="54"/>
      <c r="C219" s="55"/>
      <c r="D219" s="55"/>
      <c r="E219" s="55"/>
      <c r="F219" s="56">
        <f t="shared" si="50"/>
        <v>0</v>
      </c>
      <c r="G219" s="54"/>
      <c r="H219" s="55"/>
      <c r="I219" s="55"/>
      <c r="J219" s="55"/>
      <c r="K219" s="56">
        <f t="shared" si="51"/>
        <v>0</v>
      </c>
      <c r="L219" s="54"/>
      <c r="M219" s="55"/>
      <c r="N219" s="55"/>
      <c r="O219" s="55">
        <v>1</v>
      </c>
      <c r="P219" s="56">
        <f t="shared" si="52"/>
        <v>1</v>
      </c>
      <c r="Q219" s="49">
        <f t="shared" si="47"/>
        <v>1</v>
      </c>
      <c r="R219" s="50">
        <v>43622</v>
      </c>
      <c r="S219" s="53" t="s">
        <v>52</v>
      </c>
      <c r="T219" s="54"/>
      <c r="U219" s="55"/>
      <c r="V219" s="55"/>
      <c r="W219" s="55"/>
      <c r="X219" s="56">
        <f t="shared" si="55"/>
        <v>0</v>
      </c>
      <c r="Y219" s="54"/>
      <c r="Z219" s="55">
        <v>10</v>
      </c>
      <c r="AA219" s="55"/>
      <c r="AB219" s="55">
        <v>10</v>
      </c>
      <c r="AC219" s="56">
        <f t="shared" si="53"/>
        <v>20</v>
      </c>
      <c r="AD219" s="54"/>
      <c r="AE219" s="55"/>
      <c r="AF219" s="55">
        <v>10</v>
      </c>
      <c r="AG219" s="55">
        <v>10</v>
      </c>
      <c r="AH219" s="56">
        <f t="shared" si="54"/>
        <v>20</v>
      </c>
      <c r="AI219" s="49">
        <f t="shared" si="49"/>
        <v>40</v>
      </c>
      <c r="AJ219" s="50">
        <v>43619</v>
      </c>
    </row>
    <row r="220" spans="1:37" x14ac:dyDescent="0.15">
      <c r="A220" s="53" t="s">
        <v>58</v>
      </c>
      <c r="B220" s="54"/>
      <c r="C220" s="55">
        <v>1</v>
      </c>
      <c r="D220" s="55"/>
      <c r="E220" s="55"/>
      <c r="F220" s="56">
        <f t="shared" si="50"/>
        <v>1</v>
      </c>
      <c r="G220" s="54"/>
      <c r="H220" s="55"/>
      <c r="I220" s="55"/>
      <c r="J220" s="55"/>
      <c r="K220" s="56">
        <f t="shared" si="51"/>
        <v>0</v>
      </c>
      <c r="L220" s="54"/>
      <c r="M220" s="55"/>
      <c r="N220" s="55"/>
      <c r="O220" s="55"/>
      <c r="P220" s="56">
        <f t="shared" si="52"/>
        <v>0</v>
      </c>
      <c r="Q220" s="49">
        <f t="shared" si="47"/>
        <v>1</v>
      </c>
      <c r="R220" s="14">
        <v>43622</v>
      </c>
      <c r="S220" s="53" t="s">
        <v>55</v>
      </c>
      <c r="T220" s="54"/>
      <c r="U220" s="55"/>
      <c r="V220" s="55"/>
      <c r="W220" s="55"/>
      <c r="X220" s="56">
        <f t="shared" si="55"/>
        <v>0</v>
      </c>
      <c r="Y220" s="54"/>
      <c r="Z220" s="55"/>
      <c r="AA220" s="55"/>
      <c r="AB220" s="55">
        <v>3</v>
      </c>
      <c r="AC220" s="56">
        <f t="shared" si="53"/>
        <v>3</v>
      </c>
      <c r="AD220" s="54"/>
      <c r="AE220" s="55"/>
      <c r="AF220" s="55"/>
      <c r="AG220" s="55"/>
      <c r="AH220" s="56">
        <f t="shared" si="54"/>
        <v>0</v>
      </c>
      <c r="AI220" s="49">
        <f t="shared" si="49"/>
        <v>3</v>
      </c>
      <c r="AJ220" s="50">
        <v>43620</v>
      </c>
    </row>
    <row r="221" spans="1:37" x14ac:dyDescent="0.15">
      <c r="A221" s="148" t="s">
        <v>29</v>
      </c>
      <c r="B221" s="54">
        <v>-1</v>
      </c>
      <c r="C221" s="55"/>
      <c r="D221" s="55"/>
      <c r="E221" s="55">
        <v>-1</v>
      </c>
      <c r="F221" s="56">
        <f t="shared" si="50"/>
        <v>-2</v>
      </c>
      <c r="G221" s="54">
        <v>-1</v>
      </c>
      <c r="H221" s="55">
        <v>-2</v>
      </c>
      <c r="I221" s="55"/>
      <c r="J221" s="55"/>
      <c r="K221" s="56">
        <f t="shared" si="51"/>
        <v>-3</v>
      </c>
      <c r="L221" s="54"/>
      <c r="M221" s="55"/>
      <c r="N221" s="55">
        <v>-1</v>
      </c>
      <c r="O221" s="55"/>
      <c r="P221" s="56">
        <f t="shared" si="52"/>
        <v>-1</v>
      </c>
      <c r="Q221" s="49">
        <f t="shared" si="47"/>
        <v>-6</v>
      </c>
      <c r="R221" s="14">
        <v>43631</v>
      </c>
      <c r="S221" s="53" t="s">
        <v>52</v>
      </c>
      <c r="T221" s="54"/>
      <c r="U221" s="55"/>
      <c r="V221" s="55"/>
      <c r="W221" s="55"/>
      <c r="X221" s="56">
        <f t="shared" si="55"/>
        <v>0</v>
      </c>
      <c r="Y221" s="54"/>
      <c r="Z221" s="55"/>
      <c r="AA221" s="55"/>
      <c r="AB221" s="55"/>
      <c r="AC221" s="56">
        <f t="shared" si="53"/>
        <v>0</v>
      </c>
      <c r="AD221" s="54"/>
      <c r="AE221" s="55">
        <v>10</v>
      </c>
      <c r="AF221" s="55">
        <v>10</v>
      </c>
      <c r="AG221" s="55"/>
      <c r="AH221" s="56">
        <f t="shared" si="54"/>
        <v>20</v>
      </c>
      <c r="AI221" s="49">
        <f t="shared" si="49"/>
        <v>20</v>
      </c>
      <c r="AJ221" s="50">
        <v>43622</v>
      </c>
    </row>
    <row r="222" spans="1:37" x14ac:dyDescent="0.15">
      <c r="A222" s="53"/>
      <c r="B222" s="54"/>
      <c r="C222" s="55"/>
      <c r="D222" s="55"/>
      <c r="E222" s="55"/>
      <c r="F222" s="56">
        <f t="shared" si="50"/>
        <v>0</v>
      </c>
      <c r="G222" s="54"/>
      <c r="H222" s="55"/>
      <c r="I222" s="55"/>
      <c r="J222" s="55"/>
      <c r="K222" s="56">
        <f t="shared" si="51"/>
        <v>0</v>
      </c>
      <c r="L222" s="54"/>
      <c r="M222" s="55"/>
      <c r="N222" s="55"/>
      <c r="O222" s="55"/>
      <c r="P222" s="56">
        <f t="shared" si="52"/>
        <v>0</v>
      </c>
      <c r="Q222" s="49">
        <f t="shared" si="47"/>
        <v>0</v>
      </c>
      <c r="S222" s="53" t="s">
        <v>52</v>
      </c>
      <c r="T222" s="54"/>
      <c r="U222" s="55"/>
      <c r="V222" s="55"/>
      <c r="W222" s="55"/>
      <c r="X222" s="56">
        <f t="shared" si="55"/>
        <v>0</v>
      </c>
      <c r="Y222" s="54">
        <v>10</v>
      </c>
      <c r="Z222" s="55"/>
      <c r="AA222" s="55"/>
      <c r="AB222" s="55"/>
      <c r="AC222" s="56">
        <f t="shared" si="53"/>
        <v>10</v>
      </c>
      <c r="AD222" s="54"/>
      <c r="AE222" s="55"/>
      <c r="AF222" s="55"/>
      <c r="AG222" s="55"/>
      <c r="AH222" s="56">
        <f t="shared" si="54"/>
        <v>0</v>
      </c>
      <c r="AI222" s="49">
        <f t="shared" si="49"/>
        <v>10</v>
      </c>
      <c r="AJ222" s="50">
        <v>43622</v>
      </c>
    </row>
    <row r="223" spans="1:37" x14ac:dyDescent="0.15">
      <c r="A223" s="53"/>
      <c r="B223" s="54"/>
      <c r="C223" s="55"/>
      <c r="D223" s="55"/>
      <c r="E223" s="55"/>
      <c r="F223" s="56">
        <f t="shared" si="50"/>
        <v>0</v>
      </c>
      <c r="G223" s="54"/>
      <c r="H223" s="55"/>
      <c r="I223" s="55"/>
      <c r="J223" s="55"/>
      <c r="K223" s="56">
        <f t="shared" si="51"/>
        <v>0</v>
      </c>
      <c r="L223" s="54"/>
      <c r="M223" s="55"/>
      <c r="N223" s="55"/>
      <c r="O223" s="55"/>
      <c r="P223" s="56">
        <f t="shared" si="52"/>
        <v>0</v>
      </c>
      <c r="Q223" s="49">
        <f t="shared" si="47"/>
        <v>0</v>
      </c>
      <c r="S223" s="53" t="s">
        <v>55</v>
      </c>
      <c r="T223" s="54"/>
      <c r="U223" s="55">
        <v>1</v>
      </c>
      <c r="V223" s="55"/>
      <c r="W223" s="55"/>
      <c r="X223" s="56">
        <f t="shared" si="55"/>
        <v>1</v>
      </c>
      <c r="Y223" s="54">
        <v>7</v>
      </c>
      <c r="Z223" s="55"/>
      <c r="AA223" s="55"/>
      <c r="AB223" s="55">
        <v>2</v>
      </c>
      <c r="AC223" s="56">
        <f t="shared" si="53"/>
        <v>9</v>
      </c>
      <c r="AD223" s="54"/>
      <c r="AE223" s="55"/>
      <c r="AF223" s="55"/>
      <c r="AG223" s="55"/>
      <c r="AH223" s="56">
        <f t="shared" si="54"/>
        <v>0</v>
      </c>
      <c r="AI223" s="49">
        <f t="shared" si="49"/>
        <v>10</v>
      </c>
      <c r="AJ223" s="50">
        <v>43622</v>
      </c>
    </row>
    <row r="224" spans="1:37" x14ac:dyDescent="0.15">
      <c r="A224" s="53"/>
      <c r="B224" s="17"/>
      <c r="C224" s="18"/>
      <c r="D224" s="18"/>
      <c r="E224" s="18"/>
      <c r="F224" s="30">
        <f t="shared" si="50"/>
        <v>0</v>
      </c>
      <c r="G224" s="17"/>
      <c r="H224" s="18"/>
      <c r="I224" s="18"/>
      <c r="J224" s="18"/>
      <c r="K224" s="30">
        <f t="shared" si="51"/>
        <v>0</v>
      </c>
      <c r="L224" s="17"/>
      <c r="M224" s="18"/>
      <c r="N224" s="18"/>
      <c r="O224" s="18"/>
      <c r="P224" s="30">
        <f t="shared" si="52"/>
        <v>0</v>
      </c>
      <c r="Q224" s="49">
        <f t="shared" si="47"/>
        <v>0</v>
      </c>
      <c r="S224" s="53" t="s">
        <v>52</v>
      </c>
      <c r="T224" s="17"/>
      <c r="U224" s="18"/>
      <c r="V224" s="18"/>
      <c r="W224" s="18"/>
      <c r="X224" s="30">
        <f t="shared" si="55"/>
        <v>0</v>
      </c>
      <c r="Y224" s="17"/>
      <c r="Z224" s="18">
        <v>10</v>
      </c>
      <c r="AA224" s="18"/>
      <c r="AB224" s="18"/>
      <c r="AC224" s="30">
        <f t="shared" si="53"/>
        <v>10</v>
      </c>
      <c r="AD224" s="17"/>
      <c r="AE224" s="18"/>
      <c r="AF224" s="18"/>
      <c r="AG224" s="18"/>
      <c r="AH224" s="30">
        <f t="shared" si="54"/>
        <v>0</v>
      </c>
      <c r="AI224" s="49">
        <f t="shared" si="49"/>
        <v>10</v>
      </c>
      <c r="AJ224" s="50">
        <v>43626</v>
      </c>
      <c r="AK224" s="44"/>
    </row>
    <row r="225" spans="1:36" x14ac:dyDescent="0.15">
      <c r="A225" s="53"/>
      <c r="B225" s="54"/>
      <c r="C225" s="55"/>
      <c r="D225" s="55"/>
      <c r="E225" s="55"/>
      <c r="F225" s="56">
        <f t="shared" si="50"/>
        <v>0</v>
      </c>
      <c r="G225" s="54"/>
      <c r="H225" s="55"/>
      <c r="I225" s="55"/>
      <c r="J225" s="55"/>
      <c r="K225" s="56">
        <f t="shared" si="51"/>
        <v>0</v>
      </c>
      <c r="L225" s="54"/>
      <c r="M225" s="55"/>
      <c r="N225" s="55"/>
      <c r="O225" s="55"/>
      <c r="P225" s="56">
        <f t="shared" si="52"/>
        <v>0</v>
      </c>
      <c r="Q225" s="49">
        <f t="shared" si="47"/>
        <v>0</v>
      </c>
      <c r="S225" s="53" t="s">
        <v>59</v>
      </c>
      <c r="T225" s="54"/>
      <c r="U225" s="55"/>
      <c r="V225" s="55">
        <v>2</v>
      </c>
      <c r="W225" s="55"/>
      <c r="X225" s="56">
        <f t="shared" si="55"/>
        <v>2</v>
      </c>
      <c r="Y225" s="54"/>
      <c r="Z225" s="55"/>
      <c r="AA225" s="55"/>
      <c r="AB225" s="55"/>
      <c r="AC225" s="56">
        <f t="shared" si="53"/>
        <v>0</v>
      </c>
      <c r="AD225" s="54"/>
      <c r="AE225" s="55"/>
      <c r="AF225" s="55"/>
      <c r="AG225" s="55"/>
      <c r="AH225" s="56">
        <f t="shared" si="54"/>
        <v>0</v>
      </c>
      <c r="AI225" s="49">
        <f t="shared" si="49"/>
        <v>2</v>
      </c>
      <c r="AJ225" s="50">
        <v>43619</v>
      </c>
    </row>
    <row r="226" spans="1:36" x14ac:dyDescent="0.15">
      <c r="A226" s="53"/>
      <c r="B226" s="62"/>
      <c r="C226" s="63"/>
      <c r="D226" s="63"/>
      <c r="E226" s="63"/>
      <c r="F226" s="56">
        <f t="shared" si="50"/>
        <v>0</v>
      </c>
      <c r="G226" s="62"/>
      <c r="H226" s="63"/>
      <c r="I226" s="63"/>
      <c r="J226" s="63"/>
      <c r="K226" s="56">
        <f t="shared" si="51"/>
        <v>0</v>
      </c>
      <c r="L226" s="62"/>
      <c r="M226" s="63"/>
      <c r="N226" s="63"/>
      <c r="O226" s="63"/>
      <c r="P226" s="56">
        <f t="shared" si="52"/>
        <v>0</v>
      </c>
      <c r="Q226" s="49">
        <f t="shared" si="47"/>
        <v>0</v>
      </c>
      <c r="S226" s="53" t="s">
        <v>52</v>
      </c>
      <c r="T226" s="62"/>
      <c r="U226" s="63"/>
      <c r="V226" s="63"/>
      <c r="W226" s="63"/>
      <c r="X226" s="56">
        <f t="shared" si="55"/>
        <v>0</v>
      </c>
      <c r="Y226" s="62"/>
      <c r="Z226" s="63"/>
      <c r="AA226" s="63"/>
      <c r="AB226" s="63"/>
      <c r="AC226" s="56">
        <f t="shared" si="53"/>
        <v>0</v>
      </c>
      <c r="AD226" s="62"/>
      <c r="AE226" s="63"/>
      <c r="AF226" s="63"/>
      <c r="AG226" s="63">
        <v>10</v>
      </c>
      <c r="AH226" s="56">
        <f t="shared" si="54"/>
        <v>10</v>
      </c>
      <c r="AI226" s="49">
        <f t="shared" si="49"/>
        <v>10</v>
      </c>
      <c r="AJ226" s="50">
        <v>43626</v>
      </c>
    </row>
    <row r="227" spans="1:36" x14ac:dyDescent="0.15">
      <c r="A227" s="53"/>
      <c r="B227" s="54"/>
      <c r="C227" s="55"/>
      <c r="D227" s="55"/>
      <c r="E227" s="55"/>
      <c r="F227" s="56">
        <f t="shared" si="50"/>
        <v>0</v>
      </c>
      <c r="G227" s="54"/>
      <c r="H227" s="55"/>
      <c r="I227" s="55"/>
      <c r="J227" s="55"/>
      <c r="K227" s="56">
        <f t="shared" si="51"/>
        <v>0</v>
      </c>
      <c r="L227" s="54"/>
      <c r="M227" s="55"/>
      <c r="N227" s="55"/>
      <c r="O227" s="55"/>
      <c r="P227" s="56">
        <f t="shared" si="52"/>
        <v>0</v>
      </c>
      <c r="Q227" s="49">
        <f t="shared" si="47"/>
        <v>0</v>
      </c>
      <c r="S227" s="53" t="s">
        <v>59</v>
      </c>
      <c r="T227" s="54"/>
      <c r="U227" s="55"/>
      <c r="V227" s="55"/>
      <c r="W227" s="55"/>
      <c r="X227" s="56">
        <f t="shared" si="55"/>
        <v>0</v>
      </c>
      <c r="Y227" s="54">
        <v>10</v>
      </c>
      <c r="Z227" s="55"/>
      <c r="AA227" s="55"/>
      <c r="AB227" s="55"/>
      <c r="AC227" s="56">
        <f t="shared" si="53"/>
        <v>10</v>
      </c>
      <c r="AD227" s="54"/>
      <c r="AE227" s="55"/>
      <c r="AF227" s="55"/>
      <c r="AG227" s="55"/>
      <c r="AH227" s="56">
        <f t="shared" si="54"/>
        <v>0</v>
      </c>
      <c r="AI227" s="49">
        <f t="shared" si="49"/>
        <v>10</v>
      </c>
      <c r="AJ227" s="50">
        <v>43621</v>
      </c>
    </row>
    <row r="228" spans="1:36" x14ac:dyDescent="0.15">
      <c r="A228" s="67"/>
      <c r="B228" s="33"/>
      <c r="C228" s="34"/>
      <c r="D228" s="34"/>
      <c r="E228" s="34"/>
      <c r="F228" s="56">
        <f t="shared" si="50"/>
        <v>0</v>
      </c>
      <c r="G228" s="33"/>
      <c r="H228" s="34"/>
      <c r="I228" s="34"/>
      <c r="J228" s="34"/>
      <c r="K228" s="56">
        <f t="shared" si="51"/>
        <v>0</v>
      </c>
      <c r="L228" s="33"/>
      <c r="M228" s="34"/>
      <c r="N228" s="34"/>
      <c r="O228" s="34"/>
      <c r="P228" s="56">
        <f t="shared" si="52"/>
        <v>0</v>
      </c>
      <c r="Q228" s="49">
        <f t="shared" si="47"/>
        <v>0</v>
      </c>
      <c r="R228" s="74"/>
      <c r="S228" s="160"/>
      <c r="T228" s="33"/>
      <c r="U228" s="34"/>
      <c r="V228" s="34"/>
      <c r="W228" s="34"/>
      <c r="X228" s="56">
        <f t="shared" si="55"/>
        <v>0</v>
      </c>
      <c r="Y228" s="33"/>
      <c r="Z228" s="34"/>
      <c r="AA228" s="34"/>
      <c r="AB228" s="34"/>
      <c r="AC228" s="56">
        <f t="shared" si="53"/>
        <v>0</v>
      </c>
      <c r="AD228" s="33"/>
      <c r="AE228" s="34"/>
      <c r="AF228" s="34"/>
      <c r="AG228" s="34"/>
      <c r="AH228" s="56">
        <f t="shared" si="54"/>
        <v>0</v>
      </c>
      <c r="AI228" s="49">
        <f t="shared" si="49"/>
        <v>0</v>
      </c>
      <c r="AJ228" s="74"/>
    </row>
    <row r="229" spans="1:36" x14ac:dyDescent="0.15">
      <c r="A229" s="67"/>
      <c r="B229" s="33"/>
      <c r="C229" s="34"/>
      <c r="D229" s="34"/>
      <c r="E229" s="34"/>
      <c r="F229" s="56">
        <f t="shared" si="50"/>
        <v>0</v>
      </c>
      <c r="G229" s="33"/>
      <c r="H229" s="34"/>
      <c r="I229" s="34"/>
      <c r="J229" s="34"/>
      <c r="K229" s="56">
        <f t="shared" si="51"/>
        <v>0</v>
      </c>
      <c r="L229" s="33"/>
      <c r="M229" s="34"/>
      <c r="N229" s="34"/>
      <c r="O229" s="34"/>
      <c r="P229" s="56">
        <f t="shared" si="52"/>
        <v>0</v>
      </c>
      <c r="Q229" s="49">
        <f t="shared" si="47"/>
        <v>0</v>
      </c>
      <c r="R229" s="74"/>
      <c r="S229" s="67"/>
      <c r="T229" s="33"/>
      <c r="U229" s="34"/>
      <c r="V229" s="34"/>
      <c r="W229" s="34"/>
      <c r="X229" s="56">
        <f t="shared" si="55"/>
        <v>0</v>
      </c>
      <c r="Y229" s="33"/>
      <c r="Z229" s="34"/>
      <c r="AA229" s="34"/>
      <c r="AB229" s="34"/>
      <c r="AC229" s="56">
        <f t="shared" si="53"/>
        <v>0</v>
      </c>
      <c r="AD229" s="33"/>
      <c r="AE229" s="34"/>
      <c r="AF229" s="34"/>
      <c r="AG229" s="34"/>
      <c r="AH229" s="56">
        <f t="shared" si="54"/>
        <v>0</v>
      </c>
      <c r="AI229" s="49">
        <f t="shared" si="49"/>
        <v>0</v>
      </c>
      <c r="AJ229" s="74"/>
    </row>
    <row r="230" spans="1:36" ht="14.25" thickBot="1" x14ac:dyDescent="0.2">
      <c r="A230" s="67"/>
      <c r="B230" s="33"/>
      <c r="C230" s="34"/>
      <c r="D230" s="34"/>
      <c r="E230" s="34"/>
      <c r="F230" s="30">
        <f t="shared" si="50"/>
        <v>0</v>
      </c>
      <c r="G230" s="33"/>
      <c r="H230" s="34"/>
      <c r="I230" s="34"/>
      <c r="J230" s="34"/>
      <c r="K230" s="30">
        <f t="shared" si="51"/>
        <v>0</v>
      </c>
      <c r="L230" s="33"/>
      <c r="M230" s="34"/>
      <c r="N230" s="34"/>
      <c r="O230" s="34"/>
      <c r="P230" s="30">
        <f t="shared" si="52"/>
        <v>0</v>
      </c>
      <c r="Q230" s="78">
        <f t="shared" si="47"/>
        <v>0</v>
      </c>
      <c r="R230" s="74"/>
      <c r="S230" s="67" t="s">
        <v>43</v>
      </c>
      <c r="T230" s="33"/>
      <c r="U230" s="34"/>
      <c r="V230" s="34"/>
      <c r="W230" s="34"/>
      <c r="X230" s="30">
        <f t="shared" si="55"/>
        <v>0</v>
      </c>
      <c r="Y230" s="33"/>
      <c r="Z230" s="34"/>
      <c r="AA230" s="34"/>
      <c r="AB230" s="34"/>
      <c r="AC230" s="30">
        <f t="shared" si="53"/>
        <v>0</v>
      </c>
      <c r="AD230" s="33"/>
      <c r="AE230" s="34"/>
      <c r="AF230" s="34"/>
      <c r="AG230" s="34"/>
      <c r="AH230" s="30">
        <f t="shared" si="54"/>
        <v>0</v>
      </c>
      <c r="AI230" s="78">
        <f t="shared" si="49"/>
        <v>0</v>
      </c>
      <c r="AJ230" s="74" t="s">
        <v>49</v>
      </c>
    </row>
    <row r="231" spans="1:36" ht="15" thickBot="1" x14ac:dyDescent="0.2">
      <c r="A231" s="9" t="s">
        <v>15</v>
      </c>
      <c r="B231" s="36">
        <f>SUM(B205:B230)</f>
        <v>-1</v>
      </c>
      <c r="C231" s="37">
        <f>SUM(C205:C230)</f>
        <v>1</v>
      </c>
      <c r="D231" s="37">
        <f>SUM(D205:D230)</f>
        <v>-1</v>
      </c>
      <c r="E231" s="38">
        <f>SUM(E205:E230)</f>
        <v>-1</v>
      </c>
      <c r="F231" s="25">
        <f>SUM(B231:E231)</f>
        <v>-2</v>
      </c>
      <c r="G231" s="36">
        <f>SUM(G205:G230)</f>
        <v>-6</v>
      </c>
      <c r="H231" s="37">
        <f>SUM(H205:H230)</f>
        <v>-1</v>
      </c>
      <c r="I231" s="37">
        <f>SUM(I205:I230)</f>
        <v>0</v>
      </c>
      <c r="J231" s="38">
        <f>SUM(J205:J230)</f>
        <v>0</v>
      </c>
      <c r="K231" s="25">
        <f>SUM(G231:J231)</f>
        <v>-7</v>
      </c>
      <c r="L231" s="36">
        <f>SUM(L205:L230)</f>
        <v>2</v>
      </c>
      <c r="M231" s="37">
        <f>SUM(M205:M230)</f>
        <v>1</v>
      </c>
      <c r="N231" s="37">
        <f>SUM(N205:N230)</f>
        <v>-1</v>
      </c>
      <c r="O231" s="38">
        <f>SUM(O205:O230)</f>
        <v>2</v>
      </c>
      <c r="P231" s="25">
        <f>SUM(L231:O231)</f>
        <v>4</v>
      </c>
      <c r="Q231" s="79">
        <f t="shared" si="47"/>
        <v>-5</v>
      </c>
      <c r="S231" s="9" t="s">
        <v>15</v>
      </c>
      <c r="T231" s="36">
        <f>SUM(T205:T230)</f>
        <v>10</v>
      </c>
      <c r="U231" s="37">
        <f>SUM(U205:U230)</f>
        <v>8</v>
      </c>
      <c r="V231" s="37">
        <f>SUM(V205:V230)</f>
        <v>10</v>
      </c>
      <c r="W231" s="38">
        <f>SUM(W205:W230)</f>
        <v>3</v>
      </c>
      <c r="X231" s="25">
        <f>SUM(T231:W231)</f>
        <v>31</v>
      </c>
      <c r="Y231" s="36">
        <f>SUM(Y205:Y230)</f>
        <v>59</v>
      </c>
      <c r="Z231" s="37">
        <f>SUM(Z205:Z230)</f>
        <v>62</v>
      </c>
      <c r="AA231" s="37">
        <f>SUM(AA205:AA230)</f>
        <v>20</v>
      </c>
      <c r="AB231" s="38">
        <f>SUM(AB205:AB230)</f>
        <v>25</v>
      </c>
      <c r="AC231" s="25">
        <f>SUM(Y231:AB231)</f>
        <v>166</v>
      </c>
      <c r="AD231" s="36">
        <f>SUM(AD205:AD230)</f>
        <v>23</v>
      </c>
      <c r="AE231" s="37">
        <f>SUM(AE205:AE230)</f>
        <v>40</v>
      </c>
      <c r="AF231" s="37">
        <f>SUM(AF205:AF230)</f>
        <v>25</v>
      </c>
      <c r="AG231" s="38">
        <f>SUM(AG205:AG230)</f>
        <v>33</v>
      </c>
      <c r="AH231" s="25">
        <f>SUM(AD231:AG231)</f>
        <v>121</v>
      </c>
      <c r="AI231" s="79">
        <f t="shared" si="49"/>
        <v>318</v>
      </c>
    </row>
    <row r="232" spans="1:36" ht="14.25" thickBot="1" x14ac:dyDescent="0.2">
      <c r="A232" s="39" t="s">
        <v>16</v>
      </c>
      <c r="B232" s="40">
        <f t="shared" ref="B232:P232" si="56">B204-B231</f>
        <v>2</v>
      </c>
      <c r="C232" s="41">
        <f t="shared" si="56"/>
        <v>0</v>
      </c>
      <c r="D232" s="41">
        <f t="shared" si="56"/>
        <v>1</v>
      </c>
      <c r="E232" s="42">
        <f t="shared" si="56"/>
        <v>4</v>
      </c>
      <c r="F232" s="42">
        <f t="shared" si="56"/>
        <v>7</v>
      </c>
      <c r="G232" s="40">
        <f t="shared" si="56"/>
        <v>10</v>
      </c>
      <c r="H232" s="41">
        <f t="shared" si="56"/>
        <v>4</v>
      </c>
      <c r="I232" s="41">
        <f t="shared" si="56"/>
        <v>8</v>
      </c>
      <c r="J232" s="42">
        <f t="shared" si="56"/>
        <v>8</v>
      </c>
      <c r="K232" s="42">
        <f t="shared" si="56"/>
        <v>30</v>
      </c>
      <c r="L232" s="40">
        <f t="shared" si="56"/>
        <v>2</v>
      </c>
      <c r="M232" s="41">
        <f t="shared" si="56"/>
        <v>4</v>
      </c>
      <c r="N232" s="41">
        <f t="shared" si="56"/>
        <v>7</v>
      </c>
      <c r="O232" s="42">
        <f t="shared" si="56"/>
        <v>3</v>
      </c>
      <c r="P232" s="42">
        <f t="shared" si="56"/>
        <v>16</v>
      </c>
      <c r="Q232" s="77">
        <f t="shared" si="47"/>
        <v>53</v>
      </c>
      <c r="S232" s="39" t="s">
        <v>16</v>
      </c>
      <c r="T232" s="40">
        <f t="shared" ref="T232:AH232" si="57">T204-T231</f>
        <v>57</v>
      </c>
      <c r="U232" s="41">
        <f t="shared" si="57"/>
        <v>1</v>
      </c>
      <c r="V232" s="41">
        <f t="shared" si="57"/>
        <v>27</v>
      </c>
      <c r="W232" s="42">
        <f t="shared" si="57"/>
        <v>35</v>
      </c>
      <c r="X232" s="42">
        <f t="shared" si="57"/>
        <v>120</v>
      </c>
      <c r="Y232" s="40">
        <f t="shared" si="57"/>
        <v>48</v>
      </c>
      <c r="Z232" s="41">
        <f t="shared" si="57"/>
        <v>5</v>
      </c>
      <c r="AA232" s="41">
        <f t="shared" si="57"/>
        <v>49</v>
      </c>
      <c r="AB232" s="42">
        <f t="shared" si="57"/>
        <v>38</v>
      </c>
      <c r="AC232" s="42">
        <f t="shared" si="57"/>
        <v>140</v>
      </c>
      <c r="AD232" s="40">
        <f t="shared" si="57"/>
        <v>78</v>
      </c>
      <c r="AE232" s="41">
        <f t="shared" si="57"/>
        <v>20</v>
      </c>
      <c r="AF232" s="41">
        <f t="shared" si="57"/>
        <v>39</v>
      </c>
      <c r="AG232" s="42">
        <f t="shared" si="57"/>
        <v>37</v>
      </c>
      <c r="AH232" s="42">
        <f t="shared" si="57"/>
        <v>174</v>
      </c>
      <c r="AI232" s="77">
        <f t="shared" si="49"/>
        <v>434</v>
      </c>
    </row>
    <row r="235" spans="1:36" ht="19.5" thickBot="1" x14ac:dyDescent="0.25">
      <c r="A235" s="1" t="s">
        <v>19</v>
      </c>
      <c r="S235" s="1" t="s">
        <v>37</v>
      </c>
    </row>
    <row r="236" spans="1:36" ht="14.25" thickBot="1" x14ac:dyDescent="0.2">
      <c r="A236" s="3" t="s">
        <v>0</v>
      </c>
      <c r="B236" s="371" t="s">
        <v>17</v>
      </c>
      <c r="C236" s="372"/>
      <c r="D236" s="372"/>
      <c r="E236" s="372"/>
      <c r="F236" s="373"/>
      <c r="G236" s="371" t="s">
        <v>18</v>
      </c>
      <c r="H236" s="372"/>
      <c r="I236" s="372"/>
      <c r="J236" s="372"/>
      <c r="K236" s="373"/>
      <c r="L236" s="371" t="s">
        <v>38</v>
      </c>
      <c r="M236" s="372"/>
      <c r="N236" s="372"/>
      <c r="O236" s="372"/>
      <c r="P236" s="373"/>
      <c r="Q236" s="360" t="s">
        <v>1</v>
      </c>
      <c r="S236" s="3" t="s">
        <v>0</v>
      </c>
      <c r="T236" s="371" t="s">
        <v>17</v>
      </c>
      <c r="U236" s="372"/>
      <c r="V236" s="372"/>
      <c r="W236" s="372"/>
      <c r="X236" s="373"/>
      <c r="Y236" s="371" t="s">
        <v>18</v>
      </c>
      <c r="Z236" s="372"/>
      <c r="AA236" s="372"/>
      <c r="AB236" s="372"/>
      <c r="AC236" s="373"/>
      <c r="AD236" s="371" t="s">
        <v>38</v>
      </c>
      <c r="AE236" s="372"/>
      <c r="AF236" s="372"/>
      <c r="AG236" s="372"/>
      <c r="AH236" s="373"/>
      <c r="AI236" s="360" t="s">
        <v>1</v>
      </c>
    </row>
    <row r="237" spans="1:36" ht="14.25" thickBot="1" x14ac:dyDescent="0.2">
      <c r="A237" s="5" t="s">
        <v>2</v>
      </c>
      <c r="B237" s="150" t="s">
        <v>3</v>
      </c>
      <c r="C237" s="151" t="s">
        <v>4</v>
      </c>
      <c r="D237" s="151" t="s">
        <v>5</v>
      </c>
      <c r="E237" s="152" t="s">
        <v>6</v>
      </c>
      <c r="F237" s="5" t="s">
        <v>7</v>
      </c>
      <c r="G237" s="6" t="s">
        <v>3</v>
      </c>
      <c r="H237" s="7" t="s">
        <v>4</v>
      </c>
      <c r="I237" s="7" t="s">
        <v>5</v>
      </c>
      <c r="J237" s="8" t="s">
        <v>6</v>
      </c>
      <c r="K237" s="5" t="s">
        <v>7</v>
      </c>
      <c r="L237" s="6" t="s">
        <v>3</v>
      </c>
      <c r="M237" s="7" t="s">
        <v>4</v>
      </c>
      <c r="N237" s="7" t="s">
        <v>5</v>
      </c>
      <c r="O237" s="8" t="s">
        <v>6</v>
      </c>
      <c r="P237" s="5" t="s">
        <v>7</v>
      </c>
      <c r="Q237" s="375"/>
      <c r="S237" s="5" t="s">
        <v>2</v>
      </c>
      <c r="T237" s="150" t="s">
        <v>3</v>
      </c>
      <c r="U237" s="151" t="s">
        <v>4</v>
      </c>
      <c r="V237" s="151" t="s">
        <v>5</v>
      </c>
      <c r="W237" s="152" t="s">
        <v>6</v>
      </c>
      <c r="X237" s="5" t="s">
        <v>7</v>
      </c>
      <c r="Y237" s="6" t="s">
        <v>3</v>
      </c>
      <c r="Z237" s="7" t="s">
        <v>4</v>
      </c>
      <c r="AA237" s="7" t="s">
        <v>5</v>
      </c>
      <c r="AB237" s="8" t="s">
        <v>6</v>
      </c>
      <c r="AC237" s="5" t="s">
        <v>7</v>
      </c>
      <c r="AD237" s="6" t="s">
        <v>3</v>
      </c>
      <c r="AE237" s="7" t="s">
        <v>4</v>
      </c>
      <c r="AF237" s="7" t="s">
        <v>5</v>
      </c>
      <c r="AG237" s="8" t="s">
        <v>6</v>
      </c>
      <c r="AH237" s="5" t="s">
        <v>7</v>
      </c>
      <c r="AI237" s="375"/>
    </row>
    <row r="238" spans="1:36" ht="14.25" x14ac:dyDescent="0.15">
      <c r="A238" s="68" t="s">
        <v>30</v>
      </c>
      <c r="B238" s="144">
        <f>B232</f>
        <v>2</v>
      </c>
      <c r="C238" s="154">
        <f>C232</f>
        <v>0</v>
      </c>
      <c r="D238" s="154">
        <f>D232</f>
        <v>1</v>
      </c>
      <c r="E238" s="155">
        <f>E232</f>
        <v>4</v>
      </c>
      <c r="F238" s="149">
        <f>SUM(B238:E238)</f>
        <v>7</v>
      </c>
      <c r="G238" s="144">
        <f>G232</f>
        <v>10</v>
      </c>
      <c r="H238" s="154">
        <f>H232</f>
        <v>4</v>
      </c>
      <c r="I238" s="154">
        <f>I232</f>
        <v>8</v>
      </c>
      <c r="J238" s="155">
        <f>J232</f>
        <v>8</v>
      </c>
      <c r="K238" s="149">
        <f>SUM(G238:J238)</f>
        <v>30</v>
      </c>
      <c r="L238" s="144">
        <f>L232</f>
        <v>2</v>
      </c>
      <c r="M238" s="154">
        <f>M232</f>
        <v>4</v>
      </c>
      <c r="N238" s="154">
        <f>N232</f>
        <v>7</v>
      </c>
      <c r="O238" s="155">
        <f>O232</f>
        <v>3</v>
      </c>
      <c r="P238" s="149">
        <f>SUM(L238:O238)</f>
        <v>16</v>
      </c>
      <c r="Q238" s="72">
        <f t="shared" ref="Q238:Q271" si="58">K238+P238+F238</f>
        <v>53</v>
      </c>
      <c r="S238" s="68" t="s">
        <v>30</v>
      </c>
      <c r="T238" s="144">
        <f>T232</f>
        <v>57</v>
      </c>
      <c r="U238" s="154">
        <f>U232</f>
        <v>1</v>
      </c>
      <c r="V238" s="154">
        <f>V232</f>
        <v>27</v>
      </c>
      <c r="W238" s="155">
        <f>W232</f>
        <v>35</v>
      </c>
      <c r="X238" s="149">
        <f t="shared" ref="X238:X243" si="59">SUM(T238:W238)</f>
        <v>120</v>
      </c>
      <c r="Y238" s="144">
        <f>Y232</f>
        <v>48</v>
      </c>
      <c r="Z238" s="154">
        <f>Z232</f>
        <v>5</v>
      </c>
      <c r="AA238" s="154">
        <f>AA232</f>
        <v>49</v>
      </c>
      <c r="AB238" s="155">
        <f>AB232</f>
        <v>38</v>
      </c>
      <c r="AC238" s="149">
        <f>SUM(Y238:AB238)</f>
        <v>140</v>
      </c>
      <c r="AD238" s="144">
        <f>AD232</f>
        <v>78</v>
      </c>
      <c r="AE238" s="154">
        <f>AE232</f>
        <v>20</v>
      </c>
      <c r="AF238" s="154">
        <f>AF232</f>
        <v>39</v>
      </c>
      <c r="AG238" s="155">
        <f>AG232</f>
        <v>37</v>
      </c>
      <c r="AH238" s="149">
        <f>SUM(AD238:AG238)</f>
        <v>174</v>
      </c>
      <c r="AI238" s="72">
        <f t="shared" ref="AI238:AI271" si="60">AC238+AH238+X238</f>
        <v>434</v>
      </c>
    </row>
    <row r="239" spans="1:36" x14ac:dyDescent="0.15">
      <c r="A239" s="148" t="s">
        <v>39</v>
      </c>
      <c r="B239" s="54">
        <v>3</v>
      </c>
      <c r="C239" s="153"/>
      <c r="D239" s="153">
        <v>2</v>
      </c>
      <c r="E239" s="156"/>
      <c r="F239" s="49">
        <f t="shared" ref="F239:F269" si="61">SUM(B239:E239)</f>
        <v>5</v>
      </c>
      <c r="G239" s="54"/>
      <c r="H239" s="55">
        <v>3</v>
      </c>
      <c r="I239" s="55"/>
      <c r="J239" s="55"/>
      <c r="K239" s="49">
        <f t="shared" ref="K239:K269" si="62">SUM(G239:J239)</f>
        <v>3</v>
      </c>
      <c r="L239" s="54"/>
      <c r="M239" s="55"/>
      <c r="N239" s="55"/>
      <c r="O239" s="55"/>
      <c r="P239" s="49">
        <f t="shared" ref="P239:P269" si="63">SUM(L239:O239)</f>
        <v>0</v>
      </c>
      <c r="Q239" s="49">
        <f t="shared" si="58"/>
        <v>8</v>
      </c>
      <c r="R239" s="50">
        <v>43626</v>
      </c>
      <c r="S239" s="148" t="s">
        <v>39</v>
      </c>
      <c r="T239" s="54"/>
      <c r="U239" s="153"/>
      <c r="V239" s="153"/>
      <c r="W239" s="156"/>
      <c r="X239" s="49">
        <f t="shared" si="59"/>
        <v>0</v>
      </c>
      <c r="Y239" s="54"/>
      <c r="Z239" s="55"/>
      <c r="AA239" s="55"/>
      <c r="AB239" s="55"/>
      <c r="AC239" s="49">
        <f t="shared" ref="AC239:AC268" si="64">SUM(Y239:AB239)</f>
        <v>0</v>
      </c>
      <c r="AD239" s="54"/>
      <c r="AE239" s="55"/>
      <c r="AF239" s="55"/>
      <c r="AG239" s="55"/>
      <c r="AH239" s="49">
        <f t="shared" ref="AH239:AH268" si="65">SUM(AD239:AG239)</f>
        <v>0</v>
      </c>
      <c r="AI239" s="49">
        <f t="shared" si="60"/>
        <v>0</v>
      </c>
    </row>
    <row r="240" spans="1:36" x14ac:dyDescent="0.15">
      <c r="A240" s="148" t="s">
        <v>29</v>
      </c>
      <c r="B240" s="54"/>
      <c r="C240" s="153"/>
      <c r="D240" s="153"/>
      <c r="E240" s="156"/>
      <c r="F240" s="49">
        <f t="shared" si="61"/>
        <v>0</v>
      </c>
      <c r="G240" s="54">
        <v>1</v>
      </c>
      <c r="H240" s="55">
        <v>1</v>
      </c>
      <c r="I240" s="55"/>
      <c r="J240" s="55">
        <v>3</v>
      </c>
      <c r="K240" s="49">
        <f t="shared" si="62"/>
        <v>5</v>
      </c>
      <c r="L240" s="54"/>
      <c r="M240" s="55">
        <v>1</v>
      </c>
      <c r="N240" s="55"/>
      <c r="O240" s="55"/>
      <c r="P240" s="49">
        <f t="shared" si="63"/>
        <v>1</v>
      </c>
      <c r="Q240" s="49">
        <f t="shared" si="58"/>
        <v>6</v>
      </c>
      <c r="R240" s="14">
        <v>43622</v>
      </c>
      <c r="S240" s="148" t="s">
        <v>40</v>
      </c>
      <c r="T240" s="54"/>
      <c r="U240" s="153"/>
      <c r="V240" s="153"/>
      <c r="W240" s="156"/>
      <c r="X240" s="49">
        <f t="shared" si="59"/>
        <v>0</v>
      </c>
      <c r="Y240" s="54">
        <v>48</v>
      </c>
      <c r="Z240" s="55">
        <v>100</v>
      </c>
      <c r="AA240" s="55">
        <v>89</v>
      </c>
      <c r="AB240" s="55">
        <v>60</v>
      </c>
      <c r="AC240" s="49">
        <f t="shared" si="64"/>
        <v>297</v>
      </c>
      <c r="AD240" s="54">
        <v>50</v>
      </c>
      <c r="AE240" s="55">
        <v>97</v>
      </c>
      <c r="AF240" s="55">
        <v>80</v>
      </c>
      <c r="AG240" s="55">
        <v>69</v>
      </c>
      <c r="AH240" s="49">
        <f t="shared" si="65"/>
        <v>296</v>
      </c>
      <c r="AI240" s="49">
        <f t="shared" si="60"/>
        <v>593</v>
      </c>
      <c r="AJ240" s="50">
        <v>43623</v>
      </c>
    </row>
    <row r="241" spans="1:36" x14ac:dyDescent="0.15">
      <c r="A241" s="148" t="s">
        <v>57</v>
      </c>
      <c r="B241" s="54"/>
      <c r="C241" s="153"/>
      <c r="D241" s="153"/>
      <c r="E241" s="156"/>
      <c r="F241" s="49">
        <f t="shared" si="61"/>
        <v>0</v>
      </c>
      <c r="G241" s="54">
        <v>2</v>
      </c>
      <c r="H241" s="55">
        <v>1</v>
      </c>
      <c r="I241" s="55">
        <v>1</v>
      </c>
      <c r="J241" s="55">
        <v>1</v>
      </c>
      <c r="K241" s="49">
        <f t="shared" si="62"/>
        <v>5</v>
      </c>
      <c r="L241" s="54">
        <v>1</v>
      </c>
      <c r="M241" s="55">
        <v>2</v>
      </c>
      <c r="N241" s="55">
        <v>1</v>
      </c>
      <c r="O241" s="55">
        <v>1</v>
      </c>
      <c r="P241" s="49">
        <f>SUM(L241:O241)</f>
        <v>5</v>
      </c>
      <c r="Q241" s="49">
        <f t="shared" si="58"/>
        <v>10</v>
      </c>
      <c r="R241" s="14">
        <v>43629</v>
      </c>
      <c r="S241" s="148" t="s">
        <v>41</v>
      </c>
      <c r="T241" s="54"/>
      <c r="U241" s="153"/>
      <c r="V241" s="153"/>
      <c r="W241" s="156">
        <v>-1</v>
      </c>
      <c r="X241" s="49">
        <f t="shared" si="59"/>
        <v>-1</v>
      </c>
      <c r="Y241" s="54"/>
      <c r="Z241" s="55"/>
      <c r="AA241" s="55"/>
      <c r="AB241" s="55"/>
      <c r="AC241" s="49">
        <f t="shared" si="64"/>
        <v>0</v>
      </c>
      <c r="AD241" s="54"/>
      <c r="AE241" s="55"/>
      <c r="AF241" s="55"/>
      <c r="AG241" s="55">
        <v>2</v>
      </c>
      <c r="AH241" s="49">
        <f t="shared" si="65"/>
        <v>2</v>
      </c>
      <c r="AI241" s="49">
        <f t="shared" si="60"/>
        <v>1</v>
      </c>
      <c r="AJ241" s="50">
        <v>43631</v>
      </c>
    </row>
    <row r="242" spans="1:36" ht="14.25" thickBot="1" x14ac:dyDescent="0.2">
      <c r="A242" s="148" t="s">
        <v>29</v>
      </c>
      <c r="B242" s="157">
        <v>1</v>
      </c>
      <c r="C242" s="158"/>
      <c r="D242" s="158"/>
      <c r="E242" s="159">
        <v>1</v>
      </c>
      <c r="F242" s="49">
        <f t="shared" si="61"/>
        <v>2</v>
      </c>
      <c r="G242" s="54">
        <v>1</v>
      </c>
      <c r="H242" s="55">
        <v>2</v>
      </c>
      <c r="I242" s="55"/>
      <c r="J242" s="55"/>
      <c r="K242" s="49">
        <f t="shared" si="62"/>
        <v>3</v>
      </c>
      <c r="L242" s="54"/>
      <c r="M242" s="55"/>
      <c r="N242" s="55">
        <v>1</v>
      </c>
      <c r="O242" s="55"/>
      <c r="P242" s="49">
        <f t="shared" si="63"/>
        <v>1</v>
      </c>
      <c r="Q242" s="78">
        <f t="shared" si="58"/>
        <v>6</v>
      </c>
      <c r="S242" s="148" t="s">
        <v>61</v>
      </c>
      <c r="T242" s="157">
        <v>1</v>
      </c>
      <c r="U242" s="158"/>
      <c r="V242" s="158"/>
      <c r="W242" s="159">
        <v>1</v>
      </c>
      <c r="X242" s="49">
        <f t="shared" si="59"/>
        <v>2</v>
      </c>
      <c r="Y242" s="54">
        <v>1</v>
      </c>
      <c r="Z242" s="55">
        <v>3</v>
      </c>
      <c r="AA242" s="55">
        <v>2</v>
      </c>
      <c r="AB242" s="55">
        <v>4</v>
      </c>
      <c r="AC242" s="49">
        <f t="shared" si="64"/>
        <v>10</v>
      </c>
      <c r="AD242" s="54"/>
      <c r="AE242" s="55">
        <v>3</v>
      </c>
      <c r="AF242" s="55">
        <v>5</v>
      </c>
      <c r="AG242" s="55"/>
      <c r="AH242" s="49">
        <f t="shared" si="65"/>
        <v>8</v>
      </c>
      <c r="AI242" s="78">
        <f t="shared" si="60"/>
        <v>20</v>
      </c>
      <c r="AJ242" s="14">
        <v>43637</v>
      </c>
    </row>
    <row r="243" spans="1:36" ht="15" thickBot="1" x14ac:dyDescent="0.2">
      <c r="A243" s="4" t="s">
        <v>14</v>
      </c>
      <c r="B243" s="23">
        <f>SUM(B238:B242)</f>
        <v>6</v>
      </c>
      <c r="C243" s="24">
        <f>SUM(C238:C242)</f>
        <v>0</v>
      </c>
      <c r="D243" s="24">
        <f>SUM(D238:D242)</f>
        <v>3</v>
      </c>
      <c r="E243" s="24">
        <f>SUM(E238:E242)</f>
        <v>5</v>
      </c>
      <c r="F243" s="25">
        <f t="shared" si="61"/>
        <v>14</v>
      </c>
      <c r="G243" s="23">
        <f>SUM(G238:G242)</f>
        <v>14</v>
      </c>
      <c r="H243" s="24">
        <f>SUM(H238:H242)</f>
        <v>11</v>
      </c>
      <c r="I243" s="24">
        <f>SUM(I238:I242)</f>
        <v>9</v>
      </c>
      <c r="J243" s="24">
        <f>SUM(J238:J242)</f>
        <v>12</v>
      </c>
      <c r="K243" s="25">
        <f t="shared" si="62"/>
        <v>46</v>
      </c>
      <c r="L243" s="23">
        <f>SUM(L238:L242)</f>
        <v>3</v>
      </c>
      <c r="M243" s="24">
        <f>SUM(M238:M242)</f>
        <v>7</v>
      </c>
      <c r="N243" s="24">
        <f>SUM(N238:N242)</f>
        <v>9</v>
      </c>
      <c r="O243" s="24">
        <f>SUM(O238:O242)</f>
        <v>4</v>
      </c>
      <c r="P243" s="25">
        <f t="shared" si="63"/>
        <v>23</v>
      </c>
      <c r="Q243" s="77">
        <f t="shared" si="58"/>
        <v>83</v>
      </c>
      <c r="S243" s="4" t="s">
        <v>14</v>
      </c>
      <c r="T243" s="23">
        <f>SUM(T238:T242)</f>
        <v>58</v>
      </c>
      <c r="U243" s="24">
        <f>SUM(U238:U242)</f>
        <v>1</v>
      </c>
      <c r="V243" s="24">
        <f>SUM(V238:V242)</f>
        <v>27</v>
      </c>
      <c r="W243" s="24">
        <f>SUM(W238:W242)</f>
        <v>35</v>
      </c>
      <c r="X243" s="25">
        <f t="shared" si="59"/>
        <v>121</v>
      </c>
      <c r="Y243" s="23">
        <f>SUM(Y238:Y242)</f>
        <v>97</v>
      </c>
      <c r="Z243" s="24">
        <f>SUM(Z238:Z242)</f>
        <v>108</v>
      </c>
      <c r="AA243" s="24">
        <f>SUM(AA238:AA242)</f>
        <v>140</v>
      </c>
      <c r="AB243" s="24">
        <f>SUM(AB238:AB242)</f>
        <v>102</v>
      </c>
      <c r="AC243" s="25">
        <f t="shared" si="64"/>
        <v>447</v>
      </c>
      <c r="AD243" s="23">
        <f>SUM(AD238:AD242)</f>
        <v>128</v>
      </c>
      <c r="AE243" s="24">
        <f>SUM(AE238:AE242)</f>
        <v>120</v>
      </c>
      <c r="AF243" s="24">
        <f>SUM(AF238:AF242)</f>
        <v>124</v>
      </c>
      <c r="AG243" s="24">
        <f>SUM(AG238:AG242)</f>
        <v>108</v>
      </c>
      <c r="AH243" s="25">
        <f t="shared" si="65"/>
        <v>480</v>
      </c>
      <c r="AI243" s="77">
        <f t="shared" si="60"/>
        <v>1048</v>
      </c>
    </row>
    <row r="244" spans="1:36" x14ac:dyDescent="0.15">
      <c r="A244" s="53" t="s">
        <v>51</v>
      </c>
      <c r="B244" s="46"/>
      <c r="C244" s="47"/>
      <c r="D244" s="47"/>
      <c r="E244" s="47"/>
      <c r="F244" s="48">
        <f t="shared" si="61"/>
        <v>0</v>
      </c>
      <c r="G244" s="46"/>
      <c r="H244" s="47"/>
      <c r="I244" s="47"/>
      <c r="J244" s="47">
        <v>1</v>
      </c>
      <c r="K244" s="48">
        <f t="shared" si="62"/>
        <v>1</v>
      </c>
      <c r="L244" s="46"/>
      <c r="M244" s="47"/>
      <c r="N244" s="47"/>
      <c r="O244" s="47"/>
      <c r="P244" s="48">
        <f t="shared" si="63"/>
        <v>0</v>
      </c>
      <c r="Q244" s="49">
        <f t="shared" si="58"/>
        <v>1</v>
      </c>
      <c r="R244" s="14">
        <v>43621</v>
      </c>
      <c r="S244" s="53" t="s">
        <v>52</v>
      </c>
      <c r="T244" s="46"/>
      <c r="U244" s="47"/>
      <c r="V244" s="47"/>
      <c r="W244" s="47"/>
      <c r="X244" s="48">
        <f t="shared" ref="X244:X268" si="66">SUM(T244:W244)</f>
        <v>0</v>
      </c>
      <c r="Y244" s="46"/>
      <c r="Z244" s="47">
        <v>10</v>
      </c>
      <c r="AA244" s="47"/>
      <c r="AB244" s="47"/>
      <c r="AC244" s="48">
        <f t="shared" si="64"/>
        <v>10</v>
      </c>
      <c r="AD244" s="46"/>
      <c r="AE244" s="47"/>
      <c r="AF244" s="47"/>
      <c r="AG244" s="47"/>
      <c r="AH244" s="48">
        <f t="shared" si="65"/>
        <v>0</v>
      </c>
      <c r="AI244" s="49">
        <f t="shared" si="60"/>
        <v>10</v>
      </c>
      <c r="AJ244" s="50">
        <v>43626</v>
      </c>
    </row>
    <row r="245" spans="1:36" x14ac:dyDescent="0.15">
      <c r="A245" s="53" t="s">
        <v>60</v>
      </c>
      <c r="B245" s="54">
        <v>1</v>
      </c>
      <c r="C245" s="55"/>
      <c r="D245" s="55"/>
      <c r="E245" s="55"/>
      <c r="F245" s="56">
        <f t="shared" si="61"/>
        <v>1</v>
      </c>
      <c r="G245" s="54"/>
      <c r="H245" s="55"/>
      <c r="I245" s="55"/>
      <c r="J245" s="55"/>
      <c r="K245" s="56">
        <f t="shared" si="62"/>
        <v>0</v>
      </c>
      <c r="L245" s="54"/>
      <c r="M245" s="55"/>
      <c r="N245" s="55"/>
      <c r="O245" s="55"/>
      <c r="P245" s="56">
        <f t="shared" si="63"/>
        <v>0</v>
      </c>
      <c r="Q245" s="49">
        <f t="shared" si="58"/>
        <v>1</v>
      </c>
      <c r="R245" s="50">
        <v>43623</v>
      </c>
      <c r="S245" s="53" t="s">
        <v>52</v>
      </c>
      <c r="T245" s="54"/>
      <c r="U245" s="55"/>
      <c r="V245" s="55"/>
      <c r="W245" s="55"/>
      <c r="X245" s="56">
        <f t="shared" si="66"/>
        <v>0</v>
      </c>
      <c r="Y245" s="54"/>
      <c r="Z245" s="55"/>
      <c r="AA245" s="55"/>
      <c r="AB245" s="55"/>
      <c r="AC245" s="56">
        <f t="shared" si="64"/>
        <v>0</v>
      </c>
      <c r="AD245" s="54">
        <v>5</v>
      </c>
      <c r="AE245" s="55"/>
      <c r="AF245" s="55"/>
      <c r="AG245" s="55"/>
      <c r="AH245" s="56">
        <f t="shared" si="65"/>
        <v>5</v>
      </c>
      <c r="AI245" s="49">
        <f t="shared" si="60"/>
        <v>5</v>
      </c>
      <c r="AJ245" s="50">
        <v>43628</v>
      </c>
    </row>
    <row r="246" spans="1:36" x14ac:dyDescent="0.15">
      <c r="A246" s="53" t="s">
        <v>51</v>
      </c>
      <c r="B246" s="54"/>
      <c r="C246" s="55"/>
      <c r="D246" s="55"/>
      <c r="E246" s="55"/>
      <c r="F246" s="56">
        <f t="shared" si="61"/>
        <v>0</v>
      </c>
      <c r="G246" s="54"/>
      <c r="H246" s="55">
        <v>1</v>
      </c>
      <c r="I246" s="55"/>
      <c r="J246" s="55"/>
      <c r="K246" s="56">
        <f t="shared" si="62"/>
        <v>1</v>
      </c>
      <c r="L246" s="54"/>
      <c r="M246" s="55"/>
      <c r="N246" s="55"/>
      <c r="O246" s="55"/>
      <c r="P246" s="56">
        <f t="shared" si="63"/>
        <v>0</v>
      </c>
      <c r="Q246" s="49">
        <f t="shared" si="58"/>
        <v>1</v>
      </c>
      <c r="R246" s="14">
        <v>43622</v>
      </c>
      <c r="S246" s="53" t="s">
        <v>55</v>
      </c>
      <c r="T246" s="54"/>
      <c r="U246" s="55">
        <v>1</v>
      </c>
      <c r="V246" s="55"/>
      <c r="W246" s="55"/>
      <c r="X246" s="56">
        <f t="shared" si="66"/>
        <v>1</v>
      </c>
      <c r="Y246" s="54"/>
      <c r="Z246" s="55"/>
      <c r="AA246" s="55"/>
      <c r="AB246" s="55"/>
      <c r="AC246" s="56">
        <f t="shared" si="64"/>
        <v>0</v>
      </c>
      <c r="AD246" s="54"/>
      <c r="AE246" s="55"/>
      <c r="AF246" s="55"/>
      <c r="AG246" s="55"/>
      <c r="AH246" s="56">
        <f t="shared" si="65"/>
        <v>0</v>
      </c>
      <c r="AI246" s="49">
        <f t="shared" si="60"/>
        <v>1</v>
      </c>
      <c r="AJ246" s="50">
        <v>43628</v>
      </c>
    </row>
    <row r="247" spans="1:36" x14ac:dyDescent="0.15">
      <c r="A247" s="53" t="s">
        <v>51</v>
      </c>
      <c r="B247" s="54"/>
      <c r="C247" s="55"/>
      <c r="D247" s="55"/>
      <c r="E247" s="55"/>
      <c r="F247" s="56">
        <f t="shared" si="61"/>
        <v>0</v>
      </c>
      <c r="G247" s="54">
        <v>1</v>
      </c>
      <c r="H247" s="55"/>
      <c r="I247" s="55"/>
      <c r="J247" s="55">
        <v>1</v>
      </c>
      <c r="K247" s="56">
        <f t="shared" si="62"/>
        <v>2</v>
      </c>
      <c r="L247" s="54"/>
      <c r="M247" s="55"/>
      <c r="N247" s="55"/>
      <c r="O247" s="55"/>
      <c r="P247" s="56">
        <f t="shared" si="63"/>
        <v>0</v>
      </c>
      <c r="Q247" s="49">
        <f t="shared" si="58"/>
        <v>2</v>
      </c>
      <c r="R247" s="14">
        <v>43623</v>
      </c>
      <c r="S247" s="53" t="s">
        <v>55</v>
      </c>
      <c r="T247" s="54"/>
      <c r="U247" s="55"/>
      <c r="V247" s="55"/>
      <c r="W247" s="55"/>
      <c r="X247" s="56">
        <f t="shared" si="66"/>
        <v>0</v>
      </c>
      <c r="Y247" s="54"/>
      <c r="Z247" s="55"/>
      <c r="AA247" s="55">
        <v>5</v>
      </c>
      <c r="AB247" s="55"/>
      <c r="AC247" s="56">
        <f t="shared" si="64"/>
        <v>5</v>
      </c>
      <c r="AD247" s="54"/>
      <c r="AE247" s="55"/>
      <c r="AF247" s="55"/>
      <c r="AG247" s="55"/>
      <c r="AH247" s="56">
        <f t="shared" si="65"/>
        <v>0</v>
      </c>
      <c r="AI247" s="49">
        <f t="shared" si="60"/>
        <v>5</v>
      </c>
      <c r="AJ247" s="50">
        <v>43629</v>
      </c>
    </row>
    <row r="248" spans="1:36" x14ac:dyDescent="0.15">
      <c r="A248" s="53" t="s">
        <v>54</v>
      </c>
      <c r="B248" s="54"/>
      <c r="C248" s="55"/>
      <c r="D248" s="55"/>
      <c r="E248" s="55">
        <v>1</v>
      </c>
      <c r="F248" s="56">
        <f t="shared" si="61"/>
        <v>1</v>
      </c>
      <c r="G248" s="54">
        <v>2</v>
      </c>
      <c r="H248" s="55">
        <v>1</v>
      </c>
      <c r="I248" s="55"/>
      <c r="J248" s="55"/>
      <c r="K248" s="56">
        <f t="shared" si="62"/>
        <v>3</v>
      </c>
      <c r="L248" s="54"/>
      <c r="M248" s="55">
        <v>1</v>
      </c>
      <c r="N248" s="55"/>
      <c r="O248" s="55"/>
      <c r="P248" s="56">
        <f t="shared" si="63"/>
        <v>1</v>
      </c>
      <c r="Q248" s="49">
        <f t="shared" si="58"/>
        <v>5</v>
      </c>
      <c r="R248" s="50">
        <v>43627</v>
      </c>
      <c r="S248" s="53" t="s">
        <v>21</v>
      </c>
      <c r="T248" s="54">
        <v>3</v>
      </c>
      <c r="U248" s="55"/>
      <c r="V248" s="55">
        <v>2</v>
      </c>
      <c r="W248" s="55"/>
      <c r="X248" s="56">
        <f t="shared" si="66"/>
        <v>5</v>
      </c>
      <c r="Y248" s="54"/>
      <c r="Z248" s="55">
        <v>3</v>
      </c>
      <c r="AA248" s="55"/>
      <c r="AB248" s="55"/>
      <c r="AC248" s="56">
        <f t="shared" si="64"/>
        <v>3</v>
      </c>
      <c r="AD248" s="54"/>
      <c r="AE248" s="55"/>
      <c r="AF248" s="55"/>
      <c r="AG248" s="55"/>
      <c r="AH248" s="56">
        <f t="shared" si="65"/>
        <v>0</v>
      </c>
      <c r="AI248" s="49">
        <f t="shared" si="60"/>
        <v>8</v>
      </c>
      <c r="AJ248" s="50">
        <v>43626</v>
      </c>
    </row>
    <row r="249" spans="1:36" x14ac:dyDescent="0.15">
      <c r="A249" s="53" t="s">
        <v>51</v>
      </c>
      <c r="B249" s="54"/>
      <c r="C249" s="55"/>
      <c r="D249" s="55">
        <v>1</v>
      </c>
      <c r="E249" s="55"/>
      <c r="F249" s="56">
        <f t="shared" si="61"/>
        <v>1</v>
      </c>
      <c r="G249" s="54">
        <v>1</v>
      </c>
      <c r="H249" s="55">
        <v>1</v>
      </c>
      <c r="I249" s="55"/>
      <c r="J249" s="55">
        <v>1</v>
      </c>
      <c r="K249" s="56">
        <f t="shared" si="62"/>
        <v>3</v>
      </c>
      <c r="L249" s="54"/>
      <c r="M249" s="55"/>
      <c r="N249" s="55"/>
      <c r="O249" s="55"/>
      <c r="P249" s="56">
        <f t="shared" si="63"/>
        <v>0</v>
      </c>
      <c r="Q249" s="49">
        <f t="shared" si="58"/>
        <v>4</v>
      </c>
      <c r="R249" s="14">
        <v>43626</v>
      </c>
      <c r="S249" s="53" t="s">
        <v>55</v>
      </c>
      <c r="T249" s="54"/>
      <c r="U249" s="55"/>
      <c r="V249" s="55"/>
      <c r="W249" s="55"/>
      <c r="X249" s="56">
        <f t="shared" si="66"/>
        <v>0</v>
      </c>
      <c r="Y249" s="54"/>
      <c r="Z249" s="55"/>
      <c r="AA249" s="55">
        <v>5</v>
      </c>
      <c r="AB249" s="55"/>
      <c r="AC249" s="56">
        <f t="shared" si="64"/>
        <v>5</v>
      </c>
      <c r="AD249" s="54"/>
      <c r="AE249" s="55"/>
      <c r="AF249" s="55"/>
      <c r="AG249" s="55"/>
      <c r="AH249" s="56">
        <f t="shared" si="65"/>
        <v>0</v>
      </c>
      <c r="AI249" s="49">
        <f t="shared" si="60"/>
        <v>5</v>
      </c>
      <c r="AJ249" s="50">
        <v>43629</v>
      </c>
    </row>
    <row r="250" spans="1:36" x14ac:dyDescent="0.15">
      <c r="A250" s="53" t="s">
        <v>51</v>
      </c>
      <c r="B250" s="54"/>
      <c r="C250" s="55"/>
      <c r="D250" s="55"/>
      <c r="E250" s="55"/>
      <c r="F250" s="56">
        <f t="shared" si="61"/>
        <v>0</v>
      </c>
      <c r="G250" s="54"/>
      <c r="H250" s="55"/>
      <c r="I250" s="55">
        <v>1</v>
      </c>
      <c r="J250" s="55"/>
      <c r="K250" s="56">
        <f t="shared" si="62"/>
        <v>1</v>
      </c>
      <c r="L250" s="54"/>
      <c r="M250" s="55"/>
      <c r="N250" s="55"/>
      <c r="O250" s="55"/>
      <c r="P250" s="56">
        <f t="shared" si="63"/>
        <v>0</v>
      </c>
      <c r="Q250" s="49">
        <f t="shared" si="58"/>
        <v>1</v>
      </c>
      <c r="R250" s="14">
        <v>43627</v>
      </c>
      <c r="S250" s="53" t="s">
        <v>55</v>
      </c>
      <c r="T250" s="54"/>
      <c r="U250" s="55"/>
      <c r="V250" s="55"/>
      <c r="W250" s="55">
        <v>3</v>
      </c>
      <c r="X250" s="56">
        <f t="shared" si="66"/>
        <v>3</v>
      </c>
      <c r="Y250" s="54"/>
      <c r="Z250" s="55">
        <v>10</v>
      </c>
      <c r="AA250" s="55"/>
      <c r="AB250" s="55"/>
      <c r="AC250" s="56">
        <f t="shared" si="64"/>
        <v>10</v>
      </c>
      <c r="AD250" s="54"/>
      <c r="AE250" s="55"/>
      <c r="AF250" s="55"/>
      <c r="AG250" s="55"/>
      <c r="AH250" s="56">
        <f t="shared" si="65"/>
        <v>0</v>
      </c>
      <c r="AI250" s="49">
        <f t="shared" si="60"/>
        <v>13</v>
      </c>
      <c r="AJ250" s="50">
        <v>43633</v>
      </c>
    </row>
    <row r="251" spans="1:36" x14ac:dyDescent="0.15">
      <c r="A251" s="53" t="s">
        <v>54</v>
      </c>
      <c r="B251" s="54"/>
      <c r="C251" s="55"/>
      <c r="D251" s="55"/>
      <c r="E251" s="55"/>
      <c r="F251" s="56">
        <f t="shared" si="61"/>
        <v>0</v>
      </c>
      <c r="G251" s="54">
        <v>1</v>
      </c>
      <c r="H251" s="55"/>
      <c r="I251" s="55"/>
      <c r="J251" s="55"/>
      <c r="K251" s="56">
        <f t="shared" si="62"/>
        <v>1</v>
      </c>
      <c r="L251" s="54"/>
      <c r="M251" s="55"/>
      <c r="N251" s="55"/>
      <c r="O251" s="55"/>
      <c r="P251" s="56">
        <f t="shared" si="63"/>
        <v>0</v>
      </c>
      <c r="Q251" s="49">
        <f t="shared" si="58"/>
        <v>1</v>
      </c>
      <c r="R251" s="50">
        <v>43629</v>
      </c>
      <c r="S251" s="53" t="s">
        <v>52</v>
      </c>
      <c r="T251" s="54"/>
      <c r="U251" s="55"/>
      <c r="V251" s="55"/>
      <c r="W251" s="55"/>
      <c r="X251" s="56">
        <f t="shared" si="66"/>
        <v>0</v>
      </c>
      <c r="Y251" s="54"/>
      <c r="Z251" s="55"/>
      <c r="AA251" s="55"/>
      <c r="AB251" s="55">
        <v>10</v>
      </c>
      <c r="AC251" s="56">
        <f t="shared" si="64"/>
        <v>10</v>
      </c>
      <c r="AD251" s="54"/>
      <c r="AE251" s="55"/>
      <c r="AF251" s="55"/>
      <c r="AG251" s="55"/>
      <c r="AH251" s="56">
        <f t="shared" si="65"/>
        <v>0</v>
      </c>
      <c r="AI251" s="49">
        <f t="shared" si="60"/>
        <v>10</v>
      </c>
      <c r="AJ251" s="50">
        <v>43633</v>
      </c>
    </row>
    <row r="252" spans="1:36" x14ac:dyDescent="0.15">
      <c r="A252" s="53" t="s">
        <v>51</v>
      </c>
      <c r="B252" s="17"/>
      <c r="C252" s="18"/>
      <c r="D252" s="18"/>
      <c r="E252" s="18"/>
      <c r="F252" s="30">
        <f t="shared" si="61"/>
        <v>0</v>
      </c>
      <c r="G252" s="17"/>
      <c r="H252" s="18"/>
      <c r="I252" s="18"/>
      <c r="J252" s="18">
        <v>1</v>
      </c>
      <c r="K252" s="30">
        <f t="shared" si="62"/>
        <v>1</v>
      </c>
      <c r="L252" s="17"/>
      <c r="M252" s="18">
        <v>1</v>
      </c>
      <c r="N252" s="18"/>
      <c r="O252" s="18"/>
      <c r="P252" s="30">
        <f t="shared" si="63"/>
        <v>1</v>
      </c>
      <c r="Q252" s="49">
        <f t="shared" si="58"/>
        <v>2</v>
      </c>
      <c r="R252" s="14">
        <v>43629</v>
      </c>
      <c r="S252" s="53" t="s">
        <v>52</v>
      </c>
      <c r="T252" s="17"/>
      <c r="U252" s="18"/>
      <c r="V252" s="18"/>
      <c r="W252" s="18"/>
      <c r="X252" s="30">
        <f t="shared" si="66"/>
        <v>0</v>
      </c>
      <c r="Y252" s="17">
        <v>10</v>
      </c>
      <c r="Z252" s="18"/>
      <c r="AA252" s="18"/>
      <c r="AB252" s="18"/>
      <c r="AC252" s="30">
        <f t="shared" si="64"/>
        <v>10</v>
      </c>
      <c r="AD252" s="17"/>
      <c r="AE252" s="18">
        <v>5</v>
      </c>
      <c r="AF252" s="18"/>
      <c r="AG252" s="18"/>
      <c r="AH252" s="30">
        <f t="shared" si="65"/>
        <v>5</v>
      </c>
      <c r="AI252" s="49">
        <f t="shared" si="60"/>
        <v>15</v>
      </c>
      <c r="AJ252" s="50">
        <v>43633</v>
      </c>
    </row>
    <row r="253" spans="1:36" x14ac:dyDescent="0.15">
      <c r="A253" s="53" t="s">
        <v>51</v>
      </c>
      <c r="B253" s="54"/>
      <c r="C253" s="55"/>
      <c r="D253" s="55"/>
      <c r="E253" s="55"/>
      <c r="F253" s="56">
        <f t="shared" si="61"/>
        <v>0</v>
      </c>
      <c r="G253" s="54">
        <v>1</v>
      </c>
      <c r="H253" s="55"/>
      <c r="I253" s="55"/>
      <c r="J253" s="55"/>
      <c r="K253" s="56">
        <f t="shared" si="62"/>
        <v>1</v>
      </c>
      <c r="L253" s="54"/>
      <c r="M253" s="55"/>
      <c r="N253" s="55"/>
      <c r="O253" s="55"/>
      <c r="P253" s="56">
        <f t="shared" si="63"/>
        <v>0</v>
      </c>
      <c r="Q253" s="49">
        <f t="shared" si="58"/>
        <v>1</v>
      </c>
      <c r="R253" s="14">
        <v>43630</v>
      </c>
      <c r="S253" s="53" t="s">
        <v>52</v>
      </c>
      <c r="T253" s="54"/>
      <c r="U253" s="55"/>
      <c r="V253" s="55"/>
      <c r="W253" s="55"/>
      <c r="X253" s="56">
        <f t="shared" si="66"/>
        <v>0</v>
      </c>
      <c r="Y253" s="54"/>
      <c r="Z253" s="55"/>
      <c r="AA253" s="55">
        <v>10</v>
      </c>
      <c r="AB253" s="55"/>
      <c r="AC253" s="56">
        <f t="shared" si="64"/>
        <v>10</v>
      </c>
      <c r="AD253" s="54"/>
      <c r="AE253" s="55"/>
      <c r="AF253" s="55"/>
      <c r="AG253" s="55"/>
      <c r="AH253" s="56">
        <f t="shared" si="65"/>
        <v>0</v>
      </c>
      <c r="AI253" s="49">
        <f t="shared" si="60"/>
        <v>10</v>
      </c>
      <c r="AJ253" s="50">
        <v>43634</v>
      </c>
    </row>
    <row r="254" spans="1:36" x14ac:dyDescent="0.15">
      <c r="A254" s="53" t="s">
        <v>54</v>
      </c>
      <c r="B254" s="54"/>
      <c r="C254" s="55"/>
      <c r="D254" s="55">
        <v>1</v>
      </c>
      <c r="E254" s="55"/>
      <c r="F254" s="56">
        <f t="shared" si="61"/>
        <v>1</v>
      </c>
      <c r="G254" s="54">
        <v>3</v>
      </c>
      <c r="H254" s="55"/>
      <c r="I254" s="55">
        <v>1</v>
      </c>
      <c r="J254" s="55">
        <v>1</v>
      </c>
      <c r="K254" s="56">
        <f t="shared" si="62"/>
        <v>5</v>
      </c>
      <c r="L254" s="54"/>
      <c r="M254" s="55"/>
      <c r="N254" s="55"/>
      <c r="O254" s="55"/>
      <c r="P254" s="56">
        <f t="shared" si="63"/>
        <v>0</v>
      </c>
      <c r="Q254" s="49">
        <f t="shared" si="58"/>
        <v>6</v>
      </c>
      <c r="R254" s="50">
        <v>43634</v>
      </c>
      <c r="S254" s="53" t="s">
        <v>55</v>
      </c>
      <c r="T254" s="54"/>
      <c r="U254" s="55"/>
      <c r="V254" s="55"/>
      <c r="W254" s="55"/>
      <c r="X254" s="56">
        <f t="shared" si="66"/>
        <v>0</v>
      </c>
      <c r="Y254" s="54">
        <v>5</v>
      </c>
      <c r="Z254" s="55"/>
      <c r="AA254" s="55"/>
      <c r="AB254" s="55"/>
      <c r="AC254" s="56">
        <f t="shared" si="64"/>
        <v>5</v>
      </c>
      <c r="AD254" s="54"/>
      <c r="AE254" s="55"/>
      <c r="AF254" s="55"/>
      <c r="AG254" s="55"/>
      <c r="AH254" s="56">
        <f t="shared" si="65"/>
        <v>0</v>
      </c>
      <c r="AI254" s="49">
        <f t="shared" si="60"/>
        <v>5</v>
      </c>
      <c r="AJ254" s="50">
        <v>43640</v>
      </c>
    </row>
    <row r="255" spans="1:36" x14ac:dyDescent="0.15">
      <c r="A255" s="53" t="s">
        <v>51</v>
      </c>
      <c r="B255" s="54"/>
      <c r="C255" s="55"/>
      <c r="D255" s="55"/>
      <c r="E255" s="55"/>
      <c r="F255" s="56">
        <f t="shared" si="61"/>
        <v>0</v>
      </c>
      <c r="G255" s="54"/>
      <c r="H255" s="55"/>
      <c r="I255" s="55">
        <v>1</v>
      </c>
      <c r="J255" s="55"/>
      <c r="K255" s="56">
        <f t="shared" si="62"/>
        <v>1</v>
      </c>
      <c r="L255" s="54"/>
      <c r="M255" s="55"/>
      <c r="N255" s="55"/>
      <c r="O255" s="55"/>
      <c r="P255" s="56">
        <f t="shared" si="63"/>
        <v>0</v>
      </c>
      <c r="Q255" s="49">
        <f t="shared" si="58"/>
        <v>1</v>
      </c>
      <c r="R255" s="14">
        <v>43633</v>
      </c>
      <c r="S255" s="53" t="s">
        <v>52</v>
      </c>
      <c r="T255" s="54"/>
      <c r="U255" s="55"/>
      <c r="V255" s="55"/>
      <c r="W255" s="55"/>
      <c r="X255" s="56">
        <f t="shared" si="66"/>
        <v>0</v>
      </c>
      <c r="Y255" s="54">
        <v>10</v>
      </c>
      <c r="Z255" s="55">
        <v>10</v>
      </c>
      <c r="AA255" s="55"/>
      <c r="AB255" s="55"/>
      <c r="AC255" s="56">
        <f t="shared" si="64"/>
        <v>20</v>
      </c>
      <c r="AD255" s="54">
        <v>5</v>
      </c>
      <c r="AE255" s="55">
        <v>10</v>
      </c>
      <c r="AF255" s="55"/>
      <c r="AG255" s="55"/>
      <c r="AH255" s="56">
        <f t="shared" si="65"/>
        <v>15</v>
      </c>
      <c r="AI255" s="49">
        <f t="shared" si="60"/>
        <v>35</v>
      </c>
      <c r="AJ255" s="50">
        <v>43640</v>
      </c>
    </row>
    <row r="256" spans="1:36" x14ac:dyDescent="0.15">
      <c r="A256" s="53" t="s">
        <v>54</v>
      </c>
      <c r="B256" s="54"/>
      <c r="C256" s="55"/>
      <c r="D256" s="55"/>
      <c r="E256" s="55">
        <v>1</v>
      </c>
      <c r="F256" s="56">
        <f t="shared" si="61"/>
        <v>1</v>
      </c>
      <c r="G256" s="54"/>
      <c r="H256" s="55"/>
      <c r="I256" s="55"/>
      <c r="J256" s="55"/>
      <c r="K256" s="56">
        <f t="shared" si="62"/>
        <v>0</v>
      </c>
      <c r="L256" s="54"/>
      <c r="M256" s="55"/>
      <c r="N256" s="55"/>
      <c r="O256" s="55"/>
      <c r="P256" s="56">
        <f t="shared" si="63"/>
        <v>0</v>
      </c>
      <c r="Q256" s="49">
        <f t="shared" si="58"/>
        <v>1</v>
      </c>
      <c r="R256" s="50">
        <v>43635</v>
      </c>
      <c r="S256" s="53" t="s">
        <v>55</v>
      </c>
      <c r="T256" s="54"/>
      <c r="U256" s="55"/>
      <c r="V256" s="55"/>
      <c r="W256" s="55"/>
      <c r="X256" s="56">
        <f t="shared" si="66"/>
        <v>0</v>
      </c>
      <c r="Y256" s="54"/>
      <c r="Z256" s="55"/>
      <c r="AA256" s="55"/>
      <c r="AB256" s="55"/>
      <c r="AC256" s="56">
        <f t="shared" si="64"/>
        <v>0</v>
      </c>
      <c r="AD256" s="54"/>
      <c r="AE256" s="55"/>
      <c r="AF256" s="55">
        <v>5</v>
      </c>
      <c r="AG256" s="55"/>
      <c r="AH256" s="56">
        <f t="shared" si="65"/>
        <v>5</v>
      </c>
      <c r="AI256" s="49">
        <f t="shared" si="60"/>
        <v>5</v>
      </c>
      <c r="AJ256" s="50">
        <v>43641</v>
      </c>
    </row>
    <row r="257" spans="1:36" x14ac:dyDescent="0.15">
      <c r="A257" s="53" t="s">
        <v>51</v>
      </c>
      <c r="B257" s="54"/>
      <c r="C257" s="55"/>
      <c r="D257" s="55"/>
      <c r="E257" s="55"/>
      <c r="F257" s="56">
        <f t="shared" si="61"/>
        <v>0</v>
      </c>
      <c r="G257" s="54"/>
      <c r="H257" s="55">
        <v>1</v>
      </c>
      <c r="I257" s="55"/>
      <c r="J257" s="55"/>
      <c r="K257" s="56">
        <f t="shared" si="62"/>
        <v>1</v>
      </c>
      <c r="L257" s="54"/>
      <c r="M257" s="55"/>
      <c r="N257" s="55"/>
      <c r="O257" s="55"/>
      <c r="P257" s="56">
        <f t="shared" si="63"/>
        <v>0</v>
      </c>
      <c r="Q257" s="49">
        <f t="shared" si="58"/>
        <v>1</v>
      </c>
      <c r="R257" s="14">
        <v>43636</v>
      </c>
      <c r="S257" s="53" t="s">
        <v>55</v>
      </c>
      <c r="T257" s="54"/>
      <c r="U257" s="55"/>
      <c r="V257" s="55">
        <v>5</v>
      </c>
      <c r="W257" s="55"/>
      <c r="X257" s="56">
        <f t="shared" si="66"/>
        <v>5</v>
      </c>
      <c r="Y257" s="54"/>
      <c r="Z257" s="55"/>
      <c r="AA257" s="55"/>
      <c r="AB257" s="55">
        <v>5</v>
      </c>
      <c r="AC257" s="56">
        <f t="shared" si="64"/>
        <v>5</v>
      </c>
      <c r="AD257" s="54"/>
      <c r="AE257" s="55"/>
      <c r="AF257" s="55"/>
      <c r="AG257" s="55"/>
      <c r="AH257" s="56">
        <f t="shared" si="65"/>
        <v>0</v>
      </c>
      <c r="AI257" s="49">
        <f t="shared" si="60"/>
        <v>10</v>
      </c>
      <c r="AJ257" s="50">
        <v>43641</v>
      </c>
    </row>
    <row r="258" spans="1:36" x14ac:dyDescent="0.15">
      <c r="A258" s="53" t="s">
        <v>58</v>
      </c>
      <c r="B258" s="54">
        <v>1</v>
      </c>
      <c r="C258" s="55"/>
      <c r="D258" s="55"/>
      <c r="E258" s="55">
        <v>1</v>
      </c>
      <c r="F258" s="56">
        <f t="shared" si="61"/>
        <v>2</v>
      </c>
      <c r="G258" s="54">
        <v>1</v>
      </c>
      <c r="H258" s="55">
        <v>3</v>
      </c>
      <c r="I258" s="55">
        <v>2</v>
      </c>
      <c r="J258" s="55">
        <v>4</v>
      </c>
      <c r="K258" s="56">
        <f t="shared" si="62"/>
        <v>10</v>
      </c>
      <c r="L258" s="54"/>
      <c r="M258" s="55">
        <v>3</v>
      </c>
      <c r="N258" s="55">
        <v>5</v>
      </c>
      <c r="O258" s="55"/>
      <c r="P258" s="56">
        <f t="shared" si="63"/>
        <v>8</v>
      </c>
      <c r="Q258" s="49">
        <f t="shared" si="58"/>
        <v>20</v>
      </c>
      <c r="R258" s="14">
        <v>43637</v>
      </c>
      <c r="S258" s="53" t="s">
        <v>52</v>
      </c>
      <c r="T258" s="54"/>
      <c r="U258" s="55"/>
      <c r="V258" s="55"/>
      <c r="W258" s="55"/>
      <c r="X258" s="56">
        <f t="shared" si="66"/>
        <v>0</v>
      </c>
      <c r="Y258" s="54"/>
      <c r="Z258" s="55"/>
      <c r="AA258" s="55"/>
      <c r="AB258" s="55"/>
      <c r="AC258" s="56">
        <f t="shared" si="64"/>
        <v>0</v>
      </c>
      <c r="AD258" s="54">
        <v>5</v>
      </c>
      <c r="AE258" s="55">
        <v>5</v>
      </c>
      <c r="AF258" s="55"/>
      <c r="AG258" s="55"/>
      <c r="AH258" s="56">
        <f t="shared" si="65"/>
        <v>10</v>
      </c>
      <c r="AI258" s="49">
        <f t="shared" si="60"/>
        <v>10</v>
      </c>
      <c r="AJ258" s="50">
        <v>43643</v>
      </c>
    </row>
    <row r="259" spans="1:36" x14ac:dyDescent="0.15">
      <c r="A259" s="53" t="s">
        <v>54</v>
      </c>
      <c r="B259" s="54"/>
      <c r="C259" s="55"/>
      <c r="D259" s="55"/>
      <c r="E259" s="55"/>
      <c r="F259" s="56">
        <f t="shared" si="61"/>
        <v>0</v>
      </c>
      <c r="G259" s="54"/>
      <c r="H259" s="55">
        <v>1</v>
      </c>
      <c r="I259" s="55"/>
      <c r="J259" s="55"/>
      <c r="K259" s="56">
        <f t="shared" si="62"/>
        <v>1</v>
      </c>
      <c r="L259" s="54"/>
      <c r="M259" s="55"/>
      <c r="N259" s="55"/>
      <c r="O259" s="55"/>
      <c r="P259" s="56">
        <f t="shared" si="63"/>
        <v>0</v>
      </c>
      <c r="Q259" s="49">
        <f t="shared" si="58"/>
        <v>1</v>
      </c>
      <c r="R259" s="14">
        <v>43638</v>
      </c>
      <c r="S259" s="53" t="s">
        <v>52</v>
      </c>
      <c r="T259" s="54"/>
      <c r="U259" s="55"/>
      <c r="V259" s="55"/>
      <c r="W259" s="55"/>
      <c r="X259" s="56">
        <f t="shared" si="66"/>
        <v>0</v>
      </c>
      <c r="Y259" s="54">
        <v>10</v>
      </c>
      <c r="Z259" s="55"/>
      <c r="AA259" s="55"/>
      <c r="AB259" s="55"/>
      <c r="AC259" s="56">
        <f t="shared" si="64"/>
        <v>10</v>
      </c>
      <c r="AD259" s="54"/>
      <c r="AE259" s="55"/>
      <c r="AF259" s="55"/>
      <c r="AG259" s="55"/>
      <c r="AH259" s="56">
        <f t="shared" si="65"/>
        <v>0</v>
      </c>
      <c r="AI259" s="49">
        <f t="shared" si="60"/>
        <v>10</v>
      </c>
      <c r="AJ259" s="50">
        <v>43642</v>
      </c>
    </row>
    <row r="260" spans="1:36" x14ac:dyDescent="0.15">
      <c r="A260" s="53" t="s">
        <v>54</v>
      </c>
      <c r="B260" s="54"/>
      <c r="C260" s="55"/>
      <c r="D260" s="55"/>
      <c r="E260" s="55"/>
      <c r="F260" s="56">
        <f t="shared" si="61"/>
        <v>0</v>
      </c>
      <c r="G260" s="54">
        <v>1</v>
      </c>
      <c r="H260" s="55">
        <v>1</v>
      </c>
      <c r="I260" s="55"/>
      <c r="J260" s="55"/>
      <c r="K260" s="56">
        <f t="shared" si="62"/>
        <v>2</v>
      </c>
      <c r="L260" s="54"/>
      <c r="M260" s="55"/>
      <c r="N260" s="55"/>
      <c r="O260" s="55"/>
      <c r="P260" s="56">
        <f t="shared" si="63"/>
        <v>0</v>
      </c>
      <c r="Q260" s="49">
        <f t="shared" si="58"/>
        <v>2</v>
      </c>
      <c r="R260" s="50">
        <v>43641</v>
      </c>
      <c r="S260" s="53" t="s">
        <v>52</v>
      </c>
      <c r="T260" s="54"/>
      <c r="U260" s="55"/>
      <c r="V260" s="55"/>
      <c r="W260" s="55"/>
      <c r="X260" s="56">
        <f t="shared" si="66"/>
        <v>0</v>
      </c>
      <c r="Y260" s="54"/>
      <c r="Z260" s="55">
        <v>10</v>
      </c>
      <c r="AA260" s="55"/>
      <c r="AB260" s="55"/>
      <c r="AC260" s="56">
        <f t="shared" si="64"/>
        <v>10</v>
      </c>
      <c r="AD260" s="54"/>
      <c r="AE260" s="55"/>
      <c r="AF260" s="55"/>
      <c r="AG260" s="55">
        <v>10</v>
      </c>
      <c r="AH260" s="56">
        <f t="shared" si="65"/>
        <v>10</v>
      </c>
      <c r="AI260" s="49">
        <f t="shared" si="60"/>
        <v>20</v>
      </c>
      <c r="AJ260" s="50">
        <v>43651</v>
      </c>
    </row>
    <row r="261" spans="1:36" x14ac:dyDescent="0.15">
      <c r="A261" s="53" t="s">
        <v>51</v>
      </c>
      <c r="B261" s="54"/>
      <c r="C261" s="55"/>
      <c r="D261" s="55"/>
      <c r="E261" s="55"/>
      <c r="F261" s="56">
        <f t="shared" si="61"/>
        <v>0</v>
      </c>
      <c r="G261" s="54">
        <v>1</v>
      </c>
      <c r="H261" s="55"/>
      <c r="I261" s="55"/>
      <c r="J261" s="55"/>
      <c r="K261" s="56">
        <f t="shared" si="62"/>
        <v>1</v>
      </c>
      <c r="L261" s="54"/>
      <c r="M261" s="55"/>
      <c r="N261" s="55"/>
      <c r="O261" s="55"/>
      <c r="P261" s="56">
        <f t="shared" si="63"/>
        <v>0</v>
      </c>
      <c r="Q261" s="49">
        <f t="shared" si="58"/>
        <v>1</v>
      </c>
      <c r="R261" s="14">
        <v>43640</v>
      </c>
      <c r="S261" s="53" t="s">
        <v>52</v>
      </c>
      <c r="T261" s="54"/>
      <c r="U261" s="55"/>
      <c r="V261" s="55"/>
      <c r="W261" s="55"/>
      <c r="X261" s="56">
        <f t="shared" si="66"/>
        <v>0</v>
      </c>
      <c r="Y261" s="54"/>
      <c r="Z261" s="55"/>
      <c r="AA261" s="55"/>
      <c r="AB261" s="55">
        <v>10</v>
      </c>
      <c r="AC261" s="56">
        <f t="shared" si="64"/>
        <v>10</v>
      </c>
      <c r="AD261" s="54"/>
      <c r="AE261" s="55"/>
      <c r="AF261" s="55">
        <v>10</v>
      </c>
      <c r="AG261" s="55"/>
      <c r="AH261" s="56">
        <f t="shared" si="65"/>
        <v>10</v>
      </c>
      <c r="AI261" s="49">
        <f t="shared" si="60"/>
        <v>20</v>
      </c>
      <c r="AJ261" s="50">
        <v>43650</v>
      </c>
    </row>
    <row r="262" spans="1:36" x14ac:dyDescent="0.15">
      <c r="A262" s="148" t="s">
        <v>29</v>
      </c>
      <c r="B262" s="54"/>
      <c r="C262" s="55"/>
      <c r="D262" s="55"/>
      <c r="E262" s="55"/>
      <c r="F262" s="56">
        <f t="shared" si="61"/>
        <v>0</v>
      </c>
      <c r="G262" s="54">
        <v>-1</v>
      </c>
      <c r="H262" s="55"/>
      <c r="I262" s="55"/>
      <c r="J262" s="55"/>
      <c r="K262" s="56">
        <f t="shared" si="62"/>
        <v>-1</v>
      </c>
      <c r="L262" s="54">
        <v>-2</v>
      </c>
      <c r="M262" s="55">
        <v>-1</v>
      </c>
      <c r="N262" s="55"/>
      <c r="O262" s="55"/>
      <c r="P262" s="56">
        <f t="shared" si="63"/>
        <v>-3</v>
      </c>
      <c r="Q262" s="49">
        <f t="shared" si="58"/>
        <v>-4</v>
      </c>
      <c r="R262" s="14">
        <v>43637</v>
      </c>
      <c r="S262" s="53" t="s">
        <v>55</v>
      </c>
      <c r="T262" s="54">
        <v>3</v>
      </c>
      <c r="U262" s="55"/>
      <c r="V262" s="55"/>
      <c r="W262" s="55"/>
      <c r="X262" s="56">
        <f t="shared" si="66"/>
        <v>3</v>
      </c>
      <c r="Y262" s="54"/>
      <c r="Z262" s="55"/>
      <c r="AA262" s="55">
        <v>5</v>
      </c>
      <c r="AB262" s="55"/>
      <c r="AC262" s="56">
        <f t="shared" si="64"/>
        <v>5</v>
      </c>
      <c r="AD262" s="54"/>
      <c r="AE262" s="55"/>
      <c r="AF262" s="55"/>
      <c r="AG262" s="55">
        <v>5</v>
      </c>
      <c r="AH262" s="56">
        <f t="shared" si="65"/>
        <v>5</v>
      </c>
      <c r="AI262" s="49">
        <f t="shared" si="60"/>
        <v>13</v>
      </c>
      <c r="AJ262" s="50">
        <v>43649</v>
      </c>
    </row>
    <row r="263" spans="1:36" x14ac:dyDescent="0.15">
      <c r="A263" s="53" t="s">
        <v>51</v>
      </c>
      <c r="B263" s="17"/>
      <c r="C263" s="18"/>
      <c r="D263" s="18"/>
      <c r="E263" s="18"/>
      <c r="F263" s="30">
        <f t="shared" si="61"/>
        <v>0</v>
      </c>
      <c r="G263" s="17"/>
      <c r="H263" s="18"/>
      <c r="I263" s="18"/>
      <c r="J263" s="18"/>
      <c r="K263" s="30">
        <f t="shared" si="62"/>
        <v>0</v>
      </c>
      <c r="L263" s="17">
        <v>1</v>
      </c>
      <c r="M263" s="18"/>
      <c r="N263" s="18"/>
      <c r="O263" s="18">
        <v>1</v>
      </c>
      <c r="P263" s="30">
        <f t="shared" si="63"/>
        <v>2</v>
      </c>
      <c r="Q263" s="49">
        <f t="shared" si="58"/>
        <v>2</v>
      </c>
      <c r="R263" s="14">
        <v>43641</v>
      </c>
      <c r="S263" s="53" t="s">
        <v>54</v>
      </c>
      <c r="T263" s="54"/>
      <c r="U263" s="55"/>
      <c r="V263" s="55">
        <v>1</v>
      </c>
      <c r="W263" s="55"/>
      <c r="X263" s="56">
        <f>SUM(T263:W263)</f>
        <v>1</v>
      </c>
      <c r="Y263" s="54"/>
      <c r="Z263" s="55">
        <v>1</v>
      </c>
      <c r="AA263" s="55">
        <v>1</v>
      </c>
      <c r="AB263" s="55">
        <v>1</v>
      </c>
      <c r="AC263" s="56">
        <f>SUM(Y263:AB263)</f>
        <v>3</v>
      </c>
      <c r="AD263" s="54"/>
      <c r="AE263" s="55"/>
      <c r="AF263" s="55"/>
      <c r="AG263" s="55"/>
      <c r="AH263" s="56">
        <f>SUM(AD263:AG263)</f>
        <v>0</v>
      </c>
      <c r="AI263" s="49">
        <f>AC263+AH263+X263</f>
        <v>4</v>
      </c>
      <c r="AJ263" s="50">
        <v>43645</v>
      </c>
    </row>
    <row r="264" spans="1:36" x14ac:dyDescent="0.15">
      <c r="A264" s="53" t="s">
        <v>62</v>
      </c>
      <c r="B264" s="54"/>
      <c r="C264" s="55"/>
      <c r="D264" s="55"/>
      <c r="E264" s="55">
        <v>-1</v>
      </c>
      <c r="F264" s="56">
        <f t="shared" si="61"/>
        <v>-1</v>
      </c>
      <c r="G264" s="54"/>
      <c r="H264" s="55"/>
      <c r="I264" s="55"/>
      <c r="J264" s="55"/>
      <c r="K264" s="56">
        <f t="shared" si="62"/>
        <v>0</v>
      </c>
      <c r="L264" s="54"/>
      <c r="M264" s="55"/>
      <c r="N264" s="55"/>
      <c r="O264" s="55"/>
      <c r="P264" s="56">
        <f t="shared" si="63"/>
        <v>0</v>
      </c>
      <c r="Q264" s="49">
        <f t="shared" si="58"/>
        <v>-1</v>
      </c>
      <c r="R264" s="14">
        <v>43642</v>
      </c>
      <c r="S264" s="53" t="s">
        <v>52</v>
      </c>
      <c r="T264" s="17"/>
      <c r="U264" s="18"/>
      <c r="V264" s="18"/>
      <c r="W264" s="18"/>
      <c r="X264" s="30">
        <f>SUM(T264:W264)</f>
        <v>0</v>
      </c>
      <c r="Y264" s="17"/>
      <c r="Z264" s="18"/>
      <c r="AA264" s="18"/>
      <c r="AB264" s="18"/>
      <c r="AC264" s="30">
        <f>SUM(Y264:AB264)</f>
        <v>0</v>
      </c>
      <c r="AD264" s="17"/>
      <c r="AE264" s="18">
        <v>5</v>
      </c>
      <c r="AF264" s="18"/>
      <c r="AG264" s="18"/>
      <c r="AH264" s="30">
        <f>SUM(AD264:AG264)</f>
        <v>5</v>
      </c>
      <c r="AI264" s="49">
        <f>AC264+AH264+X264</f>
        <v>5</v>
      </c>
      <c r="AJ264" s="50">
        <v>43651</v>
      </c>
    </row>
    <row r="265" spans="1:36" x14ac:dyDescent="0.15">
      <c r="A265" s="148" t="s">
        <v>29</v>
      </c>
      <c r="B265" s="62"/>
      <c r="C265" s="63">
        <v>-1</v>
      </c>
      <c r="D265" s="63"/>
      <c r="E265" s="63"/>
      <c r="F265" s="56">
        <f t="shared" si="61"/>
        <v>-1</v>
      </c>
      <c r="G265" s="62">
        <v>-1</v>
      </c>
      <c r="H265" s="63">
        <v>-1</v>
      </c>
      <c r="I265" s="63"/>
      <c r="J265" s="63">
        <v>-1</v>
      </c>
      <c r="K265" s="56">
        <f t="shared" si="62"/>
        <v>-3</v>
      </c>
      <c r="L265" s="62"/>
      <c r="M265" s="63"/>
      <c r="N265" s="63">
        <v>-1</v>
      </c>
      <c r="O265" s="63"/>
      <c r="P265" s="56">
        <f t="shared" si="63"/>
        <v>-1</v>
      </c>
      <c r="Q265" s="49">
        <f t="shared" si="58"/>
        <v>-5</v>
      </c>
      <c r="R265" s="14">
        <v>43643</v>
      </c>
      <c r="S265" s="53" t="s">
        <v>55</v>
      </c>
      <c r="T265" s="62">
        <v>5</v>
      </c>
      <c r="U265" s="63"/>
      <c r="V265" s="63"/>
      <c r="W265" s="63">
        <v>5</v>
      </c>
      <c r="X265" s="56">
        <f t="shared" si="66"/>
        <v>10</v>
      </c>
      <c r="Y265" s="62"/>
      <c r="Z265" s="63">
        <v>10</v>
      </c>
      <c r="AA265" s="63">
        <v>10</v>
      </c>
      <c r="AB265" s="63"/>
      <c r="AC265" s="56">
        <f t="shared" si="64"/>
        <v>20</v>
      </c>
      <c r="AD265" s="62"/>
      <c r="AE265" s="63"/>
      <c r="AF265" s="63"/>
      <c r="AG265" s="63">
        <v>3</v>
      </c>
      <c r="AH265" s="56">
        <f t="shared" si="65"/>
        <v>3</v>
      </c>
      <c r="AI265" s="49">
        <f t="shared" si="60"/>
        <v>33</v>
      </c>
      <c r="AJ265" s="50">
        <v>43654</v>
      </c>
    </row>
    <row r="266" spans="1:36" x14ac:dyDescent="0.15">
      <c r="A266" s="53" t="s">
        <v>51</v>
      </c>
      <c r="B266" s="54"/>
      <c r="C266" s="55"/>
      <c r="D266" s="55"/>
      <c r="E266" s="55"/>
      <c r="F266" s="56">
        <f t="shared" si="61"/>
        <v>0</v>
      </c>
      <c r="G266" s="54"/>
      <c r="H266" s="55"/>
      <c r="I266" s="55"/>
      <c r="J266" s="55"/>
      <c r="K266" s="56">
        <f t="shared" si="62"/>
        <v>0</v>
      </c>
      <c r="L266" s="54">
        <v>1</v>
      </c>
      <c r="M266" s="55"/>
      <c r="N266" s="55"/>
      <c r="O266" s="55"/>
      <c r="P266" s="56">
        <f t="shared" si="63"/>
        <v>1</v>
      </c>
      <c r="Q266" s="49">
        <f t="shared" si="58"/>
        <v>1</v>
      </c>
      <c r="R266" s="50">
        <v>43644</v>
      </c>
      <c r="S266" s="53" t="s">
        <v>52</v>
      </c>
      <c r="T266" s="54"/>
      <c r="U266" s="55"/>
      <c r="V266" s="55"/>
      <c r="W266" s="55"/>
      <c r="X266" s="56">
        <f t="shared" si="66"/>
        <v>0</v>
      </c>
      <c r="Y266" s="54"/>
      <c r="Z266" s="55">
        <v>10</v>
      </c>
      <c r="AA266" s="55"/>
      <c r="AB266" s="55"/>
      <c r="AC266" s="56">
        <f t="shared" si="64"/>
        <v>10</v>
      </c>
      <c r="AD266" s="54"/>
      <c r="AE266" s="55"/>
      <c r="AF266" s="55"/>
      <c r="AG266" s="55"/>
      <c r="AH266" s="56">
        <f t="shared" si="65"/>
        <v>0</v>
      </c>
      <c r="AI266" s="49">
        <f t="shared" si="60"/>
        <v>10</v>
      </c>
      <c r="AJ266" s="50">
        <v>43654</v>
      </c>
    </row>
    <row r="267" spans="1:36" x14ac:dyDescent="0.15">
      <c r="A267" s="66" t="s">
        <v>63</v>
      </c>
      <c r="B267" s="33"/>
      <c r="C267" s="34">
        <v>1</v>
      </c>
      <c r="D267" s="34"/>
      <c r="E267" s="34"/>
      <c r="F267" s="56">
        <f t="shared" si="61"/>
        <v>1</v>
      </c>
      <c r="G267" s="33"/>
      <c r="H267" s="34"/>
      <c r="I267" s="34"/>
      <c r="J267" s="34"/>
      <c r="K267" s="56">
        <f t="shared" si="62"/>
        <v>0</v>
      </c>
      <c r="L267" s="33"/>
      <c r="M267" s="34"/>
      <c r="N267" s="34"/>
      <c r="O267" s="34"/>
      <c r="P267" s="56">
        <f t="shared" si="63"/>
        <v>0</v>
      </c>
      <c r="Q267" s="49">
        <f t="shared" si="58"/>
        <v>1</v>
      </c>
      <c r="R267" s="50">
        <v>43651</v>
      </c>
      <c r="S267" s="53" t="s">
        <v>55</v>
      </c>
      <c r="T267" s="33">
        <v>5</v>
      </c>
      <c r="U267" s="34"/>
      <c r="V267" s="34"/>
      <c r="W267" s="34"/>
      <c r="X267" s="56">
        <f t="shared" si="66"/>
        <v>5</v>
      </c>
      <c r="Y267" s="33"/>
      <c r="Z267" s="34"/>
      <c r="AA267" s="34"/>
      <c r="AB267" s="34"/>
      <c r="AC267" s="56">
        <f t="shared" si="64"/>
        <v>0</v>
      </c>
      <c r="AD267" s="33"/>
      <c r="AE267" s="34"/>
      <c r="AF267" s="34"/>
      <c r="AG267" s="34"/>
      <c r="AH267" s="56">
        <f t="shared" si="65"/>
        <v>0</v>
      </c>
      <c r="AI267" s="49">
        <f t="shared" si="60"/>
        <v>5</v>
      </c>
      <c r="AJ267" s="50">
        <v>43654</v>
      </c>
    </row>
    <row r="268" spans="1:36" x14ac:dyDescent="0.15">
      <c r="A268" s="53" t="s">
        <v>54</v>
      </c>
      <c r="B268" s="33"/>
      <c r="C268" s="34"/>
      <c r="D268" s="34"/>
      <c r="E268" s="34"/>
      <c r="F268" s="56">
        <f t="shared" si="61"/>
        <v>0</v>
      </c>
      <c r="G268" s="33"/>
      <c r="H268" s="34"/>
      <c r="I268" s="34"/>
      <c r="J268" s="34"/>
      <c r="K268" s="56">
        <f t="shared" si="62"/>
        <v>0</v>
      </c>
      <c r="L268" s="33">
        <v>1</v>
      </c>
      <c r="M268" s="34"/>
      <c r="N268" s="34"/>
      <c r="O268" s="34"/>
      <c r="P268" s="56">
        <f t="shared" si="63"/>
        <v>1</v>
      </c>
      <c r="Q268" s="49">
        <f t="shared" si="58"/>
        <v>1</v>
      </c>
      <c r="R268" s="50">
        <v>43648</v>
      </c>
      <c r="S268" s="53" t="s">
        <v>52</v>
      </c>
      <c r="T268" s="33"/>
      <c r="U268" s="34"/>
      <c r="V268" s="34">
        <v>3</v>
      </c>
      <c r="W268" s="34"/>
      <c r="X268" s="56">
        <f t="shared" si="66"/>
        <v>3</v>
      </c>
      <c r="Y268" s="33"/>
      <c r="Z268" s="34"/>
      <c r="AA268" s="34"/>
      <c r="AB268" s="34"/>
      <c r="AC268" s="56">
        <f t="shared" si="64"/>
        <v>0</v>
      </c>
      <c r="AD268" s="33"/>
      <c r="AE268" s="34"/>
      <c r="AF268" s="34"/>
      <c r="AG268" s="34"/>
      <c r="AH268" s="56">
        <f t="shared" si="65"/>
        <v>0</v>
      </c>
      <c r="AI268" s="49">
        <f t="shared" si="60"/>
        <v>3</v>
      </c>
      <c r="AJ268" s="50">
        <v>43656</v>
      </c>
    </row>
    <row r="269" spans="1:36" ht="14.25" thickBot="1" x14ac:dyDescent="0.2">
      <c r="A269" s="53" t="s">
        <v>51</v>
      </c>
      <c r="B269" s="33"/>
      <c r="C269" s="34"/>
      <c r="D269" s="34"/>
      <c r="E269" s="34"/>
      <c r="F269" s="30">
        <f t="shared" si="61"/>
        <v>0</v>
      </c>
      <c r="G269" s="33">
        <v>1</v>
      </c>
      <c r="H269" s="34"/>
      <c r="I269" s="34"/>
      <c r="J269" s="34">
        <v>1</v>
      </c>
      <c r="K269" s="30">
        <f t="shared" si="62"/>
        <v>2</v>
      </c>
      <c r="L269" s="33"/>
      <c r="M269" s="34"/>
      <c r="N269" s="34"/>
      <c r="O269" s="34"/>
      <c r="P269" s="30">
        <f t="shared" si="63"/>
        <v>0</v>
      </c>
      <c r="Q269" s="78">
        <f t="shared" si="58"/>
        <v>2</v>
      </c>
      <c r="R269" s="50">
        <v>43647</v>
      </c>
      <c r="S269" s="53"/>
      <c r="T269" s="33"/>
      <c r="U269" s="34"/>
      <c r="V269" s="34"/>
      <c r="W269" s="34"/>
      <c r="X269" s="56">
        <f>SUM(T269:W269)</f>
        <v>0</v>
      </c>
      <c r="Y269" s="33"/>
      <c r="Z269" s="34"/>
      <c r="AA269" s="34"/>
      <c r="AB269" s="34"/>
      <c r="AC269" s="56">
        <f>SUM(Y269:AB269)</f>
        <v>0</v>
      </c>
      <c r="AD269" s="33"/>
      <c r="AE269" s="34"/>
      <c r="AF269" s="34"/>
      <c r="AG269" s="34"/>
      <c r="AH269" s="56">
        <f>SUM(AD269:AG269)</f>
        <v>0</v>
      </c>
      <c r="AI269" s="64">
        <f>AC269+AH269+X269</f>
        <v>0</v>
      </c>
      <c r="AJ269" s="50"/>
    </row>
    <row r="270" spans="1:36" ht="15" thickBot="1" x14ac:dyDescent="0.2">
      <c r="A270" s="9" t="s">
        <v>15</v>
      </c>
      <c r="B270" s="36">
        <f>SUM(B244:B269)</f>
        <v>2</v>
      </c>
      <c r="C270" s="37">
        <f>SUM(C244:C269)</f>
        <v>0</v>
      </c>
      <c r="D270" s="37">
        <f>SUM(D244:D269)</f>
        <v>2</v>
      </c>
      <c r="E270" s="38">
        <f>SUM(E244:E269)</f>
        <v>2</v>
      </c>
      <c r="F270" s="25">
        <f>SUM(B270:E270)</f>
        <v>6</v>
      </c>
      <c r="G270" s="36">
        <f>SUM(G244:G269)</f>
        <v>11</v>
      </c>
      <c r="H270" s="37">
        <f>SUM(H244:H269)</f>
        <v>8</v>
      </c>
      <c r="I270" s="37">
        <f>SUM(I244:I269)</f>
        <v>5</v>
      </c>
      <c r="J270" s="38">
        <f>SUM(J244:J269)</f>
        <v>9</v>
      </c>
      <c r="K270" s="25">
        <f>SUM(G270:J270)</f>
        <v>33</v>
      </c>
      <c r="L270" s="36">
        <f>SUM(L244:L269)</f>
        <v>1</v>
      </c>
      <c r="M270" s="37">
        <f>SUM(M244:M269)</f>
        <v>4</v>
      </c>
      <c r="N270" s="37">
        <f>SUM(N244:N269)</f>
        <v>4</v>
      </c>
      <c r="O270" s="38">
        <f>SUM(O244:O269)</f>
        <v>1</v>
      </c>
      <c r="P270" s="25">
        <f>SUM(L270:O270)</f>
        <v>10</v>
      </c>
      <c r="Q270" s="79">
        <f t="shared" si="58"/>
        <v>49</v>
      </c>
      <c r="S270" s="9" t="s">
        <v>15</v>
      </c>
      <c r="T270" s="36">
        <f>SUM(T244:T269)</f>
        <v>16</v>
      </c>
      <c r="U270" s="37">
        <f>SUM(U244:U269)</f>
        <v>1</v>
      </c>
      <c r="V270" s="37">
        <f>SUM(V244:V269)</f>
        <v>11</v>
      </c>
      <c r="W270" s="38">
        <f>SUM(W244:W269)</f>
        <v>8</v>
      </c>
      <c r="X270" s="25">
        <f>SUM(T270:W270)</f>
        <v>36</v>
      </c>
      <c r="Y270" s="36">
        <f>SUM(Y244:Y269)</f>
        <v>35</v>
      </c>
      <c r="Z270" s="37">
        <f>SUM(Z244:Z269)</f>
        <v>64</v>
      </c>
      <c r="AA270" s="37">
        <f>SUM(AA244:AA269)</f>
        <v>36</v>
      </c>
      <c r="AB270" s="38">
        <f>SUM(AB244:AB269)</f>
        <v>26</v>
      </c>
      <c r="AC270" s="25">
        <f>SUM(Y270:AB270)</f>
        <v>161</v>
      </c>
      <c r="AD270" s="36">
        <f>SUM(AD244:AD269)</f>
        <v>15</v>
      </c>
      <c r="AE270" s="37">
        <f>SUM(AE244:AE269)</f>
        <v>25</v>
      </c>
      <c r="AF270" s="37">
        <f>SUM(AF244:AF269)</f>
        <v>15</v>
      </c>
      <c r="AG270" s="38">
        <f>SUM(AG244:AG269)</f>
        <v>18</v>
      </c>
      <c r="AH270" s="25">
        <f>SUM(AD270:AG270)</f>
        <v>73</v>
      </c>
      <c r="AI270" s="161">
        <f t="shared" si="60"/>
        <v>270</v>
      </c>
    </row>
    <row r="271" spans="1:36" ht="14.25" thickBot="1" x14ac:dyDescent="0.2">
      <c r="A271" s="39" t="s">
        <v>16</v>
      </c>
      <c r="B271" s="40">
        <f t="shared" ref="B271:P271" si="67">B243-B270</f>
        <v>4</v>
      </c>
      <c r="C271" s="41">
        <f t="shared" si="67"/>
        <v>0</v>
      </c>
      <c r="D271" s="41">
        <f t="shared" si="67"/>
        <v>1</v>
      </c>
      <c r="E271" s="42">
        <f t="shared" si="67"/>
        <v>3</v>
      </c>
      <c r="F271" s="42">
        <f t="shared" si="67"/>
        <v>8</v>
      </c>
      <c r="G271" s="40">
        <f t="shared" si="67"/>
        <v>3</v>
      </c>
      <c r="H271" s="41">
        <f t="shared" si="67"/>
        <v>3</v>
      </c>
      <c r="I271" s="41">
        <f t="shared" si="67"/>
        <v>4</v>
      </c>
      <c r="J271" s="42">
        <f t="shared" si="67"/>
        <v>3</v>
      </c>
      <c r="K271" s="42">
        <f t="shared" si="67"/>
        <v>13</v>
      </c>
      <c r="L271" s="40">
        <f t="shared" si="67"/>
        <v>2</v>
      </c>
      <c r="M271" s="41">
        <f t="shared" si="67"/>
        <v>3</v>
      </c>
      <c r="N271" s="41">
        <f t="shared" si="67"/>
        <v>5</v>
      </c>
      <c r="O271" s="42">
        <f t="shared" si="67"/>
        <v>3</v>
      </c>
      <c r="P271" s="42">
        <f t="shared" si="67"/>
        <v>13</v>
      </c>
      <c r="Q271" s="77">
        <f t="shared" si="58"/>
        <v>34</v>
      </c>
      <c r="S271" s="39" t="s">
        <v>16</v>
      </c>
      <c r="T271" s="40">
        <f t="shared" ref="T271:AH271" si="68">T243-T270</f>
        <v>42</v>
      </c>
      <c r="U271" s="41">
        <f t="shared" si="68"/>
        <v>0</v>
      </c>
      <c r="V271" s="41">
        <f t="shared" si="68"/>
        <v>16</v>
      </c>
      <c r="W271" s="42">
        <f t="shared" si="68"/>
        <v>27</v>
      </c>
      <c r="X271" s="42">
        <f t="shared" si="68"/>
        <v>85</v>
      </c>
      <c r="Y271" s="40">
        <f t="shared" si="68"/>
        <v>62</v>
      </c>
      <c r="Z271" s="41">
        <f t="shared" si="68"/>
        <v>44</v>
      </c>
      <c r="AA271" s="41">
        <f t="shared" si="68"/>
        <v>104</v>
      </c>
      <c r="AB271" s="42">
        <f t="shared" si="68"/>
        <v>76</v>
      </c>
      <c r="AC271" s="42">
        <f t="shared" si="68"/>
        <v>286</v>
      </c>
      <c r="AD271" s="40">
        <f t="shared" si="68"/>
        <v>113</v>
      </c>
      <c r="AE271" s="41">
        <f t="shared" si="68"/>
        <v>95</v>
      </c>
      <c r="AF271" s="41">
        <f t="shared" si="68"/>
        <v>109</v>
      </c>
      <c r="AG271" s="42">
        <f t="shared" si="68"/>
        <v>90</v>
      </c>
      <c r="AH271" s="42">
        <f t="shared" si="68"/>
        <v>407</v>
      </c>
      <c r="AI271" s="77">
        <f t="shared" si="60"/>
        <v>778</v>
      </c>
    </row>
    <row r="274" spans="1:36" ht="19.5" thickBot="1" x14ac:dyDescent="0.25">
      <c r="A274" s="1" t="s">
        <v>19</v>
      </c>
      <c r="S274" s="1" t="s">
        <v>37</v>
      </c>
    </row>
    <row r="275" spans="1:36" ht="14.25" thickBot="1" x14ac:dyDescent="0.2">
      <c r="A275" s="3" t="s">
        <v>0</v>
      </c>
      <c r="B275" s="371" t="s">
        <v>17</v>
      </c>
      <c r="C275" s="372"/>
      <c r="D275" s="372"/>
      <c r="E275" s="372"/>
      <c r="F275" s="373"/>
      <c r="G275" s="371" t="s">
        <v>18</v>
      </c>
      <c r="H275" s="372"/>
      <c r="I275" s="372"/>
      <c r="J275" s="372"/>
      <c r="K275" s="373"/>
      <c r="L275" s="371" t="s">
        <v>38</v>
      </c>
      <c r="M275" s="372"/>
      <c r="N275" s="372"/>
      <c r="O275" s="372"/>
      <c r="P275" s="373"/>
      <c r="Q275" s="360" t="s">
        <v>1</v>
      </c>
      <c r="S275" s="3" t="s">
        <v>0</v>
      </c>
      <c r="T275" s="371" t="s">
        <v>17</v>
      </c>
      <c r="U275" s="372"/>
      <c r="V275" s="372"/>
      <c r="W275" s="372"/>
      <c r="X275" s="373"/>
      <c r="Y275" s="371" t="s">
        <v>18</v>
      </c>
      <c r="Z275" s="372"/>
      <c r="AA275" s="372"/>
      <c r="AB275" s="372"/>
      <c r="AC275" s="373"/>
      <c r="AD275" s="371" t="s">
        <v>38</v>
      </c>
      <c r="AE275" s="372"/>
      <c r="AF275" s="372"/>
      <c r="AG275" s="372"/>
      <c r="AH275" s="373"/>
      <c r="AI275" s="360" t="s">
        <v>1</v>
      </c>
    </row>
    <row r="276" spans="1:36" ht="14.25" thickBot="1" x14ac:dyDescent="0.2">
      <c r="A276" s="5" t="s">
        <v>2</v>
      </c>
      <c r="B276" s="150" t="s">
        <v>3</v>
      </c>
      <c r="C276" s="151" t="s">
        <v>4</v>
      </c>
      <c r="D276" s="151" t="s">
        <v>5</v>
      </c>
      <c r="E276" s="152" t="s">
        <v>6</v>
      </c>
      <c r="F276" s="5" t="s">
        <v>7</v>
      </c>
      <c r="G276" s="6" t="s">
        <v>3</v>
      </c>
      <c r="H276" s="7" t="s">
        <v>4</v>
      </c>
      <c r="I276" s="7" t="s">
        <v>5</v>
      </c>
      <c r="J276" s="8" t="s">
        <v>6</v>
      </c>
      <c r="K276" s="5" t="s">
        <v>7</v>
      </c>
      <c r="L276" s="6" t="s">
        <v>3</v>
      </c>
      <c r="M276" s="7" t="s">
        <v>4</v>
      </c>
      <c r="N276" s="7" t="s">
        <v>5</v>
      </c>
      <c r="O276" s="8" t="s">
        <v>6</v>
      </c>
      <c r="P276" s="5" t="s">
        <v>7</v>
      </c>
      <c r="Q276" s="375"/>
      <c r="S276" s="5" t="s">
        <v>2</v>
      </c>
      <c r="T276" s="150" t="s">
        <v>3</v>
      </c>
      <c r="U276" s="151" t="s">
        <v>4</v>
      </c>
      <c r="V276" s="151" t="s">
        <v>5</v>
      </c>
      <c r="W276" s="152" t="s">
        <v>6</v>
      </c>
      <c r="X276" s="5" t="s">
        <v>7</v>
      </c>
      <c r="Y276" s="6" t="s">
        <v>3</v>
      </c>
      <c r="Z276" s="7" t="s">
        <v>4</v>
      </c>
      <c r="AA276" s="7" t="s">
        <v>5</v>
      </c>
      <c r="AB276" s="8" t="s">
        <v>6</v>
      </c>
      <c r="AC276" s="5" t="s">
        <v>7</v>
      </c>
      <c r="AD276" s="6" t="s">
        <v>3</v>
      </c>
      <c r="AE276" s="7" t="s">
        <v>4</v>
      </c>
      <c r="AF276" s="7" t="s">
        <v>5</v>
      </c>
      <c r="AG276" s="8" t="s">
        <v>6</v>
      </c>
      <c r="AH276" s="5" t="s">
        <v>7</v>
      </c>
      <c r="AI276" s="375"/>
    </row>
    <row r="277" spans="1:36" ht="14.25" x14ac:dyDescent="0.15">
      <c r="A277" s="68" t="s">
        <v>30</v>
      </c>
      <c r="B277" s="144">
        <f>B271</f>
        <v>4</v>
      </c>
      <c r="C277" s="154">
        <f>C271</f>
        <v>0</v>
      </c>
      <c r="D277" s="154">
        <f>D271</f>
        <v>1</v>
      </c>
      <c r="E277" s="155">
        <f>E271</f>
        <v>3</v>
      </c>
      <c r="F277" s="149">
        <f>SUM(B277:E277)</f>
        <v>8</v>
      </c>
      <c r="G277" s="144">
        <f>G271</f>
        <v>3</v>
      </c>
      <c r="H277" s="154">
        <f>H271</f>
        <v>3</v>
      </c>
      <c r="I277" s="154">
        <f>I271</f>
        <v>4</v>
      </c>
      <c r="J277" s="155">
        <f>J271</f>
        <v>3</v>
      </c>
      <c r="K277" s="149">
        <f>SUM(G277:J277)</f>
        <v>13</v>
      </c>
      <c r="L277" s="144">
        <f>L271</f>
        <v>2</v>
      </c>
      <c r="M277" s="154">
        <f>M271</f>
        <v>3</v>
      </c>
      <c r="N277" s="154">
        <f>N271</f>
        <v>5</v>
      </c>
      <c r="O277" s="155">
        <f>O271</f>
        <v>3</v>
      </c>
      <c r="P277" s="149">
        <f>SUM(L277:O277)</f>
        <v>13</v>
      </c>
      <c r="Q277" s="72">
        <f t="shared" ref="Q277:Q310" si="69">K277+P277+F277</f>
        <v>34</v>
      </c>
      <c r="S277" s="68" t="s">
        <v>30</v>
      </c>
      <c r="T277" s="144">
        <f>T271</f>
        <v>42</v>
      </c>
      <c r="U277" s="154">
        <f>U271</f>
        <v>0</v>
      </c>
      <c r="V277" s="154">
        <f>V271</f>
        <v>16</v>
      </c>
      <c r="W277" s="155">
        <f>W271</f>
        <v>27</v>
      </c>
      <c r="X277" s="149">
        <f t="shared" ref="X277:X282" si="70">SUM(T277:W277)</f>
        <v>85</v>
      </c>
      <c r="Y277" s="144">
        <f>Y271</f>
        <v>62</v>
      </c>
      <c r="Z277" s="154">
        <f>Z271</f>
        <v>44</v>
      </c>
      <c r="AA277" s="154">
        <f>AA271</f>
        <v>104</v>
      </c>
      <c r="AB277" s="155">
        <f>AB271</f>
        <v>76</v>
      </c>
      <c r="AC277" s="149">
        <f>SUM(Y277:AB277)</f>
        <v>286</v>
      </c>
      <c r="AD277" s="144">
        <f>AD271</f>
        <v>113</v>
      </c>
      <c r="AE277" s="154">
        <f>AE271</f>
        <v>95</v>
      </c>
      <c r="AF277" s="154">
        <f>AF271</f>
        <v>109</v>
      </c>
      <c r="AG277" s="155">
        <f>AG271</f>
        <v>90</v>
      </c>
      <c r="AH277" s="149">
        <f>SUM(AD277:AG277)</f>
        <v>407</v>
      </c>
      <c r="AI277" s="72">
        <f t="shared" ref="AI277:AI307" si="71">AC277+AH277+X277</f>
        <v>778</v>
      </c>
    </row>
    <row r="278" spans="1:36" x14ac:dyDescent="0.15">
      <c r="A278" s="148" t="s">
        <v>29</v>
      </c>
      <c r="B278" s="54"/>
      <c r="C278" s="153"/>
      <c r="D278" s="153">
        <v>1</v>
      </c>
      <c r="E278" s="156"/>
      <c r="F278" s="49">
        <f t="shared" ref="F278:F308" si="72">SUM(B278:E278)</f>
        <v>1</v>
      </c>
      <c r="G278" s="54"/>
      <c r="H278" s="55">
        <v>1</v>
      </c>
      <c r="I278" s="55"/>
      <c r="J278" s="55"/>
      <c r="K278" s="49">
        <f t="shared" ref="K278:K308" si="73">SUM(G278:J278)</f>
        <v>1</v>
      </c>
      <c r="L278" s="54"/>
      <c r="M278" s="55">
        <v>2</v>
      </c>
      <c r="N278" s="55"/>
      <c r="O278" s="55"/>
      <c r="P278" s="49">
        <f>SUM(L278:O278)</f>
        <v>2</v>
      </c>
      <c r="Q278" s="49">
        <f t="shared" si="69"/>
        <v>4</v>
      </c>
      <c r="R278" s="14">
        <v>43649</v>
      </c>
      <c r="S278" s="148" t="s">
        <v>39</v>
      </c>
      <c r="T278" s="54"/>
      <c r="U278" s="153"/>
      <c r="V278" s="153"/>
      <c r="W278" s="156"/>
      <c r="X278" s="49">
        <f t="shared" si="70"/>
        <v>0</v>
      </c>
      <c r="Y278" s="54"/>
      <c r="Z278" s="55"/>
      <c r="AA278" s="55"/>
      <c r="AB278" s="55"/>
      <c r="AC278" s="49">
        <f t="shared" ref="AC278:AC307" si="74">SUM(Y278:AB278)</f>
        <v>0</v>
      </c>
      <c r="AD278" s="54">
        <v>2</v>
      </c>
      <c r="AE278" s="55">
        <v>1</v>
      </c>
      <c r="AF278" s="55"/>
      <c r="AG278" s="55"/>
      <c r="AH278" s="49">
        <f t="shared" ref="AH278:AH307" si="75">SUM(AD278:AG278)</f>
        <v>3</v>
      </c>
      <c r="AI278" s="49">
        <f t="shared" si="71"/>
        <v>3</v>
      </c>
      <c r="AJ278" s="14">
        <v>43666</v>
      </c>
    </row>
    <row r="279" spans="1:36" x14ac:dyDescent="0.15">
      <c r="A279" s="148" t="s">
        <v>40</v>
      </c>
      <c r="B279" s="54"/>
      <c r="C279" s="153"/>
      <c r="D279" s="153"/>
      <c r="E279" s="156"/>
      <c r="F279" s="49">
        <f t="shared" si="72"/>
        <v>0</v>
      </c>
      <c r="G279" s="54">
        <v>4</v>
      </c>
      <c r="H279" s="55"/>
      <c r="I279" s="55"/>
      <c r="J279" s="55">
        <v>4</v>
      </c>
      <c r="K279" s="49">
        <f t="shared" si="73"/>
        <v>8</v>
      </c>
      <c r="L279" s="54">
        <v>3</v>
      </c>
      <c r="M279" s="55"/>
      <c r="N279" s="55"/>
      <c r="O279" s="55"/>
      <c r="P279" s="49">
        <f>SUM(L279:O279)</f>
        <v>3</v>
      </c>
      <c r="Q279" s="49">
        <f t="shared" si="69"/>
        <v>11</v>
      </c>
      <c r="R279" s="50">
        <v>43655</v>
      </c>
      <c r="S279" s="148" t="s">
        <v>40</v>
      </c>
      <c r="T279" s="54"/>
      <c r="U279" s="153"/>
      <c r="V279" s="153"/>
      <c r="W279" s="156"/>
      <c r="X279" s="49">
        <f t="shared" si="70"/>
        <v>0</v>
      </c>
      <c r="Y279" s="54"/>
      <c r="Z279" s="55"/>
      <c r="AA279" s="55"/>
      <c r="AB279" s="55"/>
      <c r="AC279" s="49">
        <f t="shared" si="74"/>
        <v>0</v>
      </c>
      <c r="AD279" s="54"/>
      <c r="AE279" s="55"/>
      <c r="AF279" s="55"/>
      <c r="AG279" s="55"/>
      <c r="AH279" s="49">
        <f t="shared" si="75"/>
        <v>0</v>
      </c>
      <c r="AI279" s="49">
        <f t="shared" si="71"/>
        <v>0</v>
      </c>
      <c r="AJ279" s="50"/>
    </row>
    <row r="280" spans="1:36" x14ac:dyDescent="0.15">
      <c r="A280" s="148" t="s">
        <v>41</v>
      </c>
      <c r="B280" s="54"/>
      <c r="C280" s="153"/>
      <c r="D280" s="153"/>
      <c r="E280" s="156"/>
      <c r="F280" s="49">
        <f t="shared" si="72"/>
        <v>0</v>
      </c>
      <c r="G280" s="54"/>
      <c r="H280" s="55">
        <v>5</v>
      </c>
      <c r="I280" s="55">
        <v>4</v>
      </c>
      <c r="J280" s="55"/>
      <c r="K280" s="49">
        <f t="shared" si="73"/>
        <v>9</v>
      </c>
      <c r="L280" s="54"/>
      <c r="M280" s="55"/>
      <c r="N280" s="55"/>
      <c r="O280" s="55"/>
      <c r="P280" s="49">
        <f>SUM(L280:O280)</f>
        <v>0</v>
      </c>
      <c r="Q280" s="49">
        <f t="shared" si="69"/>
        <v>9</v>
      </c>
      <c r="R280" s="50">
        <v>43656</v>
      </c>
      <c r="S280" s="148" t="s">
        <v>41</v>
      </c>
      <c r="T280" s="54"/>
      <c r="U280" s="153"/>
      <c r="V280" s="153"/>
      <c r="W280" s="156"/>
      <c r="X280" s="49">
        <f t="shared" si="70"/>
        <v>0</v>
      </c>
      <c r="Y280" s="54"/>
      <c r="Z280" s="55"/>
      <c r="AA280" s="55"/>
      <c r="AB280" s="55"/>
      <c r="AC280" s="49">
        <f t="shared" si="74"/>
        <v>0</v>
      </c>
      <c r="AD280" s="54"/>
      <c r="AE280" s="55"/>
      <c r="AF280" s="55"/>
      <c r="AG280" s="55"/>
      <c r="AH280" s="49">
        <f t="shared" si="75"/>
        <v>0</v>
      </c>
      <c r="AI280" s="49">
        <f t="shared" si="71"/>
        <v>0</v>
      </c>
      <c r="AJ280" s="50"/>
    </row>
    <row r="281" spans="1:36" ht="14.25" thickBot="1" x14ac:dyDescent="0.2">
      <c r="A281" s="148" t="s">
        <v>29</v>
      </c>
      <c r="B281" s="157"/>
      <c r="C281" s="158"/>
      <c r="D281" s="158"/>
      <c r="E281" s="159"/>
      <c r="F281" s="49">
        <f t="shared" si="72"/>
        <v>0</v>
      </c>
      <c r="G281" s="54">
        <v>3</v>
      </c>
      <c r="H281" s="55"/>
      <c r="I281" s="55"/>
      <c r="J281" s="55">
        <v>1</v>
      </c>
      <c r="K281" s="49">
        <f t="shared" si="73"/>
        <v>4</v>
      </c>
      <c r="L281" s="54"/>
      <c r="M281" s="55">
        <v>1</v>
      </c>
      <c r="N281" s="55"/>
      <c r="O281" s="55"/>
      <c r="P281" s="49">
        <f t="shared" ref="P281:P308" si="76">SUM(L281:O281)</f>
        <v>1</v>
      </c>
      <c r="Q281" s="78">
        <f t="shared" si="69"/>
        <v>5</v>
      </c>
      <c r="R281" s="14">
        <v>43658</v>
      </c>
      <c r="S281" s="148" t="s">
        <v>42</v>
      </c>
      <c r="T281" s="157"/>
      <c r="U281" s="158"/>
      <c r="V281" s="158"/>
      <c r="W281" s="159"/>
      <c r="X281" s="49">
        <f t="shared" si="70"/>
        <v>0</v>
      </c>
      <c r="Y281" s="54"/>
      <c r="Z281" s="55"/>
      <c r="AA281" s="55"/>
      <c r="AB281" s="55"/>
      <c r="AC281" s="49">
        <f t="shared" si="74"/>
        <v>0</v>
      </c>
      <c r="AD281" s="54"/>
      <c r="AE281" s="55"/>
      <c r="AF281" s="55"/>
      <c r="AG281" s="55"/>
      <c r="AH281" s="49">
        <f t="shared" si="75"/>
        <v>0</v>
      </c>
      <c r="AI281" s="78">
        <f t="shared" si="71"/>
        <v>0</v>
      </c>
      <c r="AJ281" s="14"/>
    </row>
    <row r="282" spans="1:36" ht="15" thickBot="1" x14ac:dyDescent="0.2">
      <c r="A282" s="4" t="s">
        <v>14</v>
      </c>
      <c r="B282" s="23">
        <f>SUM(B277:B281)</f>
        <v>4</v>
      </c>
      <c r="C282" s="24">
        <f>SUM(C277:C281)</f>
        <v>0</v>
      </c>
      <c r="D282" s="24">
        <f>SUM(D277:D281)</f>
        <v>2</v>
      </c>
      <c r="E282" s="24">
        <f>SUM(E277:E281)</f>
        <v>3</v>
      </c>
      <c r="F282" s="25">
        <f t="shared" si="72"/>
        <v>9</v>
      </c>
      <c r="G282" s="23">
        <f>SUM(G277:G281)</f>
        <v>10</v>
      </c>
      <c r="H282" s="24">
        <f>SUM(H277:H281)</f>
        <v>9</v>
      </c>
      <c r="I282" s="24">
        <f>SUM(I277:I281)</f>
        <v>8</v>
      </c>
      <c r="J282" s="24">
        <f>SUM(J277:J281)</f>
        <v>8</v>
      </c>
      <c r="K282" s="25">
        <f t="shared" si="73"/>
        <v>35</v>
      </c>
      <c r="L282" s="23">
        <f>SUM(L277:L281)</f>
        <v>5</v>
      </c>
      <c r="M282" s="24">
        <f>SUM(M277:M281)</f>
        <v>6</v>
      </c>
      <c r="N282" s="24">
        <f>SUM(N277:N281)</f>
        <v>5</v>
      </c>
      <c r="O282" s="24">
        <f>SUM(O277:O281)</f>
        <v>3</v>
      </c>
      <c r="P282" s="25">
        <f t="shared" si="76"/>
        <v>19</v>
      </c>
      <c r="Q282" s="77">
        <f t="shared" si="69"/>
        <v>63</v>
      </c>
      <c r="S282" s="4" t="s">
        <v>14</v>
      </c>
      <c r="T282" s="23">
        <f>SUM(T277:T281)</f>
        <v>42</v>
      </c>
      <c r="U282" s="24">
        <f>SUM(U277:U281)</f>
        <v>0</v>
      </c>
      <c r="V282" s="24">
        <f>SUM(V277:V281)</f>
        <v>16</v>
      </c>
      <c r="W282" s="24">
        <f>SUM(W277:W281)</f>
        <v>27</v>
      </c>
      <c r="X282" s="25">
        <f t="shared" si="70"/>
        <v>85</v>
      </c>
      <c r="Y282" s="23">
        <f>SUM(Y277:Y281)</f>
        <v>62</v>
      </c>
      <c r="Z282" s="24">
        <f>SUM(Z277:Z281)</f>
        <v>44</v>
      </c>
      <c r="AA282" s="24">
        <f>SUM(AA277:AA281)</f>
        <v>104</v>
      </c>
      <c r="AB282" s="24">
        <f>SUM(AB277:AB281)</f>
        <v>76</v>
      </c>
      <c r="AC282" s="25">
        <f t="shared" si="74"/>
        <v>286</v>
      </c>
      <c r="AD282" s="23">
        <f>SUM(AD277:AD281)</f>
        <v>115</v>
      </c>
      <c r="AE282" s="24">
        <f>SUM(AE277:AE281)</f>
        <v>96</v>
      </c>
      <c r="AF282" s="24">
        <f>SUM(AF277:AF281)</f>
        <v>109</v>
      </c>
      <c r="AG282" s="24">
        <f>SUM(AG277:AG281)</f>
        <v>90</v>
      </c>
      <c r="AH282" s="25">
        <f t="shared" si="75"/>
        <v>410</v>
      </c>
      <c r="AI282" s="77">
        <f t="shared" si="71"/>
        <v>781</v>
      </c>
    </row>
    <row r="283" spans="1:36" x14ac:dyDescent="0.15">
      <c r="A283" s="53" t="s">
        <v>51</v>
      </c>
      <c r="B283" s="46"/>
      <c r="C283" s="47"/>
      <c r="D283" s="47"/>
      <c r="E283" s="47"/>
      <c r="F283" s="48">
        <f t="shared" si="72"/>
        <v>0</v>
      </c>
      <c r="G283" s="46">
        <v>1</v>
      </c>
      <c r="H283" s="47"/>
      <c r="I283" s="47">
        <v>1</v>
      </c>
      <c r="J283" s="47"/>
      <c r="K283" s="48">
        <f t="shared" si="73"/>
        <v>2</v>
      </c>
      <c r="L283" s="46"/>
      <c r="M283" s="47"/>
      <c r="N283" s="47"/>
      <c r="O283" s="47"/>
      <c r="P283" s="48">
        <f t="shared" si="76"/>
        <v>0</v>
      </c>
      <c r="Q283" s="49">
        <f t="shared" si="69"/>
        <v>2</v>
      </c>
      <c r="R283" s="14">
        <v>43649</v>
      </c>
      <c r="S283" s="53" t="s">
        <v>54</v>
      </c>
      <c r="T283" s="46"/>
      <c r="U283" s="47"/>
      <c r="V283" s="47"/>
      <c r="W283" s="47"/>
      <c r="X283" s="48">
        <f t="shared" ref="X283:X307" si="77">SUM(T283:W283)</f>
        <v>0</v>
      </c>
      <c r="Y283" s="46">
        <v>2</v>
      </c>
      <c r="Z283" s="47"/>
      <c r="AA283" s="47">
        <v>1</v>
      </c>
      <c r="AB283" s="47">
        <v>2</v>
      </c>
      <c r="AC283" s="48">
        <f t="shared" si="74"/>
        <v>5</v>
      </c>
      <c r="AD283" s="46"/>
      <c r="AE283" s="47"/>
      <c r="AF283" s="47"/>
      <c r="AG283" s="47"/>
      <c r="AH283" s="48">
        <f t="shared" si="75"/>
        <v>0</v>
      </c>
      <c r="AI283" s="49">
        <f t="shared" si="71"/>
        <v>5</v>
      </c>
      <c r="AJ283" s="50">
        <v>43654</v>
      </c>
    </row>
    <row r="284" spans="1:36" x14ac:dyDescent="0.15">
      <c r="A284" s="53" t="s">
        <v>51</v>
      </c>
      <c r="B284" s="54"/>
      <c r="C284" s="55"/>
      <c r="D284" s="55"/>
      <c r="E284" s="55"/>
      <c r="F284" s="56">
        <f t="shared" si="72"/>
        <v>0</v>
      </c>
      <c r="G284" s="54"/>
      <c r="H284" s="55"/>
      <c r="I284" s="55"/>
      <c r="J284" s="55">
        <v>1</v>
      </c>
      <c r="K284" s="56">
        <f t="shared" si="73"/>
        <v>1</v>
      </c>
      <c r="L284" s="54"/>
      <c r="M284" s="55"/>
      <c r="N284" s="55"/>
      <c r="O284" s="55"/>
      <c r="P284" s="56">
        <f t="shared" si="76"/>
        <v>0</v>
      </c>
      <c r="Q284" s="49">
        <f t="shared" si="69"/>
        <v>1</v>
      </c>
      <c r="R284" s="14">
        <v>43650</v>
      </c>
      <c r="S284" s="53" t="s">
        <v>21</v>
      </c>
      <c r="T284" s="54"/>
      <c r="U284" s="55"/>
      <c r="V284" s="55"/>
      <c r="W284" s="55"/>
      <c r="X284" s="56">
        <f t="shared" si="77"/>
        <v>0</v>
      </c>
      <c r="Y284" s="54">
        <v>4</v>
      </c>
      <c r="Z284" s="55"/>
      <c r="AA284" s="55"/>
      <c r="AB284" s="55">
        <v>4</v>
      </c>
      <c r="AC284" s="56">
        <f t="shared" si="74"/>
        <v>8</v>
      </c>
      <c r="AD284" s="54">
        <v>3</v>
      </c>
      <c r="AE284" s="55"/>
      <c r="AF284" s="55"/>
      <c r="AG284" s="55"/>
      <c r="AH284" s="56">
        <f t="shared" si="75"/>
        <v>3</v>
      </c>
      <c r="AI284" s="49">
        <f t="shared" si="71"/>
        <v>11</v>
      </c>
      <c r="AJ284" s="50">
        <v>43655</v>
      </c>
    </row>
    <row r="285" spans="1:36" x14ac:dyDescent="0.15">
      <c r="A285" s="53" t="s">
        <v>64</v>
      </c>
      <c r="B285" s="54"/>
      <c r="C285" s="55"/>
      <c r="D285" s="55"/>
      <c r="E285" s="55"/>
      <c r="F285" s="56">
        <f t="shared" si="72"/>
        <v>0</v>
      </c>
      <c r="G285" s="54"/>
      <c r="H285" s="55"/>
      <c r="I285" s="55"/>
      <c r="J285" s="55">
        <v>1</v>
      </c>
      <c r="K285" s="56">
        <f t="shared" si="73"/>
        <v>1</v>
      </c>
      <c r="L285" s="54"/>
      <c r="M285" s="55"/>
      <c r="N285" s="55">
        <v>1</v>
      </c>
      <c r="O285" s="55"/>
      <c r="P285" s="56">
        <f t="shared" si="76"/>
        <v>1</v>
      </c>
      <c r="Q285" s="49">
        <f t="shared" si="69"/>
        <v>2</v>
      </c>
      <c r="R285" s="50">
        <v>43652</v>
      </c>
      <c r="S285" s="53" t="s">
        <v>55</v>
      </c>
      <c r="T285" s="54">
        <v>5</v>
      </c>
      <c r="U285" s="55"/>
      <c r="V285" s="55"/>
      <c r="W285" s="55"/>
      <c r="X285" s="56">
        <f t="shared" si="77"/>
        <v>5</v>
      </c>
      <c r="Y285" s="54"/>
      <c r="Z285" s="55"/>
      <c r="AA285" s="55"/>
      <c r="AB285" s="55"/>
      <c r="AC285" s="56">
        <f t="shared" si="74"/>
        <v>0</v>
      </c>
      <c r="AD285" s="54"/>
      <c r="AE285" s="55"/>
      <c r="AF285" s="55"/>
      <c r="AG285" s="55">
        <v>3</v>
      </c>
      <c r="AH285" s="56">
        <f t="shared" si="75"/>
        <v>3</v>
      </c>
      <c r="AI285" s="49">
        <f t="shared" si="71"/>
        <v>8</v>
      </c>
      <c r="AJ285" s="50">
        <v>43662</v>
      </c>
    </row>
    <row r="286" spans="1:36" x14ac:dyDescent="0.15">
      <c r="A286" s="53" t="s">
        <v>51</v>
      </c>
      <c r="B286" s="54"/>
      <c r="C286" s="55"/>
      <c r="D286" s="55"/>
      <c r="E286" s="55"/>
      <c r="F286" s="56">
        <f t="shared" si="72"/>
        <v>0</v>
      </c>
      <c r="G286" s="54"/>
      <c r="H286" s="55">
        <v>1</v>
      </c>
      <c r="I286" s="55">
        <v>1</v>
      </c>
      <c r="J286" s="55"/>
      <c r="K286" s="56">
        <f t="shared" si="73"/>
        <v>2</v>
      </c>
      <c r="L286" s="54"/>
      <c r="M286" s="55"/>
      <c r="N286" s="55"/>
      <c r="O286" s="55"/>
      <c r="P286" s="56">
        <f t="shared" si="76"/>
        <v>0</v>
      </c>
      <c r="Q286" s="49">
        <f t="shared" si="69"/>
        <v>2</v>
      </c>
      <c r="R286" s="50">
        <v>43652</v>
      </c>
      <c r="S286" s="53" t="s">
        <v>52</v>
      </c>
      <c r="T286" s="54">
        <v>5</v>
      </c>
      <c r="U286" s="55"/>
      <c r="V286" s="55"/>
      <c r="W286" s="55"/>
      <c r="X286" s="56">
        <f t="shared" si="77"/>
        <v>5</v>
      </c>
      <c r="Y286" s="54">
        <v>10</v>
      </c>
      <c r="Z286" s="55">
        <v>5</v>
      </c>
      <c r="AA286" s="55"/>
      <c r="AB286" s="55"/>
      <c r="AC286" s="56">
        <f t="shared" si="74"/>
        <v>15</v>
      </c>
      <c r="AD286" s="54">
        <v>3</v>
      </c>
      <c r="AE286" s="55"/>
      <c r="AF286" s="55"/>
      <c r="AG286" s="55"/>
      <c r="AH286" s="56">
        <f t="shared" si="75"/>
        <v>3</v>
      </c>
      <c r="AI286" s="49">
        <f t="shared" si="71"/>
        <v>23</v>
      </c>
      <c r="AJ286" s="50">
        <v>43662</v>
      </c>
    </row>
    <row r="287" spans="1:36" x14ac:dyDescent="0.15">
      <c r="A287" s="53" t="s">
        <v>54</v>
      </c>
      <c r="B287" s="54"/>
      <c r="C287" s="55"/>
      <c r="D287" s="55"/>
      <c r="E287" s="55"/>
      <c r="F287" s="56">
        <f t="shared" si="72"/>
        <v>0</v>
      </c>
      <c r="G287" s="54"/>
      <c r="H287" s="55"/>
      <c r="I287" s="55">
        <v>1</v>
      </c>
      <c r="J287" s="55"/>
      <c r="K287" s="56">
        <f t="shared" si="73"/>
        <v>1</v>
      </c>
      <c r="L287" s="54"/>
      <c r="M287" s="55"/>
      <c r="N287" s="55"/>
      <c r="O287" s="55"/>
      <c r="P287" s="56">
        <f t="shared" si="76"/>
        <v>0</v>
      </c>
      <c r="Q287" s="49">
        <f t="shared" si="69"/>
        <v>1</v>
      </c>
      <c r="R287" s="50">
        <v>43655</v>
      </c>
      <c r="S287" s="53" t="s">
        <v>21</v>
      </c>
      <c r="T287" s="54"/>
      <c r="U287" s="55"/>
      <c r="V287" s="55"/>
      <c r="W287" s="55"/>
      <c r="X287" s="56">
        <f t="shared" si="77"/>
        <v>0</v>
      </c>
      <c r="Y287" s="54"/>
      <c r="Z287" s="55">
        <v>5</v>
      </c>
      <c r="AA287" s="55">
        <v>4</v>
      </c>
      <c r="AB287" s="55"/>
      <c r="AC287" s="56">
        <f t="shared" si="74"/>
        <v>9</v>
      </c>
      <c r="AD287" s="54"/>
      <c r="AE287" s="55"/>
      <c r="AF287" s="55"/>
      <c r="AG287" s="55"/>
      <c r="AH287" s="56">
        <f t="shared" si="75"/>
        <v>0</v>
      </c>
      <c r="AI287" s="49">
        <f t="shared" si="71"/>
        <v>9</v>
      </c>
      <c r="AJ287" s="50">
        <v>43656</v>
      </c>
    </row>
    <row r="288" spans="1:36" x14ac:dyDescent="0.15">
      <c r="A288" s="53" t="s">
        <v>51</v>
      </c>
      <c r="B288" s="54"/>
      <c r="C288" s="55"/>
      <c r="D288" s="55"/>
      <c r="E288" s="55"/>
      <c r="F288" s="56">
        <f t="shared" si="72"/>
        <v>0</v>
      </c>
      <c r="G288" s="54"/>
      <c r="H288" s="55">
        <v>2</v>
      </c>
      <c r="I288" s="55">
        <v>1</v>
      </c>
      <c r="J288" s="55"/>
      <c r="K288" s="56">
        <f t="shared" si="73"/>
        <v>3</v>
      </c>
      <c r="L288" s="54"/>
      <c r="M288" s="55"/>
      <c r="N288" s="55"/>
      <c r="O288" s="55"/>
      <c r="P288" s="56">
        <f t="shared" si="76"/>
        <v>0</v>
      </c>
      <c r="Q288" s="49">
        <f t="shared" si="69"/>
        <v>3</v>
      </c>
      <c r="R288" s="14">
        <v>43654</v>
      </c>
      <c r="S288" s="53" t="s">
        <v>52</v>
      </c>
      <c r="T288" s="54"/>
      <c r="U288" s="55"/>
      <c r="V288" s="55"/>
      <c r="W288" s="55"/>
      <c r="X288" s="56">
        <f t="shared" si="77"/>
        <v>0</v>
      </c>
      <c r="Y288" s="54"/>
      <c r="Z288" s="55"/>
      <c r="AA288" s="55">
        <v>10</v>
      </c>
      <c r="AB288" s="55"/>
      <c r="AC288" s="56">
        <f t="shared" si="74"/>
        <v>10</v>
      </c>
      <c r="AD288" s="54"/>
      <c r="AE288" s="55"/>
      <c r="AF288" s="55"/>
      <c r="AG288" s="55"/>
      <c r="AH288" s="56">
        <f t="shared" si="75"/>
        <v>0</v>
      </c>
      <c r="AI288" s="49">
        <f t="shared" si="71"/>
        <v>10</v>
      </c>
      <c r="AJ288" s="50">
        <v>43663</v>
      </c>
    </row>
    <row r="289" spans="1:37" x14ac:dyDescent="0.15">
      <c r="A289" s="53" t="s">
        <v>65</v>
      </c>
      <c r="B289" s="54"/>
      <c r="C289" s="55"/>
      <c r="D289" s="55"/>
      <c r="E289" s="55"/>
      <c r="F289" s="56">
        <f t="shared" si="72"/>
        <v>0</v>
      </c>
      <c r="G289" s="54">
        <v>1</v>
      </c>
      <c r="H289" s="55"/>
      <c r="I289" s="55"/>
      <c r="J289" s="55"/>
      <c r="K289" s="56">
        <f t="shared" si="73"/>
        <v>1</v>
      </c>
      <c r="L289" s="54">
        <v>1</v>
      </c>
      <c r="M289" s="55"/>
      <c r="N289" s="55"/>
      <c r="O289" s="55"/>
      <c r="P289" s="56">
        <f t="shared" si="76"/>
        <v>1</v>
      </c>
      <c r="Q289" s="49">
        <f t="shared" si="69"/>
        <v>2</v>
      </c>
      <c r="R289" s="14">
        <v>43655</v>
      </c>
      <c r="S289" s="53" t="s">
        <v>55</v>
      </c>
      <c r="T289" s="54"/>
      <c r="U289" s="55"/>
      <c r="V289" s="55"/>
      <c r="W289" s="55"/>
      <c r="X289" s="56">
        <f t="shared" si="77"/>
        <v>0</v>
      </c>
      <c r="Y289" s="54"/>
      <c r="Z289" s="55"/>
      <c r="AA289" s="55"/>
      <c r="AB289" s="55"/>
      <c r="AC289" s="56">
        <f t="shared" si="74"/>
        <v>0</v>
      </c>
      <c r="AD289" s="54"/>
      <c r="AE289" s="55">
        <v>10</v>
      </c>
      <c r="AF289" s="55"/>
      <c r="AG289" s="55"/>
      <c r="AH289" s="56">
        <f t="shared" si="75"/>
        <v>10</v>
      </c>
      <c r="AI289" s="49">
        <f t="shared" si="71"/>
        <v>10</v>
      </c>
      <c r="AJ289" s="50">
        <v>43662</v>
      </c>
    </row>
    <row r="290" spans="1:37" x14ac:dyDescent="0.15">
      <c r="A290" s="53" t="s">
        <v>54</v>
      </c>
      <c r="B290" s="54"/>
      <c r="C290" s="55"/>
      <c r="D290" s="55"/>
      <c r="E290" s="55"/>
      <c r="F290" s="56">
        <f t="shared" si="72"/>
        <v>0</v>
      </c>
      <c r="G290" s="54">
        <v>1</v>
      </c>
      <c r="H290" s="55"/>
      <c r="I290" s="55"/>
      <c r="J290" s="55"/>
      <c r="K290" s="56">
        <f t="shared" si="73"/>
        <v>1</v>
      </c>
      <c r="L290" s="54"/>
      <c r="M290" s="55"/>
      <c r="N290" s="55"/>
      <c r="O290" s="55"/>
      <c r="P290" s="56">
        <f t="shared" si="76"/>
        <v>0</v>
      </c>
      <c r="Q290" s="49">
        <f t="shared" si="69"/>
        <v>1</v>
      </c>
      <c r="R290" s="50">
        <v>43657</v>
      </c>
      <c r="S290" s="53" t="s">
        <v>54</v>
      </c>
      <c r="T290" s="54"/>
      <c r="U290" s="55"/>
      <c r="V290" s="55"/>
      <c r="W290" s="55"/>
      <c r="X290" s="56">
        <f t="shared" si="77"/>
        <v>0</v>
      </c>
      <c r="Y290" s="54"/>
      <c r="Z290" s="55">
        <v>2</v>
      </c>
      <c r="AA290" s="55"/>
      <c r="AB290" s="55">
        <v>2</v>
      </c>
      <c r="AC290" s="56">
        <f t="shared" si="74"/>
        <v>4</v>
      </c>
      <c r="AD290" s="54"/>
      <c r="AE290" s="55"/>
      <c r="AF290" s="55">
        <v>1</v>
      </c>
      <c r="AG290" s="55"/>
      <c r="AH290" s="56">
        <f t="shared" si="75"/>
        <v>1</v>
      </c>
      <c r="AI290" s="49">
        <f t="shared" si="71"/>
        <v>5</v>
      </c>
      <c r="AJ290" s="50">
        <v>43663</v>
      </c>
    </row>
    <row r="291" spans="1:37" x14ac:dyDescent="0.15">
      <c r="A291" s="53" t="s">
        <v>51</v>
      </c>
      <c r="B291" s="17"/>
      <c r="C291" s="18"/>
      <c r="D291" s="18"/>
      <c r="E291" s="18"/>
      <c r="F291" s="30">
        <f t="shared" si="72"/>
        <v>0</v>
      </c>
      <c r="G291" s="17"/>
      <c r="H291" s="18">
        <v>1</v>
      </c>
      <c r="I291" s="18"/>
      <c r="J291" s="18"/>
      <c r="K291" s="30">
        <f t="shared" si="73"/>
        <v>1</v>
      </c>
      <c r="L291" s="17"/>
      <c r="M291" s="18"/>
      <c r="N291" s="18"/>
      <c r="O291" s="18"/>
      <c r="P291" s="30">
        <f t="shared" si="76"/>
        <v>0</v>
      </c>
      <c r="Q291" s="49">
        <f t="shared" si="69"/>
        <v>1</v>
      </c>
      <c r="R291" s="14">
        <v>43656</v>
      </c>
      <c r="S291" s="53" t="s">
        <v>52</v>
      </c>
      <c r="T291" s="17"/>
      <c r="U291" s="18"/>
      <c r="V291" s="18"/>
      <c r="W291" s="18"/>
      <c r="X291" s="30">
        <f t="shared" si="77"/>
        <v>0</v>
      </c>
      <c r="Y291" s="17"/>
      <c r="Z291" s="18">
        <v>10</v>
      </c>
      <c r="AA291" s="18"/>
      <c r="AB291" s="18"/>
      <c r="AC291" s="30">
        <f t="shared" si="74"/>
        <v>10</v>
      </c>
      <c r="AD291" s="17"/>
      <c r="AE291" s="18"/>
      <c r="AF291" s="18"/>
      <c r="AG291" s="18">
        <v>5</v>
      </c>
      <c r="AH291" s="30">
        <f t="shared" si="75"/>
        <v>5</v>
      </c>
      <c r="AI291" s="49">
        <f t="shared" si="71"/>
        <v>15</v>
      </c>
      <c r="AJ291" s="50">
        <v>43668</v>
      </c>
    </row>
    <row r="292" spans="1:37" x14ac:dyDescent="0.15">
      <c r="A292" s="53" t="s">
        <v>51</v>
      </c>
      <c r="B292" s="54"/>
      <c r="C292" s="55"/>
      <c r="D292" s="55"/>
      <c r="E292" s="55"/>
      <c r="F292" s="56">
        <f t="shared" si="72"/>
        <v>0</v>
      </c>
      <c r="G292" s="54">
        <v>1</v>
      </c>
      <c r="H292" s="55"/>
      <c r="I292" s="55"/>
      <c r="J292" s="55"/>
      <c r="K292" s="56">
        <f t="shared" si="73"/>
        <v>1</v>
      </c>
      <c r="L292" s="54"/>
      <c r="M292" s="55"/>
      <c r="N292" s="55"/>
      <c r="O292" s="55"/>
      <c r="P292" s="56">
        <f t="shared" si="76"/>
        <v>0</v>
      </c>
      <c r="Q292" s="49">
        <f t="shared" si="69"/>
        <v>1</v>
      </c>
      <c r="R292" s="14">
        <v>43657</v>
      </c>
      <c r="S292" s="53" t="s">
        <v>52</v>
      </c>
      <c r="T292" s="54"/>
      <c r="U292" s="55"/>
      <c r="V292" s="55"/>
      <c r="W292" s="55"/>
      <c r="X292" s="56">
        <f t="shared" si="77"/>
        <v>0</v>
      </c>
      <c r="Y292" s="54"/>
      <c r="Z292" s="55"/>
      <c r="AA292" s="55"/>
      <c r="AB292" s="55"/>
      <c r="AC292" s="56">
        <f t="shared" si="74"/>
        <v>0</v>
      </c>
      <c r="AD292" s="54">
        <v>5</v>
      </c>
      <c r="AE292" s="55">
        <v>10</v>
      </c>
      <c r="AF292" s="55"/>
      <c r="AG292" s="55"/>
      <c r="AH292" s="56">
        <f t="shared" si="75"/>
        <v>15</v>
      </c>
      <c r="AI292" s="49">
        <f t="shared" si="71"/>
        <v>15</v>
      </c>
      <c r="AJ292" s="50">
        <v>43669</v>
      </c>
      <c r="AK292" s="74"/>
    </row>
    <row r="293" spans="1:37" x14ac:dyDescent="0.15">
      <c r="A293" s="53" t="s">
        <v>54</v>
      </c>
      <c r="B293" s="54"/>
      <c r="C293" s="55"/>
      <c r="D293" s="55"/>
      <c r="E293" s="55"/>
      <c r="F293" s="56">
        <f t="shared" si="72"/>
        <v>0</v>
      </c>
      <c r="G293" s="54">
        <v>1</v>
      </c>
      <c r="H293" s="55"/>
      <c r="I293" s="55"/>
      <c r="J293" s="55"/>
      <c r="K293" s="56">
        <f t="shared" si="73"/>
        <v>1</v>
      </c>
      <c r="L293" s="54"/>
      <c r="M293" s="55"/>
      <c r="N293" s="55"/>
      <c r="O293" s="55"/>
      <c r="P293" s="56">
        <f t="shared" si="76"/>
        <v>0</v>
      </c>
      <c r="Q293" s="49">
        <f t="shared" si="69"/>
        <v>1</v>
      </c>
      <c r="R293" s="50">
        <v>43659</v>
      </c>
      <c r="S293" s="53" t="s">
        <v>54</v>
      </c>
      <c r="T293" s="54"/>
      <c r="U293" s="55"/>
      <c r="V293" s="55"/>
      <c r="W293" s="55"/>
      <c r="X293" s="56">
        <f t="shared" si="77"/>
        <v>0</v>
      </c>
      <c r="Y293" s="54">
        <v>1</v>
      </c>
      <c r="Z293" s="55">
        <v>2</v>
      </c>
      <c r="AA293" s="55"/>
      <c r="AB293" s="55">
        <v>1</v>
      </c>
      <c r="AC293" s="56">
        <f t="shared" si="74"/>
        <v>4</v>
      </c>
      <c r="AD293" s="54"/>
      <c r="AE293" s="55"/>
      <c r="AF293" s="55"/>
      <c r="AG293" s="55"/>
      <c r="AH293" s="56">
        <f t="shared" si="75"/>
        <v>0</v>
      </c>
      <c r="AI293" s="49">
        <f t="shared" si="71"/>
        <v>4</v>
      </c>
      <c r="AJ293" s="50">
        <v>43665</v>
      </c>
    </row>
    <row r="294" spans="1:37" x14ac:dyDescent="0.15">
      <c r="A294" s="53" t="s">
        <v>51</v>
      </c>
      <c r="B294" s="54"/>
      <c r="C294" s="55"/>
      <c r="D294" s="55"/>
      <c r="E294" s="55"/>
      <c r="F294" s="56">
        <f t="shared" si="72"/>
        <v>0</v>
      </c>
      <c r="G294" s="54"/>
      <c r="H294" s="55"/>
      <c r="I294" s="55">
        <v>2</v>
      </c>
      <c r="J294" s="55"/>
      <c r="K294" s="56">
        <f t="shared" si="73"/>
        <v>2</v>
      </c>
      <c r="L294" s="54">
        <v>1</v>
      </c>
      <c r="M294" s="55"/>
      <c r="N294" s="55"/>
      <c r="O294" s="55">
        <v>1</v>
      </c>
      <c r="P294" s="56">
        <f t="shared" si="76"/>
        <v>2</v>
      </c>
      <c r="Q294" s="49">
        <f t="shared" si="69"/>
        <v>4</v>
      </c>
      <c r="R294" s="14">
        <v>43662</v>
      </c>
      <c r="S294" s="53" t="s">
        <v>55</v>
      </c>
      <c r="T294" s="54">
        <v>5</v>
      </c>
      <c r="U294" s="55"/>
      <c r="V294" s="55"/>
      <c r="W294" s="55">
        <v>3</v>
      </c>
      <c r="X294" s="56">
        <f t="shared" si="77"/>
        <v>8</v>
      </c>
      <c r="Y294" s="54">
        <v>5</v>
      </c>
      <c r="Z294" s="55"/>
      <c r="AA294" s="55"/>
      <c r="AB294" s="55">
        <v>5</v>
      </c>
      <c r="AC294" s="56">
        <f t="shared" si="74"/>
        <v>10</v>
      </c>
      <c r="AD294" s="54"/>
      <c r="AE294" s="55"/>
      <c r="AF294" s="55"/>
      <c r="AG294" s="55">
        <v>3</v>
      </c>
      <c r="AH294" s="56">
        <f t="shared" si="75"/>
        <v>3</v>
      </c>
      <c r="AI294" s="49">
        <f t="shared" si="71"/>
        <v>21</v>
      </c>
      <c r="AJ294" s="50">
        <v>43670</v>
      </c>
    </row>
    <row r="295" spans="1:37" x14ac:dyDescent="0.15">
      <c r="A295" s="53" t="s">
        <v>54</v>
      </c>
      <c r="B295" s="54"/>
      <c r="C295" s="55"/>
      <c r="D295" s="55"/>
      <c r="E295" s="55"/>
      <c r="F295" s="56">
        <f t="shared" si="72"/>
        <v>0</v>
      </c>
      <c r="G295" s="54"/>
      <c r="H295" s="55"/>
      <c r="I295" s="55"/>
      <c r="J295" s="55">
        <v>1</v>
      </c>
      <c r="K295" s="56">
        <f t="shared" si="73"/>
        <v>1</v>
      </c>
      <c r="L295" s="54"/>
      <c r="M295" s="55"/>
      <c r="N295" s="55"/>
      <c r="O295" s="55"/>
      <c r="P295" s="56">
        <f t="shared" si="76"/>
        <v>0</v>
      </c>
      <c r="Q295" s="49">
        <f t="shared" si="69"/>
        <v>1</v>
      </c>
      <c r="R295" s="50">
        <v>43664</v>
      </c>
      <c r="S295" s="53" t="s">
        <v>52</v>
      </c>
      <c r="T295" s="54"/>
      <c r="U295" s="55"/>
      <c r="V295" s="55"/>
      <c r="W295" s="55"/>
      <c r="X295" s="56">
        <f t="shared" si="77"/>
        <v>0</v>
      </c>
      <c r="Y295" s="54">
        <v>10</v>
      </c>
      <c r="Z295" s="55"/>
      <c r="AA295" s="55">
        <v>10</v>
      </c>
      <c r="AB295" s="55"/>
      <c r="AC295" s="56">
        <f t="shared" si="74"/>
        <v>20</v>
      </c>
      <c r="AD295" s="54"/>
      <c r="AE295" s="55">
        <v>5</v>
      </c>
      <c r="AF295" s="55">
        <v>5</v>
      </c>
      <c r="AG295" s="55"/>
      <c r="AH295" s="56">
        <f t="shared" si="75"/>
        <v>10</v>
      </c>
      <c r="AI295" s="49">
        <f t="shared" si="71"/>
        <v>30</v>
      </c>
      <c r="AJ295" s="50">
        <v>43670</v>
      </c>
    </row>
    <row r="296" spans="1:37" x14ac:dyDescent="0.15">
      <c r="A296" s="53" t="s">
        <v>51</v>
      </c>
      <c r="B296" s="54">
        <v>1</v>
      </c>
      <c r="C296" s="55"/>
      <c r="D296" s="55"/>
      <c r="E296" s="55"/>
      <c r="F296" s="56">
        <f t="shared" si="72"/>
        <v>1</v>
      </c>
      <c r="G296" s="54"/>
      <c r="H296" s="55"/>
      <c r="I296" s="55"/>
      <c r="J296" s="55"/>
      <c r="K296" s="56">
        <f t="shared" si="73"/>
        <v>0</v>
      </c>
      <c r="L296" s="54"/>
      <c r="M296" s="55"/>
      <c r="N296" s="55"/>
      <c r="O296" s="55"/>
      <c r="P296" s="56">
        <f t="shared" si="76"/>
        <v>0</v>
      </c>
      <c r="Q296" s="49">
        <f t="shared" si="69"/>
        <v>1</v>
      </c>
      <c r="R296" s="50">
        <v>43664</v>
      </c>
      <c r="S296" s="53" t="s">
        <v>55</v>
      </c>
      <c r="T296" s="54"/>
      <c r="U296" s="55"/>
      <c r="V296" s="55">
        <v>5</v>
      </c>
      <c r="W296" s="55"/>
      <c r="X296" s="56">
        <f t="shared" si="77"/>
        <v>5</v>
      </c>
      <c r="Y296" s="54"/>
      <c r="Z296" s="55"/>
      <c r="AA296" s="55"/>
      <c r="AB296" s="55"/>
      <c r="AC296" s="56">
        <f t="shared" si="74"/>
        <v>0</v>
      </c>
      <c r="AD296" s="54"/>
      <c r="AE296" s="55"/>
      <c r="AF296" s="55"/>
      <c r="AG296" s="55"/>
      <c r="AH296" s="56">
        <f t="shared" si="75"/>
        <v>0</v>
      </c>
      <c r="AI296" s="49">
        <f t="shared" si="71"/>
        <v>5</v>
      </c>
      <c r="AJ296" s="50">
        <v>43671</v>
      </c>
    </row>
    <row r="297" spans="1:37" x14ac:dyDescent="0.15">
      <c r="A297" s="53" t="s">
        <v>54</v>
      </c>
      <c r="B297" s="54"/>
      <c r="C297" s="55"/>
      <c r="D297" s="55"/>
      <c r="E297" s="55"/>
      <c r="F297" s="56">
        <f t="shared" si="72"/>
        <v>0</v>
      </c>
      <c r="G297" s="54"/>
      <c r="H297" s="55">
        <v>1</v>
      </c>
      <c r="I297" s="55"/>
      <c r="J297" s="55"/>
      <c r="K297" s="56">
        <f t="shared" si="73"/>
        <v>1</v>
      </c>
      <c r="L297" s="54"/>
      <c r="M297" s="55"/>
      <c r="N297" s="55"/>
      <c r="O297" s="55"/>
      <c r="P297" s="56">
        <f t="shared" si="76"/>
        <v>0</v>
      </c>
      <c r="Q297" s="49">
        <f t="shared" si="69"/>
        <v>1</v>
      </c>
      <c r="R297" s="50">
        <v>43666</v>
      </c>
      <c r="S297" s="53" t="s">
        <v>52</v>
      </c>
      <c r="T297" s="54"/>
      <c r="U297" s="55"/>
      <c r="V297" s="55"/>
      <c r="W297" s="55"/>
      <c r="X297" s="56">
        <f t="shared" si="77"/>
        <v>0</v>
      </c>
      <c r="Y297" s="54"/>
      <c r="Z297" s="55">
        <v>10</v>
      </c>
      <c r="AA297" s="55"/>
      <c r="AB297" s="55"/>
      <c r="AC297" s="56">
        <f t="shared" si="74"/>
        <v>10</v>
      </c>
      <c r="AD297" s="54"/>
      <c r="AE297" s="55"/>
      <c r="AF297" s="55"/>
      <c r="AG297" s="55">
        <v>10</v>
      </c>
      <c r="AH297" s="56">
        <f t="shared" si="75"/>
        <v>10</v>
      </c>
      <c r="AI297" s="49">
        <f t="shared" si="71"/>
        <v>20</v>
      </c>
      <c r="AJ297" s="50">
        <v>43671</v>
      </c>
    </row>
    <row r="298" spans="1:37" x14ac:dyDescent="0.15">
      <c r="A298" s="53" t="s">
        <v>51</v>
      </c>
      <c r="B298" s="54">
        <v>1</v>
      </c>
      <c r="C298" s="55"/>
      <c r="D298" s="55"/>
      <c r="E298" s="55"/>
      <c r="F298" s="56">
        <f t="shared" si="72"/>
        <v>1</v>
      </c>
      <c r="G298" s="54"/>
      <c r="H298" s="55"/>
      <c r="I298" s="55"/>
      <c r="J298" s="55"/>
      <c r="K298" s="56">
        <f t="shared" si="73"/>
        <v>0</v>
      </c>
      <c r="L298" s="54"/>
      <c r="M298" s="55"/>
      <c r="N298" s="55"/>
      <c r="O298" s="55"/>
      <c r="P298" s="56">
        <f t="shared" si="76"/>
        <v>0</v>
      </c>
      <c r="Q298" s="49">
        <f t="shared" si="69"/>
        <v>1</v>
      </c>
      <c r="R298" s="14">
        <v>43665</v>
      </c>
      <c r="S298" s="53" t="s">
        <v>55</v>
      </c>
      <c r="T298" s="54"/>
      <c r="U298" s="55"/>
      <c r="V298" s="55"/>
      <c r="W298" s="55">
        <v>5</v>
      </c>
      <c r="X298" s="56">
        <f t="shared" si="77"/>
        <v>5</v>
      </c>
      <c r="Y298" s="54"/>
      <c r="Z298" s="55"/>
      <c r="AA298" s="55">
        <v>5</v>
      </c>
      <c r="AB298" s="55"/>
      <c r="AC298" s="56">
        <f t="shared" si="74"/>
        <v>5</v>
      </c>
      <c r="AD298" s="54"/>
      <c r="AE298" s="55">
        <v>5</v>
      </c>
      <c r="AF298" s="55"/>
      <c r="AG298" s="55"/>
      <c r="AH298" s="56">
        <f t="shared" si="75"/>
        <v>5</v>
      </c>
      <c r="AI298" s="49">
        <f t="shared" si="71"/>
        <v>15</v>
      </c>
      <c r="AJ298" s="50">
        <v>43672</v>
      </c>
    </row>
    <row r="299" spans="1:37" x14ac:dyDescent="0.15">
      <c r="A299" s="53" t="s">
        <v>66</v>
      </c>
      <c r="B299" s="54"/>
      <c r="C299" s="55"/>
      <c r="D299" s="55"/>
      <c r="E299" s="55"/>
      <c r="F299" s="56">
        <f t="shared" si="72"/>
        <v>0</v>
      </c>
      <c r="G299" s="54"/>
      <c r="H299" s="55"/>
      <c r="I299" s="55"/>
      <c r="J299" s="55"/>
      <c r="K299" s="56">
        <f t="shared" si="73"/>
        <v>0</v>
      </c>
      <c r="L299" s="54">
        <v>2</v>
      </c>
      <c r="M299" s="55">
        <v>1</v>
      </c>
      <c r="N299" s="55"/>
      <c r="O299" s="55"/>
      <c r="P299" s="56">
        <f t="shared" si="76"/>
        <v>3</v>
      </c>
      <c r="Q299" s="49">
        <f t="shared" si="69"/>
        <v>3</v>
      </c>
      <c r="R299" s="14">
        <v>43666</v>
      </c>
      <c r="S299" s="53" t="s">
        <v>52</v>
      </c>
      <c r="T299" s="54">
        <v>10</v>
      </c>
      <c r="U299" s="55"/>
      <c r="V299" s="55"/>
      <c r="W299" s="55">
        <v>5</v>
      </c>
      <c r="X299" s="56">
        <f t="shared" si="77"/>
        <v>15</v>
      </c>
      <c r="Y299" s="54"/>
      <c r="Z299" s="55"/>
      <c r="AA299" s="55"/>
      <c r="AB299" s="55"/>
      <c r="AC299" s="56">
        <f t="shared" si="74"/>
        <v>0</v>
      </c>
      <c r="AD299" s="54">
        <v>10</v>
      </c>
      <c r="AE299" s="55"/>
      <c r="AF299" s="55"/>
      <c r="AG299" s="55"/>
      <c r="AH299" s="56">
        <f t="shared" si="75"/>
        <v>10</v>
      </c>
      <c r="AI299" s="49">
        <f t="shared" si="71"/>
        <v>25</v>
      </c>
      <c r="AJ299" s="50">
        <v>43672</v>
      </c>
    </row>
    <row r="300" spans="1:37" x14ac:dyDescent="0.15">
      <c r="A300" s="53" t="s">
        <v>54</v>
      </c>
      <c r="B300" s="54"/>
      <c r="C300" s="55"/>
      <c r="D300" s="55"/>
      <c r="E300" s="55"/>
      <c r="F300" s="56">
        <f t="shared" si="72"/>
        <v>0</v>
      </c>
      <c r="G300" s="54"/>
      <c r="H300" s="55"/>
      <c r="I300" s="55">
        <v>2</v>
      </c>
      <c r="J300" s="55"/>
      <c r="K300" s="56">
        <f t="shared" si="73"/>
        <v>2</v>
      </c>
      <c r="L300" s="54"/>
      <c r="M300" s="55">
        <v>1</v>
      </c>
      <c r="N300" s="55"/>
      <c r="O300" s="55"/>
      <c r="P300" s="56">
        <f t="shared" si="76"/>
        <v>1</v>
      </c>
      <c r="Q300" s="49">
        <f t="shared" si="69"/>
        <v>3</v>
      </c>
      <c r="R300" s="50">
        <v>43669</v>
      </c>
      <c r="S300" s="53" t="s">
        <v>55</v>
      </c>
      <c r="T300" s="54"/>
      <c r="U300" s="55"/>
      <c r="V300" s="55"/>
      <c r="W300" s="55">
        <v>5</v>
      </c>
      <c r="X300" s="56">
        <f t="shared" si="77"/>
        <v>5</v>
      </c>
      <c r="Y300" s="54">
        <v>5</v>
      </c>
      <c r="Z300" s="55"/>
      <c r="AA300" s="55"/>
      <c r="AB300" s="55"/>
      <c r="AC300" s="56">
        <f t="shared" si="74"/>
        <v>5</v>
      </c>
      <c r="AD300" s="54"/>
      <c r="AE300" s="55"/>
      <c r="AF300" s="55"/>
      <c r="AG300" s="55"/>
      <c r="AH300" s="56">
        <f t="shared" si="75"/>
        <v>0</v>
      </c>
      <c r="AI300" s="49">
        <f t="shared" si="71"/>
        <v>10</v>
      </c>
      <c r="AJ300" s="50">
        <v>43676</v>
      </c>
    </row>
    <row r="301" spans="1:37" x14ac:dyDescent="0.15">
      <c r="A301" s="53" t="s">
        <v>51</v>
      </c>
      <c r="B301" s="54"/>
      <c r="C301" s="55"/>
      <c r="D301" s="55"/>
      <c r="E301" s="55"/>
      <c r="F301" s="56">
        <f t="shared" si="72"/>
        <v>0</v>
      </c>
      <c r="G301" s="54">
        <v>1</v>
      </c>
      <c r="H301" s="55"/>
      <c r="I301" s="55"/>
      <c r="J301" s="55"/>
      <c r="K301" s="56">
        <f t="shared" si="73"/>
        <v>1</v>
      </c>
      <c r="L301" s="54"/>
      <c r="M301" s="55"/>
      <c r="N301" s="55"/>
      <c r="O301" s="55"/>
      <c r="P301" s="56">
        <f t="shared" si="76"/>
        <v>0</v>
      </c>
      <c r="Q301" s="49">
        <f t="shared" si="69"/>
        <v>1</v>
      </c>
      <c r="R301" s="14">
        <v>43668</v>
      </c>
      <c r="S301" s="53" t="s">
        <v>52</v>
      </c>
      <c r="T301" s="54"/>
      <c r="U301" s="55"/>
      <c r="V301" s="55">
        <v>5</v>
      </c>
      <c r="W301" s="55"/>
      <c r="X301" s="56">
        <f t="shared" si="77"/>
        <v>5</v>
      </c>
      <c r="Y301" s="54"/>
      <c r="Z301" s="55"/>
      <c r="AA301" s="55"/>
      <c r="AB301" s="55">
        <v>10</v>
      </c>
      <c r="AC301" s="56">
        <f t="shared" si="74"/>
        <v>10</v>
      </c>
      <c r="AD301" s="54"/>
      <c r="AE301" s="55"/>
      <c r="AF301" s="55"/>
      <c r="AG301" s="55"/>
      <c r="AH301" s="56">
        <f t="shared" si="75"/>
        <v>0</v>
      </c>
      <c r="AI301" s="49">
        <f t="shared" si="71"/>
        <v>15</v>
      </c>
      <c r="AJ301" s="50">
        <v>43676</v>
      </c>
    </row>
    <row r="302" spans="1:37" x14ac:dyDescent="0.15">
      <c r="A302" s="53" t="s">
        <v>54</v>
      </c>
      <c r="B302" s="17"/>
      <c r="C302" s="18"/>
      <c r="D302" s="18"/>
      <c r="E302" s="18"/>
      <c r="F302" s="30">
        <f t="shared" si="72"/>
        <v>0</v>
      </c>
      <c r="G302" s="17"/>
      <c r="H302" s="18"/>
      <c r="I302" s="18"/>
      <c r="J302" s="18">
        <v>1</v>
      </c>
      <c r="K302" s="30">
        <f t="shared" si="73"/>
        <v>1</v>
      </c>
      <c r="L302" s="17"/>
      <c r="M302" s="18"/>
      <c r="N302" s="18"/>
      <c r="O302" s="18"/>
      <c r="P302" s="30">
        <f t="shared" si="76"/>
        <v>0</v>
      </c>
      <c r="Q302" s="49">
        <f t="shared" si="69"/>
        <v>1</v>
      </c>
      <c r="R302" s="50">
        <v>43669</v>
      </c>
      <c r="S302" s="53" t="s">
        <v>55</v>
      </c>
      <c r="T302" s="17"/>
      <c r="U302" s="18"/>
      <c r="V302" s="18"/>
      <c r="W302" s="18"/>
      <c r="X302" s="30">
        <f t="shared" si="77"/>
        <v>0</v>
      </c>
      <c r="Y302" s="17"/>
      <c r="Z302" s="18">
        <v>5</v>
      </c>
      <c r="AA302" s="18"/>
      <c r="AB302" s="18"/>
      <c r="AC302" s="30">
        <f t="shared" si="74"/>
        <v>5</v>
      </c>
      <c r="AD302" s="17"/>
      <c r="AE302" s="18"/>
      <c r="AF302" s="18"/>
      <c r="AG302" s="18"/>
      <c r="AH302" s="30">
        <f t="shared" si="75"/>
        <v>0</v>
      </c>
      <c r="AI302" s="49">
        <f t="shared" si="71"/>
        <v>5</v>
      </c>
      <c r="AJ302" s="50">
        <v>43676</v>
      </c>
    </row>
    <row r="303" spans="1:37" x14ac:dyDescent="0.15">
      <c r="A303" s="148" t="s">
        <v>29</v>
      </c>
      <c r="B303" s="54"/>
      <c r="C303" s="55"/>
      <c r="D303" s="55"/>
      <c r="E303" s="55"/>
      <c r="F303" s="56">
        <f t="shared" si="72"/>
        <v>0</v>
      </c>
      <c r="G303" s="54">
        <v>-1</v>
      </c>
      <c r="H303" s="55">
        <v>-1</v>
      </c>
      <c r="I303" s="55">
        <v>-1</v>
      </c>
      <c r="J303" s="55"/>
      <c r="K303" s="56">
        <f t="shared" si="73"/>
        <v>-3</v>
      </c>
      <c r="L303" s="54">
        <v>-3</v>
      </c>
      <c r="M303" s="55">
        <v>-1</v>
      </c>
      <c r="N303" s="55"/>
      <c r="O303" s="55"/>
      <c r="P303" s="56">
        <f t="shared" si="76"/>
        <v>-4</v>
      </c>
      <c r="Q303" s="49">
        <f t="shared" si="69"/>
        <v>-7</v>
      </c>
      <c r="R303" s="14">
        <v>43670</v>
      </c>
      <c r="S303" s="53" t="s">
        <v>52</v>
      </c>
      <c r="T303" s="54"/>
      <c r="U303" s="55"/>
      <c r="V303" s="55"/>
      <c r="W303" s="55"/>
      <c r="X303" s="56">
        <f t="shared" si="77"/>
        <v>0</v>
      </c>
      <c r="Y303" s="54"/>
      <c r="Z303" s="55"/>
      <c r="AA303" s="55">
        <v>10</v>
      </c>
      <c r="AB303" s="55"/>
      <c r="AC303" s="56">
        <f t="shared" si="74"/>
        <v>10</v>
      </c>
      <c r="AD303" s="54"/>
      <c r="AE303" s="55"/>
      <c r="AF303" s="55">
        <v>10</v>
      </c>
      <c r="AG303" s="55"/>
      <c r="AH303" s="56">
        <f t="shared" si="75"/>
        <v>10</v>
      </c>
      <c r="AI303" s="49">
        <f t="shared" si="71"/>
        <v>20</v>
      </c>
      <c r="AJ303" s="50">
        <v>43678</v>
      </c>
    </row>
    <row r="304" spans="1:37" x14ac:dyDescent="0.15">
      <c r="A304" s="148" t="s">
        <v>67</v>
      </c>
      <c r="B304" s="62">
        <v>1</v>
      </c>
      <c r="C304" s="63"/>
      <c r="D304" s="63"/>
      <c r="E304" s="63"/>
      <c r="F304" s="56">
        <f t="shared" si="72"/>
        <v>1</v>
      </c>
      <c r="G304" s="62"/>
      <c r="H304" s="63"/>
      <c r="I304" s="63"/>
      <c r="J304" s="63">
        <v>1</v>
      </c>
      <c r="K304" s="56">
        <f t="shared" si="73"/>
        <v>1</v>
      </c>
      <c r="L304" s="62"/>
      <c r="M304" s="63"/>
      <c r="N304" s="63">
        <v>1</v>
      </c>
      <c r="O304" s="63"/>
      <c r="P304" s="56">
        <f t="shared" si="76"/>
        <v>1</v>
      </c>
      <c r="Q304" s="49">
        <f t="shared" si="69"/>
        <v>3</v>
      </c>
      <c r="R304" s="14">
        <v>43670</v>
      </c>
      <c r="S304" s="53" t="s">
        <v>52</v>
      </c>
      <c r="T304" s="62"/>
      <c r="U304" s="63"/>
      <c r="V304" s="63"/>
      <c r="W304" s="63"/>
      <c r="X304" s="56">
        <f t="shared" si="77"/>
        <v>0</v>
      </c>
      <c r="Y304" s="62">
        <v>10</v>
      </c>
      <c r="Z304" s="63">
        <v>5</v>
      </c>
      <c r="AA304" s="63"/>
      <c r="AB304" s="63"/>
      <c r="AC304" s="56">
        <f t="shared" si="74"/>
        <v>15</v>
      </c>
      <c r="AD304" s="62"/>
      <c r="AE304" s="63"/>
      <c r="AF304" s="63"/>
      <c r="AG304" s="63"/>
      <c r="AH304" s="56">
        <f t="shared" si="75"/>
        <v>0</v>
      </c>
      <c r="AI304" s="49">
        <f t="shared" si="71"/>
        <v>15</v>
      </c>
      <c r="AJ304" s="50">
        <v>43678</v>
      </c>
    </row>
    <row r="305" spans="1:36" x14ac:dyDescent="0.15">
      <c r="A305" s="53" t="s">
        <v>51</v>
      </c>
      <c r="B305" s="54"/>
      <c r="C305" s="55"/>
      <c r="D305" s="55"/>
      <c r="E305" s="55"/>
      <c r="F305" s="56">
        <f t="shared" si="72"/>
        <v>0</v>
      </c>
      <c r="G305" s="54"/>
      <c r="H305" s="55">
        <v>1</v>
      </c>
      <c r="I305" s="55"/>
      <c r="J305" s="55"/>
      <c r="K305" s="56">
        <f t="shared" si="73"/>
        <v>1</v>
      </c>
      <c r="L305" s="54"/>
      <c r="M305" s="55"/>
      <c r="N305" s="55"/>
      <c r="O305" s="55"/>
      <c r="P305" s="56">
        <f t="shared" si="76"/>
        <v>0</v>
      </c>
      <c r="Q305" s="49">
        <f t="shared" si="69"/>
        <v>1</v>
      </c>
      <c r="R305" s="14">
        <v>43669</v>
      </c>
      <c r="S305" s="53" t="s">
        <v>55</v>
      </c>
      <c r="T305" s="54">
        <v>5</v>
      </c>
      <c r="U305" s="55"/>
      <c r="V305" s="55"/>
      <c r="W305" s="55"/>
      <c r="X305" s="56">
        <f t="shared" si="77"/>
        <v>5</v>
      </c>
      <c r="Y305" s="54"/>
      <c r="Z305" s="55"/>
      <c r="AA305" s="55"/>
      <c r="AB305" s="55"/>
      <c r="AC305" s="56">
        <f t="shared" si="74"/>
        <v>0</v>
      </c>
      <c r="AD305" s="54"/>
      <c r="AE305" s="55"/>
      <c r="AF305" s="55"/>
      <c r="AG305" s="55"/>
      <c r="AH305" s="56">
        <f t="shared" si="75"/>
        <v>0</v>
      </c>
      <c r="AI305" s="49">
        <f t="shared" si="71"/>
        <v>5</v>
      </c>
      <c r="AJ305" s="50">
        <v>43683</v>
      </c>
    </row>
    <row r="306" spans="1:36" x14ac:dyDescent="0.15">
      <c r="A306" s="53" t="s">
        <v>51</v>
      </c>
      <c r="B306" s="33"/>
      <c r="C306" s="34"/>
      <c r="D306" s="34"/>
      <c r="E306" s="34"/>
      <c r="F306" s="56">
        <f t="shared" si="72"/>
        <v>0</v>
      </c>
      <c r="G306" s="33"/>
      <c r="H306" s="34">
        <v>1</v>
      </c>
      <c r="I306" s="34"/>
      <c r="J306" s="34"/>
      <c r="K306" s="56">
        <f t="shared" si="73"/>
        <v>1</v>
      </c>
      <c r="L306" s="33"/>
      <c r="M306" s="34"/>
      <c r="N306" s="34"/>
      <c r="O306" s="34"/>
      <c r="P306" s="56">
        <f t="shared" si="76"/>
        <v>0</v>
      </c>
      <c r="Q306" s="49">
        <f t="shared" si="69"/>
        <v>1</v>
      </c>
      <c r="R306" s="50">
        <v>43671</v>
      </c>
      <c r="S306" s="67"/>
      <c r="T306" s="33"/>
      <c r="U306" s="34"/>
      <c r="V306" s="34"/>
      <c r="W306" s="34"/>
      <c r="X306" s="56">
        <f t="shared" si="77"/>
        <v>0</v>
      </c>
      <c r="Y306" s="33"/>
      <c r="Z306" s="34"/>
      <c r="AA306" s="34"/>
      <c r="AB306" s="34"/>
      <c r="AC306" s="56">
        <f t="shared" si="74"/>
        <v>0</v>
      </c>
      <c r="AD306" s="33"/>
      <c r="AE306" s="34"/>
      <c r="AF306" s="34"/>
      <c r="AG306" s="34"/>
      <c r="AH306" s="56">
        <f t="shared" si="75"/>
        <v>0</v>
      </c>
      <c r="AI306" s="49">
        <f t="shared" si="71"/>
        <v>0</v>
      </c>
      <c r="AJ306" s="74"/>
    </row>
    <row r="307" spans="1:36" x14ac:dyDescent="0.15">
      <c r="A307" s="53" t="s">
        <v>51</v>
      </c>
      <c r="B307" s="33">
        <v>1</v>
      </c>
      <c r="C307" s="34"/>
      <c r="D307" s="34"/>
      <c r="E307" s="34"/>
      <c r="F307" s="56">
        <f t="shared" si="72"/>
        <v>1</v>
      </c>
      <c r="G307" s="33"/>
      <c r="H307" s="34">
        <v>2</v>
      </c>
      <c r="I307" s="34">
        <v>1</v>
      </c>
      <c r="J307" s="34">
        <v>1</v>
      </c>
      <c r="K307" s="56">
        <f t="shared" si="73"/>
        <v>4</v>
      </c>
      <c r="L307" s="33"/>
      <c r="M307" s="34">
        <v>1</v>
      </c>
      <c r="N307" s="34"/>
      <c r="O307" s="34"/>
      <c r="P307" s="56">
        <f t="shared" si="76"/>
        <v>1</v>
      </c>
      <c r="Q307" s="49">
        <f t="shared" si="69"/>
        <v>6</v>
      </c>
      <c r="R307" s="50">
        <v>43672</v>
      </c>
      <c r="S307" s="67"/>
      <c r="T307" s="33"/>
      <c r="U307" s="34"/>
      <c r="V307" s="34"/>
      <c r="W307" s="34"/>
      <c r="X307" s="56">
        <f t="shared" si="77"/>
        <v>0</v>
      </c>
      <c r="Y307" s="33"/>
      <c r="Z307" s="34"/>
      <c r="AA307" s="34"/>
      <c r="AB307" s="34"/>
      <c r="AC307" s="56">
        <f t="shared" si="74"/>
        <v>0</v>
      </c>
      <c r="AD307" s="33"/>
      <c r="AE307" s="34"/>
      <c r="AF307" s="34"/>
      <c r="AG307" s="34"/>
      <c r="AH307" s="56">
        <f t="shared" si="75"/>
        <v>0</v>
      </c>
      <c r="AI307" s="49">
        <f t="shared" si="71"/>
        <v>0</v>
      </c>
      <c r="AJ307" s="74"/>
    </row>
    <row r="308" spans="1:36" ht="14.25" thickBot="1" x14ac:dyDescent="0.2">
      <c r="A308" s="67"/>
      <c r="B308" s="33"/>
      <c r="C308" s="34"/>
      <c r="D308" s="34"/>
      <c r="E308" s="34"/>
      <c r="F308" s="30">
        <f t="shared" si="72"/>
        <v>0</v>
      </c>
      <c r="G308" s="33"/>
      <c r="H308" s="34"/>
      <c r="I308" s="34"/>
      <c r="J308" s="34"/>
      <c r="K308" s="30">
        <f t="shared" si="73"/>
        <v>0</v>
      </c>
      <c r="L308" s="33"/>
      <c r="M308" s="34"/>
      <c r="N308" s="34"/>
      <c r="O308" s="34"/>
      <c r="P308" s="30">
        <f t="shared" si="76"/>
        <v>0</v>
      </c>
      <c r="Q308" s="78">
        <f t="shared" si="69"/>
        <v>0</v>
      </c>
      <c r="S308" s="67"/>
      <c r="T308" s="33"/>
      <c r="U308" s="34"/>
      <c r="V308" s="34"/>
      <c r="W308" s="34"/>
      <c r="X308" s="56">
        <f>SUM(T308:W308)</f>
        <v>0</v>
      </c>
      <c r="Y308" s="33"/>
      <c r="Z308" s="34"/>
      <c r="AA308" s="34"/>
      <c r="AB308" s="34"/>
      <c r="AC308" s="56">
        <f>SUM(Y308:AB308)</f>
        <v>0</v>
      </c>
      <c r="AD308" s="33"/>
      <c r="AE308" s="34"/>
      <c r="AF308" s="34"/>
      <c r="AG308" s="34"/>
      <c r="AH308" s="56">
        <f>SUM(AD308:AG308)</f>
        <v>0</v>
      </c>
      <c r="AI308" s="64">
        <f>AC308+AH308+X308</f>
        <v>0</v>
      </c>
      <c r="AJ308" s="74"/>
    </row>
    <row r="309" spans="1:36" ht="15" thickBot="1" x14ac:dyDescent="0.2">
      <c r="A309" s="9" t="s">
        <v>15</v>
      </c>
      <c r="B309" s="36">
        <f>SUM(B283:B308)</f>
        <v>4</v>
      </c>
      <c r="C309" s="37">
        <f>SUM(C283:C308)</f>
        <v>0</v>
      </c>
      <c r="D309" s="37">
        <f>SUM(D283:D308)</f>
        <v>0</v>
      </c>
      <c r="E309" s="38">
        <f>SUM(E283:E308)</f>
        <v>0</v>
      </c>
      <c r="F309" s="25">
        <f>SUM(B309:E309)</f>
        <v>4</v>
      </c>
      <c r="G309" s="36">
        <f>SUM(G283:G308)</f>
        <v>5</v>
      </c>
      <c r="H309" s="37">
        <f>SUM(H283:H308)</f>
        <v>8</v>
      </c>
      <c r="I309" s="37">
        <f>SUM(I283:I308)</f>
        <v>8</v>
      </c>
      <c r="J309" s="38">
        <f>SUM(J283:J308)</f>
        <v>6</v>
      </c>
      <c r="K309" s="25">
        <f>SUM(G309:J309)</f>
        <v>27</v>
      </c>
      <c r="L309" s="36">
        <f>SUM(L283:L308)</f>
        <v>1</v>
      </c>
      <c r="M309" s="37">
        <f>SUM(M283:M308)</f>
        <v>2</v>
      </c>
      <c r="N309" s="37">
        <f>SUM(N283:N308)</f>
        <v>2</v>
      </c>
      <c r="O309" s="38">
        <f>SUM(O283:O308)</f>
        <v>1</v>
      </c>
      <c r="P309" s="25">
        <f>SUM(L309:O309)</f>
        <v>6</v>
      </c>
      <c r="Q309" s="79">
        <f t="shared" si="69"/>
        <v>37</v>
      </c>
      <c r="S309" s="9" t="s">
        <v>15</v>
      </c>
      <c r="T309" s="36">
        <f>SUM(T283:T308)</f>
        <v>30</v>
      </c>
      <c r="U309" s="37">
        <f>SUM(U283:U308)</f>
        <v>0</v>
      </c>
      <c r="V309" s="37">
        <f>SUM(V283:V308)</f>
        <v>10</v>
      </c>
      <c r="W309" s="38">
        <f>SUM(W283:W308)</f>
        <v>18</v>
      </c>
      <c r="X309" s="25">
        <f>SUM(T309:W309)</f>
        <v>58</v>
      </c>
      <c r="Y309" s="36">
        <f>SUM(Y283:Y308)</f>
        <v>47</v>
      </c>
      <c r="Z309" s="37">
        <f>SUM(Z283:Z308)</f>
        <v>44</v>
      </c>
      <c r="AA309" s="37">
        <f>SUM(AA283:AA308)</f>
        <v>40</v>
      </c>
      <c r="AB309" s="38">
        <f>SUM(AB283:AB308)</f>
        <v>24</v>
      </c>
      <c r="AC309" s="25">
        <f>SUM(Y309:AB309)</f>
        <v>155</v>
      </c>
      <c r="AD309" s="36">
        <f>SUM(AD283:AD308)</f>
        <v>21</v>
      </c>
      <c r="AE309" s="37">
        <f>SUM(AE283:AE308)</f>
        <v>30</v>
      </c>
      <c r="AF309" s="37">
        <f>SUM(AF283:AF308)</f>
        <v>16</v>
      </c>
      <c r="AG309" s="38">
        <f>SUM(AG283:AG308)</f>
        <v>21</v>
      </c>
      <c r="AH309" s="25">
        <f>SUM(AD309:AG309)</f>
        <v>88</v>
      </c>
      <c r="AI309" s="161">
        <f>AC309+AH309+X309</f>
        <v>301</v>
      </c>
    </row>
    <row r="310" spans="1:36" ht="14.25" thickBot="1" x14ac:dyDescent="0.2">
      <c r="A310" s="39" t="s">
        <v>16</v>
      </c>
      <c r="B310" s="40">
        <f t="shared" ref="B310:P310" si="78">B282-B309</f>
        <v>0</v>
      </c>
      <c r="C310" s="41">
        <f t="shared" si="78"/>
        <v>0</v>
      </c>
      <c r="D310" s="41">
        <f t="shared" si="78"/>
        <v>2</v>
      </c>
      <c r="E310" s="42">
        <f t="shared" si="78"/>
        <v>3</v>
      </c>
      <c r="F310" s="42">
        <f t="shared" si="78"/>
        <v>5</v>
      </c>
      <c r="G310" s="40">
        <f t="shared" si="78"/>
        <v>5</v>
      </c>
      <c r="H310" s="41">
        <f t="shared" si="78"/>
        <v>1</v>
      </c>
      <c r="I310" s="41">
        <f t="shared" si="78"/>
        <v>0</v>
      </c>
      <c r="J310" s="42">
        <f t="shared" si="78"/>
        <v>2</v>
      </c>
      <c r="K310" s="42">
        <f t="shared" si="78"/>
        <v>8</v>
      </c>
      <c r="L310" s="40">
        <f t="shared" si="78"/>
        <v>4</v>
      </c>
      <c r="M310" s="41">
        <f t="shared" si="78"/>
        <v>4</v>
      </c>
      <c r="N310" s="41">
        <f t="shared" si="78"/>
        <v>3</v>
      </c>
      <c r="O310" s="42">
        <f t="shared" si="78"/>
        <v>2</v>
      </c>
      <c r="P310" s="42">
        <f t="shared" si="78"/>
        <v>13</v>
      </c>
      <c r="Q310" s="77">
        <f t="shared" si="69"/>
        <v>26</v>
      </c>
      <c r="S310" s="39" t="s">
        <v>16</v>
      </c>
      <c r="T310" s="40">
        <f t="shared" ref="T310:AH310" si="79">T282-T309</f>
        <v>12</v>
      </c>
      <c r="U310" s="41">
        <f t="shared" si="79"/>
        <v>0</v>
      </c>
      <c r="V310" s="41">
        <f t="shared" si="79"/>
        <v>6</v>
      </c>
      <c r="W310" s="42">
        <f t="shared" si="79"/>
        <v>9</v>
      </c>
      <c r="X310" s="42">
        <f t="shared" si="79"/>
        <v>27</v>
      </c>
      <c r="Y310" s="40">
        <f t="shared" si="79"/>
        <v>15</v>
      </c>
      <c r="Z310" s="41">
        <f t="shared" si="79"/>
        <v>0</v>
      </c>
      <c r="AA310" s="41">
        <f t="shared" si="79"/>
        <v>64</v>
      </c>
      <c r="AB310" s="42">
        <f t="shared" si="79"/>
        <v>52</v>
      </c>
      <c r="AC310" s="42">
        <f t="shared" si="79"/>
        <v>131</v>
      </c>
      <c r="AD310" s="40">
        <f t="shared" si="79"/>
        <v>94</v>
      </c>
      <c r="AE310" s="41">
        <f t="shared" si="79"/>
        <v>66</v>
      </c>
      <c r="AF310" s="41">
        <f t="shared" si="79"/>
        <v>93</v>
      </c>
      <c r="AG310" s="42">
        <f t="shared" si="79"/>
        <v>69</v>
      </c>
      <c r="AH310" s="42">
        <f t="shared" si="79"/>
        <v>322</v>
      </c>
      <c r="AI310" s="77">
        <f>AC310+AH310+X310</f>
        <v>480</v>
      </c>
    </row>
    <row r="311" spans="1:36" x14ac:dyDescent="0.15">
      <c r="T311" s="2">
        <f t="shared" ref="T311:Y311" si="80">T309+T270+T231+T192</f>
        <v>66</v>
      </c>
      <c r="U311" s="2">
        <f t="shared" si="80"/>
        <v>32</v>
      </c>
      <c r="V311" s="2">
        <f t="shared" si="80"/>
        <v>41</v>
      </c>
      <c r="W311" s="2">
        <f t="shared" si="80"/>
        <v>48</v>
      </c>
      <c r="X311" s="2">
        <f t="shared" si="80"/>
        <v>187</v>
      </c>
      <c r="Y311" s="2">
        <f t="shared" si="80"/>
        <v>186</v>
      </c>
      <c r="Z311" s="2">
        <f t="shared" ref="Z311:AH311" si="81">Z309+Z270+Z231+Z192</f>
        <v>233</v>
      </c>
      <c r="AA311" s="2">
        <f t="shared" si="81"/>
        <v>137</v>
      </c>
      <c r="AB311" s="2">
        <f t="shared" si="81"/>
        <v>125</v>
      </c>
      <c r="AC311" s="2">
        <f t="shared" si="81"/>
        <v>681</v>
      </c>
      <c r="AD311" s="2">
        <f>AD309+AD270+AD231+AD192</f>
        <v>108</v>
      </c>
      <c r="AE311" s="2">
        <f t="shared" si="81"/>
        <v>163</v>
      </c>
      <c r="AF311" s="2">
        <f t="shared" si="81"/>
        <v>102</v>
      </c>
      <c r="AG311" s="2">
        <f t="shared" si="81"/>
        <v>111</v>
      </c>
      <c r="AH311" s="2">
        <f t="shared" si="81"/>
        <v>484</v>
      </c>
    </row>
    <row r="312" spans="1:36" x14ac:dyDescent="0.15">
      <c r="T312" s="189">
        <f>T311/$X$311*100</f>
        <v>35.294117647058826</v>
      </c>
      <c r="U312" s="189">
        <f>U311/$X$311*100</f>
        <v>17.112299465240639</v>
      </c>
      <c r="V312" s="189">
        <f>V311/$X$311*100</f>
        <v>21.925133689839569</v>
      </c>
      <c r="W312" s="189">
        <f>W311/$X$311*100</f>
        <v>25.668449197860966</v>
      </c>
      <c r="X312" s="189">
        <f>X311/$X$311*100</f>
        <v>100</v>
      </c>
      <c r="Y312" s="190">
        <f>Y311/$AC$311*100</f>
        <v>27.312775330396477</v>
      </c>
      <c r="Z312" s="190">
        <f>Z311/$AC$311*100</f>
        <v>34.214390602055801</v>
      </c>
      <c r="AA312" s="190">
        <f>AA311/$AC$311*100</f>
        <v>20.11747430249633</v>
      </c>
      <c r="AB312" s="190">
        <f>AB311/$AC$311*100</f>
        <v>18.355359765051396</v>
      </c>
      <c r="AC312" s="190">
        <f>AC311/$AC$311*100</f>
        <v>100</v>
      </c>
      <c r="AD312" s="189">
        <f>AD311/$AH$311*100</f>
        <v>22.314049586776861</v>
      </c>
      <c r="AE312" s="189">
        <f>AE311/$AH$311*100</f>
        <v>33.67768595041322</v>
      </c>
      <c r="AF312" s="189">
        <f>AF311/$AH$311*100</f>
        <v>21.074380165289256</v>
      </c>
      <c r="AG312" s="189">
        <f>AG311/$AH$311*100</f>
        <v>22.933884297520663</v>
      </c>
      <c r="AH312" s="189">
        <f>AH311/$AH$311*100</f>
        <v>100</v>
      </c>
    </row>
    <row r="313" spans="1:36" ht="19.5" thickBot="1" x14ac:dyDescent="0.25">
      <c r="A313" s="1" t="s">
        <v>19</v>
      </c>
      <c r="S313" s="1" t="s">
        <v>37</v>
      </c>
    </row>
    <row r="314" spans="1:36" ht="14.25" thickBot="1" x14ac:dyDescent="0.2">
      <c r="A314" s="3" t="s">
        <v>0</v>
      </c>
      <c r="B314" s="371" t="s">
        <v>17</v>
      </c>
      <c r="C314" s="372"/>
      <c r="D314" s="372"/>
      <c r="E314" s="372"/>
      <c r="F314" s="373"/>
      <c r="G314" s="371" t="s">
        <v>18</v>
      </c>
      <c r="H314" s="372"/>
      <c r="I314" s="372"/>
      <c r="J314" s="372"/>
      <c r="K314" s="373"/>
      <c r="L314" s="371" t="s">
        <v>38</v>
      </c>
      <c r="M314" s="372"/>
      <c r="N314" s="372"/>
      <c r="O314" s="372"/>
      <c r="P314" s="373"/>
      <c r="Q314" s="360" t="s">
        <v>1</v>
      </c>
      <c r="S314" s="3" t="s">
        <v>0</v>
      </c>
      <c r="T314" s="371" t="s">
        <v>17</v>
      </c>
      <c r="U314" s="372"/>
      <c r="V314" s="372"/>
      <c r="W314" s="372"/>
      <c r="X314" s="373"/>
      <c r="Y314" s="371" t="s">
        <v>18</v>
      </c>
      <c r="Z314" s="372"/>
      <c r="AA314" s="372"/>
      <c r="AB314" s="372"/>
      <c r="AC314" s="373"/>
      <c r="AD314" s="371" t="s">
        <v>38</v>
      </c>
      <c r="AE314" s="372"/>
      <c r="AF314" s="372"/>
      <c r="AG314" s="372"/>
      <c r="AH314" s="373"/>
      <c r="AI314" s="360" t="s">
        <v>1</v>
      </c>
    </row>
    <row r="315" spans="1:36" ht="14.25" thickBot="1" x14ac:dyDescent="0.2">
      <c r="A315" s="5" t="s">
        <v>2</v>
      </c>
      <c r="B315" s="150" t="s">
        <v>3</v>
      </c>
      <c r="C315" s="151" t="s">
        <v>4</v>
      </c>
      <c r="D315" s="151" t="s">
        <v>5</v>
      </c>
      <c r="E315" s="152" t="s">
        <v>6</v>
      </c>
      <c r="F315" s="5" t="s">
        <v>7</v>
      </c>
      <c r="G315" s="6" t="s">
        <v>3</v>
      </c>
      <c r="H315" s="7" t="s">
        <v>4</v>
      </c>
      <c r="I315" s="7" t="s">
        <v>5</v>
      </c>
      <c r="J315" s="8" t="s">
        <v>6</v>
      </c>
      <c r="K315" s="5" t="s">
        <v>7</v>
      </c>
      <c r="L315" s="6" t="s">
        <v>3</v>
      </c>
      <c r="M315" s="7" t="s">
        <v>4</v>
      </c>
      <c r="N315" s="7" t="s">
        <v>5</v>
      </c>
      <c r="O315" s="8" t="s">
        <v>6</v>
      </c>
      <c r="P315" s="5" t="s">
        <v>7</v>
      </c>
      <c r="Q315" s="375"/>
      <c r="S315" s="5" t="s">
        <v>2</v>
      </c>
      <c r="T315" s="150" t="s">
        <v>3</v>
      </c>
      <c r="U315" s="151" t="s">
        <v>4</v>
      </c>
      <c r="V315" s="151" t="s">
        <v>5</v>
      </c>
      <c r="W315" s="152" t="s">
        <v>6</v>
      </c>
      <c r="X315" s="5" t="s">
        <v>7</v>
      </c>
      <c r="Y315" s="6" t="s">
        <v>3</v>
      </c>
      <c r="Z315" s="7" t="s">
        <v>4</v>
      </c>
      <c r="AA315" s="7" t="s">
        <v>5</v>
      </c>
      <c r="AB315" s="8" t="s">
        <v>6</v>
      </c>
      <c r="AC315" s="5" t="s">
        <v>7</v>
      </c>
      <c r="AD315" s="6" t="s">
        <v>3</v>
      </c>
      <c r="AE315" s="7" t="s">
        <v>4</v>
      </c>
      <c r="AF315" s="7" t="s">
        <v>5</v>
      </c>
      <c r="AG315" s="8" t="s">
        <v>6</v>
      </c>
      <c r="AH315" s="5" t="s">
        <v>7</v>
      </c>
      <c r="AI315" s="375"/>
    </row>
    <row r="316" spans="1:36" ht="14.25" x14ac:dyDescent="0.15">
      <c r="A316" s="68" t="s">
        <v>30</v>
      </c>
      <c r="B316" s="144">
        <f>B310</f>
        <v>0</v>
      </c>
      <c r="C316" s="154">
        <f>C310</f>
        <v>0</v>
      </c>
      <c r="D316" s="154">
        <f>D310</f>
        <v>2</v>
      </c>
      <c r="E316" s="155">
        <f>E310</f>
        <v>3</v>
      </c>
      <c r="F316" s="149">
        <f>SUM(B316:E316)</f>
        <v>5</v>
      </c>
      <c r="G316" s="144">
        <f>G310</f>
        <v>5</v>
      </c>
      <c r="H316" s="154">
        <f>H310</f>
        <v>1</v>
      </c>
      <c r="I316" s="154">
        <f>I310</f>
        <v>0</v>
      </c>
      <c r="J316" s="155">
        <f>J310</f>
        <v>2</v>
      </c>
      <c r="K316" s="149">
        <f>SUM(G316:J316)</f>
        <v>8</v>
      </c>
      <c r="L316" s="144">
        <f>L310</f>
        <v>4</v>
      </c>
      <c r="M316" s="154">
        <f>M310</f>
        <v>4</v>
      </c>
      <c r="N316" s="154">
        <f>N310</f>
        <v>3</v>
      </c>
      <c r="O316" s="155">
        <f>O310</f>
        <v>2</v>
      </c>
      <c r="P316" s="149">
        <f>SUM(L316:O316)</f>
        <v>13</v>
      </c>
      <c r="Q316" s="72">
        <f t="shared" ref="Q316:Q349" si="82">K316+P316+F316</f>
        <v>26</v>
      </c>
      <c r="S316" s="68" t="s">
        <v>30</v>
      </c>
      <c r="T316" s="144">
        <f>T310</f>
        <v>12</v>
      </c>
      <c r="U316" s="154">
        <f>U310</f>
        <v>0</v>
      </c>
      <c r="V316" s="154">
        <f>V310</f>
        <v>6</v>
      </c>
      <c r="W316" s="155">
        <f>W310</f>
        <v>9</v>
      </c>
      <c r="X316" s="149">
        <f t="shared" ref="X316:X321" si="83">SUM(T316:W316)</f>
        <v>27</v>
      </c>
      <c r="Y316" s="144">
        <f>Y310</f>
        <v>15</v>
      </c>
      <c r="Z316" s="154">
        <f>Z310</f>
        <v>0</v>
      </c>
      <c r="AA316" s="154">
        <f>AA310</f>
        <v>64</v>
      </c>
      <c r="AB316" s="155">
        <f>AB310</f>
        <v>52</v>
      </c>
      <c r="AC316" s="149">
        <f>SUM(Y316:AB316)</f>
        <v>131</v>
      </c>
      <c r="AD316" s="144">
        <f>AD310</f>
        <v>94</v>
      </c>
      <c r="AE316" s="154">
        <f>AE310</f>
        <v>66</v>
      </c>
      <c r="AF316" s="154">
        <f>AF310</f>
        <v>93</v>
      </c>
      <c r="AG316" s="155">
        <f>AG310</f>
        <v>69</v>
      </c>
      <c r="AH316" s="149">
        <f>SUM(AD316:AG316)</f>
        <v>322</v>
      </c>
      <c r="AI316" s="72">
        <f t="shared" ref="AI316:AI346" si="84">AC316+AH316+X316</f>
        <v>480</v>
      </c>
    </row>
    <row r="317" spans="1:36" x14ac:dyDescent="0.15">
      <c r="A317" s="148" t="s">
        <v>39</v>
      </c>
      <c r="B317" s="54">
        <v>2</v>
      </c>
      <c r="C317" s="153"/>
      <c r="D317" s="153"/>
      <c r="E317" s="156"/>
      <c r="F317" s="49">
        <f t="shared" ref="F317:F347" si="85">SUM(B317:E317)</f>
        <v>2</v>
      </c>
      <c r="G317" s="54"/>
      <c r="H317" s="55"/>
      <c r="I317" s="55">
        <v>5</v>
      </c>
      <c r="J317" s="55">
        <v>2</v>
      </c>
      <c r="K317" s="49">
        <f t="shared" ref="K317:K347" si="86">SUM(G317:J317)</f>
        <v>7</v>
      </c>
      <c r="L317" s="54"/>
      <c r="M317" s="55"/>
      <c r="N317" s="55"/>
      <c r="O317" s="55">
        <v>2</v>
      </c>
      <c r="P317" s="49">
        <f>SUM(L317:O317)</f>
        <v>2</v>
      </c>
      <c r="Q317" s="49">
        <f t="shared" si="82"/>
        <v>11</v>
      </c>
      <c r="R317" s="50">
        <v>43675</v>
      </c>
      <c r="S317" s="148" t="s">
        <v>39</v>
      </c>
      <c r="T317" s="54"/>
      <c r="U317" s="153"/>
      <c r="V317" s="153"/>
      <c r="W317" s="156"/>
      <c r="X317" s="49">
        <f t="shared" si="83"/>
        <v>0</v>
      </c>
      <c r="Y317" s="54"/>
      <c r="Z317" s="55"/>
      <c r="AA317" s="55"/>
      <c r="AB317" s="55"/>
      <c r="AC317" s="49">
        <f t="shared" ref="AC317:AC346" si="87">SUM(Y317:AB317)</f>
        <v>0</v>
      </c>
      <c r="AD317" s="54"/>
      <c r="AE317" s="55"/>
      <c r="AF317" s="55"/>
      <c r="AG317" s="55"/>
      <c r="AH317" s="49">
        <f t="shared" ref="AH317:AH346" si="88">SUM(AD317:AG317)</f>
        <v>0</v>
      </c>
      <c r="AI317" s="49">
        <f t="shared" si="84"/>
        <v>0</v>
      </c>
      <c r="AJ317" s="14"/>
    </row>
    <row r="318" spans="1:36" x14ac:dyDescent="0.15">
      <c r="A318" s="148" t="s">
        <v>40</v>
      </c>
      <c r="B318" s="54"/>
      <c r="C318" s="153"/>
      <c r="D318" s="153"/>
      <c r="E318" s="156"/>
      <c r="F318" s="49">
        <f t="shared" si="85"/>
        <v>0</v>
      </c>
      <c r="G318" s="54">
        <v>5</v>
      </c>
      <c r="H318" s="55"/>
      <c r="I318" s="55">
        <v>5</v>
      </c>
      <c r="J318" s="55">
        <v>5</v>
      </c>
      <c r="K318" s="49">
        <f t="shared" si="86"/>
        <v>15</v>
      </c>
      <c r="L318" s="54">
        <v>5</v>
      </c>
      <c r="M318" s="55"/>
      <c r="N318" s="55"/>
      <c r="O318" s="55"/>
      <c r="P318" s="49">
        <f>SUM(L318:O318)</f>
        <v>5</v>
      </c>
      <c r="Q318" s="49">
        <f t="shared" si="82"/>
        <v>20</v>
      </c>
      <c r="R318" s="50">
        <v>43679</v>
      </c>
      <c r="S318" s="148" t="s">
        <v>40</v>
      </c>
      <c r="T318" s="54"/>
      <c r="U318" s="153"/>
      <c r="V318" s="153"/>
      <c r="W318" s="156"/>
      <c r="X318" s="49">
        <f t="shared" si="83"/>
        <v>0</v>
      </c>
      <c r="Y318" s="54"/>
      <c r="Z318" s="55"/>
      <c r="AA318" s="55"/>
      <c r="AB318" s="55"/>
      <c r="AC318" s="49">
        <f t="shared" si="87"/>
        <v>0</v>
      </c>
      <c r="AD318" s="54"/>
      <c r="AE318" s="55"/>
      <c r="AF318" s="55"/>
      <c r="AG318" s="55"/>
      <c r="AH318" s="49">
        <f t="shared" si="88"/>
        <v>0</v>
      </c>
      <c r="AI318" s="49">
        <f t="shared" si="84"/>
        <v>0</v>
      </c>
      <c r="AJ318" s="50"/>
    </row>
    <row r="319" spans="1:36" x14ac:dyDescent="0.15">
      <c r="A319" s="148" t="s">
        <v>29</v>
      </c>
      <c r="B319" s="54">
        <v>2</v>
      </c>
      <c r="C319" s="153"/>
      <c r="D319" s="153"/>
      <c r="E319" s="156"/>
      <c r="F319" s="49">
        <f t="shared" si="85"/>
        <v>2</v>
      </c>
      <c r="G319" s="54">
        <v>1</v>
      </c>
      <c r="H319" s="55">
        <v>1</v>
      </c>
      <c r="I319" s="55"/>
      <c r="J319" s="55"/>
      <c r="K319" s="49">
        <f t="shared" si="86"/>
        <v>2</v>
      </c>
      <c r="L319" s="54"/>
      <c r="M319" s="55"/>
      <c r="N319" s="55"/>
      <c r="O319" s="55">
        <v>1</v>
      </c>
      <c r="P319" s="49">
        <f>SUM(L319:O319)</f>
        <v>1</v>
      </c>
      <c r="Q319" s="49">
        <f t="shared" si="82"/>
        <v>5</v>
      </c>
      <c r="R319" s="50">
        <v>43679</v>
      </c>
      <c r="S319" s="148" t="s">
        <v>41</v>
      </c>
      <c r="T319" s="54"/>
      <c r="U319" s="153"/>
      <c r="V319" s="153"/>
      <c r="W319" s="156"/>
      <c r="X319" s="49">
        <f t="shared" si="83"/>
        <v>0</v>
      </c>
      <c r="Y319" s="54"/>
      <c r="Z319" s="55"/>
      <c r="AA319" s="55"/>
      <c r="AB319" s="55"/>
      <c r="AC319" s="49">
        <f t="shared" si="87"/>
        <v>0</v>
      </c>
      <c r="AD319" s="54"/>
      <c r="AE319" s="55"/>
      <c r="AF319" s="55"/>
      <c r="AG319" s="55"/>
      <c r="AH319" s="49">
        <f t="shared" si="88"/>
        <v>0</v>
      </c>
      <c r="AI319" s="49">
        <f t="shared" si="84"/>
        <v>0</v>
      </c>
      <c r="AJ319" s="50"/>
    </row>
    <row r="320" spans="1:36" ht="14.25" thickBot="1" x14ac:dyDescent="0.2">
      <c r="A320" s="148" t="s">
        <v>42</v>
      </c>
      <c r="B320" s="157"/>
      <c r="C320" s="158"/>
      <c r="D320" s="158"/>
      <c r="E320" s="159"/>
      <c r="F320" s="49">
        <f t="shared" si="85"/>
        <v>0</v>
      </c>
      <c r="G320" s="54"/>
      <c r="H320" s="55"/>
      <c r="I320" s="55"/>
      <c r="J320" s="55"/>
      <c r="K320" s="49">
        <f t="shared" si="86"/>
        <v>0</v>
      </c>
      <c r="L320" s="54"/>
      <c r="M320" s="55">
        <v>5</v>
      </c>
      <c r="N320" s="55"/>
      <c r="O320" s="55"/>
      <c r="P320" s="49">
        <f t="shared" ref="P320:P347" si="89">SUM(L320:O320)</f>
        <v>5</v>
      </c>
      <c r="Q320" s="78">
        <f t="shared" si="82"/>
        <v>5</v>
      </c>
      <c r="R320" s="50">
        <v>43684</v>
      </c>
      <c r="S320" s="148" t="s">
        <v>42</v>
      </c>
      <c r="T320" s="157"/>
      <c r="U320" s="158"/>
      <c r="V320" s="158"/>
      <c r="W320" s="159"/>
      <c r="X320" s="49">
        <f t="shared" si="83"/>
        <v>0</v>
      </c>
      <c r="Y320" s="54"/>
      <c r="Z320" s="55"/>
      <c r="AA320" s="55"/>
      <c r="AB320" s="55"/>
      <c r="AC320" s="49">
        <f t="shared" si="87"/>
        <v>0</v>
      </c>
      <c r="AD320" s="54"/>
      <c r="AE320" s="55"/>
      <c r="AF320" s="55"/>
      <c r="AG320" s="55"/>
      <c r="AH320" s="49">
        <f t="shared" si="88"/>
        <v>0</v>
      </c>
      <c r="AI320" s="78">
        <f t="shared" si="84"/>
        <v>0</v>
      </c>
      <c r="AJ320" s="14"/>
    </row>
    <row r="321" spans="1:37" ht="15" thickBot="1" x14ac:dyDescent="0.2">
      <c r="A321" s="4" t="s">
        <v>14</v>
      </c>
      <c r="B321" s="23">
        <f>SUM(B316:B320)</f>
        <v>4</v>
      </c>
      <c r="C321" s="24">
        <f>SUM(C316:C320)</f>
        <v>0</v>
      </c>
      <c r="D321" s="24">
        <f>SUM(D316:D320)</f>
        <v>2</v>
      </c>
      <c r="E321" s="24">
        <f>SUM(E316:E320)</f>
        <v>3</v>
      </c>
      <c r="F321" s="25">
        <f t="shared" si="85"/>
        <v>9</v>
      </c>
      <c r="G321" s="23">
        <f>SUM(G316:G320)</f>
        <v>11</v>
      </c>
      <c r="H321" s="24">
        <f>SUM(H316:H320)</f>
        <v>2</v>
      </c>
      <c r="I321" s="24">
        <f>SUM(I316:I320)</f>
        <v>10</v>
      </c>
      <c r="J321" s="24">
        <f>SUM(J316:J320)</f>
        <v>9</v>
      </c>
      <c r="K321" s="25">
        <f t="shared" si="86"/>
        <v>32</v>
      </c>
      <c r="L321" s="23">
        <f>SUM(L316:L320)</f>
        <v>9</v>
      </c>
      <c r="M321" s="24">
        <f>SUM(M316:M320)</f>
        <v>9</v>
      </c>
      <c r="N321" s="24">
        <f>SUM(N316:N320)</f>
        <v>3</v>
      </c>
      <c r="O321" s="24">
        <f>SUM(O316:O320)</f>
        <v>5</v>
      </c>
      <c r="P321" s="25">
        <f t="shared" si="89"/>
        <v>26</v>
      </c>
      <c r="Q321" s="77">
        <f t="shared" si="82"/>
        <v>67</v>
      </c>
      <c r="S321" s="4" t="s">
        <v>14</v>
      </c>
      <c r="T321" s="23">
        <f>SUM(T316:T320)</f>
        <v>12</v>
      </c>
      <c r="U321" s="24">
        <f>SUM(U316:U320)</f>
        <v>0</v>
      </c>
      <c r="V321" s="24">
        <f>SUM(V316:V320)</f>
        <v>6</v>
      </c>
      <c r="W321" s="24">
        <f>SUM(W316:W320)</f>
        <v>9</v>
      </c>
      <c r="X321" s="25">
        <f t="shared" si="83"/>
        <v>27</v>
      </c>
      <c r="Y321" s="23">
        <f>SUM(Y316:Y320)</f>
        <v>15</v>
      </c>
      <c r="Z321" s="24">
        <f>SUM(Z316:Z320)</f>
        <v>0</v>
      </c>
      <c r="AA321" s="24">
        <f>SUM(AA316:AA320)</f>
        <v>64</v>
      </c>
      <c r="AB321" s="24">
        <f>SUM(AB316:AB320)</f>
        <v>52</v>
      </c>
      <c r="AC321" s="25">
        <f t="shared" si="87"/>
        <v>131</v>
      </c>
      <c r="AD321" s="23">
        <f>SUM(AD316:AD320)</f>
        <v>94</v>
      </c>
      <c r="AE321" s="24">
        <f>SUM(AE316:AE320)</f>
        <v>66</v>
      </c>
      <c r="AF321" s="24">
        <f>SUM(AF316:AF320)</f>
        <v>93</v>
      </c>
      <c r="AG321" s="24">
        <f>SUM(AG316:AG320)</f>
        <v>69</v>
      </c>
      <c r="AH321" s="25">
        <f t="shared" si="88"/>
        <v>322</v>
      </c>
      <c r="AI321" s="77">
        <f t="shared" si="84"/>
        <v>480</v>
      </c>
    </row>
    <row r="322" spans="1:37" x14ac:dyDescent="0.15">
      <c r="A322" s="53" t="s">
        <v>68</v>
      </c>
      <c r="B322" s="46"/>
      <c r="C322" s="47"/>
      <c r="D322" s="47"/>
      <c r="E322" s="47"/>
      <c r="F322" s="48">
        <f t="shared" si="85"/>
        <v>0</v>
      </c>
      <c r="G322" s="46"/>
      <c r="H322" s="47"/>
      <c r="I322" s="47"/>
      <c r="J322" s="47">
        <v>1</v>
      </c>
      <c r="K322" s="48">
        <f t="shared" si="86"/>
        <v>1</v>
      </c>
      <c r="L322" s="46"/>
      <c r="M322" s="47"/>
      <c r="N322" s="47"/>
      <c r="O322" s="47"/>
      <c r="P322" s="48">
        <f t="shared" si="89"/>
        <v>0</v>
      </c>
      <c r="Q322" s="49">
        <f t="shared" si="82"/>
        <v>1</v>
      </c>
      <c r="R322" s="50">
        <v>43676</v>
      </c>
      <c r="S322" s="53" t="s">
        <v>21</v>
      </c>
      <c r="T322" s="46">
        <v>2</v>
      </c>
      <c r="U322" s="47"/>
      <c r="V322" s="47"/>
      <c r="W322" s="47"/>
      <c r="X322" s="48">
        <f t="shared" ref="X322:X346" si="90">SUM(T322:W322)</f>
        <v>2</v>
      </c>
      <c r="Y322" s="46"/>
      <c r="Z322" s="47"/>
      <c r="AA322" s="47">
        <v>5</v>
      </c>
      <c r="AB322" s="47">
        <v>2</v>
      </c>
      <c r="AC322" s="48">
        <f t="shared" si="87"/>
        <v>7</v>
      </c>
      <c r="AD322" s="46"/>
      <c r="AE322" s="47"/>
      <c r="AF322" s="47"/>
      <c r="AG322" s="47">
        <v>2</v>
      </c>
      <c r="AH322" s="48">
        <f t="shared" si="88"/>
        <v>2</v>
      </c>
      <c r="AI322" s="49">
        <f t="shared" si="84"/>
        <v>11</v>
      </c>
      <c r="AJ322" s="50">
        <v>43675</v>
      </c>
    </row>
    <row r="323" spans="1:37" x14ac:dyDescent="0.15">
      <c r="A323" s="53" t="s">
        <v>51</v>
      </c>
      <c r="B323" s="54"/>
      <c r="C323" s="55"/>
      <c r="D323" s="55"/>
      <c r="E323" s="55"/>
      <c r="F323" s="56">
        <f t="shared" si="85"/>
        <v>0</v>
      </c>
      <c r="G323" s="54">
        <v>2</v>
      </c>
      <c r="H323" s="55">
        <v>1</v>
      </c>
      <c r="I323" s="55">
        <v>2</v>
      </c>
      <c r="J323" s="55">
        <v>1</v>
      </c>
      <c r="K323" s="56">
        <f t="shared" si="86"/>
        <v>6</v>
      </c>
      <c r="L323" s="54">
        <v>2</v>
      </c>
      <c r="M323" s="55">
        <v>1</v>
      </c>
      <c r="N323" s="55"/>
      <c r="O323" s="55"/>
      <c r="P323" s="56">
        <f t="shared" si="89"/>
        <v>3</v>
      </c>
      <c r="Q323" s="49">
        <f t="shared" si="82"/>
        <v>9</v>
      </c>
      <c r="R323" s="14">
        <v>43675</v>
      </c>
      <c r="S323" s="53" t="s">
        <v>55</v>
      </c>
      <c r="T323" s="54"/>
      <c r="U323" s="55"/>
      <c r="V323" s="55">
        <v>3</v>
      </c>
      <c r="W323" s="55"/>
      <c r="X323" s="56">
        <f t="shared" si="90"/>
        <v>3</v>
      </c>
      <c r="Y323" s="54"/>
      <c r="Z323" s="55"/>
      <c r="AA323" s="55"/>
      <c r="AB323" s="55"/>
      <c r="AC323" s="56">
        <f t="shared" si="87"/>
        <v>0</v>
      </c>
      <c r="AD323" s="54"/>
      <c r="AE323" s="55"/>
      <c r="AF323" s="55"/>
      <c r="AG323" s="55"/>
      <c r="AH323" s="56">
        <f t="shared" si="88"/>
        <v>0</v>
      </c>
      <c r="AI323" s="49">
        <f t="shared" si="84"/>
        <v>3</v>
      </c>
      <c r="AJ323" s="50">
        <v>43683</v>
      </c>
    </row>
    <row r="324" spans="1:37" x14ac:dyDescent="0.15">
      <c r="A324" s="53" t="s">
        <v>51</v>
      </c>
      <c r="B324" s="54"/>
      <c r="C324" s="55"/>
      <c r="D324" s="55"/>
      <c r="E324" s="55"/>
      <c r="F324" s="56">
        <f t="shared" si="85"/>
        <v>0</v>
      </c>
      <c r="G324" s="54">
        <v>1</v>
      </c>
      <c r="H324" s="55"/>
      <c r="I324" s="55">
        <v>1</v>
      </c>
      <c r="J324" s="55"/>
      <c r="K324" s="56">
        <f t="shared" si="86"/>
        <v>2</v>
      </c>
      <c r="L324" s="54"/>
      <c r="M324" s="55"/>
      <c r="N324" s="55"/>
      <c r="O324" s="55"/>
      <c r="P324" s="56">
        <f t="shared" si="89"/>
        <v>0</v>
      </c>
      <c r="Q324" s="49">
        <f t="shared" si="82"/>
        <v>2</v>
      </c>
      <c r="R324" s="50">
        <v>43676</v>
      </c>
      <c r="S324" s="53" t="s">
        <v>52</v>
      </c>
      <c r="T324" s="54"/>
      <c r="U324" s="55"/>
      <c r="V324" s="55"/>
      <c r="W324" s="55"/>
      <c r="X324" s="56">
        <f t="shared" si="90"/>
        <v>0</v>
      </c>
      <c r="Y324" s="54"/>
      <c r="Z324" s="55"/>
      <c r="AA324" s="55"/>
      <c r="AB324" s="55"/>
      <c r="AC324" s="56">
        <f t="shared" si="87"/>
        <v>0</v>
      </c>
      <c r="AD324" s="54"/>
      <c r="AE324" s="55">
        <v>5</v>
      </c>
      <c r="AF324" s="55"/>
      <c r="AG324" s="55">
        <v>5</v>
      </c>
      <c r="AH324" s="56">
        <f t="shared" si="88"/>
        <v>10</v>
      </c>
      <c r="AI324" s="49">
        <f t="shared" si="84"/>
        <v>10</v>
      </c>
      <c r="AJ324" s="50">
        <v>43683</v>
      </c>
    </row>
    <row r="325" spans="1:37" x14ac:dyDescent="0.15">
      <c r="A325" s="53" t="s">
        <v>54</v>
      </c>
      <c r="B325" s="54"/>
      <c r="C325" s="55"/>
      <c r="D325" s="55"/>
      <c r="E325" s="55"/>
      <c r="F325" s="56">
        <f t="shared" si="85"/>
        <v>0</v>
      </c>
      <c r="G325" s="54"/>
      <c r="H325" s="55"/>
      <c r="I325" s="55">
        <v>1</v>
      </c>
      <c r="J325" s="55"/>
      <c r="K325" s="56">
        <f t="shared" si="86"/>
        <v>1</v>
      </c>
      <c r="L325" s="54"/>
      <c r="M325" s="55"/>
      <c r="N325" s="55"/>
      <c r="O325" s="55"/>
      <c r="P325" s="56">
        <f t="shared" si="89"/>
        <v>0</v>
      </c>
      <c r="Q325" s="49">
        <f t="shared" si="82"/>
        <v>1</v>
      </c>
      <c r="R325" s="50">
        <v>43678</v>
      </c>
      <c r="S325" s="53" t="s">
        <v>55</v>
      </c>
      <c r="T325" s="54"/>
      <c r="U325" s="55"/>
      <c r="V325" s="55"/>
      <c r="W325" s="55"/>
      <c r="X325" s="56">
        <f t="shared" si="90"/>
        <v>0</v>
      </c>
      <c r="Y325" s="54">
        <v>5</v>
      </c>
      <c r="Z325" s="55"/>
      <c r="AA325" s="55">
        <v>5</v>
      </c>
      <c r="AB325" s="55"/>
      <c r="AC325" s="56">
        <f t="shared" si="87"/>
        <v>10</v>
      </c>
      <c r="AD325" s="54"/>
      <c r="AE325" s="55"/>
      <c r="AF325" s="55"/>
      <c r="AG325" s="55"/>
      <c r="AH325" s="56">
        <f t="shared" si="88"/>
        <v>0</v>
      </c>
      <c r="AI325" s="49">
        <f t="shared" si="84"/>
        <v>10</v>
      </c>
      <c r="AJ325" s="50">
        <v>43683</v>
      </c>
    </row>
    <row r="326" spans="1:37" x14ac:dyDescent="0.15">
      <c r="A326" s="53" t="s">
        <v>51</v>
      </c>
      <c r="B326" s="54"/>
      <c r="C326" s="55"/>
      <c r="D326" s="55"/>
      <c r="E326" s="55"/>
      <c r="F326" s="56">
        <f t="shared" si="85"/>
        <v>0</v>
      </c>
      <c r="G326" s="54">
        <v>1</v>
      </c>
      <c r="H326" s="55"/>
      <c r="I326" s="55"/>
      <c r="J326" s="55"/>
      <c r="K326" s="56">
        <f t="shared" si="86"/>
        <v>1</v>
      </c>
      <c r="L326" s="54"/>
      <c r="M326" s="55"/>
      <c r="N326" s="55"/>
      <c r="O326" s="55"/>
      <c r="P326" s="56">
        <f t="shared" si="89"/>
        <v>0</v>
      </c>
      <c r="Q326" s="49">
        <f t="shared" si="82"/>
        <v>1</v>
      </c>
      <c r="R326" s="50">
        <v>43677</v>
      </c>
      <c r="S326" s="53" t="s">
        <v>55</v>
      </c>
      <c r="T326" s="54">
        <v>5</v>
      </c>
      <c r="U326" s="55"/>
      <c r="V326" s="55"/>
      <c r="W326" s="55"/>
      <c r="X326" s="56">
        <f t="shared" si="90"/>
        <v>5</v>
      </c>
      <c r="Y326" s="54"/>
      <c r="Z326" s="55"/>
      <c r="AA326" s="55">
        <v>10</v>
      </c>
      <c r="AB326" s="55"/>
      <c r="AC326" s="56">
        <f t="shared" si="87"/>
        <v>10</v>
      </c>
      <c r="AD326" s="54"/>
      <c r="AE326" s="55"/>
      <c r="AF326" s="55"/>
      <c r="AG326" s="55"/>
      <c r="AH326" s="56">
        <f t="shared" si="88"/>
        <v>0</v>
      </c>
      <c r="AI326" s="49">
        <f t="shared" si="84"/>
        <v>15</v>
      </c>
      <c r="AJ326" s="50">
        <v>43683</v>
      </c>
    </row>
    <row r="327" spans="1:37" x14ac:dyDescent="0.15">
      <c r="A327" s="53" t="s">
        <v>54</v>
      </c>
      <c r="B327" s="54"/>
      <c r="C327" s="55"/>
      <c r="D327" s="55"/>
      <c r="E327" s="55"/>
      <c r="F327" s="56">
        <f t="shared" si="85"/>
        <v>0</v>
      </c>
      <c r="G327" s="54"/>
      <c r="H327" s="55"/>
      <c r="I327" s="55"/>
      <c r="J327" s="55"/>
      <c r="K327" s="56">
        <f t="shared" si="86"/>
        <v>0</v>
      </c>
      <c r="L327" s="54">
        <v>1</v>
      </c>
      <c r="M327" s="55"/>
      <c r="N327" s="55"/>
      <c r="O327" s="55"/>
      <c r="P327" s="56">
        <f t="shared" si="89"/>
        <v>1</v>
      </c>
      <c r="Q327" s="49">
        <f t="shared" si="82"/>
        <v>1</v>
      </c>
      <c r="R327" s="50">
        <v>43679</v>
      </c>
      <c r="S327" s="53" t="s">
        <v>52</v>
      </c>
      <c r="T327" s="54"/>
      <c r="U327" s="55"/>
      <c r="V327" s="55"/>
      <c r="W327" s="55"/>
      <c r="X327" s="56">
        <f t="shared" si="90"/>
        <v>0</v>
      </c>
      <c r="Y327" s="54"/>
      <c r="Z327" s="55"/>
      <c r="AA327" s="55"/>
      <c r="AB327" s="55">
        <v>10</v>
      </c>
      <c r="AC327" s="56">
        <f t="shared" si="87"/>
        <v>10</v>
      </c>
      <c r="AD327" s="54">
        <v>10</v>
      </c>
      <c r="AE327" s="55"/>
      <c r="AF327" s="55"/>
      <c r="AG327" s="55"/>
      <c r="AH327" s="56">
        <f t="shared" si="88"/>
        <v>10</v>
      </c>
      <c r="AI327" s="49">
        <f t="shared" si="84"/>
        <v>20</v>
      </c>
      <c r="AJ327" s="50">
        <v>43683</v>
      </c>
    </row>
    <row r="328" spans="1:37" x14ac:dyDescent="0.15">
      <c r="A328" s="53" t="s">
        <v>51</v>
      </c>
      <c r="B328" s="54"/>
      <c r="C328" s="55"/>
      <c r="D328" s="55"/>
      <c r="E328" s="55">
        <v>1</v>
      </c>
      <c r="F328" s="56">
        <f t="shared" si="85"/>
        <v>1</v>
      </c>
      <c r="G328" s="54">
        <v>1</v>
      </c>
      <c r="H328" s="55"/>
      <c r="I328" s="55"/>
      <c r="J328" s="55"/>
      <c r="K328" s="56">
        <f t="shared" si="86"/>
        <v>1</v>
      </c>
      <c r="L328" s="54"/>
      <c r="M328" s="55">
        <v>1</v>
      </c>
      <c r="N328" s="55"/>
      <c r="O328" s="55"/>
      <c r="P328" s="56">
        <f t="shared" si="89"/>
        <v>1</v>
      </c>
      <c r="Q328" s="49">
        <f t="shared" si="82"/>
        <v>3</v>
      </c>
      <c r="R328" s="14">
        <v>43678</v>
      </c>
      <c r="S328" s="53" t="s">
        <v>21</v>
      </c>
      <c r="T328" s="54"/>
      <c r="U328" s="55"/>
      <c r="V328" s="55"/>
      <c r="W328" s="55"/>
      <c r="X328" s="56">
        <f t="shared" si="90"/>
        <v>0</v>
      </c>
      <c r="Y328" s="54">
        <v>5</v>
      </c>
      <c r="Z328" s="55"/>
      <c r="AA328" s="55">
        <v>5</v>
      </c>
      <c r="AB328" s="55">
        <v>5</v>
      </c>
      <c r="AC328" s="56">
        <f t="shared" si="87"/>
        <v>15</v>
      </c>
      <c r="AD328" s="54">
        <v>5</v>
      </c>
      <c r="AE328" s="55"/>
      <c r="AF328" s="55"/>
      <c r="AG328" s="55"/>
      <c r="AH328" s="56">
        <f t="shared" si="88"/>
        <v>5</v>
      </c>
      <c r="AI328" s="49">
        <f t="shared" si="84"/>
        <v>20</v>
      </c>
      <c r="AJ328" s="50">
        <v>43679</v>
      </c>
    </row>
    <row r="329" spans="1:37" x14ac:dyDescent="0.15">
      <c r="A329" s="53" t="s">
        <v>51</v>
      </c>
      <c r="B329" s="54"/>
      <c r="C329" s="55"/>
      <c r="D329" s="55"/>
      <c r="E329" s="55"/>
      <c r="F329" s="56">
        <f t="shared" si="85"/>
        <v>0</v>
      </c>
      <c r="G329" s="54">
        <v>1</v>
      </c>
      <c r="H329" s="55"/>
      <c r="I329" s="55"/>
      <c r="J329" s="55">
        <v>1</v>
      </c>
      <c r="K329" s="56">
        <f t="shared" si="86"/>
        <v>2</v>
      </c>
      <c r="L329" s="54"/>
      <c r="M329" s="55"/>
      <c r="N329" s="55"/>
      <c r="O329" s="55"/>
      <c r="P329" s="56">
        <f t="shared" si="89"/>
        <v>0</v>
      </c>
      <c r="Q329" s="49">
        <f t="shared" si="82"/>
        <v>2</v>
      </c>
      <c r="R329" s="50">
        <v>43679</v>
      </c>
      <c r="S329" s="53" t="s">
        <v>55</v>
      </c>
      <c r="T329" s="54"/>
      <c r="U329" s="55"/>
      <c r="V329" s="55"/>
      <c r="W329" s="55"/>
      <c r="X329" s="56">
        <f t="shared" si="90"/>
        <v>0</v>
      </c>
      <c r="Y329" s="54"/>
      <c r="Z329" s="55"/>
      <c r="AA329" s="55"/>
      <c r="AB329" s="55">
        <v>5</v>
      </c>
      <c r="AC329" s="56">
        <f t="shared" si="87"/>
        <v>5</v>
      </c>
      <c r="AD329" s="54">
        <v>5</v>
      </c>
      <c r="AE329" s="55"/>
      <c r="AF329" s="55">
        <v>5</v>
      </c>
      <c r="AG329" s="55">
        <v>5</v>
      </c>
      <c r="AH329" s="56">
        <f t="shared" si="88"/>
        <v>15</v>
      </c>
      <c r="AI329" s="49">
        <f t="shared" si="84"/>
        <v>20</v>
      </c>
      <c r="AJ329" s="50">
        <v>43685</v>
      </c>
    </row>
    <row r="330" spans="1:37" x14ac:dyDescent="0.15">
      <c r="A330" s="53" t="s">
        <v>51</v>
      </c>
      <c r="B330" s="17"/>
      <c r="C330" s="18"/>
      <c r="D330" s="18"/>
      <c r="E330" s="18"/>
      <c r="F330" s="30">
        <f t="shared" si="85"/>
        <v>0</v>
      </c>
      <c r="G330" s="17"/>
      <c r="H330" s="18"/>
      <c r="I330" s="18"/>
      <c r="J330" s="18"/>
      <c r="K330" s="30">
        <f t="shared" si="86"/>
        <v>0</v>
      </c>
      <c r="L330" s="17"/>
      <c r="M330" s="18">
        <v>1</v>
      </c>
      <c r="N330" s="18"/>
      <c r="O330" s="18">
        <v>1</v>
      </c>
      <c r="P330" s="30">
        <f t="shared" si="89"/>
        <v>2</v>
      </c>
      <c r="Q330" s="49">
        <f t="shared" si="82"/>
        <v>2</v>
      </c>
      <c r="R330" s="50">
        <v>43680</v>
      </c>
      <c r="S330" s="53" t="s">
        <v>52</v>
      </c>
      <c r="T330" s="17"/>
      <c r="U330" s="18"/>
      <c r="V330" s="18"/>
      <c r="W330" s="18"/>
      <c r="X330" s="30">
        <f t="shared" si="90"/>
        <v>0</v>
      </c>
      <c r="Y330" s="17"/>
      <c r="Z330" s="18"/>
      <c r="AA330" s="18">
        <v>20</v>
      </c>
      <c r="AB330" s="18"/>
      <c r="AC330" s="30">
        <f t="shared" si="87"/>
        <v>20</v>
      </c>
      <c r="AD330" s="17"/>
      <c r="AE330" s="18">
        <v>10</v>
      </c>
      <c r="AF330" s="18"/>
      <c r="AG330" s="18"/>
      <c r="AH330" s="30">
        <f t="shared" si="88"/>
        <v>10</v>
      </c>
      <c r="AI330" s="49">
        <f t="shared" si="84"/>
        <v>30</v>
      </c>
      <c r="AJ330" s="50">
        <v>43685</v>
      </c>
    </row>
    <row r="331" spans="1:37" x14ac:dyDescent="0.15">
      <c r="A331" s="53" t="s">
        <v>54</v>
      </c>
      <c r="B331" s="54"/>
      <c r="C331" s="55"/>
      <c r="D331" s="55"/>
      <c r="E331" s="55"/>
      <c r="F331" s="56">
        <f t="shared" si="85"/>
        <v>0</v>
      </c>
      <c r="G331" s="54">
        <v>2</v>
      </c>
      <c r="H331" s="55"/>
      <c r="I331" s="55"/>
      <c r="J331" s="55"/>
      <c r="K331" s="56">
        <f t="shared" si="86"/>
        <v>2</v>
      </c>
      <c r="L331" s="54"/>
      <c r="M331" s="55">
        <v>1</v>
      </c>
      <c r="N331" s="55"/>
      <c r="O331" s="55"/>
      <c r="P331" s="56">
        <f t="shared" si="89"/>
        <v>1</v>
      </c>
      <c r="Q331" s="49">
        <f t="shared" si="82"/>
        <v>3</v>
      </c>
      <c r="R331" s="50">
        <v>43683</v>
      </c>
      <c r="S331" s="53" t="s">
        <v>55</v>
      </c>
      <c r="T331" s="54">
        <v>3</v>
      </c>
      <c r="U331" s="55"/>
      <c r="V331" s="55">
        <v>3</v>
      </c>
      <c r="W331" s="55"/>
      <c r="X331" s="56">
        <f t="shared" si="90"/>
        <v>6</v>
      </c>
      <c r="Y331" s="54"/>
      <c r="Z331" s="55"/>
      <c r="AA331" s="55"/>
      <c r="AB331" s="55"/>
      <c r="AC331" s="56">
        <f t="shared" si="87"/>
        <v>0</v>
      </c>
      <c r="AD331" s="54">
        <v>3</v>
      </c>
      <c r="AE331" s="55">
        <v>5</v>
      </c>
      <c r="AF331" s="55"/>
      <c r="AG331" s="55"/>
      <c r="AH331" s="56">
        <f t="shared" si="88"/>
        <v>8</v>
      </c>
      <c r="AI331" s="49">
        <f t="shared" si="84"/>
        <v>14</v>
      </c>
      <c r="AJ331" s="50">
        <v>43685</v>
      </c>
    </row>
    <row r="332" spans="1:37" x14ac:dyDescent="0.15">
      <c r="A332" s="53" t="s">
        <v>51</v>
      </c>
      <c r="B332" s="54">
        <v>1</v>
      </c>
      <c r="C332" s="55"/>
      <c r="D332" s="55"/>
      <c r="E332" s="55"/>
      <c r="F332" s="56">
        <f t="shared" si="85"/>
        <v>1</v>
      </c>
      <c r="G332" s="54">
        <v>1</v>
      </c>
      <c r="H332" s="55"/>
      <c r="I332" s="55">
        <v>2</v>
      </c>
      <c r="J332" s="55">
        <v>1</v>
      </c>
      <c r="K332" s="56">
        <f t="shared" si="86"/>
        <v>4</v>
      </c>
      <c r="L332" s="54"/>
      <c r="M332" s="55"/>
      <c r="N332" s="55"/>
      <c r="O332" s="55"/>
      <c r="P332" s="56">
        <f t="shared" si="89"/>
        <v>0</v>
      </c>
      <c r="Q332" s="49">
        <f t="shared" si="82"/>
        <v>5</v>
      </c>
      <c r="R332" s="50">
        <v>43682</v>
      </c>
      <c r="S332" s="53" t="s">
        <v>21</v>
      </c>
      <c r="T332" s="54"/>
      <c r="U332" s="55"/>
      <c r="V332" s="55"/>
      <c r="W332" s="55"/>
      <c r="X332" s="56">
        <f t="shared" si="90"/>
        <v>0</v>
      </c>
      <c r="Y332" s="54"/>
      <c r="Z332" s="55"/>
      <c r="AA332" s="55"/>
      <c r="AB332" s="55"/>
      <c r="AC332" s="56">
        <f t="shared" si="87"/>
        <v>0</v>
      </c>
      <c r="AD332" s="54"/>
      <c r="AE332" s="55">
        <v>5</v>
      </c>
      <c r="AF332" s="55"/>
      <c r="AG332" s="55"/>
      <c r="AH332" s="56">
        <f t="shared" si="88"/>
        <v>5</v>
      </c>
      <c r="AI332" s="49">
        <f t="shared" si="84"/>
        <v>5</v>
      </c>
      <c r="AJ332" s="50">
        <v>43684</v>
      </c>
      <c r="AK332" s="74"/>
    </row>
    <row r="333" spans="1:37" x14ac:dyDescent="0.15">
      <c r="A333" s="53" t="s">
        <v>54</v>
      </c>
      <c r="B333" s="54"/>
      <c r="C333" s="55"/>
      <c r="D333" s="55"/>
      <c r="E333" s="55"/>
      <c r="F333" s="56">
        <f t="shared" si="85"/>
        <v>0</v>
      </c>
      <c r="G333" s="54"/>
      <c r="H333" s="55"/>
      <c r="I333" s="55">
        <v>1</v>
      </c>
      <c r="J333" s="55"/>
      <c r="K333" s="56">
        <f t="shared" si="86"/>
        <v>1</v>
      </c>
      <c r="L333" s="54"/>
      <c r="M333" s="55"/>
      <c r="N333" s="55"/>
      <c r="O333" s="55"/>
      <c r="P333" s="56">
        <f t="shared" si="89"/>
        <v>0</v>
      </c>
      <c r="Q333" s="49">
        <f t="shared" si="82"/>
        <v>1</v>
      </c>
      <c r="R333" s="50">
        <v>43684</v>
      </c>
      <c r="S333" s="53" t="s">
        <v>52</v>
      </c>
      <c r="T333" s="54"/>
      <c r="U333" s="55"/>
      <c r="V333" s="55"/>
      <c r="W333" s="55">
        <v>3</v>
      </c>
      <c r="X333" s="56">
        <f t="shared" si="90"/>
        <v>3</v>
      </c>
      <c r="Y333" s="54">
        <v>3</v>
      </c>
      <c r="Z333" s="55"/>
      <c r="AA333" s="55"/>
      <c r="AB333" s="55"/>
      <c r="AC333" s="56">
        <f t="shared" si="87"/>
        <v>3</v>
      </c>
      <c r="AD333" s="54"/>
      <c r="AE333" s="55"/>
      <c r="AF333" s="55"/>
      <c r="AG333" s="55"/>
      <c r="AH333" s="56">
        <f t="shared" si="88"/>
        <v>0</v>
      </c>
      <c r="AI333" s="49">
        <f t="shared" si="84"/>
        <v>6</v>
      </c>
      <c r="AJ333" s="50">
        <v>43686</v>
      </c>
      <c r="AK333" s="74"/>
    </row>
    <row r="334" spans="1:37" x14ac:dyDescent="0.15">
      <c r="A334" s="53" t="s">
        <v>51</v>
      </c>
      <c r="B334" s="54">
        <v>1</v>
      </c>
      <c r="C334" s="55"/>
      <c r="D334" s="55"/>
      <c r="E334" s="55"/>
      <c r="F334" s="56">
        <f t="shared" si="85"/>
        <v>1</v>
      </c>
      <c r="G334" s="54">
        <v>1</v>
      </c>
      <c r="H334" s="55"/>
      <c r="I334" s="55">
        <v>1</v>
      </c>
      <c r="J334" s="55"/>
      <c r="K334" s="56">
        <f t="shared" si="86"/>
        <v>2</v>
      </c>
      <c r="L334" s="54"/>
      <c r="M334" s="55"/>
      <c r="N334" s="55"/>
      <c r="O334" s="55"/>
      <c r="P334" s="56">
        <f t="shared" si="89"/>
        <v>0</v>
      </c>
      <c r="Q334" s="49">
        <f t="shared" si="82"/>
        <v>3</v>
      </c>
      <c r="R334" s="50">
        <v>43683</v>
      </c>
      <c r="S334" s="53" t="s">
        <v>55</v>
      </c>
      <c r="T334" s="54"/>
      <c r="U334" s="55"/>
      <c r="V334" s="55"/>
      <c r="W334" s="55"/>
      <c r="X334" s="56">
        <f t="shared" si="90"/>
        <v>0</v>
      </c>
      <c r="Y334" s="54"/>
      <c r="Z334" s="55"/>
      <c r="AA334" s="55"/>
      <c r="AB334" s="55"/>
      <c r="AC334" s="56">
        <f t="shared" si="87"/>
        <v>0</v>
      </c>
      <c r="AD334" s="54"/>
      <c r="AE334" s="55">
        <v>10</v>
      </c>
      <c r="AF334" s="55"/>
      <c r="AG334" s="55"/>
      <c r="AH334" s="56">
        <f t="shared" si="88"/>
        <v>10</v>
      </c>
      <c r="AI334" s="49">
        <f t="shared" si="84"/>
        <v>10</v>
      </c>
      <c r="AJ334" s="50">
        <v>43690</v>
      </c>
      <c r="AK334" s="74"/>
    </row>
    <row r="335" spans="1:37" x14ac:dyDescent="0.15">
      <c r="A335" s="53" t="s">
        <v>54</v>
      </c>
      <c r="B335" s="54"/>
      <c r="C335" s="55"/>
      <c r="D335" s="55"/>
      <c r="E335" s="55"/>
      <c r="F335" s="56">
        <f t="shared" si="85"/>
        <v>0</v>
      </c>
      <c r="G335" s="54"/>
      <c r="H335" s="55"/>
      <c r="I335" s="55">
        <v>1</v>
      </c>
      <c r="J335" s="55"/>
      <c r="K335" s="56">
        <f t="shared" si="86"/>
        <v>1</v>
      </c>
      <c r="L335" s="54"/>
      <c r="M335" s="55"/>
      <c r="N335" s="55"/>
      <c r="O335" s="55"/>
      <c r="P335" s="56">
        <f t="shared" si="89"/>
        <v>0</v>
      </c>
      <c r="Q335" s="49">
        <f t="shared" si="82"/>
        <v>1</v>
      </c>
      <c r="R335" s="50">
        <v>43685</v>
      </c>
      <c r="S335" s="53" t="s">
        <v>52</v>
      </c>
      <c r="T335" s="54"/>
      <c r="U335" s="55"/>
      <c r="V335" s="55"/>
      <c r="W335" s="55"/>
      <c r="X335" s="56">
        <f t="shared" si="90"/>
        <v>0</v>
      </c>
      <c r="Y335" s="54"/>
      <c r="Z335" s="55"/>
      <c r="AA335" s="55"/>
      <c r="AB335" s="55">
        <v>10</v>
      </c>
      <c r="AC335" s="56">
        <f t="shared" si="87"/>
        <v>10</v>
      </c>
      <c r="AD335" s="54"/>
      <c r="AE335" s="55"/>
      <c r="AF335" s="55"/>
      <c r="AG335" s="55"/>
      <c r="AH335" s="56">
        <f t="shared" si="88"/>
        <v>0</v>
      </c>
      <c r="AI335" s="49">
        <f t="shared" si="84"/>
        <v>10</v>
      </c>
      <c r="AJ335" s="50">
        <v>43690</v>
      </c>
      <c r="AK335" s="74"/>
    </row>
    <row r="336" spans="1:37" x14ac:dyDescent="0.15">
      <c r="A336" s="53" t="s">
        <v>51</v>
      </c>
      <c r="B336" s="54"/>
      <c r="C336" s="55"/>
      <c r="D336" s="55"/>
      <c r="E336" s="55"/>
      <c r="F336" s="56">
        <f t="shared" si="85"/>
        <v>0</v>
      </c>
      <c r="G336" s="54"/>
      <c r="H336" s="55"/>
      <c r="I336" s="55"/>
      <c r="J336" s="55"/>
      <c r="K336" s="56">
        <f t="shared" si="86"/>
        <v>0</v>
      </c>
      <c r="L336" s="54">
        <v>1</v>
      </c>
      <c r="M336" s="55">
        <v>3</v>
      </c>
      <c r="N336" s="55"/>
      <c r="O336" s="55"/>
      <c r="P336" s="56">
        <f t="shared" si="89"/>
        <v>4</v>
      </c>
      <c r="Q336" s="49">
        <f t="shared" si="82"/>
        <v>4</v>
      </c>
      <c r="R336" s="50">
        <v>43684</v>
      </c>
      <c r="S336" s="53" t="s">
        <v>21</v>
      </c>
      <c r="T336" s="54">
        <v>2</v>
      </c>
      <c r="U336" s="55"/>
      <c r="V336" s="55"/>
      <c r="W336" s="55">
        <v>6</v>
      </c>
      <c r="X336" s="56">
        <f t="shared" si="90"/>
        <v>8</v>
      </c>
      <c r="Y336" s="54"/>
      <c r="Z336" s="55"/>
      <c r="AA336" s="55">
        <v>5</v>
      </c>
      <c r="AB336" s="55"/>
      <c r="AC336" s="56">
        <f t="shared" si="87"/>
        <v>5</v>
      </c>
      <c r="AD336" s="54"/>
      <c r="AE336" s="55">
        <v>5</v>
      </c>
      <c r="AF336" s="55"/>
      <c r="AG336" s="55"/>
      <c r="AH336" s="56">
        <f t="shared" si="88"/>
        <v>5</v>
      </c>
      <c r="AI336" s="49">
        <f t="shared" si="84"/>
        <v>18</v>
      </c>
      <c r="AJ336" s="50">
        <v>43686</v>
      </c>
      <c r="AK336" s="74"/>
    </row>
    <row r="337" spans="1:37" x14ac:dyDescent="0.15">
      <c r="A337" s="53" t="s">
        <v>51</v>
      </c>
      <c r="B337" s="54"/>
      <c r="C337" s="55"/>
      <c r="D337" s="55"/>
      <c r="E337" s="55">
        <v>2</v>
      </c>
      <c r="F337" s="56">
        <f t="shared" si="85"/>
        <v>2</v>
      </c>
      <c r="G337" s="54"/>
      <c r="H337" s="55"/>
      <c r="I337" s="55"/>
      <c r="J337" s="55"/>
      <c r="K337" s="56">
        <f t="shared" si="86"/>
        <v>0</v>
      </c>
      <c r="L337" s="54">
        <v>1</v>
      </c>
      <c r="M337" s="55">
        <v>1</v>
      </c>
      <c r="N337" s="55"/>
      <c r="O337" s="55"/>
      <c r="P337" s="56">
        <f t="shared" si="89"/>
        <v>2</v>
      </c>
      <c r="Q337" s="49">
        <f t="shared" si="82"/>
        <v>4</v>
      </c>
      <c r="R337" s="50">
        <v>43685</v>
      </c>
      <c r="S337" s="53" t="s">
        <v>55</v>
      </c>
      <c r="T337" s="54"/>
      <c r="U337" s="55"/>
      <c r="V337" s="55"/>
      <c r="W337" s="55"/>
      <c r="X337" s="56">
        <f t="shared" si="90"/>
        <v>0</v>
      </c>
      <c r="Y337" s="54"/>
      <c r="Z337" s="55"/>
      <c r="AA337" s="55"/>
      <c r="AB337" s="55">
        <v>5</v>
      </c>
      <c r="AC337" s="56">
        <f t="shared" si="87"/>
        <v>5</v>
      </c>
      <c r="AD337" s="54">
        <v>5</v>
      </c>
      <c r="AE337" s="55"/>
      <c r="AF337" s="55">
        <v>10</v>
      </c>
      <c r="AG337" s="55">
        <v>10</v>
      </c>
      <c r="AH337" s="56">
        <f t="shared" si="88"/>
        <v>25</v>
      </c>
      <c r="AI337" s="49">
        <f t="shared" si="84"/>
        <v>30</v>
      </c>
      <c r="AJ337" s="50">
        <v>43690</v>
      </c>
      <c r="AK337" s="74"/>
    </row>
    <row r="338" spans="1:37" x14ac:dyDescent="0.15">
      <c r="A338" s="53" t="s">
        <v>28</v>
      </c>
      <c r="B338" s="54">
        <v>-2</v>
      </c>
      <c r="C338" s="55"/>
      <c r="D338" s="55"/>
      <c r="E338" s="55">
        <v>-6</v>
      </c>
      <c r="F338" s="56">
        <f>SUM(B338:E338)</f>
        <v>-8</v>
      </c>
      <c r="G338" s="54"/>
      <c r="H338" s="55"/>
      <c r="I338" s="55">
        <v>-5</v>
      </c>
      <c r="J338" s="55"/>
      <c r="K338" s="56">
        <f>SUM(G338:J338)</f>
        <v>-5</v>
      </c>
      <c r="L338" s="54"/>
      <c r="M338" s="55">
        <v>-5</v>
      </c>
      <c r="N338" s="55"/>
      <c r="O338" s="55"/>
      <c r="P338" s="56">
        <f>SUM(L338:O338)</f>
        <v>-5</v>
      </c>
      <c r="Q338" s="49">
        <f>K338+P338+F338</f>
        <v>-18</v>
      </c>
      <c r="R338" s="50">
        <v>43686</v>
      </c>
      <c r="S338" s="53" t="s">
        <v>52</v>
      </c>
      <c r="T338" s="54"/>
      <c r="U338" s="55"/>
      <c r="V338" s="55"/>
      <c r="W338" s="55"/>
      <c r="X338" s="56">
        <f t="shared" si="90"/>
        <v>0</v>
      </c>
      <c r="Y338" s="54"/>
      <c r="Z338" s="55"/>
      <c r="AA338" s="55"/>
      <c r="AB338" s="55"/>
      <c r="AC338" s="56">
        <f t="shared" si="87"/>
        <v>0</v>
      </c>
      <c r="AD338" s="54"/>
      <c r="AE338" s="55">
        <v>10</v>
      </c>
      <c r="AF338" s="55">
        <v>10</v>
      </c>
      <c r="AG338" s="55">
        <v>10</v>
      </c>
      <c r="AH338" s="56">
        <f t="shared" si="88"/>
        <v>30</v>
      </c>
      <c r="AI338" s="49">
        <f t="shared" si="84"/>
        <v>30</v>
      </c>
      <c r="AJ338" s="50">
        <v>43690</v>
      </c>
      <c r="AK338" s="74"/>
    </row>
    <row r="339" spans="1:37" x14ac:dyDescent="0.15">
      <c r="A339" s="53" t="s">
        <v>69</v>
      </c>
      <c r="B339" s="54"/>
      <c r="C339" s="55"/>
      <c r="D339" s="55"/>
      <c r="E339" s="55"/>
      <c r="F339" s="56">
        <f t="shared" si="85"/>
        <v>0</v>
      </c>
      <c r="G339" s="54"/>
      <c r="H339" s="55"/>
      <c r="I339" s="55">
        <v>1</v>
      </c>
      <c r="J339" s="55"/>
      <c r="K339" s="56">
        <f t="shared" si="86"/>
        <v>1</v>
      </c>
      <c r="L339" s="54"/>
      <c r="M339" s="55"/>
      <c r="N339" s="55"/>
      <c r="O339" s="55"/>
      <c r="P339" s="56">
        <f t="shared" si="89"/>
        <v>0</v>
      </c>
      <c r="Q339" s="49">
        <f t="shared" si="82"/>
        <v>1</v>
      </c>
      <c r="R339" s="50">
        <v>43687</v>
      </c>
      <c r="S339" s="53" t="s">
        <v>52</v>
      </c>
      <c r="T339" s="54"/>
      <c r="U339" s="55"/>
      <c r="V339" s="55"/>
      <c r="W339" s="55"/>
      <c r="X339" s="56">
        <f t="shared" si="90"/>
        <v>0</v>
      </c>
      <c r="Y339" s="54">
        <v>2</v>
      </c>
      <c r="Z339" s="55"/>
      <c r="AA339" s="55"/>
      <c r="AB339" s="55"/>
      <c r="AC339" s="56">
        <f t="shared" si="87"/>
        <v>2</v>
      </c>
      <c r="AD339" s="54"/>
      <c r="AE339" s="55"/>
      <c r="AF339" s="55"/>
      <c r="AG339" s="55"/>
      <c r="AH339" s="56">
        <f t="shared" si="88"/>
        <v>0</v>
      </c>
      <c r="AI339" s="49">
        <f t="shared" si="84"/>
        <v>2</v>
      </c>
      <c r="AJ339" s="50">
        <v>43698</v>
      </c>
      <c r="AK339" s="74"/>
    </row>
    <row r="340" spans="1:37" x14ac:dyDescent="0.15">
      <c r="A340" s="53" t="s">
        <v>51</v>
      </c>
      <c r="B340" s="54">
        <v>1</v>
      </c>
      <c r="C340" s="55"/>
      <c r="D340" s="55"/>
      <c r="E340" s="55">
        <v>1</v>
      </c>
      <c r="F340" s="56">
        <f t="shared" si="85"/>
        <v>2</v>
      </c>
      <c r="G340" s="54">
        <v>1</v>
      </c>
      <c r="H340" s="55"/>
      <c r="I340" s="55"/>
      <c r="J340" s="55"/>
      <c r="K340" s="56">
        <f t="shared" si="86"/>
        <v>1</v>
      </c>
      <c r="L340" s="54">
        <v>1</v>
      </c>
      <c r="M340" s="55"/>
      <c r="N340" s="55"/>
      <c r="O340" s="55"/>
      <c r="P340" s="56">
        <f t="shared" si="89"/>
        <v>1</v>
      </c>
      <c r="Q340" s="49">
        <f t="shared" si="82"/>
        <v>4</v>
      </c>
      <c r="R340" s="14">
        <v>43686</v>
      </c>
      <c r="S340" s="53"/>
      <c r="T340" s="54"/>
      <c r="U340" s="55"/>
      <c r="V340" s="55"/>
      <c r="W340" s="55"/>
      <c r="X340" s="56">
        <f t="shared" si="90"/>
        <v>0</v>
      </c>
      <c r="Y340" s="54"/>
      <c r="Z340" s="55"/>
      <c r="AA340" s="55"/>
      <c r="AB340" s="55"/>
      <c r="AC340" s="56">
        <f t="shared" si="87"/>
        <v>0</v>
      </c>
      <c r="AD340" s="54"/>
      <c r="AE340" s="55"/>
      <c r="AF340" s="55"/>
      <c r="AG340" s="55"/>
      <c r="AH340" s="56">
        <f t="shared" si="88"/>
        <v>0</v>
      </c>
      <c r="AI340" s="49">
        <f t="shared" si="84"/>
        <v>0</v>
      </c>
      <c r="AJ340" s="50"/>
      <c r="AK340" s="74"/>
    </row>
    <row r="341" spans="1:37" x14ac:dyDescent="0.15">
      <c r="A341" s="53" t="s">
        <v>70</v>
      </c>
      <c r="B341" s="17"/>
      <c r="C341" s="18"/>
      <c r="D341" s="18"/>
      <c r="E341" s="18"/>
      <c r="F341" s="30">
        <f t="shared" si="85"/>
        <v>0</v>
      </c>
      <c r="G341" s="17"/>
      <c r="H341" s="18"/>
      <c r="I341" s="18">
        <v>-1</v>
      </c>
      <c r="J341" s="18"/>
      <c r="K341" s="30">
        <f t="shared" si="86"/>
        <v>-1</v>
      </c>
      <c r="L341" s="17"/>
      <c r="M341" s="18"/>
      <c r="N341" s="18"/>
      <c r="O341" s="18"/>
      <c r="P341" s="30">
        <f t="shared" si="89"/>
        <v>0</v>
      </c>
      <c r="Q341" s="49">
        <f t="shared" si="82"/>
        <v>-1</v>
      </c>
      <c r="R341" s="50">
        <v>43686</v>
      </c>
      <c r="S341" s="53"/>
      <c r="T341" s="17"/>
      <c r="U341" s="18"/>
      <c r="V341" s="18"/>
      <c r="W341" s="18"/>
      <c r="X341" s="30">
        <f t="shared" si="90"/>
        <v>0</v>
      </c>
      <c r="Y341" s="17"/>
      <c r="Z341" s="18"/>
      <c r="AA341" s="18"/>
      <c r="AB341" s="18"/>
      <c r="AC341" s="30">
        <f t="shared" si="87"/>
        <v>0</v>
      </c>
      <c r="AD341" s="17"/>
      <c r="AE341" s="18"/>
      <c r="AF341" s="18"/>
      <c r="AG341" s="18"/>
      <c r="AH341" s="30">
        <f t="shared" si="88"/>
        <v>0</v>
      </c>
      <c r="AI341" s="49">
        <f t="shared" si="84"/>
        <v>0</v>
      </c>
      <c r="AJ341" s="50"/>
      <c r="AK341" s="74"/>
    </row>
    <row r="342" spans="1:37" x14ac:dyDescent="0.15">
      <c r="A342" s="53" t="s">
        <v>51</v>
      </c>
      <c r="B342" s="54"/>
      <c r="C342" s="55"/>
      <c r="D342" s="55"/>
      <c r="E342" s="55">
        <v>1</v>
      </c>
      <c r="F342" s="56">
        <f t="shared" si="85"/>
        <v>1</v>
      </c>
      <c r="G342" s="54"/>
      <c r="H342" s="55"/>
      <c r="I342" s="55"/>
      <c r="J342" s="55">
        <v>2</v>
      </c>
      <c r="K342" s="56">
        <f t="shared" si="86"/>
        <v>2</v>
      </c>
      <c r="L342" s="54"/>
      <c r="M342" s="55">
        <v>1</v>
      </c>
      <c r="N342" s="55"/>
      <c r="O342" s="55"/>
      <c r="P342" s="56">
        <f t="shared" si="89"/>
        <v>1</v>
      </c>
      <c r="Q342" s="49">
        <f t="shared" si="82"/>
        <v>4</v>
      </c>
      <c r="R342" s="14">
        <v>43692</v>
      </c>
      <c r="S342" s="53"/>
      <c r="T342" s="54"/>
      <c r="U342" s="55"/>
      <c r="V342" s="55"/>
      <c r="W342" s="55"/>
      <c r="X342" s="56">
        <f t="shared" si="90"/>
        <v>0</v>
      </c>
      <c r="Y342" s="54"/>
      <c r="Z342" s="55"/>
      <c r="AA342" s="55"/>
      <c r="AB342" s="55"/>
      <c r="AC342" s="56">
        <f t="shared" si="87"/>
        <v>0</v>
      </c>
      <c r="AD342" s="54"/>
      <c r="AE342" s="55"/>
      <c r="AF342" s="55"/>
      <c r="AG342" s="55"/>
      <c r="AH342" s="56">
        <f t="shared" si="88"/>
        <v>0</v>
      </c>
      <c r="AI342" s="49">
        <f t="shared" si="84"/>
        <v>0</v>
      </c>
      <c r="AJ342" s="50"/>
      <c r="AK342" s="74"/>
    </row>
    <row r="343" spans="1:37" x14ac:dyDescent="0.15">
      <c r="A343" s="148" t="s">
        <v>29</v>
      </c>
      <c r="B343" s="62">
        <v>-2</v>
      </c>
      <c r="C343" s="63"/>
      <c r="D343" s="63"/>
      <c r="E343" s="63"/>
      <c r="F343" s="56">
        <f t="shared" si="85"/>
        <v>-2</v>
      </c>
      <c r="G343" s="62"/>
      <c r="H343" s="63"/>
      <c r="I343" s="63"/>
      <c r="J343" s="63">
        <v>-2</v>
      </c>
      <c r="K343" s="56">
        <f t="shared" si="86"/>
        <v>-2</v>
      </c>
      <c r="L343" s="62"/>
      <c r="M343" s="63"/>
      <c r="N343" s="63"/>
      <c r="O343" s="63"/>
      <c r="P343" s="56">
        <f t="shared" si="89"/>
        <v>0</v>
      </c>
      <c r="Q343" s="49">
        <f t="shared" si="82"/>
        <v>-4</v>
      </c>
      <c r="R343" s="14">
        <v>43693</v>
      </c>
      <c r="S343" s="53"/>
      <c r="T343" s="62"/>
      <c r="U343" s="63"/>
      <c r="V343" s="63"/>
      <c r="W343" s="63"/>
      <c r="X343" s="56">
        <f t="shared" si="90"/>
        <v>0</v>
      </c>
      <c r="Y343" s="62"/>
      <c r="Z343" s="63"/>
      <c r="AA343" s="63"/>
      <c r="AB343" s="63"/>
      <c r="AC343" s="56">
        <f t="shared" si="87"/>
        <v>0</v>
      </c>
      <c r="AD343" s="62"/>
      <c r="AE343" s="63"/>
      <c r="AF343" s="63"/>
      <c r="AG343" s="63"/>
      <c r="AH343" s="56">
        <f t="shared" si="88"/>
        <v>0</v>
      </c>
      <c r="AI343" s="49">
        <f t="shared" si="84"/>
        <v>0</v>
      </c>
      <c r="AJ343" s="50"/>
      <c r="AK343" s="74"/>
    </row>
    <row r="344" spans="1:37" x14ac:dyDescent="0.15">
      <c r="A344" s="53" t="s">
        <v>54</v>
      </c>
      <c r="B344" s="54"/>
      <c r="C344" s="55"/>
      <c r="D344" s="55"/>
      <c r="E344" s="55"/>
      <c r="F344" s="56">
        <f t="shared" si="85"/>
        <v>0</v>
      </c>
      <c r="G344" s="54"/>
      <c r="H344" s="55"/>
      <c r="I344" s="55"/>
      <c r="J344" s="55"/>
      <c r="K344" s="56">
        <f t="shared" si="86"/>
        <v>0</v>
      </c>
      <c r="L344" s="54"/>
      <c r="M344" s="55"/>
      <c r="N344" s="55"/>
      <c r="O344" s="55">
        <v>1</v>
      </c>
      <c r="P344" s="56">
        <f t="shared" si="89"/>
        <v>1</v>
      </c>
      <c r="Q344" s="49">
        <f t="shared" si="82"/>
        <v>1</v>
      </c>
      <c r="R344" s="50">
        <v>43697</v>
      </c>
      <c r="S344" s="53"/>
      <c r="T344" s="54"/>
      <c r="U344" s="55"/>
      <c r="V344" s="55"/>
      <c r="W344" s="55"/>
      <c r="X344" s="56">
        <f t="shared" si="90"/>
        <v>0</v>
      </c>
      <c r="Y344" s="54"/>
      <c r="Z344" s="55"/>
      <c r="AA344" s="55"/>
      <c r="AB344" s="55"/>
      <c r="AC344" s="56">
        <f t="shared" si="87"/>
        <v>0</v>
      </c>
      <c r="AD344" s="54"/>
      <c r="AE344" s="55"/>
      <c r="AF344" s="55"/>
      <c r="AG344" s="55"/>
      <c r="AH344" s="56">
        <f t="shared" si="88"/>
        <v>0</v>
      </c>
      <c r="AI344" s="49">
        <f t="shared" si="84"/>
        <v>0</v>
      </c>
      <c r="AJ344" s="50"/>
      <c r="AK344" s="74"/>
    </row>
    <row r="345" spans="1:37" x14ac:dyDescent="0.15">
      <c r="A345" s="53" t="s">
        <v>51</v>
      </c>
      <c r="B345" s="33">
        <v>1</v>
      </c>
      <c r="C345" s="34"/>
      <c r="D345" s="34"/>
      <c r="E345" s="34"/>
      <c r="F345" s="56">
        <f t="shared" si="85"/>
        <v>1</v>
      </c>
      <c r="G345" s="33"/>
      <c r="H345" s="34"/>
      <c r="I345" s="34">
        <v>1</v>
      </c>
      <c r="J345" s="34"/>
      <c r="K345" s="56">
        <f t="shared" si="86"/>
        <v>1</v>
      </c>
      <c r="L345" s="33"/>
      <c r="M345" s="34">
        <v>1</v>
      </c>
      <c r="N345" s="34"/>
      <c r="O345" s="34"/>
      <c r="P345" s="56">
        <f t="shared" si="89"/>
        <v>1</v>
      </c>
      <c r="Q345" s="49">
        <f t="shared" si="82"/>
        <v>3</v>
      </c>
      <c r="R345" s="50">
        <v>43696</v>
      </c>
      <c r="S345" s="67"/>
      <c r="T345" s="33"/>
      <c r="U345" s="34"/>
      <c r="V345" s="34"/>
      <c r="W345" s="34"/>
      <c r="X345" s="56">
        <f t="shared" si="90"/>
        <v>0</v>
      </c>
      <c r="Y345" s="33"/>
      <c r="Z345" s="34"/>
      <c r="AA345" s="34"/>
      <c r="AB345" s="34"/>
      <c r="AC345" s="56">
        <f t="shared" si="87"/>
        <v>0</v>
      </c>
      <c r="AD345" s="33"/>
      <c r="AE345" s="34"/>
      <c r="AF345" s="34"/>
      <c r="AG345" s="34"/>
      <c r="AH345" s="56">
        <f t="shared" si="88"/>
        <v>0</v>
      </c>
      <c r="AI345" s="49">
        <f t="shared" si="84"/>
        <v>0</v>
      </c>
      <c r="AJ345" s="74"/>
      <c r="AK345" s="74"/>
    </row>
    <row r="346" spans="1:37" x14ac:dyDescent="0.15">
      <c r="A346" s="53" t="s">
        <v>54</v>
      </c>
      <c r="B346" s="33"/>
      <c r="C346" s="34"/>
      <c r="D346" s="34"/>
      <c r="E346" s="34"/>
      <c r="F346" s="56">
        <f t="shared" si="85"/>
        <v>0</v>
      </c>
      <c r="G346" s="33"/>
      <c r="H346" s="34"/>
      <c r="I346" s="34"/>
      <c r="J346" s="34">
        <v>1</v>
      </c>
      <c r="K346" s="56">
        <f t="shared" si="86"/>
        <v>1</v>
      </c>
      <c r="L346" s="33"/>
      <c r="M346" s="34"/>
      <c r="N346" s="34"/>
      <c r="O346" s="34"/>
      <c r="P346" s="56">
        <f t="shared" si="89"/>
        <v>0</v>
      </c>
      <c r="Q346" s="49">
        <f t="shared" si="82"/>
        <v>1</v>
      </c>
      <c r="R346" s="50">
        <v>43698</v>
      </c>
      <c r="S346" s="67"/>
      <c r="T346" s="33"/>
      <c r="U346" s="34"/>
      <c r="V346" s="34"/>
      <c r="W346" s="34"/>
      <c r="X346" s="56">
        <f t="shared" si="90"/>
        <v>0</v>
      </c>
      <c r="Y346" s="33"/>
      <c r="Z346" s="34"/>
      <c r="AA346" s="34"/>
      <c r="AB346" s="34"/>
      <c r="AC346" s="56">
        <f t="shared" si="87"/>
        <v>0</v>
      </c>
      <c r="AD346" s="33"/>
      <c r="AE346" s="34"/>
      <c r="AF346" s="34"/>
      <c r="AG346" s="34"/>
      <c r="AH346" s="56">
        <f t="shared" si="88"/>
        <v>0</v>
      </c>
      <c r="AI346" s="49">
        <f t="shared" si="84"/>
        <v>0</v>
      </c>
      <c r="AJ346" s="74"/>
      <c r="AK346" s="74"/>
    </row>
    <row r="347" spans="1:37" ht="14.25" thickBot="1" x14ac:dyDescent="0.2">
      <c r="A347" s="53" t="s">
        <v>51</v>
      </c>
      <c r="B347" s="33"/>
      <c r="C347" s="34"/>
      <c r="D347" s="34"/>
      <c r="E347" s="34"/>
      <c r="F347" s="30">
        <f t="shared" si="85"/>
        <v>0</v>
      </c>
      <c r="G347" s="33"/>
      <c r="H347" s="34"/>
      <c r="I347" s="34">
        <v>1</v>
      </c>
      <c r="J347" s="34">
        <v>1</v>
      </c>
      <c r="K347" s="30">
        <f t="shared" si="86"/>
        <v>2</v>
      </c>
      <c r="L347" s="33"/>
      <c r="M347" s="34"/>
      <c r="N347" s="34"/>
      <c r="O347" s="34"/>
      <c r="P347" s="30">
        <f t="shared" si="89"/>
        <v>0</v>
      </c>
      <c r="Q347" s="78">
        <f t="shared" si="82"/>
        <v>2</v>
      </c>
      <c r="R347" s="14">
        <v>43697</v>
      </c>
      <c r="S347" s="67"/>
      <c r="T347" s="33"/>
      <c r="U347" s="34"/>
      <c r="V347" s="34"/>
      <c r="W347" s="34"/>
      <c r="X347" s="56">
        <f>SUM(T347:W347)</f>
        <v>0</v>
      </c>
      <c r="Y347" s="33"/>
      <c r="Z347" s="34"/>
      <c r="AA347" s="34"/>
      <c r="AB347" s="34"/>
      <c r="AC347" s="56">
        <f>SUM(Y347:AB347)</f>
        <v>0</v>
      </c>
      <c r="AD347" s="33"/>
      <c r="AE347" s="34"/>
      <c r="AF347" s="34"/>
      <c r="AG347" s="34"/>
      <c r="AH347" s="56">
        <f>SUM(AD347:AG347)</f>
        <v>0</v>
      </c>
      <c r="AI347" s="64">
        <f>AC347+AH347+X347</f>
        <v>0</v>
      </c>
      <c r="AJ347" s="74"/>
      <c r="AK347" s="74"/>
    </row>
    <row r="348" spans="1:37" ht="15" thickBot="1" x14ac:dyDescent="0.2">
      <c r="A348" s="9" t="s">
        <v>15</v>
      </c>
      <c r="B348" s="36">
        <f>SUM(B322:B347)</f>
        <v>0</v>
      </c>
      <c r="C348" s="37">
        <f>SUM(C322:C347)</f>
        <v>0</v>
      </c>
      <c r="D348" s="37">
        <f>SUM(D322:D347)</f>
        <v>0</v>
      </c>
      <c r="E348" s="38">
        <f>SUM(E322:E347)</f>
        <v>-1</v>
      </c>
      <c r="F348" s="25">
        <f>SUM(B348:E348)</f>
        <v>-1</v>
      </c>
      <c r="G348" s="36">
        <f>SUM(G322:G347)</f>
        <v>11</v>
      </c>
      <c r="H348" s="37">
        <f>SUM(H322:H347)</f>
        <v>1</v>
      </c>
      <c r="I348" s="37">
        <f>SUM(I322:I347)</f>
        <v>6</v>
      </c>
      <c r="J348" s="38">
        <f>SUM(J322:J347)</f>
        <v>6</v>
      </c>
      <c r="K348" s="25">
        <f>SUM(G348:J348)</f>
        <v>24</v>
      </c>
      <c r="L348" s="36">
        <f>SUM(L322:L347)</f>
        <v>6</v>
      </c>
      <c r="M348" s="37">
        <f>SUM(M322:M347)</f>
        <v>5</v>
      </c>
      <c r="N348" s="37">
        <f>SUM(N322:N347)</f>
        <v>0</v>
      </c>
      <c r="O348" s="38">
        <f>SUM(O322:O347)</f>
        <v>2</v>
      </c>
      <c r="P348" s="25">
        <f>SUM(L348:O348)</f>
        <v>13</v>
      </c>
      <c r="Q348" s="79">
        <f t="shared" si="82"/>
        <v>36</v>
      </c>
      <c r="S348" s="9" t="s">
        <v>15</v>
      </c>
      <c r="T348" s="36">
        <f>SUM(T322:T347)</f>
        <v>12</v>
      </c>
      <c r="U348" s="37">
        <f>SUM(U322:U347)</f>
        <v>0</v>
      </c>
      <c r="V348" s="37">
        <f>SUM(V322:V347)</f>
        <v>6</v>
      </c>
      <c r="W348" s="38">
        <f>SUM(W322:W347)</f>
        <v>9</v>
      </c>
      <c r="X348" s="25">
        <f>SUM(T348:W348)</f>
        <v>27</v>
      </c>
      <c r="Y348" s="36">
        <f>SUM(Y322:Y347)</f>
        <v>15</v>
      </c>
      <c r="Z348" s="37">
        <f>SUM(Z322:Z347)</f>
        <v>0</v>
      </c>
      <c r="AA348" s="37">
        <f>SUM(AA322:AA347)</f>
        <v>50</v>
      </c>
      <c r="AB348" s="38">
        <f>SUM(AB322:AB347)</f>
        <v>37</v>
      </c>
      <c r="AC348" s="25">
        <f>SUM(Y348:AB348)</f>
        <v>102</v>
      </c>
      <c r="AD348" s="36">
        <f>SUM(AD322:AD347)</f>
        <v>28</v>
      </c>
      <c r="AE348" s="37">
        <f>SUM(AE322:AE347)</f>
        <v>50</v>
      </c>
      <c r="AF348" s="37">
        <f>SUM(AF322:AF347)</f>
        <v>25</v>
      </c>
      <c r="AG348" s="38">
        <f>SUM(AG322:AG347)</f>
        <v>32</v>
      </c>
      <c r="AH348" s="25">
        <f>SUM(AD348:AG348)</f>
        <v>135</v>
      </c>
      <c r="AI348" s="161">
        <f>AC348+AH348+X348</f>
        <v>264</v>
      </c>
    </row>
    <row r="349" spans="1:37" ht="14.25" thickBot="1" x14ac:dyDescent="0.2">
      <c r="A349" s="39" t="s">
        <v>16</v>
      </c>
      <c r="B349" s="40">
        <f t="shared" ref="B349:P349" si="91">B321-B348</f>
        <v>4</v>
      </c>
      <c r="C349" s="41">
        <f t="shared" si="91"/>
        <v>0</v>
      </c>
      <c r="D349" s="41">
        <f t="shared" si="91"/>
        <v>2</v>
      </c>
      <c r="E349" s="42">
        <f t="shared" si="91"/>
        <v>4</v>
      </c>
      <c r="F349" s="42">
        <f t="shared" si="91"/>
        <v>10</v>
      </c>
      <c r="G349" s="40">
        <f t="shared" si="91"/>
        <v>0</v>
      </c>
      <c r="H349" s="41">
        <f t="shared" si="91"/>
        <v>1</v>
      </c>
      <c r="I349" s="41">
        <f t="shared" si="91"/>
        <v>4</v>
      </c>
      <c r="J349" s="42">
        <f t="shared" si="91"/>
        <v>3</v>
      </c>
      <c r="K349" s="42">
        <f t="shared" si="91"/>
        <v>8</v>
      </c>
      <c r="L349" s="40">
        <f t="shared" si="91"/>
        <v>3</v>
      </c>
      <c r="M349" s="41">
        <f t="shared" si="91"/>
        <v>4</v>
      </c>
      <c r="N349" s="41">
        <f t="shared" si="91"/>
        <v>3</v>
      </c>
      <c r="O349" s="42">
        <f t="shared" si="91"/>
        <v>3</v>
      </c>
      <c r="P349" s="42">
        <f t="shared" si="91"/>
        <v>13</v>
      </c>
      <c r="Q349" s="77">
        <f t="shared" si="82"/>
        <v>31</v>
      </c>
      <c r="S349" s="39" t="s">
        <v>16</v>
      </c>
      <c r="T349" s="40">
        <f t="shared" ref="T349:AH349" si="92">T321-T348</f>
        <v>0</v>
      </c>
      <c r="U349" s="41">
        <f t="shared" si="92"/>
        <v>0</v>
      </c>
      <c r="V349" s="41">
        <f t="shared" si="92"/>
        <v>0</v>
      </c>
      <c r="W349" s="42">
        <f t="shared" si="92"/>
        <v>0</v>
      </c>
      <c r="X349" s="42">
        <f t="shared" si="92"/>
        <v>0</v>
      </c>
      <c r="Y349" s="40">
        <f t="shared" si="92"/>
        <v>0</v>
      </c>
      <c r="Z349" s="41">
        <f t="shared" si="92"/>
        <v>0</v>
      </c>
      <c r="AA349" s="41">
        <f t="shared" si="92"/>
        <v>14</v>
      </c>
      <c r="AB349" s="42">
        <f t="shared" si="92"/>
        <v>15</v>
      </c>
      <c r="AC349" s="42">
        <f t="shared" si="92"/>
        <v>29</v>
      </c>
      <c r="AD349" s="40">
        <f t="shared" si="92"/>
        <v>66</v>
      </c>
      <c r="AE349" s="41">
        <f t="shared" si="92"/>
        <v>16</v>
      </c>
      <c r="AF349" s="41">
        <f t="shared" si="92"/>
        <v>68</v>
      </c>
      <c r="AG349" s="42">
        <f t="shared" si="92"/>
        <v>37</v>
      </c>
      <c r="AH349" s="42">
        <f t="shared" si="92"/>
        <v>187</v>
      </c>
      <c r="AI349" s="77">
        <f>AC349+AH349+X349</f>
        <v>216</v>
      </c>
    </row>
    <row r="350" spans="1:37" x14ac:dyDescent="0.15">
      <c r="AD350" s="2">
        <f>AD348+AD311</f>
        <v>136</v>
      </c>
      <c r="AE350" s="2">
        <f>AE348+AE311</f>
        <v>213</v>
      </c>
      <c r="AF350" s="2">
        <f>AF348+AF311</f>
        <v>127</v>
      </c>
      <c r="AG350" s="2">
        <f>AG348+AG311</f>
        <v>143</v>
      </c>
      <c r="AH350" s="2">
        <f>AH348+AH311</f>
        <v>619</v>
      </c>
    </row>
    <row r="351" spans="1:37" x14ac:dyDescent="0.15">
      <c r="AD351" s="189">
        <f>AD350/$AH$350*100</f>
        <v>21.970920840064618</v>
      </c>
      <c r="AE351" s="189">
        <f>AE350/$AH$350*100</f>
        <v>34.41033925686591</v>
      </c>
      <c r="AF351" s="189">
        <f>AF350/$AH$350*100</f>
        <v>20.516962843295637</v>
      </c>
      <c r="AG351" s="189">
        <f>AG350/$AH$350*100</f>
        <v>23.101777059773827</v>
      </c>
      <c r="AH351" s="189">
        <f>AH350/$AH$350*100</f>
        <v>100</v>
      </c>
    </row>
    <row r="352" spans="1:37" ht="19.5" thickBot="1" x14ac:dyDescent="0.25">
      <c r="A352" s="1" t="s">
        <v>19</v>
      </c>
      <c r="S352" s="1" t="s">
        <v>37</v>
      </c>
    </row>
    <row r="353" spans="1:37" ht="14.25" thickBot="1" x14ac:dyDescent="0.2">
      <c r="A353" s="3" t="s">
        <v>0</v>
      </c>
      <c r="B353" s="371" t="s">
        <v>17</v>
      </c>
      <c r="C353" s="372"/>
      <c r="D353" s="372"/>
      <c r="E353" s="372"/>
      <c r="F353" s="373"/>
      <c r="G353" s="371" t="s">
        <v>18</v>
      </c>
      <c r="H353" s="372"/>
      <c r="I353" s="372"/>
      <c r="J353" s="372"/>
      <c r="K353" s="373"/>
      <c r="L353" s="371" t="s">
        <v>38</v>
      </c>
      <c r="M353" s="372"/>
      <c r="N353" s="372"/>
      <c r="O353" s="372"/>
      <c r="P353" s="373"/>
      <c r="Q353" s="360" t="s">
        <v>1</v>
      </c>
      <c r="S353" s="3" t="s">
        <v>0</v>
      </c>
      <c r="T353" s="371" t="s">
        <v>17</v>
      </c>
      <c r="U353" s="372"/>
      <c r="V353" s="372"/>
      <c r="W353" s="372"/>
      <c r="X353" s="373"/>
      <c r="Y353" s="371" t="s">
        <v>18</v>
      </c>
      <c r="Z353" s="372"/>
      <c r="AA353" s="372"/>
      <c r="AB353" s="372"/>
      <c r="AC353" s="373"/>
      <c r="AD353" s="371" t="s">
        <v>38</v>
      </c>
      <c r="AE353" s="372"/>
      <c r="AF353" s="372"/>
      <c r="AG353" s="372"/>
      <c r="AH353" s="373"/>
      <c r="AI353" s="360" t="s">
        <v>1</v>
      </c>
    </row>
    <row r="354" spans="1:37" ht="14.25" thickBot="1" x14ac:dyDescent="0.2">
      <c r="A354" s="5" t="s">
        <v>2</v>
      </c>
      <c r="B354" s="150" t="s">
        <v>3</v>
      </c>
      <c r="C354" s="151" t="s">
        <v>4</v>
      </c>
      <c r="D354" s="151" t="s">
        <v>5</v>
      </c>
      <c r="E354" s="152" t="s">
        <v>6</v>
      </c>
      <c r="F354" s="5" t="s">
        <v>7</v>
      </c>
      <c r="G354" s="6" t="s">
        <v>3</v>
      </c>
      <c r="H354" s="7" t="s">
        <v>4</v>
      </c>
      <c r="I354" s="7" t="s">
        <v>5</v>
      </c>
      <c r="J354" s="8" t="s">
        <v>6</v>
      </c>
      <c r="K354" s="5" t="s">
        <v>7</v>
      </c>
      <c r="L354" s="6" t="s">
        <v>3</v>
      </c>
      <c r="M354" s="7" t="s">
        <v>4</v>
      </c>
      <c r="N354" s="7" t="s">
        <v>5</v>
      </c>
      <c r="O354" s="8" t="s">
        <v>6</v>
      </c>
      <c r="P354" s="5" t="s">
        <v>7</v>
      </c>
      <c r="Q354" s="375"/>
      <c r="S354" s="5" t="s">
        <v>2</v>
      </c>
      <c r="T354" s="150" t="s">
        <v>3</v>
      </c>
      <c r="U354" s="151" t="s">
        <v>4</v>
      </c>
      <c r="V354" s="151" t="s">
        <v>5</v>
      </c>
      <c r="W354" s="152" t="s">
        <v>6</v>
      </c>
      <c r="X354" s="5" t="s">
        <v>7</v>
      </c>
      <c r="Y354" s="6" t="s">
        <v>3</v>
      </c>
      <c r="Z354" s="7" t="s">
        <v>4</v>
      </c>
      <c r="AA354" s="7" t="s">
        <v>5</v>
      </c>
      <c r="AB354" s="8" t="s">
        <v>6</v>
      </c>
      <c r="AC354" s="5" t="s">
        <v>7</v>
      </c>
      <c r="AD354" s="6" t="s">
        <v>3</v>
      </c>
      <c r="AE354" s="7" t="s">
        <v>4</v>
      </c>
      <c r="AF354" s="7" t="s">
        <v>5</v>
      </c>
      <c r="AG354" s="8" t="s">
        <v>6</v>
      </c>
      <c r="AH354" s="5" t="s">
        <v>7</v>
      </c>
      <c r="AI354" s="375"/>
    </row>
    <row r="355" spans="1:37" ht="14.25" x14ac:dyDescent="0.15">
      <c r="A355" s="68" t="s">
        <v>30</v>
      </c>
      <c r="B355" s="144">
        <f>B349</f>
        <v>4</v>
      </c>
      <c r="C355" s="154">
        <f>C349</f>
        <v>0</v>
      </c>
      <c r="D355" s="154">
        <f>D349</f>
        <v>2</v>
      </c>
      <c r="E355" s="155">
        <f>E349</f>
        <v>4</v>
      </c>
      <c r="F355" s="149">
        <f>SUM(B355:E355)</f>
        <v>10</v>
      </c>
      <c r="G355" s="144">
        <f>G349</f>
        <v>0</v>
      </c>
      <c r="H355" s="154">
        <f>H349</f>
        <v>1</v>
      </c>
      <c r="I355" s="154">
        <f>I349</f>
        <v>4</v>
      </c>
      <c r="J355" s="155">
        <f>J349</f>
        <v>3</v>
      </c>
      <c r="K355" s="149">
        <f>SUM(G355:J355)</f>
        <v>8</v>
      </c>
      <c r="L355" s="144">
        <f>L349</f>
        <v>3</v>
      </c>
      <c r="M355" s="154">
        <f>M349</f>
        <v>4</v>
      </c>
      <c r="N355" s="154">
        <f>N349</f>
        <v>3</v>
      </c>
      <c r="O355" s="155">
        <f>O349</f>
        <v>3</v>
      </c>
      <c r="P355" s="149">
        <f>SUM(L355:O355)</f>
        <v>13</v>
      </c>
      <c r="Q355" s="72">
        <f t="shared" ref="Q355:Q376" si="93">K355+P355+F355</f>
        <v>31</v>
      </c>
      <c r="S355" s="68" t="s">
        <v>30</v>
      </c>
      <c r="T355" s="144">
        <f>T349</f>
        <v>0</v>
      </c>
      <c r="U355" s="154">
        <f>U349</f>
        <v>0</v>
      </c>
      <c r="V355" s="154">
        <f>V349</f>
        <v>0</v>
      </c>
      <c r="W355" s="155">
        <f>W349</f>
        <v>0</v>
      </c>
      <c r="X355" s="149">
        <f t="shared" ref="X355:X360" si="94">SUM(T355:W355)</f>
        <v>0</v>
      </c>
      <c r="Y355" s="144">
        <f>Y349</f>
        <v>0</v>
      </c>
      <c r="Z355" s="154">
        <f>Z349</f>
        <v>0</v>
      </c>
      <c r="AA355" s="154">
        <f>AA349</f>
        <v>14</v>
      </c>
      <c r="AB355" s="155">
        <f>AB349</f>
        <v>15</v>
      </c>
      <c r="AC355" s="149">
        <f>SUM(Y355:AB355)</f>
        <v>29</v>
      </c>
      <c r="AD355" s="144">
        <f>AD349</f>
        <v>66</v>
      </c>
      <c r="AE355" s="154">
        <f>AE349</f>
        <v>16</v>
      </c>
      <c r="AF355" s="154">
        <f>AF349</f>
        <v>68</v>
      </c>
      <c r="AG355" s="155">
        <f>AG349</f>
        <v>37</v>
      </c>
      <c r="AH355" s="149">
        <f>SUM(AD355:AG355)</f>
        <v>187</v>
      </c>
      <c r="AI355" s="72">
        <f t="shared" ref="AI355:AI385" si="95">AC355+AH355+X355</f>
        <v>216</v>
      </c>
    </row>
    <row r="356" spans="1:37" x14ac:dyDescent="0.15">
      <c r="A356" s="148" t="s">
        <v>72</v>
      </c>
      <c r="B356" s="54"/>
      <c r="C356" s="153"/>
      <c r="D356" s="153"/>
      <c r="E356" s="156">
        <v>1</v>
      </c>
      <c r="F356" s="49">
        <f t="shared" ref="F356:F376" si="96">SUM(B356:E356)</f>
        <v>1</v>
      </c>
      <c r="G356" s="54"/>
      <c r="H356" s="55"/>
      <c r="I356" s="55">
        <v>2</v>
      </c>
      <c r="J356" s="55"/>
      <c r="K356" s="49">
        <f t="shared" ref="K356:K376" si="97">SUM(G356:J356)</f>
        <v>2</v>
      </c>
      <c r="L356" s="54"/>
      <c r="M356" s="55"/>
      <c r="N356" s="55"/>
      <c r="O356" s="55"/>
      <c r="P356" s="49">
        <f>SUM(L356:O356)</f>
        <v>0</v>
      </c>
      <c r="Q356" s="49">
        <f t="shared" si="93"/>
        <v>3</v>
      </c>
      <c r="R356" s="50">
        <v>43700</v>
      </c>
      <c r="S356" s="148" t="s">
        <v>61</v>
      </c>
      <c r="T356" s="54"/>
      <c r="U356" s="153"/>
      <c r="V356" s="153"/>
      <c r="W356" s="156"/>
      <c r="X356" s="49">
        <f t="shared" si="94"/>
        <v>0</v>
      </c>
      <c r="Y356" s="54"/>
      <c r="Z356" s="55"/>
      <c r="AA356" s="55"/>
      <c r="AB356" s="55"/>
      <c r="AC356" s="49">
        <f t="shared" ref="AC356:AC385" si="98">SUM(Y356:AB356)</f>
        <v>0</v>
      </c>
      <c r="AD356" s="54"/>
      <c r="AE356" s="55">
        <v>1</v>
      </c>
      <c r="AF356" s="55"/>
      <c r="AG356" s="55"/>
      <c r="AH356" s="49">
        <f t="shared" ref="AH356:AH385" si="99">SUM(AD356:AG356)</f>
        <v>1</v>
      </c>
      <c r="AI356" s="49">
        <f t="shared" si="95"/>
        <v>1</v>
      </c>
      <c r="AJ356" s="14">
        <v>43743</v>
      </c>
    </row>
    <row r="357" spans="1:37" x14ac:dyDescent="0.15">
      <c r="A357" s="148" t="s">
        <v>40</v>
      </c>
      <c r="B357" s="54"/>
      <c r="C357" s="153"/>
      <c r="D357" s="153"/>
      <c r="E357" s="156"/>
      <c r="F357" s="49">
        <f t="shared" si="96"/>
        <v>0</v>
      </c>
      <c r="G357" s="54"/>
      <c r="H357" s="55"/>
      <c r="I357" s="55"/>
      <c r="J357" s="55"/>
      <c r="K357" s="49">
        <f t="shared" si="97"/>
        <v>0</v>
      </c>
      <c r="L357" s="54">
        <v>3</v>
      </c>
      <c r="M357" s="55"/>
      <c r="N357" s="55"/>
      <c r="O357" s="55"/>
      <c r="P357" s="49">
        <f>SUM(L357:O357)</f>
        <v>3</v>
      </c>
      <c r="Q357" s="49">
        <f t="shared" si="93"/>
        <v>3</v>
      </c>
      <c r="R357" s="50">
        <v>43711</v>
      </c>
      <c r="S357" s="148" t="s">
        <v>40</v>
      </c>
      <c r="T357" s="54"/>
      <c r="U357" s="153"/>
      <c r="V357" s="153"/>
      <c r="W357" s="156"/>
      <c r="X357" s="49">
        <f t="shared" si="94"/>
        <v>0</v>
      </c>
      <c r="Y357" s="54"/>
      <c r="Z357" s="55"/>
      <c r="AA357" s="55"/>
      <c r="AB357" s="55"/>
      <c r="AC357" s="49">
        <f t="shared" si="98"/>
        <v>0</v>
      </c>
      <c r="AD357" s="54"/>
      <c r="AE357" s="55"/>
      <c r="AF357" s="55"/>
      <c r="AG357" s="55"/>
      <c r="AH357" s="49">
        <f t="shared" si="99"/>
        <v>0</v>
      </c>
      <c r="AI357" s="49">
        <f t="shared" si="95"/>
        <v>0</v>
      </c>
      <c r="AJ357" s="50"/>
    </row>
    <row r="358" spans="1:37" x14ac:dyDescent="0.15">
      <c r="A358" s="148" t="s">
        <v>70</v>
      </c>
      <c r="B358" s="54"/>
      <c r="C358" s="153"/>
      <c r="D358" s="153"/>
      <c r="E358" s="156"/>
      <c r="F358" s="49">
        <f t="shared" si="96"/>
        <v>0</v>
      </c>
      <c r="G358" s="54"/>
      <c r="H358" s="55"/>
      <c r="I358" s="55"/>
      <c r="J358" s="55"/>
      <c r="K358" s="49">
        <f t="shared" si="97"/>
        <v>0</v>
      </c>
      <c r="L358" s="54">
        <v>1</v>
      </c>
      <c r="M358" s="55"/>
      <c r="N358" s="55"/>
      <c r="O358" s="55"/>
      <c r="P358" s="49">
        <f>SUM(L358:O358)</f>
        <v>1</v>
      </c>
      <c r="Q358" s="49">
        <f t="shared" si="93"/>
        <v>1</v>
      </c>
      <c r="R358" s="50">
        <v>43712</v>
      </c>
      <c r="S358" s="148" t="s">
        <v>41</v>
      </c>
      <c r="T358" s="54"/>
      <c r="U358" s="153"/>
      <c r="V358" s="153"/>
      <c r="W358" s="156"/>
      <c r="X358" s="49">
        <f t="shared" si="94"/>
        <v>0</v>
      </c>
      <c r="Y358" s="54"/>
      <c r="Z358" s="55"/>
      <c r="AA358" s="55"/>
      <c r="AB358" s="55"/>
      <c r="AC358" s="49">
        <f t="shared" si="98"/>
        <v>0</v>
      </c>
      <c r="AD358" s="54"/>
      <c r="AE358" s="55"/>
      <c r="AF358" s="55"/>
      <c r="AG358" s="55"/>
      <c r="AH358" s="49">
        <f t="shared" si="99"/>
        <v>0</v>
      </c>
      <c r="AI358" s="49">
        <f t="shared" si="95"/>
        <v>0</v>
      </c>
      <c r="AJ358" s="50"/>
    </row>
    <row r="359" spans="1:37" ht="14.25" thickBot="1" x14ac:dyDescent="0.2">
      <c r="A359" s="148" t="s">
        <v>29</v>
      </c>
      <c r="B359" s="157">
        <v>1</v>
      </c>
      <c r="C359" s="158"/>
      <c r="D359" s="158"/>
      <c r="E359" s="159"/>
      <c r="F359" s="49">
        <f t="shared" si="96"/>
        <v>1</v>
      </c>
      <c r="G359" s="54"/>
      <c r="H359" s="55"/>
      <c r="I359" s="55">
        <v>1</v>
      </c>
      <c r="J359" s="55"/>
      <c r="K359" s="49">
        <f t="shared" si="97"/>
        <v>1</v>
      </c>
      <c r="L359" s="54">
        <v>1</v>
      </c>
      <c r="M359" s="55">
        <v>1</v>
      </c>
      <c r="N359" s="55"/>
      <c r="O359" s="55">
        <v>1</v>
      </c>
      <c r="P359" s="49">
        <f t="shared" ref="P359:P376" si="100">SUM(L359:O359)</f>
        <v>3</v>
      </c>
      <c r="Q359" s="78">
        <f t="shared" si="93"/>
        <v>5</v>
      </c>
      <c r="R359" s="50">
        <v>43713</v>
      </c>
      <c r="S359" s="148" t="s">
        <v>42</v>
      </c>
      <c r="T359" s="157"/>
      <c r="U359" s="158"/>
      <c r="V359" s="158"/>
      <c r="W359" s="159"/>
      <c r="X359" s="49">
        <f t="shared" si="94"/>
        <v>0</v>
      </c>
      <c r="Y359" s="54"/>
      <c r="Z359" s="55"/>
      <c r="AA359" s="55"/>
      <c r="AB359" s="55"/>
      <c r="AC359" s="49">
        <f t="shared" si="98"/>
        <v>0</v>
      </c>
      <c r="AD359" s="54"/>
      <c r="AE359" s="55"/>
      <c r="AF359" s="55"/>
      <c r="AG359" s="55"/>
      <c r="AH359" s="49">
        <f t="shared" si="99"/>
        <v>0</v>
      </c>
      <c r="AI359" s="78">
        <f t="shared" si="95"/>
        <v>0</v>
      </c>
      <c r="AJ359" s="14"/>
    </row>
    <row r="360" spans="1:37" ht="15" thickBot="1" x14ac:dyDescent="0.2">
      <c r="A360" s="4" t="s">
        <v>14</v>
      </c>
      <c r="B360" s="23">
        <f>SUM(B355:B359)</f>
        <v>5</v>
      </c>
      <c r="C360" s="24">
        <f>SUM(C355:C359)</f>
        <v>0</v>
      </c>
      <c r="D360" s="24">
        <f>SUM(D355:D359)</f>
        <v>2</v>
      </c>
      <c r="E360" s="24">
        <f>SUM(E355:E359)</f>
        <v>5</v>
      </c>
      <c r="F360" s="25">
        <f t="shared" si="96"/>
        <v>12</v>
      </c>
      <c r="G360" s="23">
        <f>SUM(G355:G359)</f>
        <v>0</v>
      </c>
      <c r="H360" s="24">
        <f>SUM(H355:H359)</f>
        <v>1</v>
      </c>
      <c r="I360" s="24">
        <f>SUM(I355:I359)</f>
        <v>7</v>
      </c>
      <c r="J360" s="24">
        <f>SUM(J355:J359)</f>
        <v>3</v>
      </c>
      <c r="K360" s="25">
        <f t="shared" si="97"/>
        <v>11</v>
      </c>
      <c r="L360" s="23">
        <f>SUM(L355:L359)</f>
        <v>8</v>
      </c>
      <c r="M360" s="24">
        <f>SUM(M355:M359)</f>
        <v>5</v>
      </c>
      <c r="N360" s="24">
        <f>SUM(N355:N359)</f>
        <v>3</v>
      </c>
      <c r="O360" s="24">
        <f>SUM(O355:O359)</f>
        <v>4</v>
      </c>
      <c r="P360" s="25">
        <f t="shared" si="100"/>
        <v>20</v>
      </c>
      <c r="Q360" s="77">
        <f t="shared" si="93"/>
        <v>43</v>
      </c>
      <c r="S360" s="4" t="s">
        <v>14</v>
      </c>
      <c r="T360" s="23">
        <f>SUM(T355:T359)</f>
        <v>0</v>
      </c>
      <c r="U360" s="24">
        <f>SUM(U355:U359)</f>
        <v>0</v>
      </c>
      <c r="V360" s="24">
        <f>SUM(V355:V359)</f>
        <v>0</v>
      </c>
      <c r="W360" s="24">
        <f>SUM(W355:W359)</f>
        <v>0</v>
      </c>
      <c r="X360" s="25">
        <f t="shared" si="94"/>
        <v>0</v>
      </c>
      <c r="Y360" s="23">
        <f>SUM(Y355:Y359)</f>
        <v>0</v>
      </c>
      <c r="Z360" s="24">
        <f>SUM(Z355:Z359)</f>
        <v>0</v>
      </c>
      <c r="AA360" s="24">
        <f>SUM(AA355:AA359)</f>
        <v>14</v>
      </c>
      <c r="AB360" s="24">
        <f>SUM(AB355:AB359)</f>
        <v>15</v>
      </c>
      <c r="AC360" s="25">
        <f t="shared" si="98"/>
        <v>29</v>
      </c>
      <c r="AD360" s="23">
        <f>SUM(AD355:AD359)</f>
        <v>66</v>
      </c>
      <c r="AE360" s="24">
        <f>SUM(AE355:AE359)</f>
        <v>17</v>
      </c>
      <c r="AF360" s="24">
        <f>SUM(AF355:AF359)</f>
        <v>68</v>
      </c>
      <c r="AG360" s="24">
        <f>SUM(AG355:AG359)</f>
        <v>37</v>
      </c>
      <c r="AH360" s="25">
        <f t="shared" si="99"/>
        <v>188</v>
      </c>
      <c r="AI360" s="77">
        <f t="shared" si="95"/>
        <v>217</v>
      </c>
    </row>
    <row r="361" spans="1:37" x14ac:dyDescent="0.15">
      <c r="A361" s="53" t="s">
        <v>71</v>
      </c>
      <c r="B361" s="46"/>
      <c r="C361" s="47"/>
      <c r="D361" s="47"/>
      <c r="E361" s="47"/>
      <c r="F361" s="48">
        <f t="shared" si="96"/>
        <v>0</v>
      </c>
      <c r="G361" s="46"/>
      <c r="H361" s="47"/>
      <c r="I361" s="47"/>
      <c r="J361" s="47"/>
      <c r="K361" s="48">
        <f t="shared" si="97"/>
        <v>0</v>
      </c>
      <c r="L361" s="46"/>
      <c r="M361" s="47"/>
      <c r="N361" s="47">
        <v>1</v>
      </c>
      <c r="O361" s="47"/>
      <c r="P361" s="48">
        <f t="shared" si="100"/>
        <v>1</v>
      </c>
      <c r="Q361" s="49">
        <f t="shared" si="93"/>
        <v>1</v>
      </c>
      <c r="R361" s="50">
        <v>43699</v>
      </c>
      <c r="S361" s="53" t="s">
        <v>21</v>
      </c>
      <c r="T361" s="46"/>
      <c r="U361" s="47"/>
      <c r="V361" s="47"/>
      <c r="W361" s="47"/>
      <c r="X361" s="48">
        <f t="shared" ref="X361:X385" si="101">SUM(T361:W361)</f>
        <v>0</v>
      </c>
      <c r="Y361" s="46"/>
      <c r="Z361" s="47"/>
      <c r="AA361" s="47"/>
      <c r="AB361" s="47"/>
      <c r="AC361" s="48">
        <f t="shared" si="98"/>
        <v>0</v>
      </c>
      <c r="AD361" s="46">
        <v>3</v>
      </c>
      <c r="AE361" s="47"/>
      <c r="AF361" s="47"/>
      <c r="AG361" s="47"/>
      <c r="AH361" s="48">
        <f t="shared" si="99"/>
        <v>3</v>
      </c>
      <c r="AI361" s="49">
        <f t="shared" si="95"/>
        <v>3</v>
      </c>
      <c r="AJ361" s="50">
        <v>43711</v>
      </c>
      <c r="AK361" s="74"/>
    </row>
    <row r="362" spans="1:37" x14ac:dyDescent="0.15">
      <c r="A362" s="53" t="s">
        <v>51</v>
      </c>
      <c r="B362" s="54"/>
      <c r="C362" s="55"/>
      <c r="D362" s="55"/>
      <c r="E362" s="55"/>
      <c r="F362" s="56">
        <f t="shared" si="96"/>
        <v>0</v>
      </c>
      <c r="G362" s="54"/>
      <c r="H362" s="55"/>
      <c r="I362" s="55"/>
      <c r="J362" s="55"/>
      <c r="K362" s="56">
        <f t="shared" si="97"/>
        <v>0</v>
      </c>
      <c r="L362" s="54"/>
      <c r="M362" s="55">
        <v>1</v>
      </c>
      <c r="N362" s="55"/>
      <c r="O362" s="55"/>
      <c r="P362" s="56">
        <f t="shared" si="100"/>
        <v>1</v>
      </c>
      <c r="Q362" s="49">
        <f t="shared" si="93"/>
        <v>1</v>
      </c>
      <c r="R362" s="14">
        <v>43698</v>
      </c>
      <c r="S362" s="53" t="s">
        <v>52</v>
      </c>
      <c r="T362" s="54"/>
      <c r="U362" s="55"/>
      <c r="V362" s="55"/>
      <c r="W362" s="55"/>
      <c r="X362" s="56">
        <f t="shared" si="101"/>
        <v>0</v>
      </c>
      <c r="Y362" s="54"/>
      <c r="Z362" s="55"/>
      <c r="AA362" s="55"/>
      <c r="AB362" s="55"/>
      <c r="AC362" s="56">
        <f t="shared" si="98"/>
        <v>0</v>
      </c>
      <c r="AD362" s="54"/>
      <c r="AE362" s="55">
        <v>5</v>
      </c>
      <c r="AF362" s="55"/>
      <c r="AG362" s="55"/>
      <c r="AH362" s="56">
        <f t="shared" si="99"/>
        <v>5</v>
      </c>
      <c r="AI362" s="49">
        <f t="shared" si="95"/>
        <v>5</v>
      </c>
      <c r="AJ362" s="50">
        <v>43713</v>
      </c>
    </row>
    <row r="363" spans="1:37" x14ac:dyDescent="0.15">
      <c r="A363" s="53" t="s">
        <v>51</v>
      </c>
      <c r="B363" s="54"/>
      <c r="C363" s="55"/>
      <c r="D363" s="55"/>
      <c r="E363" s="55"/>
      <c r="F363" s="56">
        <f t="shared" si="96"/>
        <v>0</v>
      </c>
      <c r="G363" s="54"/>
      <c r="H363" s="55">
        <v>1</v>
      </c>
      <c r="I363" s="55"/>
      <c r="J363" s="55"/>
      <c r="K363" s="56">
        <f t="shared" si="97"/>
        <v>1</v>
      </c>
      <c r="L363" s="54"/>
      <c r="M363" s="55"/>
      <c r="N363" s="55"/>
      <c r="O363" s="55"/>
      <c r="P363" s="56">
        <f t="shared" si="100"/>
        <v>0</v>
      </c>
      <c r="Q363" s="49">
        <f t="shared" si="93"/>
        <v>1</v>
      </c>
      <c r="R363" s="50">
        <v>43699</v>
      </c>
      <c r="S363" s="53" t="s">
        <v>52</v>
      </c>
      <c r="T363" s="54"/>
      <c r="U363" s="55"/>
      <c r="V363" s="55"/>
      <c r="W363" s="55"/>
      <c r="X363" s="56">
        <f t="shared" si="101"/>
        <v>0</v>
      </c>
      <c r="Y363" s="54"/>
      <c r="Z363" s="55"/>
      <c r="AA363" s="55">
        <v>5</v>
      </c>
      <c r="AB363" s="55"/>
      <c r="AC363" s="56">
        <f t="shared" si="98"/>
        <v>5</v>
      </c>
      <c r="AD363" s="54"/>
      <c r="AE363" s="55"/>
      <c r="AF363" s="55"/>
      <c r="AG363" s="55"/>
      <c r="AH363" s="56">
        <f t="shared" si="99"/>
        <v>0</v>
      </c>
      <c r="AI363" s="49">
        <f t="shared" si="95"/>
        <v>5</v>
      </c>
      <c r="AJ363" s="50">
        <v>43717</v>
      </c>
    </row>
    <row r="364" spans="1:37" x14ac:dyDescent="0.15">
      <c r="A364" s="53" t="s">
        <v>51</v>
      </c>
      <c r="B364" s="54"/>
      <c r="C364" s="55"/>
      <c r="D364" s="55">
        <v>1</v>
      </c>
      <c r="E364" s="55"/>
      <c r="F364" s="56">
        <f t="shared" si="96"/>
        <v>1</v>
      </c>
      <c r="G364" s="54"/>
      <c r="H364" s="55"/>
      <c r="I364" s="55"/>
      <c r="J364" s="55"/>
      <c r="K364" s="56">
        <f t="shared" si="97"/>
        <v>0</v>
      </c>
      <c r="L364" s="54"/>
      <c r="M364" s="55"/>
      <c r="N364" s="55"/>
      <c r="O364" s="55"/>
      <c r="P364" s="56">
        <f t="shared" si="100"/>
        <v>0</v>
      </c>
      <c r="Q364" s="49">
        <f t="shared" si="93"/>
        <v>1</v>
      </c>
      <c r="R364" s="50">
        <v>43700</v>
      </c>
      <c r="S364" s="53" t="s">
        <v>52</v>
      </c>
      <c r="T364" s="54"/>
      <c r="U364" s="55"/>
      <c r="V364" s="55"/>
      <c r="W364" s="55"/>
      <c r="X364" s="56">
        <f t="shared" si="101"/>
        <v>0</v>
      </c>
      <c r="Y364" s="54"/>
      <c r="Z364" s="55"/>
      <c r="AA364" s="55"/>
      <c r="AB364" s="55">
        <v>3</v>
      </c>
      <c r="AC364" s="56">
        <f t="shared" si="98"/>
        <v>3</v>
      </c>
      <c r="AD364" s="54"/>
      <c r="AE364" s="55"/>
      <c r="AF364" s="55"/>
      <c r="AG364" s="55"/>
      <c r="AH364" s="56">
        <f t="shared" si="99"/>
        <v>0</v>
      </c>
      <c r="AI364" s="49">
        <f t="shared" si="95"/>
        <v>3</v>
      </c>
      <c r="AJ364" s="50">
        <v>43720</v>
      </c>
    </row>
    <row r="365" spans="1:37" x14ac:dyDescent="0.15">
      <c r="A365" s="53" t="s">
        <v>51</v>
      </c>
      <c r="B365" s="54">
        <v>1</v>
      </c>
      <c r="C365" s="55"/>
      <c r="D365" s="55"/>
      <c r="E365" s="55"/>
      <c r="F365" s="56">
        <f t="shared" si="96"/>
        <v>1</v>
      </c>
      <c r="G365" s="54"/>
      <c r="H365" s="55"/>
      <c r="I365" s="55"/>
      <c r="J365" s="55"/>
      <c r="K365" s="56">
        <f t="shared" si="97"/>
        <v>0</v>
      </c>
      <c r="L365" s="54">
        <v>1</v>
      </c>
      <c r="M365" s="55">
        <v>1</v>
      </c>
      <c r="N365" s="55"/>
      <c r="O365" s="55"/>
      <c r="P365" s="56">
        <f t="shared" si="100"/>
        <v>2</v>
      </c>
      <c r="Q365" s="49">
        <f t="shared" si="93"/>
        <v>3</v>
      </c>
      <c r="R365" s="50">
        <v>43703</v>
      </c>
      <c r="S365" s="53" t="s">
        <v>52</v>
      </c>
      <c r="T365" s="54"/>
      <c r="U365" s="55"/>
      <c r="V365" s="55"/>
      <c r="W365" s="55"/>
      <c r="X365" s="56">
        <f t="shared" si="101"/>
        <v>0</v>
      </c>
      <c r="Y365" s="54"/>
      <c r="Z365" s="55"/>
      <c r="AA365" s="55"/>
      <c r="AB365" s="55"/>
      <c r="AC365" s="56">
        <f t="shared" si="98"/>
        <v>0</v>
      </c>
      <c r="AD365" s="54"/>
      <c r="AE365" s="55">
        <v>3</v>
      </c>
      <c r="AF365" s="55"/>
      <c r="AG365" s="55"/>
      <c r="AH365" s="56">
        <f t="shared" si="99"/>
        <v>3</v>
      </c>
      <c r="AI365" s="49">
        <f t="shared" si="95"/>
        <v>3</v>
      </c>
      <c r="AJ365" s="50">
        <v>43734</v>
      </c>
    </row>
    <row r="366" spans="1:37" x14ac:dyDescent="0.15">
      <c r="A366" s="53" t="s">
        <v>51</v>
      </c>
      <c r="B366" s="54"/>
      <c r="C366" s="55"/>
      <c r="D366" s="55"/>
      <c r="E366" s="55"/>
      <c r="F366" s="56">
        <f t="shared" si="96"/>
        <v>0</v>
      </c>
      <c r="G366" s="54"/>
      <c r="H366" s="55"/>
      <c r="I366" s="55"/>
      <c r="J366" s="55">
        <v>1</v>
      </c>
      <c r="K366" s="56">
        <f t="shared" si="97"/>
        <v>1</v>
      </c>
      <c r="L366" s="54"/>
      <c r="M366" s="55"/>
      <c r="N366" s="55"/>
      <c r="O366" s="55"/>
      <c r="P366" s="56">
        <f t="shared" si="100"/>
        <v>0</v>
      </c>
      <c r="Q366" s="49">
        <f t="shared" si="93"/>
        <v>1</v>
      </c>
      <c r="R366" s="50">
        <v>43704</v>
      </c>
      <c r="S366" s="53" t="s">
        <v>52</v>
      </c>
      <c r="T366" s="54"/>
      <c r="U366" s="55"/>
      <c r="V366" s="55"/>
      <c r="W366" s="55"/>
      <c r="X366" s="56">
        <f t="shared" si="101"/>
        <v>0</v>
      </c>
      <c r="Y366" s="54"/>
      <c r="Z366" s="55"/>
      <c r="AA366" s="55"/>
      <c r="AB366" s="55"/>
      <c r="AC366" s="56">
        <f t="shared" si="98"/>
        <v>0</v>
      </c>
      <c r="AD366" s="54">
        <v>3</v>
      </c>
      <c r="AE366" s="55"/>
      <c r="AF366" s="55"/>
      <c r="AG366" s="55"/>
      <c r="AH366" s="56">
        <f t="shared" si="99"/>
        <v>3</v>
      </c>
      <c r="AI366" s="49">
        <f t="shared" si="95"/>
        <v>3</v>
      </c>
      <c r="AJ366" s="50">
        <v>43734</v>
      </c>
    </row>
    <row r="367" spans="1:37" x14ac:dyDescent="0.15">
      <c r="A367" s="53" t="s">
        <v>51</v>
      </c>
      <c r="B367" s="54"/>
      <c r="C367" s="55"/>
      <c r="D367" s="55"/>
      <c r="E367" s="55">
        <v>1</v>
      </c>
      <c r="F367" s="56">
        <f t="shared" si="96"/>
        <v>1</v>
      </c>
      <c r="G367" s="54"/>
      <c r="H367" s="55"/>
      <c r="I367" s="55"/>
      <c r="J367" s="55"/>
      <c r="K367" s="56">
        <f t="shared" si="97"/>
        <v>0</v>
      </c>
      <c r="L367" s="54"/>
      <c r="M367" s="55"/>
      <c r="N367" s="55"/>
      <c r="O367" s="55"/>
      <c r="P367" s="56">
        <f t="shared" si="100"/>
        <v>0</v>
      </c>
      <c r="Q367" s="49">
        <f t="shared" si="93"/>
        <v>1</v>
      </c>
      <c r="R367" s="14">
        <v>43705</v>
      </c>
      <c r="S367" s="53" t="s">
        <v>21</v>
      </c>
      <c r="T367" s="54"/>
      <c r="U367" s="55"/>
      <c r="V367" s="55"/>
      <c r="W367" s="55"/>
      <c r="X367" s="56">
        <f t="shared" si="101"/>
        <v>0</v>
      </c>
      <c r="Y367" s="54"/>
      <c r="Z367" s="55"/>
      <c r="AA367" s="55"/>
      <c r="AB367" s="55"/>
      <c r="AC367" s="56">
        <f t="shared" si="98"/>
        <v>0</v>
      </c>
      <c r="AD367" s="54">
        <v>3</v>
      </c>
      <c r="AE367" s="55"/>
      <c r="AF367" s="55">
        <v>3</v>
      </c>
      <c r="AG367" s="55"/>
      <c r="AH367" s="56">
        <f t="shared" si="99"/>
        <v>6</v>
      </c>
      <c r="AI367" s="49">
        <f t="shared" si="95"/>
        <v>6</v>
      </c>
      <c r="AJ367" s="50">
        <v>43729</v>
      </c>
    </row>
    <row r="368" spans="1:37" x14ac:dyDescent="0.15">
      <c r="A368" s="53" t="s">
        <v>51</v>
      </c>
      <c r="B368" s="54"/>
      <c r="C368" s="55"/>
      <c r="D368" s="55"/>
      <c r="E368" s="55"/>
      <c r="F368" s="56">
        <f t="shared" si="96"/>
        <v>0</v>
      </c>
      <c r="G368" s="54"/>
      <c r="H368" s="55"/>
      <c r="I368" s="55"/>
      <c r="J368" s="55"/>
      <c r="K368" s="56">
        <f t="shared" si="97"/>
        <v>0</v>
      </c>
      <c r="L368" s="54">
        <v>1</v>
      </c>
      <c r="M368" s="55">
        <v>1</v>
      </c>
      <c r="N368" s="55"/>
      <c r="O368" s="55"/>
      <c r="P368" s="56">
        <f t="shared" si="100"/>
        <v>2</v>
      </c>
      <c r="Q368" s="49">
        <f t="shared" si="93"/>
        <v>2</v>
      </c>
      <c r="R368" s="50">
        <v>43706</v>
      </c>
      <c r="S368" s="53" t="s">
        <v>55</v>
      </c>
      <c r="T368" s="54"/>
      <c r="U368" s="55"/>
      <c r="V368" s="55"/>
      <c r="W368" s="55"/>
      <c r="X368" s="56">
        <f t="shared" si="101"/>
        <v>0</v>
      </c>
      <c r="Y368" s="54"/>
      <c r="Z368" s="55"/>
      <c r="AA368" s="55"/>
      <c r="AB368" s="55"/>
      <c r="AC368" s="56">
        <f t="shared" si="98"/>
        <v>0</v>
      </c>
      <c r="AD368" s="54"/>
      <c r="AE368" s="55">
        <v>3</v>
      </c>
      <c r="AF368" s="55"/>
      <c r="AG368" s="55"/>
      <c r="AH368" s="56">
        <f t="shared" si="99"/>
        <v>3</v>
      </c>
      <c r="AI368" s="49">
        <f t="shared" si="95"/>
        <v>3</v>
      </c>
      <c r="AJ368" s="50">
        <v>43734</v>
      </c>
    </row>
    <row r="369" spans="1:36" x14ac:dyDescent="0.15">
      <c r="A369" s="53" t="s">
        <v>51</v>
      </c>
      <c r="B369" s="17">
        <v>1</v>
      </c>
      <c r="C369" s="18"/>
      <c r="D369" s="18"/>
      <c r="E369" s="18"/>
      <c r="F369" s="30">
        <f t="shared" si="96"/>
        <v>1</v>
      </c>
      <c r="G369" s="17"/>
      <c r="H369" s="18"/>
      <c r="I369" s="18"/>
      <c r="J369" s="18"/>
      <c r="K369" s="30">
        <f t="shared" si="97"/>
        <v>0</v>
      </c>
      <c r="L369" s="17">
        <v>1</v>
      </c>
      <c r="M369" s="18"/>
      <c r="N369" s="18"/>
      <c r="O369" s="18"/>
      <c r="P369" s="30">
        <f t="shared" si="100"/>
        <v>1</v>
      </c>
      <c r="Q369" s="49">
        <f t="shared" si="93"/>
        <v>2</v>
      </c>
      <c r="R369" s="50">
        <v>43707</v>
      </c>
      <c r="S369" s="53" t="s">
        <v>55</v>
      </c>
      <c r="T369" s="17"/>
      <c r="U369" s="18"/>
      <c r="V369" s="18"/>
      <c r="W369" s="18"/>
      <c r="X369" s="30">
        <f t="shared" si="101"/>
        <v>0</v>
      </c>
      <c r="Y369" s="17"/>
      <c r="Z369" s="18"/>
      <c r="AA369" s="18"/>
      <c r="AB369" s="18"/>
      <c r="AC369" s="30">
        <f t="shared" si="98"/>
        <v>0</v>
      </c>
      <c r="AD369" s="17"/>
      <c r="AE369" s="18">
        <v>3</v>
      </c>
      <c r="AF369" s="18"/>
      <c r="AG369" s="18"/>
      <c r="AH369" s="30">
        <f t="shared" si="99"/>
        <v>3</v>
      </c>
      <c r="AI369" s="49">
        <f t="shared" si="95"/>
        <v>3</v>
      </c>
      <c r="AJ369" s="50">
        <v>43741</v>
      </c>
    </row>
    <row r="370" spans="1:36" x14ac:dyDescent="0.15">
      <c r="A370" s="53" t="s">
        <v>51</v>
      </c>
      <c r="B370" s="54">
        <v>1</v>
      </c>
      <c r="C370" s="55"/>
      <c r="D370" s="55"/>
      <c r="E370" s="55"/>
      <c r="F370" s="56">
        <f t="shared" si="96"/>
        <v>1</v>
      </c>
      <c r="G370" s="54"/>
      <c r="H370" s="55"/>
      <c r="I370" s="55"/>
      <c r="J370" s="55"/>
      <c r="K370" s="56">
        <f t="shared" si="97"/>
        <v>0</v>
      </c>
      <c r="L370" s="54"/>
      <c r="M370" s="55"/>
      <c r="N370" s="55"/>
      <c r="O370" s="55">
        <v>1</v>
      </c>
      <c r="P370" s="56">
        <f t="shared" si="100"/>
        <v>1</v>
      </c>
      <c r="Q370" s="49">
        <f t="shared" si="93"/>
        <v>2</v>
      </c>
      <c r="R370" s="50">
        <v>43710</v>
      </c>
      <c r="S370" s="53" t="s">
        <v>52</v>
      </c>
      <c r="T370" s="54"/>
      <c r="U370" s="55"/>
      <c r="V370" s="55"/>
      <c r="W370" s="55"/>
      <c r="X370" s="56">
        <f t="shared" si="101"/>
        <v>0</v>
      </c>
      <c r="Y370" s="54"/>
      <c r="Z370" s="55"/>
      <c r="AA370" s="55"/>
      <c r="AB370" s="55"/>
      <c r="AC370" s="56">
        <f t="shared" si="98"/>
        <v>0</v>
      </c>
      <c r="AD370" s="54">
        <v>3</v>
      </c>
      <c r="AE370" s="55"/>
      <c r="AF370" s="55"/>
      <c r="AG370" s="55"/>
      <c r="AH370" s="56">
        <f t="shared" si="99"/>
        <v>3</v>
      </c>
      <c r="AI370" s="49">
        <f t="shared" si="95"/>
        <v>3</v>
      </c>
      <c r="AJ370" s="50">
        <v>43746</v>
      </c>
    </row>
    <row r="371" spans="1:36" x14ac:dyDescent="0.15">
      <c r="A371" s="53" t="s">
        <v>51</v>
      </c>
      <c r="B371" s="54"/>
      <c r="C371" s="55"/>
      <c r="D371" s="55"/>
      <c r="E371" s="55"/>
      <c r="F371" s="56">
        <f t="shared" si="96"/>
        <v>0</v>
      </c>
      <c r="G371" s="54"/>
      <c r="H371" s="55"/>
      <c r="I371" s="55"/>
      <c r="J371" s="55"/>
      <c r="K371" s="56">
        <f t="shared" si="97"/>
        <v>0</v>
      </c>
      <c r="L371" s="54">
        <v>1</v>
      </c>
      <c r="M371" s="55"/>
      <c r="N371" s="55"/>
      <c r="O371" s="55"/>
      <c r="P371" s="56">
        <f t="shared" si="100"/>
        <v>1</v>
      </c>
      <c r="Q371" s="49">
        <f t="shared" si="93"/>
        <v>1</v>
      </c>
      <c r="R371" s="50">
        <v>43711</v>
      </c>
      <c r="S371" s="53"/>
      <c r="T371" s="54"/>
      <c r="U371" s="55"/>
      <c r="V371" s="55"/>
      <c r="W371" s="55"/>
      <c r="X371" s="56">
        <f t="shared" si="101"/>
        <v>0</v>
      </c>
      <c r="Y371" s="54"/>
      <c r="Z371" s="55"/>
      <c r="AA371" s="55"/>
      <c r="AB371" s="55"/>
      <c r="AC371" s="56">
        <f t="shared" si="98"/>
        <v>0</v>
      </c>
      <c r="AD371" s="54"/>
      <c r="AE371" s="55"/>
      <c r="AF371" s="55"/>
      <c r="AG371" s="55"/>
      <c r="AH371" s="56">
        <f t="shared" si="99"/>
        <v>0</v>
      </c>
      <c r="AI371" s="49">
        <f t="shared" si="95"/>
        <v>0</v>
      </c>
      <c r="AJ371" s="50"/>
    </row>
    <row r="372" spans="1:36" x14ac:dyDescent="0.15">
      <c r="A372" s="53" t="s">
        <v>51</v>
      </c>
      <c r="B372" s="54">
        <v>1</v>
      </c>
      <c r="C372" s="55"/>
      <c r="D372" s="55"/>
      <c r="E372" s="55"/>
      <c r="F372" s="56">
        <f t="shared" si="96"/>
        <v>1</v>
      </c>
      <c r="G372" s="54"/>
      <c r="H372" s="55"/>
      <c r="I372" s="55"/>
      <c r="J372" s="55"/>
      <c r="K372" s="56">
        <f t="shared" si="97"/>
        <v>0</v>
      </c>
      <c r="L372" s="54"/>
      <c r="M372" s="55"/>
      <c r="N372" s="55"/>
      <c r="O372" s="55"/>
      <c r="P372" s="56">
        <f t="shared" si="100"/>
        <v>0</v>
      </c>
      <c r="Q372" s="49">
        <f t="shared" si="93"/>
        <v>1</v>
      </c>
      <c r="R372" s="50">
        <v>43719</v>
      </c>
      <c r="S372" s="53"/>
      <c r="T372" s="54"/>
      <c r="U372" s="55"/>
      <c r="V372" s="55"/>
      <c r="W372" s="55"/>
      <c r="X372" s="56">
        <f t="shared" si="101"/>
        <v>0</v>
      </c>
      <c r="Y372" s="54"/>
      <c r="Z372" s="55"/>
      <c r="AA372" s="55"/>
      <c r="AB372" s="55"/>
      <c r="AC372" s="56">
        <f t="shared" si="98"/>
        <v>0</v>
      </c>
      <c r="AD372" s="54"/>
      <c r="AE372" s="55"/>
      <c r="AF372" s="55"/>
      <c r="AG372" s="55"/>
      <c r="AH372" s="56">
        <f t="shared" si="99"/>
        <v>0</v>
      </c>
      <c r="AI372" s="49">
        <f t="shared" si="95"/>
        <v>0</v>
      </c>
      <c r="AJ372" s="50"/>
    </row>
    <row r="373" spans="1:36" x14ac:dyDescent="0.15">
      <c r="A373" s="148" t="s">
        <v>29</v>
      </c>
      <c r="B373" s="54">
        <v>-1</v>
      </c>
      <c r="C373" s="55"/>
      <c r="D373" s="55"/>
      <c r="E373" s="55"/>
      <c r="F373" s="56">
        <f t="shared" si="96"/>
        <v>-1</v>
      </c>
      <c r="G373" s="54"/>
      <c r="H373" s="55">
        <v>-1</v>
      </c>
      <c r="I373" s="55"/>
      <c r="J373" s="55">
        <v>-1</v>
      </c>
      <c r="K373" s="56">
        <f t="shared" si="97"/>
        <v>-2</v>
      </c>
      <c r="L373" s="54"/>
      <c r="M373" s="55">
        <v>-1</v>
      </c>
      <c r="N373" s="55"/>
      <c r="O373" s="55"/>
      <c r="P373" s="56">
        <f t="shared" si="100"/>
        <v>-1</v>
      </c>
      <c r="Q373" s="49">
        <f t="shared" si="93"/>
        <v>-4</v>
      </c>
      <c r="R373" s="50">
        <v>43720</v>
      </c>
      <c r="S373" s="53"/>
      <c r="T373" s="54"/>
      <c r="U373" s="55"/>
      <c r="V373" s="55"/>
      <c r="W373" s="55"/>
      <c r="X373" s="56">
        <f t="shared" si="101"/>
        <v>0</v>
      </c>
      <c r="Y373" s="54"/>
      <c r="Z373" s="55"/>
      <c r="AA373" s="55"/>
      <c r="AB373" s="55"/>
      <c r="AC373" s="56">
        <f t="shared" si="98"/>
        <v>0</v>
      </c>
      <c r="AD373" s="54"/>
      <c r="AE373" s="55"/>
      <c r="AF373" s="55"/>
      <c r="AG373" s="55"/>
      <c r="AH373" s="56">
        <f t="shared" si="99"/>
        <v>0</v>
      </c>
      <c r="AI373" s="49">
        <f t="shared" si="95"/>
        <v>0</v>
      </c>
      <c r="AJ373" s="50"/>
    </row>
    <row r="374" spans="1:36" x14ac:dyDescent="0.15">
      <c r="A374" s="53" t="s">
        <v>51</v>
      </c>
      <c r="B374" s="54"/>
      <c r="C374" s="55"/>
      <c r="D374" s="55"/>
      <c r="E374" s="55"/>
      <c r="F374" s="56">
        <f t="shared" si="96"/>
        <v>0</v>
      </c>
      <c r="G374" s="54"/>
      <c r="H374" s="55"/>
      <c r="I374" s="55"/>
      <c r="J374" s="55"/>
      <c r="K374" s="56">
        <f t="shared" si="97"/>
        <v>0</v>
      </c>
      <c r="L374" s="54">
        <v>1</v>
      </c>
      <c r="M374" s="55"/>
      <c r="N374" s="55"/>
      <c r="O374" s="55"/>
      <c r="P374" s="56">
        <f t="shared" si="100"/>
        <v>1</v>
      </c>
      <c r="Q374" s="49">
        <f t="shared" si="93"/>
        <v>1</v>
      </c>
      <c r="R374" s="50">
        <v>43724</v>
      </c>
      <c r="S374" s="53"/>
      <c r="T374" s="54"/>
      <c r="U374" s="55"/>
      <c r="V374" s="55"/>
      <c r="W374" s="55"/>
      <c r="X374" s="56">
        <f t="shared" si="101"/>
        <v>0</v>
      </c>
      <c r="Y374" s="54"/>
      <c r="Z374" s="55"/>
      <c r="AA374" s="55"/>
      <c r="AB374" s="55"/>
      <c r="AC374" s="56">
        <f t="shared" si="98"/>
        <v>0</v>
      </c>
      <c r="AD374" s="54"/>
      <c r="AE374" s="55"/>
      <c r="AF374" s="55"/>
      <c r="AG374" s="55"/>
      <c r="AH374" s="56">
        <f t="shared" si="99"/>
        <v>0</v>
      </c>
      <c r="AI374" s="49">
        <f t="shared" si="95"/>
        <v>0</v>
      </c>
      <c r="AJ374" s="50"/>
    </row>
    <row r="375" spans="1:36" x14ac:dyDescent="0.15">
      <c r="A375" s="53" t="s">
        <v>54</v>
      </c>
      <c r="B375" s="54"/>
      <c r="C375" s="55"/>
      <c r="D375" s="55"/>
      <c r="E375" s="55"/>
      <c r="F375" s="56">
        <f t="shared" si="96"/>
        <v>0</v>
      </c>
      <c r="G375" s="54"/>
      <c r="H375" s="55"/>
      <c r="I375" s="55"/>
      <c r="J375" s="55"/>
      <c r="K375" s="56">
        <f t="shared" si="97"/>
        <v>0</v>
      </c>
      <c r="L375" s="54"/>
      <c r="M375" s="55"/>
      <c r="N375" s="55">
        <v>1</v>
      </c>
      <c r="O375" s="55"/>
      <c r="P375" s="56">
        <f t="shared" si="100"/>
        <v>1</v>
      </c>
      <c r="Q375" s="49">
        <f t="shared" si="93"/>
        <v>1</v>
      </c>
      <c r="R375" s="50">
        <v>43726</v>
      </c>
      <c r="S375" s="53"/>
      <c r="T375" s="54"/>
      <c r="U375" s="55"/>
      <c r="V375" s="55"/>
      <c r="W375" s="55"/>
      <c r="X375" s="56">
        <f t="shared" si="101"/>
        <v>0</v>
      </c>
      <c r="Y375" s="54"/>
      <c r="Z375" s="55"/>
      <c r="AA375" s="55"/>
      <c r="AB375" s="55"/>
      <c r="AC375" s="56">
        <f t="shared" si="98"/>
        <v>0</v>
      </c>
      <c r="AD375" s="54"/>
      <c r="AE375" s="55"/>
      <c r="AF375" s="55"/>
      <c r="AG375" s="55"/>
      <c r="AH375" s="56">
        <f t="shared" si="99"/>
        <v>0</v>
      </c>
      <c r="AI375" s="49">
        <f t="shared" si="95"/>
        <v>0</v>
      </c>
      <c r="AJ375" s="50"/>
    </row>
    <row r="376" spans="1:36" x14ac:dyDescent="0.15">
      <c r="A376" s="53" t="s">
        <v>51</v>
      </c>
      <c r="B376" s="54">
        <v>1</v>
      </c>
      <c r="C376" s="55"/>
      <c r="D376" s="55"/>
      <c r="E376" s="55"/>
      <c r="F376" s="56">
        <f t="shared" si="96"/>
        <v>1</v>
      </c>
      <c r="G376" s="54"/>
      <c r="H376" s="55">
        <v>1</v>
      </c>
      <c r="I376" s="55"/>
      <c r="J376" s="55"/>
      <c r="K376" s="56">
        <f t="shared" si="97"/>
        <v>1</v>
      </c>
      <c r="L376" s="54"/>
      <c r="M376" s="55"/>
      <c r="N376" s="55"/>
      <c r="O376" s="55"/>
      <c r="P376" s="56">
        <f t="shared" si="100"/>
        <v>0</v>
      </c>
      <c r="Q376" s="49">
        <f t="shared" si="93"/>
        <v>2</v>
      </c>
      <c r="R376" s="50">
        <v>43725</v>
      </c>
      <c r="S376" s="53"/>
      <c r="T376" s="54"/>
      <c r="U376" s="55"/>
      <c r="V376" s="55"/>
      <c r="W376" s="55"/>
      <c r="X376" s="56">
        <f t="shared" si="101"/>
        <v>0</v>
      </c>
      <c r="Y376" s="54"/>
      <c r="Z376" s="55"/>
      <c r="AA376" s="55"/>
      <c r="AB376" s="55"/>
      <c r="AC376" s="56">
        <f t="shared" si="98"/>
        <v>0</v>
      </c>
      <c r="AD376" s="54"/>
      <c r="AE376" s="55"/>
      <c r="AF376" s="55"/>
      <c r="AG376" s="55"/>
      <c r="AH376" s="56">
        <f t="shared" si="99"/>
        <v>0</v>
      </c>
      <c r="AI376" s="49">
        <f t="shared" si="95"/>
        <v>0</v>
      </c>
      <c r="AJ376" s="50"/>
    </row>
    <row r="377" spans="1:36" x14ac:dyDescent="0.15">
      <c r="A377" s="53" t="s">
        <v>51</v>
      </c>
      <c r="B377" s="54"/>
      <c r="C377" s="55"/>
      <c r="D377" s="55"/>
      <c r="E377" s="55"/>
      <c r="F377" s="56">
        <f>SUM(B377:E377)</f>
        <v>0</v>
      </c>
      <c r="G377" s="54"/>
      <c r="H377" s="55"/>
      <c r="I377" s="55"/>
      <c r="J377" s="55"/>
      <c r="K377" s="56">
        <f>SUM(G377:J377)</f>
        <v>0</v>
      </c>
      <c r="L377" s="54">
        <v>1</v>
      </c>
      <c r="M377" s="55"/>
      <c r="N377" s="55"/>
      <c r="O377" s="55"/>
      <c r="P377" s="56">
        <f>SUM(L377:O377)</f>
        <v>1</v>
      </c>
      <c r="Q377" s="49">
        <f>K377+P377+F377</f>
        <v>1</v>
      </c>
      <c r="R377" s="50">
        <v>43726</v>
      </c>
      <c r="S377" s="53"/>
      <c r="T377" s="54"/>
      <c r="U377" s="55"/>
      <c r="V377" s="55"/>
      <c r="W377" s="55"/>
      <c r="X377" s="56">
        <f t="shared" si="101"/>
        <v>0</v>
      </c>
      <c r="Y377" s="54"/>
      <c r="Z377" s="55"/>
      <c r="AA377" s="55"/>
      <c r="AB377" s="55"/>
      <c r="AC377" s="56">
        <f t="shared" si="98"/>
        <v>0</v>
      </c>
      <c r="AD377" s="54"/>
      <c r="AE377" s="55"/>
      <c r="AF377" s="55"/>
      <c r="AG377" s="55"/>
      <c r="AH377" s="56">
        <f t="shared" si="99"/>
        <v>0</v>
      </c>
      <c r="AI377" s="49">
        <f t="shared" si="95"/>
        <v>0</v>
      </c>
      <c r="AJ377" s="50"/>
    </row>
    <row r="378" spans="1:36" x14ac:dyDescent="0.15">
      <c r="A378" s="53" t="s">
        <v>51</v>
      </c>
      <c r="B378" s="54"/>
      <c r="C378" s="55"/>
      <c r="D378" s="55"/>
      <c r="E378" s="55"/>
      <c r="F378" s="56">
        <f t="shared" ref="F378:F386" si="102">SUM(B378:E378)</f>
        <v>0</v>
      </c>
      <c r="G378" s="54"/>
      <c r="H378" s="55"/>
      <c r="I378" s="55"/>
      <c r="J378" s="55"/>
      <c r="K378" s="56">
        <f t="shared" ref="K378:K386" si="103">SUM(G378:J378)</f>
        <v>0</v>
      </c>
      <c r="L378" s="54">
        <v>1</v>
      </c>
      <c r="M378" s="55"/>
      <c r="N378" s="55"/>
      <c r="O378" s="55"/>
      <c r="P378" s="56">
        <f t="shared" ref="P378:P386" si="104">SUM(L378:O378)</f>
        <v>1</v>
      </c>
      <c r="Q378" s="49">
        <f t="shared" ref="Q378:Q388" si="105">K378+P378+F378</f>
        <v>1</v>
      </c>
      <c r="R378" s="50">
        <v>43729</v>
      </c>
      <c r="S378" s="53"/>
      <c r="T378" s="54"/>
      <c r="U378" s="55"/>
      <c r="V378" s="55"/>
      <c r="W378" s="55"/>
      <c r="X378" s="56">
        <f t="shared" si="101"/>
        <v>0</v>
      </c>
      <c r="Y378" s="54"/>
      <c r="Z378" s="55"/>
      <c r="AA378" s="55"/>
      <c r="AB378" s="55"/>
      <c r="AC378" s="56">
        <f t="shared" si="98"/>
        <v>0</v>
      </c>
      <c r="AD378" s="54"/>
      <c r="AE378" s="55"/>
      <c r="AF378" s="55"/>
      <c r="AG378" s="55"/>
      <c r="AH378" s="56">
        <f t="shared" si="99"/>
        <v>0</v>
      </c>
      <c r="AI378" s="49">
        <f t="shared" si="95"/>
        <v>0</v>
      </c>
      <c r="AJ378" s="50"/>
    </row>
    <row r="379" spans="1:36" x14ac:dyDescent="0.15">
      <c r="A379" s="53" t="s">
        <v>28</v>
      </c>
      <c r="B379" s="54"/>
      <c r="C379" s="55"/>
      <c r="D379" s="55"/>
      <c r="E379" s="55"/>
      <c r="F379" s="56">
        <f t="shared" si="102"/>
        <v>0</v>
      </c>
      <c r="G379" s="54"/>
      <c r="H379" s="55"/>
      <c r="I379" s="55"/>
      <c r="J379" s="55"/>
      <c r="K379" s="56">
        <f t="shared" si="103"/>
        <v>0</v>
      </c>
      <c r="L379" s="54">
        <v>-3</v>
      </c>
      <c r="M379" s="55"/>
      <c r="N379" s="55">
        <v>-3</v>
      </c>
      <c r="O379" s="55"/>
      <c r="P379" s="56">
        <f t="shared" si="104"/>
        <v>-6</v>
      </c>
      <c r="Q379" s="49">
        <f t="shared" si="105"/>
        <v>-6</v>
      </c>
      <c r="R379" s="14">
        <v>43729</v>
      </c>
      <c r="S379" s="53"/>
      <c r="T379" s="54"/>
      <c r="U379" s="55"/>
      <c r="V379" s="55"/>
      <c r="W379" s="55"/>
      <c r="X379" s="56">
        <f t="shared" si="101"/>
        <v>0</v>
      </c>
      <c r="Y379" s="54"/>
      <c r="Z379" s="55"/>
      <c r="AA379" s="55"/>
      <c r="AB379" s="55"/>
      <c r="AC379" s="56">
        <f t="shared" si="98"/>
        <v>0</v>
      </c>
      <c r="AD379" s="54"/>
      <c r="AE379" s="55"/>
      <c r="AF379" s="55"/>
      <c r="AG379" s="55"/>
      <c r="AH379" s="56">
        <f t="shared" si="99"/>
        <v>0</v>
      </c>
      <c r="AI379" s="49">
        <f t="shared" si="95"/>
        <v>0</v>
      </c>
      <c r="AJ379" s="50"/>
    </row>
    <row r="380" spans="1:36" x14ac:dyDescent="0.15">
      <c r="A380" s="148" t="s">
        <v>29</v>
      </c>
      <c r="B380" s="17"/>
      <c r="C380" s="18"/>
      <c r="D380" s="18"/>
      <c r="E380" s="18">
        <v>-1</v>
      </c>
      <c r="F380" s="30">
        <f t="shared" si="102"/>
        <v>-1</v>
      </c>
      <c r="G380" s="17"/>
      <c r="H380" s="18"/>
      <c r="I380" s="18">
        <v>-1</v>
      </c>
      <c r="J380" s="18">
        <v>-1</v>
      </c>
      <c r="K380" s="30">
        <f t="shared" si="103"/>
        <v>-2</v>
      </c>
      <c r="L380" s="17"/>
      <c r="M380" s="18"/>
      <c r="N380" s="18"/>
      <c r="O380" s="18"/>
      <c r="P380" s="30">
        <f t="shared" si="104"/>
        <v>0</v>
      </c>
      <c r="Q380" s="49">
        <f t="shared" si="105"/>
        <v>-3</v>
      </c>
      <c r="R380" s="50">
        <v>43729</v>
      </c>
      <c r="S380" s="53"/>
      <c r="T380" s="17"/>
      <c r="U380" s="18"/>
      <c r="V380" s="18"/>
      <c r="W380" s="18"/>
      <c r="X380" s="30">
        <f t="shared" si="101"/>
        <v>0</v>
      </c>
      <c r="Y380" s="17"/>
      <c r="Z380" s="18"/>
      <c r="AA380" s="18"/>
      <c r="AB380" s="18"/>
      <c r="AC380" s="30">
        <f t="shared" si="98"/>
        <v>0</v>
      </c>
      <c r="AD380" s="17"/>
      <c r="AE380" s="18"/>
      <c r="AF380" s="18"/>
      <c r="AG380" s="18"/>
      <c r="AH380" s="30">
        <f t="shared" si="99"/>
        <v>0</v>
      </c>
      <c r="AI380" s="49">
        <f t="shared" si="95"/>
        <v>0</v>
      </c>
      <c r="AJ380" s="50"/>
    </row>
    <row r="381" spans="1:36" x14ac:dyDescent="0.15">
      <c r="A381" s="53" t="s">
        <v>74</v>
      </c>
      <c r="B381" s="54"/>
      <c r="C381" s="55"/>
      <c r="D381" s="55"/>
      <c r="E381" s="55"/>
      <c r="F381" s="56">
        <f t="shared" si="102"/>
        <v>0</v>
      </c>
      <c r="G381" s="54"/>
      <c r="H381" s="55"/>
      <c r="I381" s="55"/>
      <c r="J381" s="55"/>
      <c r="K381" s="56">
        <f t="shared" si="103"/>
        <v>0</v>
      </c>
      <c r="L381" s="54"/>
      <c r="M381" s="55"/>
      <c r="N381" s="55">
        <v>1</v>
      </c>
      <c r="O381" s="55"/>
      <c r="P381" s="56">
        <f t="shared" si="104"/>
        <v>1</v>
      </c>
      <c r="Q381" s="49">
        <f t="shared" si="105"/>
        <v>1</v>
      </c>
      <c r="R381" s="50">
        <v>43734</v>
      </c>
      <c r="S381" s="53"/>
      <c r="T381" s="54"/>
      <c r="U381" s="55"/>
      <c r="V381" s="55"/>
      <c r="W381" s="55"/>
      <c r="X381" s="56">
        <f t="shared" si="101"/>
        <v>0</v>
      </c>
      <c r="Y381" s="54"/>
      <c r="Z381" s="55"/>
      <c r="AA381" s="55"/>
      <c r="AB381" s="55"/>
      <c r="AC381" s="56">
        <f t="shared" si="98"/>
        <v>0</v>
      </c>
      <c r="AD381" s="54"/>
      <c r="AE381" s="55"/>
      <c r="AF381" s="55"/>
      <c r="AG381" s="55"/>
      <c r="AH381" s="56">
        <f t="shared" si="99"/>
        <v>0</v>
      </c>
      <c r="AI381" s="49">
        <f t="shared" si="95"/>
        <v>0</v>
      </c>
      <c r="AJ381" s="50"/>
    </row>
    <row r="382" spans="1:36" x14ac:dyDescent="0.15">
      <c r="A382" s="53" t="s">
        <v>51</v>
      </c>
      <c r="B382" s="62"/>
      <c r="C382" s="63"/>
      <c r="D382" s="63"/>
      <c r="E382" s="63"/>
      <c r="F382" s="56">
        <f t="shared" si="102"/>
        <v>0</v>
      </c>
      <c r="G382" s="62"/>
      <c r="H382" s="63"/>
      <c r="I382" s="63"/>
      <c r="J382" s="63">
        <v>1</v>
      </c>
      <c r="K382" s="56">
        <f t="shared" si="103"/>
        <v>1</v>
      </c>
      <c r="L382" s="62"/>
      <c r="M382" s="63"/>
      <c r="N382" s="63"/>
      <c r="O382" s="63"/>
      <c r="P382" s="56">
        <f t="shared" si="104"/>
        <v>0</v>
      </c>
      <c r="Q382" s="49">
        <f t="shared" si="105"/>
        <v>1</v>
      </c>
      <c r="R382" s="14">
        <v>43733</v>
      </c>
      <c r="S382" s="53"/>
      <c r="T382" s="62"/>
      <c r="U382" s="63"/>
      <c r="V382" s="63"/>
      <c r="W382" s="63"/>
      <c r="X382" s="56">
        <f t="shared" si="101"/>
        <v>0</v>
      </c>
      <c r="Y382" s="62"/>
      <c r="Z382" s="63"/>
      <c r="AA382" s="63"/>
      <c r="AB382" s="63"/>
      <c r="AC382" s="56">
        <f t="shared" si="98"/>
        <v>0</v>
      </c>
      <c r="AD382" s="62"/>
      <c r="AE382" s="63"/>
      <c r="AF382" s="63"/>
      <c r="AG382" s="63"/>
      <c r="AH382" s="56">
        <f t="shared" si="99"/>
        <v>0</v>
      </c>
      <c r="AI382" s="49">
        <f t="shared" si="95"/>
        <v>0</v>
      </c>
      <c r="AJ382" s="50"/>
    </row>
    <row r="383" spans="1:36" x14ac:dyDescent="0.15">
      <c r="A383" s="53" t="s">
        <v>51</v>
      </c>
      <c r="B383" s="54"/>
      <c r="C383" s="55"/>
      <c r="D383" s="55"/>
      <c r="E383" s="55"/>
      <c r="F383" s="56">
        <f t="shared" si="102"/>
        <v>0</v>
      </c>
      <c r="G383" s="54"/>
      <c r="H383" s="55"/>
      <c r="I383" s="55"/>
      <c r="J383" s="55"/>
      <c r="K383" s="56">
        <f t="shared" si="103"/>
        <v>0</v>
      </c>
      <c r="L383" s="54"/>
      <c r="M383" s="55"/>
      <c r="N383" s="55"/>
      <c r="O383" s="55">
        <v>1</v>
      </c>
      <c r="P383" s="56">
        <f t="shared" si="104"/>
        <v>1</v>
      </c>
      <c r="Q383" s="49">
        <f t="shared" si="105"/>
        <v>1</v>
      </c>
      <c r="R383" s="50">
        <v>43735</v>
      </c>
      <c r="S383" s="53"/>
      <c r="T383" s="54"/>
      <c r="U383" s="55"/>
      <c r="V383" s="55"/>
      <c r="W383" s="55"/>
      <c r="X383" s="56">
        <f t="shared" si="101"/>
        <v>0</v>
      </c>
      <c r="Y383" s="54"/>
      <c r="Z383" s="55"/>
      <c r="AA383" s="55"/>
      <c r="AB383" s="55"/>
      <c r="AC383" s="56">
        <f t="shared" si="98"/>
        <v>0</v>
      </c>
      <c r="AD383" s="54"/>
      <c r="AE383" s="55"/>
      <c r="AF383" s="55"/>
      <c r="AG383" s="55"/>
      <c r="AH383" s="56">
        <f t="shared" si="99"/>
        <v>0</v>
      </c>
      <c r="AI383" s="49">
        <f t="shared" si="95"/>
        <v>0</v>
      </c>
      <c r="AJ383" s="50"/>
    </row>
    <row r="384" spans="1:36" x14ac:dyDescent="0.15">
      <c r="A384" s="148" t="s">
        <v>29</v>
      </c>
      <c r="B384" s="33"/>
      <c r="C384" s="34"/>
      <c r="D384" s="34"/>
      <c r="E384" s="34"/>
      <c r="F384" s="56">
        <f t="shared" si="102"/>
        <v>0</v>
      </c>
      <c r="G384" s="33"/>
      <c r="H384" s="34"/>
      <c r="I384" s="34"/>
      <c r="J384" s="34"/>
      <c r="K384" s="56">
        <f t="shared" si="103"/>
        <v>0</v>
      </c>
      <c r="L384" s="33"/>
      <c r="M384" s="34">
        <v>-1</v>
      </c>
      <c r="N384" s="34"/>
      <c r="O384" s="34"/>
      <c r="P384" s="56">
        <f t="shared" si="104"/>
        <v>-1</v>
      </c>
      <c r="Q384" s="49">
        <f t="shared" si="105"/>
        <v>-1</v>
      </c>
      <c r="R384" s="50">
        <v>43738</v>
      </c>
      <c r="S384" s="67"/>
      <c r="T384" s="33"/>
      <c r="U384" s="34"/>
      <c r="V384" s="34"/>
      <c r="W384" s="34"/>
      <c r="X384" s="56">
        <f t="shared" si="101"/>
        <v>0</v>
      </c>
      <c r="Y384" s="33"/>
      <c r="Z384" s="34"/>
      <c r="AA384" s="34"/>
      <c r="AB384" s="34"/>
      <c r="AC384" s="56">
        <f t="shared" si="98"/>
        <v>0</v>
      </c>
      <c r="AD384" s="33"/>
      <c r="AE384" s="34"/>
      <c r="AF384" s="34"/>
      <c r="AG384" s="34"/>
      <c r="AH384" s="56">
        <f t="shared" si="99"/>
        <v>0</v>
      </c>
      <c r="AI384" s="49">
        <f t="shared" si="95"/>
        <v>0</v>
      </c>
      <c r="AJ384" s="74"/>
    </row>
    <row r="385" spans="1:37" x14ac:dyDescent="0.15">
      <c r="A385" s="53" t="s">
        <v>80</v>
      </c>
      <c r="B385" s="33"/>
      <c r="C385" s="34"/>
      <c r="D385" s="34"/>
      <c r="E385" s="34"/>
      <c r="F385" s="56">
        <f t="shared" si="102"/>
        <v>0</v>
      </c>
      <c r="G385" s="33"/>
      <c r="H385" s="34"/>
      <c r="I385" s="34"/>
      <c r="J385" s="34"/>
      <c r="K385" s="56">
        <f t="shared" si="103"/>
        <v>0</v>
      </c>
      <c r="L385" s="33"/>
      <c r="M385" s="34">
        <v>1</v>
      </c>
      <c r="N385" s="34"/>
      <c r="O385" s="34"/>
      <c r="P385" s="56">
        <f t="shared" si="104"/>
        <v>1</v>
      </c>
      <c r="Q385" s="49">
        <f t="shared" si="105"/>
        <v>1</v>
      </c>
      <c r="R385" s="50">
        <v>43743</v>
      </c>
      <c r="S385" s="67"/>
      <c r="T385" s="33"/>
      <c r="U385" s="34"/>
      <c r="V385" s="34"/>
      <c r="W385" s="34"/>
      <c r="X385" s="56">
        <f t="shared" si="101"/>
        <v>0</v>
      </c>
      <c r="Y385" s="33"/>
      <c r="Z385" s="34"/>
      <c r="AA385" s="34"/>
      <c r="AB385" s="34"/>
      <c r="AC385" s="56">
        <f t="shared" si="98"/>
        <v>0</v>
      </c>
      <c r="AD385" s="33"/>
      <c r="AE385" s="34"/>
      <c r="AF385" s="34"/>
      <c r="AG385" s="34"/>
      <c r="AH385" s="56">
        <f t="shared" si="99"/>
        <v>0</v>
      </c>
      <c r="AI385" s="49">
        <f t="shared" si="95"/>
        <v>0</v>
      </c>
      <c r="AJ385" s="74"/>
    </row>
    <row r="386" spans="1:37" ht="14.25" thickBot="1" x14ac:dyDescent="0.2">
      <c r="A386" s="53" t="s">
        <v>54</v>
      </c>
      <c r="B386" s="33"/>
      <c r="C386" s="34"/>
      <c r="D386" s="34"/>
      <c r="E386" s="34"/>
      <c r="F386" s="30">
        <f t="shared" si="102"/>
        <v>0</v>
      </c>
      <c r="G386" s="33"/>
      <c r="H386" s="34"/>
      <c r="I386" s="34"/>
      <c r="J386" s="34"/>
      <c r="K386" s="30">
        <f t="shared" si="103"/>
        <v>0</v>
      </c>
      <c r="L386" s="33">
        <v>1</v>
      </c>
      <c r="M386" s="34"/>
      <c r="N386" s="34"/>
      <c r="O386" s="34"/>
      <c r="P386" s="30">
        <f t="shared" si="104"/>
        <v>1</v>
      </c>
      <c r="Q386" s="78">
        <f t="shared" si="105"/>
        <v>1</v>
      </c>
      <c r="R386" s="50">
        <v>43746</v>
      </c>
      <c r="S386" s="67" t="s">
        <v>48</v>
      </c>
      <c r="T386" s="33">
        <v>0</v>
      </c>
      <c r="U386" s="34">
        <v>0</v>
      </c>
      <c r="V386" s="34">
        <v>0</v>
      </c>
      <c r="W386" s="34">
        <v>0</v>
      </c>
      <c r="X386" s="56">
        <f>SUM(T386:W386)</f>
        <v>0</v>
      </c>
      <c r="Y386" s="33"/>
      <c r="Z386" s="34"/>
      <c r="AA386" s="34"/>
      <c r="AB386" s="34"/>
      <c r="AC386" s="56">
        <f>SUM(Y386:AB386)</f>
        <v>0</v>
      </c>
      <c r="AD386" s="33"/>
      <c r="AE386" s="34"/>
      <c r="AF386" s="34"/>
      <c r="AG386" s="34"/>
      <c r="AH386" s="56">
        <f>SUM(AD386:AG386)</f>
        <v>0</v>
      </c>
      <c r="AI386" s="64">
        <f>AC386+AH386+X386</f>
        <v>0</v>
      </c>
      <c r="AJ386" s="74" t="s">
        <v>81</v>
      </c>
    </row>
    <row r="387" spans="1:37" ht="15" thickBot="1" x14ac:dyDescent="0.2">
      <c r="A387" s="9" t="s">
        <v>15</v>
      </c>
      <c r="B387" s="36">
        <f>SUM(B361:B386)</f>
        <v>4</v>
      </c>
      <c r="C387" s="37">
        <f>SUM(C361:C386)</f>
        <v>0</v>
      </c>
      <c r="D387" s="37">
        <f>SUM(D361:D386)</f>
        <v>1</v>
      </c>
      <c r="E387" s="38">
        <f>SUM(E361:E386)</f>
        <v>0</v>
      </c>
      <c r="F387" s="25">
        <f>SUM(B387:E387)</f>
        <v>5</v>
      </c>
      <c r="G387" s="36">
        <f>SUM(G361:G386)</f>
        <v>0</v>
      </c>
      <c r="H387" s="37">
        <f>SUM(H361:H386)</f>
        <v>1</v>
      </c>
      <c r="I387" s="37">
        <f>SUM(I361:I386)</f>
        <v>-1</v>
      </c>
      <c r="J387" s="38">
        <f>SUM(J361:J386)</f>
        <v>0</v>
      </c>
      <c r="K387" s="25">
        <f>SUM(G387:J387)</f>
        <v>0</v>
      </c>
      <c r="L387" s="36">
        <f>SUM(L361:L386)</f>
        <v>5</v>
      </c>
      <c r="M387" s="37">
        <f>SUM(M361:M386)</f>
        <v>2</v>
      </c>
      <c r="N387" s="37">
        <f>SUM(N361:N386)</f>
        <v>0</v>
      </c>
      <c r="O387" s="38">
        <f>SUM(O361:O386)</f>
        <v>2</v>
      </c>
      <c r="P387" s="25">
        <f>SUM(L387:O387)</f>
        <v>9</v>
      </c>
      <c r="Q387" s="79">
        <f t="shared" si="105"/>
        <v>14</v>
      </c>
      <c r="S387" s="9" t="s">
        <v>15</v>
      </c>
      <c r="T387" s="36">
        <f>SUM(T361:T386)</f>
        <v>0</v>
      </c>
      <c r="U387" s="37">
        <f>SUM(U361:U386)</f>
        <v>0</v>
      </c>
      <c r="V387" s="37">
        <f>SUM(V361:V386)</f>
        <v>0</v>
      </c>
      <c r="W387" s="38">
        <f>SUM(W361:W386)</f>
        <v>0</v>
      </c>
      <c r="X387" s="25">
        <f>SUM(T387:W387)</f>
        <v>0</v>
      </c>
      <c r="Y387" s="36">
        <f>SUM(Y361:Y386)</f>
        <v>0</v>
      </c>
      <c r="Z387" s="37">
        <f>SUM(Z361:Z386)</f>
        <v>0</v>
      </c>
      <c r="AA387" s="37">
        <f>SUM(AA361:AA386)</f>
        <v>5</v>
      </c>
      <c r="AB387" s="38">
        <f>SUM(AB361:AB386)</f>
        <v>3</v>
      </c>
      <c r="AC387" s="25">
        <f>SUM(Y387:AB387)</f>
        <v>8</v>
      </c>
      <c r="AD387" s="36">
        <f>SUM(AD361:AD386)</f>
        <v>12</v>
      </c>
      <c r="AE387" s="37">
        <f>SUM(AE361:AE386)</f>
        <v>14</v>
      </c>
      <c r="AF387" s="37">
        <f>SUM(AF361:AF386)</f>
        <v>3</v>
      </c>
      <c r="AG387" s="38">
        <f>SUM(AG361:AG386)</f>
        <v>0</v>
      </c>
      <c r="AH387" s="25">
        <f>SUM(AD387:AG387)</f>
        <v>29</v>
      </c>
      <c r="AI387" s="161">
        <f>AC387+AH387+X387</f>
        <v>37</v>
      </c>
    </row>
    <row r="388" spans="1:37" ht="14.25" thickBot="1" x14ac:dyDescent="0.2">
      <c r="A388" s="39" t="s">
        <v>16</v>
      </c>
      <c r="B388" s="40">
        <f t="shared" ref="B388:P388" si="106">B360-B387</f>
        <v>1</v>
      </c>
      <c r="C388" s="41">
        <f t="shared" si="106"/>
        <v>0</v>
      </c>
      <c r="D388" s="41">
        <f t="shared" si="106"/>
        <v>1</v>
      </c>
      <c r="E388" s="42">
        <f t="shared" si="106"/>
        <v>5</v>
      </c>
      <c r="F388" s="42">
        <f t="shared" si="106"/>
        <v>7</v>
      </c>
      <c r="G388" s="40">
        <f t="shared" si="106"/>
        <v>0</v>
      </c>
      <c r="H388" s="41">
        <f t="shared" si="106"/>
        <v>0</v>
      </c>
      <c r="I388" s="41">
        <f t="shared" si="106"/>
        <v>8</v>
      </c>
      <c r="J388" s="42">
        <f t="shared" si="106"/>
        <v>3</v>
      </c>
      <c r="K388" s="42">
        <f t="shared" si="106"/>
        <v>11</v>
      </c>
      <c r="L388" s="40">
        <f t="shared" si="106"/>
        <v>3</v>
      </c>
      <c r="M388" s="41">
        <f t="shared" si="106"/>
        <v>3</v>
      </c>
      <c r="N388" s="41">
        <f t="shared" si="106"/>
        <v>3</v>
      </c>
      <c r="O388" s="42">
        <f t="shared" si="106"/>
        <v>2</v>
      </c>
      <c r="P388" s="42">
        <f t="shared" si="106"/>
        <v>11</v>
      </c>
      <c r="Q388" s="77">
        <f t="shared" si="105"/>
        <v>29</v>
      </c>
      <c r="S388" s="39" t="s">
        <v>16</v>
      </c>
      <c r="T388" s="40">
        <f t="shared" ref="T388:AH388" si="107">T360-T387</f>
        <v>0</v>
      </c>
      <c r="U388" s="41">
        <f t="shared" si="107"/>
        <v>0</v>
      </c>
      <c r="V388" s="41">
        <f t="shared" si="107"/>
        <v>0</v>
      </c>
      <c r="W388" s="42">
        <f t="shared" si="107"/>
        <v>0</v>
      </c>
      <c r="X388" s="42">
        <f t="shared" si="107"/>
        <v>0</v>
      </c>
      <c r="Y388" s="40">
        <f t="shared" si="107"/>
        <v>0</v>
      </c>
      <c r="Z388" s="41">
        <f t="shared" si="107"/>
        <v>0</v>
      </c>
      <c r="AA388" s="41">
        <f t="shared" si="107"/>
        <v>9</v>
      </c>
      <c r="AB388" s="42">
        <f t="shared" si="107"/>
        <v>12</v>
      </c>
      <c r="AC388" s="42">
        <f t="shared" si="107"/>
        <v>21</v>
      </c>
      <c r="AD388" s="40">
        <f t="shared" si="107"/>
        <v>54</v>
      </c>
      <c r="AE388" s="41">
        <f t="shared" si="107"/>
        <v>3</v>
      </c>
      <c r="AF388" s="41">
        <f t="shared" si="107"/>
        <v>65</v>
      </c>
      <c r="AG388" s="42">
        <f t="shared" si="107"/>
        <v>37</v>
      </c>
      <c r="AH388" s="42">
        <f t="shared" si="107"/>
        <v>159</v>
      </c>
      <c r="AI388" s="77">
        <f>AC388+AH388+X388</f>
        <v>180</v>
      </c>
    </row>
    <row r="389" spans="1:37" x14ac:dyDescent="0.15">
      <c r="AD389" s="2">
        <f>AD387+AD350</f>
        <v>148</v>
      </c>
      <c r="AE389" s="2">
        <f>AE387+AE350</f>
        <v>227</v>
      </c>
      <c r="AF389" s="2">
        <f>AF387+AF350</f>
        <v>130</v>
      </c>
      <c r="AG389" s="2">
        <f>AG387+AG350</f>
        <v>143</v>
      </c>
      <c r="AH389" s="2">
        <f>AH387+AH350</f>
        <v>648</v>
      </c>
    </row>
    <row r="390" spans="1:37" x14ac:dyDescent="0.15">
      <c r="AD390" s="189">
        <f>AD389/$AH$350*100</f>
        <v>23.909531502423263</v>
      </c>
      <c r="AE390" s="189">
        <f>AE389/$AH$350*100</f>
        <v>36.672051696284328</v>
      </c>
      <c r="AF390" s="189">
        <f>AF389/$AH$350*100</f>
        <v>21.001615508885298</v>
      </c>
      <c r="AG390" s="189">
        <f>AG389/$AH$350*100</f>
        <v>23.101777059773827</v>
      </c>
      <c r="AH390" s="189">
        <f>AH389/$AH$350*100</f>
        <v>104.68497576736672</v>
      </c>
    </row>
    <row r="391" spans="1:37" ht="19.5" thickBot="1" x14ac:dyDescent="0.25">
      <c r="A391" s="195" t="s">
        <v>19</v>
      </c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5" t="s">
        <v>37</v>
      </c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</row>
    <row r="392" spans="1:37" ht="14.25" thickBot="1" x14ac:dyDescent="0.2">
      <c r="A392" s="197" t="s">
        <v>0</v>
      </c>
      <c r="B392" s="381" t="s">
        <v>17</v>
      </c>
      <c r="C392" s="382"/>
      <c r="D392" s="382"/>
      <c r="E392" s="382"/>
      <c r="F392" s="383"/>
      <c r="G392" s="381" t="s">
        <v>18</v>
      </c>
      <c r="H392" s="382"/>
      <c r="I392" s="382"/>
      <c r="J392" s="382"/>
      <c r="K392" s="383"/>
      <c r="L392" s="381" t="s">
        <v>38</v>
      </c>
      <c r="M392" s="382"/>
      <c r="N392" s="382"/>
      <c r="O392" s="382"/>
      <c r="P392" s="383"/>
      <c r="Q392" s="384" t="s">
        <v>1</v>
      </c>
      <c r="R392" s="196"/>
      <c r="S392" s="197" t="s">
        <v>0</v>
      </c>
      <c r="T392" s="381" t="s">
        <v>17</v>
      </c>
      <c r="U392" s="382"/>
      <c r="V392" s="382"/>
      <c r="W392" s="382"/>
      <c r="X392" s="383"/>
      <c r="Y392" s="381" t="s">
        <v>18</v>
      </c>
      <c r="Z392" s="382"/>
      <c r="AA392" s="382"/>
      <c r="AB392" s="382"/>
      <c r="AC392" s="383"/>
      <c r="AD392" s="381" t="s">
        <v>38</v>
      </c>
      <c r="AE392" s="382"/>
      <c r="AF392" s="382"/>
      <c r="AG392" s="382"/>
      <c r="AH392" s="383"/>
      <c r="AI392" s="384" t="s">
        <v>1</v>
      </c>
      <c r="AJ392" s="196"/>
      <c r="AK392" s="196"/>
    </row>
    <row r="393" spans="1:37" ht="14.25" thickBot="1" x14ac:dyDescent="0.2">
      <c r="A393" s="198" t="s">
        <v>2</v>
      </c>
      <c r="B393" s="199" t="s">
        <v>3</v>
      </c>
      <c r="C393" s="200" t="s">
        <v>4</v>
      </c>
      <c r="D393" s="200" t="s">
        <v>5</v>
      </c>
      <c r="E393" s="201" t="s">
        <v>6</v>
      </c>
      <c r="F393" s="198" t="s">
        <v>7</v>
      </c>
      <c r="G393" s="202" t="s">
        <v>3</v>
      </c>
      <c r="H393" s="203" t="s">
        <v>4</v>
      </c>
      <c r="I393" s="203" t="s">
        <v>5</v>
      </c>
      <c r="J393" s="204" t="s">
        <v>6</v>
      </c>
      <c r="K393" s="198" t="s">
        <v>7</v>
      </c>
      <c r="L393" s="202" t="s">
        <v>3</v>
      </c>
      <c r="M393" s="203" t="s">
        <v>4</v>
      </c>
      <c r="N393" s="203" t="s">
        <v>5</v>
      </c>
      <c r="O393" s="204" t="s">
        <v>6</v>
      </c>
      <c r="P393" s="198" t="s">
        <v>7</v>
      </c>
      <c r="Q393" s="385"/>
      <c r="R393" s="196"/>
      <c r="S393" s="198" t="s">
        <v>2</v>
      </c>
      <c r="T393" s="199" t="s">
        <v>3</v>
      </c>
      <c r="U393" s="200" t="s">
        <v>4</v>
      </c>
      <c r="V393" s="200" t="s">
        <v>5</v>
      </c>
      <c r="W393" s="201" t="s">
        <v>6</v>
      </c>
      <c r="X393" s="198" t="s">
        <v>7</v>
      </c>
      <c r="Y393" s="202" t="s">
        <v>3</v>
      </c>
      <c r="Z393" s="203" t="s">
        <v>4</v>
      </c>
      <c r="AA393" s="203" t="s">
        <v>5</v>
      </c>
      <c r="AB393" s="204" t="s">
        <v>6</v>
      </c>
      <c r="AC393" s="198" t="s">
        <v>7</v>
      </c>
      <c r="AD393" s="202" t="s">
        <v>3</v>
      </c>
      <c r="AE393" s="203" t="s">
        <v>4</v>
      </c>
      <c r="AF393" s="203" t="s">
        <v>5</v>
      </c>
      <c r="AG393" s="204" t="s">
        <v>6</v>
      </c>
      <c r="AH393" s="198" t="s">
        <v>7</v>
      </c>
      <c r="AI393" s="385"/>
      <c r="AJ393" s="196"/>
      <c r="AK393" s="196"/>
    </row>
    <row r="394" spans="1:37" ht="14.25" x14ac:dyDescent="0.15">
      <c r="A394" s="205" t="s">
        <v>30</v>
      </c>
      <c r="B394" s="206">
        <f>B388</f>
        <v>1</v>
      </c>
      <c r="C394" s="207">
        <f>C388</f>
        <v>0</v>
      </c>
      <c r="D394" s="207">
        <f>D388</f>
        <v>1</v>
      </c>
      <c r="E394" s="208">
        <f>E388</f>
        <v>5</v>
      </c>
      <c r="F394" s="209">
        <f>SUM(B394:E394)</f>
        <v>7</v>
      </c>
      <c r="G394" s="206">
        <f>G388</f>
        <v>0</v>
      </c>
      <c r="H394" s="207">
        <f>H388</f>
        <v>0</v>
      </c>
      <c r="I394" s="207">
        <f>I388</f>
        <v>8</v>
      </c>
      <c r="J394" s="208">
        <f>J388</f>
        <v>3</v>
      </c>
      <c r="K394" s="209">
        <f>SUM(G394:J394)</f>
        <v>11</v>
      </c>
      <c r="L394" s="206">
        <f>L388</f>
        <v>3</v>
      </c>
      <c r="M394" s="207">
        <f>M388</f>
        <v>3</v>
      </c>
      <c r="N394" s="207">
        <f>N388</f>
        <v>3</v>
      </c>
      <c r="O394" s="208">
        <f>O388</f>
        <v>2</v>
      </c>
      <c r="P394" s="209">
        <f>SUM(L394:O394)</f>
        <v>11</v>
      </c>
      <c r="Q394" s="210">
        <f t="shared" ref="Q394:Q415" si="108">K394+P394+F394</f>
        <v>29</v>
      </c>
      <c r="R394" s="196"/>
      <c r="S394" s="205" t="s">
        <v>30</v>
      </c>
      <c r="T394" s="206">
        <f>T388</f>
        <v>0</v>
      </c>
      <c r="U394" s="207">
        <f>U388</f>
        <v>0</v>
      </c>
      <c r="V394" s="207">
        <f>V388</f>
        <v>0</v>
      </c>
      <c r="W394" s="208">
        <f>W388</f>
        <v>0</v>
      </c>
      <c r="X394" s="209">
        <f t="shared" ref="X394:X399" si="109">SUM(T394:W394)</f>
        <v>0</v>
      </c>
      <c r="Y394" s="206">
        <f>Y388</f>
        <v>0</v>
      </c>
      <c r="Z394" s="207">
        <f>Z388</f>
        <v>0</v>
      </c>
      <c r="AA394" s="207">
        <f>AA388</f>
        <v>9</v>
      </c>
      <c r="AB394" s="208">
        <f>AB388</f>
        <v>12</v>
      </c>
      <c r="AC394" s="209">
        <f>SUM(Y394:AB394)</f>
        <v>21</v>
      </c>
      <c r="AD394" s="206">
        <f>AD388</f>
        <v>54</v>
      </c>
      <c r="AE394" s="207">
        <f>AE388</f>
        <v>3</v>
      </c>
      <c r="AF394" s="207">
        <f>AF388</f>
        <v>65</v>
      </c>
      <c r="AG394" s="208">
        <f>AG388</f>
        <v>37</v>
      </c>
      <c r="AH394" s="209">
        <f>SUM(AD394:AG394)</f>
        <v>159</v>
      </c>
      <c r="AI394" s="210">
        <f t="shared" ref="AI394:AI424" si="110">AC394+AH394+X394</f>
        <v>180</v>
      </c>
      <c r="AJ394" s="196"/>
      <c r="AK394" s="196"/>
    </row>
    <row r="395" spans="1:37" x14ac:dyDescent="0.15">
      <c r="A395" s="211" t="s">
        <v>39</v>
      </c>
      <c r="B395" s="212"/>
      <c r="C395" s="213"/>
      <c r="D395" s="213"/>
      <c r="E395" s="214"/>
      <c r="F395" s="215">
        <f t="shared" ref="F395:F415" si="111">SUM(B395:E395)</f>
        <v>0</v>
      </c>
      <c r="G395" s="212"/>
      <c r="H395" s="216"/>
      <c r="I395" s="216"/>
      <c r="J395" s="216"/>
      <c r="K395" s="215">
        <f t="shared" ref="K395:K415" si="112">SUM(G395:J395)</f>
        <v>0</v>
      </c>
      <c r="L395" s="212">
        <v>3</v>
      </c>
      <c r="M395" s="216"/>
      <c r="N395" s="216"/>
      <c r="O395" s="216"/>
      <c r="P395" s="215">
        <f>SUM(L395:O395)</f>
        <v>3</v>
      </c>
      <c r="Q395" s="215">
        <f t="shared" si="108"/>
        <v>3</v>
      </c>
      <c r="R395" s="217">
        <v>43766</v>
      </c>
      <c r="S395" s="211" t="s">
        <v>21</v>
      </c>
      <c r="T395" s="212"/>
      <c r="U395" s="213"/>
      <c r="V395" s="213"/>
      <c r="W395" s="214"/>
      <c r="X395" s="215">
        <f t="shared" si="109"/>
        <v>0</v>
      </c>
      <c r="Y395" s="212"/>
      <c r="Z395" s="216"/>
      <c r="AA395" s="216"/>
      <c r="AB395" s="216">
        <v>2</v>
      </c>
      <c r="AC395" s="215">
        <f t="shared" ref="AC395:AC424" si="113">SUM(Y395:AB395)</f>
        <v>2</v>
      </c>
      <c r="AD395" s="212"/>
      <c r="AE395" s="216"/>
      <c r="AF395" s="216"/>
      <c r="AG395" s="216"/>
      <c r="AH395" s="215">
        <f t="shared" ref="AH395:AH424" si="114">SUM(AD395:AG395)</f>
        <v>0</v>
      </c>
      <c r="AI395" s="215">
        <f t="shared" si="110"/>
        <v>2</v>
      </c>
      <c r="AJ395" s="218">
        <v>43771</v>
      </c>
      <c r="AK395" s="196"/>
    </row>
    <row r="396" spans="1:37" x14ac:dyDescent="0.15">
      <c r="A396" s="211" t="s">
        <v>29</v>
      </c>
      <c r="B396" s="212"/>
      <c r="C396" s="213"/>
      <c r="D396" s="213"/>
      <c r="E396" s="214"/>
      <c r="F396" s="215">
        <f t="shared" si="111"/>
        <v>0</v>
      </c>
      <c r="G396" s="212"/>
      <c r="H396" s="216"/>
      <c r="I396" s="216"/>
      <c r="J396" s="216">
        <v>2</v>
      </c>
      <c r="K396" s="215">
        <f t="shared" si="112"/>
        <v>2</v>
      </c>
      <c r="L396" s="212"/>
      <c r="M396" s="216"/>
      <c r="N396" s="216"/>
      <c r="O396" s="216"/>
      <c r="P396" s="215">
        <f>SUM(L396:O396)</f>
        <v>0</v>
      </c>
      <c r="Q396" s="215">
        <f t="shared" si="108"/>
        <v>2</v>
      </c>
      <c r="R396" s="217">
        <v>43769</v>
      </c>
      <c r="S396" s="211" t="s">
        <v>40</v>
      </c>
      <c r="T396" s="212"/>
      <c r="U396" s="213"/>
      <c r="V396" s="213"/>
      <c r="W396" s="214"/>
      <c r="X396" s="215">
        <f t="shared" si="109"/>
        <v>0</v>
      </c>
      <c r="Y396" s="212"/>
      <c r="Z396" s="216"/>
      <c r="AA396" s="216"/>
      <c r="AB396" s="216"/>
      <c r="AC396" s="215">
        <f t="shared" si="113"/>
        <v>0</v>
      </c>
      <c r="AD396" s="212"/>
      <c r="AE396" s="216"/>
      <c r="AF396" s="216"/>
      <c r="AG396" s="216"/>
      <c r="AH396" s="215">
        <f t="shared" si="114"/>
        <v>0</v>
      </c>
      <c r="AI396" s="215">
        <f t="shared" si="110"/>
        <v>0</v>
      </c>
      <c r="AJ396" s="217"/>
      <c r="AK396" s="196"/>
    </row>
    <row r="397" spans="1:37" x14ac:dyDescent="0.15">
      <c r="A397" s="211" t="s">
        <v>41</v>
      </c>
      <c r="B397" s="212"/>
      <c r="C397" s="213"/>
      <c r="D397" s="213"/>
      <c r="E397" s="214"/>
      <c r="F397" s="215">
        <f t="shared" si="111"/>
        <v>0</v>
      </c>
      <c r="G397" s="212"/>
      <c r="H397" s="216"/>
      <c r="I397" s="216"/>
      <c r="J397" s="216"/>
      <c r="K397" s="215">
        <f t="shared" si="112"/>
        <v>0</v>
      </c>
      <c r="L397" s="212">
        <v>3</v>
      </c>
      <c r="M397" s="216"/>
      <c r="N397" s="216"/>
      <c r="O397" s="216"/>
      <c r="P397" s="215">
        <f>SUM(L397:O397)</f>
        <v>3</v>
      </c>
      <c r="Q397" s="215">
        <f t="shared" si="108"/>
        <v>3</v>
      </c>
      <c r="R397" s="217">
        <v>43802</v>
      </c>
      <c r="S397" s="211" t="s">
        <v>41</v>
      </c>
      <c r="T397" s="212"/>
      <c r="U397" s="213"/>
      <c r="V397" s="213"/>
      <c r="W397" s="214"/>
      <c r="X397" s="215">
        <f t="shared" si="109"/>
        <v>0</v>
      </c>
      <c r="Y397" s="212"/>
      <c r="Z397" s="216"/>
      <c r="AA397" s="216"/>
      <c r="AB397" s="216"/>
      <c r="AC397" s="215">
        <f t="shared" si="113"/>
        <v>0</v>
      </c>
      <c r="AD397" s="212"/>
      <c r="AE397" s="216"/>
      <c r="AF397" s="216"/>
      <c r="AG397" s="216"/>
      <c r="AH397" s="215">
        <f t="shared" si="114"/>
        <v>0</v>
      </c>
      <c r="AI397" s="215">
        <f t="shared" si="110"/>
        <v>0</v>
      </c>
      <c r="AJ397" s="217"/>
      <c r="AK397" s="196"/>
    </row>
    <row r="398" spans="1:37" ht="14.25" thickBot="1" x14ac:dyDescent="0.2">
      <c r="A398" s="211" t="s">
        <v>42</v>
      </c>
      <c r="B398" s="219"/>
      <c r="C398" s="220"/>
      <c r="D398" s="220"/>
      <c r="E398" s="221"/>
      <c r="F398" s="215">
        <f t="shared" si="111"/>
        <v>0</v>
      </c>
      <c r="G398" s="212"/>
      <c r="H398" s="216"/>
      <c r="I398" s="216"/>
      <c r="J398" s="216"/>
      <c r="K398" s="215">
        <f t="shared" si="112"/>
        <v>0</v>
      </c>
      <c r="L398" s="212">
        <v>3</v>
      </c>
      <c r="M398" s="216"/>
      <c r="N398" s="216"/>
      <c r="O398" s="216"/>
      <c r="P398" s="215">
        <f t="shared" ref="P398:P415" si="115">SUM(L398:O398)</f>
        <v>3</v>
      </c>
      <c r="Q398" s="222">
        <f t="shared" si="108"/>
        <v>3</v>
      </c>
      <c r="R398" s="217">
        <v>43806</v>
      </c>
      <c r="S398" s="211" t="s">
        <v>42</v>
      </c>
      <c r="T398" s="219"/>
      <c r="U398" s="220"/>
      <c r="V398" s="220"/>
      <c r="W398" s="221"/>
      <c r="X398" s="215">
        <f t="shared" si="109"/>
        <v>0</v>
      </c>
      <c r="Y398" s="212"/>
      <c r="Z398" s="216"/>
      <c r="AA398" s="216"/>
      <c r="AB398" s="216"/>
      <c r="AC398" s="215">
        <f t="shared" si="113"/>
        <v>0</v>
      </c>
      <c r="AD398" s="212"/>
      <c r="AE398" s="216"/>
      <c r="AF398" s="216"/>
      <c r="AG398" s="216"/>
      <c r="AH398" s="215">
        <f t="shared" si="114"/>
        <v>0</v>
      </c>
      <c r="AI398" s="222">
        <f t="shared" si="110"/>
        <v>0</v>
      </c>
      <c r="AJ398" s="218"/>
      <c r="AK398" s="196"/>
    </row>
    <row r="399" spans="1:37" ht="15" thickBot="1" x14ac:dyDescent="0.2">
      <c r="A399" s="223" t="s">
        <v>14</v>
      </c>
      <c r="B399" s="224">
        <f>SUM(B394:B398)</f>
        <v>1</v>
      </c>
      <c r="C399" s="225">
        <f>SUM(C394:C398)</f>
        <v>0</v>
      </c>
      <c r="D399" s="225">
        <f>SUM(D394:D398)</f>
        <v>1</v>
      </c>
      <c r="E399" s="225">
        <f>SUM(E394:E398)</f>
        <v>5</v>
      </c>
      <c r="F399" s="226">
        <f t="shared" si="111"/>
        <v>7</v>
      </c>
      <c r="G399" s="224">
        <f>SUM(G394:G398)</f>
        <v>0</v>
      </c>
      <c r="H399" s="225">
        <f>SUM(H394:H398)</f>
        <v>0</v>
      </c>
      <c r="I399" s="225">
        <f>SUM(I394:I398)</f>
        <v>8</v>
      </c>
      <c r="J399" s="225">
        <f>SUM(J394:J398)</f>
        <v>5</v>
      </c>
      <c r="K399" s="226">
        <f t="shared" si="112"/>
        <v>13</v>
      </c>
      <c r="L399" s="224">
        <f>SUM(L394:L398)</f>
        <v>12</v>
      </c>
      <c r="M399" s="225">
        <f>SUM(M394:M398)</f>
        <v>3</v>
      </c>
      <c r="N399" s="225">
        <f>SUM(N394:N398)</f>
        <v>3</v>
      </c>
      <c r="O399" s="225">
        <f>SUM(O394:O398)</f>
        <v>2</v>
      </c>
      <c r="P399" s="226">
        <f t="shared" si="115"/>
        <v>20</v>
      </c>
      <c r="Q399" s="227">
        <f t="shared" si="108"/>
        <v>40</v>
      </c>
      <c r="R399" s="196"/>
      <c r="S399" s="223" t="s">
        <v>14</v>
      </c>
      <c r="T399" s="224">
        <f>SUM(T394:T398)</f>
        <v>0</v>
      </c>
      <c r="U399" s="225">
        <f>SUM(U394:U398)</f>
        <v>0</v>
      </c>
      <c r="V399" s="225">
        <f>SUM(V394:V398)</f>
        <v>0</v>
      </c>
      <c r="W399" s="225">
        <f>SUM(W394:W398)</f>
        <v>0</v>
      </c>
      <c r="X399" s="226">
        <f t="shared" si="109"/>
        <v>0</v>
      </c>
      <c r="Y399" s="224">
        <f>SUM(Y394:Y398)</f>
        <v>0</v>
      </c>
      <c r="Z399" s="225">
        <f>SUM(Z394:Z398)</f>
        <v>0</v>
      </c>
      <c r="AA399" s="225">
        <f>SUM(AA394:AA398)</f>
        <v>9</v>
      </c>
      <c r="AB399" s="225">
        <f>SUM(AB394:AB398)</f>
        <v>14</v>
      </c>
      <c r="AC399" s="226">
        <f t="shared" si="113"/>
        <v>23</v>
      </c>
      <c r="AD399" s="224">
        <f>SUM(AD394:AD398)</f>
        <v>54</v>
      </c>
      <c r="AE399" s="225">
        <f>SUM(AE394:AE398)</f>
        <v>3</v>
      </c>
      <c r="AF399" s="225">
        <f>SUM(AF394:AF398)</f>
        <v>65</v>
      </c>
      <c r="AG399" s="225">
        <f>SUM(AG394:AG398)</f>
        <v>37</v>
      </c>
      <c r="AH399" s="226">
        <f t="shared" si="114"/>
        <v>159</v>
      </c>
      <c r="AI399" s="227">
        <f t="shared" si="110"/>
        <v>182</v>
      </c>
      <c r="AJ399" s="196"/>
      <c r="AK399" s="196"/>
    </row>
    <row r="400" spans="1:37" x14ac:dyDescent="0.15">
      <c r="A400" s="228" t="s">
        <v>51</v>
      </c>
      <c r="B400" s="229"/>
      <c r="C400" s="230"/>
      <c r="D400" s="230"/>
      <c r="E400" s="230"/>
      <c r="F400" s="231">
        <f t="shared" si="111"/>
        <v>0</v>
      </c>
      <c r="G400" s="229"/>
      <c r="H400" s="230"/>
      <c r="I400" s="230"/>
      <c r="J400" s="230"/>
      <c r="K400" s="231">
        <f t="shared" si="112"/>
        <v>0</v>
      </c>
      <c r="L400" s="229">
        <v>1</v>
      </c>
      <c r="M400" s="230"/>
      <c r="N400" s="230"/>
      <c r="O400" s="230"/>
      <c r="P400" s="231">
        <f t="shared" si="115"/>
        <v>1</v>
      </c>
      <c r="Q400" s="215">
        <f t="shared" si="108"/>
        <v>1</v>
      </c>
      <c r="R400" s="217">
        <v>43746</v>
      </c>
      <c r="S400" s="228" t="s">
        <v>52</v>
      </c>
      <c r="T400" s="229"/>
      <c r="U400" s="230"/>
      <c r="V400" s="230"/>
      <c r="W400" s="230"/>
      <c r="X400" s="231">
        <f t="shared" ref="X400:X424" si="116">SUM(T400:W400)</f>
        <v>0</v>
      </c>
      <c r="Y400" s="229"/>
      <c r="Z400" s="230"/>
      <c r="AA400" s="230"/>
      <c r="AB400" s="230"/>
      <c r="AC400" s="231">
        <f t="shared" si="113"/>
        <v>0</v>
      </c>
      <c r="AD400" s="229"/>
      <c r="AE400" s="230">
        <v>3</v>
      </c>
      <c r="AF400" s="230"/>
      <c r="AG400" s="230">
        <v>3</v>
      </c>
      <c r="AH400" s="231">
        <f t="shared" si="114"/>
        <v>6</v>
      </c>
      <c r="AI400" s="215">
        <f t="shared" si="110"/>
        <v>6</v>
      </c>
      <c r="AJ400" s="217">
        <v>43754</v>
      </c>
      <c r="AK400" s="196"/>
    </row>
    <row r="401" spans="1:37" x14ac:dyDescent="0.15">
      <c r="A401" s="228" t="s">
        <v>51</v>
      </c>
      <c r="B401" s="212"/>
      <c r="C401" s="216"/>
      <c r="D401" s="216"/>
      <c r="E401" s="216">
        <v>1</v>
      </c>
      <c r="F401" s="232">
        <f t="shared" si="111"/>
        <v>1</v>
      </c>
      <c r="G401" s="212"/>
      <c r="H401" s="216"/>
      <c r="I401" s="216"/>
      <c r="J401" s="216"/>
      <c r="K401" s="232">
        <f t="shared" si="112"/>
        <v>0</v>
      </c>
      <c r="L401" s="212"/>
      <c r="M401" s="216"/>
      <c r="N401" s="216"/>
      <c r="O401" s="216"/>
      <c r="P401" s="232">
        <f t="shared" si="115"/>
        <v>0</v>
      </c>
      <c r="Q401" s="215">
        <f t="shared" si="108"/>
        <v>1</v>
      </c>
      <c r="R401" s="218">
        <v>43748</v>
      </c>
      <c r="S401" s="228" t="s">
        <v>21</v>
      </c>
      <c r="T401" s="212"/>
      <c r="U401" s="216"/>
      <c r="V401" s="216"/>
      <c r="W401" s="216"/>
      <c r="X401" s="232">
        <f t="shared" si="116"/>
        <v>0</v>
      </c>
      <c r="Y401" s="212"/>
      <c r="Z401" s="216"/>
      <c r="AA401" s="216"/>
      <c r="AB401" s="216"/>
      <c r="AC401" s="232">
        <f t="shared" si="113"/>
        <v>0</v>
      </c>
      <c r="AD401" s="212">
        <v>3</v>
      </c>
      <c r="AE401" s="216"/>
      <c r="AF401" s="216"/>
      <c r="AG401" s="216"/>
      <c r="AH401" s="232">
        <f t="shared" si="114"/>
        <v>3</v>
      </c>
      <c r="AI401" s="215">
        <f t="shared" si="110"/>
        <v>3</v>
      </c>
      <c r="AJ401" s="217">
        <v>43766</v>
      </c>
      <c r="AK401" s="196"/>
    </row>
    <row r="402" spans="1:37" x14ac:dyDescent="0.15">
      <c r="A402" s="228" t="s">
        <v>82</v>
      </c>
      <c r="B402" s="212"/>
      <c r="C402" s="216"/>
      <c r="D402" s="216"/>
      <c r="E402" s="216"/>
      <c r="F402" s="232">
        <f t="shared" si="111"/>
        <v>0</v>
      </c>
      <c r="G402" s="212"/>
      <c r="H402" s="216"/>
      <c r="I402" s="216"/>
      <c r="J402" s="216"/>
      <c r="K402" s="232">
        <f t="shared" si="112"/>
        <v>0</v>
      </c>
      <c r="L402" s="212">
        <v>1</v>
      </c>
      <c r="M402" s="216"/>
      <c r="N402" s="216"/>
      <c r="O402" s="216"/>
      <c r="P402" s="232">
        <f t="shared" si="115"/>
        <v>1</v>
      </c>
      <c r="Q402" s="215">
        <f t="shared" si="108"/>
        <v>1</v>
      </c>
      <c r="R402" s="217">
        <v>43754</v>
      </c>
      <c r="S402" s="228" t="s">
        <v>55</v>
      </c>
      <c r="T402" s="212"/>
      <c r="U402" s="216"/>
      <c r="V402" s="216"/>
      <c r="W402" s="216"/>
      <c r="X402" s="232">
        <f t="shared" si="116"/>
        <v>0</v>
      </c>
      <c r="Y402" s="212"/>
      <c r="Z402" s="216"/>
      <c r="AA402" s="216"/>
      <c r="AB402" s="216">
        <v>3</v>
      </c>
      <c r="AC402" s="232">
        <f t="shared" si="113"/>
        <v>3</v>
      </c>
      <c r="AD402" s="212"/>
      <c r="AE402" s="216"/>
      <c r="AF402" s="216"/>
      <c r="AG402" s="216"/>
      <c r="AH402" s="232">
        <f t="shared" si="114"/>
        <v>0</v>
      </c>
      <c r="AI402" s="215">
        <f t="shared" si="110"/>
        <v>3</v>
      </c>
      <c r="AJ402" s="217">
        <v>43774</v>
      </c>
      <c r="AK402" s="196"/>
    </row>
    <row r="403" spans="1:37" x14ac:dyDescent="0.15">
      <c r="A403" s="228" t="s">
        <v>51</v>
      </c>
      <c r="B403" s="212"/>
      <c r="C403" s="216"/>
      <c r="D403" s="216"/>
      <c r="E403" s="216"/>
      <c r="F403" s="232">
        <f t="shared" si="111"/>
        <v>0</v>
      </c>
      <c r="G403" s="212"/>
      <c r="H403" s="216"/>
      <c r="I403" s="216"/>
      <c r="J403" s="216"/>
      <c r="K403" s="232">
        <f t="shared" si="112"/>
        <v>0</v>
      </c>
      <c r="L403" s="212"/>
      <c r="M403" s="216">
        <v>1</v>
      </c>
      <c r="N403" s="216"/>
      <c r="O403" s="216"/>
      <c r="P403" s="232">
        <f t="shared" si="115"/>
        <v>1</v>
      </c>
      <c r="Q403" s="215">
        <f t="shared" si="108"/>
        <v>1</v>
      </c>
      <c r="R403" s="217">
        <v>43753</v>
      </c>
      <c r="S403" s="228" t="s">
        <v>52</v>
      </c>
      <c r="T403" s="212"/>
      <c r="U403" s="216"/>
      <c r="V403" s="216"/>
      <c r="W403" s="216"/>
      <c r="X403" s="232">
        <f t="shared" si="116"/>
        <v>0</v>
      </c>
      <c r="Y403" s="212"/>
      <c r="Z403" s="216"/>
      <c r="AA403" s="216"/>
      <c r="AB403" s="216"/>
      <c r="AC403" s="232">
        <f t="shared" si="113"/>
        <v>0</v>
      </c>
      <c r="AD403" s="212">
        <v>3</v>
      </c>
      <c r="AE403" s="216"/>
      <c r="AF403" s="216"/>
      <c r="AG403" s="216"/>
      <c r="AH403" s="232">
        <f t="shared" si="114"/>
        <v>3</v>
      </c>
      <c r="AI403" s="215">
        <f t="shared" si="110"/>
        <v>3</v>
      </c>
      <c r="AJ403" s="217">
        <v>43781</v>
      </c>
      <c r="AK403" s="196"/>
    </row>
    <row r="404" spans="1:37" x14ac:dyDescent="0.15">
      <c r="A404" s="228" t="s">
        <v>51</v>
      </c>
      <c r="B404" s="212"/>
      <c r="C404" s="216"/>
      <c r="D404" s="216"/>
      <c r="E404" s="216"/>
      <c r="F404" s="232">
        <f t="shared" si="111"/>
        <v>0</v>
      </c>
      <c r="G404" s="212"/>
      <c r="H404" s="216"/>
      <c r="I404" s="216"/>
      <c r="J404" s="216"/>
      <c r="K404" s="232">
        <f t="shared" si="112"/>
        <v>0</v>
      </c>
      <c r="L404" s="212"/>
      <c r="M404" s="216">
        <v>1</v>
      </c>
      <c r="N404" s="216"/>
      <c r="O404" s="216"/>
      <c r="P404" s="232">
        <f t="shared" si="115"/>
        <v>1</v>
      </c>
      <c r="Q404" s="215">
        <f t="shared" si="108"/>
        <v>1</v>
      </c>
      <c r="R404" s="217">
        <v>43762</v>
      </c>
      <c r="S404" s="228" t="s">
        <v>55</v>
      </c>
      <c r="T404" s="212"/>
      <c r="U404" s="216"/>
      <c r="V404" s="216"/>
      <c r="W404" s="216"/>
      <c r="X404" s="232">
        <f t="shared" si="116"/>
        <v>0</v>
      </c>
      <c r="Y404" s="212"/>
      <c r="Z404" s="216"/>
      <c r="AA404" s="216"/>
      <c r="AB404" s="216">
        <v>2</v>
      </c>
      <c r="AC404" s="232">
        <f t="shared" si="113"/>
        <v>2</v>
      </c>
      <c r="AD404" s="212"/>
      <c r="AE404" s="216"/>
      <c r="AF404" s="216"/>
      <c r="AG404" s="216"/>
      <c r="AH404" s="232">
        <f t="shared" si="114"/>
        <v>0</v>
      </c>
      <c r="AI404" s="215">
        <f t="shared" si="110"/>
        <v>2</v>
      </c>
      <c r="AJ404" s="217">
        <v>43790</v>
      </c>
      <c r="AK404" s="196"/>
    </row>
    <row r="405" spans="1:37" x14ac:dyDescent="0.15">
      <c r="A405" s="228" t="s">
        <v>51</v>
      </c>
      <c r="B405" s="212"/>
      <c r="C405" s="216"/>
      <c r="D405" s="216"/>
      <c r="E405" s="216"/>
      <c r="F405" s="232">
        <f t="shared" si="111"/>
        <v>0</v>
      </c>
      <c r="G405" s="212"/>
      <c r="H405" s="216"/>
      <c r="I405" s="216"/>
      <c r="J405" s="216"/>
      <c r="K405" s="232">
        <f t="shared" si="112"/>
        <v>0</v>
      </c>
      <c r="L405" s="212">
        <v>1</v>
      </c>
      <c r="M405" s="216"/>
      <c r="N405" s="216"/>
      <c r="O405" s="216"/>
      <c r="P405" s="232">
        <f t="shared" si="115"/>
        <v>1</v>
      </c>
      <c r="Q405" s="215">
        <f t="shared" si="108"/>
        <v>1</v>
      </c>
      <c r="R405" s="217">
        <v>43763</v>
      </c>
      <c r="S405" s="228" t="s">
        <v>52</v>
      </c>
      <c r="T405" s="212"/>
      <c r="U405" s="216"/>
      <c r="V405" s="216"/>
      <c r="W405" s="216"/>
      <c r="X405" s="232">
        <f t="shared" si="116"/>
        <v>0</v>
      </c>
      <c r="Y405" s="212"/>
      <c r="Z405" s="216"/>
      <c r="AA405" s="216">
        <v>3</v>
      </c>
      <c r="AB405" s="216"/>
      <c r="AC405" s="232">
        <f t="shared" si="113"/>
        <v>3</v>
      </c>
      <c r="AD405" s="212"/>
      <c r="AE405" s="216"/>
      <c r="AF405" s="216"/>
      <c r="AG405" s="216"/>
      <c r="AH405" s="232">
        <f t="shared" si="114"/>
        <v>0</v>
      </c>
      <c r="AI405" s="215">
        <f t="shared" si="110"/>
        <v>3</v>
      </c>
      <c r="AJ405" s="217">
        <v>43802</v>
      </c>
      <c r="AK405" s="196"/>
    </row>
    <row r="406" spans="1:37" x14ac:dyDescent="0.15">
      <c r="A406" s="228" t="s">
        <v>66</v>
      </c>
      <c r="B406" s="212"/>
      <c r="C406" s="216"/>
      <c r="D406" s="216"/>
      <c r="E406" s="216"/>
      <c r="F406" s="232">
        <f t="shared" si="111"/>
        <v>0</v>
      </c>
      <c r="G406" s="212"/>
      <c r="H406" s="216"/>
      <c r="I406" s="216"/>
      <c r="J406" s="216">
        <v>2</v>
      </c>
      <c r="K406" s="232">
        <f t="shared" si="112"/>
        <v>2</v>
      </c>
      <c r="L406" s="212"/>
      <c r="M406" s="216"/>
      <c r="N406" s="216"/>
      <c r="O406" s="216"/>
      <c r="P406" s="232">
        <f t="shared" si="115"/>
        <v>0</v>
      </c>
      <c r="Q406" s="215">
        <f t="shared" si="108"/>
        <v>2</v>
      </c>
      <c r="R406" s="218">
        <v>43771</v>
      </c>
      <c r="S406" s="228" t="s">
        <v>21</v>
      </c>
      <c r="T406" s="212"/>
      <c r="U406" s="216"/>
      <c r="V406" s="216"/>
      <c r="W406" s="216"/>
      <c r="X406" s="232">
        <f t="shared" si="116"/>
        <v>0</v>
      </c>
      <c r="Y406" s="212"/>
      <c r="Z406" s="216"/>
      <c r="AA406" s="216"/>
      <c r="AB406" s="216"/>
      <c r="AC406" s="232">
        <f t="shared" si="113"/>
        <v>0</v>
      </c>
      <c r="AD406" s="212">
        <v>3</v>
      </c>
      <c r="AE406" s="216"/>
      <c r="AF406" s="216"/>
      <c r="AG406" s="216"/>
      <c r="AH406" s="232">
        <f t="shared" si="114"/>
        <v>3</v>
      </c>
      <c r="AI406" s="215">
        <f t="shared" si="110"/>
        <v>3</v>
      </c>
      <c r="AJ406" s="217">
        <v>43802</v>
      </c>
      <c r="AK406" s="196"/>
    </row>
    <row r="407" spans="1:37" x14ac:dyDescent="0.15">
      <c r="A407" s="228" t="s">
        <v>51</v>
      </c>
      <c r="B407" s="212"/>
      <c r="C407" s="216"/>
      <c r="D407" s="216"/>
      <c r="E407" s="216"/>
      <c r="F407" s="232">
        <f t="shared" si="111"/>
        <v>0</v>
      </c>
      <c r="G407" s="212"/>
      <c r="H407" s="216"/>
      <c r="I407" s="216">
        <v>1</v>
      </c>
      <c r="J407" s="216"/>
      <c r="K407" s="232">
        <f t="shared" si="112"/>
        <v>1</v>
      </c>
      <c r="L407" s="212"/>
      <c r="M407" s="216"/>
      <c r="N407" s="216"/>
      <c r="O407" s="216"/>
      <c r="P407" s="232">
        <f t="shared" si="115"/>
        <v>0</v>
      </c>
      <c r="Q407" s="215">
        <f t="shared" si="108"/>
        <v>1</v>
      </c>
      <c r="R407" s="217">
        <v>43774</v>
      </c>
      <c r="S407" s="228" t="s">
        <v>21</v>
      </c>
      <c r="T407" s="212"/>
      <c r="U407" s="216"/>
      <c r="V407" s="216"/>
      <c r="W407" s="216"/>
      <c r="X407" s="232">
        <f t="shared" si="116"/>
        <v>0</v>
      </c>
      <c r="Y407" s="212"/>
      <c r="Z407" s="216"/>
      <c r="AA407" s="216"/>
      <c r="AB407" s="216"/>
      <c r="AC407" s="232">
        <f t="shared" si="113"/>
        <v>0</v>
      </c>
      <c r="AD407" s="212">
        <v>3</v>
      </c>
      <c r="AE407" s="216"/>
      <c r="AF407" s="216"/>
      <c r="AG407" s="216"/>
      <c r="AH407" s="232">
        <f t="shared" si="114"/>
        <v>3</v>
      </c>
      <c r="AI407" s="215">
        <f t="shared" si="110"/>
        <v>3</v>
      </c>
      <c r="AJ407" s="217">
        <v>43806</v>
      </c>
      <c r="AK407" s="196"/>
    </row>
    <row r="408" spans="1:37" x14ac:dyDescent="0.15">
      <c r="A408" s="228" t="s">
        <v>51</v>
      </c>
      <c r="B408" s="233"/>
      <c r="C408" s="234"/>
      <c r="D408" s="234"/>
      <c r="E408" s="234"/>
      <c r="F408" s="235">
        <f t="shared" si="111"/>
        <v>0</v>
      </c>
      <c r="G408" s="233"/>
      <c r="H408" s="234"/>
      <c r="I408" s="234"/>
      <c r="J408" s="234"/>
      <c r="K408" s="235">
        <f t="shared" si="112"/>
        <v>0</v>
      </c>
      <c r="L408" s="233">
        <v>1</v>
      </c>
      <c r="M408" s="234"/>
      <c r="N408" s="234"/>
      <c r="O408" s="234"/>
      <c r="P408" s="235">
        <f t="shared" si="115"/>
        <v>1</v>
      </c>
      <c r="Q408" s="215">
        <f t="shared" si="108"/>
        <v>1</v>
      </c>
      <c r="R408" s="217">
        <v>43780</v>
      </c>
      <c r="S408" s="228" t="s">
        <v>52</v>
      </c>
      <c r="T408" s="233"/>
      <c r="U408" s="234"/>
      <c r="V408" s="234"/>
      <c r="W408" s="234"/>
      <c r="X408" s="235">
        <f t="shared" si="116"/>
        <v>0</v>
      </c>
      <c r="Y408" s="233"/>
      <c r="Z408" s="234"/>
      <c r="AA408" s="234"/>
      <c r="AB408" s="234"/>
      <c r="AC408" s="235">
        <f t="shared" si="113"/>
        <v>0</v>
      </c>
      <c r="AD408" s="233">
        <v>3</v>
      </c>
      <c r="AE408" s="234"/>
      <c r="AF408" s="234"/>
      <c r="AG408" s="234"/>
      <c r="AH408" s="235">
        <f t="shared" si="114"/>
        <v>3</v>
      </c>
      <c r="AI408" s="215">
        <f t="shared" si="110"/>
        <v>3</v>
      </c>
      <c r="AJ408" s="217">
        <v>43472</v>
      </c>
      <c r="AK408" s="196"/>
    </row>
    <row r="409" spans="1:37" x14ac:dyDescent="0.15">
      <c r="A409" s="228" t="s">
        <v>54</v>
      </c>
      <c r="B409" s="212"/>
      <c r="C409" s="216"/>
      <c r="D409" s="216"/>
      <c r="E409" s="216"/>
      <c r="F409" s="232">
        <f t="shared" si="111"/>
        <v>0</v>
      </c>
      <c r="G409" s="212"/>
      <c r="H409" s="216"/>
      <c r="I409" s="216">
        <v>1</v>
      </c>
      <c r="J409" s="216"/>
      <c r="K409" s="232">
        <f t="shared" si="112"/>
        <v>1</v>
      </c>
      <c r="L409" s="212"/>
      <c r="M409" s="216"/>
      <c r="N409" s="216"/>
      <c r="O409" s="216"/>
      <c r="P409" s="232">
        <f t="shared" si="115"/>
        <v>0</v>
      </c>
      <c r="Q409" s="215">
        <f t="shared" si="108"/>
        <v>1</v>
      </c>
      <c r="R409" s="217">
        <v>43783</v>
      </c>
      <c r="S409" s="228" t="s">
        <v>52</v>
      </c>
      <c r="T409" s="212"/>
      <c r="U409" s="216"/>
      <c r="V409" s="216"/>
      <c r="W409" s="216"/>
      <c r="X409" s="232">
        <f t="shared" si="116"/>
        <v>0</v>
      </c>
      <c r="Y409" s="212"/>
      <c r="Z409" s="216"/>
      <c r="AA409" s="216">
        <v>3</v>
      </c>
      <c r="AB409" s="216"/>
      <c r="AC409" s="232">
        <f t="shared" si="113"/>
        <v>3</v>
      </c>
      <c r="AD409" s="212"/>
      <c r="AE409" s="216"/>
      <c r="AF409" s="216"/>
      <c r="AG409" s="216"/>
      <c r="AH409" s="232">
        <f t="shared" si="114"/>
        <v>0</v>
      </c>
      <c r="AI409" s="215">
        <f t="shared" si="110"/>
        <v>3</v>
      </c>
      <c r="AJ409" s="217">
        <v>43846</v>
      </c>
      <c r="AK409" s="196"/>
    </row>
    <row r="410" spans="1:37" x14ac:dyDescent="0.15">
      <c r="A410" s="228" t="s">
        <v>54</v>
      </c>
      <c r="B410" s="212"/>
      <c r="C410" s="216"/>
      <c r="D410" s="216"/>
      <c r="E410" s="216"/>
      <c r="F410" s="232">
        <f t="shared" si="111"/>
        <v>0</v>
      </c>
      <c r="G410" s="212"/>
      <c r="H410" s="216"/>
      <c r="I410" s="216">
        <v>1</v>
      </c>
      <c r="J410" s="216"/>
      <c r="K410" s="232">
        <f t="shared" si="112"/>
        <v>1</v>
      </c>
      <c r="L410" s="212"/>
      <c r="M410" s="216">
        <v>1</v>
      </c>
      <c r="N410" s="216"/>
      <c r="O410" s="216"/>
      <c r="P410" s="232">
        <f t="shared" si="115"/>
        <v>1</v>
      </c>
      <c r="Q410" s="215">
        <f t="shared" si="108"/>
        <v>2</v>
      </c>
      <c r="R410" s="217">
        <v>43788</v>
      </c>
      <c r="S410" s="228" t="s">
        <v>21</v>
      </c>
      <c r="T410" s="212"/>
      <c r="U410" s="216"/>
      <c r="V410" s="216"/>
      <c r="W410" s="216"/>
      <c r="X410" s="232">
        <f>SUM(T410:W410)</f>
        <v>0</v>
      </c>
      <c r="Y410" s="212"/>
      <c r="Z410" s="216"/>
      <c r="AA410" s="216">
        <v>3</v>
      </c>
      <c r="AB410" s="216">
        <v>3</v>
      </c>
      <c r="AC410" s="232">
        <f>SUM(Y410:AB410)</f>
        <v>6</v>
      </c>
      <c r="AD410" s="212"/>
      <c r="AE410" s="216"/>
      <c r="AF410" s="216"/>
      <c r="AG410" s="216"/>
      <c r="AH410" s="232">
        <f>SUM(AD410:AG410)</f>
        <v>0</v>
      </c>
      <c r="AI410" s="215">
        <f>AC410+AH410+X410</f>
        <v>6</v>
      </c>
      <c r="AJ410" s="217">
        <v>43841</v>
      </c>
      <c r="AK410" s="196"/>
    </row>
    <row r="411" spans="1:37" x14ac:dyDescent="0.15">
      <c r="A411" s="228" t="s">
        <v>88</v>
      </c>
      <c r="B411" s="212">
        <v>1</v>
      </c>
      <c r="C411" s="216"/>
      <c r="D411" s="216"/>
      <c r="E411" s="216"/>
      <c r="F411" s="232">
        <f t="shared" si="111"/>
        <v>1</v>
      </c>
      <c r="G411" s="212"/>
      <c r="H411" s="216"/>
      <c r="I411" s="216"/>
      <c r="J411" s="216"/>
      <c r="K411" s="232">
        <f t="shared" si="112"/>
        <v>0</v>
      </c>
      <c r="L411" s="212"/>
      <c r="M411" s="216"/>
      <c r="N411" s="216"/>
      <c r="O411" s="216"/>
      <c r="P411" s="232">
        <f t="shared" si="115"/>
        <v>0</v>
      </c>
      <c r="Q411" s="215">
        <f t="shared" si="108"/>
        <v>1</v>
      </c>
      <c r="R411" s="217">
        <v>43798</v>
      </c>
      <c r="S411" s="228"/>
      <c r="T411" s="212"/>
      <c r="U411" s="216"/>
      <c r="V411" s="216"/>
      <c r="W411" s="216"/>
      <c r="X411" s="232">
        <f t="shared" si="116"/>
        <v>0</v>
      </c>
      <c r="Y411" s="212"/>
      <c r="Z411" s="216"/>
      <c r="AA411" s="216"/>
      <c r="AB411" s="216"/>
      <c r="AC411" s="232">
        <f t="shared" si="113"/>
        <v>0</v>
      </c>
      <c r="AD411" s="212"/>
      <c r="AE411" s="216"/>
      <c r="AF411" s="216"/>
      <c r="AG411" s="216"/>
      <c r="AH411" s="232">
        <f t="shared" si="114"/>
        <v>0</v>
      </c>
      <c r="AI411" s="215">
        <f t="shared" si="110"/>
        <v>0</v>
      </c>
      <c r="AJ411" s="217"/>
      <c r="AK411" s="196"/>
    </row>
    <row r="412" spans="1:37" x14ac:dyDescent="0.15">
      <c r="A412" s="228" t="s">
        <v>51</v>
      </c>
      <c r="B412" s="212"/>
      <c r="C412" s="216"/>
      <c r="D412" s="216"/>
      <c r="E412" s="216"/>
      <c r="F412" s="232">
        <f t="shared" si="111"/>
        <v>0</v>
      </c>
      <c r="G412" s="212"/>
      <c r="H412" s="216"/>
      <c r="I412" s="216"/>
      <c r="J412" s="216"/>
      <c r="K412" s="232">
        <f t="shared" si="112"/>
        <v>0</v>
      </c>
      <c r="L412" s="212">
        <v>1</v>
      </c>
      <c r="M412" s="216"/>
      <c r="N412" s="216"/>
      <c r="O412" s="216"/>
      <c r="P412" s="232">
        <f t="shared" si="115"/>
        <v>1</v>
      </c>
      <c r="Q412" s="215">
        <f t="shared" si="108"/>
        <v>1</v>
      </c>
      <c r="R412" s="217">
        <v>43801</v>
      </c>
      <c r="S412" s="228"/>
      <c r="T412" s="212"/>
      <c r="U412" s="216"/>
      <c r="V412" s="216"/>
      <c r="W412" s="216"/>
      <c r="X412" s="232">
        <f t="shared" si="116"/>
        <v>0</v>
      </c>
      <c r="Y412" s="212"/>
      <c r="Z412" s="216"/>
      <c r="AA412" s="216"/>
      <c r="AB412" s="216"/>
      <c r="AC412" s="232">
        <f t="shared" si="113"/>
        <v>0</v>
      </c>
      <c r="AD412" s="212"/>
      <c r="AE412" s="216"/>
      <c r="AF412" s="216"/>
      <c r="AG412" s="216"/>
      <c r="AH412" s="232">
        <f t="shared" si="114"/>
        <v>0</v>
      </c>
      <c r="AI412" s="215">
        <f t="shared" si="110"/>
        <v>0</v>
      </c>
      <c r="AJ412" s="217"/>
      <c r="AK412" s="196"/>
    </row>
    <row r="413" spans="1:37" x14ac:dyDescent="0.15">
      <c r="A413" s="228" t="s">
        <v>51</v>
      </c>
      <c r="B413" s="212"/>
      <c r="C413" s="216"/>
      <c r="D413" s="216"/>
      <c r="E413" s="216"/>
      <c r="F413" s="232">
        <f t="shared" si="111"/>
        <v>0</v>
      </c>
      <c r="G413" s="212"/>
      <c r="H413" s="216"/>
      <c r="I413" s="216"/>
      <c r="J413" s="216"/>
      <c r="K413" s="232">
        <f t="shared" si="112"/>
        <v>0</v>
      </c>
      <c r="L413" s="212">
        <v>1</v>
      </c>
      <c r="M413" s="216"/>
      <c r="N413" s="216"/>
      <c r="O413" s="216"/>
      <c r="P413" s="232">
        <f t="shared" si="115"/>
        <v>1</v>
      </c>
      <c r="Q413" s="215">
        <f t="shared" si="108"/>
        <v>1</v>
      </c>
      <c r="R413" s="217">
        <v>43802</v>
      </c>
      <c r="S413" s="228"/>
      <c r="T413" s="212"/>
      <c r="U413" s="216"/>
      <c r="V413" s="216"/>
      <c r="W413" s="216"/>
      <c r="X413" s="232">
        <f t="shared" si="116"/>
        <v>0</v>
      </c>
      <c r="Y413" s="212"/>
      <c r="Z413" s="216"/>
      <c r="AA413" s="216"/>
      <c r="AB413" s="216"/>
      <c r="AC413" s="232">
        <f t="shared" si="113"/>
        <v>0</v>
      </c>
      <c r="AD413" s="212"/>
      <c r="AE413" s="216"/>
      <c r="AF413" s="216"/>
      <c r="AG413" s="216"/>
      <c r="AH413" s="232">
        <f t="shared" si="114"/>
        <v>0</v>
      </c>
      <c r="AI413" s="215">
        <f t="shared" si="110"/>
        <v>0</v>
      </c>
      <c r="AJ413" s="217"/>
      <c r="AK413" s="196"/>
    </row>
    <row r="414" spans="1:37" x14ac:dyDescent="0.15">
      <c r="A414" s="228" t="s">
        <v>51</v>
      </c>
      <c r="B414" s="212"/>
      <c r="C414" s="216"/>
      <c r="D414" s="216"/>
      <c r="E414" s="216"/>
      <c r="F414" s="232">
        <f t="shared" si="111"/>
        <v>0</v>
      </c>
      <c r="G414" s="212"/>
      <c r="H414" s="216"/>
      <c r="I414" s="216"/>
      <c r="J414" s="216"/>
      <c r="K414" s="232">
        <f t="shared" si="112"/>
        <v>0</v>
      </c>
      <c r="L414" s="212">
        <v>1</v>
      </c>
      <c r="M414" s="216"/>
      <c r="N414" s="216"/>
      <c r="O414" s="216"/>
      <c r="P414" s="232">
        <f t="shared" si="115"/>
        <v>1</v>
      </c>
      <c r="Q414" s="215">
        <f t="shared" si="108"/>
        <v>1</v>
      </c>
      <c r="R414" s="217">
        <v>43804</v>
      </c>
      <c r="S414" s="228"/>
      <c r="T414" s="212"/>
      <c r="U414" s="216"/>
      <c r="V414" s="216"/>
      <c r="W414" s="216"/>
      <c r="X414" s="232">
        <f t="shared" si="116"/>
        <v>0</v>
      </c>
      <c r="Y414" s="212"/>
      <c r="Z414" s="216"/>
      <c r="AA414" s="216"/>
      <c r="AB414" s="216"/>
      <c r="AC414" s="232">
        <f t="shared" si="113"/>
        <v>0</v>
      </c>
      <c r="AD414" s="212"/>
      <c r="AE414" s="216"/>
      <c r="AF414" s="216"/>
      <c r="AG414" s="216"/>
      <c r="AH414" s="232">
        <f t="shared" si="114"/>
        <v>0</v>
      </c>
      <c r="AI414" s="215">
        <f t="shared" si="110"/>
        <v>0</v>
      </c>
      <c r="AJ414" s="217"/>
      <c r="AK414" s="196"/>
    </row>
    <row r="415" spans="1:37" x14ac:dyDescent="0.15">
      <c r="A415" s="211" t="s">
        <v>29</v>
      </c>
      <c r="B415" s="212"/>
      <c r="C415" s="216"/>
      <c r="D415" s="216"/>
      <c r="E415" s="216"/>
      <c r="F415" s="232">
        <f t="shared" si="111"/>
        <v>0</v>
      </c>
      <c r="G415" s="212"/>
      <c r="H415" s="216"/>
      <c r="I415" s="216"/>
      <c r="J415" s="216"/>
      <c r="K415" s="232">
        <f t="shared" si="112"/>
        <v>0</v>
      </c>
      <c r="L415" s="212"/>
      <c r="M415" s="216"/>
      <c r="N415" s="216">
        <v>-1</v>
      </c>
      <c r="O415" s="216">
        <v>-1</v>
      </c>
      <c r="P415" s="232">
        <f t="shared" si="115"/>
        <v>-2</v>
      </c>
      <c r="Q415" s="215">
        <f t="shared" si="108"/>
        <v>-2</v>
      </c>
      <c r="R415" s="217">
        <v>43810</v>
      </c>
      <c r="S415" s="228"/>
      <c r="T415" s="212"/>
      <c r="U415" s="216"/>
      <c r="V415" s="216"/>
      <c r="W415" s="216"/>
      <c r="X415" s="232">
        <f t="shared" si="116"/>
        <v>0</v>
      </c>
      <c r="Y415" s="212"/>
      <c r="Z415" s="216"/>
      <c r="AA415" s="216"/>
      <c r="AB415" s="216"/>
      <c r="AC415" s="232">
        <f t="shared" si="113"/>
        <v>0</v>
      </c>
      <c r="AD415" s="212"/>
      <c r="AE415" s="216"/>
      <c r="AF415" s="216"/>
      <c r="AG415" s="216"/>
      <c r="AH415" s="232">
        <f t="shared" si="114"/>
        <v>0</v>
      </c>
      <c r="AI415" s="215">
        <f t="shared" si="110"/>
        <v>0</v>
      </c>
      <c r="AJ415" s="217"/>
      <c r="AK415" s="196"/>
    </row>
    <row r="416" spans="1:37" x14ac:dyDescent="0.15">
      <c r="A416" s="228" t="s">
        <v>51</v>
      </c>
      <c r="B416" s="212"/>
      <c r="C416" s="216"/>
      <c r="D416" s="216"/>
      <c r="E416" s="216">
        <v>1</v>
      </c>
      <c r="F416" s="232">
        <f>SUM(B416:E416)</f>
        <v>1</v>
      </c>
      <c r="G416" s="212"/>
      <c r="H416" s="216"/>
      <c r="I416" s="216"/>
      <c r="J416" s="216"/>
      <c r="K416" s="232">
        <f>SUM(G416:J416)</f>
        <v>0</v>
      </c>
      <c r="L416" s="212"/>
      <c r="M416" s="216"/>
      <c r="N416" s="216"/>
      <c r="O416" s="216"/>
      <c r="P416" s="232">
        <f>SUM(L416:O416)</f>
        <v>0</v>
      </c>
      <c r="Q416" s="215">
        <f>K416+P416+F416</f>
        <v>1</v>
      </c>
      <c r="R416" s="217">
        <v>43818</v>
      </c>
      <c r="S416" s="228"/>
      <c r="T416" s="212"/>
      <c r="U416" s="216"/>
      <c r="V416" s="216"/>
      <c r="W416" s="216"/>
      <c r="X416" s="232">
        <f t="shared" si="116"/>
        <v>0</v>
      </c>
      <c r="Y416" s="212"/>
      <c r="Z416" s="216"/>
      <c r="AA416" s="216"/>
      <c r="AB416" s="216"/>
      <c r="AC416" s="232">
        <f t="shared" si="113"/>
        <v>0</v>
      </c>
      <c r="AD416" s="212"/>
      <c r="AE416" s="216"/>
      <c r="AF416" s="216"/>
      <c r="AG416" s="216"/>
      <c r="AH416" s="232">
        <f t="shared" si="114"/>
        <v>0</v>
      </c>
      <c r="AI416" s="215">
        <f t="shared" si="110"/>
        <v>0</v>
      </c>
      <c r="AJ416" s="217"/>
      <c r="AK416" s="196"/>
    </row>
    <row r="417" spans="1:37" x14ac:dyDescent="0.15">
      <c r="A417" s="228" t="s">
        <v>51</v>
      </c>
      <c r="B417" s="212"/>
      <c r="C417" s="216"/>
      <c r="D417" s="216"/>
      <c r="E417" s="216"/>
      <c r="F417" s="232">
        <f t="shared" ref="F417:F425" si="117">SUM(B417:E417)</f>
        <v>0</v>
      </c>
      <c r="G417" s="212"/>
      <c r="H417" s="216"/>
      <c r="I417" s="216"/>
      <c r="J417" s="216">
        <v>1</v>
      </c>
      <c r="K417" s="232">
        <f t="shared" ref="K417:K425" si="118">SUM(G417:J417)</f>
        <v>1</v>
      </c>
      <c r="L417" s="212"/>
      <c r="M417" s="216"/>
      <c r="N417" s="216"/>
      <c r="O417" s="216"/>
      <c r="P417" s="232">
        <f t="shared" ref="P417:P425" si="119">SUM(L417:O417)</f>
        <v>0</v>
      </c>
      <c r="Q417" s="215">
        <f t="shared" ref="Q417:Q427" si="120">K417+P417+F417</f>
        <v>1</v>
      </c>
      <c r="R417" s="217">
        <v>43823</v>
      </c>
      <c r="S417" s="228"/>
      <c r="T417" s="212"/>
      <c r="U417" s="216"/>
      <c r="V417" s="216"/>
      <c r="W417" s="216"/>
      <c r="X417" s="232">
        <f t="shared" si="116"/>
        <v>0</v>
      </c>
      <c r="Y417" s="212"/>
      <c r="Z417" s="216"/>
      <c r="AA417" s="216"/>
      <c r="AB417" s="216"/>
      <c r="AC417" s="232">
        <f t="shared" si="113"/>
        <v>0</v>
      </c>
      <c r="AD417" s="212"/>
      <c r="AE417" s="216"/>
      <c r="AF417" s="216"/>
      <c r="AG417" s="216"/>
      <c r="AH417" s="232">
        <f t="shared" si="114"/>
        <v>0</v>
      </c>
      <c r="AI417" s="215">
        <f t="shared" si="110"/>
        <v>0</v>
      </c>
      <c r="AJ417" s="217"/>
      <c r="AK417" s="196"/>
    </row>
    <row r="418" spans="1:37" x14ac:dyDescent="0.15">
      <c r="A418" s="228" t="s">
        <v>51</v>
      </c>
      <c r="B418" s="212"/>
      <c r="C418" s="216"/>
      <c r="D418" s="216"/>
      <c r="E418" s="216"/>
      <c r="F418" s="232">
        <f t="shared" si="117"/>
        <v>0</v>
      </c>
      <c r="G418" s="212"/>
      <c r="H418" s="216"/>
      <c r="I418" s="216"/>
      <c r="J418" s="216"/>
      <c r="K418" s="232">
        <f t="shared" si="118"/>
        <v>0</v>
      </c>
      <c r="L418" s="212"/>
      <c r="M418" s="216"/>
      <c r="N418" s="216">
        <v>1</v>
      </c>
      <c r="O418" s="216"/>
      <c r="P418" s="232">
        <f t="shared" si="119"/>
        <v>1</v>
      </c>
      <c r="Q418" s="215">
        <f t="shared" si="120"/>
        <v>1</v>
      </c>
      <c r="R418" s="218">
        <v>43824</v>
      </c>
      <c r="S418" s="228"/>
      <c r="T418" s="212"/>
      <c r="U418" s="216"/>
      <c r="V418" s="216"/>
      <c r="W418" s="216"/>
      <c r="X418" s="232">
        <f t="shared" si="116"/>
        <v>0</v>
      </c>
      <c r="Y418" s="212"/>
      <c r="Z418" s="216"/>
      <c r="AA418" s="216"/>
      <c r="AB418" s="216"/>
      <c r="AC418" s="232">
        <f t="shared" si="113"/>
        <v>0</v>
      </c>
      <c r="AD418" s="212"/>
      <c r="AE418" s="216"/>
      <c r="AF418" s="216"/>
      <c r="AG418" s="216"/>
      <c r="AH418" s="232">
        <f t="shared" si="114"/>
        <v>0</v>
      </c>
      <c r="AI418" s="215">
        <f t="shared" si="110"/>
        <v>0</v>
      </c>
      <c r="AJ418" s="217"/>
      <c r="AK418" s="196"/>
    </row>
    <row r="419" spans="1:37" x14ac:dyDescent="0.15">
      <c r="A419" s="236" t="s">
        <v>91</v>
      </c>
      <c r="B419" s="233"/>
      <c r="C419" s="234"/>
      <c r="D419" s="234"/>
      <c r="E419" s="234">
        <v>1</v>
      </c>
      <c r="F419" s="235">
        <f t="shared" si="117"/>
        <v>1</v>
      </c>
      <c r="G419" s="233"/>
      <c r="H419" s="234"/>
      <c r="I419" s="234">
        <v>1</v>
      </c>
      <c r="J419" s="234">
        <v>1</v>
      </c>
      <c r="K419" s="235">
        <f t="shared" si="118"/>
        <v>2</v>
      </c>
      <c r="L419" s="233"/>
      <c r="M419" s="234"/>
      <c r="N419" s="234"/>
      <c r="O419" s="234"/>
      <c r="P419" s="235">
        <f t="shared" si="119"/>
        <v>0</v>
      </c>
      <c r="Q419" s="215">
        <f t="shared" si="120"/>
        <v>3</v>
      </c>
      <c r="R419" s="217">
        <v>43852</v>
      </c>
      <c r="S419" s="228"/>
      <c r="T419" s="233"/>
      <c r="U419" s="234"/>
      <c r="V419" s="234"/>
      <c r="W419" s="234"/>
      <c r="X419" s="235">
        <f t="shared" si="116"/>
        <v>0</v>
      </c>
      <c r="Y419" s="233"/>
      <c r="Z419" s="234"/>
      <c r="AA419" s="234"/>
      <c r="AB419" s="234"/>
      <c r="AC419" s="235">
        <f t="shared" si="113"/>
        <v>0</v>
      </c>
      <c r="AD419" s="233"/>
      <c r="AE419" s="234"/>
      <c r="AF419" s="234"/>
      <c r="AG419" s="234"/>
      <c r="AH419" s="235">
        <f t="shared" si="114"/>
        <v>0</v>
      </c>
      <c r="AI419" s="215">
        <f t="shared" si="110"/>
        <v>0</v>
      </c>
      <c r="AJ419" s="217"/>
      <c r="AK419" s="196"/>
    </row>
    <row r="420" spans="1:37" x14ac:dyDescent="0.15">
      <c r="A420" s="228" t="s">
        <v>92</v>
      </c>
      <c r="B420" s="212"/>
      <c r="C420" s="216"/>
      <c r="D420" s="216"/>
      <c r="E420" s="216"/>
      <c r="F420" s="232">
        <f t="shared" si="117"/>
        <v>0</v>
      </c>
      <c r="G420" s="212"/>
      <c r="H420" s="216"/>
      <c r="I420" s="216">
        <v>-3</v>
      </c>
      <c r="J420" s="216">
        <v>-2</v>
      </c>
      <c r="K420" s="232">
        <f t="shared" si="118"/>
        <v>-5</v>
      </c>
      <c r="L420" s="212"/>
      <c r="M420" s="216"/>
      <c r="N420" s="216"/>
      <c r="O420" s="216"/>
      <c r="P420" s="232">
        <f t="shared" si="119"/>
        <v>0</v>
      </c>
      <c r="Q420" s="215">
        <f t="shared" si="120"/>
        <v>-5</v>
      </c>
      <c r="R420" s="217">
        <v>43837</v>
      </c>
      <c r="S420" s="228"/>
      <c r="T420" s="212"/>
      <c r="U420" s="216"/>
      <c r="V420" s="216"/>
      <c r="W420" s="216"/>
      <c r="X420" s="232">
        <f t="shared" si="116"/>
        <v>0</v>
      </c>
      <c r="Y420" s="212"/>
      <c r="Z420" s="216"/>
      <c r="AA420" s="216"/>
      <c r="AB420" s="216"/>
      <c r="AC420" s="232">
        <f t="shared" si="113"/>
        <v>0</v>
      </c>
      <c r="AD420" s="212"/>
      <c r="AE420" s="216"/>
      <c r="AF420" s="216"/>
      <c r="AG420" s="216"/>
      <c r="AH420" s="232">
        <f t="shared" si="114"/>
        <v>0</v>
      </c>
      <c r="AI420" s="215">
        <f t="shared" si="110"/>
        <v>0</v>
      </c>
      <c r="AJ420" s="217"/>
      <c r="AK420" s="196"/>
    </row>
    <row r="421" spans="1:37" x14ac:dyDescent="0.15">
      <c r="A421" s="228" t="s">
        <v>51</v>
      </c>
      <c r="B421" s="237"/>
      <c r="C421" s="238"/>
      <c r="D421" s="238"/>
      <c r="E421" s="238"/>
      <c r="F421" s="232">
        <f t="shared" si="117"/>
        <v>0</v>
      </c>
      <c r="G421" s="237"/>
      <c r="H421" s="238"/>
      <c r="I421" s="238">
        <v>1</v>
      </c>
      <c r="J421" s="238"/>
      <c r="K421" s="232">
        <f t="shared" si="118"/>
        <v>1</v>
      </c>
      <c r="L421" s="237"/>
      <c r="M421" s="238"/>
      <c r="N421" s="238"/>
      <c r="O421" s="238"/>
      <c r="P421" s="232">
        <f t="shared" si="119"/>
        <v>0</v>
      </c>
      <c r="Q421" s="215">
        <f t="shared" si="120"/>
        <v>1</v>
      </c>
      <c r="R421" s="218">
        <v>43839</v>
      </c>
      <c r="S421" s="228"/>
      <c r="T421" s="237"/>
      <c r="U421" s="238"/>
      <c r="V421" s="238"/>
      <c r="W421" s="238"/>
      <c r="X421" s="232">
        <f t="shared" si="116"/>
        <v>0</v>
      </c>
      <c r="Y421" s="237"/>
      <c r="Z421" s="238"/>
      <c r="AA421" s="238"/>
      <c r="AB421" s="238"/>
      <c r="AC421" s="232">
        <f t="shared" si="113"/>
        <v>0</v>
      </c>
      <c r="AD421" s="237"/>
      <c r="AE421" s="238"/>
      <c r="AF421" s="238"/>
      <c r="AG421" s="238"/>
      <c r="AH421" s="232">
        <f t="shared" si="114"/>
        <v>0</v>
      </c>
      <c r="AI421" s="215">
        <f t="shared" si="110"/>
        <v>0</v>
      </c>
      <c r="AJ421" s="217"/>
      <c r="AK421" s="196"/>
    </row>
    <row r="422" spans="1:37" x14ac:dyDescent="0.15">
      <c r="A422" s="228" t="s">
        <v>28</v>
      </c>
      <c r="B422" s="212"/>
      <c r="C422" s="216"/>
      <c r="D422" s="216"/>
      <c r="E422" s="216"/>
      <c r="F422" s="232">
        <f t="shared" si="117"/>
        <v>0</v>
      </c>
      <c r="G422" s="212"/>
      <c r="H422" s="216"/>
      <c r="I422" s="216">
        <v>-3</v>
      </c>
      <c r="J422" s="216">
        <v>-3</v>
      </c>
      <c r="K422" s="232">
        <f t="shared" si="118"/>
        <v>-6</v>
      </c>
      <c r="L422" s="212"/>
      <c r="M422" s="216"/>
      <c r="N422" s="216"/>
      <c r="O422" s="216"/>
      <c r="P422" s="232">
        <f t="shared" si="119"/>
        <v>0</v>
      </c>
      <c r="Q422" s="215">
        <f t="shared" si="120"/>
        <v>-6</v>
      </c>
      <c r="R422" s="217">
        <v>43841</v>
      </c>
      <c r="S422" s="228"/>
      <c r="T422" s="212"/>
      <c r="U422" s="216"/>
      <c r="V422" s="216"/>
      <c r="W422" s="216"/>
      <c r="X422" s="232">
        <f t="shared" si="116"/>
        <v>0</v>
      </c>
      <c r="Y422" s="212"/>
      <c r="Z422" s="216"/>
      <c r="AA422" s="216"/>
      <c r="AB422" s="216"/>
      <c r="AC422" s="232">
        <f t="shared" si="113"/>
        <v>0</v>
      </c>
      <c r="AD422" s="212"/>
      <c r="AE422" s="216"/>
      <c r="AF422" s="216"/>
      <c r="AG422" s="216"/>
      <c r="AH422" s="232">
        <f t="shared" si="114"/>
        <v>0</v>
      </c>
      <c r="AI422" s="215">
        <f t="shared" si="110"/>
        <v>0</v>
      </c>
      <c r="AJ422" s="217"/>
      <c r="AK422" s="196"/>
    </row>
    <row r="423" spans="1:37" x14ac:dyDescent="0.15">
      <c r="A423" s="228"/>
      <c r="B423" s="239"/>
      <c r="C423" s="240"/>
      <c r="D423" s="240"/>
      <c r="E423" s="240"/>
      <c r="F423" s="232">
        <f t="shared" si="117"/>
        <v>0</v>
      </c>
      <c r="G423" s="239"/>
      <c r="H423" s="240"/>
      <c r="I423" s="240"/>
      <c r="J423" s="240"/>
      <c r="K423" s="232">
        <f t="shared" si="118"/>
        <v>0</v>
      </c>
      <c r="L423" s="239"/>
      <c r="M423" s="240"/>
      <c r="N423" s="240"/>
      <c r="O423" s="240"/>
      <c r="P423" s="232">
        <f t="shared" si="119"/>
        <v>0</v>
      </c>
      <c r="Q423" s="215">
        <f t="shared" si="120"/>
        <v>0</v>
      </c>
      <c r="R423" s="217"/>
      <c r="S423" s="241"/>
      <c r="T423" s="239"/>
      <c r="U423" s="240"/>
      <c r="V423" s="240"/>
      <c r="W423" s="240"/>
      <c r="X423" s="232">
        <f t="shared" si="116"/>
        <v>0</v>
      </c>
      <c r="Y423" s="239"/>
      <c r="Z423" s="240"/>
      <c r="AA423" s="240"/>
      <c r="AB423" s="240"/>
      <c r="AC423" s="232">
        <f t="shared" si="113"/>
        <v>0</v>
      </c>
      <c r="AD423" s="239"/>
      <c r="AE423" s="240"/>
      <c r="AF423" s="240"/>
      <c r="AG423" s="240"/>
      <c r="AH423" s="232">
        <f t="shared" si="114"/>
        <v>0</v>
      </c>
      <c r="AI423" s="215">
        <f t="shared" si="110"/>
        <v>0</v>
      </c>
      <c r="AJ423" s="242"/>
      <c r="AK423" s="196"/>
    </row>
    <row r="424" spans="1:37" x14ac:dyDescent="0.15">
      <c r="A424" s="228"/>
      <c r="B424" s="239"/>
      <c r="C424" s="240"/>
      <c r="D424" s="240"/>
      <c r="E424" s="240"/>
      <c r="F424" s="232">
        <f t="shared" si="117"/>
        <v>0</v>
      </c>
      <c r="G424" s="239"/>
      <c r="H424" s="240"/>
      <c r="I424" s="240"/>
      <c r="J424" s="240"/>
      <c r="K424" s="232">
        <f t="shared" si="118"/>
        <v>0</v>
      </c>
      <c r="L424" s="239"/>
      <c r="M424" s="240"/>
      <c r="N424" s="240"/>
      <c r="O424" s="240"/>
      <c r="P424" s="232">
        <f t="shared" si="119"/>
        <v>0</v>
      </c>
      <c r="Q424" s="215">
        <f t="shared" si="120"/>
        <v>0</v>
      </c>
      <c r="R424" s="217"/>
      <c r="S424" s="241"/>
      <c r="T424" s="239"/>
      <c r="U424" s="240"/>
      <c r="V424" s="240"/>
      <c r="W424" s="240"/>
      <c r="X424" s="232">
        <f t="shared" si="116"/>
        <v>0</v>
      </c>
      <c r="Y424" s="239"/>
      <c r="Z424" s="240"/>
      <c r="AA424" s="240"/>
      <c r="AB424" s="240"/>
      <c r="AC424" s="232">
        <f t="shared" si="113"/>
        <v>0</v>
      </c>
      <c r="AD424" s="239"/>
      <c r="AE424" s="240"/>
      <c r="AF424" s="240"/>
      <c r="AG424" s="240"/>
      <c r="AH424" s="232">
        <f t="shared" si="114"/>
        <v>0</v>
      </c>
      <c r="AI424" s="215">
        <f t="shared" si="110"/>
        <v>0</v>
      </c>
      <c r="AJ424" s="242"/>
      <c r="AK424" s="196"/>
    </row>
    <row r="425" spans="1:37" ht="14.25" thickBot="1" x14ac:dyDescent="0.2">
      <c r="A425" s="241"/>
      <c r="B425" s="239"/>
      <c r="C425" s="240"/>
      <c r="D425" s="240"/>
      <c r="E425" s="240"/>
      <c r="F425" s="235">
        <f t="shared" si="117"/>
        <v>0</v>
      </c>
      <c r="G425" s="239"/>
      <c r="H425" s="240"/>
      <c r="I425" s="240"/>
      <c r="J425" s="240"/>
      <c r="K425" s="235">
        <f t="shared" si="118"/>
        <v>0</v>
      </c>
      <c r="L425" s="239"/>
      <c r="M425" s="240"/>
      <c r="N425" s="240"/>
      <c r="O425" s="240"/>
      <c r="P425" s="235">
        <f t="shared" si="119"/>
        <v>0</v>
      </c>
      <c r="Q425" s="222">
        <f t="shared" si="120"/>
        <v>0</v>
      </c>
      <c r="R425" s="196"/>
      <c r="S425" s="241"/>
      <c r="T425" s="239"/>
      <c r="U425" s="240"/>
      <c r="V425" s="240"/>
      <c r="W425" s="240"/>
      <c r="X425" s="232">
        <f>SUM(T425:W425)</f>
        <v>0</v>
      </c>
      <c r="Y425" s="239"/>
      <c r="Z425" s="240"/>
      <c r="AA425" s="240"/>
      <c r="AB425" s="240"/>
      <c r="AC425" s="232">
        <f>SUM(Y425:AB425)</f>
        <v>0</v>
      </c>
      <c r="AD425" s="239"/>
      <c r="AE425" s="240"/>
      <c r="AF425" s="240"/>
      <c r="AG425" s="240"/>
      <c r="AH425" s="232">
        <f>SUM(AD425:AG425)</f>
        <v>0</v>
      </c>
      <c r="AI425" s="243">
        <f>AC425+AH425+X425</f>
        <v>0</v>
      </c>
      <c r="AJ425" s="242"/>
      <c r="AK425" s="242"/>
    </row>
    <row r="426" spans="1:37" ht="15" thickBot="1" x14ac:dyDescent="0.2">
      <c r="A426" s="244" t="s">
        <v>15</v>
      </c>
      <c r="B426" s="245">
        <f>SUM(B400:B425)</f>
        <v>1</v>
      </c>
      <c r="C426" s="246">
        <f>SUM(C400:C425)</f>
        <v>0</v>
      </c>
      <c r="D426" s="246">
        <f>SUM(D400:D425)</f>
        <v>0</v>
      </c>
      <c r="E426" s="247">
        <f>SUM(E400:E425)</f>
        <v>3</v>
      </c>
      <c r="F426" s="226">
        <f>SUM(B426:E426)</f>
        <v>4</v>
      </c>
      <c r="G426" s="245">
        <f>SUM(G400:G425)</f>
        <v>0</v>
      </c>
      <c r="H426" s="246">
        <f>SUM(H400:H425)</f>
        <v>0</v>
      </c>
      <c r="I426" s="246">
        <f>SUM(I400:I425)</f>
        <v>-1</v>
      </c>
      <c r="J426" s="247">
        <f>SUM(J400:J425)</f>
        <v>-1</v>
      </c>
      <c r="K426" s="226">
        <f>SUM(G426:J426)</f>
        <v>-2</v>
      </c>
      <c r="L426" s="245">
        <f>SUM(L400:L425)</f>
        <v>7</v>
      </c>
      <c r="M426" s="246">
        <f>SUM(M400:M425)</f>
        <v>3</v>
      </c>
      <c r="N426" s="246">
        <f>SUM(N400:N425)</f>
        <v>0</v>
      </c>
      <c r="O426" s="247">
        <f>SUM(O400:O425)</f>
        <v>-1</v>
      </c>
      <c r="P426" s="226">
        <f>SUM(L426:O426)</f>
        <v>9</v>
      </c>
      <c r="Q426" s="248">
        <f t="shared" si="120"/>
        <v>11</v>
      </c>
      <c r="R426" s="196"/>
      <c r="S426" s="244" t="s">
        <v>15</v>
      </c>
      <c r="T426" s="245">
        <f>SUM(T400:T425)</f>
        <v>0</v>
      </c>
      <c r="U426" s="246">
        <f>SUM(U400:U425)</f>
        <v>0</v>
      </c>
      <c r="V426" s="246">
        <f>SUM(V400:V425)</f>
        <v>0</v>
      </c>
      <c r="W426" s="247">
        <f>SUM(W400:W425)</f>
        <v>0</v>
      </c>
      <c r="X426" s="226">
        <f>SUM(T426:W426)</f>
        <v>0</v>
      </c>
      <c r="Y426" s="245">
        <f>SUM(Y400:Y425)</f>
        <v>0</v>
      </c>
      <c r="Z426" s="246">
        <f>SUM(Z400:Z425)</f>
        <v>0</v>
      </c>
      <c r="AA426" s="246">
        <f>SUM(AA400:AA425)</f>
        <v>9</v>
      </c>
      <c r="AB426" s="247">
        <f>SUM(AB400:AB425)</f>
        <v>8</v>
      </c>
      <c r="AC426" s="226">
        <f>SUM(Y426:AB426)</f>
        <v>17</v>
      </c>
      <c r="AD426" s="245">
        <f>SUM(AD400:AD425)</f>
        <v>15</v>
      </c>
      <c r="AE426" s="246">
        <f>SUM(AE400:AE425)</f>
        <v>3</v>
      </c>
      <c r="AF426" s="246">
        <f>SUM(AF400:AF425)</f>
        <v>0</v>
      </c>
      <c r="AG426" s="247">
        <f>SUM(AG400:AG425)</f>
        <v>3</v>
      </c>
      <c r="AH426" s="226">
        <f>SUM(AD426:AG426)</f>
        <v>21</v>
      </c>
      <c r="AI426" s="249">
        <f>AC426+AH426+X426</f>
        <v>38</v>
      </c>
      <c r="AJ426" s="196"/>
      <c r="AK426" s="196"/>
    </row>
    <row r="427" spans="1:37" ht="14.25" thickBot="1" x14ac:dyDescent="0.2">
      <c r="A427" s="250" t="s">
        <v>16</v>
      </c>
      <c r="B427" s="251">
        <f t="shared" ref="B427:P427" si="121">B399-B426</f>
        <v>0</v>
      </c>
      <c r="C427" s="252">
        <f t="shared" si="121"/>
        <v>0</v>
      </c>
      <c r="D427" s="252">
        <f t="shared" si="121"/>
        <v>1</v>
      </c>
      <c r="E427" s="253">
        <f t="shared" si="121"/>
        <v>2</v>
      </c>
      <c r="F427" s="253">
        <f t="shared" si="121"/>
        <v>3</v>
      </c>
      <c r="G427" s="251">
        <f t="shared" si="121"/>
        <v>0</v>
      </c>
      <c r="H427" s="252">
        <f t="shared" si="121"/>
        <v>0</v>
      </c>
      <c r="I427" s="252">
        <f t="shared" si="121"/>
        <v>9</v>
      </c>
      <c r="J427" s="253">
        <f t="shared" si="121"/>
        <v>6</v>
      </c>
      <c r="K427" s="253">
        <f t="shared" si="121"/>
        <v>15</v>
      </c>
      <c r="L427" s="251">
        <f t="shared" si="121"/>
        <v>5</v>
      </c>
      <c r="M427" s="252">
        <f t="shared" si="121"/>
        <v>0</v>
      </c>
      <c r="N427" s="252">
        <f t="shared" si="121"/>
        <v>3</v>
      </c>
      <c r="O427" s="253">
        <f t="shared" si="121"/>
        <v>3</v>
      </c>
      <c r="P427" s="253">
        <f t="shared" si="121"/>
        <v>11</v>
      </c>
      <c r="Q427" s="227">
        <f t="shared" si="120"/>
        <v>29</v>
      </c>
      <c r="R427" s="196"/>
      <c r="S427" s="250" t="s">
        <v>16</v>
      </c>
      <c r="T427" s="251">
        <f t="shared" ref="T427:AH427" si="122">T399-T426</f>
        <v>0</v>
      </c>
      <c r="U427" s="252">
        <f t="shared" si="122"/>
        <v>0</v>
      </c>
      <c r="V427" s="252">
        <f t="shared" si="122"/>
        <v>0</v>
      </c>
      <c r="W427" s="253">
        <f t="shared" si="122"/>
        <v>0</v>
      </c>
      <c r="X427" s="253">
        <f t="shared" si="122"/>
        <v>0</v>
      </c>
      <c r="Y427" s="251">
        <f t="shared" si="122"/>
        <v>0</v>
      </c>
      <c r="Z427" s="252">
        <f t="shared" si="122"/>
        <v>0</v>
      </c>
      <c r="AA427" s="252">
        <f t="shared" si="122"/>
        <v>0</v>
      </c>
      <c r="AB427" s="253">
        <f t="shared" si="122"/>
        <v>6</v>
      </c>
      <c r="AC427" s="253">
        <f t="shared" si="122"/>
        <v>6</v>
      </c>
      <c r="AD427" s="251">
        <f t="shared" si="122"/>
        <v>39</v>
      </c>
      <c r="AE427" s="252">
        <f t="shared" si="122"/>
        <v>0</v>
      </c>
      <c r="AF427" s="252">
        <f t="shared" si="122"/>
        <v>65</v>
      </c>
      <c r="AG427" s="253">
        <f t="shared" si="122"/>
        <v>34</v>
      </c>
      <c r="AH427" s="253">
        <f t="shared" si="122"/>
        <v>138</v>
      </c>
      <c r="AI427" s="227">
        <f>AC427+AH427+X427</f>
        <v>144</v>
      </c>
      <c r="AJ427" s="196"/>
      <c r="AK427" s="196"/>
    </row>
  </sheetData>
  <mergeCells count="68">
    <mergeCell ref="AD392:AH392"/>
    <mergeCell ref="AI392:AI393"/>
    <mergeCell ref="B392:F392"/>
    <mergeCell ref="G392:K392"/>
    <mergeCell ref="L392:P392"/>
    <mergeCell ref="Q392:Q393"/>
    <mergeCell ref="T392:X392"/>
    <mergeCell ref="Y392:AC392"/>
    <mergeCell ref="AD353:AH353"/>
    <mergeCell ref="AI353:AI354"/>
    <mergeCell ref="B353:F353"/>
    <mergeCell ref="G353:K353"/>
    <mergeCell ref="L353:P353"/>
    <mergeCell ref="Q353:Q354"/>
    <mergeCell ref="T353:X353"/>
    <mergeCell ref="Y353:AC353"/>
    <mergeCell ref="AD314:AH314"/>
    <mergeCell ref="AI314:AI315"/>
    <mergeCell ref="B314:F314"/>
    <mergeCell ref="G314:K314"/>
    <mergeCell ref="L314:P314"/>
    <mergeCell ref="Q314:Q315"/>
    <mergeCell ref="T314:X314"/>
    <mergeCell ref="Y314:AC314"/>
    <mergeCell ref="AD275:AH275"/>
    <mergeCell ref="AI275:AI276"/>
    <mergeCell ref="B275:F275"/>
    <mergeCell ref="G275:K275"/>
    <mergeCell ref="L275:P275"/>
    <mergeCell ref="Q275:Q276"/>
    <mergeCell ref="T275:X275"/>
    <mergeCell ref="Y275:AC275"/>
    <mergeCell ref="AD236:AH236"/>
    <mergeCell ref="AI236:AI237"/>
    <mergeCell ref="B236:F236"/>
    <mergeCell ref="G236:K236"/>
    <mergeCell ref="L236:P236"/>
    <mergeCell ref="Q236:Q237"/>
    <mergeCell ref="T236:X236"/>
    <mergeCell ref="Y236:AC236"/>
    <mergeCell ref="B41:F41"/>
    <mergeCell ref="G41:K41"/>
    <mergeCell ref="L41:L42"/>
    <mergeCell ref="B2:F2"/>
    <mergeCell ref="G2:K2"/>
    <mergeCell ref="L2:L3"/>
    <mergeCell ref="B119:F119"/>
    <mergeCell ref="G119:K119"/>
    <mergeCell ref="L119:L120"/>
    <mergeCell ref="B80:F80"/>
    <mergeCell ref="G80:K80"/>
    <mergeCell ref="L80:L81"/>
    <mergeCell ref="AI158:AI159"/>
    <mergeCell ref="T158:X158"/>
    <mergeCell ref="Y158:AC158"/>
    <mergeCell ref="AD158:AH158"/>
    <mergeCell ref="B158:F158"/>
    <mergeCell ref="G158:K158"/>
    <mergeCell ref="L158:P158"/>
    <mergeCell ref="Q158:Q159"/>
    <mergeCell ref="T197:X197"/>
    <mergeCell ref="Y197:AC197"/>
    <mergeCell ref="AD197:AH197"/>
    <mergeCell ref="AI197:AI198"/>
    <mergeCell ref="B197:F197"/>
    <mergeCell ref="G197:K197"/>
    <mergeCell ref="L197:P197"/>
    <mergeCell ref="Q197:Q198"/>
  </mergeCells>
  <phoneticPr fontId="2"/>
  <pageMargins left="0.7" right="0.7" top="0.75" bottom="0.75" header="0.3" footer="0.3"/>
  <pageSetup paperSize="9" orientation="portrait" horizontalDpi="300" verticalDpi="300" r:id="rId1"/>
  <ignoredErrors>
    <ignoredError sqref="AC192 X19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新ブラウジング</vt:lpstr>
      <vt:lpstr>Sheet2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dcterms:created xsi:type="dcterms:W3CDTF">2017-10-31T07:26:18Z</dcterms:created>
  <dcterms:modified xsi:type="dcterms:W3CDTF">2026-07-16T01:26:13Z</dcterms:modified>
</cp:coreProperties>
</file>