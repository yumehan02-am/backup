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ミッシェル\"/>
    </mc:Choice>
  </mc:AlternateContent>
  <xr:revisionPtr revIDLastSave="0" documentId="13_ncr:1_{73EE2FF8-50EA-4445-AB4B-5803D864CACA}" xr6:coauthVersionLast="47" xr6:coauthVersionMax="47" xr10:uidLastSave="{00000000-0000-0000-0000-000000000000}"/>
  <bookViews>
    <workbookView xWindow="-120" yWindow="-120" windowWidth="29040" windowHeight="15840" xr2:uid="{B6E134B3-F768-45AC-ABF7-91D9D4596845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9" i="1" l="1"/>
  <c r="W149" i="1"/>
  <c r="O234" i="1"/>
  <c r="O263" i="1"/>
  <c r="O258" i="1"/>
  <c r="O257" i="1"/>
  <c r="O94" i="1"/>
  <c r="O170" i="1"/>
  <c r="W105" i="1"/>
  <c r="O115" i="1"/>
  <c r="F261" i="1"/>
  <c r="E261" i="1"/>
  <c r="D261" i="1"/>
  <c r="C261" i="1"/>
  <c r="G261" i="1" s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5" i="1"/>
  <c r="G234" i="1"/>
  <c r="G233" i="1"/>
  <c r="G232" i="1"/>
  <c r="G231" i="1"/>
  <c r="G230" i="1"/>
  <c r="G229" i="1"/>
  <c r="G228" i="1"/>
  <c r="G227" i="1"/>
  <c r="G226" i="1"/>
  <c r="F217" i="1"/>
  <c r="E217" i="1"/>
  <c r="D217" i="1"/>
  <c r="C217" i="1"/>
  <c r="G217" i="1" s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1" i="1"/>
  <c r="G190" i="1"/>
  <c r="G189" i="1"/>
  <c r="G188" i="1"/>
  <c r="G187" i="1"/>
  <c r="G186" i="1"/>
  <c r="G185" i="1"/>
  <c r="G184" i="1"/>
  <c r="G183" i="1"/>
  <c r="G182" i="1"/>
  <c r="O211" i="1"/>
  <c r="O212" i="1"/>
  <c r="O213" i="1"/>
  <c r="O214" i="1"/>
  <c r="O215" i="1"/>
  <c r="O216" i="1"/>
  <c r="O255" i="1"/>
  <c r="O256" i="1"/>
  <c r="V261" i="1"/>
  <c r="U261" i="1"/>
  <c r="T261" i="1"/>
  <c r="S261" i="1"/>
  <c r="W261" i="1" s="1"/>
  <c r="N261" i="1"/>
  <c r="M261" i="1"/>
  <c r="L261" i="1"/>
  <c r="K261" i="1"/>
  <c r="W260" i="1"/>
  <c r="O260" i="1"/>
  <c r="W259" i="1"/>
  <c r="O259" i="1"/>
  <c r="W258" i="1"/>
  <c r="W257" i="1"/>
  <c r="W256" i="1"/>
  <c r="W255" i="1"/>
  <c r="W254" i="1"/>
  <c r="O254" i="1"/>
  <c r="W253" i="1"/>
  <c r="O253" i="1"/>
  <c r="W252" i="1"/>
  <c r="O252" i="1"/>
  <c r="W251" i="1"/>
  <c r="O251" i="1"/>
  <c r="W250" i="1"/>
  <c r="O250" i="1"/>
  <c r="W249" i="1"/>
  <c r="O249" i="1"/>
  <c r="W248" i="1"/>
  <c r="O248" i="1"/>
  <c r="W247" i="1"/>
  <c r="O247" i="1"/>
  <c r="W246" i="1"/>
  <c r="O246" i="1"/>
  <c r="W245" i="1"/>
  <c r="O245" i="1"/>
  <c r="W244" i="1"/>
  <c r="O244" i="1"/>
  <c r="W243" i="1"/>
  <c r="O243" i="1"/>
  <c r="W242" i="1"/>
  <c r="O242" i="1"/>
  <c r="W241" i="1"/>
  <c r="O241" i="1"/>
  <c r="W240" i="1"/>
  <c r="O240" i="1"/>
  <c r="W239" i="1"/>
  <c r="O239" i="1"/>
  <c r="W238" i="1"/>
  <c r="O238" i="1"/>
  <c r="W237" i="1"/>
  <c r="O237" i="1"/>
  <c r="W235" i="1"/>
  <c r="O235" i="1"/>
  <c r="W234" i="1"/>
  <c r="W233" i="1"/>
  <c r="O233" i="1"/>
  <c r="W232" i="1"/>
  <c r="O232" i="1"/>
  <c r="W231" i="1"/>
  <c r="O231" i="1"/>
  <c r="W230" i="1"/>
  <c r="O230" i="1"/>
  <c r="W229" i="1"/>
  <c r="O229" i="1"/>
  <c r="W228" i="1"/>
  <c r="O228" i="1"/>
  <c r="W227" i="1"/>
  <c r="O227" i="1"/>
  <c r="W226" i="1"/>
  <c r="O226" i="1"/>
  <c r="O165" i="1"/>
  <c r="O166" i="1"/>
  <c r="O167" i="1"/>
  <c r="O168" i="1"/>
  <c r="O172" i="1"/>
  <c r="O171" i="1"/>
  <c r="O209" i="1"/>
  <c r="O210" i="1"/>
  <c r="V217" i="1"/>
  <c r="U217" i="1"/>
  <c r="T217" i="1"/>
  <c r="S217" i="1"/>
  <c r="W217" i="1" s="1"/>
  <c r="N217" i="1"/>
  <c r="M217" i="1"/>
  <c r="L217" i="1"/>
  <c r="K217" i="1"/>
  <c r="W216" i="1"/>
  <c r="W215" i="1"/>
  <c r="W214" i="1"/>
  <c r="W213" i="1"/>
  <c r="W212" i="1"/>
  <c r="W211" i="1"/>
  <c r="W210" i="1"/>
  <c r="W209" i="1"/>
  <c r="W208" i="1"/>
  <c r="O208" i="1"/>
  <c r="W207" i="1"/>
  <c r="O207" i="1"/>
  <c r="W206" i="1"/>
  <c r="O206" i="1"/>
  <c r="W205" i="1"/>
  <c r="O205" i="1"/>
  <c r="W204" i="1"/>
  <c r="O204" i="1"/>
  <c r="W203" i="1"/>
  <c r="O203" i="1"/>
  <c r="W202" i="1"/>
  <c r="O202" i="1"/>
  <c r="W201" i="1"/>
  <c r="O201" i="1"/>
  <c r="W200" i="1"/>
  <c r="O200" i="1"/>
  <c r="W199" i="1"/>
  <c r="O199" i="1"/>
  <c r="W198" i="1"/>
  <c r="O198" i="1"/>
  <c r="W197" i="1"/>
  <c r="O197" i="1"/>
  <c r="W196" i="1"/>
  <c r="O196" i="1"/>
  <c r="W195" i="1"/>
  <c r="O195" i="1"/>
  <c r="W194" i="1"/>
  <c r="O194" i="1"/>
  <c r="W193" i="1"/>
  <c r="O193" i="1"/>
  <c r="W191" i="1"/>
  <c r="O191" i="1"/>
  <c r="W190" i="1"/>
  <c r="O190" i="1"/>
  <c r="W189" i="1"/>
  <c r="O189" i="1"/>
  <c r="W188" i="1"/>
  <c r="O188" i="1"/>
  <c r="W187" i="1"/>
  <c r="O187" i="1"/>
  <c r="W186" i="1"/>
  <c r="O186" i="1"/>
  <c r="W185" i="1"/>
  <c r="O185" i="1"/>
  <c r="W184" i="1"/>
  <c r="O184" i="1"/>
  <c r="W183" i="1"/>
  <c r="O183" i="1"/>
  <c r="W182" i="1"/>
  <c r="O182" i="1"/>
  <c r="O126" i="1"/>
  <c r="O125" i="1"/>
  <c r="O124" i="1"/>
  <c r="O123" i="1"/>
  <c r="K129" i="1"/>
  <c r="V173" i="1"/>
  <c r="U173" i="1"/>
  <c r="T173" i="1"/>
  <c r="S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7" i="1"/>
  <c r="W146" i="1"/>
  <c r="W145" i="1"/>
  <c r="W144" i="1"/>
  <c r="W143" i="1"/>
  <c r="W142" i="1"/>
  <c r="W141" i="1"/>
  <c r="W140" i="1"/>
  <c r="W139" i="1"/>
  <c r="W138" i="1"/>
  <c r="F173" i="1"/>
  <c r="E173" i="1"/>
  <c r="D173" i="1"/>
  <c r="C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7" i="1"/>
  <c r="G146" i="1"/>
  <c r="G145" i="1"/>
  <c r="G144" i="1"/>
  <c r="G143" i="1"/>
  <c r="G142" i="1"/>
  <c r="G141" i="1"/>
  <c r="G140" i="1"/>
  <c r="G139" i="1"/>
  <c r="G138" i="1"/>
  <c r="O76" i="1"/>
  <c r="O77" i="1"/>
  <c r="O78" i="1"/>
  <c r="O80" i="1"/>
  <c r="O79" i="1"/>
  <c r="O84" i="1"/>
  <c r="O83" i="1"/>
  <c r="O127" i="1"/>
  <c r="N173" i="1"/>
  <c r="M173" i="1"/>
  <c r="L173" i="1"/>
  <c r="K173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7" i="1"/>
  <c r="O146" i="1"/>
  <c r="O145" i="1"/>
  <c r="O144" i="1"/>
  <c r="O143" i="1"/>
  <c r="O142" i="1"/>
  <c r="O141" i="1"/>
  <c r="O140" i="1"/>
  <c r="O139" i="1"/>
  <c r="O138" i="1"/>
  <c r="G105" i="1"/>
  <c r="G106" i="1"/>
  <c r="N85" i="1"/>
  <c r="O82" i="1"/>
  <c r="O81" i="1"/>
  <c r="O119" i="1"/>
  <c r="O120" i="1"/>
  <c r="O121" i="1"/>
  <c r="O122" i="1"/>
  <c r="O105" i="1"/>
  <c r="O106" i="1"/>
  <c r="O107" i="1"/>
  <c r="V129" i="1"/>
  <c r="U129" i="1"/>
  <c r="T129" i="1"/>
  <c r="S129" i="1"/>
  <c r="L129" i="1"/>
  <c r="F129" i="1"/>
  <c r="E129" i="1"/>
  <c r="D129" i="1"/>
  <c r="C129" i="1"/>
  <c r="W128" i="1"/>
  <c r="G128" i="1"/>
  <c r="W127" i="1"/>
  <c r="G127" i="1"/>
  <c r="W126" i="1"/>
  <c r="G126" i="1"/>
  <c r="W125" i="1"/>
  <c r="G125" i="1"/>
  <c r="W124" i="1"/>
  <c r="G124" i="1"/>
  <c r="W123" i="1"/>
  <c r="G123" i="1"/>
  <c r="W122" i="1"/>
  <c r="N129" i="1"/>
  <c r="M129" i="1"/>
  <c r="G122" i="1"/>
  <c r="W121" i="1"/>
  <c r="G121" i="1"/>
  <c r="W120" i="1"/>
  <c r="G120" i="1"/>
  <c r="W119" i="1"/>
  <c r="G119" i="1"/>
  <c r="W118" i="1"/>
  <c r="O118" i="1"/>
  <c r="G118" i="1"/>
  <c r="W117" i="1"/>
  <c r="O117" i="1"/>
  <c r="G117" i="1"/>
  <c r="W116" i="1"/>
  <c r="O116" i="1"/>
  <c r="G116" i="1"/>
  <c r="W115" i="1"/>
  <c r="G115" i="1"/>
  <c r="W114" i="1"/>
  <c r="O114" i="1"/>
  <c r="G114" i="1"/>
  <c r="W113" i="1"/>
  <c r="O113" i="1"/>
  <c r="G113" i="1"/>
  <c r="W112" i="1"/>
  <c r="O112" i="1"/>
  <c r="G112" i="1"/>
  <c r="W111" i="1"/>
  <c r="O111" i="1"/>
  <c r="G111" i="1"/>
  <c r="W110" i="1"/>
  <c r="O110" i="1"/>
  <c r="G110" i="1"/>
  <c r="W109" i="1"/>
  <c r="O109" i="1"/>
  <c r="G109" i="1"/>
  <c r="W108" i="1"/>
  <c r="O108" i="1"/>
  <c r="G108" i="1"/>
  <c r="W107" i="1"/>
  <c r="G107" i="1"/>
  <c r="W106" i="1"/>
  <c r="W103" i="1"/>
  <c r="O103" i="1"/>
  <c r="G103" i="1"/>
  <c r="W102" i="1"/>
  <c r="O102" i="1"/>
  <c r="G102" i="1"/>
  <c r="W101" i="1"/>
  <c r="O101" i="1"/>
  <c r="G101" i="1"/>
  <c r="W100" i="1"/>
  <c r="O100" i="1"/>
  <c r="G100" i="1"/>
  <c r="W99" i="1"/>
  <c r="O99" i="1"/>
  <c r="G99" i="1"/>
  <c r="W98" i="1"/>
  <c r="O98" i="1"/>
  <c r="G98" i="1"/>
  <c r="W97" i="1"/>
  <c r="O97" i="1"/>
  <c r="G97" i="1"/>
  <c r="W96" i="1"/>
  <c r="O96" i="1"/>
  <c r="G96" i="1"/>
  <c r="W95" i="1"/>
  <c r="O95" i="1"/>
  <c r="G95" i="1"/>
  <c r="W94" i="1"/>
  <c r="G94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59" i="1"/>
  <c r="W58" i="1"/>
  <c r="W57" i="1"/>
  <c r="W56" i="1"/>
  <c r="W55" i="1"/>
  <c r="W54" i="1"/>
  <c r="W53" i="1"/>
  <c r="W52" i="1"/>
  <c r="W51" i="1"/>
  <c r="W50" i="1"/>
  <c r="V85" i="1"/>
  <c r="U85" i="1"/>
  <c r="T85" i="1"/>
  <c r="S85" i="1"/>
  <c r="W85" i="1" s="1"/>
  <c r="U42" i="1"/>
  <c r="V41" i="1"/>
  <c r="U41" i="1"/>
  <c r="T41" i="1"/>
  <c r="S41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O75" i="1"/>
  <c r="O63" i="1"/>
  <c r="O64" i="1"/>
  <c r="O65" i="1"/>
  <c r="O66" i="1"/>
  <c r="O67" i="1"/>
  <c r="O68" i="1"/>
  <c r="O69" i="1"/>
  <c r="O70" i="1"/>
  <c r="O71" i="1"/>
  <c r="O72" i="1"/>
  <c r="O73" i="1"/>
  <c r="O74" i="1"/>
  <c r="O61" i="1"/>
  <c r="O62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19" i="1"/>
  <c r="O20" i="1"/>
  <c r="O21" i="1"/>
  <c r="O22" i="1"/>
  <c r="O23" i="1"/>
  <c r="O24" i="1"/>
  <c r="O25" i="1"/>
  <c r="O26" i="1"/>
  <c r="O18" i="1"/>
  <c r="O17" i="1"/>
  <c r="O5" i="1"/>
  <c r="W17" i="1"/>
  <c r="W5" i="1"/>
  <c r="G5" i="1"/>
  <c r="O16" i="1"/>
  <c r="G6" i="1"/>
  <c r="O6" i="1"/>
  <c r="W6" i="1"/>
  <c r="G7" i="1"/>
  <c r="O7" i="1"/>
  <c r="W7" i="1"/>
  <c r="G8" i="1"/>
  <c r="O8" i="1"/>
  <c r="W8" i="1"/>
  <c r="G9" i="1"/>
  <c r="O9" i="1"/>
  <c r="W9" i="1"/>
  <c r="G10" i="1"/>
  <c r="O10" i="1"/>
  <c r="W10" i="1"/>
  <c r="G11" i="1"/>
  <c r="O11" i="1"/>
  <c r="W11" i="1"/>
  <c r="G12" i="1"/>
  <c r="O12" i="1"/>
  <c r="W12" i="1"/>
  <c r="G13" i="1"/>
  <c r="O13" i="1"/>
  <c r="W13" i="1"/>
  <c r="G14" i="1"/>
  <c r="O14" i="1"/>
  <c r="W14" i="1"/>
  <c r="G15" i="1"/>
  <c r="O15" i="1"/>
  <c r="W15" i="1"/>
  <c r="C16" i="1"/>
  <c r="D16" i="1"/>
  <c r="E16" i="1"/>
  <c r="F16" i="1"/>
  <c r="K16" i="1"/>
  <c r="L16" i="1"/>
  <c r="M16" i="1"/>
  <c r="N16" i="1"/>
  <c r="S16" i="1"/>
  <c r="S42" i="1" s="1"/>
  <c r="S49" i="1" s="1"/>
  <c r="T16" i="1"/>
  <c r="T42" i="1" s="1"/>
  <c r="U16" i="1"/>
  <c r="V16" i="1"/>
  <c r="V42" i="1" s="1"/>
  <c r="V49" i="1" s="1"/>
  <c r="V60" i="1" s="1"/>
  <c r="G17" i="1"/>
  <c r="G18" i="1"/>
  <c r="W18" i="1"/>
  <c r="G19" i="1"/>
  <c r="G20" i="1"/>
  <c r="G21" i="1"/>
  <c r="G22" i="1"/>
  <c r="G23" i="1"/>
  <c r="G24" i="1"/>
  <c r="C41" i="1"/>
  <c r="D41" i="1"/>
  <c r="E41" i="1"/>
  <c r="F41" i="1"/>
  <c r="K41" i="1"/>
  <c r="O41" i="1" s="1"/>
  <c r="L41" i="1"/>
  <c r="M41" i="1"/>
  <c r="N41" i="1"/>
  <c r="N42" i="1" s="1"/>
  <c r="N49" i="1" s="1"/>
  <c r="U49" i="1"/>
  <c r="U60" i="1" s="1"/>
  <c r="G50" i="1"/>
  <c r="O50" i="1"/>
  <c r="G51" i="1"/>
  <c r="O51" i="1"/>
  <c r="G52" i="1"/>
  <c r="O52" i="1"/>
  <c r="G53" i="1"/>
  <c r="O53" i="1"/>
  <c r="G54" i="1"/>
  <c r="O54" i="1"/>
  <c r="G55" i="1"/>
  <c r="O55" i="1"/>
  <c r="G56" i="1"/>
  <c r="O56" i="1"/>
  <c r="G57" i="1"/>
  <c r="O57" i="1"/>
  <c r="G58" i="1"/>
  <c r="O58" i="1"/>
  <c r="G59" i="1"/>
  <c r="O59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C85" i="1"/>
  <c r="D85" i="1"/>
  <c r="E85" i="1"/>
  <c r="F85" i="1"/>
  <c r="K85" i="1"/>
  <c r="L85" i="1"/>
  <c r="O261" i="1" l="1"/>
  <c r="W129" i="1"/>
  <c r="O217" i="1"/>
  <c r="S60" i="1"/>
  <c r="S86" i="1" s="1"/>
  <c r="W41" i="1"/>
  <c r="W173" i="1"/>
  <c r="O128" i="1"/>
  <c r="N60" i="1"/>
  <c r="L42" i="1"/>
  <c r="L49" i="1" s="1"/>
  <c r="L60" i="1" s="1"/>
  <c r="L86" i="1" s="1"/>
  <c r="L93" i="1" s="1"/>
  <c r="L104" i="1" s="1"/>
  <c r="L130" i="1" s="1"/>
  <c r="L137" i="1" s="1"/>
  <c r="L148" i="1" s="1"/>
  <c r="L174" i="1" s="1"/>
  <c r="L181" i="1" s="1"/>
  <c r="L192" i="1" s="1"/>
  <c r="L218" i="1" s="1"/>
  <c r="L225" i="1" s="1"/>
  <c r="L236" i="1" s="1"/>
  <c r="L262" i="1" s="1"/>
  <c r="G173" i="1"/>
  <c r="U86" i="1"/>
  <c r="U93" i="1" s="1"/>
  <c r="U104" i="1" s="1"/>
  <c r="U130" i="1" s="1"/>
  <c r="U137" i="1" s="1"/>
  <c r="U148" i="1" s="1"/>
  <c r="U174" i="1" s="1"/>
  <c r="U181" i="1" s="1"/>
  <c r="U192" i="1" s="1"/>
  <c r="U218" i="1" s="1"/>
  <c r="U225" i="1" s="1"/>
  <c r="U236" i="1" s="1"/>
  <c r="U262" i="1" s="1"/>
  <c r="W16" i="1"/>
  <c r="V86" i="1"/>
  <c r="V93" i="1" s="1"/>
  <c r="V104" i="1" s="1"/>
  <c r="V130" i="1" s="1"/>
  <c r="V137" i="1" s="1"/>
  <c r="V148" i="1" s="1"/>
  <c r="V174" i="1" s="1"/>
  <c r="V181" i="1" s="1"/>
  <c r="V192" i="1" s="1"/>
  <c r="V218" i="1" s="1"/>
  <c r="V225" i="1" s="1"/>
  <c r="V236" i="1" s="1"/>
  <c r="V262" i="1" s="1"/>
  <c r="O173" i="1"/>
  <c r="G16" i="1"/>
  <c r="G129" i="1"/>
  <c r="O129" i="1"/>
  <c r="G85" i="1"/>
  <c r="M85" i="1"/>
  <c r="O85" i="1" s="1"/>
  <c r="W42" i="1"/>
  <c r="C42" i="1"/>
  <c r="C49" i="1" s="1"/>
  <c r="C60" i="1" s="1"/>
  <c r="C86" i="1" s="1"/>
  <c r="C93" i="1" s="1"/>
  <c r="C104" i="1" s="1"/>
  <c r="C130" i="1" s="1"/>
  <c r="C137" i="1" s="1"/>
  <c r="C148" i="1" s="1"/>
  <c r="C174" i="1" s="1"/>
  <c r="C181" i="1" s="1"/>
  <c r="C192" i="1" s="1"/>
  <c r="C218" i="1" s="1"/>
  <c r="C225" i="1" s="1"/>
  <c r="C236" i="1" s="1"/>
  <c r="C262" i="1" s="1"/>
  <c r="E42" i="1"/>
  <c r="E49" i="1" s="1"/>
  <c r="E60" i="1" s="1"/>
  <c r="E86" i="1" s="1"/>
  <c r="E93" i="1" s="1"/>
  <c r="E104" i="1" s="1"/>
  <c r="E130" i="1" s="1"/>
  <c r="E137" i="1" s="1"/>
  <c r="E148" i="1" s="1"/>
  <c r="E174" i="1" s="1"/>
  <c r="E181" i="1" s="1"/>
  <c r="E192" i="1" s="1"/>
  <c r="E218" i="1" s="1"/>
  <c r="E225" i="1" s="1"/>
  <c r="E236" i="1" s="1"/>
  <c r="E262" i="1" s="1"/>
  <c r="G41" i="1"/>
  <c r="F42" i="1"/>
  <c r="F49" i="1" s="1"/>
  <c r="F60" i="1" s="1"/>
  <c r="F86" i="1" s="1"/>
  <c r="F93" i="1" s="1"/>
  <c r="F104" i="1" s="1"/>
  <c r="F130" i="1" s="1"/>
  <c r="F137" i="1" s="1"/>
  <c r="F148" i="1" s="1"/>
  <c r="F174" i="1" s="1"/>
  <c r="F181" i="1" s="1"/>
  <c r="F192" i="1" s="1"/>
  <c r="F218" i="1" s="1"/>
  <c r="F225" i="1" s="1"/>
  <c r="F236" i="1" s="1"/>
  <c r="F262" i="1" s="1"/>
  <c r="N86" i="1"/>
  <c r="N93" i="1" s="1"/>
  <c r="N104" i="1" s="1"/>
  <c r="N130" i="1" s="1"/>
  <c r="N137" i="1" s="1"/>
  <c r="N148" i="1" s="1"/>
  <c r="N174" i="1" s="1"/>
  <c r="N181" i="1" s="1"/>
  <c r="N192" i="1" s="1"/>
  <c r="N218" i="1" s="1"/>
  <c r="N225" i="1" s="1"/>
  <c r="N236" i="1" s="1"/>
  <c r="N262" i="1" s="1"/>
  <c r="M42" i="1"/>
  <c r="K42" i="1"/>
  <c r="O42" i="1" s="1"/>
  <c r="D42" i="1"/>
  <c r="M49" i="1" l="1"/>
  <c r="M60" i="1" s="1"/>
  <c r="M86" i="1" s="1"/>
  <c r="M93" i="1" s="1"/>
  <c r="M104" i="1" s="1"/>
  <c r="M130" i="1" s="1"/>
  <c r="M137" i="1" s="1"/>
  <c r="M148" i="1" s="1"/>
  <c r="M174" i="1" s="1"/>
  <c r="M181" i="1" s="1"/>
  <c r="M192" i="1" s="1"/>
  <c r="M218" i="1" s="1"/>
  <c r="M225" i="1" s="1"/>
  <c r="M236" i="1" s="1"/>
  <c r="M262" i="1" s="1"/>
  <c r="S93" i="1"/>
  <c r="K49" i="1"/>
  <c r="K60" i="1" s="1"/>
  <c r="K86" i="1" s="1"/>
  <c r="G42" i="1"/>
  <c r="D49" i="1"/>
  <c r="T49" i="1"/>
  <c r="S104" i="1" l="1"/>
  <c r="S130" i="1" s="1"/>
  <c r="T60" i="1"/>
  <c r="T86" i="1" s="1"/>
  <c r="W49" i="1"/>
  <c r="W60" i="1" s="1"/>
  <c r="O86" i="1"/>
  <c r="K93" i="1"/>
  <c r="O49" i="1"/>
  <c r="O60" i="1" s="1"/>
  <c r="D60" i="1"/>
  <c r="D86" i="1" s="1"/>
  <c r="G49" i="1"/>
  <c r="G60" i="1" s="1"/>
  <c r="T93" i="1" l="1"/>
  <c r="W86" i="1"/>
  <c r="S137" i="1"/>
  <c r="G86" i="1"/>
  <c r="D93" i="1"/>
  <c r="K104" i="1"/>
  <c r="K130" i="1" s="1"/>
  <c r="O93" i="1"/>
  <c r="O104" i="1" s="1"/>
  <c r="S148" i="1" l="1"/>
  <c r="S174" i="1" s="1"/>
  <c r="S181" i="1" s="1"/>
  <c r="T104" i="1"/>
  <c r="T130" i="1" s="1"/>
  <c r="W93" i="1"/>
  <c r="W104" i="1" s="1"/>
  <c r="O130" i="1"/>
  <c r="K137" i="1"/>
  <c r="D104" i="1"/>
  <c r="D130" i="1" s="1"/>
  <c r="G93" i="1"/>
  <c r="G104" i="1" s="1"/>
  <c r="S192" i="1" l="1"/>
  <c r="S218" i="1" s="1"/>
  <c r="T137" i="1"/>
  <c r="W130" i="1"/>
  <c r="G130" i="1"/>
  <c r="D137" i="1"/>
  <c r="O137" i="1"/>
  <c r="O148" i="1" s="1"/>
  <c r="K148" i="1"/>
  <c r="K174" i="1" s="1"/>
  <c r="S225" i="1" l="1"/>
  <c r="O174" i="1"/>
  <c r="K181" i="1"/>
  <c r="T148" i="1"/>
  <c r="T174" i="1" s="1"/>
  <c r="W137" i="1"/>
  <c r="W148" i="1" s="1"/>
  <c r="D148" i="1"/>
  <c r="D174" i="1" s="1"/>
  <c r="G137" i="1"/>
  <c r="G148" i="1" s="1"/>
  <c r="G174" i="1" l="1"/>
  <c r="D181" i="1"/>
  <c r="S236" i="1"/>
  <c r="S262" i="1" s="1"/>
  <c r="W174" i="1"/>
  <c r="T181" i="1"/>
  <c r="K192" i="1"/>
  <c r="K218" i="1" s="1"/>
  <c r="O181" i="1"/>
  <c r="O192" i="1" s="1"/>
  <c r="D192" i="1" l="1"/>
  <c r="D218" i="1" s="1"/>
  <c r="G181" i="1"/>
  <c r="G192" i="1" s="1"/>
  <c r="T192" i="1"/>
  <c r="T218" i="1" s="1"/>
  <c r="W181" i="1"/>
  <c r="W192" i="1" s="1"/>
  <c r="O218" i="1"/>
  <c r="K225" i="1"/>
  <c r="D225" i="1" l="1"/>
  <c r="G218" i="1"/>
  <c r="T225" i="1"/>
  <c r="W218" i="1"/>
  <c r="K236" i="1"/>
  <c r="K262" i="1" s="1"/>
  <c r="O262" i="1" s="1"/>
  <c r="O225" i="1"/>
  <c r="O236" i="1" s="1"/>
  <c r="D236" i="1" l="1"/>
  <c r="D262" i="1" s="1"/>
  <c r="G262" i="1" s="1"/>
  <c r="G225" i="1"/>
  <c r="G236" i="1" s="1"/>
  <c r="T236" i="1"/>
  <c r="T262" i="1" s="1"/>
  <c r="W262" i="1" s="1"/>
  <c r="W225" i="1"/>
  <c r="W236" i="1" s="1"/>
</calcChain>
</file>

<file path=xl/sharedStrings.xml><?xml version="1.0" encoding="utf-8"?>
<sst xmlns="http://schemas.openxmlformats.org/spreadsheetml/2006/main" count="558" uniqueCount="150">
  <si>
    <t>残数</t>
    <rPh sb="0" eb="2">
      <t>ザンスウ</t>
    </rPh>
    <phoneticPr fontId="6"/>
  </si>
  <si>
    <t>出荷数</t>
    <rPh sb="0" eb="2">
      <t>シュッカ</t>
    </rPh>
    <rPh sb="2" eb="3">
      <t>スウ</t>
    </rPh>
    <phoneticPr fontId="6"/>
  </si>
  <si>
    <t>総数</t>
  </si>
  <si>
    <t>追加</t>
    <rPh sb="0" eb="2">
      <t>ツイカ</t>
    </rPh>
    <phoneticPr fontId="6"/>
  </si>
  <si>
    <t>在庫</t>
    <rPh sb="0" eb="2">
      <t>ザイコ</t>
    </rPh>
    <phoneticPr fontId="6"/>
  </si>
  <si>
    <t>計</t>
  </si>
  <si>
    <t>3L</t>
    <phoneticPr fontId="6"/>
  </si>
  <si>
    <t>LL</t>
    <phoneticPr fontId="6"/>
  </si>
  <si>
    <t>L</t>
    <phoneticPr fontId="6"/>
  </si>
  <si>
    <t>M</t>
    <phoneticPr fontId="6"/>
  </si>
  <si>
    <t>ベージュ</t>
    <phoneticPr fontId="6"/>
  </si>
  <si>
    <t>リアルシリコンパット(ミッシェル在庫）</t>
    <rPh sb="16" eb="18">
      <t>ザイコ</t>
    </rPh>
    <phoneticPr fontId="6"/>
  </si>
  <si>
    <t>リアルシリコンパット(KPORT在庫）</t>
    <rPh sb="16" eb="18">
      <t>ザイコ</t>
    </rPh>
    <phoneticPr fontId="6"/>
  </si>
  <si>
    <t>リアルシリコンパット(夢販在庫）</t>
    <rPh sb="11" eb="12">
      <t>ユメ</t>
    </rPh>
    <rPh sb="12" eb="13">
      <t>ハン</t>
    </rPh>
    <rPh sb="13" eb="15">
      <t>ザイコ</t>
    </rPh>
    <phoneticPr fontId="6"/>
  </si>
  <si>
    <t>初回</t>
    <rPh sb="0" eb="2">
      <t>ショカイ</t>
    </rPh>
    <phoneticPr fontId="6"/>
  </si>
  <si>
    <t>10/30　在庫</t>
    <rPh sb="6" eb="8">
      <t>ザイコ</t>
    </rPh>
    <phoneticPr fontId="1"/>
  </si>
  <si>
    <t>M/430</t>
    <phoneticPr fontId="1"/>
  </si>
  <si>
    <t>L/495</t>
    <phoneticPr fontId="1"/>
  </si>
  <si>
    <t>LL/595</t>
    <phoneticPr fontId="1"/>
  </si>
  <si>
    <t>3L/660</t>
    <phoneticPr fontId="1"/>
  </si>
  <si>
    <t>１１月中旬に発注予定</t>
    <rPh sb="2" eb="3">
      <t>ガツ</t>
    </rPh>
    <rPh sb="3" eb="5">
      <t>チュウジュン</t>
    </rPh>
    <rPh sb="6" eb="8">
      <t>ハッチュウ</t>
    </rPh>
    <rPh sb="8" eb="10">
      <t>ヨテイ</t>
    </rPh>
    <phoneticPr fontId="1"/>
  </si>
  <si>
    <t>KPORT</t>
    <phoneticPr fontId="1"/>
  </si>
  <si>
    <t>シリコンパット(ミッシェル在庫）</t>
    <rPh sb="13" eb="15">
      <t>ザイコ</t>
    </rPh>
    <phoneticPr fontId="6"/>
  </si>
  <si>
    <t>シリコンパット(KPORT在庫）</t>
    <rPh sb="13" eb="15">
      <t>ザイコ</t>
    </rPh>
    <phoneticPr fontId="6"/>
  </si>
  <si>
    <t>シリコンパット(夢販在庫）</t>
    <rPh sb="8" eb="9">
      <t>ユメ</t>
    </rPh>
    <rPh sb="9" eb="10">
      <t>ハン</t>
    </rPh>
    <rPh sb="10" eb="12">
      <t>ザイコ</t>
    </rPh>
    <phoneticPr fontId="6"/>
  </si>
  <si>
    <t>JODメルシー0122</t>
    <phoneticPr fontId="1"/>
  </si>
  <si>
    <t>1/22～</t>
    <phoneticPr fontId="1"/>
  </si>
  <si>
    <t>テスト4/1、本番5月中旬</t>
    <rPh sb="7" eb="9">
      <t>ホンバン</t>
    </rPh>
    <rPh sb="10" eb="13">
      <t>ガツチュウジュン</t>
    </rPh>
    <phoneticPr fontId="1"/>
  </si>
  <si>
    <t>JOD特別号9555</t>
    <rPh sb="3" eb="6">
      <t>トクベツゴウ</t>
    </rPh>
    <phoneticPr fontId="1"/>
  </si>
  <si>
    <t>2/7～</t>
    <phoneticPr fontId="1"/>
  </si>
  <si>
    <t>3/11、3/16</t>
    <phoneticPr fontId="1"/>
  </si>
  <si>
    <t>JOD①</t>
    <phoneticPr fontId="1"/>
  </si>
  <si>
    <t>ベルーナ26盛夏号差分予測</t>
    <rPh sb="6" eb="9">
      <t>セイカゴウ</t>
    </rPh>
    <rPh sb="9" eb="13">
      <t>サブンヨソク</t>
    </rPh>
    <phoneticPr fontId="1"/>
  </si>
  <si>
    <t>ベルーナ26盛夏号\1990</t>
    <rPh sb="6" eb="9">
      <t>セイカゴウ</t>
    </rPh>
    <phoneticPr fontId="1"/>
  </si>
  <si>
    <t>ゆめはん</t>
    <phoneticPr fontId="1"/>
  </si>
  <si>
    <t>くらし企画（きんき）sample</t>
    <rPh sb="3" eb="5">
      <t>キカク</t>
    </rPh>
    <phoneticPr fontId="1"/>
  </si>
  <si>
    <t>コープさっぽろ3月3回（不透明袋）</t>
    <rPh sb="8" eb="9">
      <t>ガツ</t>
    </rPh>
    <rPh sb="10" eb="11">
      <t>カイ</t>
    </rPh>
    <rPh sb="12" eb="16">
      <t>フトウメイフクロ</t>
    </rPh>
    <phoneticPr fontId="1"/>
  </si>
  <si>
    <t>2026/1/28数伝</t>
    <rPh sb="9" eb="11">
      <t>スウデン</t>
    </rPh>
    <phoneticPr fontId="1"/>
  </si>
  <si>
    <t>JOD②</t>
    <phoneticPr fontId="1"/>
  </si>
  <si>
    <t>夢販</t>
    <rPh sb="0" eb="2">
      <t>y</t>
    </rPh>
    <phoneticPr fontId="1"/>
  </si>
  <si>
    <t>JOD③</t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</si>
  <si>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</si>
  <si>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</si>
  <si>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</si>
  <si>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</si>
  <si>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JOD⑧</t>
    <phoneticPr fontId="1"/>
  </si>
  <si>
    <t>JOD⑨</t>
    <phoneticPr fontId="1"/>
  </si>
  <si>
    <t>JOD⑩</t>
    <phoneticPr fontId="1"/>
  </si>
  <si>
    <t>コープきんき6月1回（不透明袋）</t>
    <rPh sb="7" eb="8">
      <t>ガツ</t>
    </rPh>
    <rPh sb="9" eb="10">
      <t>カイ</t>
    </rPh>
    <rPh sb="11" eb="15">
      <t>フトウメイフクロ</t>
    </rPh>
    <phoneticPr fontId="1"/>
  </si>
  <si>
    <t>JOD⑪</t>
    <phoneticPr fontId="1"/>
  </si>
  <si>
    <t>JOD⑫</t>
    <phoneticPr fontId="1"/>
  </si>
  <si>
    <t>JOD⑬</t>
    <phoneticPr fontId="1"/>
  </si>
  <si>
    <t>JOD⑭</t>
    <phoneticPr fontId="1"/>
  </si>
  <si>
    <t>コープさっぽろ5月1回（不透明袋）</t>
    <rPh sb="8" eb="9">
      <t>ガツ</t>
    </rPh>
    <rPh sb="10" eb="11">
      <t>カイ</t>
    </rPh>
    <rPh sb="12" eb="16">
      <t>フトウメイフクロ</t>
    </rPh>
    <phoneticPr fontId="1"/>
  </si>
  <si>
    <t>4/29、5/4</t>
    <phoneticPr fontId="1"/>
  </si>
  <si>
    <t>コープきんき6月1回差分予測</t>
    <rPh sb="7" eb="8">
      <t>ガツ</t>
    </rPh>
    <rPh sb="9" eb="10">
      <t>カイ</t>
    </rPh>
    <rPh sb="10" eb="14">
      <t>サブンヨソク</t>
    </rPh>
    <phoneticPr fontId="1"/>
  </si>
  <si>
    <t>コープさっぽろ5月1回差分予測</t>
    <rPh sb="8" eb="9">
      <t>ガツ</t>
    </rPh>
    <rPh sb="10" eb="11">
      <t>カイ</t>
    </rPh>
    <rPh sb="11" eb="15">
      <t>サブンヨソク</t>
    </rPh>
    <phoneticPr fontId="1"/>
  </si>
  <si>
    <t>コープさっぽろ3月3回差分予測</t>
    <rPh sb="8" eb="9">
      <t>ガツ</t>
    </rPh>
    <rPh sb="10" eb="11">
      <t>カイ</t>
    </rPh>
    <rPh sb="11" eb="15">
      <t>サブンヨソク</t>
    </rPh>
    <phoneticPr fontId="1"/>
  </si>
  <si>
    <t>日生協カタログWEB専用トリオラ秋差分予測</t>
    <rPh sb="0" eb="3">
      <t>ニッセイキョウ</t>
    </rPh>
    <rPh sb="10" eb="12">
      <t>センヨウ</t>
    </rPh>
    <rPh sb="16" eb="17">
      <t>アキ</t>
    </rPh>
    <rPh sb="17" eb="21">
      <t>サブンヨソク</t>
    </rPh>
    <phoneticPr fontId="1"/>
  </si>
  <si>
    <t>日生協カタログWEB専用トリオラ秋（不透明袋）</t>
    <rPh sb="0" eb="2">
      <t>ニッセイ</t>
    </rPh>
    <rPh sb="2" eb="3">
      <t>キョウ</t>
    </rPh>
    <rPh sb="10" eb="12">
      <t>センヨウ</t>
    </rPh>
    <rPh sb="16" eb="17">
      <t>アキ</t>
    </rPh>
    <rPh sb="18" eb="22">
      <t>フトウメイフクロ</t>
    </rPh>
    <phoneticPr fontId="1"/>
  </si>
  <si>
    <t>8/17～3/21※展開開始3週間前に計画数の30％納品</t>
    <rPh sb="10" eb="12">
      <t>テンカイ</t>
    </rPh>
    <rPh sb="12" eb="14">
      <t>カイシ</t>
    </rPh>
    <rPh sb="15" eb="17">
      <t>シュウカン</t>
    </rPh>
    <rPh sb="17" eb="18">
      <t>マエ</t>
    </rPh>
    <rPh sb="19" eb="22">
      <t>ケイカクスウ</t>
    </rPh>
    <rPh sb="26" eb="28">
      <t>ノウヒン</t>
    </rPh>
    <phoneticPr fontId="1"/>
  </si>
  <si>
    <t>←ここまで在庫確認済3/5</t>
    <rPh sb="5" eb="10">
      <t>ザイコカクニンスミ</t>
    </rPh>
    <phoneticPr fontId="1"/>
  </si>
  <si>
    <t>くらし企画（日生協）sample</t>
    <rPh sb="3" eb="5">
      <t>キカク</t>
    </rPh>
    <rPh sb="6" eb="9">
      <t>ニッセイキョウ</t>
    </rPh>
    <phoneticPr fontId="1"/>
  </si>
  <si>
    <t>コープさっぽろ3月3回（不透明袋）①</t>
    <rPh sb="8" eb="9">
      <t>ガツ</t>
    </rPh>
    <rPh sb="10" eb="11">
      <t>カイ</t>
    </rPh>
    <rPh sb="12" eb="16">
      <t>フトウメイフクロ</t>
    </rPh>
    <phoneticPr fontId="1"/>
  </si>
  <si>
    <t>JOD⑮</t>
    <phoneticPr fontId="1"/>
  </si>
  <si>
    <t>ベルーナ26盛夏号\1990①</t>
    <rPh sb="6" eb="9">
      <t>セイカゴウ</t>
    </rPh>
    <phoneticPr fontId="1"/>
  </si>
  <si>
    <t>コープさっぽろ3月3回（不透明袋）②</t>
    <rPh sb="8" eb="9">
      <t>ガツ</t>
    </rPh>
    <rPh sb="10" eb="11">
      <t>カイ</t>
    </rPh>
    <rPh sb="12" eb="16">
      <t>フトウメイフクロ</t>
    </rPh>
    <phoneticPr fontId="1"/>
  </si>
  <si>
    <t>JOD⑯</t>
    <phoneticPr fontId="1"/>
  </si>
  <si>
    <t>9/14～3/20※展開開始3週間前に計画数の30％納品</t>
    <rPh sb="10" eb="12">
      <t>テンカイ</t>
    </rPh>
    <rPh sb="12" eb="14">
      <t>カイシ</t>
    </rPh>
    <rPh sb="15" eb="17">
      <t>シュウカン</t>
    </rPh>
    <rPh sb="17" eb="18">
      <t>マエ</t>
    </rPh>
    <rPh sb="19" eb="22">
      <t>ケイカクスウ</t>
    </rPh>
    <rPh sb="26" eb="28">
      <t>ノウヒン</t>
    </rPh>
    <phoneticPr fontId="1"/>
  </si>
  <si>
    <t>JOD特別版0508</t>
    <rPh sb="3" eb="6">
      <t>トクベツバン</t>
    </rPh>
    <phoneticPr fontId="1"/>
  </si>
  <si>
    <t>5/8～</t>
    <phoneticPr fontId="1"/>
  </si>
  <si>
    <t>JOD⑰</t>
    <phoneticPr fontId="1"/>
  </si>
  <si>
    <t>JOD⑱</t>
    <phoneticPr fontId="1"/>
  </si>
  <si>
    <t>点5/8、アバウト5/26、本5/26～6/1</t>
    <rPh sb="0" eb="1">
      <t>テン</t>
    </rPh>
    <rPh sb="14" eb="15">
      <t>ホン</t>
    </rPh>
    <phoneticPr fontId="1"/>
  </si>
  <si>
    <t>JOD⑲</t>
    <phoneticPr fontId="1"/>
  </si>
  <si>
    <t>JOD⑳</t>
    <phoneticPr fontId="1"/>
  </si>
  <si>
    <t>コープさっぽろ3月3回（不透明袋）③</t>
    <rPh sb="8" eb="9">
      <t>ガツ</t>
    </rPh>
    <rPh sb="10" eb="11">
      <t>カイ</t>
    </rPh>
    <rPh sb="12" eb="16">
      <t>フトウメイフクロ</t>
    </rPh>
    <phoneticPr fontId="1"/>
  </si>
  <si>
    <t>ゆめはん</t>
    <phoneticPr fontId="1"/>
  </si>
  <si>
    <t>ベルーナ26盛夏号\1990②</t>
    <rPh sb="6" eb="9">
      <t>セイカゴウ</t>
    </rPh>
    <phoneticPr fontId="1"/>
  </si>
  <si>
    <t>ベルーナ26盛夏号\1990③</t>
    <rPh sb="6" eb="9">
      <t>セイカゴウ</t>
    </rPh>
    <phoneticPr fontId="1"/>
  </si>
  <si>
    <t>JOD介護（ほほえみ）7478</t>
    <rPh sb="3" eb="5">
      <t>カイゴ</t>
    </rPh>
    <phoneticPr fontId="1"/>
  </si>
  <si>
    <t>5/14～</t>
    <phoneticPr fontId="1"/>
  </si>
  <si>
    <t>JOD㉑</t>
    <phoneticPr fontId="1"/>
  </si>
  <si>
    <t>JODメルシー0526</t>
    <phoneticPr fontId="1"/>
  </si>
  <si>
    <t>5/26～</t>
    <phoneticPr fontId="1"/>
  </si>
  <si>
    <t>JOD㉒</t>
    <phoneticPr fontId="1"/>
  </si>
  <si>
    <t>JOD㉓</t>
    <phoneticPr fontId="1"/>
  </si>
  <si>
    <t>コープさっぽろ3月3回（不透明袋）④</t>
    <rPh sb="8" eb="9">
      <t>ガツ</t>
    </rPh>
    <rPh sb="10" eb="11">
      <t>カイ</t>
    </rPh>
    <rPh sb="12" eb="16">
      <t>フトウメイフクロ</t>
    </rPh>
    <phoneticPr fontId="1"/>
  </si>
  <si>
    <t>コープさっぽろ5月1回（不透明袋）①</t>
    <rPh sb="8" eb="9">
      <t>ガツ</t>
    </rPh>
    <rPh sb="10" eb="11">
      <t>カイ</t>
    </rPh>
    <rPh sb="12" eb="16">
      <t>フトウメイフクロ</t>
    </rPh>
    <phoneticPr fontId="1"/>
  </si>
  <si>
    <t>ベルーナ26盛夏号\1990④</t>
    <rPh sb="6" eb="9">
      <t>セイカゴウ</t>
    </rPh>
    <phoneticPr fontId="1"/>
  </si>
  <si>
    <t>6/9～</t>
    <phoneticPr fontId="1"/>
  </si>
  <si>
    <t>JOD特別号9567</t>
    <rPh sb="3" eb="6">
      <t>トクベツゴウ</t>
    </rPh>
    <phoneticPr fontId="1"/>
  </si>
  <si>
    <t>JOD㉔</t>
    <phoneticPr fontId="1"/>
  </si>
  <si>
    <t>コープきんき6月1回（不透明袋）①</t>
    <rPh sb="7" eb="8">
      <t>ガツ</t>
    </rPh>
    <rPh sb="9" eb="10">
      <t>カイ</t>
    </rPh>
    <rPh sb="11" eb="15">
      <t>フトウメイフクロ</t>
    </rPh>
    <phoneticPr fontId="1"/>
  </si>
  <si>
    <t>JOD㉕</t>
    <phoneticPr fontId="1"/>
  </si>
  <si>
    <t>JOD㉖</t>
    <phoneticPr fontId="1"/>
  </si>
  <si>
    <t>ベルーナ返品</t>
    <rPh sb="4" eb="6">
      <t>ヘンピン</t>
    </rPh>
    <phoneticPr fontId="6"/>
  </si>
  <si>
    <t>JOD㉗</t>
    <phoneticPr fontId="1"/>
  </si>
  <si>
    <t>JOD㉘</t>
    <phoneticPr fontId="1"/>
  </si>
  <si>
    <t>JOD㉙</t>
    <phoneticPr fontId="1"/>
  </si>
  <si>
    <t>コープきんき8月3回差分予測</t>
    <rPh sb="7" eb="8">
      <t>ガツ</t>
    </rPh>
    <rPh sb="9" eb="10">
      <t>カイ</t>
    </rPh>
    <rPh sb="10" eb="14">
      <t>サブンヨソク</t>
    </rPh>
    <phoneticPr fontId="1"/>
  </si>
  <si>
    <t>コープきんき8月3回（不透明袋）</t>
    <rPh sb="7" eb="8">
      <t>ガツ</t>
    </rPh>
    <rPh sb="9" eb="10">
      <t>カイ</t>
    </rPh>
    <rPh sb="11" eb="15">
      <t>フトウメイフクロ</t>
    </rPh>
    <phoneticPr fontId="1"/>
  </si>
  <si>
    <t>内定</t>
    <rPh sb="0" eb="2">
      <t>ナイテイ</t>
    </rPh>
    <phoneticPr fontId="1"/>
  </si>
  <si>
    <t>JOD㉚</t>
    <phoneticPr fontId="1"/>
  </si>
  <si>
    <t>JOD㉛</t>
    <phoneticPr fontId="1"/>
  </si>
  <si>
    <t>JOD㉜</t>
    <phoneticPr fontId="1"/>
  </si>
  <si>
    <t>ベルーナ26盛夏号\1990⑤</t>
    <rPh sb="6" eb="9">
      <t>セイカゴウ</t>
    </rPh>
    <phoneticPr fontId="1"/>
  </si>
  <si>
    <t>ベルーナ26盛夏号\1990⑥</t>
    <rPh sb="6" eb="9">
      <t>セイカゴウ</t>
    </rPh>
    <phoneticPr fontId="1"/>
  </si>
  <si>
    <t>JOD㉝</t>
    <phoneticPr fontId="1"/>
  </si>
  <si>
    <t>JOD㉞</t>
    <phoneticPr fontId="1"/>
  </si>
  <si>
    <t>JOD㉟</t>
    <phoneticPr fontId="1"/>
  </si>
  <si>
    <t>コープきんき6月1回（不透明袋）②</t>
    <rPh sb="7" eb="8">
      <t>ガツ</t>
    </rPh>
    <rPh sb="9" eb="10">
      <t>カイ</t>
    </rPh>
    <rPh sb="11" eb="15">
      <t>フトウメイフクロ</t>
    </rPh>
    <phoneticPr fontId="1"/>
  </si>
  <si>
    <t>JOD㊱</t>
    <phoneticPr fontId="1"/>
  </si>
  <si>
    <t>コープさっぽろ7月5回（不透明袋）</t>
    <rPh sb="8" eb="9">
      <t>ガツ</t>
    </rPh>
    <rPh sb="10" eb="11">
      <t>カイ</t>
    </rPh>
    <rPh sb="12" eb="16">
      <t>フトウメイフクロ</t>
    </rPh>
    <phoneticPr fontId="1"/>
  </si>
  <si>
    <t>コープさっぽろ7月5回差分予測</t>
    <rPh sb="8" eb="9">
      <t>ガツ</t>
    </rPh>
    <rPh sb="10" eb="11">
      <t>カイ</t>
    </rPh>
    <rPh sb="11" eb="15">
      <t>サブンヨソク</t>
    </rPh>
    <phoneticPr fontId="1"/>
  </si>
  <si>
    <t>7/22、27</t>
    <phoneticPr fontId="1"/>
  </si>
  <si>
    <t>JOD㊲</t>
    <phoneticPr fontId="1"/>
  </si>
  <si>
    <t>コープきんき6月1回（不透明袋）③</t>
    <rPh sb="7" eb="8">
      <t>ガツ</t>
    </rPh>
    <rPh sb="9" eb="10">
      <t>カイ</t>
    </rPh>
    <rPh sb="11" eb="15">
      <t>フトウメイフクロ</t>
    </rPh>
    <phoneticPr fontId="1"/>
  </si>
  <si>
    <t>オバタ返品</t>
    <rPh sb="3" eb="5">
      <t>ヘンピン</t>
    </rPh>
    <phoneticPr fontId="6"/>
  </si>
  <si>
    <t>JOD㊳</t>
    <phoneticPr fontId="1"/>
  </si>
  <si>
    <t>リアルシリコンパット(太陽在庫）</t>
    <rPh sb="11" eb="13">
      <t>タイヨウ</t>
    </rPh>
    <rPh sb="13" eb="15">
      <t>ザイコ</t>
    </rPh>
    <phoneticPr fontId="6"/>
  </si>
  <si>
    <t>ベルーナ26盛夏号\1990⑦</t>
    <rPh sb="6" eb="9">
      <t>セイカゴウ</t>
    </rPh>
    <phoneticPr fontId="1"/>
  </si>
  <si>
    <t>入数21個</t>
    <rPh sb="0" eb="2">
      <t>イリスウ</t>
    </rPh>
    <rPh sb="4" eb="5">
      <t>コ</t>
    </rPh>
    <phoneticPr fontId="1"/>
  </si>
  <si>
    <t>JOD㊴</t>
    <phoneticPr fontId="1"/>
  </si>
  <si>
    <t>JOD特別版0705</t>
    <rPh sb="3" eb="5">
      <t>トクベツ</t>
    </rPh>
    <rPh sb="5" eb="6">
      <t>バン</t>
    </rPh>
    <phoneticPr fontId="1"/>
  </si>
  <si>
    <t>7/4～</t>
    <phoneticPr fontId="1"/>
  </si>
  <si>
    <t>JOD㊵</t>
    <phoneticPr fontId="1"/>
  </si>
  <si>
    <t>KPORT</t>
    <phoneticPr fontId="1"/>
  </si>
  <si>
    <t>JOD㊶</t>
    <phoneticPr fontId="1"/>
  </si>
  <si>
    <t>すこやかびと24夏実績</t>
    <rPh sb="8" eb="9">
      <t>ナツ</t>
    </rPh>
    <rPh sb="9" eb="11">
      <t>ジッセキ</t>
    </rPh>
    <phoneticPr fontId="1"/>
  </si>
  <si>
    <t>ベルーナ26盛夏号\1990⑧</t>
    <rPh sb="6" eb="9">
      <t>セイカゴウ</t>
    </rPh>
    <phoneticPr fontId="1"/>
  </si>
  <si>
    <t>JOD㊷</t>
    <phoneticPr fontId="1"/>
  </si>
  <si>
    <t>JOD㊸</t>
    <phoneticPr fontId="1"/>
  </si>
  <si>
    <t>JOD㊹</t>
    <phoneticPr fontId="1"/>
  </si>
  <si>
    <t>JOD返品</t>
    <rPh sb="3" eb="5">
      <t>ヘンピン</t>
    </rPh>
    <phoneticPr fontId="6"/>
  </si>
  <si>
    <t>JOD㊺</t>
    <phoneticPr fontId="1"/>
  </si>
  <si>
    <t>ベルーナ26盛夏号\1990⑨</t>
    <rPh sb="6" eb="9">
      <t>セイカゴウ</t>
    </rPh>
    <phoneticPr fontId="1"/>
  </si>
  <si>
    <t>KPORT</t>
    <phoneticPr fontId="1"/>
  </si>
  <si>
    <t>JOD㊻</t>
    <phoneticPr fontId="1"/>
  </si>
  <si>
    <t>JODメルシー0723</t>
    <phoneticPr fontId="1"/>
  </si>
  <si>
    <t>7/23～</t>
    <phoneticPr fontId="1"/>
  </si>
  <si>
    <t>JOD㊼</t>
    <phoneticPr fontId="1"/>
  </si>
  <si>
    <t>点7/31、アバウト8/18、本8/18～24</t>
    <rPh sb="0" eb="1">
      <t>テン</t>
    </rPh>
    <rPh sb="15" eb="21">
      <t>ホン8/18カラ</t>
    </rPh>
    <phoneticPr fontId="1"/>
  </si>
  <si>
    <t>日生協カタログすこやかびと冊子2026冬号差分予測</t>
    <rPh sb="0" eb="2">
      <t>ニッセイ</t>
    </rPh>
    <rPh sb="2" eb="3">
      <t>キョウ</t>
    </rPh>
    <rPh sb="13" eb="15">
      <t>サッシ</t>
    </rPh>
    <rPh sb="19" eb="21">
      <t>フユゴウ</t>
    </rPh>
    <rPh sb="21" eb="23">
      <t>サブン</t>
    </rPh>
    <rPh sb="23" eb="25">
      <t>ヨソク</t>
    </rPh>
    <phoneticPr fontId="1"/>
  </si>
  <si>
    <t>日生協カタログすこやかびと2026冊子冬号（不透明袋）</t>
    <rPh sb="0" eb="2">
      <t>ニッセイ</t>
    </rPh>
    <rPh sb="2" eb="3">
      <t>キョウ</t>
    </rPh>
    <rPh sb="17" eb="19">
      <t>サッシ</t>
    </rPh>
    <rPh sb="19" eb="21">
      <t>フユゴウ</t>
    </rPh>
    <rPh sb="22" eb="26">
      <t>フトウメイフクロ</t>
    </rPh>
    <phoneticPr fontId="1"/>
  </si>
  <si>
    <t>日生協カタログすこやかびと2027冊子春号差分予測</t>
    <rPh sb="0" eb="2">
      <t>ニッセイ</t>
    </rPh>
    <rPh sb="2" eb="3">
      <t>キョウ</t>
    </rPh>
    <rPh sb="17" eb="19">
      <t>サッシ</t>
    </rPh>
    <rPh sb="19" eb="21">
      <t>ハルゴウ</t>
    </rPh>
    <rPh sb="21" eb="23">
      <t>サブン</t>
    </rPh>
    <rPh sb="23" eb="25">
      <t>ヨソク</t>
    </rPh>
    <phoneticPr fontId="1"/>
  </si>
  <si>
    <t>日生協カタログすこやかびと2027冊子春号（不透明袋）</t>
    <rPh sb="0" eb="2">
      <t>ニッセイ</t>
    </rPh>
    <rPh sb="2" eb="3">
      <t>キョウ</t>
    </rPh>
    <rPh sb="17" eb="19">
      <t>サッシ</t>
    </rPh>
    <rPh sb="19" eb="21">
      <t>ハルゴウ</t>
    </rPh>
    <rPh sb="22" eb="26">
      <t>フトウメイフクロ</t>
    </rPh>
    <phoneticPr fontId="1"/>
  </si>
  <si>
    <t>JOD㊽</t>
    <phoneticPr fontId="1"/>
  </si>
  <si>
    <t>JOD㊾</t>
    <phoneticPr fontId="1"/>
  </si>
  <si>
    <t>ベルーナ26盛夏号\1990⑩</t>
    <rPh sb="6" eb="9">
      <t>セイカゴウ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</si>
</sst>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/>
    <xf numFmtId="0" fontId="4" fillId="2" borderId="2" xfId="1" applyFont="1" applyFill="1" applyBorder="1"/>
    <xf numFmtId="0" fontId="5" fillId="0" borderId="2" xfId="1" applyFont="1" applyBorder="1" applyAlignment="1">
      <alignment horizontal="center" vertical="center"/>
    </xf>
    <xf numFmtId="0" fontId="2" fillId="2" borderId="3" xfId="1" applyFill="1" applyBorder="1"/>
    <xf numFmtId="0" fontId="2" fillId="2" borderId="4" xfId="1" applyFill="1" applyBorder="1"/>
    <xf numFmtId="0" fontId="7" fillId="0" borderId="2" xfId="1" applyFont="1" applyBorder="1" applyAlignment="1">
      <alignment horizontal="center" vertical="center"/>
    </xf>
    <xf numFmtId="0" fontId="2" fillId="2" borderId="5" xfId="1" applyFill="1" applyBorder="1"/>
    <xf numFmtId="0" fontId="2" fillId="0" borderId="6" xfId="1" applyBorder="1"/>
    <xf numFmtId="0" fontId="2" fillId="0" borderId="7" xfId="1" applyBorder="1"/>
    <xf numFmtId="0" fontId="2" fillId="0" borderId="8" xfId="1" applyBorder="1"/>
    <xf numFmtId="0" fontId="2" fillId="0" borderId="9" xfId="1" applyBorder="1" applyAlignment="1">
      <alignment horizontal="center" vertical="center"/>
    </xf>
    <xf numFmtId="56" fontId="2" fillId="0" borderId="0" xfId="0" applyNumberFormat="1" applyFont="1">
      <alignment vertical="center"/>
    </xf>
    <xf numFmtId="0" fontId="2" fillId="2" borderId="9" xfId="1" applyFill="1" applyBorder="1"/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 applyAlignment="1">
      <alignment horizontal="center" vertical="center"/>
    </xf>
    <xf numFmtId="56" fontId="2" fillId="0" borderId="0" xfId="0" applyNumberFormat="1" applyFont="1" applyAlignment="1">
      <alignment horizontal="left" vertical="center"/>
    </xf>
    <xf numFmtId="0" fontId="2" fillId="0" borderId="12" xfId="1" applyBorder="1"/>
    <xf numFmtId="0" fontId="2" fillId="0" borderId="13" xfId="1" applyBorder="1"/>
    <xf numFmtId="0" fontId="2" fillId="0" borderId="14" xfId="1" applyBorder="1"/>
    <xf numFmtId="0" fontId="4" fillId="3" borderId="1" xfId="1" applyFont="1" applyFill="1" applyBorder="1"/>
    <xf numFmtId="0" fontId="4" fillId="0" borderId="1" xfId="1" applyFont="1" applyBorder="1"/>
    <xf numFmtId="0" fontId="5" fillId="0" borderId="1" xfId="1" applyFont="1" applyBorder="1" applyAlignment="1">
      <alignment horizontal="center" vertical="center"/>
    </xf>
    <xf numFmtId="0" fontId="2" fillId="2" borderId="15" xfId="1" applyFill="1" applyBorder="1"/>
    <xf numFmtId="0" fontId="2" fillId="0" borderId="5" xfId="1" applyBorder="1"/>
    <xf numFmtId="0" fontId="7" fillId="0" borderId="8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2" fillId="0" borderId="1" xfId="1" applyBorder="1"/>
    <xf numFmtId="0" fontId="2" fillId="0" borderId="20" xfId="1" applyBorder="1"/>
    <xf numFmtId="0" fontId="2" fillId="0" borderId="0" xfId="1"/>
    <xf numFmtId="0" fontId="8" fillId="0" borderId="0" xfId="1" applyFont="1"/>
    <xf numFmtId="0" fontId="4" fillId="2" borderId="1" xfId="1" applyFont="1" applyFill="1" applyBorder="1"/>
    <xf numFmtId="0" fontId="2" fillId="2" borderId="1" xfId="1" applyFill="1" applyBorder="1"/>
    <xf numFmtId="0" fontId="2" fillId="2" borderId="2" xfId="1" applyFill="1" applyBorder="1"/>
    <xf numFmtId="0" fontId="2" fillId="2" borderId="6" xfId="1" applyFill="1" applyBorder="1"/>
    <xf numFmtId="56" fontId="2" fillId="0" borderId="0" xfId="1" applyNumberFormat="1"/>
    <xf numFmtId="0" fontId="2" fillId="2" borderId="12" xfId="1" applyFill="1" applyBorder="1"/>
    <xf numFmtId="0" fontId="7" fillId="0" borderId="6" xfId="1" applyFont="1" applyBorder="1" applyAlignment="1">
      <alignment horizontal="center" vertical="center"/>
    </xf>
    <xf numFmtId="0" fontId="2" fillId="0" borderId="9" xfId="1" applyBorder="1" applyAlignment="1">
      <alignment horizontal="center"/>
    </xf>
    <xf numFmtId="0" fontId="2" fillId="0" borderId="10" xfId="1" applyBorder="1" applyAlignment="1">
      <alignment horizontal="center"/>
    </xf>
    <xf numFmtId="0" fontId="7" fillId="0" borderId="10" xfId="1" applyFont="1" applyBorder="1" applyAlignment="1">
      <alignment horizontal="center" vertical="center"/>
    </xf>
    <xf numFmtId="56" fontId="7" fillId="0" borderId="0" xfId="0" applyNumberFormat="1" applyFont="1" applyAlignment="1">
      <alignment horizontal="left" vertical="center"/>
    </xf>
    <xf numFmtId="0" fontId="2" fillId="0" borderId="10" xfId="1" applyBorder="1" applyAlignment="1">
      <alignment horizontal="center" vertical="center"/>
    </xf>
    <xf numFmtId="56" fontId="0" fillId="0" borderId="0" xfId="0" applyNumberFormat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0" fontId="2" fillId="0" borderId="0" xfId="1" applyAlignment="1">
      <alignment horizontal="center"/>
    </xf>
    <xf numFmtId="0" fontId="9" fillId="0" borderId="9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3" fillId="2" borderId="9" xfId="1" applyFont="1" applyFill="1" applyBorder="1"/>
    <xf numFmtId="0" fontId="3" fillId="0" borderId="8" xfId="1" applyFont="1" applyBorder="1"/>
    <xf numFmtId="0" fontId="3" fillId="0" borderId="6" xfId="1" applyFont="1" applyBorder="1"/>
    <xf numFmtId="0" fontId="3" fillId="0" borderId="7" xfId="1" applyFont="1" applyBorder="1"/>
    <xf numFmtId="0" fontId="2" fillId="0" borderId="19" xfId="1" applyBorder="1"/>
    <xf numFmtId="0" fontId="3" fillId="0" borderId="11" xfId="1" applyFont="1" applyBorder="1"/>
    <xf numFmtId="0" fontId="3" fillId="0" borderId="9" xfId="1" applyFont="1" applyBorder="1"/>
    <xf numFmtId="0" fontId="3" fillId="0" borderId="10" xfId="1" applyFont="1" applyBorder="1"/>
    <xf numFmtId="0" fontId="10" fillId="0" borderId="0" xfId="0" applyFont="1" applyAlignment="1">
      <alignment horizontal="left" vertical="center"/>
    </xf>
    <xf numFmtId="0" fontId="9" fillId="0" borderId="11" xfId="1" applyFont="1" applyBorder="1"/>
    <xf numFmtId="0" fontId="9" fillId="0" borderId="9" xfId="1" applyFont="1" applyBorder="1"/>
    <xf numFmtId="0" fontId="9" fillId="0" borderId="10" xfId="1" applyFont="1" applyBorder="1"/>
    <xf numFmtId="0" fontId="9" fillId="2" borderId="9" xfId="1" applyFont="1" applyFill="1" applyBorder="1"/>
    <xf numFmtId="56" fontId="11" fillId="0" borderId="0" xfId="0" applyNumberFormat="1" applyFont="1">
      <alignment vertical="center"/>
    </xf>
    <xf numFmtId="0" fontId="7" fillId="0" borderId="12" xfId="1" applyFont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11" fillId="0" borderId="0" xfId="0" applyFont="1">
      <alignment vertical="center"/>
    </xf>
    <xf numFmtId="0" fontId="13" fillId="0" borderId="9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4" fillId="2" borderId="12" xfId="1" applyFont="1" applyFill="1" applyBorder="1"/>
    <xf numFmtId="56" fontId="14" fillId="0" borderId="0" xfId="1" applyNumberFormat="1" applyFont="1"/>
    <xf numFmtId="0" fontId="12" fillId="0" borderId="0" xfId="0" applyFont="1">
      <alignment vertical="center"/>
    </xf>
    <xf numFmtId="56" fontId="11" fillId="0" borderId="0" xfId="0" applyNumberFormat="1" applyFont="1" applyAlignment="1">
      <alignment horizontal="left" vertical="center"/>
    </xf>
    <xf numFmtId="0" fontId="7" fillId="0" borderId="11" xfId="1" applyFont="1" applyBorder="1"/>
    <xf numFmtId="0" fontId="7" fillId="0" borderId="9" xfId="1" applyFont="1" applyBorder="1"/>
    <xf numFmtId="0" fontId="7" fillId="0" borderId="10" xfId="1" applyFont="1" applyBorder="1"/>
    <xf numFmtId="0" fontId="14" fillId="0" borderId="12" xfId="1" applyFont="1" applyBorder="1" applyAlignment="1">
      <alignment horizontal="center" vertical="center"/>
    </xf>
    <xf numFmtId="0" fontId="14" fillId="0" borderId="11" xfId="1" applyFont="1" applyBorder="1"/>
    <xf numFmtId="0" fontId="14" fillId="0" borderId="9" xfId="1" applyFont="1" applyBorder="1"/>
    <xf numFmtId="0" fontId="14" fillId="0" borderId="10" xfId="1" applyFont="1" applyBorder="1"/>
    <xf numFmtId="56" fontId="12" fillId="0" borderId="0" xfId="0" applyNumberFormat="1" applyFont="1" applyAlignment="1">
      <alignment horizontal="left" vertical="center"/>
    </xf>
    <xf numFmtId="0" fontId="2" fillId="2" borderId="19" xfId="1" applyFill="1" applyBorder="1"/>
    <xf numFmtId="0" fontId="15" fillId="0" borderId="0" xfId="0" applyFont="1" applyAlignment="1">
      <alignment horizontal="left" vertical="center"/>
    </xf>
    <xf numFmtId="0" fontId="7" fillId="2" borderId="9" xfId="1" applyFont="1" applyFill="1" applyBorder="1"/>
    <xf numFmtId="0" fontId="11" fillId="0" borderId="0" xfId="0" applyFont="1" applyAlignment="1">
      <alignment horizontal="left" vertical="center"/>
    </xf>
    <xf numFmtId="0" fontId="3" fillId="2" borderId="6" xfId="1" applyFont="1" applyFill="1" applyBorder="1"/>
    <xf numFmtId="0" fontId="14" fillId="2" borderId="9" xfId="1" applyFont="1" applyFill="1" applyBorder="1"/>
    <xf numFmtId="0" fontId="2" fillId="0" borderId="12" xfId="1" applyBorder="1" applyAlignment="1">
      <alignment horizontal="center" vertical="center" shrinkToFit="1"/>
    </xf>
    <xf numFmtId="0" fontId="13" fillId="0" borderId="11" xfId="1" applyFont="1" applyBorder="1" applyAlignment="1">
      <alignment horizontal="center" vertical="center"/>
    </xf>
    <xf numFmtId="0" fontId="14" fillId="2" borderId="15" xfId="1" applyFont="1" applyFill="1" applyBorder="1"/>
    <xf numFmtId="56" fontId="14" fillId="0" borderId="0" xfId="0" applyNumberFormat="1" applyFont="1">
      <alignment vertical="center"/>
    </xf>
    <xf numFmtId="0" fontId="7" fillId="0" borderId="8" xfId="1" applyFont="1" applyBorder="1"/>
    <xf numFmtId="0" fontId="7" fillId="0" borderId="6" xfId="1" applyFont="1" applyBorder="1"/>
    <xf numFmtId="0" fontId="7" fillId="0" borderId="7" xfId="1" applyFont="1" applyBorder="1"/>
    <xf numFmtId="56" fontId="0" fillId="0" borderId="0" xfId="0" applyNumberFormat="1">
      <alignment vertical="center"/>
    </xf>
    <xf numFmtId="0" fontId="8" fillId="4" borderId="0" xfId="1" applyFont="1" applyFill="1"/>
    <xf numFmtId="0" fontId="0" fillId="4" borderId="0" xfId="0" applyFill="1">
      <alignment vertical="center"/>
    </xf>
    <xf numFmtId="0" fontId="2" fillId="4" borderId="0" xfId="1" applyFill="1"/>
    <xf numFmtId="0" fontId="0" fillId="0" borderId="0" xfId="0" applyAlignment="1">
      <alignment horizontal="right" vertical="center"/>
    </xf>
    <xf numFmtId="0" fontId="7" fillId="0" borderId="14" xfId="1" applyFont="1" applyBorder="1" applyAlignment="1">
      <alignment horizontal="center" vertical="center"/>
    </xf>
    <xf numFmtId="56" fontId="10" fillId="0" borderId="0" xfId="0" applyNumberFormat="1" applyFont="1" applyAlignment="1">
      <alignment horizontal="left" vertical="center"/>
    </xf>
    <xf numFmtId="0" fontId="9" fillId="0" borderId="11" xfId="1" applyFont="1" applyBorder="1" applyAlignment="1">
      <alignment horizontal="center" vertical="center"/>
    </xf>
    <xf numFmtId="0" fontId="3" fillId="2" borderId="15" xfId="1" applyFont="1" applyFill="1" applyBorder="1"/>
    <xf numFmtId="56" fontId="10" fillId="0" borderId="0" xfId="0" applyNumberFormat="1" applyFont="1">
      <alignment vertical="center"/>
    </xf>
    <xf numFmtId="0" fontId="7" fillId="0" borderId="2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17" xfId="1" applyFont="1" applyBorder="1" applyAlignment="1">
      <alignment horizontal="center"/>
    </xf>
  </cellXfs>
  <cellStyles count="2">
    <cellStyle name="標準" xfId="0" builtinId="0"/>
    <cellStyle name="標準 2" xfId="1" xr:uid="{60FC08C5-E456-4273-8630-461D191953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051A-2166-405B-832D-FA7581EF36A7}">
  <dimension ref="A1:Y263"/>
  <sheetViews>
    <sheetView tabSelected="1" topLeftCell="A136" zoomScaleNormal="100" workbookViewId="0">
      <selection activeCell="P159" sqref="P159"/>
    </sheetView>
  </sheetViews>
  <sheetFormatPr defaultRowHeight="13.5" x14ac:dyDescent="0.15"/>
  <cols>
    <col min="1" max="1" width="4.25" customWidth="1"/>
    <col min="2" max="2" width="27.375" customWidth="1"/>
    <col min="3" max="7" width="9.5" customWidth="1"/>
    <col min="8" max="8" width="9.875" bestFit="1" customWidth="1"/>
    <col min="9" max="9" width="4.25" customWidth="1"/>
    <col min="10" max="10" width="45.375" customWidth="1"/>
    <col min="11" max="15" width="9.5" customWidth="1"/>
    <col min="16" max="16" width="10.625" style="1" customWidth="1"/>
    <col min="17" max="17" width="4.75" customWidth="1"/>
    <col min="18" max="18" width="33" customWidth="1"/>
    <col min="19" max="23" width="9.5" customWidth="1"/>
    <col min="24" max="24" width="9.25" bestFit="1" customWidth="1"/>
  </cols>
  <sheetData>
    <row r="1" spans="1:25" ht="22.5" customHeight="1" x14ac:dyDescent="0.2">
      <c r="A1" s="41" t="s">
        <v>24</v>
      </c>
      <c r="C1" s="40"/>
      <c r="D1" s="40"/>
      <c r="E1" s="40"/>
      <c r="F1" s="40"/>
      <c r="G1" s="40"/>
      <c r="H1" s="40"/>
      <c r="I1" s="41" t="s">
        <v>23</v>
      </c>
      <c r="K1" s="40"/>
      <c r="L1" s="40"/>
      <c r="M1" s="40"/>
      <c r="N1" s="40"/>
      <c r="O1" s="40"/>
      <c r="Q1" s="41" t="s">
        <v>22</v>
      </c>
      <c r="S1" s="40"/>
      <c r="T1" s="40"/>
      <c r="U1" s="40"/>
      <c r="V1" s="40"/>
      <c r="W1" s="40"/>
    </row>
    <row r="2" spans="1:25" ht="22.5" customHeight="1" thickBot="1" x14ac:dyDescent="0.25">
      <c r="A2" s="41"/>
      <c r="C2" s="40"/>
      <c r="D2" s="40"/>
      <c r="E2" s="40"/>
      <c r="F2" s="40"/>
      <c r="G2" s="40"/>
      <c r="H2" s="40"/>
      <c r="I2" s="41"/>
      <c r="K2" s="56" t="s">
        <v>16</v>
      </c>
      <c r="L2" s="56" t="s">
        <v>17</v>
      </c>
      <c r="M2" s="56" t="s">
        <v>18</v>
      </c>
      <c r="N2" s="56" t="s">
        <v>19</v>
      </c>
      <c r="O2" s="40"/>
      <c r="Q2" s="41"/>
      <c r="S2" s="56" t="s">
        <v>16</v>
      </c>
      <c r="T2" s="56" t="s">
        <v>17</v>
      </c>
      <c r="U2" s="56" t="s">
        <v>18</v>
      </c>
      <c r="V2" s="56" t="s">
        <v>19</v>
      </c>
      <c r="W2" s="40"/>
    </row>
    <row r="3" spans="1:25" ht="14.25" thickBot="1" x14ac:dyDescent="0.2">
      <c r="B3" s="39"/>
      <c r="C3" s="115" t="s">
        <v>10</v>
      </c>
      <c r="D3" s="116"/>
      <c r="E3" s="116"/>
      <c r="F3" s="117"/>
      <c r="G3" s="38"/>
      <c r="H3" s="40"/>
      <c r="J3" s="39"/>
      <c r="K3" s="115" t="s">
        <v>10</v>
      </c>
      <c r="L3" s="116"/>
      <c r="M3" s="116"/>
      <c r="N3" s="117"/>
      <c r="O3" s="38"/>
      <c r="R3" s="39"/>
      <c r="S3" s="115" t="s">
        <v>10</v>
      </c>
      <c r="T3" s="116"/>
      <c r="U3" s="116"/>
      <c r="V3" s="117"/>
      <c r="W3" s="38"/>
    </row>
    <row r="4" spans="1:25" ht="14.25" thickBot="1" x14ac:dyDescent="0.2">
      <c r="B4" s="64"/>
      <c r="C4" s="36" t="s">
        <v>9</v>
      </c>
      <c r="D4" s="34" t="s">
        <v>8</v>
      </c>
      <c r="E4" s="35" t="s">
        <v>7</v>
      </c>
      <c r="F4" s="34" t="s">
        <v>6</v>
      </c>
      <c r="G4" s="34" t="s">
        <v>5</v>
      </c>
      <c r="H4" s="40"/>
      <c r="J4" s="64"/>
      <c r="K4" s="36" t="s">
        <v>9</v>
      </c>
      <c r="L4" s="34" t="s">
        <v>8</v>
      </c>
      <c r="M4" s="35" t="s">
        <v>7</v>
      </c>
      <c r="N4" s="34" t="s">
        <v>6</v>
      </c>
      <c r="O4" s="34" t="s">
        <v>5</v>
      </c>
      <c r="R4" s="64"/>
      <c r="S4" s="36" t="s">
        <v>9</v>
      </c>
      <c r="T4" s="34" t="s">
        <v>8</v>
      </c>
      <c r="U4" s="35" t="s">
        <v>7</v>
      </c>
      <c r="V4" s="34" t="s">
        <v>6</v>
      </c>
      <c r="W4" s="34" t="s">
        <v>5</v>
      </c>
    </row>
    <row r="5" spans="1:25" x14ac:dyDescent="0.15">
      <c r="B5" s="74" t="s">
        <v>14</v>
      </c>
      <c r="C5" s="75">
        <v>5</v>
      </c>
      <c r="D5" s="18">
        <v>5</v>
      </c>
      <c r="E5" s="75">
        <v>5</v>
      </c>
      <c r="F5" s="18">
        <v>3</v>
      </c>
      <c r="G5" s="47">
        <f t="shared" ref="G5:G15" si="0">SUM(C5:F5)</f>
        <v>18</v>
      </c>
      <c r="H5" s="46">
        <v>46052</v>
      </c>
      <c r="J5" s="74" t="s">
        <v>14</v>
      </c>
      <c r="K5" s="75">
        <v>500</v>
      </c>
      <c r="L5" s="18">
        <v>500</v>
      </c>
      <c r="M5" s="75">
        <v>300</v>
      </c>
      <c r="N5" s="18">
        <v>300</v>
      </c>
      <c r="O5" s="47">
        <f>SUM(K5:N5)</f>
        <v>1600</v>
      </c>
      <c r="P5" s="19">
        <v>46051</v>
      </c>
      <c r="R5" s="74" t="s">
        <v>4</v>
      </c>
      <c r="S5" s="75">
        <v>327</v>
      </c>
      <c r="T5" s="18">
        <v>456</v>
      </c>
      <c r="U5" s="75">
        <v>656</v>
      </c>
      <c r="V5" s="18">
        <v>660</v>
      </c>
      <c r="W5" s="47">
        <f>SUM(S5:V5)</f>
        <v>2099</v>
      </c>
      <c r="X5" s="73" t="s">
        <v>37</v>
      </c>
    </row>
    <row r="6" spans="1:25" x14ac:dyDescent="0.15">
      <c r="B6" s="77" t="s">
        <v>3</v>
      </c>
      <c r="C6" s="78"/>
      <c r="D6" s="79"/>
      <c r="E6" s="78"/>
      <c r="F6" s="79">
        <v>4</v>
      </c>
      <c r="G6" s="80">
        <f t="shared" si="0"/>
        <v>4</v>
      </c>
      <c r="H6" s="81">
        <v>46058</v>
      </c>
      <c r="I6" s="82"/>
      <c r="J6" s="30" t="s">
        <v>3</v>
      </c>
      <c r="K6" s="53"/>
      <c r="L6" s="12"/>
      <c r="M6" s="53"/>
      <c r="N6" s="12"/>
      <c r="O6" s="47">
        <f t="shared" ref="O6:O15" si="1">SUM(K6:M6)</f>
        <v>0</v>
      </c>
      <c r="R6" s="30" t="s">
        <v>3</v>
      </c>
      <c r="S6" s="53"/>
      <c r="T6" s="12"/>
      <c r="U6" s="53"/>
      <c r="V6" s="12"/>
      <c r="W6" s="47">
        <f t="shared" ref="W6:W15" si="2">SUM(S6:U6)</f>
        <v>0</v>
      </c>
      <c r="X6" s="76" t="s">
        <v>15</v>
      </c>
    </row>
    <row r="7" spans="1:25" x14ac:dyDescent="0.15">
      <c r="B7" s="77" t="s">
        <v>3</v>
      </c>
      <c r="C7" s="78">
        <v>2</v>
      </c>
      <c r="D7" s="79"/>
      <c r="E7" s="78">
        <v>4</v>
      </c>
      <c r="F7" s="79">
        <v>3</v>
      </c>
      <c r="G7" s="80">
        <f t="shared" si="0"/>
        <v>9</v>
      </c>
      <c r="H7" s="81">
        <v>46080</v>
      </c>
      <c r="J7" s="30" t="s">
        <v>3</v>
      </c>
      <c r="K7" s="53"/>
      <c r="L7" s="12"/>
      <c r="M7" s="53"/>
      <c r="N7" s="12"/>
      <c r="O7" s="47">
        <f t="shared" si="1"/>
        <v>0</v>
      </c>
      <c r="P7" s="54"/>
      <c r="R7" s="30" t="s">
        <v>3</v>
      </c>
      <c r="S7" s="53"/>
      <c r="T7" s="12"/>
      <c r="U7" s="53"/>
      <c r="V7" s="12"/>
      <c r="W7" s="47">
        <f t="shared" si="2"/>
        <v>0</v>
      </c>
    </row>
    <row r="8" spans="1:25" x14ac:dyDescent="0.15">
      <c r="B8" s="77" t="s">
        <v>3</v>
      </c>
      <c r="C8" s="78">
        <v>5</v>
      </c>
      <c r="D8" s="79">
        <v>4</v>
      </c>
      <c r="E8" s="78"/>
      <c r="F8" s="79"/>
      <c r="G8" s="80">
        <f t="shared" si="0"/>
        <v>9</v>
      </c>
      <c r="H8" s="81">
        <v>46106</v>
      </c>
      <c r="J8" s="30" t="s">
        <v>3</v>
      </c>
      <c r="K8" s="53"/>
      <c r="L8" s="12"/>
      <c r="M8" s="53"/>
      <c r="N8" s="12"/>
      <c r="O8" s="47">
        <f t="shared" si="1"/>
        <v>0</v>
      </c>
      <c r="R8" s="30" t="s">
        <v>3</v>
      </c>
      <c r="S8" s="53"/>
      <c r="T8" s="12"/>
      <c r="U8" s="53"/>
      <c r="V8" s="12"/>
      <c r="W8" s="47">
        <f t="shared" si="2"/>
        <v>0</v>
      </c>
    </row>
    <row r="9" spans="1:25" x14ac:dyDescent="0.15">
      <c r="B9" s="30" t="s">
        <v>3</v>
      </c>
      <c r="C9" s="53"/>
      <c r="D9" s="12"/>
      <c r="E9" s="53"/>
      <c r="F9" s="12"/>
      <c r="G9" s="47">
        <f t="shared" si="0"/>
        <v>0</v>
      </c>
      <c r="H9" s="46"/>
      <c r="J9" s="30" t="s">
        <v>3</v>
      </c>
      <c r="K9" s="53"/>
      <c r="L9" s="12"/>
      <c r="M9" s="53"/>
      <c r="N9" s="12"/>
      <c r="O9" s="47">
        <f t="shared" si="1"/>
        <v>0</v>
      </c>
      <c r="R9" s="30" t="s">
        <v>3</v>
      </c>
      <c r="S9" s="53">
        <v>1000</v>
      </c>
      <c r="T9" s="12">
        <v>1000</v>
      </c>
      <c r="U9" s="53"/>
      <c r="V9" s="12"/>
      <c r="W9" s="47">
        <f t="shared" si="2"/>
        <v>2000</v>
      </c>
      <c r="X9" s="73" t="s">
        <v>37</v>
      </c>
      <c r="Y9" s="76"/>
    </row>
    <row r="10" spans="1:25" x14ac:dyDescent="0.15">
      <c r="B10" s="30" t="s">
        <v>3</v>
      </c>
      <c r="C10" s="53"/>
      <c r="D10" s="12"/>
      <c r="E10" s="53"/>
      <c r="F10" s="12"/>
      <c r="G10" s="47">
        <f t="shared" si="0"/>
        <v>0</v>
      </c>
      <c r="H10" s="46"/>
      <c r="J10" s="30" t="s">
        <v>3</v>
      </c>
      <c r="K10" s="53"/>
      <c r="L10" s="12"/>
      <c r="M10" s="53"/>
      <c r="N10" s="12"/>
      <c r="O10" s="47">
        <f t="shared" si="1"/>
        <v>0</v>
      </c>
      <c r="P10" s="52"/>
      <c r="R10" s="30" t="s">
        <v>3</v>
      </c>
      <c r="S10" s="53"/>
      <c r="T10" s="12"/>
      <c r="U10" s="53"/>
      <c r="V10" s="12"/>
      <c r="W10" s="47">
        <f t="shared" si="2"/>
        <v>0</v>
      </c>
      <c r="X10" t="s">
        <v>20</v>
      </c>
    </row>
    <row r="11" spans="1:25" x14ac:dyDescent="0.15">
      <c r="B11" s="30" t="s">
        <v>3</v>
      </c>
      <c r="C11" s="53"/>
      <c r="D11" s="12"/>
      <c r="E11" s="53"/>
      <c r="F11" s="12"/>
      <c r="G11" s="47">
        <f t="shared" si="0"/>
        <v>0</v>
      </c>
      <c r="H11" s="46"/>
      <c r="J11" s="30" t="s">
        <v>3</v>
      </c>
      <c r="K11" s="51"/>
      <c r="L11" s="12"/>
      <c r="M11" s="51"/>
      <c r="N11" s="12"/>
      <c r="O11" s="47">
        <f t="shared" si="1"/>
        <v>0</v>
      </c>
      <c r="P11" s="52"/>
      <c r="R11" s="30" t="s">
        <v>3</v>
      </c>
      <c r="S11" s="51"/>
      <c r="T11" s="12"/>
      <c r="U11" s="51"/>
      <c r="V11" s="12"/>
      <c r="W11" s="47">
        <f t="shared" si="2"/>
        <v>0</v>
      </c>
    </row>
    <row r="12" spans="1:25" x14ac:dyDescent="0.15">
      <c r="B12" s="30" t="s">
        <v>3</v>
      </c>
      <c r="C12" s="16"/>
      <c r="D12" s="15"/>
      <c r="E12" s="16"/>
      <c r="F12" s="15"/>
      <c r="G12" s="47">
        <f t="shared" si="0"/>
        <v>0</v>
      </c>
      <c r="H12" s="46"/>
      <c r="J12" s="30" t="s">
        <v>3</v>
      </c>
      <c r="K12" s="16"/>
      <c r="L12" s="15"/>
      <c r="M12" s="16"/>
      <c r="N12" s="15"/>
      <c r="O12" s="47">
        <f t="shared" si="1"/>
        <v>0</v>
      </c>
      <c r="R12" s="30" t="s">
        <v>3</v>
      </c>
      <c r="S12" s="16"/>
      <c r="T12" s="15"/>
      <c r="U12" s="16"/>
      <c r="V12" s="15"/>
      <c r="W12" s="47">
        <f t="shared" si="2"/>
        <v>0</v>
      </c>
    </row>
    <row r="13" spans="1:25" x14ac:dyDescent="0.15">
      <c r="B13" s="30" t="s">
        <v>3</v>
      </c>
      <c r="C13" s="16"/>
      <c r="D13" s="15"/>
      <c r="E13" s="50"/>
      <c r="F13" s="49"/>
      <c r="G13" s="47">
        <f t="shared" si="0"/>
        <v>0</v>
      </c>
      <c r="H13" s="46"/>
      <c r="J13" s="30" t="s">
        <v>3</v>
      </c>
      <c r="K13" s="16"/>
      <c r="L13" s="15"/>
      <c r="M13" s="16"/>
      <c r="N13" s="15"/>
      <c r="O13" s="47">
        <f t="shared" si="1"/>
        <v>0</v>
      </c>
      <c r="R13" s="30" t="s">
        <v>3</v>
      </c>
      <c r="S13" s="16"/>
      <c r="T13" s="15"/>
      <c r="U13" s="16"/>
      <c r="V13" s="15"/>
      <c r="W13" s="47">
        <f t="shared" si="2"/>
        <v>0</v>
      </c>
    </row>
    <row r="14" spans="1:25" x14ac:dyDescent="0.15">
      <c r="B14" s="30" t="s">
        <v>3</v>
      </c>
      <c r="C14" s="16"/>
      <c r="D14" s="15"/>
      <c r="E14" s="16"/>
      <c r="F14" s="15"/>
      <c r="G14" s="47">
        <f t="shared" si="0"/>
        <v>0</v>
      </c>
      <c r="H14" s="46"/>
      <c r="J14" s="30" t="s">
        <v>3</v>
      </c>
      <c r="K14" s="16"/>
      <c r="L14" s="15"/>
      <c r="M14" s="16"/>
      <c r="N14" s="15"/>
      <c r="O14" s="47">
        <f t="shared" si="1"/>
        <v>0</v>
      </c>
      <c r="R14" s="30" t="s">
        <v>3</v>
      </c>
      <c r="S14" s="16"/>
      <c r="T14" s="15"/>
      <c r="U14" s="16"/>
      <c r="V14" s="15"/>
      <c r="W14" s="47">
        <f t="shared" si="2"/>
        <v>0</v>
      </c>
    </row>
    <row r="15" spans="1:25" ht="14.25" thickBot="1" x14ac:dyDescent="0.2">
      <c r="B15" s="48" t="s">
        <v>3</v>
      </c>
      <c r="C15" s="10"/>
      <c r="D15" s="9"/>
      <c r="E15" s="10"/>
      <c r="F15" s="9"/>
      <c r="G15" s="47">
        <f t="shared" si="0"/>
        <v>0</v>
      </c>
      <c r="H15" s="40"/>
      <c r="J15" s="48" t="s">
        <v>3</v>
      </c>
      <c r="K15" s="10"/>
      <c r="L15" s="9"/>
      <c r="M15" s="10"/>
      <c r="N15" s="9"/>
      <c r="O15" s="47">
        <f t="shared" si="1"/>
        <v>0</v>
      </c>
      <c r="R15" s="48" t="s">
        <v>3</v>
      </c>
      <c r="S15" s="10"/>
      <c r="T15" s="9"/>
      <c r="U15" s="10"/>
      <c r="V15" s="9"/>
      <c r="W15" s="47">
        <f t="shared" si="2"/>
        <v>0</v>
      </c>
    </row>
    <row r="16" spans="1:25" ht="14.25" thickBot="1" x14ac:dyDescent="0.2">
      <c r="B16" s="25" t="s">
        <v>2</v>
      </c>
      <c r="C16" s="24">
        <f>SUM(C5:C15)</f>
        <v>12</v>
      </c>
      <c r="D16" s="24">
        <f>SUM(D5:D15)</f>
        <v>9</v>
      </c>
      <c r="E16" s="24">
        <f>SUM(E5:E15)</f>
        <v>9</v>
      </c>
      <c r="F16" s="24">
        <f>SUM(F5:F15)</f>
        <v>10</v>
      </c>
      <c r="G16" s="23">
        <f>SUM(G5:G15)</f>
        <v>40</v>
      </c>
      <c r="H16" s="40"/>
      <c r="J16" s="25" t="s">
        <v>2</v>
      </c>
      <c r="K16" s="24">
        <f>SUM(K5:K15)</f>
        <v>500</v>
      </c>
      <c r="L16" s="24">
        <f>SUM(L5:L15)</f>
        <v>500</v>
      </c>
      <c r="M16" s="24">
        <f>SUM(M5:M15)</f>
        <v>300</v>
      </c>
      <c r="N16" s="24">
        <f>SUM(N5:N15)</f>
        <v>300</v>
      </c>
      <c r="O16" s="23">
        <f>SUM(O5:O15)</f>
        <v>1600</v>
      </c>
      <c r="R16" s="25" t="s">
        <v>2</v>
      </c>
      <c r="S16" s="24">
        <f>SUM(S5:S15)</f>
        <v>1327</v>
      </c>
      <c r="T16" s="24">
        <f>SUM(T5:T15)</f>
        <v>1456</v>
      </c>
      <c r="U16" s="24">
        <f>SUM(U5:U15)</f>
        <v>656</v>
      </c>
      <c r="V16" s="24">
        <f>SUM(V5:V15)</f>
        <v>660</v>
      </c>
      <c r="W16" s="23">
        <f>SUM(W5:W15)</f>
        <v>4099</v>
      </c>
    </row>
    <row r="17" spans="2:24" x14ac:dyDescent="0.15">
      <c r="B17" s="18" t="s">
        <v>35</v>
      </c>
      <c r="C17" s="22"/>
      <c r="D17" s="20">
        <v>1</v>
      </c>
      <c r="E17" s="21"/>
      <c r="F17" s="20"/>
      <c r="G17" s="14">
        <f t="shared" ref="G17:G42" si="3">SUM(C17:F17)</f>
        <v>1</v>
      </c>
      <c r="H17" s="46">
        <v>46052</v>
      </c>
      <c r="J17" s="18" t="s">
        <v>31</v>
      </c>
      <c r="K17" s="22">
        <v>2</v>
      </c>
      <c r="L17" s="20">
        <v>2</v>
      </c>
      <c r="M17" s="21">
        <v>2</v>
      </c>
      <c r="N17" s="20">
        <v>2</v>
      </c>
      <c r="O17" s="14">
        <f>SUM(K17:N17)</f>
        <v>8</v>
      </c>
      <c r="P17" s="19">
        <v>46052</v>
      </c>
      <c r="R17" s="18" t="s">
        <v>21</v>
      </c>
      <c r="S17" s="22">
        <v>500</v>
      </c>
      <c r="T17" s="20">
        <v>500</v>
      </c>
      <c r="U17" s="21">
        <v>300</v>
      </c>
      <c r="V17" s="20">
        <v>300</v>
      </c>
      <c r="W17" s="14">
        <f>SUM(S17:V17)</f>
        <v>1600</v>
      </c>
      <c r="X17" s="73">
        <v>46051</v>
      </c>
    </row>
    <row r="18" spans="2:24" x14ac:dyDescent="0.15">
      <c r="B18" s="18" t="s">
        <v>40</v>
      </c>
      <c r="C18" s="17"/>
      <c r="D18" s="15"/>
      <c r="E18" s="16"/>
      <c r="F18" s="15">
        <v>4</v>
      </c>
      <c r="G18" s="14">
        <f t="shared" si="3"/>
        <v>4</v>
      </c>
      <c r="H18" s="46">
        <v>46059</v>
      </c>
      <c r="J18" s="18" t="s">
        <v>34</v>
      </c>
      <c r="K18" s="17">
        <v>5</v>
      </c>
      <c r="L18" s="15">
        <v>5</v>
      </c>
      <c r="M18" s="16">
        <v>5</v>
      </c>
      <c r="N18" s="15">
        <v>3</v>
      </c>
      <c r="O18" s="14">
        <f>SUM(K18:N18)</f>
        <v>18</v>
      </c>
      <c r="P18" s="19">
        <v>46052</v>
      </c>
      <c r="Q18" s="76"/>
      <c r="R18" s="18"/>
      <c r="S18" s="17"/>
      <c r="T18" s="15"/>
      <c r="U18" s="16"/>
      <c r="V18" s="15"/>
      <c r="W18" s="14">
        <f t="shared" ref="W18:W40" si="4">SUM(S18:U18)</f>
        <v>0</v>
      </c>
    </row>
    <row r="19" spans="2:24" x14ac:dyDescent="0.15">
      <c r="B19" s="18" t="s">
        <v>43</v>
      </c>
      <c r="C19" s="17">
        <v>1</v>
      </c>
      <c r="D19" s="15"/>
      <c r="E19" s="16"/>
      <c r="F19" s="15"/>
      <c r="G19" s="14">
        <f t="shared" si="3"/>
        <v>1</v>
      </c>
      <c r="H19" s="46">
        <v>46063</v>
      </c>
      <c r="I19" s="76"/>
      <c r="J19" s="18" t="s">
        <v>38</v>
      </c>
      <c r="K19" s="17">
        <v>5</v>
      </c>
      <c r="L19" s="15"/>
      <c r="M19" s="16"/>
      <c r="N19" s="15"/>
      <c r="O19" s="14">
        <f t="shared" ref="O19:O40" si="5">SUM(K19:N19)</f>
        <v>5</v>
      </c>
      <c r="P19" s="19">
        <v>46057</v>
      </c>
      <c r="Q19" s="76"/>
      <c r="R19" s="18"/>
      <c r="S19" s="17"/>
      <c r="T19" s="15"/>
      <c r="U19" s="16"/>
      <c r="V19" s="15"/>
      <c r="W19" s="14">
        <f t="shared" si="4"/>
        <v>0</v>
      </c>
    </row>
    <row r="20" spans="2:24" x14ac:dyDescent="0.15">
      <c r="B20" s="18" t="s">
        <v>45</v>
      </c>
      <c r="C20" s="17"/>
      <c r="D20" s="15"/>
      <c r="E20" s="16">
        <v>2</v>
      </c>
      <c r="F20" s="15"/>
      <c r="G20" s="14">
        <f t="shared" si="3"/>
        <v>2</v>
      </c>
      <c r="H20" s="46">
        <v>46066</v>
      </c>
      <c r="I20" s="76"/>
      <c r="J20" s="18" t="s">
        <v>39</v>
      </c>
      <c r="K20" s="17"/>
      <c r="L20" s="15"/>
      <c r="M20" s="16"/>
      <c r="N20" s="15">
        <v>4</v>
      </c>
      <c r="O20" s="14">
        <f t="shared" si="5"/>
        <v>4</v>
      </c>
      <c r="P20" s="19">
        <v>46058</v>
      </c>
      <c r="R20" s="18"/>
      <c r="S20" s="17"/>
      <c r="T20" s="15"/>
      <c r="U20" s="16"/>
      <c r="V20" s="15"/>
      <c r="W20" s="14">
        <f t="shared" si="4"/>
        <v>0</v>
      </c>
    </row>
    <row r="21" spans="2:24" x14ac:dyDescent="0.15">
      <c r="B21" s="18" t="s">
        <v>46</v>
      </c>
      <c r="C21" s="11"/>
      <c r="D21" s="9"/>
      <c r="E21" s="10">
        <v>1</v>
      </c>
      <c r="F21" s="9">
        <v>1</v>
      </c>
      <c r="G21" s="14">
        <f t="shared" si="3"/>
        <v>2</v>
      </c>
      <c r="H21" s="46">
        <v>46069</v>
      </c>
      <c r="J21" s="18" t="s">
        <v>41</v>
      </c>
      <c r="K21" s="11"/>
      <c r="L21" s="9">
        <v>2</v>
      </c>
      <c r="M21" s="10"/>
      <c r="N21" s="9">
        <v>1</v>
      </c>
      <c r="O21" s="14">
        <f t="shared" si="5"/>
        <v>3</v>
      </c>
      <c r="P21" s="19">
        <v>46059</v>
      </c>
      <c r="R21" s="18"/>
      <c r="S21" s="11"/>
      <c r="T21" s="9"/>
      <c r="U21" s="10"/>
      <c r="V21" s="9"/>
      <c r="W21" s="14">
        <f t="shared" si="4"/>
        <v>0</v>
      </c>
    </row>
    <row r="22" spans="2:24" x14ac:dyDescent="0.15">
      <c r="B22" s="18" t="s">
        <v>47</v>
      </c>
      <c r="C22" s="17">
        <v>1</v>
      </c>
      <c r="D22" s="15"/>
      <c r="E22" s="16"/>
      <c r="F22" s="15"/>
      <c r="G22" s="14">
        <f t="shared" si="3"/>
        <v>1</v>
      </c>
      <c r="H22" s="46">
        <v>46073</v>
      </c>
      <c r="I22" s="76"/>
      <c r="J22" s="18" t="s">
        <v>42</v>
      </c>
      <c r="K22" s="17">
        <v>1</v>
      </c>
      <c r="L22" s="15">
        <v>2</v>
      </c>
      <c r="M22" s="16"/>
      <c r="N22" s="15">
        <v>3</v>
      </c>
      <c r="O22" s="14">
        <f t="shared" si="5"/>
        <v>6</v>
      </c>
      <c r="P22" s="83">
        <v>46062</v>
      </c>
      <c r="R22" s="18"/>
      <c r="S22" s="17"/>
      <c r="T22" s="15"/>
      <c r="U22" s="16"/>
      <c r="V22" s="15"/>
      <c r="W22" s="14">
        <f t="shared" si="4"/>
        <v>0</v>
      </c>
    </row>
    <row r="23" spans="2:24" x14ac:dyDescent="0.15">
      <c r="B23" s="18" t="s">
        <v>51</v>
      </c>
      <c r="C23" s="17"/>
      <c r="D23" s="15"/>
      <c r="E23" s="16">
        <v>1</v>
      </c>
      <c r="F23" s="15"/>
      <c r="G23" s="14">
        <f t="shared" si="3"/>
        <v>1</v>
      </c>
      <c r="H23" s="46">
        <v>46080</v>
      </c>
      <c r="J23" s="18" t="s">
        <v>44</v>
      </c>
      <c r="K23" s="17"/>
      <c r="L23" s="15">
        <v>3</v>
      </c>
      <c r="M23" s="16"/>
      <c r="N23" s="15"/>
      <c r="O23" s="14">
        <f t="shared" si="5"/>
        <v>3</v>
      </c>
      <c r="P23" s="83">
        <v>46065</v>
      </c>
      <c r="R23" s="18"/>
      <c r="S23" s="17"/>
      <c r="T23" s="15"/>
      <c r="U23" s="16"/>
      <c r="V23" s="15"/>
      <c r="W23" s="14">
        <f t="shared" si="4"/>
        <v>0</v>
      </c>
    </row>
    <row r="24" spans="2:24" x14ac:dyDescent="0.15">
      <c r="B24" s="18" t="s">
        <v>52</v>
      </c>
      <c r="C24" s="17">
        <v>1</v>
      </c>
      <c r="D24" s="15"/>
      <c r="E24" s="16"/>
      <c r="F24" s="15"/>
      <c r="G24" s="14">
        <f t="shared" si="3"/>
        <v>1</v>
      </c>
      <c r="H24" s="46">
        <v>46085</v>
      </c>
      <c r="J24" s="18" t="s">
        <v>49</v>
      </c>
      <c r="K24" s="17"/>
      <c r="L24" s="15"/>
      <c r="M24" s="16">
        <v>2</v>
      </c>
      <c r="N24" s="15">
        <v>1</v>
      </c>
      <c r="O24" s="14">
        <f t="shared" si="5"/>
        <v>3</v>
      </c>
      <c r="P24" s="83">
        <v>46079</v>
      </c>
      <c r="R24" s="18"/>
      <c r="S24" s="17"/>
      <c r="T24" s="15"/>
      <c r="U24" s="16"/>
      <c r="V24" s="15"/>
      <c r="W24" s="14">
        <f t="shared" si="4"/>
        <v>0</v>
      </c>
    </row>
    <row r="25" spans="2:24" x14ac:dyDescent="0.15">
      <c r="B25" s="18" t="s">
        <v>62</v>
      </c>
      <c r="C25" s="17">
        <v>1</v>
      </c>
      <c r="D25" s="15">
        <v>1</v>
      </c>
      <c r="E25" s="16">
        <v>1</v>
      </c>
      <c r="F25" s="15"/>
      <c r="G25" s="14">
        <f t="shared" si="3"/>
        <v>3</v>
      </c>
      <c r="H25" s="46">
        <v>46090</v>
      </c>
      <c r="J25" s="18" t="s">
        <v>50</v>
      </c>
      <c r="K25" s="17">
        <v>2</v>
      </c>
      <c r="L25" s="15"/>
      <c r="M25" s="16">
        <v>3</v>
      </c>
      <c r="N25" s="15"/>
      <c r="O25" s="14">
        <f t="shared" si="5"/>
        <v>5</v>
      </c>
      <c r="P25" s="83">
        <v>46080</v>
      </c>
      <c r="R25" s="18"/>
      <c r="S25" s="17"/>
      <c r="T25" s="15"/>
      <c r="U25" s="16"/>
      <c r="V25" s="15"/>
      <c r="W25" s="14">
        <f t="shared" si="4"/>
        <v>0</v>
      </c>
    </row>
    <row r="26" spans="2:24" x14ac:dyDescent="0.15">
      <c r="B26" s="18"/>
      <c r="C26" s="17"/>
      <c r="D26" s="15"/>
      <c r="E26" s="16"/>
      <c r="F26" s="15"/>
      <c r="G26" s="14">
        <f t="shared" si="3"/>
        <v>0</v>
      </c>
      <c r="H26" s="46"/>
      <c r="J26" s="87" t="s">
        <v>39</v>
      </c>
      <c r="K26" s="88">
        <v>2</v>
      </c>
      <c r="L26" s="89"/>
      <c r="M26" s="90">
        <v>4</v>
      </c>
      <c r="N26" s="89">
        <v>3</v>
      </c>
      <c r="O26" s="14">
        <f t="shared" si="5"/>
        <v>9</v>
      </c>
      <c r="P26" s="91">
        <v>46080</v>
      </c>
      <c r="R26" s="18"/>
      <c r="S26" s="17"/>
      <c r="T26" s="15"/>
      <c r="U26" s="16"/>
      <c r="V26" s="15"/>
      <c r="W26" s="14">
        <f t="shared" si="4"/>
        <v>0</v>
      </c>
    </row>
    <row r="27" spans="2:24" x14ac:dyDescent="0.15">
      <c r="B27" s="18"/>
      <c r="C27" s="17"/>
      <c r="D27" s="15"/>
      <c r="E27" s="16"/>
      <c r="F27" s="15"/>
      <c r="G27" s="14">
        <f t="shared" si="3"/>
        <v>0</v>
      </c>
      <c r="H27" s="46"/>
      <c r="J27" s="87" t="s">
        <v>39</v>
      </c>
      <c r="K27" s="88">
        <v>5</v>
      </c>
      <c r="L27" s="89">
        <v>4</v>
      </c>
      <c r="M27" s="90"/>
      <c r="N27" s="89"/>
      <c r="O27" s="97">
        <f t="shared" si="5"/>
        <v>9</v>
      </c>
      <c r="P27" s="91">
        <v>46106</v>
      </c>
      <c r="R27" s="18"/>
      <c r="S27" s="17"/>
      <c r="T27" s="15"/>
      <c r="U27" s="16"/>
      <c r="V27" s="15"/>
      <c r="W27" s="14">
        <f t="shared" si="4"/>
        <v>0</v>
      </c>
    </row>
    <row r="28" spans="2:24" x14ac:dyDescent="0.15">
      <c r="B28" s="18"/>
      <c r="C28" s="17"/>
      <c r="D28" s="15"/>
      <c r="E28" s="16"/>
      <c r="F28" s="15"/>
      <c r="G28" s="14">
        <f t="shared" si="3"/>
        <v>0</v>
      </c>
      <c r="H28" s="46"/>
      <c r="J28" s="18"/>
      <c r="K28" s="17"/>
      <c r="L28" s="15"/>
      <c r="M28" s="16"/>
      <c r="N28" s="15"/>
      <c r="O28" s="14">
        <f t="shared" si="5"/>
        <v>0</v>
      </c>
      <c r="R28" s="18"/>
      <c r="S28" s="17"/>
      <c r="T28" s="15"/>
      <c r="U28" s="16"/>
      <c r="V28" s="15"/>
      <c r="W28" s="14">
        <f t="shared" si="4"/>
        <v>0</v>
      </c>
    </row>
    <row r="29" spans="2:24" x14ac:dyDescent="0.15">
      <c r="B29" s="18"/>
      <c r="C29" s="17"/>
      <c r="D29" s="15"/>
      <c r="E29" s="16"/>
      <c r="F29" s="15"/>
      <c r="G29" s="14">
        <f t="shared" si="3"/>
        <v>0</v>
      </c>
      <c r="H29" s="46"/>
      <c r="J29" s="12"/>
      <c r="K29" s="17"/>
      <c r="L29" s="15"/>
      <c r="M29" s="16"/>
      <c r="N29" s="15"/>
      <c r="O29" s="14">
        <f t="shared" si="5"/>
        <v>0</v>
      </c>
      <c r="R29" s="12"/>
      <c r="S29" s="17"/>
      <c r="T29" s="15"/>
      <c r="U29" s="16"/>
      <c r="V29" s="15"/>
      <c r="W29" s="14">
        <f t="shared" si="4"/>
        <v>0</v>
      </c>
    </row>
    <row r="30" spans="2:24" x14ac:dyDescent="0.15">
      <c r="B30" s="18"/>
      <c r="C30" s="17"/>
      <c r="D30" s="15"/>
      <c r="E30" s="16"/>
      <c r="F30" s="15"/>
      <c r="G30" s="14">
        <f t="shared" si="3"/>
        <v>0</v>
      </c>
      <c r="H30" s="46"/>
      <c r="J30" s="12"/>
      <c r="K30" s="17"/>
      <c r="L30" s="15"/>
      <c r="M30" s="16"/>
      <c r="N30" s="15"/>
      <c r="O30" s="14">
        <f t="shared" si="5"/>
        <v>0</v>
      </c>
      <c r="R30" s="12"/>
      <c r="S30" s="17"/>
      <c r="T30" s="15"/>
      <c r="U30" s="16"/>
      <c r="V30" s="15"/>
      <c r="W30" s="14">
        <f t="shared" si="4"/>
        <v>0</v>
      </c>
    </row>
    <row r="31" spans="2:24" x14ac:dyDescent="0.15">
      <c r="B31" s="18"/>
      <c r="C31" s="17"/>
      <c r="D31" s="15"/>
      <c r="E31" s="16"/>
      <c r="F31" s="15"/>
      <c r="G31" s="14">
        <f t="shared" si="3"/>
        <v>0</v>
      </c>
      <c r="H31" s="46"/>
      <c r="J31" s="18"/>
      <c r="K31" s="17"/>
      <c r="L31" s="15"/>
      <c r="M31" s="16"/>
      <c r="N31" s="15"/>
      <c r="O31" s="14">
        <f t="shared" si="5"/>
        <v>0</v>
      </c>
      <c r="R31" s="18"/>
      <c r="S31" s="17"/>
      <c r="T31" s="15"/>
      <c r="U31" s="16"/>
      <c r="V31" s="15"/>
      <c r="W31" s="14">
        <f t="shared" si="4"/>
        <v>0</v>
      </c>
    </row>
    <row r="32" spans="2:24" x14ac:dyDescent="0.15">
      <c r="B32" s="18"/>
      <c r="C32" s="17"/>
      <c r="D32" s="15"/>
      <c r="E32" s="16"/>
      <c r="F32" s="15"/>
      <c r="G32" s="14">
        <f t="shared" si="3"/>
        <v>0</v>
      </c>
      <c r="H32" s="46"/>
      <c r="J32" s="12"/>
      <c r="K32" s="17"/>
      <c r="L32" s="15"/>
      <c r="M32" s="16"/>
      <c r="N32" s="15"/>
      <c r="O32" s="14">
        <f t="shared" si="5"/>
        <v>0</v>
      </c>
      <c r="R32" s="12"/>
      <c r="S32" s="17"/>
      <c r="T32" s="15"/>
      <c r="U32" s="16"/>
      <c r="V32" s="15"/>
      <c r="W32" s="14">
        <f t="shared" si="4"/>
        <v>0</v>
      </c>
    </row>
    <row r="33" spans="1:23" x14ac:dyDescent="0.15">
      <c r="B33" s="18"/>
      <c r="C33" s="17"/>
      <c r="D33" s="15"/>
      <c r="E33" s="16"/>
      <c r="F33" s="15"/>
      <c r="G33" s="14">
        <f t="shared" si="3"/>
        <v>0</v>
      </c>
      <c r="H33" s="46"/>
      <c r="J33" s="12"/>
      <c r="K33" s="17"/>
      <c r="L33" s="15"/>
      <c r="M33" s="16"/>
      <c r="N33" s="15"/>
      <c r="O33" s="14">
        <f t="shared" si="5"/>
        <v>0</v>
      </c>
      <c r="R33" s="12"/>
      <c r="S33" s="17"/>
      <c r="T33" s="15"/>
      <c r="U33" s="16"/>
      <c r="V33" s="15"/>
      <c r="W33" s="14">
        <f t="shared" si="4"/>
        <v>0</v>
      </c>
    </row>
    <row r="34" spans="1:23" x14ac:dyDescent="0.15">
      <c r="B34" s="18"/>
      <c r="C34" s="17"/>
      <c r="D34" s="15"/>
      <c r="E34" s="16"/>
      <c r="F34" s="15"/>
      <c r="G34" s="14">
        <f t="shared" si="3"/>
        <v>0</v>
      </c>
      <c r="H34" s="46"/>
      <c r="J34" s="12"/>
      <c r="K34" s="17"/>
      <c r="L34" s="15"/>
      <c r="M34" s="16"/>
      <c r="N34" s="15"/>
      <c r="O34" s="14">
        <f t="shared" si="5"/>
        <v>0</v>
      </c>
      <c r="R34" s="12"/>
      <c r="S34" s="17"/>
      <c r="T34" s="15"/>
      <c r="U34" s="16"/>
      <c r="V34" s="15"/>
      <c r="W34" s="14">
        <f t="shared" si="4"/>
        <v>0</v>
      </c>
    </row>
    <row r="35" spans="1:23" x14ac:dyDescent="0.15">
      <c r="B35" s="18"/>
      <c r="C35" s="17"/>
      <c r="D35" s="15"/>
      <c r="E35" s="16"/>
      <c r="F35" s="15"/>
      <c r="G35" s="14">
        <f t="shared" si="3"/>
        <v>0</v>
      </c>
      <c r="H35" s="46"/>
      <c r="J35" s="12"/>
      <c r="K35" s="17"/>
      <c r="L35" s="15"/>
      <c r="M35" s="16"/>
      <c r="N35" s="15"/>
      <c r="O35" s="14">
        <f t="shared" si="5"/>
        <v>0</v>
      </c>
      <c r="R35" s="12"/>
      <c r="S35" s="17"/>
      <c r="T35" s="15"/>
      <c r="U35" s="16"/>
      <c r="V35" s="15"/>
      <c r="W35" s="14">
        <f t="shared" si="4"/>
        <v>0</v>
      </c>
    </row>
    <row r="36" spans="1:23" x14ac:dyDescent="0.15">
      <c r="B36" s="18"/>
      <c r="C36" s="17"/>
      <c r="D36" s="15"/>
      <c r="E36" s="16"/>
      <c r="F36" s="15"/>
      <c r="G36" s="14">
        <f t="shared" si="3"/>
        <v>0</v>
      </c>
      <c r="H36" s="46"/>
      <c r="J36" s="12"/>
      <c r="K36" s="17"/>
      <c r="L36" s="15"/>
      <c r="M36" s="16"/>
      <c r="N36" s="15"/>
      <c r="O36" s="14">
        <f t="shared" si="5"/>
        <v>0</v>
      </c>
      <c r="R36" s="12"/>
      <c r="S36" s="17"/>
      <c r="T36" s="15"/>
      <c r="U36" s="16"/>
      <c r="V36" s="15"/>
      <c r="W36" s="14">
        <f t="shared" si="4"/>
        <v>0</v>
      </c>
    </row>
    <row r="37" spans="1:23" x14ac:dyDescent="0.15">
      <c r="B37" s="18"/>
      <c r="C37" s="17"/>
      <c r="D37" s="15"/>
      <c r="E37" s="16"/>
      <c r="F37" s="15"/>
      <c r="G37" s="14">
        <f t="shared" si="3"/>
        <v>0</v>
      </c>
      <c r="H37" s="46"/>
      <c r="J37" s="12"/>
      <c r="K37" s="17"/>
      <c r="L37" s="15"/>
      <c r="M37" s="16"/>
      <c r="N37" s="15"/>
      <c r="O37" s="14">
        <f t="shared" si="5"/>
        <v>0</v>
      </c>
      <c r="R37" s="12"/>
      <c r="S37" s="17"/>
      <c r="T37" s="15"/>
      <c r="U37" s="16"/>
      <c r="V37" s="15"/>
      <c r="W37" s="14">
        <f t="shared" si="4"/>
        <v>0</v>
      </c>
    </row>
    <row r="38" spans="1:23" x14ac:dyDescent="0.15">
      <c r="B38" s="18"/>
      <c r="C38" s="17"/>
      <c r="D38" s="15"/>
      <c r="E38" s="16"/>
      <c r="F38" s="15"/>
      <c r="G38" s="14">
        <f t="shared" si="3"/>
        <v>0</v>
      </c>
      <c r="H38" s="46"/>
      <c r="J38" s="12"/>
      <c r="K38" s="17"/>
      <c r="L38" s="15"/>
      <c r="M38" s="16"/>
      <c r="N38" s="15"/>
      <c r="O38" s="14">
        <f t="shared" si="5"/>
        <v>0</v>
      </c>
      <c r="R38" s="12"/>
      <c r="S38" s="17"/>
      <c r="T38" s="15"/>
      <c r="U38" s="16"/>
      <c r="V38" s="15"/>
      <c r="W38" s="14">
        <f t="shared" si="4"/>
        <v>0</v>
      </c>
    </row>
    <row r="39" spans="1:23" x14ac:dyDescent="0.15">
      <c r="B39" s="18"/>
      <c r="C39" s="17"/>
      <c r="D39" s="15"/>
      <c r="E39" s="16"/>
      <c r="F39" s="15"/>
      <c r="G39" s="14">
        <f t="shared" si="3"/>
        <v>0</v>
      </c>
      <c r="H39" s="46"/>
      <c r="J39" s="12" t="s">
        <v>25</v>
      </c>
      <c r="K39" s="11"/>
      <c r="L39" s="9"/>
      <c r="M39" s="10"/>
      <c r="N39" s="9"/>
      <c r="O39" s="14">
        <f t="shared" si="5"/>
        <v>0</v>
      </c>
      <c r="P39" s="76" t="s">
        <v>26</v>
      </c>
      <c r="R39" s="12"/>
      <c r="S39" s="17"/>
      <c r="T39" s="15"/>
      <c r="U39" s="16"/>
      <c r="V39" s="15"/>
      <c r="W39" s="14">
        <f t="shared" si="4"/>
        <v>0</v>
      </c>
    </row>
    <row r="40" spans="1:23" ht="14.25" thickBot="1" x14ac:dyDescent="0.2">
      <c r="B40" s="12"/>
      <c r="C40" s="11"/>
      <c r="D40" s="9"/>
      <c r="E40" s="10"/>
      <c r="F40" s="9"/>
      <c r="G40" s="45">
        <f t="shared" si="3"/>
        <v>0</v>
      </c>
      <c r="H40" s="46"/>
      <c r="J40" s="12" t="s">
        <v>28</v>
      </c>
      <c r="K40" s="11"/>
      <c r="L40" s="9"/>
      <c r="M40" s="10"/>
      <c r="N40" s="9"/>
      <c r="O40" s="14">
        <f t="shared" si="5"/>
        <v>0</v>
      </c>
      <c r="P40" s="76" t="s">
        <v>29</v>
      </c>
      <c r="R40" s="12"/>
      <c r="S40" s="17"/>
      <c r="T40" s="15"/>
      <c r="U40" s="16"/>
      <c r="V40" s="15"/>
      <c r="W40" s="92">
        <f t="shared" si="4"/>
        <v>0</v>
      </c>
    </row>
    <row r="41" spans="1:23" ht="14.25" thickBot="1" x14ac:dyDescent="0.2">
      <c r="B41" s="7" t="s">
        <v>1</v>
      </c>
      <c r="C41" s="6">
        <f>SUM(C17:C40)</f>
        <v>4</v>
      </c>
      <c r="D41" s="6">
        <f>SUM(D17:D40)</f>
        <v>2</v>
      </c>
      <c r="E41" s="6">
        <f>SUM(E17:E40)</f>
        <v>5</v>
      </c>
      <c r="F41" s="6">
        <f>SUM(F17:F40)</f>
        <v>5</v>
      </c>
      <c r="G41" s="43">
        <f t="shared" si="3"/>
        <v>16</v>
      </c>
      <c r="H41" s="40"/>
      <c r="J41" s="7" t="s">
        <v>1</v>
      </c>
      <c r="K41" s="44">
        <f>SUM(K17:K40)</f>
        <v>22</v>
      </c>
      <c r="L41" s="44">
        <f>SUM(L17:L40)</f>
        <v>18</v>
      </c>
      <c r="M41" s="44">
        <f>SUM(M17:M40)</f>
        <v>16</v>
      </c>
      <c r="N41" s="44">
        <f>SUM(N17:N40)</f>
        <v>17</v>
      </c>
      <c r="O41" s="43">
        <f>SUM(K41:N41)</f>
        <v>73</v>
      </c>
      <c r="R41" s="7" t="s">
        <v>1</v>
      </c>
      <c r="S41" s="44">
        <f>SUM(S17:S40)</f>
        <v>500</v>
      </c>
      <c r="T41" s="44">
        <f>SUM(T17:T40)</f>
        <v>500</v>
      </c>
      <c r="U41" s="44">
        <f>SUM(U17:U40)</f>
        <v>300</v>
      </c>
      <c r="V41" s="44">
        <f>SUM(V17:V40)</f>
        <v>300</v>
      </c>
      <c r="W41" s="43">
        <f>SUM(S41:V41)</f>
        <v>1600</v>
      </c>
    </row>
    <row r="42" spans="1:23" ht="14.25" thickBot="1" x14ac:dyDescent="0.2">
      <c r="B42" s="4" t="s">
        <v>0</v>
      </c>
      <c r="C42" s="3">
        <f>C16-C41</f>
        <v>8</v>
      </c>
      <c r="D42" s="3">
        <f>D16-D41</f>
        <v>7</v>
      </c>
      <c r="E42" s="3">
        <f>E16-E41</f>
        <v>4</v>
      </c>
      <c r="F42" s="3">
        <f>F16-F41</f>
        <v>5</v>
      </c>
      <c r="G42" s="2">
        <f t="shared" si="3"/>
        <v>24</v>
      </c>
      <c r="J42" s="4" t="s">
        <v>0</v>
      </c>
      <c r="K42" s="3">
        <f>K16-K41</f>
        <v>478</v>
      </c>
      <c r="L42" s="3">
        <f>L16-L41</f>
        <v>482</v>
      </c>
      <c r="M42" s="3">
        <f>M16-M41</f>
        <v>284</v>
      </c>
      <c r="N42" s="3">
        <f>N16-N41</f>
        <v>283</v>
      </c>
      <c r="O42" s="42">
        <f>SUM(K42:N42)</f>
        <v>1527</v>
      </c>
      <c r="R42" s="4" t="s">
        <v>0</v>
      </c>
      <c r="S42" s="3">
        <f>S16-S41</f>
        <v>827</v>
      </c>
      <c r="T42" s="3">
        <f>T16-T41</f>
        <v>956</v>
      </c>
      <c r="U42" s="3">
        <f>U16-U41</f>
        <v>356</v>
      </c>
      <c r="V42" s="3">
        <f>V16-V41</f>
        <v>360</v>
      </c>
      <c r="W42" s="42">
        <f>SUM(S42:V42)</f>
        <v>2499</v>
      </c>
    </row>
    <row r="45" spans="1:23" ht="22.5" customHeight="1" x14ac:dyDescent="0.2">
      <c r="A45" s="41" t="s">
        <v>13</v>
      </c>
      <c r="C45" s="40"/>
      <c r="D45" s="40"/>
      <c r="E45" s="40"/>
      <c r="F45" s="40"/>
      <c r="G45" s="40"/>
      <c r="H45" s="40"/>
      <c r="I45" s="41" t="s">
        <v>12</v>
      </c>
      <c r="K45" s="40"/>
      <c r="L45" s="40"/>
      <c r="M45" s="40"/>
      <c r="N45" s="40"/>
      <c r="O45" s="40"/>
      <c r="Q45" s="41" t="s">
        <v>11</v>
      </c>
      <c r="S45" s="40"/>
      <c r="T45" s="40"/>
      <c r="U45" s="40"/>
      <c r="V45" s="40"/>
      <c r="W45" s="40"/>
    </row>
    <row r="46" spans="1:23" ht="19.5" thickBot="1" x14ac:dyDescent="0.25">
      <c r="A46" s="41"/>
      <c r="C46" s="40"/>
      <c r="D46" s="40"/>
      <c r="E46" s="40"/>
      <c r="F46" s="40"/>
      <c r="G46" s="40"/>
      <c r="I46" s="41"/>
      <c r="K46" s="56" t="s">
        <v>16</v>
      </c>
      <c r="L46" s="56" t="s">
        <v>17</v>
      </c>
      <c r="M46" s="56" t="s">
        <v>18</v>
      </c>
      <c r="N46" s="56" t="s">
        <v>19</v>
      </c>
      <c r="O46" s="40"/>
      <c r="Q46" s="41"/>
      <c r="S46" s="56" t="s">
        <v>16</v>
      </c>
      <c r="T46" s="56" t="s">
        <v>17</v>
      </c>
      <c r="U46" s="56" t="s">
        <v>18</v>
      </c>
      <c r="V46" s="56" t="s">
        <v>19</v>
      </c>
      <c r="W46" s="40"/>
    </row>
    <row r="47" spans="1:23" ht="14.25" thickBot="1" x14ac:dyDescent="0.2">
      <c r="B47" s="39"/>
      <c r="C47" s="115" t="s">
        <v>10</v>
      </c>
      <c r="D47" s="116"/>
      <c r="E47" s="116"/>
      <c r="F47" s="117"/>
      <c r="G47" s="38"/>
      <c r="J47" s="39"/>
      <c r="K47" s="115" t="s">
        <v>10</v>
      </c>
      <c r="L47" s="116"/>
      <c r="M47" s="116"/>
      <c r="N47" s="117"/>
      <c r="O47" s="38"/>
      <c r="R47" s="39"/>
      <c r="S47" s="115" t="s">
        <v>10</v>
      </c>
      <c r="T47" s="116"/>
      <c r="U47" s="116"/>
      <c r="V47" s="117"/>
      <c r="W47" s="38"/>
    </row>
    <row r="48" spans="1:23" ht="14.25" thickBot="1" x14ac:dyDescent="0.2">
      <c r="B48" s="37"/>
      <c r="C48" s="36" t="s">
        <v>9</v>
      </c>
      <c r="D48" s="34" t="s">
        <v>8</v>
      </c>
      <c r="E48" s="35" t="s">
        <v>7</v>
      </c>
      <c r="F48" s="34" t="s">
        <v>6</v>
      </c>
      <c r="G48" s="34" t="s">
        <v>5</v>
      </c>
      <c r="J48" s="37"/>
      <c r="K48" s="36" t="s">
        <v>9</v>
      </c>
      <c r="L48" s="34" t="s">
        <v>8</v>
      </c>
      <c r="M48" s="35" t="s">
        <v>7</v>
      </c>
      <c r="N48" s="34" t="s">
        <v>6</v>
      </c>
      <c r="O48" s="34" t="s">
        <v>5</v>
      </c>
      <c r="R48" s="37"/>
      <c r="S48" s="36" t="s">
        <v>9</v>
      </c>
      <c r="T48" s="34" t="s">
        <v>8</v>
      </c>
      <c r="U48" s="35" t="s">
        <v>7</v>
      </c>
      <c r="V48" s="34" t="s">
        <v>6</v>
      </c>
      <c r="W48" s="34" t="s">
        <v>5</v>
      </c>
    </row>
    <row r="49" spans="2:23" x14ac:dyDescent="0.15">
      <c r="B49" s="32" t="s">
        <v>4</v>
      </c>
      <c r="C49" s="31">
        <f>C42</f>
        <v>8</v>
      </c>
      <c r="D49" s="31">
        <f>D42</f>
        <v>7</v>
      </c>
      <c r="E49" s="31">
        <f>E42</f>
        <v>4</v>
      </c>
      <c r="F49" s="31">
        <f>F42</f>
        <v>5</v>
      </c>
      <c r="G49" s="26">
        <f t="shared" ref="G49:G59" si="6">SUM(C49:F49)</f>
        <v>24</v>
      </c>
      <c r="H49" s="33"/>
      <c r="J49" s="32" t="s">
        <v>4</v>
      </c>
      <c r="K49" s="31">
        <f>K42</f>
        <v>478</v>
      </c>
      <c r="L49" s="31">
        <f t="shared" ref="L49:N49" si="7">L42</f>
        <v>482</v>
      </c>
      <c r="M49" s="31">
        <f t="shared" si="7"/>
        <v>284</v>
      </c>
      <c r="N49" s="31">
        <f t="shared" si="7"/>
        <v>283</v>
      </c>
      <c r="O49" s="26">
        <f t="shared" ref="O49:O59" si="8">SUM(K49:N49)</f>
        <v>1527</v>
      </c>
      <c r="R49" s="32" t="s">
        <v>4</v>
      </c>
      <c r="S49" s="31">
        <f>S42</f>
        <v>827</v>
      </c>
      <c r="T49" s="31">
        <f>T42</f>
        <v>956</v>
      </c>
      <c r="U49" s="31">
        <f>U42</f>
        <v>356</v>
      </c>
      <c r="V49" s="31">
        <f>V42</f>
        <v>360</v>
      </c>
      <c r="W49" s="47">
        <f>SUM(S49:V49)</f>
        <v>2499</v>
      </c>
    </row>
    <row r="50" spans="2:23" x14ac:dyDescent="0.15">
      <c r="B50" s="29" t="s">
        <v>3</v>
      </c>
      <c r="C50" s="12">
        <v>5</v>
      </c>
      <c r="D50" s="12">
        <v>3</v>
      </c>
      <c r="E50" s="12">
        <v>3</v>
      </c>
      <c r="F50" s="12">
        <v>3</v>
      </c>
      <c r="G50" s="26">
        <f t="shared" si="6"/>
        <v>14</v>
      </c>
      <c r="H50" s="13">
        <v>46125</v>
      </c>
      <c r="J50" s="29" t="s">
        <v>3</v>
      </c>
      <c r="K50" s="12"/>
      <c r="L50" s="12"/>
      <c r="M50" s="12"/>
      <c r="N50" s="12"/>
      <c r="O50" s="26">
        <f t="shared" si="8"/>
        <v>0</v>
      </c>
      <c r="R50" s="29" t="s">
        <v>3</v>
      </c>
      <c r="S50" s="12"/>
      <c r="T50" s="12"/>
      <c r="U50" s="12"/>
      <c r="V50" s="12"/>
      <c r="W50" s="47">
        <f t="shared" ref="W50:W59" si="9">SUM(S50:U50)</f>
        <v>0</v>
      </c>
    </row>
    <row r="51" spans="2:23" x14ac:dyDescent="0.15">
      <c r="B51" s="99" t="s">
        <v>3</v>
      </c>
      <c r="C51" s="79"/>
      <c r="D51" s="79"/>
      <c r="E51" s="79">
        <v>5</v>
      </c>
      <c r="F51" s="79"/>
      <c r="G51" s="100">
        <f t="shared" si="6"/>
        <v>5</v>
      </c>
      <c r="H51" s="101">
        <v>46130</v>
      </c>
      <c r="J51" s="29" t="s">
        <v>3</v>
      </c>
      <c r="K51" s="12"/>
      <c r="L51" s="12"/>
      <c r="M51" s="12"/>
      <c r="N51" s="12"/>
      <c r="O51" s="26">
        <f t="shared" si="8"/>
        <v>0</v>
      </c>
      <c r="P51" s="19"/>
      <c r="R51" s="29" t="s">
        <v>3</v>
      </c>
      <c r="S51" s="12"/>
      <c r="T51" s="12"/>
      <c r="U51" s="12"/>
      <c r="V51" s="12"/>
      <c r="W51" s="47">
        <f t="shared" si="9"/>
        <v>0</v>
      </c>
    </row>
    <row r="52" spans="2:23" x14ac:dyDescent="0.15">
      <c r="B52" s="29" t="s">
        <v>96</v>
      </c>
      <c r="C52" s="12"/>
      <c r="D52" s="12"/>
      <c r="E52" s="12">
        <v>1</v>
      </c>
      <c r="F52" s="12">
        <v>1</v>
      </c>
      <c r="G52" s="26">
        <f t="shared" si="6"/>
        <v>2</v>
      </c>
      <c r="H52" s="13">
        <v>46150</v>
      </c>
      <c r="J52" s="29" t="s">
        <v>3</v>
      </c>
      <c r="K52" s="12"/>
      <c r="L52" s="12"/>
      <c r="M52" s="12"/>
      <c r="N52" s="12"/>
      <c r="O52" s="26">
        <f t="shared" si="8"/>
        <v>0</v>
      </c>
      <c r="R52" s="29" t="s">
        <v>3</v>
      </c>
      <c r="S52" s="12"/>
      <c r="T52" s="12"/>
      <c r="U52" s="12"/>
      <c r="V52" s="12"/>
      <c r="W52" s="47">
        <f t="shared" si="9"/>
        <v>0</v>
      </c>
    </row>
    <row r="53" spans="2:23" x14ac:dyDescent="0.15">
      <c r="B53" s="29" t="s">
        <v>118</v>
      </c>
      <c r="C53" s="12">
        <v>7</v>
      </c>
      <c r="D53" s="12">
        <v>2</v>
      </c>
      <c r="E53" s="12">
        <v>1</v>
      </c>
      <c r="F53" s="12">
        <v>1</v>
      </c>
      <c r="G53" s="26">
        <f t="shared" si="6"/>
        <v>11</v>
      </c>
      <c r="H53" s="105">
        <v>46168</v>
      </c>
      <c r="J53" s="29" t="s">
        <v>3</v>
      </c>
      <c r="K53" s="12"/>
      <c r="L53" s="12"/>
      <c r="M53" s="12"/>
      <c r="N53" s="12"/>
      <c r="O53" s="26">
        <f t="shared" si="8"/>
        <v>0</v>
      </c>
      <c r="R53" s="29" t="s">
        <v>3</v>
      </c>
      <c r="S53" s="12"/>
      <c r="T53" s="12"/>
      <c r="U53" s="12"/>
      <c r="V53" s="12"/>
      <c r="W53" s="47">
        <f t="shared" si="9"/>
        <v>0</v>
      </c>
    </row>
    <row r="54" spans="2:23" x14ac:dyDescent="0.15">
      <c r="B54" s="29" t="s">
        <v>3</v>
      </c>
      <c r="C54" s="12"/>
      <c r="D54" s="12"/>
      <c r="E54" s="12"/>
      <c r="F54" s="12"/>
      <c r="G54" s="26">
        <f t="shared" si="6"/>
        <v>0</v>
      </c>
      <c r="J54" s="29" t="s">
        <v>3</v>
      </c>
      <c r="K54" s="12"/>
      <c r="L54" s="12"/>
      <c r="M54" s="12"/>
      <c r="N54" s="12"/>
      <c r="O54" s="26">
        <f t="shared" si="8"/>
        <v>0</v>
      </c>
      <c r="R54" s="29" t="s">
        <v>3</v>
      </c>
      <c r="S54" s="12"/>
      <c r="T54" s="12"/>
      <c r="U54" s="12"/>
      <c r="V54" s="12"/>
      <c r="W54" s="47">
        <f t="shared" si="9"/>
        <v>0</v>
      </c>
    </row>
    <row r="55" spans="2:23" x14ac:dyDescent="0.15">
      <c r="B55" s="29" t="s">
        <v>3</v>
      </c>
      <c r="C55" s="30"/>
      <c r="D55" s="12"/>
      <c r="E55" s="30"/>
      <c r="F55" s="12"/>
      <c r="G55" s="26">
        <f t="shared" si="6"/>
        <v>0</v>
      </c>
      <c r="J55" s="29" t="s">
        <v>3</v>
      </c>
      <c r="K55" s="30"/>
      <c r="L55" s="12"/>
      <c r="M55" s="30"/>
      <c r="N55" s="12"/>
      <c r="O55" s="26">
        <f t="shared" si="8"/>
        <v>0</v>
      </c>
      <c r="R55" s="29" t="s">
        <v>3</v>
      </c>
      <c r="S55" s="30"/>
      <c r="T55" s="12"/>
      <c r="U55" s="30"/>
      <c r="V55" s="12"/>
      <c r="W55" s="47">
        <f t="shared" si="9"/>
        <v>0</v>
      </c>
    </row>
    <row r="56" spans="2:23" x14ac:dyDescent="0.15">
      <c r="B56" s="29" t="s">
        <v>3</v>
      </c>
      <c r="C56" s="15"/>
      <c r="D56" s="15"/>
      <c r="E56" s="15"/>
      <c r="F56" s="15"/>
      <c r="G56" s="26">
        <f t="shared" si="6"/>
        <v>0</v>
      </c>
      <c r="J56" s="29" t="s">
        <v>3</v>
      </c>
      <c r="K56" s="15"/>
      <c r="L56" s="15"/>
      <c r="M56" s="15"/>
      <c r="N56" s="15"/>
      <c r="O56" s="26">
        <f t="shared" si="8"/>
        <v>0</v>
      </c>
      <c r="R56" s="29" t="s">
        <v>3</v>
      </c>
      <c r="S56" s="15"/>
      <c r="T56" s="15"/>
      <c r="U56" s="15"/>
      <c r="V56" s="15"/>
      <c r="W56" s="47">
        <f t="shared" si="9"/>
        <v>0</v>
      </c>
    </row>
    <row r="57" spans="2:23" x14ac:dyDescent="0.15">
      <c r="B57" s="29" t="s">
        <v>3</v>
      </c>
      <c r="C57" s="15"/>
      <c r="D57" s="15"/>
      <c r="E57" s="15"/>
      <c r="F57" s="15"/>
      <c r="G57" s="26">
        <f t="shared" si="6"/>
        <v>0</v>
      </c>
      <c r="J57" s="29" t="s">
        <v>3</v>
      </c>
      <c r="K57" s="15"/>
      <c r="L57" s="15"/>
      <c r="M57" s="15"/>
      <c r="N57" s="15"/>
      <c r="O57" s="26">
        <f t="shared" si="8"/>
        <v>0</v>
      </c>
      <c r="R57" s="29" t="s">
        <v>3</v>
      </c>
      <c r="S57" s="15"/>
      <c r="T57" s="15"/>
      <c r="U57" s="15"/>
      <c r="V57" s="15"/>
      <c r="W57" s="47">
        <f t="shared" si="9"/>
        <v>0</v>
      </c>
    </row>
    <row r="58" spans="2:23" x14ac:dyDescent="0.15">
      <c r="B58" s="29" t="s">
        <v>3</v>
      </c>
      <c r="C58" s="15"/>
      <c r="D58" s="15"/>
      <c r="E58" s="15"/>
      <c r="F58" s="15"/>
      <c r="G58" s="26">
        <f t="shared" si="6"/>
        <v>0</v>
      </c>
      <c r="J58" s="29" t="s">
        <v>3</v>
      </c>
      <c r="K58" s="15"/>
      <c r="L58" s="15"/>
      <c r="M58" s="15"/>
      <c r="N58" s="15"/>
      <c r="O58" s="26">
        <f t="shared" si="8"/>
        <v>0</v>
      </c>
      <c r="R58" s="29" t="s">
        <v>3</v>
      </c>
      <c r="S58" s="15"/>
      <c r="T58" s="15"/>
      <c r="U58" s="15"/>
      <c r="V58" s="15"/>
      <c r="W58" s="47">
        <f t="shared" si="9"/>
        <v>0</v>
      </c>
    </row>
    <row r="59" spans="2:23" ht="14.25" thickBot="1" x14ac:dyDescent="0.2">
      <c r="B59" s="28" t="s">
        <v>3</v>
      </c>
      <c r="C59" s="27"/>
      <c r="D59" s="27"/>
      <c r="E59" s="27"/>
      <c r="F59" s="27"/>
      <c r="G59" s="26">
        <f t="shared" si="6"/>
        <v>0</v>
      </c>
      <c r="J59" s="28" t="s">
        <v>3</v>
      </c>
      <c r="K59" s="27"/>
      <c r="L59" s="27"/>
      <c r="M59" s="27"/>
      <c r="N59" s="27"/>
      <c r="O59" s="26">
        <f t="shared" si="8"/>
        <v>0</v>
      </c>
      <c r="R59" s="28" t="s">
        <v>3</v>
      </c>
      <c r="S59" s="27"/>
      <c r="T59" s="27"/>
      <c r="U59" s="27"/>
      <c r="V59" s="27"/>
      <c r="W59" s="47">
        <f t="shared" si="9"/>
        <v>0</v>
      </c>
    </row>
    <row r="60" spans="2:23" ht="14.25" thickBot="1" x14ac:dyDescent="0.2">
      <c r="B60" s="25" t="s">
        <v>2</v>
      </c>
      <c r="C60" s="24">
        <f>SUM(C49:C59)</f>
        <v>20</v>
      </c>
      <c r="D60" s="24">
        <f>SUM(D49:D59)</f>
        <v>12</v>
      </c>
      <c r="E60" s="24">
        <f>SUM(E49:E59)</f>
        <v>14</v>
      </c>
      <c r="F60" s="24">
        <f>SUM(F49:F59)</f>
        <v>10</v>
      </c>
      <c r="G60" s="23">
        <f>SUM(G49:G59)</f>
        <v>56</v>
      </c>
      <c r="J60" s="25" t="s">
        <v>2</v>
      </c>
      <c r="K60" s="24">
        <f>SUM(K49:K59)</f>
        <v>478</v>
      </c>
      <c r="L60" s="24">
        <f>SUM(L49:L59)</f>
        <v>482</v>
      </c>
      <c r="M60" s="24">
        <f>SUM(M49:M59)</f>
        <v>284</v>
      </c>
      <c r="N60" s="24">
        <f>SUM(N49:N59)</f>
        <v>283</v>
      </c>
      <c r="O60" s="23">
        <f>SUM(O49:O59)</f>
        <v>1527</v>
      </c>
      <c r="R60" s="25" t="s">
        <v>2</v>
      </c>
      <c r="S60" s="24">
        <f>SUM(S49:S59)</f>
        <v>827</v>
      </c>
      <c r="T60" s="24">
        <f>SUM(T49:T59)</f>
        <v>956</v>
      </c>
      <c r="U60" s="24">
        <f>SUM(U49:U59)</f>
        <v>356</v>
      </c>
      <c r="V60" s="24">
        <f>SUM(V49:V59)</f>
        <v>360</v>
      </c>
      <c r="W60" s="23">
        <f>SUM(W49:W59)</f>
        <v>2499</v>
      </c>
    </row>
    <row r="61" spans="2:23" x14ac:dyDescent="0.15">
      <c r="B61" s="18" t="s">
        <v>64</v>
      </c>
      <c r="C61" s="22">
        <v>1</v>
      </c>
      <c r="D61" s="20"/>
      <c r="E61" s="21"/>
      <c r="F61" s="20"/>
      <c r="G61" s="14">
        <f t="shared" ref="G61:G86" si="10">SUM(C61:F61)</f>
        <v>1</v>
      </c>
      <c r="H61" s="13">
        <v>46099</v>
      </c>
      <c r="J61" s="18" t="s">
        <v>63</v>
      </c>
      <c r="K61" s="22">
        <v>40</v>
      </c>
      <c r="L61" s="20">
        <v>5</v>
      </c>
      <c r="M61" s="21">
        <v>5</v>
      </c>
      <c r="N61" s="20">
        <v>8</v>
      </c>
      <c r="O61" s="14">
        <f t="shared" ref="O61:O86" si="11">SUM(K61:N61)</f>
        <v>58</v>
      </c>
      <c r="P61" s="19">
        <v>46094</v>
      </c>
      <c r="R61" s="18"/>
      <c r="S61" s="22"/>
      <c r="T61" s="20"/>
      <c r="U61" s="21"/>
      <c r="V61" s="20"/>
      <c r="W61" s="14">
        <f>SUM(S61:V61)</f>
        <v>0</v>
      </c>
    </row>
    <row r="62" spans="2:23" x14ac:dyDescent="0.15">
      <c r="B62" s="18" t="s">
        <v>67</v>
      </c>
      <c r="C62" s="17"/>
      <c r="D62" s="15"/>
      <c r="E62" s="16"/>
      <c r="F62" s="15">
        <v>2</v>
      </c>
      <c r="G62" s="14">
        <f t="shared" si="10"/>
        <v>2</v>
      </c>
      <c r="H62" s="13">
        <v>46100</v>
      </c>
      <c r="J62" s="12" t="s">
        <v>65</v>
      </c>
      <c r="K62" s="17">
        <v>19</v>
      </c>
      <c r="L62" s="15">
        <v>20</v>
      </c>
      <c r="M62" s="16">
        <v>10</v>
      </c>
      <c r="N62" s="15">
        <v>13</v>
      </c>
      <c r="O62" s="14">
        <f t="shared" si="11"/>
        <v>62</v>
      </c>
      <c r="P62" s="19">
        <v>46118</v>
      </c>
      <c r="R62" s="12"/>
      <c r="S62" s="17"/>
      <c r="T62" s="15"/>
      <c r="U62" s="16"/>
      <c r="V62" s="15"/>
      <c r="W62" s="14">
        <f t="shared" ref="W62:W84" si="12">SUM(S62:U62)</f>
        <v>0</v>
      </c>
    </row>
    <row r="63" spans="2:23" x14ac:dyDescent="0.15">
      <c r="B63" s="18" t="s">
        <v>71</v>
      </c>
      <c r="C63" s="17"/>
      <c r="D63" s="15"/>
      <c r="E63" s="16">
        <v>1</v>
      </c>
      <c r="F63" s="15"/>
      <c r="G63" s="14">
        <f t="shared" si="10"/>
        <v>1</v>
      </c>
      <c r="H63" s="13">
        <v>46104</v>
      </c>
      <c r="J63" s="18" t="s">
        <v>66</v>
      </c>
      <c r="K63" s="17">
        <v>18</v>
      </c>
      <c r="L63" s="15">
        <v>26</v>
      </c>
      <c r="M63" s="16">
        <v>13</v>
      </c>
      <c r="N63" s="15">
        <v>26</v>
      </c>
      <c r="O63" s="14">
        <f t="shared" si="11"/>
        <v>83</v>
      </c>
      <c r="P63" s="19">
        <v>46098</v>
      </c>
      <c r="R63" s="18"/>
      <c r="S63" s="17"/>
      <c r="T63" s="15"/>
      <c r="U63" s="16"/>
      <c r="V63" s="15"/>
      <c r="W63" s="14">
        <f t="shared" si="12"/>
        <v>0</v>
      </c>
    </row>
    <row r="64" spans="2:23" x14ac:dyDescent="0.15">
      <c r="B64" s="18" t="s">
        <v>72</v>
      </c>
      <c r="C64" s="17">
        <v>2</v>
      </c>
      <c r="D64" s="15">
        <v>2</v>
      </c>
      <c r="E64" s="16"/>
      <c r="F64" s="15"/>
      <c r="G64" s="14">
        <f t="shared" si="10"/>
        <v>4</v>
      </c>
      <c r="H64" s="13">
        <v>46107</v>
      </c>
      <c r="J64" s="12" t="s">
        <v>77</v>
      </c>
      <c r="K64" s="17">
        <v>5</v>
      </c>
      <c r="L64" s="15">
        <v>3</v>
      </c>
      <c r="M64" s="16">
        <v>3</v>
      </c>
      <c r="N64" s="15">
        <v>3</v>
      </c>
      <c r="O64" s="14">
        <f t="shared" si="11"/>
        <v>14</v>
      </c>
      <c r="P64" s="83">
        <v>46125</v>
      </c>
      <c r="Q64" s="76"/>
      <c r="R64" s="12"/>
      <c r="S64" s="17"/>
      <c r="T64" s="15"/>
      <c r="U64" s="16"/>
      <c r="V64" s="15"/>
      <c r="W64" s="14">
        <f t="shared" si="12"/>
        <v>0</v>
      </c>
    </row>
    <row r="65" spans="1:23" x14ac:dyDescent="0.15">
      <c r="B65" s="18" t="s">
        <v>74</v>
      </c>
      <c r="C65" s="11"/>
      <c r="D65" s="9">
        <v>1</v>
      </c>
      <c r="E65" s="10"/>
      <c r="F65" s="9"/>
      <c r="G65" s="14">
        <f t="shared" si="10"/>
        <v>1</v>
      </c>
      <c r="H65" s="13">
        <v>46115</v>
      </c>
      <c r="J65" s="12" t="s">
        <v>78</v>
      </c>
      <c r="K65" s="11"/>
      <c r="L65" s="9">
        <v>10</v>
      </c>
      <c r="M65" s="10"/>
      <c r="N65" s="9"/>
      <c r="O65" s="14">
        <f t="shared" si="11"/>
        <v>10</v>
      </c>
      <c r="P65" s="83">
        <v>46132</v>
      </c>
      <c r="R65" s="12"/>
      <c r="S65" s="11"/>
      <c r="T65" s="9"/>
      <c r="U65" s="10"/>
      <c r="V65" s="9"/>
      <c r="W65" s="14">
        <f t="shared" si="12"/>
        <v>0</v>
      </c>
    </row>
    <row r="66" spans="1:23" x14ac:dyDescent="0.15">
      <c r="B66" s="18" t="s">
        <v>75</v>
      </c>
      <c r="C66" s="17">
        <v>2</v>
      </c>
      <c r="D66" s="15"/>
      <c r="E66" s="16"/>
      <c r="F66" s="15"/>
      <c r="G66" s="14">
        <f t="shared" si="10"/>
        <v>2</v>
      </c>
      <c r="H66" s="13">
        <v>46118</v>
      </c>
      <c r="J66" s="12" t="s">
        <v>79</v>
      </c>
      <c r="K66" s="17"/>
      <c r="L66" s="15"/>
      <c r="M66" s="16">
        <v>2</v>
      </c>
      <c r="N66" s="15"/>
      <c r="O66" s="14">
        <f t="shared" si="11"/>
        <v>2</v>
      </c>
      <c r="P66" s="83">
        <v>46139</v>
      </c>
      <c r="R66" s="18"/>
      <c r="S66" s="17"/>
      <c r="T66" s="15"/>
      <c r="U66" s="16"/>
      <c r="V66" s="15"/>
      <c r="W66" s="14">
        <f t="shared" si="12"/>
        <v>0</v>
      </c>
    </row>
    <row r="67" spans="1:23" x14ac:dyDescent="0.15">
      <c r="B67" s="98" t="s">
        <v>76</v>
      </c>
      <c r="C67" s="17">
        <v>1</v>
      </c>
      <c r="D67" s="15"/>
      <c r="E67" s="16"/>
      <c r="F67" s="15"/>
      <c r="G67" s="14">
        <f t="shared" si="10"/>
        <v>1</v>
      </c>
      <c r="H67" s="13">
        <v>46120</v>
      </c>
      <c r="J67" s="18" t="s">
        <v>34</v>
      </c>
      <c r="K67" s="17"/>
      <c r="L67" s="15"/>
      <c r="M67" s="16">
        <v>5</v>
      </c>
      <c r="N67" s="15"/>
      <c r="O67" s="14">
        <f t="shared" si="11"/>
        <v>5</v>
      </c>
      <c r="P67" s="83">
        <v>46130</v>
      </c>
      <c r="R67" s="18"/>
      <c r="S67" s="17"/>
      <c r="T67" s="15"/>
      <c r="U67" s="16"/>
      <c r="V67" s="15"/>
      <c r="W67" s="14">
        <f t="shared" si="12"/>
        <v>0</v>
      </c>
    </row>
    <row r="68" spans="1:23" x14ac:dyDescent="0.15">
      <c r="A68" s="76"/>
      <c r="B68" s="18" t="s">
        <v>82</v>
      </c>
      <c r="C68" s="17"/>
      <c r="D68" s="15"/>
      <c r="E68" s="16">
        <v>2</v>
      </c>
      <c r="F68" s="15"/>
      <c r="G68" s="14">
        <f t="shared" si="10"/>
        <v>2</v>
      </c>
      <c r="H68" s="13">
        <v>46127</v>
      </c>
      <c r="J68" s="18" t="s">
        <v>88</v>
      </c>
      <c r="K68" s="17">
        <v>60</v>
      </c>
      <c r="L68" s="15">
        <v>30</v>
      </c>
      <c r="M68" s="16">
        <v>30</v>
      </c>
      <c r="N68" s="15">
        <v>30</v>
      </c>
      <c r="O68" s="14">
        <f t="shared" si="11"/>
        <v>150</v>
      </c>
      <c r="P68" s="83">
        <v>46142</v>
      </c>
      <c r="R68" s="12"/>
      <c r="S68" s="17"/>
      <c r="T68" s="15"/>
      <c r="U68" s="16"/>
      <c r="V68" s="15"/>
      <c r="W68" s="14">
        <f t="shared" si="12"/>
        <v>0</v>
      </c>
    </row>
    <row r="69" spans="1:23" x14ac:dyDescent="0.15">
      <c r="B69" s="18" t="s">
        <v>85</v>
      </c>
      <c r="C69" s="17"/>
      <c r="D69" s="15"/>
      <c r="E69" s="16">
        <v>1</v>
      </c>
      <c r="F69" s="15"/>
      <c r="G69" s="14">
        <f t="shared" si="10"/>
        <v>1</v>
      </c>
      <c r="H69" s="13">
        <v>46129</v>
      </c>
      <c r="J69" s="12" t="s">
        <v>89</v>
      </c>
      <c r="K69" s="17">
        <v>20</v>
      </c>
      <c r="L69" s="15">
        <v>50</v>
      </c>
      <c r="M69" s="16">
        <v>40</v>
      </c>
      <c r="N69" s="15">
        <v>20</v>
      </c>
      <c r="O69" s="14">
        <f t="shared" si="11"/>
        <v>130</v>
      </c>
      <c r="P69" s="83">
        <v>46161</v>
      </c>
      <c r="Q69" s="76"/>
      <c r="R69" s="18"/>
      <c r="S69" s="17"/>
      <c r="T69" s="15"/>
      <c r="U69" s="16"/>
      <c r="V69" s="15"/>
      <c r="W69" s="14">
        <f t="shared" si="12"/>
        <v>0</v>
      </c>
    </row>
    <row r="70" spans="1:23" x14ac:dyDescent="0.15">
      <c r="B70" s="18" t="s">
        <v>86</v>
      </c>
      <c r="C70" s="17"/>
      <c r="D70" s="15"/>
      <c r="E70" s="16">
        <v>1</v>
      </c>
      <c r="F70" s="15"/>
      <c r="G70" s="14">
        <f t="shared" si="10"/>
        <v>1</v>
      </c>
      <c r="H70" s="13">
        <v>46136</v>
      </c>
      <c r="J70" s="12" t="s">
        <v>93</v>
      </c>
      <c r="K70" s="17">
        <v>40</v>
      </c>
      <c r="L70" s="15">
        <v>40</v>
      </c>
      <c r="M70" s="16">
        <v>40</v>
      </c>
      <c r="N70" s="15">
        <v>40</v>
      </c>
      <c r="O70" s="14">
        <f t="shared" si="11"/>
        <v>160</v>
      </c>
      <c r="P70" s="83">
        <v>46156</v>
      </c>
      <c r="Q70" s="76"/>
      <c r="R70" s="12"/>
      <c r="S70" s="17"/>
      <c r="T70" s="15"/>
      <c r="U70" s="16"/>
      <c r="V70" s="15"/>
      <c r="W70" s="14">
        <f t="shared" si="12"/>
        <v>0</v>
      </c>
    </row>
    <row r="71" spans="1:23" x14ac:dyDescent="0.15">
      <c r="B71" s="98" t="s">
        <v>87</v>
      </c>
      <c r="C71" s="17">
        <v>1</v>
      </c>
      <c r="D71" s="15"/>
      <c r="E71" s="16"/>
      <c r="F71" s="15"/>
      <c r="G71" s="14">
        <f t="shared" si="10"/>
        <v>1</v>
      </c>
      <c r="H71" s="13">
        <v>46136</v>
      </c>
      <c r="J71" s="18" t="s">
        <v>95</v>
      </c>
      <c r="K71" s="17">
        <v>5</v>
      </c>
      <c r="L71" s="15">
        <v>7</v>
      </c>
      <c r="M71" s="16">
        <v>2</v>
      </c>
      <c r="N71" s="15">
        <v>1</v>
      </c>
      <c r="O71" s="14">
        <f t="shared" si="11"/>
        <v>15</v>
      </c>
      <c r="P71" s="83">
        <v>46156</v>
      </c>
      <c r="R71" s="12"/>
      <c r="S71" s="17"/>
      <c r="T71" s="15"/>
      <c r="U71" s="16"/>
      <c r="V71" s="15"/>
      <c r="W71" s="14">
        <f t="shared" si="12"/>
        <v>0</v>
      </c>
    </row>
    <row r="72" spans="1:23" x14ac:dyDescent="0.15">
      <c r="B72" s="18" t="s">
        <v>92</v>
      </c>
      <c r="C72" s="17"/>
      <c r="D72" s="15">
        <v>1</v>
      </c>
      <c r="E72" s="16"/>
      <c r="F72" s="15">
        <v>1</v>
      </c>
      <c r="G72" s="14">
        <f t="shared" si="10"/>
        <v>2</v>
      </c>
      <c r="H72" s="13">
        <v>46149</v>
      </c>
      <c r="I72" s="76"/>
      <c r="J72" s="18" t="s">
        <v>97</v>
      </c>
      <c r="K72" s="17">
        <v>5</v>
      </c>
      <c r="L72" s="15">
        <v>11</v>
      </c>
      <c r="M72" s="16">
        <v>1</v>
      </c>
      <c r="N72" s="15">
        <v>1</v>
      </c>
      <c r="O72" s="14">
        <f t="shared" si="11"/>
        <v>18</v>
      </c>
      <c r="P72" s="83">
        <v>46157</v>
      </c>
      <c r="R72" s="18"/>
      <c r="S72" s="17"/>
      <c r="T72" s="15"/>
      <c r="U72" s="16"/>
      <c r="V72" s="15"/>
      <c r="W72" s="14">
        <f t="shared" si="12"/>
        <v>0</v>
      </c>
    </row>
    <row r="73" spans="1:23" x14ac:dyDescent="0.15">
      <c r="B73" s="18" t="s">
        <v>94</v>
      </c>
      <c r="C73" s="17">
        <v>2</v>
      </c>
      <c r="D73" s="15"/>
      <c r="E73" s="16"/>
      <c r="F73" s="15"/>
      <c r="G73" s="14">
        <f t="shared" si="10"/>
        <v>2</v>
      </c>
      <c r="H73" s="13">
        <v>46155</v>
      </c>
      <c r="J73" s="18" t="s">
        <v>98</v>
      </c>
      <c r="K73" s="17">
        <v>3</v>
      </c>
      <c r="L73" s="15">
        <v>2</v>
      </c>
      <c r="M73" s="16">
        <v>3</v>
      </c>
      <c r="N73" s="15">
        <v>7</v>
      </c>
      <c r="O73" s="14">
        <f t="shared" si="11"/>
        <v>15</v>
      </c>
      <c r="P73" s="83">
        <v>46158</v>
      </c>
      <c r="R73" s="18"/>
      <c r="S73" s="17"/>
      <c r="T73" s="15"/>
      <c r="U73" s="16"/>
      <c r="V73" s="15"/>
      <c r="W73" s="14">
        <f t="shared" si="12"/>
        <v>0</v>
      </c>
    </row>
    <row r="74" spans="1:23" x14ac:dyDescent="0.15">
      <c r="B74" s="12"/>
      <c r="C74" s="17"/>
      <c r="D74" s="15"/>
      <c r="E74" s="16"/>
      <c r="F74" s="15"/>
      <c r="G74" s="14">
        <f t="shared" si="10"/>
        <v>0</v>
      </c>
      <c r="H74" s="13"/>
      <c r="J74" s="18" t="s">
        <v>99</v>
      </c>
      <c r="K74" s="17">
        <v>1</v>
      </c>
      <c r="L74" s="15">
        <v>1</v>
      </c>
      <c r="M74" s="16">
        <v>2</v>
      </c>
      <c r="N74" s="15">
        <v>3</v>
      </c>
      <c r="O74" s="14">
        <f t="shared" si="11"/>
        <v>7</v>
      </c>
      <c r="P74" s="83">
        <v>46162</v>
      </c>
      <c r="R74" s="12"/>
      <c r="S74" s="17"/>
      <c r="T74" s="15"/>
      <c r="U74" s="16"/>
      <c r="V74" s="15"/>
      <c r="W74" s="14">
        <f t="shared" si="12"/>
        <v>0</v>
      </c>
    </row>
    <row r="75" spans="1:23" x14ac:dyDescent="0.15">
      <c r="B75" s="18"/>
      <c r="C75" s="17"/>
      <c r="D75" s="15"/>
      <c r="E75" s="16"/>
      <c r="F75" s="15"/>
      <c r="G75" s="14">
        <f t="shared" si="10"/>
        <v>0</v>
      </c>
      <c r="H75" s="13"/>
      <c r="J75" s="18" t="s">
        <v>103</v>
      </c>
      <c r="K75" s="17">
        <v>7</v>
      </c>
      <c r="L75" s="15">
        <v>2</v>
      </c>
      <c r="M75" s="16">
        <v>2</v>
      </c>
      <c r="N75" s="15">
        <v>2</v>
      </c>
      <c r="O75" s="14">
        <f t="shared" si="11"/>
        <v>13</v>
      </c>
      <c r="P75" s="83">
        <v>46163</v>
      </c>
      <c r="R75" s="18"/>
      <c r="S75" s="17"/>
      <c r="T75" s="15"/>
      <c r="U75" s="16"/>
      <c r="V75" s="15"/>
      <c r="W75" s="14">
        <f t="shared" si="12"/>
        <v>0</v>
      </c>
    </row>
    <row r="76" spans="1:23" x14ac:dyDescent="0.15">
      <c r="B76" s="18"/>
      <c r="C76" s="17"/>
      <c r="D76" s="15"/>
      <c r="E76" s="16"/>
      <c r="F76" s="15"/>
      <c r="G76" s="14">
        <f t="shared" si="10"/>
        <v>0</v>
      </c>
      <c r="H76" s="13"/>
      <c r="J76" s="18" t="s">
        <v>104</v>
      </c>
      <c r="K76" s="17">
        <v>5</v>
      </c>
      <c r="L76" s="15">
        <v>8</v>
      </c>
      <c r="M76" s="16">
        <v>1</v>
      </c>
      <c r="N76" s="15"/>
      <c r="O76" s="14">
        <f t="shared" ref="O76:O78" si="13">SUM(K76:N76)</f>
        <v>14</v>
      </c>
      <c r="P76" s="83">
        <v>46164</v>
      </c>
      <c r="Q76" s="76"/>
      <c r="R76" s="18"/>
      <c r="S76" s="17"/>
      <c r="T76" s="15"/>
      <c r="U76" s="16"/>
      <c r="V76" s="15"/>
      <c r="W76" s="14">
        <f t="shared" si="12"/>
        <v>0</v>
      </c>
    </row>
    <row r="77" spans="1:23" x14ac:dyDescent="0.15">
      <c r="B77" s="12"/>
      <c r="C77" s="17"/>
      <c r="D77" s="15"/>
      <c r="E77" s="16"/>
      <c r="F77" s="15"/>
      <c r="G77" s="14">
        <f t="shared" si="10"/>
        <v>0</v>
      </c>
      <c r="H77" s="13"/>
      <c r="J77" s="18" t="s">
        <v>105</v>
      </c>
      <c r="K77" s="17">
        <v>5</v>
      </c>
      <c r="L77" s="15">
        <v>5</v>
      </c>
      <c r="M77" s="16">
        <v>6</v>
      </c>
      <c r="N77" s="15"/>
      <c r="O77" s="14">
        <f t="shared" si="13"/>
        <v>16</v>
      </c>
      <c r="P77" s="83">
        <v>46165</v>
      </c>
      <c r="R77" s="12"/>
      <c r="S77" s="17"/>
      <c r="T77" s="15"/>
      <c r="U77" s="16"/>
      <c r="V77" s="15"/>
      <c r="W77" s="14">
        <f t="shared" si="12"/>
        <v>0</v>
      </c>
    </row>
    <row r="78" spans="1:23" x14ac:dyDescent="0.15">
      <c r="B78" s="12"/>
      <c r="C78" s="17"/>
      <c r="D78" s="15"/>
      <c r="E78" s="16"/>
      <c r="F78" s="15"/>
      <c r="G78" s="14">
        <f t="shared" si="10"/>
        <v>0</v>
      </c>
      <c r="H78" s="13"/>
      <c r="J78" s="18"/>
      <c r="K78" s="17"/>
      <c r="L78" s="15"/>
      <c r="M78" s="16"/>
      <c r="N78" s="15"/>
      <c r="O78" s="14">
        <f t="shared" si="13"/>
        <v>0</v>
      </c>
      <c r="P78" s="95"/>
      <c r="R78" s="12"/>
      <c r="S78" s="17"/>
      <c r="T78" s="15"/>
      <c r="U78" s="16"/>
      <c r="V78" s="15"/>
      <c r="W78" s="14">
        <f t="shared" si="12"/>
        <v>0</v>
      </c>
    </row>
    <row r="79" spans="1:23" x14ac:dyDescent="0.15">
      <c r="B79" s="12"/>
      <c r="C79" s="17"/>
      <c r="D79" s="15"/>
      <c r="E79" s="16"/>
      <c r="F79" s="15"/>
      <c r="G79" s="14">
        <f t="shared" si="10"/>
        <v>0</v>
      </c>
      <c r="H79" s="13"/>
      <c r="J79" s="74" t="s">
        <v>57</v>
      </c>
      <c r="K79" s="84"/>
      <c r="L79" s="85"/>
      <c r="M79" s="86"/>
      <c r="N79" s="85"/>
      <c r="O79" s="94">
        <f t="shared" ref="O79:O80" si="14">SUM(K79:N79)</f>
        <v>0</v>
      </c>
      <c r="P79" s="95"/>
      <c r="R79" s="12"/>
      <c r="S79" s="17"/>
      <c r="T79" s="15"/>
      <c r="U79" s="16"/>
      <c r="V79" s="15"/>
      <c r="W79" s="14">
        <f t="shared" si="12"/>
        <v>0</v>
      </c>
    </row>
    <row r="80" spans="1:23" x14ac:dyDescent="0.15">
      <c r="B80" s="12"/>
      <c r="C80" s="17"/>
      <c r="D80" s="15"/>
      <c r="E80" s="16"/>
      <c r="F80" s="15"/>
      <c r="G80" s="14">
        <f t="shared" si="10"/>
        <v>0</v>
      </c>
      <c r="H80" s="13"/>
      <c r="J80" s="18" t="s">
        <v>36</v>
      </c>
      <c r="K80" s="17"/>
      <c r="L80" s="15"/>
      <c r="M80" s="16"/>
      <c r="N80" s="15"/>
      <c r="O80" s="14">
        <f t="shared" si="14"/>
        <v>0</v>
      </c>
      <c r="P80" s="95" t="s">
        <v>30</v>
      </c>
      <c r="R80" s="12"/>
      <c r="S80" s="17"/>
      <c r="T80" s="15"/>
      <c r="U80" s="16"/>
      <c r="V80" s="15"/>
      <c r="W80" s="14">
        <f t="shared" si="12"/>
        <v>0</v>
      </c>
    </row>
    <row r="81" spans="1:24" x14ac:dyDescent="0.15">
      <c r="B81" s="18"/>
      <c r="C81" s="17"/>
      <c r="D81" s="15"/>
      <c r="E81" s="16"/>
      <c r="F81" s="15"/>
      <c r="G81" s="14">
        <f t="shared" si="10"/>
        <v>0</v>
      </c>
      <c r="H81" s="13"/>
      <c r="J81" s="74" t="s">
        <v>56</v>
      </c>
      <c r="K81" s="102"/>
      <c r="L81" s="103"/>
      <c r="M81" s="104"/>
      <c r="N81" s="103"/>
      <c r="O81" s="14">
        <f t="shared" ref="O81:O84" si="15">SUM(K81:N81)</f>
        <v>0</v>
      </c>
      <c r="P81" s="76"/>
      <c r="Q81" s="76"/>
      <c r="R81" s="18"/>
      <c r="S81" s="17"/>
      <c r="T81" s="15"/>
      <c r="U81" s="16"/>
      <c r="V81" s="15"/>
      <c r="W81" s="14">
        <f t="shared" si="12"/>
        <v>0</v>
      </c>
    </row>
    <row r="82" spans="1:24" x14ac:dyDescent="0.15">
      <c r="B82" s="18"/>
      <c r="C82" s="17"/>
      <c r="D82" s="15"/>
      <c r="E82" s="16"/>
      <c r="F82" s="15"/>
      <c r="G82" s="14">
        <f t="shared" si="10"/>
        <v>0</v>
      </c>
      <c r="H82" s="13"/>
      <c r="J82" s="18" t="s">
        <v>53</v>
      </c>
      <c r="K82" s="17"/>
      <c r="L82" s="15"/>
      <c r="M82" s="16"/>
      <c r="N82" s="15"/>
      <c r="O82" s="14">
        <f t="shared" si="15"/>
        <v>0</v>
      </c>
      <c r="P82" s="95" t="s">
        <v>54</v>
      </c>
      <c r="Q82" s="76"/>
      <c r="R82" s="18"/>
      <c r="S82" s="17"/>
      <c r="T82" s="15"/>
      <c r="U82" s="16"/>
      <c r="V82" s="15"/>
      <c r="W82" s="14">
        <f t="shared" si="12"/>
        <v>0</v>
      </c>
    </row>
    <row r="83" spans="1:24" x14ac:dyDescent="0.15">
      <c r="B83" s="18"/>
      <c r="C83" s="17"/>
      <c r="D83" s="15"/>
      <c r="E83" s="16"/>
      <c r="F83" s="15"/>
      <c r="G83" s="14">
        <f t="shared" si="10"/>
        <v>0</v>
      </c>
      <c r="H83" s="13"/>
      <c r="J83" s="30" t="s">
        <v>32</v>
      </c>
      <c r="K83" s="84"/>
      <c r="L83" s="85"/>
      <c r="M83" s="86"/>
      <c r="N83" s="85"/>
      <c r="O83" s="94">
        <f t="shared" si="15"/>
        <v>0</v>
      </c>
      <c r="P83" s="95"/>
      <c r="Q83" s="76"/>
      <c r="R83" s="18"/>
      <c r="S83" s="17"/>
      <c r="T83" s="15"/>
      <c r="U83" s="16"/>
      <c r="V83" s="15"/>
      <c r="W83" s="14">
        <f t="shared" si="12"/>
        <v>0</v>
      </c>
    </row>
    <row r="84" spans="1:24" ht="14.25" thickBot="1" x14ac:dyDescent="0.2">
      <c r="B84" s="12"/>
      <c r="C84" s="11"/>
      <c r="D84" s="9"/>
      <c r="E84" s="10"/>
      <c r="F84" s="9"/>
      <c r="G84" s="8">
        <f t="shared" si="10"/>
        <v>0</v>
      </c>
      <c r="H84" s="13"/>
      <c r="J84" s="12" t="s">
        <v>33</v>
      </c>
      <c r="K84" s="11"/>
      <c r="L84" s="9"/>
      <c r="M84" s="10"/>
      <c r="N84" s="9"/>
      <c r="O84" s="14">
        <f t="shared" si="15"/>
        <v>0</v>
      </c>
      <c r="P84" s="76" t="s">
        <v>27</v>
      </c>
      <c r="Q84" s="76"/>
      <c r="R84" s="18"/>
      <c r="S84" s="17"/>
      <c r="T84" s="15"/>
      <c r="U84" s="16"/>
      <c r="V84" s="15"/>
      <c r="W84" s="92">
        <f t="shared" si="12"/>
        <v>0</v>
      </c>
    </row>
    <row r="85" spans="1:24" ht="14.25" thickBot="1" x14ac:dyDescent="0.2">
      <c r="B85" s="7" t="s">
        <v>1</v>
      </c>
      <c r="C85" s="6">
        <f>SUM(C61:C84)</f>
        <v>9</v>
      </c>
      <c r="D85" s="6">
        <f>SUM(D61:D84)</f>
        <v>4</v>
      </c>
      <c r="E85" s="6">
        <f>SUM(E61:E84)</f>
        <v>5</v>
      </c>
      <c r="F85" s="6">
        <f>SUM(F61:F84)</f>
        <v>3</v>
      </c>
      <c r="G85" s="5">
        <f t="shared" si="10"/>
        <v>21</v>
      </c>
      <c r="J85" s="7" t="s">
        <v>1</v>
      </c>
      <c r="K85" s="6">
        <f>SUM(K61:K84)</f>
        <v>233</v>
      </c>
      <c r="L85" s="6">
        <f>SUM(L61:L84)</f>
        <v>220</v>
      </c>
      <c r="M85" s="6">
        <f>SUM(M61:M84)</f>
        <v>165</v>
      </c>
      <c r="N85" s="6">
        <f>SUM(N61:N84)</f>
        <v>154</v>
      </c>
      <c r="O85" s="43">
        <f>SUM(K85:N85)</f>
        <v>772</v>
      </c>
      <c r="R85" s="7" t="s">
        <v>1</v>
      </c>
      <c r="S85" s="44">
        <f>SUM(S61:S84)</f>
        <v>0</v>
      </c>
      <c r="T85" s="44">
        <f>SUM(T61:T84)</f>
        <v>0</v>
      </c>
      <c r="U85" s="44">
        <f>SUM(U61:U84)</f>
        <v>0</v>
      </c>
      <c r="V85" s="44">
        <f>SUM(V61:V84)</f>
        <v>0</v>
      </c>
      <c r="W85" s="43">
        <f>SUM(S85:V85)</f>
        <v>0</v>
      </c>
    </row>
    <row r="86" spans="1:24" ht="14.25" thickBot="1" x14ac:dyDescent="0.2">
      <c r="B86" s="4" t="s">
        <v>0</v>
      </c>
      <c r="C86" s="3">
        <f>C60-C85</f>
        <v>11</v>
      </c>
      <c r="D86" s="3">
        <f>D60-D85</f>
        <v>8</v>
      </c>
      <c r="E86" s="3">
        <f>E60-E85</f>
        <v>9</v>
      </c>
      <c r="F86" s="3">
        <f>F60-F85</f>
        <v>7</v>
      </c>
      <c r="G86" s="2">
        <f t="shared" si="10"/>
        <v>35</v>
      </c>
      <c r="J86" s="4" t="s">
        <v>0</v>
      </c>
      <c r="K86" s="3">
        <f>K60-K85</f>
        <v>245</v>
      </c>
      <c r="L86" s="3">
        <f>L60-L85</f>
        <v>262</v>
      </c>
      <c r="M86" s="3">
        <f>M60-M85</f>
        <v>119</v>
      </c>
      <c r="N86" s="3">
        <f>N60-N85</f>
        <v>129</v>
      </c>
      <c r="O86" s="2">
        <f t="shared" si="11"/>
        <v>755</v>
      </c>
      <c r="P86" s="93" t="s">
        <v>61</v>
      </c>
      <c r="R86" s="4" t="s">
        <v>0</v>
      </c>
      <c r="S86" s="3">
        <f>S60-S85</f>
        <v>827</v>
      </c>
      <c r="T86" s="3">
        <f>T60-T85</f>
        <v>956</v>
      </c>
      <c r="U86" s="3">
        <f>U60-U85</f>
        <v>356</v>
      </c>
      <c r="V86" s="3">
        <f>V60-V85</f>
        <v>360</v>
      </c>
      <c r="W86" s="42">
        <f>SUM(S86:V86)</f>
        <v>2499</v>
      </c>
    </row>
    <row r="89" spans="1:24" ht="18.75" x14ac:dyDescent="0.2">
      <c r="A89" s="41" t="s">
        <v>13</v>
      </c>
      <c r="C89" s="40"/>
      <c r="D89" s="40"/>
      <c r="E89" s="40"/>
      <c r="F89" s="40"/>
      <c r="G89" s="40"/>
      <c r="H89" s="40"/>
      <c r="I89" s="41" t="s">
        <v>12</v>
      </c>
      <c r="K89" s="40"/>
      <c r="L89" s="40"/>
      <c r="M89" s="40"/>
      <c r="N89" s="40"/>
      <c r="O89" s="40"/>
      <c r="Q89" s="106" t="s">
        <v>120</v>
      </c>
      <c r="R89" s="107"/>
      <c r="S89" s="108"/>
      <c r="T89" s="108"/>
      <c r="U89" s="108"/>
      <c r="V89" s="108"/>
      <c r="W89" s="108"/>
    </row>
    <row r="90" spans="1:24" ht="19.5" thickBot="1" x14ac:dyDescent="0.25">
      <c r="A90" s="41"/>
      <c r="C90" s="40"/>
      <c r="D90" s="40"/>
      <c r="E90" s="40"/>
      <c r="F90" s="40"/>
      <c r="G90" s="40"/>
      <c r="I90" s="41"/>
      <c r="K90" s="56" t="s">
        <v>16</v>
      </c>
      <c r="L90" s="56" t="s">
        <v>17</v>
      </c>
      <c r="M90" s="56" t="s">
        <v>18</v>
      </c>
      <c r="N90" s="56" t="s">
        <v>19</v>
      </c>
      <c r="O90" s="40"/>
      <c r="Q90" s="41"/>
      <c r="S90" s="56" t="s">
        <v>16</v>
      </c>
      <c r="T90" s="56" t="s">
        <v>17</v>
      </c>
      <c r="U90" s="56" t="s">
        <v>18</v>
      </c>
      <c r="V90" s="56" t="s">
        <v>19</v>
      </c>
      <c r="W90" s="40"/>
      <c r="X90" s="56" t="s">
        <v>122</v>
      </c>
    </row>
    <row r="91" spans="1:24" ht="14.25" thickBot="1" x14ac:dyDescent="0.2">
      <c r="B91" s="39"/>
      <c r="C91" s="115" t="s">
        <v>10</v>
      </c>
      <c r="D91" s="116"/>
      <c r="E91" s="116"/>
      <c r="F91" s="117"/>
      <c r="G91" s="38"/>
      <c r="J91" s="39"/>
      <c r="K91" s="115" t="s">
        <v>10</v>
      </c>
      <c r="L91" s="116"/>
      <c r="M91" s="116"/>
      <c r="N91" s="117"/>
      <c r="O91" s="38"/>
      <c r="R91" s="39"/>
      <c r="S91" s="115" t="s">
        <v>10</v>
      </c>
      <c r="T91" s="116"/>
      <c r="U91" s="116"/>
      <c r="V91" s="117"/>
      <c r="W91" s="38"/>
    </row>
    <row r="92" spans="1:24" ht="14.25" thickBot="1" x14ac:dyDescent="0.2">
      <c r="B92" s="37"/>
      <c r="C92" s="36" t="s">
        <v>9</v>
      </c>
      <c r="D92" s="34" t="s">
        <v>8</v>
      </c>
      <c r="E92" s="35" t="s">
        <v>7</v>
      </c>
      <c r="F92" s="34" t="s">
        <v>6</v>
      </c>
      <c r="G92" s="34" t="s">
        <v>5</v>
      </c>
      <c r="J92" s="37"/>
      <c r="K92" s="36" t="s">
        <v>9</v>
      </c>
      <c r="L92" s="34" t="s">
        <v>8</v>
      </c>
      <c r="M92" s="35" t="s">
        <v>7</v>
      </c>
      <c r="N92" s="34" t="s">
        <v>6</v>
      </c>
      <c r="O92" s="34" t="s">
        <v>5</v>
      </c>
      <c r="R92" s="37"/>
      <c r="S92" s="36" t="s">
        <v>9</v>
      </c>
      <c r="T92" s="34" t="s">
        <v>8</v>
      </c>
      <c r="U92" s="35" t="s">
        <v>7</v>
      </c>
      <c r="V92" s="34" t="s">
        <v>6</v>
      </c>
      <c r="W92" s="34" t="s">
        <v>5</v>
      </c>
    </row>
    <row r="93" spans="1:24" x14ac:dyDescent="0.15">
      <c r="B93" s="32" t="s">
        <v>4</v>
      </c>
      <c r="C93" s="31">
        <f>C86</f>
        <v>11</v>
      </c>
      <c r="D93" s="31">
        <f>D86</f>
        <v>8</v>
      </c>
      <c r="E93" s="31">
        <f>E86</f>
        <v>9</v>
      </c>
      <c r="F93" s="31">
        <f>F86</f>
        <v>7</v>
      </c>
      <c r="G93" s="26">
        <f t="shared" ref="G93:G103" si="16">SUM(C93:F93)</f>
        <v>35</v>
      </c>
      <c r="H93" s="33"/>
      <c r="J93" s="110" t="s">
        <v>4</v>
      </c>
      <c r="K93" s="31">
        <f>K86</f>
        <v>245</v>
      </c>
      <c r="L93" s="31">
        <f t="shared" ref="L93:N93" si="17">L86</f>
        <v>262</v>
      </c>
      <c r="M93" s="31">
        <f t="shared" si="17"/>
        <v>119</v>
      </c>
      <c r="N93" s="31">
        <f t="shared" si="17"/>
        <v>129</v>
      </c>
      <c r="O93" s="26">
        <f t="shared" ref="O93:O103" si="18">SUM(K93:N93)</f>
        <v>755</v>
      </c>
      <c r="P93" s="95"/>
      <c r="R93" s="32" t="s">
        <v>4</v>
      </c>
      <c r="S93" s="31">
        <f>S86</f>
        <v>827</v>
      </c>
      <c r="T93" s="31">
        <f>T86</f>
        <v>956</v>
      </c>
      <c r="U93" s="31">
        <f>U86</f>
        <v>356</v>
      </c>
      <c r="V93" s="31">
        <f>V86</f>
        <v>360</v>
      </c>
      <c r="W93" s="47">
        <f>SUM(S93:V93)</f>
        <v>2499</v>
      </c>
    </row>
    <row r="94" spans="1:24" x14ac:dyDescent="0.15">
      <c r="B94" s="29" t="s">
        <v>134</v>
      </c>
      <c r="C94" s="12"/>
      <c r="D94" s="12">
        <v>3</v>
      </c>
      <c r="E94" s="12"/>
      <c r="F94" s="12">
        <v>1</v>
      </c>
      <c r="G94" s="26">
        <f t="shared" si="16"/>
        <v>4</v>
      </c>
      <c r="H94" s="13">
        <v>46181</v>
      </c>
      <c r="J94" s="29" t="s">
        <v>3</v>
      </c>
      <c r="K94" s="12"/>
      <c r="L94" s="12"/>
      <c r="M94" s="12">
        <v>42</v>
      </c>
      <c r="N94" s="12">
        <v>42</v>
      </c>
      <c r="O94" s="26">
        <f t="shared" ref="O94" si="19">SUM(K94:N94)</f>
        <v>84</v>
      </c>
      <c r="P94" s="19">
        <v>46179</v>
      </c>
      <c r="R94" s="29" t="s">
        <v>3</v>
      </c>
      <c r="S94" s="12"/>
      <c r="T94" s="12"/>
      <c r="U94" s="12"/>
      <c r="V94" s="12"/>
      <c r="W94" s="47">
        <f t="shared" ref="W94:W103" si="20">SUM(S94:U94)</f>
        <v>0</v>
      </c>
    </row>
    <row r="95" spans="1:24" x14ac:dyDescent="0.15">
      <c r="B95" s="29" t="s">
        <v>3</v>
      </c>
      <c r="C95" s="12"/>
      <c r="D95" s="12"/>
      <c r="E95" s="12"/>
      <c r="F95" s="12"/>
      <c r="G95" s="26">
        <f t="shared" si="16"/>
        <v>0</v>
      </c>
      <c r="H95" s="13"/>
      <c r="J95" s="29" t="s">
        <v>3</v>
      </c>
      <c r="K95" s="12">
        <v>42</v>
      </c>
      <c r="L95" s="12">
        <v>42</v>
      </c>
      <c r="M95" s="12"/>
      <c r="N95" s="12"/>
      <c r="O95" s="26">
        <f t="shared" si="18"/>
        <v>84</v>
      </c>
      <c r="P95" s="19">
        <v>46182</v>
      </c>
      <c r="R95" s="29" t="s">
        <v>3</v>
      </c>
      <c r="S95" s="12"/>
      <c r="T95" s="12"/>
      <c r="U95" s="12"/>
      <c r="V95" s="12"/>
      <c r="W95" s="47">
        <f t="shared" si="20"/>
        <v>0</v>
      </c>
    </row>
    <row r="96" spans="1:24" x14ac:dyDescent="0.15">
      <c r="B96" s="29" t="s">
        <v>3</v>
      </c>
      <c r="C96" s="12"/>
      <c r="D96" s="12"/>
      <c r="E96" s="12"/>
      <c r="F96" s="12"/>
      <c r="G96" s="26">
        <f t="shared" si="16"/>
        <v>0</v>
      </c>
      <c r="H96" s="13"/>
      <c r="J96" s="29" t="s">
        <v>3</v>
      </c>
      <c r="K96" s="12"/>
      <c r="L96" s="12"/>
      <c r="M96" s="12"/>
      <c r="N96" s="12"/>
      <c r="O96" s="26">
        <f t="shared" si="18"/>
        <v>0</v>
      </c>
      <c r="P96" s="95"/>
      <c r="R96" s="29" t="s">
        <v>3</v>
      </c>
      <c r="S96" s="12"/>
      <c r="T96" s="12"/>
      <c r="U96" s="12"/>
      <c r="V96" s="12"/>
      <c r="W96" s="47">
        <f t="shared" si="20"/>
        <v>0</v>
      </c>
    </row>
    <row r="97" spans="2:24" x14ac:dyDescent="0.15">
      <c r="B97" s="29" t="s">
        <v>3</v>
      </c>
      <c r="C97" s="12"/>
      <c r="D97" s="12"/>
      <c r="E97" s="12"/>
      <c r="F97" s="12"/>
      <c r="G97" s="26">
        <f t="shared" si="16"/>
        <v>0</v>
      </c>
      <c r="J97" s="29" t="s">
        <v>3</v>
      </c>
      <c r="K97" s="12"/>
      <c r="L97" s="12"/>
      <c r="M97" s="12"/>
      <c r="N97" s="12"/>
      <c r="O97" s="26">
        <f t="shared" si="18"/>
        <v>0</v>
      </c>
      <c r="P97" s="95"/>
      <c r="R97" s="29" t="s">
        <v>3</v>
      </c>
      <c r="S97" s="12"/>
      <c r="T97" s="12"/>
      <c r="U97" s="12"/>
      <c r="V97" s="12"/>
      <c r="W97" s="47">
        <f t="shared" si="20"/>
        <v>0</v>
      </c>
    </row>
    <row r="98" spans="2:24" x14ac:dyDescent="0.15">
      <c r="B98" s="29" t="s">
        <v>3</v>
      </c>
      <c r="C98" s="12"/>
      <c r="D98" s="12"/>
      <c r="E98" s="12"/>
      <c r="F98" s="12"/>
      <c r="G98" s="26">
        <f t="shared" si="16"/>
        <v>0</v>
      </c>
      <c r="J98" s="29" t="s">
        <v>3</v>
      </c>
      <c r="K98" s="12"/>
      <c r="L98" s="12"/>
      <c r="M98" s="12"/>
      <c r="N98" s="12"/>
      <c r="O98" s="26">
        <f t="shared" si="18"/>
        <v>0</v>
      </c>
      <c r="R98" s="29" t="s">
        <v>3</v>
      </c>
      <c r="S98" s="12"/>
      <c r="T98" s="12"/>
      <c r="U98" s="12"/>
      <c r="V98" s="12"/>
      <c r="W98" s="47">
        <f t="shared" si="20"/>
        <v>0</v>
      </c>
    </row>
    <row r="99" spans="2:24" x14ac:dyDescent="0.15">
      <c r="B99" s="29" t="s">
        <v>3</v>
      </c>
      <c r="C99" s="30"/>
      <c r="D99" s="12"/>
      <c r="E99" s="30"/>
      <c r="F99" s="12"/>
      <c r="G99" s="26">
        <f t="shared" si="16"/>
        <v>0</v>
      </c>
      <c r="J99" s="29" t="s">
        <v>3</v>
      </c>
      <c r="K99" s="30"/>
      <c r="L99" s="12"/>
      <c r="M99" s="30"/>
      <c r="N99" s="12"/>
      <c r="O99" s="26">
        <f t="shared" si="18"/>
        <v>0</v>
      </c>
      <c r="R99" s="29" t="s">
        <v>3</v>
      </c>
      <c r="S99" s="30"/>
      <c r="T99" s="12"/>
      <c r="U99" s="30"/>
      <c r="V99" s="12"/>
      <c r="W99" s="47">
        <f t="shared" si="20"/>
        <v>0</v>
      </c>
    </row>
    <row r="100" spans="2:24" x14ac:dyDescent="0.15">
      <c r="B100" s="29" t="s">
        <v>3</v>
      </c>
      <c r="C100" s="15"/>
      <c r="D100" s="15"/>
      <c r="E100" s="15"/>
      <c r="F100" s="15"/>
      <c r="G100" s="26">
        <f t="shared" si="16"/>
        <v>0</v>
      </c>
      <c r="J100" s="29" t="s">
        <v>3</v>
      </c>
      <c r="K100" s="15"/>
      <c r="L100" s="15"/>
      <c r="M100" s="15"/>
      <c r="N100" s="15"/>
      <c r="O100" s="26">
        <f t="shared" si="18"/>
        <v>0</v>
      </c>
      <c r="R100" s="29" t="s">
        <v>3</v>
      </c>
      <c r="S100" s="15"/>
      <c r="T100" s="15"/>
      <c r="U100" s="15"/>
      <c r="V100" s="15"/>
      <c r="W100" s="47">
        <f t="shared" si="20"/>
        <v>0</v>
      </c>
    </row>
    <row r="101" spans="2:24" x14ac:dyDescent="0.15">
      <c r="B101" s="29" t="s">
        <v>3</v>
      </c>
      <c r="C101" s="15"/>
      <c r="D101" s="15"/>
      <c r="E101" s="15"/>
      <c r="F101" s="15"/>
      <c r="G101" s="26">
        <f t="shared" si="16"/>
        <v>0</v>
      </c>
      <c r="J101" s="29" t="s">
        <v>3</v>
      </c>
      <c r="K101" s="15"/>
      <c r="L101" s="15"/>
      <c r="M101" s="15"/>
      <c r="N101" s="15"/>
      <c r="O101" s="26">
        <f t="shared" si="18"/>
        <v>0</v>
      </c>
      <c r="R101" s="29" t="s">
        <v>3</v>
      </c>
      <c r="S101" s="15"/>
      <c r="T101" s="15"/>
      <c r="U101" s="15"/>
      <c r="V101" s="15"/>
      <c r="W101" s="47">
        <f t="shared" si="20"/>
        <v>0</v>
      </c>
    </row>
    <row r="102" spans="2:24" x14ac:dyDescent="0.15">
      <c r="B102" s="29" t="s">
        <v>3</v>
      </c>
      <c r="C102" s="15"/>
      <c r="D102" s="15"/>
      <c r="E102" s="15"/>
      <c r="F102" s="15"/>
      <c r="G102" s="26">
        <f t="shared" si="16"/>
        <v>0</v>
      </c>
      <c r="J102" s="29" t="s">
        <v>3</v>
      </c>
      <c r="K102" s="15"/>
      <c r="L102" s="15"/>
      <c r="M102" s="15"/>
      <c r="N102" s="15"/>
      <c r="O102" s="26">
        <f t="shared" si="18"/>
        <v>0</v>
      </c>
      <c r="R102" s="29" t="s">
        <v>3</v>
      </c>
      <c r="S102" s="15"/>
      <c r="T102" s="15"/>
      <c r="U102" s="15"/>
      <c r="V102" s="15"/>
      <c r="W102" s="47">
        <f t="shared" si="20"/>
        <v>0</v>
      </c>
    </row>
    <row r="103" spans="2:24" ht="14.25" thickBot="1" x14ac:dyDescent="0.2">
      <c r="B103" s="28" t="s">
        <v>3</v>
      </c>
      <c r="C103" s="27"/>
      <c r="D103" s="27"/>
      <c r="E103" s="27"/>
      <c r="F103" s="27"/>
      <c r="G103" s="26">
        <f t="shared" si="16"/>
        <v>0</v>
      </c>
      <c r="J103" s="28" t="s">
        <v>3</v>
      </c>
      <c r="K103" s="27"/>
      <c r="L103" s="27"/>
      <c r="M103" s="27"/>
      <c r="N103" s="27"/>
      <c r="O103" s="26">
        <f t="shared" si="18"/>
        <v>0</v>
      </c>
      <c r="R103" s="28" t="s">
        <v>3</v>
      </c>
      <c r="S103" s="27"/>
      <c r="T103" s="27"/>
      <c r="U103" s="27"/>
      <c r="V103" s="27"/>
      <c r="W103" s="47">
        <f t="shared" si="20"/>
        <v>0</v>
      </c>
    </row>
    <row r="104" spans="2:24" ht="14.25" thickBot="1" x14ac:dyDescent="0.2">
      <c r="B104" s="25" t="s">
        <v>2</v>
      </c>
      <c r="C104" s="24">
        <f>SUM(C93:C103)</f>
        <v>11</v>
      </c>
      <c r="D104" s="24">
        <f>SUM(D93:D103)</f>
        <v>11</v>
      </c>
      <c r="E104" s="24">
        <f>SUM(E93:E103)</f>
        <v>9</v>
      </c>
      <c r="F104" s="24">
        <f>SUM(F93:F103)</f>
        <v>8</v>
      </c>
      <c r="G104" s="23">
        <f>SUM(G93:G103)</f>
        <v>39</v>
      </c>
      <c r="J104" s="25" t="s">
        <v>2</v>
      </c>
      <c r="K104" s="24">
        <f>SUM(K93:K103)</f>
        <v>287</v>
      </c>
      <c r="L104" s="24">
        <f>SUM(L93:L103)</f>
        <v>304</v>
      </c>
      <c r="M104" s="24">
        <f>SUM(M93:M103)</f>
        <v>161</v>
      </c>
      <c r="N104" s="24">
        <f>SUM(N93:N103)</f>
        <v>171</v>
      </c>
      <c r="O104" s="23">
        <f>SUM(O93:O103)</f>
        <v>923</v>
      </c>
      <c r="R104" s="25" t="s">
        <v>2</v>
      </c>
      <c r="S104" s="24">
        <f>SUM(S93:S103)</f>
        <v>827</v>
      </c>
      <c r="T104" s="24">
        <f>SUM(T93:T103)</f>
        <v>956</v>
      </c>
      <c r="U104" s="24">
        <f>SUM(U93:U103)</f>
        <v>356</v>
      </c>
      <c r="V104" s="24">
        <f>SUM(V93:V103)</f>
        <v>360</v>
      </c>
      <c r="W104" s="23">
        <f>SUM(W93:W103)</f>
        <v>2499</v>
      </c>
    </row>
    <row r="105" spans="2:24" x14ac:dyDescent="0.15">
      <c r="B105" s="18" t="s">
        <v>119</v>
      </c>
      <c r="C105" s="22">
        <v>4</v>
      </c>
      <c r="D105" s="20"/>
      <c r="E105" s="21"/>
      <c r="F105" s="20"/>
      <c r="G105" s="14">
        <f t="shared" ref="G105:G130" si="21">SUM(C105:F105)</f>
        <v>4</v>
      </c>
      <c r="H105" s="13">
        <v>46174</v>
      </c>
      <c r="J105" s="12" t="s">
        <v>106</v>
      </c>
      <c r="K105" s="17"/>
      <c r="L105" s="15">
        <v>50</v>
      </c>
      <c r="M105" s="16">
        <v>20</v>
      </c>
      <c r="N105" s="15"/>
      <c r="O105" s="14">
        <f t="shared" ref="O105:O107" si="22">SUM(K105:N105)</f>
        <v>70</v>
      </c>
      <c r="P105" s="83">
        <v>46169</v>
      </c>
      <c r="Q105" s="76"/>
      <c r="R105" s="12" t="s">
        <v>127</v>
      </c>
      <c r="S105" s="17"/>
      <c r="T105" s="15"/>
      <c r="U105" s="16">
        <v>42</v>
      </c>
      <c r="V105" s="15">
        <v>42</v>
      </c>
      <c r="W105" s="14">
        <f t="shared" ref="W105" si="23">SUM(S105:U105)</f>
        <v>42</v>
      </c>
      <c r="X105" s="73">
        <v>46179</v>
      </c>
    </row>
    <row r="106" spans="2:24" x14ac:dyDescent="0.15">
      <c r="B106" s="18" t="s">
        <v>123</v>
      </c>
      <c r="C106" s="17"/>
      <c r="D106" s="15">
        <v>3</v>
      </c>
      <c r="E106" s="16"/>
      <c r="F106" s="15"/>
      <c r="G106" s="14">
        <f t="shared" si="21"/>
        <v>3</v>
      </c>
      <c r="H106" s="13">
        <v>46178</v>
      </c>
      <c r="I106" s="76"/>
      <c r="J106" s="12" t="s">
        <v>107</v>
      </c>
      <c r="K106" s="17">
        <v>20</v>
      </c>
      <c r="L106" s="15">
        <v>50</v>
      </c>
      <c r="M106" s="16">
        <v>20</v>
      </c>
      <c r="N106" s="15">
        <v>20</v>
      </c>
      <c r="O106" s="14">
        <f t="shared" si="22"/>
        <v>110</v>
      </c>
      <c r="P106" s="83">
        <v>46177</v>
      </c>
      <c r="Q106" s="76"/>
      <c r="R106" s="12" t="s">
        <v>21</v>
      </c>
      <c r="S106" s="17">
        <v>42</v>
      </c>
      <c r="T106" s="15">
        <v>42</v>
      </c>
      <c r="U106" s="16"/>
      <c r="V106" s="15"/>
      <c r="W106" s="14">
        <f t="shared" ref="W106:W128" si="24">SUM(S106:U106)</f>
        <v>84</v>
      </c>
      <c r="X106" s="73">
        <v>46182</v>
      </c>
    </row>
    <row r="107" spans="2:24" x14ac:dyDescent="0.15">
      <c r="B107" s="18" t="s">
        <v>126</v>
      </c>
      <c r="C107" s="17"/>
      <c r="D107" s="15">
        <v>3</v>
      </c>
      <c r="E107" s="16"/>
      <c r="F107" s="15">
        <v>7</v>
      </c>
      <c r="G107" s="14">
        <f t="shared" si="21"/>
        <v>10</v>
      </c>
      <c r="H107" s="13">
        <v>46178</v>
      </c>
      <c r="J107" s="18" t="s">
        <v>108</v>
      </c>
      <c r="K107" s="17">
        <v>4</v>
      </c>
      <c r="L107" s="15">
        <v>1</v>
      </c>
      <c r="M107" s="16"/>
      <c r="N107" s="15"/>
      <c r="O107" s="14">
        <f t="shared" si="22"/>
        <v>5</v>
      </c>
      <c r="P107" s="83">
        <v>46167</v>
      </c>
      <c r="R107" s="18"/>
      <c r="S107" s="17"/>
      <c r="T107" s="15"/>
      <c r="U107" s="16"/>
      <c r="V107" s="15"/>
      <c r="W107" s="14">
        <f t="shared" si="24"/>
        <v>0</v>
      </c>
    </row>
    <row r="108" spans="2:24" x14ac:dyDescent="0.15">
      <c r="B108" s="18" t="s">
        <v>138</v>
      </c>
      <c r="C108" s="17">
        <v>1</v>
      </c>
      <c r="D108" s="15">
        <v>1</v>
      </c>
      <c r="E108" s="16">
        <v>1</v>
      </c>
      <c r="F108" s="15"/>
      <c r="G108" s="14">
        <f t="shared" si="21"/>
        <v>3</v>
      </c>
      <c r="H108" s="13">
        <v>46188</v>
      </c>
      <c r="J108" s="18" t="s">
        <v>109</v>
      </c>
      <c r="K108" s="17"/>
      <c r="L108" s="15">
        <v>4</v>
      </c>
      <c r="M108" s="16">
        <v>1</v>
      </c>
      <c r="N108" s="15"/>
      <c r="O108" s="14">
        <f t="shared" ref="O108:O118" si="25">SUM(K108:N108)</f>
        <v>5</v>
      </c>
      <c r="P108" s="83">
        <v>46169</v>
      </c>
      <c r="R108" s="12"/>
      <c r="S108" s="17"/>
      <c r="T108" s="15"/>
      <c r="U108" s="16"/>
      <c r="V108" s="15"/>
      <c r="W108" s="14">
        <f t="shared" si="24"/>
        <v>0</v>
      </c>
    </row>
    <row r="109" spans="2:24" x14ac:dyDescent="0.15">
      <c r="B109" s="18"/>
      <c r="C109" s="11"/>
      <c r="D109" s="9"/>
      <c r="E109" s="10"/>
      <c r="F109" s="9"/>
      <c r="G109" s="14">
        <f t="shared" si="21"/>
        <v>0</v>
      </c>
      <c r="H109" s="13"/>
      <c r="J109" s="18" t="s">
        <v>110</v>
      </c>
      <c r="K109" s="11">
        <v>2</v>
      </c>
      <c r="L109" s="9">
        <v>7</v>
      </c>
      <c r="M109" s="10">
        <v>5</v>
      </c>
      <c r="N109" s="9"/>
      <c r="O109" s="14">
        <f t="shared" si="25"/>
        <v>14</v>
      </c>
      <c r="P109" s="83">
        <v>46170</v>
      </c>
      <c r="R109" s="12"/>
      <c r="S109" s="11"/>
      <c r="T109" s="9"/>
      <c r="U109" s="10"/>
      <c r="V109" s="9"/>
      <c r="W109" s="14">
        <f t="shared" si="24"/>
        <v>0</v>
      </c>
    </row>
    <row r="110" spans="2:24" x14ac:dyDescent="0.15">
      <c r="B110" s="18"/>
      <c r="C110" s="17"/>
      <c r="D110" s="15"/>
      <c r="E110" s="16"/>
      <c r="F110" s="15"/>
      <c r="G110" s="14">
        <f t="shared" si="21"/>
        <v>0</v>
      </c>
      <c r="H110" s="13"/>
      <c r="J110" s="12" t="s">
        <v>111</v>
      </c>
      <c r="K110" s="17">
        <v>40</v>
      </c>
      <c r="L110" s="15">
        <v>25</v>
      </c>
      <c r="M110" s="16"/>
      <c r="N110" s="15">
        <v>20</v>
      </c>
      <c r="O110" s="14">
        <f t="shared" si="25"/>
        <v>85</v>
      </c>
      <c r="P110" s="83">
        <v>46170</v>
      </c>
      <c r="R110" s="18"/>
      <c r="S110" s="17"/>
      <c r="T110" s="15"/>
      <c r="U110" s="16"/>
      <c r="V110" s="15"/>
      <c r="W110" s="14">
        <f t="shared" si="24"/>
        <v>0</v>
      </c>
    </row>
    <row r="111" spans="2:24" x14ac:dyDescent="0.15">
      <c r="B111" s="18"/>
      <c r="C111" s="17"/>
      <c r="D111" s="15"/>
      <c r="E111" s="16"/>
      <c r="F111" s="15"/>
      <c r="G111" s="14">
        <f t="shared" si="21"/>
        <v>0</v>
      </c>
      <c r="H111" s="13"/>
      <c r="J111" s="18" t="s">
        <v>112</v>
      </c>
      <c r="K111" s="17">
        <v>9</v>
      </c>
      <c r="L111" s="15">
        <v>11</v>
      </c>
      <c r="M111" s="16">
        <v>5</v>
      </c>
      <c r="N111" s="15">
        <v>4</v>
      </c>
      <c r="O111" s="14">
        <f t="shared" si="25"/>
        <v>29</v>
      </c>
      <c r="P111" s="83">
        <v>46171</v>
      </c>
      <c r="R111" s="18"/>
      <c r="S111" s="17"/>
      <c r="T111" s="15"/>
      <c r="U111" s="16"/>
      <c r="V111" s="15"/>
      <c r="W111" s="14">
        <f t="shared" si="24"/>
        <v>0</v>
      </c>
    </row>
    <row r="112" spans="2:24" x14ac:dyDescent="0.15">
      <c r="B112" s="18"/>
      <c r="C112" s="17"/>
      <c r="D112" s="15"/>
      <c r="E112" s="16"/>
      <c r="F112" s="15"/>
      <c r="G112" s="14">
        <f t="shared" si="21"/>
        <v>0</v>
      </c>
      <c r="H112" s="13"/>
      <c r="J112" s="18" t="s">
        <v>116</v>
      </c>
      <c r="K112" s="17">
        <v>2</v>
      </c>
      <c r="L112" s="15"/>
      <c r="M112" s="16"/>
      <c r="N112" s="15">
        <v>1</v>
      </c>
      <c r="O112" s="14">
        <f t="shared" si="25"/>
        <v>3</v>
      </c>
      <c r="P112" s="83">
        <v>46172</v>
      </c>
      <c r="R112" s="12"/>
      <c r="S112" s="17"/>
      <c r="T112" s="15"/>
      <c r="U112" s="16"/>
      <c r="V112" s="15"/>
      <c r="W112" s="14">
        <f t="shared" si="24"/>
        <v>0</v>
      </c>
    </row>
    <row r="113" spans="2:23" x14ac:dyDescent="0.15">
      <c r="B113" s="18"/>
      <c r="C113" s="17"/>
      <c r="D113" s="15"/>
      <c r="E113" s="16"/>
      <c r="F113" s="15"/>
      <c r="G113" s="14">
        <f t="shared" si="21"/>
        <v>0</v>
      </c>
      <c r="H113" s="13"/>
      <c r="J113" s="12" t="s">
        <v>117</v>
      </c>
      <c r="K113" s="17"/>
      <c r="L113" s="15"/>
      <c r="M113" s="16">
        <v>10</v>
      </c>
      <c r="N113" s="15"/>
      <c r="O113" s="14">
        <f t="shared" si="25"/>
        <v>10</v>
      </c>
      <c r="P113" s="83">
        <v>46171</v>
      </c>
      <c r="R113" s="18"/>
      <c r="S113" s="17"/>
      <c r="T113" s="15"/>
      <c r="U113" s="16"/>
      <c r="V113" s="15"/>
      <c r="W113" s="14">
        <f t="shared" si="24"/>
        <v>0</v>
      </c>
    </row>
    <row r="114" spans="2:23" x14ac:dyDescent="0.15">
      <c r="B114" s="18"/>
      <c r="C114" s="17"/>
      <c r="D114" s="15"/>
      <c r="E114" s="16"/>
      <c r="F114" s="15"/>
      <c r="G114" s="14">
        <f t="shared" si="21"/>
        <v>0</v>
      </c>
      <c r="H114" s="13"/>
      <c r="J114" s="18" t="s">
        <v>119</v>
      </c>
      <c r="K114" s="17">
        <v>20</v>
      </c>
      <c r="L114" s="15"/>
      <c r="M114" s="16">
        <v>1</v>
      </c>
      <c r="N114" s="15">
        <v>2</v>
      </c>
      <c r="O114" s="14">
        <f t="shared" si="25"/>
        <v>23</v>
      </c>
      <c r="P114" s="83">
        <v>46177</v>
      </c>
      <c r="R114" s="12"/>
      <c r="S114" s="17"/>
      <c r="T114" s="15"/>
      <c r="U114" s="16"/>
      <c r="V114" s="15"/>
      <c r="W114" s="14">
        <f t="shared" si="24"/>
        <v>0</v>
      </c>
    </row>
    <row r="115" spans="2:23" x14ac:dyDescent="0.15">
      <c r="B115" s="12"/>
      <c r="C115" s="17"/>
      <c r="D115" s="15"/>
      <c r="E115" s="16"/>
      <c r="F115" s="15"/>
      <c r="G115" s="14">
        <f t="shared" si="21"/>
        <v>0</v>
      </c>
      <c r="H115" s="13"/>
      <c r="J115" s="12" t="s">
        <v>121</v>
      </c>
      <c r="K115" s="22">
        <v>60</v>
      </c>
      <c r="L115" s="20">
        <v>40</v>
      </c>
      <c r="M115" s="21">
        <v>30</v>
      </c>
      <c r="N115" s="20">
        <v>80</v>
      </c>
      <c r="O115" s="14">
        <f>SUM(K115:N115)</f>
        <v>210</v>
      </c>
      <c r="P115" s="83">
        <v>46181</v>
      </c>
      <c r="R115" s="12"/>
      <c r="S115" s="17"/>
      <c r="T115" s="15"/>
      <c r="U115" s="16"/>
      <c r="V115" s="15"/>
      <c r="W115" s="14">
        <f t="shared" si="24"/>
        <v>0</v>
      </c>
    </row>
    <row r="116" spans="2:23" x14ac:dyDescent="0.15">
      <c r="B116" s="18"/>
      <c r="C116" s="17"/>
      <c r="D116" s="15"/>
      <c r="E116" s="16"/>
      <c r="F116" s="15"/>
      <c r="G116" s="14">
        <f t="shared" si="21"/>
        <v>0</v>
      </c>
      <c r="H116" s="13"/>
      <c r="J116" s="18" t="s">
        <v>128</v>
      </c>
      <c r="K116" s="17"/>
      <c r="L116" s="15">
        <v>2</v>
      </c>
      <c r="M116" s="16"/>
      <c r="N116" s="15">
        <v>1</v>
      </c>
      <c r="O116" s="14">
        <f t="shared" si="25"/>
        <v>3</v>
      </c>
      <c r="P116" s="83">
        <v>46181</v>
      </c>
      <c r="R116" s="18"/>
      <c r="S116" s="17"/>
      <c r="T116" s="15"/>
      <c r="U116" s="16"/>
      <c r="V116" s="15"/>
      <c r="W116" s="14">
        <f t="shared" si="24"/>
        <v>0</v>
      </c>
    </row>
    <row r="117" spans="2:23" x14ac:dyDescent="0.15">
      <c r="B117" s="18"/>
      <c r="C117" s="17"/>
      <c r="D117" s="15"/>
      <c r="E117" s="16"/>
      <c r="F117" s="15"/>
      <c r="G117" s="14">
        <f t="shared" si="21"/>
        <v>0</v>
      </c>
      <c r="H117" s="13"/>
      <c r="J117" s="12" t="s">
        <v>130</v>
      </c>
      <c r="K117" s="17">
        <v>80</v>
      </c>
      <c r="L117" s="15">
        <v>60</v>
      </c>
      <c r="M117" s="16">
        <v>40</v>
      </c>
      <c r="N117" s="15">
        <v>15</v>
      </c>
      <c r="O117" s="14">
        <f t="shared" si="25"/>
        <v>195</v>
      </c>
      <c r="P117" s="83">
        <v>46185</v>
      </c>
      <c r="R117" s="18"/>
      <c r="S117" s="17"/>
      <c r="T117" s="15"/>
      <c r="U117" s="16"/>
      <c r="V117" s="15"/>
      <c r="W117" s="14">
        <f t="shared" si="24"/>
        <v>0</v>
      </c>
    </row>
    <row r="118" spans="2:23" x14ac:dyDescent="0.15">
      <c r="B118" s="12"/>
      <c r="C118" s="17"/>
      <c r="D118" s="15"/>
      <c r="E118" s="16"/>
      <c r="F118" s="15"/>
      <c r="G118" s="14">
        <f t="shared" si="21"/>
        <v>0</v>
      </c>
      <c r="H118" s="13"/>
      <c r="J118" s="18" t="s">
        <v>131</v>
      </c>
      <c r="K118" s="17">
        <v>2</v>
      </c>
      <c r="L118" s="15">
        <v>1</v>
      </c>
      <c r="M118" s="16"/>
      <c r="N118" s="15">
        <v>3</v>
      </c>
      <c r="O118" s="14">
        <f t="shared" si="25"/>
        <v>6</v>
      </c>
      <c r="P118" s="83">
        <v>46183</v>
      </c>
      <c r="R118" s="12"/>
      <c r="S118" s="17"/>
      <c r="T118" s="15"/>
      <c r="U118" s="16"/>
      <c r="V118" s="15"/>
      <c r="W118" s="14">
        <f t="shared" si="24"/>
        <v>0</v>
      </c>
    </row>
    <row r="119" spans="2:23" x14ac:dyDescent="0.15">
      <c r="B119" s="18"/>
      <c r="C119" s="17"/>
      <c r="D119" s="15"/>
      <c r="E119" s="16"/>
      <c r="F119" s="15"/>
      <c r="G119" s="14">
        <f t="shared" si="21"/>
        <v>0</v>
      </c>
      <c r="H119" s="13"/>
      <c r="J119" s="18" t="s">
        <v>132</v>
      </c>
      <c r="K119" s="17"/>
      <c r="L119" s="15">
        <v>2</v>
      </c>
      <c r="M119" s="16">
        <v>5</v>
      </c>
      <c r="N119" s="15"/>
      <c r="O119" s="14">
        <f t="shared" ref="O119:O125" si="26">SUM(K119:N119)</f>
        <v>7</v>
      </c>
      <c r="P119" s="83">
        <v>46184</v>
      </c>
      <c r="R119" s="18"/>
      <c r="S119" s="17"/>
      <c r="T119" s="15"/>
      <c r="U119" s="16"/>
      <c r="V119" s="15"/>
      <c r="W119" s="14">
        <f t="shared" si="24"/>
        <v>0</v>
      </c>
    </row>
    <row r="120" spans="2:23" x14ac:dyDescent="0.15">
      <c r="B120" s="18"/>
      <c r="C120" s="17"/>
      <c r="D120" s="15"/>
      <c r="E120" s="16"/>
      <c r="F120" s="15"/>
      <c r="G120" s="14">
        <f t="shared" si="21"/>
        <v>0</v>
      </c>
      <c r="H120" s="13"/>
      <c r="J120" s="18" t="s">
        <v>133</v>
      </c>
      <c r="K120" s="17">
        <v>3</v>
      </c>
      <c r="L120" s="15">
        <v>1</v>
      </c>
      <c r="M120" s="16">
        <v>2</v>
      </c>
      <c r="N120" s="15"/>
      <c r="O120" s="14">
        <f t="shared" si="26"/>
        <v>6</v>
      </c>
      <c r="P120" s="83">
        <v>46185</v>
      </c>
      <c r="R120" s="18"/>
      <c r="S120" s="17"/>
      <c r="T120" s="15"/>
      <c r="U120" s="16"/>
      <c r="V120" s="15"/>
      <c r="W120" s="14">
        <f t="shared" si="24"/>
        <v>0</v>
      </c>
    </row>
    <row r="121" spans="2:23" x14ac:dyDescent="0.15">
      <c r="B121" s="12"/>
      <c r="C121" s="17"/>
      <c r="D121" s="15"/>
      <c r="E121" s="16"/>
      <c r="F121" s="15"/>
      <c r="G121" s="14">
        <f t="shared" si="21"/>
        <v>0</v>
      </c>
      <c r="H121" s="13"/>
      <c r="J121" s="18" t="s">
        <v>135</v>
      </c>
      <c r="K121" s="17">
        <v>1</v>
      </c>
      <c r="L121" s="15">
        <v>6</v>
      </c>
      <c r="M121" s="16"/>
      <c r="N121" s="15"/>
      <c r="O121" s="14">
        <f t="shared" si="26"/>
        <v>7</v>
      </c>
      <c r="P121" s="83">
        <v>46185</v>
      </c>
      <c r="R121" s="12"/>
      <c r="S121" s="17"/>
      <c r="T121" s="15"/>
      <c r="U121" s="16"/>
      <c r="V121" s="15"/>
      <c r="W121" s="14">
        <f t="shared" si="24"/>
        <v>0</v>
      </c>
    </row>
    <row r="122" spans="2:23" x14ac:dyDescent="0.15">
      <c r="B122" s="12"/>
      <c r="C122" s="17"/>
      <c r="D122" s="15"/>
      <c r="E122" s="16"/>
      <c r="F122" s="15"/>
      <c r="G122" s="14">
        <f t="shared" si="21"/>
        <v>0</v>
      </c>
      <c r="H122" s="13"/>
      <c r="J122" s="12"/>
      <c r="K122" s="17"/>
      <c r="L122" s="15"/>
      <c r="M122" s="16"/>
      <c r="N122" s="15"/>
      <c r="O122" s="14">
        <f t="shared" si="26"/>
        <v>0</v>
      </c>
      <c r="R122" s="12"/>
      <c r="S122" s="17"/>
      <c r="T122" s="15"/>
      <c r="U122" s="16"/>
      <c r="V122" s="15"/>
      <c r="W122" s="14">
        <f t="shared" si="24"/>
        <v>0</v>
      </c>
    </row>
    <row r="123" spans="2:23" x14ac:dyDescent="0.15">
      <c r="B123" s="12"/>
      <c r="C123" s="17"/>
      <c r="D123" s="15"/>
      <c r="E123" s="16"/>
      <c r="F123" s="15"/>
      <c r="G123" s="14">
        <f t="shared" si="21"/>
        <v>0</v>
      </c>
      <c r="H123" s="13"/>
      <c r="J123" s="18" t="s">
        <v>69</v>
      </c>
      <c r="K123" s="17"/>
      <c r="L123" s="15"/>
      <c r="M123" s="16"/>
      <c r="N123" s="15"/>
      <c r="O123" s="14">
        <f t="shared" si="26"/>
        <v>0</v>
      </c>
      <c r="P123" s="95" t="s">
        <v>70</v>
      </c>
      <c r="R123" s="12"/>
      <c r="S123" s="17"/>
      <c r="T123" s="15"/>
      <c r="U123" s="16"/>
      <c r="V123" s="15"/>
      <c r="W123" s="14">
        <f t="shared" si="24"/>
        <v>0</v>
      </c>
    </row>
    <row r="124" spans="2:23" x14ac:dyDescent="0.15">
      <c r="B124" s="12"/>
      <c r="C124" s="17"/>
      <c r="D124" s="15"/>
      <c r="E124" s="16"/>
      <c r="F124" s="15"/>
      <c r="G124" s="14">
        <f t="shared" si="21"/>
        <v>0</v>
      </c>
      <c r="H124" s="13"/>
      <c r="J124" s="18" t="s">
        <v>80</v>
      </c>
      <c r="K124" s="17"/>
      <c r="L124" s="15"/>
      <c r="M124" s="16"/>
      <c r="N124" s="15"/>
      <c r="O124" s="14">
        <f t="shared" si="26"/>
        <v>0</v>
      </c>
      <c r="P124" s="95" t="s">
        <v>81</v>
      </c>
      <c r="R124" s="12"/>
      <c r="S124" s="17"/>
      <c r="T124" s="15"/>
      <c r="U124" s="16"/>
      <c r="V124" s="15"/>
      <c r="W124" s="14">
        <f t="shared" si="24"/>
        <v>0</v>
      </c>
    </row>
    <row r="125" spans="2:23" x14ac:dyDescent="0.15">
      <c r="B125" s="18"/>
      <c r="C125" s="17"/>
      <c r="D125" s="15"/>
      <c r="E125" s="16"/>
      <c r="F125" s="15"/>
      <c r="G125" s="14">
        <f t="shared" si="21"/>
        <v>0</v>
      </c>
      <c r="H125" s="13"/>
      <c r="J125" s="18" t="s">
        <v>83</v>
      </c>
      <c r="K125" s="17"/>
      <c r="L125" s="15"/>
      <c r="M125" s="16"/>
      <c r="N125" s="15"/>
      <c r="O125" s="14">
        <f t="shared" si="26"/>
        <v>0</v>
      </c>
      <c r="P125" s="95" t="s">
        <v>84</v>
      </c>
      <c r="R125" s="18"/>
      <c r="S125" s="17"/>
      <c r="T125" s="15"/>
      <c r="U125" s="16"/>
      <c r="V125" s="15"/>
      <c r="W125" s="14">
        <f t="shared" si="24"/>
        <v>0</v>
      </c>
    </row>
    <row r="126" spans="2:23" x14ac:dyDescent="0.15">
      <c r="B126" s="18"/>
      <c r="C126" s="17"/>
      <c r="D126" s="15"/>
      <c r="E126" s="16"/>
      <c r="F126" s="15"/>
      <c r="G126" s="14">
        <f t="shared" si="21"/>
        <v>0</v>
      </c>
      <c r="H126" s="13"/>
      <c r="J126" s="18" t="s">
        <v>91</v>
      </c>
      <c r="K126" s="17"/>
      <c r="L126" s="15"/>
      <c r="M126" s="16"/>
      <c r="N126" s="15"/>
      <c r="O126" s="14">
        <f>SUM(K126:N126)</f>
        <v>0</v>
      </c>
      <c r="P126" s="95" t="s">
        <v>90</v>
      </c>
      <c r="R126" s="18"/>
      <c r="S126" s="17"/>
      <c r="T126" s="15"/>
      <c r="U126" s="16"/>
      <c r="V126" s="15"/>
      <c r="W126" s="14">
        <f t="shared" si="24"/>
        <v>0</v>
      </c>
    </row>
    <row r="127" spans="2:23" x14ac:dyDescent="0.15">
      <c r="B127" s="18"/>
      <c r="C127" s="17"/>
      <c r="D127" s="15"/>
      <c r="E127" s="16"/>
      <c r="F127" s="15"/>
      <c r="G127" s="14">
        <f t="shared" si="21"/>
        <v>0</v>
      </c>
      <c r="H127" s="13"/>
      <c r="J127" s="30" t="s">
        <v>55</v>
      </c>
      <c r="K127" s="84"/>
      <c r="L127" s="85"/>
      <c r="M127" s="86"/>
      <c r="N127" s="85"/>
      <c r="O127" s="14">
        <f t="shared" ref="O127:O128" si="27">SUM(K127:N127)</f>
        <v>0</v>
      </c>
      <c r="P127" s="95"/>
      <c r="R127" s="18"/>
      <c r="S127" s="17"/>
      <c r="T127" s="15"/>
      <c r="U127" s="16"/>
      <c r="V127" s="15"/>
      <c r="W127" s="14">
        <f t="shared" si="24"/>
        <v>0</v>
      </c>
    </row>
    <row r="128" spans="2:23" ht="14.25" thickBot="1" x14ac:dyDescent="0.2">
      <c r="B128" s="12"/>
      <c r="C128" s="11"/>
      <c r="D128" s="9"/>
      <c r="E128" s="10"/>
      <c r="F128" s="9"/>
      <c r="G128" s="8">
        <f t="shared" si="21"/>
        <v>0</v>
      </c>
      <c r="H128" s="13"/>
      <c r="J128" s="12" t="s">
        <v>48</v>
      </c>
      <c r="K128" s="11"/>
      <c r="L128" s="9"/>
      <c r="M128" s="10"/>
      <c r="N128" s="9"/>
      <c r="O128" s="14">
        <f t="shared" si="27"/>
        <v>0</v>
      </c>
      <c r="P128" s="76" t="s">
        <v>73</v>
      </c>
      <c r="R128" s="18"/>
      <c r="S128" s="17"/>
      <c r="T128" s="15"/>
      <c r="U128" s="16"/>
      <c r="V128" s="15"/>
      <c r="W128" s="92">
        <f t="shared" si="24"/>
        <v>0</v>
      </c>
    </row>
    <row r="129" spans="1:23" ht="14.25" thickBot="1" x14ac:dyDescent="0.2">
      <c r="B129" s="7" t="s">
        <v>1</v>
      </c>
      <c r="C129" s="6">
        <f>SUM(C105:C128)</f>
        <v>5</v>
      </c>
      <c r="D129" s="6">
        <f>SUM(D105:D128)</f>
        <v>7</v>
      </c>
      <c r="E129" s="6">
        <f>SUM(E105:E128)</f>
        <v>1</v>
      </c>
      <c r="F129" s="6">
        <f>SUM(F105:F128)</f>
        <v>7</v>
      </c>
      <c r="G129" s="5">
        <f t="shared" si="21"/>
        <v>20</v>
      </c>
      <c r="J129" s="7" t="s">
        <v>1</v>
      </c>
      <c r="K129" s="6">
        <f>SUM(K105:K128)</f>
        <v>243</v>
      </c>
      <c r="L129" s="6">
        <f>SUM(L105:L128)</f>
        <v>260</v>
      </c>
      <c r="M129" s="6">
        <f>SUM(M105:M128)</f>
        <v>139</v>
      </c>
      <c r="N129" s="6">
        <f>SUM(N105:N128)</f>
        <v>146</v>
      </c>
      <c r="O129" s="43">
        <f>SUM(K129:N129)</f>
        <v>788</v>
      </c>
      <c r="R129" s="7" t="s">
        <v>1</v>
      </c>
      <c r="S129" s="44">
        <f>SUM(S105:S128)</f>
        <v>42</v>
      </c>
      <c r="T129" s="44">
        <f>SUM(T105:T128)</f>
        <v>42</v>
      </c>
      <c r="U129" s="44">
        <f>SUM(U105:U128)</f>
        <v>42</v>
      </c>
      <c r="V129" s="44">
        <f>SUM(V105:V128)</f>
        <v>42</v>
      </c>
      <c r="W129" s="43">
        <f>SUM(S129:V129)</f>
        <v>168</v>
      </c>
    </row>
    <row r="130" spans="1:23" ht="14.25" thickBot="1" x14ac:dyDescent="0.2">
      <c r="B130" s="4" t="s">
        <v>0</v>
      </c>
      <c r="C130" s="3">
        <f>C104-C129</f>
        <v>6</v>
      </c>
      <c r="D130" s="3">
        <f>D104-D129</f>
        <v>4</v>
      </c>
      <c r="E130" s="3">
        <f>E104-E129</f>
        <v>8</v>
      </c>
      <c r="F130" s="3">
        <f>F104-F129</f>
        <v>1</v>
      </c>
      <c r="G130" s="2">
        <f t="shared" si="21"/>
        <v>19</v>
      </c>
      <c r="J130" s="4" t="s">
        <v>0</v>
      </c>
      <c r="K130" s="3">
        <f>K104-K129</f>
        <v>44</v>
      </c>
      <c r="L130" s="3">
        <f>L104-L129</f>
        <v>44</v>
      </c>
      <c r="M130" s="3">
        <f>M104-M129</f>
        <v>22</v>
      </c>
      <c r="N130" s="3">
        <f>N104-N129</f>
        <v>25</v>
      </c>
      <c r="O130" s="2">
        <f t="shared" ref="O130" si="28">SUM(K130:N130)</f>
        <v>135</v>
      </c>
      <c r="P130" s="93" t="s">
        <v>61</v>
      </c>
      <c r="R130" s="4" t="s">
        <v>0</v>
      </c>
      <c r="S130" s="3">
        <f>S104-S129</f>
        <v>785</v>
      </c>
      <c r="T130" s="3">
        <f>T104-T129</f>
        <v>914</v>
      </c>
      <c r="U130" s="3">
        <f>U104-U129</f>
        <v>314</v>
      </c>
      <c r="V130" s="3">
        <f>V104-V129</f>
        <v>318</v>
      </c>
      <c r="W130" s="42">
        <f>SUM(S130:V130)</f>
        <v>2331</v>
      </c>
    </row>
    <row r="133" spans="1:23" ht="18.75" x14ac:dyDescent="0.2">
      <c r="A133" s="41" t="s">
        <v>13</v>
      </c>
      <c r="C133" s="40"/>
      <c r="D133" s="40"/>
      <c r="E133" s="40"/>
      <c r="F133" s="40"/>
      <c r="G133" s="40"/>
      <c r="I133" s="41" t="s">
        <v>12</v>
      </c>
      <c r="K133" s="40"/>
      <c r="L133" s="40"/>
      <c r="M133" s="40"/>
      <c r="N133" s="40"/>
      <c r="O133" s="40"/>
      <c r="Q133" s="106" t="s">
        <v>120</v>
      </c>
      <c r="R133" s="107"/>
      <c r="S133" s="108"/>
      <c r="T133" s="108"/>
      <c r="U133" s="108"/>
      <c r="V133" s="108"/>
      <c r="W133" s="108"/>
    </row>
    <row r="134" spans="1:23" ht="19.5" thickBot="1" x14ac:dyDescent="0.25">
      <c r="A134" s="41"/>
      <c r="C134" s="40"/>
      <c r="D134" s="40"/>
      <c r="E134" s="40"/>
      <c r="F134" s="40"/>
      <c r="G134" s="40"/>
      <c r="I134" s="41"/>
      <c r="K134" s="56" t="s">
        <v>16</v>
      </c>
      <c r="L134" s="56" t="s">
        <v>17</v>
      </c>
      <c r="M134" s="56" t="s">
        <v>18</v>
      </c>
      <c r="N134" s="56" t="s">
        <v>19</v>
      </c>
      <c r="O134" s="40"/>
      <c r="Q134" s="41"/>
      <c r="S134" s="56" t="s">
        <v>16</v>
      </c>
      <c r="T134" s="56" t="s">
        <v>17</v>
      </c>
      <c r="U134" s="56" t="s">
        <v>18</v>
      </c>
      <c r="V134" s="56" t="s">
        <v>19</v>
      </c>
      <c r="W134" s="40"/>
    </row>
    <row r="135" spans="1:23" ht="14.25" thickBot="1" x14ac:dyDescent="0.2">
      <c r="B135" s="39"/>
      <c r="C135" s="115" t="s">
        <v>10</v>
      </c>
      <c r="D135" s="116"/>
      <c r="E135" s="116"/>
      <c r="F135" s="117"/>
      <c r="G135" s="38"/>
      <c r="J135" s="39"/>
      <c r="K135" s="115" t="s">
        <v>10</v>
      </c>
      <c r="L135" s="116"/>
      <c r="M135" s="116"/>
      <c r="N135" s="117"/>
      <c r="O135" s="38"/>
      <c r="R135" s="39"/>
      <c r="S135" s="115" t="s">
        <v>10</v>
      </c>
      <c r="T135" s="116"/>
      <c r="U135" s="116"/>
      <c r="V135" s="117"/>
      <c r="W135" s="38"/>
    </row>
    <row r="136" spans="1:23" ht="14.25" thickBot="1" x14ac:dyDescent="0.2">
      <c r="B136" s="37"/>
      <c r="C136" s="36" t="s">
        <v>9</v>
      </c>
      <c r="D136" s="34" t="s">
        <v>8</v>
      </c>
      <c r="E136" s="35" t="s">
        <v>7</v>
      </c>
      <c r="F136" s="34" t="s">
        <v>6</v>
      </c>
      <c r="G136" s="34" t="s">
        <v>5</v>
      </c>
      <c r="J136" s="37"/>
      <c r="K136" s="36" t="s">
        <v>9</v>
      </c>
      <c r="L136" s="34" t="s">
        <v>8</v>
      </c>
      <c r="M136" s="35" t="s">
        <v>7</v>
      </c>
      <c r="N136" s="34" t="s">
        <v>6</v>
      </c>
      <c r="O136" s="34" t="s">
        <v>5</v>
      </c>
      <c r="R136" s="37"/>
      <c r="S136" s="36" t="s">
        <v>9</v>
      </c>
      <c r="T136" s="34" t="s">
        <v>8</v>
      </c>
      <c r="U136" s="35" t="s">
        <v>7</v>
      </c>
      <c r="V136" s="34" t="s">
        <v>6</v>
      </c>
      <c r="W136" s="34" t="s">
        <v>5</v>
      </c>
    </row>
    <row r="137" spans="1:23" x14ac:dyDescent="0.15">
      <c r="B137" s="32" t="s">
        <v>4</v>
      </c>
      <c r="C137" s="31">
        <f>C130</f>
        <v>6</v>
      </c>
      <c r="D137" s="31">
        <f>D130</f>
        <v>4</v>
      </c>
      <c r="E137" s="31">
        <f>E130</f>
        <v>8</v>
      </c>
      <c r="F137" s="31">
        <f>F130</f>
        <v>1</v>
      </c>
      <c r="G137" s="26">
        <f t="shared" ref="G137:G147" si="29">SUM(C137:F137)</f>
        <v>19</v>
      </c>
      <c r="J137" s="32" t="s">
        <v>4</v>
      </c>
      <c r="K137" s="31">
        <f>K130</f>
        <v>44</v>
      </c>
      <c r="L137" s="31">
        <f t="shared" ref="L137:N137" si="30">L130</f>
        <v>44</v>
      </c>
      <c r="M137" s="31">
        <f t="shared" si="30"/>
        <v>22</v>
      </c>
      <c r="N137" s="31">
        <f t="shared" si="30"/>
        <v>25</v>
      </c>
      <c r="O137" s="26">
        <f t="shared" ref="O137:O147" si="31">SUM(K137:N137)</f>
        <v>135</v>
      </c>
      <c r="R137" s="32" t="s">
        <v>4</v>
      </c>
      <c r="S137" s="31">
        <f>S130</f>
        <v>785</v>
      </c>
      <c r="T137" s="31">
        <f>T130</f>
        <v>914</v>
      </c>
      <c r="U137" s="31">
        <f>U130</f>
        <v>314</v>
      </c>
      <c r="V137" s="31">
        <f>V130</f>
        <v>318</v>
      </c>
      <c r="W137" s="47">
        <f>SUM(S137:V137)</f>
        <v>2331</v>
      </c>
    </row>
    <row r="138" spans="1:23" x14ac:dyDescent="0.15">
      <c r="B138" s="29" t="s">
        <v>96</v>
      </c>
      <c r="C138" s="12">
        <v>1</v>
      </c>
      <c r="D138" s="12"/>
      <c r="E138" s="12"/>
      <c r="F138" s="12"/>
      <c r="G138" s="26">
        <f t="shared" si="29"/>
        <v>1</v>
      </c>
      <c r="H138" s="105">
        <v>46188</v>
      </c>
      <c r="J138" s="112" t="s">
        <v>3</v>
      </c>
      <c r="K138" s="58">
        <v>84</v>
      </c>
      <c r="L138" s="58">
        <v>84</v>
      </c>
      <c r="M138" s="58">
        <v>84</v>
      </c>
      <c r="N138" s="58">
        <v>42</v>
      </c>
      <c r="O138" s="113">
        <f t="shared" si="31"/>
        <v>294</v>
      </c>
      <c r="P138" s="111">
        <v>46193</v>
      </c>
      <c r="R138" s="29" t="s">
        <v>3</v>
      </c>
      <c r="S138" s="12"/>
      <c r="T138" s="12"/>
      <c r="U138" s="12"/>
      <c r="V138" s="12"/>
      <c r="W138" s="47">
        <f t="shared" ref="W138:W147" si="32">SUM(S138:U138)</f>
        <v>0</v>
      </c>
    </row>
    <row r="139" spans="1:23" x14ac:dyDescent="0.15">
      <c r="B139" s="29" t="s">
        <v>3</v>
      </c>
      <c r="C139" s="12"/>
      <c r="D139" s="12"/>
      <c r="E139" s="12"/>
      <c r="F139" s="12"/>
      <c r="G139" s="26">
        <f t="shared" si="29"/>
        <v>0</v>
      </c>
      <c r="J139" s="29" t="s">
        <v>3</v>
      </c>
      <c r="K139" s="12"/>
      <c r="L139" s="12"/>
      <c r="M139" s="12"/>
      <c r="N139" s="12"/>
      <c r="O139" s="26">
        <f t="shared" si="31"/>
        <v>0</v>
      </c>
      <c r="P139" s="19"/>
      <c r="R139" s="29" t="s">
        <v>3</v>
      </c>
      <c r="S139" s="12"/>
      <c r="T139" s="12"/>
      <c r="U139" s="12"/>
      <c r="V139" s="12"/>
      <c r="W139" s="47">
        <f t="shared" si="32"/>
        <v>0</v>
      </c>
    </row>
    <row r="140" spans="1:23" x14ac:dyDescent="0.15">
      <c r="B140" s="29" t="s">
        <v>3</v>
      </c>
      <c r="C140" s="12"/>
      <c r="D140" s="12"/>
      <c r="E140" s="12"/>
      <c r="F140" s="12"/>
      <c r="G140" s="26">
        <f t="shared" si="29"/>
        <v>0</v>
      </c>
      <c r="J140" s="29" t="s">
        <v>3</v>
      </c>
      <c r="K140" s="12"/>
      <c r="L140" s="12"/>
      <c r="M140" s="12"/>
      <c r="N140" s="12"/>
      <c r="O140" s="26">
        <f t="shared" si="31"/>
        <v>0</v>
      </c>
      <c r="R140" s="29" t="s">
        <v>3</v>
      </c>
      <c r="S140" s="12"/>
      <c r="T140" s="12"/>
      <c r="U140" s="12"/>
      <c r="V140" s="12"/>
      <c r="W140" s="47">
        <f t="shared" si="32"/>
        <v>0</v>
      </c>
    </row>
    <row r="141" spans="1:23" x14ac:dyDescent="0.15">
      <c r="B141" s="29" t="s">
        <v>3</v>
      </c>
      <c r="C141" s="12"/>
      <c r="D141" s="12"/>
      <c r="E141" s="12"/>
      <c r="F141" s="12"/>
      <c r="G141" s="26">
        <f t="shared" si="29"/>
        <v>0</v>
      </c>
      <c r="J141" s="29" t="s">
        <v>3</v>
      </c>
      <c r="K141" s="12"/>
      <c r="L141" s="12"/>
      <c r="M141" s="12"/>
      <c r="N141" s="12"/>
      <c r="O141" s="26">
        <f t="shared" si="31"/>
        <v>0</v>
      </c>
      <c r="R141" s="29" t="s">
        <v>3</v>
      </c>
      <c r="S141" s="12"/>
      <c r="T141" s="12"/>
      <c r="U141" s="12"/>
      <c r="V141" s="12"/>
      <c r="W141" s="47">
        <f t="shared" si="32"/>
        <v>0</v>
      </c>
    </row>
    <row r="142" spans="1:23" x14ac:dyDescent="0.15">
      <c r="B142" s="29" t="s">
        <v>3</v>
      </c>
      <c r="C142" s="12"/>
      <c r="D142" s="12"/>
      <c r="E142" s="12"/>
      <c r="F142" s="12"/>
      <c r="G142" s="26">
        <f t="shared" si="29"/>
        <v>0</v>
      </c>
      <c r="J142" s="29" t="s">
        <v>3</v>
      </c>
      <c r="K142" s="12"/>
      <c r="L142" s="12"/>
      <c r="M142" s="12"/>
      <c r="N142" s="12"/>
      <c r="O142" s="26">
        <f t="shared" si="31"/>
        <v>0</v>
      </c>
      <c r="R142" s="29" t="s">
        <v>3</v>
      </c>
      <c r="S142" s="12"/>
      <c r="T142" s="12"/>
      <c r="U142" s="12"/>
      <c r="V142" s="12"/>
      <c r="W142" s="47">
        <f t="shared" si="32"/>
        <v>0</v>
      </c>
    </row>
    <row r="143" spans="1:23" x14ac:dyDescent="0.15">
      <c r="B143" s="29" t="s">
        <v>3</v>
      </c>
      <c r="C143" s="30"/>
      <c r="D143" s="12"/>
      <c r="E143" s="30"/>
      <c r="F143" s="12"/>
      <c r="G143" s="26">
        <f t="shared" si="29"/>
        <v>0</v>
      </c>
      <c r="J143" s="29" t="s">
        <v>3</v>
      </c>
      <c r="K143" s="30"/>
      <c r="L143" s="12"/>
      <c r="M143" s="30"/>
      <c r="N143" s="12"/>
      <c r="O143" s="26">
        <f t="shared" si="31"/>
        <v>0</v>
      </c>
      <c r="R143" s="29" t="s">
        <v>3</v>
      </c>
      <c r="S143" s="30"/>
      <c r="T143" s="12"/>
      <c r="U143" s="30"/>
      <c r="V143" s="12"/>
      <c r="W143" s="47">
        <f t="shared" si="32"/>
        <v>0</v>
      </c>
    </row>
    <row r="144" spans="1:23" x14ac:dyDescent="0.15">
      <c r="B144" s="29" t="s">
        <v>3</v>
      </c>
      <c r="C144" s="15"/>
      <c r="D144" s="15"/>
      <c r="E144" s="15"/>
      <c r="F144" s="15"/>
      <c r="G144" s="26">
        <f t="shared" si="29"/>
        <v>0</v>
      </c>
      <c r="J144" s="29" t="s">
        <v>3</v>
      </c>
      <c r="K144" s="15"/>
      <c r="L144" s="15"/>
      <c r="M144" s="15"/>
      <c r="N144" s="15"/>
      <c r="O144" s="26">
        <f t="shared" si="31"/>
        <v>0</v>
      </c>
      <c r="R144" s="29" t="s">
        <v>3</v>
      </c>
      <c r="S144" s="15"/>
      <c r="T144" s="15"/>
      <c r="U144" s="15"/>
      <c r="V144" s="15"/>
      <c r="W144" s="47">
        <f t="shared" si="32"/>
        <v>0</v>
      </c>
    </row>
    <row r="145" spans="2:24" x14ac:dyDescent="0.15">
      <c r="B145" s="29" t="s">
        <v>3</v>
      </c>
      <c r="C145" s="15"/>
      <c r="D145" s="15"/>
      <c r="E145" s="15"/>
      <c r="F145" s="15"/>
      <c r="G145" s="26">
        <f t="shared" si="29"/>
        <v>0</v>
      </c>
      <c r="J145" s="29" t="s">
        <v>3</v>
      </c>
      <c r="K145" s="15"/>
      <c r="L145" s="15"/>
      <c r="M145" s="15"/>
      <c r="N145" s="15"/>
      <c r="O145" s="26">
        <f t="shared" si="31"/>
        <v>0</v>
      </c>
      <c r="R145" s="29" t="s">
        <v>3</v>
      </c>
      <c r="S145" s="15"/>
      <c r="T145" s="15"/>
      <c r="U145" s="15"/>
      <c r="V145" s="15"/>
      <c r="W145" s="47">
        <f t="shared" si="32"/>
        <v>0</v>
      </c>
    </row>
    <row r="146" spans="2:24" x14ac:dyDescent="0.15">
      <c r="B146" s="29" t="s">
        <v>3</v>
      </c>
      <c r="C146" s="15"/>
      <c r="D146" s="15"/>
      <c r="E146" s="15"/>
      <c r="F146" s="15"/>
      <c r="G146" s="26">
        <f t="shared" si="29"/>
        <v>0</v>
      </c>
      <c r="J146" s="29" t="s">
        <v>3</v>
      </c>
      <c r="K146" s="15"/>
      <c r="L146" s="15"/>
      <c r="M146" s="15"/>
      <c r="N146" s="15"/>
      <c r="O146" s="26">
        <f t="shared" si="31"/>
        <v>0</v>
      </c>
      <c r="R146" s="29" t="s">
        <v>3</v>
      </c>
      <c r="S146" s="15"/>
      <c r="T146" s="15"/>
      <c r="U146" s="15"/>
      <c r="V146" s="15"/>
      <c r="W146" s="47">
        <f t="shared" si="32"/>
        <v>0</v>
      </c>
    </row>
    <row r="147" spans="2:24" ht="14.25" thickBot="1" x14ac:dyDescent="0.2">
      <c r="B147" s="28" t="s">
        <v>3</v>
      </c>
      <c r="C147" s="27"/>
      <c r="D147" s="27"/>
      <c r="E147" s="27"/>
      <c r="F147" s="27"/>
      <c r="G147" s="26">
        <f t="shared" si="29"/>
        <v>0</v>
      </c>
      <c r="J147" s="28" t="s">
        <v>3</v>
      </c>
      <c r="K147" s="27"/>
      <c r="L147" s="27"/>
      <c r="M147" s="27"/>
      <c r="N147" s="27"/>
      <c r="O147" s="26">
        <f t="shared" si="31"/>
        <v>0</v>
      </c>
      <c r="R147" s="28" t="s">
        <v>3</v>
      </c>
      <c r="S147" s="27"/>
      <c r="T147" s="27"/>
      <c r="U147" s="27"/>
      <c r="V147" s="27"/>
      <c r="W147" s="47">
        <f t="shared" si="32"/>
        <v>0</v>
      </c>
    </row>
    <row r="148" spans="2:24" ht="14.25" thickBot="1" x14ac:dyDescent="0.2">
      <c r="B148" s="25" t="s">
        <v>2</v>
      </c>
      <c r="C148" s="24">
        <f>SUM(C137:C147)</f>
        <v>7</v>
      </c>
      <c r="D148" s="24">
        <f>SUM(D137:D147)</f>
        <v>4</v>
      </c>
      <c r="E148" s="24">
        <f>SUM(E137:E147)</f>
        <v>8</v>
      </c>
      <c r="F148" s="24">
        <f>SUM(F137:F147)</f>
        <v>1</v>
      </c>
      <c r="G148" s="23">
        <f>SUM(G137:G147)</f>
        <v>20</v>
      </c>
      <c r="J148" s="25" t="s">
        <v>2</v>
      </c>
      <c r="K148" s="24">
        <f>SUM(K137:K147)</f>
        <v>128</v>
      </c>
      <c r="L148" s="24">
        <f>SUM(L137:L147)</f>
        <v>128</v>
      </c>
      <c r="M148" s="24">
        <f>SUM(M137:M147)</f>
        <v>106</v>
      </c>
      <c r="N148" s="24">
        <f>SUM(N137:N147)</f>
        <v>67</v>
      </c>
      <c r="O148" s="23">
        <f>SUM(O137:O147)</f>
        <v>429</v>
      </c>
      <c r="R148" s="25" t="s">
        <v>2</v>
      </c>
      <c r="S148" s="24">
        <f>SUM(S137:S147)</f>
        <v>785</v>
      </c>
      <c r="T148" s="24">
        <f>SUM(T137:T147)</f>
        <v>914</v>
      </c>
      <c r="U148" s="24">
        <f>SUM(U137:U147)</f>
        <v>314</v>
      </c>
      <c r="V148" s="24">
        <f>SUM(V137:V147)</f>
        <v>318</v>
      </c>
      <c r="W148" s="23">
        <f>SUM(W137:W147)</f>
        <v>2331</v>
      </c>
    </row>
    <row r="149" spans="2:24" x14ac:dyDescent="0.15">
      <c r="B149" s="18"/>
      <c r="C149" s="22"/>
      <c r="D149" s="20"/>
      <c r="E149" s="21"/>
      <c r="F149" s="20"/>
      <c r="G149" s="14">
        <f t="shared" ref="G149:G174" si="33">SUM(C149:F149)</f>
        <v>0</v>
      </c>
      <c r="J149" s="58" t="s">
        <v>136</v>
      </c>
      <c r="K149" s="65">
        <v>25</v>
      </c>
      <c r="L149" s="66">
        <v>20</v>
      </c>
      <c r="M149" s="67">
        <v>25</v>
      </c>
      <c r="N149" s="66"/>
      <c r="O149" s="60">
        <f t="shared" ref="O149:O164" si="34">SUM(K149:N149)</f>
        <v>70</v>
      </c>
      <c r="P149" s="111">
        <v>46196</v>
      </c>
      <c r="R149" s="58" t="s">
        <v>137</v>
      </c>
      <c r="S149" s="65">
        <v>84</v>
      </c>
      <c r="T149" s="66">
        <v>84</v>
      </c>
      <c r="U149" s="67">
        <v>84</v>
      </c>
      <c r="V149" s="66">
        <v>42</v>
      </c>
      <c r="W149" s="60">
        <f>SUM(S149:V149)</f>
        <v>294</v>
      </c>
      <c r="X149" s="114">
        <v>46193</v>
      </c>
    </row>
    <row r="150" spans="2:24" x14ac:dyDescent="0.15">
      <c r="B150" s="18"/>
      <c r="C150" s="17"/>
      <c r="D150" s="15"/>
      <c r="E150" s="16"/>
      <c r="F150" s="15"/>
      <c r="G150" s="14">
        <f t="shared" si="33"/>
        <v>0</v>
      </c>
      <c r="J150" s="18" t="s">
        <v>138</v>
      </c>
      <c r="K150" s="17">
        <v>7</v>
      </c>
      <c r="L150" s="15">
        <v>8</v>
      </c>
      <c r="M150" s="16">
        <v>1</v>
      </c>
      <c r="N150" s="15"/>
      <c r="O150" s="14">
        <f t="shared" si="34"/>
        <v>16</v>
      </c>
      <c r="P150" s="83">
        <v>46190</v>
      </c>
      <c r="R150" s="12"/>
      <c r="S150" s="17"/>
      <c r="T150" s="15"/>
      <c r="U150" s="16"/>
      <c r="V150" s="15"/>
      <c r="W150" s="14">
        <f t="shared" ref="W150:W172" si="35">SUM(S150:U150)</f>
        <v>0</v>
      </c>
    </row>
    <row r="151" spans="2:24" x14ac:dyDescent="0.15">
      <c r="B151" s="18"/>
      <c r="C151" s="17"/>
      <c r="D151" s="15"/>
      <c r="E151" s="16"/>
      <c r="F151" s="15"/>
      <c r="G151" s="14">
        <f t="shared" si="33"/>
        <v>0</v>
      </c>
      <c r="J151" s="18" t="s">
        <v>141</v>
      </c>
      <c r="K151" s="17">
        <v>5</v>
      </c>
      <c r="L151" s="15">
        <v>5</v>
      </c>
      <c r="M151" s="16">
        <v>4</v>
      </c>
      <c r="N151" s="15"/>
      <c r="O151" s="14">
        <f t="shared" si="34"/>
        <v>14</v>
      </c>
      <c r="P151" s="83">
        <v>46191</v>
      </c>
      <c r="R151" s="18"/>
      <c r="S151" s="17"/>
      <c r="T151" s="15"/>
      <c r="U151" s="16"/>
      <c r="V151" s="15"/>
      <c r="W151" s="14">
        <f t="shared" si="35"/>
        <v>0</v>
      </c>
    </row>
    <row r="152" spans="2:24" x14ac:dyDescent="0.15">
      <c r="B152" s="18"/>
      <c r="C152" s="17"/>
      <c r="D152" s="15"/>
      <c r="E152" s="16"/>
      <c r="F152" s="15"/>
      <c r="G152" s="14">
        <f t="shared" si="33"/>
        <v>0</v>
      </c>
      <c r="J152" s="18" t="s">
        <v>147</v>
      </c>
      <c r="K152" s="17">
        <v>6</v>
      </c>
      <c r="L152" s="15"/>
      <c r="M152" s="16"/>
      <c r="N152" s="15"/>
      <c r="O152" s="14">
        <f t="shared" si="34"/>
        <v>6</v>
      </c>
      <c r="P152" s="83">
        <v>46192</v>
      </c>
      <c r="R152" s="12"/>
      <c r="S152" s="17"/>
      <c r="T152" s="15"/>
      <c r="U152" s="16"/>
      <c r="V152" s="15"/>
      <c r="W152" s="14">
        <f t="shared" si="35"/>
        <v>0</v>
      </c>
    </row>
    <row r="153" spans="2:24" x14ac:dyDescent="0.15">
      <c r="B153" s="18"/>
      <c r="C153" s="11"/>
      <c r="D153" s="9"/>
      <c r="E153" s="10"/>
      <c r="F153" s="9"/>
      <c r="G153" s="14">
        <f t="shared" si="33"/>
        <v>0</v>
      </c>
      <c r="J153" s="55" t="s">
        <v>148</v>
      </c>
      <c r="K153" s="61"/>
      <c r="L153" s="62">
        <v>3</v>
      </c>
      <c r="M153" s="63">
        <v>3</v>
      </c>
      <c r="N153" s="62"/>
      <c r="O153" s="60">
        <f t="shared" si="34"/>
        <v>6</v>
      </c>
      <c r="P153" s="111">
        <v>46192</v>
      </c>
      <c r="R153" s="12"/>
      <c r="S153" s="11"/>
      <c r="T153" s="9"/>
      <c r="U153" s="10"/>
      <c r="V153" s="9"/>
      <c r="W153" s="14">
        <f t="shared" si="35"/>
        <v>0</v>
      </c>
    </row>
    <row r="154" spans="2:24" x14ac:dyDescent="0.15">
      <c r="B154" s="18"/>
      <c r="C154" s="17"/>
      <c r="D154" s="15"/>
      <c r="E154" s="16"/>
      <c r="F154" s="15"/>
      <c r="G154" s="14">
        <f t="shared" si="33"/>
        <v>0</v>
      </c>
      <c r="J154" s="58" t="s">
        <v>149</v>
      </c>
      <c r="K154" s="65">
        <v>20</v>
      </c>
      <c r="L154" s="66">
        <v>30</v>
      </c>
      <c r="M154" s="67">
        <v>15</v>
      </c>
      <c r="N154" s="66"/>
      <c r="O154" s="60">
        <f t="shared" si="34"/>
        <v>65</v>
      </c>
      <c r="P154" s="111">
        <v>46205</v>
      </c>
      <c r="R154" s="18"/>
      <c r="S154" s="17"/>
      <c r="T154" s="15"/>
      <c r="U154" s="16"/>
      <c r="V154" s="15"/>
      <c r="W154" s="14">
        <f t="shared" si="35"/>
        <v>0</v>
      </c>
    </row>
    <row r="155" spans="2:24" x14ac:dyDescent="0.15">
      <c r="B155" s="18"/>
      <c r="C155" s="17"/>
      <c r="D155" s="15"/>
      <c r="E155" s="16"/>
      <c r="F155" s="15"/>
      <c r="G155" s="14">
        <f t="shared" si="33"/>
        <v>0</v>
      </c>
      <c r="J155" s="18"/>
      <c r="K155" s="17"/>
      <c r="L155" s="15"/>
      <c r="M155" s="16"/>
      <c r="N155" s="15"/>
      <c r="O155" s="14">
        <f t="shared" si="34"/>
        <v>0</v>
      </c>
      <c r="R155" s="18"/>
      <c r="S155" s="17"/>
      <c r="T155" s="15"/>
      <c r="U155" s="16"/>
      <c r="V155" s="15"/>
      <c r="W155" s="14">
        <f t="shared" si="35"/>
        <v>0</v>
      </c>
    </row>
    <row r="156" spans="2:24" x14ac:dyDescent="0.15">
      <c r="B156" s="18"/>
      <c r="C156" s="17"/>
      <c r="D156" s="15"/>
      <c r="E156" s="16"/>
      <c r="F156" s="15"/>
      <c r="G156" s="14">
        <f t="shared" si="33"/>
        <v>0</v>
      </c>
      <c r="J156" s="12"/>
      <c r="K156" s="17"/>
      <c r="L156" s="15"/>
      <c r="M156" s="16"/>
      <c r="N156" s="15"/>
      <c r="O156" s="14">
        <f t="shared" si="34"/>
        <v>0</v>
      </c>
      <c r="R156" s="12"/>
      <c r="S156" s="17"/>
      <c r="T156" s="15"/>
      <c r="U156" s="16"/>
      <c r="V156" s="15"/>
      <c r="W156" s="14">
        <f t="shared" si="35"/>
        <v>0</v>
      </c>
    </row>
    <row r="157" spans="2:24" x14ac:dyDescent="0.15">
      <c r="B157" s="18"/>
      <c r="C157" s="17"/>
      <c r="D157" s="15"/>
      <c r="E157" s="16"/>
      <c r="F157" s="15"/>
      <c r="G157" s="14">
        <f t="shared" si="33"/>
        <v>0</v>
      </c>
      <c r="J157" s="18"/>
      <c r="K157" s="17"/>
      <c r="L157" s="15"/>
      <c r="M157" s="16"/>
      <c r="N157" s="15"/>
      <c r="O157" s="14">
        <f t="shared" si="34"/>
        <v>0</v>
      </c>
      <c r="R157" s="18"/>
      <c r="S157" s="17"/>
      <c r="T157" s="15"/>
      <c r="U157" s="16"/>
      <c r="V157" s="15"/>
      <c r="W157" s="14">
        <f t="shared" si="35"/>
        <v>0</v>
      </c>
    </row>
    <row r="158" spans="2:24" x14ac:dyDescent="0.15">
      <c r="B158" s="18"/>
      <c r="C158" s="17"/>
      <c r="D158" s="15"/>
      <c r="E158" s="16"/>
      <c r="F158" s="15"/>
      <c r="G158" s="14">
        <f t="shared" si="33"/>
        <v>0</v>
      </c>
      <c r="J158" s="12"/>
      <c r="K158" s="17"/>
      <c r="L158" s="15"/>
      <c r="M158" s="16"/>
      <c r="N158" s="15"/>
      <c r="O158" s="14">
        <f t="shared" si="34"/>
        <v>0</v>
      </c>
      <c r="R158" s="12"/>
      <c r="S158" s="17"/>
      <c r="T158" s="15"/>
      <c r="U158" s="16"/>
      <c r="V158" s="15"/>
      <c r="W158" s="14">
        <f t="shared" si="35"/>
        <v>0</v>
      </c>
    </row>
    <row r="159" spans="2:24" x14ac:dyDescent="0.15">
      <c r="B159" s="12"/>
      <c r="C159" s="17"/>
      <c r="D159" s="15"/>
      <c r="E159" s="16"/>
      <c r="F159" s="15"/>
      <c r="G159" s="14">
        <f t="shared" si="33"/>
        <v>0</v>
      </c>
      <c r="J159" s="12"/>
      <c r="K159" s="17"/>
      <c r="L159" s="15"/>
      <c r="M159" s="16"/>
      <c r="N159" s="15"/>
      <c r="O159" s="14">
        <f t="shared" si="34"/>
        <v>0</v>
      </c>
      <c r="R159" s="12"/>
      <c r="S159" s="17"/>
      <c r="T159" s="15"/>
      <c r="U159" s="16"/>
      <c r="V159" s="15"/>
      <c r="W159" s="14">
        <f t="shared" si="35"/>
        <v>0</v>
      </c>
    </row>
    <row r="160" spans="2:24" x14ac:dyDescent="0.15">
      <c r="B160" s="18"/>
      <c r="C160" s="17"/>
      <c r="D160" s="15"/>
      <c r="E160" s="16"/>
      <c r="F160" s="15"/>
      <c r="G160" s="14">
        <f t="shared" si="33"/>
        <v>0</v>
      </c>
      <c r="J160" s="18"/>
      <c r="K160" s="17"/>
      <c r="L160" s="15"/>
      <c r="M160" s="16"/>
      <c r="N160" s="15"/>
      <c r="O160" s="14">
        <f t="shared" si="34"/>
        <v>0</v>
      </c>
      <c r="R160" s="18"/>
      <c r="S160" s="17"/>
      <c r="T160" s="15"/>
      <c r="U160" s="16"/>
      <c r="V160" s="15"/>
      <c r="W160" s="14">
        <f t="shared" si="35"/>
        <v>0</v>
      </c>
    </row>
    <row r="161" spans="2:23" x14ac:dyDescent="0.15">
      <c r="B161" s="18"/>
      <c r="C161" s="17"/>
      <c r="D161" s="15"/>
      <c r="E161" s="16"/>
      <c r="F161" s="15"/>
      <c r="G161" s="14">
        <f t="shared" si="33"/>
        <v>0</v>
      </c>
      <c r="J161" s="18"/>
      <c r="K161" s="17"/>
      <c r="L161" s="15"/>
      <c r="M161" s="16"/>
      <c r="N161" s="15"/>
      <c r="O161" s="14">
        <f t="shared" si="34"/>
        <v>0</v>
      </c>
      <c r="R161" s="18"/>
      <c r="S161" s="17"/>
      <c r="T161" s="15"/>
      <c r="U161" s="16"/>
      <c r="V161" s="15"/>
      <c r="W161" s="14">
        <f t="shared" si="35"/>
        <v>0</v>
      </c>
    </row>
    <row r="162" spans="2:23" x14ac:dyDescent="0.15">
      <c r="B162" s="12"/>
      <c r="C162" s="17"/>
      <c r="D162" s="15"/>
      <c r="E162" s="16"/>
      <c r="F162" s="15"/>
      <c r="G162" s="14">
        <f t="shared" si="33"/>
        <v>0</v>
      </c>
      <c r="J162" s="12"/>
      <c r="K162" s="17"/>
      <c r="L162" s="15"/>
      <c r="M162" s="16"/>
      <c r="N162" s="15"/>
      <c r="O162" s="14">
        <f t="shared" si="34"/>
        <v>0</v>
      </c>
      <c r="R162" s="12"/>
      <c r="S162" s="17"/>
      <c r="T162" s="15"/>
      <c r="U162" s="16"/>
      <c r="V162" s="15"/>
      <c r="W162" s="14">
        <f t="shared" si="35"/>
        <v>0</v>
      </c>
    </row>
    <row r="163" spans="2:23" x14ac:dyDescent="0.15">
      <c r="B163" s="18"/>
      <c r="C163" s="17"/>
      <c r="D163" s="15"/>
      <c r="E163" s="16"/>
      <c r="F163" s="15"/>
      <c r="G163" s="14">
        <f t="shared" si="33"/>
        <v>0</v>
      </c>
      <c r="J163" s="12"/>
      <c r="K163" s="17"/>
      <c r="L163" s="15"/>
      <c r="M163" s="16"/>
      <c r="N163" s="15"/>
      <c r="O163" s="14">
        <f t="shared" si="34"/>
        <v>0</v>
      </c>
      <c r="R163" s="18"/>
      <c r="S163" s="17"/>
      <c r="T163" s="15"/>
      <c r="U163" s="16"/>
      <c r="V163" s="15"/>
      <c r="W163" s="14">
        <f t="shared" si="35"/>
        <v>0</v>
      </c>
    </row>
    <row r="164" spans="2:23" x14ac:dyDescent="0.15">
      <c r="B164" s="18"/>
      <c r="C164" s="17"/>
      <c r="D164" s="15"/>
      <c r="E164" s="16"/>
      <c r="F164" s="15"/>
      <c r="G164" s="14">
        <f t="shared" si="33"/>
        <v>0</v>
      </c>
      <c r="J164" s="12"/>
      <c r="K164" s="17"/>
      <c r="L164" s="15"/>
      <c r="M164" s="16"/>
      <c r="N164" s="15"/>
      <c r="O164" s="14">
        <f t="shared" si="34"/>
        <v>0</v>
      </c>
      <c r="R164" s="18"/>
      <c r="S164" s="17"/>
      <c r="T164" s="15"/>
      <c r="U164" s="16"/>
      <c r="V164" s="15"/>
      <c r="W164" s="14">
        <f t="shared" si="35"/>
        <v>0</v>
      </c>
    </row>
    <row r="165" spans="2:23" x14ac:dyDescent="0.15">
      <c r="B165" s="12"/>
      <c r="C165" s="17"/>
      <c r="D165" s="15"/>
      <c r="E165" s="16"/>
      <c r="F165" s="15"/>
      <c r="G165" s="14">
        <f t="shared" si="33"/>
        <v>0</v>
      </c>
      <c r="J165" s="12"/>
      <c r="K165" s="17"/>
      <c r="L165" s="15"/>
      <c r="M165" s="16"/>
      <c r="N165" s="15"/>
      <c r="O165" s="14">
        <f t="shared" ref="O165:O168" si="36">SUM(K165:N165)</f>
        <v>0</v>
      </c>
      <c r="R165" s="12"/>
      <c r="S165" s="17"/>
      <c r="T165" s="15"/>
      <c r="U165" s="16"/>
      <c r="V165" s="15"/>
      <c r="W165" s="14">
        <f t="shared" si="35"/>
        <v>0</v>
      </c>
    </row>
    <row r="166" spans="2:23" x14ac:dyDescent="0.15">
      <c r="B166" s="12"/>
      <c r="C166" s="17"/>
      <c r="D166" s="15"/>
      <c r="E166" s="16"/>
      <c r="F166" s="15"/>
      <c r="G166" s="14">
        <f t="shared" si="33"/>
        <v>0</v>
      </c>
      <c r="J166" s="12"/>
      <c r="K166" s="17"/>
      <c r="L166" s="15"/>
      <c r="M166" s="16"/>
      <c r="N166" s="15"/>
      <c r="O166" s="14">
        <f t="shared" si="36"/>
        <v>0</v>
      </c>
      <c r="R166" s="12"/>
      <c r="S166" s="17"/>
      <c r="T166" s="15"/>
      <c r="U166" s="16"/>
      <c r="V166" s="15"/>
      <c r="W166" s="14">
        <f t="shared" si="35"/>
        <v>0</v>
      </c>
    </row>
    <row r="167" spans="2:23" x14ac:dyDescent="0.15">
      <c r="B167" s="12"/>
      <c r="C167" s="17"/>
      <c r="D167" s="15"/>
      <c r="E167" s="16"/>
      <c r="F167" s="15"/>
      <c r="G167" s="14">
        <f t="shared" si="33"/>
        <v>0</v>
      </c>
      <c r="J167" s="12"/>
      <c r="K167" s="17"/>
      <c r="L167" s="15"/>
      <c r="M167" s="16"/>
      <c r="N167" s="15"/>
      <c r="O167" s="14">
        <f t="shared" si="36"/>
        <v>0</v>
      </c>
      <c r="R167" s="12"/>
      <c r="S167" s="17"/>
      <c r="T167" s="15"/>
      <c r="U167" s="16"/>
      <c r="V167" s="15"/>
      <c r="W167" s="14">
        <f t="shared" si="35"/>
        <v>0</v>
      </c>
    </row>
    <row r="168" spans="2:23" x14ac:dyDescent="0.15">
      <c r="B168" s="12"/>
      <c r="C168" s="17"/>
      <c r="D168" s="15"/>
      <c r="E168" s="16"/>
      <c r="F168" s="15"/>
      <c r="G168" s="14">
        <f t="shared" si="33"/>
        <v>0</v>
      </c>
      <c r="J168" s="12"/>
      <c r="K168" s="17"/>
      <c r="L168" s="15"/>
      <c r="M168" s="16"/>
      <c r="N168" s="15"/>
      <c r="O168" s="14">
        <f t="shared" si="36"/>
        <v>0</v>
      </c>
      <c r="R168" s="12"/>
      <c r="S168" s="17"/>
      <c r="T168" s="15"/>
      <c r="U168" s="16"/>
      <c r="V168" s="15"/>
      <c r="W168" s="14">
        <f t="shared" si="35"/>
        <v>0</v>
      </c>
    </row>
    <row r="169" spans="2:23" x14ac:dyDescent="0.15">
      <c r="B169" s="18"/>
      <c r="C169" s="17"/>
      <c r="D169" s="15"/>
      <c r="E169" s="16"/>
      <c r="F169" s="15"/>
      <c r="G169" s="14">
        <f t="shared" si="33"/>
        <v>0</v>
      </c>
      <c r="J169" s="18" t="s">
        <v>124</v>
      </c>
      <c r="K169" s="17"/>
      <c r="L169" s="15"/>
      <c r="M169" s="16"/>
      <c r="N169" s="15"/>
      <c r="O169" s="14">
        <f>SUM(K169:N169)</f>
        <v>0</v>
      </c>
      <c r="P169" s="95" t="s">
        <v>125</v>
      </c>
      <c r="R169" s="18"/>
      <c r="S169" s="17"/>
      <c r="T169" s="15"/>
      <c r="U169" s="16"/>
      <c r="V169" s="15"/>
      <c r="W169" s="14">
        <f t="shared" si="35"/>
        <v>0</v>
      </c>
    </row>
    <row r="170" spans="2:23" x14ac:dyDescent="0.15">
      <c r="B170" s="18"/>
      <c r="C170" s="17"/>
      <c r="D170" s="15"/>
      <c r="E170" s="16"/>
      <c r="F170" s="15"/>
      <c r="G170" s="14">
        <f t="shared" si="33"/>
        <v>0</v>
      </c>
      <c r="J170" s="55" t="s">
        <v>139</v>
      </c>
      <c r="K170" s="65">
        <v>20</v>
      </c>
      <c r="L170" s="66">
        <v>15</v>
      </c>
      <c r="M170" s="67">
        <v>10</v>
      </c>
      <c r="N170" s="66">
        <v>10</v>
      </c>
      <c r="O170" s="60">
        <f>SUM(K170:N170)</f>
        <v>55</v>
      </c>
      <c r="P170" s="68" t="s">
        <v>140</v>
      </c>
      <c r="R170" s="18"/>
      <c r="S170" s="17"/>
      <c r="T170" s="15"/>
      <c r="U170" s="16"/>
      <c r="V170" s="15"/>
      <c r="W170" s="14">
        <f t="shared" si="35"/>
        <v>0</v>
      </c>
    </row>
    <row r="171" spans="2:23" x14ac:dyDescent="0.15">
      <c r="B171" s="18"/>
      <c r="C171" s="17"/>
      <c r="D171" s="15"/>
      <c r="E171" s="16"/>
      <c r="F171" s="15"/>
      <c r="G171" s="14">
        <f t="shared" si="33"/>
        <v>0</v>
      </c>
      <c r="J171" s="57" t="s">
        <v>114</v>
      </c>
      <c r="K171" s="69">
        <v>0</v>
      </c>
      <c r="L171" s="70">
        <v>0</v>
      </c>
      <c r="M171" s="71">
        <v>0</v>
      </c>
      <c r="N171" s="70">
        <v>0</v>
      </c>
      <c r="O171" s="72">
        <f t="shared" ref="O171:O172" si="37">SUM(K171:N171)</f>
        <v>0</v>
      </c>
      <c r="P171" s="68"/>
      <c r="R171" s="18"/>
      <c r="S171" s="17"/>
      <c r="T171" s="15"/>
      <c r="U171" s="16"/>
      <c r="V171" s="15"/>
      <c r="W171" s="14">
        <f t="shared" si="35"/>
        <v>0</v>
      </c>
    </row>
    <row r="172" spans="2:23" ht="14.25" thickBot="1" x14ac:dyDescent="0.2">
      <c r="B172" s="12"/>
      <c r="C172" s="11"/>
      <c r="D172" s="9"/>
      <c r="E172" s="10"/>
      <c r="F172" s="9"/>
      <c r="G172" s="8">
        <f t="shared" si="33"/>
        <v>0</v>
      </c>
      <c r="J172" s="58" t="s">
        <v>113</v>
      </c>
      <c r="K172" s="65">
        <v>40</v>
      </c>
      <c r="L172" s="66">
        <v>30</v>
      </c>
      <c r="M172" s="67">
        <v>20</v>
      </c>
      <c r="N172" s="66">
        <v>20</v>
      </c>
      <c r="O172" s="60">
        <f t="shared" si="37"/>
        <v>110</v>
      </c>
      <c r="P172" s="68" t="s">
        <v>115</v>
      </c>
      <c r="R172" s="18"/>
      <c r="S172" s="17"/>
      <c r="T172" s="15"/>
      <c r="U172" s="16"/>
      <c r="V172" s="15"/>
      <c r="W172" s="92">
        <f t="shared" si="35"/>
        <v>0</v>
      </c>
    </row>
    <row r="173" spans="2:23" ht="14.25" thickBot="1" x14ac:dyDescent="0.2">
      <c r="B173" s="7" t="s">
        <v>1</v>
      </c>
      <c r="C173" s="6">
        <f>SUM(C149:C172)</f>
        <v>0</v>
      </c>
      <c r="D173" s="6">
        <f>SUM(D149:D172)</f>
        <v>0</v>
      </c>
      <c r="E173" s="6">
        <f>SUM(E149:E172)</f>
        <v>0</v>
      </c>
      <c r="F173" s="6">
        <f>SUM(F149:F172)</f>
        <v>0</v>
      </c>
      <c r="G173" s="5">
        <f t="shared" si="33"/>
        <v>0</v>
      </c>
      <c r="J173" s="7" t="s">
        <v>1</v>
      </c>
      <c r="K173" s="6">
        <f>SUM(K149:K172)</f>
        <v>123</v>
      </c>
      <c r="L173" s="6">
        <f>SUM(L149:L172)</f>
        <v>111</v>
      </c>
      <c r="M173" s="6">
        <f>SUM(M149:M172)</f>
        <v>78</v>
      </c>
      <c r="N173" s="6">
        <f>SUM(N149:N172)</f>
        <v>30</v>
      </c>
      <c r="O173" s="43">
        <f>SUM(K173:N173)</f>
        <v>342</v>
      </c>
      <c r="R173" s="7" t="s">
        <v>1</v>
      </c>
      <c r="S173" s="44">
        <f>SUM(S149:S172)</f>
        <v>84</v>
      </c>
      <c r="T173" s="44">
        <f>SUM(T149:T172)</f>
        <v>84</v>
      </c>
      <c r="U173" s="44">
        <f>SUM(U149:U172)</f>
        <v>84</v>
      </c>
      <c r="V173" s="44">
        <f>SUM(V149:V172)</f>
        <v>42</v>
      </c>
      <c r="W173" s="43">
        <f>SUM(S173:V173)</f>
        <v>294</v>
      </c>
    </row>
    <row r="174" spans="2:23" ht="14.25" thickBot="1" x14ac:dyDescent="0.2">
      <c r="B174" s="4" t="s">
        <v>0</v>
      </c>
      <c r="C174" s="3">
        <f>C148-C173</f>
        <v>7</v>
      </c>
      <c r="D174" s="3">
        <f>D148-D173</f>
        <v>4</v>
      </c>
      <c r="E174" s="3">
        <f>E148-E173</f>
        <v>8</v>
      </c>
      <c r="F174" s="3">
        <f>F148-F173</f>
        <v>1</v>
      </c>
      <c r="G174" s="2">
        <f t="shared" si="33"/>
        <v>20</v>
      </c>
      <c r="J174" s="4" t="s">
        <v>0</v>
      </c>
      <c r="K174" s="3">
        <f>K148-K173</f>
        <v>5</v>
      </c>
      <c r="L174" s="3">
        <f>L148-L173</f>
        <v>17</v>
      </c>
      <c r="M174" s="3">
        <f>M148-M173</f>
        <v>28</v>
      </c>
      <c r="N174" s="3">
        <f>N148-N173</f>
        <v>37</v>
      </c>
      <c r="O174" s="2">
        <f t="shared" ref="O174" si="38">SUM(K174:N174)</f>
        <v>87</v>
      </c>
      <c r="P174" s="93"/>
      <c r="R174" s="4" t="s">
        <v>0</v>
      </c>
      <c r="S174" s="3">
        <f>S148-S173</f>
        <v>701</v>
      </c>
      <c r="T174" s="3">
        <f>T148-T173</f>
        <v>830</v>
      </c>
      <c r="U174" s="3">
        <f>U148-U173</f>
        <v>230</v>
      </c>
      <c r="V174" s="3">
        <f>V148-V173</f>
        <v>276</v>
      </c>
      <c r="W174" s="42">
        <f>SUM(S174:V174)</f>
        <v>2037</v>
      </c>
    </row>
    <row r="177" spans="1:23" ht="18.75" x14ac:dyDescent="0.2">
      <c r="A177" s="41" t="s">
        <v>13</v>
      </c>
      <c r="C177" s="40"/>
      <c r="D177" s="40"/>
      <c r="E177" s="40"/>
      <c r="F177" s="40"/>
      <c r="G177" s="40"/>
      <c r="I177" s="41" t="s">
        <v>12</v>
      </c>
      <c r="K177" s="40"/>
      <c r="L177" s="40"/>
      <c r="M177" s="40"/>
      <c r="N177" s="40"/>
      <c r="O177" s="40"/>
      <c r="Q177" s="106" t="s">
        <v>120</v>
      </c>
      <c r="R177" s="107"/>
      <c r="S177" s="108"/>
      <c r="T177" s="108"/>
      <c r="U177" s="108"/>
      <c r="V177" s="108"/>
      <c r="W177" s="108"/>
    </row>
    <row r="178" spans="1:23" ht="19.5" thickBot="1" x14ac:dyDescent="0.25">
      <c r="A178" s="41"/>
      <c r="C178" s="40"/>
      <c r="D178" s="40"/>
      <c r="E178" s="40"/>
      <c r="F178" s="40"/>
      <c r="G178" s="40"/>
      <c r="I178" s="41"/>
      <c r="K178" s="56" t="s">
        <v>16</v>
      </c>
      <c r="L178" s="56" t="s">
        <v>17</v>
      </c>
      <c r="M178" s="56" t="s">
        <v>18</v>
      </c>
      <c r="N178" s="56" t="s">
        <v>19</v>
      </c>
      <c r="O178" s="40"/>
      <c r="Q178" s="41"/>
      <c r="S178" s="56" t="s">
        <v>16</v>
      </c>
      <c r="T178" s="56" t="s">
        <v>17</v>
      </c>
      <c r="U178" s="56" t="s">
        <v>18</v>
      </c>
      <c r="V178" s="56" t="s">
        <v>19</v>
      </c>
      <c r="W178" s="40"/>
    </row>
    <row r="179" spans="1:23" ht="14.25" thickBot="1" x14ac:dyDescent="0.2">
      <c r="B179" s="39"/>
      <c r="C179" s="115" t="s">
        <v>10</v>
      </c>
      <c r="D179" s="116"/>
      <c r="E179" s="116"/>
      <c r="F179" s="117"/>
      <c r="G179" s="38"/>
      <c r="J179" s="39"/>
      <c r="K179" s="115" t="s">
        <v>10</v>
      </c>
      <c r="L179" s="116"/>
      <c r="M179" s="116"/>
      <c r="N179" s="117"/>
      <c r="O179" s="38"/>
      <c r="R179" s="39"/>
      <c r="S179" s="115" t="s">
        <v>10</v>
      </c>
      <c r="T179" s="116"/>
      <c r="U179" s="116"/>
      <c r="V179" s="117"/>
      <c r="W179" s="38"/>
    </row>
    <row r="180" spans="1:23" ht="14.25" thickBot="1" x14ac:dyDescent="0.2">
      <c r="B180" s="37"/>
      <c r="C180" s="36" t="s">
        <v>9</v>
      </c>
      <c r="D180" s="34" t="s">
        <v>8</v>
      </c>
      <c r="E180" s="35" t="s">
        <v>7</v>
      </c>
      <c r="F180" s="34" t="s">
        <v>6</v>
      </c>
      <c r="G180" s="34" t="s">
        <v>5</v>
      </c>
      <c r="J180" s="37"/>
      <c r="K180" s="36" t="s">
        <v>9</v>
      </c>
      <c r="L180" s="34" t="s">
        <v>8</v>
      </c>
      <c r="M180" s="35" t="s">
        <v>7</v>
      </c>
      <c r="N180" s="34" t="s">
        <v>6</v>
      </c>
      <c r="O180" s="34" t="s">
        <v>5</v>
      </c>
      <c r="R180" s="37"/>
      <c r="S180" s="36" t="s">
        <v>9</v>
      </c>
      <c r="T180" s="34" t="s">
        <v>8</v>
      </c>
      <c r="U180" s="35" t="s">
        <v>7</v>
      </c>
      <c r="V180" s="34" t="s">
        <v>6</v>
      </c>
      <c r="W180" s="34" t="s">
        <v>5</v>
      </c>
    </row>
    <row r="181" spans="1:23" x14ac:dyDescent="0.15">
      <c r="B181" s="32" t="s">
        <v>4</v>
      </c>
      <c r="C181" s="31">
        <f>C174</f>
        <v>7</v>
      </c>
      <c r="D181" s="31">
        <f>D174</f>
        <v>4</v>
      </c>
      <c r="E181" s="31">
        <f>E174</f>
        <v>8</v>
      </c>
      <c r="F181" s="31">
        <f>F174</f>
        <v>1</v>
      </c>
      <c r="G181" s="26">
        <f t="shared" ref="G181:G191" si="39">SUM(C181:F181)</f>
        <v>20</v>
      </c>
      <c r="J181" s="32" t="s">
        <v>4</v>
      </c>
      <c r="K181" s="31">
        <f>K174</f>
        <v>5</v>
      </c>
      <c r="L181" s="31">
        <f t="shared" ref="L181:N181" si="40">L174</f>
        <v>17</v>
      </c>
      <c r="M181" s="31">
        <f t="shared" si="40"/>
        <v>28</v>
      </c>
      <c r="N181" s="31">
        <f t="shared" si="40"/>
        <v>37</v>
      </c>
      <c r="O181" s="26">
        <f t="shared" ref="O181:O191" si="41">SUM(K181:N181)</f>
        <v>87</v>
      </c>
      <c r="R181" s="32" t="s">
        <v>4</v>
      </c>
      <c r="S181" s="31">
        <f>S174</f>
        <v>701</v>
      </c>
      <c r="T181" s="31">
        <f>T174</f>
        <v>830</v>
      </c>
      <c r="U181" s="31">
        <f>U174</f>
        <v>230</v>
      </c>
      <c r="V181" s="31">
        <f>V174</f>
        <v>276</v>
      </c>
      <c r="W181" s="47">
        <f>SUM(S181:V181)</f>
        <v>2037</v>
      </c>
    </row>
    <row r="182" spans="1:23" x14ac:dyDescent="0.15">
      <c r="B182" s="29" t="s">
        <v>3</v>
      </c>
      <c r="C182" s="12"/>
      <c r="D182" s="12"/>
      <c r="E182" s="12"/>
      <c r="F182" s="12"/>
      <c r="G182" s="26">
        <f t="shared" si="39"/>
        <v>0</v>
      </c>
      <c r="J182" s="29" t="s">
        <v>3</v>
      </c>
      <c r="K182" s="12"/>
      <c r="L182" s="12"/>
      <c r="M182" s="12"/>
      <c r="N182" s="12"/>
      <c r="O182" s="26">
        <f t="shared" si="41"/>
        <v>0</v>
      </c>
      <c r="R182" s="29" t="s">
        <v>3</v>
      </c>
      <c r="S182" s="12"/>
      <c r="T182" s="12"/>
      <c r="U182" s="12"/>
      <c r="V182" s="12"/>
      <c r="W182" s="47">
        <f t="shared" ref="W182:W191" si="42">SUM(S182:U182)</f>
        <v>0</v>
      </c>
    </row>
    <row r="183" spans="1:23" x14ac:dyDescent="0.15">
      <c r="B183" s="29" t="s">
        <v>3</v>
      </c>
      <c r="C183" s="12"/>
      <c r="D183" s="12"/>
      <c r="E183" s="12"/>
      <c r="F183" s="12"/>
      <c r="G183" s="26">
        <f t="shared" si="39"/>
        <v>0</v>
      </c>
      <c r="J183" s="29" t="s">
        <v>3</v>
      </c>
      <c r="K183" s="12"/>
      <c r="L183" s="12"/>
      <c r="M183" s="12"/>
      <c r="N183" s="12"/>
      <c r="O183" s="26">
        <f t="shared" si="41"/>
        <v>0</v>
      </c>
      <c r="P183" s="19"/>
      <c r="R183" s="29" t="s">
        <v>3</v>
      </c>
      <c r="S183" s="12"/>
      <c r="T183" s="12"/>
      <c r="U183" s="12"/>
      <c r="V183" s="12"/>
      <c r="W183" s="47">
        <f t="shared" si="42"/>
        <v>0</v>
      </c>
    </row>
    <row r="184" spans="1:23" x14ac:dyDescent="0.15">
      <c r="B184" s="29" t="s">
        <v>3</v>
      </c>
      <c r="C184" s="12"/>
      <c r="D184" s="12"/>
      <c r="E184" s="12"/>
      <c r="F184" s="12"/>
      <c r="G184" s="26">
        <f t="shared" si="39"/>
        <v>0</v>
      </c>
      <c r="J184" s="29" t="s">
        <v>3</v>
      </c>
      <c r="K184" s="12"/>
      <c r="L184" s="12"/>
      <c r="M184" s="12"/>
      <c r="N184" s="12"/>
      <c r="O184" s="26">
        <f t="shared" si="41"/>
        <v>0</v>
      </c>
      <c r="R184" s="29" t="s">
        <v>3</v>
      </c>
      <c r="S184" s="12"/>
      <c r="T184" s="12"/>
      <c r="U184" s="12"/>
      <c r="V184" s="12"/>
      <c r="W184" s="47">
        <f t="shared" si="42"/>
        <v>0</v>
      </c>
    </row>
    <row r="185" spans="1:23" x14ac:dyDescent="0.15">
      <c r="B185" s="29" t="s">
        <v>3</v>
      </c>
      <c r="C185" s="12"/>
      <c r="D185" s="12"/>
      <c r="E185" s="12"/>
      <c r="F185" s="12"/>
      <c r="G185" s="26">
        <f t="shared" si="39"/>
        <v>0</v>
      </c>
      <c r="J185" s="29" t="s">
        <v>3</v>
      </c>
      <c r="K185" s="12"/>
      <c r="L185" s="12"/>
      <c r="M185" s="12"/>
      <c r="N185" s="12"/>
      <c r="O185" s="26">
        <f t="shared" si="41"/>
        <v>0</v>
      </c>
      <c r="R185" s="29" t="s">
        <v>3</v>
      </c>
      <c r="S185" s="12"/>
      <c r="T185" s="12"/>
      <c r="U185" s="12"/>
      <c r="V185" s="12"/>
      <c r="W185" s="47">
        <f t="shared" si="42"/>
        <v>0</v>
      </c>
    </row>
    <row r="186" spans="1:23" x14ac:dyDescent="0.15">
      <c r="B186" s="29" t="s">
        <v>3</v>
      </c>
      <c r="C186" s="12"/>
      <c r="D186" s="12"/>
      <c r="E186" s="12"/>
      <c r="F186" s="12"/>
      <c r="G186" s="26">
        <f t="shared" si="39"/>
        <v>0</v>
      </c>
      <c r="J186" s="29" t="s">
        <v>3</v>
      </c>
      <c r="K186" s="12"/>
      <c r="L186" s="12"/>
      <c r="M186" s="12"/>
      <c r="N186" s="12"/>
      <c r="O186" s="26">
        <f t="shared" si="41"/>
        <v>0</v>
      </c>
      <c r="R186" s="29" t="s">
        <v>3</v>
      </c>
      <c r="S186" s="12"/>
      <c r="T186" s="12"/>
      <c r="U186" s="12"/>
      <c r="V186" s="12"/>
      <c r="W186" s="47">
        <f t="shared" si="42"/>
        <v>0</v>
      </c>
    </row>
    <row r="187" spans="1:23" x14ac:dyDescent="0.15">
      <c r="B187" s="29" t="s">
        <v>3</v>
      </c>
      <c r="C187" s="30"/>
      <c r="D187" s="12"/>
      <c r="E187" s="30"/>
      <c r="F187" s="12"/>
      <c r="G187" s="26">
        <f t="shared" si="39"/>
        <v>0</v>
      </c>
      <c r="J187" s="29" t="s">
        <v>3</v>
      </c>
      <c r="K187" s="30"/>
      <c r="L187" s="12"/>
      <c r="M187" s="30"/>
      <c r="N187" s="12"/>
      <c r="O187" s="26">
        <f t="shared" si="41"/>
        <v>0</v>
      </c>
      <c r="R187" s="29" t="s">
        <v>3</v>
      </c>
      <c r="S187" s="30"/>
      <c r="T187" s="12"/>
      <c r="U187" s="30"/>
      <c r="V187" s="12"/>
      <c r="W187" s="47">
        <f t="shared" si="42"/>
        <v>0</v>
      </c>
    </row>
    <row r="188" spans="1:23" x14ac:dyDescent="0.15">
      <c r="B188" s="29" t="s">
        <v>3</v>
      </c>
      <c r="C188" s="15"/>
      <c r="D188" s="15"/>
      <c r="E188" s="15"/>
      <c r="F188" s="15"/>
      <c r="G188" s="26">
        <f t="shared" si="39"/>
        <v>0</v>
      </c>
      <c r="J188" s="29" t="s">
        <v>3</v>
      </c>
      <c r="K188" s="15"/>
      <c r="L188" s="15"/>
      <c r="M188" s="15"/>
      <c r="N188" s="15"/>
      <c r="O188" s="26">
        <f t="shared" si="41"/>
        <v>0</v>
      </c>
      <c r="R188" s="29" t="s">
        <v>3</v>
      </c>
      <c r="S188" s="15"/>
      <c r="T188" s="15"/>
      <c r="U188" s="15"/>
      <c r="V188" s="15"/>
      <c r="W188" s="47">
        <f t="shared" si="42"/>
        <v>0</v>
      </c>
    </row>
    <row r="189" spans="1:23" x14ac:dyDescent="0.15">
      <c r="B189" s="29" t="s">
        <v>3</v>
      </c>
      <c r="C189" s="15"/>
      <c r="D189" s="15"/>
      <c r="E189" s="15"/>
      <c r="F189" s="15"/>
      <c r="G189" s="26">
        <f t="shared" si="39"/>
        <v>0</v>
      </c>
      <c r="J189" s="29" t="s">
        <v>3</v>
      </c>
      <c r="K189" s="15"/>
      <c r="L189" s="15"/>
      <c r="M189" s="15"/>
      <c r="N189" s="15"/>
      <c r="O189" s="26">
        <f t="shared" si="41"/>
        <v>0</v>
      </c>
      <c r="R189" s="29" t="s">
        <v>3</v>
      </c>
      <c r="S189" s="15"/>
      <c r="T189" s="15"/>
      <c r="U189" s="15"/>
      <c r="V189" s="15"/>
      <c r="W189" s="47">
        <f t="shared" si="42"/>
        <v>0</v>
      </c>
    </row>
    <row r="190" spans="1:23" x14ac:dyDescent="0.15">
      <c r="B190" s="29" t="s">
        <v>3</v>
      </c>
      <c r="C190" s="15"/>
      <c r="D190" s="15"/>
      <c r="E190" s="15"/>
      <c r="F190" s="15"/>
      <c r="G190" s="26">
        <f t="shared" si="39"/>
        <v>0</v>
      </c>
      <c r="J190" s="29" t="s">
        <v>3</v>
      </c>
      <c r="K190" s="15"/>
      <c r="L190" s="15"/>
      <c r="M190" s="15"/>
      <c r="N190" s="15"/>
      <c r="O190" s="26">
        <f t="shared" si="41"/>
        <v>0</v>
      </c>
      <c r="R190" s="29" t="s">
        <v>3</v>
      </c>
      <c r="S190" s="15"/>
      <c r="T190" s="15"/>
      <c r="U190" s="15"/>
      <c r="V190" s="15"/>
      <c r="W190" s="47">
        <f t="shared" si="42"/>
        <v>0</v>
      </c>
    </row>
    <row r="191" spans="1:23" ht="14.25" thickBot="1" x14ac:dyDescent="0.2">
      <c r="B191" s="28" t="s">
        <v>3</v>
      </c>
      <c r="C191" s="27"/>
      <c r="D191" s="27"/>
      <c r="E191" s="27"/>
      <c r="F191" s="27"/>
      <c r="G191" s="26">
        <f t="shared" si="39"/>
        <v>0</v>
      </c>
      <c r="J191" s="28" t="s">
        <v>3</v>
      </c>
      <c r="K191" s="27"/>
      <c r="L191" s="27"/>
      <c r="M191" s="27"/>
      <c r="N191" s="27"/>
      <c r="O191" s="26">
        <f t="shared" si="41"/>
        <v>0</v>
      </c>
      <c r="R191" s="28" t="s">
        <v>3</v>
      </c>
      <c r="S191" s="27"/>
      <c r="T191" s="27"/>
      <c r="U191" s="27"/>
      <c r="V191" s="27"/>
      <c r="W191" s="47">
        <f t="shared" si="42"/>
        <v>0</v>
      </c>
    </row>
    <row r="192" spans="1:23" ht="14.25" thickBot="1" x14ac:dyDescent="0.2">
      <c r="B192" s="25" t="s">
        <v>2</v>
      </c>
      <c r="C192" s="24">
        <f>SUM(C181:C191)</f>
        <v>7</v>
      </c>
      <c r="D192" s="24">
        <f>SUM(D181:D191)</f>
        <v>4</v>
      </c>
      <c r="E192" s="24">
        <f>SUM(E181:E191)</f>
        <v>8</v>
      </c>
      <c r="F192" s="24">
        <f>SUM(F181:F191)</f>
        <v>1</v>
      </c>
      <c r="G192" s="23">
        <f>SUM(G181:G191)</f>
        <v>20</v>
      </c>
      <c r="J192" s="25" t="s">
        <v>2</v>
      </c>
      <c r="K192" s="24">
        <f>SUM(K181:K191)</f>
        <v>5</v>
      </c>
      <c r="L192" s="24">
        <f>SUM(L181:L191)</f>
        <v>17</v>
      </c>
      <c r="M192" s="24">
        <f>SUM(M181:M191)</f>
        <v>28</v>
      </c>
      <c r="N192" s="24">
        <f>SUM(N181:N191)</f>
        <v>37</v>
      </c>
      <c r="O192" s="23">
        <f>SUM(O181:O191)</f>
        <v>87</v>
      </c>
      <c r="R192" s="25" t="s">
        <v>2</v>
      </c>
      <c r="S192" s="24">
        <f>SUM(S181:S191)</f>
        <v>701</v>
      </c>
      <c r="T192" s="24">
        <f>SUM(T181:T191)</f>
        <v>830</v>
      </c>
      <c r="U192" s="24">
        <f>SUM(U181:U191)</f>
        <v>230</v>
      </c>
      <c r="V192" s="24">
        <f>SUM(V181:V191)</f>
        <v>276</v>
      </c>
      <c r="W192" s="23">
        <f>SUM(W181:W191)</f>
        <v>2037</v>
      </c>
    </row>
    <row r="193" spans="2:23" x14ac:dyDescent="0.15">
      <c r="B193" s="18"/>
      <c r="C193" s="22"/>
      <c r="D193" s="20"/>
      <c r="E193" s="21"/>
      <c r="F193" s="20"/>
      <c r="G193" s="14">
        <f t="shared" ref="G193:G218" si="43">SUM(C193:F193)</f>
        <v>0</v>
      </c>
      <c r="J193" s="12"/>
      <c r="K193" s="17"/>
      <c r="L193" s="15"/>
      <c r="M193" s="16"/>
      <c r="N193" s="15"/>
      <c r="O193" s="14">
        <f t="shared" ref="O193:O208" si="44">SUM(K193:N193)</f>
        <v>0</v>
      </c>
      <c r="R193" s="12"/>
      <c r="S193" s="17"/>
      <c r="T193" s="15"/>
      <c r="U193" s="16"/>
      <c r="V193" s="15"/>
      <c r="W193" s="14">
        <f t="shared" ref="W193:W216" si="45">SUM(S193:U193)</f>
        <v>0</v>
      </c>
    </row>
    <row r="194" spans="2:23" x14ac:dyDescent="0.15">
      <c r="B194" s="18"/>
      <c r="C194" s="17"/>
      <c r="D194" s="15"/>
      <c r="E194" s="16"/>
      <c r="F194" s="15"/>
      <c r="G194" s="14">
        <f t="shared" si="43"/>
        <v>0</v>
      </c>
      <c r="J194" s="12"/>
      <c r="K194" s="17"/>
      <c r="L194" s="15"/>
      <c r="M194" s="16"/>
      <c r="N194" s="15"/>
      <c r="O194" s="14">
        <f t="shared" si="44"/>
        <v>0</v>
      </c>
      <c r="R194" s="12"/>
      <c r="S194" s="17"/>
      <c r="T194" s="15"/>
      <c r="U194" s="16"/>
      <c r="V194" s="15"/>
      <c r="W194" s="14">
        <f t="shared" si="45"/>
        <v>0</v>
      </c>
    </row>
    <row r="195" spans="2:23" x14ac:dyDescent="0.15">
      <c r="B195" s="18"/>
      <c r="C195" s="17"/>
      <c r="D195" s="15"/>
      <c r="E195" s="16"/>
      <c r="F195" s="15"/>
      <c r="G195" s="14">
        <f t="shared" si="43"/>
        <v>0</v>
      </c>
      <c r="J195" s="12"/>
      <c r="K195" s="17"/>
      <c r="L195" s="15"/>
      <c r="M195" s="16"/>
      <c r="N195" s="15"/>
      <c r="O195" s="14">
        <f t="shared" si="44"/>
        <v>0</v>
      </c>
      <c r="R195" s="18"/>
      <c r="S195" s="17"/>
      <c r="T195" s="15"/>
      <c r="U195" s="16"/>
      <c r="V195" s="15"/>
      <c r="W195" s="14">
        <f t="shared" si="45"/>
        <v>0</v>
      </c>
    </row>
    <row r="196" spans="2:23" x14ac:dyDescent="0.15">
      <c r="B196" s="18"/>
      <c r="C196" s="17"/>
      <c r="D196" s="15"/>
      <c r="E196" s="16"/>
      <c r="F196" s="15"/>
      <c r="G196" s="14">
        <f t="shared" si="43"/>
        <v>0</v>
      </c>
      <c r="J196" s="12"/>
      <c r="K196" s="17"/>
      <c r="L196" s="15"/>
      <c r="M196" s="16"/>
      <c r="N196" s="15"/>
      <c r="O196" s="14">
        <f t="shared" si="44"/>
        <v>0</v>
      </c>
      <c r="R196" s="12"/>
      <c r="S196" s="17"/>
      <c r="T196" s="15"/>
      <c r="U196" s="16"/>
      <c r="V196" s="15"/>
      <c r="W196" s="14">
        <f t="shared" si="45"/>
        <v>0</v>
      </c>
    </row>
    <row r="197" spans="2:23" x14ac:dyDescent="0.15">
      <c r="B197" s="18"/>
      <c r="C197" s="11"/>
      <c r="D197" s="9"/>
      <c r="E197" s="10"/>
      <c r="F197" s="9"/>
      <c r="G197" s="14">
        <f t="shared" si="43"/>
        <v>0</v>
      </c>
      <c r="J197" s="12"/>
      <c r="K197" s="11"/>
      <c r="L197" s="9"/>
      <c r="M197" s="10"/>
      <c r="N197" s="9"/>
      <c r="O197" s="14">
        <f t="shared" si="44"/>
        <v>0</v>
      </c>
      <c r="R197" s="12"/>
      <c r="S197" s="11"/>
      <c r="T197" s="9"/>
      <c r="U197" s="10"/>
      <c r="V197" s="9"/>
      <c r="W197" s="14">
        <f t="shared" si="45"/>
        <v>0</v>
      </c>
    </row>
    <row r="198" spans="2:23" x14ac:dyDescent="0.15">
      <c r="B198" s="18"/>
      <c r="C198" s="17"/>
      <c r="D198" s="15"/>
      <c r="E198" s="16"/>
      <c r="F198" s="15"/>
      <c r="G198" s="14">
        <f t="shared" si="43"/>
        <v>0</v>
      </c>
      <c r="J198" s="18"/>
      <c r="K198" s="17"/>
      <c r="L198" s="15"/>
      <c r="M198" s="16"/>
      <c r="N198" s="15"/>
      <c r="O198" s="14">
        <f t="shared" si="44"/>
        <v>0</v>
      </c>
      <c r="R198" s="18"/>
      <c r="S198" s="17"/>
      <c r="T198" s="15"/>
      <c r="U198" s="16"/>
      <c r="V198" s="15"/>
      <c r="W198" s="14">
        <f t="shared" si="45"/>
        <v>0</v>
      </c>
    </row>
    <row r="199" spans="2:23" x14ac:dyDescent="0.15">
      <c r="B199" s="18"/>
      <c r="C199" s="17"/>
      <c r="D199" s="15"/>
      <c r="E199" s="16"/>
      <c r="F199" s="15"/>
      <c r="G199" s="14">
        <f t="shared" si="43"/>
        <v>0</v>
      </c>
      <c r="J199" s="18"/>
      <c r="K199" s="17"/>
      <c r="L199" s="15"/>
      <c r="M199" s="16"/>
      <c r="N199" s="15"/>
      <c r="O199" s="14">
        <f t="shared" si="44"/>
        <v>0</v>
      </c>
      <c r="R199" s="18"/>
      <c r="S199" s="17"/>
      <c r="T199" s="15"/>
      <c r="U199" s="16"/>
      <c r="V199" s="15"/>
      <c r="W199" s="14">
        <f t="shared" si="45"/>
        <v>0</v>
      </c>
    </row>
    <row r="200" spans="2:23" x14ac:dyDescent="0.15">
      <c r="B200" s="18"/>
      <c r="C200" s="17"/>
      <c r="D200" s="15"/>
      <c r="E200" s="16"/>
      <c r="F200" s="15"/>
      <c r="G200" s="14">
        <f t="shared" si="43"/>
        <v>0</v>
      </c>
      <c r="J200" s="12"/>
      <c r="K200" s="17"/>
      <c r="L200" s="15"/>
      <c r="M200" s="16"/>
      <c r="N200" s="15"/>
      <c r="O200" s="14">
        <f t="shared" si="44"/>
        <v>0</v>
      </c>
      <c r="R200" s="12"/>
      <c r="S200" s="17"/>
      <c r="T200" s="15"/>
      <c r="U200" s="16"/>
      <c r="V200" s="15"/>
      <c r="W200" s="14">
        <f t="shared" si="45"/>
        <v>0</v>
      </c>
    </row>
    <row r="201" spans="2:23" x14ac:dyDescent="0.15">
      <c r="B201" s="18"/>
      <c r="C201" s="17"/>
      <c r="D201" s="15"/>
      <c r="E201" s="16"/>
      <c r="F201" s="15"/>
      <c r="G201" s="14">
        <f t="shared" si="43"/>
        <v>0</v>
      </c>
      <c r="J201" s="18"/>
      <c r="K201" s="17"/>
      <c r="L201" s="15"/>
      <c r="M201" s="16"/>
      <c r="N201" s="15"/>
      <c r="O201" s="14">
        <f t="shared" si="44"/>
        <v>0</v>
      </c>
      <c r="R201" s="18"/>
      <c r="S201" s="17"/>
      <c r="T201" s="15"/>
      <c r="U201" s="16"/>
      <c r="V201" s="15"/>
      <c r="W201" s="14">
        <f t="shared" si="45"/>
        <v>0</v>
      </c>
    </row>
    <row r="202" spans="2:23" x14ac:dyDescent="0.15">
      <c r="B202" s="18"/>
      <c r="C202" s="17"/>
      <c r="D202" s="15"/>
      <c r="E202" s="16"/>
      <c r="F202" s="15"/>
      <c r="G202" s="14">
        <f t="shared" si="43"/>
        <v>0</v>
      </c>
      <c r="J202" s="12"/>
      <c r="K202" s="17"/>
      <c r="L202" s="15"/>
      <c r="M202" s="16"/>
      <c r="N202" s="15"/>
      <c r="O202" s="14">
        <f t="shared" si="44"/>
        <v>0</v>
      </c>
      <c r="R202" s="12"/>
      <c r="S202" s="17"/>
      <c r="T202" s="15"/>
      <c r="U202" s="16"/>
      <c r="V202" s="15"/>
      <c r="W202" s="14">
        <f t="shared" si="45"/>
        <v>0</v>
      </c>
    </row>
    <row r="203" spans="2:23" x14ac:dyDescent="0.15">
      <c r="B203" s="12"/>
      <c r="C203" s="17"/>
      <c r="D203" s="15"/>
      <c r="E203" s="16"/>
      <c r="F203" s="15"/>
      <c r="G203" s="14">
        <f t="shared" si="43"/>
        <v>0</v>
      </c>
      <c r="J203" s="12"/>
      <c r="K203" s="17"/>
      <c r="L203" s="15"/>
      <c r="M203" s="16"/>
      <c r="N203" s="15"/>
      <c r="O203" s="14">
        <f t="shared" si="44"/>
        <v>0</v>
      </c>
      <c r="R203" s="12"/>
      <c r="S203" s="17"/>
      <c r="T203" s="15"/>
      <c r="U203" s="16"/>
      <c r="V203" s="15"/>
      <c r="W203" s="14">
        <f t="shared" si="45"/>
        <v>0</v>
      </c>
    </row>
    <row r="204" spans="2:23" x14ac:dyDescent="0.15">
      <c r="B204" s="18"/>
      <c r="C204" s="17"/>
      <c r="D204" s="15"/>
      <c r="E204" s="16"/>
      <c r="F204" s="15"/>
      <c r="G204" s="14">
        <f t="shared" si="43"/>
        <v>0</v>
      </c>
      <c r="J204" s="18"/>
      <c r="K204" s="17"/>
      <c r="L204" s="15"/>
      <c r="M204" s="16"/>
      <c r="N204" s="15"/>
      <c r="O204" s="14">
        <f t="shared" si="44"/>
        <v>0</v>
      </c>
      <c r="R204" s="18"/>
      <c r="S204" s="17"/>
      <c r="T204" s="15"/>
      <c r="U204" s="16"/>
      <c r="V204" s="15"/>
      <c r="W204" s="14">
        <f t="shared" si="45"/>
        <v>0</v>
      </c>
    </row>
    <row r="205" spans="2:23" x14ac:dyDescent="0.15">
      <c r="B205" s="18"/>
      <c r="C205" s="17"/>
      <c r="D205" s="15"/>
      <c r="E205" s="16"/>
      <c r="F205" s="15"/>
      <c r="G205" s="14">
        <f t="shared" si="43"/>
        <v>0</v>
      </c>
      <c r="J205" s="18"/>
      <c r="K205" s="17"/>
      <c r="L205" s="15"/>
      <c r="M205" s="16"/>
      <c r="N205" s="15"/>
      <c r="O205" s="14">
        <f t="shared" si="44"/>
        <v>0</v>
      </c>
      <c r="R205" s="18"/>
      <c r="S205" s="17"/>
      <c r="T205" s="15"/>
      <c r="U205" s="16"/>
      <c r="V205" s="15"/>
      <c r="W205" s="14">
        <f t="shared" si="45"/>
        <v>0</v>
      </c>
    </row>
    <row r="206" spans="2:23" x14ac:dyDescent="0.15">
      <c r="B206" s="12"/>
      <c r="C206" s="17"/>
      <c r="D206" s="15"/>
      <c r="E206" s="16"/>
      <c r="F206" s="15"/>
      <c r="G206" s="14">
        <f t="shared" si="43"/>
        <v>0</v>
      </c>
      <c r="J206" s="12"/>
      <c r="K206" s="17"/>
      <c r="L206" s="15"/>
      <c r="M206" s="16"/>
      <c r="N206" s="15"/>
      <c r="O206" s="14">
        <f t="shared" si="44"/>
        <v>0</v>
      </c>
      <c r="R206" s="12"/>
      <c r="S206" s="17"/>
      <c r="T206" s="15"/>
      <c r="U206" s="16"/>
      <c r="V206" s="15"/>
      <c r="W206" s="14">
        <f t="shared" si="45"/>
        <v>0</v>
      </c>
    </row>
    <row r="207" spans="2:23" x14ac:dyDescent="0.15">
      <c r="B207" s="18"/>
      <c r="C207" s="17"/>
      <c r="D207" s="15"/>
      <c r="E207" s="16"/>
      <c r="F207" s="15"/>
      <c r="G207" s="14">
        <f t="shared" si="43"/>
        <v>0</v>
      </c>
      <c r="J207" s="12"/>
      <c r="K207" s="17"/>
      <c r="L207" s="15"/>
      <c r="M207" s="16"/>
      <c r="N207" s="15"/>
      <c r="O207" s="14">
        <f t="shared" si="44"/>
        <v>0</v>
      </c>
      <c r="R207" s="18"/>
      <c r="S207" s="17"/>
      <c r="T207" s="15"/>
      <c r="U207" s="16"/>
      <c r="V207" s="15"/>
      <c r="W207" s="14">
        <f t="shared" si="45"/>
        <v>0</v>
      </c>
    </row>
    <row r="208" spans="2:23" x14ac:dyDescent="0.15">
      <c r="B208" s="18"/>
      <c r="C208" s="17"/>
      <c r="D208" s="15"/>
      <c r="E208" s="16"/>
      <c r="F208" s="15"/>
      <c r="G208" s="14">
        <f t="shared" si="43"/>
        <v>0</v>
      </c>
      <c r="J208" s="12"/>
      <c r="K208" s="17"/>
      <c r="L208" s="15"/>
      <c r="M208" s="16"/>
      <c r="N208" s="15"/>
      <c r="O208" s="14">
        <f t="shared" si="44"/>
        <v>0</v>
      </c>
      <c r="R208" s="18"/>
      <c r="S208" s="17"/>
      <c r="T208" s="15"/>
      <c r="U208" s="16"/>
      <c r="V208" s="15"/>
      <c r="W208" s="14">
        <f t="shared" si="45"/>
        <v>0</v>
      </c>
    </row>
    <row r="209" spans="1:23" x14ac:dyDescent="0.15">
      <c r="B209" s="12"/>
      <c r="C209" s="17"/>
      <c r="D209" s="15"/>
      <c r="E209" s="16"/>
      <c r="F209" s="15"/>
      <c r="G209" s="14">
        <f t="shared" si="43"/>
        <v>0</v>
      </c>
      <c r="J209" s="12"/>
      <c r="K209" s="17"/>
      <c r="L209" s="15"/>
      <c r="M209" s="16"/>
      <c r="N209" s="15"/>
      <c r="O209" s="14">
        <f t="shared" ref="O209:O210" si="46">SUM(K209:N209)</f>
        <v>0</v>
      </c>
      <c r="R209" s="12"/>
      <c r="S209" s="17"/>
      <c r="T209" s="15"/>
      <c r="U209" s="16"/>
      <c r="V209" s="15"/>
      <c r="W209" s="14">
        <f t="shared" si="45"/>
        <v>0</v>
      </c>
    </row>
    <row r="210" spans="1:23" x14ac:dyDescent="0.15">
      <c r="B210" s="12"/>
      <c r="C210" s="17"/>
      <c r="D210" s="15"/>
      <c r="E210" s="16"/>
      <c r="F210" s="15"/>
      <c r="G210" s="14">
        <f t="shared" si="43"/>
        <v>0</v>
      </c>
      <c r="J210" s="12"/>
      <c r="K210" s="17"/>
      <c r="L210" s="15"/>
      <c r="M210" s="16"/>
      <c r="N210" s="15"/>
      <c r="O210" s="14">
        <f t="shared" si="46"/>
        <v>0</v>
      </c>
      <c r="R210" s="12"/>
      <c r="S210" s="17"/>
      <c r="T210" s="15"/>
      <c r="U210" s="16"/>
      <c r="V210" s="15"/>
      <c r="W210" s="14">
        <f t="shared" si="45"/>
        <v>0</v>
      </c>
    </row>
    <row r="211" spans="1:23" x14ac:dyDescent="0.15">
      <c r="B211" s="12"/>
      <c r="C211" s="17"/>
      <c r="D211" s="15"/>
      <c r="E211" s="16"/>
      <c r="F211" s="15"/>
      <c r="G211" s="14">
        <f t="shared" si="43"/>
        <v>0</v>
      </c>
      <c r="J211" s="12"/>
      <c r="K211" s="17"/>
      <c r="L211" s="15"/>
      <c r="M211" s="16"/>
      <c r="N211" s="15"/>
      <c r="O211" s="14">
        <f t="shared" ref="O211:O212" si="47">SUM(K211:N211)</f>
        <v>0</v>
      </c>
      <c r="R211" s="12"/>
      <c r="S211" s="17"/>
      <c r="T211" s="15"/>
      <c r="U211" s="16"/>
      <c r="V211" s="15"/>
      <c r="W211" s="14">
        <f t="shared" si="45"/>
        <v>0</v>
      </c>
    </row>
    <row r="212" spans="1:23" x14ac:dyDescent="0.15">
      <c r="B212" s="12"/>
      <c r="C212" s="17"/>
      <c r="D212" s="15"/>
      <c r="E212" s="16"/>
      <c r="F212" s="15"/>
      <c r="G212" s="14">
        <f t="shared" si="43"/>
        <v>0</v>
      </c>
      <c r="J212" s="12"/>
      <c r="K212" s="17"/>
      <c r="L212" s="15"/>
      <c r="M212" s="16"/>
      <c r="N212" s="15"/>
      <c r="O212" s="14">
        <f t="shared" si="47"/>
        <v>0</v>
      </c>
      <c r="R212" s="12"/>
      <c r="S212" s="17"/>
      <c r="T212" s="15"/>
      <c r="U212" s="16"/>
      <c r="V212" s="15"/>
      <c r="W212" s="14">
        <f t="shared" si="45"/>
        <v>0</v>
      </c>
    </row>
    <row r="213" spans="1:23" x14ac:dyDescent="0.15">
      <c r="B213" s="18"/>
      <c r="C213" s="17"/>
      <c r="D213" s="15"/>
      <c r="E213" s="16"/>
      <c r="F213" s="15"/>
      <c r="G213" s="14">
        <f t="shared" si="43"/>
        <v>0</v>
      </c>
      <c r="J213" s="57" t="s">
        <v>100</v>
      </c>
      <c r="K213" s="69">
        <v>0</v>
      </c>
      <c r="L213" s="70">
        <v>0</v>
      </c>
      <c r="M213" s="71">
        <v>0</v>
      </c>
      <c r="N213" s="70">
        <v>0</v>
      </c>
      <c r="O213" s="72">
        <f t="shared" ref="O213" si="48">SUM(K213:N213)</f>
        <v>0</v>
      </c>
      <c r="P213" s="68"/>
      <c r="R213" s="18"/>
      <c r="S213" s="17"/>
      <c r="T213" s="15"/>
      <c r="U213" s="16"/>
      <c r="V213" s="15"/>
      <c r="W213" s="14">
        <f t="shared" si="45"/>
        <v>0</v>
      </c>
    </row>
    <row r="214" spans="1:23" x14ac:dyDescent="0.15">
      <c r="B214" s="18"/>
      <c r="C214" s="17"/>
      <c r="D214" s="15"/>
      <c r="E214" s="16"/>
      <c r="F214" s="15"/>
      <c r="G214" s="14">
        <f t="shared" si="43"/>
        <v>0</v>
      </c>
      <c r="J214" s="58" t="s">
        <v>101</v>
      </c>
      <c r="K214" s="65">
        <v>105</v>
      </c>
      <c r="L214" s="66">
        <v>98</v>
      </c>
      <c r="M214" s="67">
        <v>68</v>
      </c>
      <c r="N214" s="66">
        <v>75</v>
      </c>
      <c r="O214" s="60">
        <f>SUM(K214:N214)</f>
        <v>346</v>
      </c>
      <c r="P214" s="68" t="s">
        <v>142</v>
      </c>
      <c r="R214" s="18"/>
      <c r="S214" s="17"/>
      <c r="T214" s="15"/>
      <c r="U214" s="16"/>
      <c r="V214" s="15"/>
      <c r="W214" s="14">
        <f t="shared" si="45"/>
        <v>0</v>
      </c>
    </row>
    <row r="215" spans="1:23" x14ac:dyDescent="0.15">
      <c r="B215" s="18"/>
      <c r="C215" s="17"/>
      <c r="D215" s="15"/>
      <c r="E215" s="16"/>
      <c r="F215" s="15"/>
      <c r="G215" s="14">
        <f t="shared" si="43"/>
        <v>0</v>
      </c>
      <c r="J215" s="57" t="s">
        <v>58</v>
      </c>
      <c r="K215" s="69">
        <v>0</v>
      </c>
      <c r="L215" s="70">
        <v>0</v>
      </c>
      <c r="M215" s="71">
        <v>0</v>
      </c>
      <c r="N215" s="70">
        <v>0</v>
      </c>
      <c r="O215" s="72">
        <f t="shared" ref="O215:O216" si="49">SUM(K215:N215)</f>
        <v>0</v>
      </c>
      <c r="P215" s="68"/>
      <c r="R215" s="18"/>
      <c r="S215" s="17"/>
      <c r="T215" s="15"/>
      <c r="U215" s="16"/>
      <c r="V215" s="15"/>
      <c r="W215" s="14">
        <f t="shared" si="45"/>
        <v>0</v>
      </c>
    </row>
    <row r="216" spans="1:23" ht="14.25" thickBot="1" x14ac:dyDescent="0.2">
      <c r="B216" s="12"/>
      <c r="C216" s="11"/>
      <c r="D216" s="9"/>
      <c r="E216" s="10"/>
      <c r="F216" s="9"/>
      <c r="G216" s="8">
        <f t="shared" si="43"/>
        <v>0</v>
      </c>
      <c r="J216" s="58" t="s">
        <v>59</v>
      </c>
      <c r="K216" s="61">
        <v>5</v>
      </c>
      <c r="L216" s="62">
        <v>5</v>
      </c>
      <c r="M216" s="63">
        <v>5</v>
      </c>
      <c r="N216" s="62">
        <v>5</v>
      </c>
      <c r="O216" s="96">
        <f t="shared" si="49"/>
        <v>20</v>
      </c>
      <c r="P216" s="59" t="s">
        <v>60</v>
      </c>
      <c r="R216" s="18"/>
      <c r="S216" s="17"/>
      <c r="T216" s="15"/>
      <c r="U216" s="16"/>
      <c r="V216" s="15"/>
      <c r="W216" s="92">
        <f t="shared" si="45"/>
        <v>0</v>
      </c>
    </row>
    <row r="217" spans="1:23" ht="14.25" thickBot="1" x14ac:dyDescent="0.2">
      <c r="B217" s="7" t="s">
        <v>1</v>
      </c>
      <c r="C217" s="6">
        <f>SUM(C193:C216)</f>
        <v>0</v>
      </c>
      <c r="D217" s="6">
        <f>SUM(D193:D216)</f>
        <v>0</v>
      </c>
      <c r="E217" s="6">
        <f>SUM(E193:E216)</f>
        <v>0</v>
      </c>
      <c r="F217" s="6">
        <f>SUM(F193:F216)</f>
        <v>0</v>
      </c>
      <c r="G217" s="5">
        <f t="shared" si="43"/>
        <v>0</v>
      </c>
      <c r="J217" s="7" t="s">
        <v>1</v>
      </c>
      <c r="K217" s="6">
        <f>SUM(K193:K216)</f>
        <v>110</v>
      </c>
      <c r="L217" s="6">
        <f>SUM(L193:L216)</f>
        <v>103</v>
      </c>
      <c r="M217" s="6">
        <f>SUM(M193:M216)</f>
        <v>73</v>
      </c>
      <c r="N217" s="6">
        <f>SUM(N193:N216)</f>
        <v>80</v>
      </c>
      <c r="O217" s="43">
        <f>SUM(K217:N217)</f>
        <v>366</v>
      </c>
      <c r="R217" s="7" t="s">
        <v>1</v>
      </c>
      <c r="S217" s="44">
        <f>SUM(S193:S216)</f>
        <v>0</v>
      </c>
      <c r="T217" s="44">
        <f>SUM(T193:T216)</f>
        <v>0</v>
      </c>
      <c r="U217" s="44">
        <f>SUM(U193:U216)</f>
        <v>0</v>
      </c>
      <c r="V217" s="44">
        <f>SUM(V193:V216)</f>
        <v>0</v>
      </c>
      <c r="W217" s="43">
        <f>SUM(S217:V217)</f>
        <v>0</v>
      </c>
    </row>
    <row r="218" spans="1:23" ht="14.25" thickBot="1" x14ac:dyDescent="0.2">
      <c r="B218" s="4" t="s">
        <v>0</v>
      </c>
      <c r="C218" s="3">
        <f>C192-C217</f>
        <v>7</v>
      </c>
      <c r="D218" s="3">
        <f>D192-D217</f>
        <v>4</v>
      </c>
      <c r="E218" s="3">
        <f>E192-E217</f>
        <v>8</v>
      </c>
      <c r="F218" s="3">
        <f>F192-F217</f>
        <v>1</v>
      </c>
      <c r="G218" s="2">
        <f t="shared" si="43"/>
        <v>20</v>
      </c>
      <c r="J218" s="4" t="s">
        <v>0</v>
      </c>
      <c r="K218" s="3">
        <f>K192-K217</f>
        <v>-105</v>
      </c>
      <c r="L218" s="3">
        <f>L192-L217</f>
        <v>-86</v>
      </c>
      <c r="M218" s="3">
        <f>M192-M217</f>
        <v>-45</v>
      </c>
      <c r="N218" s="3">
        <f>N192-N217</f>
        <v>-43</v>
      </c>
      <c r="O218" s="2">
        <f t="shared" ref="O218" si="50">SUM(K218:N218)</f>
        <v>-279</v>
      </c>
      <c r="P218" s="93"/>
      <c r="R218" s="4" t="s">
        <v>0</v>
      </c>
      <c r="S218" s="3">
        <f>S192-S217</f>
        <v>701</v>
      </c>
      <c r="T218" s="3">
        <f>T192-T217</f>
        <v>830</v>
      </c>
      <c r="U218" s="3">
        <f>U192-U217</f>
        <v>230</v>
      </c>
      <c r="V218" s="3">
        <f>V192-V217</f>
        <v>276</v>
      </c>
      <c r="W218" s="42">
        <f>SUM(S218:V218)</f>
        <v>2037</v>
      </c>
    </row>
    <row r="221" spans="1:23" ht="18.75" x14ac:dyDescent="0.2">
      <c r="A221" s="41" t="s">
        <v>13</v>
      </c>
      <c r="C221" s="40"/>
      <c r="D221" s="40"/>
      <c r="E221" s="40"/>
      <c r="F221" s="40"/>
      <c r="G221" s="40"/>
      <c r="I221" s="41" t="s">
        <v>12</v>
      </c>
      <c r="K221" s="40"/>
      <c r="L221" s="40"/>
      <c r="M221" s="40"/>
      <c r="N221" s="40"/>
      <c r="O221" s="40"/>
      <c r="Q221" s="106" t="s">
        <v>120</v>
      </c>
      <c r="R221" s="107"/>
      <c r="S221" s="108"/>
      <c r="T221" s="108"/>
      <c r="U221" s="108"/>
      <c r="V221" s="108"/>
      <c r="W221" s="108"/>
    </row>
    <row r="222" spans="1:23" ht="19.5" thickBot="1" x14ac:dyDescent="0.25">
      <c r="A222" s="41"/>
      <c r="C222" s="40"/>
      <c r="D222" s="40"/>
      <c r="E222" s="40"/>
      <c r="F222" s="40"/>
      <c r="G222" s="40"/>
      <c r="I222" s="41"/>
      <c r="K222" s="56" t="s">
        <v>16</v>
      </c>
      <c r="L222" s="56" t="s">
        <v>17</v>
      </c>
      <c r="M222" s="56" t="s">
        <v>18</v>
      </c>
      <c r="N222" s="56" t="s">
        <v>19</v>
      </c>
      <c r="O222" s="40"/>
      <c r="Q222" s="41"/>
      <c r="S222" s="56" t="s">
        <v>16</v>
      </c>
      <c r="T222" s="56" t="s">
        <v>17</v>
      </c>
      <c r="U222" s="56" t="s">
        <v>18</v>
      </c>
      <c r="V222" s="56" t="s">
        <v>19</v>
      </c>
      <c r="W222" s="40"/>
    </row>
    <row r="223" spans="1:23" ht="14.25" thickBot="1" x14ac:dyDescent="0.2">
      <c r="B223" s="39"/>
      <c r="C223" s="115" t="s">
        <v>10</v>
      </c>
      <c r="D223" s="116"/>
      <c r="E223" s="116"/>
      <c r="F223" s="117"/>
      <c r="G223" s="38"/>
      <c r="J223" s="39"/>
      <c r="K223" s="115" t="s">
        <v>10</v>
      </c>
      <c r="L223" s="116"/>
      <c r="M223" s="116"/>
      <c r="N223" s="117"/>
      <c r="O223" s="38"/>
      <c r="R223" s="39"/>
      <c r="S223" s="115" t="s">
        <v>10</v>
      </c>
      <c r="T223" s="116"/>
      <c r="U223" s="116"/>
      <c r="V223" s="117"/>
      <c r="W223" s="38"/>
    </row>
    <row r="224" spans="1:23" ht="14.25" thickBot="1" x14ac:dyDescent="0.2">
      <c r="B224" s="37"/>
      <c r="C224" s="36" t="s">
        <v>9</v>
      </c>
      <c r="D224" s="34" t="s">
        <v>8</v>
      </c>
      <c r="E224" s="35" t="s">
        <v>7</v>
      </c>
      <c r="F224" s="34" t="s">
        <v>6</v>
      </c>
      <c r="G224" s="34" t="s">
        <v>5</v>
      </c>
      <c r="J224" s="37"/>
      <c r="K224" s="36" t="s">
        <v>9</v>
      </c>
      <c r="L224" s="34" t="s">
        <v>8</v>
      </c>
      <c r="M224" s="35" t="s">
        <v>7</v>
      </c>
      <c r="N224" s="34" t="s">
        <v>6</v>
      </c>
      <c r="O224" s="34" t="s">
        <v>5</v>
      </c>
      <c r="R224" s="37"/>
      <c r="S224" s="36" t="s">
        <v>9</v>
      </c>
      <c r="T224" s="34" t="s">
        <v>8</v>
      </c>
      <c r="U224" s="35" t="s">
        <v>7</v>
      </c>
      <c r="V224" s="34" t="s">
        <v>6</v>
      </c>
      <c r="W224" s="34" t="s">
        <v>5</v>
      </c>
    </row>
    <row r="225" spans="2:23" x14ac:dyDescent="0.15">
      <c r="B225" s="32" t="s">
        <v>4</v>
      </c>
      <c r="C225" s="31">
        <f>C218</f>
        <v>7</v>
      </c>
      <c r="D225" s="31">
        <f>D218</f>
        <v>4</v>
      </c>
      <c r="E225" s="31">
        <f>E218</f>
        <v>8</v>
      </c>
      <c r="F225" s="31">
        <f>F218</f>
        <v>1</v>
      </c>
      <c r="G225" s="26">
        <f t="shared" ref="G225:G235" si="51">SUM(C225:F225)</f>
        <v>20</v>
      </c>
      <c r="J225" s="32" t="s">
        <v>4</v>
      </c>
      <c r="K225" s="31">
        <f>K218</f>
        <v>-105</v>
      </c>
      <c r="L225" s="31">
        <f t="shared" ref="L225:N225" si="52">L218</f>
        <v>-86</v>
      </c>
      <c r="M225" s="31">
        <f t="shared" si="52"/>
        <v>-45</v>
      </c>
      <c r="N225" s="31">
        <f t="shared" si="52"/>
        <v>-43</v>
      </c>
      <c r="O225" s="26">
        <f t="shared" ref="O225:O235" si="53">SUM(K225:N225)</f>
        <v>-279</v>
      </c>
      <c r="R225" s="32" t="s">
        <v>4</v>
      </c>
      <c r="S225" s="31">
        <f>S218</f>
        <v>701</v>
      </c>
      <c r="T225" s="31">
        <f>T218</f>
        <v>830</v>
      </c>
      <c r="U225" s="31">
        <f>U218</f>
        <v>230</v>
      </c>
      <c r="V225" s="31">
        <f>V218</f>
        <v>276</v>
      </c>
      <c r="W225" s="47">
        <f>SUM(S225:V225)</f>
        <v>2037</v>
      </c>
    </row>
    <row r="226" spans="2:23" x14ac:dyDescent="0.15">
      <c r="B226" s="29" t="s">
        <v>3</v>
      </c>
      <c r="C226" s="12"/>
      <c r="D226" s="12"/>
      <c r="E226" s="12"/>
      <c r="F226" s="12"/>
      <c r="G226" s="26">
        <f t="shared" si="51"/>
        <v>0</v>
      </c>
      <c r="J226" s="29" t="s">
        <v>3</v>
      </c>
      <c r="K226" s="12"/>
      <c r="L226" s="12"/>
      <c r="M226" s="12"/>
      <c r="N226" s="12"/>
      <c r="O226" s="26">
        <f t="shared" si="53"/>
        <v>0</v>
      </c>
      <c r="R226" s="29" t="s">
        <v>3</v>
      </c>
      <c r="S226" s="12"/>
      <c r="T226" s="12"/>
      <c r="U226" s="12"/>
      <c r="V226" s="12"/>
      <c r="W226" s="47">
        <f t="shared" ref="W226:W235" si="54">SUM(S226:U226)</f>
        <v>0</v>
      </c>
    </row>
    <row r="227" spans="2:23" x14ac:dyDescent="0.15">
      <c r="B227" s="29" t="s">
        <v>3</v>
      </c>
      <c r="C227" s="12"/>
      <c r="D227" s="12"/>
      <c r="E227" s="12"/>
      <c r="F227" s="12"/>
      <c r="G227" s="26">
        <f t="shared" si="51"/>
        <v>0</v>
      </c>
      <c r="J227" s="29" t="s">
        <v>3</v>
      </c>
      <c r="K227" s="12"/>
      <c r="L227" s="12"/>
      <c r="M227" s="12"/>
      <c r="N227" s="12"/>
      <c r="O227" s="26">
        <f t="shared" si="53"/>
        <v>0</v>
      </c>
      <c r="P227" s="19"/>
      <c r="R227" s="29" t="s">
        <v>3</v>
      </c>
      <c r="S227" s="12"/>
      <c r="T227" s="12"/>
      <c r="U227" s="12"/>
      <c r="V227" s="12"/>
      <c r="W227" s="47">
        <f t="shared" si="54"/>
        <v>0</v>
      </c>
    </row>
    <row r="228" spans="2:23" x14ac:dyDescent="0.15">
      <c r="B228" s="29" t="s">
        <v>3</v>
      </c>
      <c r="C228" s="12"/>
      <c r="D228" s="12"/>
      <c r="E228" s="12"/>
      <c r="F228" s="12"/>
      <c r="G228" s="26">
        <f t="shared" si="51"/>
        <v>0</v>
      </c>
      <c r="J228" s="29" t="s">
        <v>3</v>
      </c>
      <c r="K228" s="12"/>
      <c r="L228" s="12"/>
      <c r="M228" s="12"/>
      <c r="N228" s="12"/>
      <c r="O228" s="26">
        <f t="shared" si="53"/>
        <v>0</v>
      </c>
      <c r="R228" s="29" t="s">
        <v>3</v>
      </c>
      <c r="S228" s="12"/>
      <c r="T228" s="12"/>
      <c r="U228" s="12"/>
      <c r="V228" s="12"/>
      <c r="W228" s="47">
        <f t="shared" si="54"/>
        <v>0</v>
      </c>
    </row>
    <row r="229" spans="2:23" x14ac:dyDescent="0.15">
      <c r="B229" s="29" t="s">
        <v>3</v>
      </c>
      <c r="C229" s="12"/>
      <c r="D229" s="12"/>
      <c r="E229" s="12"/>
      <c r="F229" s="12"/>
      <c r="G229" s="26">
        <f t="shared" si="51"/>
        <v>0</v>
      </c>
      <c r="J229" s="29" t="s">
        <v>3</v>
      </c>
      <c r="K229" s="12"/>
      <c r="L229" s="12"/>
      <c r="M229" s="12"/>
      <c r="N229" s="12"/>
      <c r="O229" s="26">
        <f t="shared" si="53"/>
        <v>0</v>
      </c>
      <c r="R229" s="29" t="s">
        <v>3</v>
      </c>
      <c r="S229" s="12"/>
      <c r="T229" s="12"/>
      <c r="U229" s="12"/>
      <c r="V229" s="12"/>
      <c r="W229" s="47">
        <f t="shared" si="54"/>
        <v>0</v>
      </c>
    </row>
    <row r="230" spans="2:23" x14ac:dyDescent="0.15">
      <c r="B230" s="29" t="s">
        <v>3</v>
      </c>
      <c r="C230" s="12"/>
      <c r="D230" s="12"/>
      <c r="E230" s="12"/>
      <c r="F230" s="12"/>
      <c r="G230" s="26">
        <f t="shared" si="51"/>
        <v>0</v>
      </c>
      <c r="J230" s="29" t="s">
        <v>3</v>
      </c>
      <c r="K230" s="12"/>
      <c r="L230" s="12"/>
      <c r="M230" s="12"/>
      <c r="N230" s="12"/>
      <c r="O230" s="26">
        <f t="shared" si="53"/>
        <v>0</v>
      </c>
      <c r="R230" s="29" t="s">
        <v>3</v>
      </c>
      <c r="S230" s="12"/>
      <c r="T230" s="12"/>
      <c r="U230" s="12"/>
      <c r="V230" s="12"/>
      <c r="W230" s="47">
        <f t="shared" si="54"/>
        <v>0</v>
      </c>
    </row>
    <row r="231" spans="2:23" x14ac:dyDescent="0.15">
      <c r="B231" s="29" t="s">
        <v>3</v>
      </c>
      <c r="C231" s="30"/>
      <c r="D231" s="12"/>
      <c r="E231" s="30"/>
      <c r="F231" s="12"/>
      <c r="G231" s="26">
        <f t="shared" si="51"/>
        <v>0</v>
      </c>
      <c r="J231" s="29" t="s">
        <v>3</v>
      </c>
      <c r="K231" s="30"/>
      <c r="L231" s="12"/>
      <c r="M231" s="30"/>
      <c r="N231" s="12"/>
      <c r="O231" s="26">
        <f t="shared" si="53"/>
        <v>0</v>
      </c>
      <c r="R231" s="29" t="s">
        <v>3</v>
      </c>
      <c r="S231" s="30"/>
      <c r="T231" s="12"/>
      <c r="U231" s="30"/>
      <c r="V231" s="12"/>
      <c r="W231" s="47">
        <f t="shared" si="54"/>
        <v>0</v>
      </c>
    </row>
    <row r="232" spans="2:23" x14ac:dyDescent="0.15">
      <c r="B232" s="29" t="s">
        <v>3</v>
      </c>
      <c r="C232" s="15"/>
      <c r="D232" s="15"/>
      <c r="E232" s="15"/>
      <c r="F232" s="15"/>
      <c r="G232" s="26">
        <f t="shared" si="51"/>
        <v>0</v>
      </c>
      <c r="J232" s="29" t="s">
        <v>3</v>
      </c>
      <c r="K232" s="15"/>
      <c r="L232" s="15"/>
      <c r="M232" s="15"/>
      <c r="N232" s="15"/>
      <c r="O232" s="26">
        <f t="shared" si="53"/>
        <v>0</v>
      </c>
      <c r="R232" s="29" t="s">
        <v>3</v>
      </c>
      <c r="S232" s="15"/>
      <c r="T232" s="15"/>
      <c r="U232" s="15"/>
      <c r="V232" s="15"/>
      <c r="W232" s="47">
        <f t="shared" si="54"/>
        <v>0</v>
      </c>
    </row>
    <row r="233" spans="2:23" x14ac:dyDescent="0.15">
      <c r="B233" s="29" t="s">
        <v>3</v>
      </c>
      <c r="C233" s="15"/>
      <c r="D233" s="15"/>
      <c r="E233" s="15"/>
      <c r="F233" s="15"/>
      <c r="G233" s="26">
        <f t="shared" si="51"/>
        <v>0</v>
      </c>
      <c r="J233" s="29" t="s">
        <v>3</v>
      </c>
      <c r="K233" s="15"/>
      <c r="L233" s="15"/>
      <c r="M233" s="15"/>
      <c r="N233" s="15"/>
      <c r="O233" s="26">
        <f t="shared" si="53"/>
        <v>0</v>
      </c>
      <c r="R233" s="29" t="s">
        <v>3</v>
      </c>
      <c r="S233" s="15"/>
      <c r="T233" s="15"/>
      <c r="U233" s="15"/>
      <c r="V233" s="15"/>
      <c r="W233" s="47">
        <f t="shared" si="54"/>
        <v>0</v>
      </c>
    </row>
    <row r="234" spans="2:23" x14ac:dyDescent="0.15">
      <c r="B234" s="29" t="s">
        <v>3</v>
      </c>
      <c r="C234" s="15"/>
      <c r="D234" s="15"/>
      <c r="E234" s="15"/>
      <c r="F234" s="15"/>
      <c r="G234" s="26">
        <f t="shared" si="51"/>
        <v>0</v>
      </c>
      <c r="J234" s="29" t="s">
        <v>3</v>
      </c>
      <c r="K234" s="15"/>
      <c r="L234" s="15"/>
      <c r="M234" s="15"/>
      <c r="N234" s="15"/>
      <c r="O234" s="26">
        <f t="shared" si="53"/>
        <v>0</v>
      </c>
      <c r="R234" s="29" t="s">
        <v>3</v>
      </c>
      <c r="S234" s="15"/>
      <c r="T234" s="15"/>
      <c r="U234" s="15"/>
      <c r="V234" s="15"/>
      <c r="W234" s="47">
        <f t="shared" si="54"/>
        <v>0</v>
      </c>
    </row>
    <row r="235" spans="2:23" ht="14.25" thickBot="1" x14ac:dyDescent="0.2">
      <c r="B235" s="28" t="s">
        <v>3</v>
      </c>
      <c r="C235" s="27"/>
      <c r="D235" s="27"/>
      <c r="E235" s="27"/>
      <c r="F235" s="27"/>
      <c r="G235" s="26">
        <f t="shared" si="51"/>
        <v>0</v>
      </c>
      <c r="J235" s="28" t="s">
        <v>3</v>
      </c>
      <c r="K235" s="27"/>
      <c r="L235" s="27"/>
      <c r="M235" s="27"/>
      <c r="N235" s="27"/>
      <c r="O235" s="26">
        <f t="shared" si="53"/>
        <v>0</v>
      </c>
      <c r="R235" s="28" t="s">
        <v>3</v>
      </c>
      <c r="S235" s="27"/>
      <c r="T235" s="27"/>
      <c r="U235" s="27"/>
      <c r="V235" s="27"/>
      <c r="W235" s="47">
        <f t="shared" si="54"/>
        <v>0</v>
      </c>
    </row>
    <row r="236" spans="2:23" ht="14.25" thickBot="1" x14ac:dyDescent="0.2">
      <c r="B236" s="25" t="s">
        <v>2</v>
      </c>
      <c r="C236" s="24">
        <f>SUM(C225:C235)</f>
        <v>7</v>
      </c>
      <c r="D236" s="24">
        <f>SUM(D225:D235)</f>
        <v>4</v>
      </c>
      <c r="E236" s="24">
        <f>SUM(E225:E235)</f>
        <v>8</v>
      </c>
      <c r="F236" s="24">
        <f>SUM(F225:F235)</f>
        <v>1</v>
      </c>
      <c r="G236" s="23">
        <f>SUM(G225:G235)</f>
        <v>20</v>
      </c>
      <c r="J236" s="25" t="s">
        <v>2</v>
      </c>
      <c r="K236" s="24">
        <f>SUM(K225:K235)</f>
        <v>-105</v>
      </c>
      <c r="L236" s="24">
        <f>SUM(L225:L235)</f>
        <v>-86</v>
      </c>
      <c r="M236" s="24">
        <f>SUM(M225:M235)</f>
        <v>-45</v>
      </c>
      <c r="N236" s="24">
        <f>SUM(N225:N235)</f>
        <v>-43</v>
      </c>
      <c r="O236" s="23">
        <f>SUM(O225:O235)</f>
        <v>-279</v>
      </c>
      <c r="R236" s="25" t="s">
        <v>2</v>
      </c>
      <c r="S236" s="24">
        <f>SUM(S225:S235)</f>
        <v>701</v>
      </c>
      <c r="T236" s="24">
        <f>SUM(T225:T235)</f>
        <v>830</v>
      </c>
      <c r="U236" s="24">
        <f>SUM(U225:U235)</f>
        <v>230</v>
      </c>
      <c r="V236" s="24">
        <f>SUM(V225:V235)</f>
        <v>276</v>
      </c>
      <c r="W236" s="23">
        <f>SUM(W225:W235)</f>
        <v>2037</v>
      </c>
    </row>
    <row r="237" spans="2:23" x14ac:dyDescent="0.15">
      <c r="B237" s="18"/>
      <c r="C237" s="22"/>
      <c r="D237" s="20"/>
      <c r="E237" s="21"/>
      <c r="F237" s="20"/>
      <c r="G237" s="14">
        <f t="shared" ref="G237:G262" si="55">SUM(C237:F237)</f>
        <v>0</v>
      </c>
      <c r="J237" s="12"/>
      <c r="K237" s="17"/>
      <c r="L237" s="15"/>
      <c r="M237" s="16"/>
      <c r="N237" s="15"/>
      <c r="O237" s="14">
        <f t="shared" ref="O237:O254" si="56">SUM(K237:N237)</f>
        <v>0</v>
      </c>
      <c r="R237" s="12"/>
      <c r="S237" s="17"/>
      <c r="T237" s="15"/>
      <c r="U237" s="16"/>
      <c r="V237" s="15"/>
      <c r="W237" s="14">
        <f t="shared" ref="W237:W260" si="57">SUM(S237:U237)</f>
        <v>0</v>
      </c>
    </row>
    <row r="238" spans="2:23" x14ac:dyDescent="0.15">
      <c r="B238" s="18"/>
      <c r="C238" s="17"/>
      <c r="D238" s="15"/>
      <c r="E238" s="16"/>
      <c r="F238" s="15"/>
      <c r="G238" s="14">
        <f t="shared" si="55"/>
        <v>0</v>
      </c>
      <c r="J238" s="12"/>
      <c r="K238" s="17"/>
      <c r="L238" s="15"/>
      <c r="M238" s="16"/>
      <c r="N238" s="15"/>
      <c r="O238" s="14">
        <f t="shared" si="56"/>
        <v>0</v>
      </c>
      <c r="R238" s="12"/>
      <c r="S238" s="17"/>
      <c r="T238" s="15"/>
      <c r="U238" s="16"/>
      <c r="V238" s="15"/>
      <c r="W238" s="14">
        <f t="shared" si="57"/>
        <v>0</v>
      </c>
    </row>
    <row r="239" spans="2:23" x14ac:dyDescent="0.15">
      <c r="B239" s="18"/>
      <c r="C239" s="17"/>
      <c r="D239" s="15"/>
      <c r="E239" s="16"/>
      <c r="F239" s="15"/>
      <c r="G239" s="14">
        <f t="shared" si="55"/>
        <v>0</v>
      </c>
      <c r="J239" s="12"/>
      <c r="K239" s="17"/>
      <c r="L239" s="15"/>
      <c r="M239" s="16"/>
      <c r="N239" s="15"/>
      <c r="O239" s="14">
        <f t="shared" si="56"/>
        <v>0</v>
      </c>
      <c r="R239" s="18"/>
      <c r="S239" s="17"/>
      <c r="T239" s="15"/>
      <c r="U239" s="16"/>
      <c r="V239" s="15"/>
      <c r="W239" s="14">
        <f t="shared" si="57"/>
        <v>0</v>
      </c>
    </row>
    <row r="240" spans="2:23" x14ac:dyDescent="0.15">
      <c r="B240" s="18"/>
      <c r="C240" s="17"/>
      <c r="D240" s="15"/>
      <c r="E240" s="16"/>
      <c r="F240" s="15"/>
      <c r="G240" s="14">
        <f t="shared" si="55"/>
        <v>0</v>
      </c>
      <c r="J240" s="12"/>
      <c r="K240" s="17"/>
      <c r="L240" s="15"/>
      <c r="M240" s="16"/>
      <c r="N240" s="15"/>
      <c r="O240" s="14">
        <f t="shared" si="56"/>
        <v>0</v>
      </c>
      <c r="R240" s="12"/>
      <c r="S240" s="17"/>
      <c r="T240" s="15"/>
      <c r="U240" s="16"/>
      <c r="V240" s="15"/>
      <c r="W240" s="14">
        <f t="shared" si="57"/>
        <v>0</v>
      </c>
    </row>
    <row r="241" spans="2:23" x14ac:dyDescent="0.15">
      <c r="B241" s="18"/>
      <c r="C241" s="11"/>
      <c r="D241" s="9"/>
      <c r="E241" s="10"/>
      <c r="F241" s="9"/>
      <c r="G241" s="14">
        <f t="shared" si="55"/>
        <v>0</v>
      </c>
      <c r="J241" s="12"/>
      <c r="K241" s="11"/>
      <c r="L241" s="9"/>
      <c r="M241" s="10"/>
      <c r="N241" s="9"/>
      <c r="O241" s="14">
        <f t="shared" si="56"/>
        <v>0</v>
      </c>
      <c r="R241" s="12"/>
      <c r="S241" s="11"/>
      <c r="T241" s="9"/>
      <c r="U241" s="10"/>
      <c r="V241" s="9"/>
      <c r="W241" s="14">
        <f t="shared" si="57"/>
        <v>0</v>
      </c>
    </row>
    <row r="242" spans="2:23" x14ac:dyDescent="0.15">
      <c r="B242" s="18"/>
      <c r="C242" s="17"/>
      <c r="D242" s="15"/>
      <c r="E242" s="16"/>
      <c r="F242" s="15"/>
      <c r="G242" s="14">
        <f t="shared" si="55"/>
        <v>0</v>
      </c>
      <c r="J242" s="18"/>
      <c r="K242" s="17"/>
      <c r="L242" s="15"/>
      <c r="M242" s="16"/>
      <c r="N242" s="15"/>
      <c r="O242" s="14">
        <f t="shared" si="56"/>
        <v>0</v>
      </c>
      <c r="R242" s="18"/>
      <c r="S242" s="17"/>
      <c r="T242" s="15"/>
      <c r="U242" s="16"/>
      <c r="V242" s="15"/>
      <c r="W242" s="14">
        <f t="shared" si="57"/>
        <v>0</v>
      </c>
    </row>
    <row r="243" spans="2:23" x14ac:dyDescent="0.15">
      <c r="B243" s="18"/>
      <c r="C243" s="17"/>
      <c r="D243" s="15"/>
      <c r="E243" s="16"/>
      <c r="F243" s="15"/>
      <c r="G243" s="14">
        <f t="shared" si="55"/>
        <v>0</v>
      </c>
      <c r="J243" s="18"/>
      <c r="K243" s="17"/>
      <c r="L243" s="15"/>
      <c r="M243" s="16"/>
      <c r="N243" s="15"/>
      <c r="O243" s="14">
        <f t="shared" si="56"/>
        <v>0</v>
      </c>
      <c r="R243" s="18"/>
      <c r="S243" s="17"/>
      <c r="T243" s="15"/>
      <c r="U243" s="16"/>
      <c r="V243" s="15"/>
      <c r="W243" s="14">
        <f t="shared" si="57"/>
        <v>0</v>
      </c>
    </row>
    <row r="244" spans="2:23" x14ac:dyDescent="0.15">
      <c r="B244" s="18"/>
      <c r="C244" s="17"/>
      <c r="D244" s="15"/>
      <c r="E244" s="16"/>
      <c r="F244" s="15"/>
      <c r="G244" s="14">
        <f t="shared" si="55"/>
        <v>0</v>
      </c>
      <c r="J244" s="12"/>
      <c r="K244" s="17"/>
      <c r="L244" s="15"/>
      <c r="M244" s="16"/>
      <c r="N244" s="15"/>
      <c r="O244" s="14">
        <f t="shared" si="56"/>
        <v>0</v>
      </c>
      <c r="R244" s="12"/>
      <c r="S244" s="17"/>
      <c r="T244" s="15"/>
      <c r="U244" s="16"/>
      <c r="V244" s="15"/>
      <c r="W244" s="14">
        <f t="shared" si="57"/>
        <v>0</v>
      </c>
    </row>
    <row r="245" spans="2:23" x14ac:dyDescent="0.15">
      <c r="B245" s="18"/>
      <c r="C245" s="17"/>
      <c r="D245" s="15"/>
      <c r="E245" s="16"/>
      <c r="F245" s="15"/>
      <c r="G245" s="14">
        <f t="shared" si="55"/>
        <v>0</v>
      </c>
      <c r="J245" s="18"/>
      <c r="K245" s="17"/>
      <c r="L245" s="15"/>
      <c r="M245" s="16"/>
      <c r="N245" s="15"/>
      <c r="O245" s="14">
        <f t="shared" si="56"/>
        <v>0</v>
      </c>
      <c r="R245" s="18"/>
      <c r="S245" s="17"/>
      <c r="T245" s="15"/>
      <c r="U245" s="16"/>
      <c r="V245" s="15"/>
      <c r="W245" s="14">
        <f t="shared" si="57"/>
        <v>0</v>
      </c>
    </row>
    <row r="246" spans="2:23" x14ac:dyDescent="0.15">
      <c r="B246" s="18"/>
      <c r="C246" s="17"/>
      <c r="D246" s="15"/>
      <c r="E246" s="16"/>
      <c r="F246" s="15"/>
      <c r="G246" s="14">
        <f t="shared" si="55"/>
        <v>0</v>
      </c>
      <c r="J246" s="12"/>
      <c r="K246" s="17"/>
      <c r="L246" s="15"/>
      <c r="M246" s="16"/>
      <c r="N246" s="15"/>
      <c r="O246" s="14">
        <f t="shared" si="56"/>
        <v>0</v>
      </c>
      <c r="R246" s="12"/>
      <c r="S246" s="17"/>
      <c r="T246" s="15"/>
      <c r="U246" s="16"/>
      <c r="V246" s="15"/>
      <c r="W246" s="14">
        <f t="shared" si="57"/>
        <v>0</v>
      </c>
    </row>
    <row r="247" spans="2:23" x14ac:dyDescent="0.15">
      <c r="B247" s="12"/>
      <c r="C247" s="17"/>
      <c r="D247" s="15"/>
      <c r="E247" s="16"/>
      <c r="F247" s="15"/>
      <c r="G247" s="14">
        <f t="shared" si="55"/>
        <v>0</v>
      </c>
      <c r="J247" s="12"/>
      <c r="K247" s="17"/>
      <c r="L247" s="15"/>
      <c r="M247" s="16"/>
      <c r="N247" s="15"/>
      <c r="O247" s="14">
        <f t="shared" si="56"/>
        <v>0</v>
      </c>
      <c r="R247" s="12"/>
      <c r="S247" s="17"/>
      <c r="T247" s="15"/>
      <c r="U247" s="16"/>
      <c r="V247" s="15"/>
      <c r="W247" s="14">
        <f t="shared" si="57"/>
        <v>0</v>
      </c>
    </row>
    <row r="248" spans="2:23" x14ac:dyDescent="0.15">
      <c r="B248" s="18"/>
      <c r="C248" s="17"/>
      <c r="D248" s="15"/>
      <c r="E248" s="16"/>
      <c r="F248" s="15"/>
      <c r="G248" s="14">
        <f t="shared" si="55"/>
        <v>0</v>
      </c>
      <c r="J248" s="18"/>
      <c r="K248" s="17"/>
      <c r="L248" s="15"/>
      <c r="M248" s="16"/>
      <c r="N248" s="15"/>
      <c r="O248" s="14">
        <f t="shared" si="56"/>
        <v>0</v>
      </c>
      <c r="R248" s="18"/>
      <c r="S248" s="17"/>
      <c r="T248" s="15"/>
      <c r="U248" s="16"/>
      <c r="V248" s="15"/>
      <c r="W248" s="14">
        <f t="shared" si="57"/>
        <v>0</v>
      </c>
    </row>
    <row r="249" spans="2:23" x14ac:dyDescent="0.15">
      <c r="B249" s="18"/>
      <c r="C249" s="17"/>
      <c r="D249" s="15"/>
      <c r="E249" s="16"/>
      <c r="F249" s="15"/>
      <c r="G249" s="14">
        <f t="shared" si="55"/>
        <v>0</v>
      </c>
      <c r="J249" s="18"/>
      <c r="K249" s="17"/>
      <c r="L249" s="15"/>
      <c r="M249" s="16"/>
      <c r="N249" s="15"/>
      <c r="O249" s="14">
        <f t="shared" si="56"/>
        <v>0</v>
      </c>
      <c r="R249" s="18"/>
      <c r="S249" s="17"/>
      <c r="T249" s="15"/>
      <c r="U249" s="16"/>
      <c r="V249" s="15"/>
      <c r="W249" s="14">
        <f t="shared" si="57"/>
        <v>0</v>
      </c>
    </row>
    <row r="250" spans="2:23" x14ac:dyDescent="0.15">
      <c r="B250" s="12"/>
      <c r="C250" s="17"/>
      <c r="D250" s="15"/>
      <c r="E250" s="16"/>
      <c r="F250" s="15"/>
      <c r="G250" s="14">
        <f t="shared" si="55"/>
        <v>0</v>
      </c>
      <c r="J250" s="12"/>
      <c r="K250" s="17"/>
      <c r="L250" s="15"/>
      <c r="M250" s="16"/>
      <c r="N250" s="15"/>
      <c r="O250" s="14">
        <f t="shared" si="56"/>
        <v>0</v>
      </c>
      <c r="R250" s="12"/>
      <c r="S250" s="17"/>
      <c r="T250" s="15"/>
      <c r="U250" s="16"/>
      <c r="V250" s="15"/>
      <c r="W250" s="14">
        <f t="shared" si="57"/>
        <v>0</v>
      </c>
    </row>
    <row r="251" spans="2:23" x14ac:dyDescent="0.15">
      <c r="B251" s="18"/>
      <c r="C251" s="17"/>
      <c r="D251" s="15"/>
      <c r="E251" s="16"/>
      <c r="F251" s="15"/>
      <c r="G251" s="14">
        <f t="shared" si="55"/>
        <v>0</v>
      </c>
      <c r="J251" s="12"/>
      <c r="K251" s="17"/>
      <c r="L251" s="15"/>
      <c r="M251" s="16"/>
      <c r="N251" s="15"/>
      <c r="O251" s="14">
        <f t="shared" si="56"/>
        <v>0</v>
      </c>
      <c r="R251" s="18"/>
      <c r="S251" s="17"/>
      <c r="T251" s="15"/>
      <c r="U251" s="16"/>
      <c r="V251" s="15"/>
      <c r="W251" s="14">
        <f t="shared" si="57"/>
        <v>0</v>
      </c>
    </row>
    <row r="252" spans="2:23" x14ac:dyDescent="0.15">
      <c r="B252" s="18"/>
      <c r="C252" s="17"/>
      <c r="D252" s="15"/>
      <c r="E252" s="16"/>
      <c r="F252" s="15"/>
      <c r="G252" s="14">
        <f t="shared" si="55"/>
        <v>0</v>
      </c>
      <c r="J252" s="12"/>
      <c r="K252" s="17"/>
      <c r="L252" s="15"/>
      <c r="M252" s="16"/>
      <c r="N252" s="15"/>
      <c r="O252" s="14">
        <f t="shared" si="56"/>
        <v>0</v>
      </c>
      <c r="R252" s="18"/>
      <c r="S252" s="17"/>
      <c r="T252" s="15"/>
      <c r="U252" s="16"/>
      <c r="V252" s="15"/>
      <c r="W252" s="14">
        <f t="shared" si="57"/>
        <v>0</v>
      </c>
    </row>
    <row r="253" spans="2:23" x14ac:dyDescent="0.15">
      <c r="B253" s="12"/>
      <c r="C253" s="17"/>
      <c r="D253" s="15"/>
      <c r="E253" s="16"/>
      <c r="F253" s="15"/>
      <c r="G253" s="14">
        <f t="shared" si="55"/>
        <v>0</v>
      </c>
      <c r="J253" s="12"/>
      <c r="K253" s="17"/>
      <c r="L253" s="15"/>
      <c r="M253" s="16"/>
      <c r="N253" s="15"/>
      <c r="O253" s="14">
        <f t="shared" si="56"/>
        <v>0</v>
      </c>
      <c r="R253" s="12"/>
      <c r="S253" s="17"/>
      <c r="T253" s="15"/>
      <c r="U253" s="16"/>
      <c r="V253" s="15"/>
      <c r="W253" s="14">
        <f t="shared" si="57"/>
        <v>0</v>
      </c>
    </row>
    <row r="254" spans="2:23" x14ac:dyDescent="0.15">
      <c r="B254" s="12"/>
      <c r="C254" s="17"/>
      <c r="D254" s="15"/>
      <c r="E254" s="16"/>
      <c r="F254" s="15"/>
      <c r="G254" s="14">
        <f t="shared" si="55"/>
        <v>0</v>
      </c>
      <c r="J254" s="12"/>
      <c r="K254" s="17"/>
      <c r="L254" s="15"/>
      <c r="M254" s="16"/>
      <c r="N254" s="15"/>
      <c r="O254" s="14">
        <f t="shared" si="56"/>
        <v>0</v>
      </c>
      <c r="R254" s="12"/>
      <c r="S254" s="17"/>
      <c r="T254" s="15"/>
      <c r="U254" s="16"/>
      <c r="V254" s="15"/>
      <c r="W254" s="14">
        <f t="shared" si="57"/>
        <v>0</v>
      </c>
    </row>
    <row r="255" spans="2:23" x14ac:dyDescent="0.15">
      <c r="B255" s="12"/>
      <c r="C255" s="17"/>
      <c r="D255" s="15"/>
      <c r="E255" s="16"/>
      <c r="F255" s="15"/>
      <c r="G255" s="14">
        <f t="shared" si="55"/>
        <v>0</v>
      </c>
      <c r="J255" s="12"/>
      <c r="K255" s="17"/>
      <c r="L255" s="15"/>
      <c r="M255" s="16"/>
      <c r="N255" s="15"/>
      <c r="O255" s="14">
        <f t="shared" ref="O255:O258" si="58">SUM(K255:N255)</f>
        <v>0</v>
      </c>
      <c r="R255" s="12"/>
      <c r="S255" s="17"/>
      <c r="T255" s="15"/>
      <c r="U255" s="16"/>
      <c r="V255" s="15"/>
      <c r="W255" s="14">
        <f t="shared" si="57"/>
        <v>0</v>
      </c>
    </row>
    <row r="256" spans="2:23" x14ac:dyDescent="0.15">
      <c r="B256" s="12"/>
      <c r="C256" s="17"/>
      <c r="D256" s="15"/>
      <c r="E256" s="16"/>
      <c r="F256" s="15"/>
      <c r="G256" s="14">
        <f t="shared" si="55"/>
        <v>0</v>
      </c>
      <c r="J256" s="12"/>
      <c r="K256" s="17"/>
      <c r="L256" s="15"/>
      <c r="M256" s="16"/>
      <c r="N256" s="15"/>
      <c r="O256" s="14">
        <f t="shared" si="58"/>
        <v>0</v>
      </c>
      <c r="R256" s="12"/>
      <c r="S256" s="17"/>
      <c r="T256" s="15"/>
      <c r="U256" s="16"/>
      <c r="V256" s="15"/>
      <c r="W256" s="14">
        <f t="shared" si="57"/>
        <v>0</v>
      </c>
    </row>
    <row r="257" spans="2:23" x14ac:dyDescent="0.15">
      <c r="B257" s="18"/>
      <c r="C257" s="17"/>
      <c r="D257" s="15"/>
      <c r="E257" s="16"/>
      <c r="F257" s="15"/>
      <c r="G257" s="14">
        <f t="shared" si="55"/>
        <v>0</v>
      </c>
      <c r="J257" s="57" t="s">
        <v>143</v>
      </c>
      <c r="K257" s="69">
        <v>-30</v>
      </c>
      <c r="L257" s="70">
        <v>-20</v>
      </c>
      <c r="M257" s="71">
        <v>0</v>
      </c>
      <c r="N257" s="70">
        <v>0</v>
      </c>
      <c r="O257" s="72">
        <f t="shared" si="58"/>
        <v>-50</v>
      </c>
      <c r="R257" s="18"/>
      <c r="S257" s="17"/>
      <c r="T257" s="15"/>
      <c r="U257" s="16"/>
      <c r="V257" s="15"/>
      <c r="W257" s="14">
        <f t="shared" si="57"/>
        <v>0</v>
      </c>
    </row>
    <row r="258" spans="2:23" x14ac:dyDescent="0.15">
      <c r="B258" s="18"/>
      <c r="C258" s="17"/>
      <c r="D258" s="15"/>
      <c r="E258" s="16"/>
      <c r="F258" s="15"/>
      <c r="G258" s="14">
        <f t="shared" si="55"/>
        <v>0</v>
      </c>
      <c r="J258" s="58" t="s">
        <v>144</v>
      </c>
      <c r="K258" s="61">
        <v>303</v>
      </c>
      <c r="L258" s="62">
        <v>179</v>
      </c>
      <c r="M258" s="63">
        <v>92</v>
      </c>
      <c r="N258" s="62">
        <v>103</v>
      </c>
      <c r="O258" s="96">
        <f t="shared" si="58"/>
        <v>677</v>
      </c>
      <c r="P258" s="59" t="s">
        <v>68</v>
      </c>
      <c r="R258" s="18"/>
      <c r="S258" s="17"/>
      <c r="T258" s="15"/>
      <c r="U258" s="16"/>
      <c r="V258" s="15"/>
      <c r="W258" s="14">
        <f t="shared" si="57"/>
        <v>0</v>
      </c>
    </row>
    <row r="259" spans="2:23" x14ac:dyDescent="0.15">
      <c r="B259" s="18"/>
      <c r="C259" s="17"/>
      <c r="D259" s="15"/>
      <c r="E259" s="16"/>
      <c r="F259" s="15"/>
      <c r="G259" s="14">
        <f t="shared" si="55"/>
        <v>0</v>
      </c>
      <c r="J259" s="30" t="s">
        <v>145</v>
      </c>
      <c r="K259" s="84"/>
      <c r="L259" s="85"/>
      <c r="M259" s="86"/>
      <c r="N259" s="85"/>
      <c r="O259" s="94">
        <f t="shared" ref="O259:O260" si="59">SUM(K259:N259)</f>
        <v>0</v>
      </c>
      <c r="P259" s="95"/>
      <c r="R259" s="18"/>
      <c r="S259" s="17"/>
      <c r="T259" s="15"/>
      <c r="U259" s="16"/>
      <c r="V259" s="15"/>
      <c r="W259" s="14">
        <f t="shared" si="57"/>
        <v>0</v>
      </c>
    </row>
    <row r="260" spans="2:23" ht="14.25" thickBot="1" x14ac:dyDescent="0.2">
      <c r="B260" s="12"/>
      <c r="C260" s="11"/>
      <c r="D260" s="9"/>
      <c r="E260" s="10"/>
      <c r="F260" s="9"/>
      <c r="G260" s="8">
        <f t="shared" si="55"/>
        <v>0</v>
      </c>
      <c r="J260" s="12" t="s">
        <v>146</v>
      </c>
      <c r="K260" s="11"/>
      <c r="L260" s="9"/>
      <c r="M260" s="10"/>
      <c r="N260" s="9"/>
      <c r="O260" s="45">
        <f t="shared" si="59"/>
        <v>0</v>
      </c>
      <c r="P260" s="76" t="s">
        <v>102</v>
      </c>
      <c r="R260" s="18"/>
      <c r="S260" s="17"/>
      <c r="T260" s="15"/>
      <c r="U260" s="16"/>
      <c r="V260" s="15"/>
      <c r="W260" s="92">
        <f t="shared" si="57"/>
        <v>0</v>
      </c>
    </row>
    <row r="261" spans="2:23" ht="14.25" thickBot="1" x14ac:dyDescent="0.2">
      <c r="B261" s="7" t="s">
        <v>1</v>
      </c>
      <c r="C261" s="6">
        <f>SUM(C237:C260)</f>
        <v>0</v>
      </c>
      <c r="D261" s="6">
        <f>SUM(D237:D260)</f>
        <v>0</v>
      </c>
      <c r="E261" s="6">
        <f>SUM(E237:E260)</f>
        <v>0</v>
      </c>
      <c r="F261" s="6">
        <f>SUM(F237:F260)</f>
        <v>0</v>
      </c>
      <c r="G261" s="5">
        <f t="shared" si="55"/>
        <v>0</v>
      </c>
      <c r="J261" s="7" t="s">
        <v>1</v>
      </c>
      <c r="K261" s="6">
        <f>SUM(K237:K260)</f>
        <v>273</v>
      </c>
      <c r="L261" s="6">
        <f>SUM(L237:L260)</f>
        <v>159</v>
      </c>
      <c r="M261" s="6">
        <f>SUM(M237:M260)</f>
        <v>92</v>
      </c>
      <c r="N261" s="6">
        <f>SUM(N237:N260)</f>
        <v>103</v>
      </c>
      <c r="O261" s="43">
        <f>SUM(K261:N261)</f>
        <v>627</v>
      </c>
      <c r="R261" s="7" t="s">
        <v>1</v>
      </c>
      <c r="S261" s="44">
        <f>SUM(S237:S260)</f>
        <v>0</v>
      </c>
      <c r="T261" s="44">
        <f>SUM(T237:T260)</f>
        <v>0</v>
      </c>
      <c r="U261" s="44">
        <f>SUM(U237:U260)</f>
        <v>0</v>
      </c>
      <c r="V261" s="44">
        <f>SUM(V237:V260)</f>
        <v>0</v>
      </c>
      <c r="W261" s="43">
        <f>SUM(S261:V261)</f>
        <v>0</v>
      </c>
    </row>
    <row r="262" spans="2:23" ht="14.25" thickBot="1" x14ac:dyDescent="0.2">
      <c r="B262" s="4" t="s">
        <v>0</v>
      </c>
      <c r="C262" s="3">
        <f>C236-C261</f>
        <v>7</v>
      </c>
      <c r="D262" s="3">
        <f>D236-D261</f>
        <v>4</v>
      </c>
      <c r="E262" s="3">
        <f>E236-E261</f>
        <v>8</v>
      </c>
      <c r="F262" s="3">
        <f>F236-F261</f>
        <v>1</v>
      </c>
      <c r="G262" s="2">
        <f t="shared" si="55"/>
        <v>20</v>
      </c>
      <c r="J262" s="4" t="s">
        <v>0</v>
      </c>
      <c r="K262" s="3">
        <f>K236-K261</f>
        <v>-378</v>
      </c>
      <c r="L262" s="3">
        <f>L236-L261</f>
        <v>-245</v>
      </c>
      <c r="M262" s="3">
        <f>M236-M261</f>
        <v>-137</v>
      </c>
      <c r="N262" s="3">
        <f>N236-N261</f>
        <v>-146</v>
      </c>
      <c r="O262" s="2">
        <f t="shared" ref="O262" si="60">SUM(K262:N262)</f>
        <v>-906</v>
      </c>
      <c r="P262" s="93"/>
      <c r="R262" s="4" t="s">
        <v>0</v>
      </c>
      <c r="S262" s="3">
        <f>S236-S261</f>
        <v>701</v>
      </c>
      <c r="T262" s="3">
        <f>T236-T261</f>
        <v>830</v>
      </c>
      <c r="U262" s="3">
        <f>U236-U261</f>
        <v>230</v>
      </c>
      <c r="V262" s="3">
        <f>V236-V261</f>
        <v>276</v>
      </c>
      <c r="W262" s="42">
        <f>SUM(S262:V262)</f>
        <v>2037</v>
      </c>
    </row>
    <row r="263" spans="2:23" x14ac:dyDescent="0.15">
      <c r="J263" s="109" t="s">
        <v>129</v>
      </c>
      <c r="K263">
        <v>266</v>
      </c>
      <c r="L263">
        <v>144</v>
      </c>
      <c r="M263">
        <v>95</v>
      </c>
      <c r="N263">
        <v>103</v>
      </c>
      <c r="O263">
        <f>SUM(K263:N263)</f>
        <v>608</v>
      </c>
    </row>
  </sheetData>
  <mergeCells count="18">
    <mergeCell ref="K179:N179"/>
    <mergeCell ref="S179:V179"/>
    <mergeCell ref="K223:N223"/>
    <mergeCell ref="S223:V223"/>
    <mergeCell ref="C179:F179"/>
    <mergeCell ref="C223:F223"/>
    <mergeCell ref="K135:N135"/>
    <mergeCell ref="C135:F135"/>
    <mergeCell ref="S135:V135"/>
    <mergeCell ref="C91:F91"/>
    <mergeCell ref="K91:N91"/>
    <mergeCell ref="S91:V91"/>
    <mergeCell ref="C3:F3"/>
    <mergeCell ref="K3:N3"/>
    <mergeCell ref="S3:V3"/>
    <mergeCell ref="C47:F47"/>
    <mergeCell ref="K47:N47"/>
    <mergeCell ref="S47:V47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 MR</dc:creator>
  <cp:lastModifiedBy>AT MR</cp:lastModifiedBy>
  <dcterms:created xsi:type="dcterms:W3CDTF">2025-10-30T09:24:20Z</dcterms:created>
  <dcterms:modified xsi:type="dcterms:W3CDTF">2026-06-18T08:21:45Z</dcterms:modified>
</cp:coreProperties>
</file>