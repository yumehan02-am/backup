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ミッシェル\"/>
    </mc:Choice>
  </mc:AlternateContent>
  <xr:revisionPtr revIDLastSave="0" documentId="13_ncr:1_{A36871A7-E760-4676-95AC-2A8F32A4C0C8}" xr6:coauthVersionLast="47" xr6:coauthVersionMax="47" xr10:uidLastSave="{00000000-0000-0000-0000-000000000000}"/>
  <bookViews>
    <workbookView xWindow="-120" yWindow="-120" windowWidth="29040" windowHeight="15840" tabRatio="544" xr2:uid="{00000000-000D-0000-FFFF-FFFF00000000}"/>
  </bookViews>
  <sheets>
    <sheet name="Sheet1" sheetId="1" r:id="rId1"/>
    <sheet name="Sheet2" sheetId="2" r:id="rId2"/>
    <sheet name="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16" i="1" l="1"/>
  <c r="H4314" i="1"/>
  <c r="I4276" i="1"/>
  <c r="I4277" i="1"/>
  <c r="I4278" i="1"/>
  <c r="I4279" i="1"/>
  <c r="I4280" i="1"/>
  <c r="I4316" i="1"/>
  <c r="I4315" i="1"/>
  <c r="I4314" i="1"/>
  <c r="I4313" i="1"/>
  <c r="I4312" i="1"/>
  <c r="I4290" i="1"/>
  <c r="I4291" i="1"/>
  <c r="H4353" i="1"/>
  <c r="C4353" i="1"/>
  <c r="D4353" i="1" s="1"/>
  <c r="I4352" i="1"/>
  <c r="D4352" i="1"/>
  <c r="I4351" i="1"/>
  <c r="D4351" i="1"/>
  <c r="I4350" i="1"/>
  <c r="D4350" i="1"/>
  <c r="I4349" i="1"/>
  <c r="D4349" i="1"/>
  <c r="I4348" i="1"/>
  <c r="D4348" i="1"/>
  <c r="I4347" i="1"/>
  <c r="D4347" i="1"/>
  <c r="I4346" i="1"/>
  <c r="D4346" i="1"/>
  <c r="I4345" i="1"/>
  <c r="D4345" i="1"/>
  <c r="I4344" i="1"/>
  <c r="D4344" i="1"/>
  <c r="I4343" i="1"/>
  <c r="D4343" i="1"/>
  <c r="I4342" i="1"/>
  <c r="D4342" i="1"/>
  <c r="I4341" i="1"/>
  <c r="D4341" i="1"/>
  <c r="I4340" i="1"/>
  <c r="D4340" i="1"/>
  <c r="I4339" i="1"/>
  <c r="D4339" i="1"/>
  <c r="I4338" i="1"/>
  <c r="D4338" i="1"/>
  <c r="I4337" i="1"/>
  <c r="D4337" i="1"/>
  <c r="I4336" i="1"/>
  <c r="D4336" i="1"/>
  <c r="I4335" i="1"/>
  <c r="D4335" i="1"/>
  <c r="I4334" i="1"/>
  <c r="D4334" i="1"/>
  <c r="I4333" i="1"/>
  <c r="D4333" i="1"/>
  <c r="I4332" i="1"/>
  <c r="D4332" i="1"/>
  <c r="I4331" i="1"/>
  <c r="D4331" i="1"/>
  <c r="I4330" i="1"/>
  <c r="D4330" i="1"/>
  <c r="I4329" i="1"/>
  <c r="I4353" i="1" s="1"/>
  <c r="D4329" i="1"/>
  <c r="I4327" i="1"/>
  <c r="D4327" i="1"/>
  <c r="I4326" i="1"/>
  <c r="D4326" i="1"/>
  <c r="I4325" i="1"/>
  <c r="D4325" i="1"/>
  <c r="D4293" i="1"/>
  <c r="D4294" i="1"/>
  <c r="D4295" i="1"/>
  <c r="D4296" i="1"/>
  <c r="D4297" i="1"/>
  <c r="D4298" i="1"/>
  <c r="D4299" i="1"/>
  <c r="D4289" i="1"/>
  <c r="C4317" i="1"/>
  <c r="D4317" i="1" s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1" i="1"/>
  <c r="D4290" i="1"/>
  <c r="H4317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89" i="1"/>
  <c r="I4218" i="1"/>
  <c r="I4219" i="1"/>
  <c r="I4241" i="1"/>
  <c r="I4242" i="1"/>
  <c r="I4243" i="1"/>
  <c r="I4244" i="1"/>
  <c r="H4281" i="1"/>
  <c r="C4281" i="1"/>
  <c r="D4281" i="1" s="1"/>
  <c r="D4280" i="1"/>
  <c r="D4279" i="1"/>
  <c r="D4278" i="1"/>
  <c r="D4277" i="1"/>
  <c r="D4276" i="1"/>
  <c r="I4275" i="1"/>
  <c r="D4275" i="1"/>
  <c r="I4274" i="1"/>
  <c r="D4274" i="1"/>
  <c r="I4273" i="1"/>
  <c r="D4273" i="1"/>
  <c r="I4272" i="1"/>
  <c r="D4272" i="1"/>
  <c r="I4271" i="1"/>
  <c r="D4271" i="1"/>
  <c r="I4270" i="1"/>
  <c r="D4270" i="1"/>
  <c r="I4269" i="1"/>
  <c r="D4269" i="1"/>
  <c r="I4268" i="1"/>
  <c r="D4268" i="1"/>
  <c r="I4267" i="1"/>
  <c r="D4267" i="1"/>
  <c r="I4266" i="1"/>
  <c r="D4266" i="1"/>
  <c r="I4265" i="1"/>
  <c r="D4265" i="1"/>
  <c r="I4264" i="1"/>
  <c r="D4264" i="1"/>
  <c r="I4263" i="1"/>
  <c r="D4263" i="1"/>
  <c r="I4262" i="1"/>
  <c r="D4262" i="1"/>
  <c r="I4261" i="1"/>
  <c r="D4261" i="1"/>
  <c r="I4260" i="1"/>
  <c r="D4260" i="1"/>
  <c r="I4259" i="1"/>
  <c r="D4259" i="1"/>
  <c r="I4258" i="1"/>
  <c r="D4258" i="1"/>
  <c r="I4257" i="1"/>
  <c r="D4257" i="1"/>
  <c r="I4255" i="1"/>
  <c r="D4255" i="1"/>
  <c r="I4254" i="1"/>
  <c r="D4254" i="1"/>
  <c r="I4253" i="1"/>
  <c r="D4253" i="1"/>
  <c r="I4186" i="1"/>
  <c r="I4171" i="1"/>
  <c r="I4172" i="1"/>
  <c r="I4204" i="1"/>
  <c r="I4205" i="1"/>
  <c r="H4245" i="1"/>
  <c r="C4245" i="1"/>
  <c r="D4245" i="1" s="1"/>
  <c r="D4244" i="1"/>
  <c r="D4243" i="1"/>
  <c r="D4242" i="1"/>
  <c r="D4241" i="1"/>
  <c r="I4240" i="1"/>
  <c r="D4240" i="1"/>
  <c r="I4239" i="1"/>
  <c r="D4239" i="1"/>
  <c r="I4238" i="1"/>
  <c r="D4238" i="1"/>
  <c r="I4237" i="1"/>
  <c r="D4237" i="1"/>
  <c r="I4236" i="1"/>
  <c r="D4236" i="1"/>
  <c r="I4235" i="1"/>
  <c r="D4235" i="1"/>
  <c r="I4234" i="1"/>
  <c r="D4234" i="1"/>
  <c r="I4233" i="1"/>
  <c r="D4233" i="1"/>
  <c r="I4232" i="1"/>
  <c r="D4232" i="1"/>
  <c r="I4231" i="1"/>
  <c r="D4231" i="1"/>
  <c r="I4230" i="1"/>
  <c r="D4230" i="1"/>
  <c r="I4229" i="1"/>
  <c r="D4229" i="1"/>
  <c r="I4228" i="1"/>
  <c r="D4228" i="1"/>
  <c r="I4227" i="1"/>
  <c r="D4227" i="1"/>
  <c r="I4226" i="1"/>
  <c r="D4226" i="1"/>
  <c r="I4225" i="1"/>
  <c r="D4225" i="1"/>
  <c r="I4224" i="1"/>
  <c r="D4224" i="1"/>
  <c r="I4223" i="1"/>
  <c r="D4223" i="1"/>
  <c r="I4222" i="1"/>
  <c r="D4222" i="1"/>
  <c r="I4221" i="1"/>
  <c r="D4221" i="1"/>
  <c r="D4219" i="1"/>
  <c r="D4218" i="1"/>
  <c r="I4217" i="1"/>
  <c r="D4217" i="1"/>
  <c r="I4206" i="1"/>
  <c r="I4170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181" i="1"/>
  <c r="H4209" i="1"/>
  <c r="C4209" i="1"/>
  <c r="D4209" i="1" s="1"/>
  <c r="I4208" i="1"/>
  <c r="D4208" i="1"/>
  <c r="I4207" i="1"/>
  <c r="D4207" i="1"/>
  <c r="D4206" i="1"/>
  <c r="D4205" i="1"/>
  <c r="D4204" i="1"/>
  <c r="I4203" i="1"/>
  <c r="D4203" i="1"/>
  <c r="I4202" i="1"/>
  <c r="D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5" i="1"/>
  <c r="I4183" i="1"/>
  <c r="D4183" i="1"/>
  <c r="I4182" i="1"/>
  <c r="D4182" i="1"/>
  <c r="I4181" i="1"/>
  <c r="D4145" i="1"/>
  <c r="D4146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H4173" i="1"/>
  <c r="C4173" i="1"/>
  <c r="D4173" i="1" s="1"/>
  <c r="D4172" i="1"/>
  <c r="D4171" i="1"/>
  <c r="D4170" i="1"/>
  <c r="I4169" i="1"/>
  <c r="D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7" i="1"/>
  <c r="D4147" i="1"/>
  <c r="I4146" i="1"/>
  <c r="I4145" i="1"/>
  <c r="I4144" i="1"/>
  <c r="I4148" i="1" s="1"/>
  <c r="H4144" i="1"/>
  <c r="H4148" i="1" s="1"/>
  <c r="C4124" i="1"/>
  <c r="I4135" i="1"/>
  <c r="I4136" i="1"/>
  <c r="I4113" i="1"/>
  <c r="I4114" i="1"/>
  <c r="H4137" i="1"/>
  <c r="C4137" i="1"/>
  <c r="D4137" i="1" s="1"/>
  <c r="I4137" i="1"/>
  <c r="D4136" i="1"/>
  <c r="D4135" i="1"/>
  <c r="I4134" i="1"/>
  <c r="D4134" i="1"/>
  <c r="I4133" i="1"/>
  <c r="D4133" i="1"/>
  <c r="I4132" i="1"/>
  <c r="D4132" i="1"/>
  <c r="I4131" i="1"/>
  <c r="D4131" i="1"/>
  <c r="I4130" i="1"/>
  <c r="D4130" i="1"/>
  <c r="I4129" i="1"/>
  <c r="D4129" i="1"/>
  <c r="I4128" i="1"/>
  <c r="D4128" i="1"/>
  <c r="I4127" i="1"/>
  <c r="D4127" i="1"/>
  <c r="I4126" i="1"/>
  <c r="D4126" i="1"/>
  <c r="I4125" i="1"/>
  <c r="D4125" i="1"/>
  <c r="I4124" i="1"/>
  <c r="D4124" i="1"/>
  <c r="I4123" i="1"/>
  <c r="D4123" i="1"/>
  <c r="I4122" i="1"/>
  <c r="D4122" i="1"/>
  <c r="I4121" i="1"/>
  <c r="D4121" i="1"/>
  <c r="I4120" i="1"/>
  <c r="D4120" i="1"/>
  <c r="I4119" i="1"/>
  <c r="D4119" i="1"/>
  <c r="I4118" i="1"/>
  <c r="D4118" i="1"/>
  <c r="I4117" i="1"/>
  <c r="D4117" i="1"/>
  <c r="I4116" i="1"/>
  <c r="D4116" i="1"/>
  <c r="I4115" i="1"/>
  <c r="D4115" i="1"/>
  <c r="D4114" i="1"/>
  <c r="D4113" i="1"/>
  <c r="I4111" i="1"/>
  <c r="D4111" i="1"/>
  <c r="I4110" i="1"/>
  <c r="D4110" i="1"/>
  <c r="I4109" i="1"/>
  <c r="D4109" i="1"/>
  <c r="C4087" i="1"/>
  <c r="D4087" i="1"/>
  <c r="I3676" i="1"/>
  <c r="H3676" i="1"/>
  <c r="I3777" i="1"/>
  <c r="H3777" i="1"/>
  <c r="I3813" i="1"/>
  <c r="H3813" i="1"/>
  <c r="I3849" i="1"/>
  <c r="H3849" i="1"/>
  <c r="I3885" i="1"/>
  <c r="H3885" i="1"/>
  <c r="I3921" i="1"/>
  <c r="H3921" i="1"/>
  <c r="I3957" i="1"/>
  <c r="H3957" i="1"/>
  <c r="I3993" i="1"/>
  <c r="H3993" i="1"/>
  <c r="I4029" i="1"/>
  <c r="H4029" i="1"/>
  <c r="I4065" i="1"/>
  <c r="H4065" i="1"/>
  <c r="H4101" i="1"/>
  <c r="I4059" i="1"/>
  <c r="I4060" i="1"/>
  <c r="I4061" i="1"/>
  <c r="I4062" i="1"/>
  <c r="I4063" i="1"/>
  <c r="I4064" i="1"/>
  <c r="I4095" i="1"/>
  <c r="I4096" i="1"/>
  <c r="I4097" i="1"/>
  <c r="I4098" i="1"/>
  <c r="I4077" i="1"/>
  <c r="I4078" i="1"/>
  <c r="I4079" i="1"/>
  <c r="I4080" i="1"/>
  <c r="I4100" i="1"/>
  <c r="D4100" i="1"/>
  <c r="I4099" i="1"/>
  <c r="D4099" i="1"/>
  <c r="D4098" i="1"/>
  <c r="D4097" i="1"/>
  <c r="D4096" i="1"/>
  <c r="D4095" i="1"/>
  <c r="I4094" i="1"/>
  <c r="D4094" i="1"/>
  <c r="I4093" i="1"/>
  <c r="D4093" i="1"/>
  <c r="I4092" i="1"/>
  <c r="D4092" i="1"/>
  <c r="I4091" i="1"/>
  <c r="D4091" i="1"/>
  <c r="I4090" i="1"/>
  <c r="D4090" i="1"/>
  <c r="I4089" i="1"/>
  <c r="D4089" i="1"/>
  <c r="I4088" i="1"/>
  <c r="D4088" i="1"/>
  <c r="I4087" i="1"/>
  <c r="I4086" i="1"/>
  <c r="D4086" i="1"/>
  <c r="I4085" i="1"/>
  <c r="D4085" i="1"/>
  <c r="I4084" i="1"/>
  <c r="D4084" i="1"/>
  <c r="I4083" i="1"/>
  <c r="D4083" i="1"/>
  <c r="I4082" i="1"/>
  <c r="D4082" i="1"/>
  <c r="I4081" i="1"/>
  <c r="D4081" i="1"/>
  <c r="D4080" i="1"/>
  <c r="D4079" i="1"/>
  <c r="D4078" i="1"/>
  <c r="D4077" i="1"/>
  <c r="I4075" i="1"/>
  <c r="D4075" i="1"/>
  <c r="I4074" i="1"/>
  <c r="D4074" i="1"/>
  <c r="I4073" i="1"/>
  <c r="D4073" i="1"/>
  <c r="C4072" i="1"/>
  <c r="D4072" i="1" s="1"/>
  <c r="D4076" i="1" s="1"/>
  <c r="I4019" i="1"/>
  <c r="I4020" i="1"/>
  <c r="I4021" i="1"/>
  <c r="I4022" i="1"/>
  <c r="I4023" i="1"/>
  <c r="I4024" i="1"/>
  <c r="I4028" i="1"/>
  <c r="I4027" i="1"/>
  <c r="I4026" i="1"/>
  <c r="I4025" i="1"/>
  <c r="I4055" i="1"/>
  <c r="I4056" i="1"/>
  <c r="I4057" i="1"/>
  <c r="I4058" i="1"/>
  <c r="I4038" i="1"/>
  <c r="D4041" i="1"/>
  <c r="D4042" i="1"/>
  <c r="D4043" i="1"/>
  <c r="D4044" i="1"/>
  <c r="D4045" i="1"/>
  <c r="D4046" i="1"/>
  <c r="D4047" i="1"/>
  <c r="D4048" i="1"/>
  <c r="D4049" i="1"/>
  <c r="D4050" i="1"/>
  <c r="C4065" i="1"/>
  <c r="D4065" i="1" s="1"/>
  <c r="D4064" i="1"/>
  <c r="D4063" i="1"/>
  <c r="D4062" i="1"/>
  <c r="D4061" i="1"/>
  <c r="D4060" i="1"/>
  <c r="D4059" i="1"/>
  <c r="D4058" i="1"/>
  <c r="D4057" i="1"/>
  <c r="D4056" i="1"/>
  <c r="D4055" i="1"/>
  <c r="I4054" i="1"/>
  <c r="D4054" i="1"/>
  <c r="I4053" i="1"/>
  <c r="D4053" i="1"/>
  <c r="I4052" i="1"/>
  <c r="D4052" i="1"/>
  <c r="I4051" i="1"/>
  <c r="D4051" i="1"/>
  <c r="I4050" i="1"/>
  <c r="I4049" i="1"/>
  <c r="I4048" i="1"/>
  <c r="I4047" i="1"/>
  <c r="I4046" i="1"/>
  <c r="I4045" i="1"/>
  <c r="I4044" i="1"/>
  <c r="I4043" i="1"/>
  <c r="I4042" i="1"/>
  <c r="I4041" i="1"/>
  <c r="I4039" i="1"/>
  <c r="D4039" i="1"/>
  <c r="D4038" i="1"/>
  <c r="I4037" i="1"/>
  <c r="D4037" i="1"/>
  <c r="C4005" i="1"/>
  <c r="C3984" i="1"/>
  <c r="D3984" i="1" s="1"/>
  <c r="I3987" i="1"/>
  <c r="I3986" i="1"/>
  <c r="I3988" i="1"/>
  <c r="C3918" i="1"/>
  <c r="I3918" i="1"/>
  <c r="I3990" i="1"/>
  <c r="D3898" i="1"/>
  <c r="C4029" i="1"/>
  <c r="D4029" i="1" s="1"/>
  <c r="D4028" i="1"/>
  <c r="D4027" i="1"/>
  <c r="D4026" i="1"/>
  <c r="D4025" i="1"/>
  <c r="D4024" i="1"/>
  <c r="D4023" i="1"/>
  <c r="D4022" i="1"/>
  <c r="D4021" i="1"/>
  <c r="D4020" i="1"/>
  <c r="D4019" i="1"/>
  <c r="I4018" i="1"/>
  <c r="D4018" i="1"/>
  <c r="I4017" i="1"/>
  <c r="D4017" i="1"/>
  <c r="I4016" i="1"/>
  <c r="D4016" i="1"/>
  <c r="I4015" i="1"/>
  <c r="D4015" i="1"/>
  <c r="I4014" i="1"/>
  <c r="D4014" i="1"/>
  <c r="I4013" i="1"/>
  <c r="D4013" i="1"/>
  <c r="I4012" i="1"/>
  <c r="D4012" i="1"/>
  <c r="I4011" i="1"/>
  <c r="D4011" i="1"/>
  <c r="I4010" i="1"/>
  <c r="D4010" i="1"/>
  <c r="I4009" i="1"/>
  <c r="D4009" i="1"/>
  <c r="I4008" i="1"/>
  <c r="D4008" i="1"/>
  <c r="I4007" i="1"/>
  <c r="D4007" i="1"/>
  <c r="I4006" i="1"/>
  <c r="D4006" i="1"/>
  <c r="I4005" i="1"/>
  <c r="D4005" i="1"/>
  <c r="I4003" i="1"/>
  <c r="D4003" i="1"/>
  <c r="I4002" i="1"/>
  <c r="D4002" i="1"/>
  <c r="I4001" i="1"/>
  <c r="D4001" i="1"/>
  <c r="I3992" i="1"/>
  <c r="D3992" i="1"/>
  <c r="I3991" i="1"/>
  <c r="D3991" i="1"/>
  <c r="D3990" i="1"/>
  <c r="I3989" i="1"/>
  <c r="D3989" i="1"/>
  <c r="D3988" i="1"/>
  <c r="D3987" i="1"/>
  <c r="D3986" i="1"/>
  <c r="I3985" i="1"/>
  <c r="D3985" i="1"/>
  <c r="I3984" i="1"/>
  <c r="I3983" i="1"/>
  <c r="D3983" i="1"/>
  <c r="I3982" i="1"/>
  <c r="D3982" i="1"/>
  <c r="I3981" i="1"/>
  <c r="D3981" i="1"/>
  <c r="I3980" i="1"/>
  <c r="D3980" i="1"/>
  <c r="I3979" i="1"/>
  <c r="D3979" i="1"/>
  <c r="I3978" i="1"/>
  <c r="D3978" i="1"/>
  <c r="I3977" i="1"/>
  <c r="D3977" i="1"/>
  <c r="I3976" i="1"/>
  <c r="D3976" i="1"/>
  <c r="I3975" i="1"/>
  <c r="D3975" i="1"/>
  <c r="I3974" i="1"/>
  <c r="D3974" i="1"/>
  <c r="I3973" i="1"/>
  <c r="D3973" i="1"/>
  <c r="I3972" i="1"/>
  <c r="D3972" i="1"/>
  <c r="I3971" i="1"/>
  <c r="D3971" i="1"/>
  <c r="I3970" i="1"/>
  <c r="D3970" i="1"/>
  <c r="I3969" i="1"/>
  <c r="D3969" i="1"/>
  <c r="I3967" i="1"/>
  <c r="D3967" i="1"/>
  <c r="I3966" i="1"/>
  <c r="D3966" i="1"/>
  <c r="I3965" i="1"/>
  <c r="D3965" i="1"/>
  <c r="H3563" i="1"/>
  <c r="H3887" i="1"/>
  <c r="D3929" i="1"/>
  <c r="I3956" i="1"/>
  <c r="C3957" i="1"/>
  <c r="D3957" i="1" s="1"/>
  <c r="D3956" i="1"/>
  <c r="I3955" i="1"/>
  <c r="D3955" i="1"/>
  <c r="I3954" i="1"/>
  <c r="D3954" i="1"/>
  <c r="I3953" i="1"/>
  <c r="D3953" i="1"/>
  <c r="I3952" i="1"/>
  <c r="D3952" i="1"/>
  <c r="I3951" i="1"/>
  <c r="D3951" i="1"/>
  <c r="I3950" i="1"/>
  <c r="D3950" i="1"/>
  <c r="I3949" i="1"/>
  <c r="D3949" i="1"/>
  <c r="I3948" i="1"/>
  <c r="D3948" i="1"/>
  <c r="I3947" i="1"/>
  <c r="D3947" i="1"/>
  <c r="I3946" i="1"/>
  <c r="D3946" i="1"/>
  <c r="I3945" i="1"/>
  <c r="D3945" i="1"/>
  <c r="I3944" i="1"/>
  <c r="D3944" i="1"/>
  <c r="I3943" i="1"/>
  <c r="D3943" i="1"/>
  <c r="I3942" i="1"/>
  <c r="D3942" i="1"/>
  <c r="I3941" i="1"/>
  <c r="D3941" i="1"/>
  <c r="I3940" i="1"/>
  <c r="D3940" i="1"/>
  <c r="I3939" i="1"/>
  <c r="D3939" i="1"/>
  <c r="I3938" i="1"/>
  <c r="D3938" i="1"/>
  <c r="I3937" i="1"/>
  <c r="D3937" i="1"/>
  <c r="I3936" i="1"/>
  <c r="D3936" i="1"/>
  <c r="I3935" i="1"/>
  <c r="D3935" i="1"/>
  <c r="I3934" i="1"/>
  <c r="D3934" i="1"/>
  <c r="I3933" i="1"/>
  <c r="D3933" i="1"/>
  <c r="I3931" i="1"/>
  <c r="D3931" i="1"/>
  <c r="I3930" i="1"/>
  <c r="D3930" i="1"/>
  <c r="I3929" i="1"/>
  <c r="C3877" i="1"/>
  <c r="D3897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893" i="1"/>
  <c r="D3894" i="1"/>
  <c r="C3921" i="1"/>
  <c r="D3921" i="1" s="1"/>
  <c r="I3920" i="1"/>
  <c r="D3920" i="1"/>
  <c r="I3919" i="1"/>
  <c r="D3919" i="1"/>
  <c r="D3918" i="1"/>
  <c r="I3917" i="1"/>
  <c r="D3917" i="1"/>
  <c r="I3916" i="1"/>
  <c r="D3916" i="1"/>
  <c r="I3915" i="1"/>
  <c r="D3915" i="1"/>
  <c r="I3914" i="1"/>
  <c r="D3914" i="1"/>
  <c r="I3913" i="1"/>
  <c r="D3913" i="1"/>
  <c r="I3912" i="1"/>
  <c r="D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5" i="1"/>
  <c r="D3895" i="1"/>
  <c r="I3894" i="1"/>
  <c r="I3893" i="1"/>
  <c r="D3861" i="1"/>
  <c r="I3861" i="1"/>
  <c r="D3862" i="1"/>
  <c r="I3862" i="1"/>
  <c r="D3863" i="1"/>
  <c r="I3863" i="1"/>
  <c r="D3864" i="1"/>
  <c r="I3864" i="1"/>
  <c r="D3865" i="1"/>
  <c r="I3865" i="1"/>
  <c r="D3866" i="1"/>
  <c r="I3866" i="1"/>
  <c r="D3867" i="1"/>
  <c r="I3867" i="1"/>
  <c r="D3868" i="1"/>
  <c r="I3868" i="1"/>
  <c r="D3869" i="1"/>
  <c r="I3869" i="1"/>
  <c r="D3870" i="1"/>
  <c r="I3870" i="1"/>
  <c r="D3871" i="1"/>
  <c r="I3871" i="1"/>
  <c r="D3872" i="1"/>
  <c r="I3872" i="1"/>
  <c r="D3873" i="1"/>
  <c r="I3873" i="1"/>
  <c r="D3874" i="1"/>
  <c r="I3874" i="1"/>
  <c r="D3875" i="1"/>
  <c r="I3875" i="1"/>
  <c r="C3885" i="1"/>
  <c r="D3885" i="1" s="1"/>
  <c r="I3884" i="1"/>
  <c r="D3884" i="1"/>
  <c r="I3883" i="1"/>
  <c r="D3883" i="1"/>
  <c r="I3882" i="1"/>
  <c r="D3882" i="1"/>
  <c r="I3881" i="1"/>
  <c r="D3881" i="1"/>
  <c r="I3880" i="1"/>
  <c r="D3880" i="1"/>
  <c r="I3879" i="1"/>
  <c r="D3879" i="1"/>
  <c r="I3878" i="1"/>
  <c r="D3878" i="1"/>
  <c r="I3877" i="1"/>
  <c r="D3877" i="1"/>
  <c r="I3876" i="1"/>
  <c r="D3876" i="1"/>
  <c r="I3859" i="1"/>
  <c r="D3859" i="1"/>
  <c r="I3858" i="1"/>
  <c r="D3858" i="1"/>
  <c r="I3857" i="1"/>
  <c r="D3857" i="1"/>
  <c r="C3806" i="1"/>
  <c r="C3813" i="1"/>
  <c r="D3813" i="1" s="1"/>
  <c r="I3844" i="1"/>
  <c r="I3845" i="1"/>
  <c r="I3846" i="1"/>
  <c r="I3847" i="1"/>
  <c r="I3848" i="1"/>
  <c r="I3822" i="1"/>
  <c r="I3825" i="1"/>
  <c r="D3821" i="1"/>
  <c r="D3822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C3849" i="1"/>
  <c r="D3849" i="1" s="1"/>
  <c r="D3848" i="1"/>
  <c r="D3847" i="1"/>
  <c r="D3846" i="1"/>
  <c r="D3845" i="1"/>
  <c r="D3844" i="1"/>
  <c r="I3843" i="1"/>
  <c r="D3843" i="1"/>
  <c r="I3842" i="1"/>
  <c r="D3842" i="1"/>
  <c r="I3841" i="1"/>
  <c r="D3841" i="1"/>
  <c r="I3840" i="1"/>
  <c r="D3840" i="1"/>
  <c r="I3839" i="1"/>
  <c r="D3839" i="1"/>
  <c r="I3838" i="1"/>
  <c r="D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3" i="1"/>
  <c r="D3823" i="1"/>
  <c r="I3821" i="1"/>
  <c r="I3807" i="1"/>
  <c r="I3774" i="1"/>
  <c r="I3776" i="1"/>
  <c r="I3734" i="1"/>
  <c r="I3735" i="1"/>
  <c r="I3736" i="1"/>
  <c r="I3737" i="1"/>
  <c r="I3738" i="1"/>
  <c r="I3739" i="1"/>
  <c r="I3740" i="1"/>
  <c r="I3775" i="1"/>
  <c r="I3750" i="1"/>
  <c r="I3751" i="1"/>
  <c r="I3771" i="1"/>
  <c r="I3772" i="1"/>
  <c r="I3773" i="1"/>
  <c r="D3789" i="1"/>
  <c r="D3790" i="1"/>
  <c r="D3791" i="1"/>
  <c r="I3812" i="1"/>
  <c r="D3812" i="1"/>
  <c r="I3811" i="1"/>
  <c r="D3811" i="1"/>
  <c r="I3810" i="1"/>
  <c r="D3810" i="1"/>
  <c r="I3809" i="1"/>
  <c r="D3809" i="1"/>
  <c r="I3808" i="1"/>
  <c r="D3808" i="1"/>
  <c r="D3807" i="1"/>
  <c r="I3806" i="1"/>
  <c r="D3806" i="1"/>
  <c r="I3805" i="1"/>
  <c r="D3805" i="1"/>
  <c r="I3804" i="1"/>
  <c r="D3804" i="1"/>
  <c r="I3803" i="1"/>
  <c r="D3803" i="1"/>
  <c r="I3802" i="1"/>
  <c r="D3802" i="1"/>
  <c r="I3801" i="1"/>
  <c r="D3801" i="1"/>
  <c r="I3800" i="1"/>
  <c r="D3800" i="1"/>
  <c r="I3799" i="1"/>
  <c r="D3799" i="1"/>
  <c r="I3798" i="1"/>
  <c r="D3798" i="1"/>
  <c r="I3797" i="1"/>
  <c r="D3797" i="1"/>
  <c r="I3796" i="1"/>
  <c r="D3796" i="1"/>
  <c r="I3795" i="1"/>
  <c r="D3795" i="1"/>
  <c r="I3794" i="1"/>
  <c r="D3794" i="1"/>
  <c r="I3793" i="1"/>
  <c r="D3793" i="1"/>
  <c r="I3792" i="1"/>
  <c r="D3792" i="1"/>
  <c r="I3791" i="1"/>
  <c r="I3790" i="1"/>
  <c r="I3789" i="1"/>
  <c r="I3787" i="1"/>
  <c r="D3787" i="1"/>
  <c r="I3786" i="1"/>
  <c r="D3786" i="1"/>
  <c r="I3785" i="1"/>
  <c r="D3785" i="1"/>
  <c r="D3692" i="1"/>
  <c r="D3718" i="1"/>
  <c r="I3733" i="1"/>
  <c r="I3665" i="1"/>
  <c r="I3699" i="1"/>
  <c r="C3666" i="1"/>
  <c r="I3698" i="1"/>
  <c r="I3700" i="1"/>
  <c r="I3701" i="1"/>
  <c r="I3702" i="1"/>
  <c r="I3703" i="1"/>
  <c r="I3704" i="1"/>
  <c r="I3663" i="1"/>
  <c r="I3664" i="1"/>
  <c r="I3666" i="1"/>
  <c r="I3667" i="1"/>
  <c r="I3668" i="1"/>
  <c r="C3777" i="1"/>
  <c r="D3777" i="1" s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1" i="1"/>
  <c r="D3750" i="1"/>
  <c r="D3749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49" i="1"/>
  <c r="I3714" i="1"/>
  <c r="C3741" i="1"/>
  <c r="D3741" i="1" s="1"/>
  <c r="D3740" i="1"/>
  <c r="D3739" i="1"/>
  <c r="D3738" i="1"/>
  <c r="D3737" i="1"/>
  <c r="D3736" i="1"/>
  <c r="D3735" i="1"/>
  <c r="D3734" i="1"/>
  <c r="D3733" i="1"/>
  <c r="I3732" i="1"/>
  <c r="D3732" i="1"/>
  <c r="I3731" i="1"/>
  <c r="D3731" i="1"/>
  <c r="I3730" i="1"/>
  <c r="D3730" i="1"/>
  <c r="I3729" i="1"/>
  <c r="D3729" i="1"/>
  <c r="I3728" i="1"/>
  <c r="D3728" i="1"/>
  <c r="I3727" i="1"/>
  <c r="D3727" i="1"/>
  <c r="I3726" i="1"/>
  <c r="D3726" i="1"/>
  <c r="I3725" i="1"/>
  <c r="D3725" i="1"/>
  <c r="I3724" i="1"/>
  <c r="D3724" i="1"/>
  <c r="I3723" i="1"/>
  <c r="D3723" i="1"/>
  <c r="I3722" i="1"/>
  <c r="D3722" i="1"/>
  <c r="I3721" i="1"/>
  <c r="D3721" i="1"/>
  <c r="I3720" i="1"/>
  <c r="D3720" i="1"/>
  <c r="I3719" i="1"/>
  <c r="D3719" i="1"/>
  <c r="I3718" i="1"/>
  <c r="I3717" i="1"/>
  <c r="D3717" i="1"/>
  <c r="I3715" i="1"/>
  <c r="D3715" i="1"/>
  <c r="D3714" i="1"/>
  <c r="I3713" i="1"/>
  <c r="D3713" i="1"/>
  <c r="H3596" i="1"/>
  <c r="I3524" i="1"/>
  <c r="I3560" i="1"/>
  <c r="I4317" i="1" l="1"/>
  <c r="I4281" i="1"/>
  <c r="I4245" i="1"/>
  <c r="I4209" i="1"/>
  <c r="I4173" i="1"/>
  <c r="I4174" i="1" s="1"/>
  <c r="I4180" i="1" s="1"/>
  <c r="I4184" i="1" s="1"/>
  <c r="H4174" i="1"/>
  <c r="H4180" i="1" s="1"/>
  <c r="H4184" i="1" s="1"/>
  <c r="H4210" i="1" s="1"/>
  <c r="H4216" i="1" s="1"/>
  <c r="H4220" i="1" s="1"/>
  <c r="H4246" i="1" s="1"/>
  <c r="H4252" i="1" s="1"/>
  <c r="H4256" i="1" s="1"/>
  <c r="H4282" i="1" s="1"/>
  <c r="H4288" i="1" s="1"/>
  <c r="H4292" i="1" s="1"/>
  <c r="H4318" i="1" s="1"/>
  <c r="H4324" i="1" s="1"/>
  <c r="H4328" i="1" s="1"/>
  <c r="H4354" i="1" s="1"/>
  <c r="I4101" i="1"/>
  <c r="C4101" i="1"/>
  <c r="D4101" i="1" s="1"/>
  <c r="D4102" i="1" s="1"/>
  <c r="C4076" i="1"/>
  <c r="C3993" i="1"/>
  <c r="D3993" i="1" s="1"/>
  <c r="H3741" i="1"/>
  <c r="I3741" i="1" s="1"/>
  <c r="H3705" i="1"/>
  <c r="I3705" i="1" s="1"/>
  <c r="C3705" i="1"/>
  <c r="D3705" i="1" s="1"/>
  <c r="D3704" i="1"/>
  <c r="D3703" i="1"/>
  <c r="D3702" i="1"/>
  <c r="D3701" i="1"/>
  <c r="D3700" i="1"/>
  <c r="D3699" i="1"/>
  <c r="D3698" i="1"/>
  <c r="I3697" i="1"/>
  <c r="D3697" i="1"/>
  <c r="I3696" i="1"/>
  <c r="D3696" i="1"/>
  <c r="I3695" i="1"/>
  <c r="D3695" i="1"/>
  <c r="I3694" i="1"/>
  <c r="D3694" i="1"/>
  <c r="I3693" i="1"/>
  <c r="D3693" i="1"/>
  <c r="I3692" i="1"/>
  <c r="I3691" i="1"/>
  <c r="D3691" i="1"/>
  <c r="I3690" i="1"/>
  <c r="D3690" i="1"/>
  <c r="I3689" i="1"/>
  <c r="D3689" i="1"/>
  <c r="I3688" i="1"/>
  <c r="D3688" i="1"/>
  <c r="I3687" i="1"/>
  <c r="D3687" i="1"/>
  <c r="I3686" i="1"/>
  <c r="D3686" i="1"/>
  <c r="I3685" i="1"/>
  <c r="D3685" i="1"/>
  <c r="I3684" i="1"/>
  <c r="D3684" i="1"/>
  <c r="I3683" i="1"/>
  <c r="D3683" i="1"/>
  <c r="I3682" i="1"/>
  <c r="D3682" i="1"/>
  <c r="I3681" i="1"/>
  <c r="D3681" i="1"/>
  <c r="I3679" i="1"/>
  <c r="D3679" i="1"/>
  <c r="I3678" i="1"/>
  <c r="D3678" i="1"/>
  <c r="I3677" i="1"/>
  <c r="D3677" i="1"/>
  <c r="H3669" i="1"/>
  <c r="I3669" i="1" s="1"/>
  <c r="C3669" i="1"/>
  <c r="D3669" i="1" s="1"/>
  <c r="D3668" i="1"/>
  <c r="D3667" i="1"/>
  <c r="D3666" i="1"/>
  <c r="D3665" i="1"/>
  <c r="D3664" i="1"/>
  <c r="D3663" i="1"/>
  <c r="I3662" i="1"/>
  <c r="D3662" i="1"/>
  <c r="I3661" i="1"/>
  <c r="D3661" i="1"/>
  <c r="I3660" i="1"/>
  <c r="D3660" i="1"/>
  <c r="I3659" i="1"/>
  <c r="D3659" i="1"/>
  <c r="I3658" i="1"/>
  <c r="D3658" i="1"/>
  <c r="I3657" i="1"/>
  <c r="D3657" i="1"/>
  <c r="I3656" i="1"/>
  <c r="D3656" i="1"/>
  <c r="I3655" i="1"/>
  <c r="D3655" i="1"/>
  <c r="I3654" i="1"/>
  <c r="D3654" i="1"/>
  <c r="I3653" i="1"/>
  <c r="D3653" i="1"/>
  <c r="I3652" i="1"/>
  <c r="D3652" i="1"/>
  <c r="I3651" i="1"/>
  <c r="D3651" i="1"/>
  <c r="I3650" i="1"/>
  <c r="D3650" i="1"/>
  <c r="I3649" i="1"/>
  <c r="D3649" i="1"/>
  <c r="I3648" i="1"/>
  <c r="D3648" i="1"/>
  <c r="I3647" i="1"/>
  <c r="D3647" i="1"/>
  <c r="I3646" i="1"/>
  <c r="D3646" i="1"/>
  <c r="I3645" i="1"/>
  <c r="D3645" i="1"/>
  <c r="I3643" i="1"/>
  <c r="D3643" i="1"/>
  <c r="I3642" i="1"/>
  <c r="D3642" i="1"/>
  <c r="I3641" i="1"/>
  <c r="D3641" i="1"/>
  <c r="H3633" i="1"/>
  <c r="I3633" i="1" s="1"/>
  <c r="C3633" i="1"/>
  <c r="D3633" i="1" s="1"/>
  <c r="I3632" i="1"/>
  <c r="D3632" i="1"/>
  <c r="I3631" i="1"/>
  <c r="D3631" i="1"/>
  <c r="I3630" i="1"/>
  <c r="D3630" i="1"/>
  <c r="I3629" i="1"/>
  <c r="D3629" i="1"/>
  <c r="I3628" i="1"/>
  <c r="D3628" i="1"/>
  <c r="I3627" i="1"/>
  <c r="D3627" i="1"/>
  <c r="I3626" i="1"/>
  <c r="D3626" i="1"/>
  <c r="I3625" i="1"/>
  <c r="D3625" i="1"/>
  <c r="I3624" i="1"/>
  <c r="D3624" i="1"/>
  <c r="I3623" i="1"/>
  <c r="D3623" i="1"/>
  <c r="I3622" i="1"/>
  <c r="D3622" i="1"/>
  <c r="I3621" i="1"/>
  <c r="D3621" i="1"/>
  <c r="I3620" i="1"/>
  <c r="D3620" i="1"/>
  <c r="I3619" i="1"/>
  <c r="D3619" i="1"/>
  <c r="I3618" i="1"/>
  <c r="D3618" i="1"/>
  <c r="I3617" i="1"/>
  <c r="D3617" i="1"/>
  <c r="I3616" i="1"/>
  <c r="D3616" i="1"/>
  <c r="I3615" i="1"/>
  <c r="D3615" i="1"/>
  <c r="I3614" i="1"/>
  <c r="D3614" i="1"/>
  <c r="I3613" i="1"/>
  <c r="D3613" i="1"/>
  <c r="I3612" i="1"/>
  <c r="D3612" i="1"/>
  <c r="I3611" i="1"/>
  <c r="D3611" i="1"/>
  <c r="I3610" i="1"/>
  <c r="D3610" i="1"/>
  <c r="I3609" i="1"/>
  <c r="D3609" i="1"/>
  <c r="I3607" i="1"/>
  <c r="D3607" i="1"/>
  <c r="I3606" i="1"/>
  <c r="D3606" i="1"/>
  <c r="I3605" i="1"/>
  <c r="D3605" i="1"/>
  <c r="I4210" i="1" l="1"/>
  <c r="I4216" i="1" s="1"/>
  <c r="I4220" i="1" s="1"/>
  <c r="I4246" i="1" s="1"/>
  <c r="I4252" i="1" s="1"/>
  <c r="I4256" i="1" s="1"/>
  <c r="I4282" i="1" s="1"/>
  <c r="I4288" i="1" s="1"/>
  <c r="I4292" i="1" s="1"/>
  <c r="I4318" i="1" s="1"/>
  <c r="I4324" i="1" s="1"/>
  <c r="I4328" i="1" s="1"/>
  <c r="I4354" i="1" s="1"/>
  <c r="C4102" i="1"/>
  <c r="C4108" i="1" s="1"/>
  <c r="D3539" i="1"/>
  <c r="H3597" i="1"/>
  <c r="I3597" i="1" s="1"/>
  <c r="C3597" i="1"/>
  <c r="D3597" i="1" s="1"/>
  <c r="I3596" i="1"/>
  <c r="D3596" i="1"/>
  <c r="I3595" i="1"/>
  <c r="D3595" i="1"/>
  <c r="I3594" i="1"/>
  <c r="D3594" i="1"/>
  <c r="I3593" i="1"/>
  <c r="D3593" i="1"/>
  <c r="I3592" i="1"/>
  <c r="D3592" i="1"/>
  <c r="I3591" i="1"/>
  <c r="D3591" i="1"/>
  <c r="I3590" i="1"/>
  <c r="D3590" i="1"/>
  <c r="I3589" i="1"/>
  <c r="D3589" i="1"/>
  <c r="I3588" i="1"/>
  <c r="D3588" i="1"/>
  <c r="I3587" i="1"/>
  <c r="D3587" i="1"/>
  <c r="I3586" i="1"/>
  <c r="D3586" i="1"/>
  <c r="I3585" i="1"/>
  <c r="D3585" i="1"/>
  <c r="I3584" i="1"/>
  <c r="D3584" i="1"/>
  <c r="I3583" i="1"/>
  <c r="D3583" i="1"/>
  <c r="I3582" i="1"/>
  <c r="D3582" i="1"/>
  <c r="I3581" i="1"/>
  <c r="D3581" i="1"/>
  <c r="I3580" i="1"/>
  <c r="D3580" i="1"/>
  <c r="I3579" i="1"/>
  <c r="D3579" i="1"/>
  <c r="I3578" i="1"/>
  <c r="D3578" i="1"/>
  <c r="I3577" i="1"/>
  <c r="D3577" i="1"/>
  <c r="I3576" i="1"/>
  <c r="D3576" i="1"/>
  <c r="I3575" i="1"/>
  <c r="D3575" i="1"/>
  <c r="I3574" i="1"/>
  <c r="D3574" i="1"/>
  <c r="I3573" i="1"/>
  <c r="D3573" i="1"/>
  <c r="I3571" i="1"/>
  <c r="D3571" i="1"/>
  <c r="I3570" i="1"/>
  <c r="D3570" i="1"/>
  <c r="I3569" i="1"/>
  <c r="D3569" i="1"/>
  <c r="I3557" i="1"/>
  <c r="I3558" i="1"/>
  <c r="I3559" i="1"/>
  <c r="D3537" i="1"/>
  <c r="D3538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33" i="1"/>
  <c r="D3534" i="1"/>
  <c r="H3561" i="1"/>
  <c r="I3561" i="1" s="1"/>
  <c r="C3561" i="1"/>
  <c r="D3561" i="1" s="1"/>
  <c r="D3560" i="1"/>
  <c r="D3559" i="1"/>
  <c r="D3558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5" i="1"/>
  <c r="D3535" i="1"/>
  <c r="I3534" i="1"/>
  <c r="I3533" i="1"/>
  <c r="D4108" i="1" l="1"/>
  <c r="D4112" i="1" s="1"/>
  <c r="D4138" i="1" s="1"/>
  <c r="C4112" i="1"/>
  <c r="C4138" i="1" s="1"/>
  <c r="C4144" i="1" s="1"/>
  <c r="C3498" i="1"/>
  <c r="C3497" i="1"/>
  <c r="I3522" i="1"/>
  <c r="I3521" i="1"/>
  <c r="I3484" i="1"/>
  <c r="I3485" i="1"/>
  <c r="I3523" i="1"/>
  <c r="C4148" i="1" l="1"/>
  <c r="C4174" i="1" s="1"/>
  <c r="C4180" i="1" s="1"/>
  <c r="D4144" i="1"/>
  <c r="D4148" i="1" s="1"/>
  <c r="D4174" i="1" s="1"/>
  <c r="I3520" i="1"/>
  <c r="I3501" i="1"/>
  <c r="I3502" i="1"/>
  <c r="I3503" i="1"/>
  <c r="I3504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H3525" i="1"/>
  <c r="I3525" i="1" s="1"/>
  <c r="C3525" i="1"/>
  <c r="D3525" i="1" s="1"/>
  <c r="D3524" i="1"/>
  <c r="D3523" i="1"/>
  <c r="D3522" i="1"/>
  <c r="D3521" i="1"/>
  <c r="D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499" i="1"/>
  <c r="D3499" i="1"/>
  <c r="I3498" i="1"/>
  <c r="D3498" i="1"/>
  <c r="I3497" i="1"/>
  <c r="D3497" i="1"/>
  <c r="C4184" i="1" l="1"/>
  <c r="C4210" i="1" s="1"/>
  <c r="C4216" i="1" s="1"/>
  <c r="D4180" i="1"/>
  <c r="D4184" i="1" s="1"/>
  <c r="D4210" i="1" s="1"/>
  <c r="D3426" i="1"/>
  <c r="D3461" i="1"/>
  <c r="D4216" i="1" l="1"/>
  <c r="D4220" i="1" s="1"/>
  <c r="D4246" i="1" s="1"/>
  <c r="C4220" i="1"/>
  <c r="C4246" i="1" s="1"/>
  <c r="C4252" i="1" s="1"/>
  <c r="C3432" i="1"/>
  <c r="D3390" i="1"/>
  <c r="C3425" i="1"/>
  <c r="D3425" i="1" s="1"/>
  <c r="C4256" i="1" l="1"/>
  <c r="C4282" i="1" s="1"/>
  <c r="C4288" i="1" s="1"/>
  <c r="D4252" i="1"/>
  <c r="D4256" i="1" s="1"/>
  <c r="D4282" i="1" s="1"/>
  <c r="I3486" i="1"/>
  <c r="I3452" i="1"/>
  <c r="I3451" i="1"/>
  <c r="I3410" i="1"/>
  <c r="I3450" i="1"/>
  <c r="I3414" i="1"/>
  <c r="I3413" i="1"/>
  <c r="I3412" i="1"/>
  <c r="I3411" i="1"/>
  <c r="C4292" i="1" l="1"/>
  <c r="C4318" i="1" s="1"/>
  <c r="C4324" i="1" s="1"/>
  <c r="D4288" i="1"/>
  <c r="D4292" i="1" s="1"/>
  <c r="D4318" i="1" s="1"/>
  <c r="I3462" i="1"/>
  <c r="D4324" i="1" l="1"/>
  <c r="D4328" i="1" s="1"/>
  <c r="D4354" i="1" s="1"/>
  <c r="C4328" i="1"/>
  <c r="C4354" i="1" s="1"/>
  <c r="H3489" i="1"/>
  <c r="C3489" i="1"/>
  <c r="D3489" i="1" s="1"/>
  <c r="I3488" i="1"/>
  <c r="D3488" i="1"/>
  <c r="I3487" i="1"/>
  <c r="D3487" i="1"/>
  <c r="D3486" i="1"/>
  <c r="D3485" i="1"/>
  <c r="D3484" i="1"/>
  <c r="I3483" i="1"/>
  <c r="D3483" i="1"/>
  <c r="I3482" i="1"/>
  <c r="D3482" i="1"/>
  <c r="I3481" i="1"/>
  <c r="D3481" i="1"/>
  <c r="I3480" i="1"/>
  <c r="D3480" i="1"/>
  <c r="I3479" i="1"/>
  <c r="D3479" i="1"/>
  <c r="I3478" i="1"/>
  <c r="D3478" i="1"/>
  <c r="I3477" i="1"/>
  <c r="D3477" i="1"/>
  <c r="I3476" i="1"/>
  <c r="D3476" i="1"/>
  <c r="I3475" i="1"/>
  <c r="D3475" i="1"/>
  <c r="I3474" i="1"/>
  <c r="D3474" i="1"/>
  <c r="I3473" i="1"/>
  <c r="D3473" i="1"/>
  <c r="I3472" i="1"/>
  <c r="D3472" i="1"/>
  <c r="I3471" i="1"/>
  <c r="D3471" i="1"/>
  <c r="I3470" i="1"/>
  <c r="D3470" i="1"/>
  <c r="I3469" i="1"/>
  <c r="D3469" i="1"/>
  <c r="I3468" i="1"/>
  <c r="D3468" i="1"/>
  <c r="I3467" i="1"/>
  <c r="D3467" i="1"/>
  <c r="I3466" i="1"/>
  <c r="D3466" i="1"/>
  <c r="I3465" i="1"/>
  <c r="D3465" i="1"/>
  <c r="I3463" i="1"/>
  <c r="D3463" i="1"/>
  <c r="D3462" i="1"/>
  <c r="I3461" i="1"/>
  <c r="I3489" i="1" l="1"/>
  <c r="I3448" i="1"/>
  <c r="I3426" i="1"/>
  <c r="I3427" i="1"/>
  <c r="C3453" i="1"/>
  <c r="D3453" i="1" s="1"/>
  <c r="D3452" i="1"/>
  <c r="D3451" i="1"/>
  <c r="D3450" i="1"/>
  <c r="I3449" i="1"/>
  <c r="D3449" i="1"/>
  <c r="D3448" i="1"/>
  <c r="I3447" i="1"/>
  <c r="D3447" i="1"/>
  <c r="I3446" i="1"/>
  <c r="D3446" i="1"/>
  <c r="I3445" i="1"/>
  <c r="D3445" i="1"/>
  <c r="I3444" i="1"/>
  <c r="D3444" i="1"/>
  <c r="I3443" i="1"/>
  <c r="D3443" i="1"/>
  <c r="I3442" i="1"/>
  <c r="D3442" i="1"/>
  <c r="I3441" i="1"/>
  <c r="D3441" i="1"/>
  <c r="I3440" i="1"/>
  <c r="D3440" i="1"/>
  <c r="I3439" i="1"/>
  <c r="D3439" i="1"/>
  <c r="I3438" i="1"/>
  <c r="D3438" i="1"/>
  <c r="I3437" i="1"/>
  <c r="D3437" i="1"/>
  <c r="I3436" i="1"/>
  <c r="D3436" i="1"/>
  <c r="I3435" i="1"/>
  <c r="D3435" i="1"/>
  <c r="I3434" i="1"/>
  <c r="D3434" i="1"/>
  <c r="I3433" i="1"/>
  <c r="D3433" i="1"/>
  <c r="I3432" i="1"/>
  <c r="D3432" i="1"/>
  <c r="I3431" i="1"/>
  <c r="D3431" i="1"/>
  <c r="I3430" i="1"/>
  <c r="D3430" i="1"/>
  <c r="I3429" i="1"/>
  <c r="D3429" i="1"/>
  <c r="D3427" i="1"/>
  <c r="I3425" i="1"/>
  <c r="C3290" i="1" l="1"/>
  <c r="C3259" i="1" l="1"/>
  <c r="C3417" i="1"/>
  <c r="D3417" i="1" s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1" i="1"/>
  <c r="D3389" i="1"/>
  <c r="C3381" i="1"/>
  <c r="D3381" i="1" s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5" i="1"/>
  <c r="D3354" i="1"/>
  <c r="D3353" i="1"/>
  <c r="I3281" i="1" l="1"/>
  <c r="I3282" i="1"/>
  <c r="I3283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H3309" i="1"/>
  <c r="I3309" i="1" s="1"/>
  <c r="I3317" i="1"/>
  <c r="I3318" i="1"/>
  <c r="I3319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H3345" i="1"/>
  <c r="I3345" i="1" s="1"/>
  <c r="I3353" i="1"/>
  <c r="I3354" i="1"/>
  <c r="I3355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H3381" i="1"/>
  <c r="I3381" i="1" s="1"/>
  <c r="I3389" i="1"/>
  <c r="I3390" i="1"/>
  <c r="I3391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5" i="1"/>
  <c r="I3416" i="1"/>
  <c r="H3417" i="1"/>
  <c r="I3417" i="1" s="1"/>
  <c r="C3345" i="1" l="1"/>
  <c r="D3345" i="1" s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19" i="1"/>
  <c r="D3318" i="1"/>
  <c r="D3317" i="1"/>
  <c r="C3309" i="1"/>
  <c r="D3309" i="1" s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3" i="1"/>
  <c r="D3282" i="1"/>
  <c r="D3281" i="1"/>
  <c r="D3245" i="1" l="1"/>
  <c r="D3246" i="1"/>
  <c r="D3249" i="1"/>
  <c r="D3250" i="1"/>
  <c r="D3251" i="1"/>
  <c r="D3252" i="1"/>
  <c r="D3253" i="1"/>
  <c r="D3254" i="1"/>
  <c r="D3255" i="1"/>
  <c r="D3256" i="1"/>
  <c r="D3257" i="1"/>
  <c r="H3273" i="1"/>
  <c r="I3273" i="1" s="1"/>
  <c r="C3273" i="1"/>
  <c r="D3273" i="1" s="1"/>
  <c r="I3272" i="1"/>
  <c r="D3272" i="1"/>
  <c r="I3271" i="1"/>
  <c r="D3271" i="1"/>
  <c r="I3270" i="1"/>
  <c r="D3270" i="1"/>
  <c r="I3269" i="1"/>
  <c r="D3269" i="1"/>
  <c r="I3268" i="1"/>
  <c r="D3268" i="1"/>
  <c r="I3267" i="1"/>
  <c r="D3267" i="1"/>
  <c r="I3266" i="1"/>
  <c r="D3266" i="1"/>
  <c r="I3265" i="1"/>
  <c r="D3265" i="1"/>
  <c r="I3264" i="1"/>
  <c r="D3264" i="1"/>
  <c r="I3263" i="1"/>
  <c r="D3263" i="1"/>
  <c r="I3262" i="1"/>
  <c r="D3262" i="1"/>
  <c r="I3261" i="1"/>
  <c r="D3261" i="1"/>
  <c r="I3260" i="1"/>
  <c r="D3260" i="1"/>
  <c r="I3259" i="1"/>
  <c r="D3259" i="1"/>
  <c r="I3258" i="1"/>
  <c r="D3258" i="1"/>
  <c r="I3257" i="1"/>
  <c r="I3256" i="1"/>
  <c r="I3255" i="1"/>
  <c r="I3254" i="1"/>
  <c r="I3253" i="1"/>
  <c r="I3252" i="1"/>
  <c r="I3251" i="1"/>
  <c r="I3250" i="1"/>
  <c r="I3249" i="1"/>
  <c r="I3247" i="1"/>
  <c r="D3247" i="1"/>
  <c r="I3246" i="1"/>
  <c r="I3245" i="1"/>
  <c r="C3221" i="1" l="1"/>
  <c r="D3209" i="1"/>
  <c r="H3237" i="1" l="1"/>
  <c r="I3237" i="1" s="1"/>
  <c r="I3236" i="1"/>
  <c r="D3236" i="1"/>
  <c r="I3235" i="1"/>
  <c r="D3235" i="1"/>
  <c r="I3234" i="1"/>
  <c r="D3234" i="1"/>
  <c r="I3233" i="1"/>
  <c r="D3233" i="1"/>
  <c r="I3232" i="1"/>
  <c r="D3232" i="1"/>
  <c r="I3231" i="1"/>
  <c r="D3231" i="1"/>
  <c r="I3230" i="1"/>
  <c r="D3230" i="1"/>
  <c r="I3229" i="1"/>
  <c r="D3229" i="1"/>
  <c r="I3228" i="1"/>
  <c r="D3228" i="1"/>
  <c r="I3227" i="1"/>
  <c r="D3227" i="1"/>
  <c r="I3226" i="1"/>
  <c r="D3226" i="1"/>
  <c r="I3225" i="1"/>
  <c r="D3225" i="1"/>
  <c r="I3224" i="1"/>
  <c r="D3224" i="1"/>
  <c r="I3223" i="1"/>
  <c r="D3223" i="1"/>
  <c r="I3222" i="1"/>
  <c r="D3222" i="1"/>
  <c r="I3221" i="1"/>
  <c r="D3221" i="1"/>
  <c r="I3220" i="1"/>
  <c r="D3220" i="1"/>
  <c r="I3219" i="1"/>
  <c r="D3219" i="1"/>
  <c r="I3218" i="1"/>
  <c r="D3218" i="1"/>
  <c r="I3217" i="1"/>
  <c r="D3217" i="1"/>
  <c r="I3216" i="1"/>
  <c r="D3216" i="1"/>
  <c r="I3215" i="1"/>
  <c r="D3215" i="1"/>
  <c r="I3214" i="1"/>
  <c r="D3214" i="1"/>
  <c r="I3213" i="1"/>
  <c r="D3213" i="1"/>
  <c r="I3211" i="1"/>
  <c r="D3211" i="1"/>
  <c r="I3210" i="1"/>
  <c r="D3210" i="1"/>
  <c r="I3209" i="1"/>
  <c r="C3237" i="1" l="1"/>
  <c r="D3237" i="1" s="1"/>
  <c r="C3192" i="1"/>
  <c r="D3192" i="1" s="1"/>
  <c r="C3186" i="1"/>
  <c r="D3186" i="1" s="1"/>
  <c r="C3177" i="1"/>
  <c r="D3174" i="1"/>
  <c r="D3175" i="1"/>
  <c r="H3201" i="1"/>
  <c r="I3201" i="1" s="1"/>
  <c r="I3200" i="1"/>
  <c r="D3200" i="1"/>
  <c r="I3199" i="1"/>
  <c r="D3199" i="1"/>
  <c r="I3198" i="1"/>
  <c r="D3198" i="1"/>
  <c r="I3197" i="1"/>
  <c r="D3197" i="1"/>
  <c r="I3196" i="1"/>
  <c r="D3196" i="1"/>
  <c r="I3195" i="1"/>
  <c r="D3195" i="1"/>
  <c r="I3194" i="1"/>
  <c r="D3194" i="1"/>
  <c r="I3193" i="1"/>
  <c r="D3193" i="1"/>
  <c r="I3192" i="1"/>
  <c r="I3191" i="1"/>
  <c r="D3191" i="1"/>
  <c r="I3190" i="1"/>
  <c r="D3190" i="1"/>
  <c r="I3189" i="1"/>
  <c r="D3189" i="1"/>
  <c r="I3188" i="1"/>
  <c r="D3188" i="1"/>
  <c r="I3187" i="1"/>
  <c r="D3187" i="1"/>
  <c r="I3186" i="1"/>
  <c r="I3185" i="1"/>
  <c r="D3185" i="1"/>
  <c r="I3184" i="1"/>
  <c r="D3184" i="1"/>
  <c r="I3183" i="1"/>
  <c r="D3183" i="1"/>
  <c r="I3182" i="1"/>
  <c r="D3182" i="1"/>
  <c r="I3181" i="1"/>
  <c r="D3181" i="1"/>
  <c r="I3180" i="1"/>
  <c r="D3180" i="1"/>
  <c r="I3179" i="1"/>
  <c r="D3179" i="1"/>
  <c r="I3178" i="1"/>
  <c r="D3178" i="1"/>
  <c r="I3177" i="1"/>
  <c r="I3175" i="1"/>
  <c r="I3174" i="1"/>
  <c r="I3173" i="1"/>
  <c r="D3173" i="1"/>
  <c r="D3150" i="1"/>
  <c r="D3151" i="1"/>
  <c r="D3152" i="1"/>
  <c r="D3153" i="1"/>
  <c r="D3154" i="1"/>
  <c r="D3155" i="1"/>
  <c r="D3156" i="1"/>
  <c r="D3157" i="1"/>
  <c r="D3158" i="1"/>
  <c r="C3201" i="1" l="1"/>
  <c r="D3201" i="1" s="1"/>
  <c r="D3177" i="1"/>
  <c r="D3164" i="1"/>
  <c r="I3128" i="1" l="1"/>
  <c r="I3127" i="1"/>
  <c r="C3165" i="1"/>
  <c r="D3165" i="1" s="1"/>
  <c r="I3164" i="1"/>
  <c r="I3163" i="1"/>
  <c r="D3163" i="1"/>
  <c r="I3162" i="1"/>
  <c r="D3162" i="1"/>
  <c r="I3161" i="1"/>
  <c r="D3161" i="1"/>
  <c r="I3160" i="1"/>
  <c r="D3160" i="1"/>
  <c r="I3159" i="1"/>
  <c r="D3159" i="1"/>
  <c r="I3158" i="1"/>
  <c r="I3157" i="1"/>
  <c r="I3156" i="1"/>
  <c r="I3155" i="1"/>
  <c r="I3154" i="1"/>
  <c r="I3153" i="1"/>
  <c r="I3152" i="1"/>
  <c r="I3151" i="1"/>
  <c r="I3150" i="1"/>
  <c r="I3149" i="1"/>
  <c r="D3149" i="1"/>
  <c r="I3148" i="1"/>
  <c r="D3148" i="1"/>
  <c r="I3147" i="1"/>
  <c r="D3147" i="1"/>
  <c r="I3146" i="1"/>
  <c r="D3146" i="1"/>
  <c r="I3145" i="1"/>
  <c r="D3145" i="1"/>
  <c r="I3144" i="1"/>
  <c r="D3144" i="1"/>
  <c r="I3143" i="1"/>
  <c r="D3143" i="1"/>
  <c r="I3142" i="1"/>
  <c r="D3142" i="1"/>
  <c r="I3141" i="1"/>
  <c r="D3141" i="1"/>
  <c r="I3139" i="1"/>
  <c r="D3139" i="1"/>
  <c r="I3138" i="1"/>
  <c r="D3138" i="1"/>
  <c r="I3137" i="1"/>
  <c r="D3137" i="1"/>
  <c r="H3165" i="1" l="1"/>
  <c r="I3090" i="1"/>
  <c r="I3089" i="1"/>
  <c r="I3126" i="1"/>
  <c r="I3125" i="1"/>
  <c r="I3165" i="1" l="1"/>
  <c r="C3108" i="1" l="1"/>
  <c r="C3106" i="1"/>
  <c r="D2948" i="1" l="1"/>
  <c r="D2947" i="1"/>
  <c r="D3128" i="1"/>
  <c r="D3086" i="1"/>
  <c r="C3052" i="1" l="1"/>
  <c r="I3092" i="1" l="1"/>
  <c r="I3091" i="1"/>
  <c r="D3092" i="1"/>
  <c r="I2984" i="1"/>
  <c r="I3020" i="1"/>
  <c r="D3033" i="1"/>
  <c r="I3033" i="1"/>
  <c r="I3030" i="1"/>
  <c r="I3056" i="1"/>
  <c r="D3056" i="1"/>
  <c r="D3065" i="1" l="1"/>
  <c r="I3065" i="1"/>
  <c r="D3066" i="1"/>
  <c r="I3066" i="1"/>
  <c r="D3067" i="1"/>
  <c r="I3067" i="1"/>
  <c r="D3069" i="1"/>
  <c r="I3069" i="1"/>
  <c r="D3070" i="1"/>
  <c r="I3070" i="1"/>
  <c r="D3071" i="1"/>
  <c r="I3071" i="1"/>
  <c r="D3072" i="1"/>
  <c r="I3072" i="1"/>
  <c r="D3073" i="1"/>
  <c r="I3073" i="1"/>
  <c r="D3074" i="1"/>
  <c r="I3074" i="1"/>
  <c r="D3075" i="1"/>
  <c r="I3075" i="1"/>
  <c r="D3076" i="1"/>
  <c r="I3076" i="1"/>
  <c r="D3077" i="1"/>
  <c r="I3077" i="1"/>
  <c r="D3078" i="1"/>
  <c r="I3078" i="1"/>
  <c r="D3079" i="1"/>
  <c r="I3079" i="1"/>
  <c r="D3080" i="1"/>
  <c r="I3080" i="1"/>
  <c r="D3081" i="1"/>
  <c r="I3081" i="1"/>
  <c r="D3082" i="1"/>
  <c r="I3082" i="1"/>
  <c r="D3083" i="1"/>
  <c r="I3083" i="1"/>
  <c r="D3084" i="1"/>
  <c r="I3084" i="1"/>
  <c r="D3085" i="1"/>
  <c r="I3085" i="1"/>
  <c r="I3086" i="1"/>
  <c r="D3087" i="1"/>
  <c r="I3087" i="1"/>
  <c r="D3088" i="1"/>
  <c r="I3088" i="1"/>
  <c r="D3089" i="1"/>
  <c r="D3090" i="1"/>
  <c r="D3091" i="1"/>
  <c r="C3093" i="1"/>
  <c r="D3093" i="1" s="1"/>
  <c r="H3093" i="1"/>
  <c r="I3093" i="1" s="1"/>
  <c r="D3101" i="1"/>
  <c r="I3101" i="1"/>
  <c r="D3102" i="1"/>
  <c r="I3102" i="1"/>
  <c r="D3103" i="1"/>
  <c r="I3103" i="1"/>
  <c r="D3105" i="1"/>
  <c r="I3105" i="1"/>
  <c r="D3106" i="1"/>
  <c r="I3106" i="1"/>
  <c r="D3107" i="1"/>
  <c r="I3107" i="1"/>
  <c r="D3108" i="1"/>
  <c r="I3108" i="1"/>
  <c r="D3109" i="1"/>
  <c r="I3109" i="1"/>
  <c r="D3110" i="1"/>
  <c r="I3110" i="1"/>
  <c r="D3111" i="1"/>
  <c r="I3111" i="1"/>
  <c r="D3112" i="1"/>
  <c r="I3112" i="1"/>
  <c r="D3113" i="1"/>
  <c r="I3113" i="1"/>
  <c r="D3114" i="1"/>
  <c r="I3114" i="1"/>
  <c r="D3115" i="1"/>
  <c r="I3115" i="1"/>
  <c r="D3116" i="1"/>
  <c r="I3116" i="1"/>
  <c r="D3117" i="1"/>
  <c r="I3117" i="1"/>
  <c r="D3118" i="1"/>
  <c r="I3118" i="1"/>
  <c r="D3119" i="1"/>
  <c r="I3119" i="1"/>
  <c r="D3120" i="1"/>
  <c r="I3120" i="1"/>
  <c r="D3121" i="1"/>
  <c r="I3121" i="1"/>
  <c r="D3122" i="1"/>
  <c r="I3122" i="1"/>
  <c r="D3123" i="1"/>
  <c r="I3123" i="1"/>
  <c r="D3124" i="1"/>
  <c r="I3124" i="1"/>
  <c r="D3125" i="1"/>
  <c r="D3126" i="1"/>
  <c r="D3127" i="1"/>
  <c r="C3129" i="1"/>
  <c r="D3129" i="1" s="1"/>
  <c r="H3129" i="1"/>
  <c r="I3129" i="1" s="1"/>
  <c r="I2947" i="1" l="1"/>
  <c r="I2948" i="1"/>
  <c r="D3020" i="1" l="1"/>
  <c r="I3019" i="1" l="1"/>
  <c r="H3057" i="1"/>
  <c r="I3057" i="1" s="1"/>
  <c r="C3057" i="1"/>
  <c r="D3057" i="1" s="1"/>
  <c r="I3055" i="1"/>
  <c r="D3055" i="1"/>
  <c r="I3054" i="1"/>
  <c r="D3054" i="1"/>
  <c r="I3053" i="1"/>
  <c r="D3053" i="1"/>
  <c r="I3052" i="1"/>
  <c r="D3052" i="1"/>
  <c r="I3051" i="1"/>
  <c r="D3051" i="1"/>
  <c r="I3050" i="1"/>
  <c r="D3050" i="1"/>
  <c r="I3049" i="1"/>
  <c r="D3049" i="1"/>
  <c r="I3048" i="1"/>
  <c r="D3048" i="1"/>
  <c r="I3047" i="1"/>
  <c r="D3047" i="1"/>
  <c r="I3046" i="1"/>
  <c r="D3046" i="1"/>
  <c r="I3045" i="1"/>
  <c r="D3045" i="1"/>
  <c r="I3044" i="1"/>
  <c r="D3044" i="1"/>
  <c r="I3043" i="1"/>
  <c r="D3043" i="1"/>
  <c r="I3042" i="1"/>
  <c r="D3042" i="1"/>
  <c r="I3041" i="1"/>
  <c r="D3041" i="1"/>
  <c r="I3040" i="1"/>
  <c r="D3040" i="1"/>
  <c r="I3039" i="1"/>
  <c r="D3039" i="1"/>
  <c r="I3038" i="1"/>
  <c r="D3038" i="1"/>
  <c r="I3037" i="1"/>
  <c r="D3037" i="1"/>
  <c r="I3036" i="1"/>
  <c r="D3036" i="1"/>
  <c r="I3035" i="1"/>
  <c r="D3035" i="1"/>
  <c r="I3034" i="1"/>
  <c r="D3034" i="1"/>
  <c r="I3031" i="1"/>
  <c r="D3031" i="1"/>
  <c r="D3030" i="1"/>
  <c r="I3029" i="1"/>
  <c r="D3029" i="1"/>
  <c r="I3018" i="1" l="1"/>
  <c r="I3017" i="1"/>
  <c r="I2994" i="1"/>
  <c r="I2983" i="1"/>
  <c r="H3021" i="1"/>
  <c r="I3021" i="1" s="1"/>
  <c r="C3021" i="1"/>
  <c r="D3021" i="1" s="1"/>
  <c r="D3019" i="1"/>
  <c r="D3018" i="1"/>
  <c r="D3017" i="1"/>
  <c r="I3016" i="1"/>
  <c r="D3016" i="1"/>
  <c r="I3015" i="1"/>
  <c r="D3015" i="1"/>
  <c r="I3014" i="1"/>
  <c r="D3014" i="1"/>
  <c r="I3013" i="1"/>
  <c r="D3013" i="1"/>
  <c r="I3012" i="1"/>
  <c r="D3012" i="1"/>
  <c r="I3011" i="1"/>
  <c r="D3011" i="1"/>
  <c r="I3010" i="1"/>
  <c r="D3010" i="1"/>
  <c r="I3009" i="1"/>
  <c r="D3009" i="1"/>
  <c r="I3008" i="1"/>
  <c r="D3008" i="1"/>
  <c r="I3007" i="1"/>
  <c r="D3007" i="1"/>
  <c r="I3006" i="1"/>
  <c r="D3006" i="1"/>
  <c r="I3005" i="1"/>
  <c r="D3005" i="1"/>
  <c r="I3004" i="1"/>
  <c r="D3004" i="1"/>
  <c r="I3003" i="1"/>
  <c r="D3003" i="1"/>
  <c r="I3002" i="1"/>
  <c r="D3002" i="1"/>
  <c r="I3001" i="1"/>
  <c r="D3001" i="1"/>
  <c r="I3000" i="1"/>
  <c r="D3000" i="1"/>
  <c r="I2999" i="1"/>
  <c r="D2999" i="1"/>
  <c r="I2998" i="1"/>
  <c r="D2998" i="1"/>
  <c r="I2997" i="1"/>
  <c r="D2997" i="1"/>
  <c r="I2995" i="1"/>
  <c r="D2995" i="1"/>
  <c r="D2994" i="1"/>
  <c r="I2993" i="1"/>
  <c r="D2993" i="1"/>
  <c r="I2981" i="1" l="1"/>
  <c r="I2980" i="1"/>
  <c r="I2979" i="1"/>
  <c r="D2984" i="1"/>
  <c r="C2939" i="1"/>
  <c r="C2937" i="1"/>
  <c r="I2982" i="1" l="1"/>
  <c r="H2985" i="1"/>
  <c r="I2985" i="1" s="1"/>
  <c r="C2985" i="1"/>
  <c r="D2985" i="1" s="1"/>
  <c r="D2983" i="1"/>
  <c r="D2982" i="1"/>
  <c r="D2981" i="1"/>
  <c r="D2980" i="1"/>
  <c r="D2979" i="1"/>
  <c r="I2978" i="1"/>
  <c r="D2978" i="1"/>
  <c r="I2977" i="1"/>
  <c r="D2977" i="1"/>
  <c r="I2976" i="1"/>
  <c r="D2976" i="1"/>
  <c r="I2975" i="1"/>
  <c r="D2975" i="1"/>
  <c r="I2974" i="1"/>
  <c r="D2974" i="1"/>
  <c r="I2973" i="1"/>
  <c r="D2973" i="1"/>
  <c r="I2972" i="1"/>
  <c r="D2972" i="1"/>
  <c r="I2971" i="1"/>
  <c r="D2971" i="1"/>
  <c r="I2970" i="1"/>
  <c r="D2970" i="1"/>
  <c r="I2969" i="1"/>
  <c r="D2969" i="1"/>
  <c r="I2968" i="1"/>
  <c r="D2968" i="1"/>
  <c r="I2967" i="1"/>
  <c r="D2967" i="1"/>
  <c r="I2966" i="1"/>
  <c r="D2966" i="1"/>
  <c r="I2965" i="1"/>
  <c r="D2965" i="1"/>
  <c r="I2964" i="1"/>
  <c r="D2964" i="1"/>
  <c r="I2963" i="1"/>
  <c r="D2963" i="1"/>
  <c r="I2962" i="1"/>
  <c r="D2962" i="1"/>
  <c r="I2961" i="1"/>
  <c r="D2961" i="1"/>
  <c r="I2959" i="1"/>
  <c r="D2959" i="1"/>
  <c r="I2958" i="1"/>
  <c r="D2958" i="1"/>
  <c r="I2957" i="1"/>
  <c r="D2957" i="1"/>
  <c r="H2949" i="1" l="1"/>
  <c r="I2949" i="1" s="1"/>
  <c r="C2949" i="1"/>
  <c r="D2949" i="1" s="1"/>
  <c r="I2946" i="1"/>
  <c r="D2946" i="1"/>
  <c r="I2945" i="1"/>
  <c r="D2945" i="1"/>
  <c r="I2944" i="1"/>
  <c r="D2944" i="1"/>
  <c r="I2943" i="1"/>
  <c r="D2943" i="1"/>
  <c r="I2942" i="1"/>
  <c r="D2942" i="1"/>
  <c r="I2941" i="1"/>
  <c r="D2941" i="1"/>
  <c r="I2940" i="1"/>
  <c r="D2940" i="1"/>
  <c r="I2939" i="1"/>
  <c r="D2939" i="1"/>
  <c r="I2938" i="1"/>
  <c r="D2938" i="1"/>
  <c r="I2937" i="1"/>
  <c r="D2937" i="1"/>
  <c r="I2936" i="1"/>
  <c r="D2936" i="1"/>
  <c r="I2935" i="1"/>
  <c r="D2935" i="1"/>
  <c r="I2934" i="1"/>
  <c r="D2934" i="1"/>
  <c r="I2933" i="1"/>
  <c r="D2933" i="1"/>
  <c r="I2932" i="1"/>
  <c r="D2932" i="1"/>
  <c r="I2931" i="1"/>
  <c r="D2931" i="1"/>
  <c r="I2930" i="1"/>
  <c r="D2930" i="1"/>
  <c r="I2929" i="1"/>
  <c r="D2929" i="1"/>
  <c r="I2928" i="1"/>
  <c r="D2928" i="1"/>
  <c r="I2927" i="1"/>
  <c r="D2927" i="1"/>
  <c r="I2926" i="1"/>
  <c r="D2926" i="1"/>
  <c r="I2925" i="1"/>
  <c r="D2925" i="1"/>
  <c r="I2923" i="1"/>
  <c r="D2923" i="1"/>
  <c r="I2922" i="1"/>
  <c r="D2922" i="1"/>
  <c r="I2921" i="1"/>
  <c r="D2921" i="1"/>
  <c r="D2887" i="1" l="1"/>
  <c r="I2912" i="1" l="1"/>
  <c r="I2874" i="1" l="1"/>
  <c r="C2913" i="1"/>
  <c r="D2913" i="1" s="1"/>
  <c r="H2913" i="1"/>
  <c r="I2913" i="1" s="1"/>
  <c r="D2912" i="1"/>
  <c r="I2911" i="1"/>
  <c r="D2911" i="1"/>
  <c r="I2910" i="1"/>
  <c r="D2910" i="1"/>
  <c r="I2909" i="1"/>
  <c r="D2909" i="1"/>
  <c r="I2908" i="1"/>
  <c r="D2908" i="1"/>
  <c r="I2907" i="1"/>
  <c r="D2907" i="1"/>
  <c r="I2906" i="1"/>
  <c r="D2906" i="1"/>
  <c r="I2905" i="1"/>
  <c r="D2905" i="1"/>
  <c r="I2904" i="1"/>
  <c r="D2904" i="1"/>
  <c r="I2903" i="1"/>
  <c r="D2903" i="1"/>
  <c r="I2902" i="1"/>
  <c r="D2902" i="1"/>
  <c r="I2901" i="1"/>
  <c r="D2901" i="1"/>
  <c r="I2900" i="1"/>
  <c r="D2900" i="1"/>
  <c r="I2899" i="1"/>
  <c r="D2899" i="1"/>
  <c r="I2898" i="1"/>
  <c r="D2898" i="1"/>
  <c r="I2897" i="1"/>
  <c r="D2897" i="1"/>
  <c r="I2896" i="1"/>
  <c r="D2896" i="1"/>
  <c r="I2895" i="1"/>
  <c r="D2895" i="1"/>
  <c r="I2894" i="1"/>
  <c r="D2894" i="1"/>
  <c r="I2893" i="1"/>
  <c r="D2893" i="1"/>
  <c r="I2892" i="1"/>
  <c r="D2892" i="1"/>
  <c r="I2891" i="1"/>
  <c r="D2891" i="1"/>
  <c r="I2890" i="1"/>
  <c r="D2890" i="1"/>
  <c r="I2889" i="1"/>
  <c r="D2889" i="1"/>
  <c r="I2887" i="1"/>
  <c r="I2886" i="1"/>
  <c r="D2886" i="1"/>
  <c r="I2885" i="1"/>
  <c r="D2885" i="1"/>
  <c r="I2839" i="1" l="1"/>
  <c r="I2838" i="1"/>
  <c r="C2826" i="1" l="1"/>
  <c r="I2814" i="1" l="1"/>
  <c r="D2779" i="1" l="1"/>
  <c r="I2840" i="1" l="1"/>
  <c r="I2803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5" i="1"/>
  <c r="I2813" i="1"/>
  <c r="H2877" i="1"/>
  <c r="I2877" i="1" s="1"/>
  <c r="C2877" i="1"/>
  <c r="D2877" i="1" s="1"/>
  <c r="I2876" i="1"/>
  <c r="D2876" i="1"/>
  <c r="I2875" i="1"/>
  <c r="D2875" i="1"/>
  <c r="D2874" i="1"/>
  <c r="I2873" i="1"/>
  <c r="D2873" i="1"/>
  <c r="I2872" i="1"/>
  <c r="D2872" i="1"/>
  <c r="I2871" i="1"/>
  <c r="D2871" i="1"/>
  <c r="I2870" i="1"/>
  <c r="D2870" i="1"/>
  <c r="I2869" i="1"/>
  <c r="D2869" i="1"/>
  <c r="I2868" i="1"/>
  <c r="D2868" i="1"/>
  <c r="I2867" i="1"/>
  <c r="D2867" i="1"/>
  <c r="I2866" i="1"/>
  <c r="D2866" i="1"/>
  <c r="I2865" i="1"/>
  <c r="D2865" i="1"/>
  <c r="I2864" i="1"/>
  <c r="D2864" i="1"/>
  <c r="I2863" i="1"/>
  <c r="D2863" i="1"/>
  <c r="I2862" i="1"/>
  <c r="D2862" i="1"/>
  <c r="I2861" i="1"/>
  <c r="D2861" i="1"/>
  <c r="I2860" i="1"/>
  <c r="D2860" i="1"/>
  <c r="I2859" i="1"/>
  <c r="D2859" i="1"/>
  <c r="I2858" i="1"/>
  <c r="D2858" i="1"/>
  <c r="I2857" i="1"/>
  <c r="D2857" i="1"/>
  <c r="I2856" i="1"/>
  <c r="D2856" i="1"/>
  <c r="I2855" i="1"/>
  <c r="D2855" i="1"/>
  <c r="I2854" i="1"/>
  <c r="D2854" i="1"/>
  <c r="I2853" i="1"/>
  <c r="D2853" i="1"/>
  <c r="I2851" i="1"/>
  <c r="D2851" i="1"/>
  <c r="I2850" i="1"/>
  <c r="D2850" i="1"/>
  <c r="I2849" i="1"/>
  <c r="D2849" i="1"/>
  <c r="I2802" i="1"/>
  <c r="I2804" i="1"/>
  <c r="C2841" i="1"/>
  <c r="D2841" i="1" s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5" i="1"/>
  <c r="D2814" i="1"/>
  <c r="D2813" i="1"/>
  <c r="H2841" i="1" l="1"/>
  <c r="I2841" i="1" s="1"/>
  <c r="D2764" i="1"/>
  <c r="I2731" i="1" l="1"/>
  <c r="I2732" i="1"/>
  <c r="I2766" i="1"/>
  <c r="D2727" i="1" l="1"/>
  <c r="D2726" i="1"/>
  <c r="D2745" i="1"/>
  <c r="D2728" i="1"/>
  <c r="I2768" i="1" l="1"/>
  <c r="I2767" i="1"/>
  <c r="I2730" i="1"/>
  <c r="I2764" i="1"/>
  <c r="I2765" i="1"/>
  <c r="I2800" i="1"/>
  <c r="H2733" i="1"/>
  <c r="I2733" i="1" s="1"/>
  <c r="H76" i="1"/>
  <c r="H80" i="1" s="1"/>
  <c r="H105" i="1"/>
  <c r="I105" i="1" s="1"/>
  <c r="H141" i="1"/>
  <c r="I141" i="1" s="1"/>
  <c r="H177" i="1"/>
  <c r="I177" i="1" s="1"/>
  <c r="H213" i="1"/>
  <c r="I213" i="1" s="1"/>
  <c r="H249" i="1"/>
  <c r="I249" i="1" s="1"/>
  <c r="H285" i="1"/>
  <c r="I285" i="1" s="1"/>
  <c r="H321" i="1"/>
  <c r="I321" i="1" s="1"/>
  <c r="H357" i="1"/>
  <c r="I357" i="1" s="1"/>
  <c r="H393" i="1"/>
  <c r="I393" i="1" s="1"/>
  <c r="H429" i="1"/>
  <c r="I429" i="1" s="1"/>
  <c r="H465" i="1"/>
  <c r="I465" i="1" s="1"/>
  <c r="H501" i="1"/>
  <c r="I501" i="1" s="1"/>
  <c r="H537" i="1"/>
  <c r="I537" i="1" s="1"/>
  <c r="H573" i="1"/>
  <c r="I573" i="1" s="1"/>
  <c r="H609" i="1"/>
  <c r="I609" i="1" s="1"/>
  <c r="H645" i="1"/>
  <c r="I645" i="1" s="1"/>
  <c r="H681" i="1"/>
  <c r="I681" i="1" s="1"/>
  <c r="H717" i="1"/>
  <c r="I717" i="1" s="1"/>
  <c r="H753" i="1"/>
  <c r="I753" i="1" s="1"/>
  <c r="H789" i="1"/>
  <c r="I789" i="1" s="1"/>
  <c r="H825" i="1"/>
  <c r="I825" i="1" s="1"/>
  <c r="H861" i="1"/>
  <c r="I861" i="1" s="1"/>
  <c r="H897" i="1"/>
  <c r="I897" i="1" s="1"/>
  <c r="H933" i="1"/>
  <c r="I933" i="1" s="1"/>
  <c r="H969" i="1"/>
  <c r="I969" i="1" s="1"/>
  <c r="H1005" i="1"/>
  <c r="I1005" i="1" s="1"/>
  <c r="H1041" i="1"/>
  <c r="I1041" i="1" s="1"/>
  <c r="H1077" i="1"/>
  <c r="I1077" i="1" s="1"/>
  <c r="H1113" i="1"/>
  <c r="I1113" i="1" s="1"/>
  <c r="H1149" i="1"/>
  <c r="I1149" i="1" s="1"/>
  <c r="H1185" i="1"/>
  <c r="I1185" i="1" s="1"/>
  <c r="H1221" i="1"/>
  <c r="I1221" i="1" s="1"/>
  <c r="H1257" i="1"/>
  <c r="I1257" i="1" s="1"/>
  <c r="H1293" i="1"/>
  <c r="I1293" i="1" s="1"/>
  <c r="H1329" i="1"/>
  <c r="I1329" i="1" s="1"/>
  <c r="H1365" i="1"/>
  <c r="I1365" i="1" s="1"/>
  <c r="H1401" i="1"/>
  <c r="I1401" i="1" s="1"/>
  <c r="H1437" i="1"/>
  <c r="I1437" i="1" s="1"/>
  <c r="H1473" i="1"/>
  <c r="I1473" i="1" s="1"/>
  <c r="H1509" i="1"/>
  <c r="I1509" i="1" s="1"/>
  <c r="H1545" i="1"/>
  <c r="I1545" i="1" s="1"/>
  <c r="H1581" i="1"/>
  <c r="I1581" i="1" s="1"/>
  <c r="H1617" i="1"/>
  <c r="I1617" i="1" s="1"/>
  <c r="H1653" i="1"/>
  <c r="I1653" i="1" s="1"/>
  <c r="H1689" i="1"/>
  <c r="I1689" i="1" s="1"/>
  <c r="H1725" i="1"/>
  <c r="I1725" i="1" s="1"/>
  <c r="H1761" i="1"/>
  <c r="I1761" i="1" s="1"/>
  <c r="H1797" i="1"/>
  <c r="I1797" i="1" s="1"/>
  <c r="H1833" i="1"/>
  <c r="I1833" i="1" s="1"/>
  <c r="H1869" i="1"/>
  <c r="I1869" i="1" s="1"/>
  <c r="H1905" i="1"/>
  <c r="I1905" i="1" s="1"/>
  <c r="H1941" i="1"/>
  <c r="I1941" i="1" s="1"/>
  <c r="H1977" i="1"/>
  <c r="I1977" i="1" s="1"/>
  <c r="H2013" i="1"/>
  <c r="I2013" i="1" s="1"/>
  <c r="H2049" i="1"/>
  <c r="I2049" i="1" s="1"/>
  <c r="H2085" i="1"/>
  <c r="I2085" i="1" s="1"/>
  <c r="H2121" i="1"/>
  <c r="I2121" i="1" s="1"/>
  <c r="H2157" i="1"/>
  <c r="I2157" i="1" s="1"/>
  <c r="H2193" i="1"/>
  <c r="H2229" i="1"/>
  <c r="I2229" i="1" s="1"/>
  <c r="H2265" i="1"/>
  <c r="I2265" i="1" s="1"/>
  <c r="H2301" i="1"/>
  <c r="I2301" i="1" s="1"/>
  <c r="H2337" i="1"/>
  <c r="I2337" i="1" s="1"/>
  <c r="H2373" i="1"/>
  <c r="I2373" i="1" s="1"/>
  <c r="H2409" i="1"/>
  <c r="I2409" i="1" s="1"/>
  <c r="H2445" i="1"/>
  <c r="I2445" i="1" s="1"/>
  <c r="H2481" i="1"/>
  <c r="I2481" i="1" s="1"/>
  <c r="H2517" i="1"/>
  <c r="I2517" i="1" s="1"/>
  <c r="H2553" i="1"/>
  <c r="I2553" i="1" s="1"/>
  <c r="H2589" i="1"/>
  <c r="I2589" i="1" s="1"/>
  <c r="H2625" i="1"/>
  <c r="I2625" i="1" s="1"/>
  <c r="H2661" i="1"/>
  <c r="I2661" i="1" s="1"/>
  <c r="H2697" i="1"/>
  <c r="I2697" i="1" s="1"/>
  <c r="I2741" i="1"/>
  <c r="I2742" i="1"/>
  <c r="I2743" i="1"/>
  <c r="H2769" i="1"/>
  <c r="I2769" i="1" s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77" i="1"/>
  <c r="I2778" i="1"/>
  <c r="I2779" i="1"/>
  <c r="H2805" i="1"/>
  <c r="I2805" i="1" s="1"/>
  <c r="C8" i="1"/>
  <c r="C33" i="1"/>
  <c r="D33" i="1" s="1"/>
  <c r="C69" i="1"/>
  <c r="D69" i="1" s="1"/>
  <c r="C105" i="1"/>
  <c r="D105" i="1" s="1"/>
  <c r="C141" i="1"/>
  <c r="D141" i="1" s="1"/>
  <c r="C177" i="1"/>
  <c r="D177" i="1" s="1"/>
  <c r="C213" i="1"/>
  <c r="D213" i="1" s="1"/>
  <c r="C249" i="1"/>
  <c r="D249" i="1" s="1"/>
  <c r="C285" i="1"/>
  <c r="D285" i="1" s="1"/>
  <c r="C321" i="1"/>
  <c r="D321" i="1" s="1"/>
  <c r="C357" i="1"/>
  <c r="D357" i="1" s="1"/>
  <c r="C393" i="1"/>
  <c r="D393" i="1" s="1"/>
  <c r="C429" i="1"/>
  <c r="D429" i="1" s="1"/>
  <c r="C465" i="1"/>
  <c r="D465" i="1" s="1"/>
  <c r="C501" i="1"/>
  <c r="D501" i="1" s="1"/>
  <c r="C537" i="1"/>
  <c r="D537" i="1" s="1"/>
  <c r="C573" i="1"/>
  <c r="D573" i="1" s="1"/>
  <c r="C609" i="1"/>
  <c r="D609" i="1" s="1"/>
  <c r="C645" i="1"/>
  <c r="D645" i="1" s="1"/>
  <c r="C681" i="1"/>
  <c r="D681" i="1" s="1"/>
  <c r="C717" i="1"/>
  <c r="D717" i="1" s="1"/>
  <c r="C753" i="1"/>
  <c r="D753" i="1" s="1"/>
  <c r="C789" i="1"/>
  <c r="D789" i="1" s="1"/>
  <c r="C825" i="1"/>
  <c r="D825" i="1" s="1"/>
  <c r="C861" i="1"/>
  <c r="D861" i="1" s="1"/>
  <c r="C897" i="1"/>
  <c r="D897" i="1" s="1"/>
  <c r="C933" i="1"/>
  <c r="D933" i="1" s="1"/>
  <c r="C969" i="1"/>
  <c r="D969" i="1" s="1"/>
  <c r="C1005" i="1"/>
  <c r="D1005" i="1" s="1"/>
  <c r="C1041" i="1"/>
  <c r="D1041" i="1" s="1"/>
  <c r="C1077" i="1"/>
  <c r="D1077" i="1" s="1"/>
  <c r="C1113" i="1"/>
  <c r="D1113" i="1" s="1"/>
  <c r="C1149" i="1"/>
  <c r="D1149" i="1" s="1"/>
  <c r="C1185" i="1"/>
  <c r="D1185" i="1" s="1"/>
  <c r="C1221" i="1"/>
  <c r="D1221" i="1" s="1"/>
  <c r="C1257" i="1"/>
  <c r="D1257" i="1" s="1"/>
  <c r="C1293" i="1"/>
  <c r="D1293" i="1" s="1"/>
  <c r="C1329" i="1"/>
  <c r="D1329" i="1" s="1"/>
  <c r="C1365" i="1"/>
  <c r="D1365" i="1" s="1"/>
  <c r="C1401" i="1"/>
  <c r="D1401" i="1" s="1"/>
  <c r="C1437" i="1"/>
  <c r="D1437" i="1" s="1"/>
  <c r="C1473" i="1"/>
  <c r="D1473" i="1" s="1"/>
  <c r="C1509" i="1"/>
  <c r="D1509" i="1" s="1"/>
  <c r="C1545" i="1"/>
  <c r="D1545" i="1" s="1"/>
  <c r="C1581" i="1"/>
  <c r="D1581" i="1" s="1"/>
  <c r="C1617" i="1"/>
  <c r="D1617" i="1" s="1"/>
  <c r="C1653" i="1"/>
  <c r="D1653" i="1" s="1"/>
  <c r="C1689" i="1"/>
  <c r="D1689" i="1" s="1"/>
  <c r="C1725" i="1"/>
  <c r="D1725" i="1" s="1"/>
  <c r="C1761" i="1"/>
  <c r="D1761" i="1" s="1"/>
  <c r="C1797" i="1"/>
  <c r="D1797" i="1" s="1"/>
  <c r="C1833" i="1"/>
  <c r="D1833" i="1" s="1"/>
  <c r="C1869" i="1"/>
  <c r="D1869" i="1" s="1"/>
  <c r="C1905" i="1"/>
  <c r="D1905" i="1" s="1"/>
  <c r="C1941" i="1"/>
  <c r="D1941" i="1" s="1"/>
  <c r="C1977" i="1"/>
  <c r="D1977" i="1" s="1"/>
  <c r="C2013" i="1"/>
  <c r="D2013" i="1" s="1"/>
  <c r="C2049" i="1"/>
  <c r="D2049" i="1" s="1"/>
  <c r="C2085" i="1"/>
  <c r="D2085" i="1" s="1"/>
  <c r="C2121" i="1"/>
  <c r="D2121" i="1" s="1"/>
  <c r="C2157" i="1"/>
  <c r="D2157" i="1" s="1"/>
  <c r="C2193" i="1"/>
  <c r="D2193" i="1" s="1"/>
  <c r="C2229" i="1"/>
  <c r="D2229" i="1" s="1"/>
  <c r="C2265" i="1"/>
  <c r="D2265" i="1" s="1"/>
  <c r="C2301" i="1"/>
  <c r="D2301" i="1" s="1"/>
  <c r="C2337" i="1"/>
  <c r="D2337" i="1" s="1"/>
  <c r="C2373" i="1"/>
  <c r="D2373" i="1" s="1"/>
  <c r="C2409" i="1"/>
  <c r="D2409" i="1" s="1"/>
  <c r="C2445" i="1"/>
  <c r="D2445" i="1" s="1"/>
  <c r="C2481" i="1"/>
  <c r="D2481" i="1" s="1"/>
  <c r="C2517" i="1"/>
  <c r="D2517" i="1" s="1"/>
  <c r="C2553" i="1"/>
  <c r="D2553" i="1" s="1"/>
  <c r="C2589" i="1"/>
  <c r="D2589" i="1" s="1"/>
  <c r="C2625" i="1"/>
  <c r="D2625" i="1" s="1"/>
  <c r="C2657" i="1"/>
  <c r="D2657" i="1" s="1"/>
  <c r="C2697" i="1"/>
  <c r="D2697" i="1" s="1"/>
  <c r="C2733" i="1"/>
  <c r="C2769" i="1"/>
  <c r="D2769" i="1" s="1"/>
  <c r="D2777" i="1"/>
  <c r="D2778" i="1"/>
  <c r="C2805" i="1"/>
  <c r="D2805" i="1" s="1"/>
  <c r="D2804" i="1"/>
  <c r="D2803" i="1"/>
  <c r="D2802" i="1"/>
  <c r="I2801" i="1"/>
  <c r="D2801" i="1"/>
  <c r="D2800" i="1"/>
  <c r="I2799" i="1"/>
  <c r="D2799" i="1"/>
  <c r="I2798" i="1"/>
  <c r="D2798" i="1"/>
  <c r="I2797" i="1"/>
  <c r="D2797" i="1"/>
  <c r="I2796" i="1"/>
  <c r="D2796" i="1"/>
  <c r="I2795" i="1"/>
  <c r="D2795" i="1"/>
  <c r="I2794" i="1"/>
  <c r="D2794" i="1"/>
  <c r="I2793" i="1"/>
  <c r="D2793" i="1"/>
  <c r="I2792" i="1"/>
  <c r="D2792" i="1"/>
  <c r="I2791" i="1"/>
  <c r="D2791" i="1"/>
  <c r="I2790" i="1"/>
  <c r="D2790" i="1"/>
  <c r="I2789" i="1"/>
  <c r="D2789" i="1"/>
  <c r="I2788" i="1"/>
  <c r="D2788" i="1"/>
  <c r="I2787" i="1"/>
  <c r="D2787" i="1"/>
  <c r="I2786" i="1"/>
  <c r="D2786" i="1"/>
  <c r="I2785" i="1"/>
  <c r="D2785" i="1"/>
  <c r="I2784" i="1"/>
  <c r="D2784" i="1"/>
  <c r="I2783" i="1"/>
  <c r="D2783" i="1"/>
  <c r="I2782" i="1"/>
  <c r="D2782" i="1"/>
  <c r="I2781" i="1"/>
  <c r="D2781" i="1"/>
  <c r="I2729" i="1"/>
  <c r="I2728" i="1"/>
  <c r="D2741" i="1"/>
  <c r="D2742" i="1"/>
  <c r="D2743" i="1"/>
  <c r="D2768" i="1"/>
  <c r="D2767" i="1"/>
  <c r="D2766" i="1"/>
  <c r="D2765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I2727" i="1"/>
  <c r="I2692" i="1"/>
  <c r="I2693" i="1"/>
  <c r="I2726" i="1"/>
  <c r="I2725" i="1"/>
  <c r="I2634" i="1"/>
  <c r="I2695" i="1"/>
  <c r="I2696" i="1"/>
  <c r="I2659" i="1"/>
  <c r="I2658" i="1"/>
  <c r="D2710" i="1"/>
  <c r="D2638" i="1"/>
  <c r="D2639" i="1"/>
  <c r="D2674" i="1"/>
  <c r="D2675" i="1"/>
  <c r="D2676" i="1"/>
  <c r="D2677" i="1"/>
  <c r="D2678" i="1"/>
  <c r="I2705" i="1"/>
  <c r="I2706" i="1"/>
  <c r="I2707" i="1"/>
  <c r="D2705" i="1"/>
  <c r="D2706" i="1"/>
  <c r="D2707" i="1"/>
  <c r="D2732" i="1"/>
  <c r="D2731" i="1"/>
  <c r="D2730" i="1"/>
  <c r="D2729" i="1"/>
  <c r="D2725" i="1"/>
  <c r="I2724" i="1"/>
  <c r="D2724" i="1"/>
  <c r="I2723" i="1"/>
  <c r="D2723" i="1"/>
  <c r="I2722" i="1"/>
  <c r="D2722" i="1"/>
  <c r="I2721" i="1"/>
  <c r="D2721" i="1"/>
  <c r="I2720" i="1"/>
  <c r="D2720" i="1"/>
  <c r="I2719" i="1"/>
  <c r="D2719" i="1"/>
  <c r="I2718" i="1"/>
  <c r="D2718" i="1"/>
  <c r="I2717" i="1"/>
  <c r="D2717" i="1"/>
  <c r="I2716" i="1"/>
  <c r="D2716" i="1"/>
  <c r="I2715" i="1"/>
  <c r="D2715" i="1"/>
  <c r="I2714" i="1"/>
  <c r="D2714" i="1"/>
  <c r="I2713" i="1"/>
  <c r="D2713" i="1"/>
  <c r="I2712" i="1"/>
  <c r="D2712" i="1"/>
  <c r="I2711" i="1"/>
  <c r="D2711" i="1"/>
  <c r="I2710" i="1"/>
  <c r="I2709" i="1"/>
  <c r="D2709" i="1"/>
  <c r="I2669" i="1"/>
  <c r="I2670" i="1"/>
  <c r="I2671" i="1"/>
  <c r="D2669" i="1"/>
  <c r="D2670" i="1"/>
  <c r="D2671" i="1"/>
  <c r="D2696" i="1"/>
  <c r="D2695" i="1"/>
  <c r="I2694" i="1"/>
  <c r="D2694" i="1"/>
  <c r="D2693" i="1"/>
  <c r="D2692" i="1"/>
  <c r="I2691" i="1"/>
  <c r="D2691" i="1"/>
  <c r="I2690" i="1"/>
  <c r="D2690" i="1"/>
  <c r="I2689" i="1"/>
  <c r="D2689" i="1"/>
  <c r="I2688" i="1"/>
  <c r="D2688" i="1"/>
  <c r="I2687" i="1"/>
  <c r="D2687" i="1"/>
  <c r="I2686" i="1"/>
  <c r="D2686" i="1"/>
  <c r="I2685" i="1"/>
  <c r="D2685" i="1"/>
  <c r="I2684" i="1"/>
  <c r="D2684" i="1"/>
  <c r="I2683" i="1"/>
  <c r="D2683" i="1"/>
  <c r="I2682" i="1"/>
  <c r="D2682" i="1"/>
  <c r="I2681" i="1"/>
  <c r="D2681" i="1"/>
  <c r="I2680" i="1"/>
  <c r="D2680" i="1"/>
  <c r="I2679" i="1"/>
  <c r="D2679" i="1"/>
  <c r="I2678" i="1"/>
  <c r="I2677" i="1"/>
  <c r="I2676" i="1"/>
  <c r="I2675" i="1"/>
  <c r="I2674" i="1"/>
  <c r="I2673" i="1"/>
  <c r="D2673" i="1"/>
  <c r="I2633" i="1"/>
  <c r="I2635" i="1"/>
  <c r="D2633" i="1"/>
  <c r="D2634" i="1"/>
  <c r="D2635" i="1"/>
  <c r="I2660" i="1"/>
  <c r="D2660" i="1"/>
  <c r="D2659" i="1"/>
  <c r="D2658" i="1"/>
  <c r="I2657" i="1"/>
  <c r="I2656" i="1"/>
  <c r="D2656" i="1"/>
  <c r="I2655" i="1"/>
  <c r="D2655" i="1"/>
  <c r="I2654" i="1"/>
  <c r="D2654" i="1"/>
  <c r="I2653" i="1"/>
  <c r="D2653" i="1"/>
  <c r="I2652" i="1"/>
  <c r="D2652" i="1"/>
  <c r="I2651" i="1"/>
  <c r="D2651" i="1"/>
  <c r="I2650" i="1"/>
  <c r="D2650" i="1"/>
  <c r="I2649" i="1"/>
  <c r="D2649" i="1"/>
  <c r="I2648" i="1"/>
  <c r="D2648" i="1"/>
  <c r="I2647" i="1"/>
  <c r="D2647" i="1"/>
  <c r="I2646" i="1"/>
  <c r="D2646" i="1"/>
  <c r="I2645" i="1"/>
  <c r="D2645" i="1"/>
  <c r="I2644" i="1"/>
  <c r="D2644" i="1"/>
  <c r="I2643" i="1"/>
  <c r="D2643" i="1"/>
  <c r="I2642" i="1"/>
  <c r="D2642" i="1"/>
  <c r="I2641" i="1"/>
  <c r="D2641" i="1"/>
  <c r="I2640" i="1"/>
  <c r="D2640" i="1"/>
  <c r="I2639" i="1"/>
  <c r="I2638" i="1"/>
  <c r="I2637" i="1"/>
  <c r="D2637" i="1"/>
  <c r="D2598" i="1"/>
  <c r="I2597" i="1"/>
  <c r="I2598" i="1"/>
  <c r="I2599" i="1"/>
  <c r="D2597" i="1"/>
  <c r="D2599" i="1"/>
  <c r="I2624" i="1"/>
  <c r="D2624" i="1"/>
  <c r="I2623" i="1"/>
  <c r="D2623" i="1"/>
  <c r="I2622" i="1"/>
  <c r="D2622" i="1"/>
  <c r="I2621" i="1"/>
  <c r="D2621" i="1"/>
  <c r="I2620" i="1"/>
  <c r="D2620" i="1"/>
  <c r="I2619" i="1"/>
  <c r="D2619" i="1"/>
  <c r="I2618" i="1"/>
  <c r="D2618" i="1"/>
  <c r="I2617" i="1"/>
  <c r="D2617" i="1"/>
  <c r="I2616" i="1"/>
  <c r="D2616" i="1"/>
  <c r="I2615" i="1"/>
  <c r="D2615" i="1"/>
  <c r="I2614" i="1"/>
  <c r="D2614" i="1"/>
  <c r="I2613" i="1"/>
  <c r="D2613" i="1"/>
  <c r="I2612" i="1"/>
  <c r="D2612" i="1"/>
  <c r="I2611" i="1"/>
  <c r="D2611" i="1"/>
  <c r="I2610" i="1"/>
  <c r="D2610" i="1"/>
  <c r="I2609" i="1"/>
  <c r="D2609" i="1"/>
  <c r="I2608" i="1"/>
  <c r="D2608" i="1"/>
  <c r="I2607" i="1"/>
  <c r="D2607" i="1"/>
  <c r="I2606" i="1"/>
  <c r="D2606" i="1"/>
  <c r="I2605" i="1"/>
  <c r="D2605" i="1"/>
  <c r="I2604" i="1"/>
  <c r="D2604" i="1"/>
  <c r="I2603" i="1"/>
  <c r="D2603" i="1"/>
  <c r="I2602" i="1"/>
  <c r="I2601" i="1"/>
  <c r="D2601" i="1"/>
  <c r="D2572" i="1"/>
  <c r="I2550" i="1"/>
  <c r="I2586" i="1"/>
  <c r="I2588" i="1"/>
  <c r="I2587" i="1"/>
  <c r="I2561" i="1"/>
  <c r="I2562" i="1"/>
  <c r="I2563" i="1"/>
  <c r="D2561" i="1"/>
  <c r="D2562" i="1"/>
  <c r="D2563" i="1"/>
  <c r="D2588" i="1"/>
  <c r="D2587" i="1"/>
  <c r="D2586" i="1"/>
  <c r="I2585" i="1"/>
  <c r="D2585" i="1"/>
  <c r="I2584" i="1"/>
  <c r="D2584" i="1"/>
  <c r="I2583" i="1"/>
  <c r="D2583" i="1"/>
  <c r="I2582" i="1"/>
  <c r="D2582" i="1"/>
  <c r="I2581" i="1"/>
  <c r="D2581" i="1"/>
  <c r="I2580" i="1"/>
  <c r="D2580" i="1"/>
  <c r="I2579" i="1"/>
  <c r="D2579" i="1"/>
  <c r="I2578" i="1"/>
  <c r="D2578" i="1"/>
  <c r="I2577" i="1"/>
  <c r="D2577" i="1"/>
  <c r="I2576" i="1"/>
  <c r="D2576" i="1"/>
  <c r="I2575" i="1"/>
  <c r="D2575" i="1"/>
  <c r="I2574" i="1"/>
  <c r="D2574" i="1"/>
  <c r="I2573" i="1"/>
  <c r="D2573" i="1"/>
  <c r="I2572" i="1"/>
  <c r="I2571" i="1"/>
  <c r="D2571" i="1"/>
  <c r="I2570" i="1"/>
  <c r="D2570" i="1"/>
  <c r="I2569" i="1"/>
  <c r="D2569" i="1"/>
  <c r="I2568" i="1"/>
  <c r="D2568" i="1"/>
  <c r="I2567" i="1"/>
  <c r="D2567" i="1"/>
  <c r="I2566" i="1"/>
  <c r="I2565" i="1"/>
  <c r="D2565" i="1"/>
  <c r="D2529" i="1"/>
  <c r="D2525" i="1"/>
  <c r="D2526" i="1"/>
  <c r="D2527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I2514" i="1"/>
  <c r="I2513" i="1"/>
  <c r="I2512" i="1"/>
  <c r="I2516" i="1"/>
  <c r="I2548" i="1"/>
  <c r="I2549" i="1"/>
  <c r="I2552" i="1"/>
  <c r="I2551" i="1"/>
  <c r="I2525" i="1"/>
  <c r="I2526" i="1"/>
  <c r="I2527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477" i="1"/>
  <c r="I2478" i="1"/>
  <c r="I2479" i="1"/>
  <c r="I2511" i="1"/>
  <c r="I2510" i="1"/>
  <c r="I2475" i="1"/>
  <c r="I2476" i="1"/>
  <c r="I2480" i="1"/>
  <c r="I2515" i="1"/>
  <c r="D2515" i="1"/>
  <c r="D2514" i="1"/>
  <c r="D2513" i="1"/>
  <c r="D2512" i="1"/>
  <c r="D2511" i="1"/>
  <c r="D2510" i="1"/>
  <c r="I2509" i="1"/>
  <c r="D2509" i="1"/>
  <c r="I2508" i="1"/>
  <c r="D2508" i="1"/>
  <c r="I2507" i="1"/>
  <c r="D2507" i="1"/>
  <c r="I2506" i="1"/>
  <c r="D2506" i="1"/>
  <c r="I2505" i="1"/>
  <c r="D2505" i="1"/>
  <c r="I2504" i="1"/>
  <c r="D2504" i="1"/>
  <c r="I2503" i="1"/>
  <c r="D2503" i="1"/>
  <c r="I2502" i="1"/>
  <c r="D2502" i="1"/>
  <c r="I2501" i="1"/>
  <c r="D2501" i="1"/>
  <c r="I2500" i="1"/>
  <c r="D2500" i="1"/>
  <c r="I2499" i="1"/>
  <c r="D2499" i="1"/>
  <c r="I2498" i="1"/>
  <c r="D2498" i="1"/>
  <c r="I2497" i="1"/>
  <c r="D2497" i="1"/>
  <c r="I2496" i="1"/>
  <c r="D2496" i="1"/>
  <c r="I2495" i="1"/>
  <c r="D2495" i="1"/>
  <c r="I2494" i="1"/>
  <c r="D2494" i="1"/>
  <c r="I2493" i="1"/>
  <c r="D2493" i="1"/>
  <c r="I2491" i="1"/>
  <c r="D2491" i="1"/>
  <c r="I2490" i="1"/>
  <c r="D2490" i="1"/>
  <c r="I2489" i="1"/>
  <c r="D2489" i="1"/>
  <c r="I2472" i="1"/>
  <c r="I2474" i="1"/>
  <c r="I2444" i="1"/>
  <c r="I2443" i="1"/>
  <c r="I2442" i="1"/>
  <c r="I2418" i="1"/>
  <c r="D2453" i="1"/>
  <c r="D2454" i="1"/>
  <c r="D2455" i="1"/>
  <c r="D2480" i="1"/>
  <c r="D2479" i="1"/>
  <c r="D2478" i="1"/>
  <c r="D2477" i="1"/>
  <c r="D2476" i="1"/>
  <c r="D2475" i="1"/>
  <c r="D2474" i="1"/>
  <c r="I2473" i="1"/>
  <c r="D2473" i="1"/>
  <c r="D2472" i="1"/>
  <c r="I2471" i="1"/>
  <c r="D2471" i="1"/>
  <c r="I2470" i="1"/>
  <c r="D2470" i="1"/>
  <c r="I2469" i="1"/>
  <c r="D2469" i="1"/>
  <c r="I2468" i="1"/>
  <c r="D2468" i="1"/>
  <c r="I2467" i="1"/>
  <c r="D2467" i="1"/>
  <c r="I2466" i="1"/>
  <c r="D2466" i="1"/>
  <c r="I2465" i="1"/>
  <c r="D2465" i="1"/>
  <c r="I2464" i="1"/>
  <c r="D2464" i="1"/>
  <c r="I2463" i="1"/>
  <c r="D2463" i="1"/>
  <c r="I2462" i="1"/>
  <c r="D2462" i="1"/>
  <c r="I2461" i="1"/>
  <c r="D2461" i="1"/>
  <c r="I2460" i="1"/>
  <c r="D2460" i="1"/>
  <c r="I2459" i="1"/>
  <c r="D2459" i="1"/>
  <c r="I2458" i="1"/>
  <c r="D2458" i="1"/>
  <c r="I2457" i="1"/>
  <c r="D2457" i="1"/>
  <c r="I2455" i="1"/>
  <c r="I2454" i="1"/>
  <c r="I2453" i="1"/>
  <c r="I2419" i="1"/>
  <c r="I2407" i="1"/>
  <c r="I2408" i="1"/>
  <c r="I2417" i="1"/>
  <c r="D2444" i="1"/>
  <c r="D2443" i="1"/>
  <c r="D2442" i="1"/>
  <c r="I2441" i="1"/>
  <c r="D2441" i="1"/>
  <c r="I2440" i="1"/>
  <c r="D2440" i="1"/>
  <c r="I2439" i="1"/>
  <c r="D2439" i="1"/>
  <c r="I2438" i="1"/>
  <c r="D2438" i="1"/>
  <c r="I2437" i="1"/>
  <c r="D2437" i="1"/>
  <c r="I2436" i="1"/>
  <c r="D2436" i="1"/>
  <c r="I2435" i="1"/>
  <c r="D2435" i="1"/>
  <c r="I2434" i="1"/>
  <c r="D2434" i="1"/>
  <c r="I2433" i="1"/>
  <c r="D2433" i="1"/>
  <c r="I2432" i="1"/>
  <c r="D2432" i="1"/>
  <c r="I2431" i="1"/>
  <c r="D2431" i="1"/>
  <c r="I2430" i="1"/>
  <c r="D2430" i="1"/>
  <c r="I2429" i="1"/>
  <c r="D2429" i="1"/>
  <c r="I2428" i="1"/>
  <c r="D2428" i="1"/>
  <c r="I2427" i="1"/>
  <c r="D2427" i="1"/>
  <c r="I2426" i="1"/>
  <c r="D2426" i="1"/>
  <c r="I2425" i="1"/>
  <c r="D2425" i="1"/>
  <c r="I2424" i="1"/>
  <c r="D2424" i="1"/>
  <c r="I2423" i="1"/>
  <c r="D2423" i="1"/>
  <c r="I2422" i="1"/>
  <c r="D2422" i="1"/>
  <c r="I2421" i="1"/>
  <c r="D2421" i="1"/>
  <c r="D2419" i="1"/>
  <c r="D2418" i="1"/>
  <c r="D2417" i="1"/>
  <c r="I2402" i="1"/>
  <c r="I2405" i="1"/>
  <c r="I2406" i="1"/>
  <c r="D2408" i="1"/>
  <c r="D2407" i="1"/>
  <c r="D2406" i="1"/>
  <c r="D2405" i="1"/>
  <c r="I2404" i="1"/>
  <c r="D2404" i="1"/>
  <c r="I2403" i="1"/>
  <c r="D2403" i="1"/>
  <c r="D2402" i="1"/>
  <c r="I2401" i="1"/>
  <c r="D2401" i="1"/>
  <c r="I2400" i="1"/>
  <c r="D2400" i="1"/>
  <c r="I2399" i="1"/>
  <c r="D2399" i="1"/>
  <c r="I2398" i="1"/>
  <c r="D2398" i="1"/>
  <c r="I2397" i="1"/>
  <c r="D2397" i="1"/>
  <c r="I2396" i="1"/>
  <c r="D2396" i="1"/>
  <c r="I2395" i="1"/>
  <c r="D2395" i="1"/>
  <c r="I2394" i="1"/>
  <c r="D2394" i="1"/>
  <c r="I2393" i="1"/>
  <c r="D2393" i="1"/>
  <c r="I2392" i="1"/>
  <c r="D2392" i="1"/>
  <c r="I2391" i="1"/>
  <c r="D2391" i="1"/>
  <c r="I2390" i="1"/>
  <c r="D2390" i="1"/>
  <c r="I2389" i="1"/>
  <c r="D2389" i="1"/>
  <c r="I2388" i="1"/>
  <c r="D2388" i="1"/>
  <c r="I2387" i="1"/>
  <c r="D2387" i="1"/>
  <c r="I2386" i="1"/>
  <c r="D2386" i="1"/>
  <c r="I2385" i="1"/>
  <c r="D2385" i="1"/>
  <c r="I2383" i="1"/>
  <c r="D2383" i="1"/>
  <c r="I2382" i="1"/>
  <c r="D2382" i="1"/>
  <c r="I2381" i="1"/>
  <c r="D2381" i="1"/>
  <c r="I2372" i="1"/>
  <c r="D2372" i="1"/>
  <c r="I2371" i="1"/>
  <c r="D2371" i="1"/>
  <c r="I2370" i="1"/>
  <c r="D2370" i="1"/>
  <c r="I2369" i="1"/>
  <c r="D2369" i="1"/>
  <c r="I2368" i="1"/>
  <c r="D2368" i="1"/>
  <c r="I2367" i="1"/>
  <c r="D2367" i="1"/>
  <c r="I2366" i="1"/>
  <c r="D2366" i="1"/>
  <c r="I2365" i="1"/>
  <c r="D2365" i="1"/>
  <c r="I2364" i="1"/>
  <c r="D2364" i="1"/>
  <c r="I2363" i="1"/>
  <c r="D2363" i="1"/>
  <c r="I2362" i="1"/>
  <c r="D2362" i="1"/>
  <c r="I2361" i="1"/>
  <c r="D2361" i="1"/>
  <c r="I2360" i="1"/>
  <c r="D2360" i="1"/>
  <c r="I2359" i="1"/>
  <c r="D2359" i="1"/>
  <c r="I2358" i="1"/>
  <c r="D2358" i="1"/>
  <c r="I2357" i="1"/>
  <c r="D2357" i="1"/>
  <c r="I2356" i="1"/>
  <c r="D2356" i="1"/>
  <c r="I2355" i="1"/>
  <c r="D2355" i="1"/>
  <c r="I2354" i="1"/>
  <c r="D2354" i="1"/>
  <c r="I2353" i="1"/>
  <c r="D2353" i="1"/>
  <c r="I2352" i="1"/>
  <c r="D2352" i="1"/>
  <c r="I2351" i="1"/>
  <c r="D2351" i="1"/>
  <c r="I2350" i="1"/>
  <c r="D2350" i="1"/>
  <c r="I2349" i="1"/>
  <c r="D2349" i="1"/>
  <c r="I2347" i="1"/>
  <c r="D2347" i="1"/>
  <c r="I2346" i="1"/>
  <c r="D2346" i="1"/>
  <c r="I2345" i="1"/>
  <c r="D2345" i="1"/>
  <c r="I2293" i="1"/>
  <c r="I2334" i="1"/>
  <c r="I2335" i="1"/>
  <c r="I2336" i="1"/>
  <c r="D2336" i="1"/>
  <c r="D2335" i="1"/>
  <c r="D2334" i="1"/>
  <c r="I2333" i="1"/>
  <c r="D2333" i="1"/>
  <c r="I2332" i="1"/>
  <c r="D2332" i="1"/>
  <c r="I2331" i="1"/>
  <c r="D2331" i="1"/>
  <c r="I2330" i="1"/>
  <c r="D2330" i="1"/>
  <c r="I2329" i="1"/>
  <c r="D2329" i="1"/>
  <c r="I2328" i="1"/>
  <c r="D2328" i="1"/>
  <c r="I2327" i="1"/>
  <c r="D2327" i="1"/>
  <c r="I2326" i="1"/>
  <c r="D2326" i="1"/>
  <c r="I2325" i="1"/>
  <c r="D2325" i="1"/>
  <c r="I2324" i="1"/>
  <c r="D2324" i="1"/>
  <c r="I2323" i="1"/>
  <c r="D2323" i="1"/>
  <c r="I2322" i="1"/>
  <c r="D2322" i="1"/>
  <c r="I2321" i="1"/>
  <c r="D2321" i="1"/>
  <c r="I2320" i="1"/>
  <c r="D2320" i="1"/>
  <c r="I2319" i="1"/>
  <c r="D2319" i="1"/>
  <c r="I2318" i="1"/>
  <c r="D2318" i="1"/>
  <c r="I2317" i="1"/>
  <c r="D2317" i="1"/>
  <c r="I2316" i="1"/>
  <c r="D2316" i="1"/>
  <c r="I2315" i="1"/>
  <c r="D2315" i="1"/>
  <c r="I2314" i="1"/>
  <c r="D2314" i="1"/>
  <c r="I2313" i="1"/>
  <c r="D2313" i="1"/>
  <c r="I2311" i="1"/>
  <c r="D2311" i="1"/>
  <c r="I2310" i="1"/>
  <c r="D2310" i="1"/>
  <c r="I2309" i="1"/>
  <c r="D2309" i="1"/>
  <c r="I2296" i="1"/>
  <c r="I2203" i="1"/>
  <c r="I2202" i="1"/>
  <c r="I2226" i="1"/>
  <c r="I2227" i="1"/>
  <c r="I2261" i="1"/>
  <c r="I2225" i="1"/>
  <c r="I2262" i="1"/>
  <c r="I2263" i="1"/>
  <c r="I2264" i="1"/>
  <c r="I2297" i="1"/>
  <c r="I2298" i="1"/>
  <c r="D2300" i="1"/>
  <c r="I2299" i="1"/>
  <c r="D2299" i="1"/>
  <c r="D2298" i="1"/>
  <c r="D2297" i="1"/>
  <c r="D2296" i="1"/>
  <c r="I2295" i="1"/>
  <c r="D2295" i="1"/>
  <c r="I2294" i="1"/>
  <c r="D2294" i="1"/>
  <c r="D2293" i="1"/>
  <c r="I2292" i="1"/>
  <c r="D2292" i="1"/>
  <c r="I2291" i="1"/>
  <c r="D2291" i="1"/>
  <c r="I2290" i="1"/>
  <c r="D2290" i="1"/>
  <c r="I2289" i="1"/>
  <c r="D2289" i="1"/>
  <c r="I2288" i="1"/>
  <c r="D2288" i="1"/>
  <c r="I2287" i="1"/>
  <c r="D2287" i="1"/>
  <c r="I2286" i="1"/>
  <c r="D2286" i="1"/>
  <c r="I2285" i="1"/>
  <c r="D2285" i="1"/>
  <c r="I2284" i="1"/>
  <c r="D2284" i="1"/>
  <c r="I2283" i="1"/>
  <c r="D2283" i="1"/>
  <c r="I2282" i="1"/>
  <c r="D2282" i="1"/>
  <c r="I2281" i="1"/>
  <c r="D2281" i="1"/>
  <c r="I2280" i="1"/>
  <c r="D2280" i="1"/>
  <c r="I2279" i="1"/>
  <c r="D2279" i="1"/>
  <c r="I2278" i="1"/>
  <c r="D2278" i="1"/>
  <c r="I2277" i="1"/>
  <c r="D2277" i="1"/>
  <c r="I2275" i="1"/>
  <c r="D2275" i="1"/>
  <c r="I2274" i="1"/>
  <c r="D2274" i="1"/>
  <c r="I2273" i="1"/>
  <c r="D2273" i="1"/>
  <c r="I2167" i="1"/>
  <c r="I2237" i="1"/>
  <c r="I2259" i="1"/>
  <c r="I2224" i="1"/>
  <c r="I2228" i="1"/>
  <c r="D2237" i="1"/>
  <c r="D2238" i="1"/>
  <c r="D2239" i="1"/>
  <c r="D2264" i="1"/>
  <c r="D2263" i="1"/>
  <c r="D2262" i="1"/>
  <c r="D2261" i="1"/>
  <c r="I2260" i="1"/>
  <c r="D2260" i="1"/>
  <c r="D2259" i="1"/>
  <c r="I2258" i="1"/>
  <c r="D2258" i="1"/>
  <c r="I2257" i="1"/>
  <c r="D2257" i="1"/>
  <c r="I2256" i="1"/>
  <c r="D2256" i="1"/>
  <c r="I2255" i="1"/>
  <c r="D2255" i="1"/>
  <c r="I2254" i="1"/>
  <c r="D2254" i="1"/>
  <c r="I2253" i="1"/>
  <c r="D2253" i="1"/>
  <c r="I2252" i="1"/>
  <c r="D2252" i="1"/>
  <c r="I2251" i="1"/>
  <c r="D2251" i="1"/>
  <c r="I2250" i="1"/>
  <c r="D2250" i="1"/>
  <c r="I2249" i="1"/>
  <c r="D2249" i="1"/>
  <c r="I2248" i="1"/>
  <c r="D2248" i="1"/>
  <c r="I2247" i="1"/>
  <c r="D2247" i="1"/>
  <c r="I2246" i="1"/>
  <c r="D2246" i="1"/>
  <c r="I2245" i="1"/>
  <c r="D2245" i="1"/>
  <c r="I2244" i="1"/>
  <c r="D2244" i="1"/>
  <c r="I2243" i="1"/>
  <c r="D2243" i="1"/>
  <c r="I2242" i="1"/>
  <c r="D2242" i="1"/>
  <c r="I2241" i="1"/>
  <c r="D2241" i="1"/>
  <c r="I2239" i="1"/>
  <c r="I2238" i="1"/>
  <c r="I2189" i="1"/>
  <c r="I2190" i="1"/>
  <c r="I2191" i="1"/>
  <c r="I2192" i="1"/>
  <c r="I2219" i="1"/>
  <c r="I2218" i="1"/>
  <c r="I2217" i="1"/>
  <c r="I2201" i="1"/>
  <c r="I2155" i="1"/>
  <c r="I2156" i="1"/>
  <c r="I2188" i="1"/>
  <c r="I2165" i="1"/>
  <c r="D2228" i="1"/>
  <c r="D2227" i="1"/>
  <c r="D2226" i="1"/>
  <c r="D2225" i="1"/>
  <c r="D2224" i="1"/>
  <c r="I2223" i="1"/>
  <c r="D2223" i="1"/>
  <c r="I2222" i="1"/>
  <c r="D2222" i="1"/>
  <c r="I2221" i="1"/>
  <c r="D2221" i="1"/>
  <c r="I2220" i="1"/>
  <c r="D2220" i="1"/>
  <c r="D2219" i="1"/>
  <c r="D2218" i="1"/>
  <c r="D2217" i="1"/>
  <c r="I2216" i="1"/>
  <c r="D2216" i="1"/>
  <c r="I2215" i="1"/>
  <c r="D2215" i="1"/>
  <c r="I2214" i="1"/>
  <c r="D2214" i="1"/>
  <c r="I2213" i="1"/>
  <c r="D2213" i="1"/>
  <c r="I2212" i="1"/>
  <c r="D2212" i="1"/>
  <c r="I2211" i="1"/>
  <c r="D2211" i="1"/>
  <c r="I2210" i="1"/>
  <c r="D2210" i="1"/>
  <c r="I2209" i="1"/>
  <c r="D2209" i="1"/>
  <c r="I2208" i="1"/>
  <c r="D2208" i="1"/>
  <c r="I2207" i="1"/>
  <c r="D2207" i="1"/>
  <c r="I2206" i="1"/>
  <c r="D2206" i="1"/>
  <c r="I2205" i="1"/>
  <c r="D2205" i="1"/>
  <c r="D2203" i="1"/>
  <c r="D2202" i="1"/>
  <c r="D2201" i="1"/>
  <c r="I2131" i="1"/>
  <c r="I2166" i="1"/>
  <c r="I2154" i="1"/>
  <c r="I2193" i="1"/>
  <c r="D2192" i="1"/>
  <c r="D2191" i="1"/>
  <c r="D2190" i="1"/>
  <c r="D2189" i="1"/>
  <c r="D2188" i="1"/>
  <c r="I2187" i="1"/>
  <c r="D2187" i="1"/>
  <c r="I2186" i="1"/>
  <c r="D2186" i="1"/>
  <c r="I2185" i="1"/>
  <c r="D2185" i="1"/>
  <c r="I2184" i="1"/>
  <c r="D2184" i="1"/>
  <c r="I2183" i="1"/>
  <c r="D2183" i="1"/>
  <c r="I2182" i="1"/>
  <c r="D2182" i="1"/>
  <c r="I2181" i="1"/>
  <c r="D2181" i="1"/>
  <c r="I2180" i="1"/>
  <c r="D2180" i="1"/>
  <c r="I2179" i="1"/>
  <c r="D2179" i="1"/>
  <c r="I2178" i="1"/>
  <c r="D2178" i="1"/>
  <c r="I2177" i="1"/>
  <c r="D2177" i="1"/>
  <c r="I2176" i="1"/>
  <c r="D2176" i="1"/>
  <c r="I2175" i="1"/>
  <c r="D2175" i="1"/>
  <c r="I2174" i="1"/>
  <c r="D2174" i="1"/>
  <c r="I2173" i="1"/>
  <c r="D2173" i="1"/>
  <c r="I2172" i="1"/>
  <c r="D2172" i="1"/>
  <c r="I2171" i="1"/>
  <c r="D2171" i="1"/>
  <c r="I2170" i="1"/>
  <c r="D2170" i="1"/>
  <c r="I2169" i="1"/>
  <c r="D2169" i="1"/>
  <c r="D2167" i="1"/>
  <c r="D2166" i="1"/>
  <c r="D2165" i="1"/>
  <c r="D2156" i="1"/>
  <c r="D2155" i="1"/>
  <c r="D2154" i="1"/>
  <c r="I2153" i="1"/>
  <c r="D2153" i="1"/>
  <c r="I2152" i="1"/>
  <c r="D2152" i="1"/>
  <c r="I2151" i="1"/>
  <c r="D2151" i="1"/>
  <c r="I2150" i="1"/>
  <c r="D2150" i="1"/>
  <c r="I2149" i="1"/>
  <c r="D2149" i="1"/>
  <c r="I2148" i="1"/>
  <c r="D2148" i="1"/>
  <c r="I2147" i="1"/>
  <c r="D2147" i="1"/>
  <c r="I2146" i="1"/>
  <c r="D2146" i="1"/>
  <c r="I2145" i="1"/>
  <c r="D2145" i="1"/>
  <c r="I2144" i="1"/>
  <c r="D2144" i="1"/>
  <c r="I2143" i="1"/>
  <c r="D2143" i="1"/>
  <c r="I2142" i="1"/>
  <c r="D2142" i="1"/>
  <c r="I2141" i="1"/>
  <c r="D2141" i="1"/>
  <c r="I2140" i="1"/>
  <c r="D2140" i="1"/>
  <c r="I2139" i="1"/>
  <c r="D2139" i="1"/>
  <c r="I2138" i="1"/>
  <c r="D2138" i="1"/>
  <c r="I2137" i="1"/>
  <c r="D2137" i="1"/>
  <c r="I2136" i="1"/>
  <c r="D2136" i="1"/>
  <c r="I2135" i="1"/>
  <c r="D2135" i="1"/>
  <c r="I2134" i="1"/>
  <c r="D2134" i="1"/>
  <c r="I2133" i="1"/>
  <c r="D2133" i="1"/>
  <c r="D2131" i="1"/>
  <c r="I2130" i="1"/>
  <c r="D2130" i="1"/>
  <c r="I2129" i="1"/>
  <c r="D2129" i="1"/>
  <c r="I2120" i="1"/>
  <c r="D2120" i="1"/>
  <c r="I2119" i="1"/>
  <c r="D2119" i="1"/>
  <c r="I2118" i="1"/>
  <c r="D2118" i="1"/>
  <c r="I2117" i="1"/>
  <c r="D2117" i="1"/>
  <c r="I2116" i="1"/>
  <c r="D2116" i="1"/>
  <c r="I2115" i="1"/>
  <c r="D2115" i="1"/>
  <c r="I2114" i="1"/>
  <c r="D2114" i="1"/>
  <c r="I2113" i="1"/>
  <c r="D2113" i="1"/>
  <c r="I2112" i="1"/>
  <c r="D2112" i="1"/>
  <c r="I2111" i="1"/>
  <c r="D2111" i="1"/>
  <c r="I2110" i="1"/>
  <c r="D2110" i="1"/>
  <c r="I2109" i="1"/>
  <c r="D2109" i="1"/>
  <c r="I2108" i="1"/>
  <c r="D2108" i="1"/>
  <c r="I2107" i="1"/>
  <c r="D2107" i="1"/>
  <c r="I2106" i="1"/>
  <c r="D2106" i="1"/>
  <c r="I2105" i="1"/>
  <c r="D2105" i="1"/>
  <c r="I2104" i="1"/>
  <c r="D2104" i="1"/>
  <c r="I2103" i="1"/>
  <c r="D2103" i="1"/>
  <c r="I2102" i="1"/>
  <c r="D2102" i="1"/>
  <c r="I2101" i="1"/>
  <c r="D2101" i="1"/>
  <c r="I2100" i="1"/>
  <c r="D2100" i="1"/>
  <c r="I2099" i="1"/>
  <c r="D2099" i="1"/>
  <c r="I2098" i="1"/>
  <c r="D2098" i="1"/>
  <c r="I2097" i="1"/>
  <c r="D2097" i="1"/>
  <c r="I2095" i="1"/>
  <c r="D2095" i="1"/>
  <c r="I2094" i="1"/>
  <c r="D2094" i="1"/>
  <c r="I2093" i="1"/>
  <c r="D2093" i="1"/>
  <c r="I2084" i="1"/>
  <c r="D2084" i="1"/>
  <c r="I2083" i="1"/>
  <c r="D2083" i="1"/>
  <c r="I2082" i="1"/>
  <c r="D2082" i="1"/>
  <c r="I2081" i="1"/>
  <c r="D2081" i="1"/>
  <c r="I2080" i="1"/>
  <c r="D2080" i="1"/>
  <c r="I2079" i="1"/>
  <c r="D2079" i="1"/>
  <c r="I2078" i="1"/>
  <c r="D2078" i="1"/>
  <c r="I2077" i="1"/>
  <c r="D2077" i="1"/>
  <c r="I2076" i="1"/>
  <c r="D2076" i="1"/>
  <c r="I2075" i="1"/>
  <c r="D2075" i="1"/>
  <c r="I2074" i="1"/>
  <c r="D2074" i="1"/>
  <c r="I2073" i="1"/>
  <c r="D2073" i="1"/>
  <c r="I2072" i="1"/>
  <c r="D2072" i="1"/>
  <c r="I2071" i="1"/>
  <c r="D2071" i="1"/>
  <c r="I2070" i="1"/>
  <c r="D2070" i="1"/>
  <c r="I2069" i="1"/>
  <c r="D2069" i="1"/>
  <c r="I2068" i="1"/>
  <c r="D2068" i="1"/>
  <c r="I2067" i="1"/>
  <c r="D2067" i="1"/>
  <c r="I2066" i="1"/>
  <c r="D2066" i="1"/>
  <c r="I2065" i="1"/>
  <c r="D2065" i="1"/>
  <c r="I2064" i="1"/>
  <c r="D2064" i="1"/>
  <c r="I2063" i="1"/>
  <c r="D2063" i="1"/>
  <c r="I2062" i="1"/>
  <c r="D2062" i="1"/>
  <c r="I2061" i="1"/>
  <c r="D2061" i="1"/>
  <c r="I2059" i="1"/>
  <c r="D2059" i="1"/>
  <c r="I2058" i="1"/>
  <c r="D2058" i="1"/>
  <c r="I2057" i="1"/>
  <c r="D2057" i="1"/>
  <c r="I2009" i="1"/>
  <c r="I2048" i="1"/>
  <c r="D2048" i="1"/>
  <c r="I2047" i="1"/>
  <c r="D2047" i="1"/>
  <c r="I2046" i="1"/>
  <c r="D2046" i="1"/>
  <c r="I2045" i="1"/>
  <c r="D2045" i="1"/>
  <c r="I2044" i="1"/>
  <c r="D2044" i="1"/>
  <c r="I2043" i="1"/>
  <c r="D2043" i="1"/>
  <c r="I2042" i="1"/>
  <c r="D2042" i="1"/>
  <c r="I2041" i="1"/>
  <c r="D2041" i="1"/>
  <c r="I2040" i="1"/>
  <c r="D2040" i="1"/>
  <c r="I2039" i="1"/>
  <c r="D2039" i="1"/>
  <c r="I2038" i="1"/>
  <c r="D2038" i="1"/>
  <c r="I2037" i="1"/>
  <c r="D2037" i="1"/>
  <c r="I2036" i="1"/>
  <c r="D2036" i="1"/>
  <c r="I2035" i="1"/>
  <c r="D2035" i="1"/>
  <c r="I2034" i="1"/>
  <c r="D2034" i="1"/>
  <c r="I2033" i="1"/>
  <c r="D2033" i="1"/>
  <c r="I2032" i="1"/>
  <c r="D2032" i="1"/>
  <c r="I2031" i="1"/>
  <c r="D2031" i="1"/>
  <c r="I2030" i="1"/>
  <c r="D2030" i="1"/>
  <c r="I2029" i="1"/>
  <c r="D2029" i="1"/>
  <c r="I2028" i="1"/>
  <c r="D2028" i="1"/>
  <c r="I2027" i="1"/>
  <c r="D2027" i="1"/>
  <c r="I2026" i="1"/>
  <c r="D2026" i="1"/>
  <c r="I2025" i="1"/>
  <c r="D2025" i="1"/>
  <c r="I2023" i="1"/>
  <c r="D2023" i="1"/>
  <c r="I2022" i="1"/>
  <c r="D2022" i="1"/>
  <c r="I2021" i="1"/>
  <c r="D2021" i="1"/>
  <c r="I1973" i="1"/>
  <c r="I1975" i="1"/>
  <c r="I1974" i="1"/>
  <c r="I1976" i="1"/>
  <c r="I2007" i="1"/>
  <c r="I2012" i="1"/>
  <c r="D2012" i="1"/>
  <c r="I2011" i="1"/>
  <c r="D2011" i="1"/>
  <c r="I2010" i="1"/>
  <c r="D2010" i="1"/>
  <c r="D2009" i="1"/>
  <c r="I2008" i="1"/>
  <c r="D2008" i="1"/>
  <c r="D2007" i="1"/>
  <c r="I2006" i="1"/>
  <c r="D2006" i="1"/>
  <c r="I2005" i="1"/>
  <c r="D2005" i="1"/>
  <c r="I2004" i="1"/>
  <c r="D2004" i="1"/>
  <c r="I2003" i="1"/>
  <c r="D2003" i="1"/>
  <c r="I2002" i="1"/>
  <c r="D2002" i="1"/>
  <c r="I2001" i="1"/>
  <c r="D2001" i="1"/>
  <c r="I2000" i="1"/>
  <c r="D2000" i="1"/>
  <c r="I1999" i="1"/>
  <c r="D1999" i="1"/>
  <c r="I1998" i="1"/>
  <c r="D1998" i="1"/>
  <c r="I1997" i="1"/>
  <c r="D1997" i="1"/>
  <c r="I1996" i="1"/>
  <c r="D1996" i="1"/>
  <c r="I1995" i="1"/>
  <c r="D1995" i="1"/>
  <c r="I1994" i="1"/>
  <c r="D1994" i="1"/>
  <c r="I1993" i="1"/>
  <c r="D1993" i="1"/>
  <c r="I1992" i="1"/>
  <c r="D1992" i="1"/>
  <c r="I1991" i="1"/>
  <c r="D1991" i="1"/>
  <c r="I1990" i="1"/>
  <c r="D1990" i="1"/>
  <c r="I1989" i="1"/>
  <c r="D1989" i="1"/>
  <c r="I1987" i="1"/>
  <c r="D1987" i="1"/>
  <c r="I1986" i="1"/>
  <c r="D1986" i="1"/>
  <c r="I1985" i="1"/>
  <c r="D1985" i="1"/>
  <c r="I1940" i="1"/>
  <c r="I1939" i="1"/>
  <c r="I1915" i="1"/>
  <c r="I1920" i="1"/>
  <c r="I1884" i="1"/>
  <c r="I1971" i="1"/>
  <c r="I1913" i="1"/>
  <c r="I1904" i="1"/>
  <c r="I1903" i="1"/>
  <c r="I1938" i="1"/>
  <c r="I1937" i="1"/>
  <c r="D1976" i="1"/>
  <c r="D1975" i="1"/>
  <c r="D1974" i="1"/>
  <c r="D1973" i="1"/>
  <c r="I1972" i="1"/>
  <c r="D1972" i="1"/>
  <c r="D1971" i="1"/>
  <c r="I1970" i="1"/>
  <c r="D1970" i="1"/>
  <c r="I1969" i="1"/>
  <c r="D1969" i="1"/>
  <c r="I1968" i="1"/>
  <c r="D1968" i="1"/>
  <c r="I1967" i="1"/>
  <c r="D1967" i="1"/>
  <c r="I1966" i="1"/>
  <c r="D1966" i="1"/>
  <c r="I1965" i="1"/>
  <c r="D1965" i="1"/>
  <c r="I1964" i="1"/>
  <c r="D1964" i="1"/>
  <c r="I1963" i="1"/>
  <c r="D1963" i="1"/>
  <c r="I1962" i="1"/>
  <c r="D1962" i="1"/>
  <c r="I1961" i="1"/>
  <c r="D1961" i="1"/>
  <c r="I1960" i="1"/>
  <c r="D1960" i="1"/>
  <c r="I1959" i="1"/>
  <c r="D1959" i="1"/>
  <c r="I1958" i="1"/>
  <c r="D1958" i="1"/>
  <c r="I1957" i="1"/>
  <c r="D1957" i="1"/>
  <c r="I1956" i="1"/>
  <c r="D1956" i="1"/>
  <c r="I1955" i="1"/>
  <c r="D1955" i="1"/>
  <c r="I1954" i="1"/>
  <c r="D1954" i="1"/>
  <c r="I1953" i="1"/>
  <c r="D1953" i="1"/>
  <c r="I1951" i="1"/>
  <c r="D1951" i="1"/>
  <c r="I1950" i="1"/>
  <c r="D1950" i="1"/>
  <c r="I1949" i="1"/>
  <c r="D1949" i="1"/>
  <c r="I1898" i="1"/>
  <c r="I1899" i="1"/>
  <c r="I1877" i="1"/>
  <c r="D1940" i="1"/>
  <c r="D1939" i="1"/>
  <c r="D1938" i="1"/>
  <c r="D1937" i="1"/>
  <c r="I1936" i="1"/>
  <c r="D1936" i="1"/>
  <c r="I1935" i="1"/>
  <c r="D1935" i="1"/>
  <c r="I1934" i="1"/>
  <c r="D1934" i="1"/>
  <c r="I1933" i="1"/>
  <c r="D1933" i="1"/>
  <c r="I1932" i="1"/>
  <c r="D1932" i="1"/>
  <c r="I1931" i="1"/>
  <c r="D1931" i="1"/>
  <c r="I1930" i="1"/>
  <c r="D1930" i="1"/>
  <c r="I1929" i="1"/>
  <c r="D1929" i="1"/>
  <c r="I1928" i="1"/>
  <c r="D1928" i="1"/>
  <c r="I1927" i="1"/>
  <c r="D1927" i="1"/>
  <c r="I1926" i="1"/>
  <c r="D1926" i="1"/>
  <c r="I1925" i="1"/>
  <c r="D1925" i="1"/>
  <c r="I1924" i="1"/>
  <c r="D1924" i="1"/>
  <c r="I1923" i="1"/>
  <c r="D1923" i="1"/>
  <c r="I1922" i="1"/>
  <c r="D1922" i="1"/>
  <c r="I1921" i="1"/>
  <c r="D1921" i="1"/>
  <c r="D1920" i="1"/>
  <c r="I1919" i="1"/>
  <c r="D1919" i="1"/>
  <c r="I1918" i="1"/>
  <c r="D1918" i="1"/>
  <c r="I1917" i="1"/>
  <c r="D1917" i="1"/>
  <c r="D1915" i="1"/>
  <c r="I1914" i="1"/>
  <c r="D1914" i="1"/>
  <c r="D1913" i="1"/>
  <c r="I1866" i="1"/>
  <c r="I1867" i="1"/>
  <c r="I1868" i="1"/>
  <c r="I1900" i="1"/>
  <c r="I1901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79" i="1"/>
  <c r="D1878" i="1"/>
  <c r="D1877" i="1"/>
  <c r="I1865" i="1"/>
  <c r="I1902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3" i="1"/>
  <c r="I1882" i="1"/>
  <c r="I1881" i="1"/>
  <c r="I1879" i="1"/>
  <c r="I1878" i="1"/>
  <c r="D1868" i="1"/>
  <c r="D1867" i="1"/>
  <c r="D1866" i="1"/>
  <c r="D1865" i="1"/>
  <c r="I1864" i="1"/>
  <c r="D1864" i="1"/>
  <c r="I1863" i="1"/>
  <c r="D1863" i="1"/>
  <c r="I1862" i="1"/>
  <c r="D1862" i="1"/>
  <c r="I1861" i="1"/>
  <c r="D1861" i="1"/>
  <c r="I1860" i="1"/>
  <c r="D1860" i="1"/>
  <c r="I1859" i="1"/>
  <c r="D1859" i="1"/>
  <c r="I1858" i="1"/>
  <c r="D1858" i="1"/>
  <c r="I1857" i="1"/>
  <c r="D1857" i="1"/>
  <c r="I1856" i="1"/>
  <c r="D1856" i="1"/>
  <c r="I1855" i="1"/>
  <c r="D1855" i="1"/>
  <c r="I1854" i="1"/>
  <c r="D1854" i="1"/>
  <c r="I1853" i="1"/>
  <c r="D1853" i="1"/>
  <c r="I1852" i="1"/>
  <c r="D1852" i="1"/>
  <c r="I1851" i="1"/>
  <c r="D1851" i="1"/>
  <c r="I1850" i="1"/>
  <c r="D1850" i="1"/>
  <c r="I1849" i="1"/>
  <c r="D1849" i="1"/>
  <c r="I1848" i="1"/>
  <c r="D1848" i="1"/>
  <c r="I1847" i="1"/>
  <c r="D1847" i="1"/>
  <c r="I1846" i="1"/>
  <c r="D1846" i="1"/>
  <c r="I1845" i="1"/>
  <c r="D1845" i="1"/>
  <c r="I1843" i="1"/>
  <c r="D1843" i="1"/>
  <c r="I1842" i="1"/>
  <c r="D1842" i="1"/>
  <c r="I1841" i="1"/>
  <c r="D1841" i="1"/>
  <c r="I1832" i="1"/>
  <c r="D1832" i="1"/>
  <c r="I1831" i="1"/>
  <c r="D1831" i="1"/>
  <c r="I1830" i="1"/>
  <c r="D1830" i="1"/>
  <c r="I1829" i="1"/>
  <c r="D1829" i="1"/>
  <c r="I1828" i="1"/>
  <c r="D1828" i="1"/>
  <c r="I1827" i="1"/>
  <c r="D1827" i="1"/>
  <c r="I1826" i="1"/>
  <c r="D1826" i="1"/>
  <c r="I1825" i="1"/>
  <c r="D1825" i="1"/>
  <c r="I1824" i="1"/>
  <c r="D1824" i="1"/>
  <c r="I1823" i="1"/>
  <c r="D1823" i="1"/>
  <c r="I1822" i="1"/>
  <c r="D1822" i="1"/>
  <c r="I1821" i="1"/>
  <c r="D1821" i="1"/>
  <c r="I1820" i="1"/>
  <c r="D1820" i="1"/>
  <c r="I1819" i="1"/>
  <c r="D1819" i="1"/>
  <c r="I1818" i="1"/>
  <c r="D1818" i="1"/>
  <c r="I1817" i="1"/>
  <c r="D1817" i="1"/>
  <c r="I1816" i="1"/>
  <c r="D1816" i="1"/>
  <c r="I1815" i="1"/>
  <c r="D1815" i="1"/>
  <c r="I1814" i="1"/>
  <c r="D1814" i="1"/>
  <c r="I1813" i="1"/>
  <c r="D1813" i="1"/>
  <c r="I1812" i="1"/>
  <c r="D1812" i="1"/>
  <c r="I1811" i="1"/>
  <c r="D1811" i="1"/>
  <c r="I1810" i="1"/>
  <c r="D1810" i="1"/>
  <c r="I1809" i="1"/>
  <c r="D1809" i="1"/>
  <c r="I1807" i="1"/>
  <c r="D1807" i="1"/>
  <c r="I1806" i="1"/>
  <c r="D1806" i="1"/>
  <c r="I1805" i="1"/>
  <c r="D1805" i="1"/>
  <c r="I1796" i="1"/>
  <c r="I1795" i="1"/>
  <c r="I1793" i="1"/>
  <c r="I1794" i="1"/>
  <c r="I1735" i="1"/>
  <c r="D1734" i="1"/>
  <c r="D1733" i="1"/>
  <c r="I1758" i="1"/>
  <c r="I1754" i="1"/>
  <c r="I1755" i="1"/>
  <c r="I1756" i="1"/>
  <c r="I1757" i="1"/>
  <c r="I1759" i="1"/>
  <c r="I1760" i="1"/>
  <c r="D1796" i="1"/>
  <c r="D1795" i="1"/>
  <c r="D1794" i="1"/>
  <c r="D1793" i="1"/>
  <c r="I1792" i="1"/>
  <c r="D1792" i="1"/>
  <c r="I1791" i="1"/>
  <c r="D1791" i="1"/>
  <c r="I1790" i="1"/>
  <c r="D1790" i="1"/>
  <c r="I1789" i="1"/>
  <c r="D1789" i="1"/>
  <c r="I1788" i="1"/>
  <c r="D1788" i="1"/>
  <c r="I1787" i="1"/>
  <c r="D1787" i="1"/>
  <c r="I1786" i="1"/>
  <c r="D1786" i="1"/>
  <c r="I1785" i="1"/>
  <c r="D1785" i="1"/>
  <c r="I1784" i="1"/>
  <c r="D1784" i="1"/>
  <c r="I1783" i="1"/>
  <c r="D1783" i="1"/>
  <c r="I1782" i="1"/>
  <c r="D1782" i="1"/>
  <c r="I1781" i="1"/>
  <c r="D1781" i="1"/>
  <c r="I1780" i="1"/>
  <c r="D1780" i="1"/>
  <c r="I1779" i="1"/>
  <c r="D1779" i="1"/>
  <c r="I1778" i="1"/>
  <c r="D1778" i="1"/>
  <c r="I1777" i="1"/>
  <c r="D1777" i="1"/>
  <c r="I1776" i="1"/>
  <c r="D1776" i="1"/>
  <c r="I1775" i="1"/>
  <c r="D1775" i="1"/>
  <c r="I1774" i="1"/>
  <c r="D1774" i="1"/>
  <c r="I1773" i="1"/>
  <c r="D1773" i="1"/>
  <c r="I1771" i="1"/>
  <c r="D1771" i="1"/>
  <c r="I1770" i="1"/>
  <c r="D1770" i="1"/>
  <c r="I1769" i="1"/>
  <c r="D1769" i="1"/>
  <c r="I1721" i="1"/>
  <c r="I1753" i="1"/>
  <c r="I1752" i="1"/>
  <c r="I1751" i="1"/>
  <c r="I1686" i="1"/>
  <c r="I1627" i="1"/>
  <c r="I1633" i="1"/>
  <c r="I1666" i="1"/>
  <c r="I1724" i="1"/>
  <c r="I1685" i="1"/>
  <c r="I1687" i="1"/>
  <c r="I1688" i="1"/>
  <c r="I1684" i="1"/>
  <c r="I1652" i="1"/>
  <c r="I1649" i="1"/>
  <c r="D1760" i="1"/>
  <c r="D1759" i="1"/>
  <c r="D1758" i="1"/>
  <c r="D1757" i="1"/>
  <c r="D1756" i="1"/>
  <c r="D1755" i="1"/>
  <c r="D1754" i="1"/>
  <c r="D1753" i="1"/>
  <c r="D1752" i="1"/>
  <c r="D1751" i="1"/>
  <c r="I1750" i="1"/>
  <c r="D1750" i="1"/>
  <c r="I1749" i="1"/>
  <c r="D1749" i="1"/>
  <c r="I1748" i="1"/>
  <c r="D1748" i="1"/>
  <c r="I1747" i="1"/>
  <c r="D1747" i="1"/>
  <c r="I1746" i="1"/>
  <c r="D1746" i="1"/>
  <c r="I1745" i="1"/>
  <c r="D1745" i="1"/>
  <c r="I1744" i="1"/>
  <c r="D1744" i="1"/>
  <c r="I1743" i="1"/>
  <c r="D1743" i="1"/>
  <c r="I1742" i="1"/>
  <c r="D1742" i="1"/>
  <c r="I1741" i="1"/>
  <c r="D1741" i="1"/>
  <c r="I1740" i="1"/>
  <c r="D1740" i="1"/>
  <c r="I1739" i="1"/>
  <c r="D1739" i="1"/>
  <c r="I1738" i="1"/>
  <c r="D1738" i="1"/>
  <c r="I1737" i="1"/>
  <c r="D1737" i="1"/>
  <c r="D1735" i="1"/>
  <c r="I1734" i="1"/>
  <c r="I1733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699" i="1"/>
  <c r="D1698" i="1"/>
  <c r="D1697" i="1"/>
  <c r="I1723" i="1"/>
  <c r="I1722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699" i="1"/>
  <c r="I1698" i="1"/>
  <c r="I1697" i="1"/>
  <c r="I1613" i="1"/>
  <c r="I1616" i="1"/>
  <c r="I1615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3" i="1"/>
  <c r="D1662" i="1"/>
  <c r="D1661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5" i="1"/>
  <c r="I1663" i="1"/>
  <c r="I1662" i="1"/>
  <c r="I1661" i="1"/>
  <c r="D1652" i="1"/>
  <c r="I1651" i="1"/>
  <c r="D1651" i="1"/>
  <c r="I1650" i="1"/>
  <c r="D1650" i="1"/>
  <c r="D1649" i="1"/>
  <c r="I1648" i="1"/>
  <c r="D1648" i="1"/>
  <c r="I1647" i="1"/>
  <c r="D1647" i="1"/>
  <c r="I1646" i="1"/>
  <c r="D1646" i="1"/>
  <c r="I1645" i="1"/>
  <c r="D1645" i="1"/>
  <c r="I1644" i="1"/>
  <c r="D1644" i="1"/>
  <c r="I1643" i="1"/>
  <c r="D1643" i="1"/>
  <c r="I1642" i="1"/>
  <c r="D1642" i="1"/>
  <c r="I1641" i="1"/>
  <c r="D1641" i="1"/>
  <c r="I1640" i="1"/>
  <c r="D1640" i="1"/>
  <c r="I1639" i="1"/>
  <c r="D1639" i="1"/>
  <c r="I1638" i="1"/>
  <c r="D1638" i="1"/>
  <c r="I1637" i="1"/>
  <c r="D1637" i="1"/>
  <c r="I1636" i="1"/>
  <c r="D1636" i="1"/>
  <c r="I1635" i="1"/>
  <c r="D1635" i="1"/>
  <c r="I1634" i="1"/>
  <c r="D1634" i="1"/>
  <c r="D1633" i="1"/>
  <c r="I1632" i="1"/>
  <c r="D1632" i="1"/>
  <c r="I1631" i="1"/>
  <c r="D1631" i="1"/>
  <c r="I1630" i="1"/>
  <c r="D1630" i="1"/>
  <c r="I1629" i="1"/>
  <c r="D1629" i="1"/>
  <c r="D1627" i="1"/>
  <c r="I1626" i="1"/>
  <c r="D1626" i="1"/>
  <c r="I1625" i="1"/>
  <c r="D1625" i="1"/>
  <c r="D1589" i="1"/>
  <c r="D1590" i="1"/>
  <c r="D1591" i="1"/>
  <c r="D1616" i="1"/>
  <c r="D1615" i="1"/>
  <c r="I1614" i="1"/>
  <c r="D1614" i="1"/>
  <c r="D1613" i="1"/>
  <c r="I1612" i="1"/>
  <c r="D1612" i="1"/>
  <c r="I1611" i="1"/>
  <c r="D1611" i="1"/>
  <c r="I1610" i="1"/>
  <c r="D1610" i="1"/>
  <c r="I1609" i="1"/>
  <c r="D1609" i="1"/>
  <c r="I1608" i="1"/>
  <c r="D1608" i="1"/>
  <c r="I1607" i="1"/>
  <c r="D1607" i="1"/>
  <c r="I1606" i="1"/>
  <c r="D1606" i="1"/>
  <c r="I1605" i="1"/>
  <c r="D1605" i="1"/>
  <c r="I1604" i="1"/>
  <c r="D1604" i="1"/>
  <c r="I1603" i="1"/>
  <c r="D1603" i="1"/>
  <c r="I1602" i="1"/>
  <c r="D1602" i="1"/>
  <c r="I1601" i="1"/>
  <c r="D1601" i="1"/>
  <c r="I1600" i="1"/>
  <c r="D1600" i="1"/>
  <c r="I1599" i="1"/>
  <c r="D1599" i="1"/>
  <c r="I1598" i="1"/>
  <c r="D1598" i="1"/>
  <c r="I1597" i="1"/>
  <c r="D1597" i="1"/>
  <c r="I1596" i="1"/>
  <c r="D1596" i="1"/>
  <c r="I1595" i="1"/>
  <c r="D1595" i="1"/>
  <c r="I1594" i="1"/>
  <c r="D1594" i="1"/>
  <c r="I1593" i="1"/>
  <c r="D1593" i="1"/>
  <c r="I1591" i="1"/>
  <c r="I1590" i="1"/>
  <c r="I1589" i="1"/>
  <c r="I1580" i="1"/>
  <c r="D1580" i="1"/>
  <c r="I1579" i="1"/>
  <c r="D1579" i="1"/>
  <c r="I1578" i="1"/>
  <c r="D1578" i="1"/>
  <c r="I1577" i="1"/>
  <c r="D1577" i="1"/>
  <c r="I1576" i="1"/>
  <c r="D1576" i="1"/>
  <c r="I1575" i="1"/>
  <c r="D1575" i="1"/>
  <c r="I1574" i="1"/>
  <c r="D1574" i="1"/>
  <c r="I1573" i="1"/>
  <c r="D1573" i="1"/>
  <c r="I1572" i="1"/>
  <c r="D1572" i="1"/>
  <c r="I1571" i="1"/>
  <c r="D1571" i="1"/>
  <c r="I1570" i="1"/>
  <c r="D1570" i="1"/>
  <c r="I1569" i="1"/>
  <c r="D1569" i="1"/>
  <c r="I1568" i="1"/>
  <c r="D1568" i="1"/>
  <c r="I1567" i="1"/>
  <c r="D1567" i="1"/>
  <c r="I1566" i="1"/>
  <c r="D1566" i="1"/>
  <c r="I1565" i="1"/>
  <c r="D1565" i="1"/>
  <c r="I1564" i="1"/>
  <c r="D1564" i="1"/>
  <c r="I1563" i="1"/>
  <c r="D1563" i="1"/>
  <c r="I1562" i="1"/>
  <c r="D1562" i="1"/>
  <c r="I1561" i="1"/>
  <c r="D1561" i="1"/>
  <c r="I1560" i="1"/>
  <c r="D1560" i="1"/>
  <c r="I1559" i="1"/>
  <c r="D1559" i="1"/>
  <c r="I1558" i="1"/>
  <c r="D1558" i="1"/>
  <c r="I1557" i="1"/>
  <c r="D1557" i="1"/>
  <c r="I1555" i="1"/>
  <c r="D1555" i="1"/>
  <c r="I1554" i="1"/>
  <c r="D1554" i="1"/>
  <c r="I1553" i="1"/>
  <c r="D1553" i="1"/>
  <c r="D1517" i="1"/>
  <c r="I1471" i="1"/>
  <c r="I1472" i="1"/>
  <c r="I1446" i="1"/>
  <c r="I1445" i="1"/>
  <c r="I1432" i="1"/>
  <c r="I1503" i="1"/>
  <c r="I1506" i="1"/>
  <c r="I1430" i="1"/>
  <c r="I1410" i="1"/>
  <c r="I1409" i="1"/>
  <c r="I1431" i="1"/>
  <c r="I1435" i="1"/>
  <c r="I1434" i="1"/>
  <c r="I1433" i="1"/>
  <c r="I1436" i="1"/>
  <c r="H1545" i="3"/>
  <c r="I1545" i="3" s="1"/>
  <c r="C1545" i="3"/>
  <c r="D1545" i="3" s="1"/>
  <c r="I1544" i="3"/>
  <c r="D1544" i="3"/>
  <c r="I1543" i="3"/>
  <c r="D1543" i="3"/>
  <c r="I1542" i="3"/>
  <c r="D1542" i="3"/>
  <c r="I1541" i="3"/>
  <c r="D1541" i="3"/>
  <c r="I1540" i="3"/>
  <c r="D1540" i="3"/>
  <c r="I1539" i="3"/>
  <c r="D1539" i="3"/>
  <c r="I1538" i="3"/>
  <c r="D1538" i="3"/>
  <c r="I1537" i="3"/>
  <c r="D1537" i="3"/>
  <c r="I1536" i="3"/>
  <c r="D1536" i="3"/>
  <c r="I1535" i="3"/>
  <c r="D1535" i="3"/>
  <c r="I1534" i="3"/>
  <c r="D1534" i="3"/>
  <c r="I1533" i="3"/>
  <c r="D1533" i="3"/>
  <c r="I1532" i="3"/>
  <c r="D1532" i="3"/>
  <c r="I1531" i="3"/>
  <c r="D1531" i="3"/>
  <c r="I1530" i="3"/>
  <c r="D1530" i="3"/>
  <c r="I1529" i="3"/>
  <c r="D1529" i="3"/>
  <c r="I1528" i="3"/>
  <c r="D1528" i="3"/>
  <c r="I1527" i="3"/>
  <c r="D1527" i="3"/>
  <c r="I1526" i="3"/>
  <c r="D1526" i="3"/>
  <c r="I1525" i="3"/>
  <c r="D1525" i="3"/>
  <c r="I1524" i="3"/>
  <c r="D1524" i="3"/>
  <c r="I1523" i="3"/>
  <c r="D1523" i="3"/>
  <c r="I1522" i="3"/>
  <c r="D1522" i="3"/>
  <c r="I1521" i="3"/>
  <c r="D1521" i="3"/>
  <c r="I1519" i="3"/>
  <c r="D1519" i="3"/>
  <c r="I1518" i="3"/>
  <c r="D1518" i="3"/>
  <c r="I1517" i="3"/>
  <c r="D1517" i="3"/>
  <c r="H1509" i="3"/>
  <c r="I1509" i="3" s="1"/>
  <c r="C1509" i="3"/>
  <c r="D1509" i="3" s="1"/>
  <c r="I1508" i="3"/>
  <c r="D1508" i="3"/>
  <c r="I1507" i="3"/>
  <c r="D1507" i="3"/>
  <c r="I1506" i="3"/>
  <c r="D1506" i="3"/>
  <c r="I1505" i="3"/>
  <c r="D1505" i="3"/>
  <c r="I1504" i="3"/>
  <c r="D1504" i="3"/>
  <c r="I1503" i="3"/>
  <c r="D1503" i="3"/>
  <c r="I1502" i="3"/>
  <c r="D1502" i="3"/>
  <c r="I1501" i="3"/>
  <c r="D1501" i="3"/>
  <c r="I1500" i="3"/>
  <c r="D1500" i="3"/>
  <c r="I1499" i="3"/>
  <c r="D1499" i="3"/>
  <c r="I1498" i="3"/>
  <c r="D1498" i="3"/>
  <c r="I1497" i="3"/>
  <c r="D1497" i="3"/>
  <c r="I1496" i="3"/>
  <c r="D1496" i="3"/>
  <c r="I1495" i="3"/>
  <c r="D1495" i="3"/>
  <c r="I1494" i="3"/>
  <c r="D1494" i="3"/>
  <c r="I1493" i="3"/>
  <c r="D1493" i="3"/>
  <c r="I1492" i="3"/>
  <c r="D1492" i="3"/>
  <c r="I1491" i="3"/>
  <c r="D1491" i="3"/>
  <c r="I1490" i="3"/>
  <c r="D1490" i="3"/>
  <c r="I1489" i="3"/>
  <c r="D1489" i="3"/>
  <c r="I1488" i="3"/>
  <c r="D1488" i="3"/>
  <c r="I1487" i="3"/>
  <c r="D1487" i="3"/>
  <c r="I1486" i="3"/>
  <c r="D1486" i="3"/>
  <c r="I1485" i="3"/>
  <c r="D1485" i="3"/>
  <c r="I1483" i="3"/>
  <c r="D1483" i="3"/>
  <c r="I1482" i="3"/>
  <c r="D1482" i="3"/>
  <c r="I1481" i="3"/>
  <c r="D1481" i="3"/>
  <c r="H1473" i="3"/>
  <c r="I1473" i="3" s="1"/>
  <c r="C1473" i="3"/>
  <c r="D1473" i="3" s="1"/>
  <c r="I1472" i="3"/>
  <c r="D1472" i="3"/>
  <c r="I1471" i="3"/>
  <c r="D1471" i="3"/>
  <c r="I1470" i="3"/>
  <c r="D1470" i="3"/>
  <c r="I1469" i="3"/>
  <c r="D1469" i="3"/>
  <c r="I1468" i="3"/>
  <c r="D1468" i="3"/>
  <c r="I1467" i="3"/>
  <c r="D1467" i="3"/>
  <c r="I1466" i="3"/>
  <c r="D1466" i="3"/>
  <c r="I1465" i="3"/>
  <c r="D1465" i="3"/>
  <c r="I1464" i="3"/>
  <c r="D1464" i="3"/>
  <c r="I1463" i="3"/>
  <c r="D1463" i="3"/>
  <c r="I1462" i="3"/>
  <c r="D1462" i="3"/>
  <c r="I1461" i="3"/>
  <c r="D1461" i="3"/>
  <c r="I1460" i="3"/>
  <c r="D1460" i="3"/>
  <c r="I1459" i="3"/>
  <c r="D1459" i="3"/>
  <c r="I1458" i="3"/>
  <c r="D1458" i="3"/>
  <c r="I1457" i="3"/>
  <c r="D1457" i="3"/>
  <c r="I1456" i="3"/>
  <c r="D1456" i="3"/>
  <c r="I1455" i="3"/>
  <c r="D1455" i="3"/>
  <c r="I1454" i="3"/>
  <c r="D1454" i="3"/>
  <c r="I1453" i="3"/>
  <c r="D1453" i="3"/>
  <c r="I1452" i="3"/>
  <c r="D1452" i="3"/>
  <c r="I1451" i="3"/>
  <c r="D1451" i="3"/>
  <c r="I1450" i="3"/>
  <c r="D1450" i="3"/>
  <c r="I1449" i="3"/>
  <c r="D1449" i="3"/>
  <c r="I1447" i="3"/>
  <c r="D1447" i="3"/>
  <c r="I1446" i="3"/>
  <c r="D1446" i="3"/>
  <c r="I1445" i="3"/>
  <c r="D1445" i="3"/>
  <c r="H1437" i="3"/>
  <c r="I1437" i="3" s="1"/>
  <c r="C1437" i="3"/>
  <c r="D1437" i="3" s="1"/>
  <c r="I1436" i="3"/>
  <c r="D1436" i="3"/>
  <c r="I1435" i="3"/>
  <c r="D1435" i="3"/>
  <c r="I1434" i="3"/>
  <c r="D1434" i="3"/>
  <c r="I1433" i="3"/>
  <c r="D1433" i="3"/>
  <c r="I1432" i="3"/>
  <c r="D1432" i="3"/>
  <c r="I1431" i="3"/>
  <c r="D1431" i="3"/>
  <c r="I1430" i="3"/>
  <c r="D1430" i="3"/>
  <c r="I1429" i="3"/>
  <c r="D1429" i="3"/>
  <c r="I1428" i="3"/>
  <c r="D1428" i="3"/>
  <c r="I1427" i="3"/>
  <c r="D1427" i="3"/>
  <c r="I1426" i="3"/>
  <c r="D1426" i="3"/>
  <c r="I1425" i="3"/>
  <c r="D1425" i="3"/>
  <c r="I1424" i="3"/>
  <c r="D1424" i="3"/>
  <c r="I1423" i="3"/>
  <c r="D1423" i="3"/>
  <c r="I1422" i="3"/>
  <c r="D1422" i="3"/>
  <c r="I1421" i="3"/>
  <c r="D1421" i="3"/>
  <c r="I1420" i="3"/>
  <c r="D1420" i="3"/>
  <c r="I1419" i="3"/>
  <c r="D1419" i="3"/>
  <c r="I1418" i="3"/>
  <c r="D1418" i="3"/>
  <c r="I1417" i="3"/>
  <c r="D1417" i="3"/>
  <c r="I1416" i="3"/>
  <c r="D1416" i="3"/>
  <c r="I1415" i="3"/>
  <c r="D1415" i="3"/>
  <c r="I1414" i="3"/>
  <c r="D1414" i="3"/>
  <c r="I1413" i="3"/>
  <c r="D1413" i="3"/>
  <c r="I1411" i="3"/>
  <c r="D1411" i="3"/>
  <c r="I1410" i="3"/>
  <c r="D1410" i="3"/>
  <c r="I1409" i="3"/>
  <c r="D1409" i="3"/>
  <c r="H1401" i="3"/>
  <c r="I1401" i="3" s="1"/>
  <c r="C1401" i="3"/>
  <c r="D1401" i="3" s="1"/>
  <c r="I1400" i="3"/>
  <c r="D1400" i="3"/>
  <c r="I1399" i="3"/>
  <c r="D1399" i="3"/>
  <c r="I1398" i="3"/>
  <c r="D1398" i="3"/>
  <c r="I1397" i="3"/>
  <c r="D1397" i="3"/>
  <c r="I1396" i="3"/>
  <c r="D1396" i="3"/>
  <c r="I1395" i="3"/>
  <c r="D1395" i="3"/>
  <c r="I1394" i="3"/>
  <c r="D1394" i="3"/>
  <c r="I1393" i="3"/>
  <c r="D1393" i="3"/>
  <c r="I1392" i="3"/>
  <c r="D1392" i="3"/>
  <c r="I1391" i="3"/>
  <c r="D1391" i="3"/>
  <c r="I1390" i="3"/>
  <c r="D1390" i="3"/>
  <c r="I1389" i="3"/>
  <c r="D1389" i="3"/>
  <c r="I1388" i="3"/>
  <c r="D1388" i="3"/>
  <c r="I1387" i="3"/>
  <c r="D1387" i="3"/>
  <c r="I1386" i="3"/>
  <c r="D1386" i="3"/>
  <c r="I1385" i="3"/>
  <c r="D1385" i="3"/>
  <c r="I1384" i="3"/>
  <c r="D1384" i="3"/>
  <c r="I1383" i="3"/>
  <c r="D1383" i="3"/>
  <c r="I1382" i="3"/>
  <c r="D1382" i="3"/>
  <c r="I1381" i="3"/>
  <c r="D1381" i="3"/>
  <c r="I1380" i="3"/>
  <c r="D1380" i="3"/>
  <c r="I1379" i="3"/>
  <c r="D1379" i="3"/>
  <c r="I1378" i="3"/>
  <c r="D1378" i="3"/>
  <c r="I1377" i="3"/>
  <c r="D1377" i="3"/>
  <c r="I1375" i="3"/>
  <c r="D1375" i="3"/>
  <c r="I1374" i="3"/>
  <c r="D1374" i="3"/>
  <c r="I1373" i="3"/>
  <c r="D1373" i="3"/>
  <c r="H1365" i="3"/>
  <c r="I1365" i="3" s="1"/>
  <c r="C1365" i="3"/>
  <c r="D1365" i="3" s="1"/>
  <c r="I1364" i="3"/>
  <c r="D1364" i="3"/>
  <c r="I1363" i="3"/>
  <c r="D1363" i="3"/>
  <c r="I1362" i="3"/>
  <c r="D1362" i="3"/>
  <c r="I1361" i="3"/>
  <c r="D1361" i="3"/>
  <c r="I1360" i="3"/>
  <c r="D1360" i="3"/>
  <c r="I1359" i="3"/>
  <c r="D1359" i="3"/>
  <c r="I1358" i="3"/>
  <c r="D1358" i="3"/>
  <c r="I1357" i="3"/>
  <c r="D1357" i="3"/>
  <c r="I1356" i="3"/>
  <c r="D1356" i="3"/>
  <c r="I1355" i="3"/>
  <c r="D1355" i="3"/>
  <c r="I1354" i="3"/>
  <c r="D1354" i="3"/>
  <c r="I1353" i="3"/>
  <c r="D1353" i="3"/>
  <c r="I1352" i="3"/>
  <c r="D1352" i="3"/>
  <c r="I1351" i="3"/>
  <c r="D1351" i="3"/>
  <c r="I1350" i="3"/>
  <c r="D1350" i="3"/>
  <c r="I1349" i="3"/>
  <c r="D1349" i="3"/>
  <c r="I1348" i="3"/>
  <c r="D1348" i="3"/>
  <c r="I1347" i="3"/>
  <c r="D1347" i="3"/>
  <c r="I1346" i="3"/>
  <c r="D1346" i="3"/>
  <c r="I1345" i="3"/>
  <c r="D1345" i="3"/>
  <c r="I1344" i="3"/>
  <c r="D1344" i="3"/>
  <c r="I1343" i="3"/>
  <c r="D1343" i="3"/>
  <c r="I1342" i="3"/>
  <c r="D1342" i="3"/>
  <c r="I1341" i="3"/>
  <c r="D1341" i="3"/>
  <c r="I1339" i="3"/>
  <c r="D1339" i="3"/>
  <c r="I1338" i="3"/>
  <c r="D1338" i="3"/>
  <c r="I1337" i="3"/>
  <c r="D1337" i="3"/>
  <c r="H1329" i="3"/>
  <c r="I1329" i="3" s="1"/>
  <c r="C1329" i="3"/>
  <c r="D1329" i="3" s="1"/>
  <c r="I1328" i="3"/>
  <c r="D1328" i="3"/>
  <c r="I1327" i="3"/>
  <c r="D1327" i="3"/>
  <c r="I1326" i="3"/>
  <c r="D1326" i="3"/>
  <c r="I1325" i="3"/>
  <c r="D1325" i="3"/>
  <c r="I1324" i="3"/>
  <c r="D1324" i="3"/>
  <c r="I1323" i="3"/>
  <c r="D1323" i="3"/>
  <c r="I1322" i="3"/>
  <c r="D1322" i="3"/>
  <c r="I1321" i="3"/>
  <c r="D1321" i="3"/>
  <c r="I1320" i="3"/>
  <c r="D1320" i="3"/>
  <c r="I1319" i="3"/>
  <c r="D1319" i="3"/>
  <c r="I1318" i="3"/>
  <c r="D1318" i="3"/>
  <c r="I1317" i="3"/>
  <c r="D1317" i="3"/>
  <c r="I1316" i="3"/>
  <c r="D1316" i="3"/>
  <c r="I1315" i="3"/>
  <c r="D1315" i="3"/>
  <c r="I1314" i="3"/>
  <c r="D1314" i="3"/>
  <c r="I1313" i="3"/>
  <c r="D1313" i="3"/>
  <c r="I1312" i="3"/>
  <c r="D1312" i="3"/>
  <c r="I1311" i="3"/>
  <c r="D1311" i="3"/>
  <c r="I1310" i="3"/>
  <c r="D1310" i="3"/>
  <c r="I1309" i="3"/>
  <c r="D1309" i="3"/>
  <c r="I1308" i="3"/>
  <c r="D1308" i="3"/>
  <c r="I1307" i="3"/>
  <c r="D1307" i="3"/>
  <c r="I1306" i="3"/>
  <c r="D1306" i="3"/>
  <c r="I1305" i="3"/>
  <c r="D1305" i="3"/>
  <c r="I1303" i="3"/>
  <c r="D1303" i="3"/>
  <c r="I1302" i="3"/>
  <c r="D1302" i="3"/>
  <c r="I1301" i="3"/>
  <c r="D1301" i="3"/>
  <c r="H1293" i="3"/>
  <c r="I1293" i="3" s="1"/>
  <c r="C1293" i="3"/>
  <c r="D1293" i="3" s="1"/>
  <c r="I1292" i="3"/>
  <c r="D1292" i="3"/>
  <c r="I1291" i="3"/>
  <c r="D1291" i="3"/>
  <c r="I1290" i="3"/>
  <c r="D1290" i="3"/>
  <c r="I1289" i="3"/>
  <c r="D1289" i="3"/>
  <c r="I1288" i="3"/>
  <c r="D1288" i="3"/>
  <c r="I1287" i="3"/>
  <c r="D1287" i="3"/>
  <c r="I1286" i="3"/>
  <c r="D1286" i="3"/>
  <c r="I1285" i="3"/>
  <c r="D1285" i="3"/>
  <c r="I1284" i="3"/>
  <c r="D1284" i="3"/>
  <c r="I1283" i="3"/>
  <c r="D1283" i="3"/>
  <c r="I1282" i="3"/>
  <c r="D1282" i="3"/>
  <c r="I1281" i="3"/>
  <c r="D1281" i="3"/>
  <c r="I1280" i="3"/>
  <c r="D1280" i="3"/>
  <c r="I1279" i="3"/>
  <c r="D1279" i="3"/>
  <c r="I1278" i="3"/>
  <c r="D1278" i="3"/>
  <c r="I1277" i="3"/>
  <c r="D1277" i="3"/>
  <c r="I1276" i="3"/>
  <c r="D1276" i="3"/>
  <c r="I1275" i="3"/>
  <c r="D1275" i="3"/>
  <c r="I1274" i="3"/>
  <c r="D1274" i="3"/>
  <c r="I1273" i="3"/>
  <c r="D1273" i="3"/>
  <c r="I1272" i="3"/>
  <c r="D1272" i="3"/>
  <c r="I1271" i="3"/>
  <c r="D1271" i="3"/>
  <c r="I1270" i="3"/>
  <c r="D1270" i="3"/>
  <c r="I1269" i="3"/>
  <c r="D1269" i="3"/>
  <c r="I1267" i="3"/>
  <c r="D1267" i="3"/>
  <c r="I1266" i="3"/>
  <c r="D1266" i="3"/>
  <c r="I1265" i="3"/>
  <c r="D1265" i="3"/>
  <c r="H1257" i="3"/>
  <c r="I1257" i="3" s="1"/>
  <c r="C1257" i="3"/>
  <c r="D1257" i="3" s="1"/>
  <c r="I1256" i="3"/>
  <c r="D1256" i="3"/>
  <c r="I1255" i="3"/>
  <c r="D1255" i="3"/>
  <c r="I1254" i="3"/>
  <c r="D1254" i="3"/>
  <c r="I1253" i="3"/>
  <c r="D1253" i="3"/>
  <c r="I1252" i="3"/>
  <c r="D1252" i="3"/>
  <c r="I1251" i="3"/>
  <c r="D1251" i="3"/>
  <c r="I1250" i="3"/>
  <c r="D1250" i="3"/>
  <c r="I1249" i="3"/>
  <c r="D1249" i="3"/>
  <c r="I1248" i="3"/>
  <c r="D1248" i="3"/>
  <c r="I1247" i="3"/>
  <c r="D1247" i="3"/>
  <c r="I1246" i="3"/>
  <c r="D1246" i="3"/>
  <c r="I1245" i="3"/>
  <c r="D1245" i="3"/>
  <c r="I1244" i="3"/>
  <c r="D1244" i="3"/>
  <c r="I1243" i="3"/>
  <c r="D1243" i="3"/>
  <c r="I1242" i="3"/>
  <c r="D1242" i="3"/>
  <c r="I1241" i="3"/>
  <c r="D1241" i="3"/>
  <c r="I1240" i="3"/>
  <c r="D1240" i="3"/>
  <c r="I1239" i="3"/>
  <c r="D1239" i="3"/>
  <c r="I1238" i="3"/>
  <c r="D1238" i="3"/>
  <c r="I1237" i="3"/>
  <c r="D1237" i="3"/>
  <c r="I1236" i="3"/>
  <c r="D1236" i="3"/>
  <c r="I1235" i="3"/>
  <c r="D1235" i="3"/>
  <c r="I1234" i="3"/>
  <c r="D1234" i="3"/>
  <c r="I1233" i="3"/>
  <c r="D1233" i="3"/>
  <c r="I1231" i="3"/>
  <c r="D1231" i="3"/>
  <c r="I1230" i="3"/>
  <c r="D1230" i="3"/>
  <c r="I1229" i="3"/>
  <c r="D1229" i="3"/>
  <c r="H1221" i="3"/>
  <c r="I1221" i="3" s="1"/>
  <c r="C1221" i="3"/>
  <c r="D1221" i="3" s="1"/>
  <c r="I1220" i="3"/>
  <c r="D1220" i="3"/>
  <c r="I1219" i="3"/>
  <c r="D1219" i="3"/>
  <c r="I1218" i="3"/>
  <c r="D1218" i="3"/>
  <c r="I1217" i="3"/>
  <c r="D1217" i="3"/>
  <c r="I1216" i="3"/>
  <c r="D1216" i="3"/>
  <c r="I1215" i="3"/>
  <c r="D1215" i="3"/>
  <c r="I1214" i="3"/>
  <c r="D1214" i="3"/>
  <c r="I1213" i="3"/>
  <c r="D1213" i="3"/>
  <c r="I1212" i="3"/>
  <c r="D1212" i="3"/>
  <c r="I1211" i="3"/>
  <c r="D1211" i="3"/>
  <c r="I1210" i="3"/>
  <c r="D1210" i="3"/>
  <c r="I1209" i="3"/>
  <c r="D1209" i="3"/>
  <c r="I1208" i="3"/>
  <c r="D1208" i="3"/>
  <c r="I1207" i="3"/>
  <c r="D1207" i="3"/>
  <c r="I1206" i="3"/>
  <c r="D1206" i="3"/>
  <c r="I1205" i="3"/>
  <c r="D1205" i="3"/>
  <c r="I1204" i="3"/>
  <c r="D1204" i="3"/>
  <c r="I1203" i="3"/>
  <c r="D1203" i="3"/>
  <c r="I1202" i="3"/>
  <c r="D1202" i="3"/>
  <c r="I1201" i="3"/>
  <c r="D1201" i="3"/>
  <c r="I1200" i="3"/>
  <c r="D1200" i="3"/>
  <c r="I1199" i="3"/>
  <c r="D1199" i="3"/>
  <c r="I1198" i="3"/>
  <c r="D1198" i="3"/>
  <c r="I1197" i="3"/>
  <c r="D1197" i="3"/>
  <c r="I1195" i="3"/>
  <c r="D1195" i="3"/>
  <c r="I1194" i="3"/>
  <c r="D1194" i="3"/>
  <c r="I1193" i="3"/>
  <c r="D1193" i="3"/>
  <c r="H1185" i="3"/>
  <c r="I1185" i="3" s="1"/>
  <c r="C1185" i="3"/>
  <c r="D1185" i="3" s="1"/>
  <c r="I1184" i="3"/>
  <c r="D1184" i="3"/>
  <c r="I1183" i="3"/>
  <c r="D1183" i="3"/>
  <c r="I1182" i="3"/>
  <c r="D1182" i="3"/>
  <c r="I1181" i="3"/>
  <c r="D1181" i="3"/>
  <c r="I1180" i="3"/>
  <c r="D1180" i="3"/>
  <c r="I1179" i="3"/>
  <c r="D1179" i="3"/>
  <c r="I1178" i="3"/>
  <c r="D1178" i="3"/>
  <c r="I1177" i="3"/>
  <c r="D1177" i="3"/>
  <c r="I1176" i="3"/>
  <c r="D1176" i="3"/>
  <c r="I1175" i="3"/>
  <c r="D1175" i="3"/>
  <c r="I1174" i="3"/>
  <c r="D1174" i="3"/>
  <c r="I1173" i="3"/>
  <c r="D1173" i="3"/>
  <c r="I1172" i="3"/>
  <c r="D1172" i="3"/>
  <c r="I1171" i="3"/>
  <c r="D1171" i="3"/>
  <c r="I1170" i="3"/>
  <c r="D1170" i="3"/>
  <c r="I1169" i="3"/>
  <c r="D1169" i="3"/>
  <c r="I1168" i="3"/>
  <c r="D1168" i="3"/>
  <c r="I1167" i="3"/>
  <c r="D1167" i="3"/>
  <c r="I1166" i="3"/>
  <c r="D1166" i="3"/>
  <c r="I1165" i="3"/>
  <c r="D1165" i="3"/>
  <c r="I1164" i="3"/>
  <c r="D1164" i="3"/>
  <c r="I1163" i="3"/>
  <c r="D1163" i="3"/>
  <c r="I1162" i="3"/>
  <c r="D1162" i="3"/>
  <c r="I1161" i="3"/>
  <c r="D1161" i="3"/>
  <c r="I1159" i="3"/>
  <c r="D1159" i="3"/>
  <c r="I1158" i="3"/>
  <c r="D1158" i="3"/>
  <c r="I1157" i="3"/>
  <c r="D1157" i="3"/>
  <c r="H1149" i="3"/>
  <c r="I1149" i="3" s="1"/>
  <c r="C1149" i="3"/>
  <c r="D1149" i="3" s="1"/>
  <c r="I1148" i="3"/>
  <c r="D1148" i="3"/>
  <c r="I1147" i="3"/>
  <c r="D1147" i="3"/>
  <c r="I1146" i="3"/>
  <c r="D1146" i="3"/>
  <c r="I1145" i="3"/>
  <c r="D1145" i="3"/>
  <c r="I1144" i="3"/>
  <c r="D1144" i="3"/>
  <c r="I1143" i="3"/>
  <c r="D1143" i="3"/>
  <c r="I1142" i="3"/>
  <c r="D1142" i="3"/>
  <c r="I1141" i="3"/>
  <c r="D1141" i="3"/>
  <c r="I1140" i="3"/>
  <c r="D1140" i="3"/>
  <c r="I1139" i="3"/>
  <c r="D1139" i="3"/>
  <c r="I1138" i="3"/>
  <c r="D1138" i="3"/>
  <c r="I1137" i="3"/>
  <c r="D1137" i="3"/>
  <c r="I1136" i="3"/>
  <c r="D1136" i="3"/>
  <c r="I1135" i="3"/>
  <c r="D1135" i="3"/>
  <c r="I1134" i="3"/>
  <c r="D1134" i="3"/>
  <c r="I1133" i="3"/>
  <c r="D1133" i="3"/>
  <c r="I1132" i="3"/>
  <c r="D1132" i="3"/>
  <c r="I1131" i="3"/>
  <c r="D1131" i="3"/>
  <c r="I1130" i="3"/>
  <c r="D1130" i="3"/>
  <c r="I1129" i="3"/>
  <c r="D1129" i="3"/>
  <c r="I1128" i="3"/>
  <c r="D1128" i="3"/>
  <c r="I1127" i="3"/>
  <c r="D1127" i="3"/>
  <c r="I1126" i="3"/>
  <c r="D1126" i="3"/>
  <c r="I1125" i="3"/>
  <c r="D1125" i="3"/>
  <c r="I1123" i="3"/>
  <c r="D1123" i="3"/>
  <c r="I1122" i="3"/>
  <c r="D1122" i="3"/>
  <c r="I1121" i="3"/>
  <c r="D1121" i="3"/>
  <c r="H1113" i="3"/>
  <c r="I1113" i="3" s="1"/>
  <c r="C1113" i="3"/>
  <c r="D1113" i="3" s="1"/>
  <c r="I1112" i="3"/>
  <c r="D1112" i="3"/>
  <c r="I1111" i="3"/>
  <c r="D1111" i="3"/>
  <c r="I1110" i="3"/>
  <c r="D1110" i="3"/>
  <c r="I1109" i="3"/>
  <c r="D1109" i="3"/>
  <c r="I1108" i="3"/>
  <c r="D1108" i="3"/>
  <c r="I1107" i="3"/>
  <c r="D1107" i="3"/>
  <c r="I1106" i="3"/>
  <c r="D1106" i="3"/>
  <c r="I1105" i="3"/>
  <c r="D1105" i="3"/>
  <c r="I1104" i="3"/>
  <c r="D1104" i="3"/>
  <c r="I1103" i="3"/>
  <c r="D1103" i="3"/>
  <c r="I1102" i="3"/>
  <c r="D1102" i="3"/>
  <c r="I1101" i="3"/>
  <c r="D1101" i="3"/>
  <c r="I1100" i="3"/>
  <c r="D1100" i="3"/>
  <c r="I1099" i="3"/>
  <c r="D1099" i="3"/>
  <c r="I1098" i="3"/>
  <c r="D1098" i="3"/>
  <c r="I1097" i="3"/>
  <c r="D1097" i="3"/>
  <c r="I1096" i="3"/>
  <c r="D1096" i="3"/>
  <c r="I1095" i="3"/>
  <c r="D1095" i="3"/>
  <c r="I1094" i="3"/>
  <c r="D1094" i="3"/>
  <c r="I1093" i="3"/>
  <c r="D1093" i="3"/>
  <c r="I1092" i="3"/>
  <c r="D1092" i="3"/>
  <c r="I1091" i="3"/>
  <c r="D1091" i="3"/>
  <c r="I1090" i="3"/>
  <c r="D1090" i="3"/>
  <c r="I1089" i="3"/>
  <c r="D1089" i="3"/>
  <c r="I1087" i="3"/>
  <c r="D1087" i="3"/>
  <c r="I1086" i="3"/>
  <c r="D1086" i="3"/>
  <c r="I1085" i="3"/>
  <c r="D1085" i="3"/>
  <c r="H1077" i="3"/>
  <c r="I1077" i="3" s="1"/>
  <c r="C1077" i="3"/>
  <c r="D1077" i="3" s="1"/>
  <c r="I1076" i="3"/>
  <c r="D1076" i="3"/>
  <c r="I1075" i="3"/>
  <c r="D1075" i="3"/>
  <c r="I1074" i="3"/>
  <c r="D1074" i="3"/>
  <c r="I1073" i="3"/>
  <c r="D1073" i="3"/>
  <c r="I1072" i="3"/>
  <c r="D1072" i="3"/>
  <c r="I1071" i="3"/>
  <c r="D1071" i="3"/>
  <c r="I1070" i="3"/>
  <c r="D1070" i="3"/>
  <c r="I1069" i="3"/>
  <c r="D1069" i="3"/>
  <c r="I1068" i="3"/>
  <c r="D1068" i="3"/>
  <c r="I1067" i="3"/>
  <c r="D1067" i="3"/>
  <c r="I1066" i="3"/>
  <c r="D1066" i="3"/>
  <c r="I1065" i="3"/>
  <c r="D1065" i="3"/>
  <c r="I1064" i="3"/>
  <c r="D1064" i="3"/>
  <c r="I1063" i="3"/>
  <c r="D1063" i="3"/>
  <c r="I1062" i="3"/>
  <c r="D1062" i="3"/>
  <c r="I1061" i="3"/>
  <c r="D1061" i="3"/>
  <c r="I1060" i="3"/>
  <c r="D1060" i="3"/>
  <c r="I1059" i="3"/>
  <c r="D1059" i="3"/>
  <c r="I1058" i="3"/>
  <c r="D1058" i="3"/>
  <c r="I1057" i="3"/>
  <c r="D1057" i="3"/>
  <c r="I1056" i="3"/>
  <c r="D1056" i="3"/>
  <c r="I1055" i="3"/>
  <c r="D1055" i="3"/>
  <c r="I1054" i="3"/>
  <c r="D1054" i="3"/>
  <c r="I1053" i="3"/>
  <c r="D1053" i="3"/>
  <c r="I1051" i="3"/>
  <c r="D1051" i="3"/>
  <c r="I1050" i="3"/>
  <c r="D1050" i="3"/>
  <c r="I1049" i="3"/>
  <c r="D1049" i="3"/>
  <c r="H1041" i="3"/>
  <c r="I1041" i="3" s="1"/>
  <c r="C1041" i="3"/>
  <c r="D1041" i="3" s="1"/>
  <c r="I1040" i="3"/>
  <c r="D1040" i="3"/>
  <c r="I1039" i="3"/>
  <c r="D1039" i="3"/>
  <c r="I1038" i="3"/>
  <c r="D1038" i="3"/>
  <c r="I1037" i="3"/>
  <c r="D1037" i="3"/>
  <c r="I1036" i="3"/>
  <c r="D1036" i="3"/>
  <c r="I1035" i="3"/>
  <c r="D1035" i="3"/>
  <c r="I1034" i="3"/>
  <c r="D1034" i="3"/>
  <c r="I1033" i="3"/>
  <c r="D1033" i="3"/>
  <c r="I1032" i="3"/>
  <c r="D1032" i="3"/>
  <c r="I1031" i="3"/>
  <c r="D1031" i="3"/>
  <c r="I1030" i="3"/>
  <c r="D1030" i="3"/>
  <c r="I1029" i="3"/>
  <c r="D1029" i="3"/>
  <c r="I1028" i="3"/>
  <c r="D1028" i="3"/>
  <c r="I1027" i="3"/>
  <c r="D1027" i="3"/>
  <c r="I1026" i="3"/>
  <c r="D1026" i="3"/>
  <c r="I1025" i="3"/>
  <c r="D1025" i="3"/>
  <c r="I1024" i="3"/>
  <c r="D1024" i="3"/>
  <c r="I1023" i="3"/>
  <c r="D1023" i="3"/>
  <c r="I1022" i="3"/>
  <c r="D1022" i="3"/>
  <c r="I1021" i="3"/>
  <c r="D1021" i="3"/>
  <c r="I1020" i="3"/>
  <c r="D1020" i="3"/>
  <c r="I1019" i="3"/>
  <c r="D1019" i="3"/>
  <c r="I1018" i="3"/>
  <c r="D1018" i="3"/>
  <c r="I1017" i="3"/>
  <c r="D1017" i="3"/>
  <c r="I1015" i="3"/>
  <c r="D1015" i="3"/>
  <c r="I1014" i="3"/>
  <c r="D1014" i="3"/>
  <c r="I1013" i="3"/>
  <c r="D1013" i="3"/>
  <c r="H1005" i="3"/>
  <c r="I1005" i="3" s="1"/>
  <c r="C1005" i="3"/>
  <c r="D1005" i="3" s="1"/>
  <c r="I1004" i="3"/>
  <c r="D1004" i="3"/>
  <c r="I1003" i="3"/>
  <c r="D1003" i="3"/>
  <c r="I1002" i="3"/>
  <c r="D1002" i="3"/>
  <c r="I1001" i="3"/>
  <c r="D1001" i="3"/>
  <c r="I1000" i="3"/>
  <c r="D1000" i="3"/>
  <c r="I999" i="3"/>
  <c r="D999" i="3"/>
  <c r="I998" i="3"/>
  <c r="D998" i="3"/>
  <c r="I997" i="3"/>
  <c r="D997" i="3"/>
  <c r="I996" i="3"/>
  <c r="D996" i="3"/>
  <c r="I995" i="3"/>
  <c r="D995" i="3"/>
  <c r="I994" i="3"/>
  <c r="D994" i="3"/>
  <c r="I993" i="3"/>
  <c r="D993" i="3"/>
  <c r="I992" i="3"/>
  <c r="D992" i="3"/>
  <c r="I991" i="3"/>
  <c r="D991" i="3"/>
  <c r="I990" i="3"/>
  <c r="D990" i="3"/>
  <c r="I989" i="3"/>
  <c r="D989" i="3"/>
  <c r="I988" i="3"/>
  <c r="D988" i="3"/>
  <c r="I987" i="3"/>
  <c r="D987" i="3"/>
  <c r="I986" i="3"/>
  <c r="D986" i="3"/>
  <c r="I985" i="3"/>
  <c r="D985" i="3"/>
  <c r="I984" i="3"/>
  <c r="D984" i="3"/>
  <c r="I983" i="3"/>
  <c r="D983" i="3"/>
  <c r="I982" i="3"/>
  <c r="D982" i="3"/>
  <c r="I981" i="3"/>
  <c r="D981" i="3"/>
  <c r="I979" i="3"/>
  <c r="D979" i="3"/>
  <c r="I978" i="3"/>
  <c r="D978" i="3"/>
  <c r="I977" i="3"/>
  <c r="D977" i="3"/>
  <c r="H969" i="3"/>
  <c r="I969" i="3" s="1"/>
  <c r="C969" i="3"/>
  <c r="D969" i="3" s="1"/>
  <c r="I968" i="3"/>
  <c r="D968" i="3"/>
  <c r="I967" i="3"/>
  <c r="D967" i="3"/>
  <c r="I966" i="3"/>
  <c r="D966" i="3"/>
  <c r="I965" i="3"/>
  <c r="D965" i="3"/>
  <c r="I964" i="3"/>
  <c r="D964" i="3"/>
  <c r="I963" i="3"/>
  <c r="D963" i="3"/>
  <c r="I962" i="3"/>
  <c r="D962" i="3"/>
  <c r="I961" i="3"/>
  <c r="D961" i="3"/>
  <c r="I960" i="3"/>
  <c r="D960" i="3"/>
  <c r="I959" i="3"/>
  <c r="D959" i="3"/>
  <c r="I958" i="3"/>
  <c r="D958" i="3"/>
  <c r="I957" i="3"/>
  <c r="D957" i="3"/>
  <c r="I956" i="3"/>
  <c r="D956" i="3"/>
  <c r="I955" i="3"/>
  <c r="D955" i="3"/>
  <c r="I954" i="3"/>
  <c r="D954" i="3"/>
  <c r="I953" i="3"/>
  <c r="D953" i="3"/>
  <c r="I952" i="3"/>
  <c r="D952" i="3"/>
  <c r="I951" i="3"/>
  <c r="D951" i="3"/>
  <c r="I950" i="3"/>
  <c r="D950" i="3"/>
  <c r="I949" i="3"/>
  <c r="D949" i="3"/>
  <c r="I948" i="3"/>
  <c r="D948" i="3"/>
  <c r="I947" i="3"/>
  <c r="D947" i="3"/>
  <c r="I946" i="3"/>
  <c r="D946" i="3"/>
  <c r="I945" i="3"/>
  <c r="D945" i="3"/>
  <c r="I943" i="3"/>
  <c r="D943" i="3"/>
  <c r="I942" i="3"/>
  <c r="D942" i="3"/>
  <c r="I941" i="3"/>
  <c r="D941" i="3"/>
  <c r="H933" i="3"/>
  <c r="I933" i="3" s="1"/>
  <c r="C933" i="3"/>
  <c r="D933" i="3" s="1"/>
  <c r="I932" i="3"/>
  <c r="D932" i="3"/>
  <c r="I931" i="3"/>
  <c r="D931" i="3"/>
  <c r="I930" i="3"/>
  <c r="D930" i="3"/>
  <c r="I929" i="3"/>
  <c r="D929" i="3"/>
  <c r="I928" i="3"/>
  <c r="D928" i="3"/>
  <c r="I927" i="3"/>
  <c r="D927" i="3"/>
  <c r="I926" i="3"/>
  <c r="D926" i="3"/>
  <c r="I925" i="3"/>
  <c r="D925" i="3"/>
  <c r="I924" i="3"/>
  <c r="D924" i="3"/>
  <c r="I923" i="3"/>
  <c r="D923" i="3"/>
  <c r="I922" i="3"/>
  <c r="D922" i="3"/>
  <c r="I921" i="3"/>
  <c r="D921" i="3"/>
  <c r="I920" i="3"/>
  <c r="D920" i="3"/>
  <c r="I919" i="3"/>
  <c r="D919" i="3"/>
  <c r="I918" i="3"/>
  <c r="D918" i="3"/>
  <c r="I917" i="3"/>
  <c r="D917" i="3"/>
  <c r="I916" i="3"/>
  <c r="D916" i="3"/>
  <c r="I915" i="3"/>
  <c r="D915" i="3"/>
  <c r="I914" i="3"/>
  <c r="D914" i="3"/>
  <c r="I913" i="3"/>
  <c r="D913" i="3"/>
  <c r="I912" i="3"/>
  <c r="D912" i="3"/>
  <c r="I911" i="3"/>
  <c r="D911" i="3"/>
  <c r="I910" i="3"/>
  <c r="D910" i="3"/>
  <c r="I909" i="3"/>
  <c r="D909" i="3"/>
  <c r="I907" i="3"/>
  <c r="D907" i="3"/>
  <c r="I906" i="3"/>
  <c r="D906" i="3"/>
  <c r="I905" i="3"/>
  <c r="D905" i="3"/>
  <c r="H897" i="3"/>
  <c r="I897" i="3" s="1"/>
  <c r="C897" i="3"/>
  <c r="D897" i="3" s="1"/>
  <c r="I896" i="3"/>
  <c r="D896" i="3"/>
  <c r="I895" i="3"/>
  <c r="D895" i="3"/>
  <c r="I894" i="3"/>
  <c r="D894" i="3"/>
  <c r="I893" i="3"/>
  <c r="D893" i="3"/>
  <c r="I892" i="3"/>
  <c r="D892" i="3"/>
  <c r="I891" i="3"/>
  <c r="D891" i="3"/>
  <c r="I890" i="3"/>
  <c r="D890" i="3"/>
  <c r="I889" i="3"/>
  <c r="D889" i="3"/>
  <c r="I888" i="3"/>
  <c r="D888" i="3"/>
  <c r="I887" i="3"/>
  <c r="D887" i="3"/>
  <c r="I886" i="3"/>
  <c r="D886" i="3"/>
  <c r="I885" i="3"/>
  <c r="D885" i="3"/>
  <c r="I884" i="3"/>
  <c r="D884" i="3"/>
  <c r="I883" i="3"/>
  <c r="D883" i="3"/>
  <c r="I882" i="3"/>
  <c r="D882" i="3"/>
  <c r="I881" i="3"/>
  <c r="D881" i="3"/>
  <c r="I880" i="3"/>
  <c r="D880" i="3"/>
  <c r="I879" i="3"/>
  <c r="D879" i="3"/>
  <c r="I878" i="3"/>
  <c r="D878" i="3"/>
  <c r="I877" i="3"/>
  <c r="D877" i="3"/>
  <c r="I876" i="3"/>
  <c r="D876" i="3"/>
  <c r="I875" i="3"/>
  <c r="D875" i="3"/>
  <c r="I874" i="3"/>
  <c r="D874" i="3"/>
  <c r="I873" i="3"/>
  <c r="D873" i="3"/>
  <c r="I871" i="3"/>
  <c r="D871" i="3"/>
  <c r="I870" i="3"/>
  <c r="D870" i="3"/>
  <c r="I869" i="3"/>
  <c r="D869" i="3"/>
  <c r="H861" i="3"/>
  <c r="I861" i="3" s="1"/>
  <c r="C861" i="3"/>
  <c r="D861" i="3" s="1"/>
  <c r="I860" i="3"/>
  <c r="D860" i="3"/>
  <c r="I859" i="3"/>
  <c r="D859" i="3"/>
  <c r="I858" i="3"/>
  <c r="D858" i="3"/>
  <c r="I857" i="3"/>
  <c r="D857" i="3"/>
  <c r="I856" i="3"/>
  <c r="D856" i="3"/>
  <c r="I855" i="3"/>
  <c r="D855" i="3"/>
  <c r="I854" i="3"/>
  <c r="D854" i="3"/>
  <c r="I853" i="3"/>
  <c r="D853" i="3"/>
  <c r="I852" i="3"/>
  <c r="D852" i="3"/>
  <c r="I851" i="3"/>
  <c r="D851" i="3"/>
  <c r="I850" i="3"/>
  <c r="D850" i="3"/>
  <c r="I849" i="3"/>
  <c r="D849" i="3"/>
  <c r="I848" i="3"/>
  <c r="D848" i="3"/>
  <c r="I847" i="3"/>
  <c r="D847" i="3"/>
  <c r="I846" i="3"/>
  <c r="D846" i="3"/>
  <c r="I845" i="3"/>
  <c r="D845" i="3"/>
  <c r="I844" i="3"/>
  <c r="D844" i="3"/>
  <c r="I843" i="3"/>
  <c r="D843" i="3"/>
  <c r="I842" i="3"/>
  <c r="D842" i="3"/>
  <c r="I841" i="3"/>
  <c r="D841" i="3"/>
  <c r="I840" i="3"/>
  <c r="D840" i="3"/>
  <c r="I839" i="3"/>
  <c r="D839" i="3"/>
  <c r="I838" i="3"/>
  <c r="D838" i="3"/>
  <c r="I837" i="3"/>
  <c r="D837" i="3"/>
  <c r="I835" i="3"/>
  <c r="D835" i="3"/>
  <c r="I834" i="3"/>
  <c r="D834" i="3"/>
  <c r="I833" i="3"/>
  <c r="D833" i="3"/>
  <c r="H825" i="3"/>
  <c r="I825" i="3" s="1"/>
  <c r="C825" i="3"/>
  <c r="D825" i="3" s="1"/>
  <c r="I824" i="3"/>
  <c r="D824" i="3"/>
  <c r="I823" i="3"/>
  <c r="D823" i="3"/>
  <c r="I822" i="3"/>
  <c r="D822" i="3"/>
  <c r="I821" i="3"/>
  <c r="D821" i="3"/>
  <c r="I820" i="3"/>
  <c r="D820" i="3"/>
  <c r="I819" i="3"/>
  <c r="D819" i="3"/>
  <c r="I818" i="3"/>
  <c r="D818" i="3"/>
  <c r="I817" i="3"/>
  <c r="D817" i="3"/>
  <c r="I816" i="3"/>
  <c r="D816" i="3"/>
  <c r="I815" i="3"/>
  <c r="D815" i="3"/>
  <c r="I814" i="3"/>
  <c r="D814" i="3"/>
  <c r="I813" i="3"/>
  <c r="D813" i="3"/>
  <c r="I812" i="3"/>
  <c r="D812" i="3"/>
  <c r="I811" i="3"/>
  <c r="D811" i="3"/>
  <c r="I810" i="3"/>
  <c r="D810" i="3"/>
  <c r="I809" i="3"/>
  <c r="D809" i="3"/>
  <c r="I808" i="3"/>
  <c r="D808" i="3"/>
  <c r="I807" i="3"/>
  <c r="D807" i="3"/>
  <c r="I806" i="3"/>
  <c r="D806" i="3"/>
  <c r="I805" i="3"/>
  <c r="D805" i="3"/>
  <c r="I804" i="3"/>
  <c r="D804" i="3"/>
  <c r="I803" i="3"/>
  <c r="D803" i="3"/>
  <c r="I802" i="3"/>
  <c r="D802" i="3"/>
  <c r="I801" i="3"/>
  <c r="D801" i="3"/>
  <c r="I799" i="3"/>
  <c r="D799" i="3"/>
  <c r="I798" i="3"/>
  <c r="D798" i="3"/>
  <c r="I797" i="3"/>
  <c r="D797" i="3"/>
  <c r="H789" i="3"/>
  <c r="I789" i="3" s="1"/>
  <c r="C789" i="3"/>
  <c r="D789" i="3" s="1"/>
  <c r="I788" i="3"/>
  <c r="D788" i="3"/>
  <c r="I787" i="3"/>
  <c r="D787" i="3"/>
  <c r="I786" i="3"/>
  <c r="D786" i="3"/>
  <c r="I785" i="3"/>
  <c r="D785" i="3"/>
  <c r="I784" i="3"/>
  <c r="D784" i="3"/>
  <c r="I783" i="3"/>
  <c r="D783" i="3"/>
  <c r="I782" i="3"/>
  <c r="D782" i="3"/>
  <c r="I781" i="3"/>
  <c r="D781" i="3"/>
  <c r="I780" i="3"/>
  <c r="D780" i="3"/>
  <c r="I779" i="3"/>
  <c r="D779" i="3"/>
  <c r="I778" i="3"/>
  <c r="D778" i="3"/>
  <c r="I777" i="3"/>
  <c r="D777" i="3"/>
  <c r="I776" i="3"/>
  <c r="D776" i="3"/>
  <c r="I775" i="3"/>
  <c r="D775" i="3"/>
  <c r="I774" i="3"/>
  <c r="D774" i="3"/>
  <c r="I773" i="3"/>
  <c r="D773" i="3"/>
  <c r="I772" i="3"/>
  <c r="D772" i="3"/>
  <c r="I771" i="3"/>
  <c r="D771" i="3"/>
  <c r="I770" i="3"/>
  <c r="D770" i="3"/>
  <c r="I769" i="3"/>
  <c r="D769" i="3"/>
  <c r="I768" i="3"/>
  <c r="D768" i="3"/>
  <c r="I767" i="3"/>
  <c r="D767" i="3"/>
  <c r="I766" i="3"/>
  <c r="D766" i="3"/>
  <c r="I765" i="3"/>
  <c r="D765" i="3"/>
  <c r="I763" i="3"/>
  <c r="D763" i="3"/>
  <c r="I762" i="3"/>
  <c r="D762" i="3"/>
  <c r="I761" i="3"/>
  <c r="D761" i="3"/>
  <c r="H753" i="3"/>
  <c r="I753" i="3" s="1"/>
  <c r="C753" i="3"/>
  <c r="D753" i="3" s="1"/>
  <c r="I752" i="3"/>
  <c r="D752" i="3"/>
  <c r="I751" i="3"/>
  <c r="D751" i="3"/>
  <c r="I750" i="3"/>
  <c r="D750" i="3"/>
  <c r="I749" i="3"/>
  <c r="D749" i="3"/>
  <c r="I748" i="3"/>
  <c r="D748" i="3"/>
  <c r="I747" i="3"/>
  <c r="D747" i="3"/>
  <c r="I746" i="3"/>
  <c r="D746" i="3"/>
  <c r="I745" i="3"/>
  <c r="D745" i="3"/>
  <c r="I744" i="3"/>
  <c r="D744" i="3"/>
  <c r="I743" i="3"/>
  <c r="D743" i="3"/>
  <c r="I742" i="3"/>
  <c r="D742" i="3"/>
  <c r="I741" i="3"/>
  <c r="D741" i="3"/>
  <c r="I740" i="3"/>
  <c r="D740" i="3"/>
  <c r="I739" i="3"/>
  <c r="D739" i="3"/>
  <c r="I738" i="3"/>
  <c r="D738" i="3"/>
  <c r="I737" i="3"/>
  <c r="D737" i="3"/>
  <c r="I736" i="3"/>
  <c r="D736" i="3"/>
  <c r="I735" i="3"/>
  <c r="D735" i="3"/>
  <c r="I734" i="3"/>
  <c r="D734" i="3"/>
  <c r="I733" i="3"/>
  <c r="D733" i="3"/>
  <c r="I732" i="3"/>
  <c r="D732" i="3"/>
  <c r="I731" i="3"/>
  <c r="D731" i="3"/>
  <c r="I730" i="3"/>
  <c r="D730" i="3"/>
  <c r="I729" i="3"/>
  <c r="D729" i="3"/>
  <c r="I727" i="3"/>
  <c r="D727" i="3"/>
  <c r="I726" i="3"/>
  <c r="D726" i="3"/>
  <c r="I725" i="3"/>
  <c r="D725" i="3"/>
  <c r="H717" i="3"/>
  <c r="I717" i="3" s="1"/>
  <c r="C717" i="3"/>
  <c r="D717" i="3" s="1"/>
  <c r="I716" i="3"/>
  <c r="D716" i="3"/>
  <c r="I715" i="3"/>
  <c r="D715" i="3"/>
  <c r="I714" i="3"/>
  <c r="D714" i="3"/>
  <c r="I713" i="3"/>
  <c r="D713" i="3"/>
  <c r="I712" i="3"/>
  <c r="D712" i="3"/>
  <c r="I711" i="3"/>
  <c r="D711" i="3"/>
  <c r="I710" i="3"/>
  <c r="D710" i="3"/>
  <c r="I709" i="3"/>
  <c r="D709" i="3"/>
  <c r="I708" i="3"/>
  <c r="D708" i="3"/>
  <c r="I707" i="3"/>
  <c r="D707" i="3"/>
  <c r="I706" i="3"/>
  <c r="D706" i="3"/>
  <c r="I705" i="3"/>
  <c r="D705" i="3"/>
  <c r="I704" i="3"/>
  <c r="D704" i="3"/>
  <c r="I703" i="3"/>
  <c r="D703" i="3"/>
  <c r="I702" i="3"/>
  <c r="D702" i="3"/>
  <c r="I701" i="3"/>
  <c r="D701" i="3"/>
  <c r="I700" i="3"/>
  <c r="D700" i="3"/>
  <c r="I699" i="3"/>
  <c r="D699" i="3"/>
  <c r="I698" i="3"/>
  <c r="D698" i="3"/>
  <c r="I697" i="3"/>
  <c r="D697" i="3"/>
  <c r="I696" i="3"/>
  <c r="D696" i="3"/>
  <c r="I695" i="3"/>
  <c r="D695" i="3"/>
  <c r="I694" i="3"/>
  <c r="D694" i="3"/>
  <c r="I693" i="3"/>
  <c r="D693" i="3"/>
  <c r="I691" i="3"/>
  <c r="D691" i="3"/>
  <c r="I690" i="3"/>
  <c r="D690" i="3"/>
  <c r="I689" i="3"/>
  <c r="D689" i="3"/>
  <c r="H681" i="3"/>
  <c r="I681" i="3" s="1"/>
  <c r="C681" i="3"/>
  <c r="D681" i="3" s="1"/>
  <c r="I680" i="3"/>
  <c r="D680" i="3"/>
  <c r="I679" i="3"/>
  <c r="D679" i="3"/>
  <c r="I678" i="3"/>
  <c r="D678" i="3"/>
  <c r="I677" i="3"/>
  <c r="D677" i="3"/>
  <c r="I676" i="3"/>
  <c r="D676" i="3"/>
  <c r="I675" i="3"/>
  <c r="D675" i="3"/>
  <c r="I674" i="3"/>
  <c r="D674" i="3"/>
  <c r="I673" i="3"/>
  <c r="D673" i="3"/>
  <c r="I672" i="3"/>
  <c r="D672" i="3"/>
  <c r="I671" i="3"/>
  <c r="D671" i="3"/>
  <c r="I670" i="3"/>
  <c r="D670" i="3"/>
  <c r="I669" i="3"/>
  <c r="D669" i="3"/>
  <c r="I668" i="3"/>
  <c r="D668" i="3"/>
  <c r="I667" i="3"/>
  <c r="D667" i="3"/>
  <c r="I666" i="3"/>
  <c r="D666" i="3"/>
  <c r="I665" i="3"/>
  <c r="D665" i="3"/>
  <c r="I664" i="3"/>
  <c r="D664" i="3"/>
  <c r="I663" i="3"/>
  <c r="D663" i="3"/>
  <c r="I662" i="3"/>
  <c r="D662" i="3"/>
  <c r="I661" i="3"/>
  <c r="D661" i="3"/>
  <c r="I660" i="3"/>
  <c r="D660" i="3"/>
  <c r="I659" i="3"/>
  <c r="D659" i="3"/>
  <c r="I658" i="3"/>
  <c r="D658" i="3"/>
  <c r="I657" i="3"/>
  <c r="D657" i="3"/>
  <c r="I655" i="3"/>
  <c r="D655" i="3"/>
  <c r="I654" i="3"/>
  <c r="D654" i="3"/>
  <c r="I653" i="3"/>
  <c r="D653" i="3"/>
  <c r="H645" i="3"/>
  <c r="I645" i="3" s="1"/>
  <c r="C645" i="3"/>
  <c r="D645" i="3" s="1"/>
  <c r="I644" i="3"/>
  <c r="D644" i="3"/>
  <c r="I643" i="3"/>
  <c r="D643" i="3"/>
  <c r="I642" i="3"/>
  <c r="D642" i="3"/>
  <c r="I641" i="3"/>
  <c r="D641" i="3"/>
  <c r="I640" i="3"/>
  <c r="D640" i="3"/>
  <c r="I639" i="3"/>
  <c r="D639" i="3"/>
  <c r="I638" i="3"/>
  <c r="D638" i="3"/>
  <c r="I637" i="3"/>
  <c r="D637" i="3"/>
  <c r="I636" i="3"/>
  <c r="D636" i="3"/>
  <c r="I635" i="3"/>
  <c r="D635" i="3"/>
  <c r="I634" i="3"/>
  <c r="D634" i="3"/>
  <c r="I633" i="3"/>
  <c r="D633" i="3"/>
  <c r="I632" i="3"/>
  <c r="D632" i="3"/>
  <c r="I631" i="3"/>
  <c r="D631" i="3"/>
  <c r="I630" i="3"/>
  <c r="D630" i="3"/>
  <c r="I629" i="3"/>
  <c r="D629" i="3"/>
  <c r="I628" i="3"/>
  <c r="D628" i="3"/>
  <c r="I627" i="3"/>
  <c r="D627" i="3"/>
  <c r="I626" i="3"/>
  <c r="D626" i="3"/>
  <c r="I625" i="3"/>
  <c r="D625" i="3"/>
  <c r="I624" i="3"/>
  <c r="D624" i="3"/>
  <c r="I623" i="3"/>
  <c r="D623" i="3"/>
  <c r="I622" i="3"/>
  <c r="D622" i="3"/>
  <c r="I621" i="3"/>
  <c r="D621" i="3"/>
  <c r="I619" i="3"/>
  <c r="D619" i="3"/>
  <c r="I618" i="3"/>
  <c r="D618" i="3"/>
  <c r="I617" i="3"/>
  <c r="D617" i="3"/>
  <c r="H609" i="3"/>
  <c r="I609" i="3" s="1"/>
  <c r="C609" i="3"/>
  <c r="D609" i="3" s="1"/>
  <c r="I608" i="3"/>
  <c r="D608" i="3"/>
  <c r="I607" i="3"/>
  <c r="D607" i="3"/>
  <c r="I606" i="3"/>
  <c r="D606" i="3"/>
  <c r="I605" i="3"/>
  <c r="D605" i="3"/>
  <c r="I604" i="3"/>
  <c r="D604" i="3"/>
  <c r="I603" i="3"/>
  <c r="D603" i="3"/>
  <c r="I602" i="3"/>
  <c r="D602" i="3"/>
  <c r="I601" i="3"/>
  <c r="D601" i="3"/>
  <c r="I600" i="3"/>
  <c r="D600" i="3"/>
  <c r="I599" i="3"/>
  <c r="D599" i="3"/>
  <c r="I598" i="3"/>
  <c r="D598" i="3"/>
  <c r="I597" i="3"/>
  <c r="D597" i="3"/>
  <c r="I596" i="3"/>
  <c r="D596" i="3"/>
  <c r="I595" i="3"/>
  <c r="D595" i="3"/>
  <c r="I594" i="3"/>
  <c r="D594" i="3"/>
  <c r="I593" i="3"/>
  <c r="D593" i="3"/>
  <c r="I592" i="3"/>
  <c r="D592" i="3"/>
  <c r="I591" i="3"/>
  <c r="D591" i="3"/>
  <c r="I590" i="3"/>
  <c r="D590" i="3"/>
  <c r="I589" i="3"/>
  <c r="D589" i="3"/>
  <c r="I588" i="3"/>
  <c r="D588" i="3"/>
  <c r="I587" i="3"/>
  <c r="D587" i="3"/>
  <c r="I586" i="3"/>
  <c r="D586" i="3"/>
  <c r="I585" i="3"/>
  <c r="D585" i="3"/>
  <c r="I583" i="3"/>
  <c r="D583" i="3"/>
  <c r="I582" i="3"/>
  <c r="D582" i="3"/>
  <c r="I581" i="3"/>
  <c r="D581" i="3"/>
  <c r="H573" i="3"/>
  <c r="I573" i="3" s="1"/>
  <c r="C573" i="3"/>
  <c r="D573" i="3" s="1"/>
  <c r="I572" i="3"/>
  <c r="D572" i="3"/>
  <c r="I571" i="3"/>
  <c r="D571" i="3"/>
  <c r="I570" i="3"/>
  <c r="D570" i="3"/>
  <c r="I569" i="3"/>
  <c r="D569" i="3"/>
  <c r="I568" i="3"/>
  <c r="D568" i="3"/>
  <c r="I567" i="3"/>
  <c r="D567" i="3"/>
  <c r="I566" i="3"/>
  <c r="D566" i="3"/>
  <c r="I565" i="3"/>
  <c r="D565" i="3"/>
  <c r="I564" i="3"/>
  <c r="D564" i="3"/>
  <c r="I563" i="3"/>
  <c r="D563" i="3"/>
  <c r="I562" i="3"/>
  <c r="D562" i="3"/>
  <c r="I561" i="3"/>
  <c r="D561" i="3"/>
  <c r="I560" i="3"/>
  <c r="D560" i="3"/>
  <c r="I559" i="3"/>
  <c r="D559" i="3"/>
  <c r="I558" i="3"/>
  <c r="D558" i="3"/>
  <c r="I557" i="3"/>
  <c r="D557" i="3"/>
  <c r="I556" i="3"/>
  <c r="D556" i="3"/>
  <c r="I555" i="3"/>
  <c r="D555" i="3"/>
  <c r="I554" i="3"/>
  <c r="D554" i="3"/>
  <c r="I553" i="3"/>
  <c r="D553" i="3"/>
  <c r="I552" i="3"/>
  <c r="D552" i="3"/>
  <c r="I551" i="3"/>
  <c r="D551" i="3"/>
  <c r="I550" i="3"/>
  <c r="D550" i="3"/>
  <c r="I549" i="3"/>
  <c r="D549" i="3"/>
  <c r="I547" i="3"/>
  <c r="D547" i="3"/>
  <c r="I546" i="3"/>
  <c r="D546" i="3"/>
  <c r="I545" i="3"/>
  <c r="D545" i="3"/>
  <c r="H537" i="3"/>
  <c r="I537" i="3" s="1"/>
  <c r="C537" i="3"/>
  <c r="D537" i="3" s="1"/>
  <c r="I536" i="3"/>
  <c r="D536" i="3"/>
  <c r="I535" i="3"/>
  <c r="D535" i="3"/>
  <c r="I534" i="3"/>
  <c r="D534" i="3"/>
  <c r="I533" i="3"/>
  <c r="D533" i="3"/>
  <c r="I532" i="3"/>
  <c r="D532" i="3"/>
  <c r="I531" i="3"/>
  <c r="D531" i="3"/>
  <c r="I530" i="3"/>
  <c r="D530" i="3"/>
  <c r="I529" i="3"/>
  <c r="D529" i="3"/>
  <c r="I528" i="3"/>
  <c r="D528" i="3"/>
  <c r="I527" i="3"/>
  <c r="D527" i="3"/>
  <c r="I526" i="3"/>
  <c r="D526" i="3"/>
  <c r="I525" i="3"/>
  <c r="D525" i="3"/>
  <c r="I524" i="3"/>
  <c r="D524" i="3"/>
  <c r="I523" i="3"/>
  <c r="D523" i="3"/>
  <c r="I522" i="3"/>
  <c r="D522" i="3"/>
  <c r="I521" i="3"/>
  <c r="D521" i="3"/>
  <c r="I520" i="3"/>
  <c r="D520" i="3"/>
  <c r="I519" i="3"/>
  <c r="D519" i="3"/>
  <c r="I518" i="3"/>
  <c r="D518" i="3"/>
  <c r="I517" i="3"/>
  <c r="D517" i="3"/>
  <c r="I516" i="3"/>
  <c r="D516" i="3"/>
  <c r="I515" i="3"/>
  <c r="D515" i="3"/>
  <c r="I514" i="3"/>
  <c r="D514" i="3"/>
  <c r="I513" i="3"/>
  <c r="D513" i="3"/>
  <c r="I511" i="3"/>
  <c r="D511" i="3"/>
  <c r="I510" i="3"/>
  <c r="D510" i="3"/>
  <c r="I509" i="3"/>
  <c r="D509" i="3"/>
  <c r="H501" i="3"/>
  <c r="I501" i="3" s="1"/>
  <c r="C501" i="3"/>
  <c r="D501" i="3" s="1"/>
  <c r="I500" i="3"/>
  <c r="D500" i="3"/>
  <c r="I499" i="3"/>
  <c r="D499" i="3"/>
  <c r="I498" i="3"/>
  <c r="D498" i="3"/>
  <c r="I497" i="3"/>
  <c r="D497" i="3"/>
  <c r="I496" i="3"/>
  <c r="D496" i="3"/>
  <c r="I495" i="3"/>
  <c r="D495" i="3"/>
  <c r="I494" i="3"/>
  <c r="D494" i="3"/>
  <c r="I493" i="3"/>
  <c r="D493" i="3"/>
  <c r="I492" i="3"/>
  <c r="D492" i="3"/>
  <c r="I491" i="3"/>
  <c r="D491" i="3"/>
  <c r="I490" i="3"/>
  <c r="D490" i="3"/>
  <c r="I489" i="3"/>
  <c r="D489" i="3"/>
  <c r="I488" i="3"/>
  <c r="D488" i="3"/>
  <c r="I487" i="3"/>
  <c r="D487" i="3"/>
  <c r="I486" i="3"/>
  <c r="D486" i="3"/>
  <c r="I485" i="3"/>
  <c r="D485" i="3"/>
  <c r="I484" i="3"/>
  <c r="D484" i="3"/>
  <c r="I483" i="3"/>
  <c r="D483" i="3"/>
  <c r="I482" i="3"/>
  <c r="D482" i="3"/>
  <c r="I481" i="3"/>
  <c r="D481" i="3"/>
  <c r="I480" i="3"/>
  <c r="D480" i="3"/>
  <c r="I479" i="3"/>
  <c r="D479" i="3"/>
  <c r="I478" i="3"/>
  <c r="D478" i="3"/>
  <c r="I477" i="3"/>
  <c r="D477" i="3"/>
  <c r="I475" i="3"/>
  <c r="D475" i="3"/>
  <c r="I474" i="3"/>
  <c r="D474" i="3"/>
  <c r="I473" i="3"/>
  <c r="D473" i="3"/>
  <c r="H465" i="3"/>
  <c r="I465" i="3" s="1"/>
  <c r="C465" i="3"/>
  <c r="D465" i="3" s="1"/>
  <c r="I464" i="3"/>
  <c r="D464" i="3"/>
  <c r="I463" i="3"/>
  <c r="D463" i="3"/>
  <c r="I462" i="3"/>
  <c r="D462" i="3"/>
  <c r="I461" i="3"/>
  <c r="D461" i="3"/>
  <c r="I460" i="3"/>
  <c r="D460" i="3"/>
  <c r="I459" i="3"/>
  <c r="D459" i="3"/>
  <c r="I458" i="3"/>
  <c r="D458" i="3"/>
  <c r="I457" i="3"/>
  <c r="D457" i="3"/>
  <c r="I456" i="3"/>
  <c r="D456" i="3"/>
  <c r="I455" i="3"/>
  <c r="D455" i="3"/>
  <c r="I454" i="3"/>
  <c r="D454" i="3"/>
  <c r="I453" i="3"/>
  <c r="D453" i="3"/>
  <c r="I452" i="3"/>
  <c r="D452" i="3"/>
  <c r="I451" i="3"/>
  <c r="D451" i="3"/>
  <c r="I450" i="3"/>
  <c r="D450" i="3"/>
  <c r="I449" i="3"/>
  <c r="D449" i="3"/>
  <c r="I448" i="3"/>
  <c r="D448" i="3"/>
  <c r="I447" i="3"/>
  <c r="D447" i="3"/>
  <c r="I446" i="3"/>
  <c r="D446" i="3"/>
  <c r="I445" i="3"/>
  <c r="D445" i="3"/>
  <c r="I444" i="3"/>
  <c r="D444" i="3"/>
  <c r="I443" i="3"/>
  <c r="D443" i="3"/>
  <c r="I442" i="3"/>
  <c r="D442" i="3"/>
  <c r="I441" i="3"/>
  <c r="D441" i="3"/>
  <c r="I439" i="3"/>
  <c r="D439" i="3"/>
  <c r="I438" i="3"/>
  <c r="D438" i="3"/>
  <c r="I437" i="3"/>
  <c r="D437" i="3"/>
  <c r="H429" i="3"/>
  <c r="I429" i="3" s="1"/>
  <c r="C429" i="3"/>
  <c r="D429" i="3" s="1"/>
  <c r="I428" i="3"/>
  <c r="D428" i="3"/>
  <c r="I427" i="3"/>
  <c r="D427" i="3"/>
  <c r="I426" i="3"/>
  <c r="D426" i="3"/>
  <c r="I425" i="3"/>
  <c r="D425" i="3"/>
  <c r="I424" i="3"/>
  <c r="D424" i="3"/>
  <c r="I423" i="3"/>
  <c r="D423" i="3"/>
  <c r="I422" i="3"/>
  <c r="D422" i="3"/>
  <c r="I421" i="3"/>
  <c r="D421" i="3"/>
  <c r="I420" i="3"/>
  <c r="D420" i="3"/>
  <c r="I419" i="3"/>
  <c r="D419" i="3"/>
  <c r="I418" i="3"/>
  <c r="D418" i="3"/>
  <c r="I417" i="3"/>
  <c r="D417" i="3"/>
  <c r="I416" i="3"/>
  <c r="D416" i="3"/>
  <c r="I415" i="3"/>
  <c r="D415" i="3"/>
  <c r="I414" i="3"/>
  <c r="D414" i="3"/>
  <c r="I413" i="3"/>
  <c r="D413" i="3"/>
  <c r="I412" i="3"/>
  <c r="D412" i="3"/>
  <c r="I411" i="3"/>
  <c r="D411" i="3"/>
  <c r="I410" i="3"/>
  <c r="D410" i="3"/>
  <c r="I409" i="3"/>
  <c r="D409" i="3"/>
  <c r="I408" i="3"/>
  <c r="D408" i="3"/>
  <c r="I407" i="3"/>
  <c r="D407" i="3"/>
  <c r="I406" i="3"/>
  <c r="D406" i="3"/>
  <c r="I405" i="3"/>
  <c r="D405" i="3"/>
  <c r="I403" i="3"/>
  <c r="D403" i="3"/>
  <c r="I402" i="3"/>
  <c r="D402" i="3"/>
  <c r="I401" i="3"/>
  <c r="D401" i="3"/>
  <c r="H393" i="3"/>
  <c r="I393" i="3" s="1"/>
  <c r="C393" i="3"/>
  <c r="D393" i="3" s="1"/>
  <c r="I392" i="3"/>
  <c r="D392" i="3"/>
  <c r="I391" i="3"/>
  <c r="D391" i="3"/>
  <c r="I390" i="3"/>
  <c r="D390" i="3"/>
  <c r="I389" i="3"/>
  <c r="D389" i="3"/>
  <c r="I388" i="3"/>
  <c r="D388" i="3"/>
  <c r="I387" i="3"/>
  <c r="D387" i="3"/>
  <c r="I386" i="3"/>
  <c r="D386" i="3"/>
  <c r="I385" i="3"/>
  <c r="D385" i="3"/>
  <c r="I384" i="3"/>
  <c r="D384" i="3"/>
  <c r="I383" i="3"/>
  <c r="D383" i="3"/>
  <c r="I382" i="3"/>
  <c r="D382" i="3"/>
  <c r="I381" i="3"/>
  <c r="D381" i="3"/>
  <c r="I380" i="3"/>
  <c r="D380" i="3"/>
  <c r="I379" i="3"/>
  <c r="D379" i="3"/>
  <c r="I378" i="3"/>
  <c r="D378" i="3"/>
  <c r="I377" i="3"/>
  <c r="D377" i="3"/>
  <c r="I376" i="3"/>
  <c r="D376" i="3"/>
  <c r="I375" i="3"/>
  <c r="D375" i="3"/>
  <c r="I374" i="3"/>
  <c r="D374" i="3"/>
  <c r="I373" i="3"/>
  <c r="D373" i="3"/>
  <c r="I372" i="3"/>
  <c r="D372" i="3"/>
  <c r="I371" i="3"/>
  <c r="D371" i="3"/>
  <c r="I370" i="3"/>
  <c r="D370" i="3"/>
  <c r="I369" i="3"/>
  <c r="D369" i="3"/>
  <c r="I367" i="3"/>
  <c r="D367" i="3"/>
  <c r="I366" i="3"/>
  <c r="D366" i="3"/>
  <c r="I365" i="3"/>
  <c r="D365" i="3"/>
  <c r="H357" i="3"/>
  <c r="I357" i="3" s="1"/>
  <c r="C357" i="3"/>
  <c r="D357" i="3" s="1"/>
  <c r="I356" i="3"/>
  <c r="D356" i="3"/>
  <c r="I355" i="3"/>
  <c r="D355" i="3"/>
  <c r="I354" i="3"/>
  <c r="D354" i="3"/>
  <c r="I353" i="3"/>
  <c r="D353" i="3"/>
  <c r="I352" i="3"/>
  <c r="D352" i="3"/>
  <c r="I351" i="3"/>
  <c r="D351" i="3"/>
  <c r="I350" i="3"/>
  <c r="D350" i="3"/>
  <c r="I349" i="3"/>
  <c r="D349" i="3"/>
  <c r="I348" i="3"/>
  <c r="D348" i="3"/>
  <c r="I347" i="3"/>
  <c r="D347" i="3"/>
  <c r="I346" i="3"/>
  <c r="D346" i="3"/>
  <c r="I345" i="3"/>
  <c r="D345" i="3"/>
  <c r="I344" i="3"/>
  <c r="D344" i="3"/>
  <c r="I343" i="3"/>
  <c r="D343" i="3"/>
  <c r="I342" i="3"/>
  <c r="D342" i="3"/>
  <c r="I341" i="3"/>
  <c r="D341" i="3"/>
  <c r="I340" i="3"/>
  <c r="D340" i="3"/>
  <c r="I339" i="3"/>
  <c r="D339" i="3"/>
  <c r="I338" i="3"/>
  <c r="D338" i="3"/>
  <c r="I337" i="3"/>
  <c r="D337" i="3"/>
  <c r="I336" i="3"/>
  <c r="D336" i="3"/>
  <c r="I335" i="3"/>
  <c r="D335" i="3"/>
  <c r="I334" i="3"/>
  <c r="D334" i="3"/>
  <c r="I333" i="3"/>
  <c r="D333" i="3"/>
  <c r="I331" i="3"/>
  <c r="D331" i="3"/>
  <c r="I330" i="3"/>
  <c r="D330" i="3"/>
  <c r="I329" i="3"/>
  <c r="D329" i="3"/>
  <c r="H321" i="3"/>
  <c r="I321" i="3" s="1"/>
  <c r="C321" i="3"/>
  <c r="D321" i="3" s="1"/>
  <c r="I320" i="3"/>
  <c r="D320" i="3"/>
  <c r="I319" i="3"/>
  <c r="D319" i="3"/>
  <c r="I318" i="3"/>
  <c r="D318" i="3"/>
  <c r="I317" i="3"/>
  <c r="D317" i="3"/>
  <c r="I316" i="3"/>
  <c r="D316" i="3"/>
  <c r="I315" i="3"/>
  <c r="D315" i="3"/>
  <c r="I314" i="3"/>
  <c r="D314" i="3"/>
  <c r="I313" i="3"/>
  <c r="D313" i="3"/>
  <c r="I312" i="3"/>
  <c r="D312" i="3"/>
  <c r="I311" i="3"/>
  <c r="D311" i="3"/>
  <c r="I310" i="3"/>
  <c r="D310" i="3"/>
  <c r="I309" i="3"/>
  <c r="D309" i="3"/>
  <c r="I308" i="3"/>
  <c r="D308" i="3"/>
  <c r="I307" i="3"/>
  <c r="D307" i="3"/>
  <c r="I306" i="3"/>
  <c r="D306" i="3"/>
  <c r="I305" i="3"/>
  <c r="D305" i="3"/>
  <c r="I304" i="3"/>
  <c r="D304" i="3"/>
  <c r="I303" i="3"/>
  <c r="D303" i="3"/>
  <c r="I302" i="3"/>
  <c r="D302" i="3"/>
  <c r="I301" i="3"/>
  <c r="D301" i="3"/>
  <c r="I300" i="3"/>
  <c r="D300" i="3"/>
  <c r="I299" i="3"/>
  <c r="D299" i="3"/>
  <c r="I298" i="3"/>
  <c r="D298" i="3"/>
  <c r="I297" i="3"/>
  <c r="D297" i="3"/>
  <c r="I295" i="3"/>
  <c r="D295" i="3"/>
  <c r="I294" i="3"/>
  <c r="D294" i="3"/>
  <c r="I293" i="3"/>
  <c r="D293" i="3"/>
  <c r="H285" i="3"/>
  <c r="I285" i="3" s="1"/>
  <c r="C285" i="3"/>
  <c r="D285" i="3" s="1"/>
  <c r="I284" i="3"/>
  <c r="D284" i="3"/>
  <c r="I283" i="3"/>
  <c r="D283" i="3"/>
  <c r="I282" i="3"/>
  <c r="D282" i="3"/>
  <c r="I281" i="3"/>
  <c r="D281" i="3"/>
  <c r="I280" i="3"/>
  <c r="D280" i="3"/>
  <c r="I279" i="3"/>
  <c r="D279" i="3"/>
  <c r="I278" i="3"/>
  <c r="D278" i="3"/>
  <c r="I277" i="3"/>
  <c r="D277" i="3"/>
  <c r="I276" i="3"/>
  <c r="D276" i="3"/>
  <c r="I275" i="3"/>
  <c r="D275" i="3"/>
  <c r="I274" i="3"/>
  <c r="D274" i="3"/>
  <c r="I273" i="3"/>
  <c r="D273" i="3"/>
  <c r="I272" i="3"/>
  <c r="D272" i="3"/>
  <c r="I271" i="3"/>
  <c r="D271" i="3"/>
  <c r="I270" i="3"/>
  <c r="D270" i="3"/>
  <c r="I269" i="3"/>
  <c r="D269" i="3"/>
  <c r="I268" i="3"/>
  <c r="D268" i="3"/>
  <c r="I267" i="3"/>
  <c r="D267" i="3"/>
  <c r="I266" i="3"/>
  <c r="D266" i="3"/>
  <c r="I265" i="3"/>
  <c r="D265" i="3"/>
  <c r="I264" i="3"/>
  <c r="D264" i="3"/>
  <c r="I263" i="3"/>
  <c r="D263" i="3"/>
  <c r="I262" i="3"/>
  <c r="D262" i="3"/>
  <c r="I261" i="3"/>
  <c r="D261" i="3"/>
  <c r="I259" i="3"/>
  <c r="D259" i="3"/>
  <c r="I258" i="3"/>
  <c r="D258" i="3"/>
  <c r="I257" i="3"/>
  <c r="D257" i="3"/>
  <c r="H249" i="3"/>
  <c r="I249" i="3" s="1"/>
  <c r="C249" i="3"/>
  <c r="D249" i="3" s="1"/>
  <c r="I248" i="3"/>
  <c r="D248" i="3"/>
  <c r="I247" i="3"/>
  <c r="D247" i="3"/>
  <c r="I246" i="3"/>
  <c r="D246" i="3"/>
  <c r="I245" i="3"/>
  <c r="D245" i="3"/>
  <c r="I244" i="3"/>
  <c r="D244" i="3"/>
  <c r="I243" i="3"/>
  <c r="D243" i="3"/>
  <c r="I242" i="3"/>
  <c r="D242" i="3"/>
  <c r="I241" i="3"/>
  <c r="D241" i="3"/>
  <c r="I240" i="3"/>
  <c r="D240" i="3"/>
  <c r="I239" i="3"/>
  <c r="D239" i="3"/>
  <c r="I238" i="3"/>
  <c r="D238" i="3"/>
  <c r="I237" i="3"/>
  <c r="D237" i="3"/>
  <c r="I236" i="3"/>
  <c r="D236" i="3"/>
  <c r="I235" i="3"/>
  <c r="D235" i="3"/>
  <c r="I234" i="3"/>
  <c r="D234" i="3"/>
  <c r="I233" i="3"/>
  <c r="D233" i="3"/>
  <c r="I232" i="3"/>
  <c r="D232" i="3"/>
  <c r="I231" i="3"/>
  <c r="D231" i="3"/>
  <c r="I230" i="3"/>
  <c r="D230" i="3"/>
  <c r="I229" i="3"/>
  <c r="D229" i="3"/>
  <c r="I228" i="3"/>
  <c r="D228" i="3"/>
  <c r="I227" i="3"/>
  <c r="D227" i="3"/>
  <c r="I226" i="3"/>
  <c r="D226" i="3"/>
  <c r="I225" i="3"/>
  <c r="D225" i="3"/>
  <c r="I223" i="3"/>
  <c r="D223" i="3"/>
  <c r="I222" i="3"/>
  <c r="D222" i="3"/>
  <c r="I221" i="3"/>
  <c r="D221" i="3"/>
  <c r="H213" i="3"/>
  <c r="I213" i="3" s="1"/>
  <c r="C213" i="3"/>
  <c r="D213" i="3" s="1"/>
  <c r="I212" i="3"/>
  <c r="D212" i="3"/>
  <c r="I211" i="3"/>
  <c r="D211" i="3"/>
  <c r="I210" i="3"/>
  <c r="D210" i="3"/>
  <c r="I209" i="3"/>
  <c r="D209" i="3"/>
  <c r="I208" i="3"/>
  <c r="D208" i="3"/>
  <c r="I207" i="3"/>
  <c r="D207" i="3"/>
  <c r="I206" i="3"/>
  <c r="D206" i="3"/>
  <c r="I205" i="3"/>
  <c r="D205" i="3"/>
  <c r="I204" i="3"/>
  <c r="D204" i="3"/>
  <c r="I203" i="3"/>
  <c r="D203" i="3"/>
  <c r="I202" i="3"/>
  <c r="D202" i="3"/>
  <c r="I201" i="3"/>
  <c r="D201" i="3"/>
  <c r="I200" i="3"/>
  <c r="D200" i="3"/>
  <c r="I199" i="3"/>
  <c r="D199" i="3"/>
  <c r="I198" i="3"/>
  <c r="D198" i="3"/>
  <c r="I197" i="3"/>
  <c r="D197" i="3"/>
  <c r="I196" i="3"/>
  <c r="D196" i="3"/>
  <c r="I195" i="3"/>
  <c r="D195" i="3"/>
  <c r="I194" i="3"/>
  <c r="D194" i="3"/>
  <c r="I193" i="3"/>
  <c r="D193" i="3"/>
  <c r="I192" i="3"/>
  <c r="D192" i="3"/>
  <c r="I191" i="3"/>
  <c r="D191" i="3"/>
  <c r="I190" i="3"/>
  <c r="D190" i="3"/>
  <c r="I189" i="3"/>
  <c r="D189" i="3"/>
  <c r="I187" i="3"/>
  <c r="D187" i="3"/>
  <c r="I186" i="3"/>
  <c r="D186" i="3"/>
  <c r="I185" i="3"/>
  <c r="D185" i="3"/>
  <c r="H177" i="3"/>
  <c r="I177" i="3" s="1"/>
  <c r="C177" i="3"/>
  <c r="D177" i="3" s="1"/>
  <c r="I176" i="3"/>
  <c r="D176" i="3"/>
  <c r="I175" i="3"/>
  <c r="D175" i="3"/>
  <c r="I174" i="3"/>
  <c r="D174" i="3"/>
  <c r="I173" i="3"/>
  <c r="D173" i="3"/>
  <c r="I172" i="3"/>
  <c r="D172" i="3"/>
  <c r="I171" i="3"/>
  <c r="D171" i="3"/>
  <c r="I170" i="3"/>
  <c r="D170" i="3"/>
  <c r="I169" i="3"/>
  <c r="D169" i="3"/>
  <c r="I168" i="3"/>
  <c r="D168" i="3"/>
  <c r="I167" i="3"/>
  <c r="D167" i="3"/>
  <c r="I166" i="3"/>
  <c r="D166" i="3"/>
  <c r="I165" i="3"/>
  <c r="D165" i="3"/>
  <c r="I164" i="3"/>
  <c r="D164" i="3"/>
  <c r="I163" i="3"/>
  <c r="D163" i="3"/>
  <c r="I162" i="3"/>
  <c r="D162" i="3"/>
  <c r="I161" i="3"/>
  <c r="D161" i="3"/>
  <c r="I160" i="3"/>
  <c r="D160" i="3"/>
  <c r="I159" i="3"/>
  <c r="D159" i="3"/>
  <c r="I158" i="3"/>
  <c r="D158" i="3"/>
  <c r="I157" i="3"/>
  <c r="D157" i="3"/>
  <c r="I156" i="3"/>
  <c r="D156" i="3"/>
  <c r="I155" i="3"/>
  <c r="D155" i="3"/>
  <c r="I154" i="3"/>
  <c r="D154" i="3"/>
  <c r="I153" i="3"/>
  <c r="D153" i="3"/>
  <c r="I151" i="3"/>
  <c r="D151" i="3"/>
  <c r="I150" i="3"/>
  <c r="D150" i="3"/>
  <c r="I149" i="3"/>
  <c r="D149" i="3"/>
  <c r="H141" i="3"/>
  <c r="I141" i="3" s="1"/>
  <c r="C141" i="3"/>
  <c r="D141" i="3" s="1"/>
  <c r="I140" i="3"/>
  <c r="D140" i="3"/>
  <c r="I139" i="3"/>
  <c r="D139" i="3"/>
  <c r="I138" i="3"/>
  <c r="D138" i="3"/>
  <c r="I137" i="3"/>
  <c r="D137" i="3"/>
  <c r="I136" i="3"/>
  <c r="D136" i="3"/>
  <c r="I135" i="3"/>
  <c r="D135" i="3"/>
  <c r="I134" i="3"/>
  <c r="D134" i="3"/>
  <c r="I133" i="3"/>
  <c r="D133" i="3"/>
  <c r="I132" i="3"/>
  <c r="D132" i="3"/>
  <c r="I131" i="3"/>
  <c r="D131" i="3"/>
  <c r="I130" i="3"/>
  <c r="D130" i="3"/>
  <c r="I129" i="3"/>
  <c r="D129" i="3"/>
  <c r="I128" i="3"/>
  <c r="D128" i="3"/>
  <c r="I127" i="3"/>
  <c r="D127" i="3"/>
  <c r="I126" i="3"/>
  <c r="D126" i="3"/>
  <c r="I125" i="3"/>
  <c r="D125" i="3"/>
  <c r="I124" i="3"/>
  <c r="D124" i="3"/>
  <c r="I123" i="3"/>
  <c r="D123" i="3"/>
  <c r="I122" i="3"/>
  <c r="D122" i="3"/>
  <c r="I121" i="3"/>
  <c r="D121" i="3"/>
  <c r="I120" i="3"/>
  <c r="D120" i="3"/>
  <c r="I119" i="3"/>
  <c r="D119" i="3"/>
  <c r="I118" i="3"/>
  <c r="D118" i="3"/>
  <c r="I117" i="3"/>
  <c r="D117" i="3"/>
  <c r="I115" i="3"/>
  <c r="D115" i="3"/>
  <c r="I114" i="3"/>
  <c r="D114" i="3"/>
  <c r="I113" i="3"/>
  <c r="D113" i="3"/>
  <c r="H105" i="3"/>
  <c r="I105" i="3" s="1"/>
  <c r="C105" i="3"/>
  <c r="D105" i="3" s="1"/>
  <c r="I104" i="3"/>
  <c r="D104" i="3"/>
  <c r="I103" i="3"/>
  <c r="D103" i="3"/>
  <c r="I102" i="3"/>
  <c r="D102" i="3"/>
  <c r="I101" i="3"/>
  <c r="D101" i="3"/>
  <c r="I100" i="3"/>
  <c r="D100" i="3"/>
  <c r="I99" i="3"/>
  <c r="D99" i="3"/>
  <c r="I98" i="3"/>
  <c r="D98" i="3"/>
  <c r="I97" i="3"/>
  <c r="D97" i="3"/>
  <c r="I96" i="3"/>
  <c r="D96" i="3"/>
  <c r="I95" i="3"/>
  <c r="D95" i="3"/>
  <c r="I94" i="3"/>
  <c r="D94" i="3"/>
  <c r="I93" i="3"/>
  <c r="D93" i="3"/>
  <c r="I92" i="3"/>
  <c r="D92" i="3"/>
  <c r="I91" i="3"/>
  <c r="D91" i="3"/>
  <c r="I90" i="3"/>
  <c r="D90" i="3"/>
  <c r="I89" i="3"/>
  <c r="D89" i="3"/>
  <c r="I88" i="3"/>
  <c r="D88" i="3"/>
  <c r="I87" i="3"/>
  <c r="D87" i="3"/>
  <c r="I86" i="3"/>
  <c r="D86" i="3"/>
  <c r="I85" i="3"/>
  <c r="D85" i="3"/>
  <c r="I84" i="3"/>
  <c r="D84" i="3"/>
  <c r="I83" i="3"/>
  <c r="D83" i="3"/>
  <c r="I82" i="3"/>
  <c r="D82" i="3"/>
  <c r="I81" i="3"/>
  <c r="D81" i="3"/>
  <c r="I79" i="3"/>
  <c r="D79" i="3"/>
  <c r="I78" i="3"/>
  <c r="D78" i="3"/>
  <c r="I77" i="3"/>
  <c r="D77" i="3"/>
  <c r="H76" i="3"/>
  <c r="H80" i="3" s="1"/>
  <c r="C69" i="3"/>
  <c r="D69" i="3" s="1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3" i="3"/>
  <c r="D42" i="3"/>
  <c r="D41" i="3"/>
  <c r="C33" i="3"/>
  <c r="D33" i="3" s="1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C8" i="3"/>
  <c r="D7" i="3"/>
  <c r="D6" i="3"/>
  <c r="D5" i="3"/>
  <c r="D4" i="3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19" i="1"/>
  <c r="D1518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19" i="1"/>
  <c r="I1518" i="1"/>
  <c r="I1517" i="1"/>
  <c r="I1398" i="1"/>
  <c r="I1397" i="1"/>
  <c r="I1447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81" i="1"/>
  <c r="I1482" i="1"/>
  <c r="I1483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4" i="1"/>
  <c r="I1505" i="1"/>
  <c r="I1507" i="1"/>
  <c r="I1508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3" i="1"/>
  <c r="D1482" i="1"/>
  <c r="D1481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7" i="1"/>
  <c r="D1446" i="1"/>
  <c r="D1445" i="1"/>
  <c r="I1373" i="1"/>
  <c r="I1374" i="1"/>
  <c r="I1375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9" i="1"/>
  <c r="I1400" i="1"/>
  <c r="I1411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359" i="1"/>
  <c r="I1360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1" i="1"/>
  <c r="D1410" i="1"/>
  <c r="D1409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5" i="1"/>
  <c r="D1374" i="1"/>
  <c r="D1373" i="1"/>
  <c r="I1361" i="1"/>
  <c r="I1364" i="1"/>
  <c r="I1363" i="1"/>
  <c r="I1362" i="1"/>
  <c r="I1357" i="1"/>
  <c r="D1337" i="1"/>
  <c r="I1358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39" i="1"/>
  <c r="I1338" i="1"/>
  <c r="I1337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39" i="1"/>
  <c r="D1338" i="1"/>
  <c r="I1326" i="1"/>
  <c r="I1325" i="1"/>
  <c r="I1324" i="1"/>
  <c r="I1328" i="1"/>
  <c r="D1328" i="1"/>
  <c r="I1327" i="1"/>
  <c r="D1327" i="1"/>
  <c r="D1326" i="1"/>
  <c r="D1325" i="1"/>
  <c r="D1324" i="1"/>
  <c r="I1323" i="1"/>
  <c r="D1323" i="1"/>
  <c r="I1322" i="1"/>
  <c r="D1322" i="1"/>
  <c r="I1321" i="1"/>
  <c r="D1321" i="1"/>
  <c r="I1320" i="1"/>
  <c r="D1320" i="1"/>
  <c r="I1319" i="1"/>
  <c r="D1319" i="1"/>
  <c r="I1318" i="1"/>
  <c r="D1318" i="1"/>
  <c r="I1317" i="1"/>
  <c r="D1317" i="1"/>
  <c r="I1316" i="1"/>
  <c r="D1316" i="1"/>
  <c r="I1315" i="1"/>
  <c r="D1315" i="1"/>
  <c r="I1314" i="1"/>
  <c r="D1314" i="1"/>
  <c r="I1313" i="1"/>
  <c r="D1313" i="1"/>
  <c r="I1312" i="1"/>
  <c r="D1312" i="1"/>
  <c r="I1311" i="1"/>
  <c r="D1311" i="1"/>
  <c r="I1310" i="1"/>
  <c r="D1310" i="1"/>
  <c r="I1309" i="1"/>
  <c r="D1309" i="1"/>
  <c r="I1308" i="1"/>
  <c r="D1308" i="1"/>
  <c r="I1307" i="1"/>
  <c r="D1307" i="1"/>
  <c r="I1306" i="1"/>
  <c r="D1306" i="1"/>
  <c r="I1305" i="1"/>
  <c r="D1305" i="1"/>
  <c r="I1303" i="1"/>
  <c r="D1303" i="1"/>
  <c r="I1302" i="1"/>
  <c r="D1302" i="1"/>
  <c r="I1301" i="1"/>
  <c r="D1301" i="1"/>
  <c r="I1292" i="1"/>
  <c r="D1292" i="1"/>
  <c r="I1291" i="1"/>
  <c r="D1291" i="1"/>
  <c r="I1290" i="1"/>
  <c r="D1290" i="1"/>
  <c r="I1289" i="1"/>
  <c r="D1289" i="1"/>
  <c r="I1288" i="1"/>
  <c r="D1288" i="1"/>
  <c r="I1287" i="1"/>
  <c r="D1287" i="1"/>
  <c r="I1286" i="1"/>
  <c r="D1286" i="1"/>
  <c r="I1285" i="1"/>
  <c r="D1285" i="1"/>
  <c r="I1284" i="1"/>
  <c r="D1284" i="1"/>
  <c r="I1283" i="1"/>
  <c r="D1283" i="1"/>
  <c r="I1282" i="1"/>
  <c r="D1282" i="1"/>
  <c r="I1281" i="1"/>
  <c r="D1281" i="1"/>
  <c r="I1280" i="1"/>
  <c r="D1280" i="1"/>
  <c r="I1279" i="1"/>
  <c r="D1279" i="1"/>
  <c r="I1278" i="1"/>
  <c r="D1278" i="1"/>
  <c r="I1277" i="1"/>
  <c r="D1277" i="1"/>
  <c r="I1276" i="1"/>
  <c r="D1276" i="1"/>
  <c r="I1275" i="1"/>
  <c r="D1275" i="1"/>
  <c r="I1274" i="1"/>
  <c r="D1274" i="1"/>
  <c r="I1273" i="1"/>
  <c r="D1273" i="1"/>
  <c r="I1272" i="1"/>
  <c r="D1272" i="1"/>
  <c r="I1271" i="1"/>
  <c r="D1271" i="1"/>
  <c r="I1270" i="1"/>
  <c r="D1270" i="1"/>
  <c r="I1269" i="1"/>
  <c r="D1269" i="1"/>
  <c r="I1267" i="1"/>
  <c r="D1267" i="1"/>
  <c r="I1266" i="1"/>
  <c r="D1266" i="1"/>
  <c r="I1265" i="1"/>
  <c r="D1265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1" i="1"/>
  <c r="I1230" i="1"/>
  <c r="I1229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1" i="1"/>
  <c r="D1230" i="1"/>
  <c r="D1229" i="1"/>
  <c r="I1220" i="1"/>
  <c r="D1220" i="1"/>
  <c r="I1219" i="1"/>
  <c r="D1219" i="1"/>
  <c r="I1218" i="1"/>
  <c r="D1218" i="1"/>
  <c r="I1217" i="1"/>
  <c r="D1217" i="1"/>
  <c r="I1216" i="1"/>
  <c r="D1216" i="1"/>
  <c r="I1215" i="1"/>
  <c r="D1215" i="1"/>
  <c r="I1214" i="1"/>
  <c r="D1214" i="1"/>
  <c r="I1213" i="1"/>
  <c r="D1213" i="1"/>
  <c r="I1212" i="1"/>
  <c r="D1212" i="1"/>
  <c r="I1211" i="1"/>
  <c r="D1211" i="1"/>
  <c r="I1210" i="1"/>
  <c r="D1210" i="1"/>
  <c r="I1209" i="1"/>
  <c r="D1209" i="1"/>
  <c r="I1208" i="1"/>
  <c r="D1208" i="1"/>
  <c r="I1207" i="1"/>
  <c r="D1207" i="1"/>
  <c r="I1206" i="1"/>
  <c r="D1206" i="1"/>
  <c r="I1205" i="1"/>
  <c r="D1205" i="1"/>
  <c r="I1204" i="1"/>
  <c r="D1204" i="1"/>
  <c r="I1203" i="1"/>
  <c r="D1203" i="1"/>
  <c r="I1202" i="1"/>
  <c r="D1202" i="1"/>
  <c r="I1201" i="1"/>
  <c r="D1201" i="1"/>
  <c r="I1200" i="1"/>
  <c r="D1200" i="1"/>
  <c r="I1199" i="1"/>
  <c r="D1199" i="1"/>
  <c r="I1198" i="1"/>
  <c r="D1198" i="1"/>
  <c r="I1197" i="1"/>
  <c r="D1197" i="1"/>
  <c r="I1195" i="1"/>
  <c r="D1195" i="1"/>
  <c r="I1194" i="1"/>
  <c r="D1194" i="1"/>
  <c r="I1193" i="1"/>
  <c r="D1193" i="1"/>
  <c r="I1180" i="1"/>
  <c r="I1182" i="1"/>
  <c r="I1183" i="1"/>
  <c r="I1144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59" i="1"/>
  <c r="D1158" i="1"/>
  <c r="D1157" i="1"/>
  <c r="I1147" i="1"/>
  <c r="I1184" i="1"/>
  <c r="I1181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59" i="1"/>
  <c r="I1158" i="1"/>
  <c r="I1157" i="1"/>
  <c r="I1148" i="1"/>
  <c r="D1148" i="1"/>
  <c r="D1147" i="1"/>
  <c r="I1146" i="1"/>
  <c r="D1146" i="1"/>
  <c r="I1145" i="1"/>
  <c r="D1145" i="1"/>
  <c r="D1144" i="1"/>
  <c r="I1143" i="1"/>
  <c r="D1143" i="1"/>
  <c r="I1142" i="1"/>
  <c r="D1142" i="1"/>
  <c r="I1141" i="1"/>
  <c r="D1141" i="1"/>
  <c r="I1140" i="1"/>
  <c r="D1140" i="1"/>
  <c r="I1139" i="1"/>
  <c r="D1139" i="1"/>
  <c r="I1138" i="1"/>
  <c r="D1138" i="1"/>
  <c r="I1137" i="1"/>
  <c r="D1137" i="1"/>
  <c r="I1136" i="1"/>
  <c r="D1136" i="1"/>
  <c r="I1135" i="1"/>
  <c r="D1135" i="1"/>
  <c r="I1134" i="1"/>
  <c r="D1134" i="1"/>
  <c r="I1133" i="1"/>
  <c r="D1133" i="1"/>
  <c r="I1132" i="1"/>
  <c r="D1132" i="1"/>
  <c r="I1131" i="1"/>
  <c r="D1131" i="1"/>
  <c r="I1130" i="1"/>
  <c r="D1130" i="1"/>
  <c r="I1129" i="1"/>
  <c r="D1129" i="1"/>
  <c r="I1128" i="1"/>
  <c r="D1128" i="1"/>
  <c r="I1127" i="1"/>
  <c r="D1127" i="1"/>
  <c r="I1126" i="1"/>
  <c r="D1126" i="1"/>
  <c r="I1125" i="1"/>
  <c r="D1125" i="1"/>
  <c r="I1123" i="1"/>
  <c r="D1123" i="1"/>
  <c r="I1122" i="1"/>
  <c r="D1122" i="1"/>
  <c r="I1121" i="1"/>
  <c r="D1121" i="1"/>
  <c r="I1110" i="1"/>
  <c r="I1106" i="1"/>
  <c r="I1105" i="1"/>
  <c r="I1112" i="1"/>
  <c r="D1112" i="1"/>
  <c r="I1111" i="1"/>
  <c r="D1111" i="1"/>
  <c r="D1110" i="1"/>
  <c r="I1109" i="1"/>
  <c r="D1109" i="1"/>
  <c r="I1108" i="1"/>
  <c r="D1108" i="1"/>
  <c r="I1107" i="1"/>
  <c r="D1107" i="1"/>
  <c r="D1106" i="1"/>
  <c r="D1105" i="1"/>
  <c r="I1104" i="1"/>
  <c r="D1104" i="1"/>
  <c r="I1103" i="1"/>
  <c r="D1103" i="1"/>
  <c r="I1102" i="1"/>
  <c r="D1102" i="1"/>
  <c r="I1101" i="1"/>
  <c r="D1101" i="1"/>
  <c r="I1100" i="1"/>
  <c r="D1100" i="1"/>
  <c r="I1099" i="1"/>
  <c r="D1099" i="1"/>
  <c r="I1098" i="1"/>
  <c r="D1098" i="1"/>
  <c r="I1097" i="1"/>
  <c r="D1097" i="1"/>
  <c r="I1096" i="1"/>
  <c r="D1096" i="1"/>
  <c r="I1095" i="1"/>
  <c r="D1095" i="1"/>
  <c r="I1094" i="1"/>
  <c r="D1094" i="1"/>
  <c r="I1093" i="1"/>
  <c r="D1093" i="1"/>
  <c r="I1092" i="1"/>
  <c r="D1092" i="1"/>
  <c r="I1091" i="1"/>
  <c r="D1091" i="1"/>
  <c r="I1090" i="1"/>
  <c r="D1090" i="1"/>
  <c r="I1089" i="1"/>
  <c r="D1089" i="1"/>
  <c r="I1087" i="1"/>
  <c r="D1087" i="1"/>
  <c r="I1086" i="1"/>
  <c r="D1086" i="1"/>
  <c r="I1085" i="1"/>
  <c r="D1085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1" i="1"/>
  <c r="D1050" i="1"/>
  <c r="D1049" i="1"/>
  <c r="I1013" i="1"/>
  <c r="I1014" i="1"/>
  <c r="I1015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9" i="1"/>
  <c r="I1050" i="1"/>
  <c r="I1051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D1019" i="1"/>
  <c r="I1004" i="1"/>
  <c r="I1002" i="1"/>
  <c r="I1001" i="1"/>
  <c r="I965" i="1"/>
  <c r="I966" i="1"/>
  <c r="I967" i="1"/>
  <c r="D947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8" i="1"/>
  <c r="D1017" i="1"/>
  <c r="D1015" i="1"/>
  <c r="D1014" i="1"/>
  <c r="D1013" i="1"/>
  <c r="I963" i="1"/>
  <c r="I968" i="1"/>
  <c r="I1003" i="1"/>
  <c r="I979" i="1"/>
  <c r="I978" i="1"/>
  <c r="I960" i="1"/>
  <c r="I961" i="1"/>
  <c r="I929" i="1"/>
  <c r="I930" i="1"/>
  <c r="I931" i="1"/>
  <c r="I932" i="1"/>
  <c r="D913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79" i="1"/>
  <c r="D978" i="1"/>
  <c r="D977" i="1"/>
  <c r="I909" i="1"/>
  <c r="I928" i="1"/>
  <c r="I964" i="1"/>
  <c r="I962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3" i="1"/>
  <c r="I942" i="1"/>
  <c r="I94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77" i="1"/>
  <c r="I924" i="1"/>
  <c r="I923" i="1"/>
  <c r="I922" i="1"/>
  <c r="I921" i="1"/>
  <c r="I920" i="1"/>
  <c r="I893" i="1"/>
  <c r="I892" i="1"/>
  <c r="I894" i="1"/>
  <c r="I859" i="1"/>
  <c r="I891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6" i="1"/>
  <c r="D945" i="1"/>
  <c r="D943" i="1"/>
  <c r="D942" i="1"/>
  <c r="D941" i="1"/>
  <c r="I895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2" i="1"/>
  <c r="D911" i="1"/>
  <c r="D910" i="1"/>
  <c r="D909" i="1"/>
  <c r="D907" i="1"/>
  <c r="D906" i="1"/>
  <c r="D905" i="1"/>
  <c r="I801" i="1"/>
  <c r="I927" i="1"/>
  <c r="I926" i="1"/>
  <c r="I925" i="1"/>
  <c r="I919" i="1"/>
  <c r="I918" i="1"/>
  <c r="I917" i="1"/>
  <c r="I916" i="1"/>
  <c r="I915" i="1"/>
  <c r="I914" i="1"/>
  <c r="I913" i="1"/>
  <c r="I912" i="1"/>
  <c r="I911" i="1"/>
  <c r="I910" i="1"/>
  <c r="I907" i="1"/>
  <c r="I906" i="1"/>
  <c r="I905" i="1"/>
  <c r="I824" i="1"/>
  <c r="I860" i="1"/>
  <c r="I896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1" i="1"/>
  <c r="I870" i="1"/>
  <c r="I869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1" i="1"/>
  <c r="D870" i="1"/>
  <c r="D869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5" i="1"/>
  <c r="D834" i="1"/>
  <c r="D833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799" i="1"/>
  <c r="D798" i="1"/>
  <c r="D797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5" i="1"/>
  <c r="I834" i="1"/>
  <c r="I833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799" i="1"/>
  <c r="I798" i="1"/>
  <c r="I797" i="1"/>
  <c r="I788" i="1"/>
  <c r="D788" i="1"/>
  <c r="I787" i="1"/>
  <c r="D787" i="1"/>
  <c r="I786" i="1"/>
  <c r="D786" i="1"/>
  <c r="I785" i="1"/>
  <c r="D785" i="1"/>
  <c r="I784" i="1"/>
  <c r="D784" i="1"/>
  <c r="I783" i="1"/>
  <c r="D783" i="1"/>
  <c r="I782" i="1"/>
  <c r="D782" i="1"/>
  <c r="I781" i="1"/>
  <c r="D781" i="1"/>
  <c r="I780" i="1"/>
  <c r="D780" i="1"/>
  <c r="I779" i="1"/>
  <c r="D779" i="1"/>
  <c r="I778" i="1"/>
  <c r="D778" i="1"/>
  <c r="I777" i="1"/>
  <c r="D777" i="1"/>
  <c r="I776" i="1"/>
  <c r="D776" i="1"/>
  <c r="I775" i="1"/>
  <c r="D775" i="1"/>
  <c r="I774" i="1"/>
  <c r="D774" i="1"/>
  <c r="I773" i="1"/>
  <c r="D773" i="1"/>
  <c r="I772" i="1"/>
  <c r="D772" i="1"/>
  <c r="I771" i="1"/>
  <c r="D771" i="1"/>
  <c r="I770" i="1"/>
  <c r="D770" i="1"/>
  <c r="I769" i="1"/>
  <c r="D769" i="1"/>
  <c r="I768" i="1"/>
  <c r="D768" i="1"/>
  <c r="I767" i="1"/>
  <c r="D767" i="1"/>
  <c r="I766" i="1"/>
  <c r="D766" i="1"/>
  <c r="I765" i="1"/>
  <c r="D765" i="1"/>
  <c r="I763" i="1"/>
  <c r="D763" i="1"/>
  <c r="I762" i="1"/>
  <c r="D762" i="1"/>
  <c r="I761" i="1"/>
  <c r="D761" i="1"/>
  <c r="I730" i="1"/>
  <c r="I729" i="1"/>
  <c r="I715" i="1"/>
  <c r="I716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27" i="1"/>
  <c r="I726" i="1"/>
  <c r="I725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7" i="1"/>
  <c r="D726" i="1"/>
  <c r="D725" i="1"/>
  <c r="I714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1" i="1"/>
  <c r="D690" i="1"/>
  <c r="D689" i="1"/>
  <c r="I680" i="1"/>
  <c r="I679" i="1"/>
  <c r="I678" i="1"/>
  <c r="I677" i="1"/>
  <c r="I676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1" i="1"/>
  <c r="I690" i="1"/>
  <c r="I689" i="1"/>
  <c r="I608" i="1"/>
  <c r="I607" i="1"/>
  <c r="I606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5" i="1"/>
  <c r="D654" i="1"/>
  <c r="D653" i="1"/>
  <c r="I618" i="1"/>
  <c r="I617" i="1"/>
  <c r="I654" i="1"/>
  <c r="I643" i="1"/>
  <c r="I642" i="1"/>
  <c r="I641" i="1"/>
  <c r="I640" i="1"/>
  <c r="I644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5" i="1"/>
  <c r="I653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19" i="1"/>
  <c r="D618" i="1"/>
  <c r="D617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19" i="1"/>
  <c r="I566" i="1"/>
  <c r="I582" i="1"/>
  <c r="I546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3" i="1"/>
  <c r="D582" i="1"/>
  <c r="D581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1" i="1"/>
  <c r="I510" i="1"/>
  <c r="I509" i="1"/>
  <c r="I547" i="1"/>
  <c r="I500" i="1"/>
  <c r="I499" i="1"/>
  <c r="I498" i="1"/>
  <c r="I572" i="1"/>
  <c r="I571" i="1"/>
  <c r="I570" i="1"/>
  <c r="I569" i="1"/>
  <c r="I568" i="1"/>
  <c r="I567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3" i="1"/>
  <c r="I581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7" i="1"/>
  <c r="D546" i="1"/>
  <c r="D545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5" i="1"/>
  <c r="I463" i="1"/>
  <c r="I460" i="1"/>
  <c r="I425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1" i="1"/>
  <c r="D510" i="1"/>
  <c r="D509" i="1"/>
  <c r="I464" i="1"/>
  <c r="I462" i="1"/>
  <c r="I461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5" i="1"/>
  <c r="I474" i="1"/>
  <c r="I473" i="1"/>
  <c r="I424" i="1"/>
  <c r="I428" i="1"/>
  <c r="I459" i="1"/>
  <c r="I458" i="1"/>
  <c r="I457" i="1"/>
  <c r="I369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5" i="1"/>
  <c r="D474" i="1"/>
  <c r="D473" i="1"/>
  <c r="I401" i="1"/>
  <c r="I402" i="1"/>
  <c r="I403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6" i="1"/>
  <c r="I427" i="1"/>
  <c r="I437" i="1"/>
  <c r="I438" i="1"/>
  <c r="I439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D407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7" i="1"/>
  <c r="I366" i="1"/>
  <c r="I365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1" i="1"/>
  <c r="I330" i="1"/>
  <c r="I329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39" i="1"/>
  <c r="D438" i="1"/>
  <c r="D437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6" i="1"/>
  <c r="D405" i="1"/>
  <c r="D403" i="1"/>
  <c r="D402" i="1"/>
  <c r="D401" i="1"/>
  <c r="I310" i="1"/>
  <c r="I309" i="1"/>
  <c r="I308" i="1"/>
  <c r="I315" i="1"/>
  <c r="I294" i="1"/>
  <c r="I293" i="1"/>
  <c r="I314" i="1"/>
  <c r="I313" i="1"/>
  <c r="I312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7" i="1"/>
  <c r="D366" i="1"/>
  <c r="D365" i="1"/>
  <c r="I258" i="1"/>
  <c r="I284" i="1"/>
  <c r="I283" i="1"/>
  <c r="I282" i="1"/>
  <c r="I320" i="1"/>
  <c r="I319" i="1"/>
  <c r="I318" i="1"/>
  <c r="I317" i="1"/>
  <c r="I316" i="1"/>
  <c r="I281" i="1"/>
  <c r="I280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1" i="1"/>
  <c r="D330" i="1"/>
  <c r="D329" i="1"/>
  <c r="I311" i="1"/>
  <c r="I307" i="1"/>
  <c r="I306" i="1"/>
  <c r="I305" i="1"/>
  <c r="I304" i="1"/>
  <c r="I303" i="1"/>
  <c r="I302" i="1"/>
  <c r="I301" i="1"/>
  <c r="I300" i="1"/>
  <c r="I299" i="1"/>
  <c r="I298" i="1"/>
  <c r="I297" i="1"/>
  <c r="I295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5" i="1"/>
  <c r="D294" i="1"/>
  <c r="D293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59" i="1"/>
  <c r="I257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3" i="1"/>
  <c r="I222" i="1"/>
  <c r="I221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59" i="1"/>
  <c r="D258" i="1"/>
  <c r="D257" i="1"/>
  <c r="D230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29" i="1"/>
  <c r="D228" i="1"/>
  <c r="D227" i="1"/>
  <c r="D226" i="1"/>
  <c r="D225" i="1"/>
  <c r="D223" i="1"/>
  <c r="D222" i="1"/>
  <c r="D221" i="1"/>
  <c r="D186" i="1"/>
  <c r="I212" i="1"/>
  <c r="D212" i="1"/>
  <c r="I211" i="1"/>
  <c r="D211" i="1"/>
  <c r="I210" i="1"/>
  <c r="D210" i="1"/>
  <c r="I209" i="1"/>
  <c r="D209" i="1"/>
  <c r="I208" i="1"/>
  <c r="D208" i="1"/>
  <c r="I207" i="1"/>
  <c r="D207" i="1"/>
  <c r="I206" i="1"/>
  <c r="D206" i="1"/>
  <c r="I205" i="1"/>
  <c r="D205" i="1"/>
  <c r="I204" i="1"/>
  <c r="D204" i="1"/>
  <c r="I203" i="1"/>
  <c r="D203" i="1"/>
  <c r="I202" i="1"/>
  <c r="D202" i="1"/>
  <c r="I201" i="1"/>
  <c r="D201" i="1"/>
  <c r="I200" i="1"/>
  <c r="D200" i="1"/>
  <c r="I199" i="1"/>
  <c r="D199" i="1"/>
  <c r="I198" i="1"/>
  <c r="D198" i="1"/>
  <c r="I197" i="1"/>
  <c r="D197" i="1"/>
  <c r="I196" i="1"/>
  <c r="D196" i="1"/>
  <c r="I195" i="1"/>
  <c r="D195" i="1"/>
  <c r="I194" i="1"/>
  <c r="D194" i="1"/>
  <c r="I193" i="1"/>
  <c r="D193" i="1"/>
  <c r="I192" i="1"/>
  <c r="D192" i="1"/>
  <c r="I191" i="1"/>
  <c r="D191" i="1"/>
  <c r="I190" i="1"/>
  <c r="D190" i="1"/>
  <c r="I189" i="1"/>
  <c r="D189" i="1"/>
  <c r="I187" i="1"/>
  <c r="D187" i="1"/>
  <c r="I186" i="1"/>
  <c r="I185" i="1"/>
  <c r="D185" i="1"/>
  <c r="I154" i="1"/>
  <c r="D155" i="1"/>
  <c r="I149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3" i="1"/>
  <c r="I151" i="1"/>
  <c r="I150" i="1"/>
  <c r="D149" i="1"/>
  <c r="D150" i="1"/>
  <c r="D151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4" i="1"/>
  <c r="D153" i="1"/>
  <c r="I118" i="1"/>
  <c r="I104" i="1"/>
  <c r="D140" i="1"/>
  <c r="I113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7" i="1"/>
  <c r="I115" i="1"/>
  <c r="I11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79" i="1"/>
  <c r="I78" i="1"/>
  <c r="I77" i="1"/>
  <c r="D113" i="1"/>
  <c r="D54" i="1"/>
  <c r="D42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5" i="1"/>
  <c r="D114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79" i="1"/>
  <c r="D78" i="1"/>
  <c r="D77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3" i="1"/>
  <c r="D52" i="1"/>
  <c r="D51" i="1"/>
  <c r="D50" i="1"/>
  <c r="D49" i="1"/>
  <c r="D48" i="1"/>
  <c r="D47" i="1"/>
  <c r="D46" i="1"/>
  <c r="D45" i="1"/>
  <c r="D43" i="1"/>
  <c r="D41" i="1"/>
  <c r="D4" i="1"/>
  <c r="D5" i="1"/>
  <c r="D6" i="1"/>
  <c r="D7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H106" i="3" l="1"/>
  <c r="H112" i="3" s="1"/>
  <c r="H116" i="3" s="1"/>
  <c r="H142" i="3" s="1"/>
  <c r="H148" i="3" s="1"/>
  <c r="C34" i="3"/>
  <c r="C40" i="3" s="1"/>
  <c r="C44" i="3" s="1"/>
  <c r="C70" i="3" s="1"/>
  <c r="C76" i="3" s="1"/>
  <c r="C80" i="3" s="1"/>
  <c r="C106" i="3" s="1"/>
  <c r="C112" i="3" s="1"/>
  <c r="D8" i="3"/>
  <c r="D34" i="3" s="1"/>
  <c r="C2661" i="1"/>
  <c r="D2661" i="1" s="1"/>
  <c r="H106" i="1"/>
  <c r="H112" i="1" s="1"/>
  <c r="H116" i="1" s="1"/>
  <c r="H142" i="1" s="1"/>
  <c r="H148" i="1" s="1"/>
  <c r="C34" i="1"/>
  <c r="C40" i="1" s="1"/>
  <c r="C44" i="1" s="1"/>
  <c r="C70" i="1" s="1"/>
  <c r="C76" i="1" s="1"/>
  <c r="D8" i="1"/>
  <c r="D34" i="1" s="1"/>
  <c r="I76" i="3"/>
  <c r="I80" i="3" s="1"/>
  <c r="I106" i="3" s="1"/>
  <c r="I76" i="1"/>
  <c r="I80" i="1" s="1"/>
  <c r="I106" i="1" s="1"/>
  <c r="D2733" i="1"/>
  <c r="I112" i="3" l="1"/>
  <c r="I116" i="3" s="1"/>
  <c r="I142" i="3" s="1"/>
  <c r="D76" i="3"/>
  <c r="D80" i="3" s="1"/>
  <c r="D106" i="3" s="1"/>
  <c r="D40" i="3"/>
  <c r="D44" i="3" s="1"/>
  <c r="D70" i="3" s="1"/>
  <c r="D40" i="1"/>
  <c r="D44" i="1" s="1"/>
  <c r="D70" i="1" s="1"/>
  <c r="I112" i="1"/>
  <c r="I116" i="1" s="1"/>
  <c r="I142" i="1" s="1"/>
  <c r="H152" i="1"/>
  <c r="H178" i="1" s="1"/>
  <c r="H184" i="1" s="1"/>
  <c r="I148" i="1"/>
  <c r="I152" i="1" s="1"/>
  <c r="I178" i="1" s="1"/>
  <c r="C80" i="1"/>
  <c r="C106" i="1" s="1"/>
  <c r="C112" i="1" s="1"/>
  <c r="D76" i="1"/>
  <c r="D80" i="1" s="1"/>
  <c r="D106" i="1" s="1"/>
  <c r="H152" i="3"/>
  <c r="H178" i="3" s="1"/>
  <c r="H184" i="3" s="1"/>
  <c r="I148" i="3"/>
  <c r="I152" i="3" s="1"/>
  <c r="I178" i="3" s="1"/>
  <c r="D112" i="3"/>
  <c r="D116" i="3" s="1"/>
  <c r="D142" i="3" s="1"/>
  <c r="C116" i="3"/>
  <c r="C142" i="3" s="1"/>
  <c r="C148" i="3" s="1"/>
  <c r="H188" i="1" l="1"/>
  <c r="H214" i="1" s="1"/>
  <c r="H220" i="1" s="1"/>
  <c r="I184" i="1"/>
  <c r="I188" i="1" s="1"/>
  <c r="I214" i="1" s="1"/>
  <c r="D148" i="3"/>
  <c r="D152" i="3" s="1"/>
  <c r="D178" i="3" s="1"/>
  <c r="C152" i="3"/>
  <c r="C178" i="3" s="1"/>
  <c r="C184" i="3" s="1"/>
  <c r="I184" i="3"/>
  <c r="I188" i="3" s="1"/>
  <c r="I214" i="3" s="1"/>
  <c r="H188" i="3"/>
  <c r="H214" i="3" s="1"/>
  <c r="H220" i="3" s="1"/>
  <c r="C116" i="1"/>
  <c r="C142" i="1" s="1"/>
  <c r="C148" i="1" s="1"/>
  <c r="D112" i="1"/>
  <c r="D116" i="1" s="1"/>
  <c r="D142" i="1" s="1"/>
  <c r="H224" i="1" l="1"/>
  <c r="H250" i="1" s="1"/>
  <c r="H256" i="1" s="1"/>
  <c r="I220" i="1"/>
  <c r="I224" i="1" s="1"/>
  <c r="I250" i="1" s="1"/>
  <c r="C152" i="1"/>
  <c r="C178" i="1" s="1"/>
  <c r="C184" i="1" s="1"/>
  <c r="D148" i="1"/>
  <c r="D152" i="1" s="1"/>
  <c r="D178" i="1" s="1"/>
  <c r="I220" i="3"/>
  <c r="I224" i="3" s="1"/>
  <c r="I250" i="3" s="1"/>
  <c r="H224" i="3"/>
  <c r="H250" i="3" s="1"/>
  <c r="H256" i="3" s="1"/>
  <c r="C188" i="3"/>
  <c r="C214" i="3" s="1"/>
  <c r="C220" i="3" s="1"/>
  <c r="D184" i="3"/>
  <c r="D188" i="3" s="1"/>
  <c r="D214" i="3" s="1"/>
  <c r="H260" i="1" l="1"/>
  <c r="H286" i="1" s="1"/>
  <c r="H292" i="1" s="1"/>
  <c r="I256" i="1"/>
  <c r="I260" i="1" s="1"/>
  <c r="I286" i="1" s="1"/>
  <c r="C224" i="3"/>
  <c r="C250" i="3" s="1"/>
  <c r="C256" i="3" s="1"/>
  <c r="D220" i="3"/>
  <c r="D224" i="3" s="1"/>
  <c r="D250" i="3" s="1"/>
  <c r="I256" i="3"/>
  <c r="I260" i="3" s="1"/>
  <c r="I286" i="3" s="1"/>
  <c r="H260" i="3"/>
  <c r="H286" i="3" s="1"/>
  <c r="H292" i="3" s="1"/>
  <c r="C188" i="1"/>
  <c r="C214" i="1" s="1"/>
  <c r="C220" i="1" s="1"/>
  <c r="D184" i="1"/>
  <c r="D188" i="1" s="1"/>
  <c r="D214" i="1" s="1"/>
  <c r="H296" i="1" l="1"/>
  <c r="H322" i="1" s="1"/>
  <c r="H328" i="1" s="1"/>
  <c r="I292" i="1"/>
  <c r="I296" i="1" s="1"/>
  <c r="I322" i="1" s="1"/>
  <c r="C224" i="1"/>
  <c r="C250" i="1" s="1"/>
  <c r="C256" i="1" s="1"/>
  <c r="D220" i="1"/>
  <c r="D224" i="1" s="1"/>
  <c r="D250" i="1" s="1"/>
  <c r="I292" i="3"/>
  <c r="I296" i="3" s="1"/>
  <c r="I322" i="3" s="1"/>
  <c r="H296" i="3"/>
  <c r="H322" i="3" s="1"/>
  <c r="H328" i="3" s="1"/>
  <c r="D256" i="3"/>
  <c r="D260" i="3" s="1"/>
  <c r="D286" i="3" s="1"/>
  <c r="C260" i="3"/>
  <c r="C286" i="3" s="1"/>
  <c r="C292" i="3" s="1"/>
  <c r="H332" i="1" l="1"/>
  <c r="H358" i="1" s="1"/>
  <c r="H364" i="1" s="1"/>
  <c r="I328" i="1"/>
  <c r="I332" i="1" s="1"/>
  <c r="I358" i="1" s="1"/>
  <c r="C296" i="3"/>
  <c r="C322" i="3" s="1"/>
  <c r="C328" i="3" s="1"/>
  <c r="D292" i="3"/>
  <c r="D296" i="3" s="1"/>
  <c r="D322" i="3" s="1"/>
  <c r="I328" i="3"/>
  <c r="I332" i="3" s="1"/>
  <c r="I358" i="3" s="1"/>
  <c r="H332" i="3"/>
  <c r="H358" i="3" s="1"/>
  <c r="H364" i="3" s="1"/>
  <c r="C260" i="1"/>
  <c r="C286" i="1" s="1"/>
  <c r="C292" i="1" s="1"/>
  <c r="D256" i="1"/>
  <c r="D260" i="1" s="1"/>
  <c r="D286" i="1" s="1"/>
  <c r="H368" i="1" l="1"/>
  <c r="H394" i="1" s="1"/>
  <c r="H400" i="1" s="1"/>
  <c r="I364" i="1"/>
  <c r="I368" i="1" s="1"/>
  <c r="I394" i="1" s="1"/>
  <c r="C296" i="1"/>
  <c r="C322" i="1" s="1"/>
  <c r="C328" i="1" s="1"/>
  <c r="D292" i="1"/>
  <c r="D296" i="1" s="1"/>
  <c r="D322" i="1" s="1"/>
  <c r="D328" i="3"/>
  <c r="D332" i="3" s="1"/>
  <c r="D358" i="3" s="1"/>
  <c r="C332" i="3"/>
  <c r="C358" i="3" s="1"/>
  <c r="C364" i="3" s="1"/>
  <c r="H368" i="3"/>
  <c r="H394" i="3" s="1"/>
  <c r="H400" i="3" s="1"/>
  <c r="I364" i="3"/>
  <c r="I368" i="3" s="1"/>
  <c r="I394" i="3" s="1"/>
  <c r="I400" i="1" l="1"/>
  <c r="I404" i="1" s="1"/>
  <c r="I430" i="1" s="1"/>
  <c r="H404" i="1"/>
  <c r="H430" i="1" s="1"/>
  <c r="H436" i="1" s="1"/>
  <c r="C368" i="3"/>
  <c r="C394" i="3" s="1"/>
  <c r="C400" i="3" s="1"/>
  <c r="D364" i="3"/>
  <c r="D368" i="3" s="1"/>
  <c r="D394" i="3" s="1"/>
  <c r="I400" i="3"/>
  <c r="I404" i="3" s="1"/>
  <c r="I430" i="3" s="1"/>
  <c r="H404" i="3"/>
  <c r="H430" i="3" s="1"/>
  <c r="H436" i="3" s="1"/>
  <c r="C332" i="1"/>
  <c r="C358" i="1" s="1"/>
  <c r="C364" i="1" s="1"/>
  <c r="D328" i="1"/>
  <c r="D332" i="1" s="1"/>
  <c r="D358" i="1" s="1"/>
  <c r="H440" i="1" l="1"/>
  <c r="H466" i="1" s="1"/>
  <c r="H472" i="1" s="1"/>
  <c r="I436" i="1"/>
  <c r="I440" i="1" s="1"/>
  <c r="I466" i="1" s="1"/>
  <c r="C368" i="1"/>
  <c r="C394" i="1" s="1"/>
  <c r="C400" i="1" s="1"/>
  <c r="D364" i="1"/>
  <c r="D368" i="1" s="1"/>
  <c r="D394" i="1" s="1"/>
  <c r="H440" i="3"/>
  <c r="H466" i="3" s="1"/>
  <c r="H472" i="3" s="1"/>
  <c r="I436" i="3"/>
  <c r="I440" i="3" s="1"/>
  <c r="I466" i="3" s="1"/>
  <c r="C404" i="3"/>
  <c r="C430" i="3" s="1"/>
  <c r="C436" i="3" s="1"/>
  <c r="D400" i="3"/>
  <c r="D404" i="3" s="1"/>
  <c r="D430" i="3" s="1"/>
  <c r="I472" i="1" l="1"/>
  <c r="I476" i="1" s="1"/>
  <c r="I502" i="1" s="1"/>
  <c r="H476" i="1"/>
  <c r="H502" i="1" s="1"/>
  <c r="H508" i="1" s="1"/>
  <c r="D436" i="3"/>
  <c r="D440" i="3" s="1"/>
  <c r="D466" i="3" s="1"/>
  <c r="C440" i="3"/>
  <c r="C466" i="3" s="1"/>
  <c r="C472" i="3" s="1"/>
  <c r="C404" i="1"/>
  <c r="C430" i="1" s="1"/>
  <c r="C436" i="1" s="1"/>
  <c r="D400" i="1"/>
  <c r="D404" i="1" s="1"/>
  <c r="D430" i="1" s="1"/>
  <c r="I472" i="3"/>
  <c r="I476" i="3" s="1"/>
  <c r="I502" i="3" s="1"/>
  <c r="H476" i="3"/>
  <c r="H502" i="3" s="1"/>
  <c r="H508" i="3" s="1"/>
  <c r="H512" i="1" l="1"/>
  <c r="H538" i="1" s="1"/>
  <c r="H544" i="1" s="1"/>
  <c r="I508" i="1"/>
  <c r="I512" i="1" s="1"/>
  <c r="I538" i="1" s="1"/>
  <c r="C440" i="1"/>
  <c r="C466" i="1" s="1"/>
  <c r="C472" i="1" s="1"/>
  <c r="D436" i="1"/>
  <c r="D440" i="1" s="1"/>
  <c r="D466" i="1" s="1"/>
  <c r="C476" i="3"/>
  <c r="C502" i="3" s="1"/>
  <c r="C508" i="3" s="1"/>
  <c r="D472" i="3"/>
  <c r="D476" i="3" s="1"/>
  <c r="D502" i="3" s="1"/>
  <c r="I508" i="3"/>
  <c r="I512" i="3" s="1"/>
  <c r="I538" i="3" s="1"/>
  <c r="H512" i="3"/>
  <c r="H538" i="3" s="1"/>
  <c r="H544" i="3" s="1"/>
  <c r="H548" i="1" l="1"/>
  <c r="H574" i="1" s="1"/>
  <c r="H580" i="1" s="1"/>
  <c r="I544" i="1"/>
  <c r="I548" i="1" s="1"/>
  <c r="I574" i="1" s="1"/>
  <c r="D508" i="3"/>
  <c r="D512" i="3" s="1"/>
  <c r="D538" i="3" s="1"/>
  <c r="C512" i="3"/>
  <c r="C538" i="3" s="1"/>
  <c r="C544" i="3" s="1"/>
  <c r="I544" i="3"/>
  <c r="I548" i="3" s="1"/>
  <c r="I574" i="3" s="1"/>
  <c r="H548" i="3"/>
  <c r="H574" i="3" s="1"/>
  <c r="H580" i="3" s="1"/>
  <c r="C476" i="1"/>
  <c r="C502" i="1" s="1"/>
  <c r="C508" i="1" s="1"/>
  <c r="D472" i="1"/>
  <c r="D476" i="1" s="1"/>
  <c r="D502" i="1" s="1"/>
  <c r="H584" i="1" l="1"/>
  <c r="H610" i="1" s="1"/>
  <c r="H616" i="1" s="1"/>
  <c r="I580" i="1"/>
  <c r="I584" i="1" s="1"/>
  <c r="I610" i="1" s="1"/>
  <c r="H584" i="3"/>
  <c r="H610" i="3" s="1"/>
  <c r="H616" i="3" s="1"/>
  <c r="I580" i="3"/>
  <c r="I584" i="3" s="1"/>
  <c r="I610" i="3" s="1"/>
  <c r="D544" i="3"/>
  <c r="D548" i="3" s="1"/>
  <c r="D574" i="3" s="1"/>
  <c r="C548" i="3"/>
  <c r="C574" i="3" s="1"/>
  <c r="C580" i="3" s="1"/>
  <c r="C512" i="1"/>
  <c r="C538" i="1" s="1"/>
  <c r="C544" i="1" s="1"/>
  <c r="D508" i="1"/>
  <c r="D512" i="1" s="1"/>
  <c r="D538" i="1" s="1"/>
  <c r="I616" i="1" l="1"/>
  <c r="I620" i="1" s="1"/>
  <c r="I646" i="1" s="1"/>
  <c r="H620" i="1"/>
  <c r="H646" i="1" s="1"/>
  <c r="H652" i="1" s="1"/>
  <c r="C548" i="1"/>
  <c r="C574" i="1" s="1"/>
  <c r="C580" i="1" s="1"/>
  <c r="D544" i="1"/>
  <c r="D548" i="1" s="1"/>
  <c r="D574" i="1" s="1"/>
  <c r="D580" i="3"/>
  <c r="D584" i="3" s="1"/>
  <c r="D610" i="3" s="1"/>
  <c r="C584" i="3"/>
  <c r="C610" i="3" s="1"/>
  <c r="C616" i="3" s="1"/>
  <c r="H620" i="3"/>
  <c r="H646" i="3" s="1"/>
  <c r="H652" i="3" s="1"/>
  <c r="I616" i="3"/>
  <c r="I620" i="3" s="1"/>
  <c r="I646" i="3" s="1"/>
  <c r="I652" i="1" l="1"/>
  <c r="I656" i="1" s="1"/>
  <c r="I682" i="1" s="1"/>
  <c r="H656" i="1"/>
  <c r="H682" i="1" s="1"/>
  <c r="H688" i="1" s="1"/>
  <c r="D616" i="3"/>
  <c r="D620" i="3" s="1"/>
  <c r="D646" i="3" s="1"/>
  <c r="C620" i="3"/>
  <c r="C646" i="3" s="1"/>
  <c r="C652" i="3" s="1"/>
  <c r="H656" i="3"/>
  <c r="H682" i="3" s="1"/>
  <c r="H688" i="3" s="1"/>
  <c r="I652" i="3"/>
  <c r="I656" i="3" s="1"/>
  <c r="I682" i="3" s="1"/>
  <c r="C584" i="1"/>
  <c r="C610" i="1" s="1"/>
  <c r="C616" i="1" s="1"/>
  <c r="D580" i="1"/>
  <c r="D584" i="1" s="1"/>
  <c r="D610" i="1" s="1"/>
  <c r="H692" i="1" l="1"/>
  <c r="H718" i="1" s="1"/>
  <c r="H724" i="1" s="1"/>
  <c r="I688" i="1"/>
  <c r="I692" i="1" s="1"/>
  <c r="I718" i="1" s="1"/>
  <c r="C620" i="1"/>
  <c r="C646" i="1" s="1"/>
  <c r="C652" i="1" s="1"/>
  <c r="D616" i="1"/>
  <c r="D620" i="1" s="1"/>
  <c r="D646" i="1" s="1"/>
  <c r="H692" i="3"/>
  <c r="H718" i="3" s="1"/>
  <c r="H724" i="3" s="1"/>
  <c r="I688" i="3"/>
  <c r="I692" i="3" s="1"/>
  <c r="I718" i="3" s="1"/>
  <c r="D652" i="3"/>
  <c r="D656" i="3" s="1"/>
  <c r="D682" i="3" s="1"/>
  <c r="C656" i="3"/>
  <c r="C682" i="3" s="1"/>
  <c r="C688" i="3" s="1"/>
  <c r="I724" i="1" l="1"/>
  <c r="I728" i="1" s="1"/>
  <c r="I754" i="1" s="1"/>
  <c r="H728" i="1"/>
  <c r="H754" i="1" s="1"/>
  <c r="H760" i="1" s="1"/>
  <c r="C656" i="1"/>
  <c r="C682" i="1" s="1"/>
  <c r="C688" i="1" s="1"/>
  <c r="D652" i="1"/>
  <c r="D656" i="1" s="1"/>
  <c r="D682" i="1" s="1"/>
  <c r="I724" i="3"/>
  <c r="I728" i="3" s="1"/>
  <c r="I754" i="3" s="1"/>
  <c r="H728" i="3"/>
  <c r="H754" i="3" s="1"/>
  <c r="H760" i="3" s="1"/>
  <c r="D688" i="3"/>
  <c r="D692" i="3" s="1"/>
  <c r="D718" i="3" s="1"/>
  <c r="C692" i="3"/>
  <c r="C718" i="3" s="1"/>
  <c r="C724" i="3" s="1"/>
  <c r="H764" i="1" l="1"/>
  <c r="H790" i="1" s="1"/>
  <c r="H796" i="1" s="1"/>
  <c r="I760" i="1"/>
  <c r="I764" i="1" s="1"/>
  <c r="I790" i="1" s="1"/>
  <c r="I760" i="3"/>
  <c r="I764" i="3" s="1"/>
  <c r="I790" i="3" s="1"/>
  <c r="H764" i="3"/>
  <c r="H790" i="3" s="1"/>
  <c r="H796" i="3" s="1"/>
  <c r="C728" i="3"/>
  <c r="C754" i="3" s="1"/>
  <c r="C760" i="3" s="1"/>
  <c r="D724" i="3"/>
  <c r="D728" i="3" s="1"/>
  <c r="D754" i="3" s="1"/>
  <c r="C692" i="1"/>
  <c r="C718" i="1" s="1"/>
  <c r="C724" i="1" s="1"/>
  <c r="D688" i="1"/>
  <c r="D692" i="1" s="1"/>
  <c r="D718" i="1" s="1"/>
  <c r="I796" i="1" l="1"/>
  <c r="I800" i="1" s="1"/>
  <c r="I826" i="1" s="1"/>
  <c r="H800" i="1"/>
  <c r="H826" i="1" s="1"/>
  <c r="H832" i="1" s="1"/>
  <c r="I796" i="3"/>
  <c r="I800" i="3" s="1"/>
  <c r="I826" i="3" s="1"/>
  <c r="H800" i="3"/>
  <c r="H826" i="3" s="1"/>
  <c r="H832" i="3" s="1"/>
  <c r="C764" i="3"/>
  <c r="C790" i="3" s="1"/>
  <c r="C796" i="3" s="1"/>
  <c r="D760" i="3"/>
  <c r="D764" i="3" s="1"/>
  <c r="D790" i="3" s="1"/>
  <c r="C728" i="1"/>
  <c r="C754" i="1" s="1"/>
  <c r="C760" i="1" s="1"/>
  <c r="D724" i="1"/>
  <c r="D728" i="1" s="1"/>
  <c r="D754" i="1" s="1"/>
  <c r="H836" i="1" l="1"/>
  <c r="H862" i="1" s="1"/>
  <c r="H868" i="1" s="1"/>
  <c r="I832" i="1"/>
  <c r="I836" i="1" s="1"/>
  <c r="I862" i="1" s="1"/>
  <c r="C764" i="1"/>
  <c r="C790" i="1" s="1"/>
  <c r="C796" i="1" s="1"/>
  <c r="D760" i="1"/>
  <c r="D764" i="1" s="1"/>
  <c r="D790" i="1" s="1"/>
  <c r="D796" i="3"/>
  <c r="D800" i="3" s="1"/>
  <c r="D826" i="3" s="1"/>
  <c r="C800" i="3"/>
  <c r="C826" i="3" s="1"/>
  <c r="C832" i="3" s="1"/>
  <c r="H836" i="3"/>
  <c r="H862" i="3" s="1"/>
  <c r="H868" i="3" s="1"/>
  <c r="I832" i="3"/>
  <c r="I836" i="3" s="1"/>
  <c r="I862" i="3" s="1"/>
  <c r="H872" i="1" l="1"/>
  <c r="H898" i="1" s="1"/>
  <c r="H904" i="1" s="1"/>
  <c r="I868" i="1"/>
  <c r="I872" i="1" s="1"/>
  <c r="I898" i="1" s="1"/>
  <c r="H872" i="3"/>
  <c r="H898" i="3" s="1"/>
  <c r="H904" i="3" s="1"/>
  <c r="I868" i="3"/>
  <c r="I872" i="3" s="1"/>
  <c r="I898" i="3" s="1"/>
  <c r="C836" i="3"/>
  <c r="C862" i="3" s="1"/>
  <c r="C868" i="3" s="1"/>
  <c r="D832" i="3"/>
  <c r="D836" i="3" s="1"/>
  <c r="D862" i="3" s="1"/>
  <c r="C800" i="1"/>
  <c r="C826" i="1" s="1"/>
  <c r="C832" i="1" s="1"/>
  <c r="D796" i="1"/>
  <c r="D800" i="1" s="1"/>
  <c r="D826" i="1" s="1"/>
  <c r="I904" i="1" l="1"/>
  <c r="I908" i="1" s="1"/>
  <c r="I934" i="1" s="1"/>
  <c r="H908" i="1"/>
  <c r="H934" i="1" s="1"/>
  <c r="H940" i="1" s="1"/>
  <c r="D868" i="3"/>
  <c r="D872" i="3" s="1"/>
  <c r="D898" i="3" s="1"/>
  <c r="C872" i="3"/>
  <c r="C898" i="3" s="1"/>
  <c r="C904" i="3" s="1"/>
  <c r="C836" i="1"/>
  <c r="C862" i="1" s="1"/>
  <c r="C868" i="1" s="1"/>
  <c r="D832" i="1"/>
  <c r="D836" i="1" s="1"/>
  <c r="D862" i="1" s="1"/>
  <c r="H908" i="3"/>
  <c r="H934" i="3" s="1"/>
  <c r="H940" i="3" s="1"/>
  <c r="I904" i="3"/>
  <c r="I908" i="3" s="1"/>
  <c r="I934" i="3" s="1"/>
  <c r="I940" i="1" l="1"/>
  <c r="I944" i="1" s="1"/>
  <c r="I970" i="1" s="1"/>
  <c r="H944" i="1"/>
  <c r="H970" i="1" s="1"/>
  <c r="H976" i="1" s="1"/>
  <c r="C908" i="3"/>
  <c r="C934" i="3" s="1"/>
  <c r="C940" i="3" s="1"/>
  <c r="D904" i="3"/>
  <c r="D908" i="3" s="1"/>
  <c r="D934" i="3" s="1"/>
  <c r="C872" i="1"/>
  <c r="C898" i="1" s="1"/>
  <c r="C904" i="1" s="1"/>
  <c r="D868" i="1"/>
  <c r="D872" i="1" s="1"/>
  <c r="D898" i="1" s="1"/>
  <c r="I940" i="3"/>
  <c r="I944" i="3" s="1"/>
  <c r="I970" i="3" s="1"/>
  <c r="H944" i="3"/>
  <c r="H970" i="3" s="1"/>
  <c r="H976" i="3" s="1"/>
  <c r="H980" i="1" l="1"/>
  <c r="H1006" i="1" s="1"/>
  <c r="H1012" i="1" s="1"/>
  <c r="I976" i="1"/>
  <c r="I980" i="1" s="1"/>
  <c r="I1006" i="1" s="1"/>
  <c r="D940" i="3"/>
  <c r="D944" i="3" s="1"/>
  <c r="D970" i="3" s="1"/>
  <c r="C944" i="3"/>
  <c r="C970" i="3" s="1"/>
  <c r="C976" i="3" s="1"/>
  <c r="I976" i="3"/>
  <c r="I980" i="3" s="1"/>
  <c r="I1006" i="3" s="1"/>
  <c r="H980" i="3"/>
  <c r="H1006" i="3" s="1"/>
  <c r="H1012" i="3" s="1"/>
  <c r="C908" i="1"/>
  <c r="C934" i="1" s="1"/>
  <c r="C940" i="1" s="1"/>
  <c r="D904" i="1"/>
  <c r="D908" i="1" s="1"/>
  <c r="D934" i="1" s="1"/>
  <c r="H1016" i="1" l="1"/>
  <c r="H1042" i="1" s="1"/>
  <c r="H1048" i="1" s="1"/>
  <c r="I1012" i="1"/>
  <c r="I1016" i="1" s="1"/>
  <c r="I1042" i="1" s="1"/>
  <c r="H1016" i="3"/>
  <c r="H1042" i="3" s="1"/>
  <c r="H1048" i="3" s="1"/>
  <c r="I1012" i="3"/>
  <c r="I1016" i="3" s="1"/>
  <c r="I1042" i="3" s="1"/>
  <c r="C980" i="3"/>
  <c r="C1006" i="3" s="1"/>
  <c r="C1012" i="3" s="1"/>
  <c r="D976" i="3"/>
  <c r="D980" i="3" s="1"/>
  <c r="D1006" i="3" s="1"/>
  <c r="C944" i="1"/>
  <c r="C970" i="1" s="1"/>
  <c r="C976" i="1" s="1"/>
  <c r="D940" i="1"/>
  <c r="D944" i="1" s="1"/>
  <c r="D970" i="1" s="1"/>
  <c r="H1052" i="1" l="1"/>
  <c r="H1078" i="1" s="1"/>
  <c r="H1084" i="1" s="1"/>
  <c r="I1048" i="1"/>
  <c r="I1052" i="1" s="1"/>
  <c r="I1078" i="1" s="1"/>
  <c r="C1016" i="3"/>
  <c r="C1042" i="3" s="1"/>
  <c r="C1048" i="3" s="1"/>
  <c r="D1012" i="3"/>
  <c r="D1016" i="3" s="1"/>
  <c r="D1042" i="3" s="1"/>
  <c r="C980" i="1"/>
  <c r="C1006" i="1" s="1"/>
  <c r="C1012" i="1" s="1"/>
  <c r="D976" i="1"/>
  <c r="D980" i="1" s="1"/>
  <c r="D1006" i="1" s="1"/>
  <c r="H1052" i="3"/>
  <c r="H1078" i="3" s="1"/>
  <c r="H1084" i="3" s="1"/>
  <c r="I1048" i="3"/>
  <c r="I1052" i="3" s="1"/>
  <c r="I1078" i="3" s="1"/>
  <c r="I1084" i="1" l="1"/>
  <c r="I1088" i="1" s="1"/>
  <c r="I1114" i="1" s="1"/>
  <c r="H1088" i="1"/>
  <c r="H1114" i="1" s="1"/>
  <c r="H1120" i="1" s="1"/>
  <c r="I1084" i="3"/>
  <c r="I1088" i="3" s="1"/>
  <c r="I1114" i="3" s="1"/>
  <c r="H1088" i="3"/>
  <c r="H1114" i="3" s="1"/>
  <c r="H1120" i="3" s="1"/>
  <c r="C1016" i="1"/>
  <c r="C1042" i="1" s="1"/>
  <c r="C1048" i="1" s="1"/>
  <c r="D1012" i="1"/>
  <c r="D1016" i="1" s="1"/>
  <c r="D1042" i="1" s="1"/>
  <c r="C1052" i="3"/>
  <c r="C1078" i="3" s="1"/>
  <c r="C1084" i="3" s="1"/>
  <c r="D1048" i="3"/>
  <c r="D1052" i="3" s="1"/>
  <c r="D1078" i="3" s="1"/>
  <c r="I1120" i="1" l="1"/>
  <c r="I1124" i="1" s="1"/>
  <c r="I1150" i="1" s="1"/>
  <c r="H1124" i="1"/>
  <c r="H1150" i="1" s="1"/>
  <c r="H1156" i="1" s="1"/>
  <c r="D1084" i="3"/>
  <c r="D1088" i="3" s="1"/>
  <c r="D1114" i="3" s="1"/>
  <c r="C1088" i="3"/>
  <c r="C1114" i="3" s="1"/>
  <c r="C1120" i="3" s="1"/>
  <c r="C1052" i="1"/>
  <c r="C1078" i="1" s="1"/>
  <c r="C1084" i="1" s="1"/>
  <c r="D1048" i="1"/>
  <c r="D1052" i="1" s="1"/>
  <c r="D1078" i="1" s="1"/>
  <c r="H1124" i="3"/>
  <c r="H1150" i="3" s="1"/>
  <c r="H1156" i="3" s="1"/>
  <c r="I1120" i="3"/>
  <c r="I1124" i="3" s="1"/>
  <c r="I1150" i="3" s="1"/>
  <c r="H1160" i="1" l="1"/>
  <c r="H1186" i="1" s="1"/>
  <c r="H1192" i="1" s="1"/>
  <c r="I1156" i="1"/>
  <c r="I1160" i="1" s="1"/>
  <c r="I1186" i="1" s="1"/>
  <c r="C1088" i="1"/>
  <c r="C1114" i="1" s="1"/>
  <c r="C1120" i="1" s="1"/>
  <c r="D1084" i="1"/>
  <c r="D1088" i="1" s="1"/>
  <c r="D1114" i="1" s="1"/>
  <c r="D1120" i="3"/>
  <c r="D1124" i="3" s="1"/>
  <c r="D1150" i="3" s="1"/>
  <c r="C1124" i="3"/>
  <c r="C1150" i="3" s="1"/>
  <c r="C1156" i="3" s="1"/>
  <c r="H1160" i="3"/>
  <c r="H1186" i="3" s="1"/>
  <c r="H1192" i="3" s="1"/>
  <c r="I1156" i="3"/>
  <c r="I1160" i="3" s="1"/>
  <c r="I1186" i="3" s="1"/>
  <c r="I1192" i="1" l="1"/>
  <c r="I1196" i="1" s="1"/>
  <c r="I1222" i="1" s="1"/>
  <c r="H1196" i="1"/>
  <c r="H1222" i="1" s="1"/>
  <c r="H1228" i="1" s="1"/>
  <c r="C1124" i="1"/>
  <c r="C1150" i="1" s="1"/>
  <c r="C1156" i="1" s="1"/>
  <c r="D1120" i="1"/>
  <c r="D1124" i="1" s="1"/>
  <c r="D1150" i="1" s="1"/>
  <c r="I1192" i="3"/>
  <c r="I1196" i="3" s="1"/>
  <c r="I1222" i="3" s="1"/>
  <c r="H1196" i="3"/>
  <c r="H1222" i="3" s="1"/>
  <c r="H1228" i="3" s="1"/>
  <c r="D1156" i="3"/>
  <c r="D1160" i="3" s="1"/>
  <c r="D1186" i="3" s="1"/>
  <c r="C1160" i="3"/>
  <c r="C1186" i="3" s="1"/>
  <c r="C1192" i="3" s="1"/>
  <c r="H1232" i="1" l="1"/>
  <c r="H1258" i="1" s="1"/>
  <c r="H1264" i="1" s="1"/>
  <c r="I1228" i="1"/>
  <c r="I1232" i="1" s="1"/>
  <c r="I1258" i="1" s="1"/>
  <c r="C1160" i="1"/>
  <c r="C1186" i="1" s="1"/>
  <c r="C1192" i="1" s="1"/>
  <c r="D1156" i="1"/>
  <c r="D1160" i="1" s="1"/>
  <c r="D1186" i="1" s="1"/>
  <c r="H1232" i="3"/>
  <c r="H1258" i="3" s="1"/>
  <c r="H1264" i="3" s="1"/>
  <c r="I1228" i="3"/>
  <c r="I1232" i="3" s="1"/>
  <c r="I1258" i="3" s="1"/>
  <c r="D1192" i="3"/>
  <c r="D1196" i="3" s="1"/>
  <c r="D1222" i="3" s="1"/>
  <c r="C1196" i="3"/>
  <c r="C1222" i="3" s="1"/>
  <c r="C1228" i="3" s="1"/>
  <c r="H1268" i="1" l="1"/>
  <c r="H1294" i="1" s="1"/>
  <c r="H1300" i="1" s="1"/>
  <c r="I1264" i="1"/>
  <c r="I1268" i="1" s="1"/>
  <c r="I1294" i="1" s="1"/>
  <c r="D1228" i="3"/>
  <c r="D1232" i="3" s="1"/>
  <c r="D1258" i="3" s="1"/>
  <c r="C1232" i="3"/>
  <c r="C1258" i="3" s="1"/>
  <c r="C1264" i="3" s="1"/>
  <c r="H1268" i="3"/>
  <c r="H1294" i="3" s="1"/>
  <c r="H1300" i="3" s="1"/>
  <c r="I1264" i="3"/>
  <c r="I1268" i="3" s="1"/>
  <c r="I1294" i="3" s="1"/>
  <c r="C1196" i="1"/>
  <c r="C1222" i="1" s="1"/>
  <c r="C1228" i="1" s="1"/>
  <c r="D1192" i="1"/>
  <c r="D1196" i="1" s="1"/>
  <c r="D1222" i="1" s="1"/>
  <c r="H1304" i="1" l="1"/>
  <c r="H1330" i="1" s="1"/>
  <c r="H1336" i="1" s="1"/>
  <c r="I1300" i="1"/>
  <c r="I1304" i="1" s="1"/>
  <c r="I1330" i="1" s="1"/>
  <c r="H1304" i="3"/>
  <c r="H1330" i="3" s="1"/>
  <c r="H1336" i="3" s="1"/>
  <c r="I1300" i="3"/>
  <c r="I1304" i="3" s="1"/>
  <c r="I1330" i="3" s="1"/>
  <c r="C1232" i="1"/>
  <c r="C1258" i="1" s="1"/>
  <c r="C1264" i="1" s="1"/>
  <c r="D1228" i="1"/>
  <c r="D1232" i="1" s="1"/>
  <c r="D1258" i="1" s="1"/>
  <c r="C1268" i="3"/>
  <c r="C1294" i="3" s="1"/>
  <c r="C1300" i="3" s="1"/>
  <c r="D1264" i="3"/>
  <c r="D1268" i="3" s="1"/>
  <c r="D1294" i="3" s="1"/>
  <c r="I1336" i="1" l="1"/>
  <c r="I1340" i="1" s="1"/>
  <c r="I1366" i="1" s="1"/>
  <c r="H1340" i="1"/>
  <c r="H1366" i="1" s="1"/>
  <c r="H1372" i="1" s="1"/>
  <c r="C1268" i="1"/>
  <c r="C1294" i="1" s="1"/>
  <c r="C1300" i="1" s="1"/>
  <c r="D1264" i="1"/>
  <c r="D1268" i="1" s="1"/>
  <c r="D1294" i="1" s="1"/>
  <c r="D1300" i="3"/>
  <c r="D1304" i="3" s="1"/>
  <c r="D1330" i="3" s="1"/>
  <c r="C1304" i="3"/>
  <c r="C1330" i="3" s="1"/>
  <c r="C1336" i="3" s="1"/>
  <c r="I1336" i="3"/>
  <c r="I1340" i="3" s="1"/>
  <c r="I1366" i="3" s="1"/>
  <c r="H1340" i="3"/>
  <c r="H1366" i="3" s="1"/>
  <c r="H1372" i="3" s="1"/>
  <c r="H1376" i="1" l="1"/>
  <c r="H1402" i="1" s="1"/>
  <c r="H1408" i="1" s="1"/>
  <c r="I1372" i="1"/>
  <c r="I1376" i="1" s="1"/>
  <c r="I1402" i="1" s="1"/>
  <c r="C1340" i="3"/>
  <c r="C1366" i="3" s="1"/>
  <c r="C1372" i="3" s="1"/>
  <c r="D1336" i="3"/>
  <c r="D1340" i="3" s="1"/>
  <c r="D1366" i="3" s="1"/>
  <c r="C1304" i="1"/>
  <c r="C1330" i="1" s="1"/>
  <c r="C1336" i="1" s="1"/>
  <c r="D1300" i="1"/>
  <c r="D1304" i="1" s="1"/>
  <c r="D1330" i="1" s="1"/>
  <c r="I1372" i="3"/>
  <c r="I1376" i="3" s="1"/>
  <c r="I1402" i="3" s="1"/>
  <c r="H1376" i="3"/>
  <c r="H1402" i="3" s="1"/>
  <c r="H1408" i="3" s="1"/>
  <c r="H1412" i="1" l="1"/>
  <c r="H1438" i="1" s="1"/>
  <c r="H1444" i="1" s="1"/>
  <c r="I1408" i="1"/>
  <c r="I1412" i="1" s="1"/>
  <c r="I1438" i="1" s="1"/>
  <c r="C1340" i="1"/>
  <c r="C1366" i="1" s="1"/>
  <c r="C1372" i="1" s="1"/>
  <c r="D1336" i="1"/>
  <c r="D1340" i="1" s="1"/>
  <c r="D1366" i="1" s="1"/>
  <c r="I1408" i="3"/>
  <c r="I1412" i="3" s="1"/>
  <c r="I1438" i="3" s="1"/>
  <c r="H1412" i="3"/>
  <c r="H1438" i="3" s="1"/>
  <c r="H1444" i="3" s="1"/>
  <c r="C1376" i="3"/>
  <c r="C1402" i="3" s="1"/>
  <c r="C1408" i="3" s="1"/>
  <c r="D1372" i="3"/>
  <c r="D1376" i="3" s="1"/>
  <c r="D1402" i="3" s="1"/>
  <c r="H1448" i="1" l="1"/>
  <c r="H1474" i="1" s="1"/>
  <c r="H1480" i="1" s="1"/>
  <c r="I1444" i="1"/>
  <c r="I1448" i="1" s="1"/>
  <c r="I1474" i="1" s="1"/>
  <c r="I1444" i="3"/>
  <c r="I1448" i="3" s="1"/>
  <c r="I1474" i="3" s="1"/>
  <c r="H1448" i="3"/>
  <c r="H1474" i="3" s="1"/>
  <c r="H1480" i="3" s="1"/>
  <c r="C1412" i="3"/>
  <c r="C1438" i="3" s="1"/>
  <c r="C1444" i="3" s="1"/>
  <c r="D1408" i="3"/>
  <c r="D1412" i="3" s="1"/>
  <c r="D1438" i="3" s="1"/>
  <c r="C1376" i="1"/>
  <c r="C1402" i="1" s="1"/>
  <c r="C1408" i="1" s="1"/>
  <c r="D1372" i="1"/>
  <c r="D1376" i="1" s="1"/>
  <c r="D1402" i="1" s="1"/>
  <c r="H1484" i="1" l="1"/>
  <c r="H1510" i="1" s="1"/>
  <c r="H1516" i="1" s="1"/>
  <c r="I1480" i="1"/>
  <c r="I1484" i="1" s="1"/>
  <c r="I1510" i="1" s="1"/>
  <c r="C1448" i="3"/>
  <c r="C1474" i="3" s="1"/>
  <c r="C1480" i="3" s="1"/>
  <c r="D1444" i="3"/>
  <c r="D1448" i="3" s="1"/>
  <c r="D1474" i="3" s="1"/>
  <c r="I1480" i="3"/>
  <c r="I1484" i="3" s="1"/>
  <c r="I1510" i="3" s="1"/>
  <c r="H1484" i="3"/>
  <c r="H1510" i="3" s="1"/>
  <c r="H1516" i="3" s="1"/>
  <c r="C1412" i="1"/>
  <c r="C1438" i="1" s="1"/>
  <c r="C1444" i="1" s="1"/>
  <c r="D1408" i="1"/>
  <c r="D1412" i="1" s="1"/>
  <c r="D1438" i="1" s="1"/>
  <c r="H1520" i="1" l="1"/>
  <c r="H1546" i="1" s="1"/>
  <c r="H1552" i="1" s="1"/>
  <c r="I1516" i="1"/>
  <c r="I1520" i="1" s="1"/>
  <c r="I1546" i="1" s="1"/>
  <c r="H1520" i="3"/>
  <c r="H1546" i="3" s="1"/>
  <c r="I1516" i="3"/>
  <c r="I1520" i="3" s="1"/>
  <c r="I1546" i="3" s="1"/>
  <c r="D1480" i="3"/>
  <c r="D1484" i="3" s="1"/>
  <c r="D1510" i="3" s="1"/>
  <c r="C1484" i="3"/>
  <c r="C1510" i="3" s="1"/>
  <c r="C1516" i="3" s="1"/>
  <c r="C1448" i="1"/>
  <c r="C1474" i="1" s="1"/>
  <c r="C1480" i="1" s="1"/>
  <c r="D1444" i="1"/>
  <c r="D1448" i="1" s="1"/>
  <c r="D1474" i="1" s="1"/>
  <c r="H1556" i="1" l="1"/>
  <c r="H1582" i="1" s="1"/>
  <c r="H1588" i="1" s="1"/>
  <c r="I1552" i="1"/>
  <c r="I1556" i="1" s="1"/>
  <c r="I1582" i="1" s="1"/>
  <c r="C1484" i="1"/>
  <c r="C1510" i="1" s="1"/>
  <c r="C1516" i="1" s="1"/>
  <c r="D1480" i="1"/>
  <c r="D1484" i="1" s="1"/>
  <c r="D1510" i="1" s="1"/>
  <c r="D1516" i="3"/>
  <c r="D1520" i="3" s="1"/>
  <c r="D1546" i="3" s="1"/>
  <c r="C1520" i="3"/>
  <c r="C1546" i="3" s="1"/>
  <c r="H1592" i="1" l="1"/>
  <c r="H1618" i="1" s="1"/>
  <c r="H1624" i="1" s="1"/>
  <c r="I1588" i="1"/>
  <c r="I1592" i="1" s="1"/>
  <c r="I1618" i="1" s="1"/>
  <c r="C1520" i="1"/>
  <c r="C1546" i="1" s="1"/>
  <c r="C1552" i="1" s="1"/>
  <c r="D1516" i="1"/>
  <c r="D1520" i="1" s="1"/>
  <c r="D1546" i="1" s="1"/>
  <c r="H1628" i="1" l="1"/>
  <c r="H1654" i="1" s="1"/>
  <c r="H1660" i="1" s="1"/>
  <c r="I1624" i="1"/>
  <c r="I1628" i="1" s="1"/>
  <c r="I1654" i="1" s="1"/>
  <c r="C1556" i="1"/>
  <c r="C1582" i="1" s="1"/>
  <c r="C1588" i="1" s="1"/>
  <c r="D1552" i="1"/>
  <c r="D1556" i="1" s="1"/>
  <c r="D1582" i="1" s="1"/>
  <c r="H1664" i="1" l="1"/>
  <c r="H1690" i="1" s="1"/>
  <c r="H1696" i="1" s="1"/>
  <c r="I1660" i="1"/>
  <c r="I1664" i="1" s="1"/>
  <c r="I1690" i="1" s="1"/>
  <c r="C1592" i="1"/>
  <c r="C1618" i="1" s="1"/>
  <c r="C1624" i="1" s="1"/>
  <c r="D1588" i="1"/>
  <c r="D1592" i="1" s="1"/>
  <c r="D1618" i="1" s="1"/>
  <c r="I1696" i="1" l="1"/>
  <c r="I1700" i="1" s="1"/>
  <c r="I1726" i="1" s="1"/>
  <c r="H1700" i="1"/>
  <c r="H1726" i="1" s="1"/>
  <c r="H1732" i="1" s="1"/>
  <c r="C1628" i="1"/>
  <c r="C1654" i="1" s="1"/>
  <c r="C1660" i="1" s="1"/>
  <c r="D1624" i="1"/>
  <c r="D1628" i="1" s="1"/>
  <c r="D1654" i="1" s="1"/>
  <c r="H1736" i="1" l="1"/>
  <c r="H1762" i="1" s="1"/>
  <c r="H1768" i="1" s="1"/>
  <c r="I1732" i="1"/>
  <c r="I1736" i="1" s="1"/>
  <c r="I1762" i="1" s="1"/>
  <c r="C1664" i="1"/>
  <c r="C1690" i="1" s="1"/>
  <c r="C1696" i="1" s="1"/>
  <c r="D1660" i="1"/>
  <c r="D1664" i="1" s="1"/>
  <c r="D1690" i="1" s="1"/>
  <c r="I1768" i="1" l="1"/>
  <c r="I1772" i="1" s="1"/>
  <c r="I1798" i="1" s="1"/>
  <c r="H1772" i="1"/>
  <c r="H1798" i="1" s="1"/>
  <c r="H1804" i="1" s="1"/>
  <c r="C1700" i="1"/>
  <c r="C1726" i="1" s="1"/>
  <c r="C1732" i="1" s="1"/>
  <c r="D1696" i="1"/>
  <c r="D1700" i="1" s="1"/>
  <c r="D1726" i="1" s="1"/>
  <c r="H1808" i="1" l="1"/>
  <c r="H1834" i="1" s="1"/>
  <c r="H1840" i="1" s="1"/>
  <c r="I1804" i="1"/>
  <c r="I1808" i="1" s="1"/>
  <c r="I1834" i="1" s="1"/>
  <c r="C1736" i="1"/>
  <c r="C1762" i="1" s="1"/>
  <c r="C1768" i="1" s="1"/>
  <c r="D1732" i="1"/>
  <c r="D1736" i="1" s="1"/>
  <c r="D1762" i="1" s="1"/>
  <c r="H1844" i="1" l="1"/>
  <c r="H1870" i="1" s="1"/>
  <c r="H1876" i="1" s="1"/>
  <c r="I1840" i="1"/>
  <c r="I1844" i="1" s="1"/>
  <c r="I1870" i="1" s="1"/>
  <c r="C1772" i="1"/>
  <c r="C1798" i="1" s="1"/>
  <c r="C1804" i="1" s="1"/>
  <c r="D1768" i="1"/>
  <c r="D1772" i="1" s="1"/>
  <c r="D1798" i="1" s="1"/>
  <c r="H1880" i="1" l="1"/>
  <c r="H1906" i="1" s="1"/>
  <c r="H1912" i="1" s="1"/>
  <c r="I1876" i="1"/>
  <c r="I1880" i="1" s="1"/>
  <c r="I1906" i="1" s="1"/>
  <c r="C1808" i="1"/>
  <c r="C1834" i="1" s="1"/>
  <c r="C1840" i="1" s="1"/>
  <c r="D1804" i="1"/>
  <c r="D1808" i="1" s="1"/>
  <c r="D1834" i="1" s="1"/>
  <c r="H1916" i="1" l="1"/>
  <c r="H1942" i="1" s="1"/>
  <c r="H1948" i="1" s="1"/>
  <c r="I1912" i="1"/>
  <c r="I1916" i="1" s="1"/>
  <c r="I1942" i="1" s="1"/>
  <c r="C1844" i="1"/>
  <c r="C1870" i="1" s="1"/>
  <c r="C1876" i="1" s="1"/>
  <c r="D1840" i="1"/>
  <c r="D1844" i="1" s="1"/>
  <c r="D1870" i="1" s="1"/>
  <c r="I1948" i="1" l="1"/>
  <c r="I1952" i="1" s="1"/>
  <c r="I1978" i="1" s="1"/>
  <c r="H1952" i="1"/>
  <c r="H1978" i="1" s="1"/>
  <c r="H1984" i="1" s="1"/>
  <c r="C1880" i="1"/>
  <c r="C1906" i="1" s="1"/>
  <c r="C1912" i="1" s="1"/>
  <c r="D1876" i="1"/>
  <c r="D1880" i="1" s="1"/>
  <c r="D1906" i="1" s="1"/>
  <c r="I1984" i="1" l="1"/>
  <c r="I1988" i="1" s="1"/>
  <c r="I2014" i="1" s="1"/>
  <c r="H1988" i="1"/>
  <c r="H2014" i="1" s="1"/>
  <c r="H2020" i="1" s="1"/>
  <c r="C1916" i="1"/>
  <c r="C1942" i="1" s="1"/>
  <c r="C1948" i="1" s="1"/>
  <c r="D1912" i="1"/>
  <c r="D1916" i="1" s="1"/>
  <c r="D1942" i="1" s="1"/>
  <c r="I2020" i="1" l="1"/>
  <c r="I2024" i="1" s="1"/>
  <c r="I2050" i="1" s="1"/>
  <c r="H2024" i="1"/>
  <c r="H2050" i="1" s="1"/>
  <c r="H2056" i="1" s="1"/>
  <c r="C1952" i="1"/>
  <c r="C1978" i="1" s="1"/>
  <c r="C1984" i="1" s="1"/>
  <c r="D1948" i="1"/>
  <c r="D1952" i="1" s="1"/>
  <c r="D1978" i="1" s="1"/>
  <c r="I2056" i="1" l="1"/>
  <c r="I2060" i="1" s="1"/>
  <c r="I2086" i="1" s="1"/>
  <c r="H2060" i="1"/>
  <c r="H2086" i="1" s="1"/>
  <c r="H2092" i="1" s="1"/>
  <c r="C1988" i="1"/>
  <c r="C2014" i="1" s="1"/>
  <c r="C2020" i="1" s="1"/>
  <c r="D1984" i="1"/>
  <c r="D1988" i="1" s="1"/>
  <c r="D2014" i="1" s="1"/>
  <c r="H2096" i="1" l="1"/>
  <c r="H2122" i="1" s="1"/>
  <c r="H2128" i="1" s="1"/>
  <c r="I2092" i="1"/>
  <c r="I2096" i="1" s="1"/>
  <c r="I2122" i="1" s="1"/>
  <c r="C2024" i="1"/>
  <c r="C2050" i="1" s="1"/>
  <c r="C2056" i="1" s="1"/>
  <c r="D2020" i="1"/>
  <c r="D2024" i="1" s="1"/>
  <c r="D2050" i="1" s="1"/>
  <c r="I2128" i="1" l="1"/>
  <c r="I2132" i="1" s="1"/>
  <c r="I2158" i="1" s="1"/>
  <c r="H2132" i="1"/>
  <c r="H2158" i="1" s="1"/>
  <c r="H2164" i="1" s="1"/>
  <c r="C2060" i="1"/>
  <c r="C2086" i="1" s="1"/>
  <c r="C2092" i="1" s="1"/>
  <c r="D2056" i="1"/>
  <c r="D2060" i="1" s="1"/>
  <c r="D2086" i="1" s="1"/>
  <c r="H2168" i="1" l="1"/>
  <c r="H2194" i="1" s="1"/>
  <c r="H2200" i="1" s="1"/>
  <c r="I2164" i="1"/>
  <c r="I2168" i="1" s="1"/>
  <c r="I2194" i="1" s="1"/>
  <c r="C2096" i="1"/>
  <c r="C2122" i="1" s="1"/>
  <c r="C2128" i="1" s="1"/>
  <c r="D2092" i="1"/>
  <c r="D2096" i="1" s="1"/>
  <c r="D2122" i="1" s="1"/>
  <c r="H2204" i="1" l="1"/>
  <c r="H2230" i="1" s="1"/>
  <c r="H2236" i="1" s="1"/>
  <c r="I2200" i="1"/>
  <c r="I2204" i="1" s="1"/>
  <c r="I2230" i="1" s="1"/>
  <c r="C2132" i="1"/>
  <c r="C2158" i="1" s="1"/>
  <c r="C2164" i="1" s="1"/>
  <c r="D2128" i="1"/>
  <c r="D2132" i="1" s="1"/>
  <c r="D2158" i="1" s="1"/>
  <c r="H2240" i="1" l="1"/>
  <c r="H2266" i="1" s="1"/>
  <c r="H2272" i="1" s="1"/>
  <c r="I2236" i="1"/>
  <c r="I2240" i="1" s="1"/>
  <c r="I2266" i="1" s="1"/>
  <c r="C2168" i="1"/>
  <c r="C2194" i="1" s="1"/>
  <c r="C2200" i="1" s="1"/>
  <c r="D2164" i="1"/>
  <c r="D2168" i="1" s="1"/>
  <c r="D2194" i="1" s="1"/>
  <c r="H2276" i="1" l="1"/>
  <c r="H2302" i="1" s="1"/>
  <c r="H2308" i="1" s="1"/>
  <c r="I2272" i="1"/>
  <c r="I2276" i="1" s="1"/>
  <c r="I2302" i="1" s="1"/>
  <c r="C2204" i="1"/>
  <c r="C2230" i="1" s="1"/>
  <c r="C2236" i="1" s="1"/>
  <c r="D2200" i="1"/>
  <c r="D2204" i="1" s="1"/>
  <c r="D2230" i="1" s="1"/>
  <c r="I2308" i="1" l="1"/>
  <c r="I2312" i="1" s="1"/>
  <c r="I2338" i="1" s="1"/>
  <c r="H2312" i="1"/>
  <c r="H2338" i="1" s="1"/>
  <c r="H2344" i="1" s="1"/>
  <c r="C2240" i="1"/>
  <c r="C2266" i="1" s="1"/>
  <c r="C2272" i="1" s="1"/>
  <c r="D2236" i="1"/>
  <c r="D2240" i="1" s="1"/>
  <c r="D2266" i="1" s="1"/>
  <c r="H2348" i="1" l="1"/>
  <c r="H2374" i="1" s="1"/>
  <c r="H2380" i="1" s="1"/>
  <c r="I2344" i="1"/>
  <c r="I2348" i="1" s="1"/>
  <c r="I2374" i="1" s="1"/>
  <c r="C2276" i="1"/>
  <c r="C2302" i="1" s="1"/>
  <c r="C2308" i="1" s="1"/>
  <c r="D2272" i="1"/>
  <c r="D2276" i="1" s="1"/>
  <c r="D2302" i="1" s="1"/>
  <c r="I2380" i="1" l="1"/>
  <c r="I2384" i="1" s="1"/>
  <c r="I2410" i="1" s="1"/>
  <c r="H2384" i="1"/>
  <c r="H2410" i="1" s="1"/>
  <c r="H2416" i="1" s="1"/>
  <c r="C2312" i="1"/>
  <c r="C2338" i="1" s="1"/>
  <c r="C2344" i="1" s="1"/>
  <c r="D2308" i="1"/>
  <c r="D2312" i="1" s="1"/>
  <c r="D2338" i="1" s="1"/>
  <c r="I2416" i="1" l="1"/>
  <c r="I2420" i="1" s="1"/>
  <c r="I2446" i="1" s="1"/>
  <c r="H2420" i="1"/>
  <c r="H2446" i="1" s="1"/>
  <c r="H2452" i="1" s="1"/>
  <c r="C2348" i="1"/>
  <c r="C2374" i="1" s="1"/>
  <c r="C2380" i="1" s="1"/>
  <c r="D2344" i="1"/>
  <c r="D2348" i="1" s="1"/>
  <c r="D2374" i="1" s="1"/>
  <c r="H2456" i="1" l="1"/>
  <c r="H2482" i="1" s="1"/>
  <c r="H2488" i="1" s="1"/>
  <c r="I2452" i="1"/>
  <c r="I2456" i="1" s="1"/>
  <c r="I2482" i="1" s="1"/>
  <c r="C2384" i="1"/>
  <c r="C2410" i="1" s="1"/>
  <c r="C2416" i="1" s="1"/>
  <c r="D2380" i="1"/>
  <c r="D2384" i="1" s="1"/>
  <c r="D2410" i="1" s="1"/>
  <c r="I2488" i="1" l="1"/>
  <c r="I2492" i="1" s="1"/>
  <c r="I2518" i="1" s="1"/>
  <c r="H2492" i="1"/>
  <c r="H2518" i="1" s="1"/>
  <c r="H2524" i="1" s="1"/>
  <c r="C2420" i="1"/>
  <c r="C2446" i="1" s="1"/>
  <c r="C2452" i="1" s="1"/>
  <c r="D2416" i="1"/>
  <c r="D2420" i="1" s="1"/>
  <c r="D2446" i="1" s="1"/>
  <c r="I2524" i="1" l="1"/>
  <c r="I2528" i="1" s="1"/>
  <c r="I2554" i="1" s="1"/>
  <c r="H2528" i="1"/>
  <c r="H2554" i="1" s="1"/>
  <c r="H2560" i="1" s="1"/>
  <c r="C2456" i="1"/>
  <c r="C2482" i="1" s="1"/>
  <c r="C2488" i="1" s="1"/>
  <c r="D2452" i="1"/>
  <c r="D2456" i="1" s="1"/>
  <c r="D2482" i="1" s="1"/>
  <c r="I2560" i="1" l="1"/>
  <c r="I2564" i="1" s="1"/>
  <c r="I2590" i="1" s="1"/>
  <c r="H2564" i="1"/>
  <c r="H2590" i="1" s="1"/>
  <c r="H2596" i="1" s="1"/>
  <c r="C2492" i="1"/>
  <c r="C2518" i="1" s="1"/>
  <c r="C2524" i="1" s="1"/>
  <c r="D2488" i="1"/>
  <c r="D2492" i="1" s="1"/>
  <c r="D2518" i="1" s="1"/>
  <c r="H2600" i="1" l="1"/>
  <c r="H2626" i="1" s="1"/>
  <c r="H2632" i="1" s="1"/>
  <c r="I2596" i="1"/>
  <c r="I2600" i="1" s="1"/>
  <c r="I2626" i="1" s="1"/>
  <c r="C2528" i="1"/>
  <c r="C2554" i="1" s="1"/>
  <c r="C2560" i="1" s="1"/>
  <c r="D2524" i="1"/>
  <c r="D2528" i="1" s="1"/>
  <c r="D2554" i="1" s="1"/>
  <c r="I2632" i="1" l="1"/>
  <c r="I2636" i="1" s="1"/>
  <c r="I2662" i="1" s="1"/>
  <c r="H2636" i="1"/>
  <c r="H2662" i="1" s="1"/>
  <c r="H2668" i="1" s="1"/>
  <c r="C2564" i="1"/>
  <c r="C2590" i="1" s="1"/>
  <c r="C2596" i="1" s="1"/>
  <c r="D2560" i="1"/>
  <c r="D2564" i="1" s="1"/>
  <c r="D2590" i="1" s="1"/>
  <c r="H2672" i="1" l="1"/>
  <c r="H2698" i="1" s="1"/>
  <c r="H2704" i="1" s="1"/>
  <c r="I2668" i="1"/>
  <c r="I2672" i="1" s="1"/>
  <c r="I2698" i="1" s="1"/>
  <c r="D2596" i="1"/>
  <c r="D2600" i="1" s="1"/>
  <c r="D2626" i="1" s="1"/>
  <c r="C2600" i="1"/>
  <c r="C2626" i="1" s="1"/>
  <c r="C2632" i="1" s="1"/>
  <c r="H2708" i="1" l="1"/>
  <c r="H2734" i="1" s="1"/>
  <c r="H2740" i="1" s="1"/>
  <c r="I2704" i="1"/>
  <c r="I2708" i="1" s="1"/>
  <c r="I2734" i="1" s="1"/>
  <c r="C2636" i="1"/>
  <c r="C2662" i="1" s="1"/>
  <c r="C2668" i="1" s="1"/>
  <c r="D2632" i="1"/>
  <c r="D2636" i="1" s="1"/>
  <c r="D2662" i="1" s="1"/>
  <c r="I2740" i="1" l="1"/>
  <c r="I2744" i="1" s="1"/>
  <c r="I2770" i="1" s="1"/>
  <c r="H2744" i="1"/>
  <c r="H2770" i="1" s="1"/>
  <c r="H2776" i="1" s="1"/>
  <c r="D2668" i="1"/>
  <c r="D2672" i="1" s="1"/>
  <c r="D2698" i="1" s="1"/>
  <c r="C2672" i="1"/>
  <c r="C2698" i="1" s="1"/>
  <c r="C2704" i="1" s="1"/>
  <c r="I2776" i="1" l="1"/>
  <c r="I2780" i="1" s="1"/>
  <c r="I2806" i="1" s="1"/>
  <c r="H2780" i="1"/>
  <c r="H2806" i="1" s="1"/>
  <c r="H2812" i="1" s="1"/>
  <c r="C2708" i="1"/>
  <c r="C2734" i="1" s="1"/>
  <c r="C2740" i="1" s="1"/>
  <c r="D2704" i="1"/>
  <c r="D2708" i="1" s="1"/>
  <c r="D2734" i="1" s="1"/>
  <c r="H2816" i="1" l="1"/>
  <c r="H2842" i="1" s="1"/>
  <c r="H2848" i="1" s="1"/>
  <c r="I2812" i="1"/>
  <c r="I2816" i="1" s="1"/>
  <c r="I2842" i="1" s="1"/>
  <c r="D2740" i="1"/>
  <c r="D2744" i="1" s="1"/>
  <c r="D2770" i="1" s="1"/>
  <c r="C2744" i="1"/>
  <c r="C2770" i="1" s="1"/>
  <c r="C2776" i="1" s="1"/>
  <c r="I2848" i="1" l="1"/>
  <c r="I2852" i="1" s="1"/>
  <c r="I2878" i="1" s="1"/>
  <c r="H2852" i="1"/>
  <c r="H2878" i="1" s="1"/>
  <c r="H2884" i="1" s="1"/>
  <c r="D2776" i="1"/>
  <c r="D2780" i="1" s="1"/>
  <c r="D2806" i="1" s="1"/>
  <c r="C2780" i="1"/>
  <c r="C2806" i="1" s="1"/>
  <c r="C2812" i="1" s="1"/>
  <c r="H2888" i="1" l="1"/>
  <c r="H2914" i="1" s="1"/>
  <c r="H2920" i="1" s="1"/>
  <c r="I2884" i="1"/>
  <c r="I2888" i="1" s="1"/>
  <c r="I2914" i="1" s="1"/>
  <c r="C2816" i="1"/>
  <c r="C2842" i="1" s="1"/>
  <c r="C2848" i="1" s="1"/>
  <c r="D2812" i="1"/>
  <c r="D2816" i="1" s="1"/>
  <c r="D2842" i="1" s="1"/>
  <c r="I2920" i="1" l="1"/>
  <c r="I2924" i="1" s="1"/>
  <c r="I2950" i="1" s="1"/>
  <c r="H2924" i="1"/>
  <c r="H2950" i="1" s="1"/>
  <c r="H2956" i="1" s="1"/>
  <c r="D2848" i="1"/>
  <c r="D2852" i="1" s="1"/>
  <c r="D2878" i="1" s="1"/>
  <c r="C2852" i="1"/>
  <c r="C2878" i="1" s="1"/>
  <c r="C2884" i="1" s="1"/>
  <c r="H2960" i="1" l="1"/>
  <c r="H2986" i="1" s="1"/>
  <c r="H2992" i="1" s="1"/>
  <c r="I2956" i="1"/>
  <c r="I2960" i="1" s="1"/>
  <c r="I2986" i="1" s="1"/>
  <c r="C2888" i="1"/>
  <c r="C2914" i="1" s="1"/>
  <c r="C2920" i="1" s="1"/>
  <c r="D2884" i="1"/>
  <c r="D2888" i="1" s="1"/>
  <c r="D2914" i="1" s="1"/>
  <c r="I2992" i="1" l="1"/>
  <c r="I2996" i="1" s="1"/>
  <c r="I3022" i="1" s="1"/>
  <c r="H2996" i="1"/>
  <c r="H3022" i="1" s="1"/>
  <c r="H3028" i="1" s="1"/>
  <c r="D2920" i="1"/>
  <c r="D2924" i="1" s="1"/>
  <c r="D2950" i="1" s="1"/>
  <c r="C2924" i="1"/>
  <c r="C2950" i="1" s="1"/>
  <c r="C2956" i="1" s="1"/>
  <c r="H3032" i="1" l="1"/>
  <c r="H3058" i="1" s="1"/>
  <c r="H3064" i="1" s="1"/>
  <c r="I3028" i="1"/>
  <c r="I3032" i="1" s="1"/>
  <c r="I3058" i="1" s="1"/>
  <c r="C2960" i="1"/>
  <c r="C2986" i="1" s="1"/>
  <c r="C2992" i="1" s="1"/>
  <c r="D2956" i="1"/>
  <c r="D2960" i="1" s="1"/>
  <c r="D2986" i="1" s="1"/>
  <c r="H3068" i="1" l="1"/>
  <c r="H3094" i="1" s="1"/>
  <c r="H3100" i="1" s="1"/>
  <c r="I3064" i="1"/>
  <c r="I3068" i="1" s="1"/>
  <c r="I3094" i="1" s="1"/>
  <c r="D2992" i="1"/>
  <c r="D2996" i="1" s="1"/>
  <c r="D3022" i="1" s="1"/>
  <c r="C2996" i="1"/>
  <c r="C3022" i="1" s="1"/>
  <c r="C3028" i="1" s="1"/>
  <c r="H3104" i="1" l="1"/>
  <c r="H3130" i="1" s="1"/>
  <c r="H3136" i="1" s="1"/>
  <c r="I3100" i="1"/>
  <c r="I3104" i="1" s="1"/>
  <c r="I3130" i="1" s="1"/>
  <c r="C3032" i="1"/>
  <c r="C3058" i="1" s="1"/>
  <c r="C3064" i="1" s="1"/>
  <c r="D3028" i="1"/>
  <c r="D3032" i="1" s="1"/>
  <c r="D3058" i="1" s="1"/>
  <c r="I3136" i="1" l="1"/>
  <c r="I3140" i="1" s="1"/>
  <c r="I3166" i="1" s="1"/>
  <c r="H3140" i="1"/>
  <c r="H3166" i="1" s="1"/>
  <c r="H3172" i="1" s="1"/>
  <c r="C3068" i="1"/>
  <c r="C3094" i="1" s="1"/>
  <c r="C3100" i="1" s="1"/>
  <c r="D3064" i="1"/>
  <c r="D3068" i="1" s="1"/>
  <c r="D3094" i="1" s="1"/>
  <c r="H3176" i="1" l="1"/>
  <c r="H3202" i="1" s="1"/>
  <c r="H3208" i="1" s="1"/>
  <c r="I3172" i="1"/>
  <c r="I3176" i="1" s="1"/>
  <c r="I3202" i="1" s="1"/>
  <c r="D3100" i="1"/>
  <c r="D3104" i="1" s="1"/>
  <c r="D3130" i="1" s="1"/>
  <c r="C3104" i="1"/>
  <c r="C3130" i="1" s="1"/>
  <c r="C3136" i="1" s="1"/>
  <c r="I3208" i="1" l="1"/>
  <c r="I3212" i="1" s="1"/>
  <c r="I3238" i="1" s="1"/>
  <c r="H3212" i="1"/>
  <c r="H3238" i="1" s="1"/>
  <c r="H3244" i="1" s="1"/>
  <c r="C3140" i="1"/>
  <c r="C3166" i="1" s="1"/>
  <c r="C3172" i="1" s="1"/>
  <c r="D3136" i="1"/>
  <c r="D3140" i="1" s="1"/>
  <c r="D3166" i="1" s="1"/>
  <c r="I3244" i="1" l="1"/>
  <c r="I3248" i="1" s="1"/>
  <c r="I3274" i="1" s="1"/>
  <c r="H3248" i="1"/>
  <c r="H3274" i="1" s="1"/>
  <c r="H3280" i="1" s="1"/>
  <c r="D3172" i="1"/>
  <c r="D3176" i="1" s="1"/>
  <c r="D3202" i="1" s="1"/>
  <c r="C3176" i="1"/>
  <c r="C3202" i="1" s="1"/>
  <c r="C3208" i="1" s="1"/>
  <c r="H3284" i="1" l="1"/>
  <c r="H3310" i="1" s="1"/>
  <c r="H3316" i="1" s="1"/>
  <c r="I3280" i="1"/>
  <c r="I3284" i="1" s="1"/>
  <c r="I3310" i="1" s="1"/>
  <c r="C3212" i="1"/>
  <c r="C3238" i="1" s="1"/>
  <c r="C3244" i="1" s="1"/>
  <c r="D3208" i="1"/>
  <c r="D3212" i="1" s="1"/>
  <c r="D3238" i="1" s="1"/>
  <c r="H3320" i="1" l="1"/>
  <c r="H3346" i="1" s="1"/>
  <c r="H3352" i="1" s="1"/>
  <c r="I3316" i="1"/>
  <c r="I3320" i="1" s="1"/>
  <c r="I3346" i="1" s="1"/>
  <c r="D3244" i="1"/>
  <c r="D3248" i="1" s="1"/>
  <c r="D3274" i="1" s="1"/>
  <c r="C3248" i="1"/>
  <c r="C3274" i="1" s="1"/>
  <c r="C3280" i="1" s="1"/>
  <c r="H3356" i="1" l="1"/>
  <c r="H3382" i="1" s="1"/>
  <c r="H3388" i="1" s="1"/>
  <c r="I3352" i="1"/>
  <c r="I3356" i="1" s="1"/>
  <c r="I3382" i="1" s="1"/>
  <c r="C3284" i="1"/>
  <c r="C3310" i="1" s="1"/>
  <c r="C3316" i="1" s="1"/>
  <c r="D3280" i="1"/>
  <c r="D3284" i="1" s="1"/>
  <c r="D3310" i="1" s="1"/>
  <c r="I3388" i="1" l="1"/>
  <c r="I3392" i="1" s="1"/>
  <c r="I3418" i="1" s="1"/>
  <c r="H3392" i="1"/>
  <c r="H3418" i="1" s="1"/>
  <c r="H3424" i="1" s="1"/>
  <c r="D3316" i="1"/>
  <c r="D3320" i="1" s="1"/>
  <c r="D3346" i="1" s="1"/>
  <c r="C3320" i="1"/>
  <c r="C3346" i="1" s="1"/>
  <c r="C3352" i="1" s="1"/>
  <c r="I3424" i="1" l="1"/>
  <c r="I3428" i="1" s="1"/>
  <c r="H3428" i="1"/>
  <c r="C3356" i="1"/>
  <c r="C3382" i="1" s="1"/>
  <c r="C3388" i="1" s="1"/>
  <c r="D3352" i="1"/>
  <c r="D3356" i="1" s="1"/>
  <c r="D3382" i="1" s="1"/>
  <c r="C3392" i="1" l="1"/>
  <c r="C3418" i="1" s="1"/>
  <c r="C3424" i="1" s="1"/>
  <c r="D3388" i="1"/>
  <c r="D3392" i="1" s="1"/>
  <c r="D3418" i="1" s="1"/>
  <c r="C3428" i="1" l="1"/>
  <c r="C3454" i="1" s="1"/>
  <c r="C3460" i="1" s="1"/>
  <c r="D3424" i="1"/>
  <c r="D3428" i="1" s="1"/>
  <c r="D3454" i="1" s="1"/>
  <c r="C3464" i="1" l="1"/>
  <c r="C3490" i="1" s="1"/>
  <c r="C3496" i="1" s="1"/>
  <c r="D3460" i="1"/>
  <c r="D3464" i="1" s="1"/>
  <c r="D3490" i="1" s="1"/>
  <c r="D3496" i="1" l="1"/>
  <c r="D3500" i="1" s="1"/>
  <c r="D3526" i="1" s="1"/>
  <c r="C3500" i="1"/>
  <c r="C3526" i="1" s="1"/>
  <c r="C3532" i="1" s="1"/>
  <c r="H3453" i="1"/>
  <c r="H3454" i="1" l="1"/>
  <c r="H3460" i="1" s="1"/>
  <c r="H3464" i="1" s="1"/>
  <c r="H3490" i="1" s="1"/>
  <c r="H3496" i="1" s="1"/>
  <c r="H3491" i="1"/>
  <c r="D3532" i="1"/>
  <c r="D3536" i="1" s="1"/>
  <c r="D3562" i="1" s="1"/>
  <c r="C3536" i="1"/>
  <c r="C3562" i="1" s="1"/>
  <c r="C3568" i="1" s="1"/>
  <c r="I3460" i="1"/>
  <c r="I3464" i="1" s="1"/>
  <c r="I3490" i="1" s="1"/>
  <c r="I3453" i="1"/>
  <c r="I3454" i="1" s="1"/>
  <c r="D3568" i="1" l="1"/>
  <c r="D3572" i="1" s="1"/>
  <c r="D3598" i="1" s="1"/>
  <c r="C3572" i="1"/>
  <c r="C3598" i="1" s="1"/>
  <c r="C3604" i="1" s="1"/>
  <c r="H3500" i="1"/>
  <c r="H3526" i="1" s="1"/>
  <c r="H3532" i="1" s="1"/>
  <c r="I3496" i="1"/>
  <c r="I3500" i="1" s="1"/>
  <c r="I3526" i="1" s="1"/>
  <c r="D3604" i="1" l="1"/>
  <c r="D3608" i="1" s="1"/>
  <c r="D3634" i="1" s="1"/>
  <c r="C3608" i="1"/>
  <c r="C3634" i="1" s="1"/>
  <c r="C3640" i="1" s="1"/>
  <c r="H3536" i="1"/>
  <c r="H3562" i="1" s="1"/>
  <c r="H3568" i="1" s="1"/>
  <c r="I3532" i="1"/>
  <c r="I3536" i="1" s="1"/>
  <c r="I3562" i="1" s="1"/>
  <c r="D3640" i="1" l="1"/>
  <c r="D3644" i="1" s="1"/>
  <c r="D3670" i="1" s="1"/>
  <c r="C3644" i="1"/>
  <c r="C3670" i="1" s="1"/>
  <c r="C3676" i="1" s="1"/>
  <c r="I3568" i="1"/>
  <c r="I3572" i="1" s="1"/>
  <c r="I3598" i="1" s="1"/>
  <c r="H3572" i="1"/>
  <c r="H3598" i="1" s="1"/>
  <c r="H3604" i="1" s="1"/>
  <c r="D3676" i="1" l="1"/>
  <c r="D3680" i="1" s="1"/>
  <c r="D3706" i="1" s="1"/>
  <c r="C3680" i="1"/>
  <c r="C3706" i="1" s="1"/>
  <c r="C3712" i="1" s="1"/>
  <c r="I3604" i="1"/>
  <c r="I3608" i="1" s="1"/>
  <c r="I3634" i="1" s="1"/>
  <c r="H3608" i="1"/>
  <c r="H3634" i="1" s="1"/>
  <c r="H3640" i="1" s="1"/>
  <c r="D3712" i="1" l="1"/>
  <c r="D3716" i="1" s="1"/>
  <c r="D3742" i="1" s="1"/>
  <c r="C3716" i="1"/>
  <c r="C3742" i="1" s="1"/>
  <c r="C3748" i="1" s="1"/>
  <c r="I3640" i="1"/>
  <c r="I3644" i="1" s="1"/>
  <c r="I3670" i="1" s="1"/>
  <c r="H3644" i="1"/>
  <c r="H3670" i="1" s="1"/>
  <c r="C3752" i="1" l="1"/>
  <c r="C3778" i="1" s="1"/>
  <c r="C3784" i="1" s="1"/>
  <c r="D3748" i="1"/>
  <c r="D3752" i="1" s="1"/>
  <c r="D3778" i="1" s="1"/>
  <c r="I3680" i="1"/>
  <c r="I3706" i="1" s="1"/>
  <c r="I3712" i="1" s="1"/>
  <c r="H3680" i="1"/>
  <c r="H3706" i="1" s="1"/>
  <c r="H3712" i="1" s="1"/>
  <c r="D3784" i="1" l="1"/>
  <c r="D3788" i="1" s="1"/>
  <c r="D3814" i="1" s="1"/>
  <c r="C3788" i="1"/>
  <c r="C3814" i="1" s="1"/>
  <c r="C3820" i="1" s="1"/>
  <c r="H3716" i="1"/>
  <c r="H3742" i="1" s="1"/>
  <c r="H3748" i="1" s="1"/>
  <c r="H3752" i="1" s="1"/>
  <c r="H3778" i="1" s="1"/>
  <c r="H3784" i="1" s="1"/>
  <c r="I3716" i="1"/>
  <c r="I3742" i="1" s="1"/>
  <c r="I3748" i="1" s="1"/>
  <c r="I3752" i="1" s="1"/>
  <c r="I3778" i="1" s="1"/>
  <c r="I3784" i="1" s="1"/>
  <c r="D3820" i="1" l="1"/>
  <c r="D3824" i="1" s="1"/>
  <c r="D3850" i="1" s="1"/>
  <c r="C3824" i="1"/>
  <c r="C3850" i="1" s="1"/>
  <c r="C3856" i="1" s="1"/>
  <c r="H3788" i="1"/>
  <c r="D3856" i="1" l="1"/>
  <c r="D3860" i="1" s="1"/>
  <c r="D3886" i="1" s="1"/>
  <c r="C3860" i="1"/>
  <c r="C3886" i="1" s="1"/>
  <c r="C3892" i="1" s="1"/>
  <c r="I3788" i="1" l="1"/>
  <c r="I3814" i="1" s="1"/>
  <c r="I3820" i="1" s="1"/>
  <c r="H3814" i="1"/>
  <c r="C3896" i="1"/>
  <c r="C3922" i="1" s="1"/>
  <c r="C3928" i="1" s="1"/>
  <c r="D3892" i="1"/>
  <c r="D3896" i="1" s="1"/>
  <c r="D3922" i="1" s="1"/>
  <c r="H3820" i="1" l="1"/>
  <c r="H3824" i="1" s="1"/>
  <c r="H3850" i="1" s="1"/>
  <c r="H3856" i="1" s="1"/>
  <c r="D3928" i="1"/>
  <c r="D3932" i="1" s="1"/>
  <c r="D3958" i="1" s="1"/>
  <c r="C3932" i="1"/>
  <c r="C3958" i="1" s="1"/>
  <c r="C3964" i="1" s="1"/>
  <c r="I3824" i="1" l="1"/>
  <c r="I3850" i="1" s="1"/>
  <c r="I3856" i="1" s="1"/>
  <c r="H3860" i="1"/>
  <c r="H3886" i="1" s="1"/>
  <c r="D3964" i="1"/>
  <c r="D3968" i="1" s="1"/>
  <c r="D3994" i="1" s="1"/>
  <c r="C3968" i="1"/>
  <c r="C3994" i="1" s="1"/>
  <c r="C4000" i="1" s="1"/>
  <c r="H3892" i="1" l="1"/>
  <c r="H3896" i="1" s="1"/>
  <c r="H3922" i="1" s="1"/>
  <c r="H3928" i="1" s="1"/>
  <c r="H3932" i="1" s="1"/>
  <c r="H3958" i="1" s="1"/>
  <c r="I3860" i="1"/>
  <c r="I3886" i="1" s="1"/>
  <c r="I3892" i="1" s="1"/>
  <c r="I3896" i="1" s="1"/>
  <c r="I3922" i="1" s="1"/>
  <c r="I3928" i="1" s="1"/>
  <c r="D4000" i="1"/>
  <c r="D4004" i="1" s="1"/>
  <c r="D4030" i="1" s="1"/>
  <c r="C4004" i="1"/>
  <c r="C4030" i="1" s="1"/>
  <c r="C4036" i="1" s="1"/>
  <c r="H3964" i="1" l="1"/>
  <c r="H3968" i="1" s="1"/>
  <c r="H3994" i="1" s="1"/>
  <c r="I3932" i="1"/>
  <c r="I3958" i="1" s="1"/>
  <c r="I3964" i="1" s="1"/>
  <c r="C4040" i="1"/>
  <c r="C4066" i="1" s="1"/>
  <c r="D4036" i="1"/>
  <c r="D4040" i="1" s="1"/>
  <c r="D4066" i="1" s="1"/>
  <c r="H4000" i="1" l="1"/>
  <c r="H4004" i="1" s="1"/>
  <c r="H4030" i="1" s="1"/>
  <c r="I3968" i="1"/>
  <c r="I3994" i="1" s="1"/>
  <c r="I4000" i="1" s="1"/>
  <c r="H4036" i="1" l="1"/>
  <c r="H4040" i="1" s="1"/>
  <c r="H4066" i="1" s="1"/>
  <c r="I4004" i="1"/>
  <c r="I4030" i="1" s="1"/>
  <c r="I4036" i="1" s="1"/>
  <c r="H4072" i="1" l="1"/>
  <c r="H4076" i="1" s="1"/>
  <c r="H4102" i="1" s="1"/>
  <c r="H4108" i="1" s="1"/>
  <c r="H4112" i="1" s="1"/>
  <c r="H4138" i="1" s="1"/>
  <c r="I4040" i="1"/>
  <c r="I4066" i="1" s="1"/>
  <c r="I4072" i="1" s="1"/>
  <c r="I4076" i="1" l="1"/>
  <c r="I4102" i="1" s="1"/>
  <c r="I4108" i="1" s="1"/>
  <c r="I4112" i="1" s="1"/>
  <c r="I4138" i="1" s="1"/>
</calcChain>
</file>

<file path=xl/sharedStrings.xml><?xml version="1.0" encoding="utf-8"?>
<sst xmlns="http://schemas.openxmlformats.org/spreadsheetml/2006/main" count="7792" uniqueCount="1158">
  <si>
    <t>計</t>
  </si>
  <si>
    <t>総数</t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</si>
  <si>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</si>
  <si>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</si>
  <si>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日付</t>
    <rPh sb="0" eb="2">
      <t>ヒヅケ</t>
    </rPh>
    <phoneticPr fontId="1"/>
  </si>
  <si>
    <t>在庫</t>
    <rPh sb="0" eb="2">
      <t>ザイコ</t>
    </rPh>
    <phoneticPr fontId="1"/>
  </si>
  <si>
    <t>追加</t>
    <rPh sb="0" eb="2">
      <t>ツイカ</t>
    </rPh>
    <phoneticPr fontId="1"/>
  </si>
  <si>
    <t>ペタブラ シリコン　夢販在庫管理表</t>
    <rPh sb="10" eb="11">
      <t>ユメ</t>
    </rPh>
    <rPh sb="11" eb="12">
      <t>ハン</t>
    </rPh>
    <rPh sb="12" eb="14">
      <t>ザイコ</t>
    </rPh>
    <rPh sb="14" eb="16">
      <t>カンリ</t>
    </rPh>
    <rPh sb="16" eb="17">
      <t>ヒョウ</t>
    </rPh>
    <phoneticPr fontId="1"/>
  </si>
  <si>
    <t>千趣会</t>
    <rPh sb="0" eb="3">
      <t>センシュカイ</t>
    </rPh>
    <phoneticPr fontId="1"/>
  </si>
  <si>
    <t>入庫</t>
    <phoneticPr fontId="1"/>
  </si>
  <si>
    <t>セシール</t>
    <phoneticPr fontId="1"/>
  </si>
  <si>
    <t>ベルーナ</t>
    <phoneticPr fontId="1"/>
  </si>
  <si>
    <t>夢販</t>
    <rPh sb="0" eb="2">
      <t>ユメハン</t>
    </rPh>
    <phoneticPr fontId="1"/>
  </si>
  <si>
    <t>セシール</t>
    <phoneticPr fontId="1"/>
  </si>
  <si>
    <t>素数</t>
    <rPh sb="0" eb="2">
      <t>ソスウ</t>
    </rPh>
    <phoneticPr fontId="1"/>
  </si>
  <si>
    <t>津田孝</t>
    <rPh sb="0" eb="2">
      <t>ツダ</t>
    </rPh>
    <rPh sb="2" eb="3">
      <t>コウ</t>
    </rPh>
    <phoneticPr fontId="1"/>
  </si>
  <si>
    <t>夢販</t>
    <rPh sb="0" eb="1">
      <t>ユメ</t>
    </rPh>
    <rPh sb="1" eb="2">
      <t>ハン</t>
    </rPh>
    <phoneticPr fontId="1"/>
  </si>
  <si>
    <t>セシール</t>
    <phoneticPr fontId="1"/>
  </si>
  <si>
    <t>JOD</t>
    <phoneticPr fontId="1"/>
  </si>
  <si>
    <t>セシール</t>
    <phoneticPr fontId="1"/>
  </si>
  <si>
    <t>JOD</t>
    <phoneticPr fontId="1"/>
  </si>
  <si>
    <t>セシール</t>
    <phoneticPr fontId="1"/>
  </si>
  <si>
    <t>夢販</t>
    <phoneticPr fontId="1"/>
  </si>
  <si>
    <t>ネップラ</t>
    <phoneticPr fontId="1"/>
  </si>
  <si>
    <t>JOD</t>
    <phoneticPr fontId="1"/>
  </si>
  <si>
    <t>JOD</t>
    <phoneticPr fontId="1"/>
  </si>
  <si>
    <t>JOD</t>
    <phoneticPr fontId="1"/>
  </si>
  <si>
    <t>JOD</t>
    <phoneticPr fontId="1"/>
  </si>
  <si>
    <t>セシール</t>
    <phoneticPr fontId="1"/>
  </si>
  <si>
    <t>夢販</t>
    <phoneticPr fontId="1"/>
  </si>
  <si>
    <t>JOD</t>
    <phoneticPr fontId="1"/>
  </si>
  <si>
    <t>千趣会</t>
    <rPh sb="0" eb="1">
      <t>セン</t>
    </rPh>
    <rPh sb="1" eb="2">
      <t>シュ</t>
    </rPh>
    <rPh sb="2" eb="3">
      <t>カイ</t>
    </rPh>
    <phoneticPr fontId="1"/>
  </si>
  <si>
    <t>JOD</t>
    <phoneticPr fontId="1"/>
  </si>
  <si>
    <t>セシール</t>
    <phoneticPr fontId="1"/>
  </si>
  <si>
    <t>ベルーナ</t>
    <phoneticPr fontId="1"/>
  </si>
  <si>
    <t>ペタブラ シリコン　ミッシェル在庫</t>
    <rPh sb="15" eb="17">
      <t>ザイコ</t>
    </rPh>
    <phoneticPr fontId="1"/>
  </si>
  <si>
    <t>セシール</t>
    <phoneticPr fontId="1"/>
  </si>
  <si>
    <t>セシール</t>
    <phoneticPr fontId="1"/>
  </si>
  <si>
    <t>ベルーナ</t>
    <phoneticPr fontId="1"/>
  </si>
  <si>
    <t>スクロール</t>
    <phoneticPr fontId="1"/>
  </si>
  <si>
    <t>くらし企画（東京）sample</t>
    <rPh sb="3" eb="5">
      <t>キカク</t>
    </rPh>
    <rPh sb="6" eb="8">
      <t>トウキョウ</t>
    </rPh>
    <phoneticPr fontId="1"/>
  </si>
  <si>
    <t>JOD</t>
    <phoneticPr fontId="1"/>
  </si>
  <si>
    <t>福助</t>
    <rPh sb="0" eb="2">
      <t>フクスケ</t>
    </rPh>
    <phoneticPr fontId="1"/>
  </si>
  <si>
    <t>JOD</t>
    <phoneticPr fontId="1"/>
  </si>
  <si>
    <t>セシール</t>
    <phoneticPr fontId="1"/>
  </si>
  <si>
    <t>くらしきんき1号②</t>
    <rPh sb="7" eb="8">
      <t>ゴウ</t>
    </rPh>
    <phoneticPr fontId="1"/>
  </si>
  <si>
    <t>くらしきんき1号①直送</t>
    <rPh sb="7" eb="8">
      <t>ゴウ</t>
    </rPh>
    <rPh sb="9" eb="11">
      <t>チョクソウ</t>
    </rPh>
    <phoneticPr fontId="1"/>
  </si>
  <si>
    <t>JOD</t>
    <phoneticPr fontId="1"/>
  </si>
  <si>
    <t>JOD</t>
    <phoneticPr fontId="1"/>
  </si>
  <si>
    <t>JOD</t>
    <phoneticPr fontId="1"/>
  </si>
  <si>
    <t>セシール</t>
    <phoneticPr fontId="1"/>
  </si>
  <si>
    <t>JOD</t>
    <phoneticPr fontId="1"/>
  </si>
  <si>
    <t>JOD</t>
    <phoneticPr fontId="1"/>
  </si>
  <si>
    <t>JOD</t>
    <phoneticPr fontId="1"/>
  </si>
  <si>
    <t>JOD</t>
    <phoneticPr fontId="1"/>
  </si>
  <si>
    <t>ネップラ</t>
    <phoneticPr fontId="1"/>
  </si>
  <si>
    <t>全通</t>
    <rPh sb="0" eb="2">
      <t>ゼンツウ</t>
    </rPh>
    <phoneticPr fontId="1"/>
  </si>
  <si>
    <t>全国通販</t>
    <rPh sb="0" eb="4">
      <t>ゼンコクツウハン</t>
    </rPh>
    <phoneticPr fontId="1"/>
  </si>
  <si>
    <t>全国通販</t>
    <rPh sb="0" eb="2">
      <t>ゼンコク</t>
    </rPh>
    <rPh sb="2" eb="4">
      <t>ツウハン</t>
    </rPh>
    <phoneticPr fontId="1"/>
  </si>
  <si>
    <t>JOD</t>
    <phoneticPr fontId="1"/>
  </si>
  <si>
    <t>コープきんき18号①</t>
    <rPh sb="8" eb="9">
      <t>ゴウ</t>
    </rPh>
    <phoneticPr fontId="1"/>
  </si>
  <si>
    <t>コープきんき18号② 直送</t>
    <rPh sb="8" eb="9">
      <t>ゴウ</t>
    </rPh>
    <rPh sb="11" eb="13">
      <t>チョクソウ</t>
    </rPh>
    <phoneticPr fontId="1"/>
  </si>
  <si>
    <t>日生協18号① 直送</t>
    <rPh sb="0" eb="3">
      <t>ニッセイキョウ</t>
    </rPh>
    <rPh sb="5" eb="6">
      <t>ゴウ</t>
    </rPh>
    <rPh sb="8" eb="10">
      <t>チョクソウ</t>
    </rPh>
    <phoneticPr fontId="1"/>
  </si>
  <si>
    <t>日生協18号② 直送</t>
    <rPh sb="0" eb="3">
      <t>ニッセイキョウ</t>
    </rPh>
    <rPh sb="5" eb="6">
      <t>ゴウ</t>
    </rPh>
    <rPh sb="8" eb="10">
      <t>チョクソウ</t>
    </rPh>
    <phoneticPr fontId="1"/>
  </si>
  <si>
    <t>コープきんき18号③ 直送</t>
    <rPh sb="8" eb="9">
      <t>ゴウ</t>
    </rPh>
    <rPh sb="11" eb="13">
      <t>チョクソウ</t>
    </rPh>
    <phoneticPr fontId="1"/>
  </si>
  <si>
    <t>日生協18号③直送</t>
    <rPh sb="0" eb="3">
      <t>ニッセイキョウ</t>
    </rPh>
    <rPh sb="5" eb="6">
      <t>ゴウ</t>
    </rPh>
    <rPh sb="7" eb="9">
      <t>チョクソウ</t>
    </rPh>
    <phoneticPr fontId="1"/>
  </si>
  <si>
    <t>コープきんき18号④</t>
    <rPh sb="8" eb="9">
      <t>ゴウ</t>
    </rPh>
    <phoneticPr fontId="1"/>
  </si>
  <si>
    <t>日生協21号①直送</t>
    <rPh sb="0" eb="2">
      <t>ニッセイ</t>
    </rPh>
    <rPh sb="2" eb="3">
      <t>キョウ</t>
    </rPh>
    <rPh sb="5" eb="6">
      <t>ゴウ</t>
    </rPh>
    <rPh sb="7" eb="9">
      <t>チョクソウ</t>
    </rPh>
    <phoneticPr fontId="1"/>
  </si>
  <si>
    <t>日生協21号②</t>
    <rPh sb="0" eb="2">
      <t>ニッセイ</t>
    </rPh>
    <rPh sb="2" eb="3">
      <t>キョウ</t>
    </rPh>
    <rPh sb="5" eb="6">
      <t>ゴウ</t>
    </rPh>
    <phoneticPr fontId="1"/>
  </si>
  <si>
    <t>日生協21号③直送</t>
    <rPh sb="0" eb="2">
      <t>ニッセイ</t>
    </rPh>
    <rPh sb="2" eb="3">
      <t>キョウ</t>
    </rPh>
    <rPh sb="5" eb="6">
      <t>ゴウ</t>
    </rPh>
    <rPh sb="7" eb="9">
      <t>チョクソウ</t>
    </rPh>
    <phoneticPr fontId="1"/>
  </si>
  <si>
    <t>日生協21号④直送</t>
    <rPh sb="0" eb="2">
      <t>ニッセイ</t>
    </rPh>
    <rPh sb="2" eb="3">
      <t>キョウ</t>
    </rPh>
    <rPh sb="5" eb="6">
      <t>ゴウ</t>
    </rPh>
    <rPh sb="7" eb="9">
      <t>チョクソウ</t>
    </rPh>
    <phoneticPr fontId="1"/>
  </si>
  <si>
    <t>修正分</t>
    <rPh sb="0" eb="2">
      <t>シュウセイ</t>
    </rPh>
    <rPh sb="2" eb="3">
      <t>ブン</t>
    </rPh>
    <phoneticPr fontId="1"/>
  </si>
  <si>
    <t>くらし企画返品</t>
    <rPh sb="3" eb="5">
      <t>キカク</t>
    </rPh>
    <rPh sb="5" eb="7">
      <t>ヘンピン</t>
    </rPh>
    <phoneticPr fontId="1"/>
  </si>
  <si>
    <t>マスダ増</t>
    <rPh sb="3" eb="4">
      <t>マ</t>
    </rPh>
    <phoneticPr fontId="1"/>
  </si>
  <si>
    <t>夢販</t>
    <phoneticPr fontId="1"/>
  </si>
  <si>
    <t>夢販</t>
    <phoneticPr fontId="1"/>
  </si>
  <si>
    <t>くらし返品</t>
    <rPh sb="3" eb="5">
      <t>ヘンピン</t>
    </rPh>
    <phoneticPr fontId="1"/>
  </si>
  <si>
    <t>夢販</t>
    <phoneticPr fontId="1"/>
  </si>
  <si>
    <t>夢販</t>
    <phoneticPr fontId="1"/>
  </si>
  <si>
    <t>夢販</t>
    <phoneticPr fontId="1"/>
  </si>
  <si>
    <t>夢販</t>
    <phoneticPr fontId="1"/>
  </si>
  <si>
    <t>夢販</t>
    <phoneticPr fontId="1"/>
  </si>
  <si>
    <t>JOD</t>
    <phoneticPr fontId="1"/>
  </si>
  <si>
    <t>マスダ増</t>
    <rPh sb="3" eb="4">
      <t>マス</t>
    </rPh>
    <phoneticPr fontId="1"/>
  </si>
  <si>
    <t>夢販</t>
    <phoneticPr fontId="1"/>
  </si>
  <si>
    <t>夢販</t>
    <phoneticPr fontId="1"/>
  </si>
  <si>
    <t>夢販</t>
    <phoneticPr fontId="1"/>
  </si>
  <si>
    <t>セシール返品</t>
    <rPh sb="4" eb="6">
      <t>ヘンピン</t>
    </rPh>
    <phoneticPr fontId="1"/>
  </si>
  <si>
    <t>夢販</t>
    <phoneticPr fontId="1"/>
  </si>
  <si>
    <t>JOD</t>
    <phoneticPr fontId="1"/>
  </si>
  <si>
    <t>セシール</t>
    <phoneticPr fontId="1"/>
  </si>
  <si>
    <t>夢販</t>
    <phoneticPr fontId="1"/>
  </si>
  <si>
    <t>JOD</t>
    <phoneticPr fontId="1"/>
  </si>
  <si>
    <t>夢販</t>
    <phoneticPr fontId="1"/>
  </si>
  <si>
    <t>夢販</t>
    <phoneticPr fontId="1"/>
  </si>
  <si>
    <t>夢販</t>
    <phoneticPr fontId="1"/>
  </si>
  <si>
    <t>夢販</t>
    <phoneticPr fontId="1"/>
  </si>
  <si>
    <t>スクロール</t>
    <phoneticPr fontId="1"/>
  </si>
  <si>
    <t>夢販</t>
    <phoneticPr fontId="1"/>
  </si>
  <si>
    <t>夢販</t>
    <phoneticPr fontId="1"/>
  </si>
  <si>
    <t>スクロール</t>
    <phoneticPr fontId="1"/>
  </si>
  <si>
    <t>ファイン</t>
    <phoneticPr fontId="1"/>
  </si>
  <si>
    <t>ファイン(サンネット）</t>
    <phoneticPr fontId="1"/>
  </si>
  <si>
    <t>ファイン（東都）</t>
    <rPh sb="5" eb="7">
      <t>トウト</t>
    </rPh>
    <phoneticPr fontId="1"/>
  </si>
  <si>
    <t>夢販</t>
    <phoneticPr fontId="1"/>
  </si>
  <si>
    <t>JOD返品</t>
    <rPh sb="3" eb="5">
      <t>ヘンピン</t>
    </rPh>
    <phoneticPr fontId="1"/>
  </si>
  <si>
    <t>高谷さんサンプル</t>
    <rPh sb="0" eb="2">
      <t>タカタニ</t>
    </rPh>
    <phoneticPr fontId="1"/>
  </si>
  <si>
    <t>コープきんき2014年03号①</t>
    <rPh sb="10" eb="11">
      <t>ネン</t>
    </rPh>
    <rPh sb="13" eb="14">
      <t>ゴウ</t>
    </rPh>
    <phoneticPr fontId="1"/>
  </si>
  <si>
    <t>コープきんき2014年03号②</t>
    <rPh sb="10" eb="11">
      <t>ネン</t>
    </rPh>
    <rPh sb="13" eb="14">
      <t>ゴウ</t>
    </rPh>
    <phoneticPr fontId="1"/>
  </si>
  <si>
    <t>コープきんき2014年03号③</t>
    <rPh sb="10" eb="11">
      <t>ネン</t>
    </rPh>
    <rPh sb="13" eb="14">
      <t>ゴウ</t>
    </rPh>
    <phoneticPr fontId="1"/>
  </si>
  <si>
    <t>コープきんき2014年03号④</t>
    <rPh sb="10" eb="11">
      <t>ネン</t>
    </rPh>
    <rPh sb="13" eb="14">
      <t>ゴウ</t>
    </rPh>
    <phoneticPr fontId="1"/>
  </si>
  <si>
    <t>夢販</t>
    <phoneticPr fontId="1"/>
  </si>
  <si>
    <t>夢販</t>
    <phoneticPr fontId="1"/>
  </si>
  <si>
    <t>日生協2014年6号①　</t>
    <rPh sb="0" eb="3">
      <t>ニッセイキョウ</t>
    </rPh>
    <rPh sb="7" eb="8">
      <t>ネン</t>
    </rPh>
    <rPh sb="9" eb="10">
      <t>ゴウ</t>
    </rPh>
    <phoneticPr fontId="1"/>
  </si>
  <si>
    <t>ファイン（サンネット）</t>
    <phoneticPr fontId="1"/>
  </si>
  <si>
    <t>夢販</t>
    <phoneticPr fontId="1"/>
  </si>
  <si>
    <t>夢販</t>
    <phoneticPr fontId="1"/>
  </si>
  <si>
    <t>ファイン（サンネット）</t>
    <phoneticPr fontId="1"/>
  </si>
  <si>
    <t>夢販</t>
    <phoneticPr fontId="1"/>
  </si>
  <si>
    <t>日生協2014年6号②　</t>
    <rPh sb="0" eb="3">
      <t>ニッセイキョウ</t>
    </rPh>
    <rPh sb="7" eb="8">
      <t>ネン</t>
    </rPh>
    <rPh sb="9" eb="10">
      <t>ゴウ</t>
    </rPh>
    <phoneticPr fontId="1"/>
  </si>
  <si>
    <t>日生協2014年6号③　</t>
    <rPh sb="0" eb="3">
      <t>ニッセイキョウ</t>
    </rPh>
    <rPh sb="7" eb="8">
      <t>ネン</t>
    </rPh>
    <rPh sb="9" eb="10">
      <t>ゴウ</t>
    </rPh>
    <phoneticPr fontId="1"/>
  </si>
  <si>
    <t>夢販</t>
    <phoneticPr fontId="1"/>
  </si>
  <si>
    <t>夢販</t>
    <phoneticPr fontId="1"/>
  </si>
  <si>
    <t>日生協2014年6号④</t>
    <rPh sb="0" eb="3">
      <t>ニッセイキョウ</t>
    </rPh>
    <rPh sb="7" eb="8">
      <t>ネン</t>
    </rPh>
    <rPh sb="9" eb="10">
      <t>ゴウ</t>
    </rPh>
    <phoneticPr fontId="1"/>
  </si>
  <si>
    <t>スクロール</t>
    <phoneticPr fontId="1"/>
  </si>
  <si>
    <t>夢販</t>
    <phoneticPr fontId="1"/>
  </si>
  <si>
    <t>ファインサンプル返却</t>
    <rPh sb="8" eb="10">
      <t>ヘンキャク</t>
    </rPh>
    <phoneticPr fontId="1"/>
  </si>
  <si>
    <t>夢販</t>
    <phoneticPr fontId="1"/>
  </si>
  <si>
    <t>夢販</t>
    <phoneticPr fontId="1"/>
  </si>
  <si>
    <t>JOD</t>
    <phoneticPr fontId="1"/>
  </si>
  <si>
    <t>夢販</t>
    <phoneticPr fontId="1"/>
  </si>
  <si>
    <t>ファイン（サンネット）</t>
    <phoneticPr fontId="1"/>
  </si>
  <si>
    <t>ファイン（サンネット）</t>
    <phoneticPr fontId="1"/>
  </si>
  <si>
    <t>夢販</t>
    <phoneticPr fontId="1"/>
  </si>
  <si>
    <t>ファイン（山忠）</t>
    <rPh sb="5" eb="6">
      <t>ヤマ</t>
    </rPh>
    <rPh sb="6" eb="7">
      <t>タダ</t>
    </rPh>
    <phoneticPr fontId="1"/>
  </si>
  <si>
    <t>ファイン（サンネット）</t>
    <phoneticPr fontId="1"/>
  </si>
  <si>
    <t>セシール</t>
    <phoneticPr fontId="1"/>
  </si>
  <si>
    <t>ファイン（サンネット・東都）</t>
    <rPh sb="11" eb="13">
      <t>トウト</t>
    </rPh>
    <phoneticPr fontId="1"/>
  </si>
  <si>
    <t>JOD</t>
    <phoneticPr fontId="1"/>
  </si>
  <si>
    <t>スクロール</t>
    <phoneticPr fontId="1"/>
  </si>
  <si>
    <t>JOD</t>
    <phoneticPr fontId="1"/>
  </si>
  <si>
    <t>夢販</t>
    <phoneticPr fontId="1"/>
  </si>
  <si>
    <t>ネップラ</t>
    <phoneticPr fontId="1"/>
  </si>
  <si>
    <t>夢販</t>
    <phoneticPr fontId="1"/>
  </si>
  <si>
    <t>JOD</t>
    <phoneticPr fontId="1"/>
  </si>
  <si>
    <t>夢販</t>
    <phoneticPr fontId="1"/>
  </si>
  <si>
    <t>ファイン（サンネット）</t>
    <phoneticPr fontId="1"/>
  </si>
  <si>
    <t>日生協15号①</t>
    <rPh sb="0" eb="3">
      <t>ニッセイキョウ</t>
    </rPh>
    <rPh sb="5" eb="6">
      <t>ゴウ</t>
    </rPh>
    <phoneticPr fontId="1"/>
  </si>
  <si>
    <t>ファイン( 札幌/サンネット)</t>
    <rPh sb="6" eb="8">
      <t>サッポロ</t>
    </rPh>
    <phoneticPr fontId="1"/>
  </si>
  <si>
    <t>くらし日生協直送</t>
    <rPh sb="3" eb="6">
      <t>ニッセイキョウ</t>
    </rPh>
    <rPh sb="6" eb="8">
      <t>チョクソウ</t>
    </rPh>
    <phoneticPr fontId="1"/>
  </si>
  <si>
    <t>夢販</t>
    <phoneticPr fontId="1"/>
  </si>
  <si>
    <t>夢販</t>
    <phoneticPr fontId="1"/>
  </si>
  <si>
    <t>夢販</t>
    <phoneticPr fontId="1"/>
  </si>
  <si>
    <t>日生協2014年15号②</t>
    <rPh sb="0" eb="3">
      <t>ニッセイキョウ</t>
    </rPh>
    <rPh sb="7" eb="8">
      <t>ネン</t>
    </rPh>
    <rPh sb="10" eb="11">
      <t>ゴウ</t>
    </rPh>
    <phoneticPr fontId="1"/>
  </si>
  <si>
    <t>日生協2014年15号③</t>
    <rPh sb="0" eb="3">
      <t>ニッセイキョウ</t>
    </rPh>
    <rPh sb="7" eb="8">
      <t>ネン</t>
    </rPh>
    <rPh sb="10" eb="11">
      <t>ゴウ</t>
    </rPh>
    <phoneticPr fontId="1"/>
  </si>
  <si>
    <t>日生協2014年15号④</t>
    <rPh sb="0" eb="3">
      <t>ニッセイキョウ</t>
    </rPh>
    <rPh sb="7" eb="8">
      <t>ネン</t>
    </rPh>
    <rPh sb="10" eb="11">
      <t>ゴウ</t>
    </rPh>
    <phoneticPr fontId="1"/>
  </si>
  <si>
    <t>日生協2014年15号⑤</t>
    <rPh sb="0" eb="3">
      <t>ニッセイキョウ</t>
    </rPh>
    <rPh sb="7" eb="8">
      <t>ネン</t>
    </rPh>
    <rPh sb="10" eb="11">
      <t>ゴウ</t>
    </rPh>
    <phoneticPr fontId="1"/>
  </si>
  <si>
    <t>コープきんき7月1回①</t>
    <rPh sb="7" eb="8">
      <t>ガツ</t>
    </rPh>
    <rPh sb="9" eb="10">
      <t>カイ</t>
    </rPh>
    <phoneticPr fontId="1"/>
  </si>
  <si>
    <t>日生協2014年15号⑥</t>
    <rPh sb="0" eb="3">
      <t>ニッセイキョウ</t>
    </rPh>
    <rPh sb="7" eb="8">
      <t>ネン</t>
    </rPh>
    <rPh sb="10" eb="11">
      <t>ゴウ</t>
    </rPh>
    <phoneticPr fontId="1"/>
  </si>
  <si>
    <t>パル（丸藤）10月点検用</t>
    <rPh sb="3" eb="5">
      <t>マルフジ</t>
    </rPh>
    <rPh sb="8" eb="9">
      <t>ガツ</t>
    </rPh>
    <rPh sb="9" eb="12">
      <t>テンケンヨウ</t>
    </rPh>
    <phoneticPr fontId="1"/>
  </si>
  <si>
    <t>日生協2014年15号⑦</t>
    <rPh sb="0" eb="3">
      <t>ニッセイキョウ</t>
    </rPh>
    <rPh sb="7" eb="8">
      <t>ネン</t>
    </rPh>
    <rPh sb="10" eb="11">
      <t>ゴウ</t>
    </rPh>
    <phoneticPr fontId="1"/>
  </si>
  <si>
    <t>夢販</t>
    <phoneticPr fontId="1"/>
  </si>
  <si>
    <t>コープきんき7月1回②</t>
    <rPh sb="7" eb="8">
      <t>ガツ</t>
    </rPh>
    <rPh sb="9" eb="10">
      <t>カイ</t>
    </rPh>
    <phoneticPr fontId="1"/>
  </si>
  <si>
    <t>夢販</t>
    <phoneticPr fontId="1"/>
  </si>
  <si>
    <t>日生協2014年15号⑧</t>
    <rPh sb="0" eb="3">
      <t>ニッセイキョウ</t>
    </rPh>
    <rPh sb="7" eb="8">
      <t>ネン</t>
    </rPh>
    <rPh sb="10" eb="11">
      <t>ゴウ</t>
    </rPh>
    <phoneticPr fontId="1"/>
  </si>
  <si>
    <t>コープきんき7月1回③</t>
    <phoneticPr fontId="1"/>
  </si>
  <si>
    <t>セルフ大西</t>
    <rPh sb="3" eb="5">
      <t>オオニシ</t>
    </rPh>
    <phoneticPr fontId="1"/>
  </si>
  <si>
    <t>夢販</t>
    <phoneticPr fontId="1"/>
  </si>
  <si>
    <t>夢販</t>
    <phoneticPr fontId="1"/>
  </si>
  <si>
    <t>日生協2014年15号⑨</t>
    <rPh sb="0" eb="3">
      <t>ニッセイキョウ</t>
    </rPh>
    <rPh sb="7" eb="8">
      <t>ネン</t>
    </rPh>
    <rPh sb="10" eb="11">
      <t>ゴウ</t>
    </rPh>
    <phoneticPr fontId="1"/>
  </si>
  <si>
    <t>夢販</t>
    <phoneticPr fontId="1"/>
  </si>
  <si>
    <t>スクロール</t>
    <phoneticPr fontId="1"/>
  </si>
  <si>
    <t>JOD</t>
    <phoneticPr fontId="1"/>
  </si>
  <si>
    <t>日生協2014年15号⑩</t>
    <rPh sb="0" eb="3">
      <t>ニッセイキョウ</t>
    </rPh>
    <rPh sb="7" eb="8">
      <t>ネン</t>
    </rPh>
    <rPh sb="10" eb="11">
      <t>ゴウ</t>
    </rPh>
    <phoneticPr fontId="1"/>
  </si>
  <si>
    <t>日生協2014年15号⑪</t>
    <rPh sb="0" eb="3">
      <t>ニッセイキョウ</t>
    </rPh>
    <rPh sb="7" eb="8">
      <t>ネン</t>
    </rPh>
    <rPh sb="10" eb="11">
      <t>ゴウ</t>
    </rPh>
    <phoneticPr fontId="1"/>
  </si>
  <si>
    <t>夢販</t>
    <phoneticPr fontId="1"/>
  </si>
  <si>
    <t>日生協2014年15号⑫</t>
    <phoneticPr fontId="1"/>
  </si>
  <si>
    <t>夢版</t>
    <rPh sb="0" eb="2">
      <t>ユメハン</t>
    </rPh>
    <phoneticPr fontId="1"/>
  </si>
  <si>
    <t>夢販</t>
    <phoneticPr fontId="1"/>
  </si>
  <si>
    <t>JOD</t>
    <phoneticPr fontId="1"/>
  </si>
  <si>
    <t>夢販</t>
    <phoneticPr fontId="1"/>
  </si>
  <si>
    <t>セシール</t>
    <phoneticPr fontId="1"/>
  </si>
  <si>
    <t>夢販</t>
    <phoneticPr fontId="1"/>
  </si>
  <si>
    <t>ファイン（サンネット）</t>
    <phoneticPr fontId="1"/>
  </si>
  <si>
    <t>JOD</t>
    <phoneticPr fontId="1"/>
  </si>
  <si>
    <t>ファイン</t>
    <phoneticPr fontId="1"/>
  </si>
  <si>
    <t>夢販</t>
    <phoneticPr fontId="1"/>
  </si>
  <si>
    <t>夢販</t>
    <phoneticPr fontId="1"/>
  </si>
  <si>
    <t>ファイン</t>
    <phoneticPr fontId="1"/>
  </si>
  <si>
    <t>ネット</t>
    <phoneticPr fontId="1"/>
  </si>
  <si>
    <t>JOD</t>
    <phoneticPr fontId="1"/>
  </si>
  <si>
    <t>日生協2014年19号②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</si>
  <si>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日生協2014年19号①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</si>
  <si>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日生協2014年19号③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</si>
  <si>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日生協2014年19号④</t>
    <phoneticPr fontId="1"/>
  </si>
  <si>
    <t>JOD</t>
    <phoneticPr fontId="1"/>
  </si>
  <si>
    <t>ファイン(東都)</t>
    <rPh sb="5" eb="7">
      <t>トウト</t>
    </rPh>
    <phoneticPr fontId="1"/>
  </si>
  <si>
    <t>ネット</t>
    <phoneticPr fontId="1"/>
  </si>
  <si>
    <t>日生協2014年19号⑤</t>
    <phoneticPr fontId="1"/>
  </si>
  <si>
    <t>ネット</t>
    <phoneticPr fontId="1"/>
  </si>
  <si>
    <t>くらし直送</t>
    <rPh sb="3" eb="5">
      <t>チョクソウ</t>
    </rPh>
    <phoneticPr fontId="1"/>
  </si>
  <si>
    <t>ネット</t>
    <phoneticPr fontId="1"/>
  </si>
  <si>
    <t>ファイン</t>
    <phoneticPr fontId="1"/>
  </si>
  <si>
    <t>JOD</t>
    <phoneticPr fontId="1"/>
  </si>
  <si>
    <t>ファイン（サンネット）</t>
    <phoneticPr fontId="1"/>
  </si>
  <si>
    <t>セシール</t>
    <phoneticPr fontId="1"/>
  </si>
  <si>
    <t>JOD</t>
    <phoneticPr fontId="1"/>
  </si>
  <si>
    <t>ネット</t>
    <phoneticPr fontId="1"/>
  </si>
  <si>
    <t>JOD</t>
    <phoneticPr fontId="1"/>
  </si>
  <si>
    <t>スクロール</t>
    <phoneticPr fontId="1"/>
  </si>
  <si>
    <t>セシール</t>
  </si>
  <si>
    <t>ネット</t>
    <phoneticPr fontId="1"/>
  </si>
  <si>
    <t>ネット</t>
    <phoneticPr fontId="1"/>
  </si>
  <si>
    <t>JOD</t>
    <phoneticPr fontId="1"/>
  </si>
  <si>
    <t>（袋入れ）</t>
    <rPh sb="1" eb="3">
      <t>フクロイ</t>
    </rPh>
    <phoneticPr fontId="1"/>
  </si>
  <si>
    <t>ネット</t>
    <phoneticPr fontId="1"/>
  </si>
  <si>
    <t>JOD</t>
    <phoneticPr fontId="1"/>
  </si>
  <si>
    <t>ファイン（サンネット）</t>
    <phoneticPr fontId="1"/>
  </si>
  <si>
    <t>コープCSネット(9月2回)①</t>
    <rPh sb="10" eb="11">
      <t>ガツ</t>
    </rPh>
    <rPh sb="12" eb="13">
      <t>カイ</t>
    </rPh>
    <phoneticPr fontId="1"/>
  </si>
  <si>
    <t>ネップラ</t>
    <phoneticPr fontId="1"/>
  </si>
  <si>
    <t>コープCSネット(9月2回)②</t>
    <rPh sb="10" eb="11">
      <t>ガツ</t>
    </rPh>
    <rPh sb="12" eb="13">
      <t>カイ</t>
    </rPh>
    <phoneticPr fontId="1"/>
  </si>
  <si>
    <t>セシール</t>
    <phoneticPr fontId="1"/>
  </si>
  <si>
    <t>ネット</t>
  </si>
  <si>
    <t>JOD</t>
    <phoneticPr fontId="1"/>
  </si>
  <si>
    <t>ネット</t>
    <phoneticPr fontId="1"/>
  </si>
  <si>
    <t>ファイン返品</t>
    <rPh sb="4" eb="6">
      <t>ヘンピン</t>
    </rPh>
    <phoneticPr fontId="1"/>
  </si>
  <si>
    <t>セシール</t>
    <phoneticPr fontId="1"/>
  </si>
  <si>
    <t>ネット</t>
    <phoneticPr fontId="1"/>
  </si>
  <si>
    <t>ベルーナ第3サンプル</t>
    <rPh sb="4" eb="5">
      <t>ダイ</t>
    </rPh>
    <phoneticPr fontId="1"/>
  </si>
  <si>
    <t>ネット</t>
    <phoneticPr fontId="1"/>
  </si>
  <si>
    <t>ネット</t>
    <phoneticPr fontId="1"/>
  </si>
  <si>
    <t>ファイン（さっぽろ）</t>
    <phoneticPr fontId="1"/>
  </si>
  <si>
    <t>パル10月3回（丸藤）①</t>
    <rPh sb="4" eb="5">
      <t>ガツ</t>
    </rPh>
    <rPh sb="6" eb="7">
      <t>カイ</t>
    </rPh>
    <rPh sb="8" eb="10">
      <t>マルフジ</t>
    </rPh>
    <phoneticPr fontId="1"/>
  </si>
  <si>
    <t>パル10月3回（丸藤）②</t>
    <rPh sb="4" eb="5">
      <t>ガツ</t>
    </rPh>
    <rPh sb="6" eb="7">
      <t>カイ</t>
    </rPh>
    <rPh sb="8" eb="10">
      <t>マルフジ</t>
    </rPh>
    <phoneticPr fontId="1"/>
  </si>
  <si>
    <t>ネット</t>
    <phoneticPr fontId="1"/>
  </si>
  <si>
    <t>スクロール</t>
    <phoneticPr fontId="1"/>
  </si>
  <si>
    <t>JOD</t>
    <phoneticPr fontId="1"/>
  </si>
  <si>
    <t>ネット</t>
    <phoneticPr fontId="1"/>
  </si>
  <si>
    <t>くらしサンプル</t>
    <phoneticPr fontId="1"/>
  </si>
  <si>
    <t>ネット</t>
    <phoneticPr fontId="1"/>
  </si>
  <si>
    <t>ネット</t>
    <phoneticPr fontId="1"/>
  </si>
  <si>
    <t>ネット</t>
    <phoneticPr fontId="1"/>
  </si>
  <si>
    <t>丸藤返品</t>
    <rPh sb="0" eb="4">
      <t>マルフジヘンピン</t>
    </rPh>
    <phoneticPr fontId="1"/>
  </si>
  <si>
    <t>JOD</t>
    <phoneticPr fontId="1"/>
  </si>
  <si>
    <t>JOD</t>
    <phoneticPr fontId="1"/>
  </si>
  <si>
    <t>ネット</t>
    <phoneticPr fontId="1"/>
  </si>
  <si>
    <t>ネット</t>
    <phoneticPr fontId="1"/>
  </si>
  <si>
    <t>くらし東京サンプル</t>
    <rPh sb="3" eb="5">
      <t>トウキョウ</t>
    </rPh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</si>
  <si>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</si>
  <si>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</si>
  <si>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</si>
  <si>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</si>
  <si>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</si>
  <si>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コープ九州3月4回①</t>
    <phoneticPr fontId="1"/>
  </si>
  <si>
    <t>コープ九州3月4回②</t>
    <phoneticPr fontId="1"/>
  </si>
  <si>
    <t>コープきんき4号①</t>
    <rPh sb="7" eb="8">
      <t>ゴウ</t>
    </rPh>
    <phoneticPr fontId="1"/>
  </si>
  <si>
    <t>丸藤（ユーコープ）sample</t>
    <rPh sb="0" eb="2">
      <t>マルフジ</t>
    </rPh>
    <phoneticPr fontId="1"/>
  </si>
  <si>
    <t>CSネット4月4回①</t>
    <rPh sb="6" eb="7">
      <t>ガツ</t>
    </rPh>
    <rPh sb="8" eb="9">
      <t>カイ</t>
    </rPh>
    <phoneticPr fontId="1"/>
  </si>
  <si>
    <t>ネット</t>
    <phoneticPr fontId="1"/>
  </si>
  <si>
    <t>JOD</t>
    <phoneticPr fontId="1"/>
  </si>
  <si>
    <t>JOD</t>
    <phoneticPr fontId="1"/>
  </si>
  <si>
    <t>ネット</t>
    <phoneticPr fontId="1"/>
  </si>
  <si>
    <t>日生協6号①</t>
    <phoneticPr fontId="1"/>
  </si>
  <si>
    <t>ネット</t>
    <phoneticPr fontId="1"/>
  </si>
  <si>
    <t>コープきんき4号②</t>
    <phoneticPr fontId="1"/>
  </si>
  <si>
    <t>ネット</t>
    <phoneticPr fontId="1"/>
  </si>
  <si>
    <t>コープきんき4号③</t>
    <phoneticPr fontId="1"/>
  </si>
  <si>
    <t>JOD</t>
    <phoneticPr fontId="1"/>
  </si>
  <si>
    <t>ネット</t>
    <phoneticPr fontId="1"/>
  </si>
  <si>
    <t>ネット</t>
    <phoneticPr fontId="1"/>
  </si>
  <si>
    <t>丸藤（ユーコープ）sample返却</t>
    <rPh sb="0" eb="2">
      <t>マルフジ</t>
    </rPh>
    <rPh sb="15" eb="17">
      <t>ヘンキャク</t>
    </rPh>
    <phoneticPr fontId="1"/>
  </si>
  <si>
    <t>ネット</t>
    <phoneticPr fontId="1"/>
  </si>
  <si>
    <t>日生協6号②</t>
    <phoneticPr fontId="1"/>
  </si>
  <si>
    <t>コープきんき10号①</t>
    <rPh sb="8" eb="9">
      <t>ゴウ</t>
    </rPh>
    <phoneticPr fontId="1"/>
  </si>
  <si>
    <t>ネット</t>
    <phoneticPr fontId="1"/>
  </si>
  <si>
    <t>JOD</t>
    <phoneticPr fontId="1"/>
  </si>
  <si>
    <t>JOD</t>
    <phoneticPr fontId="1"/>
  </si>
  <si>
    <t>コープCSネット6月1回①</t>
    <rPh sb="9" eb="10">
      <t>ガツ</t>
    </rPh>
    <rPh sb="11" eb="12">
      <t>カイ</t>
    </rPh>
    <phoneticPr fontId="1"/>
  </si>
  <si>
    <t>JOD</t>
    <phoneticPr fontId="1"/>
  </si>
  <si>
    <t>ファイン（先取り）</t>
    <rPh sb="5" eb="7">
      <t>サキド</t>
    </rPh>
    <phoneticPr fontId="1"/>
  </si>
  <si>
    <t>ネット</t>
    <phoneticPr fontId="1"/>
  </si>
  <si>
    <t>コープきんき10号②</t>
    <rPh sb="8" eb="9">
      <t>ゴウ</t>
    </rPh>
    <phoneticPr fontId="1"/>
  </si>
  <si>
    <t>ネット</t>
    <phoneticPr fontId="1"/>
  </si>
  <si>
    <t>日生協14号特価798①</t>
    <rPh sb="0" eb="2">
      <t>ニッセイ</t>
    </rPh>
    <rPh sb="2" eb="3">
      <t>キョウ</t>
    </rPh>
    <rPh sb="5" eb="6">
      <t>ゴウ</t>
    </rPh>
    <rPh sb="6" eb="8">
      <t>トッカ</t>
    </rPh>
    <phoneticPr fontId="1"/>
  </si>
  <si>
    <t>ライフサポート2P</t>
    <phoneticPr fontId="1"/>
  </si>
  <si>
    <t>ネット</t>
    <phoneticPr fontId="1"/>
  </si>
  <si>
    <t>コープCSネット6月1回②</t>
    <rPh sb="9" eb="10">
      <t>ガツ</t>
    </rPh>
    <rPh sb="11" eb="12">
      <t>カイ</t>
    </rPh>
    <phoneticPr fontId="1"/>
  </si>
  <si>
    <t>ネット</t>
    <phoneticPr fontId="1"/>
  </si>
  <si>
    <t>JOD</t>
    <phoneticPr fontId="1"/>
  </si>
  <si>
    <t>ネット</t>
    <phoneticPr fontId="1"/>
  </si>
  <si>
    <t>ネット</t>
    <phoneticPr fontId="1"/>
  </si>
  <si>
    <t>日生協14号特価798②</t>
    <rPh sb="0" eb="2">
      <t>ニッセイ</t>
    </rPh>
    <rPh sb="2" eb="3">
      <t>キョウ</t>
    </rPh>
    <rPh sb="5" eb="6">
      <t>ゴウ</t>
    </rPh>
    <rPh sb="6" eb="8">
      <t>トッカ</t>
    </rPh>
    <phoneticPr fontId="1"/>
  </si>
  <si>
    <t>ネット</t>
    <phoneticPr fontId="1"/>
  </si>
  <si>
    <t>日生協14号特価798③</t>
    <phoneticPr fontId="1"/>
  </si>
  <si>
    <t>日生協14号特価798④</t>
    <phoneticPr fontId="1"/>
  </si>
  <si>
    <t>ネット</t>
    <phoneticPr fontId="1"/>
  </si>
  <si>
    <t>日生協14号特価798⑤</t>
    <phoneticPr fontId="1"/>
  </si>
  <si>
    <t>日生協14号特価798⑥</t>
    <phoneticPr fontId="1"/>
  </si>
  <si>
    <t>日生協14号特価798⑦</t>
    <phoneticPr fontId="1"/>
  </si>
  <si>
    <t>JOD</t>
    <phoneticPr fontId="1"/>
  </si>
  <si>
    <t>ネット</t>
    <phoneticPr fontId="1"/>
  </si>
  <si>
    <t>日生協14号特価798⑧</t>
    <phoneticPr fontId="1"/>
  </si>
  <si>
    <t>ネット</t>
    <phoneticPr fontId="1"/>
  </si>
  <si>
    <t>日生協14号特価798⑨直送</t>
    <rPh sb="12" eb="14">
      <t>チョクソウ</t>
    </rPh>
    <phoneticPr fontId="1"/>
  </si>
  <si>
    <t>コープきんき17号特価900①</t>
    <phoneticPr fontId="1"/>
  </si>
  <si>
    <t>ライフサポート2P</t>
    <phoneticPr fontId="1"/>
  </si>
  <si>
    <t>ファイン（さっぽろ）</t>
    <phoneticPr fontId="1"/>
  </si>
  <si>
    <t>夢販</t>
    <phoneticPr fontId="1"/>
  </si>
  <si>
    <t>ネット</t>
    <phoneticPr fontId="1"/>
  </si>
  <si>
    <t>マスダ増</t>
    <phoneticPr fontId="1"/>
  </si>
  <si>
    <t>日生協14号特価798⑩直送</t>
    <rPh sb="12" eb="14">
      <t>チョクソウ</t>
    </rPh>
    <phoneticPr fontId="1"/>
  </si>
  <si>
    <t>ファイン東都8月1回</t>
    <rPh sb="4" eb="6">
      <t>トウト</t>
    </rPh>
    <rPh sb="7" eb="8">
      <t>ガツ</t>
    </rPh>
    <rPh sb="9" eb="10">
      <t>カイ</t>
    </rPh>
    <phoneticPr fontId="1"/>
  </si>
  <si>
    <t>ネット</t>
    <phoneticPr fontId="1"/>
  </si>
  <si>
    <t>JOD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</si>
  <si>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</si>
  <si>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</si>
  <si>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</si>
  <si>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</si>
  <si>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</si>
  <si>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</si>
  <si>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</si>
  <si>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日生協20号特価880①</t>
    <phoneticPr fontId="1"/>
  </si>
  <si>
    <t>ネット</t>
    <phoneticPr fontId="1"/>
  </si>
  <si>
    <t>コープきんき17号特価900②</t>
    <rPh sb="8" eb="9">
      <t>ゴウ</t>
    </rPh>
    <rPh sb="9" eb="11">
      <t>トッカ</t>
    </rPh>
    <phoneticPr fontId="1"/>
  </si>
  <si>
    <t>コープきんき17号特価900③</t>
    <rPh sb="8" eb="9">
      <t>ゴウ</t>
    </rPh>
    <rPh sb="9" eb="11">
      <t>トッカ</t>
    </rPh>
    <phoneticPr fontId="1"/>
  </si>
  <si>
    <t>ネット</t>
    <phoneticPr fontId="1"/>
  </si>
  <si>
    <t>JOD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</si>
  <si>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</si>
  <si>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</si>
  <si>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</si>
  <si>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</si>
  <si>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</si>
  <si>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ファイン（東都9月2回）</t>
    <rPh sb="5" eb="7">
      <t>トウト</t>
    </rPh>
    <rPh sb="8" eb="9">
      <t>ガツ</t>
    </rPh>
    <rPh sb="10" eb="11">
      <t>カイ</t>
    </rPh>
    <phoneticPr fontId="1"/>
  </si>
  <si>
    <t>ネット</t>
    <phoneticPr fontId="1"/>
  </si>
  <si>
    <t>日生協20号特価880②</t>
    <rPh sb="0" eb="2">
      <t>ニッセイ</t>
    </rPh>
    <rPh sb="2" eb="3">
      <t>キョウ</t>
    </rPh>
    <rPh sb="5" eb="6">
      <t>ゴウ</t>
    </rPh>
    <rPh sb="6" eb="8">
      <t>トッカ</t>
    </rPh>
    <phoneticPr fontId="1"/>
  </si>
  <si>
    <t>日生協20号特価880③</t>
    <rPh sb="0" eb="2">
      <t>ニッセイ</t>
    </rPh>
    <rPh sb="2" eb="3">
      <t>キョウ</t>
    </rPh>
    <rPh sb="5" eb="6">
      <t>ゴウ</t>
    </rPh>
    <rPh sb="6" eb="8">
      <t>トッカ</t>
    </rPh>
    <phoneticPr fontId="1"/>
  </si>
  <si>
    <t>日生協20号特価880④</t>
    <rPh sb="0" eb="2">
      <t>ニッセイ</t>
    </rPh>
    <rPh sb="2" eb="3">
      <t>キョウ</t>
    </rPh>
    <rPh sb="5" eb="6">
      <t>ゴウ</t>
    </rPh>
    <rPh sb="6" eb="8">
      <t>トッカ</t>
    </rPh>
    <phoneticPr fontId="1"/>
  </si>
  <si>
    <t>夢販（封筒）</t>
    <rPh sb="0" eb="1">
      <t>ユメ</t>
    </rPh>
    <rPh sb="1" eb="2">
      <t>ハン</t>
    </rPh>
    <rPh sb="3" eb="5">
      <t>フウトウ</t>
    </rPh>
    <phoneticPr fontId="1"/>
  </si>
  <si>
    <t>（封筒）</t>
    <rPh sb="1" eb="3">
      <t>フウトウ</t>
    </rPh>
    <phoneticPr fontId="1"/>
  </si>
  <si>
    <t>ネット</t>
    <phoneticPr fontId="1"/>
  </si>
  <si>
    <t>日生協20号特価880⑤</t>
    <rPh sb="0" eb="2">
      <t>ニッセイ</t>
    </rPh>
    <rPh sb="2" eb="3">
      <t>キョウ</t>
    </rPh>
    <rPh sb="5" eb="6">
      <t>ゴウ</t>
    </rPh>
    <rPh sb="6" eb="8">
      <t>トッカ</t>
    </rPh>
    <phoneticPr fontId="1"/>
  </si>
  <si>
    <t>ネット</t>
    <phoneticPr fontId="1"/>
  </si>
  <si>
    <t>日生協2３号特価880①</t>
    <rPh sb="0" eb="2">
      <t>ニッセイ</t>
    </rPh>
    <rPh sb="2" eb="3">
      <t>キョウ</t>
    </rPh>
    <rPh sb="5" eb="6">
      <t>ゴウ</t>
    </rPh>
    <rPh sb="6" eb="8">
      <t>トッカ</t>
    </rPh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</si>
  <si>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</si>
  <si>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</si>
  <si>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</si>
  <si>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</si>
  <si>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</si>
  <si>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</si>
  <si>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JOD</t>
    <phoneticPr fontId="1"/>
  </si>
  <si>
    <t>ネット</t>
    <phoneticPr fontId="1"/>
  </si>
  <si>
    <t>ネット</t>
    <phoneticPr fontId="1"/>
  </si>
  <si>
    <t>日生協2３号特価880②</t>
    <rPh sb="0" eb="2">
      <t>ニッセイ</t>
    </rPh>
    <rPh sb="2" eb="3">
      <t>キョウ</t>
    </rPh>
    <rPh sb="5" eb="6">
      <t>ゴウ</t>
    </rPh>
    <rPh sb="6" eb="8">
      <t>トッカ</t>
    </rPh>
    <phoneticPr fontId="1"/>
  </si>
  <si>
    <t>封筒入り分2900P（2015/8/27）</t>
    <rPh sb="0" eb="3">
      <t>フウトウイ</t>
    </rPh>
    <rPh sb="4" eb="5">
      <t>ブン</t>
    </rPh>
    <phoneticPr fontId="1"/>
  </si>
  <si>
    <t>ネット</t>
    <phoneticPr fontId="1"/>
  </si>
  <si>
    <t>ライフサポート2P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</si>
  <si>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</si>
  <si>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</si>
  <si>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</si>
  <si>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</si>
  <si>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</si>
  <si>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</si>
  <si>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</si>
  <si>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ライフサポート2P</t>
    <phoneticPr fontId="1"/>
  </si>
  <si>
    <t>ネット</t>
    <phoneticPr fontId="1"/>
  </si>
  <si>
    <t>ネット</t>
    <phoneticPr fontId="1"/>
  </si>
  <si>
    <t>ネット</t>
    <phoneticPr fontId="1"/>
  </si>
  <si>
    <t>日生協　兵藤様</t>
    <rPh sb="0" eb="3">
      <t>ニッセイキョウ</t>
    </rPh>
    <rPh sb="4" eb="6">
      <t>ヒョウドウ</t>
    </rPh>
    <rPh sb="6" eb="7">
      <t>サマ</t>
    </rPh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</si>
  <si>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</si>
  <si>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</si>
  <si>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</si>
  <si>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</si>
  <si>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</si>
  <si>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JOD</t>
    <phoneticPr fontId="1"/>
  </si>
  <si>
    <t>ネット</t>
    <phoneticPr fontId="1"/>
  </si>
  <si>
    <t>ネット</t>
    <phoneticPr fontId="1"/>
  </si>
  <si>
    <t>ネット</t>
    <phoneticPr fontId="1"/>
  </si>
  <si>
    <t>JOD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</si>
  <si>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</si>
  <si>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</si>
  <si>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</si>
  <si>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</si>
  <si>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日生協17号</t>
    <rPh sb="0" eb="3">
      <t>ニッセイキョウ</t>
    </rPh>
    <rPh sb="5" eb="6">
      <t>ゴウ</t>
    </rPh>
    <phoneticPr fontId="1"/>
  </si>
  <si>
    <t>ネット</t>
    <phoneticPr fontId="1"/>
  </si>
  <si>
    <t>コープCS（5月4回）</t>
    <rPh sb="7" eb="8">
      <t>ガツ</t>
    </rPh>
    <rPh sb="9" eb="10">
      <t>カイ</t>
    </rPh>
    <phoneticPr fontId="1"/>
  </si>
  <si>
    <t>日生協20号</t>
    <rPh sb="0" eb="3">
      <t>ニッセイキョウ</t>
    </rPh>
    <rPh sb="5" eb="6">
      <t>ゴウ</t>
    </rPh>
    <phoneticPr fontId="1"/>
  </si>
  <si>
    <t>ネット</t>
    <phoneticPr fontId="1"/>
  </si>
  <si>
    <t>7/上旬798</t>
    <rPh sb="2" eb="4">
      <t>ジョウジュン</t>
    </rPh>
    <phoneticPr fontId="1"/>
  </si>
  <si>
    <t>6/中旬880</t>
    <rPh sb="2" eb="4">
      <t>チュウジュン</t>
    </rPh>
    <phoneticPr fontId="1"/>
  </si>
  <si>
    <t>5/9～980</t>
    <phoneticPr fontId="1"/>
  </si>
  <si>
    <t>封筒入り分</t>
    <rPh sb="0" eb="3">
      <t>フウトウイ</t>
    </rPh>
    <rPh sb="4" eb="5">
      <t>ブン</t>
    </rPh>
    <phoneticPr fontId="1"/>
  </si>
  <si>
    <t>ファイン（さっぽろ5月4回）</t>
    <rPh sb="10" eb="11">
      <t>ガツ</t>
    </rPh>
    <rPh sb="12" eb="13">
      <t>カイ</t>
    </rPh>
    <phoneticPr fontId="1"/>
  </si>
  <si>
    <t>ネット</t>
    <phoneticPr fontId="1"/>
  </si>
  <si>
    <t>ネット</t>
    <phoneticPr fontId="1"/>
  </si>
  <si>
    <t>ネット</t>
    <phoneticPr fontId="1"/>
  </si>
  <si>
    <t>日生協22号</t>
    <rPh sb="0" eb="3">
      <t>ニッセイキョウ</t>
    </rPh>
    <rPh sb="5" eb="6">
      <t>ゴウ</t>
    </rPh>
    <phoneticPr fontId="1"/>
  </si>
  <si>
    <t>７月下旬～３週間</t>
    <rPh sb="1" eb="2">
      <t>ガツ</t>
    </rPh>
    <rPh sb="2" eb="4">
      <t>ゲジュン</t>
    </rPh>
    <rPh sb="6" eb="8">
      <t>シュウカン</t>
    </rPh>
    <phoneticPr fontId="1"/>
  </si>
  <si>
    <t>JOD</t>
    <phoneticPr fontId="1"/>
  </si>
  <si>
    <t>JOD</t>
    <phoneticPr fontId="1"/>
  </si>
  <si>
    <t>ネット</t>
    <phoneticPr fontId="1"/>
  </si>
  <si>
    <t>コープきんき4号②</t>
    <rPh sb="7" eb="8">
      <t>ゴウ</t>
    </rPh>
    <phoneticPr fontId="1"/>
  </si>
  <si>
    <t>ファイン（さっぽろ6月4回）</t>
    <rPh sb="10" eb="11">
      <t>ガツ</t>
    </rPh>
    <rPh sb="12" eb="13">
      <t>カイ</t>
    </rPh>
    <phoneticPr fontId="1"/>
  </si>
  <si>
    <t>コープきんき4号③</t>
    <rPh sb="7" eb="8">
      <t>ゴウ</t>
    </rPh>
    <phoneticPr fontId="1"/>
  </si>
  <si>
    <t>日生協7号①</t>
    <rPh sb="0" eb="3">
      <t>ニッセイキョウ</t>
    </rPh>
    <rPh sb="4" eb="5">
      <t>ゴウ</t>
    </rPh>
    <phoneticPr fontId="1"/>
  </si>
  <si>
    <t>ネット</t>
    <phoneticPr fontId="1"/>
  </si>
  <si>
    <t>6/17～</t>
    <phoneticPr fontId="1"/>
  </si>
  <si>
    <t>コープきんき14号</t>
    <rPh sb="8" eb="9">
      <t>ゴウ</t>
    </rPh>
    <phoneticPr fontId="1"/>
  </si>
  <si>
    <t>6/15～</t>
    <phoneticPr fontId="1"/>
  </si>
  <si>
    <t>ファイン（東都生協６月5回）</t>
    <rPh sb="5" eb="7">
      <t>トウト</t>
    </rPh>
    <rPh sb="7" eb="9">
      <t>セイキョウ</t>
    </rPh>
    <rPh sb="10" eb="11">
      <t>ガツ</t>
    </rPh>
    <rPh sb="12" eb="13">
      <t>カイ</t>
    </rPh>
    <phoneticPr fontId="1"/>
  </si>
  <si>
    <t>6/19～</t>
    <phoneticPr fontId="1"/>
  </si>
  <si>
    <t>6/1～</t>
    <phoneticPr fontId="1"/>
  </si>
  <si>
    <t>ネット</t>
    <phoneticPr fontId="1"/>
  </si>
  <si>
    <t>コープCSネット７月１回</t>
    <rPh sb="9" eb="10">
      <t>ガツ</t>
    </rPh>
    <rPh sb="11" eb="12">
      <t>カイ</t>
    </rPh>
    <phoneticPr fontId="1"/>
  </si>
  <si>
    <t>JOD5/13特別号R</t>
    <rPh sb="7" eb="10">
      <t>トクベツゴウ</t>
    </rPh>
    <phoneticPr fontId="1"/>
  </si>
  <si>
    <t>JOD6/1アクセス</t>
    <phoneticPr fontId="1"/>
  </si>
  <si>
    <t>ネット</t>
    <phoneticPr fontId="1"/>
  </si>
  <si>
    <t>JOD5/16特別号</t>
    <rPh sb="7" eb="9">
      <t>トクベツ</t>
    </rPh>
    <rPh sb="9" eb="10">
      <t>ゴウ</t>
    </rPh>
    <phoneticPr fontId="1"/>
  </si>
  <si>
    <t>コープきんき9号①</t>
    <rPh sb="7" eb="8">
      <t>ゴウ</t>
    </rPh>
    <phoneticPr fontId="1"/>
  </si>
  <si>
    <t>日生協7号②</t>
    <rPh sb="0" eb="3">
      <t>ニッセイキョウ</t>
    </rPh>
    <rPh sb="4" eb="5">
      <t>ゴウ</t>
    </rPh>
    <phoneticPr fontId="1"/>
  </si>
  <si>
    <t>JOD6/5特別号</t>
    <rPh sb="6" eb="8">
      <t>トクベツ</t>
    </rPh>
    <rPh sb="8" eb="9">
      <t>ゴウ</t>
    </rPh>
    <phoneticPr fontId="1"/>
  </si>
  <si>
    <t>6/5～</t>
    <phoneticPr fontId="1"/>
  </si>
  <si>
    <t>日生協7号③</t>
    <rPh sb="0" eb="3">
      <t>ニッセイキョウ</t>
    </rPh>
    <rPh sb="4" eb="5">
      <t>ゴウ</t>
    </rPh>
    <phoneticPr fontId="1"/>
  </si>
  <si>
    <t>JOD6/9特別号</t>
    <rPh sb="6" eb="8">
      <t>トクベツ</t>
    </rPh>
    <rPh sb="8" eb="9">
      <t>ゴウ</t>
    </rPh>
    <phoneticPr fontId="1"/>
  </si>
  <si>
    <t>6/9～</t>
    <phoneticPr fontId="1"/>
  </si>
  <si>
    <t>日生協7号④</t>
    <rPh sb="0" eb="3">
      <t>ニッセイキョウ</t>
    </rPh>
    <rPh sb="4" eb="5">
      <t>ゴウ</t>
    </rPh>
    <phoneticPr fontId="1"/>
  </si>
  <si>
    <t>JOD6/4メルシー</t>
    <phoneticPr fontId="1"/>
  </si>
  <si>
    <t>6/4～</t>
    <phoneticPr fontId="1"/>
  </si>
  <si>
    <t>コープCS（5月4回）①</t>
    <rPh sb="7" eb="8">
      <t>ガツ</t>
    </rPh>
    <rPh sb="9" eb="10">
      <t>カイ</t>
    </rPh>
    <phoneticPr fontId="1"/>
  </si>
  <si>
    <t>ファイン（さっぽろ7月3回）</t>
    <rPh sb="10" eb="11">
      <t>ガツ</t>
    </rPh>
    <rPh sb="12" eb="13">
      <t>カイ</t>
    </rPh>
    <phoneticPr fontId="1"/>
  </si>
  <si>
    <t>7/17～</t>
    <phoneticPr fontId="1"/>
  </si>
  <si>
    <t>追加???????</t>
    <rPh sb="0" eb="2">
      <t>ツイカ</t>
    </rPh>
    <phoneticPr fontId="1"/>
  </si>
  <si>
    <t>コープきんき9号②</t>
    <rPh sb="7" eb="8">
      <t>ゴウ</t>
    </rPh>
    <phoneticPr fontId="1"/>
  </si>
  <si>
    <t>コープきんき9号③</t>
    <rPh sb="7" eb="8">
      <t>ゴウ</t>
    </rPh>
    <phoneticPr fontId="1"/>
  </si>
  <si>
    <t>ネット</t>
    <phoneticPr fontId="1"/>
  </si>
  <si>
    <t>コープきんき７月３回</t>
    <rPh sb="7" eb="8">
      <t>ガツ</t>
    </rPh>
    <rPh sb="9" eb="10">
      <t>カイ</t>
    </rPh>
    <phoneticPr fontId="1"/>
  </si>
  <si>
    <t>7/4～</t>
    <phoneticPr fontId="1"/>
  </si>
  <si>
    <t>コープCS８月３回</t>
    <rPh sb="6" eb="7">
      <t>ガツ</t>
    </rPh>
    <rPh sb="8" eb="9">
      <t>カイ</t>
    </rPh>
    <phoneticPr fontId="1"/>
  </si>
  <si>
    <t>￥７８０特価</t>
    <rPh sb="4" eb="6">
      <t>トッカ</t>
    </rPh>
    <phoneticPr fontId="1"/>
  </si>
  <si>
    <t>コープCS（5月4回）②</t>
    <phoneticPr fontId="1"/>
  </si>
  <si>
    <t>ファイン（さっぽろ5月4回）①</t>
    <phoneticPr fontId="1"/>
  </si>
  <si>
    <t>コープCS（5月4回）③直送</t>
    <rPh sb="7" eb="8">
      <t>ガツ</t>
    </rPh>
    <rPh sb="9" eb="10">
      <t>カイ</t>
    </rPh>
    <rPh sb="12" eb="14">
      <t>チョクソウ</t>
    </rPh>
    <phoneticPr fontId="1"/>
  </si>
  <si>
    <t>JOD</t>
    <phoneticPr fontId="1"/>
  </si>
  <si>
    <t>ネット</t>
    <phoneticPr fontId="1"/>
  </si>
  <si>
    <t>ネット</t>
    <phoneticPr fontId="1"/>
  </si>
  <si>
    <t>ネット</t>
    <phoneticPr fontId="1"/>
  </si>
  <si>
    <t>コープきんき14号①</t>
    <rPh sb="8" eb="9">
      <t>ゴウ</t>
    </rPh>
    <phoneticPr fontId="1"/>
  </si>
  <si>
    <t>コープCSネット７月１回①</t>
    <rPh sb="9" eb="10">
      <t>ガツ</t>
    </rPh>
    <rPh sb="11" eb="12">
      <t>カイ</t>
    </rPh>
    <phoneticPr fontId="1"/>
  </si>
  <si>
    <t>ネット</t>
    <phoneticPr fontId="1"/>
  </si>
  <si>
    <t>コープきんき14号②</t>
    <rPh sb="8" eb="9">
      <t>ゴウ</t>
    </rPh>
    <phoneticPr fontId="1"/>
  </si>
  <si>
    <t>日生協17号①</t>
    <rPh sb="0" eb="3">
      <t>ニッセイキョウ</t>
    </rPh>
    <rPh sb="5" eb="6">
      <t>ゴウ</t>
    </rPh>
    <phoneticPr fontId="1"/>
  </si>
  <si>
    <t>コープきんき14号③</t>
    <rPh sb="8" eb="9">
      <t>ゴウ</t>
    </rPh>
    <phoneticPr fontId="1"/>
  </si>
  <si>
    <t>ネット</t>
    <phoneticPr fontId="1"/>
  </si>
  <si>
    <t>ライフサポート返品</t>
    <rPh sb="7" eb="9">
      <t>ヘンピン</t>
    </rPh>
    <phoneticPr fontId="1"/>
  </si>
  <si>
    <t>ファイン（さっぽろ・東都）</t>
    <rPh sb="10" eb="12">
      <t>トウト</t>
    </rPh>
    <phoneticPr fontId="1"/>
  </si>
  <si>
    <t>JOD</t>
    <phoneticPr fontId="1"/>
  </si>
  <si>
    <t>ネット</t>
    <phoneticPr fontId="1"/>
  </si>
  <si>
    <t>ネット</t>
    <phoneticPr fontId="1"/>
  </si>
  <si>
    <t>コープCSネット７月１回②</t>
    <rPh sb="9" eb="10">
      <t>ガツ</t>
    </rPh>
    <rPh sb="11" eb="12">
      <t>カイ</t>
    </rPh>
    <phoneticPr fontId="1"/>
  </si>
  <si>
    <t>日生協17号②</t>
    <rPh sb="0" eb="3">
      <t>ニッセイキョウ</t>
    </rPh>
    <rPh sb="5" eb="6">
      <t>ゴウ</t>
    </rPh>
    <phoneticPr fontId="1"/>
  </si>
  <si>
    <t>日生協17号③</t>
    <rPh sb="0" eb="3">
      <t>ニッセイキョウ</t>
    </rPh>
    <rPh sb="5" eb="6">
      <t>ゴウ</t>
    </rPh>
    <phoneticPr fontId="1"/>
  </si>
  <si>
    <t>ネット</t>
    <phoneticPr fontId="1"/>
  </si>
  <si>
    <t>コープきんき７月３回①</t>
    <rPh sb="7" eb="8">
      <t>ガツ</t>
    </rPh>
    <rPh sb="9" eb="10">
      <t>カイ</t>
    </rPh>
    <phoneticPr fontId="1"/>
  </si>
  <si>
    <t>コープCSネット７月１回③</t>
    <rPh sb="9" eb="10">
      <t>ガツ</t>
    </rPh>
    <rPh sb="11" eb="12">
      <t>カイ</t>
    </rPh>
    <phoneticPr fontId="1"/>
  </si>
  <si>
    <t>日生協17号④</t>
    <rPh sb="0" eb="3">
      <t>ニッセイキョウ</t>
    </rPh>
    <rPh sb="5" eb="6">
      <t>ゴウ</t>
    </rPh>
    <phoneticPr fontId="1"/>
  </si>
  <si>
    <t>日生協17号⑤</t>
    <rPh sb="0" eb="3">
      <t>ニッセイキョウ</t>
    </rPh>
    <rPh sb="5" eb="6">
      <t>ゴウ</t>
    </rPh>
    <phoneticPr fontId="1"/>
  </si>
  <si>
    <t>ネット</t>
    <phoneticPr fontId="1"/>
  </si>
  <si>
    <t>日生協17号⑥</t>
    <rPh sb="0" eb="3">
      <t>ニッセイキョウ</t>
    </rPh>
    <rPh sb="5" eb="6">
      <t>ゴウ</t>
    </rPh>
    <phoneticPr fontId="1"/>
  </si>
  <si>
    <t>日生協20号①</t>
    <rPh sb="0" eb="3">
      <t>ニッセイキョウ</t>
    </rPh>
    <rPh sb="5" eb="6">
      <t>ゴウ</t>
    </rPh>
    <phoneticPr fontId="1"/>
  </si>
  <si>
    <t>封筒入5100、通常1272</t>
    <rPh sb="0" eb="2">
      <t>フウトウ</t>
    </rPh>
    <rPh sb="2" eb="3">
      <t>イリ</t>
    </rPh>
    <rPh sb="8" eb="10">
      <t>ツウジョウ</t>
    </rPh>
    <phoneticPr fontId="1"/>
  </si>
  <si>
    <t>ネット</t>
    <phoneticPr fontId="1"/>
  </si>
  <si>
    <t>コープきんき７月３回②</t>
    <rPh sb="7" eb="8">
      <t>ガツ</t>
    </rPh>
    <rPh sb="9" eb="10">
      <t>カイ</t>
    </rPh>
    <phoneticPr fontId="1"/>
  </si>
  <si>
    <t>ネット</t>
    <phoneticPr fontId="1"/>
  </si>
  <si>
    <t>ファイン</t>
    <phoneticPr fontId="1"/>
  </si>
  <si>
    <t>日生協22号①</t>
    <phoneticPr fontId="1"/>
  </si>
  <si>
    <t>コープCS８月３回①</t>
    <rPh sb="6" eb="7">
      <t>ガツ</t>
    </rPh>
    <rPh sb="8" eb="9">
      <t>カイ</t>
    </rPh>
    <phoneticPr fontId="1"/>
  </si>
  <si>
    <t>ネット</t>
    <phoneticPr fontId="1"/>
  </si>
  <si>
    <t>丸藤（パルシステム8月1回）①</t>
    <rPh sb="0" eb="2">
      <t>マルフジ</t>
    </rPh>
    <rPh sb="10" eb="11">
      <t>ガツ</t>
    </rPh>
    <rPh sb="12" eb="13">
      <t>カイ</t>
    </rPh>
    <phoneticPr fontId="1"/>
  </si>
  <si>
    <t>コープCS８月３回②</t>
    <rPh sb="6" eb="7">
      <t>ガツ</t>
    </rPh>
    <rPh sb="8" eb="9">
      <t>カイ</t>
    </rPh>
    <phoneticPr fontId="1"/>
  </si>
  <si>
    <t>日生協20号②</t>
    <rPh sb="0" eb="3">
      <t>ニッセイキョウ</t>
    </rPh>
    <rPh sb="5" eb="6">
      <t>ゴウ</t>
    </rPh>
    <phoneticPr fontId="1"/>
  </si>
  <si>
    <t>丸藤（パルシステム8月1回）②</t>
    <rPh sb="0" eb="2">
      <t>マルフジ</t>
    </rPh>
    <rPh sb="10" eb="11">
      <t>ガツ</t>
    </rPh>
    <rPh sb="12" eb="13">
      <t>カイ</t>
    </rPh>
    <phoneticPr fontId="1"/>
  </si>
  <si>
    <t>日生協20号③</t>
    <rPh sb="0" eb="3">
      <t>ニッセイキョウ</t>
    </rPh>
    <rPh sb="5" eb="6">
      <t>ゴウ</t>
    </rPh>
    <phoneticPr fontId="1"/>
  </si>
  <si>
    <t>ネット</t>
    <phoneticPr fontId="1"/>
  </si>
  <si>
    <t>日生協22号②</t>
    <phoneticPr fontId="1"/>
  </si>
  <si>
    <t>日生協22号③</t>
    <phoneticPr fontId="1"/>
  </si>
  <si>
    <t>ネット</t>
    <phoneticPr fontId="1"/>
  </si>
  <si>
    <t>日生協22号④</t>
    <phoneticPr fontId="1"/>
  </si>
  <si>
    <t>コープCS８月３回③</t>
    <phoneticPr fontId="1"/>
  </si>
  <si>
    <t>JOD</t>
    <phoneticPr fontId="1"/>
  </si>
  <si>
    <t>ネット</t>
    <phoneticPr fontId="1"/>
  </si>
  <si>
    <t>丸藤返品</t>
    <rPh sb="0" eb="2">
      <t>マルフジ</t>
    </rPh>
    <rPh sb="2" eb="4">
      <t>ヘンピン</t>
    </rPh>
    <phoneticPr fontId="1"/>
  </si>
  <si>
    <t>ネット</t>
    <phoneticPr fontId="1"/>
  </si>
  <si>
    <t>JOD</t>
    <phoneticPr fontId="1"/>
  </si>
  <si>
    <t>日生協直送(江別)</t>
    <rPh sb="0" eb="2">
      <t>ニッセイ</t>
    </rPh>
    <rPh sb="2" eb="3">
      <t>キョウ</t>
    </rPh>
    <rPh sb="3" eb="5">
      <t>チョクソウ</t>
    </rPh>
    <rPh sb="6" eb="8">
      <t>エベツ</t>
    </rPh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</si>
  <si>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</si>
  <si>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</si>
  <si>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</si>
  <si>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</si>
  <si>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</si>
  <si>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ワンズ</t>
    <phoneticPr fontId="1"/>
  </si>
  <si>
    <t>ネット</t>
    <phoneticPr fontId="1"/>
  </si>
  <si>
    <t>ネット</t>
    <phoneticPr fontId="1"/>
  </si>
  <si>
    <t>通常分436</t>
    <rPh sb="0" eb="2">
      <t>ツウジョウ</t>
    </rPh>
    <rPh sb="2" eb="3">
      <t>ブン</t>
    </rPh>
    <phoneticPr fontId="1"/>
  </si>
  <si>
    <t>封筒分1900</t>
    <rPh sb="0" eb="2">
      <t>フウトウ</t>
    </rPh>
    <rPh sb="2" eb="3">
      <t>ブン</t>
    </rPh>
    <phoneticPr fontId="1"/>
  </si>
  <si>
    <t>8/31時点</t>
    <rPh sb="4" eb="6">
      <t>ジテン</t>
    </rPh>
    <phoneticPr fontId="1"/>
  </si>
  <si>
    <t>JOD</t>
    <phoneticPr fontId="1"/>
  </si>
  <si>
    <t>コープきんき4号（4月2回）①</t>
    <rPh sb="7" eb="8">
      <t>ゴウ</t>
    </rPh>
    <rPh sb="10" eb="11">
      <t>ガツ</t>
    </rPh>
    <rPh sb="12" eb="13">
      <t>カイ</t>
    </rPh>
    <phoneticPr fontId="1"/>
  </si>
  <si>
    <t>ネット</t>
    <phoneticPr fontId="1"/>
  </si>
  <si>
    <t>マイジール提案sample</t>
    <rPh sb="5" eb="7">
      <t>テイアン</t>
    </rPh>
    <phoneticPr fontId="1"/>
  </si>
  <si>
    <t>コープきんき4号（4月2回）②</t>
    <rPh sb="7" eb="8">
      <t>ゴウ</t>
    </rPh>
    <rPh sb="10" eb="11">
      <t>ガツ</t>
    </rPh>
    <rPh sb="12" eb="13">
      <t>カイ</t>
    </rPh>
    <phoneticPr fontId="1"/>
  </si>
  <si>
    <t>ネット</t>
    <phoneticPr fontId="1"/>
  </si>
  <si>
    <t>ＪＯＤ</t>
    <phoneticPr fontId="1"/>
  </si>
  <si>
    <t>ネット</t>
    <phoneticPr fontId="1"/>
  </si>
  <si>
    <t>ネット</t>
    <phoneticPr fontId="1"/>
  </si>
  <si>
    <t>コープきんき5月3回①</t>
    <rPh sb="7" eb="8">
      <t>ガツ</t>
    </rPh>
    <rPh sb="9" eb="10">
      <t>カイ</t>
    </rPh>
    <phoneticPr fontId="1"/>
  </si>
  <si>
    <t>日生協13号①</t>
    <rPh sb="0" eb="3">
      <t>ニッセイキョウ</t>
    </rPh>
    <rPh sb="5" eb="6">
      <t>ゴウ</t>
    </rPh>
    <phoneticPr fontId="1"/>
  </si>
  <si>
    <t>コープCSネット6月2回①</t>
    <rPh sb="9" eb="10">
      <t>ガツ</t>
    </rPh>
    <rPh sb="11" eb="12">
      <t>カイ</t>
    </rPh>
    <phoneticPr fontId="1"/>
  </si>
  <si>
    <t>ネット</t>
    <phoneticPr fontId="1"/>
  </si>
  <si>
    <t>日生協13号②</t>
    <rPh sb="0" eb="3">
      <t>ニッセイキョウ</t>
    </rPh>
    <rPh sb="5" eb="6">
      <t>ゴウ</t>
    </rPh>
    <phoneticPr fontId="1"/>
  </si>
  <si>
    <t>日生協13号③</t>
    <rPh sb="0" eb="3">
      <t>ニッセイキョウ</t>
    </rPh>
    <rPh sb="5" eb="6">
      <t>ゴウ</t>
    </rPh>
    <phoneticPr fontId="1"/>
  </si>
  <si>
    <t>日生協13号④</t>
    <rPh sb="0" eb="3">
      <t>ニッセイキョウ</t>
    </rPh>
    <rPh sb="5" eb="6">
      <t>ゴウ</t>
    </rPh>
    <phoneticPr fontId="1"/>
  </si>
  <si>
    <t>日生協13号⑤</t>
    <rPh sb="0" eb="3">
      <t>ニッセイキョウ</t>
    </rPh>
    <rPh sb="5" eb="6">
      <t>ゴウ</t>
    </rPh>
    <phoneticPr fontId="1"/>
  </si>
  <si>
    <t>コープCSネット6月2回②</t>
    <rPh sb="9" eb="10">
      <t>ガツ</t>
    </rPh>
    <rPh sb="11" eb="12">
      <t>カイ</t>
    </rPh>
    <phoneticPr fontId="1"/>
  </si>
  <si>
    <t>コープCSネット6月2回③</t>
    <rPh sb="9" eb="10">
      <t>ガツ</t>
    </rPh>
    <rPh sb="11" eb="12">
      <t>カイ</t>
    </rPh>
    <phoneticPr fontId="1"/>
  </si>
  <si>
    <t>マイジールさっぽろ８-５回</t>
    <rPh sb="12" eb="13">
      <t>カイ</t>
    </rPh>
    <phoneticPr fontId="1"/>
  </si>
  <si>
    <t>ネット</t>
    <phoneticPr fontId="1"/>
  </si>
  <si>
    <t>JOD</t>
    <phoneticPr fontId="1"/>
  </si>
  <si>
    <t>JOD</t>
    <phoneticPr fontId="1"/>
  </si>
  <si>
    <t>コープきんき7月3回①</t>
    <rPh sb="7" eb="8">
      <t>ガツ</t>
    </rPh>
    <rPh sb="9" eb="10">
      <t>カイ</t>
    </rPh>
    <phoneticPr fontId="1"/>
  </si>
  <si>
    <t>ネット</t>
    <phoneticPr fontId="1"/>
  </si>
  <si>
    <t>コープきんき7月3回②</t>
    <rPh sb="7" eb="8">
      <t>ガツ</t>
    </rPh>
    <rPh sb="9" eb="10">
      <t>カイ</t>
    </rPh>
    <phoneticPr fontId="1"/>
  </si>
  <si>
    <t>日生協20号④</t>
    <rPh sb="0" eb="3">
      <t>ニッセイキョウ</t>
    </rPh>
    <rPh sb="5" eb="6">
      <t>ゴウ</t>
    </rPh>
    <phoneticPr fontId="1"/>
  </si>
  <si>
    <t>コープCSネット8月1回①</t>
    <rPh sb="9" eb="10">
      <t>ガツ</t>
    </rPh>
    <rPh sb="11" eb="12">
      <t>カイ</t>
    </rPh>
    <phoneticPr fontId="1"/>
  </si>
  <si>
    <t>コープCSネット8月1回②</t>
    <rPh sb="9" eb="10">
      <t>ガツ</t>
    </rPh>
    <rPh sb="11" eb="12">
      <t>カイ</t>
    </rPh>
    <phoneticPr fontId="1"/>
  </si>
  <si>
    <t>コープCSネット8月1回③</t>
    <rPh sb="9" eb="10">
      <t>ガツ</t>
    </rPh>
    <rPh sb="11" eb="12">
      <t>カイ</t>
    </rPh>
    <phoneticPr fontId="1"/>
  </si>
  <si>
    <t>丸藤パル８月２回①</t>
    <rPh sb="0" eb="2">
      <t>マルフジ</t>
    </rPh>
    <rPh sb="5" eb="6">
      <t>ガツ</t>
    </rPh>
    <rPh sb="7" eb="8">
      <t>カイ</t>
    </rPh>
    <phoneticPr fontId="1"/>
  </si>
  <si>
    <t>丸藤パル８月２回②</t>
    <rPh sb="0" eb="2">
      <t>マルフジ</t>
    </rPh>
    <rPh sb="5" eb="6">
      <t>ガツ</t>
    </rPh>
    <rPh sb="7" eb="8">
      <t>カイ</t>
    </rPh>
    <phoneticPr fontId="1"/>
  </si>
  <si>
    <t>マイジール九州８-５回①</t>
    <rPh sb="5" eb="7">
      <t>キュウシュウ</t>
    </rPh>
    <rPh sb="10" eb="11">
      <t>カイ</t>
    </rPh>
    <phoneticPr fontId="1"/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</si>
  <si>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1"/>
  </si>
  <si>
    <t>マイジール九州８-５回②</t>
    <rPh sb="5" eb="7">
      <t>キュウシュウ</t>
    </rPh>
    <rPh sb="10" eb="11">
      <t>カイ</t>
    </rPh>
    <phoneticPr fontId="1"/>
  </si>
  <si>
    <t>マイジール九州８-５回③</t>
    <rPh sb="5" eb="7">
      <t>キュウシュウ</t>
    </rPh>
    <rPh sb="10" eb="11">
      <t>カイ</t>
    </rPh>
    <phoneticPr fontId="1"/>
  </si>
  <si>
    <t>マイジール九州８-５回④</t>
    <rPh sb="5" eb="7">
      <t>キュウシュウ</t>
    </rPh>
    <rPh sb="10" eb="11">
      <t>カイ</t>
    </rPh>
    <phoneticPr fontId="1"/>
  </si>
  <si>
    <t>ネット</t>
    <phoneticPr fontId="1"/>
  </si>
  <si>
    <t>マイジール返品</t>
    <rPh sb="5" eb="7">
      <t>ヘンピン</t>
    </rPh>
    <phoneticPr fontId="1"/>
  </si>
  <si>
    <t>ネット</t>
    <phoneticPr fontId="1"/>
  </si>
  <si>
    <t>くらし企画（石出さん）</t>
    <rPh sb="3" eb="5">
      <t>キカク</t>
    </rPh>
    <rPh sb="6" eb="8">
      <t>イシデ</t>
    </rPh>
    <phoneticPr fontId="1"/>
  </si>
  <si>
    <t>コープきんき4月2回①</t>
    <rPh sb="7" eb="8">
      <t>ガツ</t>
    </rPh>
    <rPh sb="9" eb="10">
      <t>カイ</t>
    </rPh>
    <phoneticPr fontId="1"/>
  </si>
  <si>
    <t>コープきんき4月2回②</t>
    <rPh sb="7" eb="8">
      <t>ガツ</t>
    </rPh>
    <rPh sb="9" eb="10">
      <t>カイ</t>
    </rPh>
    <phoneticPr fontId="1"/>
  </si>
  <si>
    <t>コープきんき4月2回③</t>
    <rPh sb="7" eb="8">
      <t>ガツ</t>
    </rPh>
    <rPh sb="9" eb="10">
      <t>カイ</t>
    </rPh>
    <phoneticPr fontId="1"/>
  </si>
  <si>
    <t>コープきんき4月2回④</t>
    <rPh sb="7" eb="8">
      <t>ガツ</t>
    </rPh>
    <rPh sb="9" eb="10">
      <t>カイ</t>
    </rPh>
    <phoneticPr fontId="1"/>
  </si>
  <si>
    <t>日生協２０１８年8号①</t>
    <rPh sb="0" eb="2">
      <t>ニッセイ</t>
    </rPh>
    <rPh sb="2" eb="3">
      <t>キョウ</t>
    </rPh>
    <rPh sb="7" eb="8">
      <t>ネン</t>
    </rPh>
    <rPh sb="9" eb="10">
      <t>ゴウ</t>
    </rPh>
    <phoneticPr fontId="1"/>
  </si>
  <si>
    <t>日生協２０１８年8号②</t>
    <rPh sb="0" eb="2">
      <t>ニッセイ</t>
    </rPh>
    <rPh sb="2" eb="3">
      <t>キョウ</t>
    </rPh>
    <rPh sb="7" eb="8">
      <t>ネン</t>
    </rPh>
    <rPh sb="9" eb="10">
      <t>ゴウ</t>
    </rPh>
    <phoneticPr fontId="1"/>
  </si>
  <si>
    <t>日生協２０１８年8号③</t>
    <rPh sb="0" eb="2">
      <t>ニッセイ</t>
    </rPh>
    <rPh sb="2" eb="3">
      <t>キョウ</t>
    </rPh>
    <rPh sb="7" eb="8">
      <t>ネン</t>
    </rPh>
    <rPh sb="9" eb="10">
      <t>ゴウ</t>
    </rPh>
    <phoneticPr fontId="1"/>
  </si>
  <si>
    <t>日生協２０１８年8号④</t>
    <rPh sb="0" eb="2">
      <t>ニッセイ</t>
    </rPh>
    <rPh sb="2" eb="3">
      <t>キョウ</t>
    </rPh>
    <rPh sb="7" eb="8">
      <t>ネン</t>
    </rPh>
    <rPh sb="9" eb="10">
      <t>ゴウ</t>
    </rPh>
    <phoneticPr fontId="1"/>
  </si>
  <si>
    <t>丸藤（パル5月1回）①</t>
    <rPh sb="0" eb="2">
      <t>マルフジ</t>
    </rPh>
    <rPh sb="6" eb="7">
      <t>ガツ</t>
    </rPh>
    <rPh sb="8" eb="9">
      <t>カイ</t>
    </rPh>
    <phoneticPr fontId="1"/>
  </si>
  <si>
    <t>丸藤（パル5月1回）②</t>
    <rPh sb="0" eb="2">
      <t>マルフジ</t>
    </rPh>
    <rPh sb="6" eb="7">
      <t>ガツ</t>
    </rPh>
    <rPh sb="8" eb="9">
      <t>カイ</t>
    </rPh>
    <phoneticPr fontId="1"/>
  </si>
  <si>
    <t>日生協２０１８年11号①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</si>
  <si>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コープきんき6月1回①</t>
    <rPh sb="7" eb="8">
      <t>ガツ</t>
    </rPh>
    <rPh sb="9" eb="10">
      <t>カイ</t>
    </rPh>
    <phoneticPr fontId="1"/>
  </si>
  <si>
    <t>日生協２０１８年11号②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</si>
  <si>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日生協２０１８年11号③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</si>
  <si>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日生協２０１８年11号④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</si>
  <si>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日生協２０１８年11号⑤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</si>
  <si>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コープきんき6月1回②</t>
    <rPh sb="7" eb="8">
      <t>ガツ</t>
    </rPh>
    <rPh sb="9" eb="10">
      <t>カイ</t>
    </rPh>
    <phoneticPr fontId="1"/>
  </si>
  <si>
    <t>JOD</t>
    <phoneticPr fontId="1"/>
  </si>
  <si>
    <t>日生協２０１８年18号①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</si>
  <si>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日生協２０１８年19号①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</si>
  <si>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日生協２０１８年19号②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</si>
  <si>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日生協２０１８年18号②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</si>
  <si>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日生協２０１８年19号③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</si>
  <si>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日生協２０１８年18号③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</si>
  <si>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パル・くらす（丸藤）7月4回①</t>
    <rPh sb="7" eb="9">
      <t>マルフジ</t>
    </rPh>
    <rPh sb="11" eb="12">
      <t>ガツ</t>
    </rPh>
    <rPh sb="13" eb="14">
      <t>カイ</t>
    </rPh>
    <phoneticPr fontId="1"/>
  </si>
  <si>
    <t>ネット</t>
    <phoneticPr fontId="1"/>
  </si>
  <si>
    <t>パル・くらす（丸藤）7月4回②</t>
    <rPh sb="7" eb="9">
      <t>マルフジ</t>
    </rPh>
    <rPh sb="11" eb="12">
      <t>ガツ</t>
    </rPh>
    <rPh sb="13" eb="14">
      <t>カイ</t>
    </rPh>
    <phoneticPr fontId="1"/>
  </si>
  <si>
    <t>日生協２０１８年20号①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</si>
  <si>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日生協２０１８年20号②</t>
    <rPh sb="0" eb="2">
      <t>ニッセイ</t>
    </rPh>
    <rPh sb="2" eb="3">
      <t>キョウ</t>
    </rPh>
    <rPh sb="7" eb="8">
      <t>ネン</t>
    </rPh>
    <rPh sb="10" eb="11">
      <t>ゴウ</t>
    </rPh>
    <phoneticPr fontId="1"/>
  </si>
  <si>
    <t>ネット</t>
    <phoneticPr fontId="1"/>
  </si>
  <si>
    <t>ネット</t>
    <phoneticPr fontId="1"/>
  </si>
  <si>
    <t>かりん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</si>
  <si>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</si>
  <si>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</si>
  <si>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</si>
  <si>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</si>
  <si>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日生協７号</t>
    <rPh sb="0" eb="2">
      <t>ニッセイ</t>
    </rPh>
    <rPh sb="2" eb="3">
      <t>キョウ</t>
    </rPh>
    <rPh sb="4" eb="5">
      <t>ゴウ</t>
    </rPh>
    <phoneticPr fontId="1"/>
  </si>
  <si>
    <t>点4/3、キ4/16、デ4/23、最終5/1</t>
    <rPh sb="0" eb="1">
      <t>テン</t>
    </rPh>
    <rPh sb="17" eb="19">
      <t>サイシュウ</t>
    </rPh>
    <phoneticPr fontId="1"/>
  </si>
  <si>
    <t>コープきんき3月4回</t>
    <rPh sb="7" eb="8">
      <t>ガツ</t>
    </rPh>
    <rPh sb="9" eb="10">
      <t>カイ</t>
    </rPh>
    <phoneticPr fontId="1"/>
  </si>
  <si>
    <t>点2/28、本3/20～3/30</t>
    <rPh sb="0" eb="1">
      <t>テン</t>
    </rPh>
    <rPh sb="6" eb="7">
      <t>ホン</t>
    </rPh>
    <phoneticPr fontId="1"/>
  </si>
  <si>
    <t>3/12～</t>
    <phoneticPr fontId="1"/>
  </si>
  <si>
    <t>JOD特別号9512</t>
    <rPh sb="3" eb="5">
      <t>トクベツ</t>
    </rPh>
    <rPh sb="5" eb="6">
      <t>ゴウ</t>
    </rPh>
    <phoneticPr fontId="1"/>
  </si>
  <si>
    <t>日生協10号</t>
    <rPh sb="0" eb="2">
      <t>ニッセイ</t>
    </rPh>
    <rPh sb="2" eb="3">
      <t>キョウ</t>
    </rPh>
    <rPh sb="5" eb="6">
      <t>ゴウ</t>
    </rPh>
    <phoneticPr fontId="1"/>
  </si>
  <si>
    <t>4/24点、キャ5/7アバウト、デ5/14アバウト、～5/22</t>
    <rPh sb="4" eb="5">
      <t>テン</t>
    </rPh>
    <phoneticPr fontId="1"/>
  </si>
  <si>
    <t>日生協13号</t>
    <rPh sb="0" eb="2">
      <t>ニッセイ</t>
    </rPh>
    <rPh sb="2" eb="3">
      <t>キョウ</t>
    </rPh>
    <rPh sb="5" eb="6">
      <t>ゴウ</t>
    </rPh>
    <phoneticPr fontId="1"/>
  </si>
  <si>
    <t>5/15点、キャ5/28アバウト、デ6/4アバウト、～6/12</t>
    <rPh sb="4" eb="5">
      <t>テン</t>
    </rPh>
    <phoneticPr fontId="1"/>
  </si>
  <si>
    <t>JOD特別号9693</t>
    <rPh sb="3" eb="5">
      <t>トクベツ</t>
    </rPh>
    <rPh sb="5" eb="6">
      <t>ゴウ</t>
    </rPh>
    <phoneticPr fontId="1"/>
  </si>
  <si>
    <t>3/16～</t>
    <phoneticPr fontId="1"/>
  </si>
  <si>
    <t>JODメルシー0325</t>
    <phoneticPr fontId="1"/>
  </si>
  <si>
    <t>3/25～</t>
    <phoneticPr fontId="1"/>
  </si>
  <si>
    <t>コープきんき3月4回①</t>
    <rPh sb="7" eb="8">
      <t>ガツ</t>
    </rPh>
    <rPh sb="9" eb="10">
      <t>カイ</t>
    </rPh>
    <phoneticPr fontId="1"/>
  </si>
  <si>
    <t>6/19点、キャ7/2アバウト、デ7/9アバウト、～7/17</t>
    <rPh sb="4" eb="5">
      <t>テン</t>
    </rPh>
    <phoneticPr fontId="1"/>
  </si>
  <si>
    <t>日生協18号（特価）</t>
    <rPh sb="0" eb="2">
      <t>ニッセイ</t>
    </rPh>
    <rPh sb="2" eb="3">
      <t>キョウ</t>
    </rPh>
    <rPh sb="5" eb="6">
      <t>ゴウ</t>
    </rPh>
    <rPh sb="7" eb="9">
      <t>トッカ</t>
    </rPh>
    <phoneticPr fontId="1"/>
  </si>
  <si>
    <t>JODメルシー0405</t>
    <phoneticPr fontId="1"/>
  </si>
  <si>
    <t>4/5～</t>
    <phoneticPr fontId="1"/>
  </si>
  <si>
    <t>コープきんき3月4回②</t>
    <rPh sb="7" eb="8">
      <t>ガツ</t>
    </rPh>
    <rPh sb="9" eb="10">
      <t>カイ</t>
    </rPh>
    <phoneticPr fontId="1"/>
  </si>
  <si>
    <t>5/2点、5/21アバウト、本発注5/22～6/1</t>
    <rPh sb="3" eb="4">
      <t>テン</t>
    </rPh>
    <rPh sb="14" eb="15">
      <t>ホン</t>
    </rPh>
    <rPh sb="15" eb="17">
      <t>ハッチュウ</t>
    </rPh>
    <phoneticPr fontId="1"/>
  </si>
  <si>
    <t>コープきんき5月5回880円</t>
    <rPh sb="7" eb="8">
      <t>ガツ</t>
    </rPh>
    <rPh sb="9" eb="10">
      <t>カイ</t>
    </rPh>
    <rPh sb="13" eb="14">
      <t>エン</t>
    </rPh>
    <phoneticPr fontId="1"/>
  </si>
  <si>
    <t>JOD特別号Ｒ9870</t>
    <rPh sb="3" eb="5">
      <t>トクベツ</t>
    </rPh>
    <rPh sb="5" eb="6">
      <t>ゴウ</t>
    </rPh>
    <phoneticPr fontId="1"/>
  </si>
  <si>
    <t>4/10～</t>
    <phoneticPr fontId="1"/>
  </si>
  <si>
    <t>JODメルシー0507</t>
    <phoneticPr fontId="1"/>
  </si>
  <si>
    <t>5/7～</t>
    <phoneticPr fontId="1"/>
  </si>
  <si>
    <t>日生協７号①</t>
    <rPh sb="0" eb="2">
      <t>ニッセイ</t>
    </rPh>
    <rPh sb="2" eb="3">
      <t>キョウ</t>
    </rPh>
    <rPh sb="4" eb="5">
      <t>ゴウ</t>
    </rPh>
    <phoneticPr fontId="1"/>
  </si>
  <si>
    <t>日生協22号</t>
    <rPh sb="0" eb="2">
      <t>ニッセイ</t>
    </rPh>
    <rPh sb="2" eb="3">
      <t>キョウ</t>
    </rPh>
    <rPh sb="5" eb="6">
      <t>ゴウ</t>
    </rPh>
    <phoneticPr fontId="1"/>
  </si>
  <si>
    <t>7/17点,デ8/6アバウト、～8/14</t>
    <rPh sb="4" eb="5">
      <t>テン</t>
    </rPh>
    <phoneticPr fontId="1"/>
  </si>
  <si>
    <t>①6/27、②7/2</t>
    <phoneticPr fontId="1"/>
  </si>
  <si>
    <t>JOD特別号9517</t>
    <rPh sb="3" eb="5">
      <t>トクベツ</t>
    </rPh>
    <rPh sb="5" eb="6">
      <t>ゴウ</t>
    </rPh>
    <phoneticPr fontId="1"/>
  </si>
  <si>
    <t>日生協７号②（東日本）</t>
    <rPh sb="0" eb="2">
      <t>ニッセイ</t>
    </rPh>
    <rPh sb="2" eb="3">
      <t>キョウ</t>
    </rPh>
    <rPh sb="4" eb="5">
      <t>ゴウ</t>
    </rPh>
    <rPh sb="7" eb="8">
      <t>ヒガシ</t>
    </rPh>
    <rPh sb="8" eb="10">
      <t>ニホン</t>
    </rPh>
    <phoneticPr fontId="1"/>
  </si>
  <si>
    <t>日生協７号③（西日本）</t>
    <rPh sb="0" eb="2">
      <t>ニッセイ</t>
    </rPh>
    <rPh sb="2" eb="3">
      <t>キョウ</t>
    </rPh>
    <rPh sb="4" eb="5">
      <t>ゴウ</t>
    </rPh>
    <rPh sb="7" eb="8">
      <t>ニシ</t>
    </rPh>
    <rPh sb="8" eb="10">
      <t>ニホン</t>
    </rPh>
    <phoneticPr fontId="1"/>
  </si>
  <si>
    <t>JODアクセス7061</t>
    <phoneticPr fontId="1"/>
  </si>
  <si>
    <t>日生協７号⑤（西日本）</t>
    <rPh sb="0" eb="2">
      <t>ニッセイ</t>
    </rPh>
    <rPh sb="2" eb="3">
      <t>キョウ</t>
    </rPh>
    <rPh sb="4" eb="5">
      <t>ゴウ</t>
    </rPh>
    <rPh sb="7" eb="8">
      <t>ニシ</t>
    </rPh>
    <rPh sb="8" eb="10">
      <t>ニホン</t>
    </rPh>
    <phoneticPr fontId="1"/>
  </si>
  <si>
    <t>日生協７号④（東日本）</t>
    <rPh sb="0" eb="2">
      <t>ニッセイ</t>
    </rPh>
    <rPh sb="2" eb="3">
      <t>キョウ</t>
    </rPh>
    <rPh sb="4" eb="5">
      <t>ゴウ</t>
    </rPh>
    <rPh sb="7" eb="8">
      <t>ヒガシ</t>
    </rPh>
    <rPh sb="8" eb="10">
      <t>ニホン</t>
    </rPh>
    <phoneticPr fontId="1"/>
  </si>
  <si>
    <t>日生協10号①（東日本）</t>
    <rPh sb="0" eb="2">
      <t>ニッセイ</t>
    </rPh>
    <rPh sb="2" eb="3">
      <t>キョウ</t>
    </rPh>
    <rPh sb="5" eb="6">
      <t>ゴウ</t>
    </rPh>
    <rPh sb="8" eb="9">
      <t>ヒガシ</t>
    </rPh>
    <rPh sb="9" eb="11">
      <t>ニホン</t>
    </rPh>
    <phoneticPr fontId="1"/>
  </si>
  <si>
    <t>コープきんき6月4回</t>
    <rPh sb="7" eb="8">
      <t>ガツ</t>
    </rPh>
    <rPh sb="9" eb="10">
      <t>カイ</t>
    </rPh>
    <phoneticPr fontId="1"/>
  </si>
  <si>
    <t>5/30点、6/18アバウト、本発注6/19～6/29</t>
    <rPh sb="4" eb="5">
      <t>テン</t>
    </rPh>
    <rPh sb="15" eb="16">
      <t>ホン</t>
    </rPh>
    <rPh sb="16" eb="18">
      <t>ハッチュウ</t>
    </rPh>
    <phoneticPr fontId="1"/>
  </si>
  <si>
    <t>日生協７号⑥（東日本）</t>
    <rPh sb="0" eb="2">
      <t>ニッセイ</t>
    </rPh>
    <rPh sb="2" eb="3">
      <t>キョウ</t>
    </rPh>
    <rPh sb="4" eb="5">
      <t>ゴウ</t>
    </rPh>
    <rPh sb="7" eb="8">
      <t>ヒガシ</t>
    </rPh>
    <rPh sb="8" eb="10">
      <t>ニホン</t>
    </rPh>
    <phoneticPr fontId="1"/>
  </si>
  <si>
    <t>日生協７号⑦（東日本）</t>
    <rPh sb="0" eb="2">
      <t>ニッセイ</t>
    </rPh>
    <rPh sb="2" eb="3">
      <t>キョウ</t>
    </rPh>
    <rPh sb="4" eb="5">
      <t>ゴウ</t>
    </rPh>
    <rPh sb="7" eb="8">
      <t>ヒガシ</t>
    </rPh>
    <rPh sb="8" eb="10">
      <t>ニホン</t>
    </rPh>
    <phoneticPr fontId="1"/>
  </si>
  <si>
    <t>コープきんき5月5回880円①</t>
    <rPh sb="7" eb="8">
      <t>ガツ</t>
    </rPh>
    <rPh sb="9" eb="10">
      <t>カイ</t>
    </rPh>
    <rPh sb="13" eb="14">
      <t>エン</t>
    </rPh>
    <phoneticPr fontId="1"/>
  </si>
  <si>
    <t>JOD特別号9519</t>
    <rPh sb="3" eb="5">
      <t>トクベツ</t>
    </rPh>
    <rPh sb="5" eb="6">
      <t>ゴウ</t>
    </rPh>
    <phoneticPr fontId="1"/>
  </si>
  <si>
    <t>パル・くらす7月1回（丸藤）</t>
    <rPh sb="7" eb="8">
      <t>ガツ</t>
    </rPh>
    <rPh sb="9" eb="10">
      <t>カイ</t>
    </rPh>
    <rPh sb="11" eb="13">
      <t>マルフジ</t>
    </rPh>
    <phoneticPr fontId="1"/>
  </si>
  <si>
    <t>日生協10号②</t>
    <rPh sb="0" eb="2">
      <t>ニッセイ</t>
    </rPh>
    <rPh sb="2" eb="3">
      <t>キョウ</t>
    </rPh>
    <rPh sb="5" eb="6">
      <t>ゴウ</t>
    </rPh>
    <phoneticPr fontId="1"/>
  </si>
  <si>
    <t>日生協13号①</t>
    <rPh sb="0" eb="2">
      <t>ニッセイ</t>
    </rPh>
    <rPh sb="2" eb="3">
      <t>キョウ</t>
    </rPh>
    <rPh sb="5" eb="6">
      <t>ゴウ</t>
    </rPh>
    <phoneticPr fontId="1"/>
  </si>
  <si>
    <t>JODアクセス7062</t>
    <phoneticPr fontId="1"/>
  </si>
  <si>
    <t>7/10～</t>
    <phoneticPr fontId="1"/>
  </si>
  <si>
    <t>日生協10号③</t>
    <rPh sb="0" eb="2">
      <t>ニッセイ</t>
    </rPh>
    <rPh sb="2" eb="3">
      <t>キョウ</t>
    </rPh>
    <rPh sb="5" eb="6">
      <t>ゴウ</t>
    </rPh>
    <phoneticPr fontId="1"/>
  </si>
  <si>
    <t>日生協13号②（東日本）</t>
    <rPh sb="0" eb="2">
      <t>ニッセイ</t>
    </rPh>
    <rPh sb="2" eb="3">
      <t>キョウ</t>
    </rPh>
    <rPh sb="5" eb="6">
      <t>ゴウ</t>
    </rPh>
    <rPh sb="8" eb="9">
      <t>ヒガシ</t>
    </rPh>
    <rPh sb="9" eb="11">
      <t>ニホン</t>
    </rPh>
    <phoneticPr fontId="1"/>
  </si>
  <si>
    <t>日生協13号③（西日本）</t>
    <rPh sb="0" eb="2">
      <t>ニッセイ</t>
    </rPh>
    <rPh sb="2" eb="3">
      <t>キョウ</t>
    </rPh>
    <rPh sb="5" eb="6">
      <t>ゴウ</t>
    </rPh>
    <rPh sb="8" eb="9">
      <t>ニシ</t>
    </rPh>
    <rPh sb="9" eb="11">
      <t>ニホン</t>
    </rPh>
    <phoneticPr fontId="1"/>
  </si>
  <si>
    <t>コープきんき5月5回880円②</t>
    <rPh sb="7" eb="8">
      <t>ガツ</t>
    </rPh>
    <rPh sb="9" eb="10">
      <t>カイ</t>
    </rPh>
    <rPh sb="13" eb="14">
      <t>エン</t>
    </rPh>
    <phoneticPr fontId="1"/>
  </si>
  <si>
    <t>5/16～</t>
    <phoneticPr fontId="1"/>
  </si>
  <si>
    <t>コープきんき6月4回①</t>
    <rPh sb="7" eb="8">
      <t>ガツ</t>
    </rPh>
    <rPh sb="9" eb="10">
      <t>カイ</t>
    </rPh>
    <phoneticPr fontId="1"/>
  </si>
  <si>
    <t>日生協13号(東日本）④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</si>
  <si>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日生協13号(西日本）⑤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</si>
  <si>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JOD BEAUTY通信0628裏</t>
    <rPh sb="10" eb="12">
      <t>ツウシン</t>
    </rPh>
    <rPh sb="16" eb="17">
      <t>ウラ</t>
    </rPh>
    <phoneticPr fontId="1"/>
  </si>
  <si>
    <t>日生協13号⑥</t>
    <rPh sb="0" eb="2">
      <t>ニッセイ</t>
    </rPh>
    <rPh sb="2" eb="3">
      <t>キョウ</t>
    </rPh>
    <rPh sb="5" eb="6">
      <t>ゴウ</t>
    </rPh>
    <phoneticPr fontId="1"/>
  </si>
  <si>
    <t>6/12～</t>
    <phoneticPr fontId="1"/>
  </si>
  <si>
    <t>コープきんき6月4回②</t>
    <rPh sb="7" eb="8">
      <t>ガツ</t>
    </rPh>
    <rPh sb="9" eb="10">
      <t>カイ</t>
    </rPh>
    <phoneticPr fontId="1"/>
  </si>
  <si>
    <t>日生協18号（特価）（東日本）①</t>
    <rPh sb="0" eb="2">
      <t>ニッセイ</t>
    </rPh>
    <rPh sb="2" eb="3">
      <t>キョウ</t>
    </rPh>
    <rPh sb="5" eb="6">
      <t>ゴウ</t>
    </rPh>
    <rPh sb="7" eb="9">
      <t>トッカ</t>
    </rPh>
    <rPh sb="11" eb="12">
      <t>ヒガシ</t>
    </rPh>
    <rPh sb="12" eb="14">
      <t>ニホン</t>
    </rPh>
    <phoneticPr fontId="1"/>
  </si>
  <si>
    <t>日生協18号（特価）（西日本）②</t>
    <rPh sb="0" eb="2">
      <t>ニッセイ</t>
    </rPh>
    <rPh sb="2" eb="3">
      <t>キョウ</t>
    </rPh>
    <rPh sb="5" eb="6">
      <t>ゴウ</t>
    </rPh>
    <rPh sb="7" eb="9">
      <t>トッカ</t>
    </rPh>
    <rPh sb="11" eb="12">
      <t>ニシ</t>
    </rPh>
    <rPh sb="12" eb="14">
      <t>ニホン</t>
    </rPh>
    <phoneticPr fontId="1"/>
  </si>
  <si>
    <t>パル・くらす7月1回（丸藤）①</t>
    <rPh sb="7" eb="8">
      <t>ガツ</t>
    </rPh>
    <rPh sb="9" eb="10">
      <t>カイ</t>
    </rPh>
    <rPh sb="11" eb="13">
      <t>マルフジ</t>
    </rPh>
    <phoneticPr fontId="1"/>
  </si>
  <si>
    <t>パル・くらす7月1回（丸藤）②</t>
    <rPh sb="7" eb="8">
      <t>ガツ</t>
    </rPh>
    <rPh sb="9" eb="10">
      <t>カイ</t>
    </rPh>
    <rPh sb="11" eb="13">
      <t>マルフジ</t>
    </rPh>
    <phoneticPr fontId="1"/>
  </si>
  <si>
    <t>日生協18号（特価）（西日本）③</t>
    <rPh sb="0" eb="2">
      <t>ニッセイ</t>
    </rPh>
    <rPh sb="2" eb="3">
      <t>キョウ</t>
    </rPh>
    <rPh sb="5" eb="6">
      <t>ゴウ</t>
    </rPh>
    <rPh sb="7" eb="9">
      <t>トッカ</t>
    </rPh>
    <rPh sb="11" eb="12">
      <t>ニシ</t>
    </rPh>
    <rPh sb="12" eb="14">
      <t>ニホン</t>
    </rPh>
    <phoneticPr fontId="1"/>
  </si>
  <si>
    <t>日生協18号（特価）（東日本）④</t>
    <rPh sb="0" eb="2">
      <t>ニッセイ</t>
    </rPh>
    <rPh sb="2" eb="3">
      <t>キョウ</t>
    </rPh>
    <rPh sb="5" eb="6">
      <t>ゴウ</t>
    </rPh>
    <rPh sb="7" eb="9">
      <t>トッカ</t>
    </rPh>
    <rPh sb="11" eb="12">
      <t>ヒガシ</t>
    </rPh>
    <rPh sb="12" eb="14">
      <t>ニホン</t>
    </rPh>
    <phoneticPr fontId="1"/>
  </si>
  <si>
    <t>JODメルシー0806</t>
    <phoneticPr fontId="1"/>
  </si>
  <si>
    <t>8/6～</t>
    <phoneticPr fontId="1"/>
  </si>
  <si>
    <t>日生協18号（特価）（西日本）⑤</t>
    <rPh sb="0" eb="2">
      <t>ニッセイ</t>
    </rPh>
    <rPh sb="2" eb="3">
      <t>キョウ</t>
    </rPh>
    <rPh sb="5" eb="6">
      <t>ゴウ</t>
    </rPh>
    <rPh sb="7" eb="9">
      <t>トッカ</t>
    </rPh>
    <rPh sb="11" eb="12">
      <t>ニシ</t>
    </rPh>
    <rPh sb="12" eb="14">
      <t>ニホン</t>
    </rPh>
    <phoneticPr fontId="1"/>
  </si>
  <si>
    <t>日生協18号（特価）（東日本）⑥</t>
    <rPh sb="0" eb="2">
      <t>ニッセイ</t>
    </rPh>
    <rPh sb="2" eb="3">
      <t>キョウ</t>
    </rPh>
    <rPh sb="5" eb="6">
      <t>ゴウ</t>
    </rPh>
    <rPh sb="7" eb="9">
      <t>トッカ</t>
    </rPh>
    <rPh sb="11" eb="12">
      <t>ヒガシ</t>
    </rPh>
    <rPh sb="12" eb="14">
      <t>ニホン</t>
    </rPh>
    <phoneticPr fontId="1"/>
  </si>
  <si>
    <t>日生協18号（特価）（東日本）⑦</t>
    <rPh sb="0" eb="2">
      <t>ニッセイ</t>
    </rPh>
    <rPh sb="2" eb="3">
      <t>キョウ</t>
    </rPh>
    <rPh sb="5" eb="6">
      <t>ゴウ</t>
    </rPh>
    <rPh sb="7" eb="9">
      <t>トッカ</t>
    </rPh>
    <rPh sb="11" eb="12">
      <t>ヒガシ</t>
    </rPh>
    <rPh sb="12" eb="14">
      <t>ニホン</t>
    </rPh>
    <phoneticPr fontId="1"/>
  </si>
  <si>
    <t>日生協18号（特価）（西日本）⑧</t>
    <rPh sb="0" eb="2">
      <t>ニッセイ</t>
    </rPh>
    <rPh sb="2" eb="3">
      <t>キョウ</t>
    </rPh>
    <rPh sb="5" eb="6">
      <t>ゴウ</t>
    </rPh>
    <rPh sb="7" eb="9">
      <t>トッカ</t>
    </rPh>
    <rPh sb="11" eb="12">
      <t>ニシ</t>
    </rPh>
    <rPh sb="12" eb="14">
      <t>ニホン</t>
    </rPh>
    <phoneticPr fontId="1"/>
  </si>
  <si>
    <t>日生協18号（特価）（東日本）⑨</t>
    <rPh sb="0" eb="2">
      <t>ニッセイ</t>
    </rPh>
    <rPh sb="2" eb="3">
      <t>キョウ</t>
    </rPh>
    <rPh sb="5" eb="6">
      <t>ゴウ</t>
    </rPh>
    <rPh sb="7" eb="9">
      <t>トッカ</t>
    </rPh>
    <rPh sb="11" eb="12">
      <t>ヒガシ</t>
    </rPh>
    <rPh sb="12" eb="14">
      <t>ニホン</t>
    </rPh>
    <phoneticPr fontId="1"/>
  </si>
  <si>
    <t>パルシステム（丸藤）</t>
    <rPh sb="7" eb="9">
      <t>マルフジ</t>
    </rPh>
    <phoneticPr fontId="1"/>
  </si>
  <si>
    <t>12月で提案中</t>
    <rPh sb="2" eb="3">
      <t>ガツ</t>
    </rPh>
    <rPh sb="4" eb="7">
      <t>テイアンチュウ</t>
    </rPh>
    <phoneticPr fontId="1"/>
  </si>
  <si>
    <t>6/25～</t>
  </si>
  <si>
    <t>日生協22号①</t>
    <rPh sb="0" eb="2">
      <t>ニッセイ</t>
    </rPh>
    <rPh sb="2" eb="3">
      <t>キョウ</t>
    </rPh>
    <rPh sb="5" eb="6">
      <t>ゴウ</t>
    </rPh>
    <phoneticPr fontId="1"/>
  </si>
  <si>
    <t>伝</t>
    <rPh sb="0" eb="1">
      <t>デン</t>
    </rPh>
    <phoneticPr fontId="1"/>
  </si>
  <si>
    <t>点4/1、アバウト4/14、4/21、最終4/29</t>
    <rPh sb="0" eb="1">
      <t>テン</t>
    </rPh>
    <rPh sb="19" eb="21">
      <t>サイシュウ</t>
    </rPh>
    <phoneticPr fontId="1"/>
  </si>
  <si>
    <t>点4/22、アバウト5/5、5/12、最終5/20</t>
    <rPh sb="0" eb="1">
      <t>テン</t>
    </rPh>
    <rPh sb="19" eb="21">
      <t>サイシュウ</t>
    </rPh>
    <phoneticPr fontId="1"/>
  </si>
  <si>
    <t>点5/13、アバウト5/26、6/2、最終6/10</t>
    <rPh sb="0" eb="1">
      <t>テン</t>
    </rPh>
    <rPh sb="19" eb="21">
      <t>サイシュウ</t>
    </rPh>
    <phoneticPr fontId="1"/>
  </si>
  <si>
    <t>コープきんき4月3回</t>
    <rPh sb="7" eb="8">
      <t>ガツ</t>
    </rPh>
    <rPh sb="9" eb="10">
      <t>カイ</t>
    </rPh>
    <phoneticPr fontId="1"/>
  </si>
  <si>
    <t>点3/26、アバウト4/7、本発注4/8～18</t>
    <rPh sb="0" eb="1">
      <t>テン</t>
    </rPh>
    <rPh sb="14" eb="15">
      <t>ホン</t>
    </rPh>
    <rPh sb="15" eb="17">
      <t>ハッチュウ</t>
    </rPh>
    <phoneticPr fontId="1"/>
  </si>
  <si>
    <t>JODメルシー0406</t>
    <phoneticPr fontId="1"/>
  </si>
  <si>
    <t>4/6～</t>
    <phoneticPr fontId="1"/>
  </si>
  <si>
    <t>日生協 6月18号</t>
    <rPh sb="0" eb="3">
      <t>ニッセイキョウ</t>
    </rPh>
    <rPh sb="5" eb="6">
      <t>ガツ</t>
    </rPh>
    <rPh sb="8" eb="9">
      <t>ゴウ</t>
    </rPh>
    <phoneticPr fontId="1"/>
  </si>
  <si>
    <t>点6/17、アバウト6/30、7/7、最終7/15</t>
    <rPh sb="0" eb="1">
      <t>テン</t>
    </rPh>
    <rPh sb="19" eb="21">
      <t>サイシュウ</t>
    </rPh>
    <phoneticPr fontId="1"/>
  </si>
  <si>
    <t>日生協4月10号</t>
    <rPh sb="0" eb="2">
      <t>ニッセイ</t>
    </rPh>
    <rPh sb="2" eb="3">
      <t>キョウ</t>
    </rPh>
    <rPh sb="4" eb="5">
      <t>ガツ</t>
    </rPh>
    <rPh sb="7" eb="8">
      <t>ゴウ</t>
    </rPh>
    <phoneticPr fontId="1"/>
  </si>
  <si>
    <t>日生協5月13号</t>
    <rPh sb="0" eb="3">
      <t>ニッセイキョウ</t>
    </rPh>
    <rPh sb="4" eb="5">
      <t>ガツ</t>
    </rPh>
    <rPh sb="7" eb="8">
      <t>ゴウ</t>
    </rPh>
    <phoneticPr fontId="1"/>
  </si>
  <si>
    <t>日生協4月7号</t>
    <rPh sb="0" eb="2">
      <t>ニッセイ</t>
    </rPh>
    <rPh sb="2" eb="3">
      <t>キョウ</t>
    </rPh>
    <rPh sb="4" eb="5">
      <t>ガツ</t>
    </rPh>
    <rPh sb="6" eb="7">
      <t>ゴウ</t>
    </rPh>
    <phoneticPr fontId="1"/>
  </si>
  <si>
    <t>コープきんき5月3回</t>
    <rPh sb="7" eb="8">
      <t>ガツ</t>
    </rPh>
    <rPh sb="9" eb="10">
      <t>カイ</t>
    </rPh>
    <phoneticPr fontId="1"/>
  </si>
  <si>
    <t>点4/30、アバウト5/19、本発注5/20～5/30</t>
    <rPh sb="0" eb="1">
      <t>テン</t>
    </rPh>
    <rPh sb="15" eb="16">
      <t>ホン</t>
    </rPh>
    <rPh sb="16" eb="18">
      <t>ハッチュウ</t>
    </rPh>
    <phoneticPr fontId="1"/>
  </si>
  <si>
    <t>コープきんき4月3回①</t>
    <rPh sb="7" eb="8">
      <t>ガツ</t>
    </rPh>
    <rPh sb="9" eb="10">
      <t>カイ</t>
    </rPh>
    <phoneticPr fontId="1"/>
  </si>
  <si>
    <t>日生協7月20号</t>
    <rPh sb="0" eb="2">
      <t>ニッセイ</t>
    </rPh>
    <rPh sb="2" eb="3">
      <t>キョウ</t>
    </rPh>
    <rPh sb="4" eb="5">
      <t>ガツ</t>
    </rPh>
    <rPh sb="7" eb="8">
      <t>ゴウ</t>
    </rPh>
    <phoneticPr fontId="1"/>
  </si>
  <si>
    <t>点7/1、キャ7/14、デリ7/21、最終7/29</t>
    <rPh sb="0" eb="1">
      <t>テン</t>
    </rPh>
    <rPh sb="19" eb="21">
      <t>サイシュウ</t>
    </rPh>
    <phoneticPr fontId="1"/>
  </si>
  <si>
    <t>日生協4月7号①</t>
    <rPh sb="0" eb="2">
      <t>ニッセイ</t>
    </rPh>
    <rPh sb="2" eb="3">
      <t>キョウ</t>
    </rPh>
    <rPh sb="4" eb="5">
      <t>ガツ</t>
    </rPh>
    <rPh sb="6" eb="7">
      <t>ゴウ</t>
    </rPh>
    <phoneticPr fontId="1"/>
  </si>
  <si>
    <t>コープきんき6月2回</t>
    <rPh sb="7" eb="8">
      <t>ガツ</t>
    </rPh>
    <rPh sb="9" eb="10">
      <t>カイ</t>
    </rPh>
    <phoneticPr fontId="1"/>
  </si>
  <si>
    <t>点5/21、アバウト6/2、本発注6/3～6/13</t>
    <rPh sb="0" eb="1">
      <t>テン</t>
    </rPh>
    <rPh sb="14" eb="15">
      <t>ホン</t>
    </rPh>
    <rPh sb="15" eb="17">
      <t>ハッチュウ</t>
    </rPh>
    <phoneticPr fontId="1"/>
  </si>
  <si>
    <t>2019/4/1伝</t>
    <rPh sb="8" eb="9">
      <t>デン</t>
    </rPh>
    <phoneticPr fontId="1"/>
  </si>
  <si>
    <t>2020/4/1伝</t>
    <rPh sb="8" eb="9">
      <t>デン</t>
    </rPh>
    <phoneticPr fontId="1"/>
  </si>
  <si>
    <t>日生協4月7号②</t>
    <rPh sb="0" eb="2">
      <t>ニッセイ</t>
    </rPh>
    <rPh sb="2" eb="3">
      <t>キョウ</t>
    </rPh>
    <rPh sb="4" eb="5">
      <t>ガツ</t>
    </rPh>
    <rPh sb="6" eb="7">
      <t>ゴウ</t>
    </rPh>
    <phoneticPr fontId="1"/>
  </si>
  <si>
    <t>コープきんき4月3回②</t>
    <rPh sb="7" eb="8">
      <t>ガツ</t>
    </rPh>
    <rPh sb="9" eb="10">
      <t>カイ</t>
    </rPh>
    <phoneticPr fontId="1"/>
  </si>
  <si>
    <t>JODアクセス7069</t>
    <phoneticPr fontId="1"/>
  </si>
  <si>
    <t>6/13～</t>
    <phoneticPr fontId="1"/>
  </si>
  <si>
    <t>日生協4月7号③</t>
    <rPh sb="0" eb="2">
      <t>ニッセイ</t>
    </rPh>
    <rPh sb="2" eb="3">
      <t>キョウ</t>
    </rPh>
    <rPh sb="4" eb="5">
      <t>ガツ</t>
    </rPh>
    <rPh sb="6" eb="7">
      <t>ゴウ</t>
    </rPh>
    <phoneticPr fontId="1"/>
  </si>
  <si>
    <t>日生協4月7号④</t>
    <rPh sb="0" eb="2">
      <t>ニッセイ</t>
    </rPh>
    <rPh sb="2" eb="3">
      <t>キョウ</t>
    </rPh>
    <rPh sb="4" eb="5">
      <t>ガツ</t>
    </rPh>
    <rPh sb="6" eb="7">
      <t>ゴウ</t>
    </rPh>
    <phoneticPr fontId="1"/>
  </si>
  <si>
    <t>日生協4月10号（東日本）①</t>
    <rPh sb="0" eb="2">
      <t>ニッセイ</t>
    </rPh>
    <rPh sb="2" eb="3">
      <t>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</si>
  <si>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日生協4月10号（西日本）①</t>
    <rPh sb="0" eb="2">
      <t>ニッセイ</t>
    </rPh>
    <rPh sb="2" eb="3">
      <t>キョウ</t>
    </rPh>
    <rPh sb="4" eb="5">
      <t>ガツ</t>
    </rPh>
    <rPh sb="7" eb="8">
      <t>ゴウ</t>
    </rPh>
    <rPh sb="9" eb="10">
      <t>ニシ</t>
    </rPh>
    <rPh sb="10" eb="12">
      <t>ニホン</t>
    </rPh>
    <phoneticPr fontId="1"/>
  </si>
  <si>
    <t>日生協4月7号⑤</t>
    <rPh sb="0" eb="2">
      <t>ニッセイ</t>
    </rPh>
    <rPh sb="2" eb="3">
      <t>キョウ</t>
    </rPh>
    <rPh sb="4" eb="5">
      <t>ガツ</t>
    </rPh>
    <rPh sb="6" eb="7">
      <t>ゴウ</t>
    </rPh>
    <phoneticPr fontId="1"/>
  </si>
  <si>
    <t>コープきんき７月2回</t>
    <rPh sb="7" eb="8">
      <t>ガツ</t>
    </rPh>
    <rPh sb="9" eb="10">
      <t>カイ</t>
    </rPh>
    <phoneticPr fontId="1"/>
  </si>
  <si>
    <t>点6/11、アバウト6/30、本発注7/1～7/11</t>
    <rPh sb="0" eb="1">
      <t>テン</t>
    </rPh>
    <rPh sb="15" eb="16">
      <t>ホン</t>
    </rPh>
    <rPh sb="16" eb="18">
      <t>ハッチュウ</t>
    </rPh>
    <phoneticPr fontId="1"/>
  </si>
  <si>
    <t>2020/5/1伝</t>
    <rPh sb="8" eb="9">
      <t>デン</t>
    </rPh>
    <phoneticPr fontId="1"/>
  </si>
  <si>
    <t>日生協4月10号（西日本）②</t>
    <rPh sb="0" eb="2">
      <t>ニッセイ</t>
    </rPh>
    <rPh sb="2" eb="3">
      <t>キョウ</t>
    </rPh>
    <rPh sb="4" eb="5">
      <t>ガツ</t>
    </rPh>
    <rPh sb="7" eb="8">
      <t>ゴウ</t>
    </rPh>
    <rPh sb="9" eb="10">
      <t>ニシ</t>
    </rPh>
    <rPh sb="10" eb="12">
      <t>ニホン</t>
    </rPh>
    <phoneticPr fontId="1"/>
  </si>
  <si>
    <t>日生協4月10号（東日本）②</t>
    <rPh sb="0" eb="2">
      <t>ニッセイ</t>
    </rPh>
    <rPh sb="2" eb="3">
      <t>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</si>
  <si>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JODアクセス7070</t>
    <phoneticPr fontId="1"/>
  </si>
  <si>
    <t>7/16～</t>
    <phoneticPr fontId="1"/>
  </si>
  <si>
    <t>日生協26号</t>
    <rPh sb="0" eb="2">
      <t>ニッセイ</t>
    </rPh>
    <rPh sb="2" eb="3">
      <t>キョウ</t>
    </rPh>
    <rPh sb="5" eb="6">
      <t>ゴウ</t>
    </rPh>
    <phoneticPr fontId="1"/>
  </si>
  <si>
    <t>点8/12、アバウト8/25、9/1、最終9/9</t>
    <rPh sb="0" eb="1">
      <t>テン</t>
    </rPh>
    <rPh sb="19" eb="21">
      <t>サイシュウ</t>
    </rPh>
    <phoneticPr fontId="1"/>
  </si>
  <si>
    <t>日生協5月13号(東日本）①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</si>
  <si>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日生協5月13号(西日本）①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1"/>
  </si>
  <si>
    <t>コープきんき5月3回②</t>
    <rPh sb="7" eb="8">
      <t>ガツ</t>
    </rPh>
    <rPh sb="9" eb="10">
      <t>カイ</t>
    </rPh>
    <phoneticPr fontId="1"/>
  </si>
  <si>
    <t>JOD</t>
  </si>
  <si>
    <t>コープきんき5月3回③</t>
    <rPh sb="7" eb="8">
      <t>ガツ</t>
    </rPh>
    <rPh sb="9" eb="10">
      <t>カイ</t>
    </rPh>
    <phoneticPr fontId="1"/>
  </si>
  <si>
    <t>JODメルシー0625</t>
    <phoneticPr fontId="1"/>
  </si>
  <si>
    <t>6/25～</t>
    <phoneticPr fontId="1"/>
  </si>
  <si>
    <t>コープきんき7月5回</t>
    <rPh sb="7" eb="8">
      <t>ガツ</t>
    </rPh>
    <rPh sb="9" eb="10">
      <t>カイ</t>
    </rPh>
    <phoneticPr fontId="1"/>
  </si>
  <si>
    <t>点7/9、アバウト7/21、本発注7/22～8/1</t>
    <rPh sb="0" eb="1">
      <t>テン</t>
    </rPh>
    <rPh sb="14" eb="15">
      <t>ホン</t>
    </rPh>
    <rPh sb="15" eb="17">
      <t>ハッチュウ</t>
    </rPh>
    <phoneticPr fontId="1"/>
  </si>
  <si>
    <t>日生協5月13号(西日本）②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1"/>
  </si>
  <si>
    <t>日生協5月13号(東日本）②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</si>
  <si>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日生協5月13号(東日本）③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</si>
  <si>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日生協5月13号(西日本）③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1"/>
  </si>
  <si>
    <t>点7/23、アバウト8/4、本発注8/5～8/15</t>
    <rPh sb="0" eb="1">
      <t>テン</t>
    </rPh>
    <rPh sb="14" eb="15">
      <t>ホン</t>
    </rPh>
    <rPh sb="15" eb="17">
      <t>ハッチュウ</t>
    </rPh>
    <phoneticPr fontId="1"/>
  </si>
  <si>
    <t>コープきんき6月2回①</t>
    <rPh sb="7" eb="8">
      <t>ガツ</t>
    </rPh>
    <rPh sb="9" eb="10">
      <t>カイ</t>
    </rPh>
    <phoneticPr fontId="1"/>
  </si>
  <si>
    <t>日生協5月13号(東日本）④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</si>
  <si>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日生協5月13号(東日本）⑤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</si>
  <si>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コープきんき７月2回①</t>
    <rPh sb="7" eb="8">
      <t>ガツ</t>
    </rPh>
    <rPh sb="9" eb="10">
      <t>カイ</t>
    </rPh>
    <phoneticPr fontId="1"/>
  </si>
  <si>
    <t>日生協 6月18号（西日本）①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1"/>
  </si>
  <si>
    <t>日生協 6月18号（東日本）①</t>
    <rPh sb="0" eb="3">
      <t>ニッセイキョウ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"/>
  </si>
  <si>
    <t>JODアクセス7071</t>
    <phoneticPr fontId="1"/>
  </si>
  <si>
    <t>8/17～</t>
    <phoneticPr fontId="1"/>
  </si>
  <si>
    <t>コープきんき７月2回②</t>
    <rPh sb="7" eb="8">
      <t>ガツ</t>
    </rPh>
    <rPh sb="9" eb="10">
      <t>カイ</t>
    </rPh>
    <phoneticPr fontId="1"/>
  </si>
  <si>
    <t>日生協 6月18号（西日本）②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1"/>
  </si>
  <si>
    <t>日生協 6月18号（東日本）②</t>
    <rPh sb="0" eb="3">
      <t>ニッセイキョウ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"/>
  </si>
  <si>
    <t>2020/7/1伝</t>
    <rPh sb="8" eb="9">
      <t>デン</t>
    </rPh>
    <phoneticPr fontId="1"/>
  </si>
  <si>
    <t>日生協 6月18号（東日本）③</t>
    <rPh sb="0" eb="3">
      <t>ニッセイキョウ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"/>
  </si>
  <si>
    <t>コープきんき７月2回③</t>
    <rPh sb="7" eb="8">
      <t>ガツ</t>
    </rPh>
    <rPh sb="9" eb="10">
      <t>カイ</t>
    </rPh>
    <phoneticPr fontId="1"/>
  </si>
  <si>
    <t>コープきんき7月5回①</t>
    <rPh sb="7" eb="8">
      <t>ガツ</t>
    </rPh>
    <rPh sb="9" eb="10">
      <t>カイ</t>
    </rPh>
    <phoneticPr fontId="1"/>
  </si>
  <si>
    <t>日生協 6月18号（西日本）③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1"/>
  </si>
  <si>
    <t>日生協7月20号(西日本）①</t>
    <rPh sb="0" eb="2">
      <t>ニッセイ</t>
    </rPh>
    <rPh sb="2" eb="3">
      <t>キョウ</t>
    </rPh>
    <rPh sb="4" eb="5">
      <t>ガツ</t>
    </rPh>
    <rPh sb="7" eb="8">
      <t>ゴウ</t>
    </rPh>
    <rPh sb="9" eb="10">
      <t>ニシ</t>
    </rPh>
    <rPh sb="10" eb="12">
      <t>ニホン</t>
    </rPh>
    <phoneticPr fontId="1"/>
  </si>
  <si>
    <t>日生協7月20号(東日本）①</t>
    <rPh sb="0" eb="2">
      <t>ニッセイ</t>
    </rPh>
    <rPh sb="2" eb="3">
      <t>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</si>
  <si>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日生協 6月18号（東日本）④</t>
    <rPh sb="0" eb="3">
      <t>ニッセイキョウ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"/>
  </si>
  <si>
    <t>日生協 6月18号（東日本）⑤</t>
    <rPh sb="0" eb="3">
      <t>ニッセイキョウ</t>
    </rPh>
    <rPh sb="5" eb="6">
      <t>ガツ</t>
    </rPh>
    <rPh sb="8" eb="9">
      <t>ゴウ</t>
    </rPh>
    <rPh sb="10" eb="11">
      <t>ヒガシ</t>
    </rPh>
    <rPh sb="11" eb="13">
      <t>ニホン</t>
    </rPh>
    <phoneticPr fontId="1"/>
  </si>
  <si>
    <t>JODメルシー0826</t>
    <phoneticPr fontId="1"/>
  </si>
  <si>
    <t>JOD特別号9966</t>
    <rPh sb="3" eb="5">
      <t>トクベツ</t>
    </rPh>
    <rPh sb="5" eb="6">
      <t>ゴウ</t>
    </rPh>
    <phoneticPr fontId="1"/>
  </si>
  <si>
    <t>8/26～</t>
    <phoneticPr fontId="1"/>
  </si>
  <si>
    <t>8/5～</t>
    <phoneticPr fontId="1"/>
  </si>
  <si>
    <t>日生協7月20号(西日本）②</t>
    <rPh sb="0" eb="2">
      <t>ニッセイ</t>
    </rPh>
    <rPh sb="2" eb="3">
      <t>キョウ</t>
    </rPh>
    <rPh sb="4" eb="5">
      <t>ガツ</t>
    </rPh>
    <rPh sb="7" eb="8">
      <t>ゴウ</t>
    </rPh>
    <rPh sb="9" eb="10">
      <t>ニシ</t>
    </rPh>
    <rPh sb="10" eb="12">
      <t>ニホン</t>
    </rPh>
    <phoneticPr fontId="1"/>
  </si>
  <si>
    <t>日生協7月20号(東日本）②</t>
    <rPh sb="0" eb="2">
      <t>ニッセイ</t>
    </rPh>
    <rPh sb="2" eb="3">
      <t>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</si>
  <si>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日生協7月20号(東日本）③</t>
    <rPh sb="0" eb="2">
      <t>ニッセイ</t>
    </rPh>
    <rPh sb="2" eb="3">
      <t>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</si>
  <si>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日生協7月20号(西日本）③</t>
    <rPh sb="0" eb="2">
      <t>ニッセイ</t>
    </rPh>
    <rPh sb="2" eb="3">
      <t>キョウ</t>
    </rPh>
    <rPh sb="4" eb="5">
      <t>ガツ</t>
    </rPh>
    <rPh sb="7" eb="8">
      <t>ゴウ</t>
    </rPh>
    <rPh sb="9" eb="10">
      <t>ニシ</t>
    </rPh>
    <rPh sb="10" eb="12">
      <t>ニホン</t>
    </rPh>
    <phoneticPr fontId="1"/>
  </si>
  <si>
    <t>コープきんき8月2回</t>
    <rPh sb="7" eb="8">
      <t>ガツ</t>
    </rPh>
    <rPh sb="9" eb="10">
      <t>カイ</t>
    </rPh>
    <phoneticPr fontId="1"/>
  </si>
  <si>
    <t>コープきんき8月2回①</t>
    <rPh sb="7" eb="8">
      <t>ガツ</t>
    </rPh>
    <rPh sb="9" eb="10">
      <t>カイ</t>
    </rPh>
    <phoneticPr fontId="1"/>
  </si>
  <si>
    <t>日生協7月20号(東日本）④</t>
    <rPh sb="0" eb="2">
      <t>ニッセイ</t>
    </rPh>
    <rPh sb="2" eb="3">
      <t>キョウ</t>
    </rPh>
    <rPh sb="4" eb="5">
      <t>ガツ</t>
    </rPh>
    <rPh sb="7" eb="8">
      <t>ゴウ</t>
    </rPh>
    <rPh sb="9" eb="10">
      <t>ヒガシ</t>
    </rPh>
    <rPh sb="10" eb="12">
      <t>ニホン</t>
    </rPh>
    <phoneticPr fontId="1"/>
  </si>
  <si>
    <t>コープきんき8月2回②</t>
    <rPh sb="7" eb="8">
      <t>ガツ</t>
    </rPh>
    <rPh sb="9" eb="10">
      <t>カイ</t>
    </rPh>
    <phoneticPr fontId="1"/>
  </si>
  <si>
    <t>日生協26号(西日本）①</t>
    <rPh sb="0" eb="2">
      <t>ニッセイ</t>
    </rPh>
    <rPh sb="2" eb="3">
      <t>キョウ</t>
    </rPh>
    <rPh sb="5" eb="6">
      <t>ゴウ</t>
    </rPh>
    <rPh sb="7" eb="10">
      <t>ニシニホン</t>
    </rPh>
    <phoneticPr fontId="1"/>
  </si>
  <si>
    <t>日生協26号(東日本）①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</si>
  <si>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日生協26号(西日本）②</t>
    <rPh sb="0" eb="2">
      <t>ニッセイ</t>
    </rPh>
    <rPh sb="2" eb="3">
      <t>キョウ</t>
    </rPh>
    <rPh sb="5" eb="6">
      <t>ゴウ</t>
    </rPh>
    <rPh sb="7" eb="10">
      <t>ニシニホン</t>
    </rPh>
    <phoneticPr fontId="1"/>
  </si>
  <si>
    <t>日生協26号(東日本）②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</si>
  <si>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日生協26号(東日本）③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</si>
  <si>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日生協26号(東日本）④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</si>
  <si>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日生協26号(東日本）⑤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</si>
  <si>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コープきんき3-4ｗ</t>
    <phoneticPr fontId="1"/>
  </si>
  <si>
    <t>日生協6号</t>
    <rPh sb="0" eb="3">
      <t>ニッセイキョウ</t>
    </rPh>
    <rPh sb="4" eb="5">
      <t>ゴウ</t>
    </rPh>
    <phoneticPr fontId="1"/>
  </si>
  <si>
    <t>点4/2、アバウト4/15、4/20、最終4/28</t>
    <rPh sb="0" eb="1">
      <t>テン</t>
    </rPh>
    <rPh sb="19" eb="21">
      <t>サイシュウ</t>
    </rPh>
    <phoneticPr fontId="1"/>
  </si>
  <si>
    <t>JODアクセス7075</t>
    <phoneticPr fontId="1"/>
  </si>
  <si>
    <t>2/19～</t>
    <phoneticPr fontId="1"/>
  </si>
  <si>
    <t>点2/25、アバウト3/16、本3/17～27</t>
    <rPh sb="0" eb="1">
      <t>テン</t>
    </rPh>
    <rPh sb="15" eb="16">
      <t>ホン</t>
    </rPh>
    <phoneticPr fontId="1"/>
  </si>
  <si>
    <t>コープきんき4-3ｗ</t>
    <phoneticPr fontId="1"/>
  </si>
  <si>
    <t>コープきんき5-3ｗ</t>
    <phoneticPr fontId="1"/>
  </si>
  <si>
    <t>日生協12号</t>
    <rPh sb="0" eb="2">
      <t>ニッセイ</t>
    </rPh>
    <rPh sb="2" eb="3">
      <t>キョウ</t>
    </rPh>
    <rPh sb="5" eb="6">
      <t>ゴウ</t>
    </rPh>
    <phoneticPr fontId="1"/>
  </si>
  <si>
    <t>点5/14、アバウト5/25・6/1、最終6/9</t>
    <rPh sb="0" eb="1">
      <t>テン</t>
    </rPh>
    <rPh sb="19" eb="21">
      <t>サイシュウ</t>
    </rPh>
    <phoneticPr fontId="1"/>
  </si>
  <si>
    <t>点4/1、アバウト4/13、本4/14～24</t>
    <rPh sb="0" eb="1">
      <t>テン</t>
    </rPh>
    <rPh sb="14" eb="20">
      <t>ホン４／１４カラ</t>
    </rPh>
    <phoneticPr fontId="1"/>
  </si>
  <si>
    <t>コープきんき3-4ｗ①</t>
    <phoneticPr fontId="1"/>
  </si>
  <si>
    <t>点6/18、キャ6/29、デリ7/6、最終7/14</t>
    <rPh sb="0" eb="1">
      <t>テン</t>
    </rPh>
    <rPh sb="19" eb="21">
      <t>サイシュウ</t>
    </rPh>
    <phoneticPr fontId="1"/>
  </si>
  <si>
    <t>点4/29、アバウト5/11、本5/12～22</t>
    <rPh sb="0" eb="1">
      <t>テン</t>
    </rPh>
    <rPh sb="15" eb="16">
      <t>ホン</t>
    </rPh>
    <phoneticPr fontId="1"/>
  </si>
  <si>
    <t>2020/3/10伝</t>
    <rPh sb="9" eb="10">
      <t>デン</t>
    </rPh>
    <phoneticPr fontId="1"/>
  </si>
  <si>
    <t>追加</t>
    <rPh sb="0" eb="2">
      <t>ツイカ</t>
    </rPh>
    <phoneticPr fontId="1"/>
  </si>
  <si>
    <t>夢販</t>
    <rPh sb="0" eb="2">
      <t>ユメハン</t>
    </rPh>
    <phoneticPr fontId="1"/>
  </si>
  <si>
    <t>コープきんき3-4ｗ②</t>
    <phoneticPr fontId="1"/>
  </si>
  <si>
    <t>日生協21号</t>
    <rPh sb="0" eb="3">
      <t>ニッセイキョウ</t>
    </rPh>
    <rPh sb="5" eb="6">
      <t>ゴウ</t>
    </rPh>
    <phoneticPr fontId="1"/>
  </si>
  <si>
    <t>コープきんき4-3ｗ①</t>
    <phoneticPr fontId="1"/>
  </si>
  <si>
    <t>夢販</t>
    <rPh sb="0" eb="2">
      <t>ユメハン</t>
    </rPh>
    <phoneticPr fontId="1"/>
  </si>
  <si>
    <t>追加</t>
    <rPh sb="0" eb="2">
      <t>ツイカ</t>
    </rPh>
    <phoneticPr fontId="1"/>
  </si>
  <si>
    <t>コープきんき6-2w</t>
    <phoneticPr fontId="1"/>
  </si>
  <si>
    <t>点5/20、アバウト6/1、本6/2～12</t>
    <rPh sb="0" eb="1">
      <t>テン</t>
    </rPh>
    <rPh sb="14" eb="15">
      <t>ホン</t>
    </rPh>
    <phoneticPr fontId="1"/>
  </si>
  <si>
    <t>日生協6号(東日本）①</t>
    <rPh sb="0" eb="3">
      <t>ニッセイキョウ</t>
    </rPh>
    <rPh sb="4" eb="5">
      <t>ゴウ</t>
    </rPh>
    <rPh sb="6" eb="9">
      <t>ヒガシニホン</t>
    </rPh>
    <phoneticPr fontId="1"/>
  </si>
  <si>
    <t>日生協6号(東日本）②</t>
    <rPh sb="0" eb="3">
      <t>ニッセイキョウ</t>
    </rPh>
    <rPh sb="4" eb="5">
      <t>ゴウ</t>
    </rPh>
    <rPh sb="6" eb="9">
      <t>ヒガシニホン</t>
    </rPh>
    <phoneticPr fontId="1"/>
  </si>
  <si>
    <t>日生協6号(西日本）①</t>
    <rPh sb="0" eb="3">
      <t>ニッセイキョウ</t>
    </rPh>
    <rPh sb="4" eb="5">
      <t>ゴウ</t>
    </rPh>
    <rPh sb="6" eb="7">
      <t>ニシ</t>
    </rPh>
    <rPh sb="7" eb="9">
      <t>ニホン</t>
    </rPh>
    <phoneticPr fontId="1"/>
  </si>
  <si>
    <t>点7/16、デリ8/3、最終8/11</t>
    <rPh sb="0" eb="1">
      <t>テン</t>
    </rPh>
    <rPh sb="12" eb="14">
      <t>サイシュウ</t>
    </rPh>
    <phoneticPr fontId="1"/>
  </si>
  <si>
    <t>JOD特別号9984</t>
    <rPh sb="3" eb="5">
      <t>トクベツ</t>
    </rPh>
    <rPh sb="5" eb="6">
      <t>ゴウ</t>
    </rPh>
    <phoneticPr fontId="1"/>
  </si>
  <si>
    <t>5/6～</t>
    <phoneticPr fontId="1"/>
  </si>
  <si>
    <t>コープきんき7-1ｗ</t>
    <phoneticPr fontId="1"/>
  </si>
  <si>
    <t>コープきんき8-1ｗ</t>
    <phoneticPr fontId="1"/>
  </si>
  <si>
    <t>コープきんき4-3ｗ②</t>
    <phoneticPr fontId="1"/>
  </si>
  <si>
    <t>日生協6号(西日本）②</t>
    <rPh sb="0" eb="3">
      <t>ニッセイキョウ</t>
    </rPh>
    <rPh sb="4" eb="5">
      <t>ゴウ</t>
    </rPh>
    <rPh sb="6" eb="7">
      <t>ニシ</t>
    </rPh>
    <rPh sb="7" eb="9">
      <t>ニホン</t>
    </rPh>
    <phoneticPr fontId="1"/>
  </si>
  <si>
    <t>日生協6号(東日本）③</t>
    <rPh sb="0" eb="3">
      <t>ニッセイキョウ</t>
    </rPh>
    <rPh sb="4" eb="5">
      <t>ゴウ</t>
    </rPh>
    <rPh sb="6" eb="9">
      <t>ヒガシニホン</t>
    </rPh>
    <phoneticPr fontId="1"/>
  </si>
  <si>
    <t>JOD(西濃）</t>
    <rPh sb="4" eb="6">
      <t>セイノウ</t>
    </rPh>
    <phoneticPr fontId="1"/>
  </si>
  <si>
    <t>日生協6号(東日本）④</t>
    <rPh sb="0" eb="3">
      <t>ニッセイキョウ</t>
    </rPh>
    <rPh sb="4" eb="5">
      <t>ゴウ</t>
    </rPh>
    <rPh sb="6" eb="9">
      <t>ヒガシニホン</t>
    </rPh>
    <phoneticPr fontId="1"/>
  </si>
  <si>
    <t>追加</t>
    <rPh sb="0" eb="2">
      <t>ツイカ</t>
    </rPh>
    <phoneticPr fontId="1"/>
  </si>
  <si>
    <t>コープきんき5-3ｗ①</t>
    <phoneticPr fontId="1"/>
  </si>
  <si>
    <t>点6/10、アバウト6/29、本6/30～7/10</t>
    <rPh sb="0" eb="1">
      <t>テン</t>
    </rPh>
    <rPh sb="15" eb="16">
      <t>ホン</t>
    </rPh>
    <phoneticPr fontId="1"/>
  </si>
  <si>
    <t>ネット</t>
    <phoneticPr fontId="1"/>
  </si>
  <si>
    <t xml:space="preserve">夢販 </t>
    <rPh sb="0" eb="2">
      <t>ユメハン</t>
    </rPh>
    <phoneticPr fontId="1"/>
  </si>
  <si>
    <t>日生協25号</t>
    <rPh sb="0" eb="2">
      <t>ニッセイ</t>
    </rPh>
    <rPh sb="2" eb="3">
      <t>キョウ</t>
    </rPh>
    <rPh sb="5" eb="6">
      <t>ゴウ</t>
    </rPh>
    <phoneticPr fontId="1"/>
  </si>
  <si>
    <t>点8/13、キャ8/24、デリ8/31、最終9/8</t>
    <rPh sb="0" eb="1">
      <t>テン</t>
    </rPh>
    <rPh sb="20" eb="22">
      <t>サイシュウ</t>
    </rPh>
    <phoneticPr fontId="1"/>
  </si>
  <si>
    <t>JODメルシー0615</t>
    <phoneticPr fontId="1"/>
  </si>
  <si>
    <t>日生協12号(西日本）①</t>
    <rPh sb="0" eb="2">
      <t>ニッセイ</t>
    </rPh>
    <rPh sb="2" eb="3">
      <t>キョウ</t>
    </rPh>
    <rPh sb="5" eb="6">
      <t>ゴウ</t>
    </rPh>
    <rPh sb="7" eb="10">
      <t>ニシニホン</t>
    </rPh>
    <phoneticPr fontId="1"/>
  </si>
  <si>
    <t>日生協12号(東日本）①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</si>
  <si>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コープきんき5-3ｗ②</t>
    <phoneticPr fontId="1"/>
  </si>
  <si>
    <t>コープきんき6-2w①</t>
    <phoneticPr fontId="1"/>
  </si>
  <si>
    <t>追加</t>
    <rPh sb="0" eb="2">
      <t>ツイカ</t>
    </rPh>
    <phoneticPr fontId="1"/>
  </si>
  <si>
    <t>夢販</t>
    <rPh sb="0" eb="2">
      <t>ユメハン</t>
    </rPh>
    <phoneticPr fontId="1"/>
  </si>
  <si>
    <t>夢販</t>
    <rPh sb="0" eb="2">
      <t>ユメハン</t>
    </rPh>
    <phoneticPr fontId="1"/>
  </si>
  <si>
    <t>日生協12号(西日本）②</t>
    <rPh sb="0" eb="2">
      <t>ニッセイ</t>
    </rPh>
    <rPh sb="2" eb="3">
      <t>キョウ</t>
    </rPh>
    <rPh sb="5" eb="6">
      <t>ゴウ</t>
    </rPh>
    <rPh sb="7" eb="10">
      <t>ニシニホン</t>
    </rPh>
    <phoneticPr fontId="1"/>
  </si>
  <si>
    <t>日生協12号(東日本）②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</si>
  <si>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日生協12号(西日本）③</t>
    <rPh sb="0" eb="2">
      <t>ニッセイ</t>
    </rPh>
    <rPh sb="2" eb="3">
      <t>キョウ</t>
    </rPh>
    <rPh sb="5" eb="6">
      <t>ゴウ</t>
    </rPh>
    <rPh sb="7" eb="10">
      <t>ニシニホン</t>
    </rPh>
    <phoneticPr fontId="1"/>
  </si>
  <si>
    <t>日生協12号(東日本）③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</si>
  <si>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ネット</t>
    <phoneticPr fontId="1"/>
  </si>
  <si>
    <t>コープきんき6-2w②</t>
    <phoneticPr fontId="1"/>
  </si>
  <si>
    <t>日生協12号(東日本）④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</si>
  <si>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日生協12号(東日本）⑤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</si>
  <si>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コープきんき6-2w③</t>
    <phoneticPr fontId="1"/>
  </si>
  <si>
    <t>夢販</t>
    <rPh sb="0" eb="2">
      <t>ユメハン</t>
    </rPh>
    <phoneticPr fontId="1"/>
  </si>
  <si>
    <t>JOD返品</t>
    <rPh sb="3" eb="5">
      <t>ヘンピン</t>
    </rPh>
    <phoneticPr fontId="1"/>
  </si>
  <si>
    <t>日生協17号(西日本)①</t>
    <rPh sb="0" eb="3">
      <t>ニッセイキョウ</t>
    </rPh>
    <rPh sb="5" eb="6">
      <t>ゴウ</t>
    </rPh>
    <rPh sb="7" eb="10">
      <t>ニシニホン</t>
    </rPh>
    <phoneticPr fontId="1"/>
  </si>
  <si>
    <t>日生協17号(東日本)①</t>
    <rPh sb="0" eb="3">
      <t>ニッセイキョウ</t>
    </rPh>
    <rPh sb="5" eb="6">
      <t>ゴウ</t>
    </rPh>
    <rPh sb="7" eb="8">
      <t>ヒガシ</t>
    </rPh>
    <rPh sb="8" eb="10">
      <t>ニッポン</t>
    </rPh>
    <phoneticPr fontId="1"/>
  </si>
  <si>
    <t>くらし返品</t>
    <rPh sb="3" eb="5">
      <t>ヘンピン</t>
    </rPh>
    <phoneticPr fontId="1"/>
  </si>
  <si>
    <t>JOD　BEAUTY通信0728</t>
    <rPh sb="10" eb="12">
      <t>ツウシン</t>
    </rPh>
    <phoneticPr fontId="1"/>
  </si>
  <si>
    <t>7/26～</t>
    <phoneticPr fontId="1"/>
  </si>
  <si>
    <t>コープきんき7-1ｗ①</t>
    <phoneticPr fontId="1"/>
  </si>
  <si>
    <t>日生協17号(東日本）②</t>
    <rPh sb="0" eb="3">
      <t>ニッセイキョウ</t>
    </rPh>
    <rPh sb="5" eb="6">
      <t>ゴウ</t>
    </rPh>
    <rPh sb="7" eb="10">
      <t>ヒガシニホン</t>
    </rPh>
    <phoneticPr fontId="1"/>
  </si>
  <si>
    <t>日生協17号(西日本)②</t>
    <rPh sb="0" eb="3">
      <t>ニッセイキョウ</t>
    </rPh>
    <rPh sb="5" eb="6">
      <t>ゴウ</t>
    </rPh>
    <rPh sb="7" eb="10">
      <t>ニシニホン</t>
    </rPh>
    <phoneticPr fontId="1"/>
  </si>
  <si>
    <t>日生協17号(東日本）③</t>
    <rPh sb="0" eb="3">
      <t>ニッセイキョウ</t>
    </rPh>
    <rPh sb="5" eb="6">
      <t>ゴウ</t>
    </rPh>
    <rPh sb="7" eb="10">
      <t>ヒガシニホン</t>
    </rPh>
    <phoneticPr fontId="1"/>
  </si>
  <si>
    <t>日生協17号(東日本）④</t>
    <rPh sb="0" eb="3">
      <t>ニッセイキョウ</t>
    </rPh>
    <rPh sb="5" eb="6">
      <t>ゴウ</t>
    </rPh>
    <rPh sb="7" eb="10">
      <t>ヒガシニホン</t>
    </rPh>
    <phoneticPr fontId="1"/>
  </si>
  <si>
    <t>点7/15、アバウト7/27、本7/28～8/7</t>
    <rPh sb="0" eb="1">
      <t>テン</t>
    </rPh>
    <rPh sb="15" eb="16">
      <t>ホン</t>
    </rPh>
    <phoneticPr fontId="1"/>
  </si>
  <si>
    <t>コープきんき8-1ｗ①</t>
    <phoneticPr fontId="1"/>
  </si>
  <si>
    <t>JOD(西濃）</t>
    <rPh sb="4" eb="6">
      <t>セイノウ</t>
    </rPh>
    <phoneticPr fontId="1"/>
  </si>
  <si>
    <t>ネット</t>
    <phoneticPr fontId="1"/>
  </si>
  <si>
    <t>夢販</t>
    <rPh sb="0" eb="2">
      <t>ユメハン</t>
    </rPh>
    <phoneticPr fontId="1"/>
  </si>
  <si>
    <t>日生協21号(東日本）①</t>
    <rPh sb="0" eb="3">
      <t>ニッセイキョウ</t>
    </rPh>
    <rPh sb="5" eb="6">
      <t>ゴウ</t>
    </rPh>
    <rPh sb="7" eb="10">
      <t>ヒガシニホン</t>
    </rPh>
    <phoneticPr fontId="1"/>
  </si>
  <si>
    <t>日生協21号(西日本）①</t>
    <rPh sb="0" eb="3">
      <t>ニッセイキョウ</t>
    </rPh>
    <rPh sb="5" eb="6">
      <t>ゴウ</t>
    </rPh>
    <rPh sb="7" eb="8">
      <t>ニシ</t>
    </rPh>
    <rPh sb="8" eb="10">
      <t>ニホン</t>
    </rPh>
    <phoneticPr fontId="1"/>
  </si>
  <si>
    <t>コープきんき8-1ｗ②</t>
    <phoneticPr fontId="1"/>
  </si>
  <si>
    <t>コープきんき8-1ｗ③</t>
    <phoneticPr fontId="1"/>
  </si>
  <si>
    <t>日生協21号(東日本）②</t>
    <rPh sb="0" eb="3">
      <t>ニッセイキョウ</t>
    </rPh>
    <rPh sb="5" eb="6">
      <t>ゴウ</t>
    </rPh>
    <rPh sb="7" eb="10">
      <t>ヒガシニホン</t>
    </rPh>
    <phoneticPr fontId="1"/>
  </si>
  <si>
    <t>JOD/BEATY通信0906</t>
    <rPh sb="9" eb="11">
      <t>ツウシン</t>
    </rPh>
    <phoneticPr fontId="1"/>
  </si>
  <si>
    <t>9/3～</t>
    <phoneticPr fontId="1"/>
  </si>
  <si>
    <t>日生協21号(東日本）③</t>
    <rPh sb="0" eb="3">
      <t>ニッセイキョウ</t>
    </rPh>
    <rPh sb="5" eb="6">
      <t>ゴウ</t>
    </rPh>
    <rPh sb="7" eb="10">
      <t>ヒガシニホン</t>
    </rPh>
    <phoneticPr fontId="1"/>
  </si>
  <si>
    <t>夢販</t>
    <rPh sb="0" eb="2">
      <t>ユメハン</t>
    </rPh>
    <phoneticPr fontId="1"/>
  </si>
  <si>
    <t>日生協25号(東日本）①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</si>
  <si>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日生協25号(西日本）①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</si>
  <si>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日生協25号(東日本）②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</si>
  <si>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日生協25号(東日本）③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</si>
  <si>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在庫確認</t>
    <rPh sb="0" eb="4">
      <t>ザイコカクニン</t>
    </rPh>
    <phoneticPr fontId="1"/>
  </si>
  <si>
    <t>日生協25号(東日本）④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</si>
  <si>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日生協25号(東日本）⑤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</si>
  <si>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JOD(西濃）</t>
    <rPh sb="4" eb="6">
      <t>セイノウ</t>
    </rPh>
    <phoneticPr fontId="1"/>
  </si>
  <si>
    <t>JODアクセス7080</t>
    <phoneticPr fontId="1"/>
  </si>
  <si>
    <t>10/2～</t>
    <phoneticPr fontId="1"/>
  </si>
  <si>
    <t>JOD返品</t>
    <rPh sb="3" eb="5">
      <t>ヘンピン</t>
    </rPh>
    <phoneticPr fontId="1"/>
  </si>
  <si>
    <t>ネット</t>
    <phoneticPr fontId="1"/>
  </si>
  <si>
    <t>丸藤sample</t>
    <rPh sb="0" eb="2">
      <t>マルフジ</t>
    </rPh>
    <phoneticPr fontId="1"/>
  </si>
  <si>
    <t>コープきんき4月2回</t>
    <rPh sb="7" eb="8">
      <t>ガツ</t>
    </rPh>
    <rPh sb="9" eb="10">
      <t>カイ</t>
    </rPh>
    <phoneticPr fontId="1"/>
  </si>
  <si>
    <t>JODアクセス7083</t>
    <phoneticPr fontId="1"/>
  </si>
  <si>
    <t>2/18～</t>
    <phoneticPr fontId="1"/>
  </si>
  <si>
    <t>点4/1・アバウト4/14、19・最終4/27</t>
    <rPh sb="0" eb="1">
      <t>テン</t>
    </rPh>
    <rPh sb="17" eb="19">
      <t>サイシュウ</t>
    </rPh>
    <phoneticPr fontId="1"/>
  </si>
  <si>
    <t>点5/6、アバウト5/19・5/24、最終6/1</t>
    <rPh sb="0" eb="1">
      <t>テン</t>
    </rPh>
    <rPh sb="19" eb="21">
      <t>サイシュウ</t>
    </rPh>
    <phoneticPr fontId="1"/>
  </si>
  <si>
    <t>点3/17、アバウト4/5、本4/6～16</t>
    <rPh sb="0" eb="1">
      <t>テン</t>
    </rPh>
    <rPh sb="14" eb="15">
      <t>ホン</t>
    </rPh>
    <phoneticPr fontId="1"/>
  </si>
  <si>
    <t>JOD</t>
    <phoneticPr fontId="1"/>
  </si>
  <si>
    <t>JOD/BEAUTY通信0328</t>
    <rPh sb="10" eb="12">
      <t>ツウシン</t>
    </rPh>
    <phoneticPr fontId="1"/>
  </si>
  <si>
    <t>3/26～</t>
    <phoneticPr fontId="1"/>
  </si>
  <si>
    <t>点6/17、アバウト6/28・7/5、最終7/13</t>
    <rPh sb="0" eb="1">
      <t>テン</t>
    </rPh>
    <rPh sb="19" eb="21">
      <t>サイシュウ</t>
    </rPh>
    <phoneticPr fontId="1"/>
  </si>
  <si>
    <t>日生協6月17号（¥880）</t>
    <rPh sb="0" eb="3">
      <t>ニッセイキョウ</t>
    </rPh>
    <rPh sb="4" eb="5">
      <t>ガツ</t>
    </rPh>
    <rPh sb="7" eb="8">
      <t>ゴウ</t>
    </rPh>
    <phoneticPr fontId="1"/>
  </si>
  <si>
    <t>夢販</t>
    <rPh sb="0" eb="2">
      <t>ユメハン</t>
    </rPh>
    <phoneticPr fontId="1"/>
  </si>
  <si>
    <t>日生協4月6号（東日本）①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</si>
  <si>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点7/15、アバウト7/26、8/2、最終8/10</t>
    <rPh sb="0" eb="1">
      <t>テン</t>
    </rPh>
    <rPh sb="19" eb="21">
      <t>サイシュウ</t>
    </rPh>
    <phoneticPr fontId="1"/>
  </si>
  <si>
    <t>日生協4月6号（東日本）②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</si>
  <si>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日生協4月6号（西日本）①</t>
    <rPh sb="0" eb="3">
      <t>ニッセイキョウ</t>
    </rPh>
    <rPh sb="4" eb="5">
      <t>ガツ</t>
    </rPh>
    <rPh sb="6" eb="7">
      <t>ゴウ</t>
    </rPh>
    <rPh sb="8" eb="9">
      <t>ニシ</t>
    </rPh>
    <rPh sb="9" eb="11">
      <t>ニホン</t>
    </rPh>
    <phoneticPr fontId="1"/>
  </si>
  <si>
    <t>2021/4/1伝</t>
    <rPh sb="8" eb="9">
      <t>デン</t>
    </rPh>
    <phoneticPr fontId="1"/>
  </si>
  <si>
    <t>JODアクセス7085</t>
    <phoneticPr fontId="1"/>
  </si>
  <si>
    <t>日生協4月6号（東日本）③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</si>
  <si>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日生協4月6号（西日本）②</t>
    <rPh sb="0" eb="3">
      <t>ニッセイキョウ</t>
    </rPh>
    <rPh sb="4" eb="5">
      <t>ガツ</t>
    </rPh>
    <rPh sb="6" eb="7">
      <t>ゴウ</t>
    </rPh>
    <rPh sb="8" eb="9">
      <t>ニシ</t>
    </rPh>
    <rPh sb="9" eb="11">
      <t>ニホン</t>
    </rPh>
    <phoneticPr fontId="1"/>
  </si>
  <si>
    <t>日生協4月6号（西日本）③</t>
    <rPh sb="0" eb="3">
      <t>ニッセイキョウ</t>
    </rPh>
    <rPh sb="4" eb="5">
      <t>ガツ</t>
    </rPh>
    <rPh sb="6" eb="7">
      <t>ゴウ</t>
    </rPh>
    <rPh sb="8" eb="9">
      <t>ニシ</t>
    </rPh>
    <rPh sb="9" eb="11">
      <t>ニホン</t>
    </rPh>
    <phoneticPr fontId="1"/>
  </si>
  <si>
    <t>夢販</t>
    <rPh sb="0" eb="2">
      <t>ユメハン</t>
    </rPh>
    <phoneticPr fontId="1"/>
  </si>
  <si>
    <t>日生協4月6号（東日本）④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</si>
  <si>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日生協4月6号（東日本）⑤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</si>
  <si>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日生協4月6号（東日本）⑥</t>
    <rPh sb="0" eb="3">
      <t>ニッセイキョウ</t>
    </rPh>
    <rPh sb="4" eb="5">
      <t>ガツ</t>
    </rPh>
    <rPh sb="6" eb="7">
      <t>ゴウ</t>
    </rPh>
    <rPh sb="8" eb="11">
      <t>ヒガシニホン</t>
    </rPh>
    <phoneticPr fontId="1"/>
  </si>
  <si>
    <t>日生協5月11号(東日本）①</t>
    <rPh sb="0" eb="3">
      <t>ニッセイキョウ</t>
    </rPh>
    <rPh sb="4" eb="5">
      <t>ガツ</t>
    </rPh>
    <rPh sb="7" eb="8">
      <t>ゴウ</t>
    </rPh>
    <rPh sb="9" eb="12">
      <t>ヒガシニホン</t>
    </rPh>
    <phoneticPr fontId="1"/>
  </si>
  <si>
    <t>日生協5月11号(西日本）①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1"/>
  </si>
  <si>
    <t>コープきんき7月1回</t>
    <rPh sb="7" eb="8">
      <t>ガツ</t>
    </rPh>
    <rPh sb="9" eb="10">
      <t>カイ</t>
    </rPh>
    <phoneticPr fontId="1"/>
  </si>
  <si>
    <t>点6/9、アバウト6/28、本6/29～7/9</t>
    <rPh sb="0" eb="1">
      <t>テン</t>
    </rPh>
    <rPh sb="14" eb="15">
      <t>ホン</t>
    </rPh>
    <phoneticPr fontId="1"/>
  </si>
  <si>
    <t>点8/12、アバウト8/23、30、最終9/7</t>
    <rPh sb="0" eb="1">
      <t>テン</t>
    </rPh>
    <rPh sb="18" eb="20">
      <t>サイシュウ</t>
    </rPh>
    <phoneticPr fontId="1"/>
  </si>
  <si>
    <t>日生協8月25号（¥880）</t>
    <rPh sb="0" eb="3">
      <t>ニッセイキョウ</t>
    </rPh>
    <rPh sb="4" eb="5">
      <t>ガツ</t>
    </rPh>
    <rPh sb="7" eb="8">
      <t>ゴウ</t>
    </rPh>
    <phoneticPr fontId="1"/>
  </si>
  <si>
    <t>日生協7月21号（¥980）</t>
    <rPh sb="0" eb="3">
      <t>ニッセイキョウ</t>
    </rPh>
    <rPh sb="4" eb="5">
      <t>ガツ</t>
    </rPh>
    <rPh sb="7" eb="8">
      <t>ゴウ</t>
    </rPh>
    <phoneticPr fontId="1"/>
  </si>
  <si>
    <t>日生協5月11号（¥980）</t>
    <rPh sb="0" eb="3">
      <t>ニッセイキョウ</t>
    </rPh>
    <rPh sb="4" eb="5">
      <t>ガツ</t>
    </rPh>
    <rPh sb="7" eb="8">
      <t>ゴウ</t>
    </rPh>
    <phoneticPr fontId="1"/>
  </si>
  <si>
    <t>日生協4月6号（¥980）</t>
    <rPh sb="0" eb="3">
      <t>ニッセイキョウ</t>
    </rPh>
    <rPh sb="4" eb="5">
      <t>ガツ</t>
    </rPh>
    <rPh sb="6" eb="7">
      <t>ゴウ</t>
    </rPh>
    <phoneticPr fontId="1"/>
  </si>
  <si>
    <t>2022/5/2伝</t>
    <rPh sb="8" eb="9">
      <t>デン</t>
    </rPh>
    <phoneticPr fontId="1"/>
  </si>
  <si>
    <t>日生協5月11号(西日本）②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1"/>
  </si>
  <si>
    <t>日生協5月11号(東日本）②</t>
    <rPh sb="0" eb="3">
      <t>ニッセイキョウ</t>
    </rPh>
    <rPh sb="4" eb="5">
      <t>ガツ</t>
    </rPh>
    <rPh sb="7" eb="8">
      <t>ゴウ</t>
    </rPh>
    <rPh sb="9" eb="12">
      <t>ヒガシニホン</t>
    </rPh>
    <phoneticPr fontId="1"/>
  </si>
  <si>
    <t>夢販</t>
    <rPh sb="0" eb="2">
      <t>ユメハン</t>
    </rPh>
    <phoneticPr fontId="1"/>
  </si>
  <si>
    <t>日生協5月11号(東日本）③</t>
    <rPh sb="0" eb="3">
      <t>ニッセイキョウ</t>
    </rPh>
    <rPh sb="4" eb="5">
      <t>ガツ</t>
    </rPh>
    <rPh sb="7" eb="8">
      <t>ゴウ</t>
    </rPh>
    <rPh sb="9" eb="12">
      <t>ヒガシニホン</t>
    </rPh>
    <phoneticPr fontId="1"/>
  </si>
  <si>
    <t>コープきんき8月1回</t>
    <rPh sb="7" eb="8">
      <t>ガツ</t>
    </rPh>
    <rPh sb="9" eb="10">
      <t>カイ</t>
    </rPh>
    <phoneticPr fontId="1"/>
  </si>
  <si>
    <t>点7/7、アバウト7/26、本7/27～8/6</t>
    <rPh sb="0" eb="1">
      <t>テン</t>
    </rPh>
    <rPh sb="14" eb="15">
      <t>ホン</t>
    </rPh>
    <phoneticPr fontId="1"/>
  </si>
  <si>
    <t>日生協6月17号（¥880）西日本①</t>
    <rPh sb="0" eb="3">
      <t>ニッセイキョウ</t>
    </rPh>
    <rPh sb="4" eb="5">
      <t>ガツ</t>
    </rPh>
    <rPh sb="7" eb="8">
      <t>ゴウ</t>
    </rPh>
    <rPh sb="14" eb="17">
      <t>ニシニホン</t>
    </rPh>
    <phoneticPr fontId="1"/>
  </si>
  <si>
    <t>日生協6月17号（¥880）東日本①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1"/>
  </si>
  <si>
    <t>くらし企画返品</t>
    <rPh sb="3" eb="7">
      <t>キカクヘンピン</t>
    </rPh>
    <phoneticPr fontId="1"/>
  </si>
  <si>
    <t>ゆめはん</t>
    <phoneticPr fontId="1"/>
  </si>
  <si>
    <t>日生協6月17号（¥880）西日本②</t>
    <rPh sb="0" eb="3">
      <t>ニッセイキョウ</t>
    </rPh>
    <rPh sb="4" eb="5">
      <t>ガツ</t>
    </rPh>
    <rPh sb="7" eb="8">
      <t>ゴウ</t>
    </rPh>
    <rPh sb="14" eb="17">
      <t>ニシニホン</t>
    </rPh>
    <phoneticPr fontId="1"/>
  </si>
  <si>
    <t>日生協6月17号（¥880）西日本③</t>
    <rPh sb="0" eb="3">
      <t>ニッセイキョウ</t>
    </rPh>
    <rPh sb="4" eb="5">
      <t>ガツ</t>
    </rPh>
    <rPh sb="7" eb="8">
      <t>ゴウ</t>
    </rPh>
    <rPh sb="14" eb="17">
      <t>ニシニホン</t>
    </rPh>
    <phoneticPr fontId="1"/>
  </si>
  <si>
    <t>日生協6月17号（¥880）西日本④</t>
    <rPh sb="0" eb="3">
      <t>ニッセイキョウ</t>
    </rPh>
    <rPh sb="4" eb="5">
      <t>ガツ</t>
    </rPh>
    <rPh sb="7" eb="8">
      <t>ゴウ</t>
    </rPh>
    <rPh sb="14" eb="17">
      <t>ニシニホン</t>
    </rPh>
    <phoneticPr fontId="1"/>
  </si>
  <si>
    <t>日生協6月17号（¥880）東日本②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1"/>
  </si>
  <si>
    <t>コープきんき7月1回③</t>
    <rPh sb="7" eb="8">
      <t>ガツ</t>
    </rPh>
    <rPh sb="9" eb="10">
      <t>カイ</t>
    </rPh>
    <phoneticPr fontId="1"/>
  </si>
  <si>
    <t>日生協6月17号（¥880）東日本③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1"/>
  </si>
  <si>
    <t>JODメルシー0805</t>
    <phoneticPr fontId="1"/>
  </si>
  <si>
    <t>日生協6月17号（¥880）東日本④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1"/>
  </si>
  <si>
    <t>日生協7月21号（¥980）西日本①</t>
    <rPh sb="0" eb="3">
      <t>ニッセイキョウ</t>
    </rPh>
    <rPh sb="4" eb="5">
      <t>ガツ</t>
    </rPh>
    <rPh sb="7" eb="8">
      <t>ゴウ</t>
    </rPh>
    <rPh sb="14" eb="17">
      <t>ニシニホン</t>
    </rPh>
    <phoneticPr fontId="1"/>
  </si>
  <si>
    <t>日生協7月21号（¥980）東日本①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1"/>
  </si>
  <si>
    <t>コープきんき8月1回①</t>
    <rPh sb="7" eb="8">
      <t>ガツ</t>
    </rPh>
    <rPh sb="9" eb="10">
      <t>カイ</t>
    </rPh>
    <phoneticPr fontId="1"/>
  </si>
  <si>
    <t>2022/7/20伝</t>
    <rPh sb="9" eb="10">
      <t>デン</t>
    </rPh>
    <phoneticPr fontId="1"/>
  </si>
  <si>
    <t>日生協7月21号（¥980）東日本②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1"/>
  </si>
  <si>
    <t>夢販</t>
    <rPh sb="0" eb="2">
      <t>ユメハン</t>
    </rPh>
    <phoneticPr fontId="1"/>
  </si>
  <si>
    <t>コープきんき8月1回差分予測</t>
    <rPh sb="7" eb="8">
      <t>ガツ</t>
    </rPh>
    <rPh sb="9" eb="10">
      <t>カイ</t>
    </rPh>
    <rPh sb="10" eb="14">
      <t>サブンヨソク</t>
    </rPh>
    <phoneticPr fontId="1"/>
  </si>
  <si>
    <t>日生協8月25号差分予測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</si>
  <si>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日生協7月21号（¥980）差分予測</t>
    <rPh sb="0" eb="3">
      <t>ニッセイキョウ</t>
    </rPh>
    <rPh sb="4" eb="5">
      <t>ガツ</t>
    </rPh>
    <rPh sb="7" eb="8">
      <t>ゴウ</t>
    </rPh>
    <rPh sb="14" eb="18">
      <t>サブンヨソク</t>
    </rPh>
    <phoneticPr fontId="1"/>
  </si>
  <si>
    <t>2022/8/1伝</t>
    <rPh sb="8" eb="9">
      <t>デン</t>
    </rPh>
    <phoneticPr fontId="1"/>
  </si>
  <si>
    <t>日生協7月21号（¥980）東日本③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1"/>
  </si>
  <si>
    <t>夢販</t>
    <rPh sb="0" eb="2">
      <t>ユメハン</t>
    </rPh>
    <phoneticPr fontId="1"/>
  </si>
  <si>
    <t>日生協8月25号（¥880）東日本①</t>
    <rPh sb="0" eb="3">
      <t>ニッセイキョウ</t>
    </rPh>
    <rPh sb="4" eb="5">
      <t>ガツ</t>
    </rPh>
    <rPh sb="7" eb="8">
      <t>ゴウ</t>
    </rPh>
    <rPh sb="14" eb="17">
      <t>ヒガシニホン</t>
    </rPh>
    <phoneticPr fontId="1"/>
  </si>
  <si>
    <t>日生協8月25号（¥880）西日本①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1"/>
  </si>
  <si>
    <t>日生協8月25号（¥880）西日本②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1"/>
  </si>
  <si>
    <t>日生協8月25号（¥880）東日本②</t>
    <rPh sb="0" eb="3">
      <t>ニッセイキョウ</t>
    </rPh>
    <rPh sb="4" eb="5">
      <t>ガツ</t>
    </rPh>
    <rPh sb="7" eb="8">
      <t>ゴウ</t>
    </rPh>
    <rPh sb="14" eb="17">
      <t>ヒガシニホン</t>
    </rPh>
    <phoneticPr fontId="1"/>
  </si>
  <si>
    <t>日生協8月25号（¥880）東日本③</t>
    <rPh sb="0" eb="3">
      <t>ニッセイキョウ</t>
    </rPh>
    <rPh sb="4" eb="5">
      <t>ガツ</t>
    </rPh>
    <rPh sb="7" eb="8">
      <t>ゴウ</t>
    </rPh>
    <rPh sb="14" eb="17">
      <t>ヒガシニホン</t>
    </rPh>
    <phoneticPr fontId="1"/>
  </si>
  <si>
    <t>JOD松本様</t>
    <rPh sb="3" eb="6">
      <t>マツモトサマ</t>
    </rPh>
    <phoneticPr fontId="1"/>
  </si>
  <si>
    <t>くらし返品</t>
    <rPh sb="3" eb="5">
      <t>ヘンピン</t>
    </rPh>
    <phoneticPr fontId="1"/>
  </si>
  <si>
    <t>棚卸</t>
    <rPh sb="0" eb="2">
      <t>タナオロシ</t>
    </rPh>
    <phoneticPr fontId="1"/>
  </si>
  <si>
    <t>日生協8月25号（¥880）東日本④</t>
    <rPh sb="0" eb="3">
      <t>ニッセイキョウ</t>
    </rPh>
    <rPh sb="4" eb="5">
      <t>ガツ</t>
    </rPh>
    <rPh sb="7" eb="8">
      <t>ゴウ</t>
    </rPh>
    <rPh sb="14" eb="17">
      <t>ヒガシニホン</t>
    </rPh>
    <phoneticPr fontId="1"/>
  </si>
  <si>
    <t>日生協8月25号（¥880）東日本⑤</t>
    <rPh sb="0" eb="3">
      <t>ニッセイキョウ</t>
    </rPh>
    <rPh sb="4" eb="5">
      <t>ガツ</t>
    </rPh>
    <rPh sb="7" eb="8">
      <t>ゴウ</t>
    </rPh>
    <rPh sb="14" eb="17">
      <t>ヒガシニホン</t>
    </rPh>
    <phoneticPr fontId="1"/>
  </si>
  <si>
    <t>丸藤サンプル返品</t>
    <rPh sb="0" eb="2">
      <t>マルフジ</t>
    </rPh>
    <rPh sb="6" eb="8">
      <t>ヘンピン</t>
    </rPh>
    <phoneticPr fontId="1"/>
  </si>
  <si>
    <t>日生協7月21号（¥980）東日本④</t>
    <rPh sb="0" eb="3">
      <t>ニッセイキョウ</t>
    </rPh>
    <rPh sb="4" eb="5">
      <t>ガツ</t>
    </rPh>
    <rPh sb="7" eb="8">
      <t>ゴウ</t>
    </rPh>
    <rPh sb="14" eb="15">
      <t>ヒガシ</t>
    </rPh>
    <rPh sb="15" eb="16">
      <t>ビ</t>
    </rPh>
    <rPh sb="16" eb="17">
      <t>ホン</t>
    </rPh>
    <phoneticPr fontId="1"/>
  </si>
  <si>
    <t>点3/31、前取4/7、アバウト4/13・18、最終4/26</t>
    <rPh sb="0" eb="1">
      <t>テン</t>
    </rPh>
    <rPh sb="6" eb="8">
      <t>マエト</t>
    </rPh>
    <rPh sb="24" eb="26">
      <t>サイシュウ</t>
    </rPh>
    <phoneticPr fontId="1"/>
  </si>
  <si>
    <t>日生協4月6号　差分予測</t>
    <rPh sb="0" eb="3">
      <t>ニッセイキョウ</t>
    </rPh>
    <rPh sb="4" eb="5">
      <t>ガツ</t>
    </rPh>
    <rPh sb="6" eb="7">
      <t>ゴウ</t>
    </rPh>
    <rPh sb="8" eb="12">
      <t>サブンヨソク</t>
    </rPh>
    <phoneticPr fontId="1"/>
  </si>
  <si>
    <t>日生協4月6号</t>
    <rPh sb="0" eb="3">
      <t>ニッセイキョウ</t>
    </rPh>
    <rPh sb="4" eb="5">
      <t>ガツ</t>
    </rPh>
    <rPh sb="6" eb="7">
      <t>ゴウ</t>
    </rPh>
    <phoneticPr fontId="1"/>
  </si>
  <si>
    <t>日生協5月11号</t>
    <rPh sb="0" eb="3">
      <t>ニッセイキョウ</t>
    </rPh>
    <rPh sb="4" eb="5">
      <t>ガツ</t>
    </rPh>
    <rPh sb="7" eb="8">
      <t>ゴウ</t>
    </rPh>
    <phoneticPr fontId="1"/>
  </si>
  <si>
    <t>点5/5、前取5/12、アバウト5/18・23、最終5/31</t>
    <rPh sb="0" eb="1">
      <t>テン</t>
    </rPh>
    <rPh sb="5" eb="7">
      <t>マエト</t>
    </rPh>
    <rPh sb="24" eb="26">
      <t>サイシュウ</t>
    </rPh>
    <phoneticPr fontId="1"/>
  </si>
  <si>
    <t>日生協5月11号差分予測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</si>
  <si>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日生協6月17号</t>
    <rPh sb="0" eb="3">
      <t>ニッセイキョウ</t>
    </rPh>
    <rPh sb="4" eb="5">
      <t>ガツ</t>
    </rPh>
    <rPh sb="7" eb="8">
      <t>ゴウ</t>
    </rPh>
    <phoneticPr fontId="1"/>
  </si>
  <si>
    <t>日生協6月17号差分予測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</si>
  <si>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点6/16、前取6/23、アバウト6/27・7/4、最終7/12</t>
    <rPh sb="0" eb="1">
      <t>テン</t>
    </rPh>
    <rPh sb="6" eb="8">
      <t>マエトリ</t>
    </rPh>
    <rPh sb="26" eb="28">
      <t>サイシュウ</t>
    </rPh>
    <phoneticPr fontId="1"/>
  </si>
  <si>
    <t>JOD特別号R9882</t>
    <rPh sb="3" eb="6">
      <t>トクベツゴウ</t>
    </rPh>
    <phoneticPr fontId="1"/>
  </si>
  <si>
    <t>4/3～</t>
    <phoneticPr fontId="1"/>
  </si>
  <si>
    <t>夢販</t>
    <rPh sb="0" eb="2">
      <t>ユメハン</t>
    </rPh>
    <phoneticPr fontId="1"/>
  </si>
  <si>
    <t>日生協4月6号東日本①</t>
    <rPh sb="0" eb="3">
      <t>ニッセイキョウ</t>
    </rPh>
    <rPh sb="4" eb="5">
      <t>ガツ</t>
    </rPh>
    <rPh sb="6" eb="7">
      <t>ゴウ</t>
    </rPh>
    <rPh sb="7" eb="10">
      <t>ヒガシニホン</t>
    </rPh>
    <phoneticPr fontId="1"/>
  </si>
  <si>
    <t>日生協7月21号差分予測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</si>
  <si>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日生協7月21号¥880</t>
    <rPh sb="0" eb="3">
      <t>ニッセイキョウ</t>
    </rPh>
    <rPh sb="4" eb="5">
      <t>ガツ</t>
    </rPh>
    <rPh sb="7" eb="8">
      <t>ゴウ</t>
    </rPh>
    <phoneticPr fontId="1"/>
  </si>
  <si>
    <t>点7/14、前取7/21、アバウト7/25・8/1、最終8/9</t>
    <rPh sb="0" eb="1">
      <t>テン</t>
    </rPh>
    <rPh sb="6" eb="8">
      <t>マエト</t>
    </rPh>
    <rPh sb="26" eb="28">
      <t>サイシュウ</t>
    </rPh>
    <phoneticPr fontId="1"/>
  </si>
  <si>
    <t>日生協4月6号西日本①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1"/>
  </si>
  <si>
    <t>日生協4月6号東日本②</t>
    <rPh sb="0" eb="3">
      <t>ニッセイキョウ</t>
    </rPh>
    <rPh sb="4" eb="5">
      <t>ガツ</t>
    </rPh>
    <rPh sb="6" eb="7">
      <t>ゴウ</t>
    </rPh>
    <rPh sb="7" eb="10">
      <t>ヒガシニホン</t>
    </rPh>
    <phoneticPr fontId="1"/>
  </si>
  <si>
    <t>JOD</t>
    <phoneticPr fontId="1"/>
  </si>
  <si>
    <t>日生協4月6号西日本②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1"/>
  </si>
  <si>
    <t>日生協4月6号西日本③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1"/>
  </si>
  <si>
    <t>コープきんき7月4回</t>
    <rPh sb="7" eb="8">
      <t>ガツ</t>
    </rPh>
    <rPh sb="9" eb="10">
      <t>カイ</t>
    </rPh>
    <phoneticPr fontId="1"/>
  </si>
  <si>
    <t>日生協4月6号東日本③</t>
    <rPh sb="0" eb="3">
      <t>ニッセイキョウ</t>
    </rPh>
    <rPh sb="4" eb="5">
      <t>ガツ</t>
    </rPh>
    <rPh sb="6" eb="7">
      <t>ゴウ</t>
    </rPh>
    <rPh sb="7" eb="10">
      <t>ヒガシニホン</t>
    </rPh>
    <phoneticPr fontId="1"/>
  </si>
  <si>
    <t>日生協8月25号¥880</t>
    <rPh sb="0" eb="3">
      <t>ニッセイキョウ</t>
    </rPh>
    <rPh sb="4" eb="5">
      <t>ガツ</t>
    </rPh>
    <rPh sb="7" eb="8">
      <t>ゴウ</t>
    </rPh>
    <phoneticPr fontId="1"/>
  </si>
  <si>
    <t>点8/11、前取8/18、アバウト8/24・29、最終9/6</t>
    <rPh sb="0" eb="1">
      <t>テン</t>
    </rPh>
    <rPh sb="6" eb="8">
      <t>マエト</t>
    </rPh>
    <rPh sb="25" eb="27">
      <t>サイシュウ</t>
    </rPh>
    <phoneticPr fontId="1"/>
  </si>
  <si>
    <t>点6/8、アバウト6/27、本6/28～7/8</t>
    <rPh sb="0" eb="1">
      <t>テン</t>
    </rPh>
    <rPh sb="14" eb="15">
      <t>ホン</t>
    </rPh>
    <phoneticPr fontId="1"/>
  </si>
  <si>
    <t>コープきんき7月1回差分予測</t>
    <rPh sb="7" eb="8">
      <t>ガツ</t>
    </rPh>
    <rPh sb="9" eb="10">
      <t>カイ</t>
    </rPh>
    <rPh sb="10" eb="14">
      <t>サブンヨソク</t>
    </rPh>
    <phoneticPr fontId="1"/>
  </si>
  <si>
    <t>日生協8月25号¥880差分予測</t>
    <rPh sb="0" eb="3">
      <t>ニッセイキョウ</t>
    </rPh>
    <rPh sb="4" eb="5">
      <t>ガツ</t>
    </rPh>
    <rPh sb="7" eb="8">
      <t>ゴウ</t>
    </rPh>
    <rPh sb="12" eb="16">
      <t>サブンヨソク</t>
    </rPh>
    <phoneticPr fontId="1"/>
  </si>
  <si>
    <t>日生協5月11号西日本①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</si>
  <si>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日生協5月11号東日本①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</si>
  <si>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2022/5/1伝</t>
    <rPh sb="8" eb="9">
      <t>デン</t>
    </rPh>
    <phoneticPr fontId="1"/>
  </si>
  <si>
    <t>日生協9月差分予測</t>
    <rPh sb="0" eb="3">
      <t>ニッセイキョウ</t>
    </rPh>
    <rPh sb="4" eb="5">
      <t>ガツ</t>
    </rPh>
    <rPh sb="5" eb="9">
      <t>サブンヨソク</t>
    </rPh>
    <phoneticPr fontId="1"/>
  </si>
  <si>
    <t>日生協5月11号西日本②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</si>
  <si>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日生協5月11号西日本③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</si>
  <si>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コープきんき7月4回差分予測</t>
    <rPh sb="7" eb="8">
      <t>ガツ</t>
    </rPh>
    <rPh sb="9" eb="10">
      <t>カイ</t>
    </rPh>
    <rPh sb="10" eb="14">
      <t>サブンヨソク</t>
    </rPh>
    <phoneticPr fontId="1"/>
  </si>
  <si>
    <t>点6/29、アバウト7/18、本7/19～29</t>
    <rPh sb="0" eb="1">
      <t>テン</t>
    </rPh>
    <rPh sb="15" eb="16">
      <t>ホン</t>
    </rPh>
    <phoneticPr fontId="1"/>
  </si>
  <si>
    <t>日生協9月29号</t>
    <rPh sb="0" eb="3">
      <t>ニッセイキョウ</t>
    </rPh>
    <rPh sb="4" eb="5">
      <t>ガツ</t>
    </rPh>
    <rPh sb="7" eb="8">
      <t>ゴウ</t>
    </rPh>
    <phoneticPr fontId="1"/>
  </si>
  <si>
    <t>点9/8、前取9/15、アバウト9/19・26、最終10/4</t>
    <rPh sb="0" eb="1">
      <t>テン</t>
    </rPh>
    <rPh sb="5" eb="6">
      <t>マエ</t>
    </rPh>
    <rPh sb="6" eb="7">
      <t>トリ</t>
    </rPh>
    <rPh sb="24" eb="26">
      <t>サイシュウ</t>
    </rPh>
    <phoneticPr fontId="1"/>
  </si>
  <si>
    <t>日生協5月11号東日本②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</si>
  <si>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夢販</t>
    <rPh sb="0" eb="2">
      <t>ユメハン</t>
    </rPh>
    <phoneticPr fontId="1"/>
  </si>
  <si>
    <t>JODメルシー0718</t>
    <phoneticPr fontId="1"/>
  </si>
  <si>
    <t>7/18～</t>
    <phoneticPr fontId="1"/>
  </si>
  <si>
    <t>日生協6月17号東日本①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</si>
  <si>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日生協6月17号西日本①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1"/>
  </si>
  <si>
    <t>日生協6月17号東日本②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</si>
  <si>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日生協6月17号西日本②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1"/>
  </si>
  <si>
    <t>2022/6/1伝</t>
    <rPh sb="8" eb="9">
      <t>デン</t>
    </rPh>
    <phoneticPr fontId="1"/>
  </si>
  <si>
    <t>日生協6月17号東日本③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</si>
  <si>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日生協6月17号西日本③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1"/>
  </si>
  <si>
    <t>コープきんき7月4回①</t>
    <rPh sb="7" eb="8">
      <t>ガツ</t>
    </rPh>
    <rPh sb="9" eb="10">
      <t>カイ</t>
    </rPh>
    <phoneticPr fontId="1"/>
  </si>
  <si>
    <t>2022/7/1伝</t>
    <rPh sb="8" eb="9">
      <t>デン</t>
    </rPh>
    <phoneticPr fontId="1"/>
  </si>
  <si>
    <t>2023/7/1伝</t>
    <rPh sb="8" eb="9">
      <t>デン</t>
    </rPh>
    <phoneticPr fontId="1"/>
  </si>
  <si>
    <t>日生協6月17号東日本④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</si>
  <si>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日生協7月21号¥880西日本①</t>
    <rPh sb="0" eb="3">
      <t>ニッセイキョウ</t>
    </rPh>
    <rPh sb="4" eb="5">
      <t>ガツ</t>
    </rPh>
    <rPh sb="7" eb="8">
      <t>ゴウ</t>
    </rPh>
    <rPh sb="12" eb="15">
      <t>ニシニホン</t>
    </rPh>
    <phoneticPr fontId="1"/>
  </si>
  <si>
    <t>日生協7月21号¥880東日本①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phoneticPr fontId="1"/>
  </si>
  <si>
    <t>コープきんき7月4回②</t>
    <rPh sb="7" eb="8">
      <t>ガツ</t>
    </rPh>
    <rPh sb="9" eb="10">
      <t>カイ</t>
    </rPh>
    <phoneticPr fontId="1"/>
  </si>
  <si>
    <t>JOD</t>
    <phoneticPr fontId="1"/>
  </si>
  <si>
    <t>日生協7月21号¥880東日本②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phoneticPr fontId="1"/>
  </si>
  <si>
    <t>日生協7月21号¥880東日本③　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phoneticPr fontId="1"/>
  </si>
  <si>
    <t>在庫調整</t>
    <rPh sb="0" eb="4">
      <t>ザイコチョウセイ</t>
    </rPh>
    <phoneticPr fontId="1"/>
  </si>
  <si>
    <t>日生協7月21号¥880東日本④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phoneticPr fontId="1"/>
  </si>
  <si>
    <t>日生協8月25号¥880西日本①</t>
    <rPh sb="0" eb="3">
      <t>ニッセイキョウ</t>
    </rPh>
    <rPh sb="4" eb="5">
      <t>ガツ</t>
    </rPh>
    <rPh sb="7" eb="8">
      <t>ゴウ</t>
    </rPh>
    <rPh sb="12" eb="15">
      <t>ニシニホン</t>
    </rPh>
    <phoneticPr fontId="1"/>
  </si>
  <si>
    <t>JOD介護特集7431（裏）</t>
    <rPh sb="3" eb="7">
      <t>カイゴトクシュウ</t>
    </rPh>
    <rPh sb="12" eb="13">
      <t>ウラ</t>
    </rPh>
    <phoneticPr fontId="1"/>
  </si>
  <si>
    <t>9/20～</t>
    <phoneticPr fontId="1"/>
  </si>
  <si>
    <t>日生協8月25号¥880東日本①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phoneticPr fontId="1"/>
  </si>
  <si>
    <t>日生協8月25号¥880東日本②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phoneticPr fontId="1"/>
  </si>
  <si>
    <t>JODメルシー1018</t>
    <phoneticPr fontId="1"/>
  </si>
  <si>
    <t>10/18～</t>
    <phoneticPr fontId="1"/>
  </si>
  <si>
    <t>日生協9月29号東日本①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</si>
  <si>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JODメルシー1026</t>
    <phoneticPr fontId="1"/>
  </si>
  <si>
    <t>10/26～</t>
    <phoneticPr fontId="1"/>
  </si>
  <si>
    <t>日生協9月29号東日本②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</si>
  <si>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日生協9月29号東日本③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</si>
  <si>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日生協9月29号西日本①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1"/>
  </si>
  <si>
    <t>夢販</t>
    <rPh sb="0" eb="2">
      <t>ユメハン</t>
    </rPh>
    <phoneticPr fontId="1"/>
  </si>
  <si>
    <t>くらし返品予定</t>
    <rPh sb="3" eb="5">
      <t>ヘンピン</t>
    </rPh>
    <rPh sb="5" eb="7">
      <t>ヨテイ</t>
    </rPh>
    <phoneticPr fontId="1"/>
  </si>
  <si>
    <t>JOD西濃</t>
    <rPh sb="3" eb="5">
      <t>セイノウ</t>
    </rPh>
    <phoneticPr fontId="1"/>
  </si>
  <si>
    <t>JOD特別号9583</t>
    <rPh sb="3" eb="6">
      <t>トクベツゴウ</t>
    </rPh>
    <phoneticPr fontId="1"/>
  </si>
  <si>
    <t>12/12～</t>
    <phoneticPr fontId="1"/>
  </si>
  <si>
    <t>日生協4月06号</t>
    <rPh sb="0" eb="3">
      <t>ニッセイキョウ</t>
    </rPh>
    <rPh sb="4" eb="5">
      <t>ガツ</t>
    </rPh>
    <rPh sb="7" eb="8">
      <t>ゴウ</t>
    </rPh>
    <phoneticPr fontId="1"/>
  </si>
  <si>
    <t>点3/29、前取4/5、アバウト4/9・4/16、最終4/24</t>
    <rPh sb="0" eb="1">
      <t>テン</t>
    </rPh>
    <rPh sb="6" eb="8">
      <t>マエトリ</t>
    </rPh>
    <rPh sb="25" eb="27">
      <t>サイシュウ</t>
    </rPh>
    <phoneticPr fontId="1"/>
  </si>
  <si>
    <t>日生協4月06号差分予測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</si>
  <si>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点5/3、前取5/10、アバウト（デリ）5/21、最終5/29</t>
    <rPh sb="0" eb="1">
      <t>テン</t>
    </rPh>
    <rPh sb="5" eb="7">
      <t>マエト</t>
    </rPh>
    <rPh sb="25" eb="27">
      <t>サイシュウ</t>
    </rPh>
    <phoneticPr fontId="1"/>
  </si>
  <si>
    <t>ここから２０２４年</t>
    <rPh sb="8" eb="9">
      <t>ネン</t>
    </rPh>
    <phoneticPr fontId="1"/>
  </si>
  <si>
    <t>点6/14、前取6/21、アバウト6/25・7/2、最終7/10</t>
    <rPh sb="0" eb="1">
      <t>テン</t>
    </rPh>
    <rPh sb="6" eb="8">
      <t>マエトリ</t>
    </rPh>
    <rPh sb="26" eb="28">
      <t>サイシュウ</t>
    </rPh>
    <phoneticPr fontId="1"/>
  </si>
  <si>
    <t>日生協4月06号東日本①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</si>
  <si>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日生協7月21号</t>
    <rPh sb="0" eb="3">
      <t>ニッセイキョウ</t>
    </rPh>
    <rPh sb="4" eb="5">
      <t>ガツ</t>
    </rPh>
    <rPh sb="7" eb="8">
      <t>ゴウ</t>
    </rPh>
    <phoneticPr fontId="1"/>
  </si>
  <si>
    <t>点7/12、前取7/19、アバウト7/23・30、最終8/7</t>
    <rPh sb="0" eb="1">
      <t>テン</t>
    </rPh>
    <rPh sb="6" eb="8">
      <t>マエトリ</t>
    </rPh>
    <rPh sb="25" eb="27">
      <t>サイシュウ</t>
    </rPh>
    <phoneticPr fontId="1"/>
  </si>
  <si>
    <t>日生協4月06号東日本②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</si>
  <si>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コープきんき6月2回差分予測</t>
    <rPh sb="7" eb="8">
      <t>ガツ</t>
    </rPh>
    <rPh sb="9" eb="10">
      <t>カイ</t>
    </rPh>
    <rPh sb="10" eb="14">
      <t>サブンヨソク</t>
    </rPh>
    <phoneticPr fontId="1"/>
  </si>
  <si>
    <t>点5/16、アバウト6/4、本6/5～15</t>
    <rPh sb="0" eb="1">
      <t>テン</t>
    </rPh>
    <rPh sb="14" eb="15">
      <t>ホン</t>
    </rPh>
    <phoneticPr fontId="1"/>
  </si>
  <si>
    <t>日生協4月06号西日本①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1"/>
  </si>
  <si>
    <t>日生協4月06号東日本③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</si>
  <si>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日生協4月06号東日本④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</si>
  <si>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日生協8月25号</t>
    <rPh sb="0" eb="3">
      <t>ニッセイキョウ</t>
    </rPh>
    <rPh sb="4" eb="5">
      <t>ガツ</t>
    </rPh>
    <rPh sb="7" eb="8">
      <t>ゴウ</t>
    </rPh>
    <phoneticPr fontId="1"/>
  </si>
  <si>
    <t>点8/9、前取8/16、アバウト8/20・27、最終9/4</t>
    <rPh sb="0" eb="1">
      <t>テン</t>
    </rPh>
    <rPh sb="5" eb="7">
      <t>マエトリ</t>
    </rPh>
    <rPh sb="24" eb="26">
      <t>サイシュウ</t>
    </rPh>
    <phoneticPr fontId="1"/>
  </si>
  <si>
    <t>点6/6、アバウト6/25、本6/26～7/6</t>
    <rPh sb="0" eb="1">
      <t>テン</t>
    </rPh>
    <rPh sb="14" eb="20">
      <t>ホン6/26カラ</t>
    </rPh>
    <phoneticPr fontId="1"/>
  </si>
  <si>
    <t>日生協5月11号東日本①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</si>
  <si>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JODアクセス7002</t>
    <phoneticPr fontId="1"/>
  </si>
  <si>
    <t>JODメルシー0604</t>
    <phoneticPr fontId="1"/>
  </si>
  <si>
    <t>夢販</t>
    <rPh sb="0" eb="2">
      <t>ユメハン</t>
    </rPh>
    <phoneticPr fontId="1"/>
  </si>
  <si>
    <t>日生協5月11号東日本②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</si>
  <si>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JODメルシー0624</t>
    <phoneticPr fontId="1"/>
  </si>
  <si>
    <t>日生協5月11号東日本③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</si>
  <si>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コープきんき7月5回差分予測</t>
    <rPh sb="10" eb="14">
      <t>サブンヨソク</t>
    </rPh>
    <phoneticPr fontId="1"/>
  </si>
  <si>
    <t>日生協9月29号差分予測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</si>
  <si>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日生協5月11号東日本④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</si>
  <si>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日生協5月11号東日本⑤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</si>
  <si>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点7/4、アバウト7/23、本7/24～8/3</t>
    <rPh sb="0" eb="1">
      <t>テン</t>
    </rPh>
    <rPh sb="14" eb="15">
      <t>ホン</t>
    </rPh>
    <phoneticPr fontId="1"/>
  </si>
  <si>
    <t>2023/5/1伝</t>
    <rPh sb="8" eb="9">
      <t>デン</t>
    </rPh>
    <phoneticPr fontId="1"/>
  </si>
  <si>
    <t>コープきんき6月2回②</t>
    <rPh sb="7" eb="8">
      <t>ガツ</t>
    </rPh>
    <rPh sb="9" eb="10">
      <t>カイ</t>
    </rPh>
    <phoneticPr fontId="1"/>
  </si>
  <si>
    <t>JOD</t>
    <phoneticPr fontId="1"/>
  </si>
  <si>
    <t>コープきんき6月2回③</t>
    <rPh sb="7" eb="8">
      <t>ガツ</t>
    </rPh>
    <rPh sb="9" eb="10">
      <t>カイ</t>
    </rPh>
    <phoneticPr fontId="1"/>
  </si>
  <si>
    <t>6/24～</t>
    <phoneticPr fontId="1"/>
  </si>
  <si>
    <t>夢販</t>
    <rPh sb="0" eb="2">
      <t>ユメハン</t>
    </rPh>
    <phoneticPr fontId="1"/>
  </si>
  <si>
    <t>点8/8、アバウト8/27、本8/28～9/7</t>
    <rPh sb="0" eb="1">
      <t>テン</t>
    </rPh>
    <rPh sb="14" eb="15">
      <t>ホン</t>
    </rPh>
    <phoneticPr fontId="1"/>
  </si>
  <si>
    <t>JOD特別号9984</t>
    <rPh sb="3" eb="6">
      <t>トクベツゴウ</t>
    </rPh>
    <phoneticPr fontId="1"/>
  </si>
  <si>
    <t>2023/6/1伝</t>
    <rPh sb="8" eb="9">
      <t>デン</t>
    </rPh>
    <phoneticPr fontId="1"/>
  </si>
  <si>
    <t>2023/7/1伝</t>
    <rPh sb="8" eb="9">
      <t>デン</t>
    </rPh>
    <phoneticPr fontId="1"/>
  </si>
  <si>
    <t>夢販</t>
    <rPh sb="0" eb="2">
      <t>ユメハン</t>
    </rPh>
    <phoneticPr fontId="1"/>
  </si>
  <si>
    <t>JODメルシー0824</t>
    <phoneticPr fontId="1"/>
  </si>
  <si>
    <t>8/24～</t>
    <phoneticPr fontId="1"/>
  </si>
  <si>
    <t>日生協6月17号東日本⑤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</si>
  <si>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夢販</t>
    <rPh sb="0" eb="2">
      <t>ユメハン</t>
    </rPh>
    <phoneticPr fontId="1"/>
  </si>
  <si>
    <t>日生協7月21号東日本①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</si>
  <si>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日生協7月21号西日本①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1"/>
  </si>
  <si>
    <t>JOD</t>
    <phoneticPr fontId="1"/>
  </si>
  <si>
    <t>JODメルシー0902</t>
    <phoneticPr fontId="1"/>
  </si>
  <si>
    <t>9/2～</t>
    <phoneticPr fontId="1"/>
  </si>
  <si>
    <t>コープきんき7月5回②</t>
    <rPh sb="7" eb="8">
      <t>ガツ</t>
    </rPh>
    <rPh sb="9" eb="10">
      <t>カイ</t>
    </rPh>
    <phoneticPr fontId="1"/>
  </si>
  <si>
    <t>日生協7月21号西日本②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1"/>
  </si>
  <si>
    <t>日生協7月21号東日本②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</si>
  <si>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夢販</t>
    <rPh sb="0" eb="2">
      <t>ユメハン</t>
    </rPh>
    <phoneticPr fontId="1"/>
  </si>
  <si>
    <t>日生協8月25号東日本①</t>
    <rPh sb="0" eb="3">
      <t>ニッセイキョウ</t>
    </rPh>
    <rPh sb="4" eb="5">
      <t>ガツ</t>
    </rPh>
    <rPh sb="7" eb="8">
      <t>ゴウ</t>
    </rPh>
    <rPh sb="8" eb="12">
      <t>ヒガシニホン1</t>
    </rPh>
    <phoneticPr fontId="1"/>
  </si>
  <si>
    <r>
      <t>コープきんき9月1回</t>
    </r>
    <r>
      <rPr>
        <b/>
        <sz val="11"/>
        <rFont val="ＭＳ Ｐゴシック"/>
        <family val="3"/>
        <charset val="128"/>
      </rPr>
      <t>限定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rPh sb="10" eb="12">
      <t>ゲンテイ</t>
    </rPh>
    <phoneticPr fontId="1"/>
  </si>
  <si>
    <t>日生協8月25号東日本②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</si>
  <si>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日生協8月25号東日本③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</si>
  <si>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r>
      <t>コープきんき9月1回</t>
    </r>
    <r>
      <rPr>
        <b/>
        <sz val="11"/>
        <rFont val="ＭＳ Ｐゴシック"/>
        <family val="3"/>
        <charset val="128"/>
      </rPr>
      <t>限定②</t>
    </r>
    <rPh sb="7" eb="8">
      <t>ガツ</t>
    </rPh>
    <rPh sb="9" eb="10">
      <t>カイ</t>
    </rPh>
    <rPh sb="10" eb="12">
      <t>ゲンテイ</t>
    </rPh>
    <phoneticPr fontId="1"/>
  </si>
  <si>
    <t>点9/6、前取9/13、アバウト9/24、最終10/2</t>
    <rPh sb="0" eb="1">
      <t>テン</t>
    </rPh>
    <rPh sb="5" eb="7">
      <t>マエト</t>
    </rPh>
    <rPh sb="21" eb="23">
      <t>サイシュウ</t>
    </rPh>
    <phoneticPr fontId="1"/>
  </si>
  <si>
    <r>
      <t>コープきんき9月1回</t>
    </r>
    <r>
      <rPr>
        <b/>
        <sz val="11"/>
        <rFont val="ＭＳ Ｐゴシック"/>
        <family val="3"/>
        <charset val="128"/>
      </rPr>
      <t>限定③</t>
    </r>
    <rPh sb="7" eb="8">
      <t>ガツ</t>
    </rPh>
    <rPh sb="9" eb="10">
      <t>カイ</t>
    </rPh>
    <rPh sb="10" eb="12">
      <t>ゲンテイ</t>
    </rPh>
    <phoneticPr fontId="1"/>
  </si>
  <si>
    <t>夢販</t>
    <rPh sb="0" eb="2">
      <t>ユメハン</t>
    </rPh>
    <phoneticPr fontId="1"/>
  </si>
  <si>
    <t>2024/9/1伝</t>
    <rPh sb="8" eb="9">
      <t>デン</t>
    </rPh>
    <phoneticPr fontId="1"/>
  </si>
  <si>
    <t>JOD西濃</t>
    <rPh sb="3" eb="5">
      <t>セイノウ</t>
    </rPh>
    <phoneticPr fontId="1"/>
  </si>
  <si>
    <r>
      <t>コープきんき9月1回</t>
    </r>
    <r>
      <rPr>
        <b/>
        <sz val="11"/>
        <rFont val="ＭＳ Ｐゴシック"/>
        <family val="3"/>
        <charset val="128"/>
      </rPr>
      <t>限定</t>
    </r>
    <r>
      <rPr>
        <sz val="11"/>
        <rFont val="ＭＳ Ｐゴシック"/>
        <family val="3"/>
        <charset val="128"/>
      </rPr>
      <t>差分予測</t>
    </r>
    <rPh sb="7" eb="8">
      <t>ガツ</t>
    </rPh>
    <rPh sb="9" eb="10">
      <t>カイ</t>
    </rPh>
    <rPh sb="10" eb="12">
      <t>ゲンテイ</t>
    </rPh>
    <rPh sb="12" eb="16">
      <t>サブンヨソク</t>
    </rPh>
    <phoneticPr fontId="1"/>
  </si>
  <si>
    <r>
      <t>コープきんき9月1回</t>
    </r>
    <r>
      <rPr>
        <b/>
        <sz val="11"/>
        <rFont val="ＭＳ Ｐゴシック"/>
        <family val="3"/>
        <charset val="128"/>
      </rPr>
      <t>限定</t>
    </r>
    <rPh sb="7" eb="8">
      <t>ガツ</t>
    </rPh>
    <rPh sb="9" eb="10">
      <t>カイ</t>
    </rPh>
    <rPh sb="10" eb="12">
      <t>ゲンテイ</t>
    </rPh>
    <phoneticPr fontId="1"/>
  </si>
  <si>
    <t>くらし企画（飯山さん）</t>
    <rPh sb="3" eb="5">
      <t>キカク</t>
    </rPh>
    <rPh sb="6" eb="8">
      <t>イイヤマ</t>
    </rPh>
    <phoneticPr fontId="1"/>
  </si>
  <si>
    <t>日生協4月5号</t>
    <rPh sb="0" eb="3">
      <t>ニッセイキョウ</t>
    </rPh>
    <rPh sb="4" eb="5">
      <t>ガツ</t>
    </rPh>
    <rPh sb="6" eb="7">
      <t>ゴウ</t>
    </rPh>
    <phoneticPr fontId="1"/>
  </si>
  <si>
    <t>ここより2025年スタート</t>
    <rPh sb="8" eb="9">
      <t>ネン</t>
    </rPh>
    <phoneticPr fontId="1"/>
  </si>
  <si>
    <t>点3/28、前取4/4、アバウト4/8・15、最終4/23</t>
    <rPh sb="0" eb="1">
      <t>テン</t>
    </rPh>
    <rPh sb="6" eb="8">
      <t>マエトリ</t>
    </rPh>
    <rPh sb="23" eb="25">
      <t>サイシュウ</t>
    </rPh>
    <phoneticPr fontId="1"/>
  </si>
  <si>
    <t>日生協6月16号</t>
    <rPh sb="0" eb="3">
      <t>ニッセイキョウ</t>
    </rPh>
    <rPh sb="4" eb="5">
      <t>ガツ</t>
    </rPh>
    <rPh sb="7" eb="8">
      <t>ゴウ</t>
    </rPh>
    <phoneticPr fontId="1"/>
  </si>
  <si>
    <t>点6/13、前取6/20、アバウト6/24・7/1、最終7/9</t>
    <rPh sb="0" eb="1">
      <t>テン</t>
    </rPh>
    <rPh sb="6" eb="8">
      <t>マエトリ</t>
    </rPh>
    <rPh sb="26" eb="28">
      <t>サイシュウ</t>
    </rPh>
    <phoneticPr fontId="1"/>
  </si>
  <si>
    <t>JODメルシー0415</t>
    <phoneticPr fontId="1"/>
  </si>
  <si>
    <t>4/15～</t>
    <phoneticPr fontId="1"/>
  </si>
  <si>
    <t>日生協7月22号</t>
    <rPh sb="0" eb="3">
      <t>ニッセイキョウ</t>
    </rPh>
    <rPh sb="4" eb="5">
      <t>ガツ</t>
    </rPh>
    <rPh sb="7" eb="8">
      <t>ゴウ</t>
    </rPh>
    <phoneticPr fontId="1"/>
  </si>
  <si>
    <t>日生協7月22号差分予測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</si>
  <si>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日生協6月16号差分予測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</si>
  <si>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日生協4月5号差分予測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1"/>
  </si>
  <si>
    <t>点7/25、前取8/1、アバウト(デリ)8/12、最終8/20</t>
    <rPh sb="0" eb="1">
      <t>テン</t>
    </rPh>
    <rPh sb="6" eb="8">
      <t>マエトリ</t>
    </rPh>
    <rPh sb="25" eb="27">
      <t>サイシュウ</t>
    </rPh>
    <phoneticPr fontId="1"/>
  </si>
  <si>
    <t>日生協4月5号西日本①</t>
    <rPh sb="0" eb="3">
      <t>ニッセイキョウ</t>
    </rPh>
    <rPh sb="4" eb="5">
      <t>ガツ</t>
    </rPh>
    <rPh sb="6" eb="7">
      <t>ゴウ</t>
    </rPh>
    <rPh sb="7" eb="10">
      <t>ニシニホン</t>
    </rPh>
    <phoneticPr fontId="1"/>
  </si>
  <si>
    <t>夢販</t>
    <rPh sb="0" eb="2">
      <t>ユメハン</t>
    </rPh>
    <phoneticPr fontId="1"/>
  </si>
  <si>
    <t>点5/16、アバウト6/3、本6/3～9</t>
    <rPh sb="0" eb="1">
      <t>テン</t>
    </rPh>
    <rPh sb="14" eb="15">
      <t>ホン</t>
    </rPh>
    <phoneticPr fontId="1"/>
  </si>
  <si>
    <t>日生協4月5号西日本②</t>
    <rPh sb="0" eb="3">
      <t>ニッセイキョウ</t>
    </rPh>
    <rPh sb="4" eb="5">
      <t>ガツ</t>
    </rPh>
    <rPh sb="6" eb="7">
      <t>ゴウ</t>
    </rPh>
    <rPh sb="7" eb="10">
      <t>ニシニホン</t>
    </rPh>
    <phoneticPr fontId="1"/>
  </si>
  <si>
    <t>日生協4月5号西日本③</t>
    <rPh sb="0" eb="3">
      <t>ニッセイキョウ</t>
    </rPh>
    <rPh sb="4" eb="5">
      <t>ガツ</t>
    </rPh>
    <rPh sb="6" eb="7">
      <t>ゴウ</t>
    </rPh>
    <rPh sb="7" eb="10">
      <t>ニシニホン</t>
    </rPh>
    <phoneticPr fontId="1"/>
  </si>
  <si>
    <t>日生協4月5号東日本①</t>
    <rPh sb="0" eb="3">
      <t>ニッセイキョウ</t>
    </rPh>
    <rPh sb="4" eb="5">
      <t>ガツ</t>
    </rPh>
    <rPh sb="6" eb="7">
      <t>ゴウ</t>
    </rPh>
    <rPh sb="7" eb="8">
      <t>ヒガシ</t>
    </rPh>
    <rPh sb="8" eb="10">
      <t>ニホン</t>
    </rPh>
    <phoneticPr fontId="1"/>
  </si>
  <si>
    <t>点6/6、アバウト6/24、本6/24～30</t>
    <rPh sb="0" eb="1">
      <t>テン</t>
    </rPh>
    <rPh sb="14" eb="15">
      <t>ホン</t>
    </rPh>
    <phoneticPr fontId="1"/>
  </si>
  <si>
    <t>JOD特別号9533</t>
    <rPh sb="3" eb="6">
      <t>トクベツゴウ</t>
    </rPh>
    <phoneticPr fontId="1"/>
  </si>
  <si>
    <t>6/10～</t>
    <phoneticPr fontId="1"/>
  </si>
  <si>
    <t>2025/4/1伝</t>
    <rPh sb="8" eb="9">
      <t>デン</t>
    </rPh>
    <phoneticPr fontId="1"/>
  </si>
  <si>
    <t>2025/5/1伝</t>
    <rPh sb="8" eb="9">
      <t>デン</t>
    </rPh>
    <phoneticPr fontId="1"/>
  </si>
  <si>
    <t>JOD特別号9537</t>
    <rPh sb="3" eb="6">
      <t>トクベツゴウ</t>
    </rPh>
    <phoneticPr fontId="1"/>
  </si>
  <si>
    <t>6/20～</t>
    <phoneticPr fontId="1"/>
  </si>
  <si>
    <t>JODメルシー0704</t>
    <phoneticPr fontId="1"/>
  </si>
  <si>
    <t>日生協9月27号差分予測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</si>
  <si>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点8/29　アバ9/9、9/16　最終9/24</t>
    <rPh sb="0" eb="1">
      <t>テン</t>
    </rPh>
    <rPh sb="17" eb="19">
      <t>サイシュウ</t>
    </rPh>
    <phoneticPr fontId="1"/>
  </si>
  <si>
    <t>夢販</t>
    <rPh sb="0" eb="2">
      <t>ユメハン</t>
    </rPh>
    <phoneticPr fontId="1"/>
  </si>
  <si>
    <t>2025/6/1伝</t>
    <rPh sb="8" eb="9">
      <t>デン</t>
    </rPh>
    <phoneticPr fontId="1"/>
  </si>
  <si>
    <t>くらし（橋本さん）sample</t>
    <rPh sb="4" eb="6">
      <t>ハシモト</t>
    </rPh>
    <phoneticPr fontId="1"/>
  </si>
  <si>
    <t>点7/18、アバウト8/5、本8/5～11</t>
    <rPh sb="0" eb="1">
      <t>テン</t>
    </rPh>
    <rPh sb="14" eb="15">
      <t>ホン</t>
    </rPh>
    <phoneticPr fontId="1"/>
  </si>
  <si>
    <t>コープきんき8月2回差分予測</t>
    <rPh sb="7" eb="8">
      <t>ガツ</t>
    </rPh>
    <rPh sb="9" eb="10">
      <t>カイ</t>
    </rPh>
    <rPh sb="10" eb="14">
      <t>サブンヨソク</t>
    </rPh>
    <phoneticPr fontId="1"/>
  </si>
  <si>
    <t>日生協9月27号</t>
    <rPh sb="0" eb="3">
      <t>ニッセイキョウ</t>
    </rPh>
    <rPh sb="4" eb="5">
      <t>ガツ</t>
    </rPh>
    <rPh sb="7" eb="8">
      <t>ゴウ</t>
    </rPh>
    <phoneticPr fontId="1"/>
  </si>
  <si>
    <t>日生協6月16号西日本①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</si>
  <si>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日生協6月16号東日本①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</si>
  <si>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JODメルシー0725</t>
    <phoneticPr fontId="1"/>
  </si>
  <si>
    <t>7/25～</t>
    <phoneticPr fontId="1"/>
  </si>
  <si>
    <t>日生協6月16号東日本②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</si>
  <si>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コープきんき7月1回②</t>
    <phoneticPr fontId="1"/>
  </si>
  <si>
    <t>日生協6月16号西日本②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</si>
  <si>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日生協6月16号西日本③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</si>
  <si>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JOD返品</t>
    <rPh sb="3" eb="5">
      <t>ヘンピン</t>
    </rPh>
    <phoneticPr fontId="1"/>
  </si>
  <si>
    <t>夢販</t>
    <rPh sb="0" eb="2">
      <t>ユメハン</t>
    </rPh>
    <phoneticPr fontId="1"/>
  </si>
  <si>
    <t>日生協6月16号東日本③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</si>
  <si>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日生協6月16号西日本④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</si>
  <si>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日生協6月16号東日本④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</si>
  <si>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2025/7/1伝</t>
    <rPh sb="8" eb="9">
      <t>デン</t>
    </rPh>
    <phoneticPr fontId="1"/>
  </si>
  <si>
    <t>日生協7月22号東日本①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</si>
  <si>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夢販</t>
    <rPh sb="0" eb="2">
      <t>ユメハン</t>
    </rPh>
    <phoneticPr fontId="1"/>
  </si>
  <si>
    <t>←ここまで式確認2025/8/28</t>
    <rPh sb="0" eb="8">
      <t>&lt;-ココマデシキカクニン</t>
    </rPh>
    <phoneticPr fontId="1"/>
  </si>
  <si>
    <t>日生協9月27号東日本①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</si>
  <si>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JOD（西濃）</t>
    <rPh sb="4" eb="6">
      <t>セイノウ</t>
    </rPh>
    <phoneticPr fontId="1"/>
  </si>
  <si>
    <t>日生協9月27号東日本②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</si>
  <si>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くらし企画返品</t>
    <phoneticPr fontId="1"/>
  </si>
  <si>
    <t>JODメルシー0202</t>
    <phoneticPr fontId="1"/>
  </si>
  <si>
    <t>2/2～</t>
    <phoneticPr fontId="1"/>
  </si>
  <si>
    <t>日生協4月05号</t>
    <rPh sb="0" eb="2">
      <t>ニッセイ</t>
    </rPh>
    <rPh sb="2" eb="3">
      <t>キョウ</t>
    </rPh>
    <rPh sb="4" eb="5">
      <t>ガツ</t>
    </rPh>
    <rPh sb="7" eb="8">
      <t>ゴウ</t>
    </rPh>
    <phoneticPr fontId="1"/>
  </si>
  <si>
    <t>日生協4月05号差分予測</t>
    <rPh sb="0" eb="2">
      <t>ニッセイ</t>
    </rPh>
    <rPh sb="2" eb="3">
      <t>キョウ</t>
    </rPh>
    <rPh sb="4" eb="5">
      <t>ガツ</t>
    </rPh>
    <rPh sb="7" eb="8">
      <t>ゴウ</t>
    </rPh>
    <rPh sb="8" eb="12">
      <t>サブンヨソク</t>
    </rPh>
    <phoneticPr fontId="1"/>
  </si>
  <si>
    <t>点3/27、前取4/3、アバウト4/7・4/14、最終4/22</t>
    <rPh sb="0" eb="1">
      <t>テン</t>
    </rPh>
    <rPh sb="6" eb="8">
      <t>マエトリ</t>
    </rPh>
    <rPh sb="25" eb="27">
      <t>サイシュウ</t>
    </rPh>
    <phoneticPr fontId="1"/>
  </si>
  <si>
    <t>JODメルシー0225</t>
    <phoneticPr fontId="1"/>
  </si>
  <si>
    <t>2/25～</t>
    <phoneticPr fontId="1"/>
  </si>
  <si>
    <t>営業sample</t>
    <rPh sb="0" eb="2">
      <t>エイギョウ</t>
    </rPh>
    <phoneticPr fontId="1"/>
  </si>
  <si>
    <t>JOD</t>
    <phoneticPr fontId="1"/>
  </si>
  <si>
    <t>JODアクセス7016</t>
    <phoneticPr fontId="1"/>
  </si>
  <si>
    <t>←ここまで在庫確認済2/25</t>
    <rPh sb="0" eb="10">
      <t>ヤジルシココマデザイコカクニンスミ</t>
    </rPh>
    <phoneticPr fontId="1"/>
  </si>
  <si>
    <t>点6/12　前6/19　アバ6/23～7/8</t>
    <rPh sb="0" eb="1">
      <t>テン</t>
    </rPh>
    <rPh sb="6" eb="7">
      <t>マエ</t>
    </rPh>
    <phoneticPr fontId="1"/>
  </si>
  <si>
    <t>JOD特別号9560</t>
    <rPh sb="3" eb="6">
      <t>トクベツゴウ</t>
    </rPh>
    <phoneticPr fontId="1"/>
  </si>
  <si>
    <t>4/21～</t>
    <phoneticPr fontId="1"/>
  </si>
  <si>
    <t>日生協16号差分予測</t>
    <rPh sb="0" eb="2">
      <t>ニッセイ</t>
    </rPh>
    <rPh sb="2" eb="3">
      <t>キョウ</t>
    </rPh>
    <rPh sb="5" eb="6">
      <t>ゴウ</t>
    </rPh>
    <rPh sb="6" eb="10">
      <t>サブンヨソク</t>
    </rPh>
    <phoneticPr fontId="1"/>
  </si>
  <si>
    <t>日生協6月16号</t>
    <rPh sb="0" eb="2">
      <t>ニッセイ</t>
    </rPh>
    <rPh sb="2" eb="3">
      <t>キョウ</t>
    </rPh>
    <rPh sb="4" eb="5">
      <t>ガツ</t>
    </rPh>
    <rPh sb="7" eb="8">
      <t>ゴウ</t>
    </rPh>
    <phoneticPr fontId="1"/>
  </si>
  <si>
    <t>日生協4月05号西日本①</t>
    <rPh sb="0" eb="2">
      <t>ニッセイ</t>
    </rPh>
    <rPh sb="2" eb="3">
      <t>キョウ</t>
    </rPh>
    <rPh sb="4" eb="5">
      <t>ガツ</t>
    </rPh>
    <rPh sb="7" eb="8">
      <t>ゴウ</t>
    </rPh>
    <rPh sb="8" eb="11">
      <t>ニシニホン</t>
    </rPh>
    <phoneticPr fontId="1"/>
  </si>
  <si>
    <t>日生協4月05号東日本①</t>
    <rPh sb="0" eb="2">
      <t>ニッセイ</t>
    </rPh>
    <rPh sb="2" eb="3">
      <t>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</si>
  <si>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日生協4月05号東日本②</t>
    <rPh sb="0" eb="2">
      <t>ニッセイ</t>
    </rPh>
    <rPh sb="2" eb="3">
      <t>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</si>
  <si>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点6/5、アバウト6/23、本6/23～29</t>
    <rPh sb="0" eb="1">
      <t>テン</t>
    </rPh>
    <rPh sb="14" eb="15">
      <t>ホン</t>
    </rPh>
    <phoneticPr fontId="1"/>
  </si>
  <si>
    <t>JOD</t>
    <phoneticPr fontId="1"/>
  </si>
  <si>
    <t>ゆめはん</t>
    <phoneticPr fontId="1"/>
  </si>
  <si>
    <t>ペタブラ シリコン　KPORT在庫</t>
    <rPh sb="15" eb="17">
      <t>ザイコ</t>
    </rPh>
    <phoneticPr fontId="1"/>
  </si>
  <si>
    <t>2026/6/2数伝</t>
    <rPh sb="8" eb="10">
      <t>スウデン</t>
    </rPh>
    <phoneticPr fontId="1"/>
  </si>
  <si>
    <t>日生協9月27号差分予測</t>
    <rPh sb="0" eb="2">
      <t>ニッセイ</t>
    </rPh>
    <rPh sb="2" eb="3">
      <t>キョウ</t>
    </rPh>
    <rPh sb="4" eb="5">
      <t>ガツ</t>
    </rPh>
    <rPh sb="7" eb="8">
      <t>ゴウ</t>
    </rPh>
    <rPh sb="8" eb="10">
      <t>サブン</t>
    </rPh>
    <rPh sb="10" eb="12">
      <t>ヨソク</t>
    </rPh>
    <phoneticPr fontId="1"/>
  </si>
  <si>
    <t>日生協9月27号　特価880円</t>
    <rPh sb="0" eb="2">
      <t>ニッセイ</t>
    </rPh>
    <rPh sb="2" eb="3">
      <t>キョウ</t>
    </rPh>
    <rPh sb="4" eb="5">
      <t>ガツ</t>
    </rPh>
    <rPh sb="7" eb="8">
      <t>ゴウ</t>
    </rPh>
    <rPh sb="9" eb="11">
      <t>トッカ</t>
    </rPh>
    <rPh sb="14" eb="15">
      <t>エン</t>
    </rPh>
    <phoneticPr fontId="1"/>
  </si>
  <si>
    <t>点8/28、前取9/4、アバウト9/8・15、最終9/23</t>
    <rPh sb="0" eb="1">
      <t>テン</t>
    </rPh>
    <rPh sb="6" eb="8">
      <t>マエトリ</t>
    </rPh>
    <rPh sb="23" eb="25">
      <t>サイシュウ</t>
    </rPh>
    <phoneticPr fontId="1"/>
  </si>
  <si>
    <t>日生協6月16号東日本①</t>
    <rPh sb="0" eb="2">
      <t>ニッセイ</t>
    </rPh>
    <rPh sb="2" eb="3">
      <t>キョウ</t>
    </rPh>
    <rPh sb="4" eb="5">
      <t>ガツ</t>
    </rPh>
    <rPh sb="7" eb="8">
      <t>ゴウ</t>
    </rPh>
    <rPh sb="8" eb="11">
      <t>ヒガシニホン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</si>
</sst>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26"/>
      <name val="ＭＳ Ｐゴシック"/>
      <family val="3"/>
      <charset val="128"/>
    </font>
    <font>
      <sz val="28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56" fontId="0" fillId="0" borderId="4" xfId="0" applyNumberFormat="1" applyBorder="1"/>
    <xf numFmtId="0" fontId="2" fillId="0" borderId="5" xfId="0" applyFont="1" applyBorder="1" applyAlignment="1">
      <alignment horizontal="center" vertical="center"/>
    </xf>
    <xf numFmtId="0" fontId="0" fillId="0" borderId="6" xfId="0" applyBorder="1"/>
    <xf numFmtId="0" fontId="0" fillId="2" borderId="5" xfId="0" applyFill="1" applyBorder="1"/>
    <xf numFmtId="56" fontId="0" fillId="0" borderId="5" xfId="0" applyNumberFormat="1" applyBorder="1"/>
    <xf numFmtId="0" fontId="0" fillId="0" borderId="7" xfId="0" applyBorder="1" applyAlignment="1">
      <alignment horizontal="center" vertical="center"/>
    </xf>
    <xf numFmtId="0" fontId="0" fillId="2" borderId="7" xfId="0" applyFill="1" applyBorder="1"/>
    <xf numFmtId="56" fontId="0" fillId="0" borderId="7" xfId="0" applyNumberFormat="1" applyBorder="1"/>
    <xf numFmtId="0" fontId="0" fillId="0" borderId="8" xfId="0" applyBorder="1"/>
    <xf numFmtId="0" fontId="0" fillId="2" borderId="4" xfId="0" applyFill="1" applyBorder="1"/>
    <xf numFmtId="0" fontId="0" fillId="0" borderId="4" xfId="0" applyBorder="1" applyAlignment="1">
      <alignment horizontal="center" vertical="center"/>
    </xf>
    <xf numFmtId="56" fontId="0" fillId="0" borderId="9" xfId="0" applyNumberFormat="1" applyBorder="1"/>
    <xf numFmtId="0" fontId="2" fillId="0" borderId="10" xfId="0" applyFont="1" applyBorder="1" applyAlignment="1">
      <alignment horizontal="center" vertical="center"/>
    </xf>
    <xf numFmtId="0" fontId="0" fillId="2" borderId="11" xfId="0" applyFill="1" applyBorder="1"/>
    <xf numFmtId="0" fontId="0" fillId="2" borderId="1" xfId="0" applyFill="1" applyBorder="1"/>
    <xf numFmtId="0" fontId="0" fillId="0" borderId="1" xfId="0" applyBorder="1"/>
    <xf numFmtId="0" fontId="3" fillId="0" borderId="4" xfId="0" applyFont="1" applyBorder="1" applyAlignment="1">
      <alignment horizontal="center" vertical="center"/>
    </xf>
    <xf numFmtId="0" fontId="3" fillId="0" borderId="8" xfId="0" applyFont="1" applyBorder="1"/>
    <xf numFmtId="0" fontId="3" fillId="2" borderId="4" xfId="0" applyFont="1" applyFill="1" applyBorder="1"/>
    <xf numFmtId="56" fontId="3" fillId="0" borderId="7" xfId="0" applyNumberFormat="1" applyFont="1" applyBorder="1"/>
    <xf numFmtId="56" fontId="0" fillId="0" borderId="0" xfId="0" applyNumberFormat="1"/>
    <xf numFmtId="0" fontId="4" fillId="0" borderId="0" xfId="0" applyFont="1"/>
    <xf numFmtId="0" fontId="3" fillId="0" borderId="7" xfId="0" applyFont="1" applyBorder="1" applyAlignment="1">
      <alignment horizontal="center" vertical="center"/>
    </xf>
    <xf numFmtId="56" fontId="3" fillId="0" borderId="0" xfId="0" applyNumberFormat="1" applyFont="1"/>
    <xf numFmtId="56" fontId="3" fillId="0" borderId="4" xfId="0" applyNumberFormat="1" applyFont="1" applyBorder="1"/>
    <xf numFmtId="0" fontId="3" fillId="0" borderId="12" xfId="0" applyFont="1" applyBorder="1"/>
    <xf numFmtId="56" fontId="3" fillId="0" borderId="9" xfId="0" applyNumberFormat="1" applyFont="1" applyBorder="1"/>
    <xf numFmtId="0" fontId="3" fillId="0" borderId="13" xfId="0" applyFont="1" applyBorder="1" applyAlignment="1">
      <alignment horizontal="center" vertical="center"/>
    </xf>
    <xf numFmtId="0" fontId="3" fillId="2" borderId="5" xfId="0" applyFont="1" applyFill="1" applyBorder="1"/>
    <xf numFmtId="56" fontId="3" fillId="0" borderId="5" xfId="0" applyNumberFormat="1" applyFont="1" applyBorder="1"/>
    <xf numFmtId="0" fontId="3" fillId="0" borderId="14" xfId="0" applyFont="1" applyBorder="1"/>
    <xf numFmtId="0" fontId="3" fillId="2" borderId="7" xfId="0" applyFont="1" applyFill="1" applyBorder="1"/>
    <xf numFmtId="0" fontId="5" fillId="0" borderId="0" xfId="0" applyFont="1"/>
    <xf numFmtId="56" fontId="3" fillId="0" borderId="13" xfId="0" applyNumberFormat="1" applyFont="1" applyBorder="1"/>
    <xf numFmtId="0" fontId="7" fillId="0" borderId="8" xfId="0" applyFont="1" applyBorder="1"/>
    <xf numFmtId="0" fontId="7" fillId="2" borderId="4" xfId="0" applyFont="1" applyFill="1" applyBorder="1"/>
    <xf numFmtId="56" fontId="7" fillId="0" borderId="4" xfId="0" applyNumberFormat="1" applyFont="1" applyBorder="1"/>
    <xf numFmtId="0" fontId="6" fillId="0" borderId="15" xfId="0" applyFont="1" applyBorder="1" applyAlignment="1">
      <alignment horizontal="center" vertical="center"/>
    </xf>
    <xf numFmtId="0" fontId="7" fillId="0" borderId="16" xfId="0" applyFont="1" applyBorder="1"/>
    <xf numFmtId="0" fontId="7" fillId="2" borderId="15" xfId="0" applyFont="1" applyFill="1" applyBorder="1"/>
    <xf numFmtId="56" fontId="7" fillId="0" borderId="15" xfId="0" applyNumberFormat="1" applyFont="1" applyBorder="1"/>
    <xf numFmtId="0" fontId="6" fillId="0" borderId="1" xfId="0" applyFont="1" applyBorder="1" applyAlignment="1">
      <alignment horizontal="center" vertical="center"/>
    </xf>
    <xf numFmtId="0" fontId="7" fillId="2" borderId="17" xfId="0" applyFont="1" applyFill="1" applyBorder="1"/>
    <xf numFmtId="0" fontId="7" fillId="2" borderId="1" xfId="0" applyFont="1" applyFill="1" applyBorder="1"/>
    <xf numFmtId="0" fontId="7" fillId="0" borderId="18" xfId="0" applyFont="1" applyBorder="1"/>
    <xf numFmtId="0" fontId="7" fillId="2" borderId="19" xfId="0" applyFont="1" applyFill="1" applyBorder="1"/>
    <xf numFmtId="0" fontId="7" fillId="0" borderId="1" xfId="0" applyFont="1" applyBorder="1"/>
    <xf numFmtId="0" fontId="7" fillId="2" borderId="2" xfId="0" applyFont="1" applyFill="1" applyBorder="1"/>
    <xf numFmtId="0" fontId="2" fillId="0" borderId="20" xfId="0" applyFont="1" applyBorder="1" applyAlignment="1">
      <alignment horizontal="center" vertical="center"/>
    </xf>
    <xf numFmtId="0" fontId="3" fillId="0" borderId="6" xfId="0" applyFont="1" applyBorder="1"/>
    <xf numFmtId="0" fontId="0" fillId="0" borderId="21" xfId="0" applyBorder="1"/>
    <xf numFmtId="0" fontId="6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7" fillId="0" borderId="15" xfId="0" applyFont="1" applyBorder="1"/>
    <xf numFmtId="0" fontId="3" fillId="0" borderId="4" xfId="0" applyFont="1" applyBorder="1"/>
    <xf numFmtId="0" fontId="7" fillId="2" borderId="25" xfId="0" applyFont="1" applyFill="1" applyBorder="1"/>
    <xf numFmtId="0" fontId="3" fillId="2" borderId="26" xfId="0" applyFont="1" applyFill="1" applyBorder="1"/>
    <xf numFmtId="0" fontId="2" fillId="0" borderId="27" xfId="0" applyFont="1" applyBorder="1" applyAlignment="1">
      <alignment horizontal="center" vertical="center"/>
    </xf>
    <xf numFmtId="0" fontId="3" fillId="0" borderId="9" xfId="0" applyFont="1" applyBorder="1"/>
    <xf numFmtId="0" fontId="0" fillId="0" borderId="12" xfId="0" applyBorder="1"/>
    <xf numFmtId="0" fontId="3" fillId="0" borderId="15" xfId="0" applyFont="1" applyBorder="1" applyAlignment="1">
      <alignment horizontal="center" vertical="center"/>
    </xf>
    <xf numFmtId="0" fontId="0" fillId="0" borderId="4" xfId="0" applyBorder="1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0" fontId="3" fillId="0" borderId="28" xfId="0" applyFont="1" applyBorder="1"/>
    <xf numFmtId="0" fontId="2" fillId="0" borderId="7" xfId="0" applyFont="1" applyBorder="1" applyAlignment="1">
      <alignment horizontal="center" vertical="center"/>
    </xf>
    <xf numFmtId="0" fontId="0" fillId="0" borderId="29" xfId="0" applyBorder="1"/>
    <xf numFmtId="0" fontId="0" fillId="2" borderId="13" xfId="0" applyFill="1" applyBorder="1"/>
    <xf numFmtId="56" fontId="0" fillId="0" borderId="13" xfId="0" applyNumberFormat="1" applyBorder="1"/>
    <xf numFmtId="0" fontId="0" fillId="0" borderId="13" xfId="0" applyBorder="1" applyAlignment="1">
      <alignment horizontal="center" vertical="center"/>
    </xf>
    <xf numFmtId="56" fontId="5" fillId="0" borderId="0" xfId="0" applyNumberFormat="1" applyFont="1"/>
    <xf numFmtId="0" fontId="0" fillId="0" borderId="14" xfId="0" applyBorder="1"/>
    <xf numFmtId="0" fontId="8" fillId="0" borderId="4" xfId="0" applyFont="1" applyBorder="1" applyAlignment="1">
      <alignment horizontal="center" vertical="center"/>
    </xf>
    <xf numFmtId="56" fontId="0" fillId="0" borderId="5" xfId="0" applyNumberForma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6" fontId="10" fillId="0" borderId="0" xfId="0" applyNumberFormat="1" applyFont="1"/>
    <xf numFmtId="6" fontId="0" fillId="0" borderId="0" xfId="0" applyNumberFormat="1"/>
    <xf numFmtId="0" fontId="10" fillId="0" borderId="0" xfId="0" applyFont="1"/>
    <xf numFmtId="56" fontId="0" fillId="0" borderId="18" xfId="0" applyNumberFormat="1" applyBorder="1"/>
    <xf numFmtId="0" fontId="12" fillId="0" borderId="0" xfId="0" applyFont="1"/>
    <xf numFmtId="6" fontId="5" fillId="0" borderId="0" xfId="0" applyNumberFormat="1" applyFont="1"/>
    <xf numFmtId="0" fontId="0" fillId="0" borderId="17" xfId="0" applyBorder="1"/>
    <xf numFmtId="0" fontId="0" fillId="0" borderId="4" xfId="0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0" fillId="0" borderId="9" xfId="0" applyBorder="1"/>
    <xf numFmtId="0" fontId="2" fillId="0" borderId="13" xfId="0" applyFont="1" applyBorder="1" applyAlignment="1">
      <alignment horizontal="center" vertical="center"/>
    </xf>
    <xf numFmtId="0" fontId="0" fillId="0" borderId="28" xfId="0" applyBorder="1"/>
    <xf numFmtId="0" fontId="12" fillId="0" borderId="8" xfId="0" applyFont="1" applyBorder="1"/>
    <xf numFmtId="0" fontId="12" fillId="0" borderId="6" xfId="0" applyFont="1" applyBorder="1"/>
    <xf numFmtId="0" fontId="12" fillId="2" borderId="4" xfId="0" applyFont="1" applyFill="1" applyBorder="1"/>
    <xf numFmtId="0" fontId="12" fillId="0" borderId="4" xfId="0" applyFont="1" applyBorder="1" applyAlignment="1">
      <alignment horizontal="center" vertical="center"/>
    </xf>
    <xf numFmtId="56" fontId="12" fillId="0" borderId="7" xfId="0" applyNumberFormat="1" applyFont="1" applyBorder="1"/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2" fillId="0" borderId="0" xfId="0" applyFont="1"/>
    <xf numFmtId="56" fontId="12" fillId="0" borderId="4" xfId="0" applyNumberFormat="1" applyFont="1" applyBorder="1"/>
    <xf numFmtId="0" fontId="12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3" borderId="0" xfId="0" applyFill="1"/>
    <xf numFmtId="0" fontId="4" fillId="3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7" fillId="3" borderId="16" xfId="0" applyFont="1" applyFill="1" applyBorder="1"/>
    <xf numFmtId="0" fontId="7" fillId="3" borderId="15" xfId="0" applyFont="1" applyFill="1" applyBorder="1"/>
    <xf numFmtId="56" fontId="7" fillId="3" borderId="15" xfId="0" applyNumberFormat="1" applyFont="1" applyFill="1" applyBorder="1"/>
    <xf numFmtId="0" fontId="2" fillId="3" borderId="0" xfId="0" applyFont="1" applyFill="1"/>
    <xf numFmtId="0" fontId="2" fillId="3" borderId="5" xfId="0" applyFont="1" applyFill="1" applyBorder="1" applyAlignment="1">
      <alignment horizontal="center" vertical="center"/>
    </xf>
    <xf numFmtId="0" fontId="0" fillId="3" borderId="8" xfId="0" applyFill="1" applyBorder="1"/>
    <xf numFmtId="0" fontId="0" fillId="3" borderId="4" xfId="0" applyFill="1" applyBorder="1"/>
    <xf numFmtId="56" fontId="0" fillId="3" borderId="7" xfId="0" applyNumberFormat="1" applyFill="1" applyBorder="1"/>
    <xf numFmtId="56" fontId="0" fillId="3" borderId="4" xfId="0" applyNumberFormat="1" applyFill="1" applyBorder="1"/>
    <xf numFmtId="0" fontId="0" fillId="3" borderId="6" xfId="0" applyFill="1" applyBorder="1"/>
    <xf numFmtId="0" fontId="0" fillId="3" borderId="5" xfId="0" applyFill="1" applyBorder="1"/>
    <xf numFmtId="56" fontId="0" fillId="3" borderId="5" xfId="0" applyNumberFormat="1" applyFill="1" applyBorder="1"/>
    <xf numFmtId="0" fontId="13" fillId="3" borderId="5" xfId="0" applyFont="1" applyFill="1" applyBorder="1" applyAlignment="1">
      <alignment horizontal="center" vertical="center"/>
    </xf>
    <xf numFmtId="0" fontId="12" fillId="3" borderId="4" xfId="0" applyFont="1" applyFill="1" applyBorder="1"/>
    <xf numFmtId="0" fontId="12" fillId="3" borderId="7" xfId="0" applyFont="1" applyFill="1" applyBorder="1"/>
    <xf numFmtId="56" fontId="12" fillId="3" borderId="4" xfId="0" applyNumberFormat="1" applyFont="1" applyFill="1" applyBorder="1"/>
    <xf numFmtId="0" fontId="12" fillId="3" borderId="0" xfId="0" applyFont="1" applyFill="1"/>
    <xf numFmtId="56" fontId="0" fillId="3" borderId="9" xfId="0" applyNumberFormat="1" applyFill="1" applyBorder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3" borderId="18" xfId="0" applyFont="1" applyFill="1" applyBorder="1"/>
    <xf numFmtId="0" fontId="7" fillId="3" borderId="17" xfId="0" applyFont="1" applyFill="1" applyBorder="1"/>
    <xf numFmtId="0" fontId="0" fillId="3" borderId="7" xfId="0" applyFill="1" applyBorder="1" applyAlignment="1">
      <alignment horizontal="center" vertical="center"/>
    </xf>
    <xf numFmtId="0" fontId="0" fillId="3" borderId="14" xfId="0" applyFill="1" applyBorder="1"/>
    <xf numFmtId="0" fontId="0" fillId="3" borderId="7" xfId="0" applyFill="1" applyBorder="1"/>
    <xf numFmtId="0" fontId="9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8" xfId="0" applyFont="1" applyFill="1" applyBorder="1"/>
    <xf numFmtId="56" fontId="12" fillId="3" borderId="7" xfId="0" applyNumberFormat="1" applyFont="1" applyFill="1" applyBorder="1"/>
    <xf numFmtId="0" fontId="8" fillId="3" borderId="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6" xfId="0" applyFont="1" applyFill="1" applyBorder="1"/>
    <xf numFmtId="56" fontId="12" fillId="3" borderId="13" xfId="0" applyNumberFormat="1" applyFont="1" applyFill="1" applyBorder="1"/>
    <xf numFmtId="0" fontId="2" fillId="3" borderId="10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1" xfId="0" applyFill="1" applyBorder="1"/>
    <xf numFmtId="0" fontId="7" fillId="3" borderId="2" xfId="0" applyFont="1" applyFill="1" applyBorder="1"/>
    <xf numFmtId="0" fontId="0" fillId="3" borderId="17" xfId="0" applyFill="1" applyBorder="1"/>
    <xf numFmtId="56" fontId="0" fillId="3" borderId="18" xfId="0" applyNumberFormat="1" applyFill="1" applyBorder="1"/>
    <xf numFmtId="6" fontId="12" fillId="3" borderId="13" xfId="0" applyNumberFormat="1" applyFont="1" applyFill="1" applyBorder="1"/>
    <xf numFmtId="0" fontId="14" fillId="0" borderId="5" xfId="0" applyFont="1" applyBorder="1" applyAlignment="1">
      <alignment horizontal="center" vertical="center"/>
    </xf>
    <xf numFmtId="0" fontId="15" fillId="0" borderId="8" xfId="0" applyFont="1" applyBorder="1"/>
    <xf numFmtId="0" fontId="15" fillId="2" borderId="4" xfId="0" applyFont="1" applyFill="1" applyBorder="1"/>
    <xf numFmtId="56" fontId="15" fillId="0" borderId="7" xfId="0" applyNumberFormat="1" applyFont="1" applyBorder="1"/>
    <xf numFmtId="0" fontId="16" fillId="0" borderId="4" xfId="0" applyFont="1" applyBorder="1" applyAlignment="1">
      <alignment horizontal="center" vertical="center"/>
    </xf>
    <xf numFmtId="0" fontId="15" fillId="2" borderId="7" xfId="0" applyFont="1" applyFill="1" applyBorder="1"/>
    <xf numFmtId="0" fontId="15" fillId="0" borderId="7" xfId="0" applyFont="1" applyBorder="1" applyAlignment="1">
      <alignment horizontal="center" vertical="center"/>
    </xf>
    <xf numFmtId="6" fontId="0" fillId="0" borderId="13" xfId="0" applyNumberFormat="1" applyBorder="1"/>
    <xf numFmtId="6" fontId="0" fillId="0" borderId="4" xfId="0" applyNumberFormat="1" applyBorder="1"/>
    <xf numFmtId="0" fontId="6" fillId="0" borderId="18" xfId="0" applyFont="1" applyBorder="1" applyAlignment="1">
      <alignment horizontal="center" vertical="center"/>
    </xf>
    <xf numFmtId="0" fontId="7" fillId="2" borderId="18" xfId="0" applyFont="1" applyFill="1" applyBorder="1"/>
    <xf numFmtId="0" fontId="2" fillId="0" borderId="9" xfId="0" applyFont="1" applyBorder="1" applyAlignment="1">
      <alignment horizontal="center" vertical="center"/>
    </xf>
    <xf numFmtId="0" fontId="0" fillId="0" borderId="30" xfId="0" applyBorder="1"/>
    <xf numFmtId="0" fontId="0" fillId="2" borderId="9" xfId="0" applyFill="1" applyBorder="1"/>
    <xf numFmtId="56" fontId="0" fillId="0" borderId="9" xfId="0" applyNumberFormat="1" applyBorder="1" applyAlignment="1">
      <alignment horizontal="left"/>
    </xf>
    <xf numFmtId="56" fontId="0" fillId="0" borderId="4" xfId="0" applyNumberFormat="1" applyBorder="1" applyAlignment="1">
      <alignment horizontal="left"/>
    </xf>
    <xf numFmtId="0" fontId="0" fillId="0" borderId="31" xfId="0" applyBorder="1"/>
    <xf numFmtId="56" fontId="0" fillId="0" borderId="5" xfId="0" applyNumberFormat="1" applyBorder="1" applyAlignment="1">
      <alignment horizontal="left"/>
    </xf>
    <xf numFmtId="56" fontId="0" fillId="0" borderId="7" xfId="0" applyNumberFormat="1" applyBorder="1" applyAlignment="1">
      <alignment horizontal="left"/>
    </xf>
    <xf numFmtId="56" fontId="0" fillId="0" borderId="15" xfId="0" applyNumberFormat="1" applyBorder="1"/>
    <xf numFmtId="56" fontId="0" fillId="0" borderId="13" xfId="0" applyNumberFormat="1" applyBorder="1" applyAlignment="1">
      <alignment horizontal="left"/>
    </xf>
    <xf numFmtId="0" fontId="2" fillId="0" borderId="3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5" xfId="0" applyBorder="1"/>
    <xf numFmtId="56" fontId="12" fillId="0" borderId="0" xfId="0" applyNumberFormat="1" applyFont="1"/>
    <xf numFmtId="0" fontId="12" fillId="0" borderId="33" xfId="0" applyFont="1" applyBorder="1"/>
    <xf numFmtId="49" fontId="0" fillId="0" borderId="4" xfId="0" applyNumberFormat="1" applyBorder="1" applyAlignment="1">
      <alignment horizontal="center" vertical="center" shrinkToFit="1"/>
    </xf>
    <xf numFmtId="0" fontId="13" fillId="2" borderId="4" xfId="0" applyFont="1" applyFill="1" applyBorder="1"/>
    <xf numFmtId="0" fontId="2" fillId="0" borderId="6" xfId="0" applyFont="1" applyBorder="1"/>
    <xf numFmtId="0" fontId="2" fillId="2" borderId="4" xfId="0" applyFont="1" applyFill="1" applyBorder="1"/>
    <xf numFmtId="0" fontId="2" fillId="0" borderId="4" xfId="0" applyFont="1" applyBorder="1"/>
    <xf numFmtId="0" fontId="13" fillId="0" borderId="8" xfId="0" applyFont="1" applyBorder="1"/>
    <xf numFmtId="56" fontId="13" fillId="0" borderId="13" xfId="0" applyNumberFormat="1" applyFont="1" applyBorder="1"/>
    <xf numFmtId="56" fontId="12" fillId="0" borderId="4" xfId="0" applyNumberFormat="1" applyFont="1" applyBorder="1" applyAlignment="1">
      <alignment horizontal="left"/>
    </xf>
    <xf numFmtId="0" fontId="0" fillId="0" borderId="18" xfId="0" applyBorder="1"/>
    <xf numFmtId="0" fontId="13" fillId="0" borderId="1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/>
    <xf numFmtId="0" fontId="7" fillId="2" borderId="34" xfId="0" applyFont="1" applyFill="1" applyBorder="1"/>
    <xf numFmtId="0" fontId="13" fillId="0" borderId="6" xfId="0" applyFont="1" applyBorder="1"/>
    <xf numFmtId="56" fontId="13" fillId="0" borderId="7" xfId="0" applyNumberFormat="1" applyFont="1" applyBorder="1"/>
    <xf numFmtId="56" fontId="2" fillId="0" borderId="7" xfId="0" applyNumberFormat="1" applyFont="1" applyBorder="1"/>
    <xf numFmtId="0" fontId="4" fillId="5" borderId="0" xfId="0" applyFont="1" applyFill="1"/>
    <xf numFmtId="0" fontId="0" fillId="5" borderId="0" xfId="0" applyFill="1"/>
    <xf numFmtId="0" fontId="17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2" fillId="0" borderId="7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354"/>
  <sheetViews>
    <sheetView tabSelected="1" topLeftCell="A4291" zoomScaleNormal="100" workbookViewId="0">
      <selection activeCell="E4309" sqref="E4308:E4309"/>
    </sheetView>
  </sheetViews>
  <sheetFormatPr defaultRowHeight="13.5" x14ac:dyDescent="0.15"/>
  <cols>
    <col min="1" max="1" width="5.25" customWidth="1"/>
    <col min="2" max="2" width="21.625" customWidth="1"/>
    <col min="3" max="4" width="12.125" customWidth="1"/>
    <col min="5" max="5" width="14.625" customWidth="1"/>
    <col min="6" max="6" width="9.25" bestFit="1" customWidth="1"/>
    <col min="7" max="7" width="34.875" customWidth="1"/>
    <col min="8" max="9" width="12.375" customWidth="1"/>
    <col min="10" max="10" width="17" customWidth="1"/>
  </cols>
  <sheetData>
    <row r="1" spans="2:6" ht="18.75" x14ac:dyDescent="0.2">
      <c r="B1" s="26" t="s">
        <v>7</v>
      </c>
    </row>
    <row r="2" spans="2:6" ht="14.25" thickBot="1" x14ac:dyDescent="0.2"/>
    <row r="3" spans="2:6" ht="14.25" thickBot="1" x14ac:dyDescent="0.2">
      <c r="B3" s="1"/>
      <c r="C3" s="1"/>
      <c r="D3" s="53" t="s">
        <v>0</v>
      </c>
      <c r="E3" s="1" t="s">
        <v>4</v>
      </c>
    </row>
    <row r="4" spans="2:6" x14ac:dyDescent="0.15">
      <c r="B4" s="42" t="s">
        <v>9</v>
      </c>
      <c r="C4" s="43">
        <v>300</v>
      </c>
      <c r="D4" s="44">
        <f>SUM(C4:C4)</f>
        <v>300</v>
      </c>
      <c r="E4" s="45">
        <v>40984</v>
      </c>
    </row>
    <row r="5" spans="2:6" x14ac:dyDescent="0.15">
      <c r="B5" s="4" t="s">
        <v>6</v>
      </c>
      <c r="C5" s="39"/>
      <c r="D5" s="40">
        <f>SUM(C5:C5)</f>
        <v>0</v>
      </c>
      <c r="E5" s="41"/>
    </row>
    <row r="6" spans="2:6" x14ac:dyDescent="0.15">
      <c r="B6" s="4" t="s">
        <v>6</v>
      </c>
      <c r="C6" s="54">
        <v>336</v>
      </c>
      <c r="D6" s="33">
        <f>SUM(C6:C6)</f>
        <v>336</v>
      </c>
      <c r="E6" s="34">
        <v>41030</v>
      </c>
    </row>
    <row r="7" spans="2:6" ht="14.25" thickBot="1" x14ac:dyDescent="0.2">
      <c r="B7" s="6" t="s">
        <v>6</v>
      </c>
      <c r="C7" s="55">
        <v>336</v>
      </c>
      <c r="D7" s="8">
        <f>SUM(C7:C7)</f>
        <v>336</v>
      </c>
      <c r="E7" s="9">
        <v>41065</v>
      </c>
    </row>
    <row r="8" spans="2:6" ht="14.25" thickBot="1" x14ac:dyDescent="0.2">
      <c r="B8" s="46" t="s">
        <v>1</v>
      </c>
      <c r="C8" s="50">
        <f>SUM(C4:C7)</f>
        <v>972</v>
      </c>
      <c r="D8" s="48">
        <f>SUM(D4:D7)</f>
        <v>972</v>
      </c>
      <c r="E8" s="51"/>
    </row>
    <row r="9" spans="2:6" x14ac:dyDescent="0.15">
      <c r="B9" s="27" t="s">
        <v>8</v>
      </c>
      <c r="C9" s="35">
        <v>40</v>
      </c>
      <c r="D9" s="36">
        <f t="shared" ref="D9:D33" si="0">SUM(C9:C9)</f>
        <v>40</v>
      </c>
      <c r="E9" s="38">
        <v>40995</v>
      </c>
    </row>
    <row r="10" spans="2:6" x14ac:dyDescent="0.15">
      <c r="B10" s="10" t="s">
        <v>10</v>
      </c>
      <c r="C10" s="13">
        <v>20</v>
      </c>
      <c r="D10" s="14">
        <f t="shared" si="0"/>
        <v>20</v>
      </c>
      <c r="E10" s="5">
        <v>41005</v>
      </c>
      <c r="F10" s="25"/>
    </row>
    <row r="11" spans="2:6" x14ac:dyDescent="0.15">
      <c r="B11" s="10" t="s">
        <v>12</v>
      </c>
      <c r="C11" s="13">
        <v>50</v>
      </c>
      <c r="D11" s="14">
        <f t="shared" si="0"/>
        <v>50</v>
      </c>
      <c r="E11" s="5">
        <v>41015</v>
      </c>
      <c r="F11" s="25"/>
    </row>
    <row r="12" spans="2:6" x14ac:dyDescent="0.15">
      <c r="B12" s="27" t="s">
        <v>13</v>
      </c>
      <c r="C12" s="22">
        <v>30</v>
      </c>
      <c r="D12" s="23">
        <f t="shared" si="0"/>
        <v>30</v>
      </c>
      <c r="E12" s="29">
        <v>41026</v>
      </c>
      <c r="F12" s="25"/>
    </row>
    <row r="13" spans="2:6" x14ac:dyDescent="0.15">
      <c r="B13" s="27" t="s">
        <v>14</v>
      </c>
      <c r="C13" s="22">
        <v>35</v>
      </c>
      <c r="D13" s="23">
        <f t="shared" si="0"/>
        <v>35</v>
      </c>
      <c r="E13" s="29">
        <v>41038</v>
      </c>
      <c r="F13" s="25"/>
    </row>
    <row r="14" spans="2:6" x14ac:dyDescent="0.15">
      <c r="B14" s="27" t="s">
        <v>10</v>
      </c>
      <c r="C14" s="22">
        <v>30</v>
      </c>
      <c r="D14" s="23">
        <f t="shared" si="0"/>
        <v>30</v>
      </c>
      <c r="E14" s="29">
        <v>41045</v>
      </c>
      <c r="F14" s="25"/>
    </row>
    <row r="15" spans="2:6" x14ac:dyDescent="0.15">
      <c r="B15" s="10" t="s">
        <v>8</v>
      </c>
      <c r="C15" s="13">
        <v>30</v>
      </c>
      <c r="D15" s="14">
        <f t="shared" si="0"/>
        <v>30</v>
      </c>
      <c r="E15" s="5">
        <v>41054</v>
      </c>
      <c r="F15" s="25"/>
    </row>
    <row r="16" spans="2:6" x14ac:dyDescent="0.15">
      <c r="B16" s="27" t="s">
        <v>15</v>
      </c>
      <c r="C16" s="22">
        <v>20</v>
      </c>
      <c r="D16" s="23">
        <f t="shared" si="0"/>
        <v>20</v>
      </c>
      <c r="E16" s="29">
        <v>41047</v>
      </c>
      <c r="F16" s="25"/>
    </row>
    <row r="17" spans="2:6" x14ac:dyDescent="0.15">
      <c r="B17" s="10" t="s">
        <v>16</v>
      </c>
      <c r="C17" s="13">
        <v>30</v>
      </c>
      <c r="D17" s="14">
        <f t="shared" si="0"/>
        <v>30</v>
      </c>
      <c r="E17" s="5">
        <v>41050</v>
      </c>
      <c r="F17" s="25"/>
    </row>
    <row r="18" spans="2:6" x14ac:dyDescent="0.15">
      <c r="B18" s="27" t="s">
        <v>10</v>
      </c>
      <c r="C18" s="22">
        <v>50</v>
      </c>
      <c r="D18" s="23">
        <f t="shared" si="0"/>
        <v>50</v>
      </c>
      <c r="E18" s="29">
        <v>41058</v>
      </c>
      <c r="F18" s="25"/>
    </row>
    <row r="19" spans="2:6" x14ac:dyDescent="0.15">
      <c r="B19" s="27" t="s">
        <v>12</v>
      </c>
      <c r="C19" s="22">
        <v>1</v>
      </c>
      <c r="D19" s="23">
        <f t="shared" si="0"/>
        <v>1</v>
      </c>
      <c r="E19" s="29">
        <v>41053</v>
      </c>
      <c r="F19" s="28"/>
    </row>
    <row r="20" spans="2:6" x14ac:dyDescent="0.15">
      <c r="B20" s="27" t="s">
        <v>10</v>
      </c>
      <c r="C20" s="22">
        <v>100</v>
      </c>
      <c r="D20" s="23">
        <f t="shared" si="0"/>
        <v>100</v>
      </c>
      <c r="E20" s="29">
        <v>41061</v>
      </c>
      <c r="F20" s="28"/>
    </row>
    <row r="21" spans="2:6" x14ac:dyDescent="0.15">
      <c r="B21" s="21" t="s">
        <v>10</v>
      </c>
      <c r="C21" s="22">
        <v>40</v>
      </c>
      <c r="D21" s="23">
        <f t="shared" si="0"/>
        <v>40</v>
      </c>
      <c r="E21" s="29">
        <v>41067</v>
      </c>
      <c r="F21" s="25"/>
    </row>
    <row r="22" spans="2:6" x14ac:dyDescent="0.15">
      <c r="B22" s="27" t="s">
        <v>15</v>
      </c>
      <c r="C22" s="13">
        <v>40</v>
      </c>
      <c r="D22" s="14">
        <f t="shared" si="0"/>
        <v>40</v>
      </c>
      <c r="E22" s="5">
        <v>41071</v>
      </c>
      <c r="F22" s="25"/>
    </row>
    <row r="23" spans="2:6" x14ac:dyDescent="0.15">
      <c r="B23" s="27" t="s">
        <v>10</v>
      </c>
      <c r="C23" s="22">
        <v>60</v>
      </c>
      <c r="D23" s="23">
        <f t="shared" si="0"/>
        <v>60</v>
      </c>
      <c r="E23" s="29">
        <v>41078</v>
      </c>
      <c r="F23" s="25"/>
    </row>
    <row r="24" spans="2:6" x14ac:dyDescent="0.15">
      <c r="B24" s="10" t="s">
        <v>12</v>
      </c>
      <c r="C24" s="22">
        <v>40</v>
      </c>
      <c r="D24" s="23">
        <f t="shared" si="0"/>
        <v>40</v>
      </c>
      <c r="E24" s="5">
        <v>41076</v>
      </c>
      <c r="F24" s="25"/>
    </row>
    <row r="25" spans="2:6" x14ac:dyDescent="0.15">
      <c r="B25" s="27" t="s">
        <v>10</v>
      </c>
      <c r="C25" s="22">
        <v>30</v>
      </c>
      <c r="D25" s="23">
        <f t="shared" si="0"/>
        <v>30</v>
      </c>
      <c r="E25" s="29">
        <v>41082</v>
      </c>
      <c r="F25" s="28"/>
    </row>
    <row r="26" spans="2:6" x14ac:dyDescent="0.15">
      <c r="B26" s="27" t="s">
        <v>17</v>
      </c>
      <c r="C26" s="22">
        <v>60</v>
      </c>
      <c r="D26" s="23">
        <f t="shared" si="0"/>
        <v>60</v>
      </c>
      <c r="E26" s="29">
        <v>41088</v>
      </c>
      <c r="F26" s="25"/>
    </row>
    <row r="27" spans="2:6" x14ac:dyDescent="0.15">
      <c r="B27" s="27" t="s">
        <v>8</v>
      </c>
      <c r="C27" s="22">
        <v>40</v>
      </c>
      <c r="D27" s="23">
        <f t="shared" si="0"/>
        <v>40</v>
      </c>
      <c r="E27" s="29">
        <v>41094</v>
      </c>
      <c r="F27" s="25"/>
    </row>
    <row r="28" spans="2:6" x14ac:dyDescent="0.15">
      <c r="B28" s="27" t="s">
        <v>10</v>
      </c>
      <c r="C28" s="22">
        <v>60</v>
      </c>
      <c r="D28" s="23">
        <f t="shared" si="0"/>
        <v>60</v>
      </c>
      <c r="E28" s="29">
        <v>41096</v>
      </c>
      <c r="F28" s="25"/>
    </row>
    <row r="29" spans="2:6" x14ac:dyDescent="0.15">
      <c r="B29" s="27" t="s">
        <v>12</v>
      </c>
      <c r="C29" s="13">
        <v>50</v>
      </c>
      <c r="D29" s="14">
        <f t="shared" si="0"/>
        <v>50</v>
      </c>
      <c r="E29" s="5">
        <v>41100</v>
      </c>
      <c r="F29" s="25"/>
    </row>
    <row r="30" spans="2:6" x14ac:dyDescent="0.15">
      <c r="B30" s="27"/>
      <c r="C30" s="22"/>
      <c r="D30" s="23">
        <f t="shared" si="0"/>
        <v>0</v>
      </c>
      <c r="E30" s="29"/>
      <c r="F30" s="28"/>
    </row>
    <row r="31" spans="2:6" x14ac:dyDescent="0.15">
      <c r="B31" s="10"/>
      <c r="C31" s="13"/>
      <c r="D31" s="14">
        <f t="shared" si="0"/>
        <v>0</v>
      </c>
      <c r="E31" s="5"/>
      <c r="F31" s="25"/>
    </row>
    <row r="32" spans="2:6" ht="14.25" thickBot="1" x14ac:dyDescent="0.2">
      <c r="B32" s="21" t="s">
        <v>11</v>
      </c>
      <c r="C32" s="54">
        <v>20</v>
      </c>
      <c r="D32" s="23">
        <f t="shared" si="0"/>
        <v>20</v>
      </c>
      <c r="E32" s="31">
        <v>41075</v>
      </c>
      <c r="F32" s="25"/>
    </row>
    <row r="33" spans="2:6" ht="14.25" thickBot="1" x14ac:dyDescent="0.2">
      <c r="B33" s="17" t="s">
        <v>2</v>
      </c>
      <c r="C33" s="18">
        <f>SUM(C9:C32)</f>
        <v>876</v>
      </c>
      <c r="D33" s="19">
        <f t="shared" si="0"/>
        <v>876</v>
      </c>
      <c r="E33" s="20"/>
    </row>
    <row r="34" spans="2:6" ht="14.25" thickBot="1" x14ac:dyDescent="0.2">
      <c r="B34" s="46" t="s">
        <v>3</v>
      </c>
      <c r="C34" s="52">
        <f>C8-C33</f>
        <v>96</v>
      </c>
      <c r="D34" s="48">
        <f>D8-D33</f>
        <v>96</v>
      </c>
      <c r="E34" s="49"/>
    </row>
    <row r="37" spans="2:6" ht="18.75" x14ac:dyDescent="0.2">
      <c r="B37" s="26" t="s">
        <v>7</v>
      </c>
    </row>
    <row r="38" spans="2:6" ht="14.25" thickBot="1" x14ac:dyDescent="0.2"/>
    <row r="39" spans="2:6" ht="14.25" thickBot="1" x14ac:dyDescent="0.2">
      <c r="B39" s="1"/>
      <c r="C39" s="58"/>
      <c r="D39" s="53" t="s">
        <v>0</v>
      </c>
      <c r="E39" s="58" t="s">
        <v>4</v>
      </c>
    </row>
    <row r="40" spans="2:6" x14ac:dyDescent="0.15">
      <c r="B40" s="56" t="s">
        <v>5</v>
      </c>
      <c r="C40" s="59">
        <f>C34</f>
        <v>96</v>
      </c>
      <c r="D40" s="61">
        <f>SUM(C40:C40)</f>
        <v>96</v>
      </c>
      <c r="E40" s="45"/>
    </row>
    <row r="41" spans="2:6" x14ac:dyDescent="0.15">
      <c r="B41" s="57" t="s">
        <v>6</v>
      </c>
      <c r="C41" s="60">
        <v>336</v>
      </c>
      <c r="D41" s="62">
        <f>SUM(C41:C41)</f>
        <v>336</v>
      </c>
      <c r="E41" s="29">
        <v>41096</v>
      </c>
    </row>
    <row r="42" spans="2:6" x14ac:dyDescent="0.15">
      <c r="B42" s="63" t="s">
        <v>6</v>
      </c>
      <c r="C42" s="60">
        <v>672</v>
      </c>
      <c r="D42" s="62">
        <f>SUM(C42:C42)</f>
        <v>672</v>
      </c>
      <c r="E42" s="29">
        <v>41125</v>
      </c>
    </row>
    <row r="43" spans="2:6" ht="14.25" thickBot="1" x14ac:dyDescent="0.2">
      <c r="B43" s="63" t="s">
        <v>6</v>
      </c>
      <c r="C43" s="64">
        <v>329</v>
      </c>
      <c r="D43" s="62">
        <f>SUM(C43:C43)</f>
        <v>329</v>
      </c>
      <c r="E43" s="31">
        <v>41145</v>
      </c>
      <c r="F43" s="37"/>
    </row>
    <row r="44" spans="2:6" ht="14.25" thickBot="1" x14ac:dyDescent="0.2">
      <c r="B44" s="46" t="s">
        <v>1</v>
      </c>
      <c r="C44" s="47">
        <f>SUM(C40:C43)</f>
        <v>1433</v>
      </c>
      <c r="D44" s="48">
        <f>SUM(D40:D43)</f>
        <v>1433</v>
      </c>
      <c r="E44" s="49"/>
    </row>
    <row r="45" spans="2:6" x14ac:dyDescent="0.15">
      <c r="B45" s="66" t="s">
        <v>10</v>
      </c>
      <c r="C45" s="35">
        <v>60</v>
      </c>
      <c r="D45" s="36">
        <f t="shared" ref="D45:D69" si="1">SUM(C45:C45)</f>
        <v>60</v>
      </c>
      <c r="E45" s="24">
        <v>41101</v>
      </c>
    </row>
    <row r="46" spans="2:6" x14ac:dyDescent="0.15">
      <c r="B46" s="27" t="s">
        <v>10</v>
      </c>
      <c r="C46" s="22">
        <v>120</v>
      </c>
      <c r="D46" s="23">
        <f t="shared" si="1"/>
        <v>120</v>
      </c>
      <c r="E46" s="24">
        <v>41108</v>
      </c>
    </row>
    <row r="47" spans="2:6" x14ac:dyDescent="0.15">
      <c r="B47" s="10" t="s">
        <v>16</v>
      </c>
      <c r="C47" s="13">
        <v>50</v>
      </c>
      <c r="D47" s="14">
        <f t="shared" si="1"/>
        <v>50</v>
      </c>
      <c r="E47" s="12">
        <v>41108</v>
      </c>
    </row>
    <row r="48" spans="2:6" x14ac:dyDescent="0.15">
      <c r="B48" s="10" t="s">
        <v>18</v>
      </c>
      <c r="C48" s="13">
        <v>24</v>
      </c>
      <c r="D48" s="14">
        <f t="shared" si="1"/>
        <v>24</v>
      </c>
      <c r="E48" s="12">
        <v>41111</v>
      </c>
    </row>
    <row r="49" spans="2:5" x14ac:dyDescent="0.15">
      <c r="B49" s="27" t="s">
        <v>19</v>
      </c>
      <c r="C49" s="22">
        <v>90</v>
      </c>
      <c r="D49" s="23">
        <f t="shared" si="1"/>
        <v>90</v>
      </c>
      <c r="E49" s="24">
        <v>41117</v>
      </c>
    </row>
    <row r="50" spans="2:5" x14ac:dyDescent="0.15">
      <c r="B50" s="27" t="s">
        <v>8</v>
      </c>
      <c r="C50" s="22">
        <v>30</v>
      </c>
      <c r="D50" s="23">
        <f t="shared" si="1"/>
        <v>30</v>
      </c>
      <c r="E50" s="24">
        <v>41120</v>
      </c>
    </row>
    <row r="51" spans="2:5" x14ac:dyDescent="0.15">
      <c r="B51" s="27" t="s">
        <v>20</v>
      </c>
      <c r="C51" s="22">
        <v>44</v>
      </c>
      <c r="D51" s="23">
        <f t="shared" si="1"/>
        <v>44</v>
      </c>
      <c r="E51" s="24">
        <v>41117</v>
      </c>
    </row>
    <row r="52" spans="2:5" x14ac:dyDescent="0.15">
      <c r="B52" s="10" t="s">
        <v>12</v>
      </c>
      <c r="C52" s="13">
        <v>14</v>
      </c>
      <c r="D52" s="14">
        <f t="shared" si="1"/>
        <v>14</v>
      </c>
      <c r="E52" s="12">
        <v>41118</v>
      </c>
    </row>
    <row r="53" spans="2:5" x14ac:dyDescent="0.15">
      <c r="B53" s="27" t="s">
        <v>21</v>
      </c>
      <c r="C53" s="22">
        <v>150</v>
      </c>
      <c r="D53" s="23">
        <f t="shared" si="1"/>
        <v>150</v>
      </c>
      <c r="E53" s="24">
        <v>41128</v>
      </c>
    </row>
    <row r="54" spans="2:5" x14ac:dyDescent="0.15">
      <c r="B54" s="67"/>
      <c r="C54" s="54">
        <v>200</v>
      </c>
      <c r="D54" s="23">
        <f>SUM(C54:C54)</f>
        <v>200</v>
      </c>
      <c r="E54" s="29">
        <v>41125</v>
      </c>
    </row>
    <row r="55" spans="2:5" x14ac:dyDescent="0.15">
      <c r="B55" s="10" t="s">
        <v>22</v>
      </c>
      <c r="C55" s="22">
        <v>30</v>
      </c>
      <c r="D55" s="23">
        <f t="shared" si="1"/>
        <v>30</v>
      </c>
      <c r="E55" s="24">
        <v>41131</v>
      </c>
    </row>
    <row r="56" spans="2:5" x14ac:dyDescent="0.15">
      <c r="B56" s="27" t="s">
        <v>23</v>
      </c>
      <c r="C56" s="22">
        <v>13</v>
      </c>
      <c r="D56" s="23">
        <f t="shared" si="1"/>
        <v>13</v>
      </c>
      <c r="E56" s="24">
        <v>41138</v>
      </c>
    </row>
    <row r="57" spans="2:5" x14ac:dyDescent="0.15">
      <c r="B57" s="27" t="s">
        <v>24</v>
      </c>
      <c r="C57" s="22">
        <v>29</v>
      </c>
      <c r="D57" s="23">
        <f t="shared" si="1"/>
        <v>29</v>
      </c>
      <c r="E57" s="24">
        <v>41139</v>
      </c>
    </row>
    <row r="58" spans="2:5" x14ac:dyDescent="0.15">
      <c r="B58" s="27" t="s">
        <v>25</v>
      </c>
      <c r="C58" s="22">
        <v>60</v>
      </c>
      <c r="D58" s="23">
        <f t="shared" si="1"/>
        <v>60</v>
      </c>
      <c r="E58" s="24">
        <v>41142</v>
      </c>
    </row>
    <row r="59" spans="2:5" x14ac:dyDescent="0.15">
      <c r="B59" s="15" t="s">
        <v>12</v>
      </c>
      <c r="C59" s="13">
        <v>50</v>
      </c>
      <c r="D59" s="14">
        <f t="shared" si="1"/>
        <v>50</v>
      </c>
      <c r="E59" s="12">
        <v>41141</v>
      </c>
    </row>
    <row r="60" spans="2:5" x14ac:dyDescent="0.15">
      <c r="B60" s="27" t="s">
        <v>8</v>
      </c>
      <c r="C60" s="22">
        <v>19</v>
      </c>
      <c r="D60" s="23">
        <f t="shared" si="1"/>
        <v>19</v>
      </c>
      <c r="E60" s="24">
        <v>41149</v>
      </c>
    </row>
    <row r="61" spans="2:5" x14ac:dyDescent="0.15">
      <c r="B61" s="27" t="s">
        <v>26</v>
      </c>
      <c r="C61" s="22">
        <v>25</v>
      </c>
      <c r="D61" s="23">
        <f t="shared" si="1"/>
        <v>25</v>
      </c>
      <c r="E61" s="24">
        <v>41144</v>
      </c>
    </row>
    <row r="62" spans="2:5" x14ac:dyDescent="0.15">
      <c r="B62" s="10" t="s">
        <v>10</v>
      </c>
      <c r="C62" s="13">
        <v>60</v>
      </c>
      <c r="D62" s="14">
        <f t="shared" si="1"/>
        <v>60</v>
      </c>
      <c r="E62" s="12">
        <v>41159</v>
      </c>
    </row>
    <row r="63" spans="2:5" x14ac:dyDescent="0.15">
      <c r="B63" s="27" t="s">
        <v>27</v>
      </c>
      <c r="C63" s="22">
        <v>2</v>
      </c>
      <c r="D63" s="23">
        <f t="shared" si="1"/>
        <v>2</v>
      </c>
      <c r="E63" s="24">
        <v>41157</v>
      </c>
    </row>
    <row r="64" spans="2:5" x14ac:dyDescent="0.15">
      <c r="B64" s="21" t="s">
        <v>22</v>
      </c>
      <c r="C64" s="22">
        <v>50</v>
      </c>
      <c r="D64" s="23">
        <f t="shared" si="1"/>
        <v>50</v>
      </c>
      <c r="E64" s="29">
        <v>41158</v>
      </c>
    </row>
    <row r="65" spans="2:10" x14ac:dyDescent="0.15">
      <c r="B65" s="27" t="s">
        <v>23</v>
      </c>
      <c r="C65" s="22">
        <v>48</v>
      </c>
      <c r="D65" s="23">
        <f t="shared" si="1"/>
        <v>48</v>
      </c>
      <c r="E65" s="29">
        <v>41165</v>
      </c>
    </row>
    <row r="66" spans="2:10" x14ac:dyDescent="0.15">
      <c r="B66" s="21" t="s">
        <v>28</v>
      </c>
      <c r="C66" s="22">
        <v>90</v>
      </c>
      <c r="D66" s="23">
        <f t="shared" si="1"/>
        <v>90</v>
      </c>
      <c r="E66" s="29">
        <v>41171</v>
      </c>
    </row>
    <row r="67" spans="2:10" x14ac:dyDescent="0.15">
      <c r="B67" s="21" t="s">
        <v>29</v>
      </c>
      <c r="C67" s="13">
        <v>10</v>
      </c>
      <c r="D67" s="14">
        <f t="shared" si="1"/>
        <v>10</v>
      </c>
      <c r="E67" s="5">
        <v>41165</v>
      </c>
    </row>
    <row r="68" spans="2:10" ht="14.25" thickBot="1" x14ac:dyDescent="0.2">
      <c r="B68" s="68"/>
      <c r="C68" s="7"/>
      <c r="D68" s="14">
        <f t="shared" si="1"/>
        <v>0</v>
      </c>
      <c r="E68" s="16"/>
    </row>
    <row r="69" spans="2:10" ht="14.25" thickBot="1" x14ac:dyDescent="0.2">
      <c r="B69" s="17" t="s">
        <v>2</v>
      </c>
      <c r="C69" s="18">
        <f>SUM(C45:C68)</f>
        <v>1268</v>
      </c>
      <c r="D69" s="19">
        <f t="shared" si="1"/>
        <v>1268</v>
      </c>
      <c r="E69" s="20"/>
    </row>
    <row r="70" spans="2:10" ht="14.25" thickBot="1" x14ac:dyDescent="0.2">
      <c r="B70" s="46" t="s">
        <v>3</v>
      </c>
      <c r="C70" s="52">
        <f>C44-C69</f>
        <v>165</v>
      </c>
      <c r="D70" s="48">
        <f>D44-D69</f>
        <v>165</v>
      </c>
      <c r="E70" s="49"/>
    </row>
    <row r="73" spans="2:10" ht="18.75" x14ac:dyDescent="0.2">
      <c r="B73" s="26" t="s">
        <v>7</v>
      </c>
      <c r="G73" s="26" t="s">
        <v>35</v>
      </c>
    </row>
    <row r="74" spans="2:10" ht="14.25" thickBot="1" x14ac:dyDescent="0.2"/>
    <row r="75" spans="2:10" ht="14.25" thickBot="1" x14ac:dyDescent="0.2">
      <c r="B75" s="1"/>
      <c r="C75" s="2"/>
      <c r="D75" s="3" t="s">
        <v>0</v>
      </c>
      <c r="E75" s="1" t="s">
        <v>4</v>
      </c>
      <c r="G75" s="1"/>
      <c r="H75" s="2"/>
      <c r="I75" s="3" t="s">
        <v>0</v>
      </c>
      <c r="J75" s="1" t="s">
        <v>4</v>
      </c>
    </row>
    <row r="76" spans="2:10" x14ac:dyDescent="0.15">
      <c r="B76" s="42" t="s">
        <v>5</v>
      </c>
      <c r="C76" s="43">
        <f>C70</f>
        <v>165</v>
      </c>
      <c r="D76" s="44">
        <f>SUM(C76:C76)</f>
        <v>165</v>
      </c>
      <c r="E76" s="45"/>
      <c r="G76" s="42" t="s">
        <v>5</v>
      </c>
      <c r="H76" s="43">
        <f>H70</f>
        <v>0</v>
      </c>
      <c r="I76" s="44">
        <f>SUM(H76:H76)</f>
        <v>0</v>
      </c>
      <c r="J76" s="45"/>
    </row>
    <row r="77" spans="2:10" x14ac:dyDescent="0.15">
      <c r="B77" s="4" t="s">
        <v>6</v>
      </c>
      <c r="C77" s="13">
        <v>336</v>
      </c>
      <c r="D77" s="14">
        <f>SUM(C77:C77)</f>
        <v>336</v>
      </c>
      <c r="E77" s="5">
        <v>41208</v>
      </c>
      <c r="G77" s="4" t="s">
        <v>6</v>
      </c>
      <c r="H77" s="22">
        <v>336</v>
      </c>
      <c r="I77" s="23">
        <f>SUM(H77:H77)</f>
        <v>336</v>
      </c>
      <c r="J77" s="29">
        <v>41292</v>
      </c>
    </row>
    <row r="78" spans="2:10" x14ac:dyDescent="0.15">
      <c r="B78" s="4" t="s">
        <v>6</v>
      </c>
      <c r="C78" s="7">
        <v>11</v>
      </c>
      <c r="D78" s="8">
        <f>SUM(C78:C78)</f>
        <v>11</v>
      </c>
      <c r="E78" s="9">
        <v>41265</v>
      </c>
      <c r="G78" s="4" t="s">
        <v>6</v>
      </c>
      <c r="H78" s="54">
        <v>672</v>
      </c>
      <c r="I78" s="33">
        <f>SUM(H78:H78)</f>
        <v>672</v>
      </c>
      <c r="J78" s="34">
        <v>41306</v>
      </c>
    </row>
    <row r="79" spans="2:10" ht="14.25" thickBot="1" x14ac:dyDescent="0.2">
      <c r="B79" s="6" t="s">
        <v>6</v>
      </c>
      <c r="C79" s="30">
        <v>336</v>
      </c>
      <c r="D79" s="23">
        <f>SUM(C79:C79)</f>
        <v>336</v>
      </c>
      <c r="E79" s="31">
        <v>41292</v>
      </c>
      <c r="G79" s="6" t="s">
        <v>6</v>
      </c>
      <c r="H79" s="65"/>
      <c r="I79" s="14">
        <f>SUM(H79:H79)</f>
        <v>0</v>
      </c>
      <c r="J79" s="16"/>
    </row>
    <row r="80" spans="2:10" ht="14.25" thickBot="1" x14ac:dyDescent="0.2">
      <c r="B80" s="46" t="s">
        <v>1</v>
      </c>
      <c r="C80" s="47">
        <f>SUM(C76:C79)</f>
        <v>848</v>
      </c>
      <c r="D80" s="48">
        <f>SUM(D76:D79)</f>
        <v>848</v>
      </c>
      <c r="E80" s="49"/>
      <c r="G80" s="46" t="s">
        <v>1</v>
      </c>
      <c r="H80" s="47">
        <f>SUM(H76:H79)</f>
        <v>1008</v>
      </c>
      <c r="I80" s="48">
        <f>SUM(I76:I79)</f>
        <v>1008</v>
      </c>
      <c r="J80" s="49"/>
    </row>
    <row r="81" spans="2:10" x14ac:dyDescent="0.15">
      <c r="B81" s="10" t="s">
        <v>22</v>
      </c>
      <c r="C81" s="13">
        <v>50</v>
      </c>
      <c r="D81" s="11">
        <f t="shared" ref="D81:D105" si="2">SUM(C81:C81)</f>
        <v>50</v>
      </c>
      <c r="E81" s="12">
        <v>41172</v>
      </c>
      <c r="G81" s="27" t="s">
        <v>16</v>
      </c>
      <c r="H81" s="22">
        <v>336</v>
      </c>
      <c r="I81" s="36">
        <f t="shared" ref="I81:I105" si="3">SUM(H81:H81)</f>
        <v>336</v>
      </c>
      <c r="J81" s="24">
        <v>41292</v>
      </c>
    </row>
    <row r="82" spans="2:10" x14ac:dyDescent="0.15">
      <c r="B82" s="27" t="s">
        <v>18</v>
      </c>
      <c r="C82" s="22">
        <v>22</v>
      </c>
      <c r="D82" s="23">
        <f t="shared" si="2"/>
        <v>22</v>
      </c>
      <c r="E82" s="24">
        <v>41185</v>
      </c>
      <c r="G82" s="69" t="s">
        <v>46</v>
      </c>
      <c r="H82" s="22">
        <v>400</v>
      </c>
      <c r="I82" s="23">
        <f t="shared" si="3"/>
        <v>400</v>
      </c>
      <c r="J82" s="24">
        <v>41346</v>
      </c>
    </row>
    <row r="83" spans="2:10" x14ac:dyDescent="0.15">
      <c r="B83" s="10" t="s">
        <v>22</v>
      </c>
      <c r="C83" s="13">
        <v>50</v>
      </c>
      <c r="D83" s="14">
        <f t="shared" si="2"/>
        <v>50</v>
      </c>
      <c r="E83" s="12">
        <v>41197</v>
      </c>
      <c r="G83" s="27" t="s">
        <v>16</v>
      </c>
      <c r="H83" s="22">
        <v>272</v>
      </c>
      <c r="I83" s="23">
        <f t="shared" si="3"/>
        <v>272</v>
      </c>
      <c r="J83" s="24">
        <v>41355</v>
      </c>
    </row>
    <row r="84" spans="2:10" x14ac:dyDescent="0.15">
      <c r="B84" s="27" t="s">
        <v>30</v>
      </c>
      <c r="C84" s="22">
        <v>17</v>
      </c>
      <c r="D84" s="23">
        <f t="shared" si="2"/>
        <v>17</v>
      </c>
      <c r="E84" s="24">
        <v>41200</v>
      </c>
      <c r="G84" s="27"/>
      <c r="H84" s="22"/>
      <c r="I84" s="23">
        <f t="shared" si="3"/>
        <v>0</v>
      </c>
      <c r="J84" s="24"/>
    </row>
    <row r="85" spans="2:10" x14ac:dyDescent="0.15">
      <c r="B85" s="10" t="s">
        <v>31</v>
      </c>
      <c r="C85" s="13">
        <v>10</v>
      </c>
      <c r="D85" s="14">
        <f t="shared" si="2"/>
        <v>10</v>
      </c>
      <c r="E85" s="12">
        <v>41205</v>
      </c>
      <c r="G85" s="10"/>
      <c r="H85" s="13"/>
      <c r="I85" s="14">
        <f t="shared" si="3"/>
        <v>0</v>
      </c>
      <c r="J85" s="12"/>
    </row>
    <row r="86" spans="2:10" x14ac:dyDescent="0.15">
      <c r="B86" s="10" t="s">
        <v>22</v>
      </c>
      <c r="C86" s="13">
        <v>50</v>
      </c>
      <c r="D86" s="14">
        <f t="shared" si="2"/>
        <v>50</v>
      </c>
      <c r="E86" s="12">
        <v>41212</v>
      </c>
      <c r="G86" s="10"/>
      <c r="H86" s="13"/>
      <c r="I86" s="14">
        <f t="shared" si="3"/>
        <v>0</v>
      </c>
      <c r="J86" s="12"/>
    </row>
    <row r="87" spans="2:10" x14ac:dyDescent="0.15">
      <c r="B87" s="27" t="s">
        <v>32</v>
      </c>
      <c r="C87" s="22">
        <v>11</v>
      </c>
      <c r="D87" s="23">
        <f t="shared" si="2"/>
        <v>11</v>
      </c>
      <c r="E87" s="24">
        <v>41215</v>
      </c>
      <c r="G87" s="27"/>
      <c r="H87" s="22"/>
      <c r="I87" s="23">
        <f t="shared" si="3"/>
        <v>0</v>
      </c>
      <c r="J87" s="24"/>
    </row>
    <row r="88" spans="2:10" x14ac:dyDescent="0.15">
      <c r="B88" s="10" t="s">
        <v>14</v>
      </c>
      <c r="C88" s="13">
        <v>23</v>
      </c>
      <c r="D88" s="14">
        <f t="shared" si="2"/>
        <v>23</v>
      </c>
      <c r="E88" s="12">
        <v>41221</v>
      </c>
      <c r="G88" s="10"/>
      <c r="H88" s="13"/>
      <c r="I88" s="14">
        <f t="shared" si="3"/>
        <v>0</v>
      </c>
      <c r="J88" s="12"/>
    </row>
    <row r="89" spans="2:10" x14ac:dyDescent="0.15">
      <c r="B89" s="21" t="s">
        <v>33</v>
      </c>
      <c r="C89" s="22">
        <v>30</v>
      </c>
      <c r="D89" s="23">
        <f t="shared" si="2"/>
        <v>30</v>
      </c>
      <c r="E89" s="24">
        <v>41229</v>
      </c>
      <c r="G89" s="21"/>
      <c r="H89" s="22"/>
      <c r="I89" s="23">
        <f t="shared" si="3"/>
        <v>0</v>
      </c>
      <c r="J89" s="24"/>
    </row>
    <row r="90" spans="2:10" x14ac:dyDescent="0.15">
      <c r="B90" s="21" t="s">
        <v>34</v>
      </c>
      <c r="C90" s="22">
        <v>50</v>
      </c>
      <c r="D90" s="23">
        <f t="shared" si="2"/>
        <v>50</v>
      </c>
      <c r="E90" s="24">
        <v>41232</v>
      </c>
      <c r="G90" s="21"/>
      <c r="H90" s="22"/>
      <c r="I90" s="23">
        <f t="shared" si="3"/>
        <v>0</v>
      </c>
      <c r="J90" s="24"/>
    </row>
    <row r="91" spans="2:10" x14ac:dyDescent="0.15">
      <c r="B91" s="21" t="s">
        <v>36</v>
      </c>
      <c r="C91" s="22">
        <v>30</v>
      </c>
      <c r="D91" s="23">
        <f t="shared" si="2"/>
        <v>30</v>
      </c>
      <c r="E91" s="24">
        <v>41251</v>
      </c>
      <c r="G91" s="10"/>
      <c r="H91" s="22"/>
      <c r="I91" s="23">
        <f t="shared" si="3"/>
        <v>0</v>
      </c>
      <c r="J91" s="24"/>
    </row>
    <row r="92" spans="2:10" x14ac:dyDescent="0.15">
      <c r="B92" s="21" t="s">
        <v>37</v>
      </c>
      <c r="C92" s="22">
        <v>30</v>
      </c>
      <c r="D92" s="23">
        <f t="shared" si="2"/>
        <v>30</v>
      </c>
      <c r="E92" s="24">
        <v>41260</v>
      </c>
      <c r="G92" s="27"/>
      <c r="H92" s="22"/>
      <c r="I92" s="23">
        <f t="shared" si="3"/>
        <v>0</v>
      </c>
      <c r="J92" s="24"/>
    </row>
    <row r="93" spans="2:10" x14ac:dyDescent="0.15">
      <c r="B93" s="15" t="s">
        <v>12</v>
      </c>
      <c r="C93" s="13">
        <v>50</v>
      </c>
      <c r="D93" s="14">
        <f t="shared" si="2"/>
        <v>50</v>
      </c>
      <c r="E93" s="12">
        <v>41255</v>
      </c>
      <c r="G93" s="15"/>
      <c r="H93" s="13"/>
      <c r="I93" s="14">
        <f t="shared" si="3"/>
        <v>0</v>
      </c>
      <c r="J93" s="12"/>
    </row>
    <row r="94" spans="2:10" x14ac:dyDescent="0.15">
      <c r="B94" s="21" t="s">
        <v>38</v>
      </c>
      <c r="C94" s="22">
        <v>200</v>
      </c>
      <c r="D94" s="23">
        <f t="shared" si="2"/>
        <v>200</v>
      </c>
      <c r="E94" s="24">
        <v>41295</v>
      </c>
      <c r="G94" s="10"/>
      <c r="H94" s="13"/>
      <c r="I94" s="14">
        <f t="shared" si="3"/>
        <v>0</v>
      </c>
      <c r="J94" s="12"/>
    </row>
    <row r="95" spans="2:10" x14ac:dyDescent="0.15">
      <c r="B95" s="15" t="s">
        <v>12</v>
      </c>
      <c r="C95" s="13">
        <v>20</v>
      </c>
      <c r="D95" s="14">
        <f t="shared" si="2"/>
        <v>20</v>
      </c>
      <c r="E95" s="12">
        <v>41292</v>
      </c>
      <c r="G95" s="15"/>
      <c r="H95" s="13"/>
      <c r="I95" s="14">
        <f t="shared" si="3"/>
        <v>0</v>
      </c>
      <c r="J95" s="12"/>
    </row>
    <row r="96" spans="2:10" x14ac:dyDescent="0.15">
      <c r="B96" s="21" t="s">
        <v>39</v>
      </c>
      <c r="C96" s="22">
        <v>2</v>
      </c>
      <c r="D96" s="23">
        <f t="shared" si="2"/>
        <v>2</v>
      </c>
      <c r="E96" s="24">
        <v>41303</v>
      </c>
      <c r="G96" s="21"/>
      <c r="H96" s="22"/>
      <c r="I96" s="23">
        <f t="shared" si="3"/>
        <v>0</v>
      </c>
      <c r="J96" s="24"/>
    </row>
    <row r="97" spans="2:10" x14ac:dyDescent="0.15">
      <c r="B97" s="27" t="s">
        <v>18</v>
      </c>
      <c r="C97" s="22">
        <v>1</v>
      </c>
      <c r="D97" s="23">
        <f t="shared" si="2"/>
        <v>1</v>
      </c>
      <c r="E97" s="24">
        <v>41313</v>
      </c>
      <c r="G97" s="27"/>
      <c r="H97" s="22"/>
      <c r="I97" s="23">
        <f t="shared" si="3"/>
        <v>0</v>
      </c>
      <c r="J97" s="24"/>
    </row>
    <row r="98" spans="2:10" x14ac:dyDescent="0.15">
      <c r="B98" s="10" t="s">
        <v>40</v>
      </c>
      <c r="C98" s="13">
        <v>2</v>
      </c>
      <c r="D98" s="14">
        <f t="shared" si="2"/>
        <v>2</v>
      </c>
      <c r="E98" s="12">
        <v>41323</v>
      </c>
      <c r="G98" s="10"/>
      <c r="H98" s="13"/>
      <c r="I98" s="14">
        <f t="shared" si="3"/>
        <v>0</v>
      </c>
      <c r="J98" s="12"/>
    </row>
    <row r="99" spans="2:10" x14ac:dyDescent="0.15">
      <c r="B99" s="27" t="s">
        <v>41</v>
      </c>
      <c r="C99" s="22">
        <v>32</v>
      </c>
      <c r="D99" s="23">
        <f t="shared" si="2"/>
        <v>32</v>
      </c>
      <c r="E99" s="24">
        <v>41325</v>
      </c>
      <c r="G99" s="10"/>
      <c r="H99" s="13"/>
      <c r="I99" s="14">
        <f t="shared" si="3"/>
        <v>0</v>
      </c>
      <c r="J99" s="12"/>
    </row>
    <row r="100" spans="2:10" x14ac:dyDescent="0.15">
      <c r="B100" s="21" t="s">
        <v>42</v>
      </c>
      <c r="C100" s="22">
        <v>50</v>
      </c>
      <c r="D100" s="23">
        <f t="shared" si="2"/>
        <v>50</v>
      </c>
      <c r="E100" s="29">
        <v>41332</v>
      </c>
      <c r="G100" s="21"/>
      <c r="H100" s="22"/>
      <c r="I100" s="23">
        <f t="shared" si="3"/>
        <v>0</v>
      </c>
      <c r="J100" s="29"/>
    </row>
    <row r="101" spans="2:10" x14ac:dyDescent="0.15">
      <c r="B101" s="27" t="s">
        <v>43</v>
      </c>
      <c r="C101" s="22">
        <v>14</v>
      </c>
      <c r="D101" s="23">
        <f t="shared" si="2"/>
        <v>14</v>
      </c>
      <c r="E101" s="29">
        <v>41328</v>
      </c>
      <c r="G101" s="32"/>
      <c r="H101" s="22"/>
      <c r="I101" s="23">
        <f t="shared" si="3"/>
        <v>0</v>
      </c>
      <c r="J101" s="29"/>
    </row>
    <row r="102" spans="2:10" x14ac:dyDescent="0.15">
      <c r="B102" s="21" t="s">
        <v>44</v>
      </c>
      <c r="C102" s="22">
        <v>60</v>
      </c>
      <c r="D102" s="23">
        <f t="shared" si="2"/>
        <v>60</v>
      </c>
      <c r="E102" s="29">
        <v>41341</v>
      </c>
      <c r="G102" s="21"/>
      <c r="H102" s="13"/>
      <c r="I102" s="14">
        <f t="shared" si="3"/>
        <v>0</v>
      </c>
      <c r="J102" s="5"/>
    </row>
    <row r="103" spans="2:10" x14ac:dyDescent="0.15">
      <c r="B103" s="15" t="s">
        <v>12</v>
      </c>
      <c r="C103" s="13">
        <v>10</v>
      </c>
      <c r="D103" s="14">
        <f t="shared" si="2"/>
        <v>10</v>
      </c>
      <c r="E103" s="5">
        <v>41339</v>
      </c>
      <c r="G103" s="15"/>
      <c r="H103" s="13"/>
      <c r="I103" s="14">
        <f t="shared" si="3"/>
        <v>0</v>
      </c>
      <c r="J103" s="5"/>
    </row>
    <row r="104" spans="2:10" ht="14.25" thickBot="1" x14ac:dyDescent="0.2">
      <c r="B104" s="15" t="s">
        <v>12</v>
      </c>
      <c r="C104" s="7">
        <v>34</v>
      </c>
      <c r="D104" s="14">
        <f t="shared" si="2"/>
        <v>34</v>
      </c>
      <c r="E104" s="16">
        <v>41341</v>
      </c>
      <c r="G104" s="10"/>
      <c r="H104" s="13"/>
      <c r="I104" s="11">
        <f t="shared" si="3"/>
        <v>0</v>
      </c>
      <c r="J104" s="12"/>
    </row>
    <row r="105" spans="2:10" ht="14.25" thickBot="1" x14ac:dyDescent="0.2">
      <c r="B105" s="17" t="s">
        <v>2</v>
      </c>
      <c r="C105" s="18">
        <f>SUM(C81:C104)</f>
        <v>848</v>
      </c>
      <c r="D105" s="19">
        <f t="shared" si="2"/>
        <v>848</v>
      </c>
      <c r="E105" s="20"/>
      <c r="G105" s="17" t="s">
        <v>2</v>
      </c>
      <c r="H105" s="18">
        <f>SUM(H81:H104)</f>
        <v>1008</v>
      </c>
      <c r="I105" s="19">
        <f t="shared" si="3"/>
        <v>1008</v>
      </c>
      <c r="J105" s="20"/>
    </row>
    <row r="106" spans="2:10" ht="14.25" thickBot="1" x14ac:dyDescent="0.2">
      <c r="B106" s="46" t="s">
        <v>3</v>
      </c>
      <c r="C106" s="52">
        <f>C80-C105</f>
        <v>0</v>
      </c>
      <c r="D106" s="48">
        <f>D80-D105</f>
        <v>0</v>
      </c>
      <c r="E106" s="49"/>
      <c r="G106" s="46" t="s">
        <v>3</v>
      </c>
      <c r="H106" s="52">
        <f>H80-H105</f>
        <v>0</v>
      </c>
      <c r="I106" s="48">
        <f>I80-I105</f>
        <v>0</v>
      </c>
      <c r="J106" s="49"/>
    </row>
    <row r="109" spans="2:10" ht="18.75" x14ac:dyDescent="0.2">
      <c r="B109" s="26" t="s">
        <v>7</v>
      </c>
      <c r="G109" s="26" t="s">
        <v>35</v>
      </c>
    </row>
    <row r="110" spans="2:10" ht="14.25" thickBot="1" x14ac:dyDescent="0.2"/>
    <row r="111" spans="2:10" ht="14.25" thickBot="1" x14ac:dyDescent="0.2">
      <c r="B111" s="1"/>
      <c r="C111" s="2"/>
      <c r="D111" s="3" t="s">
        <v>0</v>
      </c>
      <c r="E111" s="1" t="s">
        <v>4</v>
      </c>
      <c r="G111" s="1"/>
      <c r="H111" s="2"/>
      <c r="I111" s="3" t="s">
        <v>0</v>
      </c>
      <c r="J111" s="1" t="s">
        <v>4</v>
      </c>
    </row>
    <row r="112" spans="2:10" x14ac:dyDescent="0.15">
      <c r="B112" s="42" t="s">
        <v>5</v>
      </c>
      <c r="C112" s="43">
        <f>C106</f>
        <v>0</v>
      </c>
      <c r="D112" s="44">
        <f>SUM(C112:C112)</f>
        <v>0</v>
      </c>
      <c r="E112" s="45"/>
      <c r="G112" s="42" t="s">
        <v>5</v>
      </c>
      <c r="H112" s="43">
        <f>H106</f>
        <v>0</v>
      </c>
      <c r="I112" s="44">
        <f>SUM(H112:H112)</f>
        <v>0</v>
      </c>
      <c r="J112" s="45"/>
    </row>
    <row r="113" spans="2:10" x14ac:dyDescent="0.15">
      <c r="B113" s="4" t="s">
        <v>6</v>
      </c>
      <c r="C113" s="22">
        <v>272</v>
      </c>
      <c r="D113" s="23">
        <f>SUM(C113:C113)</f>
        <v>272</v>
      </c>
      <c r="E113" s="29">
        <v>41355</v>
      </c>
      <c r="G113" s="4" t="s">
        <v>6</v>
      </c>
      <c r="H113" s="70">
        <v>2352</v>
      </c>
      <c r="I113" s="23">
        <f>SUM(H113:H113)</f>
        <v>2352</v>
      </c>
      <c r="J113" s="29">
        <v>41365</v>
      </c>
    </row>
    <row r="114" spans="2:10" x14ac:dyDescent="0.15">
      <c r="B114" s="4" t="s">
        <v>6</v>
      </c>
      <c r="C114" s="54">
        <v>336</v>
      </c>
      <c r="D114" s="33">
        <f>SUM(C114:C114)</f>
        <v>336</v>
      </c>
      <c r="E114" s="34">
        <v>41382</v>
      </c>
      <c r="F114" s="37"/>
      <c r="G114" s="71" t="s">
        <v>6</v>
      </c>
      <c r="H114" s="72">
        <v>2016</v>
      </c>
      <c r="I114" s="73">
        <f>SUM(H114:H114)</f>
        <v>2016</v>
      </c>
      <c r="J114" s="74">
        <v>41426</v>
      </c>
    </row>
    <row r="115" spans="2:10" ht="14.25" thickBot="1" x14ac:dyDescent="0.2">
      <c r="B115" s="6" t="s">
        <v>6</v>
      </c>
      <c r="C115" s="7">
        <v>336</v>
      </c>
      <c r="D115" s="14">
        <f>SUM(C115:C115)</f>
        <v>336</v>
      </c>
      <c r="E115" s="16">
        <v>41409</v>
      </c>
      <c r="G115" s="6" t="s">
        <v>6</v>
      </c>
      <c r="H115" s="65"/>
      <c r="I115" s="14">
        <f>SUM(H115:H115)</f>
        <v>0</v>
      </c>
      <c r="J115" s="16"/>
    </row>
    <row r="116" spans="2:10" ht="14.25" thickBot="1" x14ac:dyDescent="0.2">
      <c r="B116" s="46" t="s">
        <v>1</v>
      </c>
      <c r="C116" s="48">
        <f>SUM(C112:C115)</f>
        <v>944</v>
      </c>
      <c r="D116" s="48">
        <f>SUM(D112:D115)</f>
        <v>944</v>
      </c>
      <c r="E116" s="49"/>
      <c r="G116" s="46" t="s">
        <v>1</v>
      </c>
      <c r="H116" s="47">
        <f>SUM(H112:H115)</f>
        <v>4368</v>
      </c>
      <c r="I116" s="48">
        <f>SUM(I112:I115)</f>
        <v>4368</v>
      </c>
      <c r="J116" s="49"/>
    </row>
    <row r="117" spans="2:10" x14ac:dyDescent="0.15">
      <c r="B117" s="10" t="s">
        <v>45</v>
      </c>
      <c r="C117" s="35">
        <v>100</v>
      </c>
      <c r="D117" s="36">
        <f t="shared" ref="D117:D141" si="4">SUM(C117:C117)</f>
        <v>100</v>
      </c>
      <c r="E117" s="24">
        <v>41356</v>
      </c>
      <c r="G117" s="10" t="s">
        <v>16</v>
      </c>
      <c r="H117" s="13">
        <v>336</v>
      </c>
      <c r="I117" s="11">
        <f t="shared" ref="I117:I141" si="5">SUM(H117:H117)</f>
        <v>336</v>
      </c>
      <c r="J117" s="12">
        <v>41382</v>
      </c>
    </row>
    <row r="118" spans="2:10" x14ac:dyDescent="0.15">
      <c r="B118" s="21" t="s">
        <v>42</v>
      </c>
      <c r="C118" s="22">
        <v>20</v>
      </c>
      <c r="D118" s="23">
        <f t="shared" si="4"/>
        <v>20</v>
      </c>
      <c r="E118" s="24">
        <v>41358</v>
      </c>
      <c r="G118" s="10" t="s">
        <v>16</v>
      </c>
      <c r="H118" s="13">
        <v>336</v>
      </c>
      <c r="I118" s="11">
        <f t="shared" si="5"/>
        <v>336</v>
      </c>
      <c r="J118" s="12">
        <v>41409</v>
      </c>
    </row>
    <row r="119" spans="2:10" x14ac:dyDescent="0.15">
      <c r="B119" s="10" t="s">
        <v>12</v>
      </c>
      <c r="C119" s="13">
        <v>50</v>
      </c>
      <c r="D119" s="14">
        <f t="shared" si="4"/>
        <v>50</v>
      </c>
      <c r="E119" s="12">
        <v>41355</v>
      </c>
      <c r="G119" s="10" t="s">
        <v>16</v>
      </c>
      <c r="H119" s="13">
        <v>336</v>
      </c>
      <c r="I119" s="14">
        <f t="shared" si="5"/>
        <v>336</v>
      </c>
      <c r="J119" s="12">
        <v>41436</v>
      </c>
    </row>
    <row r="120" spans="2:10" x14ac:dyDescent="0.15">
      <c r="B120" s="27" t="s">
        <v>12</v>
      </c>
      <c r="C120" s="22">
        <v>50</v>
      </c>
      <c r="D120" s="23">
        <f t="shared" si="4"/>
        <v>50</v>
      </c>
      <c r="E120" s="24">
        <v>41376</v>
      </c>
      <c r="G120" s="10"/>
      <c r="H120" s="13"/>
      <c r="I120" s="14">
        <f t="shared" si="5"/>
        <v>0</v>
      </c>
      <c r="J120" s="12"/>
    </row>
    <row r="121" spans="2:10" x14ac:dyDescent="0.15">
      <c r="B121" s="27" t="s">
        <v>47</v>
      </c>
      <c r="C121" s="22">
        <v>55</v>
      </c>
      <c r="D121" s="23">
        <f t="shared" si="4"/>
        <v>55</v>
      </c>
      <c r="E121" s="24">
        <v>41384</v>
      </c>
      <c r="G121" s="10"/>
      <c r="H121" s="13"/>
      <c r="I121" s="14">
        <f t="shared" si="5"/>
        <v>0</v>
      </c>
      <c r="J121" s="12"/>
    </row>
    <row r="122" spans="2:10" x14ac:dyDescent="0.15">
      <c r="B122" s="27" t="s">
        <v>48</v>
      </c>
      <c r="C122" s="22">
        <v>50</v>
      </c>
      <c r="D122" s="23">
        <f t="shared" si="4"/>
        <v>50</v>
      </c>
      <c r="E122" s="24">
        <v>41388</v>
      </c>
      <c r="G122" s="10"/>
      <c r="H122" s="13"/>
      <c r="I122" s="14">
        <f t="shared" si="5"/>
        <v>0</v>
      </c>
      <c r="J122" s="12"/>
    </row>
    <row r="123" spans="2:10" x14ac:dyDescent="0.15">
      <c r="B123" s="27" t="s">
        <v>49</v>
      </c>
      <c r="C123" s="22">
        <v>46</v>
      </c>
      <c r="D123" s="23">
        <f t="shared" si="4"/>
        <v>46</v>
      </c>
      <c r="E123" s="24">
        <v>41396</v>
      </c>
      <c r="G123" s="10"/>
      <c r="H123" s="13"/>
      <c r="I123" s="14">
        <f t="shared" si="5"/>
        <v>0</v>
      </c>
      <c r="J123" s="12"/>
    </row>
    <row r="124" spans="2:10" x14ac:dyDescent="0.15">
      <c r="B124" s="21" t="s">
        <v>50</v>
      </c>
      <c r="C124" s="22">
        <v>60</v>
      </c>
      <c r="D124" s="23">
        <f t="shared" si="4"/>
        <v>60</v>
      </c>
      <c r="E124" s="24">
        <v>41401</v>
      </c>
      <c r="G124" s="10"/>
      <c r="H124" s="13"/>
      <c r="I124" s="14">
        <f t="shared" si="5"/>
        <v>0</v>
      </c>
      <c r="J124" s="12"/>
    </row>
    <row r="125" spans="2:10" x14ac:dyDescent="0.15">
      <c r="B125" s="27" t="s">
        <v>51</v>
      </c>
      <c r="C125" s="22">
        <v>91</v>
      </c>
      <c r="D125" s="23">
        <f t="shared" si="4"/>
        <v>91</v>
      </c>
      <c r="E125" s="24">
        <v>41403</v>
      </c>
      <c r="G125" s="21"/>
      <c r="H125" s="22"/>
      <c r="I125" s="23">
        <f t="shared" si="5"/>
        <v>0</v>
      </c>
      <c r="J125" s="24"/>
    </row>
    <row r="126" spans="2:10" x14ac:dyDescent="0.15">
      <c r="B126" s="27" t="s">
        <v>12</v>
      </c>
      <c r="C126" s="22">
        <v>50</v>
      </c>
      <c r="D126" s="23">
        <f t="shared" si="4"/>
        <v>50</v>
      </c>
      <c r="E126" s="24">
        <v>41405</v>
      </c>
      <c r="G126" s="21"/>
      <c r="H126" s="22"/>
      <c r="I126" s="23">
        <f t="shared" si="5"/>
        <v>0</v>
      </c>
      <c r="J126" s="24"/>
    </row>
    <row r="127" spans="2:10" x14ac:dyDescent="0.15">
      <c r="B127" s="27" t="s">
        <v>52</v>
      </c>
      <c r="C127" s="22">
        <v>72</v>
      </c>
      <c r="D127" s="23">
        <f t="shared" si="4"/>
        <v>72</v>
      </c>
      <c r="E127" s="24">
        <v>41410</v>
      </c>
      <c r="G127" s="10"/>
      <c r="H127" s="22"/>
      <c r="I127" s="23">
        <f t="shared" si="5"/>
        <v>0</v>
      </c>
      <c r="J127" s="24"/>
    </row>
    <row r="128" spans="2:10" x14ac:dyDescent="0.15">
      <c r="B128" s="27" t="s">
        <v>52</v>
      </c>
      <c r="C128" s="22">
        <v>54</v>
      </c>
      <c r="D128" s="23">
        <f t="shared" si="4"/>
        <v>54</v>
      </c>
      <c r="E128" s="24">
        <v>41415</v>
      </c>
      <c r="G128" s="27"/>
      <c r="H128" s="22"/>
      <c r="I128" s="23">
        <f t="shared" si="5"/>
        <v>0</v>
      </c>
      <c r="J128" s="24"/>
    </row>
    <row r="129" spans="2:10" x14ac:dyDescent="0.15">
      <c r="B129" s="27" t="s">
        <v>53</v>
      </c>
      <c r="C129" s="22">
        <v>26</v>
      </c>
      <c r="D129" s="23">
        <f t="shared" si="4"/>
        <v>26</v>
      </c>
      <c r="E129" s="24">
        <v>41419</v>
      </c>
      <c r="G129" s="15"/>
      <c r="H129" s="13"/>
      <c r="I129" s="14">
        <f t="shared" si="5"/>
        <v>0</v>
      </c>
      <c r="J129" s="12"/>
    </row>
    <row r="130" spans="2:10" x14ac:dyDescent="0.15">
      <c r="B130" s="27" t="s">
        <v>54</v>
      </c>
      <c r="C130" s="22">
        <v>20</v>
      </c>
      <c r="D130" s="23">
        <f t="shared" si="4"/>
        <v>20</v>
      </c>
      <c r="E130" s="24">
        <v>41424</v>
      </c>
      <c r="G130" s="10"/>
      <c r="H130" s="13"/>
      <c r="I130" s="14">
        <f t="shared" si="5"/>
        <v>0</v>
      </c>
      <c r="J130" s="12"/>
    </row>
    <row r="131" spans="2:10" x14ac:dyDescent="0.15">
      <c r="B131" s="21" t="s">
        <v>55</v>
      </c>
      <c r="C131" s="22">
        <v>17</v>
      </c>
      <c r="D131" s="23">
        <f t="shared" si="4"/>
        <v>17</v>
      </c>
      <c r="E131" s="24">
        <v>41425</v>
      </c>
      <c r="G131" s="15"/>
      <c r="H131" s="13"/>
      <c r="I131" s="14">
        <f t="shared" si="5"/>
        <v>0</v>
      </c>
      <c r="J131" s="12"/>
    </row>
    <row r="132" spans="2:10" x14ac:dyDescent="0.15">
      <c r="B132" s="10" t="s">
        <v>18</v>
      </c>
      <c r="C132" s="13">
        <v>15</v>
      </c>
      <c r="D132" s="14">
        <f t="shared" si="4"/>
        <v>15</v>
      </c>
      <c r="E132" s="12">
        <v>41426</v>
      </c>
      <c r="G132" s="21"/>
      <c r="H132" s="22"/>
      <c r="I132" s="23">
        <f t="shared" si="5"/>
        <v>0</v>
      </c>
      <c r="J132" s="24"/>
    </row>
    <row r="133" spans="2:10" x14ac:dyDescent="0.15">
      <c r="B133" s="15" t="s">
        <v>10</v>
      </c>
      <c r="C133" s="13">
        <v>60</v>
      </c>
      <c r="D133" s="14">
        <f t="shared" si="4"/>
        <v>60</v>
      </c>
      <c r="E133" s="12">
        <v>41431</v>
      </c>
      <c r="G133" s="27"/>
      <c r="H133" s="22"/>
      <c r="I133" s="23">
        <f t="shared" si="5"/>
        <v>0</v>
      </c>
      <c r="J133" s="24"/>
    </row>
    <row r="134" spans="2:10" x14ac:dyDescent="0.15">
      <c r="B134" s="10" t="s">
        <v>18</v>
      </c>
      <c r="C134" s="13">
        <v>7</v>
      </c>
      <c r="D134" s="14">
        <f t="shared" si="4"/>
        <v>7</v>
      </c>
      <c r="E134" s="12">
        <v>41431</v>
      </c>
      <c r="G134" s="10"/>
      <c r="H134" s="13"/>
      <c r="I134" s="14">
        <f t="shared" si="5"/>
        <v>0</v>
      </c>
      <c r="J134" s="12"/>
    </row>
    <row r="135" spans="2:10" x14ac:dyDescent="0.15">
      <c r="B135" s="27" t="s">
        <v>12</v>
      </c>
      <c r="C135" s="22">
        <v>20</v>
      </c>
      <c r="D135" s="23">
        <f t="shared" si="4"/>
        <v>20</v>
      </c>
      <c r="E135" s="24">
        <v>41430</v>
      </c>
      <c r="G135" s="10"/>
      <c r="H135" s="13"/>
      <c r="I135" s="14">
        <f t="shared" si="5"/>
        <v>0</v>
      </c>
      <c r="J135" s="12"/>
    </row>
    <row r="136" spans="2:10" x14ac:dyDescent="0.15">
      <c r="B136" s="15" t="s">
        <v>56</v>
      </c>
      <c r="C136" s="13">
        <v>50</v>
      </c>
      <c r="D136" s="14">
        <f t="shared" si="4"/>
        <v>50</v>
      </c>
      <c r="E136" s="5">
        <v>41437</v>
      </c>
      <c r="G136" s="21"/>
      <c r="H136" s="22"/>
      <c r="I136" s="23">
        <f t="shared" si="5"/>
        <v>0</v>
      </c>
      <c r="J136" s="29"/>
    </row>
    <row r="137" spans="2:10" x14ac:dyDescent="0.15">
      <c r="B137" s="75" t="s">
        <v>57</v>
      </c>
      <c r="C137" s="13">
        <v>30</v>
      </c>
      <c r="D137" s="14">
        <f t="shared" si="4"/>
        <v>30</v>
      </c>
      <c r="E137" s="5">
        <v>41437</v>
      </c>
      <c r="G137" s="75"/>
      <c r="H137" s="13"/>
      <c r="I137" s="14">
        <f t="shared" si="5"/>
        <v>0</v>
      </c>
      <c r="J137" s="5"/>
    </row>
    <row r="138" spans="2:10" x14ac:dyDescent="0.15">
      <c r="B138" s="15" t="s">
        <v>6</v>
      </c>
      <c r="C138" s="13">
        <v>-336</v>
      </c>
      <c r="D138" s="14">
        <f t="shared" si="4"/>
        <v>-336</v>
      </c>
      <c r="E138" s="5">
        <v>41436</v>
      </c>
      <c r="G138" s="15"/>
      <c r="H138" s="13"/>
      <c r="I138" s="14">
        <f t="shared" si="5"/>
        <v>0</v>
      </c>
      <c r="J138" s="5"/>
    </row>
    <row r="139" spans="2:10" x14ac:dyDescent="0.15">
      <c r="B139" s="10" t="s">
        <v>18</v>
      </c>
      <c r="C139" s="13">
        <v>9</v>
      </c>
      <c r="D139" s="14">
        <f t="shared" si="4"/>
        <v>9</v>
      </c>
      <c r="E139" s="5">
        <v>41436</v>
      </c>
      <c r="G139" s="15"/>
      <c r="H139" s="13"/>
      <c r="I139" s="14">
        <f t="shared" si="5"/>
        <v>0</v>
      </c>
      <c r="J139" s="5"/>
    </row>
    <row r="140" spans="2:10" ht="14.25" thickBot="1" x14ac:dyDescent="0.2">
      <c r="B140" s="15" t="s">
        <v>10</v>
      </c>
      <c r="C140" s="13">
        <v>60</v>
      </c>
      <c r="D140" s="11">
        <f t="shared" si="4"/>
        <v>60</v>
      </c>
      <c r="E140" s="12">
        <v>41440</v>
      </c>
      <c r="G140" s="15"/>
      <c r="H140" s="7"/>
      <c r="I140" s="14">
        <f t="shared" si="5"/>
        <v>0</v>
      </c>
      <c r="J140" s="16"/>
    </row>
    <row r="141" spans="2:10" ht="14.25" thickBot="1" x14ac:dyDescent="0.2">
      <c r="B141" s="17" t="s">
        <v>2</v>
      </c>
      <c r="C141" s="18">
        <f>SUM(C117:C140)</f>
        <v>676</v>
      </c>
      <c r="D141" s="19">
        <f t="shared" si="4"/>
        <v>676</v>
      </c>
      <c r="E141" s="20"/>
      <c r="G141" s="17" t="s">
        <v>2</v>
      </c>
      <c r="H141" s="18">
        <f>SUM(H117:H140)</f>
        <v>1008</v>
      </c>
      <c r="I141" s="19">
        <f t="shared" si="5"/>
        <v>1008</v>
      </c>
      <c r="J141" s="20"/>
    </row>
    <row r="142" spans="2:10" ht="14.25" thickBot="1" x14ac:dyDescent="0.2">
      <c r="B142" s="46" t="s">
        <v>3</v>
      </c>
      <c r="C142" s="52">
        <f>C116-C141</f>
        <v>268</v>
      </c>
      <c r="D142" s="48">
        <f>D116-D141</f>
        <v>268</v>
      </c>
      <c r="E142" s="49"/>
      <c r="G142" s="46" t="s">
        <v>3</v>
      </c>
      <c r="H142" s="52">
        <f>H116-H141</f>
        <v>3360</v>
      </c>
      <c r="I142" s="48">
        <f>I116-I141</f>
        <v>3360</v>
      </c>
      <c r="J142" s="49"/>
    </row>
    <row r="145" spans="2:10" ht="18.75" x14ac:dyDescent="0.2">
      <c r="B145" s="26" t="s">
        <v>7</v>
      </c>
      <c r="G145" s="26" t="s">
        <v>35</v>
      </c>
    </row>
    <row r="146" spans="2:10" ht="14.25" thickBot="1" x14ac:dyDescent="0.2"/>
    <row r="147" spans="2:10" ht="14.25" thickBot="1" x14ac:dyDescent="0.2">
      <c r="B147" s="1"/>
      <c r="C147" s="2"/>
      <c r="D147" s="3" t="s">
        <v>0</v>
      </c>
      <c r="E147" s="1" t="s">
        <v>4</v>
      </c>
      <c r="G147" s="1"/>
      <c r="H147" s="2"/>
      <c r="I147" s="3" t="s">
        <v>0</v>
      </c>
      <c r="J147" s="1" t="s">
        <v>4</v>
      </c>
    </row>
    <row r="148" spans="2:10" x14ac:dyDescent="0.15">
      <c r="B148" s="42" t="s">
        <v>5</v>
      </c>
      <c r="C148" s="43">
        <f>C142</f>
        <v>268</v>
      </c>
      <c r="D148" s="44">
        <f>SUM(C148:C148)</f>
        <v>268</v>
      </c>
      <c r="E148" s="45"/>
      <c r="G148" s="42" t="s">
        <v>5</v>
      </c>
      <c r="H148" s="43">
        <f>H142</f>
        <v>3360</v>
      </c>
      <c r="I148" s="44">
        <f>SUM(H148:H148)</f>
        <v>3360</v>
      </c>
      <c r="J148" s="45"/>
    </row>
    <row r="149" spans="2:10" x14ac:dyDescent="0.15">
      <c r="B149" s="4" t="s">
        <v>6</v>
      </c>
      <c r="C149" s="22">
        <v>336</v>
      </c>
      <c r="D149" s="23">
        <f>SUM(C149:C149)</f>
        <v>336</v>
      </c>
      <c r="E149" s="29">
        <v>41458</v>
      </c>
      <c r="G149" s="4" t="s">
        <v>6</v>
      </c>
      <c r="H149" s="13">
        <v>2016</v>
      </c>
      <c r="I149" s="14">
        <f>SUM(H149:H149)</f>
        <v>2016</v>
      </c>
      <c r="J149" s="5">
        <v>41456</v>
      </c>
    </row>
    <row r="150" spans="2:10" x14ac:dyDescent="0.15">
      <c r="B150" s="4" t="s">
        <v>6</v>
      </c>
      <c r="C150" s="7">
        <v>336</v>
      </c>
      <c r="D150" s="8">
        <f>SUM(C150:C150)</f>
        <v>336</v>
      </c>
      <c r="E150" s="9">
        <v>41467</v>
      </c>
      <c r="G150" s="71" t="s">
        <v>6</v>
      </c>
      <c r="H150" s="72">
        <v>2016</v>
      </c>
      <c r="I150" s="73">
        <f>SUM(H150:H150)</f>
        <v>2016</v>
      </c>
      <c r="J150" s="74">
        <v>41487</v>
      </c>
    </row>
    <row r="151" spans="2:10" ht="14.25" thickBot="1" x14ac:dyDescent="0.2">
      <c r="B151" s="6" t="s">
        <v>6</v>
      </c>
      <c r="C151" s="7">
        <v>336</v>
      </c>
      <c r="D151" s="14">
        <f>SUM(C151:C151)</f>
        <v>336</v>
      </c>
      <c r="E151" s="16">
        <v>41492</v>
      </c>
      <c r="G151" s="6" t="s">
        <v>6</v>
      </c>
      <c r="H151" s="65"/>
      <c r="I151" s="14">
        <f>SUM(H151:H151)</f>
        <v>0</v>
      </c>
      <c r="J151" s="16"/>
    </row>
    <row r="152" spans="2:10" ht="14.25" thickBot="1" x14ac:dyDescent="0.2">
      <c r="B152" s="46" t="s">
        <v>1</v>
      </c>
      <c r="C152" s="48">
        <f>SUM(C148:C151)</f>
        <v>1276</v>
      </c>
      <c r="D152" s="48">
        <f>SUM(D148:D151)</f>
        <v>1276</v>
      </c>
      <c r="E152" s="49"/>
      <c r="G152" s="46" t="s">
        <v>1</v>
      </c>
      <c r="H152" s="47">
        <f>SUM(H148:H151)</f>
        <v>7392</v>
      </c>
      <c r="I152" s="48">
        <f>SUM(I148:I151)</f>
        <v>7392</v>
      </c>
      <c r="J152" s="49"/>
    </row>
    <row r="153" spans="2:10" x14ac:dyDescent="0.15">
      <c r="B153" s="10" t="s">
        <v>18</v>
      </c>
      <c r="C153" s="77">
        <v>7</v>
      </c>
      <c r="D153" s="11">
        <f t="shared" ref="D153:D177" si="6">SUM(C153:C153)</f>
        <v>7</v>
      </c>
      <c r="E153" s="12">
        <v>41443</v>
      </c>
      <c r="F153" s="76"/>
      <c r="G153" s="27" t="s">
        <v>16</v>
      </c>
      <c r="H153" s="22">
        <v>336</v>
      </c>
      <c r="I153" s="36">
        <f t="shared" ref="I153:I177" si="7">SUM(H153:H153)</f>
        <v>336</v>
      </c>
      <c r="J153" s="24">
        <v>41458</v>
      </c>
    </row>
    <row r="154" spans="2:10" x14ac:dyDescent="0.15">
      <c r="B154" s="27" t="s">
        <v>12</v>
      </c>
      <c r="C154" s="22">
        <v>50</v>
      </c>
      <c r="D154" s="23">
        <f t="shared" si="6"/>
        <v>50</v>
      </c>
      <c r="E154" s="24">
        <v>41440</v>
      </c>
      <c r="G154" s="78" t="s">
        <v>61</v>
      </c>
      <c r="H154" s="13">
        <v>200</v>
      </c>
      <c r="I154" s="14">
        <f t="shared" si="7"/>
        <v>200</v>
      </c>
      <c r="J154" s="12">
        <v>41465</v>
      </c>
    </row>
    <row r="155" spans="2:10" x14ac:dyDescent="0.15">
      <c r="B155" s="10" t="s">
        <v>56</v>
      </c>
      <c r="C155" s="13">
        <v>10</v>
      </c>
      <c r="D155" s="14">
        <f t="shared" si="6"/>
        <v>10</v>
      </c>
      <c r="E155" s="12">
        <v>41445</v>
      </c>
      <c r="G155" s="10" t="s">
        <v>16</v>
      </c>
      <c r="H155" s="13">
        <v>336</v>
      </c>
      <c r="I155" s="14">
        <f t="shared" si="7"/>
        <v>336</v>
      </c>
      <c r="J155" s="12">
        <v>41467</v>
      </c>
    </row>
    <row r="156" spans="2:10" x14ac:dyDescent="0.15">
      <c r="B156" s="10" t="s">
        <v>18</v>
      </c>
      <c r="C156" s="13">
        <v>10</v>
      </c>
      <c r="D156" s="14">
        <f t="shared" si="6"/>
        <v>10</v>
      </c>
      <c r="E156" s="12">
        <v>41447</v>
      </c>
      <c r="G156" s="78" t="s">
        <v>62</v>
      </c>
      <c r="H156" s="13">
        <v>400</v>
      </c>
      <c r="I156" s="14">
        <f t="shared" si="7"/>
        <v>400</v>
      </c>
      <c r="J156" s="12">
        <v>41467</v>
      </c>
    </row>
    <row r="157" spans="2:10" x14ac:dyDescent="0.15">
      <c r="B157" s="27" t="s">
        <v>58</v>
      </c>
      <c r="C157" s="22">
        <v>25</v>
      </c>
      <c r="D157" s="23">
        <f t="shared" si="6"/>
        <v>25</v>
      </c>
      <c r="E157" s="24">
        <v>41453</v>
      </c>
      <c r="G157" s="78" t="s">
        <v>63</v>
      </c>
      <c r="H157" s="13">
        <v>400</v>
      </c>
      <c r="I157" s="14">
        <f t="shared" si="7"/>
        <v>400</v>
      </c>
      <c r="J157" s="12">
        <v>41468</v>
      </c>
    </row>
    <row r="158" spans="2:10" x14ac:dyDescent="0.15">
      <c r="B158" s="10" t="s">
        <v>56</v>
      </c>
      <c r="C158" s="13">
        <v>10</v>
      </c>
      <c r="D158" s="14">
        <f t="shared" si="6"/>
        <v>10</v>
      </c>
      <c r="E158" s="12">
        <v>41452</v>
      </c>
      <c r="G158" s="78" t="s">
        <v>64</v>
      </c>
      <c r="H158" s="13">
        <v>400</v>
      </c>
      <c r="I158" s="14">
        <f t="shared" si="7"/>
        <v>400</v>
      </c>
      <c r="J158" s="12">
        <v>41473</v>
      </c>
    </row>
    <row r="159" spans="2:10" x14ac:dyDescent="0.15">
      <c r="B159" s="27" t="s">
        <v>59</v>
      </c>
      <c r="C159" s="22">
        <v>11</v>
      </c>
      <c r="D159" s="23">
        <f t="shared" si="6"/>
        <v>11</v>
      </c>
      <c r="E159" s="24">
        <v>41452</v>
      </c>
      <c r="G159" s="78" t="s">
        <v>65</v>
      </c>
      <c r="H159" s="13">
        <v>1900</v>
      </c>
      <c r="I159" s="14">
        <f t="shared" si="7"/>
        <v>1900</v>
      </c>
      <c r="J159" s="12">
        <v>41475</v>
      </c>
    </row>
    <row r="160" spans="2:10" x14ac:dyDescent="0.15">
      <c r="B160" s="10" t="s">
        <v>18</v>
      </c>
      <c r="C160" s="13">
        <v>6</v>
      </c>
      <c r="D160" s="14">
        <f t="shared" si="6"/>
        <v>6</v>
      </c>
      <c r="E160" s="12">
        <v>41454</v>
      </c>
      <c r="G160" s="78" t="s">
        <v>67</v>
      </c>
      <c r="H160" s="13">
        <v>400</v>
      </c>
      <c r="I160" s="14">
        <f t="shared" si="7"/>
        <v>400</v>
      </c>
      <c r="J160" s="12">
        <v>41482</v>
      </c>
    </row>
    <row r="161" spans="2:10" x14ac:dyDescent="0.15">
      <c r="B161" s="10" t="s">
        <v>18</v>
      </c>
      <c r="C161" s="13">
        <v>3</v>
      </c>
      <c r="D161" s="14">
        <f t="shared" si="6"/>
        <v>3</v>
      </c>
      <c r="E161" s="12">
        <v>41459</v>
      </c>
      <c r="G161" s="10" t="s">
        <v>16</v>
      </c>
      <c r="H161" s="13">
        <v>336</v>
      </c>
      <c r="I161" s="14">
        <f t="shared" si="7"/>
        <v>336</v>
      </c>
      <c r="J161" s="12">
        <v>41492</v>
      </c>
    </row>
    <row r="162" spans="2:10" x14ac:dyDescent="0.15">
      <c r="B162" s="15" t="s">
        <v>60</v>
      </c>
      <c r="C162" s="13">
        <v>300</v>
      </c>
      <c r="D162" s="14">
        <f t="shared" si="6"/>
        <v>300</v>
      </c>
      <c r="E162" s="12">
        <v>41460</v>
      </c>
      <c r="G162" s="78" t="s">
        <v>69</v>
      </c>
      <c r="H162" s="13">
        <v>750</v>
      </c>
      <c r="I162" s="14">
        <f t="shared" si="7"/>
        <v>750</v>
      </c>
      <c r="J162" s="12">
        <v>41496</v>
      </c>
    </row>
    <row r="163" spans="2:10" x14ac:dyDescent="0.15">
      <c r="B163" s="10" t="s">
        <v>56</v>
      </c>
      <c r="C163" s="13">
        <v>15</v>
      </c>
      <c r="D163" s="14">
        <f t="shared" si="6"/>
        <v>15</v>
      </c>
      <c r="E163" s="12">
        <v>41460</v>
      </c>
      <c r="G163" s="78" t="s">
        <v>70</v>
      </c>
      <c r="H163" s="13">
        <v>50</v>
      </c>
      <c r="I163" s="14">
        <f t="shared" si="7"/>
        <v>50</v>
      </c>
      <c r="J163" s="12">
        <v>41496</v>
      </c>
    </row>
    <row r="164" spans="2:10" x14ac:dyDescent="0.15">
      <c r="B164" s="27" t="s">
        <v>22</v>
      </c>
      <c r="C164" s="22">
        <v>50</v>
      </c>
      <c r="D164" s="23">
        <f t="shared" si="6"/>
        <v>50</v>
      </c>
      <c r="E164" s="24">
        <v>41459</v>
      </c>
      <c r="G164" s="27"/>
      <c r="H164" s="22"/>
      <c r="I164" s="23">
        <f t="shared" si="7"/>
        <v>0</v>
      </c>
      <c r="J164" s="24"/>
    </row>
    <row r="165" spans="2:10" x14ac:dyDescent="0.15">
      <c r="B165" s="10" t="s">
        <v>58</v>
      </c>
      <c r="C165" s="13">
        <v>7</v>
      </c>
      <c r="D165" s="14">
        <f t="shared" si="6"/>
        <v>7</v>
      </c>
      <c r="E165" s="12">
        <v>41468</v>
      </c>
      <c r="G165" s="15"/>
      <c r="H165" s="13"/>
      <c r="I165" s="14">
        <f t="shared" si="7"/>
        <v>0</v>
      </c>
      <c r="J165" s="12"/>
    </row>
    <row r="166" spans="2:10" x14ac:dyDescent="0.15">
      <c r="B166" s="10" t="s">
        <v>18</v>
      </c>
      <c r="C166" s="13">
        <v>46</v>
      </c>
      <c r="D166" s="14">
        <f t="shared" si="6"/>
        <v>46</v>
      </c>
      <c r="E166" s="12">
        <v>41474</v>
      </c>
      <c r="G166" s="10"/>
      <c r="H166" s="13"/>
      <c r="I166" s="14">
        <f t="shared" si="7"/>
        <v>0</v>
      </c>
      <c r="J166" s="12"/>
    </row>
    <row r="167" spans="2:10" x14ac:dyDescent="0.15">
      <c r="B167" s="15" t="s">
        <v>66</v>
      </c>
      <c r="C167" s="13">
        <v>80</v>
      </c>
      <c r="D167" s="14">
        <f t="shared" si="6"/>
        <v>80</v>
      </c>
      <c r="E167" s="12">
        <v>41474</v>
      </c>
      <c r="G167" s="15"/>
      <c r="H167" s="13"/>
      <c r="I167" s="14">
        <f t="shared" si="7"/>
        <v>0</v>
      </c>
      <c r="J167" s="12"/>
    </row>
    <row r="168" spans="2:10" x14ac:dyDescent="0.15">
      <c r="B168" s="10" t="s">
        <v>18</v>
      </c>
      <c r="C168" s="13">
        <v>40</v>
      </c>
      <c r="D168" s="14">
        <f t="shared" si="6"/>
        <v>40</v>
      </c>
      <c r="E168" s="12">
        <v>41478</v>
      </c>
      <c r="G168" s="21"/>
      <c r="H168" s="22"/>
      <c r="I168" s="23">
        <f t="shared" si="7"/>
        <v>0</v>
      </c>
      <c r="J168" s="24"/>
    </row>
    <row r="169" spans="2:10" x14ac:dyDescent="0.15">
      <c r="B169" s="15" t="s">
        <v>22</v>
      </c>
      <c r="C169" s="13">
        <v>50</v>
      </c>
      <c r="D169" s="14">
        <f t="shared" si="6"/>
        <v>50</v>
      </c>
      <c r="E169" s="12">
        <v>41477</v>
      </c>
      <c r="G169" s="27"/>
      <c r="H169" s="22"/>
      <c r="I169" s="23">
        <f t="shared" si="7"/>
        <v>0</v>
      </c>
      <c r="J169" s="24"/>
    </row>
    <row r="170" spans="2:10" x14ac:dyDescent="0.15">
      <c r="B170" s="10" t="s">
        <v>18</v>
      </c>
      <c r="C170" s="13">
        <v>93</v>
      </c>
      <c r="D170" s="14">
        <f t="shared" si="6"/>
        <v>93</v>
      </c>
      <c r="E170" s="12">
        <v>41486</v>
      </c>
      <c r="G170" s="15"/>
      <c r="H170" s="13"/>
      <c r="I170" s="14">
        <f t="shared" si="7"/>
        <v>0</v>
      </c>
      <c r="J170" s="5"/>
    </row>
    <row r="171" spans="2:10" x14ac:dyDescent="0.15">
      <c r="B171" s="10" t="s">
        <v>16</v>
      </c>
      <c r="C171" s="22">
        <v>-3</v>
      </c>
      <c r="D171" s="23">
        <f t="shared" si="6"/>
        <v>-3</v>
      </c>
      <c r="E171" s="24">
        <v>41486</v>
      </c>
      <c r="G171" s="15"/>
      <c r="H171" s="13"/>
      <c r="I171" s="14">
        <f t="shared" si="7"/>
        <v>0</v>
      </c>
      <c r="J171" s="5"/>
    </row>
    <row r="172" spans="2:10" x14ac:dyDescent="0.15">
      <c r="B172" s="78" t="s">
        <v>68</v>
      </c>
      <c r="C172" s="13">
        <v>100</v>
      </c>
      <c r="D172" s="14">
        <f t="shared" si="6"/>
        <v>100</v>
      </c>
      <c r="E172" s="5">
        <v>41488</v>
      </c>
      <c r="G172" s="75"/>
      <c r="H172" s="13"/>
      <c r="I172" s="14">
        <f t="shared" si="7"/>
        <v>0</v>
      </c>
      <c r="J172" s="5"/>
    </row>
    <row r="173" spans="2:10" x14ac:dyDescent="0.15">
      <c r="B173" s="15" t="s">
        <v>22</v>
      </c>
      <c r="C173" s="22">
        <v>30</v>
      </c>
      <c r="D173" s="23">
        <f t="shared" si="6"/>
        <v>30</v>
      </c>
      <c r="E173" s="29">
        <v>41491</v>
      </c>
      <c r="G173" s="78"/>
      <c r="H173" s="13"/>
      <c r="I173" s="14">
        <f t="shared" si="7"/>
        <v>0</v>
      </c>
      <c r="J173" s="5"/>
    </row>
    <row r="174" spans="2:10" x14ac:dyDescent="0.15">
      <c r="B174" s="10" t="s">
        <v>18</v>
      </c>
      <c r="C174" s="13">
        <v>75</v>
      </c>
      <c r="D174" s="14">
        <f t="shared" si="6"/>
        <v>75</v>
      </c>
      <c r="E174" s="5">
        <v>41493</v>
      </c>
      <c r="G174" s="15"/>
      <c r="H174" s="13"/>
      <c r="I174" s="14">
        <f t="shared" si="7"/>
        <v>0</v>
      </c>
      <c r="J174" s="5"/>
    </row>
    <row r="175" spans="2:10" x14ac:dyDescent="0.15">
      <c r="B175" s="15" t="s">
        <v>11</v>
      </c>
      <c r="C175" s="13">
        <v>150</v>
      </c>
      <c r="D175" s="14">
        <f t="shared" si="6"/>
        <v>150</v>
      </c>
      <c r="E175" s="5">
        <v>41498</v>
      </c>
      <c r="G175" s="15"/>
      <c r="H175" s="7"/>
      <c r="I175" s="14">
        <f t="shared" si="7"/>
        <v>0</v>
      </c>
      <c r="J175" s="79"/>
    </row>
    <row r="176" spans="2:10" ht="14.25" thickBot="1" x14ac:dyDescent="0.2">
      <c r="B176" s="10" t="s">
        <v>18</v>
      </c>
      <c r="C176" s="13">
        <v>48</v>
      </c>
      <c r="D176" s="11">
        <f t="shared" si="6"/>
        <v>48</v>
      </c>
      <c r="E176" s="12">
        <v>41496</v>
      </c>
      <c r="G176" s="15"/>
      <c r="H176" s="7"/>
      <c r="I176" s="14">
        <f t="shared" si="7"/>
        <v>0</v>
      </c>
      <c r="J176" s="16"/>
    </row>
    <row r="177" spans="2:10" ht="14.25" thickBot="1" x14ac:dyDescent="0.2">
      <c r="B177" s="17" t="s">
        <v>2</v>
      </c>
      <c r="C177" s="18">
        <f>SUM(C153:C176)</f>
        <v>1213</v>
      </c>
      <c r="D177" s="19">
        <f t="shared" si="6"/>
        <v>1213</v>
      </c>
      <c r="E177" s="20"/>
      <c r="G177" s="17" t="s">
        <v>2</v>
      </c>
      <c r="H177" s="18">
        <f>SUM(H153:H176)</f>
        <v>5508</v>
      </c>
      <c r="I177" s="19">
        <f t="shared" si="7"/>
        <v>5508</v>
      </c>
      <c r="J177" s="20"/>
    </row>
    <row r="178" spans="2:10" ht="14.25" thickBot="1" x14ac:dyDescent="0.2">
      <c r="B178" s="46" t="s">
        <v>3</v>
      </c>
      <c r="C178" s="52">
        <f>C152-C177</f>
        <v>63</v>
      </c>
      <c r="D178" s="48">
        <f>D152-D177</f>
        <v>63</v>
      </c>
      <c r="E178" s="49"/>
      <c r="G178" s="46" t="s">
        <v>3</v>
      </c>
      <c r="H178" s="52">
        <f>H152-H177</f>
        <v>1884</v>
      </c>
      <c r="I178" s="48">
        <f>I152-I177</f>
        <v>1884</v>
      </c>
      <c r="J178" s="49"/>
    </row>
    <row r="181" spans="2:10" ht="18.75" x14ac:dyDescent="0.2">
      <c r="B181" s="26" t="s">
        <v>7</v>
      </c>
      <c r="G181" s="26" t="s">
        <v>35</v>
      </c>
    </row>
    <row r="182" spans="2:10" ht="14.25" thickBot="1" x14ac:dyDescent="0.2"/>
    <row r="183" spans="2:10" ht="14.25" thickBot="1" x14ac:dyDescent="0.2">
      <c r="B183" s="1"/>
      <c r="C183" s="2"/>
      <c r="D183" s="3" t="s">
        <v>0</v>
      </c>
      <c r="E183" s="1" t="s">
        <v>4</v>
      </c>
      <c r="G183" s="1"/>
      <c r="H183" s="2"/>
      <c r="I183" s="3" t="s">
        <v>0</v>
      </c>
      <c r="J183" s="1" t="s">
        <v>4</v>
      </c>
    </row>
    <row r="184" spans="2:10" x14ac:dyDescent="0.15">
      <c r="B184" s="42" t="s">
        <v>5</v>
      </c>
      <c r="C184" s="43">
        <f>C178</f>
        <v>63</v>
      </c>
      <c r="D184" s="44">
        <f>SUM(C184:C184)</f>
        <v>63</v>
      </c>
      <c r="E184" s="45"/>
      <c r="G184" s="42" t="s">
        <v>5</v>
      </c>
      <c r="H184" s="43">
        <f>H178</f>
        <v>1884</v>
      </c>
      <c r="I184" s="44">
        <f>SUM(H184:H184)</f>
        <v>1884</v>
      </c>
      <c r="J184" s="45"/>
    </row>
    <row r="185" spans="2:10" x14ac:dyDescent="0.15">
      <c r="B185" s="4" t="s">
        <v>6</v>
      </c>
      <c r="C185" s="13">
        <v>336</v>
      </c>
      <c r="D185" s="14">
        <f>SUM(C185:C185)</f>
        <v>336</v>
      </c>
      <c r="E185" s="5">
        <v>41506</v>
      </c>
      <c r="G185" s="4" t="s">
        <v>71</v>
      </c>
      <c r="H185" s="13">
        <v>-3</v>
      </c>
      <c r="I185" s="14">
        <f>SUM(H185:H185)</f>
        <v>-3</v>
      </c>
      <c r="J185" s="5">
        <v>41516</v>
      </c>
    </row>
    <row r="186" spans="2:10" x14ac:dyDescent="0.15">
      <c r="B186" s="4" t="s">
        <v>72</v>
      </c>
      <c r="C186" s="7">
        <v>230</v>
      </c>
      <c r="D186" s="8">
        <f>SUM(C186:C186)</f>
        <v>230</v>
      </c>
      <c r="E186" s="9">
        <v>41524</v>
      </c>
      <c r="G186" s="71" t="s">
        <v>6</v>
      </c>
      <c r="H186" s="72"/>
      <c r="I186" s="73">
        <f>SUM(H186:H186)</f>
        <v>0</v>
      </c>
      <c r="J186" s="74"/>
    </row>
    <row r="187" spans="2:10" ht="14.25" thickBot="1" x14ac:dyDescent="0.2">
      <c r="B187" s="6" t="s">
        <v>6</v>
      </c>
      <c r="C187" s="7"/>
      <c r="D187" s="14">
        <f>SUM(C187:C187)</f>
        <v>0</v>
      </c>
      <c r="E187" s="16"/>
      <c r="G187" s="6" t="s">
        <v>6</v>
      </c>
      <c r="H187" s="65"/>
      <c r="I187" s="14">
        <f>SUM(H187:H187)</f>
        <v>0</v>
      </c>
      <c r="J187" s="16"/>
    </row>
    <row r="188" spans="2:10" ht="14.25" thickBot="1" x14ac:dyDescent="0.2">
      <c r="B188" s="46" t="s">
        <v>1</v>
      </c>
      <c r="C188" s="48">
        <f>SUM(C184:C187)</f>
        <v>629</v>
      </c>
      <c r="D188" s="48">
        <f>SUM(D184:D187)</f>
        <v>629</v>
      </c>
      <c r="E188" s="49"/>
      <c r="G188" s="46" t="s">
        <v>1</v>
      </c>
      <c r="H188" s="47">
        <f>SUM(H184:H187)</f>
        <v>1881</v>
      </c>
      <c r="I188" s="48">
        <f>SUM(I184:I187)</f>
        <v>1881</v>
      </c>
      <c r="J188" s="49"/>
    </row>
    <row r="189" spans="2:10" x14ac:dyDescent="0.15">
      <c r="B189" s="10" t="s">
        <v>18</v>
      </c>
      <c r="C189" s="77">
        <v>44</v>
      </c>
      <c r="D189" s="11">
        <f t="shared" ref="D189:D213" si="8">SUM(C189:C189)</f>
        <v>44</v>
      </c>
      <c r="E189" s="12">
        <v>41505</v>
      </c>
      <c r="F189" s="76"/>
      <c r="G189" s="10" t="s">
        <v>16</v>
      </c>
      <c r="H189" s="13">
        <v>336</v>
      </c>
      <c r="I189" s="11">
        <f t="shared" ref="I189:I213" si="9">SUM(H189:H189)</f>
        <v>336</v>
      </c>
      <c r="J189" s="12">
        <v>41506</v>
      </c>
    </row>
    <row r="190" spans="2:10" x14ac:dyDescent="0.15">
      <c r="B190" s="15" t="s">
        <v>22</v>
      </c>
      <c r="C190" s="22">
        <v>19</v>
      </c>
      <c r="D190" s="23">
        <f t="shared" si="8"/>
        <v>19</v>
      </c>
      <c r="E190" s="24">
        <v>41502</v>
      </c>
      <c r="G190" s="78"/>
      <c r="H190" s="13"/>
      <c r="I190" s="14">
        <f t="shared" si="9"/>
        <v>0</v>
      </c>
      <c r="J190" s="12"/>
    </row>
    <row r="191" spans="2:10" x14ac:dyDescent="0.15">
      <c r="B191" s="10" t="s">
        <v>18</v>
      </c>
      <c r="C191" s="13">
        <v>63</v>
      </c>
      <c r="D191" s="14">
        <f t="shared" si="8"/>
        <v>63</v>
      </c>
      <c r="E191" s="12">
        <v>41513</v>
      </c>
      <c r="G191" s="10"/>
      <c r="H191" s="13"/>
      <c r="I191" s="14">
        <f t="shared" si="9"/>
        <v>0</v>
      </c>
      <c r="J191" s="12"/>
    </row>
    <row r="192" spans="2:10" x14ac:dyDescent="0.15">
      <c r="B192" s="15" t="s">
        <v>10</v>
      </c>
      <c r="C192" s="13">
        <v>30</v>
      </c>
      <c r="D192" s="14">
        <f t="shared" si="8"/>
        <v>30</v>
      </c>
      <c r="E192" s="12">
        <v>41516</v>
      </c>
      <c r="G192" s="78"/>
      <c r="H192" s="13"/>
      <c r="I192" s="14">
        <f t="shared" si="9"/>
        <v>0</v>
      </c>
      <c r="J192" s="12"/>
    </row>
    <row r="193" spans="2:10" x14ac:dyDescent="0.15">
      <c r="B193" s="10" t="s">
        <v>22</v>
      </c>
      <c r="C193" s="22">
        <v>30</v>
      </c>
      <c r="D193" s="23">
        <f t="shared" si="8"/>
        <v>30</v>
      </c>
      <c r="E193" s="24">
        <v>41512</v>
      </c>
      <c r="G193" s="78"/>
      <c r="H193" s="13"/>
      <c r="I193" s="14">
        <f t="shared" si="9"/>
        <v>0</v>
      </c>
      <c r="J193" s="12"/>
    </row>
    <row r="194" spans="2:10" x14ac:dyDescent="0.15">
      <c r="B194" s="10" t="s">
        <v>18</v>
      </c>
      <c r="C194" s="13">
        <v>35</v>
      </c>
      <c r="D194" s="14">
        <f t="shared" si="8"/>
        <v>35</v>
      </c>
      <c r="E194" s="12">
        <v>41517</v>
      </c>
      <c r="G194" s="78"/>
      <c r="H194" s="13"/>
      <c r="I194" s="14">
        <f t="shared" si="9"/>
        <v>0</v>
      </c>
      <c r="J194" s="12"/>
    </row>
    <row r="195" spans="2:10" x14ac:dyDescent="0.15">
      <c r="B195" s="10" t="s">
        <v>18</v>
      </c>
      <c r="C195" s="13">
        <v>8</v>
      </c>
      <c r="D195" s="14">
        <f t="shared" si="8"/>
        <v>8</v>
      </c>
      <c r="E195" s="12">
        <v>41522</v>
      </c>
      <c r="G195" s="78"/>
      <c r="H195" s="13"/>
      <c r="I195" s="14">
        <f t="shared" si="9"/>
        <v>0</v>
      </c>
      <c r="J195" s="12"/>
    </row>
    <row r="196" spans="2:10" x14ac:dyDescent="0.15">
      <c r="B196" s="10" t="s">
        <v>18</v>
      </c>
      <c r="C196" s="13">
        <v>7</v>
      </c>
      <c r="D196" s="14">
        <f t="shared" si="8"/>
        <v>7</v>
      </c>
      <c r="E196" s="12">
        <v>41524</v>
      </c>
      <c r="G196" s="78"/>
      <c r="H196" s="13"/>
      <c r="I196" s="14">
        <f t="shared" si="9"/>
        <v>0</v>
      </c>
      <c r="J196" s="12"/>
    </row>
    <row r="197" spans="2:10" x14ac:dyDescent="0.15">
      <c r="B197" s="10" t="s">
        <v>58</v>
      </c>
      <c r="C197" s="13">
        <v>10</v>
      </c>
      <c r="D197" s="14">
        <f t="shared" si="8"/>
        <v>10</v>
      </c>
      <c r="E197" s="12">
        <v>41529</v>
      </c>
      <c r="G197" s="10"/>
      <c r="H197" s="13"/>
      <c r="I197" s="14">
        <f t="shared" si="9"/>
        <v>0</v>
      </c>
      <c r="J197" s="12"/>
    </row>
    <row r="198" spans="2:10" x14ac:dyDescent="0.15">
      <c r="B198" s="10" t="s">
        <v>58</v>
      </c>
      <c r="C198" s="13">
        <v>10</v>
      </c>
      <c r="D198" s="14">
        <f t="shared" si="8"/>
        <v>10</v>
      </c>
      <c r="E198" s="12">
        <v>41529</v>
      </c>
      <c r="G198" s="78"/>
      <c r="H198" s="13"/>
      <c r="I198" s="14">
        <f t="shared" si="9"/>
        <v>0</v>
      </c>
      <c r="J198" s="12"/>
    </row>
    <row r="199" spans="2:10" x14ac:dyDescent="0.15">
      <c r="B199" s="10" t="s">
        <v>18</v>
      </c>
      <c r="C199" s="13">
        <v>9</v>
      </c>
      <c r="D199" s="14">
        <f t="shared" si="8"/>
        <v>9</v>
      </c>
      <c r="E199" s="12">
        <v>41529</v>
      </c>
      <c r="G199" s="10"/>
      <c r="H199" s="22"/>
      <c r="I199" s="23">
        <f t="shared" si="9"/>
        <v>0</v>
      </c>
      <c r="J199" s="24"/>
    </row>
    <row r="200" spans="2:10" x14ac:dyDescent="0.15">
      <c r="B200" s="10" t="s">
        <v>58</v>
      </c>
      <c r="C200" s="13">
        <v>10</v>
      </c>
      <c r="D200" s="14">
        <f t="shared" si="8"/>
        <v>10</v>
      </c>
      <c r="E200" s="12">
        <v>41530</v>
      </c>
      <c r="G200" s="27"/>
      <c r="H200" s="22"/>
      <c r="I200" s="23">
        <f t="shared" si="9"/>
        <v>0</v>
      </c>
      <c r="J200" s="24"/>
    </row>
    <row r="201" spans="2:10" x14ac:dyDescent="0.15">
      <c r="B201" s="10" t="s">
        <v>22</v>
      </c>
      <c r="C201" s="13">
        <v>10</v>
      </c>
      <c r="D201" s="14">
        <f t="shared" si="8"/>
        <v>10</v>
      </c>
      <c r="E201" s="12">
        <v>41532</v>
      </c>
      <c r="G201" s="15"/>
      <c r="H201" s="13"/>
      <c r="I201" s="14">
        <f t="shared" si="9"/>
        <v>0</v>
      </c>
      <c r="J201" s="12"/>
    </row>
    <row r="202" spans="2:10" x14ac:dyDescent="0.15">
      <c r="B202" s="10" t="s">
        <v>18</v>
      </c>
      <c r="C202" s="13">
        <v>11</v>
      </c>
      <c r="D202" s="14">
        <f t="shared" si="8"/>
        <v>11</v>
      </c>
      <c r="E202" s="12">
        <v>41535</v>
      </c>
      <c r="G202" s="10"/>
      <c r="H202" s="13"/>
      <c r="I202" s="14">
        <f t="shared" si="9"/>
        <v>0</v>
      </c>
      <c r="J202" s="12"/>
    </row>
    <row r="203" spans="2:10" x14ac:dyDescent="0.15">
      <c r="B203" s="15" t="s">
        <v>22</v>
      </c>
      <c r="C203" s="13">
        <v>20</v>
      </c>
      <c r="D203" s="14">
        <f t="shared" si="8"/>
        <v>20</v>
      </c>
      <c r="E203" s="12">
        <v>41537</v>
      </c>
      <c r="G203" s="15"/>
      <c r="H203" s="13"/>
      <c r="I203" s="14">
        <f t="shared" si="9"/>
        <v>0</v>
      </c>
      <c r="J203" s="12"/>
    </row>
    <row r="204" spans="2:10" x14ac:dyDescent="0.15">
      <c r="B204" s="10" t="s">
        <v>58</v>
      </c>
      <c r="C204" s="13">
        <v>10</v>
      </c>
      <c r="D204" s="14">
        <f t="shared" si="8"/>
        <v>10</v>
      </c>
      <c r="E204" s="12">
        <v>41543</v>
      </c>
      <c r="G204" s="21"/>
      <c r="H204" s="22"/>
      <c r="I204" s="23">
        <f t="shared" si="9"/>
        <v>0</v>
      </c>
      <c r="J204" s="24"/>
    </row>
    <row r="205" spans="2:10" x14ac:dyDescent="0.15">
      <c r="B205" s="10" t="s">
        <v>18</v>
      </c>
      <c r="C205" s="13">
        <v>5</v>
      </c>
      <c r="D205" s="14">
        <f t="shared" si="8"/>
        <v>5</v>
      </c>
      <c r="E205" s="12">
        <v>41543</v>
      </c>
      <c r="G205" s="27"/>
      <c r="H205" s="22"/>
      <c r="I205" s="23">
        <f t="shared" si="9"/>
        <v>0</v>
      </c>
      <c r="J205" s="24"/>
    </row>
    <row r="206" spans="2:10" x14ac:dyDescent="0.15">
      <c r="B206" s="10" t="s">
        <v>58</v>
      </c>
      <c r="C206" s="13">
        <v>10</v>
      </c>
      <c r="D206" s="14">
        <f t="shared" si="8"/>
        <v>10</v>
      </c>
      <c r="E206" s="12">
        <v>41551</v>
      </c>
      <c r="G206" s="15"/>
      <c r="H206" s="13"/>
      <c r="I206" s="14">
        <f t="shared" si="9"/>
        <v>0</v>
      </c>
      <c r="J206" s="5"/>
    </row>
    <row r="207" spans="2:10" x14ac:dyDescent="0.15">
      <c r="B207" s="10" t="s">
        <v>58</v>
      </c>
      <c r="C207" s="13">
        <v>10</v>
      </c>
      <c r="D207" s="14">
        <f t="shared" si="8"/>
        <v>10</v>
      </c>
      <c r="E207" s="12">
        <v>41556</v>
      </c>
      <c r="G207" s="15"/>
      <c r="H207" s="13"/>
      <c r="I207" s="14">
        <f t="shared" si="9"/>
        <v>0</v>
      </c>
      <c r="J207" s="5"/>
    </row>
    <row r="208" spans="2:10" x14ac:dyDescent="0.15">
      <c r="B208" s="78" t="s">
        <v>73</v>
      </c>
      <c r="C208" s="13">
        <v>15</v>
      </c>
      <c r="D208" s="14">
        <f t="shared" si="8"/>
        <v>15</v>
      </c>
      <c r="E208" s="5">
        <v>41552</v>
      </c>
      <c r="G208" s="75"/>
      <c r="H208" s="13"/>
      <c r="I208" s="14">
        <f t="shared" si="9"/>
        <v>0</v>
      </c>
      <c r="J208" s="5"/>
    </row>
    <row r="209" spans="2:10" x14ac:dyDescent="0.15">
      <c r="B209" s="15" t="s">
        <v>12</v>
      </c>
      <c r="C209" s="13">
        <v>1</v>
      </c>
      <c r="D209" s="14">
        <f t="shared" si="8"/>
        <v>1</v>
      </c>
      <c r="E209" s="5">
        <v>41554</v>
      </c>
      <c r="G209" s="78"/>
      <c r="H209" s="13"/>
      <c r="I209" s="14">
        <f t="shared" si="9"/>
        <v>0</v>
      </c>
      <c r="J209" s="5"/>
    </row>
    <row r="210" spans="2:10" x14ac:dyDescent="0.15">
      <c r="B210" s="10" t="s">
        <v>18</v>
      </c>
      <c r="C210" s="13">
        <v>2</v>
      </c>
      <c r="D210" s="14">
        <f t="shared" si="8"/>
        <v>2</v>
      </c>
      <c r="E210" s="5">
        <v>41557</v>
      </c>
      <c r="G210" s="15"/>
      <c r="H210" s="13"/>
      <c r="I210" s="14">
        <f t="shared" si="9"/>
        <v>0</v>
      </c>
      <c r="J210" s="5"/>
    </row>
    <row r="211" spans="2:10" x14ac:dyDescent="0.15">
      <c r="B211" s="15" t="s">
        <v>12</v>
      </c>
      <c r="C211" s="13">
        <v>1</v>
      </c>
      <c r="D211" s="14">
        <f t="shared" si="8"/>
        <v>1</v>
      </c>
      <c r="E211" s="5">
        <v>41556</v>
      </c>
      <c r="G211" s="15"/>
      <c r="H211" s="7"/>
      <c r="I211" s="14">
        <f t="shared" si="9"/>
        <v>0</v>
      </c>
      <c r="J211" s="79"/>
    </row>
    <row r="212" spans="2:10" ht="14.25" thickBot="1" x14ac:dyDescent="0.2">
      <c r="B212" s="15" t="s">
        <v>12</v>
      </c>
      <c r="C212" s="13">
        <v>2</v>
      </c>
      <c r="D212" s="11">
        <f t="shared" si="8"/>
        <v>2</v>
      </c>
      <c r="E212" s="12">
        <v>41557</v>
      </c>
      <c r="G212" s="15"/>
      <c r="H212" s="7"/>
      <c r="I212" s="14">
        <f t="shared" si="9"/>
        <v>0</v>
      </c>
      <c r="J212" s="16"/>
    </row>
    <row r="213" spans="2:10" ht="14.25" thickBot="1" x14ac:dyDescent="0.2">
      <c r="B213" s="17" t="s">
        <v>2</v>
      </c>
      <c r="C213" s="18">
        <f>SUM(C189:C212)</f>
        <v>372</v>
      </c>
      <c r="D213" s="19">
        <f t="shared" si="8"/>
        <v>372</v>
      </c>
      <c r="E213" s="20"/>
      <c r="G213" s="17" t="s">
        <v>2</v>
      </c>
      <c r="H213" s="18">
        <f>SUM(H189:H212)</f>
        <v>336</v>
      </c>
      <c r="I213" s="19">
        <f t="shared" si="9"/>
        <v>336</v>
      </c>
      <c r="J213" s="20"/>
    </row>
    <row r="214" spans="2:10" ht="14.25" thickBot="1" x14ac:dyDescent="0.2">
      <c r="B214" s="46" t="s">
        <v>3</v>
      </c>
      <c r="C214" s="52">
        <f>C188-C213</f>
        <v>257</v>
      </c>
      <c r="D214" s="48">
        <f>D188-D213</f>
        <v>257</v>
      </c>
      <c r="E214" s="49"/>
      <c r="G214" s="46" t="s">
        <v>3</v>
      </c>
      <c r="H214" s="52">
        <f>H188-H213</f>
        <v>1545</v>
      </c>
      <c r="I214" s="48">
        <f>I188-I213</f>
        <v>1545</v>
      </c>
      <c r="J214" s="49"/>
    </row>
    <row r="217" spans="2:10" ht="18.75" x14ac:dyDescent="0.2">
      <c r="B217" s="26" t="s">
        <v>7</v>
      </c>
      <c r="G217" s="26" t="s">
        <v>35</v>
      </c>
    </row>
    <row r="218" spans="2:10" ht="14.25" thickBot="1" x14ac:dyDescent="0.2"/>
    <row r="219" spans="2:10" ht="14.25" thickBot="1" x14ac:dyDescent="0.2">
      <c r="B219" s="1"/>
      <c r="C219" s="2"/>
      <c r="D219" s="3" t="s">
        <v>0</v>
      </c>
      <c r="E219" s="1" t="s">
        <v>4</v>
      </c>
      <c r="G219" s="1"/>
      <c r="H219" s="2"/>
      <c r="I219" s="3" t="s">
        <v>0</v>
      </c>
      <c r="J219" s="1" t="s">
        <v>4</v>
      </c>
    </row>
    <row r="220" spans="2:10" x14ac:dyDescent="0.15">
      <c r="B220" s="42" t="s">
        <v>5</v>
      </c>
      <c r="C220" s="43">
        <f>C214</f>
        <v>257</v>
      </c>
      <c r="D220" s="44">
        <f>SUM(C220:C220)</f>
        <v>257</v>
      </c>
      <c r="E220" s="45"/>
      <c r="G220" s="42" t="s">
        <v>5</v>
      </c>
      <c r="H220" s="43">
        <f>H214</f>
        <v>1545</v>
      </c>
      <c r="I220" s="44">
        <f>SUM(H220:H220)</f>
        <v>1545</v>
      </c>
      <c r="J220" s="45"/>
    </row>
    <row r="221" spans="2:10" x14ac:dyDescent="0.15">
      <c r="B221" s="4" t="s">
        <v>6</v>
      </c>
      <c r="C221" s="13">
        <v>23</v>
      </c>
      <c r="D221" s="14">
        <f>SUM(C221:C221)</f>
        <v>23</v>
      </c>
      <c r="E221" s="5">
        <v>41575</v>
      </c>
      <c r="F221" t="s">
        <v>76</v>
      </c>
      <c r="G221" s="71" t="s">
        <v>6</v>
      </c>
      <c r="H221" s="13"/>
      <c r="I221" s="14">
        <f>SUM(H221:H221)</f>
        <v>0</v>
      </c>
      <c r="J221" s="5"/>
    </row>
    <row r="222" spans="2:10" x14ac:dyDescent="0.15">
      <c r="B222" s="4" t="s">
        <v>6</v>
      </c>
      <c r="C222" s="7"/>
      <c r="D222" s="8">
        <f>SUM(C222:C222)</f>
        <v>0</v>
      </c>
      <c r="E222" s="9"/>
      <c r="G222" s="71" t="s">
        <v>6</v>
      </c>
      <c r="H222" s="72"/>
      <c r="I222" s="73">
        <f>SUM(H222:H222)</f>
        <v>0</v>
      </c>
      <c r="J222" s="74"/>
    </row>
    <row r="223" spans="2:10" ht="14.25" thickBot="1" x14ac:dyDescent="0.2">
      <c r="B223" s="6" t="s">
        <v>6</v>
      </c>
      <c r="C223" s="7"/>
      <c r="D223" s="14">
        <f>SUM(C223:C223)</f>
        <v>0</v>
      </c>
      <c r="E223" s="16"/>
      <c r="G223" s="6" t="s">
        <v>6</v>
      </c>
      <c r="H223" s="65"/>
      <c r="I223" s="14">
        <f>SUM(H223:H223)</f>
        <v>0</v>
      </c>
      <c r="J223" s="16"/>
    </row>
    <row r="224" spans="2:10" ht="14.25" thickBot="1" x14ac:dyDescent="0.2">
      <c r="B224" s="46" t="s">
        <v>1</v>
      </c>
      <c r="C224" s="48">
        <f>SUM(C220:C223)</f>
        <v>280</v>
      </c>
      <c r="D224" s="48">
        <f>SUM(D220:D223)</f>
        <v>280</v>
      </c>
      <c r="E224" s="49"/>
      <c r="G224" s="46" t="s">
        <v>1</v>
      </c>
      <c r="H224" s="47">
        <f>SUM(H220:H223)</f>
        <v>1545</v>
      </c>
      <c r="I224" s="48">
        <f>SUM(I220:I223)</f>
        <v>1545</v>
      </c>
      <c r="J224" s="49"/>
    </row>
    <row r="225" spans="2:10" x14ac:dyDescent="0.15">
      <c r="B225" s="10" t="s">
        <v>74</v>
      </c>
      <c r="C225" s="77">
        <v>1</v>
      </c>
      <c r="D225" s="11">
        <f t="shared" ref="D225:D249" si="10">SUM(C225:C225)</f>
        <v>1</v>
      </c>
      <c r="E225" s="12">
        <v>41558</v>
      </c>
      <c r="G225" s="10" t="s">
        <v>16</v>
      </c>
      <c r="H225" s="13">
        <v>336</v>
      </c>
      <c r="I225" s="11">
        <f t="shared" ref="I225:I249" si="11">SUM(H225:H225)</f>
        <v>336</v>
      </c>
      <c r="J225" s="12">
        <v>41682</v>
      </c>
    </row>
    <row r="226" spans="2:10" x14ac:dyDescent="0.15">
      <c r="B226" s="15" t="s">
        <v>22</v>
      </c>
      <c r="C226" s="13">
        <v>5</v>
      </c>
      <c r="D226" s="14">
        <f t="shared" si="10"/>
        <v>5</v>
      </c>
      <c r="E226" s="12">
        <v>41562</v>
      </c>
      <c r="G226" s="78"/>
      <c r="H226" s="13"/>
      <c r="I226" s="14">
        <f t="shared" si="11"/>
        <v>0</v>
      </c>
      <c r="J226" s="12"/>
    </row>
    <row r="227" spans="2:10" x14ac:dyDescent="0.15">
      <c r="B227" s="10" t="s">
        <v>58</v>
      </c>
      <c r="C227" s="13">
        <v>10</v>
      </c>
      <c r="D227" s="14">
        <f t="shared" si="10"/>
        <v>10</v>
      </c>
      <c r="E227" s="12">
        <v>41568</v>
      </c>
      <c r="G227" s="10"/>
      <c r="H227" s="13"/>
      <c r="I227" s="14">
        <f t="shared" si="11"/>
        <v>0</v>
      </c>
      <c r="J227" s="12"/>
    </row>
    <row r="228" spans="2:10" x14ac:dyDescent="0.15">
      <c r="B228" s="15" t="s">
        <v>10</v>
      </c>
      <c r="C228" s="13">
        <v>30</v>
      </c>
      <c r="D228" s="14">
        <f t="shared" si="10"/>
        <v>30</v>
      </c>
      <c r="E228" s="12">
        <v>41571</v>
      </c>
      <c r="G228" s="78"/>
      <c r="H228" s="13"/>
      <c r="I228" s="14">
        <f t="shared" si="11"/>
        <v>0</v>
      </c>
      <c r="J228" s="12"/>
    </row>
    <row r="229" spans="2:10" x14ac:dyDescent="0.15">
      <c r="B229" s="10" t="s">
        <v>75</v>
      </c>
      <c r="C229" s="22">
        <v>1</v>
      </c>
      <c r="D229" s="23">
        <f t="shared" si="10"/>
        <v>1</v>
      </c>
      <c r="E229" s="24">
        <v>41566</v>
      </c>
      <c r="G229" s="78"/>
      <c r="H229" s="13"/>
      <c r="I229" s="14">
        <f t="shared" si="11"/>
        <v>0</v>
      </c>
      <c r="J229" s="12"/>
    </row>
    <row r="230" spans="2:10" x14ac:dyDescent="0.15">
      <c r="B230" s="10" t="s">
        <v>18</v>
      </c>
      <c r="C230" s="13">
        <v>4</v>
      </c>
      <c r="D230" s="14">
        <f t="shared" si="10"/>
        <v>4</v>
      </c>
      <c r="E230" s="12">
        <v>41570</v>
      </c>
      <c r="G230" s="78"/>
      <c r="H230" s="13"/>
      <c r="I230" s="14">
        <f t="shared" si="11"/>
        <v>0</v>
      </c>
      <c r="J230" s="12"/>
    </row>
    <row r="231" spans="2:10" x14ac:dyDescent="0.15">
      <c r="B231" s="10" t="s">
        <v>22</v>
      </c>
      <c r="C231" s="13">
        <v>6</v>
      </c>
      <c r="D231" s="14">
        <f t="shared" si="10"/>
        <v>6</v>
      </c>
      <c r="E231" s="12">
        <v>41568</v>
      </c>
      <c r="G231" s="78"/>
      <c r="H231" s="13"/>
      <c r="I231" s="14">
        <f t="shared" si="11"/>
        <v>0</v>
      </c>
      <c r="J231" s="12"/>
    </row>
    <row r="232" spans="2:10" x14ac:dyDescent="0.15">
      <c r="B232" s="10" t="s">
        <v>22</v>
      </c>
      <c r="C232" s="13">
        <v>3</v>
      </c>
      <c r="D232" s="14">
        <f t="shared" si="10"/>
        <v>3</v>
      </c>
      <c r="E232" s="12">
        <v>41569</v>
      </c>
      <c r="G232" s="78"/>
      <c r="H232" s="13"/>
      <c r="I232" s="14">
        <f t="shared" si="11"/>
        <v>0</v>
      </c>
      <c r="J232" s="12"/>
    </row>
    <row r="233" spans="2:10" x14ac:dyDescent="0.15">
      <c r="B233" s="10" t="s">
        <v>18</v>
      </c>
      <c r="C233" s="13">
        <v>1</v>
      </c>
      <c r="D233" s="14">
        <f t="shared" si="10"/>
        <v>1</v>
      </c>
      <c r="E233" s="12">
        <v>41570</v>
      </c>
      <c r="G233" s="10"/>
      <c r="H233" s="13"/>
      <c r="I233" s="14">
        <f t="shared" si="11"/>
        <v>0</v>
      </c>
      <c r="J233" s="12"/>
    </row>
    <row r="234" spans="2:10" x14ac:dyDescent="0.15">
      <c r="B234" s="10" t="s">
        <v>18</v>
      </c>
      <c r="C234" s="13">
        <v>1</v>
      </c>
      <c r="D234" s="14">
        <f t="shared" si="10"/>
        <v>1</v>
      </c>
      <c r="E234" s="12">
        <v>41572</v>
      </c>
      <c r="G234" s="78"/>
      <c r="H234" s="13"/>
      <c r="I234" s="14">
        <f t="shared" si="11"/>
        <v>0</v>
      </c>
      <c r="J234" s="12"/>
    </row>
    <row r="235" spans="2:10" x14ac:dyDescent="0.15">
      <c r="B235" s="10" t="s">
        <v>58</v>
      </c>
      <c r="C235" s="13">
        <v>5</v>
      </c>
      <c r="D235" s="14">
        <f t="shared" si="10"/>
        <v>5</v>
      </c>
      <c r="E235" s="12">
        <v>41576</v>
      </c>
      <c r="G235" s="10"/>
      <c r="H235" s="22"/>
      <c r="I235" s="23">
        <f t="shared" si="11"/>
        <v>0</v>
      </c>
      <c r="J235" s="24"/>
    </row>
    <row r="236" spans="2:10" x14ac:dyDescent="0.15">
      <c r="B236" s="10" t="s">
        <v>18</v>
      </c>
      <c r="C236" s="13">
        <v>6</v>
      </c>
      <c r="D236" s="14">
        <f t="shared" si="10"/>
        <v>6</v>
      </c>
      <c r="E236" s="12">
        <v>41578</v>
      </c>
      <c r="G236" s="27"/>
      <c r="H236" s="22"/>
      <c r="I236" s="23">
        <f t="shared" si="11"/>
        <v>0</v>
      </c>
      <c r="J236" s="24"/>
    </row>
    <row r="237" spans="2:10" x14ac:dyDescent="0.15">
      <c r="B237" s="10" t="s">
        <v>58</v>
      </c>
      <c r="C237" s="13">
        <v>5</v>
      </c>
      <c r="D237" s="14">
        <f t="shared" si="10"/>
        <v>5</v>
      </c>
      <c r="E237" s="12">
        <v>41578</v>
      </c>
      <c r="G237" s="15"/>
      <c r="H237" s="13"/>
      <c r="I237" s="14">
        <f t="shared" si="11"/>
        <v>0</v>
      </c>
      <c r="J237" s="12"/>
    </row>
    <row r="238" spans="2:10" x14ac:dyDescent="0.15">
      <c r="B238" s="10" t="s">
        <v>77</v>
      </c>
      <c r="C238" s="13">
        <v>1</v>
      </c>
      <c r="D238" s="14">
        <f t="shared" si="10"/>
        <v>1</v>
      </c>
      <c r="E238" s="12">
        <v>41576</v>
      </c>
      <c r="G238" s="10"/>
      <c r="H238" s="13"/>
      <c r="I238" s="14">
        <f t="shared" si="11"/>
        <v>0</v>
      </c>
      <c r="J238" s="12"/>
    </row>
    <row r="239" spans="2:10" x14ac:dyDescent="0.15">
      <c r="B239" s="10" t="s">
        <v>18</v>
      </c>
      <c r="C239" s="13">
        <v>2</v>
      </c>
      <c r="D239" s="14">
        <f t="shared" si="10"/>
        <v>2</v>
      </c>
      <c r="E239" s="12">
        <v>41582</v>
      </c>
      <c r="G239" s="15"/>
      <c r="H239" s="13"/>
      <c r="I239" s="14">
        <f t="shared" si="11"/>
        <v>0</v>
      </c>
      <c r="J239" s="12"/>
    </row>
    <row r="240" spans="2:10" x14ac:dyDescent="0.15">
      <c r="B240" s="10" t="s">
        <v>78</v>
      </c>
      <c r="C240" s="13">
        <v>1</v>
      </c>
      <c r="D240" s="14">
        <f t="shared" si="10"/>
        <v>1</v>
      </c>
      <c r="E240" s="12">
        <v>41582</v>
      </c>
      <c r="G240" s="21"/>
      <c r="H240" s="22"/>
      <c r="I240" s="23">
        <f t="shared" si="11"/>
        <v>0</v>
      </c>
      <c r="J240" s="24"/>
    </row>
    <row r="241" spans="2:10" x14ac:dyDescent="0.15">
      <c r="B241" s="10" t="s">
        <v>58</v>
      </c>
      <c r="C241" s="13">
        <v>5</v>
      </c>
      <c r="D241" s="14">
        <f t="shared" si="10"/>
        <v>5</v>
      </c>
      <c r="E241" s="12">
        <v>41587</v>
      </c>
      <c r="G241" s="27"/>
      <c r="H241" s="22"/>
      <c r="I241" s="23">
        <f t="shared" si="11"/>
        <v>0</v>
      </c>
      <c r="J241" s="24"/>
    </row>
    <row r="242" spans="2:10" x14ac:dyDescent="0.15">
      <c r="B242" s="10" t="s">
        <v>22</v>
      </c>
      <c r="C242" s="13">
        <v>1</v>
      </c>
      <c r="D242" s="14">
        <f t="shared" si="10"/>
        <v>1</v>
      </c>
      <c r="E242" s="12">
        <v>41583</v>
      </c>
      <c r="G242" s="15"/>
      <c r="H242" s="13"/>
      <c r="I242" s="14">
        <f t="shared" si="11"/>
        <v>0</v>
      </c>
      <c r="J242" s="5"/>
    </row>
    <row r="243" spans="2:10" x14ac:dyDescent="0.15">
      <c r="B243" s="10" t="s">
        <v>79</v>
      </c>
      <c r="C243" s="13">
        <v>1</v>
      </c>
      <c r="D243" s="14">
        <f t="shared" si="10"/>
        <v>1</v>
      </c>
      <c r="E243" s="12">
        <v>41584</v>
      </c>
      <c r="G243" s="15"/>
      <c r="H243" s="13"/>
      <c r="I243" s="14">
        <f t="shared" si="11"/>
        <v>0</v>
      </c>
      <c r="J243" s="5"/>
    </row>
    <row r="244" spans="2:10" x14ac:dyDescent="0.15">
      <c r="B244" s="10" t="s">
        <v>58</v>
      </c>
      <c r="C244" s="13">
        <v>5</v>
      </c>
      <c r="D244" s="14">
        <f t="shared" si="10"/>
        <v>5</v>
      </c>
      <c r="E244" s="5">
        <v>41587</v>
      </c>
      <c r="G244" s="75"/>
      <c r="H244" s="13"/>
      <c r="I244" s="14">
        <f t="shared" si="11"/>
        <v>0</v>
      </c>
      <c r="J244" s="5"/>
    </row>
    <row r="245" spans="2:10" x14ac:dyDescent="0.15">
      <c r="B245" s="15" t="s">
        <v>80</v>
      </c>
      <c r="C245" s="13">
        <v>1</v>
      </c>
      <c r="D245" s="14">
        <f t="shared" si="10"/>
        <v>1</v>
      </c>
      <c r="E245" s="5">
        <v>41586</v>
      </c>
      <c r="G245" s="78"/>
      <c r="H245" s="13"/>
      <c r="I245" s="14">
        <f t="shared" si="11"/>
        <v>0</v>
      </c>
      <c r="J245" s="5"/>
    </row>
    <row r="246" spans="2:10" x14ac:dyDescent="0.15">
      <c r="B246" s="10" t="s">
        <v>58</v>
      </c>
      <c r="C246" s="13">
        <v>1</v>
      </c>
      <c r="D246" s="14">
        <f t="shared" si="10"/>
        <v>1</v>
      </c>
      <c r="E246" s="5">
        <v>41593</v>
      </c>
      <c r="G246" s="15"/>
      <c r="H246" s="7"/>
      <c r="I246" s="14">
        <f t="shared" si="11"/>
        <v>0</v>
      </c>
      <c r="J246" s="5"/>
    </row>
    <row r="247" spans="2:10" x14ac:dyDescent="0.15">
      <c r="B247" s="15" t="s">
        <v>22</v>
      </c>
      <c r="C247" s="13">
        <v>1</v>
      </c>
      <c r="D247" s="14">
        <f t="shared" si="10"/>
        <v>1</v>
      </c>
      <c r="E247" s="5">
        <v>41592</v>
      </c>
      <c r="G247" s="15"/>
      <c r="H247" s="7"/>
      <c r="I247" s="14">
        <f t="shared" si="11"/>
        <v>0</v>
      </c>
      <c r="J247" s="9"/>
    </row>
    <row r="248" spans="2:10" ht="14.25" thickBot="1" x14ac:dyDescent="0.2">
      <c r="B248" s="15" t="s">
        <v>22</v>
      </c>
      <c r="C248" s="13">
        <v>2</v>
      </c>
      <c r="D248" s="11">
        <f t="shared" si="10"/>
        <v>2</v>
      </c>
      <c r="E248" s="12">
        <v>41594</v>
      </c>
      <c r="G248" s="15"/>
      <c r="H248" s="7"/>
      <c r="I248" s="14">
        <f t="shared" si="11"/>
        <v>0</v>
      </c>
      <c r="J248" s="16"/>
    </row>
    <row r="249" spans="2:10" ht="14.25" thickBot="1" x14ac:dyDescent="0.2">
      <c r="B249" s="17" t="s">
        <v>2</v>
      </c>
      <c r="C249" s="18">
        <f>SUM(C225:C248)</f>
        <v>99</v>
      </c>
      <c r="D249" s="19">
        <f t="shared" si="10"/>
        <v>99</v>
      </c>
      <c r="E249" s="20"/>
      <c r="G249" s="17" t="s">
        <v>2</v>
      </c>
      <c r="H249" s="18">
        <f>SUM(H225:H248)</f>
        <v>336</v>
      </c>
      <c r="I249" s="19">
        <f t="shared" si="11"/>
        <v>336</v>
      </c>
      <c r="J249" s="20"/>
    </row>
    <row r="250" spans="2:10" ht="14.25" thickBot="1" x14ac:dyDescent="0.2">
      <c r="B250" s="46" t="s">
        <v>3</v>
      </c>
      <c r="C250" s="52">
        <f>C224-C249</f>
        <v>181</v>
      </c>
      <c r="D250" s="48">
        <f>D224-D249</f>
        <v>181</v>
      </c>
      <c r="E250" s="49"/>
      <c r="G250" s="46" t="s">
        <v>3</v>
      </c>
      <c r="H250" s="52">
        <f>H224-H249</f>
        <v>1209</v>
      </c>
      <c r="I250" s="48">
        <f>I224-I249</f>
        <v>1209</v>
      </c>
      <c r="J250" s="49"/>
    </row>
    <row r="253" spans="2:10" ht="18.75" x14ac:dyDescent="0.2">
      <c r="B253" s="26" t="s">
        <v>7</v>
      </c>
      <c r="G253" s="26" t="s">
        <v>35</v>
      </c>
    </row>
    <row r="254" spans="2:10" ht="14.25" thickBot="1" x14ac:dyDescent="0.2"/>
    <row r="255" spans="2:10" ht="14.25" thickBot="1" x14ac:dyDescent="0.2">
      <c r="B255" s="1"/>
      <c r="C255" s="2"/>
      <c r="D255" s="3" t="s">
        <v>0</v>
      </c>
      <c r="E255" s="1" t="s">
        <v>4</v>
      </c>
      <c r="G255" s="1"/>
      <c r="H255" s="2"/>
      <c r="I255" s="3" t="s">
        <v>0</v>
      </c>
      <c r="J255" s="1" t="s">
        <v>4</v>
      </c>
    </row>
    <row r="256" spans="2:10" x14ac:dyDescent="0.15">
      <c r="B256" s="42" t="s">
        <v>5</v>
      </c>
      <c r="C256" s="43">
        <f>C250</f>
        <v>181</v>
      </c>
      <c r="D256" s="44">
        <f>SUM(C256:C256)</f>
        <v>181</v>
      </c>
      <c r="E256" s="45"/>
      <c r="G256" s="42" t="s">
        <v>5</v>
      </c>
      <c r="H256" s="43">
        <f>H250</f>
        <v>1209</v>
      </c>
      <c r="I256" s="44">
        <f>SUM(H256:H256)</f>
        <v>1209</v>
      </c>
      <c r="J256" s="45"/>
    </row>
    <row r="257" spans="2:10" x14ac:dyDescent="0.15">
      <c r="B257" s="4" t="s">
        <v>6</v>
      </c>
      <c r="C257" s="13"/>
      <c r="D257" s="14">
        <f>SUM(C257:C257)</f>
        <v>0</v>
      </c>
      <c r="E257" s="5"/>
      <c r="G257" s="71" t="s">
        <v>6</v>
      </c>
      <c r="H257" s="13"/>
      <c r="I257" s="14">
        <f>SUM(H257:H257)</f>
        <v>0</v>
      </c>
      <c r="J257" s="5"/>
    </row>
    <row r="258" spans="2:10" x14ac:dyDescent="0.15">
      <c r="B258" s="4" t="s">
        <v>6</v>
      </c>
      <c r="C258" s="7"/>
      <c r="D258" s="8">
        <f>SUM(C258:C258)</f>
        <v>0</v>
      </c>
      <c r="E258" s="9"/>
      <c r="G258" s="71" t="s">
        <v>6</v>
      </c>
      <c r="H258" s="13"/>
      <c r="I258" s="14">
        <f>SUM(H258:H258)</f>
        <v>0</v>
      </c>
      <c r="J258" s="5"/>
    </row>
    <row r="259" spans="2:10" ht="14.25" thickBot="1" x14ac:dyDescent="0.2">
      <c r="B259" s="6" t="s">
        <v>6</v>
      </c>
      <c r="C259" s="7"/>
      <c r="D259" s="14">
        <f>SUM(C259:C259)</f>
        <v>0</v>
      </c>
      <c r="E259" s="16"/>
      <c r="G259" s="6" t="s">
        <v>6</v>
      </c>
      <c r="H259" s="65"/>
      <c r="I259" s="14">
        <f>SUM(H259:H259)</f>
        <v>0</v>
      </c>
      <c r="J259" s="16"/>
    </row>
    <row r="260" spans="2:10" ht="14.25" thickBot="1" x14ac:dyDescent="0.2">
      <c r="B260" s="46" t="s">
        <v>1</v>
      </c>
      <c r="C260" s="48">
        <f>SUM(C256:C259)</f>
        <v>181</v>
      </c>
      <c r="D260" s="48">
        <f>SUM(D256:D259)</f>
        <v>181</v>
      </c>
      <c r="E260" s="49"/>
      <c r="G260" s="46" t="s">
        <v>1</v>
      </c>
      <c r="H260" s="47">
        <f>SUM(H256:H259)</f>
        <v>1209</v>
      </c>
      <c r="I260" s="48">
        <f>SUM(I256:I259)</f>
        <v>1209</v>
      </c>
      <c r="J260" s="49"/>
    </row>
    <row r="261" spans="2:10" x14ac:dyDescent="0.15">
      <c r="B261" s="10" t="s">
        <v>81</v>
      </c>
      <c r="C261" s="77">
        <v>2</v>
      </c>
      <c r="D261" s="11">
        <f t="shared" ref="D261:D285" si="12">SUM(C261:C261)</f>
        <v>2</v>
      </c>
      <c r="E261" s="12">
        <v>41596</v>
      </c>
      <c r="G261" s="10"/>
      <c r="H261" s="13"/>
      <c r="I261" s="11">
        <f t="shared" ref="I261:I285" si="13">SUM(H261:H261)</f>
        <v>0</v>
      </c>
      <c r="J261" s="12"/>
    </row>
    <row r="262" spans="2:10" x14ac:dyDescent="0.15">
      <c r="B262" s="10" t="s">
        <v>58</v>
      </c>
      <c r="C262" s="13">
        <v>2</v>
      </c>
      <c r="D262" s="14">
        <f t="shared" si="12"/>
        <v>2</v>
      </c>
      <c r="E262" s="12">
        <v>41603</v>
      </c>
      <c r="G262" s="78"/>
      <c r="H262" s="13"/>
      <c r="I262" s="14">
        <f t="shared" si="13"/>
        <v>0</v>
      </c>
      <c r="J262" s="12"/>
    </row>
    <row r="263" spans="2:10" x14ac:dyDescent="0.15">
      <c r="B263" s="10" t="s">
        <v>58</v>
      </c>
      <c r="C263" s="13">
        <v>1</v>
      </c>
      <c r="D263" s="14">
        <f t="shared" si="12"/>
        <v>1</v>
      </c>
      <c r="E263" s="12">
        <v>41603</v>
      </c>
      <c r="G263" s="10"/>
      <c r="H263" s="13"/>
      <c r="I263" s="14">
        <f t="shared" si="13"/>
        <v>0</v>
      </c>
      <c r="J263" s="12"/>
    </row>
    <row r="264" spans="2:10" x14ac:dyDescent="0.15">
      <c r="B264" s="15" t="s">
        <v>12</v>
      </c>
      <c r="C264" s="13">
        <v>1</v>
      </c>
      <c r="D264" s="14">
        <f t="shared" si="12"/>
        <v>1</v>
      </c>
      <c r="E264" s="12">
        <v>41597</v>
      </c>
      <c r="G264" s="78"/>
      <c r="H264" s="13"/>
      <c r="I264" s="14">
        <f t="shared" si="13"/>
        <v>0</v>
      </c>
      <c r="J264" s="12"/>
    </row>
    <row r="265" spans="2:10" x14ac:dyDescent="0.15">
      <c r="B265" s="10" t="s">
        <v>58</v>
      </c>
      <c r="C265" s="13">
        <v>5</v>
      </c>
      <c r="D265" s="14">
        <f t="shared" si="12"/>
        <v>5</v>
      </c>
      <c r="E265" s="12">
        <v>41604</v>
      </c>
      <c r="G265" s="78"/>
      <c r="H265" s="13"/>
      <c r="I265" s="14">
        <f t="shared" si="13"/>
        <v>0</v>
      </c>
      <c r="J265" s="12"/>
    </row>
    <row r="266" spans="2:10" x14ac:dyDescent="0.15">
      <c r="B266" s="10" t="s">
        <v>57</v>
      </c>
      <c r="C266" s="13">
        <v>10</v>
      </c>
      <c r="D266" s="14">
        <f t="shared" si="12"/>
        <v>10</v>
      </c>
      <c r="E266" s="12">
        <v>41607</v>
      </c>
      <c r="G266" s="78"/>
      <c r="H266" s="13"/>
      <c r="I266" s="14">
        <f t="shared" si="13"/>
        <v>0</v>
      </c>
      <c r="J266" s="12"/>
    </row>
    <row r="267" spans="2:10" x14ac:dyDescent="0.15">
      <c r="B267" s="10" t="s">
        <v>12</v>
      </c>
      <c r="C267" s="13">
        <v>2</v>
      </c>
      <c r="D267" s="14">
        <f t="shared" si="12"/>
        <v>2</v>
      </c>
      <c r="E267" s="12">
        <v>41603</v>
      </c>
      <c r="G267" s="78"/>
      <c r="H267" s="13"/>
      <c r="I267" s="14">
        <f t="shared" si="13"/>
        <v>0</v>
      </c>
      <c r="J267" s="12"/>
    </row>
    <row r="268" spans="2:10" x14ac:dyDescent="0.15">
      <c r="B268" s="10" t="s">
        <v>82</v>
      </c>
      <c r="C268" s="13">
        <v>2</v>
      </c>
      <c r="D268" s="14">
        <f t="shared" si="12"/>
        <v>2</v>
      </c>
      <c r="E268" s="12">
        <v>41606</v>
      </c>
      <c r="G268" s="78"/>
      <c r="H268" s="13"/>
      <c r="I268" s="14">
        <f t="shared" si="13"/>
        <v>0</v>
      </c>
      <c r="J268" s="12"/>
    </row>
    <row r="269" spans="2:10" x14ac:dyDescent="0.15">
      <c r="B269" s="10" t="s">
        <v>83</v>
      </c>
      <c r="C269" s="13">
        <v>10</v>
      </c>
      <c r="D269" s="14">
        <f t="shared" si="12"/>
        <v>10</v>
      </c>
      <c r="E269" s="12">
        <v>41607</v>
      </c>
      <c r="G269" s="10"/>
      <c r="H269" s="13"/>
      <c r="I269" s="14">
        <f t="shared" si="13"/>
        <v>0</v>
      </c>
      <c r="J269" s="12"/>
    </row>
    <row r="270" spans="2:10" x14ac:dyDescent="0.15">
      <c r="B270" s="10" t="s">
        <v>22</v>
      </c>
      <c r="C270" s="13">
        <v>1</v>
      </c>
      <c r="D270" s="14">
        <f t="shared" si="12"/>
        <v>1</v>
      </c>
      <c r="E270" s="12">
        <v>41606</v>
      </c>
      <c r="G270" s="78"/>
      <c r="H270" s="13"/>
      <c r="I270" s="14">
        <f t="shared" si="13"/>
        <v>0</v>
      </c>
      <c r="J270" s="12"/>
    </row>
    <row r="271" spans="2:10" x14ac:dyDescent="0.15">
      <c r="B271" s="10" t="s">
        <v>84</v>
      </c>
      <c r="C271" s="13">
        <v>3</v>
      </c>
      <c r="D271" s="14">
        <f t="shared" si="12"/>
        <v>3</v>
      </c>
      <c r="E271" s="12">
        <v>41606</v>
      </c>
      <c r="G271" s="10"/>
      <c r="H271" s="22"/>
      <c r="I271" s="23">
        <f t="shared" si="13"/>
        <v>0</v>
      </c>
      <c r="J271" s="24"/>
    </row>
    <row r="272" spans="2:10" x14ac:dyDescent="0.15">
      <c r="B272" s="10" t="s">
        <v>18</v>
      </c>
      <c r="C272" s="13">
        <v>1</v>
      </c>
      <c r="D272" s="14">
        <f t="shared" si="12"/>
        <v>1</v>
      </c>
      <c r="E272" s="12">
        <v>41608</v>
      </c>
      <c r="G272" s="27"/>
      <c r="H272" s="22"/>
      <c r="I272" s="23">
        <f t="shared" si="13"/>
        <v>0</v>
      </c>
      <c r="J272" s="24"/>
    </row>
    <row r="273" spans="2:10" x14ac:dyDescent="0.15">
      <c r="B273" s="10" t="s">
        <v>22</v>
      </c>
      <c r="C273" s="13">
        <v>1</v>
      </c>
      <c r="D273" s="14">
        <f t="shared" si="12"/>
        <v>1</v>
      </c>
      <c r="E273" s="12">
        <v>41608</v>
      </c>
      <c r="G273" s="15"/>
      <c r="H273" s="13"/>
      <c r="I273" s="14">
        <f t="shared" si="13"/>
        <v>0</v>
      </c>
      <c r="J273" s="12"/>
    </row>
    <row r="274" spans="2:10" x14ac:dyDescent="0.15">
      <c r="B274" s="10" t="s">
        <v>85</v>
      </c>
      <c r="C274" s="13">
        <v>4</v>
      </c>
      <c r="D274" s="14">
        <f t="shared" si="12"/>
        <v>4</v>
      </c>
      <c r="E274" s="12">
        <v>41610</v>
      </c>
      <c r="G274" s="10"/>
      <c r="H274" s="13"/>
      <c r="I274" s="14">
        <f t="shared" si="13"/>
        <v>0</v>
      </c>
      <c r="J274" s="12"/>
    </row>
    <row r="275" spans="2:10" x14ac:dyDescent="0.15">
      <c r="B275" s="10" t="s">
        <v>57</v>
      </c>
      <c r="C275" s="13">
        <v>5</v>
      </c>
      <c r="D275" s="14">
        <f t="shared" si="12"/>
        <v>5</v>
      </c>
      <c r="E275" s="12">
        <v>41617</v>
      </c>
      <c r="G275" s="15"/>
      <c r="H275" s="13"/>
      <c r="I275" s="14">
        <f t="shared" si="13"/>
        <v>0</v>
      </c>
      <c r="J275" s="12"/>
    </row>
    <row r="276" spans="2:10" x14ac:dyDescent="0.15">
      <c r="B276" s="10" t="s">
        <v>18</v>
      </c>
      <c r="C276" s="13">
        <v>2</v>
      </c>
      <c r="D276" s="14">
        <f t="shared" si="12"/>
        <v>2</v>
      </c>
      <c r="E276" s="12">
        <v>41615</v>
      </c>
      <c r="G276" s="21"/>
      <c r="H276" s="22"/>
      <c r="I276" s="23">
        <f t="shared" si="13"/>
        <v>0</v>
      </c>
      <c r="J276" s="24"/>
    </row>
    <row r="277" spans="2:10" x14ac:dyDescent="0.15">
      <c r="B277" s="10" t="s">
        <v>22</v>
      </c>
      <c r="C277" s="13">
        <v>3</v>
      </c>
      <c r="D277" s="14">
        <f t="shared" si="12"/>
        <v>3</v>
      </c>
      <c r="E277" s="12">
        <v>41611</v>
      </c>
      <c r="G277" s="27"/>
      <c r="H277" s="22"/>
      <c r="I277" s="23">
        <f t="shared" si="13"/>
        <v>0</v>
      </c>
      <c r="J277" s="24"/>
    </row>
    <row r="278" spans="2:10" x14ac:dyDescent="0.15">
      <c r="B278" s="10" t="s">
        <v>22</v>
      </c>
      <c r="C278" s="13">
        <v>4</v>
      </c>
      <c r="D278" s="14">
        <f t="shared" si="12"/>
        <v>4</v>
      </c>
      <c r="E278" s="12">
        <v>41612</v>
      </c>
      <c r="G278" s="15"/>
      <c r="H278" s="13"/>
      <c r="I278" s="14">
        <f t="shared" si="13"/>
        <v>0</v>
      </c>
      <c r="J278" s="5"/>
    </row>
    <row r="279" spans="2:10" x14ac:dyDescent="0.15">
      <c r="B279" s="10" t="s">
        <v>22</v>
      </c>
      <c r="C279" s="13">
        <v>1</v>
      </c>
      <c r="D279" s="14">
        <f t="shared" si="12"/>
        <v>1</v>
      </c>
      <c r="E279" s="12">
        <v>41613</v>
      </c>
      <c r="G279" s="15"/>
      <c r="H279" s="13"/>
      <c r="I279" s="14">
        <f t="shared" si="13"/>
        <v>0</v>
      </c>
      <c r="J279" s="5"/>
    </row>
    <row r="280" spans="2:10" x14ac:dyDescent="0.15">
      <c r="B280" s="10" t="s">
        <v>22</v>
      </c>
      <c r="C280" s="13">
        <v>1</v>
      </c>
      <c r="D280" s="14">
        <f t="shared" si="12"/>
        <v>1</v>
      </c>
      <c r="E280" s="5">
        <v>41615</v>
      </c>
      <c r="G280" s="78"/>
      <c r="H280" s="13"/>
      <c r="I280" s="14">
        <f>SUM(H280:H280)</f>
        <v>0</v>
      </c>
      <c r="J280" s="5"/>
    </row>
    <row r="281" spans="2:10" x14ac:dyDescent="0.15">
      <c r="B281" s="10" t="s">
        <v>57</v>
      </c>
      <c r="C281" s="13">
        <v>5</v>
      </c>
      <c r="D281" s="14">
        <f t="shared" si="12"/>
        <v>5</v>
      </c>
      <c r="E281" s="5">
        <v>41619</v>
      </c>
      <c r="G281" s="78"/>
      <c r="H281" s="13"/>
      <c r="I281" s="14">
        <f>SUM(H281:H281)</f>
        <v>0</v>
      </c>
      <c r="J281" s="5"/>
    </row>
    <row r="282" spans="2:10" x14ac:dyDescent="0.15">
      <c r="B282" s="10" t="s">
        <v>12</v>
      </c>
      <c r="C282" s="13">
        <v>4</v>
      </c>
      <c r="D282" s="14">
        <f t="shared" si="12"/>
        <v>4</v>
      </c>
      <c r="E282" s="5">
        <v>41617</v>
      </c>
      <c r="G282" s="78"/>
      <c r="H282" s="13"/>
      <c r="I282" s="14">
        <f>SUM(H282:H282)</f>
        <v>0</v>
      </c>
      <c r="J282" s="5"/>
    </row>
    <row r="283" spans="2:10" x14ac:dyDescent="0.15">
      <c r="B283" s="10" t="s">
        <v>57</v>
      </c>
      <c r="C283" s="13">
        <v>5</v>
      </c>
      <c r="D283" s="14">
        <f t="shared" si="12"/>
        <v>5</v>
      </c>
      <c r="E283" s="5">
        <v>41624</v>
      </c>
      <c r="G283" s="78"/>
      <c r="H283" s="13"/>
      <c r="I283" s="14">
        <f>SUM(H283:H283)</f>
        <v>0</v>
      </c>
      <c r="J283" s="5"/>
    </row>
    <row r="284" spans="2:10" ht="14.25" thickBot="1" x14ac:dyDescent="0.2">
      <c r="B284" s="15" t="s">
        <v>86</v>
      </c>
      <c r="C284" s="13">
        <v>1</v>
      </c>
      <c r="D284" s="11">
        <f t="shared" si="12"/>
        <v>1</v>
      </c>
      <c r="E284" s="12">
        <v>41620</v>
      </c>
      <c r="G284" s="81"/>
      <c r="H284" s="7"/>
      <c r="I284" s="14">
        <f>SUM(H284:H284)</f>
        <v>0</v>
      </c>
      <c r="J284" s="5"/>
    </row>
    <row r="285" spans="2:10" ht="14.25" thickBot="1" x14ac:dyDescent="0.2">
      <c r="B285" s="17" t="s">
        <v>2</v>
      </c>
      <c r="C285" s="18">
        <f>SUM(C261:C284)</f>
        <v>76</v>
      </c>
      <c r="D285" s="19">
        <f t="shared" si="12"/>
        <v>76</v>
      </c>
      <c r="E285" s="20"/>
      <c r="G285" s="17" t="s">
        <v>2</v>
      </c>
      <c r="H285" s="18">
        <f>SUM(H261:H284)</f>
        <v>0</v>
      </c>
      <c r="I285" s="19">
        <f t="shared" si="13"/>
        <v>0</v>
      </c>
      <c r="J285" s="20"/>
    </row>
    <row r="286" spans="2:10" ht="14.25" thickBot="1" x14ac:dyDescent="0.2">
      <c r="B286" s="46" t="s">
        <v>3</v>
      </c>
      <c r="C286" s="52">
        <f>C260-C285</f>
        <v>105</v>
      </c>
      <c r="D286" s="48">
        <f>D260-D285</f>
        <v>105</v>
      </c>
      <c r="E286" s="49"/>
      <c r="G286" s="46" t="s">
        <v>3</v>
      </c>
      <c r="H286" s="52">
        <f>H260-H285</f>
        <v>1209</v>
      </c>
      <c r="I286" s="48">
        <f>I260-I285</f>
        <v>1209</v>
      </c>
      <c r="J286" s="49"/>
    </row>
    <row r="289" spans="2:10" ht="18.75" x14ac:dyDescent="0.2">
      <c r="B289" s="26" t="s">
        <v>7</v>
      </c>
      <c r="G289" s="26" t="s">
        <v>35</v>
      </c>
    </row>
    <row r="290" spans="2:10" ht="14.25" thickBot="1" x14ac:dyDescent="0.2"/>
    <row r="291" spans="2:10" ht="14.25" thickBot="1" x14ac:dyDescent="0.2">
      <c r="B291" s="1"/>
      <c r="C291" s="2"/>
      <c r="D291" s="3" t="s">
        <v>0</v>
      </c>
      <c r="E291" s="1" t="s">
        <v>4</v>
      </c>
      <c r="G291" s="1"/>
      <c r="H291" s="2"/>
      <c r="I291" s="3" t="s">
        <v>0</v>
      </c>
      <c r="J291" s="1" t="s">
        <v>4</v>
      </c>
    </row>
    <row r="292" spans="2:10" x14ac:dyDescent="0.15">
      <c r="B292" s="42" t="s">
        <v>5</v>
      </c>
      <c r="C292" s="43">
        <f>C286</f>
        <v>105</v>
      </c>
      <c r="D292" s="44">
        <f>SUM(C292:C292)</f>
        <v>105</v>
      </c>
      <c r="E292" s="45"/>
      <c r="G292" s="42" t="s">
        <v>5</v>
      </c>
      <c r="H292" s="43">
        <f>H286</f>
        <v>1209</v>
      </c>
      <c r="I292" s="44">
        <f>SUM(H292:H292)</f>
        <v>1209</v>
      </c>
      <c r="J292" s="45"/>
    </row>
    <row r="293" spans="2:10" x14ac:dyDescent="0.15">
      <c r="B293" s="4" t="s">
        <v>76</v>
      </c>
      <c r="C293" s="13">
        <v>2</v>
      </c>
      <c r="D293" s="14">
        <f>SUM(C293:C293)</f>
        <v>2</v>
      </c>
      <c r="E293" s="5">
        <v>41634</v>
      </c>
      <c r="G293" s="71" t="s">
        <v>6</v>
      </c>
      <c r="H293" s="13"/>
      <c r="I293" s="14">
        <f>SUM(H293:H293)</f>
        <v>0</v>
      </c>
      <c r="J293" s="5"/>
    </row>
    <row r="294" spans="2:10" x14ac:dyDescent="0.15">
      <c r="B294" s="4" t="s">
        <v>87</v>
      </c>
      <c r="C294" s="7">
        <v>1</v>
      </c>
      <c r="D294" s="8">
        <f>SUM(C294:C294)</f>
        <v>1</v>
      </c>
      <c r="E294" s="9">
        <v>41652</v>
      </c>
      <c r="G294" s="71" t="s">
        <v>6</v>
      </c>
      <c r="H294" s="13"/>
      <c r="I294" s="14">
        <f>SUM(H294:H294)</f>
        <v>0</v>
      </c>
      <c r="J294" s="5"/>
    </row>
    <row r="295" spans="2:10" ht="14.25" thickBot="1" x14ac:dyDescent="0.2">
      <c r="B295" s="6" t="s">
        <v>6</v>
      </c>
      <c r="C295" s="7"/>
      <c r="D295" s="14">
        <f>SUM(C295:C295)</f>
        <v>0</v>
      </c>
      <c r="E295" s="16"/>
      <c r="G295" s="6" t="s">
        <v>6</v>
      </c>
      <c r="H295" s="65"/>
      <c r="I295" s="14">
        <f>SUM(H295:H295)</f>
        <v>0</v>
      </c>
      <c r="J295" s="16"/>
    </row>
    <row r="296" spans="2:10" ht="14.25" thickBot="1" x14ac:dyDescent="0.2">
      <c r="B296" s="46" t="s">
        <v>1</v>
      </c>
      <c r="C296" s="48">
        <f>SUM(C292:C295)</f>
        <v>108</v>
      </c>
      <c r="D296" s="48">
        <f>SUM(D292:D295)</f>
        <v>108</v>
      </c>
      <c r="E296" s="49"/>
      <c r="G296" s="46" t="s">
        <v>1</v>
      </c>
      <c r="H296" s="47">
        <f>SUM(H292:H295)</f>
        <v>1209</v>
      </c>
      <c r="I296" s="48">
        <f>SUM(I292:I295)</f>
        <v>1209</v>
      </c>
      <c r="J296" s="49"/>
    </row>
    <row r="297" spans="2:10" x14ac:dyDescent="0.15">
      <c r="B297" s="10" t="s">
        <v>22</v>
      </c>
      <c r="C297" s="77">
        <v>1</v>
      </c>
      <c r="D297" s="11">
        <f t="shared" ref="D297:D321" si="14">SUM(C297:C297)</f>
        <v>1</v>
      </c>
      <c r="E297" s="12">
        <v>41622</v>
      </c>
      <c r="G297" s="10"/>
      <c r="H297" s="13"/>
      <c r="I297" s="11">
        <f t="shared" ref="I297:I321" si="15">SUM(H297:H297)</f>
        <v>0</v>
      </c>
      <c r="J297" s="12"/>
    </row>
    <row r="298" spans="2:10" x14ac:dyDescent="0.15">
      <c r="B298" s="10" t="s">
        <v>83</v>
      </c>
      <c r="C298" s="13">
        <v>20</v>
      </c>
      <c r="D298" s="14">
        <f t="shared" si="14"/>
        <v>20</v>
      </c>
      <c r="E298" s="12">
        <v>41627</v>
      </c>
      <c r="G298" s="78"/>
      <c r="H298" s="13"/>
      <c r="I298" s="14">
        <f t="shared" si="15"/>
        <v>0</v>
      </c>
      <c r="J298" s="12"/>
    </row>
    <row r="299" spans="2:10" x14ac:dyDescent="0.15">
      <c r="B299" s="10" t="s">
        <v>12</v>
      </c>
      <c r="C299" s="13">
        <v>3</v>
      </c>
      <c r="D299" s="14">
        <f t="shared" si="14"/>
        <v>3</v>
      </c>
      <c r="E299" s="12">
        <v>41624</v>
      </c>
      <c r="G299" s="10"/>
      <c r="H299" s="13"/>
      <c r="I299" s="14">
        <f t="shared" si="15"/>
        <v>0</v>
      </c>
      <c r="J299" s="12"/>
    </row>
    <row r="300" spans="2:10" x14ac:dyDescent="0.15">
      <c r="B300" s="10" t="s">
        <v>12</v>
      </c>
      <c r="C300" s="13">
        <v>2</v>
      </c>
      <c r="D300" s="14">
        <f t="shared" si="14"/>
        <v>2</v>
      </c>
      <c r="E300" s="12">
        <v>41625</v>
      </c>
      <c r="G300" s="78"/>
      <c r="H300" s="13"/>
      <c r="I300" s="14">
        <f t="shared" si="15"/>
        <v>0</v>
      </c>
      <c r="J300" s="12"/>
    </row>
    <row r="301" spans="2:10" x14ac:dyDescent="0.15">
      <c r="B301" s="10" t="s">
        <v>12</v>
      </c>
      <c r="C301" s="13">
        <v>1</v>
      </c>
      <c r="D301" s="14">
        <f t="shared" si="14"/>
        <v>1</v>
      </c>
      <c r="E301" s="12">
        <v>41628</v>
      </c>
      <c r="G301" s="78"/>
      <c r="H301" s="13"/>
      <c r="I301" s="14">
        <f t="shared" si="15"/>
        <v>0</v>
      </c>
      <c r="J301" s="12"/>
    </row>
    <row r="302" spans="2:10" x14ac:dyDescent="0.15">
      <c r="B302" s="10" t="s">
        <v>12</v>
      </c>
      <c r="C302" s="13">
        <v>8</v>
      </c>
      <c r="D302" s="14">
        <f t="shared" si="14"/>
        <v>8</v>
      </c>
      <c r="E302" s="12">
        <v>41632</v>
      </c>
      <c r="G302" s="78"/>
      <c r="H302" s="13"/>
      <c r="I302" s="14">
        <f t="shared" si="15"/>
        <v>0</v>
      </c>
      <c r="J302" s="12"/>
    </row>
    <row r="303" spans="2:10" x14ac:dyDescent="0.15">
      <c r="B303" s="10" t="s">
        <v>12</v>
      </c>
      <c r="C303" s="13">
        <v>1</v>
      </c>
      <c r="D303" s="14">
        <f t="shared" si="14"/>
        <v>1</v>
      </c>
      <c r="E303" s="12">
        <v>41635</v>
      </c>
      <c r="G303" s="78"/>
      <c r="H303" s="13"/>
      <c r="I303" s="14">
        <f t="shared" si="15"/>
        <v>0</v>
      </c>
      <c r="J303" s="12"/>
    </row>
    <row r="304" spans="2:10" x14ac:dyDescent="0.15">
      <c r="B304" s="10" t="s">
        <v>12</v>
      </c>
      <c r="C304" s="13">
        <v>3</v>
      </c>
      <c r="D304" s="14">
        <f t="shared" si="14"/>
        <v>3</v>
      </c>
      <c r="E304" s="12">
        <v>41639</v>
      </c>
      <c r="G304" s="78"/>
      <c r="H304" s="13"/>
      <c r="I304" s="14">
        <f t="shared" si="15"/>
        <v>0</v>
      </c>
      <c r="J304" s="12"/>
    </row>
    <row r="305" spans="2:11" x14ac:dyDescent="0.15">
      <c r="B305" s="10" t="s">
        <v>12</v>
      </c>
      <c r="C305" s="13">
        <v>1</v>
      </c>
      <c r="D305" s="14">
        <f t="shared" si="14"/>
        <v>1</v>
      </c>
      <c r="E305" s="12">
        <v>41643</v>
      </c>
      <c r="G305" s="10"/>
      <c r="H305" s="13"/>
      <c r="I305" s="14">
        <f t="shared" si="15"/>
        <v>0</v>
      </c>
      <c r="J305" s="12"/>
    </row>
    <row r="306" spans="2:11" x14ac:dyDescent="0.15">
      <c r="B306" s="10" t="s">
        <v>12</v>
      </c>
      <c r="C306" s="13">
        <v>6</v>
      </c>
      <c r="D306" s="14">
        <f t="shared" si="14"/>
        <v>6</v>
      </c>
      <c r="E306" s="12">
        <v>41646</v>
      </c>
      <c r="G306" s="78"/>
      <c r="H306" s="13"/>
      <c r="I306" s="14">
        <f t="shared" si="15"/>
        <v>0</v>
      </c>
      <c r="J306" s="12"/>
    </row>
    <row r="307" spans="2:11" x14ac:dyDescent="0.15">
      <c r="B307" s="10" t="s">
        <v>12</v>
      </c>
      <c r="C307" s="13">
        <v>2</v>
      </c>
      <c r="D307" s="14">
        <f t="shared" si="14"/>
        <v>2</v>
      </c>
      <c r="E307" s="12">
        <v>41647</v>
      </c>
      <c r="G307" s="10"/>
      <c r="H307" s="13"/>
      <c r="I307" s="14">
        <f t="shared" si="15"/>
        <v>0</v>
      </c>
      <c r="J307" s="12"/>
    </row>
    <row r="308" spans="2:11" x14ac:dyDescent="0.15">
      <c r="B308" s="10" t="s">
        <v>12</v>
      </c>
      <c r="C308" s="13">
        <v>1</v>
      </c>
      <c r="D308" s="14">
        <f t="shared" si="14"/>
        <v>1</v>
      </c>
      <c r="E308" s="12">
        <v>41648</v>
      </c>
      <c r="G308" s="78"/>
      <c r="H308" s="13"/>
      <c r="I308" s="14">
        <f>SUM(H308:H308)</f>
        <v>0</v>
      </c>
      <c r="J308" s="5"/>
    </row>
    <row r="309" spans="2:11" x14ac:dyDescent="0.15">
      <c r="B309" s="10" t="s">
        <v>57</v>
      </c>
      <c r="C309" s="13">
        <v>3</v>
      </c>
      <c r="D309" s="14">
        <f t="shared" si="14"/>
        <v>3</v>
      </c>
      <c r="E309" s="12">
        <v>41655</v>
      </c>
      <c r="G309" s="78"/>
      <c r="H309" s="13"/>
      <c r="I309" s="14">
        <f>SUM(H309:H309)</f>
        <v>0</v>
      </c>
      <c r="J309" s="5"/>
    </row>
    <row r="310" spans="2:11" x14ac:dyDescent="0.15">
      <c r="B310" s="10" t="s">
        <v>22</v>
      </c>
      <c r="C310" s="13">
        <v>4</v>
      </c>
      <c r="D310" s="14">
        <f t="shared" si="14"/>
        <v>4</v>
      </c>
      <c r="E310" s="12">
        <v>41653</v>
      </c>
      <c r="G310" s="81"/>
      <c r="H310" s="7"/>
      <c r="I310" s="14">
        <f>SUM(H310:H310)</f>
        <v>0</v>
      </c>
      <c r="J310" s="5"/>
    </row>
    <row r="311" spans="2:11" x14ac:dyDescent="0.15">
      <c r="B311" s="10" t="s">
        <v>88</v>
      </c>
      <c r="C311" s="13">
        <v>2</v>
      </c>
      <c r="D311" s="14">
        <f t="shared" si="14"/>
        <v>2</v>
      </c>
      <c r="E311" s="12">
        <v>41659</v>
      </c>
      <c r="G311" s="15"/>
      <c r="H311" s="13"/>
      <c r="I311" s="14">
        <f t="shared" si="15"/>
        <v>0</v>
      </c>
      <c r="J311" s="12"/>
    </row>
    <row r="312" spans="2:11" x14ac:dyDescent="0.15">
      <c r="B312" s="10" t="s">
        <v>57</v>
      </c>
      <c r="C312" s="13">
        <v>5</v>
      </c>
      <c r="D312" s="14">
        <f t="shared" si="14"/>
        <v>5</v>
      </c>
      <c r="E312" s="12">
        <v>41663</v>
      </c>
      <c r="G312" s="78"/>
      <c r="H312" s="13"/>
      <c r="I312" s="14">
        <f t="shared" ref="I312:I320" si="16">SUM(H312:H312)</f>
        <v>0</v>
      </c>
      <c r="J312" s="5"/>
    </row>
    <row r="313" spans="2:11" x14ac:dyDescent="0.15">
      <c r="B313" s="10" t="s">
        <v>22</v>
      </c>
      <c r="C313" s="13">
        <v>4</v>
      </c>
      <c r="D313" s="14">
        <f t="shared" si="14"/>
        <v>4</v>
      </c>
      <c r="E313" s="12">
        <v>41666</v>
      </c>
      <c r="G313" s="78"/>
      <c r="H313" s="13"/>
      <c r="I313" s="14">
        <f t="shared" si="16"/>
        <v>0</v>
      </c>
      <c r="J313" s="5"/>
    </row>
    <row r="314" spans="2:11" x14ac:dyDescent="0.15">
      <c r="B314" s="10" t="s">
        <v>22</v>
      </c>
      <c r="C314" s="13">
        <v>3</v>
      </c>
      <c r="D314" s="14">
        <f t="shared" si="14"/>
        <v>3</v>
      </c>
      <c r="E314" s="12">
        <v>41667</v>
      </c>
      <c r="G314" s="81"/>
      <c r="H314" s="7"/>
      <c r="I314" s="14">
        <f t="shared" si="16"/>
        <v>0</v>
      </c>
      <c r="J314" s="5"/>
    </row>
    <row r="315" spans="2:11" x14ac:dyDescent="0.15">
      <c r="B315" s="10" t="s">
        <v>22</v>
      </c>
      <c r="C315" s="13">
        <v>2</v>
      </c>
      <c r="D315" s="14">
        <f t="shared" si="14"/>
        <v>2</v>
      </c>
      <c r="E315" s="12">
        <v>41668</v>
      </c>
      <c r="G315" s="15"/>
      <c r="H315" s="7"/>
      <c r="I315" s="14">
        <f t="shared" si="16"/>
        <v>0</v>
      </c>
      <c r="J315" s="5"/>
    </row>
    <row r="316" spans="2:11" x14ac:dyDescent="0.15">
      <c r="B316" s="10" t="s">
        <v>22</v>
      </c>
      <c r="C316" s="13">
        <v>3</v>
      </c>
      <c r="D316" s="14">
        <f t="shared" si="14"/>
        <v>3</v>
      </c>
      <c r="E316" s="5">
        <v>41669</v>
      </c>
      <c r="G316" s="78"/>
      <c r="H316" s="7"/>
      <c r="I316" s="14">
        <f t="shared" si="16"/>
        <v>0</v>
      </c>
      <c r="J316" s="12"/>
    </row>
    <row r="317" spans="2:11" x14ac:dyDescent="0.15">
      <c r="B317" s="10" t="s">
        <v>22</v>
      </c>
      <c r="C317" s="13">
        <v>2</v>
      </c>
      <c r="D317" s="14">
        <f t="shared" si="14"/>
        <v>2</v>
      </c>
      <c r="E317" s="5">
        <v>41673</v>
      </c>
      <c r="G317" s="78"/>
      <c r="H317" s="13"/>
      <c r="I317" s="14">
        <f t="shared" si="16"/>
        <v>0</v>
      </c>
      <c r="J317" s="5"/>
    </row>
    <row r="318" spans="2:11" x14ac:dyDescent="0.15">
      <c r="B318" s="10" t="s">
        <v>89</v>
      </c>
      <c r="C318" s="13">
        <v>7</v>
      </c>
      <c r="D318" s="14">
        <f t="shared" si="14"/>
        <v>7</v>
      </c>
      <c r="E318" s="5">
        <v>41677</v>
      </c>
      <c r="G318" s="10"/>
      <c r="H318" s="7"/>
      <c r="I318" s="14">
        <f t="shared" si="16"/>
        <v>0</v>
      </c>
      <c r="J318" s="5"/>
    </row>
    <row r="319" spans="2:11" x14ac:dyDescent="0.15">
      <c r="B319" s="10" t="s">
        <v>91</v>
      </c>
      <c r="C319" s="13">
        <v>3</v>
      </c>
      <c r="D319" s="14">
        <f t="shared" si="14"/>
        <v>3</v>
      </c>
      <c r="E319" s="5">
        <v>41676</v>
      </c>
      <c r="G319" s="78"/>
      <c r="H319" s="7"/>
      <c r="I319" s="14">
        <f t="shared" si="16"/>
        <v>0</v>
      </c>
      <c r="J319" s="5"/>
      <c r="K319" s="86"/>
    </row>
    <row r="320" spans="2:11" ht="14.25" thickBot="1" x14ac:dyDescent="0.2">
      <c r="B320" s="10" t="s">
        <v>18</v>
      </c>
      <c r="C320" s="13">
        <v>18</v>
      </c>
      <c r="D320" s="11">
        <f t="shared" si="14"/>
        <v>18</v>
      </c>
      <c r="E320" s="12">
        <v>41682</v>
      </c>
      <c r="G320" s="15"/>
      <c r="H320" s="7"/>
      <c r="I320" s="14">
        <f t="shared" si="16"/>
        <v>0</v>
      </c>
      <c r="J320" s="85"/>
      <c r="K320" s="83"/>
    </row>
    <row r="321" spans="2:10" ht="14.25" thickBot="1" x14ac:dyDescent="0.2">
      <c r="B321" s="17" t="s">
        <v>2</v>
      </c>
      <c r="C321" s="18">
        <f>SUM(C297:C320)</f>
        <v>105</v>
      </c>
      <c r="D321" s="19">
        <f t="shared" si="14"/>
        <v>105</v>
      </c>
      <c r="E321" s="20"/>
      <c r="G321" s="17" t="s">
        <v>2</v>
      </c>
      <c r="H321" s="18">
        <f>SUM(H297:H320)</f>
        <v>0</v>
      </c>
      <c r="I321" s="19">
        <f t="shared" si="15"/>
        <v>0</v>
      </c>
      <c r="J321" s="20"/>
    </row>
    <row r="322" spans="2:10" ht="14.25" thickBot="1" x14ac:dyDescent="0.2">
      <c r="B322" s="46" t="s">
        <v>3</v>
      </c>
      <c r="C322" s="52">
        <f>C296-C321</f>
        <v>3</v>
      </c>
      <c r="D322" s="48">
        <f>D296-D321</f>
        <v>3</v>
      </c>
      <c r="E322" s="49"/>
      <c r="G322" s="46" t="s">
        <v>3</v>
      </c>
      <c r="H322" s="52">
        <f>H296-H321</f>
        <v>1209</v>
      </c>
      <c r="I322" s="48">
        <f>I296-I321</f>
        <v>1209</v>
      </c>
      <c r="J322" s="49"/>
    </row>
    <row r="325" spans="2:10" ht="18.75" x14ac:dyDescent="0.2">
      <c r="B325" s="26" t="s">
        <v>7</v>
      </c>
      <c r="G325" s="26" t="s">
        <v>35</v>
      </c>
    </row>
    <row r="326" spans="2:10" ht="14.25" thickBot="1" x14ac:dyDescent="0.2"/>
    <row r="327" spans="2:10" ht="14.25" thickBot="1" x14ac:dyDescent="0.2">
      <c r="B327" s="1"/>
      <c r="C327" s="2"/>
      <c r="D327" s="3" t="s">
        <v>0</v>
      </c>
      <c r="E327" s="1" t="s">
        <v>4</v>
      </c>
      <c r="G327" s="1"/>
      <c r="H327" s="2"/>
      <c r="I327" s="3" t="s">
        <v>0</v>
      </c>
      <c r="J327" s="1" t="s">
        <v>4</v>
      </c>
    </row>
    <row r="328" spans="2:10" x14ac:dyDescent="0.15">
      <c r="B328" s="42" t="s">
        <v>5</v>
      </c>
      <c r="C328" s="43">
        <f>C322</f>
        <v>3</v>
      </c>
      <c r="D328" s="44">
        <f>SUM(C328:C328)</f>
        <v>3</v>
      </c>
      <c r="E328" s="45"/>
      <c r="G328" s="42" t="s">
        <v>5</v>
      </c>
      <c r="H328" s="43">
        <f>H322</f>
        <v>1209</v>
      </c>
      <c r="I328" s="44">
        <f>SUM(H328:H328)</f>
        <v>1209</v>
      </c>
      <c r="J328" s="45"/>
    </row>
    <row r="329" spans="2:10" x14ac:dyDescent="0.15">
      <c r="B329" s="6" t="s">
        <v>6</v>
      </c>
      <c r="C329" s="13">
        <v>336</v>
      </c>
      <c r="D329" s="14">
        <f>SUM(C329:C329)</f>
        <v>336</v>
      </c>
      <c r="E329" s="5">
        <v>41682</v>
      </c>
      <c r="G329" s="71" t="s">
        <v>6</v>
      </c>
      <c r="H329" s="13"/>
      <c r="I329" s="14">
        <f>SUM(H329:H329)</f>
        <v>0</v>
      </c>
      <c r="J329" s="5"/>
    </row>
    <row r="330" spans="2:10" x14ac:dyDescent="0.15">
      <c r="B330" s="6" t="s">
        <v>6</v>
      </c>
      <c r="C330" s="7"/>
      <c r="D330" s="8">
        <f>SUM(C330:C330)</f>
        <v>0</v>
      </c>
      <c r="E330" s="9"/>
      <c r="G330" s="71" t="s">
        <v>6</v>
      </c>
      <c r="H330" s="13"/>
      <c r="I330" s="14">
        <f>SUM(H330:H330)</f>
        <v>0</v>
      </c>
      <c r="J330" s="5"/>
    </row>
    <row r="331" spans="2:10" ht="14.25" thickBot="1" x14ac:dyDescent="0.2">
      <c r="B331" s="6" t="s">
        <v>6</v>
      </c>
      <c r="C331" s="7"/>
      <c r="D331" s="14">
        <f>SUM(C331:C331)</f>
        <v>0</v>
      </c>
      <c r="E331" s="16"/>
      <c r="G331" s="6" t="s">
        <v>6</v>
      </c>
      <c r="H331" s="65"/>
      <c r="I331" s="14">
        <f>SUM(H331:H331)</f>
        <v>0</v>
      </c>
      <c r="J331" s="16"/>
    </row>
    <row r="332" spans="2:10" ht="14.25" thickBot="1" x14ac:dyDescent="0.2">
      <c r="B332" s="46" t="s">
        <v>1</v>
      </c>
      <c r="C332" s="48">
        <f>SUM(C328:C331)</f>
        <v>339</v>
      </c>
      <c r="D332" s="48">
        <f>SUM(D328:D331)</f>
        <v>339</v>
      </c>
      <c r="E332" s="49"/>
      <c r="G332" s="46" t="s">
        <v>1</v>
      </c>
      <c r="H332" s="47">
        <f>SUM(H328:H331)</f>
        <v>1209</v>
      </c>
      <c r="I332" s="48">
        <f>SUM(I328:I331)</f>
        <v>1209</v>
      </c>
      <c r="J332" s="49"/>
    </row>
    <row r="333" spans="2:10" x14ac:dyDescent="0.15">
      <c r="B333" s="10" t="s">
        <v>12</v>
      </c>
      <c r="C333" s="77">
        <v>1</v>
      </c>
      <c r="D333" s="11">
        <f t="shared" ref="D333:D357" si="17">SUM(C333:C333)</f>
        <v>1</v>
      </c>
      <c r="E333" s="12">
        <v>41680</v>
      </c>
      <c r="G333" s="10" t="s">
        <v>16</v>
      </c>
      <c r="H333" s="13">
        <v>336</v>
      </c>
      <c r="I333" s="11">
        <f t="shared" ref="I333:I346" si="18">SUM(H333:H333)</f>
        <v>336</v>
      </c>
      <c r="J333" s="12">
        <v>41713</v>
      </c>
    </row>
    <row r="334" spans="2:10" x14ac:dyDescent="0.15">
      <c r="B334" s="10" t="s">
        <v>90</v>
      </c>
      <c r="C334" s="13">
        <v>30</v>
      </c>
      <c r="D334" s="14">
        <f t="shared" si="17"/>
        <v>30</v>
      </c>
      <c r="E334" s="12">
        <v>41684</v>
      </c>
      <c r="G334" s="10" t="s">
        <v>16</v>
      </c>
      <c r="H334" s="13">
        <v>336</v>
      </c>
      <c r="I334" s="14">
        <f t="shared" si="18"/>
        <v>336</v>
      </c>
      <c r="J334" s="12">
        <v>41718</v>
      </c>
    </row>
    <row r="335" spans="2:10" x14ac:dyDescent="0.15">
      <c r="B335" s="10" t="s">
        <v>83</v>
      </c>
      <c r="C335" s="13">
        <v>10</v>
      </c>
      <c r="D335" s="14">
        <f t="shared" si="17"/>
        <v>10</v>
      </c>
      <c r="E335" s="12">
        <v>41683</v>
      </c>
      <c r="G335" s="81"/>
      <c r="H335" s="13"/>
      <c r="I335" s="14">
        <f t="shared" si="18"/>
        <v>0</v>
      </c>
      <c r="J335" s="12"/>
    </row>
    <row r="336" spans="2:10" x14ac:dyDescent="0.15">
      <c r="B336" s="10" t="s">
        <v>57</v>
      </c>
      <c r="C336" s="13">
        <v>2</v>
      </c>
      <c r="D336" s="14">
        <f t="shared" si="17"/>
        <v>2</v>
      </c>
      <c r="E336" s="12">
        <v>41684</v>
      </c>
      <c r="G336" s="78"/>
      <c r="H336" s="13"/>
      <c r="I336" s="14">
        <f t="shared" si="18"/>
        <v>0</v>
      </c>
      <c r="J336" s="12"/>
    </row>
    <row r="337" spans="2:10" x14ac:dyDescent="0.15">
      <c r="B337" s="10" t="s">
        <v>93</v>
      </c>
      <c r="C337" s="13">
        <v>5</v>
      </c>
      <c r="D337" s="14">
        <f t="shared" si="17"/>
        <v>5</v>
      </c>
      <c r="E337" s="12">
        <v>41682</v>
      </c>
      <c r="G337" s="78"/>
      <c r="H337" s="13"/>
      <c r="I337" s="14">
        <f t="shared" si="18"/>
        <v>0</v>
      </c>
      <c r="J337" s="12"/>
    </row>
    <row r="338" spans="2:10" x14ac:dyDescent="0.15">
      <c r="B338" s="10" t="s">
        <v>92</v>
      </c>
      <c r="C338" s="13">
        <v>50</v>
      </c>
      <c r="D338" s="14">
        <f t="shared" si="17"/>
        <v>50</v>
      </c>
      <c r="E338" s="12">
        <v>41684</v>
      </c>
      <c r="G338" s="78"/>
      <c r="H338" s="13"/>
      <c r="I338" s="14">
        <f t="shared" si="18"/>
        <v>0</v>
      </c>
      <c r="J338" s="12"/>
    </row>
    <row r="339" spans="2:10" x14ac:dyDescent="0.15">
      <c r="B339" s="10" t="s">
        <v>22</v>
      </c>
      <c r="C339" s="13">
        <v>1</v>
      </c>
      <c r="D339" s="14">
        <f t="shared" si="17"/>
        <v>1</v>
      </c>
      <c r="E339" s="12">
        <v>41684</v>
      </c>
      <c r="G339" s="78"/>
      <c r="H339" s="13"/>
      <c r="I339" s="14">
        <f t="shared" si="18"/>
        <v>0</v>
      </c>
      <c r="J339" s="12"/>
    </row>
    <row r="340" spans="2:10" x14ac:dyDescent="0.15">
      <c r="B340" s="10" t="s">
        <v>18</v>
      </c>
      <c r="C340" s="13">
        <v>17</v>
      </c>
      <c r="D340" s="14">
        <f t="shared" si="17"/>
        <v>17</v>
      </c>
      <c r="E340" s="12">
        <v>41688</v>
      </c>
      <c r="G340" s="78"/>
      <c r="H340" s="13"/>
      <c r="I340" s="14">
        <f t="shared" si="18"/>
        <v>0</v>
      </c>
      <c r="J340" s="12"/>
    </row>
    <row r="341" spans="2:10" x14ac:dyDescent="0.15">
      <c r="B341" s="10" t="s">
        <v>57</v>
      </c>
      <c r="C341" s="13">
        <v>5</v>
      </c>
      <c r="D341" s="14">
        <f t="shared" si="17"/>
        <v>5</v>
      </c>
      <c r="E341" s="12">
        <v>41690</v>
      </c>
      <c r="G341" s="10"/>
      <c r="H341" s="13"/>
      <c r="I341" s="14">
        <f t="shared" si="18"/>
        <v>0</v>
      </c>
      <c r="J341" s="12"/>
    </row>
    <row r="342" spans="2:10" x14ac:dyDescent="0.15">
      <c r="B342" s="10" t="s">
        <v>18</v>
      </c>
      <c r="C342" s="13">
        <v>13</v>
      </c>
      <c r="D342" s="14">
        <f t="shared" si="17"/>
        <v>13</v>
      </c>
      <c r="E342" s="12">
        <v>41690</v>
      </c>
      <c r="G342" s="78"/>
      <c r="H342" s="13"/>
      <c r="I342" s="14">
        <f t="shared" si="18"/>
        <v>0</v>
      </c>
      <c r="J342" s="12"/>
    </row>
    <row r="343" spans="2:10" x14ac:dyDescent="0.15">
      <c r="B343" s="10" t="s">
        <v>94</v>
      </c>
      <c r="C343" s="13">
        <v>1</v>
      </c>
      <c r="D343" s="14">
        <f t="shared" si="17"/>
        <v>1</v>
      </c>
      <c r="E343" s="12">
        <v>41690</v>
      </c>
      <c r="G343" s="10"/>
      <c r="H343" s="22"/>
      <c r="I343" s="23">
        <f t="shared" si="18"/>
        <v>0</v>
      </c>
      <c r="J343" s="24"/>
    </row>
    <row r="344" spans="2:10" x14ac:dyDescent="0.15">
      <c r="B344" s="10" t="s">
        <v>18</v>
      </c>
      <c r="C344" s="13">
        <v>7</v>
      </c>
      <c r="D344" s="14">
        <f t="shared" si="17"/>
        <v>7</v>
      </c>
      <c r="E344" s="12">
        <v>41692</v>
      </c>
      <c r="G344" s="78"/>
      <c r="H344" s="13"/>
      <c r="I344" s="14">
        <f t="shared" si="18"/>
        <v>0</v>
      </c>
      <c r="J344" s="5"/>
    </row>
    <row r="345" spans="2:10" x14ac:dyDescent="0.15">
      <c r="B345" s="10" t="s">
        <v>95</v>
      </c>
      <c r="C345" s="13">
        <v>1</v>
      </c>
      <c r="D345" s="14">
        <f t="shared" si="17"/>
        <v>1</v>
      </c>
      <c r="E345" s="12">
        <v>41692</v>
      </c>
      <c r="G345" s="78"/>
      <c r="H345" s="13"/>
      <c r="I345" s="14">
        <f t="shared" si="18"/>
        <v>0</v>
      </c>
      <c r="J345" s="5"/>
    </row>
    <row r="346" spans="2:10" x14ac:dyDescent="0.15">
      <c r="B346" s="10" t="s">
        <v>18</v>
      </c>
      <c r="C346" s="13">
        <v>4</v>
      </c>
      <c r="D346" s="14">
        <f t="shared" si="17"/>
        <v>4</v>
      </c>
      <c r="E346" s="12">
        <v>41695</v>
      </c>
      <c r="G346" s="81"/>
      <c r="H346" s="7"/>
      <c r="I346" s="14">
        <f t="shared" si="18"/>
        <v>0</v>
      </c>
      <c r="J346" s="5"/>
    </row>
    <row r="347" spans="2:10" x14ac:dyDescent="0.15">
      <c r="B347" s="10" t="s">
        <v>96</v>
      </c>
      <c r="C347" s="13">
        <v>2</v>
      </c>
      <c r="D347" s="14">
        <f t="shared" si="17"/>
        <v>2</v>
      </c>
      <c r="E347" s="12">
        <v>41694</v>
      </c>
      <c r="G347" s="15"/>
      <c r="H347" s="13"/>
      <c r="I347" s="14">
        <f t="shared" ref="I347:I357" si="19">SUM(H347:H347)</f>
        <v>0</v>
      </c>
      <c r="J347" s="12"/>
    </row>
    <row r="348" spans="2:10" x14ac:dyDescent="0.15">
      <c r="B348" s="10" t="s">
        <v>18</v>
      </c>
      <c r="C348" s="13">
        <v>28</v>
      </c>
      <c r="D348" s="14">
        <f t="shared" si="17"/>
        <v>28</v>
      </c>
      <c r="E348" s="12">
        <v>41697</v>
      </c>
      <c r="G348" s="78"/>
      <c r="H348" s="13"/>
      <c r="I348" s="14">
        <f t="shared" si="19"/>
        <v>0</v>
      </c>
      <c r="J348" s="5"/>
    </row>
    <row r="349" spans="2:10" x14ac:dyDescent="0.15">
      <c r="B349" s="10" t="s">
        <v>57</v>
      </c>
      <c r="C349" s="13">
        <v>5</v>
      </c>
      <c r="D349" s="14">
        <f t="shared" si="17"/>
        <v>5</v>
      </c>
      <c r="E349" s="12">
        <v>41698</v>
      </c>
      <c r="G349" s="78"/>
      <c r="H349" s="13"/>
      <c r="I349" s="14">
        <f t="shared" si="19"/>
        <v>0</v>
      </c>
      <c r="J349" s="5"/>
    </row>
    <row r="350" spans="2:10" x14ac:dyDescent="0.15">
      <c r="B350" s="10" t="s">
        <v>98</v>
      </c>
      <c r="C350" s="13">
        <v>1</v>
      </c>
      <c r="D350" s="14">
        <f t="shared" si="17"/>
        <v>1</v>
      </c>
      <c r="E350" s="12">
        <v>41696</v>
      </c>
      <c r="G350" s="81"/>
      <c r="H350" s="7"/>
      <c r="I350" s="14">
        <f t="shared" si="19"/>
        <v>0</v>
      </c>
      <c r="J350" s="5"/>
    </row>
    <row r="351" spans="2:10" x14ac:dyDescent="0.15">
      <c r="B351" s="10" t="s">
        <v>97</v>
      </c>
      <c r="C351" s="13">
        <v>1</v>
      </c>
      <c r="D351" s="14">
        <f t="shared" si="17"/>
        <v>1</v>
      </c>
      <c r="E351" s="12">
        <v>41702</v>
      </c>
      <c r="G351" s="15"/>
      <c r="H351" s="7"/>
      <c r="I351" s="14">
        <f t="shared" si="19"/>
        <v>0</v>
      </c>
      <c r="J351" s="5"/>
    </row>
    <row r="352" spans="2:10" x14ac:dyDescent="0.15">
      <c r="B352" s="10" t="s">
        <v>99</v>
      </c>
      <c r="C352" s="13">
        <v>4</v>
      </c>
      <c r="D352" s="14">
        <f t="shared" si="17"/>
        <v>4</v>
      </c>
      <c r="E352" s="5">
        <v>41701</v>
      </c>
      <c r="G352" s="78"/>
      <c r="H352" s="7"/>
      <c r="I352" s="14">
        <f t="shared" si="19"/>
        <v>0</v>
      </c>
      <c r="J352" s="12"/>
    </row>
    <row r="353" spans="2:11" x14ac:dyDescent="0.15">
      <c r="B353" s="10" t="s">
        <v>18</v>
      </c>
      <c r="C353" s="13">
        <v>7</v>
      </c>
      <c r="D353" s="14">
        <f t="shared" si="17"/>
        <v>7</v>
      </c>
      <c r="E353" s="5">
        <v>41703</v>
      </c>
      <c r="G353" s="78"/>
      <c r="H353" s="13"/>
      <c r="I353" s="14">
        <f t="shared" si="19"/>
        <v>0</v>
      </c>
      <c r="J353" s="5"/>
    </row>
    <row r="354" spans="2:11" x14ac:dyDescent="0.15">
      <c r="B354" s="10" t="s">
        <v>57</v>
      </c>
      <c r="C354" s="13">
        <v>3</v>
      </c>
      <c r="D354" s="14">
        <f t="shared" si="17"/>
        <v>3</v>
      </c>
      <c r="E354" s="5">
        <v>41709</v>
      </c>
      <c r="G354" s="10"/>
      <c r="H354" s="7"/>
      <c r="I354" s="14">
        <f t="shared" si="19"/>
        <v>0</v>
      </c>
      <c r="J354" s="5"/>
    </row>
    <row r="355" spans="2:11" x14ac:dyDescent="0.15">
      <c r="B355" s="10" t="s">
        <v>18</v>
      </c>
      <c r="C355" s="13">
        <v>31</v>
      </c>
      <c r="D355" s="14">
        <f t="shared" si="17"/>
        <v>31</v>
      </c>
      <c r="E355" s="5">
        <v>41706</v>
      </c>
      <c r="G355" s="78"/>
      <c r="H355" s="7"/>
      <c r="I355" s="14">
        <f t="shared" si="19"/>
        <v>0</v>
      </c>
      <c r="J355" s="5"/>
    </row>
    <row r="356" spans="2:11" ht="14.25" thickBot="1" x14ac:dyDescent="0.2">
      <c r="B356" s="15" t="s">
        <v>22</v>
      </c>
      <c r="C356" s="13">
        <v>2</v>
      </c>
      <c r="D356" s="11">
        <f t="shared" si="17"/>
        <v>2</v>
      </c>
      <c r="E356" s="12">
        <v>41704</v>
      </c>
      <c r="G356" s="15"/>
      <c r="H356" s="7"/>
      <c r="I356" s="14">
        <f t="shared" si="19"/>
        <v>0</v>
      </c>
      <c r="J356" s="85"/>
      <c r="K356" s="82"/>
    </row>
    <row r="357" spans="2:11" ht="14.25" thickBot="1" x14ac:dyDescent="0.2">
      <c r="B357" s="17" t="s">
        <v>2</v>
      </c>
      <c r="C357" s="18">
        <f>SUM(C333:C356)</f>
        <v>231</v>
      </c>
      <c r="D357" s="19">
        <f t="shared" si="17"/>
        <v>231</v>
      </c>
      <c r="E357" s="20"/>
      <c r="G357" s="17" t="s">
        <v>2</v>
      </c>
      <c r="H357" s="18">
        <f>SUM(H333:H356)</f>
        <v>672</v>
      </c>
      <c r="I357" s="19">
        <f t="shared" si="19"/>
        <v>672</v>
      </c>
      <c r="J357" s="20"/>
    </row>
    <row r="358" spans="2:11" ht="14.25" thickBot="1" x14ac:dyDescent="0.2">
      <c r="B358" s="46" t="s">
        <v>3</v>
      </c>
      <c r="C358" s="52">
        <f>C332-C357</f>
        <v>108</v>
      </c>
      <c r="D358" s="48">
        <f>D332-D357</f>
        <v>108</v>
      </c>
      <c r="E358" s="49"/>
      <c r="G358" s="46" t="s">
        <v>3</v>
      </c>
      <c r="H358" s="52">
        <f>H332-H357</f>
        <v>537</v>
      </c>
      <c r="I358" s="48">
        <f>I332-I357</f>
        <v>537</v>
      </c>
      <c r="J358" s="49"/>
    </row>
    <row r="361" spans="2:11" ht="18.75" x14ac:dyDescent="0.2">
      <c r="B361" s="26" t="s">
        <v>7</v>
      </c>
      <c r="G361" s="26" t="s">
        <v>35</v>
      </c>
    </row>
    <row r="362" spans="2:11" ht="14.25" thickBot="1" x14ac:dyDescent="0.2"/>
    <row r="363" spans="2:11" ht="14.25" thickBot="1" x14ac:dyDescent="0.2">
      <c r="B363" s="1"/>
      <c r="C363" s="2"/>
      <c r="D363" s="3" t="s">
        <v>0</v>
      </c>
      <c r="E363" s="1" t="s">
        <v>4</v>
      </c>
      <c r="G363" s="1"/>
      <c r="H363" s="2"/>
      <c r="I363" s="3" t="s">
        <v>0</v>
      </c>
      <c r="J363" s="1" t="s">
        <v>4</v>
      </c>
    </row>
    <row r="364" spans="2:11" x14ac:dyDescent="0.15">
      <c r="B364" s="42" t="s">
        <v>5</v>
      </c>
      <c r="C364" s="43">
        <f>C358</f>
        <v>108</v>
      </c>
      <c r="D364" s="44">
        <f>SUM(C364:C364)</f>
        <v>108</v>
      </c>
      <c r="E364" s="45"/>
      <c r="G364" s="42" t="s">
        <v>5</v>
      </c>
      <c r="H364" s="43">
        <f>H358</f>
        <v>537</v>
      </c>
      <c r="I364" s="44">
        <f>SUM(H364:H364)</f>
        <v>537</v>
      </c>
      <c r="J364" s="45"/>
    </row>
    <row r="365" spans="2:11" x14ac:dyDescent="0.15">
      <c r="B365" s="6" t="s">
        <v>6</v>
      </c>
      <c r="C365" s="13">
        <v>336</v>
      </c>
      <c r="D365" s="14">
        <f>SUM(C365:C365)</f>
        <v>336</v>
      </c>
      <c r="E365" s="5">
        <v>41713</v>
      </c>
      <c r="G365" s="71" t="s">
        <v>6</v>
      </c>
      <c r="H365" s="13"/>
      <c r="I365" s="14">
        <f>SUM(H365:H365)</f>
        <v>0</v>
      </c>
      <c r="J365" s="5"/>
    </row>
    <row r="366" spans="2:11" x14ac:dyDescent="0.15">
      <c r="B366" s="6" t="s">
        <v>6</v>
      </c>
      <c r="C366" s="7">
        <v>336</v>
      </c>
      <c r="D366" s="8">
        <f>SUM(C366:C366)</f>
        <v>336</v>
      </c>
      <c r="E366" s="9">
        <v>41718</v>
      </c>
      <c r="G366" s="71" t="s">
        <v>6</v>
      </c>
      <c r="H366" s="13"/>
      <c r="I366" s="14">
        <f>SUM(H366:H366)</f>
        <v>0</v>
      </c>
      <c r="J366" s="5"/>
    </row>
    <row r="367" spans="2:11" ht="14.25" thickBot="1" x14ac:dyDescent="0.2">
      <c r="B367" s="6" t="s">
        <v>105</v>
      </c>
      <c r="C367" s="7">
        <v>4</v>
      </c>
      <c r="D367" s="14">
        <f>SUM(C367:C367)</f>
        <v>4</v>
      </c>
      <c r="E367" s="16">
        <v>41725</v>
      </c>
      <c r="G367" s="6" t="s">
        <v>6</v>
      </c>
      <c r="H367" s="65"/>
      <c r="I367" s="14">
        <f>SUM(H367:H367)</f>
        <v>0</v>
      </c>
      <c r="J367" s="16"/>
    </row>
    <row r="368" spans="2:11" ht="14.25" thickBot="1" x14ac:dyDescent="0.2">
      <c r="B368" s="46" t="s">
        <v>1</v>
      </c>
      <c r="C368" s="48">
        <f>SUM(C364:C367)</f>
        <v>784</v>
      </c>
      <c r="D368" s="48">
        <f>SUM(D364:D367)</f>
        <v>784</v>
      </c>
      <c r="E368" s="49"/>
      <c r="G368" s="46" t="s">
        <v>1</v>
      </c>
      <c r="H368" s="47">
        <f>SUM(H364:H367)</f>
        <v>537</v>
      </c>
      <c r="I368" s="48">
        <f>SUM(I364:I367)</f>
        <v>537</v>
      </c>
      <c r="J368" s="49"/>
    </row>
    <row r="369" spans="2:10" x14ac:dyDescent="0.15">
      <c r="B369" s="10" t="s">
        <v>12</v>
      </c>
      <c r="C369" s="77">
        <v>2</v>
      </c>
      <c r="D369" s="11">
        <f t="shared" ref="D369:D393" si="20">SUM(C369:C369)</f>
        <v>2</v>
      </c>
      <c r="E369" s="12">
        <v>41708</v>
      </c>
      <c r="G369" s="81" t="s">
        <v>107</v>
      </c>
      <c r="H369" s="13">
        <v>200</v>
      </c>
      <c r="I369" s="14">
        <f>SUM(H369:H369)</f>
        <v>200</v>
      </c>
      <c r="J369" s="12">
        <v>41725</v>
      </c>
    </row>
    <row r="370" spans="2:10" x14ac:dyDescent="0.15">
      <c r="B370" s="10" t="s">
        <v>18</v>
      </c>
      <c r="C370" s="13">
        <v>45</v>
      </c>
      <c r="D370" s="14">
        <f t="shared" si="20"/>
        <v>45</v>
      </c>
      <c r="E370" s="12">
        <v>41710</v>
      </c>
      <c r="G370" s="78"/>
      <c r="H370" s="13"/>
      <c r="I370" s="14">
        <f t="shared" ref="I370:I382" si="21">SUM(H370:H370)</f>
        <v>0</v>
      </c>
      <c r="J370" s="12"/>
    </row>
    <row r="371" spans="2:10" x14ac:dyDescent="0.15">
      <c r="B371" s="10" t="s">
        <v>58</v>
      </c>
      <c r="C371" s="13">
        <v>2</v>
      </c>
      <c r="D371" s="14">
        <f t="shared" si="20"/>
        <v>2</v>
      </c>
      <c r="E371" s="12">
        <v>41715</v>
      </c>
      <c r="G371" s="10"/>
      <c r="H371" s="13"/>
      <c r="I371" s="14">
        <f t="shared" si="21"/>
        <v>0</v>
      </c>
      <c r="J371" s="12"/>
    </row>
    <row r="372" spans="2:10" x14ac:dyDescent="0.15">
      <c r="B372" s="10" t="s">
        <v>100</v>
      </c>
      <c r="C372" s="13">
        <v>4</v>
      </c>
      <c r="D372" s="14">
        <f t="shared" si="20"/>
        <v>4</v>
      </c>
      <c r="E372" s="12">
        <v>41715</v>
      </c>
      <c r="G372" s="78"/>
      <c r="H372" s="13"/>
      <c r="I372" s="14">
        <f t="shared" si="21"/>
        <v>0</v>
      </c>
      <c r="J372" s="12"/>
    </row>
    <row r="373" spans="2:10" x14ac:dyDescent="0.15">
      <c r="B373" s="10" t="s">
        <v>12</v>
      </c>
      <c r="C373" s="13">
        <v>2</v>
      </c>
      <c r="D373" s="14">
        <f t="shared" si="20"/>
        <v>2</v>
      </c>
      <c r="E373" s="12">
        <v>41710</v>
      </c>
      <c r="G373" s="78"/>
      <c r="H373" s="13"/>
      <c r="I373" s="14">
        <f t="shared" si="21"/>
        <v>0</v>
      </c>
      <c r="J373" s="12"/>
    </row>
    <row r="374" spans="2:10" x14ac:dyDescent="0.15">
      <c r="B374" s="10" t="s">
        <v>18</v>
      </c>
      <c r="C374" s="13">
        <v>43</v>
      </c>
      <c r="D374" s="14">
        <f t="shared" si="20"/>
        <v>43</v>
      </c>
      <c r="E374" s="12">
        <v>41713</v>
      </c>
      <c r="G374" s="78"/>
      <c r="H374" s="13"/>
      <c r="I374" s="14">
        <f t="shared" si="21"/>
        <v>0</v>
      </c>
      <c r="J374" s="12"/>
    </row>
    <row r="375" spans="2:10" x14ac:dyDescent="0.15">
      <c r="B375" s="10" t="s">
        <v>12</v>
      </c>
      <c r="C375" s="13">
        <v>1</v>
      </c>
      <c r="D375" s="14">
        <f t="shared" si="20"/>
        <v>1</v>
      </c>
      <c r="E375" s="12">
        <v>41712</v>
      </c>
      <c r="G375" s="78"/>
      <c r="H375" s="13"/>
      <c r="I375" s="14">
        <f t="shared" si="21"/>
        <v>0</v>
      </c>
      <c r="J375" s="12"/>
    </row>
    <row r="376" spans="2:10" x14ac:dyDescent="0.15">
      <c r="B376" s="10" t="s">
        <v>12</v>
      </c>
      <c r="C376" s="13">
        <v>6</v>
      </c>
      <c r="D376" s="14">
        <f t="shared" si="20"/>
        <v>6</v>
      </c>
      <c r="E376" s="12">
        <v>41715</v>
      </c>
      <c r="G376" s="78"/>
      <c r="H376" s="13"/>
      <c r="I376" s="14">
        <f t="shared" si="21"/>
        <v>0</v>
      </c>
      <c r="J376" s="12"/>
    </row>
    <row r="377" spans="2:10" x14ac:dyDescent="0.15">
      <c r="B377" s="10" t="s">
        <v>101</v>
      </c>
      <c r="C377" s="13">
        <v>100</v>
      </c>
      <c r="D377" s="14">
        <f t="shared" si="20"/>
        <v>100</v>
      </c>
      <c r="E377" s="12">
        <v>41717</v>
      </c>
      <c r="G377" s="10"/>
      <c r="H377" s="13"/>
      <c r="I377" s="14">
        <f t="shared" si="21"/>
        <v>0</v>
      </c>
      <c r="J377" s="12"/>
    </row>
    <row r="378" spans="2:10" x14ac:dyDescent="0.15">
      <c r="B378" s="10" t="s">
        <v>58</v>
      </c>
      <c r="C378" s="13">
        <v>2</v>
      </c>
      <c r="D378" s="14">
        <f t="shared" si="20"/>
        <v>2</v>
      </c>
      <c r="E378" s="12">
        <v>41718</v>
      </c>
      <c r="G378" s="78"/>
      <c r="H378" s="13"/>
      <c r="I378" s="14">
        <f t="shared" si="21"/>
        <v>0</v>
      </c>
      <c r="J378" s="12"/>
    </row>
    <row r="379" spans="2:10" x14ac:dyDescent="0.15">
      <c r="B379" s="10" t="s">
        <v>12</v>
      </c>
      <c r="C379" s="13">
        <v>3</v>
      </c>
      <c r="D379" s="14">
        <f t="shared" si="20"/>
        <v>3</v>
      </c>
      <c r="E379" s="12">
        <v>41716</v>
      </c>
      <c r="G379" s="10"/>
      <c r="H379" s="22"/>
      <c r="I379" s="23">
        <f t="shared" si="21"/>
        <v>0</v>
      </c>
      <c r="J379" s="24"/>
    </row>
    <row r="380" spans="2:10" x14ac:dyDescent="0.15">
      <c r="B380" s="10" t="s">
        <v>18</v>
      </c>
      <c r="C380" s="13">
        <v>32</v>
      </c>
      <c r="D380" s="14">
        <f t="shared" si="20"/>
        <v>32</v>
      </c>
      <c r="E380" s="12">
        <v>41718</v>
      </c>
      <c r="G380" s="78"/>
      <c r="H380" s="13"/>
      <c r="I380" s="14">
        <f t="shared" si="21"/>
        <v>0</v>
      </c>
      <c r="J380" s="5"/>
    </row>
    <row r="381" spans="2:10" x14ac:dyDescent="0.15">
      <c r="B381" s="10" t="s">
        <v>102</v>
      </c>
      <c r="C381" s="13">
        <v>150</v>
      </c>
      <c r="D381" s="14">
        <f t="shared" si="20"/>
        <v>150</v>
      </c>
      <c r="E381" s="12">
        <v>41718</v>
      </c>
      <c r="G381" s="78"/>
      <c r="H381" s="13"/>
      <c r="I381" s="14">
        <f t="shared" si="21"/>
        <v>0</v>
      </c>
      <c r="J381" s="5"/>
    </row>
    <row r="382" spans="2:10" x14ac:dyDescent="0.15">
      <c r="B382" s="10" t="s">
        <v>22</v>
      </c>
      <c r="C382" s="13">
        <v>1</v>
      </c>
      <c r="D382" s="14">
        <f t="shared" si="20"/>
        <v>1</v>
      </c>
      <c r="E382" s="12">
        <v>41718</v>
      </c>
      <c r="G382" s="81"/>
      <c r="H382" s="7"/>
      <c r="I382" s="14">
        <f t="shared" si="21"/>
        <v>0</v>
      </c>
      <c r="J382" s="5"/>
    </row>
    <row r="383" spans="2:10" x14ac:dyDescent="0.15">
      <c r="B383" s="10" t="s">
        <v>22</v>
      </c>
      <c r="C383" s="13">
        <v>1</v>
      </c>
      <c r="D383" s="14">
        <f t="shared" si="20"/>
        <v>1</v>
      </c>
      <c r="E383" s="12">
        <v>41718</v>
      </c>
      <c r="G383" s="15"/>
      <c r="H383" s="13"/>
      <c r="I383" s="14">
        <f t="shared" ref="I383:I393" si="22">SUM(H383:H383)</f>
        <v>0</v>
      </c>
      <c r="J383" s="12"/>
    </row>
    <row r="384" spans="2:10" x14ac:dyDescent="0.15">
      <c r="B384" s="10" t="s">
        <v>22</v>
      </c>
      <c r="C384" s="13">
        <v>2</v>
      </c>
      <c r="D384" s="14">
        <f t="shared" si="20"/>
        <v>2</v>
      </c>
      <c r="E384" s="12">
        <v>41720</v>
      </c>
      <c r="G384" s="78"/>
      <c r="H384" s="13"/>
      <c r="I384" s="14">
        <f t="shared" si="22"/>
        <v>0</v>
      </c>
      <c r="J384" s="5"/>
    </row>
    <row r="385" spans="2:11" x14ac:dyDescent="0.15">
      <c r="B385" s="10" t="s">
        <v>18</v>
      </c>
      <c r="C385" s="13">
        <v>16</v>
      </c>
      <c r="D385" s="14">
        <f t="shared" si="20"/>
        <v>16</v>
      </c>
      <c r="E385" s="12">
        <v>41724</v>
      </c>
      <c r="G385" s="78"/>
      <c r="H385" s="13"/>
      <c r="I385" s="14">
        <f t="shared" si="22"/>
        <v>0</v>
      </c>
      <c r="J385" s="5"/>
    </row>
    <row r="386" spans="2:11" x14ac:dyDescent="0.15">
      <c r="B386" s="10" t="s">
        <v>103</v>
      </c>
      <c r="C386" s="13">
        <v>100</v>
      </c>
      <c r="D386" s="14">
        <f t="shared" si="20"/>
        <v>100</v>
      </c>
      <c r="E386" s="12">
        <v>41723</v>
      </c>
      <c r="G386" s="81"/>
      <c r="H386" s="7"/>
      <c r="I386" s="14">
        <f t="shared" si="22"/>
        <v>0</v>
      </c>
      <c r="J386" s="5"/>
    </row>
    <row r="387" spans="2:11" x14ac:dyDescent="0.15">
      <c r="B387" s="10" t="s">
        <v>39</v>
      </c>
      <c r="C387" s="13">
        <v>4</v>
      </c>
      <c r="D387" s="14">
        <f t="shared" si="20"/>
        <v>4</v>
      </c>
      <c r="E387" s="12">
        <v>41724</v>
      </c>
      <c r="G387" s="15"/>
      <c r="H387" s="7"/>
      <c r="I387" s="14">
        <f t="shared" si="22"/>
        <v>0</v>
      </c>
      <c r="J387" s="5"/>
    </row>
    <row r="388" spans="2:11" x14ac:dyDescent="0.15">
      <c r="B388" s="10" t="s">
        <v>104</v>
      </c>
      <c r="C388" s="13">
        <v>2</v>
      </c>
      <c r="D388" s="14">
        <f t="shared" si="20"/>
        <v>2</v>
      </c>
      <c r="E388" s="5">
        <v>41722</v>
      </c>
      <c r="G388" s="78"/>
      <c r="H388" s="7"/>
      <c r="I388" s="14">
        <f t="shared" si="22"/>
        <v>0</v>
      </c>
      <c r="J388" s="12"/>
    </row>
    <row r="389" spans="2:11" x14ac:dyDescent="0.15">
      <c r="B389" s="10"/>
      <c r="C389" s="13"/>
      <c r="D389" s="14">
        <f t="shared" si="20"/>
        <v>0</v>
      </c>
      <c r="E389" s="5"/>
      <c r="G389" s="78"/>
      <c r="H389" s="13"/>
      <c r="I389" s="14">
        <f t="shared" si="22"/>
        <v>0</v>
      </c>
      <c r="J389" s="5"/>
    </row>
    <row r="390" spans="2:11" x14ac:dyDescent="0.15">
      <c r="B390" s="10" t="s">
        <v>22</v>
      </c>
      <c r="C390" s="13">
        <v>2</v>
      </c>
      <c r="D390" s="14">
        <f t="shared" si="20"/>
        <v>2</v>
      </c>
      <c r="E390" s="5">
        <v>41724</v>
      </c>
      <c r="G390" s="10"/>
      <c r="H390" s="7"/>
      <c r="I390" s="14">
        <f t="shared" si="22"/>
        <v>0</v>
      </c>
      <c r="J390" s="5"/>
    </row>
    <row r="391" spans="2:11" ht="13.5" customHeight="1" x14ac:dyDescent="0.15">
      <c r="B391" s="10" t="s">
        <v>18</v>
      </c>
      <c r="C391" s="13">
        <v>22</v>
      </c>
      <c r="D391" s="14">
        <f t="shared" si="20"/>
        <v>22</v>
      </c>
      <c r="E391" s="5">
        <v>41726</v>
      </c>
      <c r="G391" s="78"/>
      <c r="H391" s="7"/>
      <c r="I391" s="14">
        <f t="shared" si="22"/>
        <v>0</v>
      </c>
      <c r="J391" s="5"/>
    </row>
    <row r="392" spans="2:11" ht="13.5" customHeight="1" thickBot="1" x14ac:dyDescent="0.2">
      <c r="B392" s="15" t="s">
        <v>12</v>
      </c>
      <c r="C392" s="13">
        <v>2</v>
      </c>
      <c r="D392" s="11">
        <f t="shared" si="20"/>
        <v>2</v>
      </c>
      <c r="E392" s="12">
        <v>41726</v>
      </c>
      <c r="G392" s="15"/>
      <c r="H392" s="7"/>
      <c r="I392" s="14">
        <f t="shared" si="22"/>
        <v>0</v>
      </c>
      <c r="J392" s="85"/>
      <c r="K392" s="84"/>
    </row>
    <row r="393" spans="2:11" ht="14.25" thickBot="1" x14ac:dyDescent="0.2">
      <c r="B393" s="17" t="s">
        <v>2</v>
      </c>
      <c r="C393" s="18">
        <f>SUM(C369:C392)</f>
        <v>544</v>
      </c>
      <c r="D393" s="19">
        <f t="shared" si="20"/>
        <v>544</v>
      </c>
      <c r="E393" s="20"/>
      <c r="G393" s="17" t="s">
        <v>2</v>
      </c>
      <c r="H393" s="18">
        <f>SUM(H369:H392)</f>
        <v>200</v>
      </c>
      <c r="I393" s="19">
        <f t="shared" si="22"/>
        <v>200</v>
      </c>
      <c r="J393" s="20"/>
    </row>
    <row r="394" spans="2:11" ht="14.25" thickBot="1" x14ac:dyDescent="0.2">
      <c r="B394" s="46" t="s">
        <v>3</v>
      </c>
      <c r="C394" s="52">
        <f>C368-C393</f>
        <v>240</v>
      </c>
      <c r="D394" s="48">
        <f>D368-D393</f>
        <v>240</v>
      </c>
      <c r="E394" s="49"/>
      <c r="G394" s="46" t="s">
        <v>3</v>
      </c>
      <c r="H394" s="52">
        <f>H368-H393</f>
        <v>337</v>
      </c>
      <c r="I394" s="48">
        <f>I368-I393</f>
        <v>337</v>
      </c>
      <c r="J394" s="49"/>
    </row>
    <row r="397" spans="2:11" ht="18.75" x14ac:dyDescent="0.2">
      <c r="B397" s="26" t="s">
        <v>7</v>
      </c>
      <c r="G397" s="26" t="s">
        <v>35</v>
      </c>
    </row>
    <row r="398" spans="2:11" ht="14.25" thickBot="1" x14ac:dyDescent="0.2"/>
    <row r="399" spans="2:11" ht="14.25" thickBot="1" x14ac:dyDescent="0.2">
      <c r="B399" s="1"/>
      <c r="C399" s="2"/>
      <c r="D399" s="3" t="s">
        <v>0</v>
      </c>
      <c r="E399" s="1" t="s">
        <v>4</v>
      </c>
      <c r="G399" s="1"/>
      <c r="H399" s="2"/>
      <c r="I399" s="3" t="s">
        <v>0</v>
      </c>
      <c r="J399" s="1" t="s">
        <v>4</v>
      </c>
    </row>
    <row r="400" spans="2:11" x14ac:dyDescent="0.15">
      <c r="B400" s="42" t="s">
        <v>5</v>
      </c>
      <c r="C400" s="43">
        <f>C394</f>
        <v>240</v>
      </c>
      <c r="D400" s="44">
        <f>SUM(C400:C400)</f>
        <v>240</v>
      </c>
      <c r="E400" s="45"/>
      <c r="G400" s="42" t="s">
        <v>5</v>
      </c>
      <c r="H400" s="43">
        <f>H394</f>
        <v>337</v>
      </c>
      <c r="I400" s="44">
        <f>SUM(H400:H400)</f>
        <v>337</v>
      </c>
      <c r="J400" s="45"/>
    </row>
    <row r="401" spans="2:10" x14ac:dyDescent="0.15">
      <c r="B401" s="6" t="s">
        <v>6</v>
      </c>
      <c r="C401" s="13">
        <v>336</v>
      </c>
      <c r="D401" s="14">
        <f>SUM(C401:C401)</f>
        <v>336</v>
      </c>
      <c r="E401" s="5">
        <v>41733</v>
      </c>
      <c r="G401" s="71" t="s">
        <v>6</v>
      </c>
      <c r="H401" s="13">
        <v>2016</v>
      </c>
      <c r="I401" s="14">
        <f>SUM(H401:H401)</f>
        <v>2016</v>
      </c>
      <c r="J401" s="5">
        <v>41365</v>
      </c>
    </row>
    <row r="402" spans="2:10" x14ac:dyDescent="0.15">
      <c r="B402" s="6" t="s">
        <v>6</v>
      </c>
      <c r="C402" s="7"/>
      <c r="D402" s="8">
        <f>SUM(C402:C402)</f>
        <v>0</v>
      </c>
      <c r="E402" s="9"/>
      <c r="G402" s="71" t="s">
        <v>6</v>
      </c>
      <c r="H402" s="13">
        <v>1680</v>
      </c>
      <c r="I402" s="14">
        <f>SUM(H402:H402)</f>
        <v>1680</v>
      </c>
      <c r="J402" s="5">
        <v>41730</v>
      </c>
    </row>
    <row r="403" spans="2:10" ht="14.25" thickBot="1" x14ac:dyDescent="0.2">
      <c r="B403" s="6" t="s">
        <v>6</v>
      </c>
      <c r="C403" s="7"/>
      <c r="D403" s="14">
        <f>SUM(C403:C403)</f>
        <v>0</v>
      </c>
      <c r="E403" s="16"/>
      <c r="G403" s="6" t="s">
        <v>6</v>
      </c>
      <c r="H403" s="65">
        <v>672</v>
      </c>
      <c r="I403" s="14">
        <f>SUM(H403:H403)</f>
        <v>672</v>
      </c>
      <c r="J403" s="16">
        <v>41750</v>
      </c>
    </row>
    <row r="404" spans="2:10" ht="14.25" thickBot="1" x14ac:dyDescent="0.2">
      <c r="B404" s="46" t="s">
        <v>1</v>
      </c>
      <c r="C404" s="48">
        <f>SUM(C400:C403)</f>
        <v>576</v>
      </c>
      <c r="D404" s="48">
        <f>SUM(D400:D403)</f>
        <v>576</v>
      </c>
      <c r="E404" s="49"/>
      <c r="G404" s="46" t="s">
        <v>1</v>
      </c>
      <c r="H404" s="47">
        <f>SUM(H400:H403)</f>
        <v>4705</v>
      </c>
      <c r="I404" s="48">
        <f>SUM(I400:I403)</f>
        <v>4705</v>
      </c>
      <c r="J404" s="49"/>
    </row>
    <row r="405" spans="2:10" x14ac:dyDescent="0.15">
      <c r="B405" s="10" t="s">
        <v>106</v>
      </c>
      <c r="C405" s="77">
        <v>1</v>
      </c>
      <c r="D405" s="11">
        <f t="shared" ref="D405:D429" si="23">SUM(C405:C405)</f>
        <v>1</v>
      </c>
      <c r="E405" s="12">
        <v>41727</v>
      </c>
      <c r="G405" s="10" t="s">
        <v>12</v>
      </c>
      <c r="H405" s="13">
        <v>336</v>
      </c>
      <c r="I405" s="11">
        <f t="shared" ref="I405:I429" si="24">SUM(H405:H405)</f>
        <v>336</v>
      </c>
      <c r="J405" s="12">
        <v>41733</v>
      </c>
    </row>
    <row r="406" spans="2:10" x14ac:dyDescent="0.15">
      <c r="B406" s="10" t="s">
        <v>18</v>
      </c>
      <c r="C406" s="13">
        <v>6</v>
      </c>
      <c r="D406" s="14">
        <f t="shared" si="23"/>
        <v>6</v>
      </c>
      <c r="E406" s="12">
        <v>41730</v>
      </c>
      <c r="G406" s="78" t="s">
        <v>114</v>
      </c>
      <c r="H406" s="13">
        <v>300</v>
      </c>
      <c r="I406" s="14">
        <f t="shared" si="24"/>
        <v>300</v>
      </c>
      <c r="J406" s="12">
        <v>41738</v>
      </c>
    </row>
    <row r="407" spans="2:10" x14ac:dyDescent="0.15">
      <c r="B407" s="10" t="s">
        <v>10</v>
      </c>
      <c r="C407" s="13">
        <v>60</v>
      </c>
      <c r="D407" s="14">
        <f t="shared" si="23"/>
        <v>60</v>
      </c>
      <c r="E407" s="5">
        <v>41733</v>
      </c>
      <c r="G407" s="15" t="s">
        <v>113</v>
      </c>
      <c r="H407" s="13">
        <v>200</v>
      </c>
      <c r="I407" s="14">
        <f t="shared" si="24"/>
        <v>200</v>
      </c>
      <c r="J407" s="12">
        <v>41740</v>
      </c>
    </row>
    <row r="408" spans="2:10" x14ac:dyDescent="0.15">
      <c r="B408" s="10" t="s">
        <v>12</v>
      </c>
      <c r="C408" s="13">
        <v>3</v>
      </c>
      <c r="D408" s="14">
        <f t="shared" si="23"/>
        <v>3</v>
      </c>
      <c r="E408" s="12">
        <v>41729</v>
      </c>
      <c r="G408" s="78" t="s">
        <v>117</v>
      </c>
      <c r="H408" s="13">
        <v>200</v>
      </c>
      <c r="I408" s="14">
        <f t="shared" si="24"/>
        <v>200</v>
      </c>
      <c r="J408" s="12">
        <v>41745</v>
      </c>
    </row>
    <row r="409" spans="2:10" x14ac:dyDescent="0.15">
      <c r="B409" s="81" t="s">
        <v>108</v>
      </c>
      <c r="C409" s="13">
        <v>41</v>
      </c>
      <c r="D409" s="14">
        <f t="shared" si="23"/>
        <v>41</v>
      </c>
      <c r="E409" s="12">
        <v>41733</v>
      </c>
      <c r="G409" s="15" t="s">
        <v>119</v>
      </c>
      <c r="H409" s="13">
        <v>600</v>
      </c>
      <c r="I409" s="14">
        <f t="shared" si="24"/>
        <v>600</v>
      </c>
      <c r="J409" s="12">
        <v>41746</v>
      </c>
    </row>
    <row r="410" spans="2:10" x14ac:dyDescent="0.15">
      <c r="B410" s="10" t="s">
        <v>111</v>
      </c>
      <c r="C410" s="13">
        <v>1</v>
      </c>
      <c r="D410" s="14">
        <f t="shared" si="23"/>
        <v>1</v>
      </c>
      <c r="E410" s="12">
        <v>41731</v>
      </c>
      <c r="G410" s="15" t="s">
        <v>120</v>
      </c>
      <c r="H410" s="13">
        <v>800</v>
      </c>
      <c r="I410" s="14">
        <f t="shared" si="24"/>
        <v>800</v>
      </c>
      <c r="J410" s="12">
        <v>41747</v>
      </c>
    </row>
    <row r="411" spans="2:10" x14ac:dyDescent="0.15">
      <c r="B411" s="81" t="s">
        <v>109</v>
      </c>
      <c r="C411" s="13">
        <v>85</v>
      </c>
      <c r="D411" s="14">
        <f t="shared" si="23"/>
        <v>85</v>
      </c>
      <c r="E411" s="12">
        <v>41734</v>
      </c>
      <c r="G411" s="15" t="s">
        <v>123</v>
      </c>
      <c r="H411" s="13">
        <v>300</v>
      </c>
      <c r="I411" s="14">
        <f t="shared" si="24"/>
        <v>300</v>
      </c>
      <c r="J411" s="12">
        <v>41754</v>
      </c>
    </row>
    <row r="412" spans="2:10" x14ac:dyDescent="0.15">
      <c r="B412" s="10" t="s">
        <v>18</v>
      </c>
      <c r="C412" s="13">
        <v>9</v>
      </c>
      <c r="D412" s="14">
        <f t="shared" si="23"/>
        <v>9</v>
      </c>
      <c r="E412" s="12">
        <v>41734</v>
      </c>
      <c r="G412" s="80"/>
      <c r="H412" s="13"/>
      <c r="I412" s="14">
        <f t="shared" si="24"/>
        <v>0</v>
      </c>
      <c r="J412" s="12"/>
    </row>
    <row r="413" spans="2:10" x14ac:dyDescent="0.15">
      <c r="B413" s="81" t="s">
        <v>110</v>
      </c>
      <c r="C413" s="13">
        <v>86</v>
      </c>
      <c r="D413" s="14">
        <f t="shared" si="23"/>
        <v>86</v>
      </c>
      <c r="E413" s="12">
        <v>41736</v>
      </c>
      <c r="G413" s="10"/>
      <c r="H413" s="13"/>
      <c r="I413" s="14">
        <f t="shared" si="24"/>
        <v>0</v>
      </c>
      <c r="J413" s="12"/>
    </row>
    <row r="414" spans="2:10" x14ac:dyDescent="0.15">
      <c r="B414" s="10" t="s">
        <v>22</v>
      </c>
      <c r="C414" s="13">
        <v>3</v>
      </c>
      <c r="D414" s="14">
        <f t="shared" si="23"/>
        <v>3</v>
      </c>
      <c r="E414" s="12">
        <v>41733</v>
      </c>
      <c r="G414" s="78"/>
      <c r="H414" s="13"/>
      <c r="I414" s="14">
        <f t="shared" si="24"/>
        <v>0</v>
      </c>
      <c r="J414" s="12"/>
    </row>
    <row r="415" spans="2:10" x14ac:dyDescent="0.15">
      <c r="B415" s="10" t="s">
        <v>112</v>
      </c>
      <c r="C415" s="13">
        <v>2</v>
      </c>
      <c r="D415" s="14">
        <f>SUM(C415:C415)</f>
        <v>2</v>
      </c>
      <c r="E415" s="12">
        <v>41736</v>
      </c>
      <c r="G415" s="10"/>
      <c r="H415" s="22"/>
      <c r="I415" s="23">
        <f t="shared" si="24"/>
        <v>0</v>
      </c>
      <c r="J415" s="24"/>
    </row>
    <row r="416" spans="2:10" x14ac:dyDescent="0.15">
      <c r="B416" s="10" t="s">
        <v>18</v>
      </c>
      <c r="C416" s="13">
        <v>36</v>
      </c>
      <c r="D416" s="14">
        <f t="shared" si="23"/>
        <v>36</v>
      </c>
      <c r="E416" s="12">
        <v>41738</v>
      </c>
      <c r="G416" s="78"/>
      <c r="H416" s="13"/>
      <c r="I416" s="14">
        <f t="shared" si="24"/>
        <v>0</v>
      </c>
      <c r="J416" s="5"/>
    </row>
    <row r="417" spans="2:11" x14ac:dyDescent="0.15">
      <c r="B417" s="10" t="s">
        <v>115</v>
      </c>
      <c r="C417" s="13">
        <v>1</v>
      </c>
      <c r="D417" s="14">
        <f t="shared" si="23"/>
        <v>1</v>
      </c>
      <c r="E417" s="12">
        <v>41738</v>
      </c>
      <c r="G417" s="78"/>
      <c r="H417" s="13"/>
      <c r="I417" s="14">
        <f t="shared" si="24"/>
        <v>0</v>
      </c>
      <c r="J417" s="5"/>
    </row>
    <row r="418" spans="2:11" x14ac:dyDescent="0.15">
      <c r="B418" s="78" t="s">
        <v>114</v>
      </c>
      <c r="C418" s="13">
        <v>40</v>
      </c>
      <c r="D418" s="14">
        <f t="shared" si="23"/>
        <v>40</v>
      </c>
      <c r="E418" s="12">
        <v>41741</v>
      </c>
      <c r="G418" s="81"/>
      <c r="H418" s="7"/>
      <c r="I418" s="14">
        <f t="shared" si="24"/>
        <v>0</v>
      </c>
      <c r="J418" s="5"/>
    </row>
    <row r="419" spans="2:11" x14ac:dyDescent="0.15">
      <c r="B419" s="10" t="s">
        <v>116</v>
      </c>
      <c r="C419" s="13">
        <v>3</v>
      </c>
      <c r="D419" s="14">
        <f t="shared" si="23"/>
        <v>3</v>
      </c>
      <c r="E419" s="12">
        <v>41740</v>
      </c>
      <c r="G419" s="15"/>
      <c r="H419" s="13"/>
      <c r="I419" s="14">
        <f t="shared" si="24"/>
        <v>0</v>
      </c>
      <c r="J419" s="12"/>
    </row>
    <row r="420" spans="2:11" x14ac:dyDescent="0.15">
      <c r="B420" s="10" t="s">
        <v>18</v>
      </c>
      <c r="C420" s="13">
        <v>21</v>
      </c>
      <c r="D420" s="14">
        <f t="shared" si="23"/>
        <v>21</v>
      </c>
      <c r="E420" s="12">
        <v>41744</v>
      </c>
      <c r="G420" s="78"/>
      <c r="H420" s="13"/>
      <c r="I420" s="14">
        <f t="shared" si="24"/>
        <v>0</v>
      </c>
      <c r="J420" s="5"/>
    </row>
    <row r="421" spans="2:11" x14ac:dyDescent="0.15">
      <c r="B421" s="10" t="s">
        <v>22</v>
      </c>
      <c r="C421" s="13">
        <v>2</v>
      </c>
      <c r="D421" s="14">
        <f t="shared" si="23"/>
        <v>2</v>
      </c>
      <c r="E421" s="12">
        <v>41743</v>
      </c>
      <c r="G421" s="78"/>
      <c r="H421" s="13"/>
      <c r="I421" s="14">
        <f t="shared" si="24"/>
        <v>0</v>
      </c>
      <c r="J421" s="5"/>
      <c r="K421" s="86"/>
    </row>
    <row r="422" spans="2:11" x14ac:dyDescent="0.15">
      <c r="B422" s="10" t="s">
        <v>118</v>
      </c>
      <c r="C422" s="13">
        <v>1</v>
      </c>
      <c r="D422" s="14">
        <f t="shared" si="23"/>
        <v>1</v>
      </c>
      <c r="E422" s="12">
        <v>41744</v>
      </c>
      <c r="G422" s="81"/>
      <c r="H422" s="7"/>
      <c r="I422" s="14">
        <f t="shared" si="24"/>
        <v>0</v>
      </c>
      <c r="J422" s="5"/>
    </row>
    <row r="423" spans="2:11" x14ac:dyDescent="0.15">
      <c r="B423" s="10" t="s">
        <v>18</v>
      </c>
      <c r="C423" s="13">
        <v>39</v>
      </c>
      <c r="D423" s="14">
        <f t="shared" si="23"/>
        <v>39</v>
      </c>
      <c r="E423" s="12">
        <v>41747</v>
      </c>
      <c r="G423" s="15"/>
      <c r="H423" s="7"/>
      <c r="I423" s="14">
        <f t="shared" si="24"/>
        <v>0</v>
      </c>
      <c r="J423" s="5"/>
    </row>
    <row r="424" spans="2:11" x14ac:dyDescent="0.15">
      <c r="B424" s="10" t="s">
        <v>22</v>
      </c>
      <c r="C424" s="13">
        <v>1</v>
      </c>
      <c r="D424" s="14">
        <f t="shared" si="23"/>
        <v>1</v>
      </c>
      <c r="E424" s="5">
        <v>41744</v>
      </c>
      <c r="G424" s="15"/>
      <c r="H424" s="7"/>
      <c r="I424" s="14">
        <f>SUM(H424:H424)</f>
        <v>0</v>
      </c>
      <c r="J424" s="5"/>
    </row>
    <row r="425" spans="2:11" x14ac:dyDescent="0.15">
      <c r="B425" s="10" t="s">
        <v>22</v>
      </c>
      <c r="C425" s="13">
        <v>3</v>
      </c>
      <c r="D425" s="14">
        <f t="shared" si="23"/>
        <v>3</v>
      </c>
      <c r="E425" s="5">
        <v>41745</v>
      </c>
      <c r="G425" s="15"/>
      <c r="H425" s="7"/>
      <c r="I425" s="14">
        <f>SUM(H425:H425)</f>
        <v>0</v>
      </c>
      <c r="J425" s="5"/>
    </row>
    <row r="426" spans="2:11" x14ac:dyDescent="0.15">
      <c r="B426" s="10" t="s">
        <v>121</v>
      </c>
      <c r="C426" s="13">
        <v>4</v>
      </c>
      <c r="D426" s="14">
        <f t="shared" si="23"/>
        <v>4</v>
      </c>
      <c r="E426" s="5">
        <v>41746</v>
      </c>
      <c r="G426" s="10"/>
      <c r="H426" s="7"/>
      <c r="I426" s="14">
        <f t="shared" si="24"/>
        <v>0</v>
      </c>
      <c r="J426" s="5"/>
    </row>
    <row r="427" spans="2:11" x14ac:dyDescent="0.15">
      <c r="B427" s="10" t="s">
        <v>18</v>
      </c>
      <c r="C427" s="13">
        <v>21</v>
      </c>
      <c r="D427" s="14">
        <f t="shared" si="23"/>
        <v>21</v>
      </c>
      <c r="E427" s="5">
        <v>41751</v>
      </c>
      <c r="G427" s="78"/>
      <c r="H427" s="7"/>
      <c r="I427" s="14">
        <f t="shared" si="24"/>
        <v>0</v>
      </c>
      <c r="J427" s="5"/>
    </row>
    <row r="428" spans="2:11" ht="14.25" thickBot="1" x14ac:dyDescent="0.2">
      <c r="B428" s="15" t="s">
        <v>122</v>
      </c>
      <c r="C428" s="13">
        <v>4</v>
      </c>
      <c r="D428" s="11">
        <f t="shared" si="23"/>
        <v>4</v>
      </c>
      <c r="E428" s="12">
        <v>41750</v>
      </c>
      <c r="G428" s="81"/>
      <c r="H428" s="7"/>
      <c r="I428" s="14">
        <f>SUM(H428:H428)</f>
        <v>0</v>
      </c>
      <c r="J428" s="5"/>
      <c r="K428" s="84"/>
    </row>
    <row r="429" spans="2:11" ht="14.25" thickBot="1" x14ac:dyDescent="0.2">
      <c r="B429" s="17" t="s">
        <v>2</v>
      </c>
      <c r="C429" s="18">
        <f>SUM(C405:C428)</f>
        <v>473</v>
      </c>
      <c r="D429" s="19">
        <f t="shared" si="23"/>
        <v>473</v>
      </c>
      <c r="E429" s="20"/>
      <c r="G429" s="17" t="s">
        <v>2</v>
      </c>
      <c r="H429" s="18">
        <f>SUM(H405:H428)</f>
        <v>2736</v>
      </c>
      <c r="I429" s="19">
        <f t="shared" si="24"/>
        <v>2736</v>
      </c>
      <c r="J429" s="20"/>
    </row>
    <row r="430" spans="2:11" ht="14.25" thickBot="1" x14ac:dyDescent="0.2">
      <c r="B430" s="46" t="s">
        <v>3</v>
      </c>
      <c r="C430" s="52">
        <f>C404-C429</f>
        <v>103</v>
      </c>
      <c r="D430" s="48">
        <f>D404-D429</f>
        <v>103</v>
      </c>
      <c r="E430" s="49"/>
      <c r="G430" s="46" t="s">
        <v>3</v>
      </c>
      <c r="H430" s="52">
        <f>H404-H429</f>
        <v>1969</v>
      </c>
      <c r="I430" s="48">
        <f>I404-I429</f>
        <v>1969</v>
      </c>
      <c r="J430" s="49"/>
    </row>
    <row r="433" spans="2:10" ht="18.75" x14ac:dyDescent="0.2">
      <c r="B433" s="26" t="s">
        <v>7</v>
      </c>
      <c r="G433" s="26" t="s">
        <v>35</v>
      </c>
    </row>
    <row r="434" spans="2:10" ht="14.25" thickBot="1" x14ac:dyDescent="0.2"/>
    <row r="435" spans="2:10" ht="14.25" thickBot="1" x14ac:dyDescent="0.2">
      <c r="B435" s="1"/>
      <c r="C435" s="2"/>
      <c r="D435" s="3" t="s">
        <v>0</v>
      </c>
      <c r="E435" s="1" t="s">
        <v>4</v>
      </c>
      <c r="G435" s="1"/>
      <c r="H435" s="2"/>
      <c r="I435" s="3" t="s">
        <v>0</v>
      </c>
      <c r="J435" s="1" t="s">
        <v>4</v>
      </c>
    </row>
    <row r="436" spans="2:10" x14ac:dyDescent="0.15">
      <c r="B436" s="42" t="s">
        <v>5</v>
      </c>
      <c r="C436" s="43">
        <f>C430</f>
        <v>103</v>
      </c>
      <c r="D436" s="44">
        <f>SUM(C436:C436)</f>
        <v>103</v>
      </c>
      <c r="E436" s="45"/>
      <c r="G436" s="42" t="s">
        <v>5</v>
      </c>
      <c r="H436" s="43">
        <f>H430</f>
        <v>1969</v>
      </c>
      <c r="I436" s="44">
        <f>SUM(H436:H436)</f>
        <v>1969</v>
      </c>
      <c r="J436" s="45"/>
    </row>
    <row r="437" spans="2:10" x14ac:dyDescent="0.15">
      <c r="B437" s="6" t="s">
        <v>6</v>
      </c>
      <c r="C437" s="13">
        <v>2</v>
      </c>
      <c r="D437" s="14">
        <f>SUM(C437:C437)</f>
        <v>2</v>
      </c>
      <c r="E437" s="5">
        <v>41757</v>
      </c>
      <c r="G437" s="71" t="s">
        <v>6</v>
      </c>
      <c r="H437" s="13"/>
      <c r="I437" s="14">
        <f>SUM(H437:H437)</f>
        <v>0</v>
      </c>
      <c r="J437" s="5"/>
    </row>
    <row r="438" spans="2:10" x14ac:dyDescent="0.15">
      <c r="B438" s="6" t="s">
        <v>126</v>
      </c>
      <c r="C438" s="7">
        <v>1</v>
      </c>
      <c r="D438" s="8">
        <f>SUM(C438:C438)</f>
        <v>1</v>
      </c>
      <c r="E438" s="9">
        <v>41754</v>
      </c>
      <c r="G438" s="6" t="s">
        <v>6</v>
      </c>
      <c r="H438" s="67">
        <v>1008</v>
      </c>
      <c r="I438" s="14">
        <f>SUM(H438:H438)</f>
        <v>1008</v>
      </c>
      <c r="J438" s="5">
        <v>41760</v>
      </c>
    </row>
    <row r="439" spans="2:10" ht="14.25" thickBot="1" x14ac:dyDescent="0.2">
      <c r="B439" s="6" t="s">
        <v>76</v>
      </c>
      <c r="C439" s="7">
        <v>29</v>
      </c>
      <c r="D439" s="14">
        <f>SUM(C439:C439)</f>
        <v>29</v>
      </c>
      <c r="E439" s="16">
        <v>41760</v>
      </c>
      <c r="G439" s="6" t="s">
        <v>6</v>
      </c>
      <c r="H439" s="88"/>
      <c r="I439" s="14">
        <f>SUM(H439:H439)</f>
        <v>0</v>
      </c>
      <c r="J439" s="85"/>
    </row>
    <row r="440" spans="2:10" ht="14.25" thickBot="1" x14ac:dyDescent="0.2">
      <c r="B440" s="46" t="s">
        <v>1</v>
      </c>
      <c r="C440" s="48">
        <f>SUM(C436:C439)</f>
        <v>135</v>
      </c>
      <c r="D440" s="48">
        <f>SUM(D436:D439)</f>
        <v>135</v>
      </c>
      <c r="E440" s="49"/>
      <c r="G440" s="46" t="s">
        <v>1</v>
      </c>
      <c r="H440" s="47">
        <f>SUM(H436:H439)</f>
        <v>2977</v>
      </c>
      <c r="I440" s="48">
        <f>SUM(I436:I439)</f>
        <v>2977</v>
      </c>
      <c r="J440" s="49"/>
    </row>
    <row r="441" spans="2:10" x14ac:dyDescent="0.15">
      <c r="B441" s="10" t="s">
        <v>22</v>
      </c>
      <c r="C441" s="77">
        <v>1</v>
      </c>
      <c r="D441" s="11">
        <f t="shared" ref="D441:D465" si="25">SUM(C441:C441)</f>
        <v>1</v>
      </c>
      <c r="E441" s="12">
        <v>41751</v>
      </c>
      <c r="G441" s="10" t="s">
        <v>12</v>
      </c>
      <c r="H441" s="13">
        <v>336</v>
      </c>
      <c r="I441" s="11">
        <f t="shared" ref="I441:I465" si="26">SUM(H441:H441)</f>
        <v>336</v>
      </c>
      <c r="J441" s="12">
        <v>41772</v>
      </c>
    </row>
    <row r="442" spans="2:10" x14ac:dyDescent="0.15">
      <c r="B442" s="10" t="s">
        <v>18</v>
      </c>
      <c r="C442" s="13">
        <v>13</v>
      </c>
      <c r="D442" s="14">
        <f t="shared" si="25"/>
        <v>13</v>
      </c>
      <c r="E442" s="12">
        <v>41753</v>
      </c>
      <c r="G442" s="89" t="s">
        <v>132</v>
      </c>
      <c r="H442" s="13">
        <v>200</v>
      </c>
      <c r="I442" s="14">
        <f t="shared" si="26"/>
        <v>200</v>
      </c>
      <c r="J442" s="12">
        <v>41775</v>
      </c>
    </row>
    <row r="443" spans="2:10" x14ac:dyDescent="0.15">
      <c r="B443" s="10" t="s">
        <v>22</v>
      </c>
      <c r="C443" s="13">
        <v>1</v>
      </c>
      <c r="D443" s="14">
        <f t="shared" si="25"/>
        <v>1</v>
      </c>
      <c r="E443" s="12">
        <v>41752</v>
      </c>
      <c r="G443" s="10" t="s">
        <v>12</v>
      </c>
      <c r="H443" s="13">
        <v>336</v>
      </c>
      <c r="I443" s="14">
        <f t="shared" si="26"/>
        <v>336</v>
      </c>
      <c r="J443" s="12">
        <v>41781</v>
      </c>
    </row>
    <row r="444" spans="2:10" x14ac:dyDescent="0.15">
      <c r="B444" s="10" t="s">
        <v>22</v>
      </c>
      <c r="C444" s="13">
        <v>6</v>
      </c>
      <c r="D444" s="14">
        <f t="shared" si="25"/>
        <v>6</v>
      </c>
      <c r="E444" s="12">
        <v>41753</v>
      </c>
      <c r="G444" s="10"/>
      <c r="H444" s="13"/>
      <c r="I444" s="14">
        <f t="shared" si="26"/>
        <v>0</v>
      </c>
      <c r="J444" s="12"/>
    </row>
    <row r="445" spans="2:10" x14ac:dyDescent="0.15">
      <c r="B445" s="10" t="s">
        <v>125</v>
      </c>
      <c r="C445" s="13">
        <v>3</v>
      </c>
      <c r="D445" s="14">
        <f t="shared" si="25"/>
        <v>3</v>
      </c>
      <c r="E445" s="12">
        <v>41754</v>
      </c>
      <c r="G445" s="78"/>
      <c r="H445" s="13"/>
      <c r="I445" s="14">
        <f t="shared" si="26"/>
        <v>0</v>
      </c>
      <c r="J445" s="12"/>
    </row>
    <row r="446" spans="2:10" x14ac:dyDescent="0.15">
      <c r="B446" s="10" t="s">
        <v>124</v>
      </c>
      <c r="C446" s="13">
        <v>2</v>
      </c>
      <c r="D446" s="14">
        <f t="shared" si="25"/>
        <v>2</v>
      </c>
      <c r="E446" s="12">
        <v>41761</v>
      </c>
      <c r="G446" s="78"/>
      <c r="H446" s="13"/>
      <c r="I446" s="14">
        <f t="shared" si="26"/>
        <v>0</v>
      </c>
      <c r="J446" s="12"/>
    </row>
    <row r="447" spans="2:10" x14ac:dyDescent="0.15">
      <c r="B447" s="10" t="s">
        <v>127</v>
      </c>
      <c r="C447" s="13">
        <v>7</v>
      </c>
      <c r="D447" s="14">
        <f t="shared" si="25"/>
        <v>7</v>
      </c>
      <c r="E447" s="12">
        <v>41757</v>
      </c>
      <c r="G447" s="78"/>
      <c r="H447" s="13"/>
      <c r="I447" s="14">
        <f t="shared" si="26"/>
        <v>0</v>
      </c>
      <c r="J447" s="12"/>
    </row>
    <row r="448" spans="2:10" x14ac:dyDescent="0.15">
      <c r="B448" s="10" t="s">
        <v>22</v>
      </c>
      <c r="C448" s="13">
        <v>3</v>
      </c>
      <c r="D448" s="14">
        <f t="shared" si="25"/>
        <v>3</v>
      </c>
      <c r="E448" s="12">
        <v>41760</v>
      </c>
      <c r="G448" s="78"/>
      <c r="H448" s="13"/>
      <c r="I448" s="14">
        <f t="shared" si="26"/>
        <v>0</v>
      </c>
      <c r="J448" s="12"/>
    </row>
    <row r="449" spans="2:11" x14ac:dyDescent="0.15">
      <c r="B449" s="10" t="s">
        <v>22</v>
      </c>
      <c r="C449" s="13">
        <v>2</v>
      </c>
      <c r="D449" s="14">
        <f t="shared" si="25"/>
        <v>2</v>
      </c>
      <c r="E449" s="12">
        <v>41761</v>
      </c>
      <c r="G449" s="10"/>
      <c r="H449" s="13"/>
      <c r="I449" s="14">
        <f t="shared" si="26"/>
        <v>0</v>
      </c>
      <c r="J449" s="12"/>
    </row>
    <row r="450" spans="2:11" x14ac:dyDescent="0.15">
      <c r="B450" s="10" t="s">
        <v>83</v>
      </c>
      <c r="C450" s="13">
        <v>20</v>
      </c>
      <c r="D450" s="14">
        <f t="shared" si="25"/>
        <v>20</v>
      </c>
      <c r="E450" s="12">
        <v>41767</v>
      </c>
      <c r="G450" s="78"/>
      <c r="H450" s="13"/>
      <c r="I450" s="14">
        <f t="shared" si="26"/>
        <v>0</v>
      </c>
      <c r="J450" s="12"/>
    </row>
    <row r="451" spans="2:11" x14ac:dyDescent="0.15">
      <c r="B451" s="10" t="s">
        <v>22</v>
      </c>
      <c r="C451" s="13">
        <v>3</v>
      </c>
      <c r="D451" s="14">
        <f t="shared" si="25"/>
        <v>3</v>
      </c>
      <c r="E451" s="12">
        <v>41764</v>
      </c>
      <c r="G451" s="10"/>
      <c r="H451" s="22"/>
      <c r="I451" s="23">
        <f t="shared" si="26"/>
        <v>0</v>
      </c>
      <c r="J451" s="24"/>
    </row>
    <row r="452" spans="2:11" x14ac:dyDescent="0.15">
      <c r="B452" s="10" t="s">
        <v>128</v>
      </c>
      <c r="C452" s="13">
        <v>2</v>
      </c>
      <c r="D452" s="14">
        <f t="shared" si="25"/>
        <v>2</v>
      </c>
      <c r="E452" s="12">
        <v>41766</v>
      </c>
      <c r="G452" s="27"/>
      <c r="H452" s="22"/>
      <c r="I452" s="23">
        <f t="shared" si="26"/>
        <v>0</v>
      </c>
      <c r="J452" s="24"/>
    </row>
    <row r="453" spans="2:11" x14ac:dyDescent="0.15">
      <c r="B453" s="10" t="s">
        <v>18</v>
      </c>
      <c r="C453" s="13">
        <v>11</v>
      </c>
      <c r="D453" s="14">
        <f t="shared" si="25"/>
        <v>11</v>
      </c>
      <c r="E453" s="12">
        <v>41768</v>
      </c>
      <c r="G453" s="15"/>
      <c r="H453" s="13"/>
      <c r="I453" s="14">
        <f t="shared" si="26"/>
        <v>0</v>
      </c>
      <c r="J453" s="12"/>
    </row>
    <row r="454" spans="2:11" x14ac:dyDescent="0.15">
      <c r="B454" s="10" t="s">
        <v>22</v>
      </c>
      <c r="C454" s="13">
        <v>2</v>
      </c>
      <c r="D454" s="14">
        <f t="shared" si="25"/>
        <v>2</v>
      </c>
      <c r="E454" s="12">
        <v>41767</v>
      </c>
      <c r="G454" s="10"/>
      <c r="H454" s="13"/>
      <c r="I454" s="14">
        <f t="shared" si="26"/>
        <v>0</v>
      </c>
      <c r="J454" s="12"/>
    </row>
    <row r="455" spans="2:11" x14ac:dyDescent="0.15">
      <c r="B455" s="10" t="s">
        <v>130</v>
      </c>
      <c r="C455" s="13">
        <v>5</v>
      </c>
      <c r="D455" s="14">
        <f t="shared" si="25"/>
        <v>5</v>
      </c>
      <c r="E455" s="12">
        <v>41768</v>
      </c>
      <c r="G455" s="15"/>
      <c r="H455" s="13"/>
      <c r="I455" s="14">
        <f t="shared" si="26"/>
        <v>0</v>
      </c>
      <c r="J455" s="12"/>
    </row>
    <row r="456" spans="2:11" x14ac:dyDescent="0.15">
      <c r="B456" s="10" t="s">
        <v>8</v>
      </c>
      <c r="C456" s="13">
        <v>10</v>
      </c>
      <c r="D456" s="14">
        <f t="shared" si="25"/>
        <v>10</v>
      </c>
      <c r="E456" s="12">
        <v>41771</v>
      </c>
      <c r="G456" s="21"/>
      <c r="H456" s="22"/>
      <c r="I456" s="23">
        <f t="shared" si="26"/>
        <v>0</v>
      </c>
      <c r="J456" s="24"/>
    </row>
    <row r="457" spans="2:11" x14ac:dyDescent="0.15">
      <c r="B457" s="10" t="s">
        <v>129</v>
      </c>
      <c r="C457" s="13">
        <v>12</v>
      </c>
      <c r="D457" s="14">
        <f t="shared" si="25"/>
        <v>12</v>
      </c>
      <c r="E457" s="12">
        <v>41771</v>
      </c>
      <c r="G457" s="15"/>
      <c r="H457" s="13"/>
      <c r="I457" s="14">
        <f t="shared" si="26"/>
        <v>0</v>
      </c>
      <c r="J457" s="5"/>
    </row>
    <row r="458" spans="2:11" x14ac:dyDescent="0.15">
      <c r="B458" s="10" t="s">
        <v>22</v>
      </c>
      <c r="C458" s="13">
        <v>4</v>
      </c>
      <c r="D458" s="14">
        <f t="shared" si="25"/>
        <v>4</v>
      </c>
      <c r="E458" s="12">
        <v>41769</v>
      </c>
      <c r="G458" s="89"/>
      <c r="H458" s="7"/>
      <c r="I458" s="14">
        <f t="shared" si="26"/>
        <v>0</v>
      </c>
      <c r="J458" s="5"/>
    </row>
    <row r="459" spans="2:11" x14ac:dyDescent="0.15">
      <c r="B459" s="10" t="s">
        <v>22</v>
      </c>
      <c r="C459" s="13">
        <v>5</v>
      </c>
      <c r="D459" s="14">
        <f t="shared" si="25"/>
        <v>5</v>
      </c>
      <c r="E459" s="12">
        <v>41771</v>
      </c>
      <c r="G459" s="78"/>
      <c r="H459" s="13"/>
      <c r="I459" s="14">
        <f t="shared" si="26"/>
        <v>0</v>
      </c>
      <c r="J459" s="12"/>
    </row>
    <row r="460" spans="2:11" x14ac:dyDescent="0.15">
      <c r="B460" s="10"/>
      <c r="C460" s="13"/>
      <c r="D460" s="14">
        <f t="shared" si="25"/>
        <v>0</v>
      </c>
      <c r="E460" s="5"/>
      <c r="G460" s="10"/>
      <c r="H460" s="7"/>
      <c r="I460" s="14">
        <f t="shared" si="26"/>
        <v>0</v>
      </c>
      <c r="J460" s="5"/>
    </row>
    <row r="461" spans="2:11" x14ac:dyDescent="0.15">
      <c r="B461" s="10"/>
      <c r="C461" s="13"/>
      <c r="D461" s="14">
        <f t="shared" si="25"/>
        <v>0</v>
      </c>
      <c r="E461" s="5"/>
      <c r="G461" s="15"/>
      <c r="H461" s="13"/>
      <c r="I461" s="14">
        <f t="shared" si="26"/>
        <v>0</v>
      </c>
      <c r="J461" s="5"/>
    </row>
    <row r="462" spans="2:11" x14ac:dyDescent="0.15">
      <c r="B462" s="10"/>
      <c r="C462" s="13"/>
      <c r="D462" s="14">
        <f t="shared" si="25"/>
        <v>0</v>
      </c>
      <c r="E462" s="5"/>
      <c r="G462" s="89"/>
      <c r="H462" s="7"/>
      <c r="I462" s="14">
        <f t="shared" si="26"/>
        <v>0</v>
      </c>
      <c r="J462" s="5"/>
      <c r="K462" s="83"/>
    </row>
    <row r="463" spans="2:11" x14ac:dyDescent="0.15">
      <c r="B463" s="10"/>
      <c r="C463" s="13"/>
      <c r="D463" s="14">
        <f t="shared" si="25"/>
        <v>0</v>
      </c>
      <c r="E463" s="5"/>
      <c r="G463" s="78"/>
      <c r="H463" s="13"/>
      <c r="I463" s="14">
        <f>SUM(H463:H463)</f>
        <v>0</v>
      </c>
      <c r="J463" s="12"/>
      <c r="K463" s="83"/>
    </row>
    <row r="464" spans="2:11" ht="14.25" thickBot="1" x14ac:dyDescent="0.2">
      <c r="B464" s="15"/>
      <c r="C464" s="13"/>
      <c r="D464" s="11">
        <f t="shared" si="25"/>
        <v>0</v>
      </c>
      <c r="E464" s="12"/>
      <c r="G464" s="78"/>
      <c r="H464" s="13"/>
      <c r="I464" s="14">
        <f t="shared" si="26"/>
        <v>0</v>
      </c>
      <c r="J464" s="5"/>
      <c r="K464" s="87"/>
    </row>
    <row r="465" spans="2:10" ht="14.25" thickBot="1" x14ac:dyDescent="0.2">
      <c r="B465" s="17" t="s">
        <v>2</v>
      </c>
      <c r="C465" s="18">
        <f>SUM(C441:C464)</f>
        <v>112</v>
      </c>
      <c r="D465" s="19">
        <f t="shared" si="25"/>
        <v>112</v>
      </c>
      <c r="E465" s="20"/>
      <c r="G465" s="17" t="s">
        <v>2</v>
      </c>
      <c r="H465" s="18">
        <f>SUM(H441:H464)</f>
        <v>872</v>
      </c>
      <c r="I465" s="19">
        <f t="shared" si="26"/>
        <v>872</v>
      </c>
      <c r="J465" s="20"/>
    </row>
    <row r="466" spans="2:10" ht="14.25" thickBot="1" x14ac:dyDescent="0.2">
      <c r="B466" s="46" t="s">
        <v>3</v>
      </c>
      <c r="C466" s="52">
        <f>C440-C465</f>
        <v>23</v>
      </c>
      <c r="D466" s="48">
        <f>D440-D465</f>
        <v>23</v>
      </c>
      <c r="E466" s="49"/>
      <c r="G466" s="46" t="s">
        <v>3</v>
      </c>
      <c r="H466" s="52">
        <f>H440-H465</f>
        <v>2105</v>
      </c>
      <c r="I466" s="48">
        <f>I440-I465</f>
        <v>2105</v>
      </c>
      <c r="J466" s="49"/>
    </row>
    <row r="469" spans="2:10" ht="18.75" x14ac:dyDescent="0.2">
      <c r="B469" s="26" t="s">
        <v>7</v>
      </c>
      <c r="G469" s="26" t="s">
        <v>35</v>
      </c>
    </row>
    <row r="470" spans="2:10" ht="14.25" thickBot="1" x14ac:dyDescent="0.2"/>
    <row r="471" spans="2:10" ht="14.25" thickBot="1" x14ac:dyDescent="0.2">
      <c r="B471" s="1"/>
      <c r="C471" s="2"/>
      <c r="D471" s="3" t="s">
        <v>0</v>
      </c>
      <c r="E471" s="1" t="s">
        <v>4</v>
      </c>
      <c r="G471" s="1"/>
      <c r="H471" s="2"/>
      <c r="I471" s="3" t="s">
        <v>0</v>
      </c>
      <c r="J471" s="1" t="s">
        <v>4</v>
      </c>
    </row>
    <row r="472" spans="2:10" x14ac:dyDescent="0.15">
      <c r="B472" s="42" t="s">
        <v>5</v>
      </c>
      <c r="C472" s="43">
        <f>C466</f>
        <v>23</v>
      </c>
      <c r="D472" s="44">
        <f>SUM(C472:C472)</f>
        <v>23</v>
      </c>
      <c r="E472" s="45"/>
      <c r="G472" s="42" t="s">
        <v>5</v>
      </c>
      <c r="H472" s="43">
        <f>H466</f>
        <v>2105</v>
      </c>
      <c r="I472" s="44">
        <f>SUM(H472:H472)</f>
        <v>2105</v>
      </c>
      <c r="J472" s="45"/>
    </row>
    <row r="473" spans="2:10" x14ac:dyDescent="0.15">
      <c r="B473" s="6" t="s">
        <v>6</v>
      </c>
      <c r="C473" s="13">
        <v>336</v>
      </c>
      <c r="D473" s="14">
        <f>SUM(C473:C473)</f>
        <v>336</v>
      </c>
      <c r="E473" s="5">
        <v>41772</v>
      </c>
      <c r="G473" s="71" t="s">
        <v>6</v>
      </c>
      <c r="H473" s="13"/>
      <c r="I473" s="14">
        <f>SUM(H473:H473)</f>
        <v>0</v>
      </c>
      <c r="J473" s="5"/>
    </row>
    <row r="474" spans="2:10" x14ac:dyDescent="0.15">
      <c r="B474" s="6" t="s">
        <v>6</v>
      </c>
      <c r="C474" s="7">
        <v>336</v>
      </c>
      <c r="D474" s="8">
        <f>SUM(C474:C474)</f>
        <v>336</v>
      </c>
      <c r="E474" s="9">
        <v>41781</v>
      </c>
      <c r="G474" s="6" t="s">
        <v>6</v>
      </c>
      <c r="H474" s="67"/>
      <c r="I474" s="14">
        <f>SUM(H474:H474)</f>
        <v>0</v>
      </c>
      <c r="J474" s="5"/>
    </row>
    <row r="475" spans="2:10" ht="14.25" thickBot="1" x14ac:dyDescent="0.2">
      <c r="B475" s="6" t="s">
        <v>6</v>
      </c>
      <c r="C475" s="7"/>
      <c r="D475" s="14">
        <f>SUM(C475:C475)</f>
        <v>0</v>
      </c>
      <c r="E475" s="16"/>
      <c r="G475" s="6" t="s">
        <v>6</v>
      </c>
      <c r="H475" s="88"/>
      <c r="I475" s="14">
        <f>SUM(H475:H475)</f>
        <v>0</v>
      </c>
      <c r="J475" s="85"/>
    </row>
    <row r="476" spans="2:10" ht="14.25" thickBot="1" x14ac:dyDescent="0.2">
      <c r="B476" s="46" t="s">
        <v>1</v>
      </c>
      <c r="C476" s="48">
        <f>SUM(C472:C475)</f>
        <v>695</v>
      </c>
      <c r="D476" s="48">
        <f>SUM(D472:D475)</f>
        <v>695</v>
      </c>
      <c r="E476" s="49"/>
      <c r="G476" s="46" t="s">
        <v>1</v>
      </c>
      <c r="H476" s="47">
        <f>SUM(H472:H475)</f>
        <v>2105</v>
      </c>
      <c r="I476" s="48">
        <f>SUM(I472:I475)</f>
        <v>2105</v>
      </c>
      <c r="J476" s="49"/>
    </row>
    <row r="477" spans="2:10" x14ac:dyDescent="0.15">
      <c r="B477" s="10" t="s">
        <v>57</v>
      </c>
      <c r="C477" s="77">
        <v>10</v>
      </c>
      <c r="D477" s="11">
        <f t="shared" ref="D477:D501" si="27">SUM(C477:C477)</f>
        <v>10</v>
      </c>
      <c r="E477" s="12">
        <v>41775</v>
      </c>
      <c r="G477" s="10"/>
      <c r="H477" s="13"/>
      <c r="I477" s="11">
        <f t="shared" ref="I477:I498" si="28">SUM(H477:H477)</f>
        <v>0</v>
      </c>
      <c r="J477" s="12"/>
    </row>
    <row r="478" spans="2:10" x14ac:dyDescent="0.15">
      <c r="B478" s="10" t="s">
        <v>18</v>
      </c>
      <c r="C478" s="13">
        <v>5</v>
      </c>
      <c r="D478" s="14">
        <f t="shared" si="27"/>
        <v>5</v>
      </c>
      <c r="E478" s="12">
        <v>41774</v>
      </c>
      <c r="G478" s="89"/>
      <c r="H478" s="13"/>
      <c r="I478" s="14">
        <f t="shared" si="28"/>
        <v>0</v>
      </c>
      <c r="J478" s="12"/>
    </row>
    <row r="479" spans="2:10" x14ac:dyDescent="0.15">
      <c r="B479" s="10" t="s">
        <v>131</v>
      </c>
      <c r="C479" s="13">
        <v>100</v>
      </c>
      <c r="D479" s="14">
        <f t="shared" si="27"/>
        <v>100</v>
      </c>
      <c r="E479" s="12">
        <v>41773</v>
      </c>
      <c r="G479" s="10"/>
      <c r="H479" s="13"/>
      <c r="I479" s="14">
        <f t="shared" si="28"/>
        <v>0</v>
      </c>
      <c r="J479" s="12"/>
    </row>
    <row r="480" spans="2:10" x14ac:dyDescent="0.15">
      <c r="B480" s="10" t="s">
        <v>106</v>
      </c>
      <c r="C480" s="13">
        <v>1</v>
      </c>
      <c r="D480" s="14">
        <f t="shared" si="27"/>
        <v>1</v>
      </c>
      <c r="E480" s="12">
        <v>41773</v>
      </c>
      <c r="G480" s="78"/>
      <c r="H480" s="13"/>
      <c r="I480" s="14">
        <f t="shared" si="28"/>
        <v>0</v>
      </c>
      <c r="J480" s="12"/>
    </row>
    <row r="481" spans="2:10" x14ac:dyDescent="0.15">
      <c r="B481" s="10" t="s">
        <v>133</v>
      </c>
      <c r="C481" s="13">
        <v>5</v>
      </c>
      <c r="D481" s="14">
        <f t="shared" si="27"/>
        <v>5</v>
      </c>
      <c r="E481" s="12">
        <v>41773</v>
      </c>
      <c r="G481" s="78"/>
      <c r="H481" s="13"/>
      <c r="I481" s="14">
        <f t="shared" si="28"/>
        <v>0</v>
      </c>
      <c r="J481" s="12"/>
    </row>
    <row r="482" spans="2:10" x14ac:dyDescent="0.15">
      <c r="B482" s="10" t="s">
        <v>57</v>
      </c>
      <c r="C482" s="13">
        <v>20</v>
      </c>
      <c r="D482" s="14">
        <f t="shared" si="27"/>
        <v>20</v>
      </c>
      <c r="E482" s="12">
        <v>41780</v>
      </c>
      <c r="G482" s="78"/>
      <c r="H482" s="13"/>
      <c r="I482" s="14">
        <f t="shared" si="28"/>
        <v>0</v>
      </c>
      <c r="J482" s="12"/>
    </row>
    <row r="483" spans="2:10" x14ac:dyDescent="0.15">
      <c r="B483" s="10" t="s">
        <v>22</v>
      </c>
      <c r="C483" s="13">
        <v>2</v>
      </c>
      <c r="D483" s="14">
        <f t="shared" si="27"/>
        <v>2</v>
      </c>
      <c r="E483" s="12">
        <v>41774</v>
      </c>
      <c r="G483" s="78"/>
      <c r="H483" s="13"/>
      <c r="I483" s="14">
        <f t="shared" si="28"/>
        <v>0</v>
      </c>
      <c r="J483" s="12"/>
    </row>
    <row r="484" spans="2:10" x14ac:dyDescent="0.15">
      <c r="B484" s="10" t="s">
        <v>134</v>
      </c>
      <c r="C484" s="13">
        <v>100</v>
      </c>
      <c r="D484" s="14">
        <f t="shared" si="27"/>
        <v>100</v>
      </c>
      <c r="E484" s="12">
        <v>41776</v>
      </c>
      <c r="G484" s="78"/>
      <c r="H484" s="13"/>
      <c r="I484" s="14">
        <f t="shared" si="28"/>
        <v>0</v>
      </c>
      <c r="J484" s="12"/>
    </row>
    <row r="485" spans="2:10" x14ac:dyDescent="0.15">
      <c r="B485" s="10" t="s">
        <v>22</v>
      </c>
      <c r="C485" s="13">
        <v>3</v>
      </c>
      <c r="D485" s="14">
        <f t="shared" si="27"/>
        <v>3</v>
      </c>
      <c r="E485" s="12">
        <v>41776</v>
      </c>
      <c r="G485" s="10"/>
      <c r="H485" s="13"/>
      <c r="I485" s="14">
        <f t="shared" si="28"/>
        <v>0</v>
      </c>
      <c r="J485" s="12"/>
    </row>
    <row r="486" spans="2:10" x14ac:dyDescent="0.15">
      <c r="B486" s="10" t="s">
        <v>18</v>
      </c>
      <c r="C486" s="13">
        <v>21</v>
      </c>
      <c r="D486" s="14">
        <f t="shared" si="27"/>
        <v>21</v>
      </c>
      <c r="E486" s="12">
        <v>41779</v>
      </c>
      <c r="G486" s="78"/>
      <c r="H486" s="13"/>
      <c r="I486" s="14">
        <f t="shared" si="28"/>
        <v>0</v>
      </c>
      <c r="J486" s="12"/>
    </row>
    <row r="487" spans="2:10" x14ac:dyDescent="0.15">
      <c r="B487" s="10" t="s">
        <v>22</v>
      </c>
      <c r="C487" s="13">
        <v>7</v>
      </c>
      <c r="D487" s="14">
        <f t="shared" si="27"/>
        <v>7</v>
      </c>
      <c r="E487" s="12">
        <v>41778</v>
      </c>
      <c r="G487" s="10"/>
      <c r="H487" s="13"/>
      <c r="I487" s="14">
        <f t="shared" si="28"/>
        <v>0</v>
      </c>
      <c r="J487" s="12"/>
    </row>
    <row r="488" spans="2:10" x14ac:dyDescent="0.15">
      <c r="B488" s="10" t="s">
        <v>57</v>
      </c>
      <c r="C488" s="13">
        <v>20</v>
      </c>
      <c r="D488" s="14">
        <f t="shared" si="27"/>
        <v>20</v>
      </c>
      <c r="E488" s="12">
        <v>41780</v>
      </c>
      <c r="G488" s="10"/>
      <c r="H488" s="13"/>
      <c r="I488" s="14">
        <f t="shared" si="28"/>
        <v>0</v>
      </c>
      <c r="J488" s="12"/>
    </row>
    <row r="489" spans="2:10" x14ac:dyDescent="0.15">
      <c r="B489" s="10" t="s">
        <v>135</v>
      </c>
      <c r="C489" s="13">
        <v>50</v>
      </c>
      <c r="D489" s="14">
        <f t="shared" si="27"/>
        <v>50</v>
      </c>
      <c r="E489" s="12">
        <v>41780</v>
      </c>
      <c r="G489" s="15"/>
      <c r="H489" s="13"/>
      <c r="I489" s="14">
        <f t="shared" si="28"/>
        <v>0</v>
      </c>
      <c r="J489" s="12"/>
    </row>
    <row r="490" spans="2:10" x14ac:dyDescent="0.15">
      <c r="B490" s="10" t="s">
        <v>136</v>
      </c>
      <c r="C490" s="13">
        <v>30</v>
      </c>
      <c r="D490" s="14">
        <f t="shared" si="27"/>
        <v>30</v>
      </c>
      <c r="E490" s="12">
        <v>41785</v>
      </c>
      <c r="G490" s="10"/>
      <c r="H490" s="13"/>
      <c r="I490" s="14">
        <f t="shared" si="28"/>
        <v>0</v>
      </c>
      <c r="J490" s="12"/>
    </row>
    <row r="491" spans="2:10" x14ac:dyDescent="0.15">
      <c r="B491" s="10" t="s">
        <v>18</v>
      </c>
      <c r="C491" s="13">
        <v>8</v>
      </c>
      <c r="D491" s="14">
        <f t="shared" si="27"/>
        <v>8</v>
      </c>
      <c r="E491" s="12">
        <v>41782</v>
      </c>
      <c r="G491" s="15"/>
      <c r="H491" s="13"/>
      <c r="I491" s="14">
        <f t="shared" si="28"/>
        <v>0</v>
      </c>
      <c r="J491" s="12"/>
    </row>
    <row r="492" spans="2:10" x14ac:dyDescent="0.15">
      <c r="B492" s="10" t="s">
        <v>22</v>
      </c>
      <c r="C492" s="13">
        <v>1</v>
      </c>
      <c r="D492" s="14">
        <f t="shared" si="27"/>
        <v>1</v>
      </c>
      <c r="E492" s="12">
        <v>41781</v>
      </c>
      <c r="G492" s="15"/>
      <c r="H492" s="13"/>
      <c r="I492" s="14">
        <f t="shared" si="28"/>
        <v>0</v>
      </c>
      <c r="J492" s="12"/>
    </row>
    <row r="493" spans="2:10" x14ac:dyDescent="0.15">
      <c r="B493" s="10" t="s">
        <v>114</v>
      </c>
      <c r="C493" s="13">
        <v>50</v>
      </c>
      <c r="D493" s="14">
        <f t="shared" si="27"/>
        <v>50</v>
      </c>
      <c r="E493" s="12">
        <v>41782</v>
      </c>
      <c r="G493" s="15"/>
      <c r="H493" s="13"/>
      <c r="I493" s="14">
        <f t="shared" si="28"/>
        <v>0</v>
      </c>
      <c r="J493" s="5"/>
    </row>
    <row r="494" spans="2:10" x14ac:dyDescent="0.15">
      <c r="B494" s="10" t="s">
        <v>137</v>
      </c>
      <c r="C494" s="13">
        <v>100</v>
      </c>
      <c r="D494" s="14">
        <f t="shared" si="27"/>
        <v>100</v>
      </c>
      <c r="E494" s="12">
        <v>41785</v>
      </c>
      <c r="G494" s="89"/>
      <c r="H494" s="7"/>
      <c r="I494" s="14">
        <f t="shared" si="28"/>
        <v>0</v>
      </c>
      <c r="J494" s="5"/>
    </row>
    <row r="495" spans="2:10" x14ac:dyDescent="0.15">
      <c r="B495" s="10" t="s">
        <v>12</v>
      </c>
      <c r="C495" s="13">
        <v>1</v>
      </c>
      <c r="D495" s="14">
        <f t="shared" si="27"/>
        <v>1</v>
      </c>
      <c r="E495" s="12">
        <v>41784</v>
      </c>
      <c r="G495" s="15"/>
      <c r="H495" s="13"/>
      <c r="I495" s="14">
        <f t="shared" si="28"/>
        <v>0</v>
      </c>
      <c r="J495" s="12"/>
    </row>
    <row r="496" spans="2:10" x14ac:dyDescent="0.15">
      <c r="B496" s="10" t="s">
        <v>22</v>
      </c>
      <c r="C496" s="13">
        <v>2</v>
      </c>
      <c r="D496" s="14">
        <f t="shared" si="27"/>
        <v>2</v>
      </c>
      <c r="E496" s="5">
        <v>41785</v>
      </c>
      <c r="G496" s="78"/>
      <c r="H496" s="13"/>
      <c r="I496" s="14">
        <f t="shared" si="28"/>
        <v>0</v>
      </c>
      <c r="J496" s="5"/>
    </row>
    <row r="497" spans="2:11" x14ac:dyDescent="0.15">
      <c r="B497" s="10" t="s">
        <v>138</v>
      </c>
      <c r="C497" s="13">
        <v>45</v>
      </c>
      <c r="D497" s="14">
        <f t="shared" si="27"/>
        <v>45</v>
      </c>
      <c r="E497" s="5">
        <v>41787</v>
      </c>
      <c r="G497" s="90"/>
      <c r="H497" s="7"/>
      <c r="I497" s="14">
        <f t="shared" si="28"/>
        <v>0</v>
      </c>
      <c r="J497" s="5"/>
    </row>
    <row r="498" spans="2:11" x14ac:dyDescent="0.15">
      <c r="B498" s="10" t="s">
        <v>57</v>
      </c>
      <c r="C498" s="13">
        <v>5</v>
      </c>
      <c r="D498" s="14">
        <f t="shared" si="27"/>
        <v>5</v>
      </c>
      <c r="E498" s="5">
        <v>41789</v>
      </c>
      <c r="G498" s="15"/>
      <c r="H498" s="7"/>
      <c r="I498" s="14">
        <f t="shared" si="28"/>
        <v>0</v>
      </c>
      <c r="J498" s="5"/>
      <c r="K498" s="83"/>
    </row>
    <row r="499" spans="2:11" x14ac:dyDescent="0.15">
      <c r="B499" s="10" t="s">
        <v>22</v>
      </c>
      <c r="C499" s="13">
        <v>2</v>
      </c>
      <c r="D499" s="14">
        <f t="shared" si="27"/>
        <v>2</v>
      </c>
      <c r="E499" s="5">
        <v>41786</v>
      </c>
      <c r="G499" s="89"/>
      <c r="H499" s="7"/>
      <c r="I499" s="14">
        <f>SUM(H499:H499)</f>
        <v>0</v>
      </c>
      <c r="J499" s="5"/>
      <c r="K499" s="83"/>
    </row>
    <row r="500" spans="2:11" ht="14.25" thickBot="1" x14ac:dyDescent="0.2">
      <c r="B500" s="15" t="s">
        <v>22</v>
      </c>
      <c r="C500" s="13">
        <v>5</v>
      </c>
      <c r="D500" s="11">
        <f t="shared" si="27"/>
        <v>5</v>
      </c>
      <c r="E500" s="12">
        <v>41787</v>
      </c>
      <c r="G500" s="89"/>
      <c r="H500" s="7"/>
      <c r="I500" s="14">
        <f>SUM(H500:H500)</f>
        <v>0</v>
      </c>
      <c r="J500" s="85"/>
      <c r="K500" s="83"/>
    </row>
    <row r="501" spans="2:11" ht="14.25" thickBot="1" x14ac:dyDescent="0.2">
      <c r="B501" s="17" t="s">
        <v>2</v>
      </c>
      <c r="C501" s="18">
        <f>SUM(C477:C500)</f>
        <v>593</v>
      </c>
      <c r="D501" s="19">
        <f t="shared" si="27"/>
        <v>593</v>
      </c>
      <c r="E501" s="20"/>
      <c r="G501" s="17" t="s">
        <v>2</v>
      </c>
      <c r="H501" s="18">
        <f>SUM(H477:H500)</f>
        <v>0</v>
      </c>
      <c r="I501" s="19">
        <f>SUM(H501:H501)</f>
        <v>0</v>
      </c>
      <c r="J501" s="20"/>
    </row>
    <row r="502" spans="2:11" ht="14.25" thickBot="1" x14ac:dyDescent="0.2">
      <c r="B502" s="46" t="s">
        <v>3</v>
      </c>
      <c r="C502" s="52">
        <f>C476-C501</f>
        <v>102</v>
      </c>
      <c r="D502" s="48">
        <f>D476-D501</f>
        <v>102</v>
      </c>
      <c r="E502" s="49"/>
      <c r="G502" s="46" t="s">
        <v>3</v>
      </c>
      <c r="H502" s="52">
        <f>H476-H501</f>
        <v>2105</v>
      </c>
      <c r="I502" s="48">
        <f>I476-I501</f>
        <v>2105</v>
      </c>
      <c r="J502" s="49"/>
    </row>
    <row r="505" spans="2:11" ht="18.75" x14ac:dyDescent="0.2">
      <c r="B505" s="26" t="s">
        <v>7</v>
      </c>
      <c r="G505" s="26" t="s">
        <v>35</v>
      </c>
    </row>
    <row r="506" spans="2:11" ht="14.25" thickBot="1" x14ac:dyDescent="0.2"/>
    <row r="507" spans="2:11" ht="14.25" thickBot="1" x14ac:dyDescent="0.2">
      <c r="B507" s="1"/>
      <c r="C507" s="2"/>
      <c r="D507" s="3" t="s">
        <v>0</v>
      </c>
      <c r="E507" s="1" t="s">
        <v>4</v>
      </c>
      <c r="G507" s="1"/>
      <c r="H507" s="2"/>
      <c r="I507" s="3" t="s">
        <v>0</v>
      </c>
      <c r="J507" s="1" t="s">
        <v>4</v>
      </c>
    </row>
    <row r="508" spans="2:11" x14ac:dyDescent="0.15">
      <c r="B508" s="42" t="s">
        <v>5</v>
      </c>
      <c r="C508" s="43">
        <f>C502</f>
        <v>102</v>
      </c>
      <c r="D508" s="44">
        <f>SUM(C508:C508)</f>
        <v>102</v>
      </c>
      <c r="E508" s="45"/>
      <c r="G508" s="42" t="s">
        <v>5</v>
      </c>
      <c r="H508" s="43">
        <f>H502</f>
        <v>2105</v>
      </c>
      <c r="I508" s="44">
        <f>SUM(H508:H508)</f>
        <v>2105</v>
      </c>
      <c r="J508" s="45"/>
    </row>
    <row r="509" spans="2:11" x14ac:dyDescent="0.15">
      <c r="B509" s="6" t="s">
        <v>6</v>
      </c>
      <c r="C509" s="13">
        <v>336</v>
      </c>
      <c r="D509" s="14">
        <f>SUM(C509:C509)</f>
        <v>336</v>
      </c>
      <c r="E509" s="5">
        <v>41794</v>
      </c>
      <c r="G509" s="71" t="s">
        <v>6</v>
      </c>
      <c r="H509" s="13"/>
      <c r="I509" s="14">
        <f>SUM(H509:H509)</f>
        <v>0</v>
      </c>
      <c r="J509" s="5"/>
    </row>
    <row r="510" spans="2:11" x14ac:dyDescent="0.15">
      <c r="B510" s="6" t="s">
        <v>6</v>
      </c>
      <c r="C510" s="7">
        <v>336</v>
      </c>
      <c r="D510" s="8">
        <f>SUM(C510:C510)</f>
        <v>336</v>
      </c>
      <c r="E510" s="9">
        <v>41806</v>
      </c>
      <c r="G510" s="6" t="s">
        <v>6</v>
      </c>
      <c r="H510" s="67">
        <v>2016</v>
      </c>
      <c r="I510" s="14">
        <f>SUM(H510:H510)</f>
        <v>2016</v>
      </c>
      <c r="J510" s="5">
        <v>41791</v>
      </c>
    </row>
    <row r="511" spans="2:11" ht="14.25" thickBot="1" x14ac:dyDescent="0.2">
      <c r="B511" s="6" t="s">
        <v>6</v>
      </c>
      <c r="C511" s="7"/>
      <c r="D511" s="14">
        <f>SUM(C511:C511)</f>
        <v>0</v>
      </c>
      <c r="E511" s="16"/>
      <c r="G511" s="6" t="s">
        <v>6</v>
      </c>
      <c r="H511" s="88">
        <v>2016</v>
      </c>
      <c r="I511" s="14">
        <f>SUM(H511:H511)</f>
        <v>2016</v>
      </c>
      <c r="J511" s="85">
        <v>41800</v>
      </c>
    </row>
    <row r="512" spans="2:11" ht="14.25" thickBot="1" x14ac:dyDescent="0.2">
      <c r="B512" s="46" t="s">
        <v>1</v>
      </c>
      <c r="C512" s="48">
        <f>SUM(C508:C511)</f>
        <v>774</v>
      </c>
      <c r="D512" s="48">
        <f>SUM(D508:D511)</f>
        <v>774</v>
      </c>
      <c r="E512" s="49"/>
      <c r="G512" s="46" t="s">
        <v>1</v>
      </c>
      <c r="H512" s="47">
        <f>SUM(H508:H511)</f>
        <v>6137</v>
      </c>
      <c r="I512" s="48">
        <f>SUM(I508:I511)</f>
        <v>6137</v>
      </c>
      <c r="J512" s="49"/>
    </row>
    <row r="513" spans="2:10" x14ac:dyDescent="0.15">
      <c r="B513" s="10" t="s">
        <v>22</v>
      </c>
      <c r="C513" s="77">
        <v>1</v>
      </c>
      <c r="D513" s="11">
        <f t="shared" ref="D513:D537" si="29">SUM(C513:C513)</f>
        <v>1</v>
      </c>
      <c r="E513" s="12">
        <v>41788</v>
      </c>
      <c r="G513" s="10" t="s">
        <v>12</v>
      </c>
      <c r="H513" s="13">
        <v>336</v>
      </c>
      <c r="I513" s="11">
        <f t="shared" ref="I513:I534" si="30">SUM(H513:H513)</f>
        <v>336</v>
      </c>
      <c r="J513" s="12">
        <v>41794</v>
      </c>
    </row>
    <row r="514" spans="2:10" x14ac:dyDescent="0.15">
      <c r="B514" s="10" t="s">
        <v>139</v>
      </c>
      <c r="C514" s="13">
        <v>4</v>
      </c>
      <c r="D514" s="14">
        <f t="shared" si="29"/>
        <v>4</v>
      </c>
      <c r="E514" s="12">
        <v>41794</v>
      </c>
      <c r="G514" s="89" t="s">
        <v>157</v>
      </c>
      <c r="H514" s="13">
        <v>250</v>
      </c>
      <c r="I514" s="14">
        <f t="shared" si="30"/>
        <v>250</v>
      </c>
      <c r="J514" s="12">
        <v>41807</v>
      </c>
    </row>
    <row r="515" spans="2:10" x14ac:dyDescent="0.15">
      <c r="B515" s="10" t="s">
        <v>141</v>
      </c>
      <c r="C515" s="13">
        <v>3</v>
      </c>
      <c r="D515" s="14">
        <f t="shared" si="29"/>
        <v>3</v>
      </c>
      <c r="E515" s="12">
        <v>41790</v>
      </c>
      <c r="G515" s="10" t="s">
        <v>12</v>
      </c>
      <c r="H515" s="13">
        <v>336</v>
      </c>
      <c r="I515" s="14">
        <f t="shared" si="30"/>
        <v>336</v>
      </c>
      <c r="J515" s="12">
        <v>41806</v>
      </c>
    </row>
    <row r="516" spans="2:10" x14ac:dyDescent="0.15">
      <c r="B516" s="10" t="s">
        <v>140</v>
      </c>
      <c r="C516" s="13">
        <v>24</v>
      </c>
      <c r="D516" s="14">
        <f t="shared" si="29"/>
        <v>24</v>
      </c>
      <c r="E516" s="12">
        <v>41793</v>
      </c>
      <c r="G516" s="78" t="s">
        <v>114</v>
      </c>
      <c r="H516" s="13">
        <v>100</v>
      </c>
      <c r="I516" s="14">
        <f t="shared" si="30"/>
        <v>100</v>
      </c>
      <c r="J516" s="12">
        <v>41802</v>
      </c>
    </row>
    <row r="517" spans="2:10" x14ac:dyDescent="0.15">
      <c r="B517" s="10" t="s">
        <v>143</v>
      </c>
      <c r="C517" s="13">
        <v>11</v>
      </c>
      <c r="D517" s="14">
        <f t="shared" si="29"/>
        <v>11</v>
      </c>
      <c r="E517" s="12">
        <v>41792</v>
      </c>
      <c r="G517" s="78" t="s">
        <v>148</v>
      </c>
      <c r="H517" s="13">
        <v>900</v>
      </c>
      <c r="I517" s="14">
        <f t="shared" si="30"/>
        <v>900</v>
      </c>
      <c r="J517" s="12">
        <v>41803</v>
      </c>
    </row>
    <row r="518" spans="2:10" x14ac:dyDescent="0.15">
      <c r="B518" s="10" t="s">
        <v>142</v>
      </c>
      <c r="C518" s="13">
        <v>13</v>
      </c>
      <c r="D518" s="14">
        <f t="shared" si="29"/>
        <v>13</v>
      </c>
      <c r="E518" s="12">
        <v>41795</v>
      </c>
      <c r="G518" s="15" t="s">
        <v>153</v>
      </c>
      <c r="H518" s="13">
        <v>400</v>
      </c>
      <c r="I518" s="14">
        <f t="shared" si="30"/>
        <v>400</v>
      </c>
      <c r="J518" s="12">
        <v>41809</v>
      </c>
    </row>
    <row r="519" spans="2:10" x14ac:dyDescent="0.15">
      <c r="B519" s="10" t="s">
        <v>145</v>
      </c>
      <c r="C519" s="13">
        <v>2</v>
      </c>
      <c r="D519" s="14">
        <f t="shared" si="29"/>
        <v>2</v>
      </c>
      <c r="E519" s="12">
        <v>41793</v>
      </c>
      <c r="G519" s="15" t="s">
        <v>155</v>
      </c>
      <c r="H519" s="13">
        <v>300</v>
      </c>
      <c r="I519" s="14">
        <f t="shared" si="30"/>
        <v>300</v>
      </c>
      <c r="J519" s="12">
        <v>41810</v>
      </c>
    </row>
    <row r="520" spans="2:10" x14ac:dyDescent="0.15">
      <c r="B520" s="10" t="s">
        <v>144</v>
      </c>
      <c r="C520" s="13">
        <v>23</v>
      </c>
      <c r="D520" s="14">
        <f t="shared" si="29"/>
        <v>23</v>
      </c>
      <c r="E520" s="12">
        <v>41795</v>
      </c>
      <c r="G520" s="15" t="s">
        <v>156</v>
      </c>
      <c r="H520" s="13">
        <v>200</v>
      </c>
      <c r="I520" s="14">
        <f t="shared" si="30"/>
        <v>200</v>
      </c>
      <c r="J520" s="12">
        <v>41810</v>
      </c>
    </row>
    <row r="521" spans="2:10" x14ac:dyDescent="0.15">
      <c r="B521" s="10" t="s">
        <v>22</v>
      </c>
      <c r="C521" s="13">
        <v>2</v>
      </c>
      <c r="D521" s="14">
        <f t="shared" si="29"/>
        <v>2</v>
      </c>
      <c r="E521" s="12">
        <v>41794</v>
      </c>
      <c r="G521" s="10" t="s">
        <v>12</v>
      </c>
      <c r="H521" s="13">
        <v>336</v>
      </c>
      <c r="I521" s="14">
        <f t="shared" si="30"/>
        <v>336</v>
      </c>
      <c r="J521" s="12">
        <v>41811</v>
      </c>
    </row>
    <row r="522" spans="2:10" x14ac:dyDescent="0.15">
      <c r="B522" s="10" t="s">
        <v>22</v>
      </c>
      <c r="C522" s="13">
        <v>2</v>
      </c>
      <c r="D522" s="14">
        <f t="shared" si="29"/>
        <v>2</v>
      </c>
      <c r="E522" s="12">
        <v>41795</v>
      </c>
      <c r="G522" s="89" t="s">
        <v>162</v>
      </c>
      <c r="H522" s="13">
        <v>740</v>
      </c>
      <c r="I522" s="14">
        <f t="shared" si="30"/>
        <v>740</v>
      </c>
      <c r="J522" s="12">
        <v>41816</v>
      </c>
    </row>
    <row r="523" spans="2:10" x14ac:dyDescent="0.15">
      <c r="B523" s="10" t="s">
        <v>18</v>
      </c>
      <c r="C523" s="13">
        <v>25</v>
      </c>
      <c r="D523" s="14">
        <f t="shared" si="29"/>
        <v>25</v>
      </c>
      <c r="E523" s="12">
        <v>41797</v>
      </c>
      <c r="G523" s="15" t="s">
        <v>164</v>
      </c>
      <c r="H523" s="13">
        <v>1000</v>
      </c>
      <c r="I523" s="14">
        <f t="shared" si="30"/>
        <v>1000</v>
      </c>
      <c r="J523" s="12">
        <v>41817</v>
      </c>
    </row>
    <row r="524" spans="2:10" x14ac:dyDescent="0.15">
      <c r="B524" s="10" t="s">
        <v>22</v>
      </c>
      <c r="C524" s="13">
        <v>3</v>
      </c>
      <c r="D524" s="14">
        <f t="shared" si="29"/>
        <v>3</v>
      </c>
      <c r="E524" s="12">
        <v>41796</v>
      </c>
      <c r="G524" s="10" t="s">
        <v>165</v>
      </c>
      <c r="H524" s="13">
        <v>100</v>
      </c>
      <c r="I524" s="14">
        <f t="shared" si="30"/>
        <v>100</v>
      </c>
      <c r="J524" s="12">
        <v>41817</v>
      </c>
    </row>
    <row r="525" spans="2:10" x14ac:dyDescent="0.15">
      <c r="B525" s="10" t="s">
        <v>22</v>
      </c>
      <c r="C525" s="13">
        <v>4</v>
      </c>
      <c r="D525" s="14">
        <f t="shared" si="29"/>
        <v>4</v>
      </c>
      <c r="E525" s="12">
        <v>41797</v>
      </c>
      <c r="G525" s="15" t="s">
        <v>16</v>
      </c>
      <c r="H525" s="13">
        <v>336</v>
      </c>
      <c r="I525" s="14">
        <f t="shared" si="30"/>
        <v>336</v>
      </c>
      <c r="J525" s="12">
        <v>41817</v>
      </c>
    </row>
    <row r="526" spans="2:10" x14ac:dyDescent="0.15">
      <c r="B526" s="10" t="s">
        <v>150</v>
      </c>
      <c r="C526" s="13">
        <v>1</v>
      </c>
      <c r="D526" s="14">
        <f t="shared" si="29"/>
        <v>1</v>
      </c>
      <c r="E526" s="12">
        <v>41799</v>
      </c>
      <c r="G526" s="10"/>
      <c r="H526" s="13"/>
      <c r="I526" s="14">
        <f t="shared" si="30"/>
        <v>0</v>
      </c>
      <c r="J526" s="12"/>
    </row>
    <row r="527" spans="2:10" x14ac:dyDescent="0.15">
      <c r="B527" s="10" t="s">
        <v>57</v>
      </c>
      <c r="C527" s="13">
        <v>10</v>
      </c>
      <c r="D527" s="14">
        <f t="shared" si="29"/>
        <v>10</v>
      </c>
      <c r="E527" s="12">
        <v>41802</v>
      </c>
      <c r="G527" s="15"/>
      <c r="H527" s="13"/>
      <c r="I527" s="14">
        <f t="shared" si="30"/>
        <v>0</v>
      </c>
      <c r="J527" s="12"/>
    </row>
    <row r="528" spans="2:10" x14ac:dyDescent="0.15">
      <c r="B528" s="10" t="s">
        <v>18</v>
      </c>
      <c r="C528" s="13">
        <v>43</v>
      </c>
      <c r="D528" s="14">
        <f t="shared" si="29"/>
        <v>43</v>
      </c>
      <c r="E528" s="12">
        <v>41801</v>
      </c>
      <c r="G528" s="21"/>
      <c r="H528" s="22"/>
      <c r="I528" s="23">
        <f t="shared" si="30"/>
        <v>0</v>
      </c>
      <c r="J528" s="24"/>
    </row>
    <row r="529" spans="2:11" x14ac:dyDescent="0.15">
      <c r="B529" s="10" t="s">
        <v>146</v>
      </c>
      <c r="C529" s="13">
        <v>100</v>
      </c>
      <c r="D529" s="14">
        <f t="shared" si="29"/>
        <v>100</v>
      </c>
      <c r="E529" s="12">
        <v>41801</v>
      </c>
      <c r="G529" s="15"/>
      <c r="H529" s="13"/>
      <c r="I529" s="14">
        <f t="shared" si="30"/>
        <v>0</v>
      </c>
      <c r="J529" s="5"/>
    </row>
    <row r="530" spans="2:11" x14ac:dyDescent="0.15">
      <c r="B530" s="10" t="s">
        <v>22</v>
      </c>
      <c r="C530" s="13">
        <v>1</v>
      </c>
      <c r="D530" s="14">
        <f t="shared" si="29"/>
        <v>1</v>
      </c>
      <c r="E530" s="12">
        <v>41800</v>
      </c>
      <c r="G530" s="89"/>
      <c r="H530" s="7"/>
      <c r="I530" s="14">
        <f t="shared" si="30"/>
        <v>0</v>
      </c>
      <c r="J530" s="5"/>
    </row>
    <row r="531" spans="2:11" x14ac:dyDescent="0.15">
      <c r="B531" s="10" t="s">
        <v>147</v>
      </c>
      <c r="C531" s="13">
        <v>100</v>
      </c>
      <c r="D531" s="14">
        <f t="shared" si="29"/>
        <v>100</v>
      </c>
      <c r="E531" s="12">
        <v>41802</v>
      </c>
      <c r="G531" s="15"/>
      <c r="H531" s="13"/>
      <c r="I531" s="14">
        <f t="shared" si="30"/>
        <v>0</v>
      </c>
      <c r="J531" s="12"/>
    </row>
    <row r="532" spans="2:11" x14ac:dyDescent="0.15">
      <c r="B532" s="10" t="s">
        <v>18</v>
      </c>
      <c r="C532" s="13">
        <v>13</v>
      </c>
      <c r="D532" s="14">
        <f t="shared" si="29"/>
        <v>13</v>
      </c>
      <c r="E532" s="5">
        <v>41803</v>
      </c>
      <c r="G532" s="78"/>
      <c r="H532" s="13"/>
      <c r="I532" s="14">
        <f t="shared" si="30"/>
        <v>0</v>
      </c>
      <c r="J532" s="5"/>
    </row>
    <row r="533" spans="2:11" x14ac:dyDescent="0.15">
      <c r="B533" s="10" t="s">
        <v>149</v>
      </c>
      <c r="C533" s="13">
        <v>1</v>
      </c>
      <c r="D533" s="14">
        <f t="shared" si="29"/>
        <v>1</v>
      </c>
      <c r="E533" s="5">
        <v>41807</v>
      </c>
      <c r="G533" s="90"/>
      <c r="H533" s="7"/>
      <c r="I533" s="14">
        <f t="shared" si="30"/>
        <v>0</v>
      </c>
      <c r="J533" s="5"/>
    </row>
    <row r="534" spans="2:11" x14ac:dyDescent="0.15">
      <c r="B534" s="10" t="s">
        <v>151</v>
      </c>
      <c r="C534" s="13">
        <v>2</v>
      </c>
      <c r="D534" s="14">
        <f t="shared" si="29"/>
        <v>2</v>
      </c>
      <c r="E534" s="5">
        <v>41803</v>
      </c>
      <c r="G534" s="15"/>
      <c r="H534" s="7"/>
      <c r="I534" s="14">
        <f t="shared" si="30"/>
        <v>0</v>
      </c>
      <c r="J534" s="5"/>
      <c r="K534" s="83"/>
    </row>
    <row r="535" spans="2:11" x14ac:dyDescent="0.15">
      <c r="B535" s="10" t="s">
        <v>18</v>
      </c>
      <c r="C535" s="13">
        <v>44</v>
      </c>
      <c r="D535" s="14">
        <f t="shared" si="29"/>
        <v>44</v>
      </c>
      <c r="E535" s="5">
        <v>41807</v>
      </c>
      <c r="G535" s="89"/>
      <c r="H535" s="7"/>
      <c r="I535" s="14">
        <f>SUM(H535:H535)</f>
        <v>0</v>
      </c>
      <c r="J535" s="5"/>
      <c r="K535" s="83"/>
    </row>
    <row r="536" spans="2:11" ht="14.25" thickBot="1" x14ac:dyDescent="0.2">
      <c r="B536" s="15" t="s">
        <v>152</v>
      </c>
      <c r="C536" s="13">
        <v>2</v>
      </c>
      <c r="D536" s="11">
        <f t="shared" si="29"/>
        <v>2</v>
      </c>
      <c r="E536" s="12">
        <v>41806</v>
      </c>
      <c r="G536" s="89"/>
      <c r="H536" s="7"/>
      <c r="I536" s="14">
        <f>SUM(H536:H536)</f>
        <v>0</v>
      </c>
      <c r="J536" s="85"/>
      <c r="K536" s="83"/>
    </row>
    <row r="537" spans="2:11" ht="14.25" thickBot="1" x14ac:dyDescent="0.2">
      <c r="B537" s="17" t="s">
        <v>2</v>
      </c>
      <c r="C537" s="18">
        <f>SUM(C513:C536)</f>
        <v>434</v>
      </c>
      <c r="D537" s="19">
        <f t="shared" si="29"/>
        <v>434</v>
      </c>
      <c r="E537" s="20"/>
      <c r="G537" s="17" t="s">
        <v>2</v>
      </c>
      <c r="H537" s="18">
        <f>SUM(H513:H536)</f>
        <v>5334</v>
      </c>
      <c r="I537" s="19">
        <f>SUM(H537:H537)</f>
        <v>5334</v>
      </c>
      <c r="J537" s="20"/>
    </row>
    <row r="538" spans="2:11" ht="14.25" thickBot="1" x14ac:dyDescent="0.2">
      <c r="B538" s="46" t="s">
        <v>3</v>
      </c>
      <c r="C538" s="52">
        <f>C512-C537</f>
        <v>340</v>
      </c>
      <c r="D538" s="48">
        <f>D512-D537</f>
        <v>340</v>
      </c>
      <c r="E538" s="49"/>
      <c r="G538" s="46" t="s">
        <v>3</v>
      </c>
      <c r="H538" s="52">
        <f>H512-H537</f>
        <v>803</v>
      </c>
      <c r="I538" s="48">
        <f>I512-I537</f>
        <v>803</v>
      </c>
      <c r="J538" s="49"/>
    </row>
    <row r="541" spans="2:11" ht="18.75" x14ac:dyDescent="0.2">
      <c r="B541" s="26" t="s">
        <v>7</v>
      </c>
      <c r="G541" s="26" t="s">
        <v>35</v>
      </c>
    </row>
    <row r="542" spans="2:11" ht="14.25" thickBot="1" x14ac:dyDescent="0.2"/>
    <row r="543" spans="2:11" ht="14.25" thickBot="1" x14ac:dyDescent="0.2">
      <c r="B543" s="1"/>
      <c r="C543" s="2"/>
      <c r="D543" s="3" t="s">
        <v>0</v>
      </c>
      <c r="E543" s="1" t="s">
        <v>4</v>
      </c>
      <c r="G543" s="1"/>
      <c r="H543" s="2"/>
      <c r="I543" s="3" t="s">
        <v>0</v>
      </c>
      <c r="J543" s="1" t="s">
        <v>4</v>
      </c>
    </row>
    <row r="544" spans="2:11" x14ac:dyDescent="0.15">
      <c r="B544" s="42" t="s">
        <v>5</v>
      </c>
      <c r="C544" s="43">
        <f>C538</f>
        <v>340</v>
      </c>
      <c r="D544" s="44">
        <f>SUM(C544:C544)</f>
        <v>340</v>
      </c>
      <c r="E544" s="45"/>
      <c r="G544" s="42" t="s">
        <v>5</v>
      </c>
      <c r="H544" s="43">
        <f>H538</f>
        <v>803</v>
      </c>
      <c r="I544" s="44">
        <f>SUM(H544:H544)</f>
        <v>803</v>
      </c>
      <c r="J544" s="45"/>
    </row>
    <row r="545" spans="2:10" x14ac:dyDescent="0.15">
      <c r="B545" s="6" t="s">
        <v>6</v>
      </c>
      <c r="C545" s="13">
        <v>336</v>
      </c>
      <c r="D545" s="14">
        <f>SUM(C545:C545)</f>
        <v>336</v>
      </c>
      <c r="E545" s="5">
        <v>41811</v>
      </c>
      <c r="G545" s="71" t="s">
        <v>6</v>
      </c>
      <c r="H545" s="13"/>
      <c r="I545" s="14">
        <f>SUM(H545:H545)</f>
        <v>0</v>
      </c>
      <c r="J545" s="5"/>
    </row>
    <row r="546" spans="2:10" x14ac:dyDescent="0.15">
      <c r="B546" s="6" t="s">
        <v>6</v>
      </c>
      <c r="C546" s="7">
        <v>336</v>
      </c>
      <c r="D546" s="8">
        <f>SUM(C546:C546)</f>
        <v>336</v>
      </c>
      <c r="E546" s="9">
        <v>41817</v>
      </c>
      <c r="G546" s="71" t="s">
        <v>6</v>
      </c>
      <c r="H546" s="72">
        <v>2016</v>
      </c>
      <c r="I546" s="73">
        <f>SUM(H546:H546)</f>
        <v>2016</v>
      </c>
      <c r="J546" s="74">
        <v>41821</v>
      </c>
    </row>
    <row r="547" spans="2:10" ht="14.25" thickBot="1" x14ac:dyDescent="0.2">
      <c r="B547" s="6" t="s">
        <v>6</v>
      </c>
      <c r="C547" s="7">
        <v>1</v>
      </c>
      <c r="D547" s="14">
        <f>SUM(C547:C547)</f>
        <v>1</v>
      </c>
      <c r="E547" s="16"/>
      <c r="G547" s="71" t="s">
        <v>6</v>
      </c>
      <c r="H547" s="91">
        <v>1008</v>
      </c>
      <c r="I547" s="14">
        <f>SUM(H547:H547)</f>
        <v>1008</v>
      </c>
      <c r="J547" s="16">
        <v>41830</v>
      </c>
    </row>
    <row r="548" spans="2:10" ht="14.25" thickBot="1" x14ac:dyDescent="0.2">
      <c r="B548" s="46" t="s">
        <v>1</v>
      </c>
      <c r="C548" s="48">
        <f>SUM(C544:C547)</f>
        <v>1013</v>
      </c>
      <c r="D548" s="48">
        <f>SUM(D544:D547)</f>
        <v>1013</v>
      </c>
      <c r="E548" s="49"/>
      <c r="G548" s="46" t="s">
        <v>1</v>
      </c>
      <c r="H548" s="47">
        <f>SUM(H544:H547)</f>
        <v>3827</v>
      </c>
      <c r="I548" s="48">
        <f>SUM(I544:I547)</f>
        <v>3827</v>
      </c>
      <c r="J548" s="49"/>
    </row>
    <row r="549" spans="2:10" x14ac:dyDescent="0.15">
      <c r="B549" s="10" t="s">
        <v>22</v>
      </c>
      <c r="C549" s="77">
        <v>2</v>
      </c>
      <c r="D549" s="11">
        <f t="shared" ref="D549:D573" si="31">SUM(C549:C549)</f>
        <v>2</v>
      </c>
      <c r="E549" s="12">
        <v>41806</v>
      </c>
      <c r="G549" s="15" t="s">
        <v>16</v>
      </c>
      <c r="H549" s="13">
        <v>336</v>
      </c>
      <c r="I549" s="11">
        <f t="shared" ref="I549:I573" si="32">SUM(H549:H549)</f>
        <v>336</v>
      </c>
      <c r="J549" s="12">
        <v>41823</v>
      </c>
    </row>
    <row r="550" spans="2:10" x14ac:dyDescent="0.15">
      <c r="B550" s="10" t="s">
        <v>18</v>
      </c>
      <c r="C550" s="13">
        <v>42</v>
      </c>
      <c r="D550" s="14">
        <f t="shared" si="31"/>
        <v>42</v>
      </c>
      <c r="E550" s="12">
        <v>41809</v>
      </c>
      <c r="G550" s="15" t="s">
        <v>174</v>
      </c>
      <c r="H550" s="13">
        <v>500</v>
      </c>
      <c r="I550" s="14">
        <f t="shared" si="32"/>
        <v>500</v>
      </c>
      <c r="J550" s="12">
        <v>41824</v>
      </c>
    </row>
    <row r="551" spans="2:10" x14ac:dyDescent="0.15">
      <c r="B551" s="15" t="s">
        <v>154</v>
      </c>
      <c r="C551" s="13">
        <v>100</v>
      </c>
      <c r="D551" s="14">
        <f t="shared" si="31"/>
        <v>100</v>
      </c>
      <c r="E551" s="12">
        <v>41810</v>
      </c>
      <c r="G551" s="15" t="s">
        <v>177</v>
      </c>
      <c r="H551" s="13">
        <v>336</v>
      </c>
      <c r="I551" s="14">
        <f t="shared" si="32"/>
        <v>336</v>
      </c>
      <c r="J551" s="12">
        <v>41824</v>
      </c>
    </row>
    <row r="552" spans="2:10" x14ac:dyDescent="0.15">
      <c r="B552" s="10" t="s">
        <v>83</v>
      </c>
      <c r="C552" s="13">
        <v>10</v>
      </c>
      <c r="D552" s="14">
        <f t="shared" si="31"/>
        <v>10</v>
      </c>
      <c r="E552" s="12">
        <v>41813</v>
      </c>
      <c r="G552" s="78" t="s">
        <v>183</v>
      </c>
      <c r="H552" s="13">
        <v>150</v>
      </c>
      <c r="I552" s="14">
        <f t="shared" si="32"/>
        <v>150</v>
      </c>
      <c r="J552" s="12">
        <v>41829</v>
      </c>
    </row>
    <row r="553" spans="2:10" x14ac:dyDescent="0.15">
      <c r="B553" s="10" t="s">
        <v>18</v>
      </c>
      <c r="C553" s="13">
        <v>52</v>
      </c>
      <c r="D553" s="14">
        <f t="shared" si="31"/>
        <v>52</v>
      </c>
      <c r="E553" s="12">
        <v>41811</v>
      </c>
      <c r="G553" s="15" t="s">
        <v>192</v>
      </c>
      <c r="H553" s="13">
        <v>300</v>
      </c>
      <c r="I553" s="14">
        <f t="shared" si="32"/>
        <v>300</v>
      </c>
      <c r="J553" s="12">
        <v>41832</v>
      </c>
    </row>
    <row r="554" spans="2:10" x14ac:dyDescent="0.15">
      <c r="B554" s="15" t="s">
        <v>158</v>
      </c>
      <c r="C554" s="13">
        <v>100</v>
      </c>
      <c r="D554" s="14">
        <f t="shared" si="31"/>
        <v>100</v>
      </c>
      <c r="E554" s="12">
        <v>41814</v>
      </c>
      <c r="G554" s="78" t="s">
        <v>185</v>
      </c>
      <c r="H554" s="13">
        <v>100</v>
      </c>
      <c r="I554" s="14">
        <f t="shared" si="32"/>
        <v>100</v>
      </c>
      <c r="J554" s="12">
        <v>41831</v>
      </c>
    </row>
    <row r="555" spans="2:10" x14ac:dyDescent="0.15">
      <c r="B555" s="10" t="s">
        <v>57</v>
      </c>
      <c r="C555" s="13">
        <v>5</v>
      </c>
      <c r="D555" s="14">
        <f t="shared" si="31"/>
        <v>5</v>
      </c>
      <c r="E555" s="12">
        <v>41815</v>
      </c>
      <c r="G555" s="15" t="s">
        <v>12</v>
      </c>
      <c r="H555" s="13">
        <v>336</v>
      </c>
      <c r="I555" s="14">
        <f t="shared" si="32"/>
        <v>336</v>
      </c>
      <c r="J555" s="12">
        <v>41837</v>
      </c>
    </row>
    <row r="556" spans="2:10" x14ac:dyDescent="0.15">
      <c r="B556" s="10" t="s">
        <v>161</v>
      </c>
      <c r="C556" s="13">
        <v>2</v>
      </c>
      <c r="D556" s="14">
        <f t="shared" si="31"/>
        <v>2</v>
      </c>
      <c r="E556" s="12">
        <v>41810</v>
      </c>
      <c r="G556" s="78" t="s">
        <v>188</v>
      </c>
      <c r="H556" s="13">
        <v>200</v>
      </c>
      <c r="I556" s="14">
        <f t="shared" si="32"/>
        <v>200</v>
      </c>
      <c r="J556" s="12">
        <v>41838</v>
      </c>
    </row>
    <row r="557" spans="2:10" x14ac:dyDescent="0.15">
      <c r="B557" s="10" t="s">
        <v>159</v>
      </c>
      <c r="C557" s="13">
        <v>1</v>
      </c>
      <c r="D557" s="14">
        <f t="shared" si="31"/>
        <v>1</v>
      </c>
      <c r="E557" s="12">
        <v>41811</v>
      </c>
      <c r="G557" s="10"/>
      <c r="H557" s="13"/>
      <c r="I557" s="14">
        <f t="shared" si="32"/>
        <v>0</v>
      </c>
      <c r="J557" s="12"/>
    </row>
    <row r="558" spans="2:10" x14ac:dyDescent="0.15">
      <c r="B558" s="10" t="s">
        <v>18</v>
      </c>
      <c r="C558" s="13">
        <v>28</v>
      </c>
      <c r="D558" s="14">
        <f t="shared" si="31"/>
        <v>28</v>
      </c>
      <c r="E558" s="12">
        <v>41814</v>
      </c>
      <c r="G558" s="78"/>
      <c r="H558" s="13"/>
      <c r="I558" s="14">
        <f t="shared" si="32"/>
        <v>0</v>
      </c>
      <c r="J558" s="12"/>
    </row>
    <row r="559" spans="2:10" x14ac:dyDescent="0.15">
      <c r="B559" s="15" t="s">
        <v>160</v>
      </c>
      <c r="C559" s="13">
        <v>200</v>
      </c>
      <c r="D559" s="14">
        <f t="shared" si="31"/>
        <v>200</v>
      </c>
      <c r="E559" s="12">
        <v>41817</v>
      </c>
      <c r="G559" s="10"/>
      <c r="H559" s="22"/>
      <c r="I559" s="23">
        <f t="shared" si="32"/>
        <v>0</v>
      </c>
      <c r="J559" s="24"/>
    </row>
    <row r="560" spans="2:10" x14ac:dyDescent="0.15">
      <c r="B560" s="10" t="s">
        <v>22</v>
      </c>
      <c r="C560" s="13">
        <v>4</v>
      </c>
      <c r="D560" s="14">
        <f t="shared" si="31"/>
        <v>4</v>
      </c>
      <c r="E560" s="12">
        <v>41813</v>
      </c>
      <c r="G560" s="27"/>
      <c r="H560" s="22"/>
      <c r="I560" s="23">
        <f t="shared" si="32"/>
        <v>0</v>
      </c>
      <c r="J560" s="24"/>
    </row>
    <row r="561" spans="2:10" x14ac:dyDescent="0.15">
      <c r="B561" s="10" t="s">
        <v>163</v>
      </c>
      <c r="C561" s="13">
        <v>1</v>
      </c>
      <c r="D561" s="14">
        <f t="shared" si="31"/>
        <v>1</v>
      </c>
      <c r="E561" s="12">
        <v>41814</v>
      </c>
      <c r="G561" s="15"/>
      <c r="H561" s="13"/>
      <c r="I561" s="14">
        <f t="shared" si="32"/>
        <v>0</v>
      </c>
      <c r="J561" s="12"/>
    </row>
    <row r="562" spans="2:10" x14ac:dyDescent="0.15">
      <c r="B562" s="10" t="s">
        <v>57</v>
      </c>
      <c r="C562" s="13">
        <v>5</v>
      </c>
      <c r="D562" s="14">
        <f t="shared" si="31"/>
        <v>5</v>
      </c>
      <c r="E562" s="12">
        <v>41820</v>
      </c>
      <c r="G562" s="10"/>
      <c r="H562" s="13"/>
      <c r="I562" s="14">
        <f t="shared" si="32"/>
        <v>0</v>
      </c>
      <c r="J562" s="12"/>
    </row>
    <row r="563" spans="2:10" x14ac:dyDescent="0.15">
      <c r="B563" s="10" t="s">
        <v>18</v>
      </c>
      <c r="C563" s="13">
        <v>36</v>
      </c>
      <c r="D563" s="14">
        <f t="shared" si="31"/>
        <v>36</v>
      </c>
      <c r="E563" s="12">
        <v>41816</v>
      </c>
      <c r="G563" s="15"/>
      <c r="H563" s="13"/>
      <c r="I563" s="14">
        <f t="shared" si="32"/>
        <v>0</v>
      </c>
      <c r="J563" s="12"/>
    </row>
    <row r="564" spans="2:10" x14ac:dyDescent="0.15">
      <c r="B564" s="10" t="s">
        <v>167</v>
      </c>
      <c r="C564" s="13">
        <v>1</v>
      </c>
      <c r="D564" s="14">
        <f t="shared" si="31"/>
        <v>1</v>
      </c>
      <c r="E564" s="12">
        <v>41815</v>
      </c>
      <c r="G564" s="21"/>
      <c r="H564" s="22"/>
      <c r="I564" s="23">
        <f t="shared" si="32"/>
        <v>0</v>
      </c>
      <c r="J564" s="24"/>
    </row>
    <row r="565" spans="2:10" x14ac:dyDescent="0.15">
      <c r="B565" s="10" t="s">
        <v>166</v>
      </c>
      <c r="C565" s="13">
        <v>10</v>
      </c>
      <c r="D565" s="14">
        <f t="shared" si="31"/>
        <v>10</v>
      </c>
      <c r="E565" s="12">
        <v>41817</v>
      </c>
      <c r="G565" s="27"/>
      <c r="H565" s="22"/>
      <c r="I565" s="23">
        <f t="shared" si="32"/>
        <v>0</v>
      </c>
      <c r="J565" s="24"/>
    </row>
    <row r="566" spans="2:10" x14ac:dyDescent="0.15">
      <c r="B566" s="10" t="s">
        <v>168</v>
      </c>
      <c r="C566" s="13">
        <v>6</v>
      </c>
      <c r="D566" s="14">
        <f t="shared" si="31"/>
        <v>6</v>
      </c>
      <c r="E566" s="12">
        <v>41816</v>
      </c>
      <c r="G566" s="15"/>
      <c r="H566" s="13"/>
      <c r="I566" s="14">
        <f t="shared" si="32"/>
        <v>0</v>
      </c>
      <c r="J566" s="5"/>
    </row>
    <row r="567" spans="2:10" x14ac:dyDescent="0.15">
      <c r="B567" s="10" t="s">
        <v>18</v>
      </c>
      <c r="C567" s="13">
        <v>44</v>
      </c>
      <c r="D567" s="14">
        <f t="shared" si="31"/>
        <v>44</v>
      </c>
      <c r="E567" s="12">
        <v>41818</v>
      </c>
      <c r="G567" s="15"/>
      <c r="H567" s="13"/>
      <c r="I567" s="14">
        <f t="shared" ref="I567:I572" si="33">SUM(H567:H567)</f>
        <v>0</v>
      </c>
      <c r="J567" s="5"/>
    </row>
    <row r="568" spans="2:10" x14ac:dyDescent="0.15">
      <c r="B568" s="10" t="s">
        <v>22</v>
      </c>
      <c r="C568" s="13">
        <v>3</v>
      </c>
      <c r="D568" s="14">
        <f t="shared" si="31"/>
        <v>3</v>
      </c>
      <c r="E568" s="5">
        <v>41817</v>
      </c>
      <c r="G568" s="15"/>
      <c r="H568" s="13"/>
      <c r="I568" s="14">
        <f t="shared" si="33"/>
        <v>0</v>
      </c>
      <c r="J568" s="5"/>
    </row>
    <row r="569" spans="2:10" x14ac:dyDescent="0.15">
      <c r="B569" s="10" t="s">
        <v>170</v>
      </c>
      <c r="C569" s="13">
        <v>1</v>
      </c>
      <c r="D569" s="14">
        <f t="shared" si="31"/>
        <v>1</v>
      </c>
      <c r="E569" s="5">
        <v>41818</v>
      </c>
      <c r="G569" s="78"/>
      <c r="H569" s="13"/>
      <c r="I569" s="14">
        <f t="shared" si="33"/>
        <v>0</v>
      </c>
      <c r="J569" s="5"/>
    </row>
    <row r="570" spans="2:10" x14ac:dyDescent="0.15">
      <c r="B570" s="15" t="s">
        <v>169</v>
      </c>
      <c r="C570" s="13">
        <v>200</v>
      </c>
      <c r="D570" s="14">
        <f t="shared" si="31"/>
        <v>200</v>
      </c>
      <c r="E570" s="5">
        <v>41822</v>
      </c>
      <c r="G570" s="15"/>
      <c r="H570" s="13"/>
      <c r="I570" s="14">
        <f t="shared" si="33"/>
        <v>0</v>
      </c>
      <c r="J570" s="5"/>
    </row>
    <row r="571" spans="2:10" x14ac:dyDescent="0.15">
      <c r="B571" s="10" t="s">
        <v>22</v>
      </c>
      <c r="C571" s="13">
        <v>3</v>
      </c>
      <c r="D571" s="14">
        <f t="shared" si="31"/>
        <v>3</v>
      </c>
      <c r="E571" s="5">
        <v>41820</v>
      </c>
      <c r="G571" s="81"/>
      <c r="H571" s="7"/>
      <c r="I571" s="14">
        <f t="shared" si="33"/>
        <v>0</v>
      </c>
      <c r="J571" s="5"/>
    </row>
    <row r="572" spans="2:10" ht="14.25" thickBot="1" x14ac:dyDescent="0.2">
      <c r="B572" s="15" t="s">
        <v>171</v>
      </c>
      <c r="C572" s="13">
        <v>10</v>
      </c>
      <c r="D572" s="11">
        <f t="shared" si="31"/>
        <v>10</v>
      </c>
      <c r="E572" s="12">
        <v>41823</v>
      </c>
      <c r="G572" s="15"/>
      <c r="H572" s="7"/>
      <c r="I572" s="14">
        <f t="shared" si="33"/>
        <v>0</v>
      </c>
      <c r="J572" s="85"/>
    </row>
    <row r="573" spans="2:10" ht="14.25" thickBot="1" x14ac:dyDescent="0.2">
      <c r="B573" s="17" t="s">
        <v>2</v>
      </c>
      <c r="C573" s="18">
        <f>SUM(C549:C572)</f>
        <v>866</v>
      </c>
      <c r="D573" s="19">
        <f t="shared" si="31"/>
        <v>866</v>
      </c>
      <c r="E573" s="20"/>
      <c r="G573" s="17" t="s">
        <v>2</v>
      </c>
      <c r="H573" s="18">
        <f>SUM(H549:H572)</f>
        <v>2258</v>
      </c>
      <c r="I573" s="19">
        <f t="shared" si="32"/>
        <v>2258</v>
      </c>
      <c r="J573" s="20"/>
    </row>
    <row r="574" spans="2:10" ht="14.25" thickBot="1" x14ac:dyDescent="0.2">
      <c r="B574" s="46" t="s">
        <v>3</v>
      </c>
      <c r="C574" s="52">
        <f>C548-C573</f>
        <v>147</v>
      </c>
      <c r="D574" s="48">
        <f>D548-D573</f>
        <v>147</v>
      </c>
      <c r="E574" s="49"/>
      <c r="G574" s="46" t="s">
        <v>3</v>
      </c>
      <c r="H574" s="52">
        <f>H548-H573</f>
        <v>1569</v>
      </c>
      <c r="I574" s="48">
        <f>I548-I573</f>
        <v>1569</v>
      </c>
      <c r="J574" s="49"/>
    </row>
    <row r="577" spans="2:10" ht="18.75" x14ac:dyDescent="0.2">
      <c r="B577" s="26" t="s">
        <v>7</v>
      </c>
      <c r="G577" s="26" t="s">
        <v>35</v>
      </c>
    </row>
    <row r="578" spans="2:10" ht="14.25" thickBot="1" x14ac:dyDescent="0.2"/>
    <row r="579" spans="2:10" ht="14.25" thickBot="1" x14ac:dyDescent="0.2">
      <c r="B579" s="1"/>
      <c r="C579" s="2"/>
      <c r="D579" s="3" t="s">
        <v>0</v>
      </c>
      <c r="E579" s="1" t="s">
        <v>4</v>
      </c>
      <c r="G579" s="1"/>
      <c r="H579" s="2"/>
      <c r="I579" s="3" t="s">
        <v>0</v>
      </c>
      <c r="J579" s="1" t="s">
        <v>4</v>
      </c>
    </row>
    <row r="580" spans="2:10" x14ac:dyDescent="0.15">
      <c r="B580" s="42" t="s">
        <v>5</v>
      </c>
      <c r="C580" s="43">
        <f>C574</f>
        <v>147</v>
      </c>
      <c r="D580" s="44">
        <f>SUM(C580:C580)</f>
        <v>147</v>
      </c>
      <c r="E580" s="45"/>
      <c r="G580" s="42" t="s">
        <v>5</v>
      </c>
      <c r="H580" s="43">
        <f>H574</f>
        <v>1569</v>
      </c>
      <c r="I580" s="44">
        <f>SUM(H580:H580)</f>
        <v>1569</v>
      </c>
      <c r="J580" s="45"/>
    </row>
    <row r="581" spans="2:10" x14ac:dyDescent="0.15">
      <c r="B581" s="6" t="s">
        <v>6</v>
      </c>
      <c r="C581" s="13">
        <v>336</v>
      </c>
      <c r="D581" s="14">
        <f>SUM(C581:C581)</f>
        <v>336</v>
      </c>
      <c r="E581" s="5">
        <v>41823</v>
      </c>
      <c r="G581" s="71" t="s">
        <v>6</v>
      </c>
      <c r="H581" s="13"/>
      <c r="I581" s="14">
        <f>SUM(H581:H581)</f>
        <v>0</v>
      </c>
      <c r="J581" s="5"/>
    </row>
    <row r="582" spans="2:10" x14ac:dyDescent="0.15">
      <c r="B582" s="6" t="s">
        <v>6</v>
      </c>
      <c r="C582" s="7">
        <v>336</v>
      </c>
      <c r="D582" s="8">
        <f>SUM(C582:C582)</f>
        <v>336</v>
      </c>
      <c r="E582" s="9">
        <v>41824</v>
      </c>
      <c r="G582" s="71" t="s">
        <v>6</v>
      </c>
      <c r="H582" s="67"/>
      <c r="I582" s="14">
        <f>SUM(H582:H582)</f>
        <v>0</v>
      </c>
      <c r="J582" s="5"/>
    </row>
    <row r="583" spans="2:10" ht="14.25" thickBot="1" x14ac:dyDescent="0.2">
      <c r="B583" s="6" t="s">
        <v>6</v>
      </c>
      <c r="C583" s="7">
        <v>336</v>
      </c>
      <c r="D583" s="14">
        <f>SUM(C583:C583)</f>
        <v>336</v>
      </c>
      <c r="E583" s="16">
        <v>41837</v>
      </c>
      <c r="G583" s="6" t="s">
        <v>6</v>
      </c>
      <c r="H583" s="88"/>
      <c r="I583" s="11">
        <f>SUM(H583:H583)</f>
        <v>0</v>
      </c>
      <c r="J583" s="85"/>
    </row>
    <row r="584" spans="2:10" ht="14.25" thickBot="1" x14ac:dyDescent="0.2">
      <c r="B584" s="46" t="s">
        <v>1</v>
      </c>
      <c r="C584" s="48">
        <f>SUM(C580:C583)</f>
        <v>1155</v>
      </c>
      <c r="D584" s="48">
        <f>SUM(D580:D583)</f>
        <v>1155</v>
      </c>
      <c r="E584" s="49"/>
      <c r="G584" s="46" t="s">
        <v>1</v>
      </c>
      <c r="H584" s="47">
        <f>SUM(H580:H583)</f>
        <v>1569</v>
      </c>
      <c r="I584" s="48">
        <f>SUM(I580:I583)</f>
        <v>1569</v>
      </c>
      <c r="J584" s="49"/>
    </row>
    <row r="585" spans="2:10" x14ac:dyDescent="0.15">
      <c r="B585" s="10" t="s">
        <v>175</v>
      </c>
      <c r="C585" s="77">
        <v>1</v>
      </c>
      <c r="D585" s="11">
        <f t="shared" ref="D585:D609" si="34">SUM(C585:C585)</f>
        <v>1</v>
      </c>
      <c r="E585" s="12">
        <v>41821</v>
      </c>
      <c r="G585" s="10" t="s">
        <v>12</v>
      </c>
      <c r="H585" s="13">
        <v>336</v>
      </c>
      <c r="I585" s="11">
        <f t="shared" ref="I585:I609" si="35">SUM(H585:H585)</f>
        <v>336</v>
      </c>
      <c r="J585" s="12">
        <v>41844</v>
      </c>
    </row>
    <row r="586" spans="2:10" x14ac:dyDescent="0.15">
      <c r="B586" s="10" t="s">
        <v>172</v>
      </c>
      <c r="C586" s="13">
        <v>40</v>
      </c>
      <c r="D586" s="14">
        <f t="shared" si="34"/>
        <v>40</v>
      </c>
      <c r="E586" s="12">
        <v>41823</v>
      </c>
      <c r="G586" s="15" t="s">
        <v>191</v>
      </c>
      <c r="H586" s="13">
        <v>300</v>
      </c>
      <c r="I586" s="14">
        <f t="shared" si="35"/>
        <v>300</v>
      </c>
      <c r="J586" s="12">
        <v>41844</v>
      </c>
    </row>
    <row r="587" spans="2:10" x14ac:dyDescent="0.15">
      <c r="B587" s="15" t="s">
        <v>173</v>
      </c>
      <c r="C587" s="13">
        <v>100</v>
      </c>
      <c r="D587" s="14">
        <f t="shared" si="34"/>
        <v>100</v>
      </c>
      <c r="E587" s="12">
        <v>41824</v>
      </c>
      <c r="G587" s="15" t="s">
        <v>193</v>
      </c>
      <c r="H587" s="13">
        <v>300</v>
      </c>
      <c r="I587" s="14">
        <f t="shared" si="35"/>
        <v>300</v>
      </c>
      <c r="J587" s="12">
        <v>41845</v>
      </c>
    </row>
    <row r="588" spans="2:10" x14ac:dyDescent="0.15">
      <c r="B588" s="10" t="s">
        <v>178</v>
      </c>
      <c r="C588" s="13">
        <v>2</v>
      </c>
      <c r="D588" s="14">
        <f t="shared" si="34"/>
        <v>2</v>
      </c>
      <c r="E588" s="12">
        <v>41822</v>
      </c>
      <c r="G588" s="78"/>
      <c r="H588" s="13"/>
      <c r="I588" s="14">
        <f t="shared" si="35"/>
        <v>0</v>
      </c>
      <c r="J588" s="12"/>
    </row>
    <row r="589" spans="2:10" x14ac:dyDescent="0.15">
      <c r="B589" s="10" t="s">
        <v>176</v>
      </c>
      <c r="C589" s="13">
        <v>400</v>
      </c>
      <c r="D589" s="14">
        <f t="shared" si="34"/>
        <v>400</v>
      </c>
      <c r="E589" s="12">
        <v>41825</v>
      </c>
      <c r="G589" s="78"/>
      <c r="H589" s="13"/>
      <c r="I589" s="14">
        <f t="shared" si="35"/>
        <v>0</v>
      </c>
      <c r="J589" s="12"/>
    </row>
    <row r="590" spans="2:10" x14ac:dyDescent="0.15">
      <c r="B590" s="10" t="s">
        <v>22</v>
      </c>
      <c r="C590" s="13">
        <v>3</v>
      </c>
      <c r="D590" s="14">
        <f t="shared" si="34"/>
        <v>3</v>
      </c>
      <c r="E590" s="12">
        <v>41823</v>
      </c>
      <c r="G590" s="78"/>
      <c r="H590" s="13"/>
      <c r="I590" s="14">
        <f t="shared" si="35"/>
        <v>0</v>
      </c>
      <c r="J590" s="12"/>
    </row>
    <row r="591" spans="2:10" x14ac:dyDescent="0.15">
      <c r="B591" s="10" t="s">
        <v>180</v>
      </c>
      <c r="C591" s="13">
        <v>1</v>
      </c>
      <c r="D591" s="14">
        <f t="shared" si="34"/>
        <v>1</v>
      </c>
      <c r="E591" s="12">
        <v>41824</v>
      </c>
      <c r="G591" s="78"/>
      <c r="H591" s="13"/>
      <c r="I591" s="14">
        <f t="shared" si="35"/>
        <v>0</v>
      </c>
      <c r="J591" s="12"/>
    </row>
    <row r="592" spans="2:10" x14ac:dyDescent="0.15">
      <c r="B592" s="10" t="s">
        <v>179</v>
      </c>
      <c r="C592" s="13">
        <v>49</v>
      </c>
      <c r="D592" s="14">
        <f t="shared" si="34"/>
        <v>49</v>
      </c>
      <c r="E592" s="12">
        <v>41827</v>
      </c>
      <c r="G592" s="78"/>
      <c r="H592" s="13"/>
      <c r="I592" s="14">
        <f t="shared" si="35"/>
        <v>0</v>
      </c>
      <c r="J592" s="12"/>
    </row>
    <row r="593" spans="2:11" x14ac:dyDescent="0.15">
      <c r="B593" s="10" t="s">
        <v>182</v>
      </c>
      <c r="C593" s="13">
        <v>2</v>
      </c>
      <c r="D593" s="14">
        <f t="shared" si="34"/>
        <v>2</v>
      </c>
      <c r="E593" s="12">
        <v>41825</v>
      </c>
      <c r="G593" s="10"/>
      <c r="H593" s="13"/>
      <c r="I593" s="14">
        <f t="shared" si="35"/>
        <v>0</v>
      </c>
      <c r="J593" s="12"/>
    </row>
    <row r="594" spans="2:11" x14ac:dyDescent="0.15">
      <c r="B594" s="10" t="s">
        <v>181</v>
      </c>
      <c r="C594" s="13">
        <v>30</v>
      </c>
      <c r="D594" s="14">
        <f t="shared" si="34"/>
        <v>30</v>
      </c>
      <c r="E594" s="12">
        <v>41831</v>
      </c>
      <c r="G594" s="78"/>
      <c r="H594" s="13"/>
      <c r="I594" s="14">
        <f t="shared" si="35"/>
        <v>0</v>
      </c>
      <c r="J594" s="12"/>
    </row>
    <row r="595" spans="2:11" x14ac:dyDescent="0.15">
      <c r="B595" s="10" t="s">
        <v>22</v>
      </c>
      <c r="C595" s="13">
        <v>2</v>
      </c>
      <c r="D595" s="14">
        <f t="shared" si="34"/>
        <v>2</v>
      </c>
      <c r="E595" s="12">
        <v>41827</v>
      </c>
      <c r="G595" s="10"/>
      <c r="H595" s="22"/>
      <c r="I595" s="23">
        <f t="shared" si="35"/>
        <v>0</v>
      </c>
      <c r="J595" s="24"/>
    </row>
    <row r="596" spans="2:11" x14ac:dyDescent="0.15">
      <c r="B596" s="10" t="s">
        <v>186</v>
      </c>
      <c r="C596" s="13">
        <v>1</v>
      </c>
      <c r="D596" s="14">
        <f t="shared" si="34"/>
        <v>1</v>
      </c>
      <c r="E596" s="12">
        <v>41829</v>
      </c>
      <c r="G596" s="27"/>
      <c r="H596" s="22"/>
      <c r="I596" s="23">
        <f t="shared" si="35"/>
        <v>0</v>
      </c>
      <c r="J596" s="24"/>
    </row>
    <row r="597" spans="2:11" x14ac:dyDescent="0.15">
      <c r="B597" s="10" t="s">
        <v>57</v>
      </c>
      <c r="C597" s="13">
        <v>20</v>
      </c>
      <c r="D597" s="14">
        <f t="shared" si="34"/>
        <v>20</v>
      </c>
      <c r="E597" s="12">
        <v>41831</v>
      </c>
      <c r="G597" s="15"/>
      <c r="H597" s="13"/>
      <c r="I597" s="14">
        <f t="shared" si="35"/>
        <v>0</v>
      </c>
      <c r="J597" s="12"/>
    </row>
    <row r="598" spans="2:11" x14ac:dyDescent="0.15">
      <c r="B598" s="10" t="s">
        <v>184</v>
      </c>
      <c r="C598" s="13">
        <v>30</v>
      </c>
      <c r="D598" s="14">
        <f t="shared" si="34"/>
        <v>30</v>
      </c>
      <c r="E598" s="12">
        <v>41831</v>
      </c>
      <c r="G598" s="10"/>
      <c r="H598" s="13"/>
      <c r="I598" s="14">
        <f t="shared" si="35"/>
        <v>0</v>
      </c>
      <c r="J598" s="12"/>
    </row>
    <row r="599" spans="2:11" x14ac:dyDescent="0.15">
      <c r="B599" s="10" t="s">
        <v>187</v>
      </c>
      <c r="C599" s="13">
        <v>2</v>
      </c>
      <c r="D599" s="14">
        <f t="shared" si="34"/>
        <v>2</v>
      </c>
      <c r="E599" s="12">
        <v>41830</v>
      </c>
      <c r="G599" s="15"/>
      <c r="H599" s="13"/>
      <c r="I599" s="14">
        <f t="shared" si="35"/>
        <v>0</v>
      </c>
      <c r="J599" s="12"/>
    </row>
    <row r="600" spans="2:11" x14ac:dyDescent="0.15">
      <c r="B600" s="10" t="s">
        <v>18</v>
      </c>
      <c r="C600" s="13">
        <v>43</v>
      </c>
      <c r="D600" s="14">
        <f t="shared" si="34"/>
        <v>43</v>
      </c>
      <c r="E600" s="12">
        <v>41835</v>
      </c>
      <c r="G600" s="21"/>
      <c r="H600" s="22"/>
      <c r="I600" s="23">
        <f t="shared" si="35"/>
        <v>0</v>
      </c>
      <c r="J600" s="24"/>
    </row>
    <row r="601" spans="2:11" x14ac:dyDescent="0.15">
      <c r="B601" s="10" t="s">
        <v>22</v>
      </c>
      <c r="C601" s="13">
        <v>7</v>
      </c>
      <c r="D601" s="14">
        <f t="shared" si="34"/>
        <v>7</v>
      </c>
      <c r="E601" s="12">
        <v>41834</v>
      </c>
      <c r="G601" s="27"/>
      <c r="H601" s="22"/>
      <c r="I601" s="23">
        <f t="shared" si="35"/>
        <v>0</v>
      </c>
      <c r="J601" s="24"/>
    </row>
    <row r="602" spans="2:11" x14ac:dyDescent="0.15">
      <c r="B602" s="10" t="s">
        <v>22</v>
      </c>
      <c r="C602" s="13">
        <v>4</v>
      </c>
      <c r="D602" s="14">
        <f t="shared" si="34"/>
        <v>4</v>
      </c>
      <c r="E602" s="12">
        <v>41835</v>
      </c>
      <c r="G602" s="15"/>
      <c r="H602" s="13"/>
      <c r="I602" s="14">
        <f t="shared" si="35"/>
        <v>0</v>
      </c>
      <c r="J602" s="5"/>
    </row>
    <row r="603" spans="2:11" x14ac:dyDescent="0.15">
      <c r="B603" s="10" t="s">
        <v>22</v>
      </c>
      <c r="C603" s="13">
        <v>3</v>
      </c>
      <c r="D603" s="14">
        <f t="shared" si="34"/>
        <v>3</v>
      </c>
      <c r="E603" s="12">
        <v>41836</v>
      </c>
      <c r="G603" s="15"/>
      <c r="H603" s="13"/>
      <c r="I603" s="14">
        <f t="shared" si="35"/>
        <v>0</v>
      </c>
      <c r="J603" s="5"/>
    </row>
    <row r="604" spans="2:11" x14ac:dyDescent="0.15">
      <c r="B604" s="10" t="s">
        <v>18</v>
      </c>
      <c r="C604" s="13">
        <v>153</v>
      </c>
      <c r="D604" s="14">
        <f t="shared" si="34"/>
        <v>153</v>
      </c>
      <c r="E604" s="5">
        <v>41838</v>
      </c>
      <c r="G604" s="75"/>
      <c r="H604" s="13"/>
      <c r="I604" s="14">
        <f t="shared" si="35"/>
        <v>0</v>
      </c>
      <c r="J604" s="5"/>
    </row>
    <row r="605" spans="2:11" x14ac:dyDescent="0.15">
      <c r="B605" s="10" t="s">
        <v>18</v>
      </c>
      <c r="C605" s="13">
        <v>70</v>
      </c>
      <c r="D605" s="14">
        <f t="shared" si="34"/>
        <v>70</v>
      </c>
      <c r="E605" s="5">
        <v>41841</v>
      </c>
      <c r="G605" s="78"/>
      <c r="H605" s="13"/>
      <c r="I605" s="14">
        <f t="shared" si="35"/>
        <v>0</v>
      </c>
      <c r="J605" s="5"/>
    </row>
    <row r="606" spans="2:11" x14ac:dyDescent="0.15">
      <c r="B606" s="10" t="s">
        <v>22</v>
      </c>
      <c r="C606" s="13">
        <v>1</v>
      </c>
      <c r="D606" s="14">
        <f t="shared" si="34"/>
        <v>1</v>
      </c>
      <c r="E606" s="5">
        <v>41838</v>
      </c>
      <c r="G606" s="15"/>
      <c r="H606" s="13"/>
      <c r="I606" s="14">
        <f t="shared" si="35"/>
        <v>0</v>
      </c>
      <c r="J606" s="5"/>
    </row>
    <row r="607" spans="2:11" x14ac:dyDescent="0.15">
      <c r="B607" s="10" t="s">
        <v>22</v>
      </c>
      <c r="C607" s="13">
        <v>3</v>
      </c>
      <c r="D607" s="14">
        <f t="shared" si="34"/>
        <v>3</v>
      </c>
      <c r="E607" s="5">
        <v>41839</v>
      </c>
      <c r="G607" s="81"/>
      <c r="H607" s="7"/>
      <c r="I607" s="14">
        <f t="shared" si="35"/>
        <v>0</v>
      </c>
      <c r="J607" s="5"/>
    </row>
    <row r="608" spans="2:11" ht="14.25" thickBot="1" x14ac:dyDescent="0.2">
      <c r="B608" s="15" t="s">
        <v>76</v>
      </c>
      <c r="C608" s="13">
        <v>-3</v>
      </c>
      <c r="D608" s="11">
        <f t="shared" si="34"/>
        <v>-3</v>
      </c>
      <c r="E608" s="12">
        <v>41842</v>
      </c>
      <c r="G608" s="15"/>
      <c r="H608" s="7"/>
      <c r="I608" s="14">
        <f t="shared" si="35"/>
        <v>0</v>
      </c>
      <c r="J608" s="85"/>
      <c r="K608" s="84"/>
    </row>
    <row r="609" spans="2:10" ht="14.25" thickBot="1" x14ac:dyDescent="0.2">
      <c r="B609" s="17" t="s">
        <v>2</v>
      </c>
      <c r="C609" s="18">
        <f>SUM(C585:C608)</f>
        <v>964</v>
      </c>
      <c r="D609" s="19">
        <f t="shared" si="34"/>
        <v>964</v>
      </c>
      <c r="E609" s="20"/>
      <c r="G609" s="17" t="s">
        <v>2</v>
      </c>
      <c r="H609" s="18">
        <f>SUM(H585:H608)</f>
        <v>936</v>
      </c>
      <c r="I609" s="19">
        <f t="shared" si="35"/>
        <v>936</v>
      </c>
      <c r="J609" s="20"/>
    </row>
    <row r="610" spans="2:10" ht="14.25" thickBot="1" x14ac:dyDescent="0.2">
      <c r="B610" s="46" t="s">
        <v>3</v>
      </c>
      <c r="C610" s="52">
        <f>C584-C609</f>
        <v>191</v>
      </c>
      <c r="D610" s="48">
        <f>D584-D609</f>
        <v>191</v>
      </c>
      <c r="E610" s="49"/>
      <c r="G610" s="46" t="s">
        <v>3</v>
      </c>
      <c r="H610" s="52">
        <f>H584-H609</f>
        <v>633</v>
      </c>
      <c r="I610" s="48">
        <f>I584-I609</f>
        <v>633</v>
      </c>
      <c r="J610" s="49"/>
    </row>
    <row r="613" spans="2:10" ht="18.75" x14ac:dyDescent="0.2">
      <c r="B613" s="26" t="s">
        <v>7</v>
      </c>
      <c r="G613" s="26" t="s">
        <v>35</v>
      </c>
    </row>
    <row r="614" spans="2:10" ht="14.25" thickBot="1" x14ac:dyDescent="0.2"/>
    <row r="615" spans="2:10" ht="14.25" thickBot="1" x14ac:dyDescent="0.2">
      <c r="B615" s="1"/>
      <c r="C615" s="2"/>
      <c r="D615" s="3" t="s">
        <v>0</v>
      </c>
      <c r="E615" s="1" t="s">
        <v>4</v>
      </c>
      <c r="G615" s="1"/>
      <c r="H615" s="2"/>
      <c r="I615" s="3" t="s">
        <v>0</v>
      </c>
      <c r="J615" s="1" t="s">
        <v>4</v>
      </c>
    </row>
    <row r="616" spans="2:10" x14ac:dyDescent="0.15">
      <c r="B616" s="42" t="s">
        <v>5</v>
      </c>
      <c r="C616" s="43">
        <f>C610</f>
        <v>191</v>
      </c>
      <c r="D616" s="44">
        <f>SUM(C616:C616)</f>
        <v>191</v>
      </c>
      <c r="E616" s="45"/>
      <c r="G616" s="42" t="s">
        <v>5</v>
      </c>
      <c r="H616" s="43">
        <f>H610</f>
        <v>633</v>
      </c>
      <c r="I616" s="44">
        <f>SUM(H616:H616)</f>
        <v>633</v>
      </c>
      <c r="J616" s="45"/>
    </row>
    <row r="617" spans="2:10" x14ac:dyDescent="0.15">
      <c r="B617" s="6" t="s">
        <v>6</v>
      </c>
      <c r="C617" s="13">
        <v>336</v>
      </c>
      <c r="D617" s="14">
        <f>SUM(C617:C617)</f>
        <v>336</v>
      </c>
      <c r="E617" s="5">
        <v>41844</v>
      </c>
      <c r="G617" s="71" t="s">
        <v>6</v>
      </c>
      <c r="H617" s="67">
        <v>1008</v>
      </c>
      <c r="I617" s="14">
        <f>SUM(H617:H617)</f>
        <v>1008</v>
      </c>
      <c r="J617" s="5">
        <v>41852</v>
      </c>
    </row>
    <row r="618" spans="2:10" x14ac:dyDescent="0.15">
      <c r="B618" s="6" t="s">
        <v>76</v>
      </c>
      <c r="C618" s="7">
        <v>69</v>
      </c>
      <c r="D618" s="8">
        <f>SUM(C618:C618)</f>
        <v>69</v>
      </c>
      <c r="E618" s="9">
        <v>41852</v>
      </c>
      <c r="G618" s="4" t="s">
        <v>6</v>
      </c>
      <c r="H618" s="93">
        <v>1008</v>
      </c>
      <c r="I618" s="14">
        <f>SUM(H618:H618)</f>
        <v>1008</v>
      </c>
      <c r="J618" s="5">
        <v>41853</v>
      </c>
    </row>
    <row r="619" spans="2:10" ht="14.25" thickBot="1" x14ac:dyDescent="0.2">
      <c r="B619" s="6" t="s">
        <v>206</v>
      </c>
      <c r="C619" s="7">
        <v>1</v>
      </c>
      <c r="D619" s="14">
        <f>SUM(C619:C619)</f>
        <v>1</v>
      </c>
      <c r="E619" s="16">
        <v>41859</v>
      </c>
      <c r="G619" s="92" t="s">
        <v>6</v>
      </c>
      <c r="H619" s="88"/>
      <c r="I619" s="11">
        <f>SUM(H619:H619)</f>
        <v>0</v>
      </c>
      <c r="J619" s="85"/>
    </row>
    <row r="620" spans="2:10" ht="14.25" thickBot="1" x14ac:dyDescent="0.2">
      <c r="B620" s="46" t="s">
        <v>1</v>
      </c>
      <c r="C620" s="48">
        <f>SUM(C616:C619)</f>
        <v>597</v>
      </c>
      <c r="D620" s="48">
        <f>SUM(D616:D619)</f>
        <v>597</v>
      </c>
      <c r="E620" s="49"/>
      <c r="G620" s="46" t="s">
        <v>1</v>
      </c>
      <c r="H620" s="47">
        <f>SUM(H616:H619)</f>
        <v>2649</v>
      </c>
      <c r="I620" s="48">
        <f>SUM(I616:I619)</f>
        <v>2649</v>
      </c>
      <c r="J620" s="49"/>
    </row>
    <row r="621" spans="2:10" x14ac:dyDescent="0.15">
      <c r="B621" s="10" t="s">
        <v>189</v>
      </c>
      <c r="C621" s="77">
        <v>2</v>
      </c>
      <c r="D621" s="11">
        <f t="shared" ref="D621:D645" si="36">SUM(C621:C621)</f>
        <v>2</v>
      </c>
      <c r="E621" s="12">
        <v>41839</v>
      </c>
      <c r="G621" s="10"/>
      <c r="H621" s="13"/>
      <c r="I621" s="11">
        <f t="shared" ref="I621:I645" si="37">SUM(H621:H621)</f>
        <v>0</v>
      </c>
      <c r="J621" s="12"/>
    </row>
    <row r="622" spans="2:10" x14ac:dyDescent="0.15">
      <c r="B622" s="10" t="s">
        <v>189</v>
      </c>
      <c r="C622" s="13">
        <v>6</v>
      </c>
      <c r="D622" s="14">
        <f t="shared" si="36"/>
        <v>6</v>
      </c>
      <c r="E622" s="12">
        <v>41842</v>
      </c>
      <c r="G622" s="78"/>
      <c r="H622" s="13"/>
      <c r="I622" s="14">
        <f t="shared" si="37"/>
        <v>0</v>
      </c>
      <c r="J622" s="12"/>
    </row>
    <row r="623" spans="2:10" x14ac:dyDescent="0.15">
      <c r="B623" s="10" t="s">
        <v>190</v>
      </c>
      <c r="C623" s="13">
        <v>74</v>
      </c>
      <c r="D623" s="14">
        <f t="shared" si="36"/>
        <v>74</v>
      </c>
      <c r="E623" s="12">
        <v>41844</v>
      </c>
      <c r="G623" s="10"/>
      <c r="H623" s="13"/>
      <c r="I623" s="14">
        <f t="shared" si="37"/>
        <v>0</v>
      </c>
      <c r="J623" s="12"/>
    </row>
    <row r="624" spans="2:10" x14ac:dyDescent="0.15">
      <c r="B624" s="10" t="s">
        <v>189</v>
      </c>
      <c r="C624" s="13">
        <v>1</v>
      </c>
      <c r="D624" s="14">
        <f t="shared" si="36"/>
        <v>1</v>
      </c>
      <c r="E624" s="12">
        <v>41843</v>
      </c>
      <c r="G624" s="78"/>
      <c r="H624" s="13"/>
      <c r="I624" s="14">
        <f t="shared" si="37"/>
        <v>0</v>
      </c>
      <c r="J624" s="12"/>
    </row>
    <row r="625" spans="2:10" x14ac:dyDescent="0.15">
      <c r="B625" s="10" t="s">
        <v>194</v>
      </c>
      <c r="C625" s="13">
        <v>100</v>
      </c>
      <c r="D625" s="14">
        <f t="shared" si="36"/>
        <v>100</v>
      </c>
      <c r="E625" s="12">
        <v>41845</v>
      </c>
      <c r="G625" s="78"/>
      <c r="H625" s="13"/>
      <c r="I625" s="14">
        <f t="shared" si="37"/>
        <v>0</v>
      </c>
      <c r="J625" s="12"/>
    </row>
    <row r="626" spans="2:10" x14ac:dyDescent="0.15">
      <c r="B626" s="10" t="s">
        <v>189</v>
      </c>
      <c r="C626" s="13">
        <v>1</v>
      </c>
      <c r="D626" s="14">
        <f t="shared" si="36"/>
        <v>1</v>
      </c>
      <c r="E626" s="12">
        <v>41844</v>
      </c>
      <c r="G626" s="78"/>
      <c r="H626" s="13"/>
      <c r="I626" s="14">
        <f t="shared" si="37"/>
        <v>0</v>
      </c>
      <c r="J626" s="12"/>
    </row>
    <row r="627" spans="2:10" x14ac:dyDescent="0.15">
      <c r="B627" s="10" t="s">
        <v>195</v>
      </c>
      <c r="C627" s="13">
        <v>60</v>
      </c>
      <c r="D627" s="14">
        <f t="shared" si="36"/>
        <v>60</v>
      </c>
      <c r="E627" s="12">
        <v>41846</v>
      </c>
      <c r="G627" s="78"/>
      <c r="H627" s="13"/>
      <c r="I627" s="14">
        <f t="shared" si="37"/>
        <v>0</v>
      </c>
      <c r="J627" s="12"/>
    </row>
    <row r="628" spans="2:10" x14ac:dyDescent="0.15">
      <c r="B628" s="10" t="s">
        <v>195</v>
      </c>
      <c r="C628" s="13">
        <v>1</v>
      </c>
      <c r="D628" s="14">
        <f t="shared" si="36"/>
        <v>1</v>
      </c>
      <c r="E628" s="12">
        <v>41846</v>
      </c>
      <c r="G628" s="78"/>
      <c r="H628" s="13"/>
      <c r="I628" s="14">
        <f t="shared" si="37"/>
        <v>0</v>
      </c>
      <c r="J628" s="12"/>
    </row>
    <row r="629" spans="2:10" x14ac:dyDescent="0.15">
      <c r="B629" s="10" t="s">
        <v>196</v>
      </c>
      <c r="C629" s="13">
        <v>40</v>
      </c>
      <c r="D629" s="14">
        <f t="shared" si="36"/>
        <v>40</v>
      </c>
      <c r="E629" s="12">
        <v>41848</v>
      </c>
      <c r="G629" s="10"/>
      <c r="H629" s="13"/>
      <c r="I629" s="14">
        <f t="shared" si="37"/>
        <v>0</v>
      </c>
      <c r="J629" s="12"/>
    </row>
    <row r="630" spans="2:10" x14ac:dyDescent="0.15">
      <c r="B630" s="10" t="s">
        <v>189</v>
      </c>
      <c r="C630" s="13">
        <v>1</v>
      </c>
      <c r="D630" s="14">
        <f t="shared" si="36"/>
        <v>1</v>
      </c>
      <c r="E630" s="12">
        <v>41845</v>
      </c>
      <c r="G630" s="78"/>
      <c r="H630" s="13"/>
      <c r="I630" s="14">
        <f t="shared" si="37"/>
        <v>0</v>
      </c>
      <c r="J630" s="12"/>
    </row>
    <row r="631" spans="2:10" x14ac:dyDescent="0.15">
      <c r="B631" s="10" t="s">
        <v>189</v>
      </c>
      <c r="C631" s="13">
        <v>1</v>
      </c>
      <c r="D631" s="14">
        <f t="shared" si="36"/>
        <v>1</v>
      </c>
      <c r="E631" s="12">
        <v>41846</v>
      </c>
      <c r="G631" s="10"/>
      <c r="H631" s="22"/>
      <c r="I631" s="23">
        <f t="shared" si="37"/>
        <v>0</v>
      </c>
      <c r="J631" s="24"/>
    </row>
    <row r="632" spans="2:10" x14ac:dyDescent="0.15">
      <c r="B632" s="10" t="s">
        <v>18</v>
      </c>
      <c r="C632" s="13">
        <v>32</v>
      </c>
      <c r="D632" s="14">
        <f t="shared" si="36"/>
        <v>32</v>
      </c>
      <c r="E632" s="12">
        <v>41849</v>
      </c>
      <c r="G632" s="27"/>
      <c r="H632" s="22"/>
      <c r="I632" s="23">
        <f t="shared" si="37"/>
        <v>0</v>
      </c>
      <c r="J632" s="24"/>
    </row>
    <row r="633" spans="2:10" x14ac:dyDescent="0.15">
      <c r="B633" s="10" t="s">
        <v>196</v>
      </c>
      <c r="C633" s="13">
        <v>40</v>
      </c>
      <c r="D633" s="14">
        <f t="shared" si="36"/>
        <v>40</v>
      </c>
      <c r="E633" s="12">
        <v>41849</v>
      </c>
      <c r="G633" s="15"/>
      <c r="H633" s="13"/>
      <c r="I633" s="14">
        <f t="shared" si="37"/>
        <v>0</v>
      </c>
      <c r="J633" s="12"/>
    </row>
    <row r="634" spans="2:10" x14ac:dyDescent="0.15">
      <c r="B634" s="10" t="s">
        <v>189</v>
      </c>
      <c r="C634" s="13">
        <v>3</v>
      </c>
      <c r="D634" s="14">
        <f t="shared" si="36"/>
        <v>3</v>
      </c>
      <c r="E634" s="12">
        <v>41848</v>
      </c>
      <c r="G634" s="10"/>
      <c r="H634" s="13"/>
      <c r="I634" s="14">
        <f t="shared" si="37"/>
        <v>0</v>
      </c>
      <c r="J634" s="12"/>
    </row>
    <row r="635" spans="2:10" x14ac:dyDescent="0.15">
      <c r="B635" s="10" t="s">
        <v>197</v>
      </c>
      <c r="C635" s="13">
        <v>1</v>
      </c>
      <c r="D635" s="14">
        <f t="shared" si="36"/>
        <v>1</v>
      </c>
      <c r="E635" s="12">
        <v>41849</v>
      </c>
      <c r="G635" s="15"/>
      <c r="H635" s="13"/>
      <c r="I635" s="14">
        <f t="shared" si="37"/>
        <v>0</v>
      </c>
      <c r="J635" s="12"/>
    </row>
    <row r="636" spans="2:10" x14ac:dyDescent="0.15">
      <c r="B636" s="10" t="s">
        <v>18</v>
      </c>
      <c r="C636" s="13">
        <v>8</v>
      </c>
      <c r="D636" s="14">
        <f t="shared" si="36"/>
        <v>8</v>
      </c>
      <c r="E636" s="12">
        <v>41851</v>
      </c>
      <c r="G636" s="21"/>
      <c r="H636" s="22"/>
      <c r="I636" s="23">
        <f t="shared" si="37"/>
        <v>0</v>
      </c>
      <c r="J636" s="24"/>
    </row>
    <row r="637" spans="2:10" x14ac:dyDescent="0.15">
      <c r="B637" s="10" t="s">
        <v>199</v>
      </c>
      <c r="C637" s="13">
        <v>1</v>
      </c>
      <c r="D637" s="14">
        <f t="shared" si="36"/>
        <v>1</v>
      </c>
      <c r="E637" s="12">
        <v>41850</v>
      </c>
      <c r="G637" s="27"/>
      <c r="H637" s="22"/>
      <c r="I637" s="23">
        <f t="shared" si="37"/>
        <v>0</v>
      </c>
      <c r="J637" s="24"/>
    </row>
    <row r="638" spans="2:10" x14ac:dyDescent="0.15">
      <c r="B638" s="10" t="s">
        <v>198</v>
      </c>
      <c r="C638" s="13">
        <v>1</v>
      </c>
      <c r="D638" s="14">
        <f t="shared" si="36"/>
        <v>1</v>
      </c>
      <c r="E638" s="12">
        <v>41852</v>
      </c>
      <c r="G638" s="15"/>
      <c r="H638" s="13"/>
      <c r="I638" s="14">
        <f t="shared" si="37"/>
        <v>0</v>
      </c>
      <c r="J638" s="5"/>
    </row>
    <row r="639" spans="2:10" x14ac:dyDescent="0.15">
      <c r="B639" s="10" t="s">
        <v>201</v>
      </c>
      <c r="C639" s="13">
        <v>2</v>
      </c>
      <c r="D639" s="14">
        <f t="shared" si="36"/>
        <v>2</v>
      </c>
      <c r="E639" s="12">
        <v>41851</v>
      </c>
      <c r="G639" s="15"/>
      <c r="H639" s="13"/>
      <c r="I639" s="14">
        <f t="shared" si="37"/>
        <v>0</v>
      </c>
      <c r="J639" s="5"/>
    </row>
    <row r="640" spans="2:10" x14ac:dyDescent="0.15">
      <c r="B640" s="10" t="s">
        <v>18</v>
      </c>
      <c r="C640" s="13">
        <v>20</v>
      </c>
      <c r="D640" s="14">
        <f t="shared" si="36"/>
        <v>20</v>
      </c>
      <c r="E640" s="5">
        <v>41853</v>
      </c>
      <c r="G640" s="15"/>
      <c r="H640" s="13"/>
      <c r="I640" s="14">
        <f>SUM(H640:H640)</f>
        <v>0</v>
      </c>
      <c r="J640" s="5"/>
    </row>
    <row r="641" spans="2:10" x14ac:dyDescent="0.15">
      <c r="B641" s="10" t="s">
        <v>200</v>
      </c>
      <c r="C641" s="13">
        <v>1</v>
      </c>
      <c r="D641" s="14">
        <f t="shared" si="36"/>
        <v>1</v>
      </c>
      <c r="E641" s="5">
        <v>41857</v>
      </c>
      <c r="G641" s="15"/>
      <c r="H641" s="13"/>
      <c r="I641" s="14">
        <f>SUM(H641:H641)</f>
        <v>0</v>
      </c>
      <c r="J641" s="5"/>
    </row>
    <row r="642" spans="2:10" x14ac:dyDescent="0.15">
      <c r="B642" s="10" t="s">
        <v>200</v>
      </c>
      <c r="C642" s="13">
        <v>1</v>
      </c>
      <c r="D642" s="14">
        <f t="shared" si="36"/>
        <v>1</v>
      </c>
      <c r="E642" s="5">
        <v>41857</v>
      </c>
      <c r="G642" s="81"/>
      <c r="H642" s="7"/>
      <c r="I642" s="14">
        <f>SUM(H642:H642)</f>
        <v>0</v>
      </c>
      <c r="J642" s="5"/>
    </row>
    <row r="643" spans="2:10" x14ac:dyDescent="0.15">
      <c r="B643" s="10" t="s">
        <v>189</v>
      </c>
      <c r="C643" s="13">
        <v>9</v>
      </c>
      <c r="D643" s="14">
        <f t="shared" si="36"/>
        <v>9</v>
      </c>
      <c r="E643" s="5">
        <v>41852</v>
      </c>
      <c r="G643" s="81"/>
      <c r="H643" s="7"/>
      <c r="I643" s="14">
        <f>SUM(H643:H643)</f>
        <v>0</v>
      </c>
      <c r="J643" s="74"/>
    </row>
    <row r="644" spans="2:10" ht="14.25" thickBot="1" x14ac:dyDescent="0.2">
      <c r="B644" s="10" t="s">
        <v>189</v>
      </c>
      <c r="C644" s="13">
        <v>3</v>
      </c>
      <c r="D644" s="11">
        <f t="shared" si="36"/>
        <v>3</v>
      </c>
      <c r="E644" s="12">
        <v>41853</v>
      </c>
      <c r="G644" s="81"/>
      <c r="H644" s="7"/>
      <c r="I644" s="14">
        <f t="shared" si="37"/>
        <v>0</v>
      </c>
      <c r="J644" s="16"/>
    </row>
    <row r="645" spans="2:10" ht="14.25" thickBot="1" x14ac:dyDescent="0.2">
      <c r="B645" s="17" t="s">
        <v>2</v>
      </c>
      <c r="C645" s="18">
        <f>SUM(C621:C644)</f>
        <v>409</v>
      </c>
      <c r="D645" s="19">
        <f t="shared" si="36"/>
        <v>409</v>
      </c>
      <c r="E645" s="20"/>
      <c r="G645" s="17" t="s">
        <v>2</v>
      </c>
      <c r="H645" s="18">
        <f>SUM(H621:H644)</f>
        <v>0</v>
      </c>
      <c r="I645" s="19">
        <f t="shared" si="37"/>
        <v>0</v>
      </c>
      <c r="J645" s="20"/>
    </row>
    <row r="646" spans="2:10" ht="14.25" thickBot="1" x14ac:dyDescent="0.2">
      <c r="B646" s="46" t="s">
        <v>3</v>
      </c>
      <c r="C646" s="52">
        <f>C620-C645</f>
        <v>188</v>
      </c>
      <c r="D646" s="48">
        <f>D620-D645</f>
        <v>188</v>
      </c>
      <c r="E646" s="49"/>
      <c r="G646" s="46" t="s">
        <v>3</v>
      </c>
      <c r="H646" s="52">
        <f>H620-H645</f>
        <v>2649</v>
      </c>
      <c r="I646" s="48">
        <f>I620-I645</f>
        <v>2649</v>
      </c>
      <c r="J646" s="49"/>
    </row>
    <row r="649" spans="2:10" ht="18.75" x14ac:dyDescent="0.2">
      <c r="B649" s="26" t="s">
        <v>7</v>
      </c>
      <c r="G649" s="26" t="s">
        <v>35</v>
      </c>
    </row>
    <row r="650" spans="2:10" ht="14.25" thickBot="1" x14ac:dyDescent="0.2"/>
    <row r="651" spans="2:10" ht="14.25" thickBot="1" x14ac:dyDescent="0.2">
      <c r="B651" s="1"/>
      <c r="C651" s="2"/>
      <c r="D651" s="3" t="s">
        <v>0</v>
      </c>
      <c r="E651" s="1" t="s">
        <v>4</v>
      </c>
      <c r="G651" s="1"/>
      <c r="H651" s="2"/>
      <c r="I651" s="3" t="s">
        <v>0</v>
      </c>
      <c r="J651" s="1" t="s">
        <v>4</v>
      </c>
    </row>
    <row r="652" spans="2:10" x14ac:dyDescent="0.15">
      <c r="B652" s="42" t="s">
        <v>5</v>
      </c>
      <c r="C652" s="43">
        <f>C646</f>
        <v>188</v>
      </c>
      <c r="D652" s="44">
        <f>SUM(C652:C652)</f>
        <v>188</v>
      </c>
      <c r="E652" s="45"/>
      <c r="G652" s="42" t="s">
        <v>5</v>
      </c>
      <c r="H652" s="43">
        <f>H646</f>
        <v>2649</v>
      </c>
      <c r="I652" s="44">
        <f>SUM(H652:H652)</f>
        <v>2649</v>
      </c>
      <c r="J652" s="45"/>
    </row>
    <row r="653" spans="2:10" x14ac:dyDescent="0.15">
      <c r="B653" s="6" t="s">
        <v>6</v>
      </c>
      <c r="C653" s="13">
        <v>336</v>
      </c>
      <c r="D653" s="14">
        <f>SUM(C653:C653)</f>
        <v>336</v>
      </c>
      <c r="E653" s="5">
        <v>41862</v>
      </c>
      <c r="G653" s="71" t="s">
        <v>6</v>
      </c>
      <c r="H653" s="13"/>
      <c r="I653" s="14">
        <f>SUM(H653:H653)</f>
        <v>0</v>
      </c>
      <c r="J653" s="5"/>
    </row>
    <row r="654" spans="2:10" x14ac:dyDescent="0.15">
      <c r="B654" s="6" t="s">
        <v>105</v>
      </c>
      <c r="C654" s="7">
        <v>3</v>
      </c>
      <c r="D654" s="8">
        <f>SUM(C654:C654)</f>
        <v>3</v>
      </c>
      <c r="E654" s="9">
        <v>41874</v>
      </c>
      <c r="G654" s="71" t="s">
        <v>6</v>
      </c>
      <c r="H654" s="67"/>
      <c r="I654" s="14">
        <f>SUM(H654:H654)</f>
        <v>0</v>
      </c>
      <c r="J654" s="5"/>
    </row>
    <row r="655" spans="2:10" ht="14.25" thickBot="1" x14ac:dyDescent="0.2">
      <c r="B655" s="6" t="s">
        <v>6</v>
      </c>
      <c r="C655" s="7">
        <v>336</v>
      </c>
      <c r="D655" s="14">
        <f>SUM(C655:C655)</f>
        <v>336</v>
      </c>
      <c r="E655" s="16">
        <v>41877</v>
      </c>
      <c r="G655" s="6" t="s">
        <v>6</v>
      </c>
      <c r="H655" s="88"/>
      <c r="I655" s="11">
        <f>SUM(H655:H655)</f>
        <v>0</v>
      </c>
      <c r="J655" s="85"/>
    </row>
    <row r="656" spans="2:10" ht="14.25" thickBot="1" x14ac:dyDescent="0.2">
      <c r="B656" s="46" t="s">
        <v>1</v>
      </c>
      <c r="C656" s="48">
        <f>SUM(C652:C655)</f>
        <v>863</v>
      </c>
      <c r="D656" s="48">
        <f>SUM(D652:D655)</f>
        <v>863</v>
      </c>
      <c r="E656" s="49"/>
      <c r="G656" s="46" t="s">
        <v>1</v>
      </c>
      <c r="H656" s="47">
        <f>SUM(H652:H655)</f>
        <v>2649</v>
      </c>
      <c r="I656" s="48">
        <f>SUM(I652:I655)</f>
        <v>2649</v>
      </c>
      <c r="J656" s="49"/>
    </row>
    <row r="657" spans="2:10" x14ac:dyDescent="0.15">
      <c r="B657" s="10" t="s">
        <v>202</v>
      </c>
      <c r="C657" s="77">
        <v>20</v>
      </c>
      <c r="D657" s="11">
        <f t="shared" ref="D657:D681" si="38">SUM(C657:C657)</f>
        <v>20</v>
      </c>
      <c r="E657" s="12">
        <v>41856</v>
      </c>
      <c r="G657" s="10" t="s">
        <v>204</v>
      </c>
      <c r="H657" s="13">
        <v>213</v>
      </c>
      <c r="I657" s="11">
        <f t="shared" ref="I657:I681" si="39">SUM(H657:H657)</f>
        <v>213</v>
      </c>
      <c r="J657" s="12">
        <v>41857</v>
      </c>
    </row>
    <row r="658" spans="2:10" x14ac:dyDescent="0.15">
      <c r="B658" s="10" t="s">
        <v>189</v>
      </c>
      <c r="C658" s="13">
        <v>1</v>
      </c>
      <c r="D658" s="14">
        <f t="shared" si="38"/>
        <v>1</v>
      </c>
      <c r="E658" s="12">
        <v>41855</v>
      </c>
      <c r="G658" s="15" t="s">
        <v>12</v>
      </c>
      <c r="H658" s="13">
        <v>336</v>
      </c>
      <c r="I658" s="14">
        <f t="shared" si="39"/>
        <v>336</v>
      </c>
      <c r="J658" s="12">
        <v>41862</v>
      </c>
    </row>
    <row r="659" spans="2:10" x14ac:dyDescent="0.15">
      <c r="B659" s="10" t="s">
        <v>203</v>
      </c>
      <c r="C659" s="13">
        <v>39</v>
      </c>
      <c r="D659" s="14">
        <f t="shared" si="38"/>
        <v>39</v>
      </c>
      <c r="E659" s="12">
        <v>41857</v>
      </c>
      <c r="G659" s="15" t="s">
        <v>12</v>
      </c>
      <c r="H659" s="13">
        <v>336</v>
      </c>
      <c r="I659" s="14">
        <f t="shared" si="39"/>
        <v>336</v>
      </c>
      <c r="J659" s="12">
        <v>41877</v>
      </c>
    </row>
    <row r="660" spans="2:10" x14ac:dyDescent="0.15">
      <c r="B660" s="10" t="s">
        <v>189</v>
      </c>
      <c r="C660" s="13">
        <v>3</v>
      </c>
      <c r="D660" s="14">
        <f t="shared" si="38"/>
        <v>3</v>
      </c>
      <c r="E660" s="12">
        <v>41856</v>
      </c>
      <c r="G660" s="78"/>
      <c r="H660" s="13"/>
      <c r="I660" s="14">
        <f t="shared" si="39"/>
        <v>0</v>
      </c>
      <c r="J660" s="12"/>
    </row>
    <row r="661" spans="2:10" x14ac:dyDescent="0.15">
      <c r="B661" s="10" t="s">
        <v>205</v>
      </c>
      <c r="C661" s="13">
        <v>10</v>
      </c>
      <c r="D661" s="14">
        <f t="shared" si="38"/>
        <v>10</v>
      </c>
      <c r="E661" s="12">
        <v>41871</v>
      </c>
      <c r="G661" s="78"/>
      <c r="H661" s="13"/>
      <c r="I661" s="14">
        <f t="shared" si="39"/>
        <v>0</v>
      </c>
      <c r="J661" s="12"/>
    </row>
    <row r="662" spans="2:10" x14ac:dyDescent="0.15">
      <c r="B662" s="10" t="s">
        <v>189</v>
      </c>
      <c r="C662" s="13">
        <v>3</v>
      </c>
      <c r="D662" s="14">
        <f t="shared" si="38"/>
        <v>3</v>
      </c>
      <c r="E662" s="12">
        <v>41857</v>
      </c>
      <c r="G662" s="78"/>
      <c r="H662" s="13"/>
      <c r="I662" s="14">
        <f t="shared" si="39"/>
        <v>0</v>
      </c>
      <c r="J662" s="12"/>
    </row>
    <row r="663" spans="2:10" x14ac:dyDescent="0.15">
      <c r="B663" s="10" t="s">
        <v>207</v>
      </c>
      <c r="C663" s="13">
        <v>1</v>
      </c>
      <c r="D663" s="14">
        <f t="shared" si="38"/>
        <v>1</v>
      </c>
      <c r="E663" s="12">
        <v>41858</v>
      </c>
      <c r="G663" s="78"/>
      <c r="H663" s="13"/>
      <c r="I663" s="14">
        <f t="shared" si="39"/>
        <v>0</v>
      </c>
      <c r="J663" s="12"/>
    </row>
    <row r="664" spans="2:10" x14ac:dyDescent="0.15">
      <c r="B664" s="10" t="s">
        <v>200</v>
      </c>
      <c r="C664" s="13">
        <v>1</v>
      </c>
      <c r="D664" s="14">
        <f t="shared" si="38"/>
        <v>1</v>
      </c>
      <c r="E664" s="12">
        <v>41860</v>
      </c>
      <c r="G664" s="78"/>
      <c r="H664" s="13"/>
      <c r="I664" s="14">
        <f t="shared" si="39"/>
        <v>0</v>
      </c>
      <c r="J664" s="12"/>
    </row>
    <row r="665" spans="2:10" x14ac:dyDescent="0.15">
      <c r="B665" s="10" t="s">
        <v>114</v>
      </c>
      <c r="C665" s="13">
        <v>50</v>
      </c>
      <c r="D665" s="14">
        <f t="shared" si="38"/>
        <v>50</v>
      </c>
      <c r="E665" s="12">
        <v>41862</v>
      </c>
      <c r="G665" s="10"/>
      <c r="H665" s="13"/>
      <c r="I665" s="14">
        <f t="shared" si="39"/>
        <v>0</v>
      </c>
      <c r="J665" s="12"/>
    </row>
    <row r="666" spans="2:10" x14ac:dyDescent="0.15">
      <c r="B666" s="10" t="s">
        <v>189</v>
      </c>
      <c r="C666" s="13">
        <v>2</v>
      </c>
      <c r="D666" s="14">
        <f t="shared" si="38"/>
        <v>2</v>
      </c>
      <c r="E666" s="12">
        <v>41862</v>
      </c>
      <c r="G666" s="78"/>
      <c r="H666" s="13"/>
      <c r="I666" s="14">
        <f t="shared" si="39"/>
        <v>0</v>
      </c>
      <c r="J666" s="12"/>
    </row>
    <row r="667" spans="2:10" x14ac:dyDescent="0.15">
      <c r="B667" s="10" t="s">
        <v>208</v>
      </c>
      <c r="C667" s="13">
        <v>59</v>
      </c>
      <c r="D667" s="14">
        <f t="shared" si="38"/>
        <v>59</v>
      </c>
      <c r="E667" s="12">
        <v>41869</v>
      </c>
      <c r="G667" s="10"/>
      <c r="H667" s="22"/>
      <c r="I667" s="23">
        <f t="shared" si="39"/>
        <v>0</v>
      </c>
      <c r="J667" s="24"/>
    </row>
    <row r="668" spans="2:10" x14ac:dyDescent="0.15">
      <c r="B668" s="10" t="s">
        <v>209</v>
      </c>
      <c r="C668" s="13">
        <v>2</v>
      </c>
      <c r="D668" s="14">
        <f t="shared" si="38"/>
        <v>2</v>
      </c>
      <c r="E668" s="12">
        <v>41870</v>
      </c>
      <c r="G668" s="27"/>
      <c r="H668" s="22"/>
      <c r="I668" s="23">
        <f t="shared" si="39"/>
        <v>0</v>
      </c>
      <c r="J668" s="24"/>
    </row>
    <row r="669" spans="2:10" x14ac:dyDescent="0.15">
      <c r="B669" s="10" t="s">
        <v>189</v>
      </c>
      <c r="C669" s="13">
        <v>1</v>
      </c>
      <c r="D669" s="14">
        <f t="shared" si="38"/>
        <v>1</v>
      </c>
      <c r="E669" s="12">
        <v>41863</v>
      </c>
      <c r="G669" s="15"/>
      <c r="H669" s="13"/>
      <c r="I669" s="14">
        <f t="shared" si="39"/>
        <v>0</v>
      </c>
      <c r="J669" s="12"/>
    </row>
    <row r="670" spans="2:10" x14ac:dyDescent="0.15">
      <c r="B670" s="10" t="s">
        <v>189</v>
      </c>
      <c r="C670" s="13">
        <v>4</v>
      </c>
      <c r="D670" s="14">
        <f t="shared" si="38"/>
        <v>4</v>
      </c>
      <c r="E670" s="12">
        <v>41866</v>
      </c>
      <c r="G670" s="10"/>
      <c r="H670" s="13"/>
      <c r="I670" s="14">
        <f t="shared" si="39"/>
        <v>0</v>
      </c>
      <c r="J670" s="12"/>
    </row>
    <row r="671" spans="2:10" x14ac:dyDescent="0.15">
      <c r="B671" s="10" t="s">
        <v>211</v>
      </c>
      <c r="C671" s="13">
        <v>4</v>
      </c>
      <c r="D671" s="14">
        <f t="shared" si="38"/>
        <v>4</v>
      </c>
      <c r="E671" s="12">
        <v>41869</v>
      </c>
      <c r="G671" s="15"/>
      <c r="H671" s="13"/>
      <c r="I671" s="14">
        <f t="shared" si="39"/>
        <v>0</v>
      </c>
      <c r="J671" s="12"/>
    </row>
    <row r="672" spans="2:10" x14ac:dyDescent="0.15">
      <c r="B672" s="10" t="s">
        <v>18</v>
      </c>
      <c r="C672" s="13">
        <v>50</v>
      </c>
      <c r="D672" s="14">
        <f t="shared" si="38"/>
        <v>50</v>
      </c>
      <c r="E672" s="12">
        <v>41871</v>
      </c>
      <c r="G672" s="21"/>
      <c r="H672" s="22"/>
      <c r="I672" s="23">
        <f t="shared" si="39"/>
        <v>0</v>
      </c>
      <c r="J672" s="24"/>
    </row>
    <row r="673" spans="2:10" x14ac:dyDescent="0.15">
      <c r="B673" s="10" t="s">
        <v>210</v>
      </c>
      <c r="C673" s="13">
        <v>20</v>
      </c>
      <c r="D673" s="14">
        <f t="shared" si="38"/>
        <v>20</v>
      </c>
      <c r="E673" s="12">
        <v>41876</v>
      </c>
      <c r="G673" s="27"/>
      <c r="H673" s="22"/>
      <c r="I673" s="23">
        <f t="shared" si="39"/>
        <v>0</v>
      </c>
      <c r="J673" s="24"/>
    </row>
    <row r="674" spans="2:10" x14ac:dyDescent="0.15">
      <c r="B674" s="10" t="s">
        <v>212</v>
      </c>
      <c r="C674" s="13">
        <v>2</v>
      </c>
      <c r="D674" s="14">
        <f t="shared" si="38"/>
        <v>2</v>
      </c>
      <c r="E674" s="12">
        <v>41871</v>
      </c>
      <c r="G674" s="15"/>
      <c r="H674" s="13"/>
      <c r="I674" s="14">
        <f t="shared" si="39"/>
        <v>0</v>
      </c>
      <c r="J674" s="5"/>
    </row>
    <row r="675" spans="2:10" x14ac:dyDescent="0.15">
      <c r="B675" s="10" t="s">
        <v>18</v>
      </c>
      <c r="C675" s="13">
        <v>54</v>
      </c>
      <c r="D675" s="14">
        <f t="shared" si="38"/>
        <v>54</v>
      </c>
      <c r="E675" s="12">
        <v>41873</v>
      </c>
      <c r="G675" s="15"/>
      <c r="H675" s="13"/>
      <c r="I675" s="14">
        <f t="shared" si="39"/>
        <v>0</v>
      </c>
      <c r="J675" s="5"/>
    </row>
    <row r="676" spans="2:10" x14ac:dyDescent="0.15">
      <c r="B676" s="10" t="s">
        <v>18</v>
      </c>
      <c r="C676" s="13">
        <v>4</v>
      </c>
      <c r="D676" s="14">
        <f t="shared" si="38"/>
        <v>4</v>
      </c>
      <c r="E676" s="5">
        <v>41873</v>
      </c>
      <c r="G676" s="15"/>
      <c r="H676" s="13"/>
      <c r="I676" s="14">
        <f>SUM(H676:H676)</f>
        <v>0</v>
      </c>
      <c r="J676" s="5"/>
    </row>
    <row r="677" spans="2:10" x14ac:dyDescent="0.15">
      <c r="B677" s="10" t="s">
        <v>73</v>
      </c>
      <c r="C677" s="13">
        <v>10</v>
      </c>
      <c r="D677" s="14">
        <f t="shared" si="38"/>
        <v>10</v>
      </c>
      <c r="E677" s="5">
        <v>41874</v>
      </c>
      <c r="G677" s="15"/>
      <c r="H677" s="13"/>
      <c r="I677" s="14">
        <f>SUM(H677:H677)</f>
        <v>0</v>
      </c>
      <c r="J677" s="5"/>
    </row>
    <row r="678" spans="2:10" x14ac:dyDescent="0.15">
      <c r="B678" s="10" t="s">
        <v>189</v>
      </c>
      <c r="C678" s="13">
        <v>1</v>
      </c>
      <c r="D678" s="14">
        <f t="shared" si="38"/>
        <v>1</v>
      </c>
      <c r="E678" s="5">
        <v>41872</v>
      </c>
      <c r="G678" s="81"/>
      <c r="H678" s="7"/>
      <c r="I678" s="14">
        <f>SUM(H678:H678)</f>
        <v>0</v>
      </c>
      <c r="J678" s="5"/>
    </row>
    <row r="679" spans="2:10" x14ac:dyDescent="0.15">
      <c r="B679" s="10" t="s">
        <v>189</v>
      </c>
      <c r="C679" s="13">
        <v>3</v>
      </c>
      <c r="D679" s="14">
        <f t="shared" si="38"/>
        <v>3</v>
      </c>
      <c r="E679" s="5">
        <v>41873</v>
      </c>
      <c r="G679" s="81"/>
      <c r="H679" s="7"/>
      <c r="I679" s="14">
        <f>SUM(H679:H679)</f>
        <v>0</v>
      </c>
      <c r="J679" s="74"/>
    </row>
    <row r="680" spans="2:10" ht="14.25" thickBot="1" x14ac:dyDescent="0.2">
      <c r="B680" s="10" t="s">
        <v>189</v>
      </c>
      <c r="C680" s="13">
        <v>3</v>
      </c>
      <c r="D680" s="11">
        <f t="shared" si="38"/>
        <v>3</v>
      </c>
      <c r="E680" s="12">
        <v>41872</v>
      </c>
      <c r="G680" s="81"/>
      <c r="H680" s="7"/>
      <c r="I680" s="14">
        <f>SUM(H680:H680)</f>
        <v>0</v>
      </c>
      <c r="J680" s="16"/>
    </row>
    <row r="681" spans="2:10" ht="14.25" thickBot="1" x14ac:dyDescent="0.2">
      <c r="B681" s="17" t="s">
        <v>2</v>
      </c>
      <c r="C681" s="18">
        <f>SUM(C657:C680)</f>
        <v>347</v>
      </c>
      <c r="D681" s="19">
        <f t="shared" si="38"/>
        <v>347</v>
      </c>
      <c r="E681" s="20"/>
      <c r="G681" s="17" t="s">
        <v>2</v>
      </c>
      <c r="H681" s="18">
        <f>SUM(H657:H680)</f>
        <v>885</v>
      </c>
      <c r="I681" s="19">
        <f t="shared" si="39"/>
        <v>885</v>
      </c>
      <c r="J681" s="20"/>
    </row>
    <row r="682" spans="2:10" ht="14.25" thickBot="1" x14ac:dyDescent="0.2">
      <c r="B682" s="46" t="s">
        <v>3</v>
      </c>
      <c r="C682" s="52">
        <f>C656-C681</f>
        <v>516</v>
      </c>
      <c r="D682" s="48">
        <f>D656-D681</f>
        <v>516</v>
      </c>
      <c r="E682" s="49"/>
      <c r="G682" s="46" t="s">
        <v>3</v>
      </c>
      <c r="H682" s="52">
        <f>H656-H681</f>
        <v>1764</v>
      </c>
      <c r="I682" s="48">
        <f>I656-I681</f>
        <v>1764</v>
      </c>
      <c r="J682" s="49"/>
    </row>
    <row r="685" spans="2:10" ht="18.75" x14ac:dyDescent="0.2">
      <c r="B685" s="26" t="s">
        <v>7</v>
      </c>
      <c r="G685" s="26" t="s">
        <v>35</v>
      </c>
    </row>
    <row r="686" spans="2:10" ht="14.25" thickBot="1" x14ac:dyDescent="0.2"/>
    <row r="687" spans="2:10" ht="14.25" thickBot="1" x14ac:dyDescent="0.2">
      <c r="B687" s="1"/>
      <c r="C687" s="2"/>
      <c r="D687" s="3" t="s">
        <v>0</v>
      </c>
      <c r="E687" s="1" t="s">
        <v>4</v>
      </c>
      <c r="G687" s="1"/>
      <c r="H687" s="2"/>
      <c r="I687" s="3" t="s">
        <v>0</v>
      </c>
      <c r="J687" s="1" t="s">
        <v>4</v>
      </c>
    </row>
    <row r="688" spans="2:10" x14ac:dyDescent="0.15">
      <c r="B688" s="42" t="s">
        <v>5</v>
      </c>
      <c r="C688" s="43">
        <f>C682</f>
        <v>516</v>
      </c>
      <c r="D688" s="44">
        <f>SUM(C688:C688)</f>
        <v>516</v>
      </c>
      <c r="E688" s="45"/>
      <c r="G688" s="42" t="s">
        <v>5</v>
      </c>
      <c r="H688" s="43">
        <f>H682</f>
        <v>1764</v>
      </c>
      <c r="I688" s="44">
        <f>SUM(H688:H688)</f>
        <v>1764</v>
      </c>
      <c r="J688" s="45"/>
    </row>
    <row r="689" spans="2:10" x14ac:dyDescent="0.15">
      <c r="B689" s="6" t="s">
        <v>76</v>
      </c>
      <c r="C689" s="13">
        <v>2</v>
      </c>
      <c r="D689" s="14">
        <f>SUM(C689:C689)</f>
        <v>2</v>
      </c>
      <c r="E689" s="5">
        <v>41883</v>
      </c>
      <c r="G689" s="71" t="s">
        <v>6</v>
      </c>
      <c r="H689" s="13"/>
      <c r="I689" s="14">
        <f>SUM(H689:H689)</f>
        <v>0</v>
      </c>
      <c r="J689" s="5"/>
    </row>
    <row r="690" spans="2:10" x14ac:dyDescent="0.15">
      <c r="B690" s="6" t="s">
        <v>76</v>
      </c>
      <c r="C690" s="7">
        <v>42</v>
      </c>
      <c r="D690" s="8">
        <f>SUM(C690:C690)</f>
        <v>42</v>
      </c>
      <c r="E690" s="9">
        <v>41902</v>
      </c>
      <c r="G690" s="71" t="s">
        <v>6</v>
      </c>
      <c r="H690" s="67">
        <v>1680</v>
      </c>
      <c r="I690" s="14">
        <f>SUM(H690:H690)</f>
        <v>1680</v>
      </c>
      <c r="J690" s="5">
        <v>41883</v>
      </c>
    </row>
    <row r="691" spans="2:10" ht="14.25" thickBot="1" x14ac:dyDescent="0.2">
      <c r="B691" s="6" t="s">
        <v>6</v>
      </c>
      <c r="C691" s="7"/>
      <c r="D691" s="14">
        <f>SUM(C691:C691)</f>
        <v>0</v>
      </c>
      <c r="E691" s="16"/>
      <c r="G691" s="6" t="s">
        <v>6</v>
      </c>
      <c r="H691" s="88"/>
      <c r="I691" s="11">
        <f>SUM(H691:H691)</f>
        <v>0</v>
      </c>
      <c r="J691" s="85"/>
    </row>
    <row r="692" spans="2:10" ht="14.25" thickBot="1" x14ac:dyDescent="0.2">
      <c r="B692" s="46" t="s">
        <v>1</v>
      </c>
      <c r="C692" s="48">
        <f>SUM(C688:C691)</f>
        <v>560</v>
      </c>
      <c r="D692" s="48">
        <f>SUM(D688:D691)</f>
        <v>560</v>
      </c>
      <c r="E692" s="49"/>
      <c r="G692" s="46" t="s">
        <v>1</v>
      </c>
      <c r="H692" s="47">
        <f>SUM(H688:H691)</f>
        <v>3444</v>
      </c>
      <c r="I692" s="48">
        <f>SUM(I688:I691)</f>
        <v>3444</v>
      </c>
      <c r="J692" s="49"/>
    </row>
    <row r="693" spans="2:10" x14ac:dyDescent="0.15">
      <c r="B693" s="10" t="s">
        <v>57</v>
      </c>
      <c r="C693" s="77">
        <v>5</v>
      </c>
      <c r="D693" s="11">
        <f t="shared" ref="D693:D717" si="40">SUM(C693:C693)</f>
        <v>5</v>
      </c>
      <c r="E693" s="12">
        <v>41878</v>
      </c>
      <c r="G693" s="15"/>
      <c r="H693" s="13"/>
      <c r="I693" s="11">
        <f t="shared" ref="I693:I717" si="41">SUM(H693:H693)</f>
        <v>0</v>
      </c>
      <c r="J693" s="12"/>
    </row>
    <row r="694" spans="2:10" x14ac:dyDescent="0.15">
      <c r="B694" s="10" t="s">
        <v>189</v>
      </c>
      <c r="C694" s="13">
        <v>7</v>
      </c>
      <c r="D694" s="14">
        <f t="shared" si="40"/>
        <v>7</v>
      </c>
      <c r="E694" s="12">
        <v>41876</v>
      </c>
      <c r="G694" s="78"/>
      <c r="H694" s="13"/>
      <c r="I694" s="14">
        <f t="shared" si="41"/>
        <v>0</v>
      </c>
      <c r="J694" s="12"/>
    </row>
    <row r="695" spans="2:10" x14ac:dyDescent="0.15">
      <c r="B695" s="10" t="s">
        <v>213</v>
      </c>
      <c r="C695" s="13">
        <v>8</v>
      </c>
      <c r="D695" s="14">
        <f t="shared" si="40"/>
        <v>8</v>
      </c>
      <c r="E695" s="12">
        <v>41878</v>
      </c>
      <c r="G695" s="10"/>
      <c r="H695" s="13"/>
      <c r="I695" s="14">
        <f t="shared" si="41"/>
        <v>0</v>
      </c>
      <c r="J695" s="12"/>
    </row>
    <row r="696" spans="2:10" x14ac:dyDescent="0.15">
      <c r="B696" s="81" t="s">
        <v>218</v>
      </c>
      <c r="C696" s="13">
        <v>100</v>
      </c>
      <c r="D696" s="14">
        <f t="shared" si="40"/>
        <v>100</v>
      </c>
      <c r="E696" s="12">
        <v>41879</v>
      </c>
      <c r="F696" t="s">
        <v>214</v>
      </c>
      <c r="G696" s="78"/>
      <c r="H696" s="13"/>
      <c r="I696" s="14">
        <f t="shared" si="41"/>
        <v>0</v>
      </c>
      <c r="J696" s="12"/>
    </row>
    <row r="697" spans="2:10" x14ac:dyDescent="0.15">
      <c r="B697" s="10" t="s">
        <v>215</v>
      </c>
      <c r="C697" s="13">
        <v>5</v>
      </c>
      <c r="D697" s="14">
        <f t="shared" si="40"/>
        <v>5</v>
      </c>
      <c r="E697" s="12">
        <v>41877</v>
      </c>
      <c r="G697" s="78"/>
      <c r="H697" s="13"/>
      <c r="I697" s="14">
        <f t="shared" si="41"/>
        <v>0</v>
      </c>
      <c r="J697" s="12"/>
    </row>
    <row r="698" spans="2:10" x14ac:dyDescent="0.15">
      <c r="B698" s="10" t="s">
        <v>200</v>
      </c>
      <c r="C698" s="13">
        <v>2</v>
      </c>
      <c r="D698" s="14">
        <f t="shared" si="40"/>
        <v>2</v>
      </c>
      <c r="E698" s="12">
        <v>41881</v>
      </c>
      <c r="G698" s="78"/>
      <c r="H698" s="13"/>
      <c r="I698" s="14">
        <f t="shared" si="41"/>
        <v>0</v>
      </c>
      <c r="J698" s="12"/>
    </row>
    <row r="699" spans="2:10" x14ac:dyDescent="0.15">
      <c r="B699" s="10" t="s">
        <v>189</v>
      </c>
      <c r="C699" s="13">
        <v>2</v>
      </c>
      <c r="D699" s="14">
        <f t="shared" si="40"/>
        <v>2</v>
      </c>
      <c r="E699" s="12">
        <v>41880</v>
      </c>
      <c r="G699" s="78"/>
      <c r="H699" s="13"/>
      <c r="I699" s="14">
        <f t="shared" si="41"/>
        <v>0</v>
      </c>
      <c r="J699" s="12"/>
    </row>
    <row r="700" spans="2:10" x14ac:dyDescent="0.15">
      <c r="B700" s="10" t="s">
        <v>216</v>
      </c>
      <c r="C700" s="13">
        <v>1</v>
      </c>
      <c r="D700" s="14">
        <f t="shared" si="40"/>
        <v>1</v>
      </c>
      <c r="E700" s="12">
        <v>41884</v>
      </c>
      <c r="G700" s="78"/>
      <c r="H700" s="13"/>
      <c r="I700" s="14">
        <f t="shared" si="41"/>
        <v>0</v>
      </c>
      <c r="J700" s="12"/>
    </row>
    <row r="701" spans="2:10" x14ac:dyDescent="0.15">
      <c r="B701" s="10" t="s">
        <v>189</v>
      </c>
      <c r="C701" s="13">
        <v>4</v>
      </c>
      <c r="D701" s="14">
        <f t="shared" si="40"/>
        <v>4</v>
      </c>
      <c r="E701" s="12">
        <v>41883</v>
      </c>
      <c r="G701" s="10"/>
      <c r="H701" s="13"/>
      <c r="I701" s="14">
        <f t="shared" si="41"/>
        <v>0</v>
      </c>
      <c r="J701" s="12"/>
    </row>
    <row r="702" spans="2:10" x14ac:dyDescent="0.15">
      <c r="B702" s="10" t="s">
        <v>217</v>
      </c>
      <c r="C702" s="13">
        <v>100</v>
      </c>
      <c r="D702" s="14">
        <f t="shared" si="40"/>
        <v>100</v>
      </c>
      <c r="E702" s="12">
        <v>41885</v>
      </c>
      <c r="G702" s="78"/>
      <c r="H702" s="13"/>
      <c r="I702" s="14">
        <f t="shared" si="41"/>
        <v>0</v>
      </c>
      <c r="J702" s="12"/>
    </row>
    <row r="703" spans="2:10" x14ac:dyDescent="0.15">
      <c r="B703" s="10" t="s">
        <v>189</v>
      </c>
      <c r="C703" s="13">
        <v>2</v>
      </c>
      <c r="D703" s="14">
        <f t="shared" si="40"/>
        <v>2</v>
      </c>
      <c r="E703" s="12">
        <v>41884</v>
      </c>
      <c r="G703" s="10"/>
      <c r="H703" s="22"/>
      <c r="I703" s="23">
        <f t="shared" si="41"/>
        <v>0</v>
      </c>
      <c r="J703" s="24"/>
    </row>
    <row r="704" spans="2:10" x14ac:dyDescent="0.15">
      <c r="B704" s="10" t="s">
        <v>18</v>
      </c>
      <c r="C704" s="13">
        <v>1</v>
      </c>
      <c r="D704" s="14">
        <f t="shared" si="40"/>
        <v>1</v>
      </c>
      <c r="E704" s="12">
        <v>41886</v>
      </c>
      <c r="G704" s="27"/>
      <c r="H704" s="22"/>
      <c r="I704" s="23">
        <f t="shared" si="41"/>
        <v>0</v>
      </c>
      <c r="J704" s="24"/>
    </row>
    <row r="705" spans="2:10" x14ac:dyDescent="0.15">
      <c r="B705" s="10" t="s">
        <v>219</v>
      </c>
      <c r="C705" s="13">
        <v>8</v>
      </c>
      <c r="D705" s="14">
        <f t="shared" si="40"/>
        <v>8</v>
      </c>
      <c r="E705" s="12">
        <v>41886</v>
      </c>
      <c r="G705" s="15"/>
      <c r="H705" s="13"/>
      <c r="I705" s="14">
        <f t="shared" si="41"/>
        <v>0</v>
      </c>
      <c r="J705" s="12"/>
    </row>
    <row r="706" spans="2:10" x14ac:dyDescent="0.15">
      <c r="B706" s="10" t="s">
        <v>189</v>
      </c>
      <c r="C706" s="13">
        <v>1</v>
      </c>
      <c r="D706" s="14">
        <f t="shared" si="40"/>
        <v>1</v>
      </c>
      <c r="E706" s="12">
        <v>41886</v>
      </c>
      <c r="G706" s="10"/>
      <c r="H706" s="13"/>
      <c r="I706" s="14">
        <f t="shared" si="41"/>
        <v>0</v>
      </c>
      <c r="J706" s="12"/>
    </row>
    <row r="707" spans="2:10" x14ac:dyDescent="0.15">
      <c r="B707" s="10" t="s">
        <v>18</v>
      </c>
      <c r="C707" s="13">
        <v>11</v>
      </c>
      <c r="D707" s="14">
        <f t="shared" si="40"/>
        <v>11</v>
      </c>
      <c r="E707" s="12">
        <v>41891</v>
      </c>
      <c r="G707" s="15"/>
      <c r="H707" s="13"/>
      <c r="I707" s="14">
        <f t="shared" si="41"/>
        <v>0</v>
      </c>
      <c r="J707" s="12"/>
    </row>
    <row r="708" spans="2:10" x14ac:dyDescent="0.15">
      <c r="B708" s="81" t="s">
        <v>220</v>
      </c>
      <c r="C708" s="13">
        <v>44</v>
      </c>
      <c r="D708" s="14">
        <f t="shared" si="40"/>
        <v>44</v>
      </c>
      <c r="E708" s="12">
        <v>41892</v>
      </c>
      <c r="F708" t="s">
        <v>214</v>
      </c>
      <c r="G708" s="21"/>
      <c r="H708" s="22"/>
      <c r="I708" s="23">
        <f t="shared" si="41"/>
        <v>0</v>
      </c>
      <c r="J708" s="24"/>
    </row>
    <row r="709" spans="2:10" x14ac:dyDescent="0.15">
      <c r="B709" s="10" t="s">
        <v>221</v>
      </c>
      <c r="C709" s="13">
        <v>10</v>
      </c>
      <c r="D709" s="14">
        <f t="shared" si="40"/>
        <v>10</v>
      </c>
      <c r="E709" s="12">
        <v>41900</v>
      </c>
      <c r="G709" s="27"/>
      <c r="H709" s="22"/>
      <c r="I709" s="23">
        <f t="shared" si="41"/>
        <v>0</v>
      </c>
      <c r="J709" s="24"/>
    </row>
    <row r="710" spans="2:10" x14ac:dyDescent="0.15">
      <c r="B710" s="10" t="s">
        <v>222</v>
      </c>
      <c r="C710" s="13">
        <v>2</v>
      </c>
      <c r="D710" s="14">
        <f t="shared" si="40"/>
        <v>2</v>
      </c>
      <c r="E710" s="12">
        <v>41891</v>
      </c>
      <c r="G710" s="15"/>
      <c r="H710" s="13"/>
      <c r="I710" s="14">
        <f t="shared" si="41"/>
        <v>0</v>
      </c>
      <c r="J710" s="5"/>
    </row>
    <row r="711" spans="2:10" x14ac:dyDescent="0.15">
      <c r="B711" s="10" t="s">
        <v>189</v>
      </c>
      <c r="C711" s="13">
        <v>2</v>
      </c>
      <c r="D711" s="14">
        <f t="shared" si="40"/>
        <v>2</v>
      </c>
      <c r="E711" s="12">
        <v>41892</v>
      </c>
      <c r="G711" s="15"/>
      <c r="H711" s="13"/>
      <c r="I711" s="14">
        <f t="shared" si="41"/>
        <v>0</v>
      </c>
      <c r="J711" s="5"/>
    </row>
    <row r="712" spans="2:10" x14ac:dyDescent="0.15">
      <c r="B712" s="10" t="s">
        <v>18</v>
      </c>
      <c r="C712" s="13">
        <v>8</v>
      </c>
      <c r="D712" s="14">
        <f t="shared" si="40"/>
        <v>8</v>
      </c>
      <c r="E712" s="5">
        <v>41894</v>
      </c>
      <c r="G712" s="75"/>
      <c r="H712" s="13"/>
      <c r="I712" s="14">
        <f t="shared" si="41"/>
        <v>0</v>
      </c>
      <c r="J712" s="5"/>
    </row>
    <row r="713" spans="2:10" x14ac:dyDescent="0.15">
      <c r="B713" s="10" t="s">
        <v>189</v>
      </c>
      <c r="C713" s="13">
        <v>2</v>
      </c>
      <c r="D713" s="14">
        <f t="shared" si="40"/>
        <v>2</v>
      </c>
      <c r="E713" s="5">
        <v>41893</v>
      </c>
      <c r="G713" s="78"/>
      <c r="H713" s="13"/>
      <c r="I713" s="14">
        <f t="shared" si="41"/>
        <v>0</v>
      </c>
      <c r="J713" s="5"/>
    </row>
    <row r="714" spans="2:10" x14ac:dyDescent="0.15">
      <c r="B714" s="10" t="s">
        <v>200</v>
      </c>
      <c r="C714" s="13">
        <v>1</v>
      </c>
      <c r="D714" s="14">
        <f t="shared" si="40"/>
        <v>1</v>
      </c>
      <c r="E714" s="5">
        <v>41899</v>
      </c>
      <c r="G714" s="81"/>
      <c r="H714" s="7"/>
      <c r="I714" s="14">
        <f>SUM(H714:H714)</f>
        <v>0</v>
      </c>
      <c r="J714" s="5"/>
    </row>
    <row r="715" spans="2:10" x14ac:dyDescent="0.15">
      <c r="B715" s="10" t="s">
        <v>18</v>
      </c>
      <c r="C715" s="13">
        <v>4</v>
      </c>
      <c r="D715" s="14">
        <f t="shared" si="40"/>
        <v>4</v>
      </c>
      <c r="E715" s="5">
        <v>41899</v>
      </c>
      <c r="G715" s="15"/>
      <c r="H715" s="7"/>
      <c r="I715" s="14">
        <f>SUM(H715:H715)</f>
        <v>0</v>
      </c>
      <c r="J715" s="12"/>
    </row>
    <row r="716" spans="2:10" ht="14.25" thickBot="1" x14ac:dyDescent="0.2">
      <c r="B716" s="15" t="s">
        <v>189</v>
      </c>
      <c r="C716" s="13">
        <v>9</v>
      </c>
      <c r="D716" s="11">
        <f t="shared" si="40"/>
        <v>9</v>
      </c>
      <c r="E716" s="12">
        <v>41898</v>
      </c>
      <c r="G716" s="78"/>
      <c r="H716" s="7"/>
      <c r="I716" s="14">
        <f>SUM(H716:H716)</f>
        <v>0</v>
      </c>
      <c r="J716" s="85"/>
    </row>
    <row r="717" spans="2:10" ht="14.25" thickBot="1" x14ac:dyDescent="0.2">
      <c r="B717" s="17" t="s">
        <v>2</v>
      </c>
      <c r="C717" s="18">
        <f>SUM(C693:C716)</f>
        <v>339</v>
      </c>
      <c r="D717" s="19">
        <f t="shared" si="40"/>
        <v>339</v>
      </c>
      <c r="E717" s="20"/>
      <c r="G717" s="17" t="s">
        <v>2</v>
      </c>
      <c r="H717" s="18">
        <f>SUM(H693:H716)</f>
        <v>0</v>
      </c>
      <c r="I717" s="19">
        <f t="shared" si="41"/>
        <v>0</v>
      </c>
      <c r="J717" s="20"/>
    </row>
    <row r="718" spans="2:10" ht="14.25" thickBot="1" x14ac:dyDescent="0.2">
      <c r="B718" s="46" t="s">
        <v>3</v>
      </c>
      <c r="C718" s="52">
        <f>C692-C717</f>
        <v>221</v>
      </c>
      <c r="D718" s="48">
        <f>D692-D717</f>
        <v>221</v>
      </c>
      <c r="E718" s="49"/>
      <c r="G718" s="46" t="s">
        <v>3</v>
      </c>
      <c r="H718" s="52">
        <f>H692-H717</f>
        <v>3444</v>
      </c>
      <c r="I718" s="48">
        <f>I692-I717</f>
        <v>3444</v>
      </c>
      <c r="J718" s="49"/>
    </row>
    <row r="721" spans="2:10" ht="18.75" x14ac:dyDescent="0.2">
      <c r="B721" s="26" t="s">
        <v>7</v>
      </c>
      <c r="G721" s="26" t="s">
        <v>35</v>
      </c>
    </row>
    <row r="722" spans="2:10" ht="14.25" thickBot="1" x14ac:dyDescent="0.2"/>
    <row r="723" spans="2:10" ht="14.25" thickBot="1" x14ac:dyDescent="0.2">
      <c r="B723" s="1"/>
      <c r="C723" s="2"/>
      <c r="D723" s="3" t="s">
        <v>0</v>
      </c>
      <c r="E723" s="1" t="s">
        <v>4</v>
      </c>
      <c r="G723" s="1"/>
      <c r="H723" s="2"/>
      <c r="I723" s="3" t="s">
        <v>0</v>
      </c>
      <c r="J723" s="1" t="s">
        <v>4</v>
      </c>
    </row>
    <row r="724" spans="2:10" x14ac:dyDescent="0.15">
      <c r="B724" s="42" t="s">
        <v>5</v>
      </c>
      <c r="C724" s="43">
        <f>C718</f>
        <v>221</v>
      </c>
      <c r="D724" s="44">
        <f>SUM(C724:C724)</f>
        <v>221</v>
      </c>
      <c r="E724" s="45"/>
      <c r="G724" s="42" t="s">
        <v>5</v>
      </c>
      <c r="H724" s="43">
        <f>H718</f>
        <v>3444</v>
      </c>
      <c r="I724" s="44">
        <f>SUM(H724:H724)</f>
        <v>3444</v>
      </c>
      <c r="J724" s="45"/>
    </row>
    <row r="725" spans="2:10" x14ac:dyDescent="0.15">
      <c r="B725" s="6" t="s">
        <v>225</v>
      </c>
      <c r="C725" s="13">
        <v>24</v>
      </c>
      <c r="D725" s="14">
        <f>SUM(C725:C725)</f>
        <v>24</v>
      </c>
      <c r="E725" s="5">
        <v>41912</v>
      </c>
      <c r="G725" s="71" t="s">
        <v>6</v>
      </c>
      <c r="H725" s="13"/>
      <c r="I725" s="14">
        <f>SUM(H725:H725)</f>
        <v>0</v>
      </c>
      <c r="J725" s="5"/>
    </row>
    <row r="726" spans="2:10" x14ac:dyDescent="0.15">
      <c r="B726" s="6" t="s">
        <v>6</v>
      </c>
      <c r="C726" s="7">
        <v>336</v>
      </c>
      <c r="D726" s="8">
        <f>SUM(C726:C726)</f>
        <v>336</v>
      </c>
      <c r="E726" s="9">
        <v>41923</v>
      </c>
      <c r="G726" s="71" t="s">
        <v>6</v>
      </c>
      <c r="H726" s="67"/>
      <c r="I726" s="14">
        <f>SUM(H726:H726)</f>
        <v>0</v>
      </c>
      <c r="J726" s="5"/>
    </row>
    <row r="727" spans="2:10" ht="14.25" thickBot="1" x14ac:dyDescent="0.2">
      <c r="B727" s="6" t="s">
        <v>6</v>
      </c>
      <c r="C727" s="7"/>
      <c r="D727" s="14">
        <f>SUM(C727:C727)</f>
        <v>0</v>
      </c>
      <c r="E727" s="16"/>
      <c r="G727" s="6" t="s">
        <v>6</v>
      </c>
      <c r="H727" s="88"/>
      <c r="I727" s="11">
        <f>SUM(H727:H727)</f>
        <v>0</v>
      </c>
      <c r="J727" s="85"/>
    </row>
    <row r="728" spans="2:10" ht="14.25" thickBot="1" x14ac:dyDescent="0.2">
      <c r="B728" s="46" t="s">
        <v>1</v>
      </c>
      <c r="C728" s="48">
        <f>SUM(C724:C727)</f>
        <v>581</v>
      </c>
      <c r="D728" s="48">
        <f>SUM(D724:D727)</f>
        <v>581</v>
      </c>
      <c r="E728" s="49"/>
      <c r="G728" s="46" t="s">
        <v>1</v>
      </c>
      <c r="H728" s="47">
        <f>SUM(H724:H727)</f>
        <v>3444</v>
      </c>
      <c r="I728" s="48">
        <f>SUM(I724:I727)</f>
        <v>3444</v>
      </c>
      <c r="J728" s="49"/>
    </row>
    <row r="729" spans="2:10" x14ac:dyDescent="0.15">
      <c r="B729" s="10" t="s">
        <v>73</v>
      </c>
      <c r="C729" s="77">
        <v>10</v>
      </c>
      <c r="D729" s="11">
        <f t="shared" ref="D729:D753" si="42">SUM(C729:C729)</f>
        <v>10</v>
      </c>
      <c r="E729" s="12">
        <v>41901</v>
      </c>
      <c r="G729" s="15" t="s">
        <v>232</v>
      </c>
      <c r="H729" s="13">
        <v>200</v>
      </c>
      <c r="I729" s="11">
        <f>SUM(H729:H729)</f>
        <v>200</v>
      </c>
      <c r="J729" s="12">
        <v>41921</v>
      </c>
    </row>
    <row r="730" spans="2:10" x14ac:dyDescent="0.15">
      <c r="B730" s="10" t="s">
        <v>189</v>
      </c>
      <c r="C730" s="13">
        <v>2</v>
      </c>
      <c r="D730" s="14">
        <f t="shared" si="42"/>
        <v>2</v>
      </c>
      <c r="E730" s="12">
        <v>41899</v>
      </c>
      <c r="G730" s="15" t="s">
        <v>16</v>
      </c>
      <c r="H730" s="13">
        <v>336</v>
      </c>
      <c r="I730" s="14">
        <f>SUM(H730:H730)</f>
        <v>336</v>
      </c>
      <c r="J730" s="12">
        <v>41923</v>
      </c>
    </row>
    <row r="731" spans="2:10" x14ac:dyDescent="0.15">
      <c r="B731" s="10" t="s">
        <v>223</v>
      </c>
      <c r="C731" s="13">
        <v>5</v>
      </c>
      <c r="D731" s="14">
        <f t="shared" si="42"/>
        <v>5</v>
      </c>
      <c r="E731" s="12">
        <v>41902</v>
      </c>
      <c r="G731" s="15"/>
      <c r="H731" s="13"/>
      <c r="I731" s="14">
        <f t="shared" ref="I731:I749" si="43">SUM(H731:H731)</f>
        <v>0</v>
      </c>
      <c r="J731" s="12"/>
    </row>
    <row r="732" spans="2:10" x14ac:dyDescent="0.15">
      <c r="B732" s="81" t="s">
        <v>189</v>
      </c>
      <c r="C732" s="13">
        <v>1</v>
      </c>
      <c r="D732" s="14">
        <f t="shared" si="42"/>
        <v>1</v>
      </c>
      <c r="E732" s="12">
        <v>41901</v>
      </c>
      <c r="G732" s="78"/>
      <c r="H732" s="13"/>
      <c r="I732" s="14">
        <f t="shared" si="43"/>
        <v>0</v>
      </c>
      <c r="J732" s="12"/>
    </row>
    <row r="733" spans="2:10" x14ac:dyDescent="0.15">
      <c r="B733" s="81" t="s">
        <v>189</v>
      </c>
      <c r="C733" s="13">
        <v>2</v>
      </c>
      <c r="D733" s="14">
        <f t="shared" si="42"/>
        <v>2</v>
      </c>
      <c r="E733" s="12">
        <v>41902</v>
      </c>
      <c r="G733" s="78"/>
      <c r="H733" s="13"/>
      <c r="I733" s="14">
        <f t="shared" si="43"/>
        <v>0</v>
      </c>
      <c r="J733" s="12"/>
    </row>
    <row r="734" spans="2:10" x14ac:dyDescent="0.15">
      <c r="B734" s="10" t="s">
        <v>189</v>
      </c>
      <c r="C734" s="13">
        <v>2</v>
      </c>
      <c r="D734" s="14">
        <f t="shared" si="42"/>
        <v>2</v>
      </c>
      <c r="E734" s="12">
        <v>41904</v>
      </c>
      <c r="G734" s="78"/>
      <c r="H734" s="13"/>
      <c r="I734" s="14">
        <f t="shared" si="43"/>
        <v>0</v>
      </c>
      <c r="J734" s="12"/>
    </row>
    <row r="735" spans="2:10" x14ac:dyDescent="0.15">
      <c r="B735" s="10" t="s">
        <v>224</v>
      </c>
      <c r="C735" s="13">
        <v>2</v>
      </c>
      <c r="D735" s="14">
        <f t="shared" si="42"/>
        <v>2</v>
      </c>
      <c r="E735" s="12">
        <v>41905</v>
      </c>
      <c r="G735" s="78"/>
      <c r="H735" s="13"/>
      <c r="I735" s="14">
        <f t="shared" si="43"/>
        <v>0</v>
      </c>
      <c r="J735" s="12"/>
    </row>
    <row r="736" spans="2:10" x14ac:dyDescent="0.15">
      <c r="B736" s="10" t="s">
        <v>57</v>
      </c>
      <c r="C736" s="13">
        <v>3</v>
      </c>
      <c r="D736" s="14">
        <f t="shared" si="42"/>
        <v>3</v>
      </c>
      <c r="E736" s="12">
        <v>41908</v>
      </c>
      <c r="G736" s="78"/>
      <c r="H736" s="13"/>
      <c r="I736" s="14">
        <f t="shared" si="43"/>
        <v>0</v>
      </c>
      <c r="J736" s="12"/>
    </row>
    <row r="737" spans="2:10" x14ac:dyDescent="0.15">
      <c r="B737" s="10" t="s">
        <v>18</v>
      </c>
      <c r="C737" s="13">
        <v>4</v>
      </c>
      <c r="D737" s="14">
        <f t="shared" si="42"/>
        <v>4</v>
      </c>
      <c r="E737" s="12">
        <v>41908</v>
      </c>
      <c r="G737" s="10"/>
      <c r="H737" s="13"/>
      <c r="I737" s="14">
        <f t="shared" si="43"/>
        <v>0</v>
      </c>
      <c r="J737" s="12"/>
    </row>
    <row r="738" spans="2:10" x14ac:dyDescent="0.15">
      <c r="B738" s="10" t="s">
        <v>189</v>
      </c>
      <c r="C738" s="13">
        <v>2</v>
      </c>
      <c r="D738" s="14">
        <f t="shared" si="42"/>
        <v>2</v>
      </c>
      <c r="E738" s="12">
        <v>41908</v>
      </c>
      <c r="G738" s="78"/>
      <c r="H738" s="13"/>
      <c r="I738" s="14">
        <f t="shared" si="43"/>
        <v>0</v>
      </c>
      <c r="J738" s="12"/>
    </row>
    <row r="739" spans="2:10" x14ac:dyDescent="0.15">
      <c r="B739" s="10" t="s">
        <v>18</v>
      </c>
      <c r="C739" s="13">
        <v>9</v>
      </c>
      <c r="D739" s="14">
        <f t="shared" si="42"/>
        <v>9</v>
      </c>
      <c r="E739" s="12">
        <v>41912</v>
      </c>
      <c r="G739" s="10"/>
      <c r="H739" s="22"/>
      <c r="I739" s="23">
        <f t="shared" si="43"/>
        <v>0</v>
      </c>
      <c r="J739" s="24"/>
    </row>
    <row r="740" spans="2:10" x14ac:dyDescent="0.15">
      <c r="B740" s="10" t="s">
        <v>226</v>
      </c>
      <c r="C740" s="13">
        <v>10</v>
      </c>
      <c r="D740" s="14">
        <f t="shared" si="42"/>
        <v>10</v>
      </c>
      <c r="E740" s="12">
        <v>41920</v>
      </c>
      <c r="G740" s="27"/>
      <c r="H740" s="22"/>
      <c r="I740" s="23">
        <f t="shared" si="43"/>
        <v>0</v>
      </c>
      <c r="J740" s="24"/>
    </row>
    <row r="741" spans="2:10" x14ac:dyDescent="0.15">
      <c r="B741" s="10" t="s">
        <v>227</v>
      </c>
      <c r="C741" s="13">
        <v>1</v>
      </c>
      <c r="D741" s="14">
        <f t="shared" si="42"/>
        <v>1</v>
      </c>
      <c r="E741" s="12">
        <v>41913</v>
      </c>
      <c r="G741" s="15"/>
      <c r="H741" s="13"/>
      <c r="I741" s="14">
        <f t="shared" si="43"/>
        <v>0</v>
      </c>
      <c r="J741" s="12"/>
    </row>
    <row r="742" spans="2:10" x14ac:dyDescent="0.15">
      <c r="B742" s="10" t="s">
        <v>18</v>
      </c>
      <c r="C742" s="13">
        <v>3</v>
      </c>
      <c r="D742" s="14">
        <f t="shared" si="42"/>
        <v>3</v>
      </c>
      <c r="E742" s="12">
        <v>41915</v>
      </c>
      <c r="G742" s="10"/>
      <c r="H742" s="13"/>
      <c r="I742" s="14">
        <f t="shared" si="43"/>
        <v>0</v>
      </c>
      <c r="J742" s="12"/>
    </row>
    <row r="743" spans="2:10" x14ac:dyDescent="0.15">
      <c r="B743" s="10" t="s">
        <v>189</v>
      </c>
      <c r="C743" s="13">
        <v>1</v>
      </c>
      <c r="D743" s="14">
        <f t="shared" si="42"/>
        <v>1</v>
      </c>
      <c r="E743" s="12">
        <v>41914</v>
      </c>
      <c r="G743" s="15"/>
      <c r="H743" s="13"/>
      <c r="I743" s="14">
        <f t="shared" si="43"/>
        <v>0</v>
      </c>
      <c r="J743" s="12"/>
    </row>
    <row r="744" spans="2:10" x14ac:dyDescent="0.15">
      <c r="B744" s="10" t="s">
        <v>229</v>
      </c>
      <c r="C744" s="13">
        <v>1</v>
      </c>
      <c r="D744" s="14">
        <f t="shared" si="42"/>
        <v>1</v>
      </c>
      <c r="E744" s="12">
        <v>41915</v>
      </c>
      <c r="G744" s="21"/>
      <c r="H744" s="22"/>
      <c r="I744" s="23">
        <f t="shared" si="43"/>
        <v>0</v>
      </c>
      <c r="J744" s="24"/>
    </row>
    <row r="745" spans="2:10" x14ac:dyDescent="0.15">
      <c r="B745" s="10" t="s">
        <v>18</v>
      </c>
      <c r="C745" s="13">
        <v>1</v>
      </c>
      <c r="D745" s="14">
        <f t="shared" si="42"/>
        <v>1</v>
      </c>
      <c r="E745" s="12">
        <v>41920</v>
      </c>
      <c r="G745" s="27"/>
      <c r="H745" s="22"/>
      <c r="I745" s="23">
        <f t="shared" si="43"/>
        <v>0</v>
      </c>
      <c r="J745" s="24"/>
    </row>
    <row r="746" spans="2:10" x14ac:dyDescent="0.15">
      <c r="B746" s="10" t="s">
        <v>228</v>
      </c>
      <c r="C746" s="13">
        <v>1</v>
      </c>
      <c r="D746" s="14">
        <f t="shared" si="42"/>
        <v>1</v>
      </c>
      <c r="E746" s="12">
        <v>41920</v>
      </c>
      <c r="G746" s="15"/>
      <c r="H746" s="13"/>
      <c r="I746" s="14">
        <f t="shared" si="43"/>
        <v>0</v>
      </c>
      <c r="J746" s="5"/>
    </row>
    <row r="747" spans="2:10" x14ac:dyDescent="0.15">
      <c r="B747" s="10" t="s">
        <v>230</v>
      </c>
      <c r="C747" s="13">
        <v>1</v>
      </c>
      <c r="D747" s="14">
        <f t="shared" si="42"/>
        <v>1</v>
      </c>
      <c r="E747" s="12">
        <v>41919</v>
      </c>
      <c r="G747" s="15"/>
      <c r="H747" s="13"/>
      <c r="I747" s="14">
        <f t="shared" si="43"/>
        <v>0</v>
      </c>
      <c r="J747" s="5"/>
    </row>
    <row r="748" spans="2:10" x14ac:dyDescent="0.15">
      <c r="B748" s="10" t="s">
        <v>231</v>
      </c>
      <c r="C748" s="13">
        <v>185</v>
      </c>
      <c r="D748" s="14">
        <f t="shared" si="42"/>
        <v>185</v>
      </c>
      <c r="E748" s="5">
        <v>41925</v>
      </c>
      <c r="G748" s="75"/>
      <c r="H748" s="13"/>
      <c r="I748" s="14">
        <f t="shared" si="43"/>
        <v>0</v>
      </c>
      <c r="J748" s="5"/>
    </row>
    <row r="749" spans="2:10" x14ac:dyDescent="0.15">
      <c r="B749" s="15" t="s">
        <v>233</v>
      </c>
      <c r="C749" s="13">
        <v>197</v>
      </c>
      <c r="D749" s="14">
        <f t="shared" si="42"/>
        <v>197</v>
      </c>
      <c r="E749" s="5">
        <v>41927</v>
      </c>
      <c r="G749" s="78"/>
      <c r="H749" s="13"/>
      <c r="I749" s="14">
        <f t="shared" si="43"/>
        <v>0</v>
      </c>
      <c r="J749" s="5"/>
    </row>
    <row r="750" spans="2:10" x14ac:dyDescent="0.15">
      <c r="B750" s="10" t="s">
        <v>234</v>
      </c>
      <c r="C750" s="13">
        <v>1</v>
      </c>
      <c r="D750" s="14">
        <f t="shared" si="42"/>
        <v>1</v>
      </c>
      <c r="E750" s="5">
        <v>41926</v>
      </c>
      <c r="G750" s="81"/>
      <c r="H750" s="7"/>
      <c r="I750" s="14">
        <f>SUM(H750:H750)</f>
        <v>0</v>
      </c>
      <c r="J750" s="5"/>
    </row>
    <row r="751" spans="2:10" x14ac:dyDescent="0.15">
      <c r="B751" s="10" t="s">
        <v>18</v>
      </c>
      <c r="C751" s="13">
        <v>4</v>
      </c>
      <c r="D751" s="14">
        <f t="shared" si="42"/>
        <v>4</v>
      </c>
      <c r="E751" s="5">
        <v>41927</v>
      </c>
      <c r="G751" s="15"/>
      <c r="H751" s="7"/>
      <c r="I751" s="14">
        <f>SUM(H751:H751)</f>
        <v>0</v>
      </c>
      <c r="J751" s="12"/>
    </row>
    <row r="752" spans="2:10" ht="14.25" thickBot="1" x14ac:dyDescent="0.2">
      <c r="B752" s="15" t="s">
        <v>235</v>
      </c>
      <c r="C752" s="13">
        <v>2</v>
      </c>
      <c r="D752" s="11">
        <f t="shared" si="42"/>
        <v>2</v>
      </c>
      <c r="E752" s="12">
        <v>41933</v>
      </c>
      <c r="G752" s="78"/>
      <c r="H752" s="7"/>
      <c r="I752" s="14">
        <f>SUM(H752:H752)</f>
        <v>0</v>
      </c>
      <c r="J752" s="85"/>
    </row>
    <row r="753" spans="2:10" ht="14.25" thickBot="1" x14ac:dyDescent="0.2">
      <c r="B753" s="17" t="s">
        <v>2</v>
      </c>
      <c r="C753" s="18">
        <f>SUM(C729:C752)</f>
        <v>450</v>
      </c>
      <c r="D753" s="19">
        <f t="shared" si="42"/>
        <v>450</v>
      </c>
      <c r="E753" s="20"/>
      <c r="G753" s="17" t="s">
        <v>2</v>
      </c>
      <c r="H753" s="18">
        <f>SUM(H729:H752)</f>
        <v>536</v>
      </c>
      <c r="I753" s="19">
        <f>SUM(H753:H753)</f>
        <v>536</v>
      </c>
      <c r="J753" s="20"/>
    </row>
    <row r="754" spans="2:10" ht="14.25" thickBot="1" x14ac:dyDescent="0.2">
      <c r="B754" s="46" t="s">
        <v>3</v>
      </c>
      <c r="C754" s="52">
        <f>C728-C753</f>
        <v>131</v>
      </c>
      <c r="D754" s="48">
        <f>D728-D753</f>
        <v>131</v>
      </c>
      <c r="E754" s="49"/>
      <c r="G754" s="46" t="s">
        <v>3</v>
      </c>
      <c r="H754" s="52">
        <f>H728-H753</f>
        <v>2908</v>
      </c>
      <c r="I754" s="48">
        <f>I728-I753</f>
        <v>2908</v>
      </c>
      <c r="J754" s="49"/>
    </row>
    <row r="757" spans="2:10" ht="18.75" x14ac:dyDescent="0.2">
      <c r="B757" s="26" t="s">
        <v>7</v>
      </c>
      <c r="G757" s="26" t="s">
        <v>35</v>
      </c>
    </row>
    <row r="758" spans="2:10" ht="14.25" thickBot="1" x14ac:dyDescent="0.2"/>
    <row r="759" spans="2:10" ht="14.25" thickBot="1" x14ac:dyDescent="0.2">
      <c r="B759" s="1"/>
      <c r="C759" s="2"/>
      <c r="D759" s="3" t="s">
        <v>0</v>
      </c>
      <c r="E759" s="1" t="s">
        <v>4</v>
      </c>
      <c r="G759" s="1"/>
      <c r="H759" s="2"/>
      <c r="I759" s="3" t="s">
        <v>0</v>
      </c>
      <c r="J759" s="1" t="s">
        <v>4</v>
      </c>
    </row>
    <row r="760" spans="2:10" x14ac:dyDescent="0.15">
      <c r="B760" s="42" t="s">
        <v>5</v>
      </c>
      <c r="C760" s="43">
        <f>C754</f>
        <v>131</v>
      </c>
      <c r="D760" s="44">
        <f>SUM(C760:C760)</f>
        <v>131</v>
      </c>
      <c r="E760" s="45"/>
      <c r="G760" s="42" t="s">
        <v>5</v>
      </c>
      <c r="H760" s="43">
        <f>H754</f>
        <v>2908</v>
      </c>
      <c r="I760" s="44">
        <f>SUM(H760:H760)</f>
        <v>2908</v>
      </c>
      <c r="J760" s="45"/>
    </row>
    <row r="761" spans="2:10" x14ac:dyDescent="0.15">
      <c r="B761" s="6" t="s">
        <v>76</v>
      </c>
      <c r="C761" s="13">
        <v>23</v>
      </c>
      <c r="D761" s="14">
        <f>SUM(C761:C761)</f>
        <v>23</v>
      </c>
      <c r="E761" s="5">
        <v>41948</v>
      </c>
      <c r="G761" s="71" t="s">
        <v>6</v>
      </c>
      <c r="H761" s="13"/>
      <c r="I761" s="14">
        <f>SUM(H761:H761)</f>
        <v>0</v>
      </c>
      <c r="J761" s="5"/>
    </row>
    <row r="762" spans="2:10" x14ac:dyDescent="0.15">
      <c r="B762" s="6" t="s">
        <v>6</v>
      </c>
      <c r="C762" s="7"/>
      <c r="D762" s="8">
        <f>SUM(C762:C762)</f>
        <v>0</v>
      </c>
      <c r="E762" s="9"/>
      <c r="G762" s="71" t="s">
        <v>6</v>
      </c>
      <c r="H762" s="67"/>
      <c r="I762" s="14">
        <f>SUM(H762:H762)</f>
        <v>0</v>
      </c>
      <c r="J762" s="5"/>
    </row>
    <row r="763" spans="2:10" ht="14.25" thickBot="1" x14ac:dyDescent="0.2">
      <c r="B763" s="6" t="s">
        <v>6</v>
      </c>
      <c r="C763" s="7"/>
      <c r="D763" s="14">
        <f>SUM(C763:C763)</f>
        <v>0</v>
      </c>
      <c r="E763" s="16"/>
      <c r="G763" s="6" t="s">
        <v>6</v>
      </c>
      <c r="H763" s="88"/>
      <c r="I763" s="11">
        <f>SUM(H763:H763)</f>
        <v>0</v>
      </c>
      <c r="J763" s="85"/>
    </row>
    <row r="764" spans="2:10" ht="14.25" thickBot="1" x14ac:dyDescent="0.2">
      <c r="B764" s="46" t="s">
        <v>1</v>
      </c>
      <c r="C764" s="48">
        <f>SUM(C760:C763)</f>
        <v>154</v>
      </c>
      <c r="D764" s="48">
        <f>SUM(D760:D763)</f>
        <v>154</v>
      </c>
      <c r="E764" s="49"/>
      <c r="G764" s="46" t="s">
        <v>1</v>
      </c>
      <c r="H764" s="47">
        <f>SUM(H760:H763)</f>
        <v>2908</v>
      </c>
      <c r="I764" s="48">
        <f>SUM(I760:I763)</f>
        <v>2908</v>
      </c>
      <c r="J764" s="49"/>
    </row>
    <row r="765" spans="2:10" x14ac:dyDescent="0.15">
      <c r="B765" s="10" t="s">
        <v>236</v>
      </c>
      <c r="C765" s="77">
        <v>4</v>
      </c>
      <c r="D765" s="11">
        <f t="shared" ref="D765:D789" si="44">SUM(C765:C765)</f>
        <v>4</v>
      </c>
      <c r="E765" s="12">
        <v>41930</v>
      </c>
      <c r="G765" s="15"/>
      <c r="H765" s="13"/>
      <c r="I765" s="11">
        <f>SUM(H765:H765)</f>
        <v>0</v>
      </c>
      <c r="J765" s="12"/>
    </row>
    <row r="766" spans="2:10" x14ac:dyDescent="0.15">
      <c r="B766" s="10" t="s">
        <v>189</v>
      </c>
      <c r="C766" s="13">
        <v>1</v>
      </c>
      <c r="D766" s="14">
        <f t="shared" si="44"/>
        <v>1</v>
      </c>
      <c r="E766" s="12">
        <v>41929</v>
      </c>
      <c r="G766" s="78"/>
      <c r="H766" s="13"/>
      <c r="I766" s="14">
        <f>SUM(H766:H766)</f>
        <v>0</v>
      </c>
      <c r="J766" s="12"/>
    </row>
    <row r="767" spans="2:10" x14ac:dyDescent="0.15">
      <c r="B767" s="10" t="s">
        <v>189</v>
      </c>
      <c r="C767" s="13">
        <v>1</v>
      </c>
      <c r="D767" s="14">
        <f t="shared" si="44"/>
        <v>1</v>
      </c>
      <c r="E767" s="12">
        <v>41930</v>
      </c>
      <c r="G767" s="10"/>
      <c r="H767" s="13"/>
      <c r="I767" s="14">
        <f t="shared" ref="I767:I785" si="45">SUM(H767:H767)</f>
        <v>0</v>
      </c>
      <c r="J767" s="12"/>
    </row>
    <row r="768" spans="2:10" x14ac:dyDescent="0.15">
      <c r="B768" s="10" t="s">
        <v>237</v>
      </c>
      <c r="C768" s="13">
        <v>7</v>
      </c>
      <c r="D768" s="14">
        <f t="shared" si="44"/>
        <v>7</v>
      </c>
      <c r="E768" s="12">
        <v>41932</v>
      </c>
      <c r="G768" s="78"/>
      <c r="H768" s="13"/>
      <c r="I768" s="14">
        <f t="shared" si="45"/>
        <v>0</v>
      </c>
      <c r="J768" s="12"/>
    </row>
    <row r="769" spans="2:10" x14ac:dyDescent="0.15">
      <c r="B769" s="81" t="s">
        <v>57</v>
      </c>
      <c r="C769" s="13">
        <v>3</v>
      </c>
      <c r="D769" s="14">
        <f t="shared" si="44"/>
        <v>3</v>
      </c>
      <c r="E769" s="12">
        <v>41936</v>
      </c>
      <c r="G769" s="78"/>
      <c r="H769" s="13"/>
      <c r="I769" s="14">
        <f t="shared" si="45"/>
        <v>0</v>
      </c>
      <c r="J769" s="12"/>
    </row>
    <row r="770" spans="2:10" x14ac:dyDescent="0.15">
      <c r="B770" s="10" t="s">
        <v>189</v>
      </c>
      <c r="C770" s="13">
        <v>1</v>
      </c>
      <c r="D770" s="14">
        <f t="shared" si="44"/>
        <v>1</v>
      </c>
      <c r="E770" s="12">
        <v>41934</v>
      </c>
      <c r="G770" s="78"/>
      <c r="H770" s="13"/>
      <c r="I770" s="14">
        <f t="shared" si="45"/>
        <v>0</v>
      </c>
      <c r="J770" s="12"/>
    </row>
    <row r="771" spans="2:10" x14ac:dyDescent="0.15">
      <c r="B771" s="10" t="s">
        <v>189</v>
      </c>
      <c r="C771" s="13">
        <v>1</v>
      </c>
      <c r="D771" s="14">
        <f t="shared" si="44"/>
        <v>1</v>
      </c>
      <c r="E771" s="12">
        <v>41936</v>
      </c>
      <c r="G771" s="78"/>
      <c r="H771" s="13"/>
      <c r="I771" s="14">
        <f t="shared" si="45"/>
        <v>0</v>
      </c>
      <c r="J771" s="12"/>
    </row>
    <row r="772" spans="2:10" x14ac:dyDescent="0.15">
      <c r="B772" s="10" t="s">
        <v>18</v>
      </c>
      <c r="C772" s="13">
        <v>2</v>
      </c>
      <c r="D772" s="14">
        <f t="shared" si="44"/>
        <v>2</v>
      </c>
      <c r="E772" s="12">
        <v>41940</v>
      </c>
      <c r="G772" s="78"/>
      <c r="H772" s="13"/>
      <c r="I772" s="14">
        <f t="shared" si="45"/>
        <v>0</v>
      </c>
      <c r="J772" s="12"/>
    </row>
    <row r="773" spans="2:10" x14ac:dyDescent="0.15">
      <c r="B773" s="10" t="s">
        <v>189</v>
      </c>
      <c r="C773" s="13">
        <v>3</v>
      </c>
      <c r="D773" s="14">
        <f t="shared" si="44"/>
        <v>3</v>
      </c>
      <c r="E773" s="12">
        <v>41939</v>
      </c>
      <c r="G773" s="10"/>
      <c r="H773" s="13"/>
      <c r="I773" s="14">
        <f t="shared" si="45"/>
        <v>0</v>
      </c>
      <c r="J773" s="12"/>
    </row>
    <row r="774" spans="2:10" x14ac:dyDescent="0.15">
      <c r="B774" s="10" t="s">
        <v>238</v>
      </c>
      <c r="C774" s="13">
        <v>1</v>
      </c>
      <c r="D774" s="14">
        <f t="shared" si="44"/>
        <v>1</v>
      </c>
      <c r="E774" s="12">
        <v>41943</v>
      </c>
      <c r="G774" s="78"/>
      <c r="H774" s="13"/>
      <c r="I774" s="14">
        <f t="shared" si="45"/>
        <v>0</v>
      </c>
      <c r="J774" s="12"/>
    </row>
    <row r="775" spans="2:10" x14ac:dyDescent="0.15">
      <c r="B775" s="10" t="s">
        <v>18</v>
      </c>
      <c r="C775" s="13">
        <v>3</v>
      </c>
      <c r="D775" s="14">
        <f t="shared" si="44"/>
        <v>3</v>
      </c>
      <c r="E775" s="12">
        <v>41944</v>
      </c>
      <c r="G775" s="10"/>
      <c r="H775" s="22"/>
      <c r="I775" s="23">
        <f t="shared" si="45"/>
        <v>0</v>
      </c>
      <c r="J775" s="24"/>
    </row>
    <row r="776" spans="2:10" x14ac:dyDescent="0.15">
      <c r="B776" s="10" t="s">
        <v>18</v>
      </c>
      <c r="C776" s="13">
        <v>3</v>
      </c>
      <c r="D776" s="14">
        <f t="shared" si="44"/>
        <v>3</v>
      </c>
      <c r="E776" s="12">
        <v>41949</v>
      </c>
      <c r="G776" s="27"/>
      <c r="H776" s="22"/>
      <c r="I776" s="23">
        <f t="shared" si="45"/>
        <v>0</v>
      </c>
      <c r="J776" s="24"/>
    </row>
    <row r="777" spans="2:10" x14ac:dyDescent="0.15">
      <c r="B777" s="10" t="s">
        <v>189</v>
      </c>
      <c r="C777" s="13">
        <v>1</v>
      </c>
      <c r="D777" s="14">
        <f t="shared" si="44"/>
        <v>1</v>
      </c>
      <c r="E777" s="12">
        <v>41948</v>
      </c>
      <c r="G777" s="15"/>
      <c r="H777" s="13"/>
      <c r="I777" s="14">
        <f t="shared" si="45"/>
        <v>0</v>
      </c>
      <c r="J777" s="12"/>
    </row>
    <row r="778" spans="2:10" x14ac:dyDescent="0.15">
      <c r="B778" s="10" t="s">
        <v>189</v>
      </c>
      <c r="C778" s="13">
        <v>1</v>
      </c>
      <c r="D778" s="14">
        <f t="shared" si="44"/>
        <v>1</v>
      </c>
      <c r="E778" s="12">
        <v>41949</v>
      </c>
      <c r="G778" s="10"/>
      <c r="H778" s="13"/>
      <c r="I778" s="14">
        <f t="shared" si="45"/>
        <v>0</v>
      </c>
      <c r="J778" s="12"/>
    </row>
    <row r="779" spans="2:10" x14ac:dyDescent="0.15">
      <c r="B779" s="10" t="s">
        <v>189</v>
      </c>
      <c r="C779" s="13">
        <v>1</v>
      </c>
      <c r="D779" s="14">
        <f t="shared" si="44"/>
        <v>1</v>
      </c>
      <c r="E779" s="12">
        <v>41950</v>
      </c>
      <c r="G779" s="15"/>
      <c r="H779" s="13"/>
      <c r="I779" s="14">
        <f t="shared" si="45"/>
        <v>0</v>
      </c>
      <c r="J779" s="12"/>
    </row>
    <row r="780" spans="2:10" x14ac:dyDescent="0.15">
      <c r="B780" s="10" t="s">
        <v>189</v>
      </c>
      <c r="C780" s="13">
        <v>1</v>
      </c>
      <c r="D780" s="14">
        <f t="shared" si="44"/>
        <v>1</v>
      </c>
      <c r="E780" s="12">
        <v>41951</v>
      </c>
      <c r="G780" s="21"/>
      <c r="H780" s="22"/>
      <c r="I780" s="23">
        <f t="shared" si="45"/>
        <v>0</v>
      </c>
      <c r="J780" s="24"/>
    </row>
    <row r="781" spans="2:10" x14ac:dyDescent="0.15">
      <c r="B781" s="10" t="s">
        <v>18</v>
      </c>
      <c r="C781" s="13">
        <v>2</v>
      </c>
      <c r="D781" s="14">
        <f t="shared" si="44"/>
        <v>2</v>
      </c>
      <c r="E781" s="12">
        <v>41954</v>
      </c>
      <c r="G781" s="27"/>
      <c r="H781" s="22"/>
      <c r="I781" s="23">
        <f t="shared" si="45"/>
        <v>0</v>
      </c>
      <c r="J781" s="24"/>
    </row>
    <row r="782" spans="2:10" x14ac:dyDescent="0.15">
      <c r="B782" s="10" t="s">
        <v>239</v>
      </c>
      <c r="C782" s="13">
        <v>1</v>
      </c>
      <c r="D782" s="14">
        <f t="shared" si="44"/>
        <v>1</v>
      </c>
      <c r="E782" s="12">
        <v>41956</v>
      </c>
      <c r="G782" s="15"/>
      <c r="H782" s="13"/>
      <c r="I782" s="14">
        <f t="shared" si="45"/>
        <v>0</v>
      </c>
      <c r="J782" s="5"/>
    </row>
    <row r="783" spans="2:10" x14ac:dyDescent="0.15">
      <c r="B783" s="10" t="s">
        <v>18</v>
      </c>
      <c r="C783" s="13">
        <v>2</v>
      </c>
      <c r="D783" s="14">
        <f t="shared" si="44"/>
        <v>2</v>
      </c>
      <c r="E783" s="12">
        <v>41958</v>
      </c>
      <c r="G783" s="15"/>
      <c r="H783" s="13"/>
      <c r="I783" s="14">
        <f t="shared" si="45"/>
        <v>0</v>
      </c>
      <c r="J783" s="5"/>
    </row>
    <row r="784" spans="2:10" x14ac:dyDescent="0.15">
      <c r="B784" s="10" t="s">
        <v>189</v>
      </c>
      <c r="C784" s="13">
        <v>1</v>
      </c>
      <c r="D784" s="14">
        <f t="shared" si="44"/>
        <v>1</v>
      </c>
      <c r="E784" s="5">
        <v>41957</v>
      </c>
      <c r="G784" s="75"/>
      <c r="H784" s="13"/>
      <c r="I784" s="14">
        <f t="shared" si="45"/>
        <v>0</v>
      </c>
      <c r="J784" s="5"/>
    </row>
    <row r="785" spans="2:10" x14ac:dyDescent="0.15">
      <c r="B785" s="10" t="s">
        <v>240</v>
      </c>
      <c r="C785" s="13">
        <v>1</v>
      </c>
      <c r="D785" s="14">
        <f t="shared" si="44"/>
        <v>1</v>
      </c>
      <c r="E785" s="5">
        <v>41960</v>
      </c>
      <c r="G785" s="78"/>
      <c r="H785" s="13"/>
      <c r="I785" s="14">
        <f t="shared" si="45"/>
        <v>0</v>
      </c>
      <c r="J785" s="5"/>
    </row>
    <row r="786" spans="2:10" x14ac:dyDescent="0.15">
      <c r="B786" s="10" t="s">
        <v>18</v>
      </c>
      <c r="C786" s="13">
        <v>2</v>
      </c>
      <c r="D786" s="14">
        <f t="shared" si="44"/>
        <v>2</v>
      </c>
      <c r="E786" s="5">
        <v>41962</v>
      </c>
      <c r="G786" s="81"/>
      <c r="H786" s="7"/>
      <c r="I786" s="14">
        <f>SUM(H786:H786)</f>
        <v>0</v>
      </c>
      <c r="J786" s="5"/>
    </row>
    <row r="787" spans="2:10" x14ac:dyDescent="0.15">
      <c r="B787" s="10" t="s">
        <v>241</v>
      </c>
      <c r="C787" s="13">
        <v>1</v>
      </c>
      <c r="D787" s="14">
        <f t="shared" si="44"/>
        <v>1</v>
      </c>
      <c r="E787" s="5">
        <v>41962</v>
      </c>
      <c r="G787" s="15"/>
      <c r="H787" s="7"/>
      <c r="I787" s="14">
        <f>SUM(H787:H787)</f>
        <v>0</v>
      </c>
      <c r="J787" s="12"/>
    </row>
    <row r="788" spans="2:10" ht="14.25" thickBot="1" x14ac:dyDescent="0.2">
      <c r="B788" s="15" t="s">
        <v>189</v>
      </c>
      <c r="C788" s="13">
        <v>1</v>
      </c>
      <c r="D788" s="11">
        <f t="shared" si="44"/>
        <v>1</v>
      </c>
      <c r="E788" s="12">
        <v>41965</v>
      </c>
      <c r="G788" s="78"/>
      <c r="H788" s="7"/>
      <c r="I788" s="14">
        <f>SUM(H788:H788)</f>
        <v>0</v>
      </c>
      <c r="J788" s="85"/>
    </row>
    <row r="789" spans="2:10" ht="14.25" thickBot="1" x14ac:dyDescent="0.2">
      <c r="B789" s="17" t="s">
        <v>2</v>
      </c>
      <c r="C789" s="18">
        <f>SUM(C765:C788)</f>
        <v>45</v>
      </c>
      <c r="D789" s="19">
        <f t="shared" si="44"/>
        <v>45</v>
      </c>
      <c r="E789" s="20"/>
      <c r="G789" s="17" t="s">
        <v>2</v>
      </c>
      <c r="H789" s="18">
        <f>SUM(H765:H788)</f>
        <v>0</v>
      </c>
      <c r="I789" s="19">
        <f>SUM(H789:H789)</f>
        <v>0</v>
      </c>
      <c r="J789" s="20"/>
    </row>
    <row r="790" spans="2:10" ht="14.25" thickBot="1" x14ac:dyDescent="0.2">
      <c r="B790" s="46" t="s">
        <v>3</v>
      </c>
      <c r="C790" s="52">
        <f>C764-C789</f>
        <v>109</v>
      </c>
      <c r="D790" s="48">
        <f>D764-D789</f>
        <v>109</v>
      </c>
      <c r="E790" s="49"/>
      <c r="G790" s="46" t="s">
        <v>3</v>
      </c>
      <c r="H790" s="52">
        <f>H764-H789</f>
        <v>2908</v>
      </c>
      <c r="I790" s="48">
        <f>I764-I789</f>
        <v>2908</v>
      </c>
      <c r="J790" s="49"/>
    </row>
    <row r="793" spans="2:10" ht="18.75" x14ac:dyDescent="0.2">
      <c r="B793" s="26" t="s">
        <v>7</v>
      </c>
      <c r="G793" s="26" t="s">
        <v>35</v>
      </c>
    </row>
    <row r="794" spans="2:10" ht="14.25" thickBot="1" x14ac:dyDescent="0.2"/>
    <row r="795" spans="2:10" ht="14.25" thickBot="1" x14ac:dyDescent="0.2">
      <c r="B795" s="1"/>
      <c r="C795" s="2"/>
      <c r="D795" s="3" t="s">
        <v>0</v>
      </c>
      <c r="E795" s="1" t="s">
        <v>4</v>
      </c>
      <c r="G795" s="1"/>
      <c r="H795" s="2"/>
      <c r="I795" s="3" t="s">
        <v>0</v>
      </c>
      <c r="J795" s="1" t="s">
        <v>4</v>
      </c>
    </row>
    <row r="796" spans="2:10" x14ac:dyDescent="0.15">
      <c r="B796" s="42" t="s">
        <v>5</v>
      </c>
      <c r="C796" s="43">
        <f>C790</f>
        <v>109</v>
      </c>
      <c r="D796" s="44">
        <f>SUM(C796:C796)</f>
        <v>109</v>
      </c>
      <c r="E796" s="45"/>
      <c r="G796" s="42" t="s">
        <v>5</v>
      </c>
      <c r="H796" s="43">
        <f>H790</f>
        <v>2908</v>
      </c>
      <c r="I796" s="44">
        <f>SUM(H796:H796)</f>
        <v>2908</v>
      </c>
      <c r="J796" s="45"/>
    </row>
    <row r="797" spans="2:10" x14ac:dyDescent="0.15">
      <c r="B797" s="6" t="s">
        <v>242</v>
      </c>
      <c r="C797" s="13">
        <v>3</v>
      </c>
      <c r="D797" s="14">
        <f>SUM(C797:C797)</f>
        <v>3</v>
      </c>
      <c r="E797" s="5">
        <v>41983</v>
      </c>
      <c r="G797" s="71" t="s">
        <v>6</v>
      </c>
      <c r="H797" s="13"/>
      <c r="I797" s="14">
        <f>SUM(H797:H797)</f>
        <v>0</v>
      </c>
      <c r="J797" s="5"/>
    </row>
    <row r="798" spans="2:10" x14ac:dyDescent="0.15">
      <c r="B798" s="6" t="s">
        <v>225</v>
      </c>
      <c r="C798" s="7">
        <v>1</v>
      </c>
      <c r="D798" s="8">
        <f>SUM(C798:C798)</f>
        <v>1</v>
      </c>
      <c r="E798" s="9">
        <v>41999</v>
      </c>
      <c r="G798" s="71" t="s">
        <v>6</v>
      </c>
      <c r="H798" s="67"/>
      <c r="I798" s="14">
        <f>SUM(H798:H798)</f>
        <v>0</v>
      </c>
      <c r="J798" s="5"/>
    </row>
    <row r="799" spans="2:10" ht="14.25" thickBot="1" x14ac:dyDescent="0.2">
      <c r="B799" s="6" t="s">
        <v>6</v>
      </c>
      <c r="C799" s="7">
        <v>336</v>
      </c>
      <c r="D799" s="14">
        <f>SUM(C799:C799)</f>
        <v>336</v>
      </c>
      <c r="E799" s="16">
        <v>42018</v>
      </c>
      <c r="G799" s="6" t="s">
        <v>6</v>
      </c>
      <c r="H799" s="88"/>
      <c r="I799" s="11">
        <f>SUM(H799:H799)</f>
        <v>0</v>
      </c>
      <c r="J799" s="85"/>
    </row>
    <row r="800" spans="2:10" ht="14.25" thickBot="1" x14ac:dyDescent="0.2">
      <c r="B800" s="46" t="s">
        <v>1</v>
      </c>
      <c r="C800" s="48">
        <f>SUM(C796:C799)</f>
        <v>449</v>
      </c>
      <c r="D800" s="48">
        <f>SUM(D796:D799)</f>
        <v>449</v>
      </c>
      <c r="E800" s="49"/>
      <c r="G800" s="46" t="s">
        <v>1</v>
      </c>
      <c r="H800" s="47">
        <f>SUM(H796:H799)</f>
        <v>2908</v>
      </c>
      <c r="I800" s="48">
        <f>SUM(I796:I799)</f>
        <v>2908</v>
      </c>
      <c r="J800" s="49"/>
    </row>
    <row r="801" spans="2:10" x14ac:dyDescent="0.15">
      <c r="B801" s="10" t="s">
        <v>189</v>
      </c>
      <c r="C801" s="77">
        <v>1</v>
      </c>
      <c r="D801" s="11">
        <f t="shared" ref="D801:D825" si="46">SUM(C801:C801)</f>
        <v>1</v>
      </c>
      <c r="E801" s="12">
        <v>41968</v>
      </c>
      <c r="G801" s="15" t="s">
        <v>16</v>
      </c>
      <c r="H801" s="13">
        <v>336</v>
      </c>
      <c r="I801" s="14">
        <f>SUM(H801:H801)</f>
        <v>336</v>
      </c>
      <c r="J801" s="12">
        <v>42018</v>
      </c>
    </row>
    <row r="802" spans="2:10" x14ac:dyDescent="0.15">
      <c r="B802" s="10" t="s">
        <v>189</v>
      </c>
      <c r="C802" s="13">
        <v>1</v>
      </c>
      <c r="D802" s="14">
        <f t="shared" si="46"/>
        <v>1</v>
      </c>
      <c r="E802" s="12">
        <v>41969</v>
      </c>
      <c r="G802" s="15" t="s">
        <v>16</v>
      </c>
      <c r="H802" s="13">
        <v>1008</v>
      </c>
      <c r="I802" s="14">
        <f>SUM(H802:H802)</f>
        <v>1008</v>
      </c>
      <c r="J802" s="12">
        <v>42055</v>
      </c>
    </row>
    <row r="803" spans="2:10" x14ac:dyDescent="0.15">
      <c r="B803" s="10" t="s">
        <v>189</v>
      </c>
      <c r="C803" s="13">
        <v>5</v>
      </c>
      <c r="D803" s="14">
        <f t="shared" si="46"/>
        <v>5</v>
      </c>
      <c r="E803" s="12">
        <v>41970</v>
      </c>
      <c r="G803" s="10"/>
      <c r="H803" s="13"/>
      <c r="I803" s="14">
        <f t="shared" ref="I803:I821" si="47">SUM(H803:H803)</f>
        <v>0</v>
      </c>
      <c r="J803" s="12"/>
    </row>
    <row r="804" spans="2:10" x14ac:dyDescent="0.15">
      <c r="B804" s="10" t="s">
        <v>189</v>
      </c>
      <c r="C804" s="13">
        <v>4</v>
      </c>
      <c r="D804" s="14">
        <f t="shared" si="46"/>
        <v>4</v>
      </c>
      <c r="E804" s="12">
        <v>41974</v>
      </c>
      <c r="G804" s="78"/>
      <c r="H804" s="13"/>
      <c r="I804" s="14">
        <f t="shared" si="47"/>
        <v>0</v>
      </c>
      <c r="J804" s="12"/>
    </row>
    <row r="805" spans="2:10" x14ac:dyDescent="0.15">
      <c r="B805" s="10" t="s">
        <v>189</v>
      </c>
      <c r="C805" s="13">
        <v>1</v>
      </c>
      <c r="D805" s="14">
        <f t="shared" si="46"/>
        <v>1</v>
      </c>
      <c r="E805" s="12">
        <v>41976</v>
      </c>
      <c r="G805" s="78"/>
      <c r="H805" s="13"/>
      <c r="I805" s="14">
        <f t="shared" si="47"/>
        <v>0</v>
      </c>
      <c r="J805" s="12"/>
    </row>
    <row r="806" spans="2:10" x14ac:dyDescent="0.15">
      <c r="B806" s="10" t="s">
        <v>189</v>
      </c>
      <c r="C806" s="13">
        <v>2</v>
      </c>
      <c r="D806" s="14">
        <f t="shared" si="46"/>
        <v>2</v>
      </c>
      <c r="E806" s="12">
        <v>41979</v>
      </c>
      <c r="G806" s="78"/>
      <c r="H806" s="13"/>
      <c r="I806" s="14">
        <f t="shared" si="47"/>
        <v>0</v>
      </c>
      <c r="J806" s="12"/>
    </row>
    <row r="807" spans="2:10" x14ac:dyDescent="0.15">
      <c r="B807" s="10" t="s">
        <v>189</v>
      </c>
      <c r="C807" s="13">
        <v>2</v>
      </c>
      <c r="D807" s="14">
        <f t="shared" si="46"/>
        <v>2</v>
      </c>
      <c r="E807" s="12">
        <v>41981</v>
      </c>
      <c r="G807" s="78"/>
      <c r="H807" s="13"/>
      <c r="I807" s="14">
        <f t="shared" si="47"/>
        <v>0</v>
      </c>
      <c r="J807" s="12"/>
    </row>
    <row r="808" spans="2:10" x14ac:dyDescent="0.15">
      <c r="B808" s="10" t="s">
        <v>189</v>
      </c>
      <c r="C808" s="13">
        <v>1</v>
      </c>
      <c r="D808" s="14">
        <f t="shared" si="46"/>
        <v>1</v>
      </c>
      <c r="E808" s="12">
        <v>41982</v>
      </c>
      <c r="G808" s="78"/>
      <c r="H808" s="13"/>
      <c r="I808" s="14">
        <f t="shared" si="47"/>
        <v>0</v>
      </c>
      <c r="J808" s="12"/>
    </row>
    <row r="809" spans="2:10" x14ac:dyDescent="0.15">
      <c r="B809" s="10" t="s">
        <v>243</v>
      </c>
      <c r="C809" s="13">
        <v>2</v>
      </c>
      <c r="D809" s="14">
        <f t="shared" si="46"/>
        <v>2</v>
      </c>
      <c r="E809" s="12">
        <v>41985</v>
      </c>
      <c r="G809" s="10"/>
      <c r="H809" s="13"/>
      <c r="I809" s="14">
        <f t="shared" si="47"/>
        <v>0</v>
      </c>
      <c r="J809" s="12"/>
    </row>
    <row r="810" spans="2:10" x14ac:dyDescent="0.15">
      <c r="B810" s="10" t="s">
        <v>83</v>
      </c>
      <c r="C810" s="13">
        <v>15</v>
      </c>
      <c r="D810" s="14">
        <f t="shared" si="46"/>
        <v>15</v>
      </c>
      <c r="E810" s="12">
        <v>41989</v>
      </c>
      <c r="G810" s="78"/>
      <c r="H810" s="13"/>
      <c r="I810" s="14">
        <f t="shared" si="47"/>
        <v>0</v>
      </c>
      <c r="J810" s="12"/>
    </row>
    <row r="811" spans="2:10" x14ac:dyDescent="0.15">
      <c r="B811" s="10" t="s">
        <v>244</v>
      </c>
      <c r="C811" s="13">
        <v>1</v>
      </c>
      <c r="D811" s="14">
        <f t="shared" si="46"/>
        <v>1</v>
      </c>
      <c r="E811" s="12">
        <v>41992</v>
      </c>
      <c r="G811" s="10"/>
      <c r="H811" s="22"/>
      <c r="I811" s="23">
        <f t="shared" si="47"/>
        <v>0</v>
      </c>
      <c r="J811" s="24"/>
    </row>
    <row r="812" spans="2:10" x14ac:dyDescent="0.15">
      <c r="B812" s="10" t="s">
        <v>245</v>
      </c>
      <c r="C812" s="13">
        <v>1</v>
      </c>
      <c r="D812" s="14">
        <f t="shared" si="46"/>
        <v>1</v>
      </c>
      <c r="E812" s="12">
        <v>41992</v>
      </c>
      <c r="G812" s="27"/>
      <c r="H812" s="22"/>
      <c r="I812" s="23">
        <f t="shared" si="47"/>
        <v>0</v>
      </c>
      <c r="J812" s="24"/>
    </row>
    <row r="813" spans="2:10" x14ac:dyDescent="0.15">
      <c r="B813" s="10" t="s">
        <v>39</v>
      </c>
      <c r="C813" s="13">
        <v>10</v>
      </c>
      <c r="D813" s="14">
        <f t="shared" si="46"/>
        <v>10</v>
      </c>
      <c r="E813" s="12">
        <v>41998</v>
      </c>
      <c r="G813" s="15"/>
      <c r="H813" s="13"/>
      <c r="I813" s="14">
        <f t="shared" si="47"/>
        <v>0</v>
      </c>
      <c r="J813" s="12"/>
    </row>
    <row r="814" spans="2:10" x14ac:dyDescent="0.15">
      <c r="B814" s="10" t="s">
        <v>189</v>
      </c>
      <c r="C814" s="13">
        <v>2</v>
      </c>
      <c r="D814" s="14">
        <f t="shared" si="46"/>
        <v>2</v>
      </c>
      <c r="E814" s="12">
        <v>41997</v>
      </c>
      <c r="G814" s="10"/>
      <c r="H814" s="13"/>
      <c r="I814" s="14">
        <f t="shared" si="47"/>
        <v>0</v>
      </c>
      <c r="J814" s="12"/>
    </row>
    <row r="815" spans="2:10" x14ac:dyDescent="0.15">
      <c r="B815" s="10" t="s">
        <v>189</v>
      </c>
      <c r="C815" s="13">
        <v>1</v>
      </c>
      <c r="D815" s="14">
        <f t="shared" si="46"/>
        <v>1</v>
      </c>
      <c r="E815" s="12">
        <v>42003</v>
      </c>
      <c r="G815" s="15"/>
      <c r="H815" s="13"/>
      <c r="I815" s="14">
        <f t="shared" si="47"/>
        <v>0</v>
      </c>
      <c r="J815" s="12"/>
    </row>
    <row r="816" spans="2:10" x14ac:dyDescent="0.15">
      <c r="B816" s="81" t="s">
        <v>57</v>
      </c>
      <c r="C816" s="13">
        <v>1</v>
      </c>
      <c r="D816" s="14">
        <f t="shared" si="46"/>
        <v>1</v>
      </c>
      <c r="E816" s="12">
        <v>42011</v>
      </c>
      <c r="G816" s="21"/>
      <c r="H816" s="22"/>
      <c r="I816" s="23">
        <f t="shared" si="47"/>
        <v>0</v>
      </c>
      <c r="J816" s="24"/>
    </row>
    <row r="817" spans="2:10" x14ac:dyDescent="0.15">
      <c r="B817" s="10" t="s">
        <v>11</v>
      </c>
      <c r="C817" s="13">
        <v>107</v>
      </c>
      <c r="D817" s="14">
        <f t="shared" si="46"/>
        <v>107</v>
      </c>
      <c r="E817" s="12">
        <v>42030</v>
      </c>
      <c r="G817" s="27"/>
      <c r="H817" s="22"/>
      <c r="I817" s="23">
        <f t="shared" si="47"/>
        <v>0</v>
      </c>
      <c r="J817" s="24"/>
    </row>
    <row r="818" spans="2:10" x14ac:dyDescent="0.15">
      <c r="B818" s="10" t="s">
        <v>246</v>
      </c>
      <c r="C818" s="13">
        <v>1</v>
      </c>
      <c r="D818" s="14">
        <f t="shared" si="46"/>
        <v>1</v>
      </c>
      <c r="E818" s="12">
        <v>42012</v>
      </c>
      <c r="G818" s="15"/>
      <c r="H818" s="13"/>
      <c r="I818" s="14">
        <f t="shared" si="47"/>
        <v>0</v>
      </c>
      <c r="J818" s="5"/>
    </row>
    <row r="819" spans="2:10" x14ac:dyDescent="0.15">
      <c r="B819" s="10" t="s">
        <v>189</v>
      </c>
      <c r="C819" s="13">
        <v>2</v>
      </c>
      <c r="D819" s="14">
        <f t="shared" si="46"/>
        <v>2</v>
      </c>
      <c r="E819" s="12">
        <v>42017</v>
      </c>
      <c r="G819" s="15"/>
      <c r="H819" s="13"/>
      <c r="I819" s="14">
        <f t="shared" si="47"/>
        <v>0</v>
      </c>
      <c r="J819" s="5"/>
    </row>
    <row r="820" spans="2:10" x14ac:dyDescent="0.15">
      <c r="B820" s="10" t="s">
        <v>189</v>
      </c>
      <c r="C820" s="13">
        <v>1</v>
      </c>
      <c r="D820" s="14">
        <f t="shared" si="46"/>
        <v>1</v>
      </c>
      <c r="E820" s="5">
        <v>42023</v>
      </c>
      <c r="G820" s="75"/>
      <c r="H820" s="13"/>
      <c r="I820" s="14">
        <f t="shared" si="47"/>
        <v>0</v>
      </c>
      <c r="J820" s="5"/>
    </row>
    <row r="821" spans="2:10" x14ac:dyDescent="0.15">
      <c r="B821" s="10" t="s">
        <v>247</v>
      </c>
      <c r="C821" s="13">
        <v>2</v>
      </c>
      <c r="D821" s="14">
        <f t="shared" si="46"/>
        <v>2</v>
      </c>
      <c r="E821" s="5">
        <v>42025</v>
      </c>
      <c r="G821" s="78"/>
      <c r="H821" s="13"/>
      <c r="I821" s="14">
        <f t="shared" si="47"/>
        <v>0</v>
      </c>
      <c r="J821" s="5"/>
    </row>
    <row r="822" spans="2:10" x14ac:dyDescent="0.15">
      <c r="B822" s="10" t="s">
        <v>189</v>
      </c>
      <c r="C822" s="13">
        <v>2</v>
      </c>
      <c r="D822" s="14">
        <f t="shared" si="46"/>
        <v>2</v>
      </c>
      <c r="E822" s="5">
        <v>42024</v>
      </c>
      <c r="G822" s="81"/>
      <c r="H822" s="7"/>
      <c r="I822" s="14">
        <f>SUM(H822:H822)</f>
        <v>0</v>
      </c>
      <c r="J822" s="5"/>
    </row>
    <row r="823" spans="2:10" x14ac:dyDescent="0.15">
      <c r="B823" s="10" t="s">
        <v>189</v>
      </c>
      <c r="C823" s="13">
        <v>1</v>
      </c>
      <c r="D823" s="14">
        <f t="shared" si="46"/>
        <v>1</v>
      </c>
      <c r="E823" s="5">
        <v>42025</v>
      </c>
      <c r="G823" s="15"/>
      <c r="H823" s="7"/>
      <c r="I823" s="14">
        <f>SUM(H823:H823)</f>
        <v>0</v>
      </c>
      <c r="J823" s="12"/>
    </row>
    <row r="824" spans="2:10" ht="14.25" thickBot="1" x14ac:dyDescent="0.2">
      <c r="B824" s="10" t="s">
        <v>248</v>
      </c>
      <c r="C824" s="13">
        <v>3</v>
      </c>
      <c r="D824" s="11">
        <f t="shared" si="46"/>
        <v>3</v>
      </c>
      <c r="E824" s="12">
        <v>42026</v>
      </c>
      <c r="G824" s="15"/>
      <c r="H824" s="13"/>
      <c r="I824" s="11">
        <f>SUM(H824:H824)</f>
        <v>0</v>
      </c>
      <c r="J824" s="12"/>
    </row>
    <row r="825" spans="2:10" ht="14.25" thickBot="1" x14ac:dyDescent="0.2">
      <c r="B825" s="17" t="s">
        <v>2</v>
      </c>
      <c r="C825" s="18">
        <f>SUM(C801:C824)</f>
        <v>169</v>
      </c>
      <c r="D825" s="19">
        <f t="shared" si="46"/>
        <v>169</v>
      </c>
      <c r="E825" s="20"/>
      <c r="G825" s="17" t="s">
        <v>2</v>
      </c>
      <c r="H825" s="18">
        <f>SUM(H801:H824)</f>
        <v>1344</v>
      </c>
      <c r="I825" s="19">
        <f>SUM(H825:H825)</f>
        <v>1344</v>
      </c>
      <c r="J825" s="20"/>
    </row>
    <row r="826" spans="2:10" ht="14.25" thickBot="1" x14ac:dyDescent="0.2">
      <c r="B826" s="46" t="s">
        <v>3</v>
      </c>
      <c r="C826" s="52">
        <f>C800-C825</f>
        <v>280</v>
      </c>
      <c r="D826" s="48">
        <f>D800-D825</f>
        <v>280</v>
      </c>
      <c r="E826" s="49"/>
      <c r="G826" s="46" t="s">
        <v>3</v>
      </c>
      <c r="H826" s="52">
        <f>H800-H825</f>
        <v>1564</v>
      </c>
      <c r="I826" s="48">
        <f>I800-I825</f>
        <v>1564</v>
      </c>
      <c r="J826" s="49"/>
    </row>
    <row r="829" spans="2:10" ht="18.75" x14ac:dyDescent="0.2">
      <c r="B829" s="26" t="s">
        <v>7</v>
      </c>
      <c r="G829" s="26" t="s">
        <v>35</v>
      </c>
    </row>
    <row r="830" spans="2:10" ht="14.25" thickBot="1" x14ac:dyDescent="0.2"/>
    <row r="831" spans="2:10" ht="14.25" thickBot="1" x14ac:dyDescent="0.2">
      <c r="B831" s="1"/>
      <c r="C831" s="2"/>
      <c r="D831" s="3" t="s">
        <v>0</v>
      </c>
      <c r="E831" s="1" t="s">
        <v>4</v>
      </c>
      <c r="G831" s="1"/>
      <c r="H831" s="2"/>
      <c r="I831" s="3" t="s">
        <v>0</v>
      </c>
      <c r="J831" s="1" t="s">
        <v>4</v>
      </c>
    </row>
    <row r="832" spans="2:10" x14ac:dyDescent="0.15">
      <c r="B832" s="42" t="s">
        <v>5</v>
      </c>
      <c r="C832" s="43">
        <f>C826</f>
        <v>280</v>
      </c>
      <c r="D832" s="44">
        <f>SUM(C832:C832)</f>
        <v>280</v>
      </c>
      <c r="E832" s="45"/>
      <c r="G832" s="42" t="s">
        <v>5</v>
      </c>
      <c r="H832" s="43">
        <f>H826</f>
        <v>1564</v>
      </c>
      <c r="I832" s="44">
        <f>SUM(H832:H832)</f>
        <v>1564</v>
      </c>
      <c r="J832" s="45"/>
    </row>
    <row r="833" spans="2:10" x14ac:dyDescent="0.15">
      <c r="B833" s="6" t="s">
        <v>6</v>
      </c>
      <c r="C833" s="13">
        <v>1008</v>
      </c>
      <c r="D833" s="14">
        <f>SUM(C833:C833)</f>
        <v>1008</v>
      </c>
      <c r="E833" s="5">
        <v>42055</v>
      </c>
      <c r="G833" s="71" t="s">
        <v>6</v>
      </c>
      <c r="H833" s="13"/>
      <c r="I833" s="14">
        <f>SUM(H833:H833)</f>
        <v>0</v>
      </c>
      <c r="J833" s="5"/>
    </row>
    <row r="834" spans="2:10" x14ac:dyDescent="0.15">
      <c r="B834" s="6" t="s">
        <v>6</v>
      </c>
      <c r="C834" s="13">
        <v>1008</v>
      </c>
      <c r="D834" s="8">
        <f>SUM(C834:C834)</f>
        <v>1008</v>
      </c>
      <c r="E834" s="9">
        <v>42073</v>
      </c>
      <c r="G834" s="71" t="s">
        <v>6</v>
      </c>
      <c r="H834" s="67">
        <v>2500</v>
      </c>
      <c r="I834" s="14">
        <f>SUM(H834:H834)</f>
        <v>2500</v>
      </c>
      <c r="J834" s="5">
        <v>41699</v>
      </c>
    </row>
    <row r="835" spans="2:10" ht="14.25" thickBot="1" x14ac:dyDescent="0.2">
      <c r="B835" s="6" t="s">
        <v>6</v>
      </c>
      <c r="C835" s="7"/>
      <c r="D835" s="14">
        <f>SUM(C835:C835)</f>
        <v>0</v>
      </c>
      <c r="E835" s="16"/>
      <c r="G835" s="6" t="s">
        <v>6</v>
      </c>
      <c r="H835" s="88"/>
      <c r="I835" s="11">
        <f>SUM(H835:H835)</f>
        <v>0</v>
      </c>
      <c r="J835" s="85"/>
    </row>
    <row r="836" spans="2:10" ht="14.25" thickBot="1" x14ac:dyDescent="0.2">
      <c r="B836" s="46" t="s">
        <v>1</v>
      </c>
      <c r="C836" s="48">
        <f>SUM(C832:C835)</f>
        <v>2296</v>
      </c>
      <c r="D836" s="48">
        <f>SUM(D832:D835)</f>
        <v>2296</v>
      </c>
      <c r="E836" s="49"/>
      <c r="G836" s="46" t="s">
        <v>1</v>
      </c>
      <c r="H836" s="47">
        <f>SUM(H832:H835)</f>
        <v>4064</v>
      </c>
      <c r="I836" s="48">
        <f>SUM(I832:I835)</f>
        <v>4064</v>
      </c>
      <c r="J836" s="49"/>
    </row>
    <row r="837" spans="2:10" x14ac:dyDescent="0.15">
      <c r="B837" s="10" t="s">
        <v>189</v>
      </c>
      <c r="C837" s="77">
        <v>2</v>
      </c>
      <c r="D837" s="11">
        <f t="shared" ref="D837:D861" si="48">SUM(C837:C837)</f>
        <v>2</v>
      </c>
      <c r="E837" s="12">
        <v>42027</v>
      </c>
      <c r="G837" s="15" t="s">
        <v>16</v>
      </c>
      <c r="H837" s="13">
        <v>1008</v>
      </c>
      <c r="I837" s="11">
        <f>SUM(H837:H837)</f>
        <v>1008</v>
      </c>
      <c r="J837" s="12">
        <v>42073</v>
      </c>
    </row>
    <row r="838" spans="2:10" x14ac:dyDescent="0.15">
      <c r="B838" s="10" t="s">
        <v>189</v>
      </c>
      <c r="C838" s="13">
        <v>1</v>
      </c>
      <c r="D838" s="14">
        <f t="shared" si="48"/>
        <v>1</v>
      </c>
      <c r="E838" s="12">
        <v>42030</v>
      </c>
      <c r="G838" s="15" t="s">
        <v>16</v>
      </c>
      <c r="H838" s="13">
        <v>1008</v>
      </c>
      <c r="I838" s="14">
        <f>SUM(H838:H838)</f>
        <v>1008</v>
      </c>
      <c r="J838" s="12">
        <v>42091</v>
      </c>
    </row>
    <row r="839" spans="2:10" x14ac:dyDescent="0.15">
      <c r="B839" s="10" t="s">
        <v>189</v>
      </c>
      <c r="C839" s="13">
        <v>1</v>
      </c>
      <c r="D839" s="14">
        <f t="shared" si="48"/>
        <v>1</v>
      </c>
      <c r="E839" s="12">
        <v>42032</v>
      </c>
      <c r="G839" s="10"/>
      <c r="H839" s="13"/>
      <c r="I839" s="14">
        <f t="shared" ref="I839:I857" si="49">SUM(H839:H839)</f>
        <v>0</v>
      </c>
      <c r="J839" s="12"/>
    </row>
    <row r="840" spans="2:10" x14ac:dyDescent="0.15">
      <c r="B840" s="10" t="s">
        <v>189</v>
      </c>
      <c r="C840" s="13">
        <v>1</v>
      </c>
      <c r="D840" s="14">
        <f t="shared" si="48"/>
        <v>1</v>
      </c>
      <c r="E840" s="12">
        <v>42038</v>
      </c>
      <c r="G840" s="78"/>
      <c r="H840" s="13"/>
      <c r="I840" s="14">
        <f t="shared" si="49"/>
        <v>0</v>
      </c>
      <c r="J840" s="12"/>
    </row>
    <row r="841" spans="2:10" x14ac:dyDescent="0.15">
      <c r="B841" s="10" t="s">
        <v>189</v>
      </c>
      <c r="C841" s="13">
        <v>3</v>
      </c>
      <c r="D841" s="14">
        <f t="shared" si="48"/>
        <v>3</v>
      </c>
      <c r="E841" s="12">
        <v>42040</v>
      </c>
      <c r="G841" s="78"/>
      <c r="H841" s="13"/>
      <c r="I841" s="14">
        <f t="shared" si="49"/>
        <v>0</v>
      </c>
      <c r="J841" s="12"/>
    </row>
    <row r="842" spans="2:10" x14ac:dyDescent="0.15">
      <c r="B842" s="10" t="s">
        <v>249</v>
      </c>
      <c r="C842" s="13">
        <v>1</v>
      </c>
      <c r="D842" s="14">
        <f t="shared" si="48"/>
        <v>1</v>
      </c>
      <c r="E842" s="12">
        <v>42042</v>
      </c>
      <c r="G842" s="78"/>
      <c r="H842" s="13"/>
      <c r="I842" s="14">
        <f t="shared" si="49"/>
        <v>0</v>
      </c>
      <c r="J842" s="12"/>
    </row>
    <row r="843" spans="2:10" x14ac:dyDescent="0.15">
      <c r="B843" s="10" t="s">
        <v>57</v>
      </c>
      <c r="C843" s="13">
        <v>1</v>
      </c>
      <c r="D843" s="14">
        <f t="shared" si="48"/>
        <v>1</v>
      </c>
      <c r="E843" s="12">
        <v>42048</v>
      </c>
      <c r="G843" s="78"/>
      <c r="H843" s="13"/>
      <c r="I843" s="14">
        <f t="shared" si="49"/>
        <v>0</v>
      </c>
      <c r="J843" s="12"/>
    </row>
    <row r="844" spans="2:10" x14ac:dyDescent="0.15">
      <c r="B844" s="10" t="s">
        <v>189</v>
      </c>
      <c r="C844" s="13">
        <v>2</v>
      </c>
      <c r="D844" s="14">
        <f t="shared" si="48"/>
        <v>2</v>
      </c>
      <c r="E844" s="12">
        <v>42047</v>
      </c>
      <c r="G844" s="78"/>
      <c r="H844" s="13"/>
      <c r="I844" s="14">
        <f t="shared" si="49"/>
        <v>0</v>
      </c>
      <c r="J844" s="12"/>
    </row>
    <row r="845" spans="2:10" x14ac:dyDescent="0.15">
      <c r="B845" s="10" t="s">
        <v>189</v>
      </c>
      <c r="C845" s="13">
        <v>6</v>
      </c>
      <c r="D845" s="14">
        <f t="shared" si="48"/>
        <v>6</v>
      </c>
      <c r="E845" s="12">
        <v>42051</v>
      </c>
      <c r="G845" s="10"/>
      <c r="H845" s="13"/>
      <c r="I845" s="14">
        <f t="shared" si="49"/>
        <v>0</v>
      </c>
      <c r="J845" s="12"/>
    </row>
    <row r="846" spans="2:10" x14ac:dyDescent="0.15">
      <c r="B846" s="10" t="s">
        <v>250</v>
      </c>
      <c r="C846" s="13">
        <v>1</v>
      </c>
      <c r="D846" s="14">
        <f t="shared" si="48"/>
        <v>1</v>
      </c>
      <c r="E846" s="12">
        <v>42052</v>
      </c>
      <c r="G846" s="78"/>
      <c r="H846" s="13"/>
      <c r="I846" s="14">
        <f t="shared" si="49"/>
        <v>0</v>
      </c>
      <c r="J846" s="12"/>
    </row>
    <row r="847" spans="2:10" x14ac:dyDescent="0.15">
      <c r="B847" s="10" t="s">
        <v>18</v>
      </c>
      <c r="C847" s="13">
        <v>26</v>
      </c>
      <c r="D847" s="14">
        <f t="shared" si="48"/>
        <v>26</v>
      </c>
      <c r="E847" s="12">
        <v>42055</v>
      </c>
      <c r="G847" s="10"/>
      <c r="H847" s="22"/>
      <c r="I847" s="23">
        <f t="shared" si="49"/>
        <v>0</v>
      </c>
      <c r="J847" s="24"/>
    </row>
    <row r="848" spans="2:10" x14ac:dyDescent="0.15">
      <c r="B848" s="10" t="s">
        <v>189</v>
      </c>
      <c r="C848" s="13">
        <v>2</v>
      </c>
      <c r="D848" s="14">
        <f t="shared" si="48"/>
        <v>2</v>
      </c>
      <c r="E848" s="12">
        <v>42053</v>
      </c>
      <c r="G848" s="27"/>
      <c r="H848" s="22"/>
      <c r="I848" s="23">
        <f t="shared" si="49"/>
        <v>0</v>
      </c>
      <c r="J848" s="24"/>
    </row>
    <row r="849" spans="2:10" x14ac:dyDescent="0.15">
      <c r="B849" s="10" t="s">
        <v>189</v>
      </c>
      <c r="C849" s="13">
        <v>3</v>
      </c>
      <c r="D849" s="14">
        <f t="shared" si="48"/>
        <v>3</v>
      </c>
      <c r="E849" s="12">
        <v>42054</v>
      </c>
      <c r="G849" s="15"/>
      <c r="H849" s="13"/>
      <c r="I849" s="14">
        <f t="shared" si="49"/>
        <v>0</v>
      </c>
      <c r="J849" s="12"/>
    </row>
    <row r="850" spans="2:10" x14ac:dyDescent="0.15">
      <c r="B850" s="10" t="s">
        <v>189</v>
      </c>
      <c r="C850" s="13">
        <v>1</v>
      </c>
      <c r="D850" s="14">
        <f t="shared" si="48"/>
        <v>1</v>
      </c>
      <c r="E850" s="12">
        <v>42056</v>
      </c>
      <c r="G850" s="10"/>
      <c r="H850" s="13"/>
      <c r="I850" s="14">
        <f t="shared" si="49"/>
        <v>0</v>
      </c>
      <c r="J850" s="12"/>
    </row>
    <row r="851" spans="2:10" x14ac:dyDescent="0.15">
      <c r="B851" s="10" t="s">
        <v>189</v>
      </c>
      <c r="C851" s="13">
        <v>3</v>
      </c>
      <c r="D851" s="14">
        <f t="shared" si="48"/>
        <v>3</v>
      </c>
      <c r="E851" s="12">
        <v>42058</v>
      </c>
      <c r="G851" s="15"/>
      <c r="H851" s="13"/>
      <c r="I851" s="14">
        <f t="shared" si="49"/>
        <v>0</v>
      </c>
      <c r="J851" s="12"/>
    </row>
    <row r="852" spans="2:10" x14ac:dyDescent="0.15">
      <c r="B852" s="10" t="s">
        <v>189</v>
      </c>
      <c r="C852" s="13">
        <v>1</v>
      </c>
      <c r="D852" s="14">
        <f t="shared" si="48"/>
        <v>1</v>
      </c>
      <c r="E852" s="12">
        <v>42062</v>
      </c>
      <c r="G852" s="21"/>
      <c r="H852" s="22"/>
      <c r="I852" s="23">
        <f t="shared" si="49"/>
        <v>0</v>
      </c>
      <c r="J852" s="24"/>
    </row>
    <row r="853" spans="2:10" x14ac:dyDescent="0.15">
      <c r="B853" s="10" t="s">
        <v>251</v>
      </c>
      <c r="C853" s="13">
        <v>1</v>
      </c>
      <c r="D853" s="14">
        <f t="shared" si="48"/>
        <v>1</v>
      </c>
      <c r="E853" s="12">
        <v>42061</v>
      </c>
      <c r="G853" s="27"/>
      <c r="H853" s="22"/>
      <c r="I853" s="23">
        <f t="shared" si="49"/>
        <v>0</v>
      </c>
      <c r="J853" s="24"/>
    </row>
    <row r="854" spans="2:10" x14ac:dyDescent="0.15">
      <c r="B854" s="10" t="s">
        <v>18</v>
      </c>
      <c r="C854" s="13">
        <v>12</v>
      </c>
      <c r="D854" s="14">
        <f t="shared" si="48"/>
        <v>12</v>
      </c>
      <c r="E854" s="12">
        <v>42066</v>
      </c>
      <c r="G854" s="15"/>
      <c r="H854" s="13"/>
      <c r="I854" s="14">
        <f t="shared" si="49"/>
        <v>0</v>
      </c>
      <c r="J854" s="5"/>
    </row>
    <row r="855" spans="2:10" x14ac:dyDescent="0.15">
      <c r="B855" s="10" t="s">
        <v>83</v>
      </c>
      <c r="C855" s="13">
        <v>10</v>
      </c>
      <c r="D855" s="14">
        <f t="shared" si="48"/>
        <v>10</v>
      </c>
      <c r="E855" s="12">
        <v>42068</v>
      </c>
      <c r="G855" s="15"/>
      <c r="H855" s="13"/>
      <c r="I855" s="14">
        <f t="shared" si="49"/>
        <v>0</v>
      </c>
      <c r="J855" s="5"/>
    </row>
    <row r="856" spans="2:10" x14ac:dyDescent="0.15">
      <c r="B856" s="10" t="s">
        <v>18</v>
      </c>
      <c r="C856" s="13">
        <v>48</v>
      </c>
      <c r="D856" s="14">
        <f t="shared" si="48"/>
        <v>48</v>
      </c>
      <c r="E856" s="5">
        <v>42069</v>
      </c>
      <c r="G856" s="75"/>
      <c r="H856" s="13"/>
      <c r="I856" s="14">
        <f t="shared" si="49"/>
        <v>0</v>
      </c>
      <c r="J856" s="5"/>
    </row>
    <row r="857" spans="2:10" x14ac:dyDescent="0.15">
      <c r="B857" s="10" t="s">
        <v>253</v>
      </c>
      <c r="C857" s="13">
        <v>50</v>
      </c>
      <c r="D857" s="14">
        <f t="shared" si="48"/>
        <v>50</v>
      </c>
      <c r="E857" s="5">
        <v>42074</v>
      </c>
      <c r="G857" s="78"/>
      <c r="H857" s="13"/>
      <c r="I857" s="14">
        <f t="shared" si="49"/>
        <v>0</v>
      </c>
      <c r="J857" s="5"/>
    </row>
    <row r="858" spans="2:10" x14ac:dyDescent="0.15">
      <c r="B858" s="10" t="s">
        <v>252</v>
      </c>
      <c r="C858" s="13">
        <v>1</v>
      </c>
      <c r="D858" s="14">
        <f t="shared" si="48"/>
        <v>1</v>
      </c>
      <c r="E858" s="5">
        <v>42070</v>
      </c>
      <c r="G858" s="15"/>
      <c r="H858" s="7"/>
      <c r="I858" s="14">
        <f>SUM(H858:H858)</f>
        <v>0</v>
      </c>
      <c r="J858" s="5"/>
    </row>
    <row r="859" spans="2:10" x14ac:dyDescent="0.15">
      <c r="B859" s="10" t="s">
        <v>18</v>
      </c>
      <c r="C859" s="13">
        <v>10</v>
      </c>
      <c r="D859" s="14">
        <f t="shared" si="48"/>
        <v>10</v>
      </c>
      <c r="E859" s="5">
        <v>42080</v>
      </c>
      <c r="G859" s="81"/>
      <c r="H859" s="7"/>
      <c r="I859" s="14">
        <f>SUM(H859:H859)</f>
        <v>0</v>
      </c>
      <c r="J859" s="5"/>
    </row>
    <row r="860" spans="2:10" ht="14.25" thickBot="1" x14ac:dyDescent="0.2">
      <c r="B860" s="15" t="s">
        <v>189</v>
      </c>
      <c r="C860" s="13">
        <v>1</v>
      </c>
      <c r="D860" s="11">
        <f t="shared" si="48"/>
        <v>1</v>
      </c>
      <c r="E860" s="12">
        <v>42079</v>
      </c>
      <c r="G860" s="15"/>
      <c r="H860" s="7"/>
      <c r="I860" s="14">
        <f>SUM(H860:H860)</f>
        <v>0</v>
      </c>
      <c r="J860" s="12"/>
    </row>
    <row r="861" spans="2:10" ht="14.25" thickBot="1" x14ac:dyDescent="0.2">
      <c r="B861" s="17" t="s">
        <v>2</v>
      </c>
      <c r="C861" s="18">
        <f>SUM(C837:C860)</f>
        <v>188</v>
      </c>
      <c r="D861" s="19">
        <f t="shared" si="48"/>
        <v>188</v>
      </c>
      <c r="E861" s="20"/>
      <c r="G861" s="17" t="s">
        <v>2</v>
      </c>
      <c r="H861" s="18">
        <f>SUM(H837:H860)</f>
        <v>2016</v>
      </c>
      <c r="I861" s="19">
        <f>SUM(H861:H861)</f>
        <v>2016</v>
      </c>
      <c r="J861" s="20"/>
    </row>
    <row r="862" spans="2:10" ht="14.25" thickBot="1" x14ac:dyDescent="0.2">
      <c r="B862" s="46" t="s">
        <v>3</v>
      </c>
      <c r="C862" s="52">
        <f>C836-C861</f>
        <v>2108</v>
      </c>
      <c r="D862" s="48">
        <f>D836-D861</f>
        <v>2108</v>
      </c>
      <c r="E862" s="49"/>
      <c r="G862" s="46" t="s">
        <v>3</v>
      </c>
      <c r="H862" s="52">
        <f>H836-H861</f>
        <v>2048</v>
      </c>
      <c r="I862" s="48">
        <f>I836-I861</f>
        <v>2048</v>
      </c>
      <c r="J862" s="49"/>
    </row>
    <row r="865" spans="2:10" ht="18.75" x14ac:dyDescent="0.2">
      <c r="B865" s="26" t="s">
        <v>7</v>
      </c>
      <c r="G865" s="26" t="s">
        <v>35</v>
      </c>
    </row>
    <row r="866" spans="2:10" ht="14.25" thickBot="1" x14ac:dyDescent="0.2"/>
    <row r="867" spans="2:10" ht="14.25" thickBot="1" x14ac:dyDescent="0.2">
      <c r="B867" s="1"/>
      <c r="C867" s="2"/>
      <c r="D867" s="3" t="s">
        <v>0</v>
      </c>
      <c r="E867" s="1" t="s">
        <v>4</v>
      </c>
      <c r="G867" s="1"/>
      <c r="H867" s="2"/>
      <c r="I867" s="3" t="s">
        <v>0</v>
      </c>
      <c r="J867" s="1" t="s">
        <v>4</v>
      </c>
    </row>
    <row r="868" spans="2:10" x14ac:dyDescent="0.15">
      <c r="B868" s="42" t="s">
        <v>5</v>
      </c>
      <c r="C868" s="43">
        <f>C862</f>
        <v>2108</v>
      </c>
      <c r="D868" s="44">
        <f>SUM(C868:C868)</f>
        <v>2108</v>
      </c>
      <c r="E868" s="45"/>
      <c r="G868" s="42" t="s">
        <v>5</v>
      </c>
      <c r="H868" s="43">
        <f>H862</f>
        <v>2048</v>
      </c>
      <c r="I868" s="44">
        <f>SUM(H868:H868)</f>
        <v>2048</v>
      </c>
      <c r="J868" s="45"/>
    </row>
    <row r="869" spans="2:10" x14ac:dyDescent="0.15">
      <c r="B869" s="6" t="s">
        <v>6</v>
      </c>
      <c r="C869" s="13">
        <v>1008</v>
      </c>
      <c r="D869" s="14">
        <f>SUM(C869:C869)</f>
        <v>1008</v>
      </c>
      <c r="E869" s="5">
        <v>42091</v>
      </c>
      <c r="G869" s="71" t="s">
        <v>6</v>
      </c>
      <c r="H869" s="13"/>
      <c r="I869" s="14">
        <f>SUM(H869:H869)</f>
        <v>0</v>
      </c>
      <c r="J869" s="5"/>
    </row>
    <row r="870" spans="2:10" x14ac:dyDescent="0.15">
      <c r="B870" s="6" t="s">
        <v>6</v>
      </c>
      <c r="C870" s="7">
        <v>672</v>
      </c>
      <c r="D870" s="8">
        <f>SUM(C870:C870)</f>
        <v>672</v>
      </c>
      <c r="E870" s="9">
        <v>42103</v>
      </c>
      <c r="G870" s="71" t="s">
        <v>6</v>
      </c>
      <c r="H870" s="67">
        <v>2500</v>
      </c>
      <c r="I870" s="14">
        <f>SUM(H870:H870)</f>
        <v>2500</v>
      </c>
      <c r="J870" s="5">
        <v>41730</v>
      </c>
    </row>
    <row r="871" spans="2:10" ht="14.25" thickBot="1" x14ac:dyDescent="0.2">
      <c r="B871" s="6" t="s">
        <v>105</v>
      </c>
      <c r="C871" s="7">
        <v>1</v>
      </c>
      <c r="D871" s="14">
        <f>SUM(C871:C871)</f>
        <v>1</v>
      </c>
      <c r="E871" s="16">
        <v>42102</v>
      </c>
      <c r="G871" s="6" t="s">
        <v>6</v>
      </c>
      <c r="H871" s="88"/>
      <c r="I871" s="11">
        <f>SUM(H871:H871)</f>
        <v>0</v>
      </c>
      <c r="J871" s="85"/>
    </row>
    <row r="872" spans="2:10" ht="14.25" thickBot="1" x14ac:dyDescent="0.2">
      <c r="B872" s="46" t="s">
        <v>1</v>
      </c>
      <c r="C872" s="48">
        <f>SUM(C868:C871)</f>
        <v>3789</v>
      </c>
      <c r="D872" s="48">
        <f>SUM(D868:D871)</f>
        <v>3789</v>
      </c>
      <c r="E872" s="49"/>
      <c r="G872" s="46" t="s">
        <v>1</v>
      </c>
      <c r="H872" s="47">
        <f>SUM(H868:H871)</f>
        <v>4548</v>
      </c>
      <c r="I872" s="48">
        <f>SUM(I868:I871)</f>
        <v>4548</v>
      </c>
      <c r="J872" s="49"/>
    </row>
    <row r="873" spans="2:10" x14ac:dyDescent="0.15">
      <c r="B873" s="10" t="s">
        <v>254</v>
      </c>
      <c r="C873" s="77">
        <v>30</v>
      </c>
      <c r="D873" s="11">
        <f t="shared" ref="D873:D897" si="50">SUM(C873:C873)</f>
        <v>30</v>
      </c>
      <c r="E873" s="12">
        <v>42083</v>
      </c>
      <c r="G873" s="15" t="s">
        <v>16</v>
      </c>
      <c r="H873" s="13">
        <v>672</v>
      </c>
      <c r="I873" s="11">
        <f>SUM(H873:H873)</f>
        <v>672</v>
      </c>
      <c r="J873" s="12">
        <v>42103</v>
      </c>
    </row>
    <row r="874" spans="2:10" x14ac:dyDescent="0.15">
      <c r="B874" s="10" t="s">
        <v>18</v>
      </c>
      <c r="C874" s="13">
        <v>33</v>
      </c>
      <c r="D874" s="14">
        <f t="shared" si="50"/>
        <v>33</v>
      </c>
      <c r="E874" s="12">
        <v>42083</v>
      </c>
      <c r="G874" s="15"/>
      <c r="H874" s="13"/>
      <c r="I874" s="14">
        <f>SUM(H874:H874)</f>
        <v>0</v>
      </c>
      <c r="J874" s="12"/>
    </row>
    <row r="875" spans="2:10" x14ac:dyDescent="0.15">
      <c r="B875" s="81" t="s">
        <v>255</v>
      </c>
      <c r="C875" s="13">
        <v>100</v>
      </c>
      <c r="D875" s="14">
        <f t="shared" si="50"/>
        <v>100</v>
      </c>
      <c r="E875" s="12">
        <v>42090</v>
      </c>
      <c r="G875" s="10"/>
      <c r="H875" s="13"/>
      <c r="I875" s="14">
        <f t="shared" ref="I875:I890" si="51">SUM(H875:H875)</f>
        <v>0</v>
      </c>
      <c r="J875" s="12"/>
    </row>
    <row r="876" spans="2:10" x14ac:dyDescent="0.15">
      <c r="B876" s="10" t="s">
        <v>189</v>
      </c>
      <c r="C876" s="13">
        <v>2</v>
      </c>
      <c r="D876" s="14">
        <f t="shared" si="50"/>
        <v>2</v>
      </c>
      <c r="E876" s="12">
        <v>42082</v>
      </c>
      <c r="G876" s="78"/>
      <c r="H876" s="13"/>
      <c r="I876" s="14">
        <f t="shared" si="51"/>
        <v>0</v>
      </c>
      <c r="J876" s="12"/>
    </row>
    <row r="877" spans="2:10" x14ac:dyDescent="0.15">
      <c r="B877" s="10" t="s">
        <v>18</v>
      </c>
      <c r="C877" s="13">
        <v>19</v>
      </c>
      <c r="D877" s="14">
        <f t="shared" si="50"/>
        <v>19</v>
      </c>
      <c r="E877" s="12">
        <v>42089</v>
      </c>
      <c r="G877" s="78"/>
      <c r="H877" s="13"/>
      <c r="I877" s="14">
        <f t="shared" si="51"/>
        <v>0</v>
      </c>
      <c r="J877" s="12"/>
    </row>
    <row r="878" spans="2:10" x14ac:dyDescent="0.15">
      <c r="B878" s="10" t="s">
        <v>256</v>
      </c>
      <c r="C878" s="13">
        <v>1</v>
      </c>
      <c r="D878" s="14">
        <f t="shared" si="50"/>
        <v>1</v>
      </c>
      <c r="E878" s="12">
        <v>42088</v>
      </c>
      <c r="G878" s="78"/>
      <c r="H878" s="13"/>
      <c r="I878" s="14">
        <f t="shared" si="51"/>
        <v>0</v>
      </c>
      <c r="J878" s="12"/>
    </row>
    <row r="879" spans="2:10" x14ac:dyDescent="0.15">
      <c r="B879" s="10" t="s">
        <v>11</v>
      </c>
      <c r="C879" s="13">
        <v>130</v>
      </c>
      <c r="D879" s="14">
        <f t="shared" si="50"/>
        <v>130</v>
      </c>
      <c r="E879" s="12">
        <v>42101</v>
      </c>
      <c r="G879" s="78"/>
      <c r="H879" s="13"/>
      <c r="I879" s="14">
        <f t="shared" si="51"/>
        <v>0</v>
      </c>
      <c r="J879" s="12"/>
    </row>
    <row r="880" spans="2:10" x14ac:dyDescent="0.15">
      <c r="B880" s="10" t="s">
        <v>189</v>
      </c>
      <c r="C880" s="13">
        <v>1</v>
      </c>
      <c r="D880" s="14">
        <f t="shared" si="50"/>
        <v>1</v>
      </c>
      <c r="E880" s="12">
        <v>42088</v>
      </c>
      <c r="G880" s="78"/>
      <c r="H880" s="13"/>
      <c r="I880" s="14">
        <f t="shared" si="51"/>
        <v>0</v>
      </c>
      <c r="J880" s="12"/>
    </row>
    <row r="881" spans="2:10" x14ac:dyDescent="0.15">
      <c r="B881" s="10" t="s">
        <v>258</v>
      </c>
      <c r="C881" s="13">
        <v>1</v>
      </c>
      <c r="D881" s="14">
        <f t="shared" si="50"/>
        <v>1</v>
      </c>
      <c r="E881" s="12">
        <v>42089</v>
      </c>
      <c r="G881" s="10"/>
      <c r="H881" s="13"/>
      <c r="I881" s="14">
        <f t="shared" si="51"/>
        <v>0</v>
      </c>
      <c r="J881" s="12"/>
    </row>
    <row r="882" spans="2:10" x14ac:dyDescent="0.15">
      <c r="B882" s="15" t="s">
        <v>257</v>
      </c>
      <c r="C882" s="13">
        <v>100</v>
      </c>
      <c r="D882" s="14">
        <f t="shared" si="50"/>
        <v>100</v>
      </c>
      <c r="E882" s="12">
        <v>42097</v>
      </c>
      <c r="G882" s="78"/>
      <c r="H882" s="13"/>
      <c r="I882" s="14">
        <f t="shared" si="51"/>
        <v>0</v>
      </c>
      <c r="J882" s="12"/>
    </row>
    <row r="883" spans="2:10" x14ac:dyDescent="0.15">
      <c r="B883" s="10" t="s">
        <v>189</v>
      </c>
      <c r="C883" s="13">
        <v>1</v>
      </c>
      <c r="D883" s="14">
        <f t="shared" si="50"/>
        <v>1</v>
      </c>
      <c r="E883" s="12">
        <v>42091</v>
      </c>
      <c r="G883" s="10"/>
      <c r="H883" s="22"/>
      <c r="I883" s="23">
        <f t="shared" si="51"/>
        <v>0</v>
      </c>
      <c r="J883" s="24"/>
    </row>
    <row r="884" spans="2:10" x14ac:dyDescent="0.15">
      <c r="B884" s="10" t="s">
        <v>259</v>
      </c>
      <c r="C884" s="13">
        <v>13</v>
      </c>
      <c r="D884" s="14">
        <f t="shared" si="50"/>
        <v>13</v>
      </c>
      <c r="E884" s="12">
        <v>42094</v>
      </c>
      <c r="G884" s="27"/>
      <c r="H884" s="22"/>
      <c r="I884" s="23">
        <f t="shared" si="51"/>
        <v>0</v>
      </c>
      <c r="J884" s="24"/>
    </row>
    <row r="885" spans="2:10" x14ac:dyDescent="0.15">
      <c r="B885" s="10" t="s">
        <v>189</v>
      </c>
      <c r="C885" s="13">
        <v>1</v>
      </c>
      <c r="D885" s="14">
        <f t="shared" si="50"/>
        <v>1</v>
      </c>
      <c r="E885" s="12">
        <v>42093</v>
      </c>
      <c r="G885" s="15"/>
      <c r="H885" s="13"/>
      <c r="I885" s="14">
        <f t="shared" si="51"/>
        <v>0</v>
      </c>
      <c r="J885" s="12"/>
    </row>
    <row r="886" spans="2:10" x14ac:dyDescent="0.15">
      <c r="B886" s="10" t="s">
        <v>260</v>
      </c>
      <c r="C886" s="13">
        <v>77</v>
      </c>
      <c r="D886" s="14">
        <f t="shared" si="50"/>
        <v>77</v>
      </c>
      <c r="E886" s="12">
        <v>42096</v>
      </c>
      <c r="G886" s="10"/>
      <c r="H886" s="13"/>
      <c r="I886" s="14">
        <f t="shared" si="51"/>
        <v>0</v>
      </c>
      <c r="J886" s="12"/>
    </row>
    <row r="887" spans="2:10" x14ac:dyDescent="0.15">
      <c r="B887" s="10" t="s">
        <v>261</v>
      </c>
      <c r="C887" s="13">
        <v>1</v>
      </c>
      <c r="D887" s="14">
        <f t="shared" si="50"/>
        <v>1</v>
      </c>
      <c r="E887" s="12">
        <v>42095</v>
      </c>
      <c r="G887" s="15"/>
      <c r="H887" s="13"/>
      <c r="I887" s="14">
        <f t="shared" si="51"/>
        <v>0</v>
      </c>
      <c r="J887" s="12"/>
    </row>
    <row r="888" spans="2:10" x14ac:dyDescent="0.15">
      <c r="B888" s="10" t="s">
        <v>263</v>
      </c>
      <c r="C888" s="13">
        <v>1</v>
      </c>
      <c r="D888" s="14">
        <f t="shared" si="50"/>
        <v>1</v>
      </c>
      <c r="E888" s="12">
        <v>42094</v>
      </c>
      <c r="G888" s="21"/>
      <c r="H888" s="22"/>
      <c r="I888" s="23">
        <f t="shared" si="51"/>
        <v>0</v>
      </c>
      <c r="J888" s="24"/>
    </row>
    <row r="889" spans="2:10" x14ac:dyDescent="0.15">
      <c r="B889" s="10" t="s">
        <v>262</v>
      </c>
      <c r="C889" s="13">
        <v>400</v>
      </c>
      <c r="D889" s="14">
        <f t="shared" si="50"/>
        <v>400</v>
      </c>
      <c r="E889" s="12">
        <v>42100</v>
      </c>
      <c r="G889" s="27"/>
      <c r="H889" s="22"/>
      <c r="I889" s="23">
        <f t="shared" si="51"/>
        <v>0</v>
      </c>
      <c r="J889" s="24"/>
    </row>
    <row r="890" spans="2:10" x14ac:dyDescent="0.15">
      <c r="B890" s="10" t="s">
        <v>265</v>
      </c>
      <c r="C890" s="13">
        <v>3</v>
      </c>
      <c r="D890" s="14">
        <f t="shared" si="50"/>
        <v>3</v>
      </c>
      <c r="E890" s="12">
        <v>42098</v>
      </c>
      <c r="G890" s="15"/>
      <c r="H890" s="13"/>
      <c r="I890" s="14">
        <f t="shared" si="51"/>
        <v>0</v>
      </c>
      <c r="J890" s="5"/>
    </row>
    <row r="891" spans="2:10" x14ac:dyDescent="0.15">
      <c r="B891" s="10" t="s">
        <v>18</v>
      </c>
      <c r="C891" s="13">
        <v>38</v>
      </c>
      <c r="D891" s="14">
        <f t="shared" si="50"/>
        <v>38</v>
      </c>
      <c r="E891" s="12">
        <v>42101</v>
      </c>
      <c r="G891" s="81"/>
      <c r="H891" s="13"/>
      <c r="I891" s="14">
        <f t="shared" ref="I891:I897" si="52">SUM(H891:H891)</f>
        <v>0</v>
      </c>
      <c r="J891" s="5"/>
    </row>
    <row r="892" spans="2:10" x14ac:dyDescent="0.15">
      <c r="B892" s="10" t="s">
        <v>189</v>
      </c>
      <c r="C892" s="13">
        <v>3</v>
      </c>
      <c r="D892" s="14">
        <f t="shared" si="50"/>
        <v>3</v>
      </c>
      <c r="E892" s="5">
        <v>42100</v>
      </c>
      <c r="G892" s="15"/>
      <c r="H892" s="13"/>
      <c r="I892" s="14">
        <f t="shared" si="52"/>
        <v>0</v>
      </c>
      <c r="J892" s="5"/>
    </row>
    <row r="893" spans="2:10" x14ac:dyDescent="0.15">
      <c r="B893" s="10" t="s">
        <v>264</v>
      </c>
      <c r="C893" s="13">
        <v>400</v>
      </c>
      <c r="D893" s="14">
        <f t="shared" si="50"/>
        <v>400</v>
      </c>
      <c r="E893" s="5">
        <v>42103</v>
      </c>
      <c r="G893" s="81"/>
      <c r="H893" s="13"/>
      <c r="I893" s="14">
        <f>SUM(H893:H893)</f>
        <v>0</v>
      </c>
      <c r="J893" s="5"/>
    </row>
    <row r="894" spans="2:10" x14ac:dyDescent="0.15">
      <c r="B894" s="10" t="s">
        <v>18</v>
      </c>
      <c r="C894" s="13">
        <v>34</v>
      </c>
      <c r="D894" s="14">
        <f t="shared" si="50"/>
        <v>34</v>
      </c>
      <c r="E894" s="5">
        <v>42103</v>
      </c>
      <c r="G894" s="99"/>
      <c r="H894" s="13"/>
      <c r="I894" s="14">
        <f t="shared" si="52"/>
        <v>0</v>
      </c>
      <c r="J894" s="5"/>
    </row>
    <row r="895" spans="2:10" x14ac:dyDescent="0.15">
      <c r="B895" s="10"/>
      <c r="C895" s="13"/>
      <c r="D895" s="14">
        <f t="shared" si="50"/>
        <v>0</v>
      </c>
      <c r="E895" s="5"/>
      <c r="G895" s="15"/>
      <c r="H895" s="7"/>
      <c r="I895" s="14">
        <f t="shared" si="52"/>
        <v>0</v>
      </c>
      <c r="J895" s="5"/>
    </row>
    <row r="896" spans="2:10" ht="14.25" thickBot="1" x14ac:dyDescent="0.2">
      <c r="B896" s="15" t="s">
        <v>189</v>
      </c>
      <c r="C896" s="13">
        <v>1</v>
      </c>
      <c r="D896" s="11">
        <f t="shared" si="50"/>
        <v>1</v>
      </c>
      <c r="E896" s="12">
        <v>42086</v>
      </c>
      <c r="G896" s="15"/>
      <c r="H896" s="7"/>
      <c r="I896" s="14">
        <f t="shared" si="52"/>
        <v>0</v>
      </c>
      <c r="J896" s="85"/>
    </row>
    <row r="897" spans="2:10" ht="14.25" thickBot="1" x14ac:dyDescent="0.2">
      <c r="B897" s="17" t="s">
        <v>2</v>
      </c>
      <c r="C897" s="18">
        <f>SUM(C873:C896)</f>
        <v>1390</v>
      </c>
      <c r="D897" s="19">
        <f t="shared" si="50"/>
        <v>1390</v>
      </c>
      <c r="E897" s="20"/>
      <c r="G897" s="17" t="s">
        <v>2</v>
      </c>
      <c r="H897" s="18">
        <f>SUM(H873:H896)</f>
        <v>672</v>
      </c>
      <c r="I897" s="19">
        <f t="shared" si="52"/>
        <v>672</v>
      </c>
      <c r="J897" s="20"/>
    </row>
    <row r="898" spans="2:10" ht="14.25" thickBot="1" x14ac:dyDescent="0.2">
      <c r="B898" s="46" t="s">
        <v>3</v>
      </c>
      <c r="C898" s="52">
        <f>C872-C897</f>
        <v>2399</v>
      </c>
      <c r="D898" s="48">
        <f>D872-D897</f>
        <v>2399</v>
      </c>
      <c r="E898" s="49"/>
      <c r="G898" s="46" t="s">
        <v>3</v>
      </c>
      <c r="H898" s="52">
        <f>H872-H897</f>
        <v>3876</v>
      </c>
      <c r="I898" s="48">
        <f>I872-I897</f>
        <v>3876</v>
      </c>
      <c r="J898" s="49"/>
    </row>
    <row r="901" spans="2:10" ht="18.75" x14ac:dyDescent="0.2">
      <c r="B901" s="26" t="s">
        <v>7</v>
      </c>
      <c r="G901" s="26" t="s">
        <v>35</v>
      </c>
    </row>
    <row r="902" spans="2:10" ht="14.25" thickBot="1" x14ac:dyDescent="0.2"/>
    <row r="903" spans="2:10" ht="14.25" thickBot="1" x14ac:dyDescent="0.2">
      <c r="B903" s="1"/>
      <c r="C903" s="2"/>
      <c r="D903" s="3" t="s">
        <v>0</v>
      </c>
      <c r="E903" s="1" t="s">
        <v>4</v>
      </c>
      <c r="G903" s="1"/>
      <c r="H903" s="2"/>
      <c r="I903" s="3" t="s">
        <v>0</v>
      </c>
      <c r="J903" s="1" t="s">
        <v>4</v>
      </c>
    </row>
    <row r="904" spans="2:10" x14ac:dyDescent="0.15">
      <c r="B904" s="42" t="s">
        <v>5</v>
      </c>
      <c r="C904" s="43">
        <f>C898</f>
        <v>2399</v>
      </c>
      <c r="D904" s="44">
        <f>SUM(C904:C904)</f>
        <v>2399</v>
      </c>
      <c r="E904" s="45"/>
      <c r="G904" s="42" t="s">
        <v>5</v>
      </c>
      <c r="H904" s="43">
        <f>H898</f>
        <v>3876</v>
      </c>
      <c r="I904" s="44">
        <f>SUM(H904:H904)</f>
        <v>3876</v>
      </c>
      <c r="J904" s="45"/>
    </row>
    <row r="905" spans="2:10" x14ac:dyDescent="0.15">
      <c r="B905" s="6" t="s">
        <v>6</v>
      </c>
      <c r="C905" s="13">
        <v>672</v>
      </c>
      <c r="D905" s="14">
        <f>SUM(C905:C905)</f>
        <v>672</v>
      </c>
      <c r="E905" s="5">
        <v>42109</v>
      </c>
      <c r="G905" s="71" t="s">
        <v>6</v>
      </c>
      <c r="H905" s="13"/>
      <c r="I905" s="14">
        <f>SUM(H905:H905)</f>
        <v>0</v>
      </c>
      <c r="J905" s="5"/>
    </row>
    <row r="906" spans="2:10" x14ac:dyDescent="0.15">
      <c r="B906" s="6" t="s">
        <v>6</v>
      </c>
      <c r="C906" s="7">
        <v>336</v>
      </c>
      <c r="D906" s="8">
        <f>SUM(C906:C906)</f>
        <v>336</v>
      </c>
      <c r="E906" s="9">
        <v>42119</v>
      </c>
      <c r="G906" s="71" t="s">
        <v>6</v>
      </c>
      <c r="H906" s="67"/>
      <c r="I906" s="14">
        <f>SUM(H906:H906)</f>
        <v>0</v>
      </c>
      <c r="J906" s="5"/>
    </row>
    <row r="907" spans="2:10" ht="14.25" thickBot="1" x14ac:dyDescent="0.2">
      <c r="B907" s="100" t="s">
        <v>270</v>
      </c>
      <c r="C907" s="7">
        <v>1</v>
      </c>
      <c r="D907" s="14">
        <f>SUM(C907:C907)</f>
        <v>1</v>
      </c>
      <c r="E907" s="16">
        <v>42121</v>
      </c>
      <c r="G907" s="6" t="s">
        <v>6</v>
      </c>
      <c r="H907" s="88"/>
      <c r="I907" s="11">
        <f>SUM(H907:H907)</f>
        <v>0</v>
      </c>
      <c r="J907" s="85"/>
    </row>
    <row r="908" spans="2:10" ht="14.25" thickBot="1" x14ac:dyDescent="0.2">
      <c r="B908" s="46" t="s">
        <v>1</v>
      </c>
      <c r="C908" s="48">
        <f>SUM(C904:C907)</f>
        <v>3408</v>
      </c>
      <c r="D908" s="48">
        <f>SUM(D904:D907)</f>
        <v>3408</v>
      </c>
      <c r="E908" s="49"/>
      <c r="G908" s="46" t="s">
        <v>1</v>
      </c>
      <c r="H908" s="47">
        <f>SUM(H904:H907)</f>
        <v>3876</v>
      </c>
      <c r="I908" s="48">
        <f>SUM(I904:I907)</f>
        <v>3876</v>
      </c>
      <c r="J908" s="49"/>
    </row>
    <row r="909" spans="2:10" x14ac:dyDescent="0.15">
      <c r="B909" s="10" t="s">
        <v>267</v>
      </c>
      <c r="C909" s="77">
        <v>30</v>
      </c>
      <c r="D909" s="11">
        <f t="shared" ref="D909:D933" si="53">SUM(C909:C909)</f>
        <v>30</v>
      </c>
      <c r="E909" s="12">
        <v>42105</v>
      </c>
      <c r="G909" s="15" t="s">
        <v>16</v>
      </c>
      <c r="H909" s="13">
        <v>672</v>
      </c>
      <c r="I909" s="14">
        <f>SUM(H909:H909)</f>
        <v>672</v>
      </c>
      <c r="J909" s="12">
        <v>42109</v>
      </c>
    </row>
    <row r="910" spans="2:10" x14ac:dyDescent="0.15">
      <c r="B910" s="10" t="s">
        <v>266</v>
      </c>
      <c r="C910" s="13">
        <v>100</v>
      </c>
      <c r="D910" s="14">
        <f t="shared" si="53"/>
        <v>100</v>
      </c>
      <c r="E910" s="12">
        <v>42105</v>
      </c>
      <c r="G910" s="15" t="s">
        <v>16</v>
      </c>
      <c r="H910" s="13">
        <v>336</v>
      </c>
      <c r="I910" s="14">
        <f>SUM(H910:H910)</f>
        <v>336</v>
      </c>
      <c r="J910" s="12">
        <v>42119</v>
      </c>
    </row>
    <row r="911" spans="2:10" x14ac:dyDescent="0.15">
      <c r="B911" s="10" t="s">
        <v>18</v>
      </c>
      <c r="C911" s="13">
        <v>4</v>
      </c>
      <c r="D911" s="14">
        <f t="shared" si="53"/>
        <v>4</v>
      </c>
      <c r="E911" s="12">
        <v>42107</v>
      </c>
      <c r="G911" s="15" t="s">
        <v>16</v>
      </c>
      <c r="H911" s="13">
        <v>336</v>
      </c>
      <c r="I911" s="14">
        <f t="shared" ref="I911:I927" si="54">SUM(H911:H911)</f>
        <v>336</v>
      </c>
      <c r="J911" s="12">
        <v>42137</v>
      </c>
    </row>
    <row r="912" spans="2:10" x14ac:dyDescent="0.15">
      <c r="B912" s="10" t="s">
        <v>268</v>
      </c>
      <c r="C912" s="13">
        <v>4</v>
      </c>
      <c r="D912" s="14">
        <f t="shared" si="53"/>
        <v>4</v>
      </c>
      <c r="E912" s="12">
        <v>42107</v>
      </c>
      <c r="G912" s="78"/>
      <c r="H912" s="13"/>
      <c r="I912" s="14">
        <f t="shared" si="54"/>
        <v>0</v>
      </c>
      <c r="J912" s="12"/>
    </row>
    <row r="913" spans="2:10" x14ac:dyDescent="0.15">
      <c r="B913" s="10" t="s">
        <v>11</v>
      </c>
      <c r="C913" s="13">
        <v>250</v>
      </c>
      <c r="D913" s="14">
        <f t="shared" si="53"/>
        <v>250</v>
      </c>
      <c r="E913" s="5">
        <v>42110</v>
      </c>
      <c r="G913" s="78"/>
      <c r="H913" s="13"/>
      <c r="I913" s="14">
        <f t="shared" si="54"/>
        <v>0</v>
      </c>
      <c r="J913" s="12"/>
    </row>
    <row r="914" spans="2:10" x14ac:dyDescent="0.15">
      <c r="B914" s="10" t="s">
        <v>189</v>
      </c>
      <c r="C914" s="13">
        <v>1</v>
      </c>
      <c r="D914" s="14">
        <f t="shared" si="53"/>
        <v>1</v>
      </c>
      <c r="E914" s="12">
        <v>42109</v>
      </c>
      <c r="G914" s="78"/>
      <c r="H914" s="13"/>
      <c r="I914" s="14">
        <f t="shared" si="54"/>
        <v>0</v>
      </c>
      <c r="J914" s="12"/>
    </row>
    <row r="915" spans="2:10" x14ac:dyDescent="0.15">
      <c r="B915" s="10" t="s">
        <v>189</v>
      </c>
      <c r="C915" s="13">
        <v>1</v>
      </c>
      <c r="D915" s="14">
        <f t="shared" si="53"/>
        <v>1</v>
      </c>
      <c r="E915" s="12">
        <v>42110</v>
      </c>
      <c r="G915" s="78"/>
      <c r="H915" s="13"/>
      <c r="I915" s="14">
        <f t="shared" si="54"/>
        <v>0</v>
      </c>
      <c r="J915" s="12"/>
    </row>
    <row r="916" spans="2:10" x14ac:dyDescent="0.15">
      <c r="B916" s="10" t="s">
        <v>18</v>
      </c>
      <c r="C916" s="13">
        <v>2</v>
      </c>
      <c r="D916" s="14">
        <f t="shared" si="53"/>
        <v>2</v>
      </c>
      <c r="E916" s="12">
        <v>42112</v>
      </c>
      <c r="G916" s="78"/>
      <c r="H916" s="13"/>
      <c r="I916" s="14">
        <f t="shared" si="54"/>
        <v>0</v>
      </c>
      <c r="J916" s="12"/>
    </row>
    <row r="917" spans="2:10" x14ac:dyDescent="0.15">
      <c r="B917" s="10" t="s">
        <v>189</v>
      </c>
      <c r="C917" s="13">
        <v>4</v>
      </c>
      <c r="D917" s="14">
        <f t="shared" si="53"/>
        <v>4</v>
      </c>
      <c r="E917" s="12">
        <v>42112</v>
      </c>
      <c r="G917" s="10"/>
      <c r="H917" s="13"/>
      <c r="I917" s="14">
        <f t="shared" si="54"/>
        <v>0</v>
      </c>
      <c r="J917" s="12"/>
    </row>
    <row r="918" spans="2:10" x14ac:dyDescent="0.15">
      <c r="B918" s="10" t="s">
        <v>18</v>
      </c>
      <c r="C918" s="13">
        <v>2</v>
      </c>
      <c r="D918" s="14">
        <f t="shared" si="53"/>
        <v>2</v>
      </c>
      <c r="E918" s="12">
        <v>42116</v>
      </c>
      <c r="G918" s="78"/>
      <c r="H918" s="13"/>
      <c r="I918" s="14">
        <f t="shared" si="54"/>
        <v>0</v>
      </c>
      <c r="J918" s="12"/>
    </row>
    <row r="919" spans="2:10" x14ac:dyDescent="0.15">
      <c r="B919" s="10" t="s">
        <v>18</v>
      </c>
      <c r="C919" s="13">
        <v>11</v>
      </c>
      <c r="D919" s="14">
        <f t="shared" si="53"/>
        <v>11</v>
      </c>
      <c r="E919" s="12">
        <v>42117</v>
      </c>
      <c r="G919" s="10"/>
      <c r="H919" s="22"/>
      <c r="I919" s="23">
        <f t="shared" si="54"/>
        <v>0</v>
      </c>
      <c r="J919" s="24"/>
    </row>
    <row r="920" spans="2:10" x14ac:dyDescent="0.15">
      <c r="B920" s="10"/>
      <c r="C920" s="13"/>
      <c r="D920" s="14">
        <f t="shared" si="53"/>
        <v>0</v>
      </c>
      <c r="E920" s="12"/>
      <c r="G920" s="15"/>
      <c r="H920" s="13"/>
      <c r="I920" s="14">
        <f t="shared" si="54"/>
        <v>0</v>
      </c>
      <c r="J920" s="5"/>
    </row>
    <row r="921" spans="2:10" x14ac:dyDescent="0.15">
      <c r="B921" s="10" t="s">
        <v>189</v>
      </c>
      <c r="C921" s="13">
        <v>4</v>
      </c>
      <c r="D921" s="14">
        <f t="shared" si="53"/>
        <v>4</v>
      </c>
      <c r="E921" s="12">
        <v>42116</v>
      </c>
      <c r="G921" s="81"/>
      <c r="H921" s="13"/>
      <c r="I921" s="14">
        <f>SUM(H921:H921)</f>
        <v>0</v>
      </c>
      <c r="J921" s="5"/>
    </row>
    <row r="922" spans="2:10" x14ac:dyDescent="0.15">
      <c r="B922" s="10" t="s">
        <v>269</v>
      </c>
      <c r="C922" s="13">
        <v>2</v>
      </c>
      <c r="D922" s="14">
        <f t="shared" si="53"/>
        <v>2</v>
      </c>
      <c r="E922" s="12">
        <v>42117</v>
      </c>
      <c r="G922" s="99"/>
      <c r="H922" s="13"/>
      <c r="I922" s="14">
        <f>SUM(H922:H922)</f>
        <v>0</v>
      </c>
      <c r="J922" s="5"/>
    </row>
    <row r="923" spans="2:10" x14ac:dyDescent="0.15">
      <c r="B923" s="10" t="s">
        <v>18</v>
      </c>
      <c r="C923" s="13">
        <v>12</v>
      </c>
      <c r="D923" s="14">
        <f t="shared" si="53"/>
        <v>12</v>
      </c>
      <c r="E923" s="12">
        <v>42119</v>
      </c>
      <c r="G923" s="15"/>
      <c r="H923" s="7"/>
      <c r="I923" s="14">
        <f>SUM(H923:H923)</f>
        <v>0</v>
      </c>
      <c r="J923" s="5"/>
    </row>
    <row r="924" spans="2:10" x14ac:dyDescent="0.15">
      <c r="B924" s="10" t="s">
        <v>189</v>
      </c>
      <c r="C924" s="13">
        <v>1</v>
      </c>
      <c r="D924" s="14">
        <f t="shared" si="53"/>
        <v>1</v>
      </c>
      <c r="E924" s="12">
        <v>42118</v>
      </c>
      <c r="G924" s="15"/>
      <c r="H924" s="7"/>
      <c r="I924" s="14">
        <f>SUM(H924:H924)</f>
        <v>0</v>
      </c>
      <c r="J924" s="5"/>
    </row>
    <row r="925" spans="2:10" x14ac:dyDescent="0.15">
      <c r="B925" s="10" t="s">
        <v>83</v>
      </c>
      <c r="C925" s="13">
        <v>30</v>
      </c>
      <c r="D925" s="14">
        <f t="shared" si="53"/>
        <v>30</v>
      </c>
      <c r="E925" s="12">
        <v>42122</v>
      </c>
      <c r="G925" s="10"/>
      <c r="H925" s="13"/>
      <c r="I925" s="14">
        <f t="shared" si="54"/>
        <v>0</v>
      </c>
      <c r="J925" s="12"/>
    </row>
    <row r="926" spans="2:10" x14ac:dyDescent="0.15">
      <c r="B926" s="10" t="s">
        <v>271</v>
      </c>
      <c r="C926" s="13">
        <v>1</v>
      </c>
      <c r="D926" s="14">
        <f t="shared" si="53"/>
        <v>1</v>
      </c>
      <c r="E926" s="12">
        <v>42119</v>
      </c>
      <c r="G926" s="15"/>
      <c r="H926" s="13"/>
      <c r="I926" s="14">
        <f t="shared" si="54"/>
        <v>0</v>
      </c>
      <c r="J926" s="5"/>
    </row>
    <row r="927" spans="2:10" x14ac:dyDescent="0.15">
      <c r="B927" s="10" t="s">
        <v>18</v>
      </c>
      <c r="C927" s="13">
        <v>27</v>
      </c>
      <c r="D927" s="14">
        <f t="shared" si="53"/>
        <v>27</v>
      </c>
      <c r="E927" s="12">
        <v>42122</v>
      </c>
      <c r="G927" s="15"/>
      <c r="H927" s="13"/>
      <c r="I927" s="14">
        <f t="shared" si="54"/>
        <v>0</v>
      </c>
      <c r="J927" s="5"/>
    </row>
    <row r="928" spans="2:10" x14ac:dyDescent="0.15">
      <c r="B928" s="10" t="s">
        <v>274</v>
      </c>
      <c r="C928" s="13">
        <v>2</v>
      </c>
      <c r="D928" s="14">
        <f t="shared" si="53"/>
        <v>2</v>
      </c>
      <c r="E928" s="5">
        <v>42121</v>
      </c>
      <c r="G928" s="15"/>
      <c r="H928" s="13"/>
      <c r="I928" s="14">
        <f t="shared" ref="I928:I933" si="55">SUM(H928:H928)</f>
        <v>0</v>
      </c>
      <c r="J928" s="5"/>
    </row>
    <row r="929" spans="2:10" x14ac:dyDescent="0.15">
      <c r="B929" s="10" t="s">
        <v>272</v>
      </c>
      <c r="C929" s="13">
        <v>160</v>
      </c>
      <c r="D929" s="14">
        <f t="shared" si="53"/>
        <v>160</v>
      </c>
      <c r="E929" s="5">
        <v>42125</v>
      </c>
      <c r="G929" s="15"/>
      <c r="H929" s="13"/>
      <c r="I929" s="14">
        <f t="shared" si="55"/>
        <v>0</v>
      </c>
      <c r="J929" s="5"/>
    </row>
    <row r="930" spans="2:10" x14ac:dyDescent="0.15">
      <c r="B930" s="10" t="s">
        <v>18</v>
      </c>
      <c r="C930" s="13">
        <v>31</v>
      </c>
      <c r="D930" s="14">
        <f t="shared" si="53"/>
        <v>31</v>
      </c>
      <c r="E930" s="5">
        <v>42125</v>
      </c>
      <c r="G930" s="81"/>
      <c r="H930" s="13"/>
      <c r="I930" s="14">
        <f t="shared" si="55"/>
        <v>0</v>
      </c>
      <c r="J930" s="5"/>
    </row>
    <row r="931" spans="2:10" x14ac:dyDescent="0.15">
      <c r="B931" s="10" t="s">
        <v>189</v>
      </c>
      <c r="C931" s="13">
        <v>1</v>
      </c>
      <c r="D931" s="14">
        <f t="shared" si="53"/>
        <v>1</v>
      </c>
      <c r="E931" s="5">
        <v>42124</v>
      </c>
      <c r="G931" s="99"/>
      <c r="H931" s="13"/>
      <c r="I931" s="14">
        <f t="shared" si="55"/>
        <v>0</v>
      </c>
      <c r="J931" s="5"/>
    </row>
    <row r="932" spans="2:10" ht="14.25" thickBot="1" x14ac:dyDescent="0.2">
      <c r="B932" s="10" t="s">
        <v>189</v>
      </c>
      <c r="C932" s="13">
        <v>2</v>
      </c>
      <c r="D932" s="11">
        <f t="shared" si="53"/>
        <v>2</v>
      </c>
      <c r="E932" s="12">
        <v>42125</v>
      </c>
      <c r="G932" s="15"/>
      <c r="H932" s="7"/>
      <c r="I932" s="14">
        <f t="shared" si="55"/>
        <v>0</v>
      </c>
      <c r="J932" s="5"/>
    </row>
    <row r="933" spans="2:10" ht="14.25" thickBot="1" x14ac:dyDescent="0.2">
      <c r="B933" s="17" t="s">
        <v>2</v>
      </c>
      <c r="C933" s="18">
        <f>SUM(C909:C932)</f>
        <v>682</v>
      </c>
      <c r="D933" s="19">
        <f t="shared" si="53"/>
        <v>682</v>
      </c>
      <c r="E933" s="20"/>
      <c r="G933" s="17" t="s">
        <v>2</v>
      </c>
      <c r="H933" s="18">
        <f>SUM(H909:H932)</f>
        <v>1344</v>
      </c>
      <c r="I933" s="19">
        <f t="shared" si="55"/>
        <v>1344</v>
      </c>
      <c r="J933" s="20"/>
    </row>
    <row r="934" spans="2:10" ht="14.25" thickBot="1" x14ac:dyDescent="0.2">
      <c r="B934" s="46" t="s">
        <v>3</v>
      </c>
      <c r="C934" s="52">
        <f>C908-C933</f>
        <v>2726</v>
      </c>
      <c r="D934" s="48">
        <f>D908-D933</f>
        <v>2726</v>
      </c>
      <c r="E934" s="49"/>
      <c r="G934" s="46" t="s">
        <v>3</v>
      </c>
      <c r="H934" s="52">
        <f>H908-H933</f>
        <v>2532</v>
      </c>
      <c r="I934" s="48">
        <f>I908-I933</f>
        <v>2532</v>
      </c>
      <c r="J934" s="49"/>
    </row>
    <row r="937" spans="2:10" ht="18.75" x14ac:dyDescent="0.2">
      <c r="B937" s="26" t="s">
        <v>7</v>
      </c>
      <c r="G937" s="26" t="s">
        <v>35</v>
      </c>
    </row>
    <row r="938" spans="2:10" ht="14.25" thickBot="1" x14ac:dyDescent="0.2"/>
    <row r="939" spans="2:10" ht="14.25" thickBot="1" x14ac:dyDescent="0.2">
      <c r="B939" s="1"/>
      <c r="C939" s="2"/>
      <c r="D939" s="3" t="s">
        <v>0</v>
      </c>
      <c r="E939" s="1" t="s">
        <v>4</v>
      </c>
      <c r="G939" s="1"/>
      <c r="H939" s="2"/>
      <c r="I939" s="3" t="s">
        <v>0</v>
      </c>
      <c r="J939" s="1" t="s">
        <v>4</v>
      </c>
    </row>
    <row r="940" spans="2:10" x14ac:dyDescent="0.15">
      <c r="B940" s="42" t="s">
        <v>5</v>
      </c>
      <c r="C940" s="43">
        <f>C934</f>
        <v>2726</v>
      </c>
      <c r="D940" s="44">
        <f>SUM(C940:C940)</f>
        <v>2726</v>
      </c>
      <c r="E940" s="45"/>
      <c r="G940" s="42" t="s">
        <v>5</v>
      </c>
      <c r="H940" s="43">
        <f>H934</f>
        <v>2532</v>
      </c>
      <c r="I940" s="44">
        <f>SUM(H940:H940)</f>
        <v>2532</v>
      </c>
      <c r="J940" s="45"/>
    </row>
    <row r="941" spans="2:10" x14ac:dyDescent="0.15">
      <c r="B941" s="6" t="s">
        <v>6</v>
      </c>
      <c r="C941" s="13">
        <v>336</v>
      </c>
      <c r="D941" s="14">
        <f>SUM(C941:C941)</f>
        <v>336</v>
      </c>
      <c r="E941" s="5">
        <v>42137</v>
      </c>
      <c r="G941" s="71" t="s">
        <v>6</v>
      </c>
      <c r="H941" s="13"/>
      <c r="I941" s="14">
        <f>SUM(H941:H941)</f>
        <v>0</v>
      </c>
      <c r="J941" s="5"/>
    </row>
    <row r="942" spans="2:10" x14ac:dyDescent="0.15">
      <c r="B942" s="6" t="s">
        <v>6</v>
      </c>
      <c r="C942" s="7"/>
      <c r="D942" s="8">
        <f>SUM(C942:C942)</f>
        <v>0</v>
      </c>
      <c r="E942" s="9"/>
      <c r="G942" s="71" t="s">
        <v>6</v>
      </c>
      <c r="H942" s="67"/>
      <c r="I942" s="14">
        <f>SUM(H942:H942)</f>
        <v>0</v>
      </c>
      <c r="J942" s="5"/>
    </row>
    <row r="943" spans="2:10" ht="14.25" thickBot="1" x14ac:dyDescent="0.2">
      <c r="B943" s="6" t="s">
        <v>6</v>
      </c>
      <c r="C943" s="7"/>
      <c r="D943" s="14">
        <f>SUM(C943:C943)</f>
        <v>0</v>
      </c>
      <c r="E943" s="16"/>
      <c r="G943" s="6" t="s">
        <v>6</v>
      </c>
      <c r="H943" s="88"/>
      <c r="I943" s="11">
        <f>SUM(H943:H943)</f>
        <v>0</v>
      </c>
      <c r="J943" s="85"/>
    </row>
    <row r="944" spans="2:10" ht="14.25" thickBot="1" x14ac:dyDescent="0.2">
      <c r="B944" s="46" t="s">
        <v>1</v>
      </c>
      <c r="C944" s="48">
        <f>SUM(C940:C943)</f>
        <v>3062</v>
      </c>
      <c r="D944" s="48">
        <f>SUM(D940:D943)</f>
        <v>3062</v>
      </c>
      <c r="E944" s="49"/>
      <c r="G944" s="46" t="s">
        <v>1</v>
      </c>
      <c r="H944" s="47">
        <f>SUM(H940:H943)</f>
        <v>2532</v>
      </c>
      <c r="I944" s="48">
        <f>SUM(I940:I943)</f>
        <v>2532</v>
      </c>
      <c r="J944" s="49"/>
    </row>
    <row r="945" spans="2:10" x14ac:dyDescent="0.15">
      <c r="B945" s="81" t="s">
        <v>273</v>
      </c>
      <c r="C945" s="77">
        <v>100</v>
      </c>
      <c r="D945" s="11">
        <f t="shared" ref="D945:D969" si="56">SUM(C945:C945)</f>
        <v>100</v>
      </c>
      <c r="E945" s="12">
        <v>42132</v>
      </c>
      <c r="G945" s="15" t="s">
        <v>16</v>
      </c>
      <c r="H945" s="13">
        <v>336</v>
      </c>
      <c r="I945" s="11">
        <f>SUM(H945:H945)</f>
        <v>336</v>
      </c>
      <c r="J945" s="12">
        <v>42150</v>
      </c>
    </row>
    <row r="946" spans="2:10" x14ac:dyDescent="0.15">
      <c r="B946" s="10" t="s">
        <v>275</v>
      </c>
      <c r="C946" s="13">
        <v>36</v>
      </c>
      <c r="D946" s="14">
        <f t="shared" si="56"/>
        <v>36</v>
      </c>
      <c r="E946" s="12">
        <v>42128</v>
      </c>
      <c r="G946" s="78"/>
      <c r="H946" s="13"/>
      <c r="I946" s="14">
        <f>SUM(H946:H946)</f>
        <v>0</v>
      </c>
      <c r="J946" s="12"/>
    </row>
    <row r="947" spans="2:10" x14ac:dyDescent="0.15">
      <c r="B947" s="10" t="s">
        <v>11</v>
      </c>
      <c r="C947" s="13">
        <v>470</v>
      </c>
      <c r="D947" s="14">
        <f t="shared" si="56"/>
        <v>470</v>
      </c>
      <c r="E947" s="12">
        <v>42130</v>
      </c>
      <c r="G947" s="10"/>
      <c r="H947" s="13"/>
      <c r="I947" s="14">
        <f t="shared" ref="I947:I956" si="57">SUM(H947:H947)</f>
        <v>0</v>
      </c>
      <c r="J947" s="12"/>
    </row>
    <row r="948" spans="2:10" x14ac:dyDescent="0.15">
      <c r="B948" s="10" t="s">
        <v>189</v>
      </c>
      <c r="C948" s="13">
        <v>3</v>
      </c>
      <c r="D948" s="14">
        <f t="shared" si="56"/>
        <v>3</v>
      </c>
      <c r="E948" s="12">
        <v>42128</v>
      </c>
      <c r="G948" s="78"/>
      <c r="H948" s="13"/>
      <c r="I948" s="14">
        <f t="shared" si="57"/>
        <v>0</v>
      </c>
      <c r="J948" s="12"/>
    </row>
    <row r="949" spans="2:10" x14ac:dyDescent="0.15">
      <c r="B949" s="81" t="s">
        <v>189</v>
      </c>
      <c r="C949" s="13">
        <v>1</v>
      </c>
      <c r="D949" s="14">
        <f t="shared" si="56"/>
        <v>1</v>
      </c>
      <c r="E949" s="12">
        <v>42131</v>
      </c>
      <c r="G949" s="78"/>
      <c r="H949" s="13"/>
      <c r="I949" s="14">
        <f t="shared" si="57"/>
        <v>0</v>
      </c>
      <c r="J949" s="12"/>
    </row>
    <row r="950" spans="2:10" x14ac:dyDescent="0.15">
      <c r="B950" s="10" t="s">
        <v>276</v>
      </c>
      <c r="C950" s="13">
        <v>23</v>
      </c>
      <c r="D950" s="14">
        <f t="shared" si="56"/>
        <v>23</v>
      </c>
      <c r="E950" s="12">
        <v>42133</v>
      </c>
      <c r="G950" s="78"/>
      <c r="H950" s="13"/>
      <c r="I950" s="14">
        <f t="shared" si="57"/>
        <v>0</v>
      </c>
      <c r="J950" s="12"/>
    </row>
    <row r="951" spans="2:10" x14ac:dyDescent="0.15">
      <c r="B951" s="67" t="s">
        <v>277</v>
      </c>
      <c r="C951" s="13">
        <v>100</v>
      </c>
      <c r="D951" s="14">
        <f t="shared" si="56"/>
        <v>100</v>
      </c>
      <c r="E951" s="12">
        <v>42139</v>
      </c>
      <c r="G951" s="78"/>
      <c r="H951" s="13"/>
      <c r="I951" s="14">
        <f t="shared" si="57"/>
        <v>0</v>
      </c>
      <c r="J951" s="12"/>
    </row>
    <row r="952" spans="2:10" x14ac:dyDescent="0.15">
      <c r="B952" s="10" t="s">
        <v>189</v>
      </c>
      <c r="C952" s="13">
        <v>1</v>
      </c>
      <c r="D952" s="14">
        <f t="shared" si="56"/>
        <v>1</v>
      </c>
      <c r="E952" s="12">
        <v>42132</v>
      </c>
      <c r="G952" s="78"/>
      <c r="H952" s="13"/>
      <c r="I952" s="14">
        <f t="shared" si="57"/>
        <v>0</v>
      </c>
      <c r="J952" s="12"/>
    </row>
    <row r="953" spans="2:10" x14ac:dyDescent="0.15">
      <c r="B953" s="10" t="s">
        <v>189</v>
      </c>
      <c r="C953" s="13">
        <v>1</v>
      </c>
      <c r="D953" s="14">
        <f t="shared" si="56"/>
        <v>1</v>
      </c>
      <c r="E953" s="12">
        <v>42133</v>
      </c>
      <c r="G953" s="10"/>
      <c r="H953" s="13"/>
      <c r="I953" s="14">
        <f t="shared" si="57"/>
        <v>0</v>
      </c>
      <c r="J953" s="12"/>
    </row>
    <row r="954" spans="2:10" x14ac:dyDescent="0.15">
      <c r="B954" s="10" t="s">
        <v>189</v>
      </c>
      <c r="C954" s="13">
        <v>2</v>
      </c>
      <c r="D954" s="14">
        <f t="shared" si="56"/>
        <v>2</v>
      </c>
      <c r="E954" s="12">
        <v>42135</v>
      </c>
      <c r="G954" s="78"/>
      <c r="H954" s="13"/>
      <c r="I954" s="14">
        <f t="shared" si="57"/>
        <v>0</v>
      </c>
      <c r="J954" s="12"/>
    </row>
    <row r="955" spans="2:10" x14ac:dyDescent="0.15">
      <c r="B955" s="10" t="s">
        <v>18</v>
      </c>
      <c r="C955" s="13">
        <v>55</v>
      </c>
      <c r="D955" s="14">
        <f t="shared" si="56"/>
        <v>55</v>
      </c>
      <c r="E955" s="12">
        <v>42137</v>
      </c>
      <c r="G955" s="10"/>
      <c r="H955" s="22"/>
      <c r="I955" s="23">
        <f t="shared" si="57"/>
        <v>0</v>
      </c>
      <c r="J955" s="24"/>
    </row>
    <row r="956" spans="2:10" x14ac:dyDescent="0.15">
      <c r="B956" s="10" t="s">
        <v>11</v>
      </c>
      <c r="C956" s="13">
        <v>140</v>
      </c>
      <c r="D956" s="14">
        <f t="shared" si="56"/>
        <v>140</v>
      </c>
      <c r="E956" s="12">
        <v>42145</v>
      </c>
      <c r="G956" s="15"/>
      <c r="H956" s="13"/>
      <c r="I956" s="14">
        <f t="shared" si="57"/>
        <v>0</v>
      </c>
      <c r="J956" s="5"/>
    </row>
    <row r="957" spans="2:10" x14ac:dyDescent="0.15">
      <c r="B957" s="10" t="s">
        <v>189</v>
      </c>
      <c r="C957" s="13">
        <v>1</v>
      </c>
      <c r="D957" s="14">
        <f t="shared" si="56"/>
        <v>1</v>
      </c>
      <c r="E957" s="12">
        <v>42137</v>
      </c>
      <c r="G957" s="81"/>
      <c r="H957" s="13"/>
      <c r="I957" s="14">
        <f>SUM(H957:H957)</f>
        <v>0</v>
      </c>
      <c r="J957" s="5"/>
    </row>
    <row r="958" spans="2:10" x14ac:dyDescent="0.15">
      <c r="B958" s="10" t="s">
        <v>189</v>
      </c>
      <c r="C958" s="13">
        <v>2</v>
      </c>
      <c r="D958" s="14">
        <f t="shared" si="56"/>
        <v>2</v>
      </c>
      <c r="E958" s="12">
        <v>42138</v>
      </c>
      <c r="G958" s="99"/>
      <c r="H958" s="13"/>
      <c r="I958" s="14">
        <f t="shared" ref="I958:I964" si="58">SUM(H958:H958)</f>
        <v>0</v>
      </c>
      <c r="J958" s="5"/>
    </row>
    <row r="959" spans="2:10" x14ac:dyDescent="0.15">
      <c r="B959" s="10" t="s">
        <v>83</v>
      </c>
      <c r="C959" s="13">
        <v>10</v>
      </c>
      <c r="D959" s="14">
        <f t="shared" si="56"/>
        <v>10</v>
      </c>
      <c r="E959" s="12">
        <v>42139</v>
      </c>
      <c r="G959" s="15"/>
      <c r="H959" s="7"/>
      <c r="I959" s="14">
        <f t="shared" si="58"/>
        <v>0</v>
      </c>
      <c r="J959" s="5"/>
    </row>
    <row r="960" spans="2:10" x14ac:dyDescent="0.15">
      <c r="B960" s="10" t="s">
        <v>278</v>
      </c>
      <c r="C960" s="13">
        <v>40</v>
      </c>
      <c r="D960" s="14">
        <f t="shared" si="56"/>
        <v>40</v>
      </c>
      <c r="E960" s="12">
        <v>42140</v>
      </c>
      <c r="G960" s="67"/>
      <c r="H960" s="7"/>
      <c r="I960" s="14">
        <f>SUM(H960:H960)</f>
        <v>0</v>
      </c>
      <c r="J960" s="12"/>
    </row>
    <row r="961" spans="2:10" x14ac:dyDescent="0.15">
      <c r="B961" s="10" t="s">
        <v>279</v>
      </c>
      <c r="C961" s="13">
        <v>35</v>
      </c>
      <c r="D961" s="14">
        <f t="shared" si="56"/>
        <v>35</v>
      </c>
      <c r="E961" s="12">
        <v>42142</v>
      </c>
      <c r="G961" s="15"/>
      <c r="H961" s="13"/>
      <c r="I961" s="14">
        <f>SUM(H961:H961)</f>
        <v>0</v>
      </c>
      <c r="J961" s="5"/>
    </row>
    <row r="962" spans="2:10" x14ac:dyDescent="0.15">
      <c r="B962" s="10" t="s">
        <v>280</v>
      </c>
      <c r="C962" s="13">
        <v>3</v>
      </c>
      <c r="D962" s="14">
        <f t="shared" si="56"/>
        <v>3</v>
      </c>
      <c r="E962" s="12">
        <v>42140</v>
      </c>
      <c r="G962" s="15"/>
      <c r="H962" s="13"/>
      <c r="I962" s="14">
        <f t="shared" si="58"/>
        <v>0</v>
      </c>
      <c r="J962" s="5"/>
    </row>
    <row r="963" spans="2:10" x14ac:dyDescent="0.15">
      <c r="B963" s="10" t="s">
        <v>18</v>
      </c>
      <c r="C963" s="13">
        <v>11</v>
      </c>
      <c r="D963" s="14">
        <f t="shared" si="56"/>
        <v>11</v>
      </c>
      <c r="E963" s="12">
        <v>42143</v>
      </c>
      <c r="G963" s="15"/>
      <c r="H963" s="13"/>
      <c r="I963" s="14">
        <f>SUM(H963:H963)</f>
        <v>0</v>
      </c>
      <c r="J963" s="5"/>
    </row>
    <row r="964" spans="2:10" x14ac:dyDescent="0.15">
      <c r="B964" s="10" t="s">
        <v>83</v>
      </c>
      <c r="C964" s="13">
        <v>10</v>
      </c>
      <c r="D964" s="14">
        <f t="shared" si="56"/>
        <v>10</v>
      </c>
      <c r="E964" s="5">
        <v>42143</v>
      </c>
      <c r="G964" s="15"/>
      <c r="H964" s="67"/>
      <c r="I964" s="14">
        <f t="shared" si="58"/>
        <v>0</v>
      </c>
      <c r="J964" s="5"/>
    </row>
    <row r="965" spans="2:10" x14ac:dyDescent="0.15">
      <c r="B965" s="10" t="s">
        <v>189</v>
      </c>
      <c r="C965" s="13">
        <v>1</v>
      </c>
      <c r="D965" s="14">
        <f t="shared" si="56"/>
        <v>1</v>
      </c>
      <c r="E965" s="5">
        <v>42142</v>
      </c>
      <c r="G965" s="75"/>
      <c r="H965" s="77"/>
      <c r="I965" s="14">
        <f>SUM(H965:H965)</f>
        <v>0</v>
      </c>
      <c r="J965" s="5"/>
    </row>
    <row r="966" spans="2:10" x14ac:dyDescent="0.15">
      <c r="B966" s="10" t="s">
        <v>282</v>
      </c>
      <c r="C966" s="13">
        <v>1</v>
      </c>
      <c r="D966" s="14">
        <f t="shared" si="56"/>
        <v>1</v>
      </c>
      <c r="E966" s="5">
        <v>42143</v>
      </c>
      <c r="G966" s="15"/>
      <c r="H966" s="13"/>
      <c r="I966" s="14">
        <f>SUM(H966:H966)</f>
        <v>0</v>
      </c>
      <c r="J966" s="5"/>
    </row>
    <row r="967" spans="2:10" x14ac:dyDescent="0.15">
      <c r="B967" s="81" t="s">
        <v>281</v>
      </c>
      <c r="C967" s="13">
        <v>600</v>
      </c>
      <c r="D967" s="14">
        <f t="shared" si="56"/>
        <v>600</v>
      </c>
      <c r="E967" s="5">
        <v>42145</v>
      </c>
      <c r="G967" s="67"/>
      <c r="H967" s="7"/>
      <c r="I967" s="14">
        <f>SUM(H967:H967)</f>
        <v>0</v>
      </c>
      <c r="J967" s="12"/>
    </row>
    <row r="968" spans="2:10" ht="14.25" thickBot="1" x14ac:dyDescent="0.2">
      <c r="B968" s="15" t="s">
        <v>189</v>
      </c>
      <c r="C968" s="13">
        <v>1</v>
      </c>
      <c r="D968" s="11">
        <f t="shared" si="56"/>
        <v>1</v>
      </c>
      <c r="E968" s="12">
        <v>42144</v>
      </c>
      <c r="G968" s="102"/>
      <c r="H968" s="7"/>
      <c r="I968" s="14">
        <f>SUM(H968:H968)</f>
        <v>0</v>
      </c>
      <c r="J968" s="12"/>
    </row>
    <row r="969" spans="2:10" ht="14.25" thickBot="1" x14ac:dyDescent="0.2">
      <c r="B969" s="17" t="s">
        <v>2</v>
      </c>
      <c r="C969" s="18">
        <f>SUM(C945:C968)</f>
        <v>1647</v>
      </c>
      <c r="D969" s="19">
        <f t="shared" si="56"/>
        <v>1647</v>
      </c>
      <c r="E969" s="20"/>
      <c r="G969" s="17" t="s">
        <v>2</v>
      </c>
      <c r="H969" s="18">
        <f>SUM(H945:H968)</f>
        <v>336</v>
      </c>
      <c r="I969" s="19">
        <f>SUM(H969:H969)</f>
        <v>336</v>
      </c>
      <c r="J969" s="20"/>
    </row>
    <row r="970" spans="2:10" ht="14.25" thickBot="1" x14ac:dyDescent="0.2">
      <c r="B970" s="46" t="s">
        <v>3</v>
      </c>
      <c r="C970" s="52">
        <f>C944-C969</f>
        <v>1415</v>
      </c>
      <c r="D970" s="48">
        <f>D944-D969</f>
        <v>1415</v>
      </c>
      <c r="E970" s="49"/>
      <c r="G970" s="46" t="s">
        <v>3</v>
      </c>
      <c r="H970" s="52">
        <f>H944-H969</f>
        <v>2196</v>
      </c>
      <c r="I970" s="48">
        <f>I944-I969</f>
        <v>2196</v>
      </c>
      <c r="J970" s="49"/>
    </row>
    <row r="973" spans="2:10" ht="18.75" x14ac:dyDescent="0.2">
      <c r="B973" s="26" t="s">
        <v>7</v>
      </c>
      <c r="G973" s="26" t="s">
        <v>35</v>
      </c>
    </row>
    <row r="974" spans="2:10" ht="14.25" thickBot="1" x14ac:dyDescent="0.2"/>
    <row r="975" spans="2:10" ht="14.25" thickBot="1" x14ac:dyDescent="0.2">
      <c r="B975" s="1"/>
      <c r="C975" s="2"/>
      <c r="D975" s="3" t="s">
        <v>0</v>
      </c>
      <c r="E975" s="1" t="s">
        <v>4</v>
      </c>
      <c r="G975" s="1"/>
      <c r="H975" s="2"/>
      <c r="I975" s="3" t="s">
        <v>0</v>
      </c>
      <c r="J975" s="1" t="s">
        <v>4</v>
      </c>
    </row>
    <row r="976" spans="2:10" x14ac:dyDescent="0.15">
      <c r="B976" s="42" t="s">
        <v>5</v>
      </c>
      <c r="C976" s="43">
        <f>C970</f>
        <v>1415</v>
      </c>
      <c r="D976" s="44">
        <f>SUM(C976:C976)</f>
        <v>1415</v>
      </c>
      <c r="E976" s="45"/>
      <c r="G976" s="42" t="s">
        <v>5</v>
      </c>
      <c r="H976" s="43">
        <f>H970</f>
        <v>2196</v>
      </c>
      <c r="I976" s="44">
        <f>SUM(H976:H976)</f>
        <v>2196</v>
      </c>
      <c r="J976" s="45"/>
    </row>
    <row r="977" spans="2:10" x14ac:dyDescent="0.15">
      <c r="B977" s="6" t="s">
        <v>6</v>
      </c>
      <c r="C977" s="13">
        <v>336</v>
      </c>
      <c r="D977" s="14">
        <f>SUM(C977:C977)</f>
        <v>336</v>
      </c>
      <c r="E977" s="5">
        <v>42150</v>
      </c>
      <c r="G977" s="71" t="s">
        <v>6</v>
      </c>
      <c r="H977" s="13"/>
      <c r="I977" s="14">
        <f>SUM(H977:H977)</f>
        <v>0</v>
      </c>
      <c r="J977" s="5"/>
    </row>
    <row r="978" spans="2:10" x14ac:dyDescent="0.15">
      <c r="B978" s="6" t="s">
        <v>76</v>
      </c>
      <c r="C978" s="7">
        <v>22</v>
      </c>
      <c r="D978" s="8">
        <f>SUM(C978:C978)</f>
        <v>22</v>
      </c>
      <c r="E978" s="9">
        <v>42147</v>
      </c>
      <c r="G978" s="71" t="s">
        <v>6</v>
      </c>
      <c r="H978" s="13"/>
      <c r="I978" s="14">
        <f>SUM(H978:H978)</f>
        <v>0</v>
      </c>
      <c r="J978" s="5"/>
    </row>
    <row r="979" spans="2:10" ht="14.25" thickBot="1" x14ac:dyDescent="0.2">
      <c r="B979" s="6" t="s">
        <v>6</v>
      </c>
      <c r="C979" s="7">
        <v>336</v>
      </c>
      <c r="D979" s="14">
        <f>SUM(C979:C979)</f>
        <v>336</v>
      </c>
      <c r="E979" s="16">
        <v>42154</v>
      </c>
      <c r="G979" s="6" t="s">
        <v>6</v>
      </c>
      <c r="H979" s="88"/>
      <c r="I979" s="11">
        <f>SUM(H979:H979)</f>
        <v>0</v>
      </c>
      <c r="J979" s="85"/>
    </row>
    <row r="980" spans="2:10" ht="14.25" thickBot="1" x14ac:dyDescent="0.2">
      <c r="B980" s="46" t="s">
        <v>1</v>
      </c>
      <c r="C980" s="48">
        <f>SUM(C976:C979)</f>
        <v>2109</v>
      </c>
      <c r="D980" s="48">
        <f>SUM(D976:D979)</f>
        <v>2109</v>
      </c>
      <c r="E980" s="49"/>
      <c r="G980" s="46" t="s">
        <v>1</v>
      </c>
      <c r="H980" s="47">
        <f>SUM(H976:H979)</f>
        <v>2196</v>
      </c>
      <c r="I980" s="48">
        <f>SUM(I976:I979)</f>
        <v>2196</v>
      </c>
      <c r="J980" s="49"/>
    </row>
    <row r="981" spans="2:10" x14ac:dyDescent="0.15">
      <c r="B981" s="10" t="s">
        <v>18</v>
      </c>
      <c r="C981" s="77">
        <v>18</v>
      </c>
      <c r="D981" s="11">
        <f t="shared" ref="D981:D1005" si="59">SUM(C981:C981)</f>
        <v>18</v>
      </c>
      <c r="E981" s="12">
        <v>42146</v>
      </c>
      <c r="G981" s="15"/>
      <c r="H981" s="13"/>
      <c r="I981" s="11">
        <f>SUM(H981:H981)</f>
        <v>0</v>
      </c>
      <c r="J981" s="12"/>
    </row>
    <row r="982" spans="2:10" x14ac:dyDescent="0.15">
      <c r="B982" s="101" t="s">
        <v>103</v>
      </c>
      <c r="C982" s="13">
        <v>56</v>
      </c>
      <c r="D982" s="14">
        <f t="shared" si="59"/>
        <v>56</v>
      </c>
      <c r="E982" s="12">
        <v>42149</v>
      </c>
      <c r="G982" s="15"/>
      <c r="H982" s="13"/>
      <c r="I982" s="14">
        <f>SUM(H982:H982)</f>
        <v>0</v>
      </c>
      <c r="J982" s="12"/>
    </row>
    <row r="983" spans="2:10" x14ac:dyDescent="0.15">
      <c r="B983" s="15" t="s">
        <v>283</v>
      </c>
      <c r="C983" s="13">
        <v>200</v>
      </c>
      <c r="D983" s="14">
        <f t="shared" si="59"/>
        <v>200</v>
      </c>
      <c r="E983" s="12">
        <v>42156</v>
      </c>
      <c r="G983" s="15"/>
      <c r="H983" s="13"/>
      <c r="I983" s="14">
        <f t="shared" ref="I983:I1000" si="60">SUM(H983:H983)</f>
        <v>0</v>
      </c>
      <c r="J983" s="12"/>
    </row>
    <row r="984" spans="2:10" x14ac:dyDescent="0.15">
      <c r="B984" s="15" t="s">
        <v>189</v>
      </c>
      <c r="C984" s="13">
        <v>1</v>
      </c>
      <c r="D984" s="14">
        <f t="shared" si="59"/>
        <v>1</v>
      </c>
      <c r="E984" s="12">
        <v>42146</v>
      </c>
      <c r="G984" s="15"/>
      <c r="H984" s="13"/>
      <c r="I984" s="14">
        <f t="shared" si="60"/>
        <v>0</v>
      </c>
      <c r="J984" s="12"/>
    </row>
    <row r="985" spans="2:10" x14ac:dyDescent="0.15">
      <c r="B985" s="15" t="s">
        <v>285</v>
      </c>
      <c r="C985" s="13">
        <v>2</v>
      </c>
      <c r="D985" s="14">
        <f t="shared" si="59"/>
        <v>2</v>
      </c>
      <c r="E985" s="12">
        <v>42147</v>
      </c>
      <c r="G985" s="97"/>
      <c r="H985" s="94"/>
      <c r="I985" s="96">
        <f t="shared" si="60"/>
        <v>0</v>
      </c>
      <c r="J985" s="98"/>
    </row>
    <row r="986" spans="2:10" x14ac:dyDescent="0.15">
      <c r="B986" s="10" t="s">
        <v>18</v>
      </c>
      <c r="C986" s="13">
        <v>13</v>
      </c>
      <c r="D986" s="14">
        <f t="shared" si="59"/>
        <v>13</v>
      </c>
      <c r="E986" s="12">
        <v>42150</v>
      </c>
      <c r="G986" s="97"/>
      <c r="H986" s="94"/>
      <c r="I986" s="96">
        <f t="shared" si="60"/>
        <v>0</v>
      </c>
      <c r="J986" s="98"/>
    </row>
    <row r="987" spans="2:10" x14ac:dyDescent="0.15">
      <c r="B987" s="10" t="s">
        <v>284</v>
      </c>
      <c r="C987" s="13">
        <v>4</v>
      </c>
      <c r="D987" s="14">
        <f t="shared" si="59"/>
        <v>4</v>
      </c>
      <c r="E987" s="12">
        <v>42151</v>
      </c>
      <c r="G987" s="78"/>
      <c r="H987" s="13"/>
      <c r="I987" s="14">
        <f t="shared" si="60"/>
        <v>0</v>
      </c>
      <c r="J987" s="12"/>
    </row>
    <row r="988" spans="2:10" x14ac:dyDescent="0.15">
      <c r="B988" s="10" t="s">
        <v>287</v>
      </c>
      <c r="C988" s="13">
        <v>1</v>
      </c>
      <c r="D988" s="14">
        <f t="shared" si="59"/>
        <v>1</v>
      </c>
      <c r="E988" s="12">
        <v>42149</v>
      </c>
      <c r="G988" s="78"/>
      <c r="H988" s="13"/>
      <c r="I988" s="14">
        <f t="shared" si="60"/>
        <v>0</v>
      </c>
      <c r="J988" s="12"/>
    </row>
    <row r="989" spans="2:10" x14ac:dyDescent="0.15">
      <c r="B989" s="10" t="s">
        <v>284</v>
      </c>
      <c r="C989" s="13">
        <v>10</v>
      </c>
      <c r="D989" s="14">
        <f t="shared" si="59"/>
        <v>10</v>
      </c>
      <c r="E989" s="12">
        <v>42151</v>
      </c>
      <c r="G989" s="10"/>
      <c r="H989" s="13"/>
      <c r="I989" s="14">
        <f t="shared" si="60"/>
        <v>0</v>
      </c>
      <c r="J989" s="12"/>
    </row>
    <row r="990" spans="2:10" x14ac:dyDescent="0.15">
      <c r="B990" s="10" t="s">
        <v>23</v>
      </c>
      <c r="C990" s="13">
        <v>14</v>
      </c>
      <c r="D990" s="14">
        <f t="shared" si="59"/>
        <v>14</v>
      </c>
      <c r="E990" s="12">
        <v>42152</v>
      </c>
      <c r="G990" s="78"/>
      <c r="H990" s="13"/>
      <c r="I990" s="14">
        <f t="shared" si="60"/>
        <v>0</v>
      </c>
      <c r="J990" s="12"/>
    </row>
    <row r="991" spans="2:10" x14ac:dyDescent="0.15">
      <c r="B991" s="10" t="s">
        <v>18</v>
      </c>
      <c r="C991" s="13">
        <v>17</v>
      </c>
      <c r="D991" s="14">
        <f t="shared" si="59"/>
        <v>17</v>
      </c>
      <c r="E991" s="12">
        <v>42152</v>
      </c>
      <c r="G991" s="10"/>
      <c r="H991" s="22"/>
      <c r="I991" s="23">
        <f t="shared" si="60"/>
        <v>0</v>
      </c>
      <c r="J991" s="24"/>
    </row>
    <row r="992" spans="2:10" x14ac:dyDescent="0.15">
      <c r="B992" s="67" t="s">
        <v>286</v>
      </c>
      <c r="C992" s="13">
        <v>200</v>
      </c>
      <c r="D992" s="14">
        <f t="shared" si="59"/>
        <v>200</v>
      </c>
      <c r="E992" s="12">
        <v>42152</v>
      </c>
      <c r="G992" s="27"/>
      <c r="H992" s="22"/>
      <c r="I992" s="23">
        <f t="shared" si="60"/>
        <v>0</v>
      </c>
      <c r="J992" s="24"/>
    </row>
    <row r="993" spans="2:10" x14ac:dyDescent="0.15">
      <c r="B993" s="10" t="s">
        <v>11</v>
      </c>
      <c r="C993" s="13">
        <v>100</v>
      </c>
      <c r="D993" s="14">
        <f t="shared" si="59"/>
        <v>100</v>
      </c>
      <c r="E993" s="12">
        <v>42160</v>
      </c>
      <c r="G993" s="15"/>
      <c r="H993" s="13"/>
      <c r="I993" s="14">
        <f t="shared" si="60"/>
        <v>0</v>
      </c>
      <c r="J993" s="12"/>
    </row>
    <row r="994" spans="2:10" x14ac:dyDescent="0.15">
      <c r="B994" s="10" t="s">
        <v>284</v>
      </c>
      <c r="C994" s="13">
        <v>6</v>
      </c>
      <c r="D994" s="14">
        <f t="shared" si="59"/>
        <v>6</v>
      </c>
      <c r="E994" s="12">
        <v>42154</v>
      </c>
      <c r="G994" s="10"/>
      <c r="H994" s="13"/>
      <c r="I994" s="14">
        <f t="shared" si="60"/>
        <v>0</v>
      </c>
      <c r="J994" s="12"/>
    </row>
    <row r="995" spans="2:10" x14ac:dyDescent="0.15">
      <c r="B995" s="10" t="s">
        <v>289</v>
      </c>
      <c r="C995" s="13">
        <v>3</v>
      </c>
      <c r="D995" s="14">
        <f t="shared" si="59"/>
        <v>3</v>
      </c>
      <c r="E995" s="12">
        <v>42152</v>
      </c>
      <c r="G995" s="15"/>
      <c r="H995" s="13"/>
      <c r="I995" s="14">
        <f t="shared" si="60"/>
        <v>0</v>
      </c>
      <c r="J995" s="12"/>
    </row>
    <row r="996" spans="2:10" x14ac:dyDescent="0.15">
      <c r="B996" s="10" t="s">
        <v>288</v>
      </c>
      <c r="C996" s="13">
        <v>44</v>
      </c>
      <c r="D996" s="14">
        <f t="shared" si="59"/>
        <v>44</v>
      </c>
      <c r="E996" s="12">
        <v>42154</v>
      </c>
      <c r="G996" s="21"/>
      <c r="H996" s="22"/>
      <c r="I996" s="23">
        <f t="shared" si="60"/>
        <v>0</v>
      </c>
      <c r="J996" s="24"/>
    </row>
    <row r="997" spans="2:10" x14ac:dyDescent="0.15">
      <c r="B997" s="101" t="s">
        <v>103</v>
      </c>
      <c r="C997" s="13">
        <v>80</v>
      </c>
      <c r="D997" s="14">
        <f t="shared" si="59"/>
        <v>80</v>
      </c>
      <c r="E997" s="12">
        <v>42156</v>
      </c>
      <c r="G997" s="27"/>
      <c r="H997" s="22"/>
      <c r="I997" s="23">
        <f t="shared" si="60"/>
        <v>0</v>
      </c>
      <c r="J997" s="24"/>
    </row>
    <row r="998" spans="2:10" x14ac:dyDescent="0.15">
      <c r="B998" s="10" t="s">
        <v>284</v>
      </c>
      <c r="C998" s="13">
        <v>10</v>
      </c>
      <c r="D998" s="14">
        <f t="shared" si="59"/>
        <v>10</v>
      </c>
      <c r="E998" s="12">
        <v>42157</v>
      </c>
      <c r="G998" s="15"/>
      <c r="H998" s="13"/>
      <c r="I998" s="14">
        <f t="shared" si="60"/>
        <v>0</v>
      </c>
      <c r="J998" s="5"/>
    </row>
    <row r="999" spans="2:10" x14ac:dyDescent="0.15">
      <c r="B999" s="10" t="s">
        <v>189</v>
      </c>
      <c r="C999" s="13">
        <v>1</v>
      </c>
      <c r="D999" s="14">
        <f t="shared" si="59"/>
        <v>1</v>
      </c>
      <c r="E999" s="12">
        <v>42154</v>
      </c>
      <c r="G999" s="15"/>
      <c r="H999" s="13"/>
      <c r="I999" s="14">
        <f t="shared" si="60"/>
        <v>0</v>
      </c>
      <c r="J999" s="5"/>
    </row>
    <row r="1000" spans="2:10" x14ac:dyDescent="0.15">
      <c r="B1000" s="10" t="s">
        <v>18</v>
      </c>
      <c r="C1000" s="13">
        <v>32</v>
      </c>
      <c r="D1000" s="14">
        <f t="shared" si="59"/>
        <v>32</v>
      </c>
      <c r="E1000" s="5">
        <v>42157</v>
      </c>
      <c r="G1000" s="75"/>
      <c r="H1000" s="13"/>
      <c r="I1000" s="14">
        <f t="shared" si="60"/>
        <v>0</v>
      </c>
      <c r="J1000" s="5"/>
    </row>
    <row r="1001" spans="2:10" x14ac:dyDescent="0.15">
      <c r="B1001" s="10" t="s">
        <v>284</v>
      </c>
      <c r="C1001" s="13">
        <v>10</v>
      </c>
      <c r="D1001" s="14">
        <f t="shared" si="59"/>
        <v>10</v>
      </c>
      <c r="E1001" s="5">
        <v>42157</v>
      </c>
      <c r="G1001" s="67"/>
      <c r="H1001" s="7"/>
      <c r="I1001" s="14">
        <f>SUM(H1001:H1001)</f>
        <v>0</v>
      </c>
      <c r="J1001" s="12"/>
    </row>
    <row r="1002" spans="2:10" x14ac:dyDescent="0.15">
      <c r="B1002" s="10" t="s">
        <v>73</v>
      </c>
      <c r="C1002" s="13">
        <v>20</v>
      </c>
      <c r="D1002" s="14">
        <f t="shared" si="59"/>
        <v>20</v>
      </c>
      <c r="E1002" s="5">
        <v>42158</v>
      </c>
      <c r="G1002" s="102"/>
      <c r="H1002" s="7"/>
      <c r="I1002" s="14">
        <f>SUM(H1002:H1002)</f>
        <v>0</v>
      </c>
      <c r="J1002" s="12"/>
    </row>
    <row r="1003" spans="2:10" x14ac:dyDescent="0.15">
      <c r="B1003" s="10" t="s">
        <v>189</v>
      </c>
      <c r="C1003" s="13">
        <v>3</v>
      </c>
      <c r="D1003" s="14">
        <f t="shared" si="59"/>
        <v>3</v>
      </c>
      <c r="E1003" s="5">
        <v>42156</v>
      </c>
      <c r="G1003" s="15"/>
      <c r="H1003" s="7"/>
      <c r="I1003" s="14">
        <f>SUM(H1003:H1003)</f>
        <v>0</v>
      </c>
      <c r="J1003" s="5"/>
    </row>
    <row r="1004" spans="2:10" ht="14.25" thickBot="1" x14ac:dyDescent="0.2">
      <c r="B1004" s="10" t="s">
        <v>290</v>
      </c>
      <c r="C1004" s="13">
        <v>3</v>
      </c>
      <c r="D1004" s="11">
        <f t="shared" si="59"/>
        <v>3</v>
      </c>
      <c r="E1004" s="12">
        <v>42157</v>
      </c>
      <c r="G1004" s="15"/>
      <c r="H1004" s="7"/>
      <c r="I1004" s="14">
        <f>SUM(H1004:H1004)</f>
        <v>0</v>
      </c>
      <c r="J1004" s="5"/>
    </row>
    <row r="1005" spans="2:10" ht="14.25" thickBot="1" x14ac:dyDescent="0.2">
      <c r="B1005" s="17" t="s">
        <v>2</v>
      </c>
      <c r="C1005" s="18">
        <f>SUM(C981:C1004)</f>
        <v>848</v>
      </c>
      <c r="D1005" s="19">
        <f t="shared" si="59"/>
        <v>848</v>
      </c>
      <c r="E1005" s="20"/>
      <c r="G1005" s="17" t="s">
        <v>2</v>
      </c>
      <c r="H1005" s="18">
        <f>SUM(H981:H1004)</f>
        <v>0</v>
      </c>
      <c r="I1005" s="19">
        <f>SUM(H1005:H1005)</f>
        <v>0</v>
      </c>
      <c r="J1005" s="20"/>
    </row>
    <row r="1006" spans="2:10" ht="14.25" thickBot="1" x14ac:dyDescent="0.2">
      <c r="B1006" s="46" t="s">
        <v>3</v>
      </c>
      <c r="C1006" s="52">
        <f>C980-C1005</f>
        <v>1261</v>
      </c>
      <c r="D1006" s="48">
        <f>D980-D1005</f>
        <v>1261</v>
      </c>
      <c r="E1006" s="49"/>
      <c r="G1006" s="46" t="s">
        <v>3</v>
      </c>
      <c r="H1006" s="52">
        <f>H980-H1005</f>
        <v>2196</v>
      </c>
      <c r="I1006" s="48">
        <f>I980-I1005</f>
        <v>2196</v>
      </c>
      <c r="J1006" s="49"/>
    </row>
    <row r="1009" spans="2:10" ht="18.75" x14ac:dyDescent="0.2">
      <c r="B1009" s="26" t="s">
        <v>7</v>
      </c>
      <c r="G1009" s="26" t="s">
        <v>35</v>
      </c>
    </row>
    <row r="1010" spans="2:10" ht="14.25" thickBot="1" x14ac:dyDescent="0.2"/>
    <row r="1011" spans="2:10" ht="14.25" thickBot="1" x14ac:dyDescent="0.2">
      <c r="B1011" s="1"/>
      <c r="C1011" s="2"/>
      <c r="D1011" s="3" t="s">
        <v>0</v>
      </c>
      <c r="E1011" s="1" t="s">
        <v>4</v>
      </c>
      <c r="G1011" s="1"/>
      <c r="H1011" s="2"/>
      <c r="I1011" s="3" t="s">
        <v>0</v>
      </c>
      <c r="J1011" s="1" t="s">
        <v>4</v>
      </c>
    </row>
    <row r="1012" spans="2:10" x14ac:dyDescent="0.15">
      <c r="B1012" s="42" t="s">
        <v>5</v>
      </c>
      <c r="C1012" s="43">
        <f>C1006</f>
        <v>1261</v>
      </c>
      <c r="D1012" s="44">
        <f>SUM(C1012:C1012)</f>
        <v>1261</v>
      </c>
      <c r="E1012" s="45"/>
      <c r="G1012" s="42" t="s">
        <v>5</v>
      </c>
      <c r="H1012" s="43">
        <f>H1006</f>
        <v>2196</v>
      </c>
      <c r="I1012" s="44">
        <f>SUM(H1012:H1012)</f>
        <v>2196</v>
      </c>
      <c r="J1012" s="45"/>
    </row>
    <row r="1013" spans="2:10" x14ac:dyDescent="0.15">
      <c r="B1013" s="6" t="s">
        <v>6</v>
      </c>
      <c r="C1013" s="13"/>
      <c r="D1013" s="14">
        <f>SUM(C1013:C1013)</f>
        <v>0</v>
      </c>
      <c r="E1013" s="5"/>
      <c r="G1013" s="71" t="s">
        <v>6</v>
      </c>
      <c r="H1013" s="13"/>
      <c r="I1013" s="14">
        <f>SUM(H1013:H1013)</f>
        <v>0</v>
      </c>
      <c r="J1013" s="5"/>
    </row>
    <row r="1014" spans="2:10" x14ac:dyDescent="0.15">
      <c r="B1014" s="6" t="s">
        <v>6</v>
      </c>
      <c r="C1014" s="7"/>
      <c r="D1014" s="8">
        <f>SUM(C1014:C1014)</f>
        <v>0</v>
      </c>
      <c r="E1014" s="9"/>
      <c r="G1014" s="71" t="s">
        <v>6</v>
      </c>
      <c r="H1014" s="13">
        <v>2500</v>
      </c>
      <c r="I1014" s="14">
        <f>SUM(H1014:H1014)</f>
        <v>2500</v>
      </c>
      <c r="J1014" s="5">
        <v>42156</v>
      </c>
    </row>
    <row r="1015" spans="2:10" ht="14.25" thickBot="1" x14ac:dyDescent="0.2">
      <c r="B1015" s="6" t="s">
        <v>6</v>
      </c>
      <c r="C1015" s="7"/>
      <c r="D1015" s="14">
        <f>SUM(C1015:C1015)</f>
        <v>0</v>
      </c>
      <c r="E1015" s="16"/>
      <c r="G1015" s="6" t="s">
        <v>6</v>
      </c>
      <c r="H1015" s="88">
        <v>1000</v>
      </c>
      <c r="I1015" s="11">
        <f>SUM(H1015:H1015)</f>
        <v>1000</v>
      </c>
      <c r="J1015" s="85">
        <v>42157</v>
      </c>
    </row>
    <row r="1016" spans="2:10" ht="14.25" thickBot="1" x14ac:dyDescent="0.2">
      <c r="B1016" s="46" t="s">
        <v>1</v>
      </c>
      <c r="C1016" s="48">
        <f>SUM(C1012:C1015)</f>
        <v>1261</v>
      </c>
      <c r="D1016" s="48">
        <f>SUM(D1012:D1015)</f>
        <v>1261</v>
      </c>
      <c r="E1016" s="49"/>
      <c r="G1016" s="46" t="s">
        <v>1</v>
      </c>
      <c r="H1016" s="47">
        <f>SUM(H1012:H1015)</f>
        <v>5696</v>
      </c>
      <c r="I1016" s="48">
        <f>SUM(I1012:I1015)</f>
        <v>5696</v>
      </c>
      <c r="J1016" s="49"/>
    </row>
    <row r="1017" spans="2:10" x14ac:dyDescent="0.15">
      <c r="B1017" s="10" t="s">
        <v>292</v>
      </c>
      <c r="C1017" s="77">
        <v>3</v>
      </c>
      <c r="D1017" s="11">
        <f t="shared" ref="D1017:D1041" si="61">SUM(C1017:C1017)</f>
        <v>3</v>
      </c>
      <c r="E1017" s="12">
        <v>42158</v>
      </c>
      <c r="G1017" s="15" t="s">
        <v>22</v>
      </c>
      <c r="H1017" s="13">
        <v>336</v>
      </c>
      <c r="I1017" s="11">
        <f>SUM(H1017:H1017)</f>
        <v>336</v>
      </c>
      <c r="J1017" s="12">
        <v>42154</v>
      </c>
    </row>
    <row r="1018" spans="2:10" x14ac:dyDescent="0.15">
      <c r="B1018" s="10" t="s">
        <v>18</v>
      </c>
      <c r="C1018" s="13">
        <v>13</v>
      </c>
      <c r="D1018" s="14">
        <f t="shared" si="61"/>
        <v>13</v>
      </c>
      <c r="E1018" s="12">
        <v>42160</v>
      </c>
      <c r="G1018" s="15" t="s">
        <v>293</v>
      </c>
      <c r="H1018" s="13">
        <v>400</v>
      </c>
      <c r="I1018" s="14">
        <f>SUM(H1018:H1018)</f>
        <v>400</v>
      </c>
      <c r="J1018" s="12">
        <v>42167</v>
      </c>
    </row>
    <row r="1019" spans="2:10" x14ac:dyDescent="0.15">
      <c r="B1019" s="15" t="s">
        <v>291</v>
      </c>
      <c r="C1019" s="13">
        <v>200</v>
      </c>
      <c r="D1019" s="14">
        <f>SUM(C1019:C1019)</f>
        <v>200</v>
      </c>
      <c r="E1019" s="12">
        <v>42163</v>
      </c>
      <c r="G1019" s="15" t="s">
        <v>294</v>
      </c>
      <c r="H1019" s="13">
        <v>500</v>
      </c>
      <c r="I1019" s="14">
        <f t="shared" ref="I1019:I1036" si="62">SUM(H1019:H1019)</f>
        <v>500</v>
      </c>
      <c r="J1019" s="12">
        <v>42168</v>
      </c>
    </row>
    <row r="1020" spans="2:10" x14ac:dyDescent="0.15">
      <c r="B1020" s="10" t="s">
        <v>189</v>
      </c>
      <c r="C1020" s="13">
        <v>2</v>
      </c>
      <c r="D1020" s="14">
        <f t="shared" si="61"/>
        <v>2</v>
      </c>
      <c r="E1020" s="12">
        <v>42159</v>
      </c>
      <c r="G1020" s="15" t="s">
        <v>296</v>
      </c>
      <c r="H1020" s="13">
        <v>400</v>
      </c>
      <c r="I1020" s="14">
        <f t="shared" si="62"/>
        <v>400</v>
      </c>
      <c r="J1020" s="12">
        <v>42172</v>
      </c>
    </row>
    <row r="1021" spans="2:10" x14ac:dyDescent="0.15">
      <c r="B1021" s="10" t="s">
        <v>305</v>
      </c>
      <c r="C1021" s="13">
        <v>20</v>
      </c>
      <c r="D1021" s="14">
        <f t="shared" si="61"/>
        <v>20</v>
      </c>
      <c r="E1021" s="12">
        <v>42164</v>
      </c>
      <c r="G1021" s="15" t="s">
        <v>298</v>
      </c>
      <c r="H1021" s="13">
        <v>400</v>
      </c>
      <c r="I1021" s="14">
        <f t="shared" si="62"/>
        <v>400</v>
      </c>
      <c r="J1021" s="12">
        <v>42174</v>
      </c>
    </row>
    <row r="1022" spans="2:10" x14ac:dyDescent="0.15">
      <c r="B1022" s="10" t="s">
        <v>18</v>
      </c>
      <c r="C1022" s="13">
        <v>49</v>
      </c>
      <c r="D1022" s="14">
        <f t="shared" si="61"/>
        <v>49</v>
      </c>
      <c r="E1022" s="12">
        <v>42164</v>
      </c>
      <c r="G1022" s="15" t="s">
        <v>301</v>
      </c>
      <c r="H1022" s="13">
        <v>300</v>
      </c>
      <c r="I1022" s="14">
        <f t="shared" si="62"/>
        <v>300</v>
      </c>
      <c r="J1022" s="12">
        <v>42174</v>
      </c>
    </row>
    <row r="1023" spans="2:10" x14ac:dyDescent="0.15">
      <c r="B1023" s="10" t="s">
        <v>189</v>
      </c>
      <c r="C1023" s="13">
        <v>1</v>
      </c>
      <c r="D1023" s="14">
        <f t="shared" si="61"/>
        <v>1</v>
      </c>
      <c r="E1023" s="12">
        <v>42161</v>
      </c>
      <c r="G1023" s="15" t="s">
        <v>307</v>
      </c>
      <c r="H1023" s="13">
        <v>336</v>
      </c>
      <c r="I1023" s="14">
        <f t="shared" si="62"/>
        <v>336</v>
      </c>
      <c r="J1023" s="12">
        <v>42175</v>
      </c>
    </row>
    <row r="1024" spans="2:10" x14ac:dyDescent="0.15">
      <c r="B1024" s="10" t="s">
        <v>295</v>
      </c>
      <c r="C1024" s="13">
        <v>1</v>
      </c>
      <c r="D1024" s="14">
        <f t="shared" si="61"/>
        <v>1</v>
      </c>
      <c r="E1024" s="12">
        <v>42163</v>
      </c>
      <c r="G1024" s="78"/>
      <c r="H1024" s="13"/>
      <c r="I1024" s="14">
        <f t="shared" si="62"/>
        <v>0</v>
      </c>
      <c r="J1024" s="12"/>
    </row>
    <row r="1025" spans="2:10" x14ac:dyDescent="0.15">
      <c r="B1025" s="10" t="s">
        <v>18</v>
      </c>
      <c r="C1025" s="13">
        <v>17</v>
      </c>
      <c r="D1025" s="14">
        <f t="shared" si="61"/>
        <v>17</v>
      </c>
      <c r="E1025" s="12">
        <v>42167</v>
      </c>
      <c r="G1025" s="10"/>
      <c r="H1025" s="13"/>
      <c r="I1025" s="14">
        <f t="shared" si="62"/>
        <v>0</v>
      </c>
      <c r="J1025" s="12"/>
    </row>
    <row r="1026" spans="2:10" x14ac:dyDescent="0.15">
      <c r="B1026" s="10" t="s">
        <v>189</v>
      </c>
      <c r="C1026" s="13">
        <v>2</v>
      </c>
      <c r="D1026" s="14">
        <f t="shared" si="61"/>
        <v>2</v>
      </c>
      <c r="E1026" s="12">
        <v>42164</v>
      </c>
      <c r="G1026" s="78"/>
      <c r="H1026" s="13"/>
      <c r="I1026" s="14">
        <f t="shared" si="62"/>
        <v>0</v>
      </c>
      <c r="J1026" s="12"/>
    </row>
    <row r="1027" spans="2:10" x14ac:dyDescent="0.15">
      <c r="B1027" s="10" t="s">
        <v>189</v>
      </c>
      <c r="C1027" s="13">
        <v>3</v>
      </c>
      <c r="D1027" s="14">
        <f t="shared" si="61"/>
        <v>3</v>
      </c>
      <c r="E1027" s="12">
        <v>42166</v>
      </c>
      <c r="G1027" s="10"/>
      <c r="H1027" s="22"/>
      <c r="I1027" s="23">
        <f t="shared" si="62"/>
        <v>0</v>
      </c>
      <c r="J1027" s="24"/>
    </row>
    <row r="1028" spans="2:10" x14ac:dyDescent="0.15">
      <c r="B1028" s="10" t="s">
        <v>18</v>
      </c>
      <c r="C1028" s="13">
        <v>9</v>
      </c>
      <c r="D1028" s="14">
        <f t="shared" si="61"/>
        <v>9</v>
      </c>
      <c r="E1028" s="12">
        <v>42171</v>
      </c>
      <c r="G1028" s="27"/>
      <c r="H1028" s="22"/>
      <c r="I1028" s="23">
        <f t="shared" si="62"/>
        <v>0</v>
      </c>
      <c r="J1028" s="24"/>
    </row>
    <row r="1029" spans="2:10" x14ac:dyDescent="0.15">
      <c r="B1029" s="10" t="s">
        <v>284</v>
      </c>
      <c r="C1029" s="13">
        <v>10</v>
      </c>
      <c r="D1029" s="14">
        <f t="shared" si="61"/>
        <v>10</v>
      </c>
      <c r="E1029" s="12">
        <v>42172</v>
      </c>
      <c r="G1029" s="15"/>
      <c r="H1029" s="13"/>
      <c r="I1029" s="14">
        <f t="shared" si="62"/>
        <v>0</v>
      </c>
      <c r="J1029" s="12"/>
    </row>
    <row r="1030" spans="2:10" x14ac:dyDescent="0.15">
      <c r="B1030" s="10" t="s">
        <v>189</v>
      </c>
      <c r="C1030" s="13">
        <v>7</v>
      </c>
      <c r="D1030" s="14">
        <f t="shared" si="61"/>
        <v>7</v>
      </c>
      <c r="E1030" s="12">
        <v>42170</v>
      </c>
      <c r="G1030" s="10"/>
      <c r="H1030" s="13"/>
      <c r="I1030" s="14">
        <f t="shared" si="62"/>
        <v>0</v>
      </c>
      <c r="J1030" s="12"/>
    </row>
    <row r="1031" spans="2:10" x14ac:dyDescent="0.15">
      <c r="B1031" s="10" t="s">
        <v>300</v>
      </c>
      <c r="C1031" s="13">
        <v>1</v>
      </c>
      <c r="D1031" s="14">
        <f t="shared" si="61"/>
        <v>1</v>
      </c>
      <c r="E1031" s="12">
        <v>42171</v>
      </c>
      <c r="G1031" s="15"/>
      <c r="H1031" s="13"/>
      <c r="I1031" s="14">
        <f t="shared" si="62"/>
        <v>0</v>
      </c>
      <c r="J1031" s="12"/>
    </row>
    <row r="1032" spans="2:10" x14ac:dyDescent="0.15">
      <c r="B1032" s="15" t="s">
        <v>297</v>
      </c>
      <c r="C1032" s="13">
        <v>100</v>
      </c>
      <c r="D1032" s="14">
        <f t="shared" si="61"/>
        <v>100</v>
      </c>
      <c r="E1032" s="12">
        <v>42174</v>
      </c>
      <c r="G1032" s="21"/>
      <c r="H1032" s="22"/>
      <c r="I1032" s="23">
        <f t="shared" si="62"/>
        <v>0</v>
      </c>
      <c r="J1032" s="24"/>
    </row>
    <row r="1033" spans="2:10" x14ac:dyDescent="0.15">
      <c r="B1033" s="10" t="s">
        <v>299</v>
      </c>
      <c r="C1033" s="13">
        <v>23</v>
      </c>
      <c r="D1033" s="14">
        <f t="shared" si="61"/>
        <v>23</v>
      </c>
      <c r="E1033" s="12">
        <v>42174</v>
      </c>
      <c r="G1033" s="27"/>
      <c r="H1033" s="22"/>
      <c r="I1033" s="23">
        <f t="shared" si="62"/>
        <v>0</v>
      </c>
      <c r="J1033" s="24"/>
    </row>
    <row r="1034" spans="2:10" x14ac:dyDescent="0.15">
      <c r="B1034" s="10" t="s">
        <v>302</v>
      </c>
      <c r="C1034" s="13">
        <v>1</v>
      </c>
      <c r="D1034" s="14">
        <f t="shared" si="61"/>
        <v>1</v>
      </c>
      <c r="E1034" s="12">
        <v>42172</v>
      </c>
      <c r="G1034" s="15"/>
      <c r="H1034" s="13"/>
      <c r="I1034" s="14">
        <f t="shared" si="62"/>
        <v>0</v>
      </c>
      <c r="J1034" s="5"/>
    </row>
    <row r="1035" spans="2:10" x14ac:dyDescent="0.15">
      <c r="B1035" s="10" t="s">
        <v>303</v>
      </c>
      <c r="C1035" s="13">
        <v>200</v>
      </c>
      <c r="D1035" s="14">
        <f t="shared" si="61"/>
        <v>200</v>
      </c>
      <c r="E1035" s="12">
        <v>42175</v>
      </c>
      <c r="G1035" s="15"/>
      <c r="H1035" s="13"/>
      <c r="I1035" s="14">
        <f t="shared" si="62"/>
        <v>0</v>
      </c>
      <c r="J1035" s="5"/>
    </row>
    <row r="1036" spans="2:10" x14ac:dyDescent="0.15">
      <c r="B1036" s="10" t="s">
        <v>309</v>
      </c>
      <c r="C1036" s="13">
        <v>30</v>
      </c>
      <c r="D1036" s="14">
        <f t="shared" si="61"/>
        <v>30</v>
      </c>
      <c r="E1036" s="5">
        <v>42177</v>
      </c>
      <c r="G1036" s="75"/>
      <c r="H1036" s="13"/>
      <c r="I1036" s="14">
        <f t="shared" si="62"/>
        <v>0</v>
      </c>
      <c r="J1036" s="5"/>
    </row>
    <row r="1037" spans="2:10" x14ac:dyDescent="0.15">
      <c r="B1037" s="10" t="s">
        <v>308</v>
      </c>
      <c r="C1037" s="13">
        <v>3</v>
      </c>
      <c r="D1037" s="14">
        <f t="shared" si="61"/>
        <v>3</v>
      </c>
      <c r="E1037" s="5">
        <v>42173</v>
      </c>
      <c r="G1037" s="67"/>
      <c r="H1037" s="7"/>
      <c r="I1037" s="14">
        <f>SUM(H1037:H1037)</f>
        <v>0</v>
      </c>
      <c r="J1037" s="12"/>
    </row>
    <row r="1038" spans="2:10" x14ac:dyDescent="0.15">
      <c r="B1038" s="10" t="s">
        <v>304</v>
      </c>
      <c r="C1038" s="13">
        <v>100</v>
      </c>
      <c r="D1038" s="14">
        <f t="shared" si="61"/>
        <v>100</v>
      </c>
      <c r="E1038" s="5">
        <v>42180</v>
      </c>
      <c r="G1038" s="102"/>
      <c r="H1038" s="7"/>
      <c r="I1038" s="14">
        <f>SUM(H1038:H1038)</f>
        <v>0</v>
      </c>
      <c r="J1038" s="12"/>
    </row>
    <row r="1039" spans="2:10" x14ac:dyDescent="0.15">
      <c r="B1039" s="10" t="s">
        <v>284</v>
      </c>
      <c r="C1039" s="13">
        <v>10</v>
      </c>
      <c r="D1039" s="14">
        <f t="shared" si="61"/>
        <v>10</v>
      </c>
      <c r="E1039" s="5">
        <v>42178</v>
      </c>
      <c r="G1039" s="15"/>
      <c r="H1039" s="7"/>
      <c r="I1039" s="14">
        <f>SUM(H1039:H1039)</f>
        <v>0</v>
      </c>
      <c r="J1039" s="5"/>
    </row>
    <row r="1040" spans="2:10" ht="14.25" thickBot="1" x14ac:dyDescent="0.2">
      <c r="B1040" s="15" t="s">
        <v>306</v>
      </c>
      <c r="C1040" s="13">
        <v>160</v>
      </c>
      <c r="D1040" s="11">
        <f t="shared" si="61"/>
        <v>160</v>
      </c>
      <c r="E1040" s="12">
        <v>42177</v>
      </c>
      <c r="G1040" s="15"/>
      <c r="H1040" s="7"/>
      <c r="I1040" s="14">
        <f>SUM(H1040:H1040)</f>
        <v>0</v>
      </c>
      <c r="J1040" s="5"/>
    </row>
    <row r="1041" spans="2:10" ht="14.25" thickBot="1" x14ac:dyDescent="0.2">
      <c r="B1041" s="17" t="s">
        <v>2</v>
      </c>
      <c r="C1041" s="18">
        <f>SUM(C1017:C1040)</f>
        <v>965</v>
      </c>
      <c r="D1041" s="19">
        <f t="shared" si="61"/>
        <v>965</v>
      </c>
      <c r="E1041" s="20"/>
      <c r="G1041" s="17" t="s">
        <v>2</v>
      </c>
      <c r="H1041" s="18">
        <f>SUM(H1017:H1040)</f>
        <v>2672</v>
      </c>
      <c r="I1041" s="19">
        <f>SUM(H1041:H1041)</f>
        <v>2672</v>
      </c>
      <c r="J1041" s="20"/>
    </row>
    <row r="1042" spans="2:10" ht="14.25" thickBot="1" x14ac:dyDescent="0.2">
      <c r="B1042" s="46" t="s">
        <v>3</v>
      </c>
      <c r="C1042" s="52">
        <f>C1016-C1041</f>
        <v>296</v>
      </c>
      <c r="D1042" s="48">
        <f>D1016-D1041</f>
        <v>296</v>
      </c>
      <c r="E1042" s="49"/>
      <c r="G1042" s="46" t="s">
        <v>3</v>
      </c>
      <c r="H1042" s="52">
        <f>H1016-H1041</f>
        <v>3024</v>
      </c>
      <c r="I1042" s="48">
        <f>I1016-I1041</f>
        <v>3024</v>
      </c>
      <c r="J1042" s="49"/>
    </row>
    <row r="1045" spans="2:10" ht="18.75" x14ac:dyDescent="0.2">
      <c r="B1045" s="26" t="s">
        <v>7</v>
      </c>
      <c r="G1045" s="26" t="s">
        <v>35</v>
      </c>
    </row>
    <row r="1046" spans="2:10" ht="14.25" thickBot="1" x14ac:dyDescent="0.2"/>
    <row r="1047" spans="2:10" ht="14.25" thickBot="1" x14ac:dyDescent="0.2">
      <c r="B1047" s="1"/>
      <c r="C1047" s="2"/>
      <c r="D1047" s="3" t="s">
        <v>0</v>
      </c>
      <c r="E1047" s="1" t="s">
        <v>4</v>
      </c>
      <c r="G1047" s="1"/>
      <c r="H1047" s="2"/>
      <c r="I1047" s="3" t="s">
        <v>0</v>
      </c>
      <c r="J1047" s="1" t="s">
        <v>4</v>
      </c>
    </row>
    <row r="1048" spans="2:10" x14ac:dyDescent="0.15">
      <c r="B1048" s="42" t="s">
        <v>5</v>
      </c>
      <c r="C1048" s="43">
        <f>C1042</f>
        <v>296</v>
      </c>
      <c r="D1048" s="44">
        <f>SUM(C1048:C1048)</f>
        <v>296</v>
      </c>
      <c r="E1048" s="45"/>
      <c r="G1048" s="42" t="s">
        <v>5</v>
      </c>
      <c r="H1048" s="43">
        <f>H1042</f>
        <v>3024</v>
      </c>
      <c r="I1048" s="44">
        <f>SUM(H1048:H1048)</f>
        <v>3024</v>
      </c>
      <c r="J1048" s="45"/>
    </row>
    <row r="1049" spans="2:10" x14ac:dyDescent="0.15">
      <c r="B1049" s="6" t="s">
        <v>6</v>
      </c>
      <c r="C1049" s="13">
        <v>336</v>
      </c>
      <c r="D1049" s="14">
        <f>SUM(C1049:C1049)</f>
        <v>336</v>
      </c>
      <c r="E1049" s="5">
        <v>42175</v>
      </c>
      <c r="G1049" s="71" t="s">
        <v>6</v>
      </c>
      <c r="H1049" s="13">
        <v>1000</v>
      </c>
      <c r="I1049" s="14">
        <f>SUM(H1049:H1049)</f>
        <v>1000</v>
      </c>
      <c r="J1049" s="5">
        <v>42186</v>
      </c>
    </row>
    <row r="1050" spans="2:10" x14ac:dyDescent="0.15">
      <c r="B1050" s="6" t="s">
        <v>105</v>
      </c>
      <c r="C1050" s="7">
        <v>3</v>
      </c>
      <c r="D1050" s="8">
        <f>SUM(C1050:C1050)</f>
        <v>3</v>
      </c>
      <c r="E1050" s="9">
        <v>42180</v>
      </c>
      <c r="G1050" s="71" t="s">
        <v>6</v>
      </c>
      <c r="H1050" s="67">
        <v>2500</v>
      </c>
      <c r="I1050" s="14">
        <f>SUM(H1050:H1050)</f>
        <v>2500</v>
      </c>
      <c r="J1050" s="5">
        <v>42186</v>
      </c>
    </row>
    <row r="1051" spans="2:10" ht="14.25" thickBot="1" x14ac:dyDescent="0.2">
      <c r="B1051" s="6" t="s">
        <v>76</v>
      </c>
      <c r="C1051" s="7">
        <v>17</v>
      </c>
      <c r="D1051" s="14">
        <f>SUM(C1051:C1051)</f>
        <v>17</v>
      </c>
      <c r="E1051" s="16">
        <v>42180</v>
      </c>
      <c r="G1051" s="6" t="s">
        <v>6</v>
      </c>
      <c r="H1051" s="88">
        <v>1000</v>
      </c>
      <c r="I1051" s="11">
        <f>SUM(H1051:H1051)</f>
        <v>1000</v>
      </c>
      <c r="J1051" s="85">
        <v>42186</v>
      </c>
    </row>
    <row r="1052" spans="2:10" ht="14.25" thickBot="1" x14ac:dyDescent="0.2">
      <c r="B1052" s="46" t="s">
        <v>1</v>
      </c>
      <c r="C1052" s="48">
        <f>SUM(C1048:C1051)</f>
        <v>652</v>
      </c>
      <c r="D1052" s="48">
        <f>SUM(D1048:D1051)</f>
        <v>652</v>
      </c>
      <c r="E1052" s="49"/>
      <c r="G1052" s="46" t="s">
        <v>1</v>
      </c>
      <c r="H1052" s="47">
        <f>SUM(H1048:H1051)</f>
        <v>7524</v>
      </c>
      <c r="I1052" s="48">
        <f>SUM(I1048:I1051)</f>
        <v>7524</v>
      </c>
      <c r="J1052" s="49"/>
    </row>
    <row r="1053" spans="2:10" x14ac:dyDescent="0.15">
      <c r="B1053" s="10" t="s">
        <v>308</v>
      </c>
      <c r="C1053" s="77">
        <v>8</v>
      </c>
      <c r="D1053" s="11">
        <f>SUM(C1053:C1053)</f>
        <v>8</v>
      </c>
      <c r="E1053" s="12">
        <v>42174</v>
      </c>
      <c r="G1053" s="15"/>
      <c r="H1053" s="13"/>
      <c r="I1053" s="11">
        <f>SUM(H1053:H1053)</f>
        <v>0</v>
      </c>
      <c r="J1053" s="12"/>
    </row>
    <row r="1054" spans="2:10" x14ac:dyDescent="0.15">
      <c r="B1054" s="10" t="s">
        <v>189</v>
      </c>
      <c r="C1054" s="13">
        <v>2</v>
      </c>
      <c r="D1054" s="14">
        <f>SUM(C1054:C1054)</f>
        <v>2</v>
      </c>
      <c r="E1054" s="12">
        <v>42175</v>
      </c>
      <c r="G1054" s="78"/>
      <c r="H1054" s="13"/>
      <c r="I1054" s="14">
        <f>SUM(H1054:H1054)</f>
        <v>0</v>
      </c>
      <c r="J1054" s="12"/>
    </row>
    <row r="1055" spans="2:10" x14ac:dyDescent="0.15">
      <c r="B1055" s="10" t="s">
        <v>18</v>
      </c>
      <c r="C1055" s="13">
        <v>10</v>
      </c>
      <c r="D1055" s="14">
        <f>SUM(C1055:C1055)</f>
        <v>10</v>
      </c>
      <c r="E1055" s="12">
        <v>42178</v>
      </c>
      <c r="G1055" s="10"/>
      <c r="H1055" s="13"/>
      <c r="I1055" s="14">
        <f t="shared" ref="I1055:I1077" si="63">SUM(H1055:H1055)</f>
        <v>0</v>
      </c>
      <c r="J1055" s="12"/>
    </row>
    <row r="1056" spans="2:10" x14ac:dyDescent="0.15">
      <c r="B1056" s="10" t="s">
        <v>101</v>
      </c>
      <c r="C1056" s="13">
        <v>2</v>
      </c>
      <c r="D1056" s="14">
        <f t="shared" ref="D1056:D1077" si="64">SUM(C1056:C1056)</f>
        <v>2</v>
      </c>
      <c r="E1056" s="12">
        <v>42180</v>
      </c>
      <c r="G1056" s="78"/>
      <c r="H1056" s="13"/>
      <c r="I1056" s="14">
        <f t="shared" si="63"/>
        <v>0</v>
      </c>
      <c r="J1056" s="12"/>
    </row>
    <row r="1057" spans="2:10" x14ac:dyDescent="0.15">
      <c r="B1057" s="10" t="s">
        <v>310</v>
      </c>
      <c r="C1057" s="13">
        <v>100</v>
      </c>
      <c r="D1057" s="14">
        <f t="shared" si="64"/>
        <v>100</v>
      </c>
      <c r="E1057" s="12">
        <v>42179</v>
      </c>
      <c r="G1057" s="78"/>
      <c r="H1057" s="13"/>
      <c r="I1057" s="14">
        <f t="shared" si="63"/>
        <v>0</v>
      </c>
      <c r="J1057" s="12"/>
    </row>
    <row r="1058" spans="2:10" x14ac:dyDescent="0.15">
      <c r="B1058" s="10" t="s">
        <v>312</v>
      </c>
      <c r="C1058" s="13">
        <v>1</v>
      </c>
      <c r="D1058" s="14">
        <f t="shared" si="64"/>
        <v>1</v>
      </c>
      <c r="E1058" s="12">
        <v>42177</v>
      </c>
      <c r="G1058" s="78"/>
      <c r="H1058" s="13"/>
      <c r="I1058" s="14">
        <f t="shared" si="63"/>
        <v>0</v>
      </c>
      <c r="J1058" s="12"/>
    </row>
    <row r="1059" spans="2:10" x14ac:dyDescent="0.15">
      <c r="B1059" s="10" t="s">
        <v>313</v>
      </c>
      <c r="C1059" s="13">
        <v>17</v>
      </c>
      <c r="D1059" s="14">
        <f t="shared" si="64"/>
        <v>17</v>
      </c>
      <c r="E1059" s="12">
        <v>42180</v>
      </c>
      <c r="G1059" s="78"/>
      <c r="H1059" s="13"/>
      <c r="I1059" s="14">
        <f t="shared" si="63"/>
        <v>0</v>
      </c>
      <c r="J1059" s="12"/>
    </row>
    <row r="1060" spans="2:10" x14ac:dyDescent="0.15">
      <c r="B1060" s="10" t="s">
        <v>314</v>
      </c>
      <c r="C1060" s="13">
        <v>2</v>
      </c>
      <c r="D1060" s="14">
        <f t="shared" si="64"/>
        <v>2</v>
      </c>
      <c r="E1060" s="12">
        <v>42178</v>
      </c>
      <c r="G1060" s="78"/>
      <c r="H1060" s="13"/>
      <c r="I1060" s="14">
        <f t="shared" si="63"/>
        <v>0</v>
      </c>
      <c r="J1060" s="12"/>
    </row>
    <row r="1061" spans="2:10" x14ac:dyDescent="0.15">
      <c r="B1061" s="10" t="s">
        <v>11</v>
      </c>
      <c r="C1061" s="13">
        <v>60</v>
      </c>
      <c r="D1061" s="14">
        <f t="shared" si="64"/>
        <v>60</v>
      </c>
      <c r="E1061" s="12">
        <v>42187</v>
      </c>
      <c r="G1061" s="10"/>
      <c r="H1061" s="13"/>
      <c r="I1061" s="14">
        <f t="shared" si="63"/>
        <v>0</v>
      </c>
      <c r="J1061" s="12"/>
    </row>
    <row r="1062" spans="2:10" x14ac:dyDescent="0.15">
      <c r="B1062" s="10" t="s">
        <v>284</v>
      </c>
      <c r="C1062" s="13">
        <v>4</v>
      </c>
      <c r="D1062" s="14">
        <f t="shared" si="64"/>
        <v>4</v>
      </c>
      <c r="E1062" s="12">
        <v>42182</v>
      </c>
      <c r="G1062" s="78"/>
      <c r="H1062" s="13"/>
      <c r="I1062" s="14">
        <f t="shared" si="63"/>
        <v>0</v>
      </c>
      <c r="J1062" s="12"/>
    </row>
    <row r="1063" spans="2:10" x14ac:dyDescent="0.15">
      <c r="B1063" s="10" t="s">
        <v>315</v>
      </c>
      <c r="C1063" s="13">
        <v>2</v>
      </c>
      <c r="D1063" s="14">
        <f t="shared" si="64"/>
        <v>2</v>
      </c>
      <c r="E1063" s="12">
        <v>42179</v>
      </c>
      <c r="G1063" s="15"/>
      <c r="H1063" s="13"/>
      <c r="I1063" s="14">
        <f t="shared" si="63"/>
        <v>0</v>
      </c>
      <c r="J1063" s="5"/>
    </row>
    <row r="1064" spans="2:10" x14ac:dyDescent="0.15">
      <c r="B1064" s="10" t="s">
        <v>18</v>
      </c>
      <c r="C1064" s="13">
        <v>7</v>
      </c>
      <c r="D1064" s="14">
        <f t="shared" si="64"/>
        <v>7</v>
      </c>
      <c r="E1064" s="12">
        <v>42182</v>
      </c>
      <c r="G1064" s="97"/>
      <c r="H1064" s="95"/>
      <c r="I1064" s="96">
        <f t="shared" si="63"/>
        <v>0</v>
      </c>
      <c r="J1064" s="98"/>
    </row>
    <row r="1065" spans="2:10" x14ac:dyDescent="0.15">
      <c r="B1065" s="10" t="s">
        <v>284</v>
      </c>
      <c r="C1065" s="13">
        <v>8</v>
      </c>
      <c r="D1065" s="14">
        <f t="shared" si="64"/>
        <v>8</v>
      </c>
      <c r="E1065" s="12">
        <v>42186</v>
      </c>
      <c r="G1065" s="10"/>
      <c r="H1065" s="13"/>
      <c r="I1065" s="14">
        <f t="shared" si="63"/>
        <v>0</v>
      </c>
      <c r="J1065" s="12"/>
    </row>
    <row r="1066" spans="2:10" x14ac:dyDescent="0.15">
      <c r="B1066" s="10" t="s">
        <v>316</v>
      </c>
      <c r="C1066" s="13">
        <v>1</v>
      </c>
      <c r="D1066" s="14">
        <f t="shared" si="64"/>
        <v>1</v>
      </c>
      <c r="E1066" s="12">
        <v>42181</v>
      </c>
      <c r="G1066" s="15"/>
      <c r="H1066" s="13"/>
      <c r="I1066" s="14">
        <f t="shared" si="63"/>
        <v>0</v>
      </c>
      <c r="J1066" s="12"/>
    </row>
    <row r="1067" spans="2:10" x14ac:dyDescent="0.15">
      <c r="B1067" s="10" t="s">
        <v>18</v>
      </c>
      <c r="C1067" s="13">
        <v>4</v>
      </c>
      <c r="D1067" s="14">
        <f t="shared" si="64"/>
        <v>4</v>
      </c>
      <c r="E1067" s="12">
        <v>42185</v>
      </c>
      <c r="G1067" s="15"/>
      <c r="H1067" s="13"/>
      <c r="I1067" s="14">
        <f t="shared" si="63"/>
        <v>0</v>
      </c>
      <c r="J1067" s="5"/>
    </row>
    <row r="1068" spans="2:10" x14ac:dyDescent="0.15">
      <c r="B1068" s="15" t="s">
        <v>317</v>
      </c>
      <c r="C1068" s="13">
        <v>1</v>
      </c>
      <c r="D1068" s="14">
        <f t="shared" si="64"/>
        <v>1</v>
      </c>
      <c r="E1068" s="12">
        <v>42184</v>
      </c>
      <c r="G1068" s="15"/>
      <c r="H1068" s="7"/>
      <c r="I1068" s="14">
        <f t="shared" si="63"/>
        <v>0</v>
      </c>
      <c r="J1068" s="12"/>
    </row>
    <row r="1069" spans="2:10" x14ac:dyDescent="0.15">
      <c r="B1069" s="10" t="s">
        <v>18</v>
      </c>
      <c r="C1069" s="13">
        <v>9</v>
      </c>
      <c r="D1069" s="14">
        <f t="shared" si="64"/>
        <v>9</v>
      </c>
      <c r="E1069" s="12">
        <v>42187</v>
      </c>
      <c r="G1069" s="15"/>
      <c r="H1069" s="13"/>
      <c r="I1069" s="14">
        <f t="shared" si="63"/>
        <v>0</v>
      </c>
      <c r="J1069" s="5"/>
    </row>
    <row r="1070" spans="2:10" x14ac:dyDescent="0.15">
      <c r="B1070" s="10" t="s">
        <v>189</v>
      </c>
      <c r="C1070" s="13">
        <v>1</v>
      </c>
      <c r="D1070" s="14">
        <f t="shared" si="64"/>
        <v>1</v>
      </c>
      <c r="E1070" s="12">
        <v>42185</v>
      </c>
      <c r="G1070" s="15"/>
      <c r="H1070" s="7"/>
      <c r="I1070" s="14">
        <f t="shared" si="63"/>
        <v>0</v>
      </c>
      <c r="J1070" s="12"/>
    </row>
    <row r="1071" spans="2:10" x14ac:dyDescent="0.15">
      <c r="B1071" s="10" t="s">
        <v>318</v>
      </c>
      <c r="C1071" s="13">
        <v>1</v>
      </c>
      <c r="D1071" s="14">
        <f t="shared" si="64"/>
        <v>1</v>
      </c>
      <c r="E1071" s="12">
        <v>42186</v>
      </c>
      <c r="G1071" s="10"/>
      <c r="H1071" s="13"/>
      <c r="I1071" s="14">
        <f t="shared" si="63"/>
        <v>0</v>
      </c>
      <c r="J1071" s="12"/>
    </row>
    <row r="1072" spans="2:10" x14ac:dyDescent="0.15">
      <c r="B1072" s="10" t="s">
        <v>284</v>
      </c>
      <c r="C1072" s="13">
        <v>6</v>
      </c>
      <c r="D1072" s="14">
        <f t="shared" si="64"/>
        <v>6</v>
      </c>
      <c r="E1072" s="5">
        <v>42189</v>
      </c>
      <c r="G1072" s="15"/>
      <c r="H1072" s="13"/>
      <c r="I1072" s="14">
        <f t="shared" si="63"/>
        <v>0</v>
      </c>
      <c r="J1072" s="12"/>
    </row>
    <row r="1073" spans="2:10" x14ac:dyDescent="0.15">
      <c r="B1073" s="10" t="s">
        <v>11</v>
      </c>
      <c r="C1073" s="13">
        <v>50</v>
      </c>
      <c r="D1073" s="14">
        <f t="shared" si="64"/>
        <v>50</v>
      </c>
      <c r="E1073" s="5">
        <v>42193</v>
      </c>
      <c r="G1073" s="15"/>
      <c r="H1073" s="13"/>
      <c r="I1073" s="14">
        <f t="shared" si="63"/>
        <v>0</v>
      </c>
      <c r="J1073" s="5"/>
    </row>
    <row r="1074" spans="2:10" x14ac:dyDescent="0.15">
      <c r="B1074" s="10" t="s">
        <v>319</v>
      </c>
      <c r="C1074" s="13">
        <v>1</v>
      </c>
      <c r="D1074" s="14">
        <f t="shared" si="64"/>
        <v>1</v>
      </c>
      <c r="E1074" s="5">
        <v>42187</v>
      </c>
      <c r="G1074" s="81"/>
      <c r="H1074" s="7"/>
      <c r="I1074" s="14">
        <f t="shared" si="63"/>
        <v>0</v>
      </c>
      <c r="J1074" s="12"/>
    </row>
    <row r="1075" spans="2:10" x14ac:dyDescent="0.15">
      <c r="B1075" s="10" t="s">
        <v>18</v>
      </c>
      <c r="C1075" s="13">
        <v>40</v>
      </c>
      <c r="D1075" s="14">
        <f t="shared" si="64"/>
        <v>40</v>
      </c>
      <c r="E1075" s="5">
        <v>42189</v>
      </c>
      <c r="G1075" s="15"/>
      <c r="H1075" s="7"/>
      <c r="I1075" s="14">
        <f t="shared" si="63"/>
        <v>0</v>
      </c>
      <c r="J1075" s="12"/>
    </row>
    <row r="1076" spans="2:10" ht="14.25" thickBot="1" x14ac:dyDescent="0.2">
      <c r="B1076" s="10" t="s">
        <v>284</v>
      </c>
      <c r="C1076" s="13">
        <v>10</v>
      </c>
      <c r="D1076" s="11">
        <f t="shared" si="64"/>
        <v>10</v>
      </c>
      <c r="E1076" s="12">
        <v>42189</v>
      </c>
      <c r="G1076" s="15"/>
      <c r="H1076" s="7"/>
      <c r="I1076" s="14">
        <f t="shared" si="63"/>
        <v>0</v>
      </c>
      <c r="J1076" s="74"/>
    </row>
    <row r="1077" spans="2:10" ht="14.25" thickBot="1" x14ac:dyDescent="0.2">
      <c r="B1077" s="17" t="s">
        <v>2</v>
      </c>
      <c r="C1077" s="18">
        <f>SUM(C1053:C1076)</f>
        <v>347</v>
      </c>
      <c r="D1077" s="19">
        <f t="shared" si="64"/>
        <v>347</v>
      </c>
      <c r="E1077" s="20"/>
      <c r="G1077" s="17" t="s">
        <v>2</v>
      </c>
      <c r="H1077" s="18">
        <f>SUM(H1053:H1076)</f>
        <v>0</v>
      </c>
      <c r="I1077" s="19">
        <f t="shared" si="63"/>
        <v>0</v>
      </c>
      <c r="J1077" s="20"/>
    </row>
    <row r="1078" spans="2:10" ht="14.25" thickBot="1" x14ac:dyDescent="0.2">
      <c r="B1078" s="46" t="s">
        <v>3</v>
      </c>
      <c r="C1078" s="52">
        <f>C1052-C1077</f>
        <v>305</v>
      </c>
      <c r="D1078" s="48">
        <f>D1052-D1077</f>
        <v>305</v>
      </c>
      <c r="E1078" s="49"/>
      <c r="G1078" s="46" t="s">
        <v>3</v>
      </c>
      <c r="H1078" s="52">
        <f>H1052-H1077</f>
        <v>7524</v>
      </c>
      <c r="I1078" s="48">
        <f>I1052-I1077</f>
        <v>7524</v>
      </c>
      <c r="J1078" s="49"/>
    </row>
    <row r="1081" spans="2:10" ht="18.75" x14ac:dyDescent="0.2">
      <c r="B1081" s="26" t="s">
        <v>7</v>
      </c>
      <c r="G1081" s="26" t="s">
        <v>35</v>
      </c>
    </row>
    <row r="1082" spans="2:10" ht="14.25" thickBot="1" x14ac:dyDescent="0.2"/>
    <row r="1083" spans="2:10" ht="14.25" thickBot="1" x14ac:dyDescent="0.2">
      <c r="B1083" s="1"/>
      <c r="C1083" s="2"/>
      <c r="D1083" s="3" t="s">
        <v>0</v>
      </c>
      <c r="E1083" s="1" t="s">
        <v>4</v>
      </c>
      <c r="G1083" s="1"/>
      <c r="H1083" s="2"/>
      <c r="I1083" s="3" t="s">
        <v>0</v>
      </c>
      <c r="J1083" s="1" t="s">
        <v>4</v>
      </c>
    </row>
    <row r="1084" spans="2:10" x14ac:dyDescent="0.15">
      <c r="B1084" s="42" t="s">
        <v>5</v>
      </c>
      <c r="C1084" s="43">
        <f>C1078</f>
        <v>305</v>
      </c>
      <c r="D1084" s="44">
        <f>SUM(C1084:C1084)</f>
        <v>305</v>
      </c>
      <c r="E1084" s="45"/>
      <c r="G1084" s="42" t="s">
        <v>5</v>
      </c>
      <c r="H1084" s="43">
        <f>H1078</f>
        <v>7524</v>
      </c>
      <c r="I1084" s="44">
        <f>SUM(H1084:H1084)</f>
        <v>7524</v>
      </c>
      <c r="J1084" s="45"/>
    </row>
    <row r="1085" spans="2:10" x14ac:dyDescent="0.15">
      <c r="B1085" s="6" t="s">
        <v>6</v>
      </c>
      <c r="C1085" s="13">
        <v>336</v>
      </c>
      <c r="D1085" s="14">
        <f>SUM(C1085:C1085)</f>
        <v>336</v>
      </c>
      <c r="E1085" s="5">
        <v>42199</v>
      </c>
      <c r="G1085" s="71" t="s">
        <v>6</v>
      </c>
      <c r="H1085" s="13"/>
      <c r="I1085" s="14">
        <f>SUM(H1085:H1085)</f>
        <v>0</v>
      </c>
      <c r="J1085" s="5"/>
    </row>
    <row r="1086" spans="2:10" x14ac:dyDescent="0.15">
      <c r="B1086" s="6" t="s">
        <v>6</v>
      </c>
      <c r="C1086" s="7">
        <v>336</v>
      </c>
      <c r="D1086" s="8">
        <f>SUM(C1086:C1086)</f>
        <v>336</v>
      </c>
      <c r="E1086" s="9">
        <v>42209</v>
      </c>
      <c r="G1086" s="71" t="s">
        <v>6</v>
      </c>
      <c r="H1086" s="67"/>
      <c r="I1086" s="14">
        <f>SUM(H1086:H1086)</f>
        <v>0</v>
      </c>
      <c r="J1086" s="5"/>
    </row>
    <row r="1087" spans="2:10" ht="14.25" thickBot="1" x14ac:dyDescent="0.2">
      <c r="B1087" s="6" t="s">
        <v>6</v>
      </c>
      <c r="C1087" s="7"/>
      <c r="D1087" s="14">
        <f>SUM(C1087:C1087)</f>
        <v>0</v>
      </c>
      <c r="E1087" s="16"/>
      <c r="G1087" s="6" t="s">
        <v>6</v>
      </c>
      <c r="H1087" s="88"/>
      <c r="I1087" s="11">
        <f>SUM(H1087:H1087)</f>
        <v>0</v>
      </c>
      <c r="J1087" s="85"/>
    </row>
    <row r="1088" spans="2:10" ht="14.25" thickBot="1" x14ac:dyDescent="0.2">
      <c r="B1088" s="46" t="s">
        <v>1</v>
      </c>
      <c r="C1088" s="48">
        <f>SUM(C1084:C1087)</f>
        <v>977</v>
      </c>
      <c r="D1088" s="48">
        <f>SUM(D1084:D1087)</f>
        <v>977</v>
      </c>
      <c r="E1088" s="49"/>
      <c r="G1088" s="46" t="s">
        <v>1</v>
      </c>
      <c r="H1088" s="47">
        <f>SUM(H1084:H1087)</f>
        <v>7524</v>
      </c>
      <c r="I1088" s="48">
        <f>SUM(I1084:I1087)</f>
        <v>7524</v>
      </c>
      <c r="J1088" s="49"/>
    </row>
    <row r="1089" spans="2:10" x14ac:dyDescent="0.15">
      <c r="B1089" s="10" t="s">
        <v>320</v>
      </c>
      <c r="C1089" s="77">
        <v>2</v>
      </c>
      <c r="D1089" s="11">
        <f>SUM(C1089:C1089)</f>
        <v>2</v>
      </c>
      <c r="E1089" s="12">
        <v>42188</v>
      </c>
      <c r="G1089" s="81" t="s">
        <v>323</v>
      </c>
      <c r="H1089" s="13">
        <v>500</v>
      </c>
      <c r="I1089" s="11">
        <f>SUM(H1089:H1089)</f>
        <v>500</v>
      </c>
      <c r="J1089" s="12">
        <v>42194</v>
      </c>
    </row>
    <row r="1090" spans="2:10" x14ac:dyDescent="0.15">
      <c r="B1090" s="10" t="s">
        <v>322</v>
      </c>
      <c r="C1090" s="13">
        <v>1</v>
      </c>
      <c r="D1090" s="14">
        <f>SUM(C1090:C1090)</f>
        <v>1</v>
      </c>
      <c r="E1090" s="12">
        <v>42189</v>
      </c>
      <c r="G1090" s="78" t="s">
        <v>321</v>
      </c>
      <c r="H1090" s="13">
        <v>200</v>
      </c>
      <c r="I1090" s="14">
        <f>SUM(H1090:H1090)</f>
        <v>200</v>
      </c>
      <c r="J1090" s="12">
        <v>42198</v>
      </c>
    </row>
    <row r="1091" spans="2:10" x14ac:dyDescent="0.15">
      <c r="B1091" s="10" t="s">
        <v>18</v>
      </c>
      <c r="C1091" s="13">
        <v>18</v>
      </c>
      <c r="D1091" s="14">
        <f>SUM(C1091:C1091)</f>
        <v>18</v>
      </c>
      <c r="E1091" s="12">
        <v>42192</v>
      </c>
      <c r="G1091" s="10" t="s">
        <v>16</v>
      </c>
      <c r="H1091" s="13">
        <v>336</v>
      </c>
      <c r="I1091" s="14">
        <f t="shared" ref="I1091:I1113" si="65">SUM(H1091:H1091)</f>
        <v>336</v>
      </c>
      <c r="J1091" s="12">
        <v>42199</v>
      </c>
    </row>
    <row r="1092" spans="2:10" x14ac:dyDescent="0.15">
      <c r="B1092" s="10" t="s">
        <v>200</v>
      </c>
      <c r="C1092" s="13">
        <v>1</v>
      </c>
      <c r="D1092" s="14">
        <f t="shared" ref="D1092:D1113" si="66">SUM(C1092:C1092)</f>
        <v>1</v>
      </c>
      <c r="E1092" s="12">
        <v>42198</v>
      </c>
      <c r="G1092" s="10" t="s">
        <v>16</v>
      </c>
      <c r="H1092" s="13">
        <v>336</v>
      </c>
      <c r="I1092" s="14">
        <f t="shared" si="65"/>
        <v>336</v>
      </c>
      <c r="J1092" s="12">
        <v>42209</v>
      </c>
    </row>
    <row r="1093" spans="2:10" x14ac:dyDescent="0.15">
      <c r="B1093" s="10" t="s">
        <v>18</v>
      </c>
      <c r="C1093" s="13">
        <v>33</v>
      </c>
      <c r="D1093" s="14">
        <f t="shared" si="66"/>
        <v>33</v>
      </c>
      <c r="E1093" s="12">
        <v>42194</v>
      </c>
      <c r="G1093" s="15"/>
      <c r="H1093" s="13"/>
      <c r="I1093" s="14">
        <f t="shared" si="65"/>
        <v>0</v>
      </c>
      <c r="J1093" s="12"/>
    </row>
    <row r="1094" spans="2:10" x14ac:dyDescent="0.15">
      <c r="B1094" s="10" t="s">
        <v>325</v>
      </c>
      <c r="C1094" s="13">
        <v>1</v>
      </c>
      <c r="D1094" s="14">
        <f t="shared" si="66"/>
        <v>1</v>
      </c>
      <c r="E1094" s="12">
        <v>42194</v>
      </c>
      <c r="G1094" s="78"/>
      <c r="H1094" s="13"/>
      <c r="I1094" s="14">
        <f t="shared" si="65"/>
        <v>0</v>
      </c>
      <c r="J1094" s="12"/>
    </row>
    <row r="1095" spans="2:10" x14ac:dyDescent="0.15">
      <c r="B1095" s="81" t="s">
        <v>324</v>
      </c>
      <c r="C1095" s="13">
        <v>50</v>
      </c>
      <c r="D1095" s="14">
        <f t="shared" si="66"/>
        <v>50</v>
      </c>
      <c r="E1095" s="12">
        <v>42196</v>
      </c>
      <c r="G1095" s="78"/>
      <c r="H1095" s="13"/>
      <c r="I1095" s="14">
        <f t="shared" si="65"/>
        <v>0</v>
      </c>
      <c r="J1095" s="12"/>
    </row>
    <row r="1096" spans="2:10" x14ac:dyDescent="0.15">
      <c r="B1096" s="10" t="s">
        <v>326</v>
      </c>
      <c r="C1096" s="13">
        <v>58</v>
      </c>
      <c r="D1096" s="14">
        <f t="shared" si="66"/>
        <v>58</v>
      </c>
      <c r="E1096" s="12">
        <v>42199</v>
      </c>
      <c r="G1096" s="78"/>
      <c r="H1096" s="13"/>
      <c r="I1096" s="14">
        <f t="shared" si="65"/>
        <v>0</v>
      </c>
      <c r="J1096" s="12"/>
    </row>
    <row r="1097" spans="2:10" x14ac:dyDescent="0.15">
      <c r="B1097" s="10" t="s">
        <v>284</v>
      </c>
      <c r="C1097" s="13">
        <v>10</v>
      </c>
      <c r="D1097" s="14">
        <f t="shared" si="66"/>
        <v>10</v>
      </c>
      <c r="E1097" s="12">
        <v>42200</v>
      </c>
      <c r="G1097" s="10"/>
      <c r="H1097" s="13"/>
      <c r="I1097" s="14">
        <f t="shared" si="65"/>
        <v>0</v>
      </c>
      <c r="J1097" s="12"/>
    </row>
    <row r="1098" spans="2:10" x14ac:dyDescent="0.15">
      <c r="B1098" s="10" t="s">
        <v>189</v>
      </c>
      <c r="C1098" s="13">
        <v>1</v>
      </c>
      <c r="D1098" s="14">
        <f t="shared" si="66"/>
        <v>1</v>
      </c>
      <c r="E1098" s="12">
        <v>42198</v>
      </c>
      <c r="G1098" s="78"/>
      <c r="H1098" s="13"/>
      <c r="I1098" s="14">
        <f t="shared" si="65"/>
        <v>0</v>
      </c>
      <c r="J1098" s="12"/>
    </row>
    <row r="1099" spans="2:10" x14ac:dyDescent="0.15">
      <c r="B1099" s="10" t="s">
        <v>327</v>
      </c>
      <c r="C1099" s="13">
        <v>2</v>
      </c>
      <c r="D1099" s="14">
        <f t="shared" si="66"/>
        <v>2</v>
      </c>
      <c r="E1099" s="12">
        <v>42199</v>
      </c>
      <c r="G1099" s="15"/>
      <c r="H1099" s="13"/>
      <c r="I1099" s="14">
        <f t="shared" si="65"/>
        <v>0</v>
      </c>
      <c r="J1099" s="5"/>
    </row>
    <row r="1100" spans="2:10" x14ac:dyDescent="0.15">
      <c r="B1100" s="10" t="s">
        <v>18</v>
      </c>
      <c r="C1100" s="13">
        <v>128</v>
      </c>
      <c r="D1100" s="14">
        <f t="shared" si="66"/>
        <v>128</v>
      </c>
      <c r="E1100" s="12">
        <v>42202</v>
      </c>
      <c r="G1100" s="15"/>
      <c r="H1100" s="7"/>
      <c r="I1100" s="14">
        <f t="shared" si="65"/>
        <v>0</v>
      </c>
      <c r="J1100" s="12"/>
    </row>
    <row r="1101" spans="2:10" x14ac:dyDescent="0.15">
      <c r="B1101" s="10" t="s">
        <v>328</v>
      </c>
      <c r="C1101" s="13">
        <v>1</v>
      </c>
      <c r="D1101" s="14">
        <f t="shared" si="66"/>
        <v>1</v>
      </c>
      <c r="E1101" s="12">
        <v>42201</v>
      </c>
      <c r="G1101" s="10"/>
      <c r="H1101" s="13"/>
      <c r="I1101" s="14">
        <f t="shared" si="65"/>
        <v>0</v>
      </c>
      <c r="J1101" s="12"/>
    </row>
    <row r="1102" spans="2:10" x14ac:dyDescent="0.15">
      <c r="B1102" s="10" t="s">
        <v>18</v>
      </c>
      <c r="C1102" s="13">
        <v>81</v>
      </c>
      <c r="D1102" s="14">
        <f t="shared" si="66"/>
        <v>81</v>
      </c>
      <c r="E1102" s="12">
        <v>42207</v>
      </c>
      <c r="G1102" s="15"/>
      <c r="H1102" s="13"/>
      <c r="I1102" s="14">
        <f t="shared" si="65"/>
        <v>0</v>
      </c>
      <c r="J1102" s="12"/>
    </row>
    <row r="1103" spans="2:10" x14ac:dyDescent="0.15">
      <c r="B1103" s="10" t="s">
        <v>189</v>
      </c>
      <c r="C1103" s="13">
        <v>11</v>
      </c>
      <c r="D1103" s="14">
        <f t="shared" si="66"/>
        <v>11</v>
      </c>
      <c r="E1103" s="12">
        <v>42206</v>
      </c>
      <c r="G1103" s="15"/>
      <c r="H1103" s="13"/>
      <c r="I1103" s="14">
        <f t="shared" si="65"/>
        <v>0</v>
      </c>
      <c r="J1103" s="5"/>
    </row>
    <row r="1104" spans="2:10" x14ac:dyDescent="0.15">
      <c r="B1104" s="10" t="s">
        <v>284</v>
      </c>
      <c r="C1104" s="13">
        <v>10</v>
      </c>
      <c r="D1104" s="14">
        <f t="shared" si="66"/>
        <v>10</v>
      </c>
      <c r="E1104" s="12">
        <v>42209</v>
      </c>
      <c r="G1104" s="15"/>
      <c r="H1104" s="7"/>
      <c r="I1104" s="14">
        <f t="shared" si="65"/>
        <v>0</v>
      </c>
      <c r="J1104" s="12"/>
    </row>
    <row r="1105" spans="2:10" x14ac:dyDescent="0.15">
      <c r="B1105" s="10" t="s">
        <v>18</v>
      </c>
      <c r="C1105" s="13">
        <v>115</v>
      </c>
      <c r="D1105" s="14">
        <f t="shared" si="66"/>
        <v>115</v>
      </c>
      <c r="E1105" s="12">
        <v>42209</v>
      </c>
      <c r="G1105" s="15"/>
      <c r="H1105" s="7"/>
      <c r="I1105" s="14">
        <f>SUM(H1105:H1105)</f>
        <v>0</v>
      </c>
      <c r="J1105" s="12"/>
    </row>
    <row r="1106" spans="2:10" x14ac:dyDescent="0.15">
      <c r="B1106" s="10" t="s">
        <v>329</v>
      </c>
      <c r="C1106" s="13">
        <v>1</v>
      </c>
      <c r="D1106" s="14">
        <f t="shared" si="66"/>
        <v>1</v>
      </c>
      <c r="E1106" s="12">
        <v>42207</v>
      </c>
      <c r="G1106" s="15"/>
      <c r="H1106" s="7"/>
      <c r="I1106" s="14">
        <f>SUM(H1106:H1106)</f>
        <v>0</v>
      </c>
      <c r="J1106" s="12"/>
    </row>
    <row r="1107" spans="2:10" x14ac:dyDescent="0.15">
      <c r="B1107" s="10" t="s">
        <v>284</v>
      </c>
      <c r="C1107" s="13">
        <v>6</v>
      </c>
      <c r="D1107" s="14">
        <f t="shared" si="66"/>
        <v>6</v>
      </c>
      <c r="E1107" s="12">
        <v>42212</v>
      </c>
      <c r="G1107" s="10"/>
      <c r="H1107" s="13"/>
      <c r="I1107" s="14">
        <f t="shared" si="65"/>
        <v>0</v>
      </c>
      <c r="J1107" s="12"/>
    </row>
    <row r="1108" spans="2:10" x14ac:dyDescent="0.15">
      <c r="B1108" s="10" t="s">
        <v>330</v>
      </c>
      <c r="C1108" s="13">
        <v>5</v>
      </c>
      <c r="D1108" s="14">
        <f t="shared" si="66"/>
        <v>5</v>
      </c>
      <c r="E1108" s="5">
        <v>42208</v>
      </c>
      <c r="G1108" s="15"/>
      <c r="H1108" s="13"/>
      <c r="I1108" s="14">
        <f t="shared" si="65"/>
        <v>0</v>
      </c>
      <c r="J1108" s="12"/>
    </row>
    <row r="1109" spans="2:10" x14ac:dyDescent="0.15">
      <c r="B1109" s="10" t="s">
        <v>284</v>
      </c>
      <c r="C1109" s="13">
        <v>14</v>
      </c>
      <c r="D1109" s="14">
        <f t="shared" si="66"/>
        <v>14</v>
      </c>
      <c r="E1109" s="5">
        <v>42213</v>
      </c>
      <c r="G1109" s="15"/>
      <c r="H1109" s="13"/>
      <c r="I1109" s="14">
        <f t="shared" si="65"/>
        <v>0</v>
      </c>
      <c r="J1109" s="5"/>
    </row>
    <row r="1110" spans="2:10" x14ac:dyDescent="0.15">
      <c r="B1110" s="10" t="s">
        <v>189</v>
      </c>
      <c r="C1110" s="13">
        <v>3</v>
      </c>
      <c r="D1110" s="14">
        <f t="shared" si="66"/>
        <v>3</v>
      </c>
      <c r="E1110" s="5">
        <v>42209</v>
      </c>
      <c r="G1110" s="15"/>
      <c r="H1110" s="13"/>
      <c r="I1110" s="14">
        <f>SUM(H1110:H1110)</f>
        <v>0</v>
      </c>
      <c r="J1110" s="5"/>
    </row>
    <row r="1111" spans="2:10" x14ac:dyDescent="0.15">
      <c r="B1111" s="10" t="s">
        <v>331</v>
      </c>
      <c r="C1111" s="13">
        <v>7</v>
      </c>
      <c r="D1111" s="14">
        <f t="shared" si="66"/>
        <v>7</v>
      </c>
      <c r="E1111" s="5">
        <v>42210</v>
      </c>
      <c r="G1111" s="15"/>
      <c r="H1111" s="7"/>
      <c r="I1111" s="14">
        <f t="shared" si="65"/>
        <v>0</v>
      </c>
      <c r="J1111" s="12"/>
    </row>
    <row r="1112" spans="2:10" ht="14.25" thickBot="1" x14ac:dyDescent="0.2">
      <c r="B1112" s="15" t="s">
        <v>311</v>
      </c>
      <c r="C1112" s="13">
        <v>186</v>
      </c>
      <c r="D1112" s="11">
        <f t="shared" si="66"/>
        <v>186</v>
      </c>
      <c r="E1112" s="12">
        <v>42213</v>
      </c>
      <c r="G1112" s="15"/>
      <c r="H1112" s="7"/>
      <c r="I1112" s="14">
        <f t="shared" si="65"/>
        <v>0</v>
      </c>
      <c r="J1112" s="74"/>
    </row>
    <row r="1113" spans="2:10" ht="14.25" thickBot="1" x14ac:dyDescent="0.2">
      <c r="B1113" s="17" t="s">
        <v>2</v>
      </c>
      <c r="C1113" s="18">
        <f>SUM(C1089:C1112)</f>
        <v>745</v>
      </c>
      <c r="D1113" s="19">
        <f t="shared" si="66"/>
        <v>745</v>
      </c>
      <c r="E1113" s="20"/>
      <c r="G1113" s="17" t="s">
        <v>2</v>
      </c>
      <c r="H1113" s="18">
        <f>SUM(H1089:H1112)</f>
        <v>1372</v>
      </c>
      <c r="I1113" s="19">
        <f t="shared" si="65"/>
        <v>1372</v>
      </c>
      <c r="J1113" s="20"/>
    </row>
    <row r="1114" spans="2:10" ht="14.25" thickBot="1" x14ac:dyDescent="0.2">
      <c r="B1114" s="46" t="s">
        <v>3</v>
      </c>
      <c r="C1114" s="52">
        <f>C1088-C1113</f>
        <v>232</v>
      </c>
      <c r="D1114" s="48">
        <f>D1088-D1113</f>
        <v>232</v>
      </c>
      <c r="E1114" s="49"/>
      <c r="G1114" s="46" t="s">
        <v>3</v>
      </c>
      <c r="H1114" s="52">
        <f>H1088-H1113</f>
        <v>6152</v>
      </c>
      <c r="I1114" s="48">
        <f>I1088-I1113</f>
        <v>6152</v>
      </c>
      <c r="J1114" s="49"/>
    </row>
    <row r="1117" spans="2:10" ht="18.75" x14ac:dyDescent="0.2">
      <c r="B1117" s="26" t="s">
        <v>7</v>
      </c>
      <c r="G1117" s="26" t="s">
        <v>35</v>
      </c>
    </row>
    <row r="1118" spans="2:10" ht="14.25" thickBot="1" x14ac:dyDescent="0.2"/>
    <row r="1119" spans="2:10" ht="14.25" thickBot="1" x14ac:dyDescent="0.2">
      <c r="B1119" s="1"/>
      <c r="C1119" s="2"/>
      <c r="D1119" s="3" t="s">
        <v>0</v>
      </c>
      <c r="E1119" s="1" t="s">
        <v>4</v>
      </c>
      <c r="G1119" s="1"/>
      <c r="H1119" s="2"/>
      <c r="I1119" s="3" t="s">
        <v>0</v>
      </c>
      <c r="J1119" s="1" t="s">
        <v>4</v>
      </c>
    </row>
    <row r="1120" spans="2:10" x14ac:dyDescent="0.15">
      <c r="B1120" s="42" t="s">
        <v>5</v>
      </c>
      <c r="C1120" s="43">
        <f>C1114</f>
        <v>232</v>
      </c>
      <c r="D1120" s="44">
        <f>SUM(C1120:C1120)</f>
        <v>232</v>
      </c>
      <c r="E1120" s="45"/>
      <c r="G1120" s="42" t="s">
        <v>5</v>
      </c>
      <c r="H1120" s="43">
        <f>H1114</f>
        <v>6152</v>
      </c>
      <c r="I1120" s="44">
        <f>SUM(H1120:H1120)</f>
        <v>6152</v>
      </c>
      <c r="J1120" s="45"/>
    </row>
    <row r="1121" spans="2:10" x14ac:dyDescent="0.15">
      <c r="B1121" s="6" t="s">
        <v>6</v>
      </c>
      <c r="C1121" s="13">
        <v>336</v>
      </c>
      <c r="D1121" s="14">
        <f>SUM(C1121:C1121)</f>
        <v>336</v>
      </c>
      <c r="E1121" s="5">
        <v>42214</v>
      </c>
      <c r="G1121" s="71" t="s">
        <v>6</v>
      </c>
      <c r="H1121" s="13"/>
      <c r="I1121" s="14">
        <f>SUM(H1121:H1121)</f>
        <v>0</v>
      </c>
      <c r="J1121" s="5"/>
    </row>
    <row r="1122" spans="2:10" x14ac:dyDescent="0.15">
      <c r="B1122" s="6" t="s">
        <v>6</v>
      </c>
      <c r="C1122" s="7">
        <v>200</v>
      </c>
      <c r="D1122" s="8">
        <f>SUM(C1122:C1122)</f>
        <v>200</v>
      </c>
      <c r="E1122" s="9">
        <v>42216</v>
      </c>
      <c r="F1122" t="s">
        <v>338</v>
      </c>
      <c r="G1122" s="71" t="s">
        <v>6</v>
      </c>
      <c r="H1122" s="67"/>
      <c r="I1122" s="14">
        <f>SUM(H1122:H1122)</f>
        <v>0</v>
      </c>
      <c r="J1122" s="5"/>
    </row>
    <row r="1123" spans="2:10" ht="14.25" thickBot="1" x14ac:dyDescent="0.2">
      <c r="B1123" s="6" t="s">
        <v>6</v>
      </c>
      <c r="C1123" s="7">
        <v>200</v>
      </c>
      <c r="D1123" s="14">
        <f>SUM(C1123:C1123)</f>
        <v>200</v>
      </c>
      <c r="E1123" s="16">
        <v>42219</v>
      </c>
      <c r="F1123" t="s">
        <v>338</v>
      </c>
      <c r="G1123" s="6" t="s">
        <v>6</v>
      </c>
      <c r="H1123" s="88"/>
      <c r="I1123" s="11">
        <f>SUM(H1123:H1123)</f>
        <v>0</v>
      </c>
      <c r="J1123" s="85"/>
    </row>
    <row r="1124" spans="2:10" ht="14.25" thickBot="1" x14ac:dyDescent="0.2">
      <c r="B1124" s="46" t="s">
        <v>1</v>
      </c>
      <c r="C1124" s="48">
        <f>SUM(C1120:C1123)</f>
        <v>968</v>
      </c>
      <c r="D1124" s="48">
        <f>SUM(D1120:D1123)</f>
        <v>968</v>
      </c>
      <c r="E1124" s="49"/>
      <c r="G1124" s="46" t="s">
        <v>1</v>
      </c>
      <c r="H1124" s="47">
        <f>SUM(H1120:H1123)</f>
        <v>6152</v>
      </c>
      <c r="I1124" s="48">
        <f>SUM(I1120:I1123)</f>
        <v>6152</v>
      </c>
      <c r="J1124" s="49"/>
    </row>
    <row r="1125" spans="2:10" x14ac:dyDescent="0.15">
      <c r="B1125" s="10" t="s">
        <v>333</v>
      </c>
      <c r="C1125" s="77">
        <v>8</v>
      </c>
      <c r="D1125" s="11">
        <f>SUM(C1125:C1125)</f>
        <v>8</v>
      </c>
      <c r="E1125" s="12">
        <v>42212</v>
      </c>
      <c r="G1125" s="81" t="s">
        <v>16</v>
      </c>
      <c r="H1125" s="13">
        <v>336</v>
      </c>
      <c r="I1125" s="11">
        <f>SUM(H1125:H1125)</f>
        <v>336</v>
      </c>
      <c r="J1125" s="12">
        <v>42214</v>
      </c>
    </row>
    <row r="1126" spans="2:10" x14ac:dyDescent="0.15">
      <c r="B1126" s="10" t="s">
        <v>18</v>
      </c>
      <c r="C1126" s="13">
        <v>49</v>
      </c>
      <c r="D1126" s="14">
        <f>SUM(C1126:C1126)</f>
        <v>49</v>
      </c>
      <c r="E1126" s="12">
        <v>42214</v>
      </c>
      <c r="G1126" s="15" t="s">
        <v>334</v>
      </c>
      <c r="H1126" s="13">
        <v>800</v>
      </c>
      <c r="I1126" s="14">
        <f>SUM(H1126:H1126)</f>
        <v>800</v>
      </c>
      <c r="J1126" s="12">
        <v>42216</v>
      </c>
    </row>
    <row r="1127" spans="2:10" x14ac:dyDescent="0.15">
      <c r="B1127" s="10" t="s">
        <v>339</v>
      </c>
      <c r="C1127" s="13">
        <v>2</v>
      </c>
      <c r="D1127" s="14">
        <f>SUM(C1127:C1127)</f>
        <v>2</v>
      </c>
      <c r="E1127" s="12">
        <v>42213</v>
      </c>
      <c r="G1127" s="15" t="s">
        <v>336</v>
      </c>
      <c r="H1127" s="13">
        <v>200</v>
      </c>
      <c r="I1127" s="14">
        <f t="shared" ref="I1127:I1140" si="67">SUM(H1127:H1127)</f>
        <v>200</v>
      </c>
      <c r="J1127" s="12">
        <v>42216</v>
      </c>
    </row>
    <row r="1128" spans="2:10" x14ac:dyDescent="0.15">
      <c r="B1128" s="10" t="s">
        <v>11</v>
      </c>
      <c r="C1128" s="13">
        <v>35</v>
      </c>
      <c r="D1128" s="14">
        <f t="shared" ref="D1128:D1149" si="68">SUM(C1128:C1128)</f>
        <v>35</v>
      </c>
      <c r="E1128" s="12">
        <v>42222</v>
      </c>
      <c r="G1128" s="81" t="s">
        <v>337</v>
      </c>
      <c r="H1128" s="13">
        <v>200</v>
      </c>
      <c r="I1128" s="14">
        <f t="shared" si="67"/>
        <v>200</v>
      </c>
      <c r="J1128" s="12">
        <v>42216</v>
      </c>
    </row>
    <row r="1129" spans="2:10" x14ac:dyDescent="0.15">
      <c r="B1129" s="15" t="s">
        <v>335</v>
      </c>
      <c r="C1129" s="13">
        <v>100</v>
      </c>
      <c r="D1129" s="14">
        <f t="shared" si="68"/>
        <v>100</v>
      </c>
      <c r="E1129" s="12">
        <v>42216</v>
      </c>
      <c r="G1129" s="81" t="s">
        <v>337</v>
      </c>
      <c r="H1129" s="13">
        <v>200</v>
      </c>
      <c r="I1129" s="14">
        <f t="shared" si="67"/>
        <v>200</v>
      </c>
      <c r="J1129" s="12">
        <v>42219</v>
      </c>
    </row>
    <row r="1130" spans="2:10" x14ac:dyDescent="0.15">
      <c r="B1130" s="10" t="s">
        <v>341</v>
      </c>
      <c r="C1130" s="13">
        <v>2</v>
      </c>
      <c r="D1130" s="14">
        <f t="shared" si="68"/>
        <v>2</v>
      </c>
      <c r="E1130" s="12">
        <v>42214</v>
      </c>
      <c r="G1130" s="78"/>
      <c r="H1130" s="13"/>
      <c r="I1130" s="14">
        <f t="shared" si="67"/>
        <v>0</v>
      </c>
      <c r="J1130" s="12"/>
    </row>
    <row r="1131" spans="2:10" x14ac:dyDescent="0.15">
      <c r="B1131" s="10" t="s">
        <v>18</v>
      </c>
      <c r="C1131" s="13">
        <v>30</v>
      </c>
      <c r="D1131" s="14">
        <f t="shared" si="68"/>
        <v>30</v>
      </c>
      <c r="E1131" s="12">
        <v>42216</v>
      </c>
      <c r="G1131" s="78"/>
      <c r="H1131" s="13"/>
      <c r="I1131" s="14">
        <f t="shared" si="67"/>
        <v>0</v>
      </c>
      <c r="J1131" s="12"/>
    </row>
    <row r="1132" spans="2:10" x14ac:dyDescent="0.15">
      <c r="B1132" s="15" t="s">
        <v>340</v>
      </c>
      <c r="C1132" s="13">
        <v>100</v>
      </c>
      <c r="D1132" s="14">
        <f t="shared" si="68"/>
        <v>100</v>
      </c>
      <c r="E1132" s="12">
        <v>42217</v>
      </c>
      <c r="G1132" s="78"/>
      <c r="H1132" s="13"/>
      <c r="I1132" s="14">
        <f t="shared" si="67"/>
        <v>0</v>
      </c>
      <c r="J1132" s="12"/>
    </row>
    <row r="1133" spans="2:10" x14ac:dyDescent="0.15">
      <c r="B1133" s="10" t="s">
        <v>343</v>
      </c>
      <c r="C1133" s="13">
        <v>6</v>
      </c>
      <c r="D1133" s="14">
        <f t="shared" si="68"/>
        <v>6</v>
      </c>
      <c r="E1133" s="12">
        <v>42215</v>
      </c>
      <c r="G1133" s="10"/>
      <c r="H1133" s="13"/>
      <c r="I1133" s="14">
        <f t="shared" si="67"/>
        <v>0</v>
      </c>
      <c r="J1133" s="12"/>
    </row>
    <row r="1134" spans="2:10" x14ac:dyDescent="0.15">
      <c r="B1134" s="15" t="s">
        <v>342</v>
      </c>
      <c r="C1134" s="13">
        <v>100</v>
      </c>
      <c r="D1134" s="14">
        <f t="shared" si="68"/>
        <v>100</v>
      </c>
      <c r="E1134" s="12">
        <v>42219</v>
      </c>
      <c r="G1134" s="78"/>
      <c r="H1134" s="13"/>
      <c r="I1134" s="14">
        <f t="shared" si="67"/>
        <v>0</v>
      </c>
      <c r="J1134" s="12"/>
    </row>
    <row r="1135" spans="2:10" x14ac:dyDescent="0.15">
      <c r="B1135" s="10" t="s">
        <v>284</v>
      </c>
      <c r="C1135" s="13">
        <v>10</v>
      </c>
      <c r="D1135" s="14">
        <f t="shared" si="68"/>
        <v>10</v>
      </c>
      <c r="E1135" s="12">
        <v>42221</v>
      </c>
      <c r="G1135" s="15"/>
      <c r="H1135" s="13"/>
      <c r="I1135" s="14">
        <f t="shared" si="67"/>
        <v>0</v>
      </c>
      <c r="J1135" s="5"/>
    </row>
    <row r="1136" spans="2:10" x14ac:dyDescent="0.15">
      <c r="B1136" s="10" t="s">
        <v>344</v>
      </c>
      <c r="C1136" s="13">
        <v>6</v>
      </c>
      <c r="D1136" s="14">
        <f t="shared" si="68"/>
        <v>6</v>
      </c>
      <c r="E1136" s="12">
        <v>42219</v>
      </c>
      <c r="G1136" s="15"/>
      <c r="H1136" s="7"/>
      <c r="I1136" s="14">
        <f t="shared" si="67"/>
        <v>0</v>
      </c>
      <c r="J1136" s="12"/>
    </row>
    <row r="1137" spans="2:10" x14ac:dyDescent="0.15">
      <c r="B1137" s="10" t="s">
        <v>18</v>
      </c>
      <c r="C1137" s="13">
        <v>37</v>
      </c>
      <c r="D1137" s="14">
        <f t="shared" si="68"/>
        <v>37</v>
      </c>
      <c r="E1137" s="12">
        <v>42221</v>
      </c>
      <c r="G1137" s="10"/>
      <c r="H1137" s="13"/>
      <c r="I1137" s="14">
        <f t="shared" si="67"/>
        <v>0</v>
      </c>
      <c r="J1137" s="12"/>
    </row>
    <row r="1138" spans="2:10" x14ac:dyDescent="0.15">
      <c r="B1138" s="10" t="s">
        <v>76</v>
      </c>
      <c r="C1138" s="13">
        <v>-23</v>
      </c>
      <c r="D1138" s="14">
        <f t="shared" si="68"/>
        <v>-23</v>
      </c>
      <c r="E1138" s="12">
        <v>42220</v>
      </c>
      <c r="G1138" s="15"/>
      <c r="H1138" s="13"/>
      <c r="I1138" s="14">
        <f t="shared" si="67"/>
        <v>0</v>
      </c>
      <c r="J1138" s="12"/>
    </row>
    <row r="1139" spans="2:10" x14ac:dyDescent="0.15">
      <c r="B1139" s="10" t="s">
        <v>345</v>
      </c>
      <c r="C1139" s="13">
        <v>2</v>
      </c>
      <c r="D1139" s="14">
        <f t="shared" si="68"/>
        <v>2</v>
      </c>
      <c r="E1139" s="12">
        <v>42220</v>
      </c>
      <c r="G1139" s="15"/>
      <c r="H1139" s="13"/>
      <c r="I1139" s="14">
        <f t="shared" si="67"/>
        <v>0</v>
      </c>
      <c r="J1139" s="5"/>
    </row>
    <row r="1140" spans="2:10" x14ac:dyDescent="0.15">
      <c r="B1140" s="10" t="s">
        <v>76</v>
      </c>
      <c r="C1140" s="13">
        <v>-11</v>
      </c>
      <c r="D1140" s="14">
        <f t="shared" si="68"/>
        <v>-11</v>
      </c>
      <c r="E1140" s="12">
        <v>42220</v>
      </c>
      <c r="G1140" s="15"/>
      <c r="H1140" s="7"/>
      <c r="I1140" s="14">
        <f t="shared" si="67"/>
        <v>0</v>
      </c>
      <c r="J1140" s="12"/>
    </row>
    <row r="1141" spans="2:10" x14ac:dyDescent="0.15">
      <c r="B1141" s="10" t="s">
        <v>346</v>
      </c>
      <c r="C1141" s="13">
        <v>1</v>
      </c>
      <c r="D1141" s="14">
        <f t="shared" si="68"/>
        <v>1</v>
      </c>
      <c r="E1141" s="12">
        <v>42221</v>
      </c>
      <c r="G1141" s="15"/>
      <c r="H1141" s="7"/>
      <c r="I1141" s="14">
        <f t="shared" ref="I1141:I1149" si="69">SUM(H1141:H1141)</f>
        <v>0</v>
      </c>
      <c r="J1141" s="12"/>
    </row>
    <row r="1142" spans="2:10" x14ac:dyDescent="0.15">
      <c r="B1142" s="10" t="s">
        <v>18</v>
      </c>
      <c r="C1142" s="13">
        <v>73</v>
      </c>
      <c r="D1142" s="14">
        <f t="shared" si="68"/>
        <v>73</v>
      </c>
      <c r="E1142" s="12">
        <v>42224</v>
      </c>
      <c r="G1142" s="15"/>
      <c r="H1142" s="7"/>
      <c r="I1142" s="14">
        <f t="shared" si="69"/>
        <v>0</v>
      </c>
      <c r="J1142" s="12"/>
    </row>
    <row r="1143" spans="2:10" x14ac:dyDescent="0.15">
      <c r="B1143" s="10" t="s">
        <v>105</v>
      </c>
      <c r="C1143" s="13">
        <v>-2</v>
      </c>
      <c r="D1143" s="14">
        <f t="shared" si="68"/>
        <v>-2</v>
      </c>
      <c r="E1143" s="12">
        <v>42224</v>
      </c>
      <c r="G1143" s="10"/>
      <c r="H1143" s="13"/>
      <c r="I1143" s="14">
        <f t="shared" si="69"/>
        <v>0</v>
      </c>
      <c r="J1143" s="12"/>
    </row>
    <row r="1144" spans="2:10" x14ac:dyDescent="0.15">
      <c r="B1144" s="10" t="s">
        <v>189</v>
      </c>
      <c r="C1144" s="13">
        <v>5</v>
      </c>
      <c r="D1144" s="14">
        <f t="shared" si="68"/>
        <v>5</v>
      </c>
      <c r="E1144" s="5">
        <v>42224</v>
      </c>
      <c r="G1144" s="10"/>
      <c r="H1144" s="13"/>
      <c r="I1144" s="14">
        <f>SUM(H1144:H1144)</f>
        <v>0</v>
      </c>
      <c r="J1144" s="12"/>
    </row>
    <row r="1145" spans="2:10" x14ac:dyDescent="0.15">
      <c r="B1145" s="10" t="s">
        <v>347</v>
      </c>
      <c r="C1145" s="13">
        <v>5</v>
      </c>
      <c r="D1145" s="14">
        <f t="shared" si="68"/>
        <v>5</v>
      </c>
      <c r="E1145" s="5">
        <v>42226</v>
      </c>
      <c r="G1145" s="15"/>
      <c r="H1145" s="13"/>
      <c r="I1145" s="14">
        <f t="shared" si="69"/>
        <v>0</v>
      </c>
      <c r="J1145" s="5"/>
    </row>
    <row r="1146" spans="2:10" x14ac:dyDescent="0.15">
      <c r="B1146" s="10" t="s">
        <v>18</v>
      </c>
      <c r="C1146" s="13">
        <v>68</v>
      </c>
      <c r="D1146" s="14">
        <f t="shared" si="68"/>
        <v>68</v>
      </c>
      <c r="E1146" s="5">
        <v>42228</v>
      </c>
      <c r="G1146" s="15"/>
      <c r="H1146" s="13"/>
      <c r="I1146" s="14">
        <f t="shared" si="69"/>
        <v>0</v>
      </c>
      <c r="J1146" s="5"/>
    </row>
    <row r="1147" spans="2:10" x14ac:dyDescent="0.15">
      <c r="B1147" s="10" t="s">
        <v>348</v>
      </c>
      <c r="C1147" s="13">
        <v>12</v>
      </c>
      <c r="D1147" s="14">
        <f t="shared" si="68"/>
        <v>12</v>
      </c>
      <c r="E1147" s="5">
        <v>42230</v>
      </c>
      <c r="G1147" s="15"/>
      <c r="H1147" s="7"/>
      <c r="I1147" s="14">
        <f t="shared" si="69"/>
        <v>0</v>
      </c>
      <c r="J1147" s="12"/>
    </row>
    <row r="1148" spans="2:10" ht="14.25" thickBot="1" x14ac:dyDescent="0.2">
      <c r="B1148" s="10" t="s">
        <v>349</v>
      </c>
      <c r="C1148" s="13">
        <v>50</v>
      </c>
      <c r="D1148" s="11">
        <f t="shared" si="68"/>
        <v>50</v>
      </c>
      <c r="E1148" s="12">
        <v>42234</v>
      </c>
      <c r="G1148" s="15"/>
      <c r="H1148" s="7"/>
      <c r="I1148" s="14">
        <f t="shared" si="69"/>
        <v>0</v>
      </c>
      <c r="J1148" s="74"/>
    </row>
    <row r="1149" spans="2:10" ht="14.25" thickBot="1" x14ac:dyDescent="0.2">
      <c r="B1149" s="17" t="s">
        <v>2</v>
      </c>
      <c r="C1149" s="18">
        <f>SUM(C1125:C1148)</f>
        <v>665</v>
      </c>
      <c r="D1149" s="19">
        <f t="shared" si="68"/>
        <v>665</v>
      </c>
      <c r="E1149" s="20"/>
      <c r="G1149" s="17" t="s">
        <v>2</v>
      </c>
      <c r="H1149" s="18">
        <f>SUM(H1125:H1148)</f>
        <v>1736</v>
      </c>
      <c r="I1149" s="19">
        <f t="shared" si="69"/>
        <v>1736</v>
      </c>
      <c r="J1149" s="20"/>
    </row>
    <row r="1150" spans="2:10" ht="14.25" thickBot="1" x14ac:dyDescent="0.2">
      <c r="B1150" s="46" t="s">
        <v>3</v>
      </c>
      <c r="C1150" s="52">
        <f>C1124-C1149</f>
        <v>303</v>
      </c>
      <c r="D1150" s="48">
        <f>D1124-D1149</f>
        <v>303</v>
      </c>
      <c r="E1150" s="49"/>
      <c r="G1150" s="46" t="s">
        <v>3</v>
      </c>
      <c r="H1150" s="52">
        <f>H1124-H1149</f>
        <v>4416</v>
      </c>
      <c r="I1150" s="48">
        <f>I1124-I1149</f>
        <v>4416</v>
      </c>
      <c r="J1150" s="49"/>
    </row>
    <row r="1153" spans="2:11" ht="18.75" x14ac:dyDescent="0.2">
      <c r="B1153" s="26" t="s">
        <v>7</v>
      </c>
      <c r="G1153" s="26" t="s">
        <v>35</v>
      </c>
    </row>
    <row r="1154" spans="2:11" ht="14.25" thickBot="1" x14ac:dyDescent="0.2"/>
    <row r="1155" spans="2:11" ht="14.25" thickBot="1" x14ac:dyDescent="0.2">
      <c r="B1155" s="1"/>
      <c r="C1155" s="2"/>
      <c r="D1155" s="3" t="s">
        <v>0</v>
      </c>
      <c r="E1155" s="1" t="s">
        <v>4</v>
      </c>
      <c r="G1155" s="1"/>
      <c r="H1155" s="2"/>
      <c r="I1155" s="3" t="s">
        <v>0</v>
      </c>
      <c r="J1155" s="1" t="s">
        <v>4</v>
      </c>
    </row>
    <row r="1156" spans="2:11" x14ac:dyDescent="0.15">
      <c r="B1156" s="42" t="s">
        <v>5</v>
      </c>
      <c r="C1156" s="43">
        <f>C1150</f>
        <v>303</v>
      </c>
      <c r="D1156" s="44">
        <f>SUM(C1156:C1156)</f>
        <v>303</v>
      </c>
      <c r="E1156" s="45"/>
      <c r="G1156" s="42" t="s">
        <v>5</v>
      </c>
      <c r="H1156" s="43">
        <f>H1150</f>
        <v>4416</v>
      </c>
      <c r="I1156" s="44">
        <f>SUM(H1156:H1156)</f>
        <v>4416</v>
      </c>
      <c r="J1156" s="45"/>
      <c r="K1156" s="103" t="s">
        <v>353</v>
      </c>
    </row>
    <row r="1157" spans="2:11" x14ac:dyDescent="0.15">
      <c r="B1157" s="6" t="s">
        <v>6</v>
      </c>
      <c r="C1157" s="13">
        <v>336</v>
      </c>
      <c r="D1157" s="14">
        <f>SUM(C1157:C1157)</f>
        <v>336</v>
      </c>
      <c r="E1157" s="5">
        <v>42235</v>
      </c>
      <c r="G1157" s="71" t="s">
        <v>6</v>
      </c>
      <c r="H1157" s="13"/>
      <c r="I1157" s="14">
        <f>SUM(H1157:H1157)</f>
        <v>0</v>
      </c>
      <c r="J1157" s="5"/>
    </row>
    <row r="1158" spans="2:11" x14ac:dyDescent="0.15">
      <c r="B1158" s="6" t="s">
        <v>105</v>
      </c>
      <c r="C1158" s="7">
        <v>2</v>
      </c>
      <c r="D1158" s="8">
        <f>SUM(C1158:C1158)</f>
        <v>2</v>
      </c>
      <c r="E1158" s="9">
        <v>42243</v>
      </c>
      <c r="G1158" s="71" t="s">
        <v>6</v>
      </c>
      <c r="H1158" s="67"/>
      <c r="I1158" s="14">
        <f>SUM(H1158:H1158)</f>
        <v>0</v>
      </c>
      <c r="J1158" s="5"/>
    </row>
    <row r="1159" spans="2:11" ht="14.25" thickBot="1" x14ac:dyDescent="0.2">
      <c r="B1159" s="6" t="s">
        <v>76</v>
      </c>
      <c r="C1159" s="7">
        <v>31</v>
      </c>
      <c r="D1159" s="14">
        <f>SUM(C1159:C1159)</f>
        <v>31</v>
      </c>
      <c r="E1159" s="16">
        <v>42251</v>
      </c>
      <c r="G1159" s="6" t="s">
        <v>6</v>
      </c>
      <c r="H1159" s="88"/>
      <c r="I1159" s="11">
        <f>SUM(H1159:H1159)</f>
        <v>0</v>
      </c>
      <c r="J1159" s="85"/>
    </row>
    <row r="1160" spans="2:11" ht="14.25" thickBot="1" x14ac:dyDescent="0.2">
      <c r="B1160" s="46" t="s">
        <v>1</v>
      </c>
      <c r="C1160" s="48">
        <f>SUM(C1156:C1159)</f>
        <v>672</v>
      </c>
      <c r="D1160" s="48">
        <f>SUM(D1156:D1159)</f>
        <v>672</v>
      </c>
      <c r="E1160" s="49"/>
      <c r="G1160" s="46" t="s">
        <v>1</v>
      </c>
      <c r="H1160" s="47">
        <f>SUM(H1156:H1159)</f>
        <v>4416</v>
      </c>
      <c r="I1160" s="48">
        <f>SUM(I1156:I1159)</f>
        <v>4416</v>
      </c>
      <c r="J1160" s="49"/>
    </row>
    <row r="1161" spans="2:11" x14ac:dyDescent="0.15">
      <c r="B1161" s="10" t="s">
        <v>189</v>
      </c>
      <c r="C1161" s="77">
        <v>2</v>
      </c>
      <c r="D1161" s="11">
        <f>SUM(C1161:C1161)</f>
        <v>2</v>
      </c>
      <c r="E1161" s="12">
        <v>42233</v>
      </c>
      <c r="G1161" s="81" t="s">
        <v>16</v>
      </c>
      <c r="H1161" s="13">
        <v>336</v>
      </c>
      <c r="I1161" s="11">
        <f>SUM(H1161:H1161)</f>
        <v>336</v>
      </c>
      <c r="J1161" s="12">
        <v>42235</v>
      </c>
    </row>
    <row r="1162" spans="2:11" x14ac:dyDescent="0.15">
      <c r="B1162" s="10" t="s">
        <v>222</v>
      </c>
      <c r="C1162" s="13">
        <v>1</v>
      </c>
      <c r="D1162" s="14">
        <f>SUM(C1162:C1162)</f>
        <v>1</v>
      </c>
      <c r="E1162" s="12">
        <v>42234</v>
      </c>
      <c r="G1162" s="15"/>
      <c r="H1162" s="13"/>
      <c r="I1162" s="14">
        <f>SUM(H1162:H1162)</f>
        <v>0</v>
      </c>
      <c r="J1162" s="12"/>
    </row>
    <row r="1163" spans="2:11" x14ac:dyDescent="0.15">
      <c r="B1163" s="10" t="s">
        <v>11</v>
      </c>
      <c r="C1163" s="13">
        <v>30</v>
      </c>
      <c r="D1163" s="14">
        <f>SUM(C1163:C1163)</f>
        <v>30</v>
      </c>
      <c r="E1163" s="12">
        <v>42240</v>
      </c>
      <c r="G1163" s="15"/>
      <c r="H1163" s="13"/>
      <c r="I1163" s="14">
        <f t="shared" ref="I1163:I1185" si="70">SUM(H1163:H1163)</f>
        <v>0</v>
      </c>
      <c r="J1163" s="12"/>
    </row>
    <row r="1164" spans="2:11" x14ac:dyDescent="0.15">
      <c r="B1164" s="10" t="s">
        <v>350</v>
      </c>
      <c r="C1164" s="13">
        <v>1</v>
      </c>
      <c r="D1164" s="14">
        <f t="shared" ref="D1164:D1185" si="71">SUM(C1164:C1164)</f>
        <v>1</v>
      </c>
      <c r="E1164" s="12">
        <v>42235</v>
      </c>
      <c r="G1164" s="81"/>
      <c r="H1164" s="13"/>
      <c r="I1164" s="14">
        <f t="shared" si="70"/>
        <v>0</v>
      </c>
      <c r="J1164" s="12"/>
    </row>
    <row r="1165" spans="2:11" x14ac:dyDescent="0.15">
      <c r="B1165" s="10" t="s">
        <v>18</v>
      </c>
      <c r="C1165" s="13">
        <v>42</v>
      </c>
      <c r="D1165" s="14">
        <f t="shared" si="71"/>
        <v>42</v>
      </c>
      <c r="E1165" s="12">
        <v>42237</v>
      </c>
      <c r="G1165" s="15"/>
      <c r="H1165" s="13"/>
      <c r="I1165" s="14">
        <f t="shared" si="70"/>
        <v>0</v>
      </c>
      <c r="J1165" s="12"/>
    </row>
    <row r="1166" spans="2:11" x14ac:dyDescent="0.15">
      <c r="B1166" s="10" t="s">
        <v>189</v>
      </c>
      <c r="C1166" s="13">
        <v>2</v>
      </c>
      <c r="D1166" s="14">
        <f t="shared" si="71"/>
        <v>2</v>
      </c>
      <c r="E1166" s="12">
        <v>42236</v>
      </c>
      <c r="G1166" s="78"/>
      <c r="H1166" s="13"/>
      <c r="I1166" s="14">
        <f t="shared" si="70"/>
        <v>0</v>
      </c>
      <c r="J1166" s="12"/>
    </row>
    <row r="1167" spans="2:11" x14ac:dyDescent="0.15">
      <c r="B1167" s="10" t="s">
        <v>189</v>
      </c>
      <c r="C1167" s="13">
        <v>2</v>
      </c>
      <c r="D1167" s="14">
        <f t="shared" si="71"/>
        <v>2</v>
      </c>
      <c r="E1167" s="12">
        <v>42237</v>
      </c>
      <c r="G1167" s="78"/>
      <c r="H1167" s="13"/>
      <c r="I1167" s="14">
        <f t="shared" si="70"/>
        <v>0</v>
      </c>
      <c r="J1167" s="12"/>
    </row>
    <row r="1168" spans="2:11" x14ac:dyDescent="0.15">
      <c r="B1168" s="10" t="s">
        <v>351</v>
      </c>
      <c r="C1168" s="13">
        <v>1</v>
      </c>
      <c r="D1168" s="14">
        <f t="shared" si="71"/>
        <v>1</v>
      </c>
      <c r="E1168" s="12">
        <v>42238</v>
      </c>
      <c r="G1168" s="78"/>
      <c r="H1168" s="13"/>
      <c r="I1168" s="14">
        <f t="shared" si="70"/>
        <v>0</v>
      </c>
      <c r="J1168" s="12"/>
    </row>
    <row r="1169" spans="2:10" x14ac:dyDescent="0.15">
      <c r="B1169" s="10" t="s">
        <v>18</v>
      </c>
      <c r="C1169" s="13">
        <v>46</v>
      </c>
      <c r="D1169" s="14">
        <f t="shared" si="71"/>
        <v>46</v>
      </c>
      <c r="E1169" s="12">
        <v>42241</v>
      </c>
      <c r="G1169" s="10"/>
      <c r="H1169" s="13"/>
      <c r="I1169" s="14">
        <f t="shared" si="70"/>
        <v>0</v>
      </c>
      <c r="J1169" s="12"/>
    </row>
    <row r="1170" spans="2:10" x14ac:dyDescent="0.15">
      <c r="B1170" s="15" t="s">
        <v>189</v>
      </c>
      <c r="C1170" s="13">
        <v>1</v>
      </c>
      <c r="D1170" s="14">
        <f t="shared" si="71"/>
        <v>1</v>
      </c>
      <c r="E1170" s="12">
        <v>42240</v>
      </c>
      <c r="G1170" s="78"/>
      <c r="H1170" s="13"/>
      <c r="I1170" s="14">
        <f t="shared" si="70"/>
        <v>0</v>
      </c>
      <c r="J1170" s="12"/>
    </row>
    <row r="1171" spans="2:10" x14ac:dyDescent="0.15">
      <c r="B1171" s="15" t="s">
        <v>189</v>
      </c>
      <c r="C1171" s="13">
        <v>1</v>
      </c>
      <c r="D1171" s="14">
        <f t="shared" si="71"/>
        <v>1</v>
      </c>
      <c r="E1171" s="12">
        <v>42241</v>
      </c>
      <c r="G1171" s="15"/>
      <c r="H1171" s="13"/>
      <c r="I1171" s="14">
        <f t="shared" si="70"/>
        <v>0</v>
      </c>
      <c r="J1171" s="5"/>
    </row>
    <row r="1172" spans="2:10" x14ac:dyDescent="0.15">
      <c r="B1172" s="10" t="s">
        <v>11</v>
      </c>
      <c r="C1172" s="13">
        <v>15</v>
      </c>
      <c r="D1172" s="14">
        <f t="shared" si="71"/>
        <v>15</v>
      </c>
      <c r="E1172" s="12">
        <v>42252</v>
      </c>
      <c r="G1172" s="15"/>
      <c r="H1172" s="7"/>
      <c r="I1172" s="14">
        <f t="shared" si="70"/>
        <v>0</v>
      </c>
      <c r="J1172" s="12"/>
    </row>
    <row r="1173" spans="2:10" x14ac:dyDescent="0.15">
      <c r="B1173" s="15" t="s">
        <v>352</v>
      </c>
      <c r="C1173" s="13">
        <v>165</v>
      </c>
      <c r="D1173" s="14">
        <f t="shared" si="71"/>
        <v>165</v>
      </c>
      <c r="E1173" s="12">
        <v>42244</v>
      </c>
      <c r="G1173" s="10"/>
      <c r="H1173" s="13"/>
      <c r="I1173" s="14">
        <f t="shared" si="70"/>
        <v>0</v>
      </c>
      <c r="J1173" s="12"/>
    </row>
    <row r="1174" spans="2:10" x14ac:dyDescent="0.15">
      <c r="B1174" s="10" t="s">
        <v>354</v>
      </c>
      <c r="C1174" s="13">
        <v>1</v>
      </c>
      <c r="D1174" s="14">
        <f t="shared" si="71"/>
        <v>1</v>
      </c>
      <c r="E1174" s="12">
        <v>42243</v>
      </c>
      <c r="G1174" s="15"/>
      <c r="H1174" s="13"/>
      <c r="I1174" s="14">
        <f t="shared" si="70"/>
        <v>0</v>
      </c>
      <c r="J1174" s="12"/>
    </row>
    <row r="1175" spans="2:10" x14ac:dyDescent="0.15">
      <c r="B1175" s="15" t="s">
        <v>332</v>
      </c>
      <c r="C1175" s="13">
        <v>67</v>
      </c>
      <c r="D1175" s="14">
        <f t="shared" si="71"/>
        <v>67</v>
      </c>
      <c r="E1175" s="12">
        <v>42247</v>
      </c>
      <c r="G1175" s="15"/>
      <c r="H1175" s="13"/>
      <c r="I1175" s="14">
        <f t="shared" si="70"/>
        <v>0</v>
      </c>
      <c r="J1175" s="5"/>
    </row>
    <row r="1176" spans="2:10" x14ac:dyDescent="0.15">
      <c r="B1176" s="10" t="s">
        <v>189</v>
      </c>
      <c r="C1176" s="13">
        <v>1</v>
      </c>
      <c r="D1176" s="14">
        <f t="shared" si="71"/>
        <v>1</v>
      </c>
      <c r="E1176" s="12">
        <v>42244</v>
      </c>
      <c r="G1176" s="15"/>
      <c r="H1176" s="7"/>
      <c r="I1176" s="14">
        <f t="shared" si="70"/>
        <v>0</v>
      </c>
      <c r="J1176" s="12"/>
    </row>
    <row r="1177" spans="2:10" x14ac:dyDescent="0.15">
      <c r="B1177" s="10" t="s">
        <v>356</v>
      </c>
      <c r="C1177" s="13">
        <v>1</v>
      </c>
      <c r="D1177" s="14">
        <f t="shared" si="71"/>
        <v>1</v>
      </c>
      <c r="E1177" s="12">
        <v>42245</v>
      </c>
      <c r="G1177" s="15"/>
      <c r="H1177" s="7"/>
      <c r="I1177" s="14">
        <f t="shared" si="70"/>
        <v>0</v>
      </c>
      <c r="J1177" s="12"/>
    </row>
    <row r="1178" spans="2:10" x14ac:dyDescent="0.15">
      <c r="B1178" s="10" t="s">
        <v>18</v>
      </c>
      <c r="C1178" s="13">
        <v>55</v>
      </c>
      <c r="D1178" s="14">
        <f t="shared" si="71"/>
        <v>55</v>
      </c>
      <c r="E1178" s="12">
        <v>42249</v>
      </c>
      <c r="G1178" s="15"/>
      <c r="H1178" s="7"/>
      <c r="I1178" s="14">
        <f t="shared" si="70"/>
        <v>0</v>
      </c>
      <c r="J1178" s="12"/>
    </row>
    <row r="1179" spans="2:10" x14ac:dyDescent="0.15">
      <c r="B1179" s="10" t="s">
        <v>189</v>
      </c>
      <c r="C1179" s="13">
        <v>1</v>
      </c>
      <c r="D1179" s="14">
        <f t="shared" si="71"/>
        <v>1</v>
      </c>
      <c r="E1179" s="12">
        <v>42247</v>
      </c>
      <c r="G1179" s="10"/>
      <c r="H1179" s="13"/>
      <c r="I1179" s="14">
        <f t="shared" si="70"/>
        <v>0</v>
      </c>
      <c r="J1179" s="12"/>
    </row>
    <row r="1180" spans="2:10" x14ac:dyDescent="0.15">
      <c r="B1180" s="15" t="s">
        <v>332</v>
      </c>
      <c r="C1180" s="13">
        <v>18</v>
      </c>
      <c r="D1180" s="14">
        <f t="shared" si="71"/>
        <v>18</v>
      </c>
      <c r="E1180" s="5">
        <v>42249</v>
      </c>
      <c r="G1180" s="15"/>
      <c r="H1180" s="7"/>
      <c r="I1180" s="14">
        <f t="shared" si="70"/>
        <v>0</v>
      </c>
      <c r="J1180" s="74"/>
    </row>
    <row r="1181" spans="2:10" x14ac:dyDescent="0.15">
      <c r="B1181" s="10" t="s">
        <v>18</v>
      </c>
      <c r="C1181" s="13">
        <v>34</v>
      </c>
      <c r="D1181" s="14">
        <f t="shared" si="71"/>
        <v>34</v>
      </c>
      <c r="E1181" s="5">
        <v>42251</v>
      </c>
      <c r="G1181" s="15"/>
      <c r="H1181" s="13"/>
      <c r="I1181" s="14">
        <f t="shared" si="70"/>
        <v>0</v>
      </c>
      <c r="J1181" s="5"/>
    </row>
    <row r="1182" spans="2:10" x14ac:dyDescent="0.15">
      <c r="B1182" s="10" t="s">
        <v>18</v>
      </c>
      <c r="C1182" s="13">
        <v>22</v>
      </c>
      <c r="D1182" s="14">
        <f t="shared" si="71"/>
        <v>22</v>
      </c>
      <c r="E1182" s="5">
        <v>42255</v>
      </c>
      <c r="G1182" s="15"/>
      <c r="H1182" s="13"/>
      <c r="I1182" s="14">
        <f t="shared" si="70"/>
        <v>0</v>
      </c>
      <c r="J1182" s="5"/>
    </row>
    <row r="1183" spans="2:10" x14ac:dyDescent="0.15">
      <c r="B1183" s="10" t="s">
        <v>355</v>
      </c>
      <c r="C1183" s="13">
        <v>2</v>
      </c>
      <c r="D1183" s="14">
        <f t="shared" si="71"/>
        <v>2</v>
      </c>
      <c r="E1183" s="5">
        <v>42257</v>
      </c>
      <c r="G1183" s="15"/>
      <c r="H1183" s="7"/>
      <c r="I1183" s="14">
        <f t="shared" si="70"/>
        <v>0</v>
      </c>
      <c r="J1183" s="12"/>
    </row>
    <row r="1184" spans="2:10" ht="14.25" thickBot="1" x14ac:dyDescent="0.2">
      <c r="B1184" s="15" t="s">
        <v>357</v>
      </c>
      <c r="C1184" s="13">
        <v>1</v>
      </c>
      <c r="D1184" s="11">
        <f t="shared" si="71"/>
        <v>1</v>
      </c>
      <c r="E1184" s="12">
        <v>42254</v>
      </c>
      <c r="G1184" s="15"/>
      <c r="H1184" s="7"/>
      <c r="I1184" s="14">
        <f t="shared" si="70"/>
        <v>0</v>
      </c>
      <c r="J1184" s="74"/>
    </row>
    <row r="1185" spans="2:11" ht="14.25" thickBot="1" x14ac:dyDescent="0.2">
      <c r="B1185" s="17" t="s">
        <v>2</v>
      </c>
      <c r="C1185" s="18">
        <f>SUM(C1161:C1184)</f>
        <v>512</v>
      </c>
      <c r="D1185" s="19">
        <f t="shared" si="71"/>
        <v>512</v>
      </c>
      <c r="E1185" s="20"/>
      <c r="G1185" s="17" t="s">
        <v>2</v>
      </c>
      <c r="H1185" s="18">
        <f>SUM(H1161:H1184)</f>
        <v>336</v>
      </c>
      <c r="I1185" s="19">
        <f t="shared" si="70"/>
        <v>336</v>
      </c>
      <c r="J1185" s="20"/>
    </row>
    <row r="1186" spans="2:11" ht="14.25" thickBot="1" x14ac:dyDescent="0.2">
      <c r="B1186" s="46" t="s">
        <v>3</v>
      </c>
      <c r="C1186" s="52">
        <f>C1160-C1185</f>
        <v>160</v>
      </c>
      <c r="D1186" s="48">
        <f>D1160-D1185</f>
        <v>160</v>
      </c>
      <c r="E1186" s="49"/>
      <c r="G1186" s="46" t="s">
        <v>3</v>
      </c>
      <c r="H1186" s="52">
        <f>H1160-H1185</f>
        <v>4080</v>
      </c>
      <c r="I1186" s="48">
        <f>I1160-I1185</f>
        <v>4080</v>
      </c>
      <c r="J1186" s="49"/>
    </row>
    <row r="1189" spans="2:11" ht="18.75" x14ac:dyDescent="0.2">
      <c r="B1189" s="26" t="s">
        <v>7</v>
      </c>
      <c r="G1189" s="26" t="s">
        <v>35</v>
      </c>
    </row>
    <row r="1190" spans="2:11" ht="14.25" thickBot="1" x14ac:dyDescent="0.2"/>
    <row r="1191" spans="2:11" ht="14.25" thickBot="1" x14ac:dyDescent="0.2">
      <c r="B1191" s="1"/>
      <c r="C1191" s="2"/>
      <c r="D1191" s="3" t="s">
        <v>0</v>
      </c>
      <c r="E1191" s="1" t="s">
        <v>4</v>
      </c>
      <c r="G1191" s="1"/>
      <c r="H1191" s="2"/>
      <c r="I1191" s="3" t="s">
        <v>0</v>
      </c>
      <c r="J1191" s="1" t="s">
        <v>4</v>
      </c>
    </row>
    <row r="1192" spans="2:11" x14ac:dyDescent="0.15">
      <c r="B1192" s="42" t="s">
        <v>5</v>
      </c>
      <c r="C1192" s="43">
        <f>C1186</f>
        <v>160</v>
      </c>
      <c r="D1192" s="44">
        <f>SUM(C1192:C1192)</f>
        <v>160</v>
      </c>
      <c r="E1192" s="45"/>
      <c r="G1192" s="42" t="s">
        <v>5</v>
      </c>
      <c r="H1192" s="43">
        <f>H1186</f>
        <v>4080</v>
      </c>
      <c r="I1192" s="44">
        <f>SUM(H1192:H1192)</f>
        <v>4080</v>
      </c>
      <c r="J1192" s="45"/>
      <c r="K1192" s="103"/>
    </row>
    <row r="1193" spans="2:11" x14ac:dyDescent="0.15">
      <c r="B1193" s="6" t="s">
        <v>105</v>
      </c>
      <c r="C1193" s="13">
        <v>3</v>
      </c>
      <c r="D1193" s="14">
        <f>SUM(C1193:C1193)</f>
        <v>3</v>
      </c>
      <c r="E1193" s="5">
        <v>42255</v>
      </c>
      <c r="G1193" s="71" t="s">
        <v>6</v>
      </c>
      <c r="H1193" s="13"/>
      <c r="I1193" s="14">
        <f>SUM(H1193:H1193)</f>
        <v>0</v>
      </c>
      <c r="J1193" s="5"/>
    </row>
    <row r="1194" spans="2:11" x14ac:dyDescent="0.15">
      <c r="B1194" s="6" t="s">
        <v>6</v>
      </c>
      <c r="C1194" s="7">
        <v>336</v>
      </c>
      <c r="D1194" s="8">
        <f>SUM(C1194:C1194)</f>
        <v>336</v>
      </c>
      <c r="E1194" s="9">
        <v>42261</v>
      </c>
      <c r="G1194" s="71" t="s">
        <v>6</v>
      </c>
      <c r="H1194" s="67"/>
      <c r="I1194" s="14">
        <f>SUM(H1194:H1194)</f>
        <v>0</v>
      </c>
      <c r="J1194" s="5"/>
    </row>
    <row r="1195" spans="2:11" ht="14.25" thickBot="1" x14ac:dyDescent="0.2">
      <c r="B1195" s="6" t="s">
        <v>225</v>
      </c>
      <c r="C1195" s="7">
        <v>2</v>
      </c>
      <c r="D1195" s="14">
        <f>SUM(C1195:C1195)</f>
        <v>2</v>
      </c>
      <c r="E1195" s="16">
        <v>42275</v>
      </c>
      <c r="G1195" s="6" t="s">
        <v>6</v>
      </c>
      <c r="H1195" s="88"/>
      <c r="I1195" s="11">
        <f>SUM(H1195:H1195)</f>
        <v>0</v>
      </c>
      <c r="J1195" s="85"/>
    </row>
    <row r="1196" spans="2:11" ht="14.25" thickBot="1" x14ac:dyDescent="0.2">
      <c r="B1196" s="46" t="s">
        <v>1</v>
      </c>
      <c r="C1196" s="48">
        <f>SUM(C1192:C1195)</f>
        <v>501</v>
      </c>
      <c r="D1196" s="48">
        <f>SUM(D1192:D1195)</f>
        <v>501</v>
      </c>
      <c r="E1196" s="49"/>
      <c r="G1196" s="46" t="s">
        <v>1</v>
      </c>
      <c r="H1196" s="47">
        <f>SUM(H1192:H1195)</f>
        <v>4080</v>
      </c>
      <c r="I1196" s="48">
        <f>SUM(I1192:I1195)</f>
        <v>4080</v>
      </c>
      <c r="J1196" s="49"/>
    </row>
    <row r="1197" spans="2:11" x14ac:dyDescent="0.15">
      <c r="B1197" s="10" t="s">
        <v>358</v>
      </c>
      <c r="C1197" s="77">
        <v>1</v>
      </c>
      <c r="D1197" s="11">
        <f>SUM(C1197:C1197)</f>
        <v>1</v>
      </c>
      <c r="E1197" s="12">
        <v>42255</v>
      </c>
      <c r="G1197" s="81" t="s">
        <v>16</v>
      </c>
      <c r="H1197" s="13">
        <v>336</v>
      </c>
      <c r="I1197" s="11">
        <f>SUM(H1197:H1197)</f>
        <v>336</v>
      </c>
      <c r="J1197" s="12">
        <v>42261</v>
      </c>
    </row>
    <row r="1198" spans="2:11" x14ac:dyDescent="0.15">
      <c r="B1198" s="10" t="s">
        <v>284</v>
      </c>
      <c r="C1198" s="13">
        <v>2</v>
      </c>
      <c r="D1198" s="14">
        <f>SUM(C1198:C1198)</f>
        <v>2</v>
      </c>
      <c r="E1198" s="12">
        <v>42258</v>
      </c>
      <c r="G1198" s="15"/>
      <c r="H1198" s="13"/>
      <c r="I1198" s="14">
        <f>SUM(H1198:H1198)</f>
        <v>0</v>
      </c>
      <c r="J1198" s="12"/>
    </row>
    <row r="1199" spans="2:11" x14ac:dyDescent="0.15">
      <c r="B1199" s="10" t="s">
        <v>359</v>
      </c>
      <c r="C1199" s="13">
        <v>1</v>
      </c>
      <c r="D1199" s="14">
        <f>SUM(C1199:C1199)</f>
        <v>1</v>
      </c>
      <c r="E1199" s="12">
        <v>42257</v>
      </c>
      <c r="G1199" s="15"/>
      <c r="H1199" s="13"/>
      <c r="I1199" s="14">
        <f t="shared" ref="I1199:I1221" si="72">SUM(H1199:H1199)</f>
        <v>0</v>
      </c>
      <c r="J1199" s="12"/>
    </row>
    <row r="1200" spans="2:11" x14ac:dyDescent="0.15">
      <c r="B1200" s="10" t="s">
        <v>18</v>
      </c>
      <c r="C1200" s="13">
        <v>58</v>
      </c>
      <c r="D1200" s="14">
        <f t="shared" ref="D1200:D1221" si="73">SUM(C1200:C1200)</f>
        <v>58</v>
      </c>
      <c r="E1200" s="12">
        <v>42259</v>
      </c>
      <c r="G1200" s="81"/>
      <c r="H1200" s="13"/>
      <c r="I1200" s="14">
        <f t="shared" si="72"/>
        <v>0</v>
      </c>
      <c r="J1200" s="12"/>
    </row>
    <row r="1201" spans="2:10" x14ac:dyDescent="0.15">
      <c r="B1201" s="10" t="s">
        <v>284</v>
      </c>
      <c r="C1201" s="13">
        <v>6</v>
      </c>
      <c r="D1201" s="14">
        <f t="shared" si="73"/>
        <v>6</v>
      </c>
      <c r="E1201" s="12">
        <v>42263</v>
      </c>
      <c r="G1201" s="15"/>
      <c r="H1201" s="13"/>
      <c r="I1201" s="14">
        <f t="shared" si="72"/>
        <v>0</v>
      </c>
      <c r="J1201" s="12"/>
    </row>
    <row r="1202" spans="2:10" x14ac:dyDescent="0.15">
      <c r="B1202" s="10" t="s">
        <v>189</v>
      </c>
      <c r="C1202" s="13">
        <v>3</v>
      </c>
      <c r="D1202" s="14">
        <f t="shared" si="73"/>
        <v>3</v>
      </c>
      <c r="E1202" s="12">
        <v>42261</v>
      </c>
      <c r="G1202" s="78"/>
      <c r="H1202" s="13"/>
      <c r="I1202" s="14">
        <f t="shared" si="72"/>
        <v>0</v>
      </c>
      <c r="J1202" s="12"/>
    </row>
    <row r="1203" spans="2:10" x14ac:dyDescent="0.15">
      <c r="B1203" s="10" t="s">
        <v>18</v>
      </c>
      <c r="C1203" s="13">
        <v>15</v>
      </c>
      <c r="D1203" s="14">
        <f t="shared" si="73"/>
        <v>15</v>
      </c>
      <c r="E1203" s="12">
        <v>42263</v>
      </c>
      <c r="G1203" s="78"/>
      <c r="H1203" s="13"/>
      <c r="I1203" s="14">
        <f t="shared" si="72"/>
        <v>0</v>
      </c>
      <c r="J1203" s="12"/>
    </row>
    <row r="1204" spans="2:10" x14ac:dyDescent="0.15">
      <c r="B1204" s="10" t="s">
        <v>284</v>
      </c>
      <c r="C1204" s="13">
        <v>6</v>
      </c>
      <c r="D1204" s="14">
        <f t="shared" si="73"/>
        <v>6</v>
      </c>
      <c r="E1204" s="12">
        <v>42265</v>
      </c>
      <c r="G1204" s="78"/>
      <c r="H1204" s="13"/>
      <c r="I1204" s="14">
        <f t="shared" si="72"/>
        <v>0</v>
      </c>
      <c r="J1204" s="12"/>
    </row>
    <row r="1205" spans="2:10" x14ac:dyDescent="0.15">
      <c r="B1205" s="10" t="s">
        <v>18</v>
      </c>
      <c r="C1205" s="13">
        <v>15</v>
      </c>
      <c r="D1205" s="14">
        <f t="shared" si="73"/>
        <v>15</v>
      </c>
      <c r="E1205" s="12">
        <v>42266</v>
      </c>
      <c r="G1205" s="10"/>
      <c r="H1205" s="13"/>
      <c r="I1205" s="14">
        <f t="shared" si="72"/>
        <v>0</v>
      </c>
      <c r="J1205" s="12"/>
    </row>
    <row r="1206" spans="2:10" x14ac:dyDescent="0.15">
      <c r="B1206" s="10" t="s">
        <v>11</v>
      </c>
      <c r="C1206" s="13">
        <v>10</v>
      </c>
      <c r="D1206" s="14">
        <f t="shared" si="73"/>
        <v>10</v>
      </c>
      <c r="E1206" s="12">
        <v>42268</v>
      </c>
      <c r="G1206" s="78"/>
      <c r="H1206" s="13"/>
      <c r="I1206" s="14">
        <f t="shared" si="72"/>
        <v>0</v>
      </c>
      <c r="J1206" s="12"/>
    </row>
    <row r="1207" spans="2:10" x14ac:dyDescent="0.15">
      <c r="B1207" s="15" t="s">
        <v>360</v>
      </c>
      <c r="C1207" s="13">
        <v>2</v>
      </c>
      <c r="D1207" s="14">
        <f t="shared" si="73"/>
        <v>2</v>
      </c>
      <c r="E1207" s="12">
        <v>42271</v>
      </c>
      <c r="G1207" s="15"/>
      <c r="H1207" s="13"/>
      <c r="I1207" s="14">
        <f t="shared" si="72"/>
        <v>0</v>
      </c>
      <c r="J1207" s="5"/>
    </row>
    <row r="1208" spans="2:10" x14ac:dyDescent="0.15">
      <c r="B1208" s="10" t="s">
        <v>18</v>
      </c>
      <c r="C1208" s="13">
        <v>10</v>
      </c>
      <c r="D1208" s="14">
        <f t="shared" si="73"/>
        <v>10</v>
      </c>
      <c r="E1208" s="12">
        <v>42273</v>
      </c>
      <c r="G1208" s="15"/>
      <c r="H1208" s="7"/>
      <c r="I1208" s="14">
        <f t="shared" si="72"/>
        <v>0</v>
      </c>
      <c r="J1208" s="12"/>
    </row>
    <row r="1209" spans="2:10" x14ac:dyDescent="0.15">
      <c r="B1209" s="15" t="s">
        <v>361</v>
      </c>
      <c r="C1209" s="13">
        <v>1</v>
      </c>
      <c r="D1209" s="14">
        <f t="shared" si="73"/>
        <v>1</v>
      </c>
      <c r="E1209" s="12">
        <v>42273</v>
      </c>
      <c r="G1209" s="10"/>
      <c r="H1209" s="13"/>
      <c r="I1209" s="14">
        <f t="shared" si="72"/>
        <v>0</v>
      </c>
      <c r="J1209" s="12"/>
    </row>
    <row r="1210" spans="2:10" x14ac:dyDescent="0.15">
      <c r="B1210" s="10" t="s">
        <v>284</v>
      </c>
      <c r="C1210" s="13">
        <v>6</v>
      </c>
      <c r="D1210" s="14">
        <f t="shared" si="73"/>
        <v>6</v>
      </c>
      <c r="E1210" s="12">
        <v>42277</v>
      </c>
      <c r="G1210" s="15"/>
      <c r="H1210" s="13"/>
      <c r="I1210" s="14">
        <f t="shared" si="72"/>
        <v>0</v>
      </c>
      <c r="J1210" s="12"/>
    </row>
    <row r="1211" spans="2:10" x14ac:dyDescent="0.15">
      <c r="B1211" s="10" t="s">
        <v>18</v>
      </c>
      <c r="C1211" s="13">
        <v>7</v>
      </c>
      <c r="D1211" s="14">
        <f t="shared" si="73"/>
        <v>7</v>
      </c>
      <c r="E1211" s="12">
        <v>42277</v>
      </c>
      <c r="G1211" s="15"/>
      <c r="H1211" s="13"/>
      <c r="I1211" s="14">
        <f t="shared" si="72"/>
        <v>0</v>
      </c>
      <c r="J1211" s="5"/>
    </row>
    <row r="1212" spans="2:10" x14ac:dyDescent="0.15">
      <c r="B1212" s="10" t="s">
        <v>189</v>
      </c>
      <c r="C1212" s="13">
        <v>1</v>
      </c>
      <c r="D1212" s="14">
        <f t="shared" si="73"/>
        <v>1</v>
      </c>
      <c r="E1212" s="12">
        <v>42276</v>
      </c>
      <c r="G1212" s="15"/>
      <c r="H1212" s="7"/>
      <c r="I1212" s="14">
        <f t="shared" si="72"/>
        <v>0</v>
      </c>
      <c r="J1212" s="12"/>
    </row>
    <row r="1213" spans="2:10" x14ac:dyDescent="0.15">
      <c r="B1213" s="10" t="s">
        <v>362</v>
      </c>
      <c r="C1213" s="13">
        <v>2</v>
      </c>
      <c r="D1213" s="14">
        <f t="shared" si="73"/>
        <v>2</v>
      </c>
      <c r="E1213" s="12">
        <v>42277</v>
      </c>
      <c r="G1213" s="15"/>
      <c r="H1213" s="7"/>
      <c r="I1213" s="14">
        <f t="shared" si="72"/>
        <v>0</v>
      </c>
      <c r="J1213" s="12"/>
    </row>
    <row r="1214" spans="2:10" x14ac:dyDescent="0.15">
      <c r="B1214" s="10" t="s">
        <v>18</v>
      </c>
      <c r="C1214" s="13">
        <v>2</v>
      </c>
      <c r="D1214" s="14">
        <f t="shared" si="73"/>
        <v>2</v>
      </c>
      <c r="E1214" s="12">
        <v>42280</v>
      </c>
      <c r="G1214" s="15"/>
      <c r="H1214" s="7"/>
      <c r="I1214" s="14">
        <f t="shared" si="72"/>
        <v>0</v>
      </c>
      <c r="J1214" s="12"/>
    </row>
    <row r="1215" spans="2:10" x14ac:dyDescent="0.15">
      <c r="B1215" s="10" t="s">
        <v>189</v>
      </c>
      <c r="C1215" s="13">
        <v>1</v>
      </c>
      <c r="D1215" s="14">
        <f t="shared" si="73"/>
        <v>1</v>
      </c>
      <c r="E1215" s="12">
        <v>42279</v>
      </c>
      <c r="G1215" s="10"/>
      <c r="H1215" s="13"/>
      <c r="I1215" s="14">
        <f t="shared" si="72"/>
        <v>0</v>
      </c>
      <c r="J1215" s="12"/>
    </row>
    <row r="1216" spans="2:10" x14ac:dyDescent="0.15">
      <c r="B1216" s="15" t="s">
        <v>11</v>
      </c>
      <c r="C1216" s="13">
        <v>20</v>
      </c>
      <c r="D1216" s="14">
        <f t="shared" si="73"/>
        <v>20</v>
      </c>
      <c r="E1216" s="5">
        <v>42290</v>
      </c>
      <c r="G1216" s="15"/>
      <c r="H1216" s="7"/>
      <c r="I1216" s="14">
        <f t="shared" si="72"/>
        <v>0</v>
      </c>
      <c r="J1216" s="74"/>
    </row>
    <row r="1217" spans="2:11" x14ac:dyDescent="0.15">
      <c r="B1217" s="10" t="s">
        <v>18</v>
      </c>
      <c r="C1217" s="13">
        <v>14</v>
      </c>
      <c r="D1217" s="14">
        <f t="shared" si="73"/>
        <v>14</v>
      </c>
      <c r="E1217" s="5">
        <v>42286</v>
      </c>
      <c r="G1217" s="15"/>
      <c r="H1217" s="13"/>
      <c r="I1217" s="14">
        <f t="shared" si="72"/>
        <v>0</v>
      </c>
      <c r="J1217" s="5"/>
    </row>
    <row r="1218" spans="2:11" x14ac:dyDescent="0.15">
      <c r="B1218" s="10" t="s">
        <v>189</v>
      </c>
      <c r="C1218" s="13">
        <v>3</v>
      </c>
      <c r="D1218" s="14">
        <f t="shared" si="73"/>
        <v>3</v>
      </c>
      <c r="E1218" s="5">
        <v>42284</v>
      </c>
      <c r="G1218" s="15"/>
      <c r="H1218" s="13"/>
      <c r="I1218" s="14">
        <f t="shared" si="72"/>
        <v>0</v>
      </c>
      <c r="J1218" s="5"/>
    </row>
    <row r="1219" spans="2:11" x14ac:dyDescent="0.15">
      <c r="B1219" s="10" t="s">
        <v>189</v>
      </c>
      <c r="C1219" s="13">
        <v>6</v>
      </c>
      <c r="D1219" s="14">
        <f t="shared" si="73"/>
        <v>6</v>
      </c>
      <c r="E1219" s="5">
        <v>42285</v>
      </c>
      <c r="G1219" s="15"/>
      <c r="H1219" s="7"/>
      <c r="I1219" s="14">
        <f t="shared" si="72"/>
        <v>0</v>
      </c>
      <c r="J1219" s="12"/>
    </row>
    <row r="1220" spans="2:11" ht="14.25" thickBot="1" x14ac:dyDescent="0.2">
      <c r="B1220" s="10" t="s">
        <v>189</v>
      </c>
      <c r="C1220" s="13">
        <v>1</v>
      </c>
      <c r="D1220" s="11">
        <f t="shared" si="73"/>
        <v>1</v>
      </c>
      <c r="E1220" s="12">
        <v>42286</v>
      </c>
      <c r="G1220" s="15"/>
      <c r="H1220" s="7"/>
      <c r="I1220" s="14">
        <f t="shared" si="72"/>
        <v>0</v>
      </c>
      <c r="J1220" s="74"/>
    </row>
    <row r="1221" spans="2:11" ht="14.25" thickBot="1" x14ac:dyDescent="0.2">
      <c r="B1221" s="17" t="s">
        <v>2</v>
      </c>
      <c r="C1221" s="18">
        <f>SUM(C1197:C1220)</f>
        <v>193</v>
      </c>
      <c r="D1221" s="19">
        <f t="shared" si="73"/>
        <v>193</v>
      </c>
      <c r="E1221" s="20"/>
      <c r="G1221" s="17" t="s">
        <v>2</v>
      </c>
      <c r="H1221" s="18">
        <f>SUM(H1197:H1220)</f>
        <v>336</v>
      </c>
      <c r="I1221" s="19">
        <f t="shared" si="72"/>
        <v>336</v>
      </c>
      <c r="J1221" s="20"/>
    </row>
    <row r="1222" spans="2:11" ht="14.25" thickBot="1" x14ac:dyDescent="0.2">
      <c r="B1222" s="46" t="s">
        <v>3</v>
      </c>
      <c r="C1222" s="52">
        <f>C1196-C1221</f>
        <v>308</v>
      </c>
      <c r="D1222" s="48">
        <f>D1196-D1221</f>
        <v>308</v>
      </c>
      <c r="E1222" s="49"/>
      <c r="G1222" s="46" t="s">
        <v>3</v>
      </c>
      <c r="H1222" s="52">
        <f>H1196-H1221</f>
        <v>3744</v>
      </c>
      <c r="I1222" s="48">
        <f>I1196-I1221</f>
        <v>3744</v>
      </c>
      <c r="J1222" s="49"/>
    </row>
    <row r="1225" spans="2:11" ht="18.75" x14ac:dyDescent="0.2">
      <c r="B1225" s="26" t="s">
        <v>7</v>
      </c>
      <c r="G1225" s="26" t="s">
        <v>35</v>
      </c>
    </row>
    <row r="1226" spans="2:11" ht="14.25" thickBot="1" x14ac:dyDescent="0.2"/>
    <row r="1227" spans="2:11" ht="14.25" thickBot="1" x14ac:dyDescent="0.2">
      <c r="B1227" s="1"/>
      <c r="C1227" s="2"/>
      <c r="D1227" s="3" t="s">
        <v>0</v>
      </c>
      <c r="E1227" s="1" t="s">
        <v>4</v>
      </c>
      <c r="G1227" s="1"/>
      <c r="H1227" s="2"/>
      <c r="I1227" s="3" t="s">
        <v>0</v>
      </c>
      <c r="J1227" s="1" t="s">
        <v>4</v>
      </c>
    </row>
    <row r="1228" spans="2:11" x14ac:dyDescent="0.15">
      <c r="B1228" s="42" t="s">
        <v>5</v>
      </c>
      <c r="C1228" s="43">
        <f>C1222</f>
        <v>308</v>
      </c>
      <c r="D1228" s="44">
        <f>SUM(C1228:C1228)</f>
        <v>308</v>
      </c>
      <c r="E1228" s="45"/>
      <c r="G1228" s="42" t="s">
        <v>5</v>
      </c>
      <c r="H1228" s="43">
        <f>H1222</f>
        <v>3744</v>
      </c>
      <c r="I1228" s="44">
        <f>SUM(H1228:H1228)</f>
        <v>3744</v>
      </c>
      <c r="J1228" s="45"/>
      <c r="K1228" s="103" t="s">
        <v>353</v>
      </c>
    </row>
    <row r="1229" spans="2:11" x14ac:dyDescent="0.15">
      <c r="B1229" s="6" t="s">
        <v>76</v>
      </c>
      <c r="C1229" s="13">
        <v>3</v>
      </c>
      <c r="D1229" s="14">
        <f>SUM(C1229:C1229)</f>
        <v>3</v>
      </c>
      <c r="E1229" s="5">
        <v>42282</v>
      </c>
      <c r="G1229" s="71" t="s">
        <v>6</v>
      </c>
      <c r="H1229" s="13"/>
      <c r="I1229" s="14">
        <f>SUM(H1229:H1229)</f>
        <v>0</v>
      </c>
      <c r="J1229" s="5"/>
    </row>
    <row r="1230" spans="2:11" x14ac:dyDescent="0.15">
      <c r="B1230" s="6" t="s">
        <v>225</v>
      </c>
      <c r="C1230" s="7">
        <v>2</v>
      </c>
      <c r="D1230" s="8">
        <f>SUM(C1230:C1230)</f>
        <v>2</v>
      </c>
      <c r="E1230" s="9">
        <v>42303</v>
      </c>
      <c r="G1230" s="71" t="s">
        <v>6</v>
      </c>
      <c r="H1230" s="67"/>
      <c r="I1230" s="14">
        <f>SUM(H1230:H1230)</f>
        <v>0</v>
      </c>
      <c r="J1230" s="5"/>
    </row>
    <row r="1231" spans="2:11" ht="14.25" thickBot="1" x14ac:dyDescent="0.2">
      <c r="B1231" s="6" t="s">
        <v>76</v>
      </c>
      <c r="C1231" s="7">
        <v>13</v>
      </c>
      <c r="D1231" s="14">
        <f>SUM(C1231:C1231)</f>
        <v>13</v>
      </c>
      <c r="E1231" s="16">
        <v>42315</v>
      </c>
      <c r="G1231" s="6" t="s">
        <v>6</v>
      </c>
      <c r="H1231" s="88"/>
      <c r="I1231" s="11">
        <f>SUM(H1231:H1231)</f>
        <v>0</v>
      </c>
      <c r="J1231" s="85"/>
    </row>
    <row r="1232" spans="2:11" ht="14.25" thickBot="1" x14ac:dyDescent="0.2">
      <c r="B1232" s="46" t="s">
        <v>1</v>
      </c>
      <c r="C1232" s="48">
        <f>SUM(C1228:C1231)</f>
        <v>326</v>
      </c>
      <c r="D1232" s="48">
        <f>SUM(D1228:D1231)</f>
        <v>326</v>
      </c>
      <c r="E1232" s="49"/>
      <c r="G1232" s="46" t="s">
        <v>1</v>
      </c>
      <c r="H1232" s="47">
        <f>SUM(H1228:H1231)</f>
        <v>3744</v>
      </c>
      <c r="I1232" s="48">
        <f>SUM(I1228:I1231)</f>
        <v>3744</v>
      </c>
      <c r="J1232" s="49"/>
    </row>
    <row r="1233" spans="2:10" x14ac:dyDescent="0.15">
      <c r="B1233" s="10" t="s">
        <v>18</v>
      </c>
      <c r="C1233" s="77">
        <v>6</v>
      </c>
      <c r="D1233" s="11">
        <f>SUM(C1233:C1233)</f>
        <v>6</v>
      </c>
      <c r="E1233" s="12">
        <v>42291</v>
      </c>
      <c r="G1233" s="81"/>
      <c r="H1233" s="13"/>
      <c r="I1233" s="11">
        <f>SUM(H1233:H1233)</f>
        <v>0</v>
      </c>
      <c r="J1233" s="12"/>
    </row>
    <row r="1234" spans="2:10" x14ac:dyDescent="0.15">
      <c r="B1234" s="10" t="s">
        <v>363</v>
      </c>
      <c r="C1234" s="13">
        <v>2</v>
      </c>
      <c r="D1234" s="14">
        <f>SUM(C1234:C1234)</f>
        <v>2</v>
      </c>
      <c r="E1234" s="12">
        <v>42292</v>
      </c>
      <c r="G1234" s="15"/>
      <c r="H1234" s="13"/>
      <c r="I1234" s="14">
        <f>SUM(H1234:H1234)</f>
        <v>0</v>
      </c>
      <c r="J1234" s="12"/>
    </row>
    <row r="1235" spans="2:10" x14ac:dyDescent="0.15">
      <c r="B1235" s="10" t="s">
        <v>364</v>
      </c>
      <c r="C1235" s="13">
        <v>4</v>
      </c>
      <c r="D1235" s="14">
        <f>SUM(C1235:C1235)</f>
        <v>4</v>
      </c>
      <c r="E1235" s="12">
        <v>42290</v>
      </c>
      <c r="G1235" s="15"/>
      <c r="H1235" s="13"/>
      <c r="I1235" s="14">
        <f t="shared" ref="I1235:I1257" si="74">SUM(H1235:H1235)</f>
        <v>0</v>
      </c>
      <c r="J1235" s="12"/>
    </row>
    <row r="1236" spans="2:10" x14ac:dyDescent="0.15">
      <c r="B1236" s="10" t="s">
        <v>18</v>
      </c>
      <c r="C1236" s="13">
        <v>9</v>
      </c>
      <c r="D1236" s="14">
        <f t="shared" ref="D1236:D1257" si="75">SUM(C1236:C1236)</f>
        <v>9</v>
      </c>
      <c r="E1236" s="12">
        <v>42294</v>
      </c>
      <c r="G1236" s="81"/>
      <c r="H1236" s="13"/>
      <c r="I1236" s="14">
        <f t="shared" si="74"/>
        <v>0</v>
      </c>
      <c r="J1236" s="12"/>
    </row>
    <row r="1237" spans="2:10" x14ac:dyDescent="0.15">
      <c r="B1237" s="10" t="s">
        <v>189</v>
      </c>
      <c r="C1237" s="13">
        <v>2</v>
      </c>
      <c r="D1237" s="14">
        <f t="shared" si="75"/>
        <v>2</v>
      </c>
      <c r="E1237" s="12">
        <v>42293</v>
      </c>
      <c r="G1237" s="15"/>
      <c r="H1237" s="13"/>
      <c r="I1237" s="14">
        <f t="shared" si="74"/>
        <v>0</v>
      </c>
      <c r="J1237" s="12"/>
    </row>
    <row r="1238" spans="2:10" x14ac:dyDescent="0.15">
      <c r="B1238" s="10" t="s">
        <v>365</v>
      </c>
      <c r="C1238" s="13">
        <v>1</v>
      </c>
      <c r="D1238" s="14">
        <f t="shared" si="75"/>
        <v>1</v>
      </c>
      <c r="E1238" s="12">
        <v>42294</v>
      </c>
      <c r="G1238" s="78"/>
      <c r="H1238" s="13"/>
      <c r="I1238" s="14">
        <f t="shared" si="74"/>
        <v>0</v>
      </c>
      <c r="J1238" s="12"/>
    </row>
    <row r="1239" spans="2:10" x14ac:dyDescent="0.15">
      <c r="B1239" s="10" t="s">
        <v>18</v>
      </c>
      <c r="C1239" s="13">
        <v>5</v>
      </c>
      <c r="D1239" s="14">
        <f t="shared" si="75"/>
        <v>5</v>
      </c>
      <c r="E1239" s="12">
        <v>42298</v>
      </c>
      <c r="G1239" s="78"/>
      <c r="H1239" s="13"/>
      <c r="I1239" s="14">
        <f t="shared" si="74"/>
        <v>0</v>
      </c>
      <c r="J1239" s="12"/>
    </row>
    <row r="1240" spans="2:10" x14ac:dyDescent="0.15">
      <c r="B1240" s="10" t="s">
        <v>189</v>
      </c>
      <c r="C1240" s="13">
        <v>1</v>
      </c>
      <c r="D1240" s="14">
        <f t="shared" si="75"/>
        <v>1</v>
      </c>
      <c r="E1240" s="12">
        <v>42299</v>
      </c>
      <c r="G1240" s="78"/>
      <c r="H1240" s="13"/>
      <c r="I1240" s="14">
        <f t="shared" si="74"/>
        <v>0</v>
      </c>
      <c r="J1240" s="12"/>
    </row>
    <row r="1241" spans="2:10" x14ac:dyDescent="0.15">
      <c r="B1241" s="10" t="s">
        <v>366</v>
      </c>
      <c r="C1241" s="13">
        <v>1</v>
      </c>
      <c r="D1241" s="14">
        <f t="shared" si="75"/>
        <v>1</v>
      </c>
      <c r="E1241" s="12">
        <v>42298</v>
      </c>
      <c r="G1241" s="10"/>
      <c r="H1241" s="13"/>
      <c r="I1241" s="14">
        <f t="shared" si="74"/>
        <v>0</v>
      </c>
      <c r="J1241" s="12"/>
    </row>
    <row r="1242" spans="2:10" x14ac:dyDescent="0.15">
      <c r="B1242" s="15" t="s">
        <v>11</v>
      </c>
      <c r="C1242" s="13">
        <v>2</v>
      </c>
      <c r="D1242" s="14">
        <f t="shared" si="75"/>
        <v>2</v>
      </c>
      <c r="E1242" s="12">
        <v>42311</v>
      </c>
      <c r="G1242" s="78"/>
      <c r="H1242" s="13"/>
      <c r="I1242" s="14">
        <f t="shared" si="74"/>
        <v>0</v>
      </c>
      <c r="J1242" s="12"/>
    </row>
    <row r="1243" spans="2:10" x14ac:dyDescent="0.15">
      <c r="B1243" s="15" t="s">
        <v>189</v>
      </c>
      <c r="C1243" s="13">
        <v>1</v>
      </c>
      <c r="D1243" s="14">
        <f t="shared" si="75"/>
        <v>1</v>
      </c>
      <c r="E1243" s="12">
        <v>42304</v>
      </c>
      <c r="G1243" s="15"/>
      <c r="H1243" s="13"/>
      <c r="I1243" s="14">
        <f t="shared" si="74"/>
        <v>0</v>
      </c>
      <c r="J1243" s="5"/>
    </row>
    <row r="1244" spans="2:10" x14ac:dyDescent="0.15">
      <c r="B1244" s="10" t="s">
        <v>284</v>
      </c>
      <c r="C1244" s="13">
        <v>2</v>
      </c>
      <c r="D1244" s="14">
        <f t="shared" si="75"/>
        <v>2</v>
      </c>
      <c r="E1244" s="12">
        <v>42308</v>
      </c>
      <c r="G1244" s="15"/>
      <c r="H1244" s="7"/>
      <c r="I1244" s="14">
        <f t="shared" si="74"/>
        <v>0</v>
      </c>
      <c r="J1244" s="12"/>
    </row>
    <row r="1245" spans="2:10" x14ac:dyDescent="0.15">
      <c r="B1245" s="15" t="s">
        <v>368</v>
      </c>
      <c r="C1245" s="13">
        <v>2</v>
      </c>
      <c r="D1245" s="14">
        <f t="shared" si="75"/>
        <v>2</v>
      </c>
      <c r="E1245" s="12">
        <v>42306</v>
      </c>
      <c r="G1245" s="10"/>
      <c r="H1245" s="13"/>
      <c r="I1245" s="14">
        <f t="shared" si="74"/>
        <v>0</v>
      </c>
      <c r="J1245" s="12"/>
    </row>
    <row r="1246" spans="2:10" x14ac:dyDescent="0.15">
      <c r="B1246" s="10" t="s">
        <v>367</v>
      </c>
      <c r="C1246" s="13">
        <v>1</v>
      </c>
      <c r="D1246" s="14">
        <f t="shared" si="75"/>
        <v>1</v>
      </c>
      <c r="E1246" s="12">
        <v>42306</v>
      </c>
      <c r="G1246" s="15"/>
      <c r="H1246" s="13"/>
      <c r="I1246" s="14">
        <f t="shared" si="74"/>
        <v>0</v>
      </c>
      <c r="J1246" s="12"/>
    </row>
    <row r="1247" spans="2:10" x14ac:dyDescent="0.15">
      <c r="B1247" s="10" t="s">
        <v>189</v>
      </c>
      <c r="C1247" s="13">
        <v>1</v>
      </c>
      <c r="D1247" s="14">
        <f t="shared" si="75"/>
        <v>1</v>
      </c>
      <c r="E1247" s="12">
        <v>42307</v>
      </c>
      <c r="G1247" s="15"/>
      <c r="H1247" s="13"/>
      <c r="I1247" s="14">
        <f t="shared" si="74"/>
        <v>0</v>
      </c>
      <c r="J1247" s="5"/>
    </row>
    <row r="1248" spans="2:10" x14ac:dyDescent="0.15">
      <c r="B1248" s="10" t="s">
        <v>18</v>
      </c>
      <c r="C1248" s="13">
        <v>2</v>
      </c>
      <c r="D1248" s="14">
        <f t="shared" si="75"/>
        <v>2</v>
      </c>
      <c r="E1248" s="12">
        <v>42312</v>
      </c>
      <c r="G1248" s="15"/>
      <c r="H1248" s="7"/>
      <c r="I1248" s="14">
        <f t="shared" si="74"/>
        <v>0</v>
      </c>
      <c r="J1248" s="12"/>
    </row>
    <row r="1249" spans="2:11" x14ac:dyDescent="0.15">
      <c r="B1249" s="10" t="s">
        <v>369</v>
      </c>
      <c r="C1249" s="13">
        <v>4</v>
      </c>
      <c r="D1249" s="14">
        <f t="shared" si="75"/>
        <v>4</v>
      </c>
      <c r="E1249" s="12">
        <v>42310</v>
      </c>
      <c r="G1249" s="15"/>
      <c r="H1249" s="7"/>
      <c r="I1249" s="14">
        <f t="shared" si="74"/>
        <v>0</v>
      </c>
      <c r="J1249" s="12"/>
    </row>
    <row r="1250" spans="2:11" x14ac:dyDescent="0.15">
      <c r="B1250" s="10" t="s">
        <v>284</v>
      </c>
      <c r="C1250" s="13">
        <v>6</v>
      </c>
      <c r="D1250" s="14">
        <f t="shared" si="75"/>
        <v>6</v>
      </c>
      <c r="E1250" s="12">
        <v>42314</v>
      </c>
      <c r="G1250" s="15"/>
      <c r="H1250" s="7"/>
      <c r="I1250" s="14">
        <f t="shared" si="74"/>
        <v>0</v>
      </c>
      <c r="J1250" s="12"/>
    </row>
    <row r="1251" spans="2:11" x14ac:dyDescent="0.15">
      <c r="B1251" s="10" t="s">
        <v>284</v>
      </c>
      <c r="C1251" s="13">
        <v>6</v>
      </c>
      <c r="D1251" s="14">
        <f t="shared" si="75"/>
        <v>6</v>
      </c>
      <c r="E1251" s="12">
        <v>42318</v>
      </c>
      <c r="G1251" s="10"/>
      <c r="H1251" s="13"/>
      <c r="I1251" s="14">
        <f t="shared" si="74"/>
        <v>0</v>
      </c>
      <c r="J1251" s="12"/>
    </row>
    <row r="1252" spans="2:11" x14ac:dyDescent="0.15">
      <c r="B1252" s="15" t="s">
        <v>189</v>
      </c>
      <c r="C1252" s="13">
        <v>2</v>
      </c>
      <c r="D1252" s="14">
        <f t="shared" si="75"/>
        <v>2</v>
      </c>
      <c r="E1252" s="5">
        <v>42313</v>
      </c>
      <c r="G1252" s="15"/>
      <c r="H1252" s="7"/>
      <c r="I1252" s="14">
        <f t="shared" si="74"/>
        <v>0</v>
      </c>
      <c r="J1252" s="74"/>
    </row>
    <row r="1253" spans="2:11" x14ac:dyDescent="0.15">
      <c r="B1253" s="15" t="s">
        <v>189</v>
      </c>
      <c r="C1253" s="13">
        <v>1</v>
      </c>
      <c r="D1253" s="14">
        <f t="shared" si="75"/>
        <v>1</v>
      </c>
      <c r="E1253" s="5">
        <v>42314</v>
      </c>
      <c r="G1253" s="15"/>
      <c r="H1253" s="13"/>
      <c r="I1253" s="14">
        <f t="shared" si="74"/>
        <v>0</v>
      </c>
      <c r="J1253" s="5"/>
    </row>
    <row r="1254" spans="2:11" x14ac:dyDescent="0.15">
      <c r="B1254" s="15" t="s">
        <v>370</v>
      </c>
      <c r="C1254" s="13">
        <v>3</v>
      </c>
      <c r="D1254" s="14">
        <f t="shared" si="75"/>
        <v>3</v>
      </c>
      <c r="E1254" s="5">
        <v>42315</v>
      </c>
      <c r="G1254" s="15"/>
      <c r="H1254" s="13"/>
      <c r="I1254" s="14">
        <f t="shared" si="74"/>
        <v>0</v>
      </c>
      <c r="J1254" s="5"/>
    </row>
    <row r="1255" spans="2:11" x14ac:dyDescent="0.15">
      <c r="B1255" s="10" t="s">
        <v>18</v>
      </c>
      <c r="C1255" s="13">
        <v>4</v>
      </c>
      <c r="D1255" s="14">
        <f t="shared" si="75"/>
        <v>4</v>
      </c>
      <c r="E1255" s="5">
        <v>42318</v>
      </c>
      <c r="G1255" s="15"/>
      <c r="H1255" s="7"/>
      <c r="I1255" s="14">
        <f t="shared" si="74"/>
        <v>0</v>
      </c>
      <c r="J1255" s="12"/>
    </row>
    <row r="1256" spans="2:11" ht="14.25" thickBot="1" x14ac:dyDescent="0.2">
      <c r="B1256" s="15" t="s">
        <v>371</v>
      </c>
      <c r="C1256" s="13">
        <v>2</v>
      </c>
      <c r="D1256" s="11">
        <f t="shared" si="75"/>
        <v>2</v>
      </c>
      <c r="E1256" s="12">
        <v>42317</v>
      </c>
      <c r="G1256" s="15"/>
      <c r="H1256" s="7"/>
      <c r="I1256" s="14">
        <f t="shared" si="74"/>
        <v>0</v>
      </c>
      <c r="J1256" s="74"/>
    </row>
    <row r="1257" spans="2:11" ht="14.25" thickBot="1" x14ac:dyDescent="0.2">
      <c r="B1257" s="17" t="s">
        <v>2</v>
      </c>
      <c r="C1257" s="18">
        <f>SUM(C1233:C1256)</f>
        <v>70</v>
      </c>
      <c r="D1257" s="19">
        <f t="shared" si="75"/>
        <v>70</v>
      </c>
      <c r="E1257" s="20"/>
      <c r="G1257" s="17" t="s">
        <v>2</v>
      </c>
      <c r="H1257" s="18">
        <f>SUM(H1233:H1256)</f>
        <v>0</v>
      </c>
      <c r="I1257" s="19">
        <f t="shared" si="74"/>
        <v>0</v>
      </c>
      <c r="J1257" s="20"/>
    </row>
    <row r="1258" spans="2:11" ht="14.25" thickBot="1" x14ac:dyDescent="0.2">
      <c r="B1258" s="46" t="s">
        <v>3</v>
      </c>
      <c r="C1258" s="52">
        <f>C1232-C1257</f>
        <v>256</v>
      </c>
      <c r="D1258" s="48">
        <f>D1232-D1257</f>
        <v>256</v>
      </c>
      <c r="E1258" s="49"/>
      <c r="G1258" s="46" t="s">
        <v>3</v>
      </c>
      <c r="H1258" s="52">
        <f>H1232-H1257</f>
        <v>3744</v>
      </c>
      <c r="I1258" s="48">
        <f>I1232-I1257</f>
        <v>3744</v>
      </c>
      <c r="J1258" s="49"/>
    </row>
    <row r="1261" spans="2:11" ht="18.75" x14ac:dyDescent="0.2">
      <c r="B1261" s="26" t="s">
        <v>7</v>
      </c>
      <c r="G1261" s="26" t="s">
        <v>35</v>
      </c>
    </row>
    <row r="1262" spans="2:11" ht="14.25" thickBot="1" x14ac:dyDescent="0.2"/>
    <row r="1263" spans="2:11" ht="14.25" thickBot="1" x14ac:dyDescent="0.2">
      <c r="B1263" s="1"/>
      <c r="C1263" s="2"/>
      <c r="D1263" s="3" t="s">
        <v>0</v>
      </c>
      <c r="E1263" s="1" t="s">
        <v>4</v>
      </c>
      <c r="G1263" s="1"/>
      <c r="H1263" s="2"/>
      <c r="I1263" s="3" t="s">
        <v>0</v>
      </c>
      <c r="J1263" s="1" t="s">
        <v>4</v>
      </c>
    </row>
    <row r="1264" spans="2:11" x14ac:dyDescent="0.15">
      <c r="B1264" s="42" t="s">
        <v>5</v>
      </c>
      <c r="C1264" s="43">
        <f>C1258</f>
        <v>256</v>
      </c>
      <c r="D1264" s="44">
        <f>SUM(C1264:C1264)</f>
        <v>256</v>
      </c>
      <c r="E1264" s="45"/>
      <c r="G1264" s="42" t="s">
        <v>5</v>
      </c>
      <c r="H1264" s="43">
        <f>H1258</f>
        <v>3744</v>
      </c>
      <c r="I1264" s="44">
        <f>SUM(H1264:H1264)</f>
        <v>3744</v>
      </c>
      <c r="J1264" s="45"/>
      <c r="K1264" s="103" t="s">
        <v>353</v>
      </c>
    </row>
    <row r="1265" spans="2:10" x14ac:dyDescent="0.15">
      <c r="B1265" s="6" t="s">
        <v>6</v>
      </c>
      <c r="C1265" s="13"/>
      <c r="D1265" s="14">
        <f>SUM(C1265:C1265)</f>
        <v>0</v>
      </c>
      <c r="E1265" s="5"/>
      <c r="G1265" s="71" t="s">
        <v>6</v>
      </c>
      <c r="H1265" s="13"/>
      <c r="I1265" s="14">
        <f>SUM(H1265:H1265)</f>
        <v>0</v>
      </c>
      <c r="J1265" s="5"/>
    </row>
    <row r="1266" spans="2:10" x14ac:dyDescent="0.15">
      <c r="B1266" s="6" t="s">
        <v>6</v>
      </c>
      <c r="C1266" s="7"/>
      <c r="D1266" s="8">
        <f>SUM(C1266:C1266)</f>
        <v>0</v>
      </c>
      <c r="E1266" s="9"/>
      <c r="G1266" s="71" t="s">
        <v>6</v>
      </c>
      <c r="H1266" s="67"/>
      <c r="I1266" s="14">
        <f>SUM(H1266:H1266)</f>
        <v>0</v>
      </c>
      <c r="J1266" s="5"/>
    </row>
    <row r="1267" spans="2:10" ht="14.25" thickBot="1" x14ac:dyDescent="0.2">
      <c r="B1267" s="6" t="s">
        <v>6</v>
      </c>
      <c r="C1267" s="7"/>
      <c r="D1267" s="14">
        <f>SUM(C1267:C1267)</f>
        <v>0</v>
      </c>
      <c r="E1267" s="16"/>
      <c r="G1267" s="6" t="s">
        <v>6</v>
      </c>
      <c r="H1267" s="88"/>
      <c r="I1267" s="11">
        <f>SUM(H1267:H1267)</f>
        <v>0</v>
      </c>
      <c r="J1267" s="85"/>
    </row>
    <row r="1268" spans="2:10" ht="14.25" thickBot="1" x14ac:dyDescent="0.2">
      <c r="B1268" s="46" t="s">
        <v>1</v>
      </c>
      <c r="C1268" s="48">
        <f>SUM(C1264:C1267)</f>
        <v>256</v>
      </c>
      <c r="D1268" s="48">
        <f>SUM(D1264:D1267)</f>
        <v>256</v>
      </c>
      <c r="E1268" s="49"/>
      <c r="G1268" s="46" t="s">
        <v>1</v>
      </c>
      <c r="H1268" s="47">
        <f>SUM(H1264:H1267)</f>
        <v>3744</v>
      </c>
      <c r="I1268" s="48">
        <f>SUM(I1264:I1267)</f>
        <v>3744</v>
      </c>
      <c r="J1268" s="49"/>
    </row>
    <row r="1269" spans="2:10" x14ac:dyDescent="0.15">
      <c r="B1269" s="10" t="s">
        <v>189</v>
      </c>
      <c r="C1269" s="77">
        <v>1</v>
      </c>
      <c r="D1269" s="11">
        <f>SUM(C1269:C1269)</f>
        <v>1</v>
      </c>
      <c r="E1269" s="12">
        <v>42318</v>
      </c>
      <c r="G1269" s="81"/>
      <c r="H1269" s="13"/>
      <c r="I1269" s="11">
        <f>SUM(H1269:H1269)</f>
        <v>0</v>
      </c>
      <c r="J1269" s="12"/>
    </row>
    <row r="1270" spans="2:10" x14ac:dyDescent="0.15">
      <c r="B1270" s="10" t="s">
        <v>372</v>
      </c>
      <c r="C1270" s="13">
        <v>2</v>
      </c>
      <c r="D1270" s="14">
        <f>SUM(C1270:C1270)</f>
        <v>2</v>
      </c>
      <c r="E1270" s="12">
        <v>42320</v>
      </c>
      <c r="G1270" s="15"/>
      <c r="H1270" s="13"/>
      <c r="I1270" s="14">
        <f>SUM(H1270:H1270)</f>
        <v>0</v>
      </c>
      <c r="J1270" s="12"/>
    </row>
    <row r="1271" spans="2:10" x14ac:dyDescent="0.15">
      <c r="B1271" s="10" t="s">
        <v>83</v>
      </c>
      <c r="C1271" s="13">
        <v>10</v>
      </c>
      <c r="D1271" s="14">
        <f>SUM(C1271:C1271)</f>
        <v>10</v>
      </c>
      <c r="E1271" s="12">
        <v>42326</v>
      </c>
      <c r="G1271" s="15"/>
      <c r="H1271" s="13"/>
      <c r="I1271" s="14">
        <f t="shared" ref="I1271:I1293" si="76">SUM(H1271:H1271)</f>
        <v>0</v>
      </c>
      <c r="J1271" s="12"/>
    </row>
    <row r="1272" spans="2:10" x14ac:dyDescent="0.15">
      <c r="B1272" s="10" t="s">
        <v>189</v>
      </c>
      <c r="C1272" s="13">
        <v>5</v>
      </c>
      <c r="D1272" s="14">
        <f t="shared" ref="D1272:D1293" si="77">SUM(C1272:C1272)</f>
        <v>5</v>
      </c>
      <c r="E1272" s="12">
        <v>42324</v>
      </c>
      <c r="G1272" s="81"/>
      <c r="H1272" s="13"/>
      <c r="I1272" s="14">
        <f t="shared" si="76"/>
        <v>0</v>
      </c>
      <c r="J1272" s="12"/>
    </row>
    <row r="1273" spans="2:10" x14ac:dyDescent="0.15">
      <c r="B1273" s="10" t="s">
        <v>189</v>
      </c>
      <c r="C1273" s="13">
        <v>1</v>
      </c>
      <c r="D1273" s="14">
        <f t="shared" si="77"/>
        <v>1</v>
      </c>
      <c r="E1273" s="12">
        <v>42326</v>
      </c>
      <c r="G1273" s="15"/>
      <c r="H1273" s="13"/>
      <c r="I1273" s="14">
        <f t="shared" si="76"/>
        <v>0</v>
      </c>
      <c r="J1273" s="12"/>
    </row>
    <row r="1274" spans="2:10" x14ac:dyDescent="0.15">
      <c r="B1274" s="10" t="s">
        <v>189</v>
      </c>
      <c r="C1274" s="13">
        <v>2</v>
      </c>
      <c r="D1274" s="14">
        <f t="shared" si="77"/>
        <v>2</v>
      </c>
      <c r="E1274" s="12">
        <v>42327</v>
      </c>
      <c r="G1274" s="78"/>
      <c r="H1274" s="13"/>
      <c r="I1274" s="14">
        <f t="shared" si="76"/>
        <v>0</v>
      </c>
      <c r="J1274" s="12"/>
    </row>
    <row r="1275" spans="2:10" x14ac:dyDescent="0.15">
      <c r="B1275" s="10" t="s">
        <v>373</v>
      </c>
      <c r="C1275" s="13">
        <v>1</v>
      </c>
      <c r="D1275" s="14">
        <f t="shared" si="77"/>
        <v>1</v>
      </c>
      <c r="E1275" s="12">
        <v>42329</v>
      </c>
      <c r="G1275" s="78"/>
      <c r="H1275" s="13"/>
      <c r="I1275" s="14">
        <f t="shared" si="76"/>
        <v>0</v>
      </c>
      <c r="J1275" s="12"/>
    </row>
    <row r="1276" spans="2:10" x14ac:dyDescent="0.15">
      <c r="B1276" s="10" t="s">
        <v>189</v>
      </c>
      <c r="C1276" s="13">
        <v>1</v>
      </c>
      <c r="D1276" s="14">
        <f t="shared" si="77"/>
        <v>1</v>
      </c>
      <c r="E1276" s="12">
        <v>42332</v>
      </c>
      <c r="G1276" s="78"/>
      <c r="H1276" s="13"/>
      <c r="I1276" s="14">
        <f t="shared" si="76"/>
        <v>0</v>
      </c>
      <c r="J1276" s="12"/>
    </row>
    <row r="1277" spans="2:10" x14ac:dyDescent="0.15">
      <c r="B1277" s="10" t="s">
        <v>18</v>
      </c>
      <c r="C1277" s="13">
        <v>2</v>
      </c>
      <c r="D1277" s="14">
        <f t="shared" si="77"/>
        <v>2</v>
      </c>
      <c r="E1277" s="12">
        <v>42335</v>
      </c>
      <c r="G1277" s="10"/>
      <c r="H1277" s="13"/>
      <c r="I1277" s="14">
        <f t="shared" si="76"/>
        <v>0</v>
      </c>
      <c r="J1277" s="12"/>
    </row>
    <row r="1278" spans="2:10" x14ac:dyDescent="0.15">
      <c r="B1278" s="15" t="s">
        <v>189</v>
      </c>
      <c r="C1278" s="13">
        <v>1</v>
      </c>
      <c r="D1278" s="14">
        <f t="shared" si="77"/>
        <v>1</v>
      </c>
      <c r="E1278" s="12">
        <v>42334</v>
      </c>
      <c r="G1278" s="78"/>
      <c r="H1278" s="13"/>
      <c r="I1278" s="14">
        <f t="shared" si="76"/>
        <v>0</v>
      </c>
      <c r="J1278" s="12"/>
    </row>
    <row r="1279" spans="2:10" x14ac:dyDescent="0.15">
      <c r="B1279" s="15" t="s">
        <v>189</v>
      </c>
      <c r="C1279" s="13">
        <v>1</v>
      </c>
      <c r="D1279" s="14">
        <f t="shared" si="77"/>
        <v>1</v>
      </c>
      <c r="E1279" s="12">
        <v>42338</v>
      </c>
      <c r="G1279" s="15"/>
      <c r="H1279" s="13"/>
      <c r="I1279" s="14">
        <f t="shared" si="76"/>
        <v>0</v>
      </c>
      <c r="J1279" s="5"/>
    </row>
    <row r="1280" spans="2:10" x14ac:dyDescent="0.15">
      <c r="B1280" s="15" t="s">
        <v>189</v>
      </c>
      <c r="C1280" s="13">
        <v>1</v>
      </c>
      <c r="D1280" s="14">
        <f t="shared" si="77"/>
        <v>1</v>
      </c>
      <c r="E1280" s="12">
        <v>42339</v>
      </c>
      <c r="G1280" s="15"/>
      <c r="H1280" s="7"/>
      <c r="I1280" s="14">
        <f t="shared" si="76"/>
        <v>0</v>
      </c>
      <c r="J1280" s="12"/>
    </row>
    <row r="1281" spans="2:10" x14ac:dyDescent="0.15">
      <c r="B1281" s="10" t="s">
        <v>18</v>
      </c>
      <c r="C1281" s="13">
        <v>1</v>
      </c>
      <c r="D1281" s="14">
        <f t="shared" si="77"/>
        <v>1</v>
      </c>
      <c r="E1281" s="12">
        <v>42342</v>
      </c>
      <c r="G1281" s="10"/>
      <c r="H1281" s="13"/>
      <c r="I1281" s="14">
        <f t="shared" si="76"/>
        <v>0</v>
      </c>
      <c r="J1281" s="12"/>
    </row>
    <row r="1282" spans="2:10" x14ac:dyDescent="0.15">
      <c r="B1282" s="10" t="s">
        <v>189</v>
      </c>
      <c r="C1282" s="13">
        <v>1</v>
      </c>
      <c r="D1282" s="14">
        <f t="shared" si="77"/>
        <v>1</v>
      </c>
      <c r="E1282" s="12">
        <v>42348</v>
      </c>
      <c r="G1282" s="15"/>
      <c r="H1282" s="13"/>
      <c r="I1282" s="14">
        <f t="shared" si="76"/>
        <v>0</v>
      </c>
      <c r="J1282" s="12"/>
    </row>
    <row r="1283" spans="2:10" x14ac:dyDescent="0.15">
      <c r="B1283" s="10" t="s">
        <v>189</v>
      </c>
      <c r="C1283" s="13">
        <v>2</v>
      </c>
      <c r="D1283" s="14">
        <f t="shared" si="77"/>
        <v>2</v>
      </c>
      <c r="E1283" s="12">
        <v>42349</v>
      </c>
      <c r="G1283" s="15"/>
      <c r="H1283" s="13"/>
      <c r="I1283" s="14">
        <f t="shared" si="76"/>
        <v>0</v>
      </c>
      <c r="J1283" s="5"/>
    </row>
    <row r="1284" spans="2:10" x14ac:dyDescent="0.15">
      <c r="B1284" s="10" t="s">
        <v>374</v>
      </c>
      <c r="C1284" s="13">
        <v>1</v>
      </c>
      <c r="D1284" s="14">
        <f t="shared" si="77"/>
        <v>1</v>
      </c>
      <c r="E1284" s="12">
        <v>42349</v>
      </c>
      <c r="G1284" s="15"/>
      <c r="H1284" s="7"/>
      <c r="I1284" s="14">
        <f t="shared" si="76"/>
        <v>0</v>
      </c>
      <c r="J1284" s="12"/>
    </row>
    <row r="1285" spans="2:10" x14ac:dyDescent="0.15">
      <c r="B1285" s="10" t="s">
        <v>18</v>
      </c>
      <c r="C1285" s="13">
        <v>1</v>
      </c>
      <c r="D1285" s="14">
        <f t="shared" si="77"/>
        <v>1</v>
      </c>
      <c r="E1285" s="12">
        <v>42357</v>
      </c>
      <c r="G1285" s="15"/>
      <c r="H1285" s="7"/>
      <c r="I1285" s="14">
        <f t="shared" si="76"/>
        <v>0</v>
      </c>
      <c r="J1285" s="12"/>
    </row>
    <row r="1286" spans="2:10" x14ac:dyDescent="0.15">
      <c r="B1286" s="10" t="s">
        <v>189</v>
      </c>
      <c r="C1286" s="13">
        <v>1</v>
      </c>
      <c r="D1286" s="14">
        <f t="shared" si="77"/>
        <v>1</v>
      </c>
      <c r="E1286" s="12">
        <v>42356</v>
      </c>
      <c r="G1286" s="15"/>
      <c r="H1286" s="7"/>
      <c r="I1286" s="14">
        <f t="shared" si="76"/>
        <v>0</v>
      </c>
      <c r="J1286" s="12"/>
    </row>
    <row r="1287" spans="2:10" x14ac:dyDescent="0.15">
      <c r="B1287" s="10" t="s">
        <v>189</v>
      </c>
      <c r="C1287" s="13">
        <v>2</v>
      </c>
      <c r="D1287" s="14">
        <f t="shared" si="77"/>
        <v>2</v>
      </c>
      <c r="E1287" s="12">
        <v>42360</v>
      </c>
      <c r="G1287" s="10"/>
      <c r="H1287" s="13"/>
      <c r="I1287" s="14">
        <f t="shared" si="76"/>
        <v>0</v>
      </c>
      <c r="J1287" s="12"/>
    </row>
    <row r="1288" spans="2:10" x14ac:dyDescent="0.15">
      <c r="B1288" s="10" t="s">
        <v>375</v>
      </c>
      <c r="C1288" s="13">
        <v>3</v>
      </c>
      <c r="D1288" s="14">
        <f t="shared" si="77"/>
        <v>3</v>
      </c>
      <c r="E1288" s="5">
        <v>42362</v>
      </c>
      <c r="G1288" s="15"/>
      <c r="H1288" s="7"/>
      <c r="I1288" s="14">
        <f t="shared" si="76"/>
        <v>0</v>
      </c>
      <c r="J1288" s="74"/>
    </row>
    <row r="1289" spans="2:10" x14ac:dyDescent="0.15">
      <c r="B1289" s="10" t="s">
        <v>18</v>
      </c>
      <c r="C1289" s="13">
        <v>45</v>
      </c>
      <c r="D1289" s="14">
        <f t="shared" si="77"/>
        <v>45</v>
      </c>
      <c r="E1289" s="5">
        <v>42364</v>
      </c>
      <c r="G1289" s="15"/>
      <c r="H1289" s="13"/>
      <c r="I1289" s="14">
        <f t="shared" si="76"/>
        <v>0</v>
      </c>
      <c r="J1289" s="5"/>
    </row>
    <row r="1290" spans="2:10" x14ac:dyDescent="0.15">
      <c r="B1290" s="10" t="s">
        <v>83</v>
      </c>
      <c r="C1290" s="13">
        <v>20</v>
      </c>
      <c r="D1290" s="14">
        <f t="shared" si="77"/>
        <v>20</v>
      </c>
      <c r="E1290" s="5">
        <v>42364</v>
      </c>
      <c r="G1290" s="15"/>
      <c r="H1290" s="13"/>
      <c r="I1290" s="14">
        <f t="shared" si="76"/>
        <v>0</v>
      </c>
      <c r="J1290" s="5"/>
    </row>
    <row r="1291" spans="2:10" x14ac:dyDescent="0.15">
      <c r="B1291" s="10" t="s">
        <v>189</v>
      </c>
      <c r="C1291" s="13">
        <v>3</v>
      </c>
      <c r="D1291" s="14">
        <f t="shared" si="77"/>
        <v>3</v>
      </c>
      <c r="E1291" s="5">
        <v>42369</v>
      </c>
      <c r="G1291" s="15"/>
      <c r="H1291" s="7"/>
      <c r="I1291" s="14">
        <f t="shared" si="76"/>
        <v>0</v>
      </c>
      <c r="J1291" s="12"/>
    </row>
    <row r="1292" spans="2:10" ht="14.25" thickBot="1" x14ac:dyDescent="0.2">
      <c r="B1292" s="10" t="s">
        <v>376</v>
      </c>
      <c r="C1292" s="13">
        <v>2</v>
      </c>
      <c r="D1292" s="11">
        <f t="shared" si="77"/>
        <v>2</v>
      </c>
      <c r="E1292" s="12">
        <v>42374</v>
      </c>
      <c r="G1292" s="15"/>
      <c r="H1292" s="7"/>
      <c r="I1292" s="14">
        <f t="shared" si="76"/>
        <v>0</v>
      </c>
      <c r="J1292" s="74"/>
    </row>
    <row r="1293" spans="2:10" ht="14.25" thickBot="1" x14ac:dyDescent="0.2">
      <c r="B1293" s="17" t="s">
        <v>2</v>
      </c>
      <c r="C1293" s="18">
        <f>SUM(C1269:C1292)</f>
        <v>110</v>
      </c>
      <c r="D1293" s="19">
        <f t="shared" si="77"/>
        <v>110</v>
      </c>
      <c r="E1293" s="20"/>
      <c r="G1293" s="17" t="s">
        <v>2</v>
      </c>
      <c r="H1293" s="18">
        <f>SUM(H1269:H1292)</f>
        <v>0</v>
      </c>
      <c r="I1293" s="19">
        <f t="shared" si="76"/>
        <v>0</v>
      </c>
      <c r="J1293" s="20"/>
    </row>
    <row r="1294" spans="2:10" ht="14.25" thickBot="1" x14ac:dyDescent="0.2">
      <c r="B1294" s="46" t="s">
        <v>3</v>
      </c>
      <c r="C1294" s="52">
        <f>C1268-C1293</f>
        <v>146</v>
      </c>
      <c r="D1294" s="48">
        <f>D1268-D1293</f>
        <v>146</v>
      </c>
      <c r="E1294" s="49"/>
      <c r="G1294" s="46" t="s">
        <v>3</v>
      </c>
      <c r="H1294" s="52">
        <f>H1268-H1293</f>
        <v>3744</v>
      </c>
      <c r="I1294" s="48">
        <f>I1268-I1293</f>
        <v>3744</v>
      </c>
      <c r="J1294" s="49"/>
    </row>
    <row r="1297" spans="2:11" ht="18.75" x14ac:dyDescent="0.2">
      <c r="B1297" s="26" t="s">
        <v>7</v>
      </c>
      <c r="G1297" s="26" t="s">
        <v>35</v>
      </c>
    </row>
    <row r="1298" spans="2:11" ht="14.25" thickBot="1" x14ac:dyDescent="0.2"/>
    <row r="1299" spans="2:11" ht="14.25" thickBot="1" x14ac:dyDescent="0.2">
      <c r="B1299" s="1"/>
      <c r="C1299" s="2"/>
      <c r="D1299" s="3" t="s">
        <v>0</v>
      </c>
      <c r="E1299" s="1" t="s">
        <v>4</v>
      </c>
      <c r="G1299" s="1"/>
      <c r="H1299" s="2"/>
      <c r="I1299" s="3" t="s">
        <v>0</v>
      </c>
      <c r="J1299" s="1" t="s">
        <v>4</v>
      </c>
    </row>
    <row r="1300" spans="2:11" x14ac:dyDescent="0.15">
      <c r="B1300" s="42" t="s">
        <v>5</v>
      </c>
      <c r="C1300" s="43">
        <f>C1294</f>
        <v>146</v>
      </c>
      <c r="D1300" s="44">
        <f>SUM(C1300:C1300)</f>
        <v>146</v>
      </c>
      <c r="E1300" s="45"/>
      <c r="G1300" s="42" t="s">
        <v>5</v>
      </c>
      <c r="H1300" s="43">
        <f>H1294</f>
        <v>3744</v>
      </c>
      <c r="I1300" s="44">
        <f>SUM(H1300:H1300)</f>
        <v>3744</v>
      </c>
      <c r="J1300" s="45"/>
      <c r="K1300" s="103" t="s">
        <v>353</v>
      </c>
    </row>
    <row r="1301" spans="2:11" x14ac:dyDescent="0.15">
      <c r="B1301" s="6" t="s">
        <v>6</v>
      </c>
      <c r="C1301" s="13">
        <v>336</v>
      </c>
      <c r="D1301" s="14">
        <f>SUM(C1301:C1301)</f>
        <v>336</v>
      </c>
      <c r="E1301" s="5">
        <v>42397</v>
      </c>
      <c r="G1301" s="71" t="s">
        <v>6</v>
      </c>
      <c r="H1301" s="13"/>
      <c r="I1301" s="14">
        <f>SUM(H1301:H1301)</f>
        <v>0</v>
      </c>
      <c r="J1301" s="5"/>
    </row>
    <row r="1302" spans="2:11" x14ac:dyDescent="0.15">
      <c r="B1302" s="6" t="s">
        <v>6</v>
      </c>
      <c r="C1302" s="7"/>
      <c r="D1302" s="8">
        <f>SUM(C1302:C1302)</f>
        <v>0</v>
      </c>
      <c r="E1302" s="9"/>
      <c r="G1302" s="71" t="s">
        <v>6</v>
      </c>
      <c r="H1302" s="67"/>
      <c r="I1302" s="14">
        <f>SUM(H1302:H1302)</f>
        <v>0</v>
      </c>
      <c r="J1302" s="5"/>
    </row>
    <row r="1303" spans="2:11" ht="14.25" thickBot="1" x14ac:dyDescent="0.2">
      <c r="B1303" s="6" t="s">
        <v>6</v>
      </c>
      <c r="C1303" s="7"/>
      <c r="D1303" s="14">
        <f>SUM(C1303:C1303)</f>
        <v>0</v>
      </c>
      <c r="E1303" s="16"/>
      <c r="G1303" s="6" t="s">
        <v>6</v>
      </c>
      <c r="H1303" s="88"/>
      <c r="I1303" s="11">
        <f>SUM(H1303:H1303)</f>
        <v>0</v>
      </c>
      <c r="J1303" s="85"/>
    </row>
    <row r="1304" spans="2:11" ht="14.25" thickBot="1" x14ac:dyDescent="0.2">
      <c r="B1304" s="46" t="s">
        <v>1</v>
      </c>
      <c r="C1304" s="48">
        <f>SUM(C1300:C1303)</f>
        <v>482</v>
      </c>
      <c r="D1304" s="48">
        <f>SUM(D1300:D1303)</f>
        <v>482</v>
      </c>
      <c r="E1304" s="49"/>
      <c r="G1304" s="46" t="s">
        <v>1</v>
      </c>
      <c r="H1304" s="47">
        <f>SUM(H1300:H1303)</f>
        <v>3744</v>
      </c>
      <c r="I1304" s="48">
        <f>SUM(I1300:I1303)</f>
        <v>3744</v>
      </c>
      <c r="J1304" s="49"/>
    </row>
    <row r="1305" spans="2:11" x14ac:dyDescent="0.15">
      <c r="B1305" s="10" t="s">
        <v>378</v>
      </c>
      <c r="C1305" s="77">
        <v>1</v>
      </c>
      <c r="D1305" s="11">
        <f>SUM(C1305:C1305)</f>
        <v>1</v>
      </c>
      <c r="E1305" s="12">
        <v>42375</v>
      </c>
      <c r="G1305" s="81"/>
      <c r="H1305" s="13"/>
      <c r="I1305" s="11">
        <f>SUM(H1305:H1305)</f>
        <v>0</v>
      </c>
      <c r="J1305" s="12"/>
    </row>
    <row r="1306" spans="2:11" x14ac:dyDescent="0.15">
      <c r="B1306" s="10" t="s">
        <v>377</v>
      </c>
      <c r="C1306" s="13">
        <v>19</v>
      </c>
      <c r="D1306" s="14">
        <f>SUM(C1306:C1306)</f>
        <v>19</v>
      </c>
      <c r="E1306" s="12">
        <v>42382</v>
      </c>
      <c r="G1306" s="15"/>
      <c r="H1306" s="13"/>
      <c r="I1306" s="14">
        <f>SUM(H1306:H1306)</f>
        <v>0</v>
      </c>
      <c r="J1306" s="12"/>
    </row>
    <row r="1307" spans="2:11" x14ac:dyDescent="0.15">
      <c r="B1307" s="10" t="s">
        <v>189</v>
      </c>
      <c r="C1307" s="13">
        <v>2</v>
      </c>
      <c r="D1307" s="14">
        <f>SUM(C1307:C1307)</f>
        <v>2</v>
      </c>
      <c r="E1307" s="12">
        <v>42381</v>
      </c>
      <c r="G1307" s="15"/>
      <c r="H1307" s="13"/>
      <c r="I1307" s="14">
        <f t="shared" ref="I1307:I1329" si="78">SUM(H1307:H1307)</f>
        <v>0</v>
      </c>
      <c r="J1307" s="12"/>
    </row>
    <row r="1308" spans="2:11" x14ac:dyDescent="0.15">
      <c r="B1308" s="10" t="s">
        <v>18</v>
      </c>
      <c r="C1308" s="13">
        <v>37</v>
      </c>
      <c r="D1308" s="14">
        <f t="shared" ref="D1308:D1329" si="79">SUM(C1308:C1308)</f>
        <v>37</v>
      </c>
      <c r="E1308" s="12">
        <v>42384</v>
      </c>
      <c r="G1308" s="81"/>
      <c r="H1308" s="13"/>
      <c r="I1308" s="14">
        <f t="shared" si="78"/>
        <v>0</v>
      </c>
      <c r="J1308" s="12"/>
    </row>
    <row r="1309" spans="2:11" x14ac:dyDescent="0.15">
      <c r="B1309" s="10" t="s">
        <v>379</v>
      </c>
      <c r="C1309" s="13">
        <v>3</v>
      </c>
      <c r="D1309" s="14">
        <f t="shared" si="79"/>
        <v>3</v>
      </c>
      <c r="E1309" s="12">
        <v>42384</v>
      </c>
      <c r="G1309" s="15"/>
      <c r="H1309" s="13"/>
      <c r="I1309" s="14">
        <f t="shared" si="78"/>
        <v>0</v>
      </c>
      <c r="J1309" s="12"/>
    </row>
    <row r="1310" spans="2:11" x14ac:dyDescent="0.15">
      <c r="B1310" s="10" t="s">
        <v>18</v>
      </c>
      <c r="C1310" s="13">
        <v>17</v>
      </c>
      <c r="D1310" s="14">
        <f t="shared" si="79"/>
        <v>17</v>
      </c>
      <c r="E1310" s="12">
        <v>42387</v>
      </c>
      <c r="G1310" s="78"/>
      <c r="H1310" s="13"/>
      <c r="I1310" s="14">
        <f t="shared" si="78"/>
        <v>0</v>
      </c>
      <c r="J1310" s="12"/>
    </row>
    <row r="1311" spans="2:11" x14ac:dyDescent="0.15">
      <c r="B1311" s="10" t="s">
        <v>380</v>
      </c>
      <c r="C1311" s="13">
        <v>1</v>
      </c>
      <c r="D1311" s="14">
        <f t="shared" si="79"/>
        <v>1</v>
      </c>
      <c r="E1311" s="12">
        <v>42385</v>
      </c>
      <c r="G1311" s="78"/>
      <c r="H1311" s="13"/>
      <c r="I1311" s="14">
        <f t="shared" si="78"/>
        <v>0</v>
      </c>
      <c r="J1311" s="12"/>
    </row>
    <row r="1312" spans="2:11" x14ac:dyDescent="0.15">
      <c r="B1312" s="10" t="s">
        <v>18</v>
      </c>
      <c r="C1312" s="13">
        <v>5</v>
      </c>
      <c r="D1312" s="14">
        <f t="shared" si="79"/>
        <v>5</v>
      </c>
      <c r="E1312" s="12">
        <v>42395</v>
      </c>
      <c r="G1312" s="78"/>
      <c r="H1312" s="13"/>
      <c r="I1312" s="14">
        <f t="shared" si="78"/>
        <v>0</v>
      </c>
      <c r="J1312" s="12"/>
    </row>
    <row r="1313" spans="2:10" x14ac:dyDescent="0.15">
      <c r="B1313" s="10" t="s">
        <v>381</v>
      </c>
      <c r="C1313" s="13">
        <v>2</v>
      </c>
      <c r="D1313" s="14">
        <f t="shared" si="79"/>
        <v>2</v>
      </c>
      <c r="E1313" s="12">
        <v>42394</v>
      </c>
      <c r="G1313" s="10"/>
      <c r="H1313" s="13"/>
      <c r="I1313" s="14">
        <f t="shared" si="78"/>
        <v>0</v>
      </c>
      <c r="J1313" s="12"/>
    </row>
    <row r="1314" spans="2:10" x14ac:dyDescent="0.15">
      <c r="B1314" s="10" t="s">
        <v>18</v>
      </c>
      <c r="C1314" s="13">
        <v>32</v>
      </c>
      <c r="D1314" s="14">
        <f t="shared" si="79"/>
        <v>32</v>
      </c>
      <c r="E1314" s="12">
        <v>42397</v>
      </c>
      <c r="G1314" s="78"/>
      <c r="H1314" s="13"/>
      <c r="I1314" s="14">
        <f t="shared" si="78"/>
        <v>0</v>
      </c>
      <c r="J1314" s="12"/>
    </row>
    <row r="1315" spans="2:10" x14ac:dyDescent="0.15">
      <c r="B1315" s="15" t="s">
        <v>189</v>
      </c>
      <c r="C1315" s="13">
        <v>1</v>
      </c>
      <c r="D1315" s="14">
        <f t="shared" si="79"/>
        <v>1</v>
      </c>
      <c r="E1315" s="12">
        <v>42396</v>
      </c>
      <c r="G1315" s="15"/>
      <c r="H1315" s="13"/>
      <c r="I1315" s="14">
        <f t="shared" si="78"/>
        <v>0</v>
      </c>
      <c r="J1315" s="5"/>
    </row>
    <row r="1316" spans="2:10" x14ac:dyDescent="0.15">
      <c r="B1316" s="15" t="s">
        <v>189</v>
      </c>
      <c r="C1316" s="13">
        <v>1</v>
      </c>
      <c r="D1316" s="14">
        <f t="shared" si="79"/>
        <v>1</v>
      </c>
      <c r="E1316" s="12">
        <v>42397</v>
      </c>
      <c r="G1316" s="15"/>
      <c r="H1316" s="7"/>
      <c r="I1316" s="14">
        <f t="shared" si="78"/>
        <v>0</v>
      </c>
      <c r="J1316" s="12"/>
    </row>
    <row r="1317" spans="2:10" x14ac:dyDescent="0.15">
      <c r="B1317" s="10" t="s">
        <v>18</v>
      </c>
      <c r="C1317" s="13">
        <v>5</v>
      </c>
      <c r="D1317" s="14">
        <f t="shared" si="79"/>
        <v>5</v>
      </c>
      <c r="E1317" s="12">
        <v>42403</v>
      </c>
      <c r="G1317" s="10"/>
      <c r="H1317" s="13"/>
      <c r="I1317" s="14">
        <f t="shared" si="78"/>
        <v>0</v>
      </c>
      <c r="J1317" s="12"/>
    </row>
    <row r="1318" spans="2:10" x14ac:dyDescent="0.15">
      <c r="B1318" s="10" t="s">
        <v>18</v>
      </c>
      <c r="C1318" s="13">
        <v>17</v>
      </c>
      <c r="D1318" s="14">
        <f t="shared" si="79"/>
        <v>17</v>
      </c>
      <c r="E1318" s="12">
        <v>42406</v>
      </c>
      <c r="G1318" s="15"/>
      <c r="H1318" s="13"/>
      <c r="I1318" s="14">
        <f t="shared" si="78"/>
        <v>0</v>
      </c>
      <c r="J1318" s="12"/>
    </row>
    <row r="1319" spans="2:10" x14ac:dyDescent="0.15">
      <c r="B1319" s="10" t="s">
        <v>18</v>
      </c>
      <c r="C1319" s="13">
        <v>21</v>
      </c>
      <c r="D1319" s="14">
        <f t="shared" si="79"/>
        <v>21</v>
      </c>
      <c r="E1319" s="12">
        <v>42410</v>
      </c>
      <c r="G1319" s="15"/>
      <c r="H1319" s="13"/>
      <c r="I1319" s="14">
        <f t="shared" si="78"/>
        <v>0</v>
      </c>
      <c r="J1319" s="5"/>
    </row>
    <row r="1320" spans="2:10" x14ac:dyDescent="0.15">
      <c r="B1320" s="10" t="s">
        <v>18</v>
      </c>
      <c r="C1320" s="13">
        <v>47</v>
      </c>
      <c r="D1320" s="14">
        <f t="shared" si="79"/>
        <v>47</v>
      </c>
      <c r="E1320" s="12">
        <v>42416</v>
      </c>
      <c r="G1320" s="15"/>
      <c r="H1320" s="7"/>
      <c r="I1320" s="14">
        <f t="shared" si="78"/>
        <v>0</v>
      </c>
      <c r="J1320" s="12"/>
    </row>
    <row r="1321" spans="2:10" x14ac:dyDescent="0.15">
      <c r="B1321" s="10" t="s">
        <v>383</v>
      </c>
      <c r="C1321" s="13">
        <v>1</v>
      </c>
      <c r="D1321" s="14">
        <f t="shared" si="79"/>
        <v>1</v>
      </c>
      <c r="E1321" s="12">
        <v>42416</v>
      </c>
      <c r="G1321" s="15"/>
      <c r="H1321" s="7"/>
      <c r="I1321" s="14">
        <f t="shared" si="78"/>
        <v>0</v>
      </c>
      <c r="J1321" s="12"/>
    </row>
    <row r="1322" spans="2:10" x14ac:dyDescent="0.15">
      <c r="B1322" s="10" t="s">
        <v>18</v>
      </c>
      <c r="C1322" s="13">
        <v>1</v>
      </c>
      <c r="D1322" s="14">
        <f t="shared" si="79"/>
        <v>1</v>
      </c>
      <c r="E1322" s="12">
        <v>42420</v>
      </c>
      <c r="G1322" s="15"/>
      <c r="H1322" s="7"/>
      <c r="I1322" s="14">
        <f t="shared" si="78"/>
        <v>0</v>
      </c>
      <c r="J1322" s="12"/>
    </row>
    <row r="1323" spans="2:10" x14ac:dyDescent="0.15">
      <c r="B1323" s="10" t="s">
        <v>18</v>
      </c>
      <c r="C1323" s="13">
        <v>22</v>
      </c>
      <c r="D1323" s="14">
        <f t="shared" si="79"/>
        <v>22</v>
      </c>
      <c r="E1323" s="12">
        <v>42429</v>
      </c>
      <c r="G1323" s="10"/>
      <c r="H1323" s="13"/>
      <c r="I1323" s="14">
        <f t="shared" si="78"/>
        <v>0</v>
      </c>
      <c r="J1323" s="12"/>
    </row>
    <row r="1324" spans="2:10" x14ac:dyDescent="0.15">
      <c r="B1324" s="15" t="s">
        <v>189</v>
      </c>
      <c r="C1324" s="13">
        <v>1</v>
      </c>
      <c r="D1324" s="14">
        <f t="shared" si="79"/>
        <v>1</v>
      </c>
      <c r="E1324" s="5">
        <v>42427</v>
      </c>
      <c r="G1324" s="15"/>
      <c r="H1324" s="13"/>
      <c r="I1324" s="14">
        <f>SUM(H1324:H1324)</f>
        <v>0</v>
      </c>
      <c r="J1324" s="5"/>
    </row>
    <row r="1325" spans="2:10" x14ac:dyDescent="0.15">
      <c r="B1325" s="15" t="s">
        <v>386</v>
      </c>
      <c r="C1325" s="13">
        <v>2</v>
      </c>
      <c r="D1325" s="14">
        <f t="shared" si="79"/>
        <v>2</v>
      </c>
      <c r="E1325" s="5">
        <v>42429</v>
      </c>
      <c r="G1325" s="15"/>
      <c r="H1325" s="13"/>
      <c r="I1325" s="14">
        <f>SUM(H1325:H1325)</f>
        <v>0</v>
      </c>
      <c r="J1325" s="5"/>
    </row>
    <row r="1326" spans="2:10" x14ac:dyDescent="0.15">
      <c r="B1326" s="10" t="s">
        <v>18</v>
      </c>
      <c r="C1326" s="13">
        <v>37</v>
      </c>
      <c r="D1326" s="14">
        <f t="shared" si="79"/>
        <v>37</v>
      </c>
      <c r="E1326" s="5">
        <v>42431</v>
      </c>
      <c r="G1326" s="15"/>
      <c r="H1326" s="7"/>
      <c r="I1326" s="14">
        <f>SUM(H1326:H1326)</f>
        <v>0</v>
      </c>
      <c r="J1326" s="12"/>
    </row>
    <row r="1327" spans="2:10" x14ac:dyDescent="0.15">
      <c r="B1327" s="10" t="s">
        <v>189</v>
      </c>
      <c r="C1327" s="13">
        <v>1</v>
      </c>
      <c r="D1327" s="14">
        <f t="shared" si="79"/>
        <v>1</v>
      </c>
      <c r="E1327" s="5">
        <v>42431</v>
      </c>
      <c r="G1327" s="15"/>
      <c r="H1327" s="7"/>
      <c r="I1327" s="14">
        <f t="shared" si="78"/>
        <v>0</v>
      </c>
      <c r="J1327" s="12"/>
    </row>
    <row r="1328" spans="2:10" ht="14.25" thickBot="1" x14ac:dyDescent="0.2">
      <c r="B1328" s="10" t="s">
        <v>189</v>
      </c>
      <c r="C1328" s="13">
        <v>1</v>
      </c>
      <c r="D1328" s="11">
        <f t="shared" si="79"/>
        <v>1</v>
      </c>
      <c r="E1328" s="12"/>
      <c r="G1328" s="15"/>
      <c r="H1328" s="7"/>
      <c r="I1328" s="14">
        <f t="shared" si="78"/>
        <v>0</v>
      </c>
      <c r="J1328" s="74"/>
    </row>
    <row r="1329" spans="2:11" ht="14.25" thickBot="1" x14ac:dyDescent="0.2">
      <c r="B1329" s="17" t="s">
        <v>2</v>
      </c>
      <c r="C1329" s="18">
        <f>SUM(C1305:C1328)</f>
        <v>277</v>
      </c>
      <c r="D1329" s="19">
        <f t="shared" si="79"/>
        <v>277</v>
      </c>
      <c r="E1329" s="20"/>
      <c r="G1329" s="17" t="s">
        <v>2</v>
      </c>
      <c r="H1329" s="18">
        <f>SUM(H1305:H1328)</f>
        <v>0</v>
      </c>
      <c r="I1329" s="19">
        <f t="shared" si="78"/>
        <v>0</v>
      </c>
      <c r="J1329" s="20"/>
    </row>
    <row r="1330" spans="2:11" ht="14.25" thickBot="1" x14ac:dyDescent="0.2">
      <c r="B1330" s="46" t="s">
        <v>3</v>
      </c>
      <c r="C1330" s="52">
        <f>C1304-C1329</f>
        <v>205</v>
      </c>
      <c r="D1330" s="48">
        <f>D1304-D1329</f>
        <v>205</v>
      </c>
      <c r="E1330" s="49"/>
      <c r="G1330" s="46" t="s">
        <v>3</v>
      </c>
      <c r="H1330" s="52">
        <f>H1304-H1329</f>
        <v>3744</v>
      </c>
      <c r="I1330" s="48">
        <f>I1304-I1329</f>
        <v>3744</v>
      </c>
      <c r="J1330" s="49"/>
    </row>
    <row r="1333" spans="2:11" ht="18.75" x14ac:dyDescent="0.2">
      <c r="B1333" s="26" t="s">
        <v>7</v>
      </c>
      <c r="G1333" s="26" t="s">
        <v>35</v>
      </c>
    </row>
    <row r="1334" spans="2:11" ht="14.25" thickBot="1" x14ac:dyDescent="0.2"/>
    <row r="1335" spans="2:11" ht="14.25" thickBot="1" x14ac:dyDescent="0.2">
      <c r="B1335" s="1"/>
      <c r="C1335" s="2"/>
      <c r="D1335" s="3" t="s">
        <v>0</v>
      </c>
      <c r="E1335" s="1" t="s">
        <v>4</v>
      </c>
      <c r="G1335" s="1"/>
      <c r="H1335" s="2"/>
      <c r="I1335" s="3" t="s">
        <v>0</v>
      </c>
      <c r="J1335" s="1" t="s">
        <v>4</v>
      </c>
    </row>
    <row r="1336" spans="2:11" x14ac:dyDescent="0.15">
      <c r="B1336" s="42" t="s">
        <v>5</v>
      </c>
      <c r="C1336" s="43">
        <f>C1330</f>
        <v>205</v>
      </c>
      <c r="D1336" s="44">
        <f>SUM(C1336:C1336)</f>
        <v>205</v>
      </c>
      <c r="E1336" s="45"/>
      <c r="G1336" s="42" t="s">
        <v>5</v>
      </c>
      <c r="H1336" s="43">
        <f>H1330</f>
        <v>3744</v>
      </c>
      <c r="I1336" s="44">
        <f>SUM(H1336:H1336)</f>
        <v>3744</v>
      </c>
      <c r="J1336" s="45"/>
      <c r="K1336" s="103" t="s">
        <v>353</v>
      </c>
    </row>
    <row r="1337" spans="2:11" x14ac:dyDescent="0.15">
      <c r="B1337" s="81" t="s">
        <v>16</v>
      </c>
      <c r="C1337" s="13">
        <v>508</v>
      </c>
      <c r="D1337" s="14">
        <f>SUM(C1337:C1337)</f>
        <v>508</v>
      </c>
      <c r="E1337" s="12">
        <v>42438</v>
      </c>
      <c r="G1337" s="71" t="s">
        <v>6</v>
      </c>
      <c r="H1337" s="13"/>
      <c r="I1337" s="14">
        <f>SUM(H1337:H1337)</f>
        <v>0</v>
      </c>
      <c r="J1337" s="5"/>
    </row>
    <row r="1338" spans="2:11" x14ac:dyDescent="0.15">
      <c r="B1338" s="6" t="s">
        <v>6</v>
      </c>
      <c r="C1338" s="7"/>
      <c r="D1338" s="8">
        <f>SUM(C1338:C1338)</f>
        <v>0</v>
      </c>
      <c r="E1338" s="9"/>
      <c r="G1338" s="71" t="s">
        <v>6</v>
      </c>
      <c r="H1338" s="67"/>
      <c r="I1338" s="14">
        <f>SUM(H1338:H1338)</f>
        <v>0</v>
      </c>
      <c r="J1338" s="5"/>
    </row>
    <row r="1339" spans="2:11" ht="14.25" thickBot="1" x14ac:dyDescent="0.2">
      <c r="B1339" s="6" t="s">
        <v>6</v>
      </c>
      <c r="C1339" s="7"/>
      <c r="D1339" s="14">
        <f>SUM(C1339:C1339)</f>
        <v>0</v>
      </c>
      <c r="E1339" s="16"/>
      <c r="G1339" s="71" t="s">
        <v>6</v>
      </c>
      <c r="H1339" s="88"/>
      <c r="I1339" s="11">
        <f>SUM(H1339:H1339)</f>
        <v>0</v>
      </c>
      <c r="J1339" s="85"/>
      <c r="K1339" s="86"/>
    </row>
    <row r="1340" spans="2:11" ht="14.25" thickBot="1" x14ac:dyDescent="0.2">
      <c r="B1340" s="46" t="s">
        <v>1</v>
      </c>
      <c r="C1340" s="48">
        <f>SUM(C1336:C1339)</f>
        <v>713</v>
      </c>
      <c r="D1340" s="48">
        <f>SUM(D1336:D1339)</f>
        <v>713</v>
      </c>
      <c r="E1340" s="49"/>
      <c r="G1340" s="46" t="s">
        <v>1</v>
      </c>
      <c r="H1340" s="47">
        <f>SUM(H1336:H1339)</f>
        <v>3744</v>
      </c>
      <c r="I1340" s="48">
        <f>SUM(I1336:I1339)</f>
        <v>3744</v>
      </c>
      <c r="J1340" s="49"/>
    </row>
    <row r="1341" spans="2:11" x14ac:dyDescent="0.15">
      <c r="B1341" s="10" t="s">
        <v>18</v>
      </c>
      <c r="C1341" s="77">
        <v>37</v>
      </c>
      <c r="D1341" s="11">
        <f>SUM(C1341:C1341)</f>
        <v>37</v>
      </c>
      <c r="E1341" s="12">
        <v>42436</v>
      </c>
      <c r="G1341" s="81"/>
      <c r="H1341" s="13"/>
      <c r="I1341" s="11">
        <f>SUM(H1341:H1341)</f>
        <v>0</v>
      </c>
      <c r="J1341" s="12"/>
    </row>
    <row r="1342" spans="2:11" x14ac:dyDescent="0.15">
      <c r="B1342" s="10" t="s">
        <v>18</v>
      </c>
      <c r="C1342" s="13">
        <v>11</v>
      </c>
      <c r="D1342" s="14">
        <f>SUM(C1342:C1342)</f>
        <v>11</v>
      </c>
      <c r="E1342" s="12">
        <v>42439</v>
      </c>
      <c r="G1342" s="81"/>
      <c r="H1342" s="13"/>
      <c r="I1342" s="14">
        <f>SUM(H1342:H1342)</f>
        <v>0</v>
      </c>
      <c r="J1342" s="12"/>
    </row>
    <row r="1343" spans="2:11" x14ac:dyDescent="0.15">
      <c r="B1343" s="10" t="s">
        <v>18</v>
      </c>
      <c r="C1343" s="13">
        <v>5</v>
      </c>
      <c r="D1343" s="14">
        <f>SUM(C1343:C1343)</f>
        <v>5</v>
      </c>
      <c r="E1343" s="12">
        <v>42445</v>
      </c>
      <c r="G1343" s="15"/>
      <c r="H1343" s="13"/>
      <c r="I1343" s="14">
        <f t="shared" ref="I1343:I1358" si="80">SUM(H1343:H1343)</f>
        <v>0</v>
      </c>
      <c r="J1343" s="12"/>
    </row>
    <row r="1344" spans="2:11" x14ac:dyDescent="0.15">
      <c r="B1344" s="10" t="s">
        <v>189</v>
      </c>
      <c r="C1344" s="13">
        <v>1</v>
      </c>
      <c r="D1344" s="14">
        <f t="shared" ref="D1344:D1365" si="81">SUM(C1344:C1344)</f>
        <v>1</v>
      </c>
      <c r="E1344" s="12">
        <v>42444</v>
      </c>
      <c r="G1344" s="15"/>
      <c r="H1344" s="13"/>
      <c r="I1344" s="14">
        <f t="shared" si="80"/>
        <v>0</v>
      </c>
      <c r="J1344" s="12"/>
    </row>
    <row r="1345" spans="2:10" x14ac:dyDescent="0.15">
      <c r="B1345" s="10" t="s">
        <v>392</v>
      </c>
      <c r="C1345" s="13">
        <v>1</v>
      </c>
      <c r="D1345" s="14">
        <f t="shared" si="81"/>
        <v>1</v>
      </c>
      <c r="E1345" s="12">
        <v>42443</v>
      </c>
      <c r="G1345" s="15"/>
      <c r="H1345" s="13"/>
      <c r="I1345" s="14">
        <f t="shared" si="80"/>
        <v>0</v>
      </c>
      <c r="J1345" s="12"/>
    </row>
    <row r="1346" spans="2:10" x14ac:dyDescent="0.15">
      <c r="B1346" s="10" t="s">
        <v>18</v>
      </c>
      <c r="C1346" s="13">
        <v>43</v>
      </c>
      <c r="D1346" s="14">
        <f t="shared" si="81"/>
        <v>43</v>
      </c>
      <c r="E1346" s="12">
        <v>42447</v>
      </c>
      <c r="G1346" s="15"/>
      <c r="H1346" s="13"/>
      <c r="I1346" s="14">
        <f t="shared" si="80"/>
        <v>0</v>
      </c>
      <c r="J1346" s="12"/>
    </row>
    <row r="1347" spans="2:10" x14ac:dyDescent="0.15">
      <c r="B1347" s="10" t="s">
        <v>189</v>
      </c>
      <c r="C1347" s="13">
        <v>2</v>
      </c>
      <c r="D1347" s="14">
        <f t="shared" si="81"/>
        <v>2</v>
      </c>
      <c r="E1347" s="12">
        <v>42448</v>
      </c>
      <c r="G1347" s="15"/>
      <c r="H1347" s="13"/>
      <c r="I1347" s="14">
        <f t="shared" si="80"/>
        <v>0</v>
      </c>
      <c r="J1347" s="12"/>
    </row>
    <row r="1348" spans="2:10" x14ac:dyDescent="0.15">
      <c r="B1348" s="10" t="s">
        <v>393</v>
      </c>
      <c r="C1348" s="13">
        <v>3</v>
      </c>
      <c r="D1348" s="14">
        <f t="shared" si="81"/>
        <v>3</v>
      </c>
      <c r="E1348" s="12">
        <v>42451</v>
      </c>
      <c r="G1348" s="15"/>
      <c r="H1348" s="13"/>
      <c r="I1348" s="14">
        <f t="shared" si="80"/>
        <v>0</v>
      </c>
      <c r="J1348" s="12"/>
    </row>
    <row r="1349" spans="2:10" x14ac:dyDescent="0.15">
      <c r="B1349" s="10" t="s">
        <v>18</v>
      </c>
      <c r="C1349" s="13">
        <v>19</v>
      </c>
      <c r="D1349" s="14">
        <f t="shared" si="81"/>
        <v>19</v>
      </c>
      <c r="E1349" s="12">
        <v>42454</v>
      </c>
      <c r="G1349" s="15"/>
      <c r="H1349" s="13"/>
      <c r="I1349" s="14">
        <f t="shared" si="80"/>
        <v>0</v>
      </c>
      <c r="J1349" s="12"/>
    </row>
    <row r="1350" spans="2:10" x14ac:dyDescent="0.15">
      <c r="B1350" s="10" t="s">
        <v>394</v>
      </c>
      <c r="C1350" s="13">
        <v>1</v>
      </c>
      <c r="D1350" s="14">
        <f t="shared" si="81"/>
        <v>1</v>
      </c>
      <c r="E1350" s="12">
        <v>42455</v>
      </c>
      <c r="G1350" s="78"/>
      <c r="H1350" s="13"/>
      <c r="I1350" s="14">
        <f t="shared" si="80"/>
        <v>0</v>
      </c>
      <c r="J1350" s="12"/>
    </row>
    <row r="1351" spans="2:10" x14ac:dyDescent="0.15">
      <c r="B1351" s="10" t="s">
        <v>397</v>
      </c>
      <c r="C1351" s="13">
        <v>6</v>
      </c>
      <c r="D1351" s="14">
        <f t="shared" si="81"/>
        <v>6</v>
      </c>
      <c r="E1351" s="12">
        <v>42458</v>
      </c>
      <c r="G1351" s="15"/>
      <c r="H1351" s="13"/>
      <c r="I1351" s="14">
        <f t="shared" si="80"/>
        <v>0</v>
      </c>
      <c r="J1351" s="5"/>
    </row>
    <row r="1352" spans="2:10" x14ac:dyDescent="0.15">
      <c r="B1352" s="15" t="s">
        <v>189</v>
      </c>
      <c r="C1352" s="13">
        <v>1</v>
      </c>
      <c r="D1352" s="14">
        <f t="shared" si="81"/>
        <v>1</v>
      </c>
      <c r="E1352" s="12">
        <v>42457</v>
      </c>
      <c r="G1352" s="15"/>
      <c r="H1352" s="7"/>
      <c r="I1352" s="14">
        <f t="shared" si="80"/>
        <v>0</v>
      </c>
      <c r="J1352" s="12"/>
    </row>
    <row r="1353" spans="2:10" x14ac:dyDescent="0.15">
      <c r="B1353" s="15" t="s">
        <v>399</v>
      </c>
      <c r="C1353" s="13">
        <v>10</v>
      </c>
      <c r="D1353" s="14">
        <f t="shared" si="81"/>
        <v>10</v>
      </c>
      <c r="E1353" s="12">
        <v>42458</v>
      </c>
      <c r="G1353" s="10"/>
      <c r="H1353" s="13"/>
      <c r="I1353" s="14">
        <f t="shared" si="80"/>
        <v>0</v>
      </c>
      <c r="J1353" s="12"/>
    </row>
    <row r="1354" spans="2:10" x14ac:dyDescent="0.15">
      <c r="B1354" s="10" t="s">
        <v>398</v>
      </c>
      <c r="C1354" s="13">
        <v>13</v>
      </c>
      <c r="D1354" s="14">
        <f t="shared" si="81"/>
        <v>13</v>
      </c>
      <c r="E1354" s="12">
        <v>42461</v>
      </c>
      <c r="G1354" s="15"/>
      <c r="H1354" s="13"/>
      <c r="I1354" s="14">
        <f t="shared" si="80"/>
        <v>0</v>
      </c>
      <c r="J1354" s="12"/>
    </row>
    <row r="1355" spans="2:10" x14ac:dyDescent="0.15">
      <c r="B1355" s="10" t="s">
        <v>189</v>
      </c>
      <c r="C1355" s="13">
        <v>1</v>
      </c>
      <c r="D1355" s="14">
        <f t="shared" si="81"/>
        <v>1</v>
      </c>
      <c r="E1355" s="12">
        <v>42460</v>
      </c>
      <c r="G1355" s="15"/>
      <c r="H1355" s="13"/>
      <c r="I1355" s="14">
        <f t="shared" si="80"/>
        <v>0</v>
      </c>
      <c r="J1355" s="5"/>
    </row>
    <row r="1356" spans="2:10" x14ac:dyDescent="0.15">
      <c r="B1356" s="10" t="s">
        <v>18</v>
      </c>
      <c r="C1356" s="13">
        <v>12</v>
      </c>
      <c r="D1356" s="14">
        <f t="shared" si="81"/>
        <v>12</v>
      </c>
      <c r="E1356" s="12">
        <v>42465</v>
      </c>
      <c r="G1356" s="15"/>
      <c r="H1356" s="7"/>
      <c r="I1356" s="14">
        <f t="shared" si="80"/>
        <v>0</v>
      </c>
      <c r="J1356" s="12"/>
    </row>
    <row r="1357" spans="2:10" x14ac:dyDescent="0.15">
      <c r="B1357" s="10" t="s">
        <v>83</v>
      </c>
      <c r="C1357" s="13">
        <v>10</v>
      </c>
      <c r="D1357" s="14">
        <f t="shared" si="81"/>
        <v>10</v>
      </c>
      <c r="E1357" s="12">
        <v>42468</v>
      </c>
      <c r="G1357" s="15"/>
      <c r="H1357" s="13"/>
      <c r="I1357" s="14">
        <f t="shared" si="80"/>
        <v>0</v>
      </c>
      <c r="J1357" s="5"/>
    </row>
    <row r="1358" spans="2:10" x14ac:dyDescent="0.15">
      <c r="B1358" s="10" t="s">
        <v>404</v>
      </c>
      <c r="C1358" s="13">
        <v>1</v>
      </c>
      <c r="D1358" s="14">
        <f t="shared" si="81"/>
        <v>1</v>
      </c>
      <c r="E1358" s="12">
        <v>42466</v>
      </c>
      <c r="G1358" s="15"/>
      <c r="H1358" s="13"/>
      <c r="I1358" s="14">
        <f t="shared" si="80"/>
        <v>0</v>
      </c>
      <c r="J1358" s="12"/>
    </row>
    <row r="1359" spans="2:10" x14ac:dyDescent="0.15">
      <c r="B1359" s="10" t="s">
        <v>18</v>
      </c>
      <c r="C1359" s="13">
        <v>3</v>
      </c>
      <c r="D1359" s="14">
        <f t="shared" si="81"/>
        <v>3</v>
      </c>
      <c r="E1359" s="12">
        <v>42468</v>
      </c>
      <c r="G1359" s="15"/>
      <c r="H1359" s="13"/>
      <c r="I1359" s="14">
        <f>SUM(H1359:H1359)</f>
        <v>0</v>
      </c>
      <c r="J1359" s="12"/>
    </row>
    <row r="1360" spans="2:10" x14ac:dyDescent="0.15">
      <c r="B1360" s="15" t="s">
        <v>411</v>
      </c>
      <c r="C1360" s="13">
        <v>1</v>
      </c>
      <c r="D1360" s="14">
        <f t="shared" si="81"/>
        <v>1</v>
      </c>
      <c r="E1360" s="5">
        <v>42471</v>
      </c>
      <c r="G1360" s="15"/>
      <c r="H1360" s="13"/>
      <c r="I1360" s="14">
        <f t="shared" ref="I1360:I1365" si="82">SUM(H1360:H1360)</f>
        <v>0</v>
      </c>
      <c r="J1360" s="5"/>
    </row>
    <row r="1361" spans="2:11" x14ac:dyDescent="0.15">
      <c r="B1361" s="10" t="s">
        <v>18</v>
      </c>
      <c r="C1361" s="13">
        <v>20</v>
      </c>
      <c r="D1361" s="14">
        <f t="shared" si="81"/>
        <v>20</v>
      </c>
      <c r="E1361" s="5">
        <v>42473</v>
      </c>
      <c r="G1361" s="15"/>
      <c r="H1361" s="13"/>
      <c r="I1361" s="14">
        <f t="shared" si="82"/>
        <v>0</v>
      </c>
      <c r="J1361" s="5"/>
    </row>
    <row r="1362" spans="2:11" x14ac:dyDescent="0.15">
      <c r="B1362" s="10" t="s">
        <v>18</v>
      </c>
      <c r="C1362" s="13">
        <v>15</v>
      </c>
      <c r="D1362" s="14">
        <f t="shared" si="81"/>
        <v>15</v>
      </c>
      <c r="E1362" s="5">
        <v>42475</v>
      </c>
      <c r="G1362" s="15"/>
      <c r="H1362" s="13"/>
      <c r="I1362" s="14">
        <f>SUM(H1362:H1362)</f>
        <v>0</v>
      </c>
      <c r="J1362" s="12"/>
    </row>
    <row r="1363" spans="2:11" x14ac:dyDescent="0.15">
      <c r="B1363" s="10" t="s">
        <v>415</v>
      </c>
      <c r="C1363" s="13">
        <v>2</v>
      </c>
      <c r="D1363" s="14">
        <f t="shared" si="81"/>
        <v>2</v>
      </c>
      <c r="E1363" s="5">
        <v>42476</v>
      </c>
      <c r="G1363" s="10"/>
      <c r="H1363" s="13"/>
      <c r="I1363" s="14">
        <f>SUM(H1363:H1363)</f>
        <v>0</v>
      </c>
      <c r="J1363" s="12"/>
    </row>
    <row r="1364" spans="2:11" ht="14.25" thickBot="1" x14ac:dyDescent="0.2">
      <c r="B1364" s="10" t="s">
        <v>18</v>
      </c>
      <c r="C1364" s="13">
        <v>23</v>
      </c>
      <c r="D1364" s="11">
        <f t="shared" si="81"/>
        <v>23</v>
      </c>
      <c r="E1364" s="12">
        <v>42479</v>
      </c>
      <c r="G1364" s="15"/>
      <c r="H1364" s="7"/>
      <c r="I1364" s="14">
        <f>SUM(H1364:H1364)</f>
        <v>0</v>
      </c>
      <c r="J1364" s="12"/>
    </row>
    <row r="1365" spans="2:11" ht="14.25" thickBot="1" x14ac:dyDescent="0.2">
      <c r="B1365" s="17" t="s">
        <v>2</v>
      </c>
      <c r="C1365" s="18">
        <f>SUM(C1341:C1364)</f>
        <v>241</v>
      </c>
      <c r="D1365" s="19">
        <f t="shared" si="81"/>
        <v>241</v>
      </c>
      <c r="E1365" s="20"/>
      <c r="G1365" s="17" t="s">
        <v>2</v>
      </c>
      <c r="H1365" s="18">
        <f>SUM(H1341:H1364)</f>
        <v>0</v>
      </c>
      <c r="I1365" s="19">
        <f t="shared" si="82"/>
        <v>0</v>
      </c>
      <c r="J1365" s="20"/>
    </row>
    <row r="1366" spans="2:11" ht="14.25" thickBot="1" x14ac:dyDescent="0.2">
      <c r="B1366" s="46" t="s">
        <v>3</v>
      </c>
      <c r="C1366" s="52">
        <f>C1340-C1365</f>
        <v>472</v>
      </c>
      <c r="D1366" s="48">
        <f>D1340-D1365</f>
        <v>472</v>
      </c>
      <c r="E1366" s="49"/>
      <c r="G1366" s="46" t="s">
        <v>3</v>
      </c>
      <c r="H1366" s="52">
        <f>H1340-H1365</f>
        <v>3744</v>
      </c>
      <c r="I1366" s="48">
        <f>I1340-I1365</f>
        <v>3744</v>
      </c>
      <c r="J1366" s="49"/>
    </row>
    <row r="1369" spans="2:11" ht="18.75" x14ac:dyDescent="0.2">
      <c r="B1369" s="26" t="s">
        <v>7</v>
      </c>
      <c r="G1369" s="26" t="s">
        <v>35</v>
      </c>
    </row>
    <row r="1370" spans="2:11" ht="14.25" thickBot="1" x14ac:dyDescent="0.2"/>
    <row r="1371" spans="2:11" ht="14.25" thickBot="1" x14ac:dyDescent="0.2">
      <c r="B1371" s="1"/>
      <c r="C1371" s="2"/>
      <c r="D1371" s="3" t="s">
        <v>0</v>
      </c>
      <c r="E1371" s="1" t="s">
        <v>4</v>
      </c>
      <c r="G1371" s="1"/>
      <c r="H1371" s="2"/>
      <c r="I1371" s="3" t="s">
        <v>0</v>
      </c>
      <c r="J1371" s="1" t="s">
        <v>4</v>
      </c>
    </row>
    <row r="1372" spans="2:11" x14ac:dyDescent="0.15">
      <c r="B1372" s="42" t="s">
        <v>5</v>
      </c>
      <c r="C1372" s="43">
        <f>C1366</f>
        <v>472</v>
      </c>
      <c r="D1372" s="44">
        <f>SUM(C1372:C1372)</f>
        <v>472</v>
      </c>
      <c r="E1372" s="45"/>
      <c r="G1372" s="42" t="s">
        <v>5</v>
      </c>
      <c r="H1372" s="43">
        <f>H1366</f>
        <v>3744</v>
      </c>
      <c r="I1372" s="44">
        <f>SUM(H1372:H1372)</f>
        <v>3744</v>
      </c>
      <c r="J1372" s="45"/>
      <c r="K1372" s="103" t="s">
        <v>353</v>
      </c>
    </row>
    <row r="1373" spans="2:11" x14ac:dyDescent="0.15">
      <c r="B1373" s="6" t="s">
        <v>6</v>
      </c>
      <c r="C1373" s="13">
        <v>336</v>
      </c>
      <c r="D1373" s="14">
        <f>SUM(C1373:C1373)</f>
        <v>336</v>
      </c>
      <c r="E1373" s="12">
        <v>42514</v>
      </c>
      <c r="G1373" s="71" t="s">
        <v>6</v>
      </c>
      <c r="H1373" s="13"/>
      <c r="I1373" s="14">
        <f>SUM(H1373:H1373)</f>
        <v>0</v>
      </c>
      <c r="J1373" s="5"/>
    </row>
    <row r="1374" spans="2:11" x14ac:dyDescent="0.15">
      <c r="B1374" s="6" t="s">
        <v>6</v>
      </c>
      <c r="C1374" s="7">
        <v>200</v>
      </c>
      <c r="D1374" s="8">
        <f>SUM(C1374:C1374)</f>
        <v>200</v>
      </c>
      <c r="E1374" s="9">
        <v>42515</v>
      </c>
      <c r="G1374" s="71" t="s">
        <v>6</v>
      </c>
      <c r="H1374" s="67">
        <v>3360</v>
      </c>
      <c r="I1374" s="14">
        <f>SUM(H1374:H1374)</f>
        <v>3360</v>
      </c>
      <c r="J1374" s="5">
        <v>42491</v>
      </c>
      <c r="K1374" t="s">
        <v>390</v>
      </c>
    </row>
    <row r="1375" spans="2:11" ht="14.25" thickBot="1" x14ac:dyDescent="0.2">
      <c r="B1375" s="6" t="s">
        <v>105</v>
      </c>
      <c r="C1375" s="7">
        <v>6</v>
      </c>
      <c r="D1375" s="14">
        <f>SUM(C1375:C1375)</f>
        <v>6</v>
      </c>
      <c r="E1375" s="16">
        <v>42517</v>
      </c>
      <c r="G1375" s="71" t="s">
        <v>6</v>
      </c>
      <c r="H1375" s="88"/>
      <c r="I1375" s="11">
        <f>SUM(H1375:H1375)</f>
        <v>0</v>
      </c>
      <c r="J1375" s="85"/>
      <c r="K1375" s="86"/>
    </row>
    <row r="1376" spans="2:11" ht="14.25" thickBot="1" x14ac:dyDescent="0.2">
      <c r="B1376" s="46" t="s">
        <v>1</v>
      </c>
      <c r="C1376" s="48">
        <f>SUM(C1372:C1375)</f>
        <v>1014</v>
      </c>
      <c r="D1376" s="48">
        <f>SUM(D1372:D1375)</f>
        <v>1014</v>
      </c>
      <c r="E1376" s="49"/>
      <c r="G1376" s="46" t="s">
        <v>1</v>
      </c>
      <c r="H1376" s="47">
        <f>SUM(H1372:H1375)</f>
        <v>7104</v>
      </c>
      <c r="I1376" s="48">
        <f>SUM(I1372:I1375)</f>
        <v>7104</v>
      </c>
      <c r="J1376" s="49"/>
    </row>
    <row r="1377" spans="2:10" x14ac:dyDescent="0.15">
      <c r="B1377" s="10" t="s">
        <v>189</v>
      </c>
      <c r="C1377" s="77">
        <v>1</v>
      </c>
      <c r="D1377" s="11">
        <f>SUM(C1377:C1377)</f>
        <v>1</v>
      </c>
      <c r="E1377" s="12">
        <v>42478</v>
      </c>
      <c r="G1377" s="81" t="s">
        <v>16</v>
      </c>
      <c r="H1377" s="13">
        <v>336</v>
      </c>
      <c r="I1377" s="11">
        <f>SUM(H1377:H1377)</f>
        <v>336</v>
      </c>
      <c r="J1377" s="12">
        <v>42397</v>
      </c>
    </row>
    <row r="1378" spans="2:10" x14ac:dyDescent="0.15">
      <c r="B1378" s="10" t="s">
        <v>433</v>
      </c>
      <c r="C1378" s="13">
        <v>10</v>
      </c>
      <c r="D1378" s="14">
        <f>SUM(C1378:C1378)</f>
        <v>10</v>
      </c>
      <c r="E1378" s="12">
        <v>42479</v>
      </c>
      <c r="G1378" s="81" t="s">
        <v>16</v>
      </c>
      <c r="H1378" s="13">
        <v>508</v>
      </c>
      <c r="I1378" s="14">
        <f>SUM(H1378:H1378)</f>
        <v>508</v>
      </c>
      <c r="J1378" s="12">
        <v>42438</v>
      </c>
    </row>
    <row r="1379" spans="2:10" x14ac:dyDescent="0.15">
      <c r="B1379" s="10" t="s">
        <v>18</v>
      </c>
      <c r="C1379" s="13">
        <v>36</v>
      </c>
      <c r="D1379" s="14">
        <f>SUM(C1379:C1379)</f>
        <v>36</v>
      </c>
      <c r="E1379" s="12">
        <v>42483</v>
      </c>
      <c r="G1379" s="15" t="s">
        <v>255</v>
      </c>
      <c r="H1379" s="13">
        <v>200</v>
      </c>
      <c r="I1379" s="14">
        <f t="shared" ref="I1379:I1394" si="83">SUM(H1379:H1379)</f>
        <v>200</v>
      </c>
      <c r="J1379" s="12">
        <v>42454</v>
      </c>
    </row>
    <row r="1380" spans="2:10" x14ac:dyDescent="0.15">
      <c r="B1380" s="10" t="s">
        <v>18</v>
      </c>
      <c r="C1380" s="13">
        <v>18</v>
      </c>
      <c r="D1380" s="14">
        <f t="shared" ref="D1380:D1401" si="84">SUM(C1380:C1380)</f>
        <v>18</v>
      </c>
      <c r="E1380" s="12">
        <v>42486</v>
      </c>
      <c r="G1380" s="15" t="s">
        <v>400</v>
      </c>
      <c r="H1380" s="13">
        <v>300</v>
      </c>
      <c r="I1380" s="14">
        <f t="shared" si="83"/>
        <v>300</v>
      </c>
      <c r="J1380" s="12">
        <v>42467</v>
      </c>
    </row>
    <row r="1381" spans="2:10" x14ac:dyDescent="0.15">
      <c r="B1381" s="10" t="s">
        <v>18</v>
      </c>
      <c r="C1381" s="13">
        <v>58</v>
      </c>
      <c r="D1381" s="14">
        <f t="shared" si="84"/>
        <v>58</v>
      </c>
      <c r="E1381" s="12">
        <v>42489</v>
      </c>
      <c r="G1381" s="15" t="s">
        <v>402</v>
      </c>
      <c r="H1381" s="13">
        <v>100</v>
      </c>
      <c r="I1381" s="14">
        <f t="shared" si="83"/>
        <v>100</v>
      </c>
      <c r="J1381" s="12">
        <v>42468</v>
      </c>
    </row>
    <row r="1382" spans="2:10" x14ac:dyDescent="0.15">
      <c r="B1382" s="10" t="s">
        <v>18</v>
      </c>
      <c r="C1382" s="13">
        <v>41</v>
      </c>
      <c r="D1382" s="14">
        <f t="shared" si="84"/>
        <v>41</v>
      </c>
      <c r="E1382" s="12">
        <v>42497</v>
      </c>
      <c r="G1382" s="15" t="s">
        <v>403</v>
      </c>
      <c r="H1382" s="13">
        <v>400</v>
      </c>
      <c r="I1382" s="14">
        <f t="shared" si="83"/>
        <v>400</v>
      </c>
      <c r="J1382" s="12">
        <v>42472</v>
      </c>
    </row>
    <row r="1383" spans="2:10" x14ac:dyDescent="0.15">
      <c r="B1383" s="10" t="s">
        <v>18</v>
      </c>
      <c r="C1383" s="13">
        <v>18</v>
      </c>
      <c r="D1383" s="14">
        <f t="shared" si="84"/>
        <v>18</v>
      </c>
      <c r="E1383" s="12">
        <v>42501</v>
      </c>
      <c r="G1383" s="15" t="s">
        <v>417</v>
      </c>
      <c r="H1383" s="13">
        <v>100</v>
      </c>
      <c r="I1383" s="14">
        <f t="shared" si="83"/>
        <v>100</v>
      </c>
      <c r="J1383" s="12">
        <v>42492</v>
      </c>
    </row>
    <row r="1384" spans="2:10" x14ac:dyDescent="0.15">
      <c r="B1384" s="10" t="s">
        <v>18</v>
      </c>
      <c r="C1384" s="13">
        <v>7</v>
      </c>
      <c r="D1384" s="14">
        <f t="shared" si="84"/>
        <v>7</v>
      </c>
      <c r="E1384" s="12">
        <v>42503</v>
      </c>
      <c r="G1384" s="15" t="s">
        <v>418</v>
      </c>
      <c r="H1384" s="13">
        <v>200</v>
      </c>
      <c r="I1384" s="14">
        <f t="shared" si="83"/>
        <v>200</v>
      </c>
      <c r="J1384" s="12">
        <v>42487</v>
      </c>
    </row>
    <row r="1385" spans="2:10" x14ac:dyDescent="0.15">
      <c r="B1385" s="15" t="s">
        <v>432</v>
      </c>
      <c r="C1385" s="13">
        <v>80</v>
      </c>
      <c r="D1385" s="14">
        <f t="shared" si="84"/>
        <v>80</v>
      </c>
      <c r="E1385" s="12">
        <v>42503</v>
      </c>
      <c r="G1385" s="15" t="s">
        <v>421</v>
      </c>
      <c r="H1385" s="13">
        <v>200</v>
      </c>
      <c r="I1385" s="14">
        <f t="shared" si="83"/>
        <v>200</v>
      </c>
      <c r="J1385" s="12">
        <v>42489</v>
      </c>
    </row>
    <row r="1386" spans="2:10" x14ac:dyDescent="0.15">
      <c r="B1386" s="10" t="s">
        <v>189</v>
      </c>
      <c r="C1386" s="13">
        <v>3</v>
      </c>
      <c r="D1386" s="14">
        <f t="shared" si="84"/>
        <v>3</v>
      </c>
      <c r="E1386" s="12">
        <v>42504</v>
      </c>
      <c r="G1386" s="15" t="s">
        <v>424</v>
      </c>
      <c r="H1386" s="13">
        <v>100</v>
      </c>
      <c r="I1386" s="14">
        <f t="shared" si="83"/>
        <v>100</v>
      </c>
      <c r="J1386" s="12">
        <v>42493</v>
      </c>
    </row>
    <row r="1387" spans="2:10" x14ac:dyDescent="0.15">
      <c r="B1387" s="10" t="s">
        <v>18</v>
      </c>
      <c r="C1387" s="13">
        <v>17</v>
      </c>
      <c r="D1387" s="14">
        <f t="shared" si="84"/>
        <v>17</v>
      </c>
      <c r="E1387" s="12">
        <v>42507</v>
      </c>
      <c r="G1387" s="10" t="s">
        <v>427</v>
      </c>
      <c r="H1387" s="13">
        <v>100</v>
      </c>
      <c r="I1387" s="14">
        <f t="shared" si="83"/>
        <v>100</v>
      </c>
      <c r="J1387" s="5">
        <v>42500</v>
      </c>
    </row>
    <row r="1388" spans="2:10" x14ac:dyDescent="0.15">
      <c r="B1388" s="15" t="s">
        <v>189</v>
      </c>
      <c r="C1388" s="13">
        <v>20</v>
      </c>
      <c r="D1388" s="14">
        <f t="shared" si="84"/>
        <v>20</v>
      </c>
      <c r="E1388" s="12">
        <v>42506</v>
      </c>
      <c r="G1388" s="15" t="s">
        <v>431</v>
      </c>
      <c r="H1388" s="7">
        <v>250</v>
      </c>
      <c r="I1388" s="14">
        <f t="shared" si="83"/>
        <v>250</v>
      </c>
      <c r="J1388" s="12">
        <v>42502</v>
      </c>
    </row>
    <row r="1389" spans="2:10" x14ac:dyDescent="0.15">
      <c r="B1389" s="15" t="s">
        <v>438</v>
      </c>
      <c r="C1389" s="13">
        <v>70</v>
      </c>
      <c r="D1389" s="14">
        <f t="shared" si="84"/>
        <v>70</v>
      </c>
      <c r="E1389" s="12">
        <v>42509</v>
      </c>
      <c r="G1389" s="10" t="s">
        <v>439</v>
      </c>
      <c r="H1389" s="13">
        <v>450</v>
      </c>
      <c r="I1389" s="14">
        <f t="shared" si="83"/>
        <v>450</v>
      </c>
      <c r="J1389" s="12">
        <v>42509</v>
      </c>
    </row>
    <row r="1390" spans="2:10" x14ac:dyDescent="0.15">
      <c r="B1390" s="10" t="s">
        <v>442</v>
      </c>
      <c r="C1390" s="13">
        <v>1</v>
      </c>
      <c r="D1390" s="14">
        <f t="shared" si="84"/>
        <v>1</v>
      </c>
      <c r="E1390" s="12">
        <v>42508</v>
      </c>
      <c r="G1390" s="15" t="s">
        <v>16</v>
      </c>
      <c r="H1390" s="13">
        <v>336</v>
      </c>
      <c r="I1390" s="14">
        <f t="shared" si="83"/>
        <v>336</v>
      </c>
      <c r="J1390" s="12">
        <v>42514</v>
      </c>
    </row>
    <row r="1391" spans="2:10" x14ac:dyDescent="0.15">
      <c r="B1391" s="10" t="s">
        <v>18</v>
      </c>
      <c r="C1391" s="13">
        <v>22</v>
      </c>
      <c r="D1391" s="14">
        <f t="shared" si="84"/>
        <v>22</v>
      </c>
      <c r="E1391" s="12">
        <v>42510</v>
      </c>
      <c r="G1391" s="15" t="s">
        <v>16</v>
      </c>
      <c r="H1391" s="13">
        <v>200</v>
      </c>
      <c r="I1391" s="14">
        <f t="shared" si="83"/>
        <v>200</v>
      </c>
      <c r="J1391" s="5">
        <v>42515</v>
      </c>
    </row>
    <row r="1392" spans="2:10" x14ac:dyDescent="0.15">
      <c r="B1392" s="10" t="s">
        <v>440</v>
      </c>
      <c r="C1392" s="13">
        <v>160</v>
      </c>
      <c r="D1392" s="14">
        <f t="shared" si="84"/>
        <v>160</v>
      </c>
      <c r="E1392" s="12">
        <v>42517</v>
      </c>
      <c r="G1392" s="15"/>
      <c r="H1392" s="7"/>
      <c r="I1392" s="14">
        <f t="shared" si="83"/>
        <v>0</v>
      </c>
      <c r="J1392" s="12"/>
    </row>
    <row r="1393" spans="2:11" x14ac:dyDescent="0.15">
      <c r="B1393" s="10" t="s">
        <v>83</v>
      </c>
      <c r="C1393" s="13">
        <v>20</v>
      </c>
      <c r="D1393" s="14">
        <f t="shared" si="84"/>
        <v>20</v>
      </c>
      <c r="E1393" s="12">
        <v>42515</v>
      </c>
      <c r="G1393" s="15"/>
      <c r="H1393" s="13"/>
      <c r="I1393" s="14">
        <f t="shared" si="83"/>
        <v>0</v>
      </c>
      <c r="J1393" s="5"/>
    </row>
    <row r="1394" spans="2:11" x14ac:dyDescent="0.15">
      <c r="B1394" s="10" t="s">
        <v>441</v>
      </c>
      <c r="C1394" s="13">
        <v>35</v>
      </c>
      <c r="D1394" s="14">
        <f t="shared" si="84"/>
        <v>35</v>
      </c>
      <c r="E1394" s="12">
        <v>42515</v>
      </c>
      <c r="G1394" s="15"/>
      <c r="H1394" s="13"/>
      <c r="I1394" s="14">
        <f t="shared" si="83"/>
        <v>0</v>
      </c>
      <c r="J1394" s="12"/>
    </row>
    <row r="1395" spans="2:11" x14ac:dyDescent="0.15">
      <c r="B1395" s="10" t="s">
        <v>18</v>
      </c>
      <c r="C1395" s="13">
        <v>17</v>
      </c>
      <c r="D1395" s="14">
        <f t="shared" si="84"/>
        <v>17</v>
      </c>
      <c r="E1395" s="12">
        <v>42517</v>
      </c>
      <c r="G1395" s="15"/>
      <c r="H1395" s="13"/>
      <c r="I1395" s="14">
        <f t="shared" ref="I1395:I1401" si="85">SUM(H1395:H1395)</f>
        <v>0</v>
      </c>
      <c r="J1395" s="12"/>
    </row>
    <row r="1396" spans="2:11" x14ac:dyDescent="0.15">
      <c r="B1396" s="15" t="s">
        <v>443</v>
      </c>
      <c r="C1396" s="13">
        <v>12</v>
      </c>
      <c r="D1396" s="14">
        <f t="shared" si="84"/>
        <v>12</v>
      </c>
      <c r="E1396" s="5">
        <v>42517</v>
      </c>
      <c r="G1396" s="15"/>
      <c r="H1396" s="13"/>
      <c r="I1396" s="14">
        <f t="shared" si="85"/>
        <v>0</v>
      </c>
      <c r="J1396" s="5"/>
    </row>
    <row r="1397" spans="2:11" x14ac:dyDescent="0.15">
      <c r="B1397" s="10" t="s">
        <v>18</v>
      </c>
      <c r="C1397" s="13">
        <v>9</v>
      </c>
      <c r="D1397" s="14">
        <f t="shared" si="84"/>
        <v>9</v>
      </c>
      <c r="E1397" s="5">
        <v>42520</v>
      </c>
      <c r="G1397" s="15"/>
      <c r="H1397" s="13"/>
      <c r="I1397" s="14">
        <f>SUM(H1397:H1397)</f>
        <v>0</v>
      </c>
      <c r="J1397" s="12"/>
    </row>
    <row r="1398" spans="2:11" x14ac:dyDescent="0.15">
      <c r="B1398" s="10" t="s">
        <v>444</v>
      </c>
      <c r="C1398" s="13">
        <v>11</v>
      </c>
      <c r="D1398" s="14">
        <f t="shared" si="84"/>
        <v>11</v>
      </c>
      <c r="E1398" s="5">
        <v>42520</v>
      </c>
      <c r="G1398" s="15"/>
      <c r="H1398" s="13"/>
      <c r="I1398" s="14">
        <f>SUM(H1398:H1398)</f>
        <v>0</v>
      </c>
      <c r="J1398" s="5"/>
    </row>
    <row r="1399" spans="2:11" x14ac:dyDescent="0.15">
      <c r="B1399" s="10" t="s">
        <v>18</v>
      </c>
      <c r="C1399" s="13">
        <v>6</v>
      </c>
      <c r="D1399" s="14">
        <f t="shared" si="84"/>
        <v>6</v>
      </c>
      <c r="E1399" s="5">
        <v>42522</v>
      </c>
      <c r="G1399" s="10"/>
      <c r="H1399" s="13"/>
      <c r="I1399" s="14">
        <f t="shared" si="85"/>
        <v>0</v>
      </c>
      <c r="J1399" s="12"/>
      <c r="K1399" s="25"/>
    </row>
    <row r="1400" spans="2:11" ht="14.25" thickBot="1" x14ac:dyDescent="0.2">
      <c r="B1400" s="10" t="s">
        <v>189</v>
      </c>
      <c r="C1400" s="13">
        <v>1</v>
      </c>
      <c r="D1400" s="11">
        <f t="shared" si="84"/>
        <v>1</v>
      </c>
      <c r="E1400" s="12">
        <v>42522</v>
      </c>
      <c r="G1400" s="15"/>
      <c r="H1400" s="7"/>
      <c r="I1400" s="14">
        <f t="shared" si="85"/>
        <v>0</v>
      </c>
      <c r="J1400" s="12"/>
    </row>
    <row r="1401" spans="2:11" ht="14.25" thickBot="1" x14ac:dyDescent="0.2">
      <c r="B1401" s="17" t="s">
        <v>2</v>
      </c>
      <c r="C1401" s="18">
        <f>SUM(C1377:C1400)</f>
        <v>673</v>
      </c>
      <c r="D1401" s="19">
        <f t="shared" si="84"/>
        <v>673</v>
      </c>
      <c r="E1401" s="20"/>
      <c r="G1401" s="17" t="s">
        <v>2</v>
      </c>
      <c r="H1401" s="18">
        <f>SUM(H1377:H1400)</f>
        <v>3780</v>
      </c>
      <c r="I1401" s="19">
        <f t="shared" si="85"/>
        <v>3780</v>
      </c>
      <c r="J1401" s="20"/>
    </row>
    <row r="1402" spans="2:11" ht="14.25" thickBot="1" x14ac:dyDescent="0.2">
      <c r="B1402" s="46" t="s">
        <v>3</v>
      </c>
      <c r="C1402" s="52">
        <f>C1376-C1401</f>
        <v>341</v>
      </c>
      <c r="D1402" s="48">
        <f>D1376-D1401</f>
        <v>341</v>
      </c>
      <c r="E1402" s="49"/>
      <c r="G1402" s="46" t="s">
        <v>3</v>
      </c>
      <c r="H1402" s="52">
        <f>H1376-H1401</f>
        <v>3324</v>
      </c>
      <c r="I1402" s="48">
        <f>I1376-I1401</f>
        <v>3324</v>
      </c>
      <c r="J1402" s="49"/>
    </row>
    <row r="1405" spans="2:11" ht="18.75" x14ac:dyDescent="0.2">
      <c r="B1405" s="26" t="s">
        <v>7</v>
      </c>
      <c r="G1405" s="26" t="s">
        <v>35</v>
      </c>
    </row>
    <row r="1406" spans="2:11" ht="14.25" thickBot="1" x14ac:dyDescent="0.2"/>
    <row r="1407" spans="2:11" ht="14.25" thickBot="1" x14ac:dyDescent="0.2">
      <c r="B1407" s="1"/>
      <c r="C1407" s="2"/>
      <c r="D1407" s="3" t="s">
        <v>0</v>
      </c>
      <c r="E1407" s="1" t="s">
        <v>4</v>
      </c>
      <c r="G1407" s="1"/>
      <c r="H1407" s="2"/>
      <c r="I1407" s="3" t="s">
        <v>0</v>
      </c>
      <c r="J1407" s="1" t="s">
        <v>4</v>
      </c>
    </row>
    <row r="1408" spans="2:11" x14ac:dyDescent="0.15">
      <c r="B1408" s="42" t="s">
        <v>5</v>
      </c>
      <c r="C1408" s="43">
        <f>C1402</f>
        <v>341</v>
      </c>
      <c r="D1408" s="44">
        <f>SUM(C1408:C1408)</f>
        <v>341</v>
      </c>
      <c r="E1408" s="45"/>
      <c r="G1408" s="42" t="s">
        <v>5</v>
      </c>
      <c r="H1408" s="43">
        <f>H1402</f>
        <v>3324</v>
      </c>
      <c r="I1408" s="44">
        <f>SUM(H1408:H1408)</f>
        <v>3324</v>
      </c>
      <c r="J1408" s="45"/>
      <c r="K1408" s="103"/>
    </row>
    <row r="1409" spans="2:11" x14ac:dyDescent="0.15">
      <c r="B1409" s="154" t="s">
        <v>6</v>
      </c>
      <c r="C1409" s="155">
        <v>200</v>
      </c>
      <c r="D1409" s="156">
        <f>SUM(C1409:C1409)</f>
        <v>200</v>
      </c>
      <c r="E1409" s="157">
        <v>42525</v>
      </c>
      <c r="G1409" s="6" t="s">
        <v>6</v>
      </c>
      <c r="H1409" s="67">
        <v>1680</v>
      </c>
      <c r="I1409" s="11">
        <f>SUM(H1409:H1409)</f>
        <v>1680</v>
      </c>
      <c r="J1409" s="5">
        <v>42522</v>
      </c>
      <c r="K1409" t="s">
        <v>390</v>
      </c>
    </row>
    <row r="1410" spans="2:11" x14ac:dyDescent="0.15">
      <c r="B1410" s="6" t="s">
        <v>6</v>
      </c>
      <c r="C1410" s="7">
        <v>336</v>
      </c>
      <c r="D1410" s="8">
        <f>SUM(C1410:C1410)</f>
        <v>336</v>
      </c>
      <c r="E1410" s="9">
        <v>42537</v>
      </c>
      <c r="G1410" s="6" t="s">
        <v>6</v>
      </c>
      <c r="H1410" s="13">
        <v>1680</v>
      </c>
      <c r="I1410" s="14">
        <f>SUM(H1410:H1410)</f>
        <v>1680</v>
      </c>
      <c r="J1410" s="5">
        <v>42522</v>
      </c>
      <c r="K1410" t="s">
        <v>390</v>
      </c>
    </row>
    <row r="1411" spans="2:11" ht="14.25" thickBot="1" x14ac:dyDescent="0.2">
      <c r="B1411" s="6" t="s">
        <v>6</v>
      </c>
      <c r="C1411" s="13">
        <v>200</v>
      </c>
      <c r="D1411" s="14">
        <f>SUM(C1411:C1411)</f>
        <v>200</v>
      </c>
      <c r="E1411" s="16">
        <v>42538</v>
      </c>
      <c r="G1411" s="6" t="s">
        <v>6</v>
      </c>
      <c r="H1411" s="88"/>
      <c r="I1411" s="11">
        <f>SUM(H1411:H1411)</f>
        <v>0</v>
      </c>
      <c r="J1411" s="85"/>
    </row>
    <row r="1412" spans="2:11" ht="14.25" thickBot="1" x14ac:dyDescent="0.2">
      <c r="B1412" s="46" t="s">
        <v>1</v>
      </c>
      <c r="C1412" s="48">
        <f>SUM(C1408:C1411)</f>
        <v>1077</v>
      </c>
      <c r="D1412" s="48">
        <f>SUM(D1408:D1411)</f>
        <v>1077</v>
      </c>
      <c r="E1412" s="49"/>
      <c r="G1412" s="46" t="s">
        <v>1</v>
      </c>
      <c r="H1412" s="47">
        <f>SUM(H1408:H1411)</f>
        <v>6684</v>
      </c>
      <c r="I1412" s="48">
        <f>SUM(I1408:I1411)</f>
        <v>6684</v>
      </c>
      <c r="J1412" s="49"/>
    </row>
    <row r="1413" spans="2:11" x14ac:dyDescent="0.15">
      <c r="B1413" s="10" t="s">
        <v>18</v>
      </c>
      <c r="C1413" s="77">
        <v>16</v>
      </c>
      <c r="D1413" s="11">
        <f>SUM(C1413:C1413)</f>
        <v>16</v>
      </c>
      <c r="E1413" s="12">
        <v>42524</v>
      </c>
      <c r="G1413" s="158" t="s">
        <v>16</v>
      </c>
      <c r="H1413" s="155">
        <v>200</v>
      </c>
      <c r="I1413" s="159">
        <f t="shared" ref="I1413:I1437" si="86">SUM(H1413:H1413)</f>
        <v>200</v>
      </c>
      <c r="J1413" s="157">
        <v>42525</v>
      </c>
    </row>
    <row r="1414" spans="2:11" x14ac:dyDescent="0.15">
      <c r="B1414" s="15" t="s">
        <v>445</v>
      </c>
      <c r="C1414" s="13">
        <v>100</v>
      </c>
      <c r="D1414" s="14">
        <f>SUM(C1414:C1414)</f>
        <v>100</v>
      </c>
      <c r="E1414" s="12">
        <v>42531</v>
      </c>
      <c r="G1414" s="15" t="s">
        <v>448</v>
      </c>
      <c r="H1414" s="13">
        <v>650</v>
      </c>
      <c r="I1414" s="14">
        <f t="shared" si="86"/>
        <v>650</v>
      </c>
      <c r="J1414" s="12">
        <v>42537</v>
      </c>
    </row>
    <row r="1415" spans="2:11" x14ac:dyDescent="0.15">
      <c r="B1415" s="160" t="s">
        <v>18</v>
      </c>
      <c r="C1415" s="155">
        <v>37</v>
      </c>
      <c r="D1415" s="156">
        <f>SUM(C1415:C1415)</f>
        <v>37</v>
      </c>
      <c r="E1415" s="157">
        <v>42527</v>
      </c>
      <c r="G1415" s="81" t="s">
        <v>16</v>
      </c>
      <c r="H1415" s="13">
        <v>336</v>
      </c>
      <c r="I1415" s="14">
        <f t="shared" si="86"/>
        <v>336</v>
      </c>
      <c r="J1415" s="12">
        <v>42537</v>
      </c>
    </row>
    <row r="1416" spans="2:11" x14ac:dyDescent="0.15">
      <c r="B1416" s="10" t="s">
        <v>189</v>
      </c>
      <c r="C1416" s="13">
        <v>19</v>
      </c>
      <c r="D1416" s="14">
        <f t="shared" ref="D1416:D1437" si="87">SUM(C1416:C1416)</f>
        <v>19</v>
      </c>
      <c r="E1416" s="12">
        <v>42527</v>
      </c>
      <c r="G1416" s="81" t="s">
        <v>16</v>
      </c>
      <c r="H1416" s="13">
        <v>200</v>
      </c>
      <c r="I1416" s="14">
        <f t="shared" si="86"/>
        <v>200</v>
      </c>
      <c r="J1416" s="12">
        <v>42538</v>
      </c>
    </row>
    <row r="1417" spans="2:11" x14ac:dyDescent="0.15">
      <c r="B1417" s="10" t="s">
        <v>83</v>
      </c>
      <c r="C1417" s="13">
        <v>32</v>
      </c>
      <c r="D1417" s="14">
        <f t="shared" si="87"/>
        <v>32</v>
      </c>
      <c r="E1417" s="12">
        <v>42530</v>
      </c>
      <c r="G1417" s="15" t="s">
        <v>450</v>
      </c>
      <c r="H1417" s="13">
        <v>140</v>
      </c>
      <c r="I1417" s="14">
        <f t="shared" si="86"/>
        <v>140</v>
      </c>
      <c r="J1417" s="12">
        <v>42538</v>
      </c>
    </row>
    <row r="1418" spans="2:11" x14ac:dyDescent="0.15">
      <c r="B1418" s="10" t="s">
        <v>18</v>
      </c>
      <c r="C1418" s="13">
        <v>8</v>
      </c>
      <c r="D1418" s="14">
        <f t="shared" si="87"/>
        <v>8</v>
      </c>
      <c r="E1418" s="12">
        <v>42530</v>
      </c>
      <c r="G1418" s="15" t="s">
        <v>453</v>
      </c>
      <c r="H1418" s="13">
        <v>310</v>
      </c>
      <c r="I1418" s="14">
        <f t="shared" si="86"/>
        <v>310</v>
      </c>
      <c r="J1418" s="12">
        <v>42542</v>
      </c>
    </row>
    <row r="1419" spans="2:11" x14ac:dyDescent="0.15">
      <c r="B1419" s="10" t="s">
        <v>447</v>
      </c>
      <c r="C1419" s="13">
        <v>2</v>
      </c>
      <c r="D1419" s="14">
        <f t="shared" si="87"/>
        <v>2</v>
      </c>
      <c r="E1419" s="12">
        <v>42530</v>
      </c>
      <c r="G1419" s="78"/>
      <c r="H1419" s="13"/>
      <c r="I1419" s="14">
        <f t="shared" si="86"/>
        <v>0</v>
      </c>
      <c r="J1419" s="12"/>
    </row>
    <row r="1420" spans="2:11" x14ac:dyDescent="0.15">
      <c r="B1420" s="10" t="s">
        <v>18</v>
      </c>
      <c r="C1420" s="13">
        <v>50</v>
      </c>
      <c r="D1420" s="14">
        <f t="shared" si="87"/>
        <v>50</v>
      </c>
      <c r="E1420" s="12">
        <v>42532</v>
      </c>
      <c r="G1420" s="78"/>
      <c r="H1420" s="13"/>
      <c r="I1420" s="14">
        <f t="shared" si="86"/>
        <v>0</v>
      </c>
      <c r="J1420" s="12"/>
    </row>
    <row r="1421" spans="2:11" x14ac:dyDescent="0.15">
      <c r="B1421" s="15" t="s">
        <v>446</v>
      </c>
      <c r="C1421" s="13">
        <v>100</v>
      </c>
      <c r="D1421" s="14">
        <f t="shared" si="87"/>
        <v>100</v>
      </c>
      <c r="E1421" s="12">
        <v>42538</v>
      </c>
      <c r="G1421" s="10"/>
      <c r="H1421" s="13"/>
      <c r="I1421" s="14">
        <f t="shared" si="86"/>
        <v>0</v>
      </c>
      <c r="J1421" s="12"/>
    </row>
    <row r="1422" spans="2:11" x14ac:dyDescent="0.15">
      <c r="B1422" s="10" t="s">
        <v>189</v>
      </c>
      <c r="C1422" s="13">
        <v>2</v>
      </c>
      <c r="D1422" s="14">
        <f t="shared" si="87"/>
        <v>2</v>
      </c>
      <c r="E1422" s="12">
        <v>42534</v>
      </c>
      <c r="G1422" s="78"/>
      <c r="H1422" s="13"/>
      <c r="I1422" s="14">
        <f t="shared" si="86"/>
        <v>0</v>
      </c>
      <c r="J1422" s="12"/>
    </row>
    <row r="1423" spans="2:11" x14ac:dyDescent="0.15">
      <c r="B1423" s="10" t="s">
        <v>18</v>
      </c>
      <c r="C1423" s="13">
        <v>61</v>
      </c>
      <c r="D1423" s="14">
        <f t="shared" si="87"/>
        <v>61</v>
      </c>
      <c r="E1423" s="12">
        <v>42536</v>
      </c>
      <c r="G1423" s="15"/>
      <c r="H1423" s="13"/>
      <c r="I1423" s="14">
        <f t="shared" si="86"/>
        <v>0</v>
      </c>
      <c r="J1423" s="5"/>
    </row>
    <row r="1424" spans="2:11" x14ac:dyDescent="0.15">
      <c r="B1424" s="15" t="s">
        <v>451</v>
      </c>
      <c r="C1424" s="13">
        <v>1</v>
      </c>
      <c r="D1424" s="14">
        <f t="shared" si="87"/>
        <v>1</v>
      </c>
      <c r="E1424" s="12">
        <v>42536</v>
      </c>
      <c r="G1424" s="15"/>
      <c r="H1424" s="7"/>
      <c r="I1424" s="14">
        <f t="shared" si="86"/>
        <v>0</v>
      </c>
      <c r="J1424" s="12"/>
    </row>
    <row r="1425" spans="2:10" x14ac:dyDescent="0.15">
      <c r="B1425" s="10" t="s">
        <v>18</v>
      </c>
      <c r="C1425" s="13">
        <v>45</v>
      </c>
      <c r="D1425" s="14">
        <f t="shared" si="87"/>
        <v>45</v>
      </c>
      <c r="E1425" s="12">
        <v>42538</v>
      </c>
      <c r="G1425" s="10"/>
      <c r="H1425" s="13"/>
      <c r="I1425" s="14">
        <f t="shared" si="86"/>
        <v>0</v>
      </c>
      <c r="J1425" s="12"/>
    </row>
    <row r="1426" spans="2:10" x14ac:dyDescent="0.15">
      <c r="B1426" s="15" t="s">
        <v>449</v>
      </c>
      <c r="C1426" s="13">
        <v>100</v>
      </c>
      <c r="D1426" s="14">
        <f t="shared" si="87"/>
        <v>100</v>
      </c>
      <c r="E1426" s="12">
        <v>42541</v>
      </c>
      <c r="G1426" s="15"/>
      <c r="H1426" s="13"/>
      <c r="I1426" s="14">
        <f t="shared" si="86"/>
        <v>0</v>
      </c>
      <c r="J1426" s="12"/>
    </row>
    <row r="1427" spans="2:10" x14ac:dyDescent="0.15">
      <c r="B1427" s="10" t="s">
        <v>76</v>
      </c>
      <c r="C1427" s="13">
        <v>-10</v>
      </c>
      <c r="D1427" s="14">
        <f t="shared" si="87"/>
        <v>-10</v>
      </c>
      <c r="E1427" s="12">
        <v>42536</v>
      </c>
      <c r="G1427" s="15"/>
      <c r="H1427" s="13"/>
      <c r="I1427" s="14">
        <f t="shared" si="86"/>
        <v>0</v>
      </c>
      <c r="J1427" s="5"/>
    </row>
    <row r="1428" spans="2:10" x14ac:dyDescent="0.15">
      <c r="B1428" s="10" t="s">
        <v>189</v>
      </c>
      <c r="C1428" s="13">
        <v>1</v>
      </c>
      <c r="D1428" s="14">
        <f t="shared" si="87"/>
        <v>1</v>
      </c>
      <c r="E1428" s="12">
        <v>42537</v>
      </c>
      <c r="G1428" s="15"/>
      <c r="H1428" s="7"/>
      <c r="I1428" s="14">
        <f t="shared" si="86"/>
        <v>0</v>
      </c>
      <c r="J1428" s="12"/>
    </row>
    <row r="1429" spans="2:10" x14ac:dyDescent="0.15">
      <c r="B1429" s="10" t="s">
        <v>452</v>
      </c>
      <c r="C1429" s="13">
        <v>4</v>
      </c>
      <c r="D1429" s="14">
        <f t="shared" si="87"/>
        <v>4</v>
      </c>
      <c r="E1429" s="12">
        <v>42539</v>
      </c>
      <c r="G1429" s="15"/>
      <c r="H1429" s="13"/>
      <c r="I1429" s="14">
        <f t="shared" si="86"/>
        <v>0</v>
      </c>
      <c r="J1429" s="5"/>
    </row>
    <row r="1430" spans="2:10" x14ac:dyDescent="0.15">
      <c r="B1430" s="10" t="s">
        <v>18</v>
      </c>
      <c r="C1430" s="13">
        <v>75</v>
      </c>
      <c r="D1430" s="14">
        <f t="shared" si="87"/>
        <v>75</v>
      </c>
      <c r="E1430" s="12">
        <v>42542</v>
      </c>
      <c r="G1430" s="15"/>
      <c r="H1430" s="7"/>
      <c r="I1430" s="14">
        <f t="shared" si="86"/>
        <v>0</v>
      </c>
      <c r="J1430" s="12"/>
    </row>
    <row r="1431" spans="2:10" x14ac:dyDescent="0.15">
      <c r="B1431" s="10" t="s">
        <v>189</v>
      </c>
      <c r="C1431" s="13">
        <v>2</v>
      </c>
      <c r="D1431" s="14">
        <f t="shared" si="87"/>
        <v>2</v>
      </c>
      <c r="E1431" s="12">
        <v>42541</v>
      </c>
      <c r="G1431" s="15"/>
      <c r="H1431" s="13"/>
      <c r="I1431" s="14">
        <f t="shared" si="86"/>
        <v>0</v>
      </c>
      <c r="J1431" s="12"/>
    </row>
    <row r="1432" spans="2:10" x14ac:dyDescent="0.15">
      <c r="B1432" s="10" t="s">
        <v>189</v>
      </c>
      <c r="C1432" s="13">
        <v>20</v>
      </c>
      <c r="D1432" s="14">
        <f t="shared" si="87"/>
        <v>20</v>
      </c>
      <c r="E1432" s="5">
        <v>42542</v>
      </c>
      <c r="G1432" s="15"/>
      <c r="H1432" s="7"/>
      <c r="I1432" s="14">
        <f>SUM(H1432:H1432)</f>
        <v>0</v>
      </c>
      <c r="J1432" s="12"/>
    </row>
    <row r="1433" spans="2:10" x14ac:dyDescent="0.15">
      <c r="B1433" s="10" t="s">
        <v>454</v>
      </c>
      <c r="C1433" s="13">
        <v>46</v>
      </c>
      <c r="D1433" s="14">
        <f t="shared" si="87"/>
        <v>46</v>
      </c>
      <c r="E1433" s="5">
        <v>42544</v>
      </c>
      <c r="G1433" s="10"/>
      <c r="H1433" s="13"/>
      <c r="I1433" s="14">
        <f t="shared" si="86"/>
        <v>0</v>
      </c>
      <c r="J1433" s="12"/>
    </row>
    <row r="1434" spans="2:10" x14ac:dyDescent="0.15">
      <c r="B1434" s="10" t="s">
        <v>455</v>
      </c>
      <c r="C1434" s="13">
        <v>1</v>
      </c>
      <c r="D1434" s="14">
        <f t="shared" si="87"/>
        <v>1</v>
      </c>
      <c r="E1434" s="5">
        <v>42544</v>
      </c>
      <c r="G1434" s="15"/>
      <c r="H1434" s="7"/>
      <c r="I1434" s="14">
        <f t="shared" si="86"/>
        <v>0</v>
      </c>
      <c r="J1434" s="12"/>
    </row>
    <row r="1435" spans="2:10" x14ac:dyDescent="0.15">
      <c r="B1435" s="10" t="s">
        <v>18</v>
      </c>
      <c r="C1435" s="13">
        <v>14</v>
      </c>
      <c r="D1435" s="14">
        <f t="shared" si="87"/>
        <v>14</v>
      </c>
      <c r="E1435" s="5">
        <v>42546</v>
      </c>
      <c r="G1435" s="15"/>
      <c r="H1435" s="7"/>
      <c r="I1435" s="14">
        <f t="shared" si="86"/>
        <v>0</v>
      </c>
      <c r="J1435" s="12"/>
    </row>
    <row r="1436" spans="2:10" ht="14.25" thickBot="1" x14ac:dyDescent="0.2">
      <c r="B1436" s="10" t="s">
        <v>456</v>
      </c>
      <c r="C1436" s="13">
        <v>2</v>
      </c>
      <c r="D1436" s="11">
        <f t="shared" si="87"/>
        <v>2</v>
      </c>
      <c r="E1436" s="12">
        <v>42546</v>
      </c>
      <c r="G1436" s="15"/>
      <c r="H1436" s="7"/>
      <c r="I1436" s="14">
        <f t="shared" si="86"/>
        <v>0</v>
      </c>
      <c r="J1436" s="12"/>
    </row>
    <row r="1437" spans="2:10" ht="14.25" thickBot="1" x14ac:dyDescent="0.2">
      <c r="B1437" s="17" t="s">
        <v>2</v>
      </c>
      <c r="C1437" s="18">
        <f>SUM(C1413:C1436)</f>
        <v>728</v>
      </c>
      <c r="D1437" s="19">
        <f t="shared" si="87"/>
        <v>728</v>
      </c>
      <c r="E1437" s="20"/>
      <c r="G1437" s="17" t="s">
        <v>2</v>
      </c>
      <c r="H1437" s="18">
        <f>SUM(H1413:H1436)</f>
        <v>1836</v>
      </c>
      <c r="I1437" s="19">
        <f t="shared" si="86"/>
        <v>1836</v>
      </c>
      <c r="J1437" s="20"/>
    </row>
    <row r="1438" spans="2:10" ht="14.25" thickBot="1" x14ac:dyDescent="0.2">
      <c r="B1438" s="46" t="s">
        <v>3</v>
      </c>
      <c r="C1438" s="52">
        <f>C1412-C1437</f>
        <v>349</v>
      </c>
      <c r="D1438" s="48">
        <f>D1412-D1437</f>
        <v>349</v>
      </c>
      <c r="E1438" s="49"/>
      <c r="G1438" s="46" t="s">
        <v>3</v>
      </c>
      <c r="H1438" s="52">
        <f>H1412-H1437</f>
        <v>4848</v>
      </c>
      <c r="I1438" s="48">
        <f>I1412-I1437</f>
        <v>4848</v>
      </c>
      <c r="J1438" s="49"/>
    </row>
    <row r="1441" spans="2:11" ht="18.75" x14ac:dyDescent="0.2">
      <c r="B1441" s="26" t="s">
        <v>7</v>
      </c>
      <c r="G1441" s="26" t="s">
        <v>35</v>
      </c>
    </row>
    <row r="1442" spans="2:11" ht="14.25" thickBot="1" x14ac:dyDescent="0.2"/>
    <row r="1443" spans="2:11" ht="14.25" thickBot="1" x14ac:dyDescent="0.2">
      <c r="B1443" s="1"/>
      <c r="C1443" s="2"/>
      <c r="D1443" s="3" t="s">
        <v>0</v>
      </c>
      <c r="E1443" s="1" t="s">
        <v>4</v>
      </c>
      <c r="G1443" s="1"/>
      <c r="H1443" s="2"/>
      <c r="I1443" s="3" t="s">
        <v>0</v>
      </c>
      <c r="J1443" s="1" t="s">
        <v>4</v>
      </c>
    </row>
    <row r="1444" spans="2:11" x14ac:dyDescent="0.15">
      <c r="B1444" s="42" t="s">
        <v>5</v>
      </c>
      <c r="C1444" s="43">
        <f>C1438</f>
        <v>349</v>
      </c>
      <c r="D1444" s="44">
        <f>SUM(C1444:C1444)</f>
        <v>349</v>
      </c>
      <c r="E1444" s="45"/>
      <c r="G1444" s="42" t="s">
        <v>5</v>
      </c>
      <c r="H1444" s="43">
        <f>H1438</f>
        <v>4848</v>
      </c>
      <c r="I1444" s="44">
        <f>SUM(H1444:H1444)</f>
        <v>4848</v>
      </c>
      <c r="J1444" s="45"/>
      <c r="K1444" s="103"/>
    </row>
    <row r="1445" spans="2:11" x14ac:dyDescent="0.15">
      <c r="B1445" s="6" t="s">
        <v>105</v>
      </c>
      <c r="C1445" s="13">
        <v>3</v>
      </c>
      <c r="D1445" s="14">
        <f>SUM(C1445:C1445)</f>
        <v>3</v>
      </c>
      <c r="E1445" s="12">
        <v>42550</v>
      </c>
      <c r="G1445" s="6" t="s">
        <v>6</v>
      </c>
      <c r="H1445" s="13">
        <v>1680</v>
      </c>
      <c r="I1445" s="14">
        <f>SUM(H1445:H1445)</f>
        <v>1680</v>
      </c>
      <c r="J1445" s="5">
        <v>42552</v>
      </c>
      <c r="K1445" t="s">
        <v>390</v>
      </c>
    </row>
    <row r="1446" spans="2:11" x14ac:dyDescent="0.15">
      <c r="B1446" s="6" t="s">
        <v>6</v>
      </c>
      <c r="C1446" s="7">
        <v>200</v>
      </c>
      <c r="D1446" s="8">
        <f>SUM(C1446:C1446)</f>
        <v>200</v>
      </c>
      <c r="E1446" s="9">
        <v>42553</v>
      </c>
      <c r="G1446" s="6" t="s">
        <v>6</v>
      </c>
      <c r="H1446" s="13">
        <v>1680</v>
      </c>
      <c r="I1446" s="14">
        <f>SUM(H1446:H1446)</f>
        <v>1680</v>
      </c>
      <c r="J1446" s="5">
        <v>42552</v>
      </c>
    </row>
    <row r="1447" spans="2:11" ht="14.25" thickBot="1" x14ac:dyDescent="0.2">
      <c r="B1447" s="6" t="s">
        <v>6</v>
      </c>
      <c r="C1447" s="7">
        <v>336</v>
      </c>
      <c r="D1447" s="14">
        <f>SUM(C1447:C1447)</f>
        <v>336</v>
      </c>
      <c r="E1447" s="16">
        <v>42555</v>
      </c>
      <c r="G1447" s="6" t="s">
        <v>6</v>
      </c>
      <c r="H1447" s="88"/>
      <c r="I1447" s="11">
        <f>SUM(H1447:H1447)</f>
        <v>0</v>
      </c>
      <c r="J1447" s="85"/>
    </row>
    <row r="1448" spans="2:11" ht="14.25" thickBot="1" x14ac:dyDescent="0.2">
      <c r="B1448" s="46" t="s">
        <v>1</v>
      </c>
      <c r="C1448" s="48">
        <f>SUM(C1444:C1447)</f>
        <v>888</v>
      </c>
      <c r="D1448" s="48">
        <f>SUM(D1444:D1447)</f>
        <v>888</v>
      </c>
      <c r="E1448" s="49"/>
      <c r="G1448" s="46" t="s">
        <v>1</v>
      </c>
      <c r="H1448" s="47">
        <f>SUM(H1444:H1447)</f>
        <v>8208</v>
      </c>
      <c r="I1448" s="48">
        <f>SUM(I1444:I1447)</f>
        <v>8208</v>
      </c>
      <c r="J1448" s="49"/>
    </row>
    <row r="1449" spans="2:11" x14ac:dyDescent="0.15">
      <c r="B1449" s="10" t="s">
        <v>460</v>
      </c>
      <c r="C1449" s="77">
        <v>30</v>
      </c>
      <c r="D1449" s="11">
        <f>SUM(C1449:C1449)</f>
        <v>30</v>
      </c>
      <c r="E1449" s="12">
        <v>42548</v>
      </c>
      <c r="G1449" s="15" t="s">
        <v>458</v>
      </c>
      <c r="H1449" s="13">
        <v>200</v>
      </c>
      <c r="I1449" s="11">
        <f t="shared" ref="I1449:I1473" si="88">SUM(H1449:H1449)</f>
        <v>200</v>
      </c>
      <c r="J1449" s="12">
        <v>42552</v>
      </c>
    </row>
    <row r="1450" spans="2:11" x14ac:dyDescent="0.15">
      <c r="B1450" s="10" t="s">
        <v>18</v>
      </c>
      <c r="C1450" s="13">
        <v>26</v>
      </c>
      <c r="D1450" s="14">
        <f>SUM(C1450:C1450)</f>
        <v>26</v>
      </c>
      <c r="E1450" s="12">
        <v>42550</v>
      </c>
      <c r="G1450" s="15" t="s">
        <v>459</v>
      </c>
      <c r="H1450" s="13">
        <v>300</v>
      </c>
      <c r="I1450" s="14">
        <f t="shared" si="88"/>
        <v>300</v>
      </c>
      <c r="J1450" s="12">
        <v>42553</v>
      </c>
    </row>
    <row r="1451" spans="2:11" x14ac:dyDescent="0.15">
      <c r="B1451" s="15" t="s">
        <v>457</v>
      </c>
      <c r="C1451" s="13">
        <v>70</v>
      </c>
      <c r="D1451" s="14">
        <f>SUM(C1451:C1451)</f>
        <v>70</v>
      </c>
      <c r="E1451" s="12">
        <v>42551</v>
      </c>
      <c r="G1451" s="15" t="s">
        <v>16</v>
      </c>
      <c r="H1451" s="13">
        <v>200</v>
      </c>
      <c r="I1451" s="14">
        <f t="shared" si="88"/>
        <v>200</v>
      </c>
      <c r="J1451" s="12">
        <v>42553</v>
      </c>
    </row>
    <row r="1452" spans="2:11" x14ac:dyDescent="0.15">
      <c r="B1452" s="10" t="s">
        <v>469</v>
      </c>
      <c r="C1452" s="13">
        <v>6</v>
      </c>
      <c r="D1452" s="14">
        <f t="shared" ref="D1452:D1473" si="89">SUM(C1452:C1452)</f>
        <v>6</v>
      </c>
      <c r="E1452" s="12">
        <v>42550</v>
      </c>
      <c r="G1452" s="15" t="s">
        <v>16</v>
      </c>
      <c r="H1452" s="13">
        <v>336</v>
      </c>
      <c r="I1452" s="14">
        <f t="shared" si="88"/>
        <v>336</v>
      </c>
      <c r="J1452" s="12">
        <v>42555</v>
      </c>
    </row>
    <row r="1453" spans="2:11" x14ac:dyDescent="0.15">
      <c r="B1453" s="10" t="s">
        <v>461</v>
      </c>
      <c r="C1453" s="13">
        <v>100</v>
      </c>
      <c r="D1453" s="14">
        <f t="shared" si="89"/>
        <v>100</v>
      </c>
      <c r="E1453" s="12">
        <v>42559</v>
      </c>
      <c r="G1453" s="15" t="s">
        <v>463</v>
      </c>
      <c r="H1453" s="13">
        <v>400</v>
      </c>
      <c r="I1453" s="14">
        <f t="shared" si="88"/>
        <v>400</v>
      </c>
      <c r="J1453" s="12">
        <v>42559</v>
      </c>
    </row>
    <row r="1454" spans="2:11" x14ac:dyDescent="0.15">
      <c r="B1454" s="10" t="s">
        <v>18</v>
      </c>
      <c r="C1454" s="13">
        <v>54</v>
      </c>
      <c r="D1454" s="14">
        <f t="shared" si="89"/>
        <v>54</v>
      </c>
      <c r="E1454" s="12">
        <v>42553</v>
      </c>
      <c r="G1454" s="15" t="s">
        <v>466</v>
      </c>
      <c r="H1454" s="13">
        <v>400</v>
      </c>
      <c r="I1454" s="14">
        <f t="shared" si="88"/>
        <v>400</v>
      </c>
      <c r="J1454" s="12">
        <v>42560</v>
      </c>
      <c r="K1454" t="s">
        <v>468</v>
      </c>
    </row>
    <row r="1455" spans="2:11" x14ac:dyDescent="0.15">
      <c r="B1455" s="10" t="s">
        <v>18</v>
      </c>
      <c r="C1455" s="13">
        <v>22</v>
      </c>
      <c r="D1455" s="14">
        <f t="shared" si="89"/>
        <v>22</v>
      </c>
      <c r="E1455" s="12">
        <v>42556</v>
      </c>
      <c r="G1455" s="15" t="s">
        <v>467</v>
      </c>
      <c r="H1455" s="13">
        <v>100</v>
      </c>
      <c r="I1455" s="14">
        <f t="shared" si="88"/>
        <v>100</v>
      </c>
      <c r="J1455" s="12">
        <v>42562</v>
      </c>
    </row>
    <row r="1456" spans="2:11" x14ac:dyDescent="0.15">
      <c r="B1456" s="15" t="s">
        <v>462</v>
      </c>
      <c r="C1456" s="13">
        <v>100</v>
      </c>
      <c r="D1456" s="14">
        <f t="shared" si="89"/>
        <v>100</v>
      </c>
      <c r="E1456" s="12">
        <v>42557</v>
      </c>
      <c r="G1456" s="10" t="s">
        <v>470</v>
      </c>
      <c r="H1456" s="13">
        <v>650</v>
      </c>
      <c r="I1456" s="14">
        <f t="shared" si="88"/>
        <v>650</v>
      </c>
      <c r="J1456" s="12">
        <v>42565</v>
      </c>
    </row>
    <row r="1457" spans="2:10" x14ac:dyDescent="0.15">
      <c r="B1457" s="10" t="s">
        <v>465</v>
      </c>
      <c r="C1457" s="13">
        <v>10</v>
      </c>
      <c r="D1457" s="14">
        <f t="shared" si="89"/>
        <v>10</v>
      </c>
      <c r="E1457" s="12">
        <v>42555</v>
      </c>
      <c r="G1457" s="15" t="s">
        <v>428</v>
      </c>
      <c r="H1457" s="13">
        <v>200</v>
      </c>
      <c r="I1457" s="14">
        <f t="shared" si="88"/>
        <v>200</v>
      </c>
      <c r="J1457" s="12">
        <v>42566</v>
      </c>
    </row>
    <row r="1458" spans="2:10" x14ac:dyDescent="0.15">
      <c r="B1458" s="10" t="s">
        <v>105</v>
      </c>
      <c r="C1458" s="13">
        <v>-2</v>
      </c>
      <c r="D1458" s="14">
        <f t="shared" si="89"/>
        <v>-2</v>
      </c>
      <c r="E1458" s="12">
        <v>42557</v>
      </c>
      <c r="G1458" s="78"/>
      <c r="H1458" s="13"/>
      <c r="I1458" s="14">
        <f t="shared" si="88"/>
        <v>0</v>
      </c>
      <c r="J1458" s="12"/>
    </row>
    <row r="1459" spans="2:10" x14ac:dyDescent="0.15">
      <c r="B1459" s="15" t="s">
        <v>464</v>
      </c>
      <c r="C1459" s="13">
        <v>68</v>
      </c>
      <c r="D1459" s="14">
        <f t="shared" si="89"/>
        <v>68</v>
      </c>
      <c r="E1459" s="12">
        <v>42559</v>
      </c>
      <c r="G1459" s="15"/>
      <c r="H1459" s="13"/>
      <c r="I1459" s="14">
        <f t="shared" si="88"/>
        <v>0</v>
      </c>
      <c r="J1459" s="5"/>
    </row>
    <row r="1460" spans="2:10" x14ac:dyDescent="0.15">
      <c r="B1460" s="15" t="s">
        <v>189</v>
      </c>
      <c r="C1460" s="13">
        <v>1</v>
      </c>
      <c r="D1460" s="14">
        <f t="shared" si="89"/>
        <v>1</v>
      </c>
      <c r="E1460" s="12">
        <v>42557</v>
      </c>
      <c r="G1460" s="15"/>
      <c r="H1460" s="7"/>
      <c r="I1460" s="14">
        <f t="shared" si="88"/>
        <v>0</v>
      </c>
      <c r="J1460" s="12"/>
    </row>
    <row r="1461" spans="2:10" x14ac:dyDescent="0.15">
      <c r="B1461" s="10" t="s">
        <v>18</v>
      </c>
      <c r="C1461" s="13">
        <v>48</v>
      </c>
      <c r="D1461" s="14">
        <f t="shared" si="89"/>
        <v>48</v>
      </c>
      <c r="E1461" s="12">
        <v>42559</v>
      </c>
      <c r="G1461" s="10"/>
      <c r="H1461" s="13"/>
      <c r="I1461" s="14">
        <f t="shared" si="88"/>
        <v>0</v>
      </c>
      <c r="J1461" s="12"/>
    </row>
    <row r="1462" spans="2:10" x14ac:dyDescent="0.15">
      <c r="B1462" s="10" t="s">
        <v>103</v>
      </c>
      <c r="C1462" s="13">
        <v>50</v>
      </c>
      <c r="D1462" s="14">
        <f t="shared" si="89"/>
        <v>50</v>
      </c>
      <c r="E1462" s="12">
        <v>42562</v>
      </c>
      <c r="G1462" s="15"/>
      <c r="H1462" s="13"/>
      <c r="I1462" s="14">
        <f t="shared" si="88"/>
        <v>0</v>
      </c>
      <c r="J1462" s="12"/>
    </row>
    <row r="1463" spans="2:10" x14ac:dyDescent="0.15">
      <c r="B1463" s="10" t="s">
        <v>471</v>
      </c>
      <c r="C1463" s="13">
        <v>11</v>
      </c>
      <c r="D1463" s="14">
        <f t="shared" si="89"/>
        <v>11</v>
      </c>
      <c r="E1463" s="12">
        <v>42559</v>
      </c>
      <c r="G1463" s="15"/>
      <c r="H1463" s="13"/>
      <c r="I1463" s="14">
        <f t="shared" si="88"/>
        <v>0</v>
      </c>
      <c r="J1463" s="5"/>
    </row>
    <row r="1464" spans="2:10" x14ac:dyDescent="0.15">
      <c r="B1464" s="10" t="s">
        <v>18</v>
      </c>
      <c r="C1464" s="13">
        <v>29</v>
      </c>
      <c r="D1464" s="14">
        <f t="shared" si="89"/>
        <v>29</v>
      </c>
      <c r="E1464" s="12">
        <v>42563</v>
      </c>
      <c r="G1464" s="15"/>
      <c r="H1464" s="7"/>
      <c r="I1464" s="14">
        <f t="shared" si="88"/>
        <v>0</v>
      </c>
      <c r="J1464" s="12"/>
    </row>
    <row r="1465" spans="2:10" x14ac:dyDescent="0.15">
      <c r="B1465" s="10" t="s">
        <v>189</v>
      </c>
      <c r="C1465" s="13">
        <v>3</v>
      </c>
      <c r="D1465" s="14">
        <f t="shared" si="89"/>
        <v>3</v>
      </c>
      <c r="E1465" s="12">
        <v>42563</v>
      </c>
      <c r="G1465" s="15"/>
      <c r="H1465" s="13"/>
      <c r="I1465" s="14">
        <f t="shared" si="88"/>
        <v>0</v>
      </c>
      <c r="J1465" s="5"/>
    </row>
    <row r="1466" spans="2:10" x14ac:dyDescent="0.15">
      <c r="B1466" s="10" t="s">
        <v>18</v>
      </c>
      <c r="C1466" s="13">
        <v>24</v>
      </c>
      <c r="D1466" s="14">
        <f t="shared" si="89"/>
        <v>24</v>
      </c>
      <c r="E1466" s="12">
        <v>42566</v>
      </c>
      <c r="G1466" s="15"/>
      <c r="H1466" s="13"/>
      <c r="I1466" s="14">
        <f t="shared" si="88"/>
        <v>0</v>
      </c>
      <c r="J1466" s="12"/>
    </row>
    <row r="1467" spans="2:10" x14ac:dyDescent="0.15">
      <c r="B1467" s="10" t="s">
        <v>472</v>
      </c>
      <c r="C1467" s="13">
        <v>130</v>
      </c>
      <c r="D1467" s="14">
        <f t="shared" si="89"/>
        <v>130</v>
      </c>
      <c r="E1467" s="12">
        <v>42567</v>
      </c>
      <c r="G1467" s="15"/>
      <c r="H1467" s="13"/>
      <c r="I1467" s="14">
        <f t="shared" si="88"/>
        <v>0</v>
      </c>
      <c r="J1467" s="12"/>
    </row>
    <row r="1468" spans="2:10" x14ac:dyDescent="0.15">
      <c r="B1468" s="15" t="s">
        <v>105</v>
      </c>
      <c r="C1468" s="13">
        <v>-1</v>
      </c>
      <c r="D1468" s="14">
        <f t="shared" si="89"/>
        <v>-1</v>
      </c>
      <c r="E1468" s="5">
        <v>42566</v>
      </c>
      <c r="G1468" s="15"/>
      <c r="H1468" s="13"/>
      <c r="I1468" s="14">
        <f t="shared" si="88"/>
        <v>0</v>
      </c>
      <c r="J1468" s="12"/>
    </row>
    <row r="1469" spans="2:10" x14ac:dyDescent="0.15">
      <c r="B1469" s="15" t="s">
        <v>189</v>
      </c>
      <c r="C1469" s="13">
        <v>1</v>
      </c>
      <c r="D1469" s="14">
        <f t="shared" si="89"/>
        <v>1</v>
      </c>
      <c r="E1469" s="5">
        <v>42566</v>
      </c>
      <c r="G1469" s="15"/>
      <c r="H1469" s="13"/>
      <c r="I1469" s="14">
        <f t="shared" si="88"/>
        <v>0</v>
      </c>
      <c r="J1469" s="12"/>
    </row>
    <row r="1470" spans="2:10" x14ac:dyDescent="0.15">
      <c r="B1470" s="15" t="s">
        <v>189</v>
      </c>
      <c r="C1470" s="13">
        <v>13</v>
      </c>
      <c r="D1470" s="14">
        <f t="shared" si="89"/>
        <v>13</v>
      </c>
      <c r="E1470" s="5">
        <v>42566</v>
      </c>
      <c r="G1470" s="10"/>
      <c r="H1470" s="13"/>
      <c r="I1470" s="14">
        <f t="shared" si="88"/>
        <v>0</v>
      </c>
      <c r="J1470" s="12"/>
    </row>
    <row r="1471" spans="2:10" x14ac:dyDescent="0.15">
      <c r="B1471" s="15" t="s">
        <v>105</v>
      </c>
      <c r="C1471" s="13">
        <v>-1</v>
      </c>
      <c r="D1471" s="14">
        <f t="shared" si="89"/>
        <v>-1</v>
      </c>
      <c r="E1471" s="5">
        <v>42579</v>
      </c>
      <c r="G1471" s="15"/>
      <c r="H1471" s="7"/>
      <c r="I1471" s="14">
        <f t="shared" si="88"/>
        <v>0</v>
      </c>
      <c r="J1471" s="12"/>
    </row>
    <row r="1472" spans="2:10" ht="14.25" thickBot="1" x14ac:dyDescent="0.2">
      <c r="B1472" s="10"/>
      <c r="C1472" s="13"/>
      <c r="D1472" s="11">
        <f t="shared" si="89"/>
        <v>0</v>
      </c>
      <c r="E1472" s="12"/>
      <c r="G1472" s="15"/>
      <c r="H1472" s="7"/>
      <c r="I1472" s="14">
        <f>SUM(H1472:H1472)</f>
        <v>0</v>
      </c>
      <c r="J1472" s="12"/>
    </row>
    <row r="1473" spans="2:11" ht="14.25" thickBot="1" x14ac:dyDescent="0.2">
      <c r="B1473" s="17" t="s">
        <v>2</v>
      </c>
      <c r="C1473" s="18">
        <f>SUM(C1449:C1472)</f>
        <v>792</v>
      </c>
      <c r="D1473" s="19">
        <f t="shared" si="89"/>
        <v>792</v>
      </c>
      <c r="E1473" s="20"/>
      <c r="G1473" s="17" t="s">
        <v>2</v>
      </c>
      <c r="H1473" s="18">
        <f>SUM(H1449:H1472)</f>
        <v>2786</v>
      </c>
      <c r="I1473" s="19">
        <f t="shared" si="88"/>
        <v>2786</v>
      </c>
      <c r="J1473" s="20"/>
    </row>
    <row r="1474" spans="2:11" ht="14.25" thickBot="1" x14ac:dyDescent="0.2">
      <c r="B1474" s="46" t="s">
        <v>3</v>
      </c>
      <c r="C1474" s="52">
        <f>C1448-C1473</f>
        <v>96</v>
      </c>
      <c r="D1474" s="48">
        <f>D1448-D1473</f>
        <v>96</v>
      </c>
      <c r="E1474" s="49"/>
      <c r="G1474" s="46" t="s">
        <v>3</v>
      </c>
      <c r="H1474" s="52">
        <f>H1448-H1473</f>
        <v>5422</v>
      </c>
      <c r="I1474" s="48">
        <f>I1448-I1473</f>
        <v>5422</v>
      </c>
      <c r="J1474" s="49"/>
    </row>
    <row r="1477" spans="2:11" ht="18.75" x14ac:dyDescent="0.2">
      <c r="B1477" s="26" t="s">
        <v>7</v>
      </c>
      <c r="G1477" s="26" t="s">
        <v>35</v>
      </c>
    </row>
    <row r="1478" spans="2:11" ht="14.25" thickBot="1" x14ac:dyDescent="0.2"/>
    <row r="1479" spans="2:11" ht="14.25" thickBot="1" x14ac:dyDescent="0.2">
      <c r="B1479" s="1"/>
      <c r="C1479" s="2"/>
      <c r="D1479" s="3" t="s">
        <v>0</v>
      </c>
      <c r="E1479" s="1" t="s">
        <v>4</v>
      </c>
      <c r="G1479" s="1"/>
      <c r="H1479" s="2"/>
      <c r="I1479" s="3" t="s">
        <v>0</v>
      </c>
      <c r="J1479" s="1" t="s">
        <v>4</v>
      </c>
    </row>
    <row r="1480" spans="2:11" x14ac:dyDescent="0.15">
      <c r="B1480" s="42" t="s">
        <v>5</v>
      </c>
      <c r="C1480" s="43">
        <f>C1474</f>
        <v>96</v>
      </c>
      <c r="D1480" s="44">
        <f>SUM(C1480:C1480)</f>
        <v>96</v>
      </c>
      <c r="E1480" s="45"/>
      <c r="G1480" s="42" t="s">
        <v>5</v>
      </c>
      <c r="H1480" s="43">
        <f>H1474</f>
        <v>5422</v>
      </c>
      <c r="I1480" s="44">
        <f>SUM(H1480:H1480)</f>
        <v>5422</v>
      </c>
      <c r="J1480" s="45"/>
      <c r="K1480" s="103"/>
    </row>
    <row r="1481" spans="2:11" x14ac:dyDescent="0.15">
      <c r="B1481" s="6" t="s">
        <v>6</v>
      </c>
      <c r="C1481" s="13">
        <v>336</v>
      </c>
      <c r="D1481" s="14">
        <f>SUM(C1481:C1481)</f>
        <v>336</v>
      </c>
      <c r="E1481" s="12">
        <v>42570</v>
      </c>
      <c r="G1481" s="106" t="s">
        <v>6</v>
      </c>
      <c r="H1481" s="94"/>
      <c r="I1481" s="96">
        <f>SUM(H1481:H1481)</f>
        <v>0</v>
      </c>
      <c r="J1481" s="104"/>
    </row>
    <row r="1482" spans="2:11" x14ac:dyDescent="0.15">
      <c r="B1482" s="6" t="s">
        <v>6</v>
      </c>
      <c r="C1482" s="7">
        <v>200</v>
      </c>
      <c r="D1482" s="8">
        <f>SUM(C1482:C1482)</f>
        <v>200</v>
      </c>
      <c r="E1482" s="9">
        <v>42580</v>
      </c>
      <c r="G1482" s="6" t="s">
        <v>6</v>
      </c>
      <c r="H1482" s="13"/>
      <c r="I1482" s="14">
        <f>SUM(H1482:H1482)</f>
        <v>0</v>
      </c>
      <c r="J1482" s="5"/>
    </row>
    <row r="1483" spans="2:11" ht="14.25" thickBot="1" x14ac:dyDescent="0.2">
      <c r="B1483" s="6" t="s">
        <v>225</v>
      </c>
      <c r="C1483" s="7">
        <v>121</v>
      </c>
      <c r="D1483" s="14">
        <f>SUM(C1483:C1483)</f>
        <v>121</v>
      </c>
      <c r="E1483" s="16">
        <v>42586</v>
      </c>
      <c r="G1483" s="6" t="s">
        <v>6</v>
      </c>
      <c r="H1483" s="88"/>
      <c r="I1483" s="11">
        <f>SUM(H1483:H1483)</f>
        <v>0</v>
      </c>
      <c r="J1483" s="85"/>
      <c r="K1483" s="86"/>
    </row>
    <row r="1484" spans="2:11" ht="14.25" thickBot="1" x14ac:dyDescent="0.2">
      <c r="B1484" s="46" t="s">
        <v>1</v>
      </c>
      <c r="C1484" s="48">
        <f>SUM(C1480:C1483)</f>
        <v>753</v>
      </c>
      <c r="D1484" s="48">
        <f>SUM(D1480:D1483)</f>
        <v>753</v>
      </c>
      <c r="E1484" s="49"/>
      <c r="G1484" s="46" t="s">
        <v>1</v>
      </c>
      <c r="H1484" s="47">
        <f>SUM(H1480:H1483)</f>
        <v>5422</v>
      </c>
      <c r="I1484" s="48">
        <f>SUM(I1480:I1483)</f>
        <v>5422</v>
      </c>
      <c r="J1484" s="49"/>
    </row>
    <row r="1485" spans="2:11" x14ac:dyDescent="0.15">
      <c r="B1485" s="10" t="s">
        <v>18</v>
      </c>
      <c r="C1485" s="77">
        <v>8</v>
      </c>
      <c r="D1485" s="11">
        <f>SUM(C1485:C1485)</f>
        <v>8</v>
      </c>
      <c r="E1485" s="12">
        <v>42571</v>
      </c>
      <c r="G1485" s="81" t="s">
        <v>16</v>
      </c>
      <c r="H1485" s="13">
        <v>336</v>
      </c>
      <c r="I1485" s="11">
        <f>SUM(H1485:H1485)</f>
        <v>336</v>
      </c>
      <c r="J1485" s="12">
        <v>42570</v>
      </c>
    </row>
    <row r="1486" spans="2:11" x14ac:dyDescent="0.15">
      <c r="B1486" s="10" t="s">
        <v>475</v>
      </c>
      <c r="C1486" s="13">
        <v>13</v>
      </c>
      <c r="D1486" s="14">
        <f>SUM(C1486:C1486)</f>
        <v>13</v>
      </c>
      <c r="E1486" s="12">
        <v>42570</v>
      </c>
      <c r="G1486" s="81" t="s">
        <v>473</v>
      </c>
      <c r="H1486" s="13">
        <v>100</v>
      </c>
      <c r="I1486" s="14">
        <f>SUM(H1486:H1486)</f>
        <v>100</v>
      </c>
      <c r="J1486" s="12">
        <v>42577</v>
      </c>
    </row>
    <row r="1487" spans="2:11" x14ac:dyDescent="0.15">
      <c r="B1487" s="10" t="s">
        <v>18</v>
      </c>
      <c r="C1487" s="13">
        <v>14</v>
      </c>
      <c r="D1487" s="14">
        <f>SUM(C1487:C1487)</f>
        <v>14</v>
      </c>
      <c r="E1487" s="12">
        <v>42573</v>
      </c>
      <c r="G1487" s="15" t="s">
        <v>474</v>
      </c>
      <c r="H1487" s="13">
        <v>150</v>
      </c>
      <c r="I1487" s="14">
        <f t="shared" ref="I1487:I1509" si="90">SUM(H1487:H1487)</f>
        <v>150</v>
      </c>
      <c r="J1487" s="12">
        <v>42580</v>
      </c>
    </row>
    <row r="1488" spans="2:11" x14ac:dyDescent="0.15">
      <c r="B1488" s="10" t="s">
        <v>18</v>
      </c>
      <c r="C1488" s="13">
        <v>18</v>
      </c>
      <c r="D1488" s="14">
        <f t="shared" ref="D1488:D1509" si="91">SUM(C1488:C1488)</f>
        <v>18</v>
      </c>
      <c r="E1488" s="12">
        <v>42577</v>
      </c>
      <c r="G1488" s="89" t="s">
        <v>476</v>
      </c>
      <c r="H1488" s="13">
        <v>300</v>
      </c>
      <c r="I1488" s="14">
        <f t="shared" si="90"/>
        <v>300</v>
      </c>
      <c r="J1488" s="12">
        <v>42580</v>
      </c>
    </row>
    <row r="1489" spans="2:10" x14ac:dyDescent="0.15">
      <c r="B1489" s="10" t="s">
        <v>481</v>
      </c>
      <c r="C1489" s="13">
        <v>2</v>
      </c>
      <c r="D1489" s="14">
        <f t="shared" si="91"/>
        <v>2</v>
      </c>
      <c r="E1489" s="12">
        <v>42576</v>
      </c>
      <c r="G1489" s="81" t="s">
        <v>16</v>
      </c>
      <c r="H1489" s="13">
        <v>200</v>
      </c>
      <c r="I1489" s="14">
        <f t="shared" si="90"/>
        <v>200</v>
      </c>
      <c r="J1489" s="12">
        <v>42580</v>
      </c>
    </row>
    <row r="1490" spans="2:10" x14ac:dyDescent="0.15">
      <c r="B1490" s="15" t="s">
        <v>477</v>
      </c>
      <c r="C1490" s="13">
        <v>80</v>
      </c>
      <c r="D1490" s="14">
        <f t="shared" si="91"/>
        <v>80</v>
      </c>
      <c r="E1490" s="12">
        <v>42585</v>
      </c>
      <c r="G1490" s="15" t="s">
        <v>478</v>
      </c>
      <c r="H1490" s="13">
        <v>300</v>
      </c>
      <c r="I1490" s="14">
        <f t="shared" si="90"/>
        <v>300</v>
      </c>
      <c r="J1490" s="12">
        <v>42581</v>
      </c>
    </row>
    <row r="1491" spans="2:10" x14ac:dyDescent="0.15">
      <c r="B1491" s="10" t="s">
        <v>18</v>
      </c>
      <c r="C1491" s="13">
        <v>25</v>
      </c>
      <c r="D1491" s="14">
        <f t="shared" si="91"/>
        <v>25</v>
      </c>
      <c r="E1491" s="12">
        <v>42581</v>
      </c>
      <c r="G1491" s="15" t="s">
        <v>480</v>
      </c>
      <c r="H1491" s="13">
        <v>400</v>
      </c>
      <c r="I1491" s="14">
        <f t="shared" si="90"/>
        <v>400</v>
      </c>
      <c r="J1491" s="12">
        <v>42585</v>
      </c>
    </row>
    <row r="1492" spans="2:10" x14ac:dyDescent="0.15">
      <c r="B1492" s="89" t="s">
        <v>479</v>
      </c>
      <c r="C1492" s="13">
        <v>190</v>
      </c>
      <c r="D1492" s="14">
        <f t="shared" si="91"/>
        <v>190</v>
      </c>
      <c r="E1492" s="12">
        <v>42584</v>
      </c>
      <c r="G1492" s="81" t="s">
        <v>482</v>
      </c>
      <c r="H1492" s="13">
        <v>200</v>
      </c>
      <c r="I1492" s="14">
        <f t="shared" si="90"/>
        <v>200</v>
      </c>
      <c r="J1492" s="12">
        <v>42586</v>
      </c>
    </row>
    <row r="1493" spans="2:10" x14ac:dyDescent="0.15">
      <c r="B1493" s="10" t="s">
        <v>189</v>
      </c>
      <c r="C1493" s="13">
        <v>1</v>
      </c>
      <c r="D1493" s="14">
        <f t="shared" si="91"/>
        <v>1</v>
      </c>
      <c r="E1493" s="12">
        <v>42583</v>
      </c>
      <c r="G1493" s="81" t="s">
        <v>483</v>
      </c>
      <c r="H1493" s="13">
        <v>400</v>
      </c>
      <c r="I1493" s="14">
        <f t="shared" si="90"/>
        <v>400</v>
      </c>
      <c r="J1493" s="12">
        <v>42587</v>
      </c>
    </row>
    <row r="1494" spans="2:10" x14ac:dyDescent="0.15">
      <c r="B1494" s="10" t="s">
        <v>189</v>
      </c>
      <c r="C1494" s="13">
        <v>2</v>
      </c>
      <c r="D1494" s="14">
        <f t="shared" si="91"/>
        <v>2</v>
      </c>
      <c r="E1494" s="12">
        <v>42584</v>
      </c>
      <c r="G1494" s="81" t="s">
        <v>485</v>
      </c>
      <c r="H1494" s="13">
        <v>700</v>
      </c>
      <c r="I1494" s="14">
        <f t="shared" si="90"/>
        <v>700</v>
      </c>
      <c r="J1494" s="12">
        <v>42592</v>
      </c>
    </row>
    <row r="1495" spans="2:10" x14ac:dyDescent="0.15">
      <c r="B1495" s="10" t="s">
        <v>484</v>
      </c>
      <c r="C1495" s="13">
        <v>2</v>
      </c>
      <c r="D1495" s="14">
        <f t="shared" si="91"/>
        <v>2</v>
      </c>
      <c r="E1495" s="12">
        <v>42585</v>
      </c>
      <c r="G1495" s="15"/>
      <c r="H1495" s="13"/>
      <c r="I1495" s="14">
        <f t="shared" si="90"/>
        <v>0</v>
      </c>
      <c r="J1495" s="5"/>
    </row>
    <row r="1496" spans="2:10" x14ac:dyDescent="0.15">
      <c r="B1496" s="10" t="s">
        <v>18</v>
      </c>
      <c r="C1496" s="13">
        <v>14</v>
      </c>
      <c r="D1496" s="14">
        <f t="shared" si="91"/>
        <v>14</v>
      </c>
      <c r="E1496" s="12">
        <v>42587</v>
      </c>
      <c r="G1496" s="15"/>
      <c r="H1496" s="7"/>
      <c r="I1496" s="14">
        <f t="shared" si="90"/>
        <v>0</v>
      </c>
      <c r="J1496" s="12"/>
    </row>
    <row r="1497" spans="2:10" x14ac:dyDescent="0.15">
      <c r="B1497" s="15" t="s">
        <v>488</v>
      </c>
      <c r="C1497" s="13">
        <v>2</v>
      </c>
      <c r="D1497" s="14">
        <f t="shared" si="91"/>
        <v>2</v>
      </c>
      <c r="E1497" s="12">
        <v>42587</v>
      </c>
      <c r="G1497" s="10"/>
      <c r="H1497" s="13"/>
      <c r="I1497" s="14">
        <f t="shared" si="90"/>
        <v>0</v>
      </c>
      <c r="J1497" s="12"/>
    </row>
    <row r="1498" spans="2:10" x14ac:dyDescent="0.15">
      <c r="B1498" s="10" t="s">
        <v>76</v>
      </c>
      <c r="C1498" s="13">
        <v>-33</v>
      </c>
      <c r="D1498" s="14">
        <f t="shared" si="91"/>
        <v>-33</v>
      </c>
      <c r="E1498" s="12">
        <v>42588</v>
      </c>
      <c r="G1498" s="15"/>
      <c r="H1498" s="13"/>
      <c r="I1498" s="14">
        <f t="shared" si="90"/>
        <v>0</v>
      </c>
      <c r="J1498" s="12"/>
    </row>
    <row r="1499" spans="2:10" x14ac:dyDescent="0.15">
      <c r="B1499" s="10" t="s">
        <v>486</v>
      </c>
      <c r="C1499" s="13">
        <v>70</v>
      </c>
      <c r="D1499" s="14">
        <f t="shared" si="91"/>
        <v>70</v>
      </c>
      <c r="E1499" s="12">
        <v>42593</v>
      </c>
      <c r="G1499" s="15"/>
      <c r="H1499" s="13"/>
      <c r="I1499" s="14">
        <f t="shared" si="90"/>
        <v>0</v>
      </c>
      <c r="J1499" s="5"/>
    </row>
    <row r="1500" spans="2:10" x14ac:dyDescent="0.15">
      <c r="B1500" s="10" t="s">
        <v>487</v>
      </c>
      <c r="C1500" s="13">
        <v>36</v>
      </c>
      <c r="D1500" s="14">
        <f t="shared" si="91"/>
        <v>36</v>
      </c>
      <c r="E1500" s="12">
        <v>42593</v>
      </c>
      <c r="G1500" s="15"/>
      <c r="H1500" s="7"/>
      <c r="I1500" s="14">
        <f t="shared" si="90"/>
        <v>0</v>
      </c>
      <c r="J1500" s="12"/>
    </row>
    <row r="1501" spans="2:10" x14ac:dyDescent="0.15">
      <c r="B1501" s="10" t="s">
        <v>189</v>
      </c>
      <c r="C1501" s="13">
        <v>1</v>
      </c>
      <c r="D1501" s="14">
        <f t="shared" si="91"/>
        <v>1</v>
      </c>
      <c r="E1501" s="12">
        <v>42592</v>
      </c>
      <c r="G1501" s="15"/>
      <c r="H1501" s="13"/>
      <c r="I1501" s="14">
        <f t="shared" si="90"/>
        <v>0</v>
      </c>
      <c r="J1501" s="5"/>
    </row>
    <row r="1502" spans="2:10" x14ac:dyDescent="0.15">
      <c r="B1502" s="10" t="s">
        <v>18</v>
      </c>
      <c r="C1502" s="13">
        <v>26</v>
      </c>
      <c r="D1502" s="14">
        <f t="shared" si="91"/>
        <v>26</v>
      </c>
      <c r="E1502" s="12">
        <v>42599</v>
      </c>
      <c r="G1502" s="15"/>
      <c r="H1502" s="13"/>
      <c r="I1502" s="14">
        <f t="shared" si="90"/>
        <v>0</v>
      </c>
      <c r="J1502" s="12"/>
    </row>
    <row r="1503" spans="2:10" x14ac:dyDescent="0.15">
      <c r="B1503" s="10" t="s">
        <v>189</v>
      </c>
      <c r="C1503" s="13">
        <v>10</v>
      </c>
      <c r="D1503" s="14">
        <f t="shared" si="91"/>
        <v>10</v>
      </c>
      <c r="E1503" s="12">
        <v>42598</v>
      </c>
      <c r="G1503" s="15"/>
      <c r="H1503" s="7"/>
      <c r="I1503" s="14">
        <f t="shared" si="90"/>
        <v>0</v>
      </c>
      <c r="J1503" s="12"/>
    </row>
    <row r="1504" spans="2:10" x14ac:dyDescent="0.15">
      <c r="B1504" s="10" t="s">
        <v>490</v>
      </c>
      <c r="C1504" s="13">
        <v>11</v>
      </c>
      <c r="D1504" s="14">
        <f t="shared" si="91"/>
        <v>11</v>
      </c>
      <c r="E1504" s="5">
        <v>42604</v>
      </c>
      <c r="G1504" s="10"/>
      <c r="H1504" s="13"/>
      <c r="I1504" s="14">
        <f t="shared" si="90"/>
        <v>0</v>
      </c>
      <c r="J1504" s="12"/>
    </row>
    <row r="1505" spans="2:11" x14ac:dyDescent="0.15">
      <c r="B1505" s="10" t="s">
        <v>18</v>
      </c>
      <c r="C1505" s="13">
        <v>19</v>
      </c>
      <c r="D1505" s="14">
        <f t="shared" si="91"/>
        <v>19</v>
      </c>
      <c r="E1505" s="5">
        <v>42606</v>
      </c>
      <c r="G1505" s="15"/>
      <c r="H1505" s="7"/>
      <c r="I1505" s="14">
        <f t="shared" si="90"/>
        <v>0</v>
      </c>
      <c r="J1505" s="12"/>
    </row>
    <row r="1506" spans="2:11" x14ac:dyDescent="0.15">
      <c r="B1506" s="10" t="s">
        <v>489</v>
      </c>
      <c r="C1506" s="13">
        <v>-3</v>
      </c>
      <c r="D1506" s="14">
        <f t="shared" si="91"/>
        <v>-3</v>
      </c>
      <c r="E1506" s="5">
        <v>42605</v>
      </c>
      <c r="G1506" s="15"/>
      <c r="H1506" s="13"/>
      <c r="I1506" s="14">
        <f>SUM(H1506:H1506)</f>
        <v>0</v>
      </c>
      <c r="J1506" s="12"/>
    </row>
    <row r="1507" spans="2:11" x14ac:dyDescent="0.15">
      <c r="B1507" s="10" t="s">
        <v>18</v>
      </c>
      <c r="C1507" s="13">
        <v>46</v>
      </c>
      <c r="D1507" s="14">
        <f t="shared" si="91"/>
        <v>46</v>
      </c>
      <c r="E1507" s="5">
        <v>42608</v>
      </c>
      <c r="G1507" s="15"/>
      <c r="H1507" s="7"/>
      <c r="I1507" s="14">
        <f t="shared" si="90"/>
        <v>0</v>
      </c>
      <c r="J1507" s="12"/>
    </row>
    <row r="1508" spans="2:11" ht="14.25" thickBot="1" x14ac:dyDescent="0.2">
      <c r="B1508" s="10" t="s">
        <v>18</v>
      </c>
      <c r="C1508" s="13">
        <v>52</v>
      </c>
      <c r="D1508" s="11">
        <f t="shared" si="91"/>
        <v>52</v>
      </c>
      <c r="E1508" s="12">
        <v>42611</v>
      </c>
      <c r="G1508" s="15"/>
      <c r="H1508" s="7"/>
      <c r="I1508" s="14">
        <f t="shared" si="90"/>
        <v>0</v>
      </c>
      <c r="J1508" s="74"/>
    </row>
    <row r="1509" spans="2:11" ht="14.25" thickBot="1" x14ac:dyDescent="0.2">
      <c r="B1509" s="17" t="s">
        <v>2</v>
      </c>
      <c r="C1509" s="18">
        <f>SUM(C1485:C1508)</f>
        <v>606</v>
      </c>
      <c r="D1509" s="19">
        <f t="shared" si="91"/>
        <v>606</v>
      </c>
      <c r="E1509" s="20"/>
      <c r="G1509" s="17" t="s">
        <v>2</v>
      </c>
      <c r="H1509" s="18">
        <f>SUM(H1485:H1508)</f>
        <v>3086</v>
      </c>
      <c r="I1509" s="19">
        <f t="shared" si="90"/>
        <v>3086</v>
      </c>
      <c r="J1509" s="20"/>
    </row>
    <row r="1510" spans="2:11" ht="14.25" thickBot="1" x14ac:dyDescent="0.2">
      <c r="B1510" s="46" t="s">
        <v>3</v>
      </c>
      <c r="C1510" s="52">
        <f>C1484-C1509</f>
        <v>147</v>
      </c>
      <c r="D1510" s="48">
        <f>D1484-D1509</f>
        <v>147</v>
      </c>
      <c r="E1510" s="49"/>
      <c r="G1510" s="46" t="s">
        <v>3</v>
      </c>
      <c r="H1510" s="52">
        <f>H1484-H1509</f>
        <v>2336</v>
      </c>
      <c r="I1510" s="48">
        <f>I1484-I1509</f>
        <v>2336</v>
      </c>
      <c r="J1510" s="49"/>
    </row>
    <row r="1513" spans="2:11" ht="18.75" x14ac:dyDescent="0.2">
      <c r="B1513" s="26" t="s">
        <v>7</v>
      </c>
      <c r="G1513" s="26" t="s">
        <v>35</v>
      </c>
    </row>
    <row r="1514" spans="2:11" ht="14.25" thickBot="1" x14ac:dyDescent="0.2"/>
    <row r="1515" spans="2:11" ht="14.25" thickBot="1" x14ac:dyDescent="0.2">
      <c r="B1515" s="1"/>
      <c r="C1515" s="2"/>
      <c r="D1515" s="3" t="s">
        <v>0</v>
      </c>
      <c r="E1515" s="1" t="s">
        <v>4</v>
      </c>
      <c r="G1515" s="1"/>
      <c r="H1515" s="2"/>
      <c r="I1515" s="3" t="s">
        <v>0</v>
      </c>
      <c r="J1515" s="1" t="s">
        <v>4</v>
      </c>
      <c r="K1515" s="25" t="s">
        <v>503</v>
      </c>
    </row>
    <row r="1516" spans="2:11" x14ac:dyDescent="0.15">
      <c r="B1516" s="42" t="s">
        <v>5</v>
      </c>
      <c r="C1516" s="43">
        <f>C1510</f>
        <v>147</v>
      </c>
      <c r="D1516" s="44">
        <f>SUM(C1516:C1516)</f>
        <v>147</v>
      </c>
      <c r="E1516" s="45"/>
      <c r="G1516" s="42" t="s">
        <v>5</v>
      </c>
      <c r="H1516" s="43">
        <f>H1510</f>
        <v>2336</v>
      </c>
      <c r="I1516" s="44">
        <f>SUM(H1516:H1516)</f>
        <v>2336</v>
      </c>
      <c r="J1516" s="45"/>
      <c r="K1516" t="s">
        <v>501</v>
      </c>
    </row>
    <row r="1517" spans="2:11" x14ac:dyDescent="0.15">
      <c r="B1517" s="6" t="s">
        <v>6</v>
      </c>
      <c r="C1517" s="13">
        <v>336</v>
      </c>
      <c r="D1517" s="14">
        <f>SUM(C1517:C1517)</f>
        <v>336</v>
      </c>
      <c r="E1517" s="12">
        <v>42615</v>
      </c>
      <c r="G1517" s="6" t="s">
        <v>6</v>
      </c>
      <c r="H1517" s="13"/>
      <c r="I1517" s="14">
        <f>SUM(H1517:H1517)</f>
        <v>0</v>
      </c>
      <c r="J1517" s="5"/>
      <c r="K1517" t="s">
        <v>502</v>
      </c>
    </row>
    <row r="1518" spans="2:11" x14ac:dyDescent="0.15">
      <c r="B1518" s="6" t="s">
        <v>76</v>
      </c>
      <c r="C1518" s="7">
        <v>70</v>
      </c>
      <c r="D1518" s="8">
        <f>SUM(C1518:C1518)</f>
        <v>70</v>
      </c>
      <c r="E1518" s="9">
        <v>42619</v>
      </c>
      <c r="G1518" s="6" t="s">
        <v>6</v>
      </c>
      <c r="H1518" s="13"/>
      <c r="I1518" s="14">
        <f>SUM(H1518:H1518)</f>
        <v>0</v>
      </c>
      <c r="J1518" s="5"/>
    </row>
    <row r="1519" spans="2:11" ht="14.25" thickBot="1" x14ac:dyDescent="0.2">
      <c r="B1519" s="6" t="s">
        <v>76</v>
      </c>
      <c r="C1519" s="7">
        <v>73</v>
      </c>
      <c r="D1519" s="14">
        <f>SUM(C1519:C1519)</f>
        <v>73</v>
      </c>
      <c r="E1519" s="16">
        <v>42657</v>
      </c>
      <c r="G1519" s="6" t="s">
        <v>6</v>
      </c>
      <c r="H1519" s="88"/>
      <c r="I1519" s="11">
        <f>SUM(H1519:H1519)</f>
        <v>0</v>
      </c>
      <c r="J1519" s="85"/>
    </row>
    <row r="1520" spans="2:11" ht="14.25" thickBot="1" x14ac:dyDescent="0.2">
      <c r="B1520" s="46" t="s">
        <v>1</v>
      </c>
      <c r="C1520" s="48">
        <f>SUM(C1516:C1519)</f>
        <v>626</v>
      </c>
      <c r="D1520" s="48">
        <f>SUM(D1516:D1519)</f>
        <v>626</v>
      </c>
      <c r="E1520" s="49"/>
      <c r="G1520" s="46" t="s">
        <v>1</v>
      </c>
      <c r="H1520" s="47">
        <f>SUM(H1516:H1519)</f>
        <v>2336</v>
      </c>
      <c r="I1520" s="48">
        <f>SUM(I1516:I1519)</f>
        <v>2336</v>
      </c>
      <c r="J1520" s="49"/>
    </row>
    <row r="1521" spans="2:10" x14ac:dyDescent="0.15">
      <c r="B1521" s="10" t="s">
        <v>189</v>
      </c>
      <c r="C1521" s="77">
        <v>1</v>
      </c>
      <c r="D1521" s="11">
        <f>SUM(C1521:C1521)</f>
        <v>1</v>
      </c>
      <c r="E1521" s="12">
        <v>42612</v>
      </c>
      <c r="G1521" s="81" t="s">
        <v>12</v>
      </c>
      <c r="H1521" s="13">
        <v>336</v>
      </c>
      <c r="I1521" s="11">
        <f>SUM(H1521:H1521)</f>
        <v>336</v>
      </c>
      <c r="J1521" s="12">
        <v>42615</v>
      </c>
    </row>
    <row r="1522" spans="2:10" x14ac:dyDescent="0.15">
      <c r="B1522" s="10" t="s">
        <v>493</v>
      </c>
      <c r="C1522" s="13">
        <v>10</v>
      </c>
      <c r="D1522" s="14">
        <f>SUM(C1522:C1522)</f>
        <v>10</v>
      </c>
      <c r="E1522" s="12">
        <v>42612</v>
      </c>
      <c r="G1522" s="81"/>
      <c r="H1522" s="13"/>
      <c r="I1522" s="14">
        <f>SUM(H1522:H1522)</f>
        <v>0</v>
      </c>
      <c r="J1522" s="12"/>
    </row>
    <row r="1523" spans="2:10" x14ac:dyDescent="0.15">
      <c r="B1523" s="10" t="s">
        <v>491</v>
      </c>
      <c r="C1523" s="13">
        <v>33</v>
      </c>
      <c r="D1523" s="14">
        <f>SUM(C1523:C1523)</f>
        <v>33</v>
      </c>
      <c r="E1523" s="12">
        <v>42616</v>
      </c>
      <c r="G1523" s="15"/>
      <c r="H1523" s="13"/>
      <c r="I1523" s="14">
        <f t="shared" ref="I1523:I1545" si="92">SUM(H1523:H1523)</f>
        <v>0</v>
      </c>
      <c r="J1523" s="12"/>
    </row>
    <row r="1524" spans="2:10" x14ac:dyDescent="0.15">
      <c r="B1524" s="10" t="s">
        <v>18</v>
      </c>
      <c r="C1524" s="13">
        <v>20</v>
      </c>
      <c r="D1524" s="14">
        <f t="shared" ref="D1524:D1545" si="93">SUM(C1524:C1524)</f>
        <v>20</v>
      </c>
      <c r="E1524" s="12">
        <v>42621</v>
      </c>
      <c r="G1524" s="15"/>
      <c r="H1524" s="13"/>
      <c r="I1524" s="14">
        <f t="shared" si="92"/>
        <v>0</v>
      </c>
      <c r="J1524" s="12"/>
    </row>
    <row r="1525" spans="2:10" x14ac:dyDescent="0.15">
      <c r="B1525" s="10" t="s">
        <v>18</v>
      </c>
      <c r="C1525" s="13">
        <v>30</v>
      </c>
      <c r="D1525" s="14">
        <f t="shared" si="93"/>
        <v>30</v>
      </c>
      <c r="E1525" s="12">
        <v>42625</v>
      </c>
      <c r="G1525" s="15"/>
      <c r="H1525" s="13"/>
      <c r="I1525" s="14">
        <f t="shared" si="92"/>
        <v>0</v>
      </c>
      <c r="J1525" s="12"/>
    </row>
    <row r="1526" spans="2:10" x14ac:dyDescent="0.15">
      <c r="B1526" s="10" t="s">
        <v>489</v>
      </c>
      <c r="C1526" s="13">
        <v>-1</v>
      </c>
      <c r="D1526" s="14">
        <f t="shared" si="93"/>
        <v>-1</v>
      </c>
      <c r="E1526" s="12">
        <v>42625</v>
      </c>
      <c r="G1526" s="78"/>
      <c r="H1526" s="13"/>
      <c r="I1526" s="14">
        <f t="shared" si="92"/>
        <v>0</v>
      </c>
      <c r="J1526" s="12"/>
    </row>
    <row r="1527" spans="2:10" x14ac:dyDescent="0.15">
      <c r="B1527" s="10" t="s">
        <v>189</v>
      </c>
      <c r="C1527" s="13">
        <v>10</v>
      </c>
      <c r="D1527" s="14">
        <f t="shared" si="93"/>
        <v>10</v>
      </c>
      <c r="E1527" s="12">
        <v>42625</v>
      </c>
      <c r="G1527" s="78"/>
      <c r="H1527" s="13"/>
      <c r="I1527" s="14">
        <f t="shared" si="92"/>
        <v>0</v>
      </c>
      <c r="J1527" s="12"/>
    </row>
    <row r="1528" spans="2:10" x14ac:dyDescent="0.15">
      <c r="B1528" s="10" t="s">
        <v>492</v>
      </c>
      <c r="C1528" s="13">
        <v>1</v>
      </c>
      <c r="D1528" s="14">
        <f t="shared" si="93"/>
        <v>1</v>
      </c>
      <c r="E1528" s="12">
        <v>42634</v>
      </c>
      <c r="G1528" s="78"/>
      <c r="H1528" s="13"/>
      <c r="I1528" s="14">
        <f t="shared" si="92"/>
        <v>0</v>
      </c>
      <c r="J1528" s="12"/>
    </row>
    <row r="1529" spans="2:10" x14ac:dyDescent="0.15">
      <c r="B1529" s="10" t="s">
        <v>18</v>
      </c>
      <c r="C1529" s="13">
        <v>17</v>
      </c>
      <c r="D1529" s="14">
        <f t="shared" si="93"/>
        <v>17</v>
      </c>
      <c r="E1529" s="12">
        <v>42634</v>
      </c>
      <c r="G1529" s="10"/>
      <c r="H1529" s="13"/>
      <c r="I1529" s="14">
        <f t="shared" si="92"/>
        <v>0</v>
      </c>
      <c r="J1529" s="12"/>
    </row>
    <row r="1530" spans="2:10" x14ac:dyDescent="0.15">
      <c r="B1530" s="10" t="s">
        <v>494</v>
      </c>
      <c r="C1530" s="13">
        <v>12</v>
      </c>
      <c r="D1530" s="14">
        <f t="shared" si="93"/>
        <v>12</v>
      </c>
      <c r="E1530" s="12">
        <v>42633</v>
      </c>
      <c r="G1530" s="78"/>
      <c r="H1530" s="13"/>
      <c r="I1530" s="14">
        <f t="shared" si="92"/>
        <v>0</v>
      </c>
      <c r="J1530" s="12"/>
    </row>
    <row r="1531" spans="2:10" x14ac:dyDescent="0.15">
      <c r="B1531" s="10" t="s">
        <v>18</v>
      </c>
      <c r="C1531" s="13">
        <v>17</v>
      </c>
      <c r="D1531" s="14">
        <f t="shared" si="93"/>
        <v>17</v>
      </c>
      <c r="E1531" s="12">
        <v>42637</v>
      </c>
      <c r="G1531" s="15"/>
      <c r="H1531" s="13"/>
      <c r="I1531" s="14">
        <f t="shared" si="92"/>
        <v>0</v>
      </c>
      <c r="J1531" s="5"/>
    </row>
    <row r="1532" spans="2:10" x14ac:dyDescent="0.15">
      <c r="B1532" s="10" t="s">
        <v>18</v>
      </c>
      <c r="C1532" s="13">
        <v>9</v>
      </c>
      <c r="D1532" s="14">
        <f t="shared" si="93"/>
        <v>9</v>
      </c>
      <c r="E1532" s="12">
        <v>42641</v>
      </c>
      <c r="G1532" s="15"/>
      <c r="H1532" s="7"/>
      <c r="I1532" s="14">
        <f t="shared" si="92"/>
        <v>0</v>
      </c>
      <c r="J1532" s="12"/>
    </row>
    <row r="1533" spans="2:10" x14ac:dyDescent="0.15">
      <c r="B1533" s="15" t="s">
        <v>189</v>
      </c>
      <c r="C1533" s="13">
        <v>2</v>
      </c>
      <c r="D1533" s="14">
        <f t="shared" si="93"/>
        <v>2</v>
      </c>
      <c r="E1533" s="12">
        <v>42642</v>
      </c>
      <c r="G1533" s="10"/>
      <c r="H1533" s="13"/>
      <c r="I1533" s="14">
        <f t="shared" si="92"/>
        <v>0</v>
      </c>
      <c r="J1533" s="12"/>
    </row>
    <row r="1534" spans="2:10" x14ac:dyDescent="0.15">
      <c r="B1534" s="15" t="s">
        <v>189</v>
      </c>
      <c r="C1534" s="13">
        <v>1</v>
      </c>
      <c r="D1534" s="14">
        <f t="shared" si="93"/>
        <v>1</v>
      </c>
      <c r="E1534" s="12">
        <v>42647</v>
      </c>
      <c r="G1534" s="15"/>
      <c r="H1534" s="13"/>
      <c r="I1534" s="14">
        <f t="shared" si="92"/>
        <v>0</v>
      </c>
      <c r="J1534" s="12"/>
    </row>
    <row r="1535" spans="2:10" x14ac:dyDescent="0.15">
      <c r="B1535" s="15" t="s">
        <v>495</v>
      </c>
      <c r="C1535" s="13">
        <v>10</v>
      </c>
      <c r="D1535" s="14">
        <f>SUM(C1535:C1535)</f>
        <v>10</v>
      </c>
      <c r="E1535" s="12">
        <v>42648</v>
      </c>
      <c r="G1535" s="15"/>
      <c r="H1535" s="13"/>
      <c r="I1535" s="14">
        <f t="shared" si="92"/>
        <v>0</v>
      </c>
      <c r="J1535" s="5"/>
    </row>
    <row r="1536" spans="2:10" x14ac:dyDescent="0.15">
      <c r="B1536" s="10" t="s">
        <v>18</v>
      </c>
      <c r="C1536" s="13">
        <v>11</v>
      </c>
      <c r="D1536" s="14">
        <f t="shared" si="93"/>
        <v>11</v>
      </c>
      <c r="E1536" s="12">
        <v>42654</v>
      </c>
      <c r="G1536" s="15"/>
      <c r="H1536" s="7"/>
      <c r="I1536" s="14">
        <f t="shared" si="92"/>
        <v>0</v>
      </c>
      <c r="J1536" s="12"/>
    </row>
    <row r="1537" spans="2:10" x14ac:dyDescent="0.15">
      <c r="B1537" s="10" t="s">
        <v>18</v>
      </c>
      <c r="C1537" s="13">
        <v>6</v>
      </c>
      <c r="D1537" s="14">
        <f t="shared" si="93"/>
        <v>6</v>
      </c>
      <c r="E1537" s="12">
        <v>42656</v>
      </c>
      <c r="G1537" s="15"/>
      <c r="H1537" s="13"/>
      <c r="I1537" s="14">
        <f t="shared" si="92"/>
        <v>0</v>
      </c>
      <c r="J1537" s="5"/>
    </row>
    <row r="1538" spans="2:10" x14ac:dyDescent="0.15">
      <c r="B1538" s="10" t="s">
        <v>18</v>
      </c>
      <c r="C1538" s="13">
        <v>5</v>
      </c>
      <c r="D1538" s="14">
        <f t="shared" si="93"/>
        <v>5</v>
      </c>
      <c r="E1538" s="12">
        <v>42662</v>
      </c>
      <c r="G1538" s="15"/>
      <c r="H1538" s="13"/>
      <c r="I1538" s="14">
        <f t="shared" si="92"/>
        <v>0</v>
      </c>
      <c r="J1538" s="12"/>
    </row>
    <row r="1539" spans="2:10" x14ac:dyDescent="0.15">
      <c r="B1539" s="10" t="s">
        <v>189</v>
      </c>
      <c r="C1539" s="13">
        <v>1</v>
      </c>
      <c r="D1539" s="14">
        <f t="shared" si="93"/>
        <v>1</v>
      </c>
      <c r="E1539" s="12">
        <v>42660</v>
      </c>
      <c r="G1539" s="15"/>
      <c r="H1539" s="13"/>
      <c r="I1539" s="14">
        <f t="shared" si="92"/>
        <v>0</v>
      </c>
      <c r="J1539" s="12"/>
    </row>
    <row r="1540" spans="2:10" x14ac:dyDescent="0.15">
      <c r="B1540" s="15" t="s">
        <v>73</v>
      </c>
      <c r="C1540" s="13">
        <v>20</v>
      </c>
      <c r="D1540" s="14">
        <f t="shared" si="93"/>
        <v>20</v>
      </c>
      <c r="E1540" s="5">
        <v>42662</v>
      </c>
      <c r="G1540" s="15"/>
      <c r="H1540" s="13"/>
      <c r="I1540" s="14">
        <f t="shared" si="92"/>
        <v>0</v>
      </c>
      <c r="J1540" s="12"/>
    </row>
    <row r="1541" spans="2:10" x14ac:dyDescent="0.15">
      <c r="B1541" s="10" t="s">
        <v>18</v>
      </c>
      <c r="C1541" s="13">
        <v>1</v>
      </c>
      <c r="D1541" s="14">
        <f t="shared" si="93"/>
        <v>1</v>
      </c>
      <c r="E1541" s="5">
        <v>42663</v>
      </c>
      <c r="G1541" s="15"/>
      <c r="H1541" s="7"/>
      <c r="I1541" s="14">
        <f t="shared" si="92"/>
        <v>0</v>
      </c>
      <c r="J1541" s="12"/>
    </row>
    <row r="1542" spans="2:10" x14ac:dyDescent="0.15">
      <c r="B1542" s="10" t="s">
        <v>18</v>
      </c>
      <c r="C1542" s="13">
        <v>1</v>
      </c>
      <c r="D1542" s="14">
        <f t="shared" si="93"/>
        <v>1</v>
      </c>
      <c r="E1542" s="5">
        <v>42665</v>
      </c>
      <c r="G1542" s="15"/>
      <c r="H1542" s="7"/>
      <c r="I1542" s="14">
        <f t="shared" si="92"/>
        <v>0</v>
      </c>
      <c r="J1542" s="12"/>
    </row>
    <row r="1543" spans="2:10" x14ac:dyDescent="0.15">
      <c r="B1543" s="10" t="s">
        <v>18</v>
      </c>
      <c r="C1543" s="13">
        <v>7</v>
      </c>
      <c r="D1543" s="14">
        <f t="shared" si="93"/>
        <v>7</v>
      </c>
      <c r="E1543" s="5">
        <v>42668</v>
      </c>
      <c r="G1543" s="15"/>
      <c r="H1543" s="7"/>
      <c r="I1543" s="14">
        <f t="shared" si="92"/>
        <v>0</v>
      </c>
      <c r="J1543" s="12"/>
    </row>
    <row r="1544" spans="2:10" ht="14.25" thickBot="1" x14ac:dyDescent="0.2">
      <c r="B1544" s="10" t="s">
        <v>18</v>
      </c>
      <c r="C1544" s="13">
        <v>6</v>
      </c>
      <c r="D1544" s="11">
        <f t="shared" si="93"/>
        <v>6</v>
      </c>
      <c r="E1544" s="12">
        <v>42670</v>
      </c>
      <c r="G1544" s="15"/>
      <c r="H1544" s="7"/>
      <c r="I1544" s="14">
        <f t="shared" si="92"/>
        <v>0</v>
      </c>
      <c r="J1544" s="161"/>
    </row>
    <row r="1545" spans="2:10" ht="14.25" thickBot="1" x14ac:dyDescent="0.2">
      <c r="B1545" s="17" t="s">
        <v>2</v>
      </c>
      <c r="C1545" s="18">
        <f>SUM(C1521:C1544)</f>
        <v>230</v>
      </c>
      <c r="D1545" s="19">
        <f t="shared" si="93"/>
        <v>230</v>
      </c>
      <c r="E1545" s="20"/>
      <c r="G1545" s="17" t="s">
        <v>2</v>
      </c>
      <c r="H1545" s="18">
        <f>SUM(H1521:H1544)</f>
        <v>336</v>
      </c>
      <c r="I1545" s="19">
        <f t="shared" si="92"/>
        <v>336</v>
      </c>
      <c r="J1545" s="20"/>
    </row>
    <row r="1546" spans="2:10" ht="14.25" thickBot="1" x14ac:dyDescent="0.2">
      <c r="B1546" s="46" t="s">
        <v>3</v>
      </c>
      <c r="C1546" s="52">
        <f>C1520-C1545</f>
        <v>396</v>
      </c>
      <c r="D1546" s="48">
        <f>D1520-D1545</f>
        <v>396</v>
      </c>
      <c r="E1546" s="49"/>
      <c r="G1546" s="46" t="s">
        <v>3</v>
      </c>
      <c r="H1546" s="52">
        <f>H1520-H1545</f>
        <v>2000</v>
      </c>
      <c r="I1546" s="48">
        <f>I1520-I1545</f>
        <v>2000</v>
      </c>
      <c r="J1546" s="49"/>
    </row>
    <row r="1549" spans="2:10" ht="18.75" x14ac:dyDescent="0.2">
      <c r="B1549" s="26" t="s">
        <v>7</v>
      </c>
      <c r="G1549" s="26" t="s">
        <v>35</v>
      </c>
    </row>
    <row r="1550" spans="2:10" ht="14.25" thickBot="1" x14ac:dyDescent="0.2"/>
    <row r="1551" spans="2:10" ht="14.25" thickBot="1" x14ac:dyDescent="0.2">
      <c r="B1551" s="1"/>
      <c r="C1551" s="2"/>
      <c r="D1551" s="3" t="s">
        <v>0</v>
      </c>
      <c r="E1551" s="1" t="s">
        <v>4</v>
      </c>
      <c r="G1551" s="1"/>
      <c r="H1551" s="2"/>
      <c r="I1551" s="3" t="s">
        <v>0</v>
      </c>
      <c r="J1551" s="1" t="s">
        <v>4</v>
      </c>
    </row>
    <row r="1552" spans="2:10" x14ac:dyDescent="0.15">
      <c r="B1552" s="42" t="s">
        <v>5</v>
      </c>
      <c r="C1552" s="43">
        <f>C1546</f>
        <v>396</v>
      </c>
      <c r="D1552" s="44">
        <f>SUM(C1552:C1552)</f>
        <v>396</v>
      </c>
      <c r="E1552" s="45"/>
      <c r="G1552" s="42" t="s">
        <v>5</v>
      </c>
      <c r="H1552" s="43">
        <f>H1546</f>
        <v>2000</v>
      </c>
      <c r="I1552" s="44">
        <f>SUM(H1552:H1552)</f>
        <v>2000</v>
      </c>
      <c r="J1552" s="45"/>
    </row>
    <row r="1553" spans="2:10" x14ac:dyDescent="0.15">
      <c r="B1553" s="6" t="s">
        <v>105</v>
      </c>
      <c r="C1553" s="13">
        <v>2</v>
      </c>
      <c r="D1553" s="14">
        <f>SUM(C1553:C1553)</f>
        <v>2</v>
      </c>
      <c r="E1553" s="12">
        <v>42683</v>
      </c>
      <c r="G1553" s="6" t="s">
        <v>6</v>
      </c>
      <c r="H1553" s="13"/>
      <c r="I1553" s="14">
        <f>SUM(H1553:H1553)</f>
        <v>0</v>
      </c>
      <c r="J1553" s="5"/>
    </row>
    <row r="1554" spans="2:10" x14ac:dyDescent="0.15">
      <c r="B1554" s="6" t="s">
        <v>76</v>
      </c>
      <c r="C1554" s="7">
        <v>4</v>
      </c>
      <c r="D1554" s="8">
        <f>SUM(C1554:C1554)</f>
        <v>4</v>
      </c>
      <c r="E1554" s="9">
        <v>42684</v>
      </c>
      <c r="G1554" s="6" t="s">
        <v>6</v>
      </c>
      <c r="H1554" s="13"/>
      <c r="I1554" s="14">
        <f>SUM(H1554:H1554)</f>
        <v>0</v>
      </c>
      <c r="J1554" s="5"/>
    </row>
    <row r="1555" spans="2:10" ht="14.25" thickBot="1" x14ac:dyDescent="0.2">
      <c r="B1555" s="6" t="s">
        <v>6</v>
      </c>
      <c r="C1555" s="7"/>
      <c r="D1555" s="14">
        <f>SUM(C1555:C1555)</f>
        <v>0</v>
      </c>
      <c r="E1555" s="16"/>
      <c r="G1555" s="6" t="s">
        <v>6</v>
      </c>
      <c r="H1555" s="88"/>
      <c r="I1555" s="11">
        <f>SUM(H1555:H1555)</f>
        <v>0</v>
      </c>
      <c r="J1555" s="85"/>
    </row>
    <row r="1556" spans="2:10" ht="14.25" thickBot="1" x14ac:dyDescent="0.2">
      <c r="B1556" s="46" t="s">
        <v>1</v>
      </c>
      <c r="C1556" s="48">
        <f>SUM(C1552:C1555)</f>
        <v>402</v>
      </c>
      <c r="D1556" s="48">
        <f>SUM(D1552:D1555)</f>
        <v>402</v>
      </c>
      <c r="E1556" s="49"/>
      <c r="G1556" s="46" t="s">
        <v>1</v>
      </c>
      <c r="H1556" s="47">
        <f>SUM(H1552:H1555)</f>
        <v>2000</v>
      </c>
      <c r="I1556" s="48">
        <f>SUM(I1552:I1555)</f>
        <v>2000</v>
      </c>
      <c r="J1556" s="49"/>
    </row>
    <row r="1557" spans="2:10" x14ac:dyDescent="0.15">
      <c r="B1557" s="10" t="s">
        <v>18</v>
      </c>
      <c r="C1557" s="77">
        <v>5</v>
      </c>
      <c r="D1557" s="11">
        <f>SUM(C1557:C1557)</f>
        <v>5</v>
      </c>
      <c r="E1557" s="12">
        <v>42672</v>
      </c>
      <c r="G1557" s="81"/>
      <c r="H1557" s="13"/>
      <c r="I1557" s="11">
        <f>SUM(H1557:H1557)</f>
        <v>0</v>
      </c>
      <c r="J1557" s="12"/>
    </row>
    <row r="1558" spans="2:10" x14ac:dyDescent="0.15">
      <c r="B1558" s="10" t="s">
        <v>18</v>
      </c>
      <c r="C1558" s="13">
        <v>5</v>
      </c>
      <c r="D1558" s="14">
        <f>SUM(C1558:C1558)</f>
        <v>5</v>
      </c>
      <c r="E1558" s="12">
        <v>42675</v>
      </c>
      <c r="G1558" s="81"/>
      <c r="H1558" s="13"/>
      <c r="I1558" s="14">
        <f>SUM(H1558:H1558)</f>
        <v>0</v>
      </c>
      <c r="J1558" s="12"/>
    </row>
    <row r="1559" spans="2:10" x14ac:dyDescent="0.15">
      <c r="B1559" s="10" t="s">
        <v>18</v>
      </c>
      <c r="C1559" s="13">
        <v>5</v>
      </c>
      <c r="D1559" s="14">
        <f>SUM(C1559:C1559)</f>
        <v>5</v>
      </c>
      <c r="E1559" s="12">
        <v>42678</v>
      </c>
      <c r="G1559" s="15"/>
      <c r="H1559" s="13"/>
      <c r="I1559" s="14">
        <f t="shared" ref="I1559:I1581" si="94">SUM(H1559:H1559)</f>
        <v>0</v>
      </c>
      <c r="J1559" s="12"/>
    </row>
    <row r="1560" spans="2:10" x14ac:dyDescent="0.15">
      <c r="B1560" s="10" t="s">
        <v>18</v>
      </c>
      <c r="C1560" s="13">
        <v>8</v>
      </c>
      <c r="D1560" s="14">
        <f t="shared" ref="D1560:D1570" si="95">SUM(C1560:C1560)</f>
        <v>8</v>
      </c>
      <c r="E1560" s="12">
        <v>42679</v>
      </c>
      <c r="G1560" s="15"/>
      <c r="H1560" s="13"/>
      <c r="I1560" s="14">
        <f t="shared" si="94"/>
        <v>0</v>
      </c>
      <c r="J1560" s="12"/>
    </row>
    <row r="1561" spans="2:10" x14ac:dyDescent="0.15">
      <c r="B1561" s="10" t="s">
        <v>18</v>
      </c>
      <c r="C1561" s="13">
        <v>3</v>
      </c>
      <c r="D1561" s="14">
        <f t="shared" si="95"/>
        <v>3</v>
      </c>
      <c r="E1561" s="12">
        <v>42682</v>
      </c>
      <c r="G1561" s="15"/>
      <c r="H1561" s="13"/>
      <c r="I1561" s="14">
        <f t="shared" si="94"/>
        <v>0</v>
      </c>
      <c r="J1561" s="12"/>
    </row>
    <row r="1562" spans="2:10" x14ac:dyDescent="0.15">
      <c r="B1562" s="10" t="s">
        <v>18</v>
      </c>
      <c r="C1562" s="13">
        <v>3</v>
      </c>
      <c r="D1562" s="14">
        <f t="shared" si="95"/>
        <v>3</v>
      </c>
      <c r="E1562" s="12">
        <v>42686</v>
      </c>
      <c r="G1562" s="78"/>
      <c r="H1562" s="13"/>
      <c r="I1562" s="14">
        <f t="shared" si="94"/>
        <v>0</v>
      </c>
      <c r="J1562" s="12"/>
    </row>
    <row r="1563" spans="2:10" x14ac:dyDescent="0.15">
      <c r="B1563" s="10" t="s">
        <v>189</v>
      </c>
      <c r="C1563" s="13">
        <v>3</v>
      </c>
      <c r="D1563" s="14">
        <f t="shared" si="95"/>
        <v>3</v>
      </c>
      <c r="E1563" s="12">
        <v>42685</v>
      </c>
      <c r="G1563" s="78"/>
      <c r="H1563" s="13"/>
      <c r="I1563" s="14">
        <f t="shared" si="94"/>
        <v>0</v>
      </c>
      <c r="J1563" s="12"/>
    </row>
    <row r="1564" spans="2:10" x14ac:dyDescent="0.15">
      <c r="B1564" s="10" t="s">
        <v>496</v>
      </c>
      <c r="C1564" s="13">
        <v>1</v>
      </c>
      <c r="D1564" s="14">
        <f t="shared" si="95"/>
        <v>1</v>
      </c>
      <c r="E1564" s="12">
        <v>42688</v>
      </c>
      <c r="G1564" s="78"/>
      <c r="H1564" s="13"/>
      <c r="I1564" s="14">
        <f t="shared" si="94"/>
        <v>0</v>
      </c>
      <c r="J1564" s="12"/>
    </row>
    <row r="1565" spans="2:10" x14ac:dyDescent="0.15">
      <c r="B1565" s="10" t="s">
        <v>18</v>
      </c>
      <c r="C1565" s="13">
        <v>1</v>
      </c>
      <c r="D1565" s="14">
        <f t="shared" si="95"/>
        <v>1</v>
      </c>
      <c r="E1565" s="12">
        <v>42695</v>
      </c>
      <c r="G1565" s="10"/>
      <c r="H1565" s="13"/>
      <c r="I1565" s="14">
        <f t="shared" si="94"/>
        <v>0</v>
      </c>
      <c r="J1565" s="12"/>
    </row>
    <row r="1566" spans="2:10" x14ac:dyDescent="0.15">
      <c r="B1566" s="10" t="s">
        <v>189</v>
      </c>
      <c r="C1566" s="13">
        <v>3</v>
      </c>
      <c r="D1566" s="14">
        <f t="shared" si="95"/>
        <v>3</v>
      </c>
      <c r="E1566" s="12">
        <v>42695</v>
      </c>
      <c r="G1566" s="78"/>
      <c r="H1566" s="13"/>
      <c r="I1566" s="14">
        <f t="shared" si="94"/>
        <v>0</v>
      </c>
      <c r="J1566" s="12"/>
    </row>
    <row r="1567" spans="2:10" x14ac:dyDescent="0.15">
      <c r="B1567" s="10" t="s">
        <v>18</v>
      </c>
      <c r="C1567" s="13">
        <v>6</v>
      </c>
      <c r="D1567" s="14">
        <f t="shared" si="95"/>
        <v>6</v>
      </c>
      <c r="E1567" s="12">
        <v>42698</v>
      </c>
      <c r="G1567" s="15"/>
      <c r="H1567" s="13"/>
      <c r="I1567" s="14">
        <f t="shared" si="94"/>
        <v>0</v>
      </c>
      <c r="J1567" s="5"/>
    </row>
    <row r="1568" spans="2:10" x14ac:dyDescent="0.15">
      <c r="B1568" s="10" t="s">
        <v>18</v>
      </c>
      <c r="C1568" s="13">
        <v>2</v>
      </c>
      <c r="D1568" s="14">
        <f t="shared" si="95"/>
        <v>2</v>
      </c>
      <c r="E1568" s="12">
        <v>42703</v>
      </c>
      <c r="G1568" s="15"/>
      <c r="H1568" s="7"/>
      <c r="I1568" s="14">
        <f t="shared" si="94"/>
        <v>0</v>
      </c>
      <c r="J1568" s="12"/>
    </row>
    <row r="1569" spans="2:10" x14ac:dyDescent="0.15">
      <c r="B1569" s="10" t="s">
        <v>18</v>
      </c>
      <c r="C1569" s="13">
        <v>1</v>
      </c>
      <c r="D1569" s="14">
        <f t="shared" si="95"/>
        <v>1</v>
      </c>
      <c r="E1569" s="12">
        <v>42706</v>
      </c>
      <c r="G1569" s="10"/>
      <c r="H1569" s="13"/>
      <c r="I1569" s="14">
        <f t="shared" si="94"/>
        <v>0</v>
      </c>
      <c r="J1569" s="12"/>
    </row>
    <row r="1570" spans="2:10" x14ac:dyDescent="0.15">
      <c r="B1570" s="10" t="s">
        <v>497</v>
      </c>
      <c r="C1570" s="13">
        <v>3</v>
      </c>
      <c r="D1570" s="14">
        <f t="shared" si="95"/>
        <v>3</v>
      </c>
      <c r="E1570" s="12">
        <v>42710</v>
      </c>
      <c r="G1570" s="15"/>
      <c r="H1570" s="13"/>
      <c r="I1570" s="14">
        <f t="shared" si="94"/>
        <v>0</v>
      </c>
      <c r="J1570" s="12"/>
    </row>
    <row r="1571" spans="2:10" x14ac:dyDescent="0.15">
      <c r="B1571" s="10" t="s">
        <v>18</v>
      </c>
      <c r="C1571" s="13">
        <v>5</v>
      </c>
      <c r="D1571" s="14">
        <f>SUM(C1571:C1571)</f>
        <v>5</v>
      </c>
      <c r="E1571" s="12">
        <v>42714</v>
      </c>
      <c r="G1571" s="15"/>
      <c r="H1571" s="13"/>
      <c r="I1571" s="14">
        <f t="shared" si="94"/>
        <v>0</v>
      </c>
      <c r="J1571" s="5"/>
    </row>
    <row r="1572" spans="2:10" x14ac:dyDescent="0.15">
      <c r="B1572" s="10" t="s">
        <v>499</v>
      </c>
      <c r="C1572" s="13">
        <v>3</v>
      </c>
      <c r="D1572" s="14">
        <f t="shared" ref="D1572:D1581" si="96">SUM(C1572:C1572)</f>
        <v>3</v>
      </c>
      <c r="E1572" s="12">
        <v>42718</v>
      </c>
      <c r="G1572" s="15"/>
      <c r="H1572" s="7"/>
      <c r="I1572" s="14">
        <f t="shared" si="94"/>
        <v>0</v>
      </c>
      <c r="J1572" s="12"/>
    </row>
    <row r="1573" spans="2:10" x14ac:dyDescent="0.15">
      <c r="B1573" s="10" t="s">
        <v>18</v>
      </c>
      <c r="C1573" s="13">
        <v>1</v>
      </c>
      <c r="D1573" s="14">
        <f t="shared" si="96"/>
        <v>1</v>
      </c>
      <c r="E1573" s="12">
        <v>42723</v>
      </c>
      <c r="G1573" s="15"/>
      <c r="H1573" s="13"/>
      <c r="I1573" s="14">
        <f t="shared" si="94"/>
        <v>0</v>
      </c>
      <c r="J1573" s="5"/>
    </row>
    <row r="1574" spans="2:10" x14ac:dyDescent="0.15">
      <c r="B1574" s="10" t="s">
        <v>498</v>
      </c>
      <c r="C1574" s="13">
        <v>2</v>
      </c>
      <c r="D1574" s="14">
        <f t="shared" si="96"/>
        <v>2</v>
      </c>
      <c r="E1574" s="12">
        <v>42724</v>
      </c>
      <c r="G1574" s="15"/>
      <c r="H1574" s="13"/>
      <c r="I1574" s="14">
        <f t="shared" si="94"/>
        <v>0</v>
      </c>
      <c r="J1574" s="12"/>
    </row>
    <row r="1575" spans="2:10" x14ac:dyDescent="0.15">
      <c r="B1575" s="10" t="s">
        <v>189</v>
      </c>
      <c r="C1575" s="13">
        <v>5</v>
      </c>
      <c r="D1575" s="14">
        <f t="shared" si="96"/>
        <v>5</v>
      </c>
      <c r="E1575" s="12">
        <v>42724</v>
      </c>
      <c r="G1575" s="15"/>
      <c r="H1575" s="13"/>
      <c r="I1575" s="14">
        <f t="shared" si="94"/>
        <v>0</v>
      </c>
      <c r="J1575" s="12"/>
    </row>
    <row r="1576" spans="2:10" x14ac:dyDescent="0.15">
      <c r="B1576" s="10" t="s">
        <v>18</v>
      </c>
      <c r="C1576" s="13">
        <v>3</v>
      </c>
      <c r="D1576" s="14">
        <f t="shared" si="96"/>
        <v>3</v>
      </c>
      <c r="E1576" s="5">
        <v>42728</v>
      </c>
      <c r="G1576" s="15"/>
      <c r="H1576" s="13"/>
      <c r="I1576" s="14">
        <f t="shared" si="94"/>
        <v>0</v>
      </c>
      <c r="J1576" s="12"/>
    </row>
    <row r="1577" spans="2:10" x14ac:dyDescent="0.15">
      <c r="B1577" s="10" t="s">
        <v>18</v>
      </c>
      <c r="C1577" s="13">
        <v>3</v>
      </c>
      <c r="D1577" s="14">
        <f t="shared" si="96"/>
        <v>3</v>
      </c>
      <c r="E1577" s="5">
        <v>42732</v>
      </c>
      <c r="G1577" s="15"/>
      <c r="H1577" s="7"/>
      <c r="I1577" s="14">
        <f t="shared" si="94"/>
        <v>0</v>
      </c>
      <c r="J1577" s="12"/>
    </row>
    <row r="1578" spans="2:10" x14ac:dyDescent="0.15">
      <c r="B1578" s="10" t="s">
        <v>500</v>
      </c>
      <c r="C1578" s="13">
        <v>5</v>
      </c>
      <c r="D1578" s="14">
        <f t="shared" si="96"/>
        <v>5</v>
      </c>
      <c r="E1578" s="5">
        <v>42731</v>
      </c>
      <c r="G1578" s="15"/>
      <c r="H1578" s="7"/>
      <c r="I1578" s="14">
        <f t="shared" si="94"/>
        <v>0</v>
      </c>
      <c r="J1578" s="12"/>
    </row>
    <row r="1579" spans="2:10" x14ac:dyDescent="0.15">
      <c r="B1579" s="10" t="s">
        <v>189</v>
      </c>
      <c r="C1579" s="13">
        <v>4</v>
      </c>
      <c r="D1579" s="14">
        <f t="shared" si="96"/>
        <v>4</v>
      </c>
      <c r="E1579" s="5">
        <v>42740</v>
      </c>
      <c r="G1579" s="15"/>
      <c r="H1579" s="7"/>
      <c r="I1579" s="14">
        <f t="shared" si="94"/>
        <v>0</v>
      </c>
      <c r="J1579" s="12"/>
    </row>
    <row r="1580" spans="2:10" ht="14.25" thickBot="1" x14ac:dyDescent="0.2">
      <c r="B1580" s="10" t="s">
        <v>18</v>
      </c>
      <c r="C1580" s="13">
        <v>1</v>
      </c>
      <c r="D1580" s="11">
        <f t="shared" si="96"/>
        <v>1</v>
      </c>
      <c r="E1580" s="12">
        <v>42742</v>
      </c>
      <c r="G1580" s="15"/>
      <c r="H1580" s="7"/>
      <c r="I1580" s="14">
        <f t="shared" si="94"/>
        <v>0</v>
      </c>
      <c r="J1580" s="161"/>
    </row>
    <row r="1581" spans="2:10" ht="14.25" thickBot="1" x14ac:dyDescent="0.2">
      <c r="B1581" s="17" t="s">
        <v>2</v>
      </c>
      <c r="C1581" s="18">
        <f>SUM(C1557:C1580)</f>
        <v>81</v>
      </c>
      <c r="D1581" s="19">
        <f t="shared" si="96"/>
        <v>81</v>
      </c>
      <c r="E1581" s="20"/>
      <c r="G1581" s="17" t="s">
        <v>2</v>
      </c>
      <c r="H1581" s="18">
        <f>SUM(H1557:H1580)</f>
        <v>0</v>
      </c>
      <c r="I1581" s="19">
        <f t="shared" si="94"/>
        <v>0</v>
      </c>
      <c r="J1581" s="20"/>
    </row>
    <row r="1582" spans="2:10" ht="14.25" thickBot="1" x14ac:dyDescent="0.2">
      <c r="B1582" s="46" t="s">
        <v>3</v>
      </c>
      <c r="C1582" s="52">
        <f>C1556-C1581</f>
        <v>321</v>
      </c>
      <c r="D1582" s="48">
        <f>D1556-D1581</f>
        <v>321</v>
      </c>
      <c r="E1582" s="49"/>
      <c r="G1582" s="46" t="s">
        <v>3</v>
      </c>
      <c r="H1582" s="52">
        <f>H1556-H1581</f>
        <v>2000</v>
      </c>
      <c r="I1582" s="48">
        <f>I1556-I1581</f>
        <v>2000</v>
      </c>
      <c r="J1582" s="49"/>
    </row>
    <row r="1585" spans="2:10" ht="18.75" x14ac:dyDescent="0.2">
      <c r="B1585" s="26" t="s">
        <v>7</v>
      </c>
      <c r="G1585" s="26" t="s">
        <v>35</v>
      </c>
    </row>
    <row r="1586" spans="2:10" ht="14.25" thickBot="1" x14ac:dyDescent="0.2"/>
    <row r="1587" spans="2:10" ht="14.25" thickBot="1" x14ac:dyDescent="0.2">
      <c r="B1587" s="1"/>
      <c r="C1587" s="2"/>
      <c r="D1587" s="3" t="s">
        <v>0</v>
      </c>
      <c r="E1587" s="1" t="s">
        <v>4</v>
      </c>
      <c r="G1587" s="1"/>
      <c r="H1587" s="2"/>
      <c r="I1587" s="3" t="s">
        <v>0</v>
      </c>
      <c r="J1587" s="1" t="s">
        <v>4</v>
      </c>
    </row>
    <row r="1588" spans="2:10" x14ac:dyDescent="0.15">
      <c r="B1588" s="42" t="s">
        <v>5</v>
      </c>
      <c r="C1588" s="43">
        <f>C1582</f>
        <v>321</v>
      </c>
      <c r="D1588" s="44">
        <f>SUM(C1588:C1588)</f>
        <v>321</v>
      </c>
      <c r="E1588" s="45"/>
      <c r="G1588" s="42" t="s">
        <v>5</v>
      </c>
      <c r="H1588" s="43">
        <f>H1582</f>
        <v>2000</v>
      </c>
      <c r="I1588" s="44">
        <f>SUM(H1588:H1588)</f>
        <v>2000</v>
      </c>
      <c r="J1588" s="45"/>
    </row>
    <row r="1589" spans="2:10" x14ac:dyDescent="0.15">
      <c r="B1589" s="6" t="s">
        <v>105</v>
      </c>
      <c r="C1589" s="13">
        <v>2</v>
      </c>
      <c r="D1589" s="14">
        <f>SUM(C1589:C1589)</f>
        <v>2</v>
      </c>
      <c r="E1589" s="12">
        <v>42823</v>
      </c>
      <c r="G1589" s="6" t="s">
        <v>6</v>
      </c>
      <c r="H1589" s="13"/>
      <c r="I1589" s="14">
        <f>SUM(H1589:H1589)</f>
        <v>0</v>
      </c>
      <c r="J1589" s="5"/>
    </row>
    <row r="1590" spans="2:10" x14ac:dyDescent="0.15">
      <c r="B1590" s="6" t="s">
        <v>6</v>
      </c>
      <c r="C1590" s="7"/>
      <c r="D1590" s="8">
        <f>SUM(C1590:C1590)</f>
        <v>0</v>
      </c>
      <c r="E1590" s="9"/>
      <c r="G1590" s="6" t="s">
        <v>6</v>
      </c>
      <c r="H1590" s="13"/>
      <c r="I1590" s="14">
        <f>SUM(H1590:H1590)</f>
        <v>0</v>
      </c>
      <c r="J1590" s="5"/>
    </row>
    <row r="1591" spans="2:10" ht="14.25" thickBot="1" x14ac:dyDescent="0.2">
      <c r="B1591" s="6" t="s">
        <v>6</v>
      </c>
      <c r="C1591" s="7"/>
      <c r="D1591" s="14">
        <f>SUM(C1591:C1591)</f>
        <v>0</v>
      </c>
      <c r="E1591" s="16"/>
      <c r="G1591" s="6" t="s">
        <v>6</v>
      </c>
      <c r="H1591" s="88"/>
      <c r="I1591" s="11">
        <f>SUM(H1591:H1591)</f>
        <v>0</v>
      </c>
      <c r="J1591" s="85"/>
    </row>
    <row r="1592" spans="2:10" ht="14.25" thickBot="1" x14ac:dyDescent="0.2">
      <c r="B1592" s="46" t="s">
        <v>1</v>
      </c>
      <c r="C1592" s="48">
        <f>SUM(C1588:C1591)</f>
        <v>323</v>
      </c>
      <c r="D1592" s="48">
        <f>SUM(D1588:D1591)</f>
        <v>323</v>
      </c>
      <c r="E1592" s="49"/>
      <c r="G1592" s="46" t="s">
        <v>1</v>
      </c>
      <c r="H1592" s="47">
        <f>SUM(H1588:H1591)</f>
        <v>2000</v>
      </c>
      <c r="I1592" s="48">
        <f>SUM(I1588:I1591)</f>
        <v>2000</v>
      </c>
      <c r="J1592" s="49"/>
    </row>
    <row r="1593" spans="2:10" x14ac:dyDescent="0.15">
      <c r="B1593" s="10" t="s">
        <v>189</v>
      </c>
      <c r="C1593" s="77">
        <v>1</v>
      </c>
      <c r="D1593" s="11">
        <f>SUM(C1593:C1593)</f>
        <v>1</v>
      </c>
      <c r="E1593" s="12">
        <v>42745</v>
      </c>
      <c r="G1593" s="81"/>
      <c r="H1593" s="13"/>
      <c r="I1593" s="11">
        <f>SUM(H1593:H1593)</f>
        <v>0</v>
      </c>
      <c r="J1593" s="12"/>
    </row>
    <row r="1594" spans="2:10" x14ac:dyDescent="0.15">
      <c r="B1594" s="10" t="s">
        <v>189</v>
      </c>
      <c r="C1594" s="13">
        <v>1</v>
      </c>
      <c r="D1594" s="14">
        <f>SUM(C1594:C1594)</f>
        <v>1</v>
      </c>
      <c r="E1594" s="12">
        <v>42751</v>
      </c>
      <c r="G1594" s="81"/>
      <c r="H1594" s="13"/>
      <c r="I1594" s="14">
        <f>SUM(H1594:H1594)</f>
        <v>0</v>
      </c>
      <c r="J1594" s="12"/>
    </row>
    <row r="1595" spans="2:10" x14ac:dyDescent="0.15">
      <c r="B1595" s="10" t="s">
        <v>189</v>
      </c>
      <c r="C1595" s="13">
        <v>5</v>
      </c>
      <c r="D1595" s="14">
        <f>SUM(C1595:C1595)</f>
        <v>5</v>
      </c>
      <c r="E1595" s="12">
        <v>42755</v>
      </c>
      <c r="G1595" s="15"/>
      <c r="H1595" s="13"/>
      <c r="I1595" s="14">
        <f t="shared" ref="I1595:I1617" si="97">SUM(H1595:H1595)</f>
        <v>0</v>
      </c>
      <c r="J1595" s="12"/>
    </row>
    <row r="1596" spans="2:10" x14ac:dyDescent="0.15">
      <c r="B1596" s="10" t="s">
        <v>504</v>
      </c>
      <c r="C1596" s="13">
        <v>10</v>
      </c>
      <c r="D1596" s="14">
        <f t="shared" ref="D1596:D1606" si="98">SUM(C1596:C1596)</f>
        <v>10</v>
      </c>
      <c r="E1596" s="12">
        <v>42782</v>
      </c>
      <c r="G1596" s="15"/>
      <c r="H1596" s="13"/>
      <c r="I1596" s="14">
        <f t="shared" si="97"/>
        <v>0</v>
      </c>
      <c r="J1596" s="12"/>
    </row>
    <row r="1597" spans="2:10" x14ac:dyDescent="0.15">
      <c r="B1597" s="10" t="s">
        <v>18</v>
      </c>
      <c r="C1597" s="13">
        <v>13</v>
      </c>
      <c r="D1597" s="14">
        <f t="shared" si="98"/>
        <v>13</v>
      </c>
      <c r="E1597" s="12">
        <v>42786</v>
      </c>
      <c r="G1597" s="15"/>
      <c r="H1597" s="13"/>
      <c r="I1597" s="14">
        <f t="shared" si="97"/>
        <v>0</v>
      </c>
      <c r="J1597" s="12"/>
    </row>
    <row r="1598" spans="2:10" x14ac:dyDescent="0.15">
      <c r="B1598" s="10" t="s">
        <v>189</v>
      </c>
      <c r="C1598" s="13">
        <v>10</v>
      </c>
      <c r="D1598" s="14">
        <f t="shared" si="98"/>
        <v>10</v>
      </c>
      <c r="E1598" s="12">
        <v>42789</v>
      </c>
      <c r="G1598" s="78"/>
      <c r="H1598" s="13"/>
      <c r="I1598" s="14">
        <f t="shared" si="97"/>
        <v>0</v>
      </c>
      <c r="J1598" s="12"/>
    </row>
    <row r="1599" spans="2:10" x14ac:dyDescent="0.15">
      <c r="B1599" s="10" t="s">
        <v>189</v>
      </c>
      <c r="C1599" s="13">
        <v>3</v>
      </c>
      <c r="D1599" s="14">
        <f t="shared" si="98"/>
        <v>3</v>
      </c>
      <c r="E1599" s="12">
        <v>42793</v>
      </c>
      <c r="G1599" s="78"/>
      <c r="H1599" s="13"/>
      <c r="I1599" s="14">
        <f t="shared" si="97"/>
        <v>0</v>
      </c>
      <c r="J1599" s="12"/>
    </row>
    <row r="1600" spans="2:10" x14ac:dyDescent="0.15">
      <c r="B1600" s="10" t="s">
        <v>189</v>
      </c>
      <c r="C1600" s="13">
        <v>13</v>
      </c>
      <c r="D1600" s="14">
        <f t="shared" si="98"/>
        <v>13</v>
      </c>
      <c r="E1600" s="12">
        <v>42797</v>
      </c>
      <c r="G1600" s="78"/>
      <c r="H1600" s="13"/>
      <c r="I1600" s="14">
        <f t="shared" si="97"/>
        <v>0</v>
      </c>
      <c r="J1600" s="12"/>
    </row>
    <row r="1601" spans="2:11" x14ac:dyDescent="0.15">
      <c r="B1601" s="10" t="s">
        <v>18</v>
      </c>
      <c r="C1601" s="13">
        <v>14</v>
      </c>
      <c r="D1601" s="14">
        <f t="shared" si="98"/>
        <v>14</v>
      </c>
      <c r="E1601" s="12">
        <v>42804</v>
      </c>
      <c r="G1601" s="10"/>
      <c r="H1601" s="13"/>
      <c r="I1601" s="14">
        <f t="shared" si="97"/>
        <v>0</v>
      </c>
      <c r="J1601" s="12"/>
    </row>
    <row r="1602" spans="2:11" x14ac:dyDescent="0.15">
      <c r="B1602" s="10" t="s">
        <v>18</v>
      </c>
      <c r="C1602" s="13">
        <v>15</v>
      </c>
      <c r="D1602" s="14">
        <f t="shared" si="98"/>
        <v>15</v>
      </c>
      <c r="E1602" s="12">
        <v>42808</v>
      </c>
      <c r="G1602" s="78"/>
      <c r="H1602" s="13"/>
      <c r="I1602" s="14">
        <f t="shared" si="97"/>
        <v>0</v>
      </c>
      <c r="J1602" s="12"/>
    </row>
    <row r="1603" spans="2:11" x14ac:dyDescent="0.15">
      <c r="B1603" s="10" t="s">
        <v>18</v>
      </c>
      <c r="C1603" s="13">
        <v>12</v>
      </c>
      <c r="D1603" s="14">
        <f t="shared" si="98"/>
        <v>12</v>
      </c>
      <c r="E1603" s="12">
        <v>42810</v>
      </c>
      <c r="G1603" s="15"/>
      <c r="H1603" s="13"/>
      <c r="I1603" s="14">
        <f t="shared" si="97"/>
        <v>0</v>
      </c>
      <c r="J1603" s="5"/>
    </row>
    <row r="1604" spans="2:11" x14ac:dyDescent="0.15">
      <c r="B1604" s="10" t="s">
        <v>18</v>
      </c>
      <c r="C1604" s="13">
        <v>6</v>
      </c>
      <c r="D1604" s="14">
        <f t="shared" si="98"/>
        <v>6</v>
      </c>
      <c r="E1604" s="12">
        <v>42811</v>
      </c>
      <c r="G1604" s="15"/>
      <c r="H1604" s="7"/>
      <c r="I1604" s="14">
        <f t="shared" si="97"/>
        <v>0</v>
      </c>
      <c r="J1604" s="12"/>
    </row>
    <row r="1605" spans="2:11" x14ac:dyDescent="0.15">
      <c r="B1605" s="10" t="s">
        <v>18</v>
      </c>
      <c r="C1605" s="13">
        <v>11</v>
      </c>
      <c r="D1605" s="14">
        <f t="shared" si="98"/>
        <v>11</v>
      </c>
      <c r="E1605" s="12">
        <v>42812</v>
      </c>
      <c r="G1605" s="10"/>
      <c r="H1605" s="13"/>
      <c r="I1605" s="14">
        <f t="shared" si="97"/>
        <v>0</v>
      </c>
      <c r="J1605" s="12"/>
    </row>
    <row r="1606" spans="2:11" x14ac:dyDescent="0.15">
      <c r="B1606" s="10" t="s">
        <v>18</v>
      </c>
      <c r="C1606" s="13">
        <v>15</v>
      </c>
      <c r="D1606" s="14">
        <f t="shared" si="98"/>
        <v>15</v>
      </c>
      <c r="E1606" s="12">
        <v>42816</v>
      </c>
      <c r="G1606" s="15"/>
      <c r="H1606" s="13"/>
      <c r="I1606" s="14">
        <f t="shared" si="97"/>
        <v>0</v>
      </c>
      <c r="J1606" s="12"/>
    </row>
    <row r="1607" spans="2:11" x14ac:dyDescent="0.15">
      <c r="B1607" s="10" t="s">
        <v>506</v>
      </c>
      <c r="C1607" s="13">
        <v>5</v>
      </c>
      <c r="D1607" s="14">
        <f>SUM(C1607:C1607)</f>
        <v>5</v>
      </c>
      <c r="E1607" s="12">
        <v>42816</v>
      </c>
      <c r="G1607" s="15"/>
      <c r="H1607" s="13"/>
      <c r="I1607" s="14">
        <f t="shared" si="97"/>
        <v>0</v>
      </c>
      <c r="J1607" s="5"/>
    </row>
    <row r="1608" spans="2:11" x14ac:dyDescent="0.15">
      <c r="B1608" s="10" t="s">
        <v>18</v>
      </c>
      <c r="C1608" s="13">
        <v>15</v>
      </c>
      <c r="D1608" s="14">
        <f t="shared" ref="D1608:D1617" si="99">SUM(C1608:C1608)</f>
        <v>15</v>
      </c>
      <c r="E1608" s="12">
        <v>42819</v>
      </c>
      <c r="G1608" s="15"/>
      <c r="H1608" s="7"/>
      <c r="I1608" s="14">
        <f t="shared" si="97"/>
        <v>0</v>
      </c>
      <c r="J1608" s="12"/>
    </row>
    <row r="1609" spans="2:11" x14ac:dyDescent="0.15">
      <c r="B1609" s="10" t="s">
        <v>18</v>
      </c>
      <c r="C1609" s="13">
        <v>16</v>
      </c>
      <c r="D1609" s="14">
        <f t="shared" si="99"/>
        <v>16</v>
      </c>
      <c r="E1609" s="12">
        <v>42822</v>
      </c>
      <c r="G1609" s="15"/>
      <c r="H1609" s="13"/>
      <c r="I1609" s="14">
        <f t="shared" si="97"/>
        <v>0</v>
      </c>
      <c r="J1609" s="5"/>
    </row>
    <row r="1610" spans="2:11" x14ac:dyDescent="0.15">
      <c r="B1610" s="10" t="s">
        <v>189</v>
      </c>
      <c r="C1610" s="13">
        <v>1</v>
      </c>
      <c r="D1610" s="14">
        <f t="shared" si="99"/>
        <v>1</v>
      </c>
      <c r="E1610" s="12">
        <v>42821</v>
      </c>
      <c r="G1610" s="15"/>
      <c r="H1610" s="13"/>
      <c r="I1610" s="14">
        <f t="shared" si="97"/>
        <v>0</v>
      </c>
      <c r="J1610" s="12"/>
    </row>
    <row r="1611" spans="2:11" x14ac:dyDescent="0.15">
      <c r="B1611" s="10" t="s">
        <v>507</v>
      </c>
      <c r="C1611" s="13">
        <v>1</v>
      </c>
      <c r="D1611" s="14">
        <f t="shared" si="99"/>
        <v>1</v>
      </c>
      <c r="E1611" s="12">
        <v>42828</v>
      </c>
      <c r="G1611" s="15"/>
      <c r="H1611" s="7"/>
      <c r="I1611" s="14">
        <f t="shared" si="97"/>
        <v>0</v>
      </c>
      <c r="J1611" s="12"/>
    </row>
    <row r="1612" spans="2:11" x14ac:dyDescent="0.15">
      <c r="B1612" s="10" t="s">
        <v>189</v>
      </c>
      <c r="C1612" s="13">
        <v>1</v>
      </c>
      <c r="D1612" s="14">
        <f t="shared" si="99"/>
        <v>1</v>
      </c>
      <c r="E1612" s="5">
        <v>42825</v>
      </c>
      <c r="G1612" s="15"/>
      <c r="H1612" s="7"/>
      <c r="I1612" s="14">
        <f t="shared" si="97"/>
        <v>0</v>
      </c>
      <c r="J1612" s="12"/>
    </row>
    <row r="1613" spans="2:11" x14ac:dyDescent="0.15">
      <c r="B1613" s="10" t="s">
        <v>509</v>
      </c>
      <c r="C1613" s="13">
        <v>1</v>
      </c>
      <c r="D1613" s="14">
        <f t="shared" si="99"/>
        <v>1</v>
      </c>
      <c r="E1613" s="5">
        <v>42826</v>
      </c>
      <c r="G1613" s="15"/>
      <c r="H1613" s="7"/>
      <c r="I1613" s="14">
        <f>SUM(H1613:H1613)</f>
        <v>0</v>
      </c>
      <c r="J1613" s="12"/>
    </row>
    <row r="1614" spans="2:11" x14ac:dyDescent="0.15">
      <c r="B1614" s="10" t="s">
        <v>18</v>
      </c>
      <c r="C1614" s="13">
        <v>1</v>
      </c>
      <c r="D1614" s="14">
        <f t="shared" si="99"/>
        <v>1</v>
      </c>
      <c r="E1614" s="5">
        <v>42830</v>
      </c>
      <c r="G1614" s="15"/>
      <c r="H1614" s="7"/>
      <c r="I1614" s="14">
        <f t="shared" si="97"/>
        <v>0</v>
      </c>
      <c r="J1614" s="5"/>
    </row>
    <row r="1615" spans="2:11" x14ac:dyDescent="0.15">
      <c r="B1615" s="10" t="s">
        <v>189</v>
      </c>
      <c r="C1615" s="13">
        <v>1</v>
      </c>
      <c r="D1615" s="14">
        <f t="shared" si="99"/>
        <v>1</v>
      </c>
      <c r="E1615" s="5">
        <v>42828</v>
      </c>
      <c r="G1615" s="15"/>
      <c r="H1615" s="7"/>
      <c r="I1615" s="14">
        <f>SUM(H1615:H1615)</f>
        <v>0</v>
      </c>
      <c r="J1615" s="161"/>
      <c r="K1615" s="86"/>
    </row>
    <row r="1616" spans="2:11" ht="14.25" thickBot="1" x14ac:dyDescent="0.2">
      <c r="B1616" s="10" t="s">
        <v>511</v>
      </c>
      <c r="C1616" s="13">
        <v>7</v>
      </c>
      <c r="D1616" s="11">
        <f t="shared" si="99"/>
        <v>7</v>
      </c>
      <c r="E1616" s="12">
        <v>42829</v>
      </c>
      <c r="G1616" s="15"/>
      <c r="H1616" s="7"/>
      <c r="I1616" s="14">
        <f>SUM(H1616:H1616)</f>
        <v>0</v>
      </c>
      <c r="J1616" s="5"/>
      <c r="K1616" s="86"/>
    </row>
    <row r="1617" spans="2:10" ht="14.25" thickBot="1" x14ac:dyDescent="0.2">
      <c r="B1617" s="17" t="s">
        <v>2</v>
      </c>
      <c r="C1617" s="18">
        <f>SUM(C1593:C1616)</f>
        <v>178</v>
      </c>
      <c r="D1617" s="19">
        <f t="shared" si="99"/>
        <v>178</v>
      </c>
      <c r="E1617" s="20"/>
      <c r="G1617" s="17" t="s">
        <v>2</v>
      </c>
      <c r="H1617" s="18">
        <f>SUM(H1593:H1616)</f>
        <v>0</v>
      </c>
      <c r="I1617" s="19">
        <f t="shared" si="97"/>
        <v>0</v>
      </c>
      <c r="J1617" s="20"/>
    </row>
    <row r="1618" spans="2:10" ht="14.25" thickBot="1" x14ac:dyDescent="0.2">
      <c r="B1618" s="46" t="s">
        <v>3</v>
      </c>
      <c r="C1618" s="52">
        <f>C1592-C1617</f>
        <v>145</v>
      </c>
      <c r="D1618" s="48">
        <f>D1592-D1617</f>
        <v>145</v>
      </c>
      <c r="E1618" s="49"/>
      <c r="G1618" s="46" t="s">
        <v>3</v>
      </c>
      <c r="H1618" s="52">
        <f>H1592-H1617</f>
        <v>2000</v>
      </c>
      <c r="I1618" s="48">
        <f>I1592-I1617</f>
        <v>2000</v>
      </c>
      <c r="J1618" s="49"/>
    </row>
    <row r="1621" spans="2:10" ht="18.75" x14ac:dyDescent="0.2">
      <c r="B1621" s="26" t="s">
        <v>7</v>
      </c>
      <c r="G1621" s="26" t="s">
        <v>35</v>
      </c>
    </row>
    <row r="1622" spans="2:10" ht="14.25" thickBot="1" x14ac:dyDescent="0.2"/>
    <row r="1623" spans="2:10" ht="14.25" thickBot="1" x14ac:dyDescent="0.2">
      <c r="B1623" s="1"/>
      <c r="C1623" s="2"/>
      <c r="D1623" s="3" t="s">
        <v>0</v>
      </c>
      <c r="E1623" s="1" t="s">
        <v>4</v>
      </c>
      <c r="G1623" s="1"/>
      <c r="H1623" s="2"/>
      <c r="I1623" s="3" t="s">
        <v>0</v>
      </c>
      <c r="J1623" s="1" t="s">
        <v>4</v>
      </c>
    </row>
    <row r="1624" spans="2:10" x14ac:dyDescent="0.15">
      <c r="B1624" s="42" t="s">
        <v>5</v>
      </c>
      <c r="C1624" s="43">
        <f>C1618</f>
        <v>145</v>
      </c>
      <c r="D1624" s="44">
        <f>SUM(C1624:C1624)</f>
        <v>145</v>
      </c>
      <c r="E1624" s="45"/>
      <c r="G1624" s="42" t="s">
        <v>5</v>
      </c>
      <c r="H1624" s="43">
        <f>H1618</f>
        <v>2000</v>
      </c>
      <c r="I1624" s="44">
        <f>SUM(H1624:H1624)</f>
        <v>2000</v>
      </c>
      <c r="J1624" s="45"/>
    </row>
    <row r="1625" spans="2:10" x14ac:dyDescent="0.15">
      <c r="B1625" s="6" t="s">
        <v>6</v>
      </c>
      <c r="C1625" s="13">
        <v>100</v>
      </c>
      <c r="D1625" s="14">
        <f>SUM(C1625:C1625)</f>
        <v>100</v>
      </c>
      <c r="E1625" s="12">
        <v>42843</v>
      </c>
      <c r="G1625" s="6" t="s">
        <v>6</v>
      </c>
      <c r="H1625" s="13">
        <v>2000</v>
      </c>
      <c r="I1625" s="14">
        <f>SUM(H1625:H1625)</f>
        <v>2000</v>
      </c>
      <c r="J1625" s="5">
        <v>42826</v>
      </c>
    </row>
    <row r="1626" spans="2:10" x14ac:dyDescent="0.15">
      <c r="B1626" s="6" t="s">
        <v>6</v>
      </c>
      <c r="C1626" s="7">
        <v>200</v>
      </c>
      <c r="D1626" s="8">
        <f>SUM(C1626:C1626)</f>
        <v>200</v>
      </c>
      <c r="E1626" s="9">
        <v>42867</v>
      </c>
      <c r="G1626" s="6" t="s">
        <v>6</v>
      </c>
      <c r="H1626" s="13"/>
      <c r="I1626" s="14">
        <f>SUM(H1626:H1626)</f>
        <v>0</v>
      </c>
      <c r="J1626" s="5"/>
    </row>
    <row r="1627" spans="2:10" ht="14.25" thickBot="1" x14ac:dyDescent="0.2">
      <c r="B1627" s="6" t="s">
        <v>105</v>
      </c>
      <c r="C1627" s="7">
        <v>1</v>
      </c>
      <c r="D1627" s="14">
        <f>SUM(C1627:C1627)</f>
        <v>1</v>
      </c>
      <c r="E1627" s="16">
        <v>42866</v>
      </c>
      <c r="G1627" s="6" t="s">
        <v>6</v>
      </c>
      <c r="H1627" s="7">
        <v>2000</v>
      </c>
      <c r="I1627" s="8">
        <f>SUM(H1627:H1627)</f>
        <v>2000</v>
      </c>
      <c r="J1627" s="9">
        <v>42856</v>
      </c>
    </row>
    <row r="1628" spans="2:10" ht="14.25" thickBot="1" x14ac:dyDescent="0.2">
      <c r="B1628" s="46" t="s">
        <v>1</v>
      </c>
      <c r="C1628" s="48">
        <f>SUM(C1624:C1627)</f>
        <v>446</v>
      </c>
      <c r="D1628" s="48">
        <f>SUM(D1624:D1627)</f>
        <v>446</v>
      </c>
      <c r="E1628" s="49"/>
      <c r="G1628" s="46" t="s">
        <v>1</v>
      </c>
      <c r="H1628" s="50">
        <f>SUM(H1624:H1627)</f>
        <v>6000</v>
      </c>
      <c r="I1628" s="48">
        <f>SUM(I1624:I1627)</f>
        <v>6000</v>
      </c>
      <c r="J1628" s="51"/>
    </row>
    <row r="1629" spans="2:10" x14ac:dyDescent="0.15">
      <c r="B1629" s="10" t="s">
        <v>510</v>
      </c>
      <c r="C1629" s="77">
        <v>12</v>
      </c>
      <c r="D1629" s="11">
        <f>SUM(C1629:C1629)</f>
        <v>12</v>
      </c>
      <c r="E1629" s="12">
        <v>42832</v>
      </c>
      <c r="G1629" s="15" t="s">
        <v>505</v>
      </c>
      <c r="H1629" s="13">
        <v>200</v>
      </c>
      <c r="I1629" s="11">
        <f>SUM(H1629:H1629)</f>
        <v>200</v>
      </c>
      <c r="J1629" s="12">
        <v>42824</v>
      </c>
    </row>
    <row r="1630" spans="2:10" x14ac:dyDescent="0.15">
      <c r="B1630" s="10" t="s">
        <v>510</v>
      </c>
      <c r="C1630" s="13">
        <v>19</v>
      </c>
      <c r="D1630" s="14">
        <f>SUM(C1630:C1630)</f>
        <v>19</v>
      </c>
      <c r="E1630" s="12">
        <v>42837</v>
      </c>
      <c r="G1630" s="15" t="s">
        <v>508</v>
      </c>
      <c r="H1630" s="13">
        <v>350</v>
      </c>
      <c r="I1630" s="14">
        <f>SUM(H1630:H1630)</f>
        <v>350</v>
      </c>
      <c r="J1630" s="12">
        <v>42831</v>
      </c>
    </row>
    <row r="1631" spans="2:10" x14ac:dyDescent="0.15">
      <c r="B1631" s="10" t="s">
        <v>510</v>
      </c>
      <c r="C1631" s="13">
        <v>13</v>
      </c>
      <c r="D1631" s="14">
        <f>SUM(C1631:C1631)</f>
        <v>13</v>
      </c>
      <c r="E1631" s="12">
        <v>42839</v>
      </c>
      <c r="F1631" s="86"/>
      <c r="G1631" s="15" t="s">
        <v>12</v>
      </c>
      <c r="H1631" s="13">
        <v>100</v>
      </c>
      <c r="I1631" s="14">
        <f t="shared" ref="I1631:I1653" si="100">SUM(H1631:H1631)</f>
        <v>100</v>
      </c>
      <c r="J1631" s="12">
        <v>42843</v>
      </c>
    </row>
    <row r="1632" spans="2:10" x14ac:dyDescent="0.15">
      <c r="B1632" s="10" t="s">
        <v>189</v>
      </c>
      <c r="C1632" s="13">
        <v>1</v>
      </c>
      <c r="D1632" s="14">
        <f t="shared" ref="D1632:D1642" si="101">SUM(C1632:C1632)</f>
        <v>1</v>
      </c>
      <c r="E1632" s="12">
        <v>42838</v>
      </c>
      <c r="G1632" s="15" t="s">
        <v>12</v>
      </c>
      <c r="H1632" s="13">
        <v>200</v>
      </c>
      <c r="I1632" s="14">
        <f t="shared" si="100"/>
        <v>200</v>
      </c>
      <c r="J1632" s="12">
        <v>42867</v>
      </c>
    </row>
    <row r="1633" spans="2:10" x14ac:dyDescent="0.15">
      <c r="B1633" s="10" t="s">
        <v>512</v>
      </c>
      <c r="C1633" s="13">
        <v>11</v>
      </c>
      <c r="D1633" s="14">
        <f t="shared" si="101"/>
        <v>11</v>
      </c>
      <c r="E1633" s="12">
        <v>42839</v>
      </c>
      <c r="G1633" s="15" t="s">
        <v>513</v>
      </c>
      <c r="H1633" s="13">
        <v>400</v>
      </c>
      <c r="I1633" s="11">
        <f>SUM(H1633:H1633)</f>
        <v>400</v>
      </c>
      <c r="J1633" s="12">
        <v>42866</v>
      </c>
    </row>
    <row r="1634" spans="2:10" x14ac:dyDescent="0.15">
      <c r="B1634" s="10" t="s">
        <v>510</v>
      </c>
      <c r="C1634" s="13">
        <v>10</v>
      </c>
      <c r="D1634" s="14">
        <f t="shared" si="101"/>
        <v>10</v>
      </c>
      <c r="E1634" s="12">
        <v>42842</v>
      </c>
      <c r="G1634" s="78"/>
      <c r="H1634" s="13"/>
      <c r="I1634" s="14">
        <f t="shared" si="100"/>
        <v>0</v>
      </c>
      <c r="J1634" s="12"/>
    </row>
    <row r="1635" spans="2:10" x14ac:dyDescent="0.15">
      <c r="B1635" s="10" t="s">
        <v>189</v>
      </c>
      <c r="C1635" s="13">
        <v>10</v>
      </c>
      <c r="D1635" s="14">
        <f t="shared" si="101"/>
        <v>10</v>
      </c>
      <c r="E1635" s="12">
        <v>42842</v>
      </c>
      <c r="G1635" s="78"/>
      <c r="H1635" s="13"/>
      <c r="I1635" s="14">
        <f t="shared" si="100"/>
        <v>0</v>
      </c>
      <c r="J1635" s="12"/>
    </row>
    <row r="1636" spans="2:10" x14ac:dyDescent="0.15">
      <c r="B1636" s="10" t="s">
        <v>189</v>
      </c>
      <c r="C1636" s="13">
        <v>2</v>
      </c>
      <c r="D1636" s="14">
        <f t="shared" si="101"/>
        <v>2</v>
      </c>
      <c r="E1636" s="12">
        <v>42843</v>
      </c>
      <c r="G1636" s="78"/>
      <c r="H1636" s="13"/>
      <c r="I1636" s="14">
        <f t="shared" si="100"/>
        <v>0</v>
      </c>
      <c r="J1636" s="12"/>
    </row>
    <row r="1637" spans="2:10" x14ac:dyDescent="0.15">
      <c r="B1637" s="10" t="s">
        <v>510</v>
      </c>
      <c r="C1637" s="13">
        <v>11</v>
      </c>
      <c r="D1637" s="14">
        <f t="shared" si="101"/>
        <v>11</v>
      </c>
      <c r="E1637" s="12">
        <v>42845</v>
      </c>
      <c r="G1637" s="10"/>
      <c r="H1637" s="13"/>
      <c r="I1637" s="14">
        <f t="shared" si="100"/>
        <v>0</v>
      </c>
      <c r="J1637" s="12"/>
    </row>
    <row r="1638" spans="2:10" x14ac:dyDescent="0.15">
      <c r="B1638" s="10" t="s">
        <v>510</v>
      </c>
      <c r="C1638" s="13">
        <v>9</v>
      </c>
      <c r="D1638" s="14">
        <f t="shared" si="101"/>
        <v>9</v>
      </c>
      <c r="E1638" s="12">
        <v>42849</v>
      </c>
      <c r="G1638" s="78"/>
      <c r="H1638" s="13"/>
      <c r="I1638" s="14">
        <f t="shared" si="100"/>
        <v>0</v>
      </c>
      <c r="J1638" s="12"/>
    </row>
    <row r="1639" spans="2:10" x14ac:dyDescent="0.15">
      <c r="B1639" s="10" t="s">
        <v>510</v>
      </c>
      <c r="C1639" s="13">
        <v>9</v>
      </c>
      <c r="D1639" s="14">
        <f t="shared" si="101"/>
        <v>9</v>
      </c>
      <c r="E1639" s="12">
        <v>42851</v>
      </c>
      <c r="G1639" s="15"/>
      <c r="H1639" s="13"/>
      <c r="I1639" s="14">
        <f t="shared" si="100"/>
        <v>0</v>
      </c>
      <c r="J1639" s="5"/>
    </row>
    <row r="1640" spans="2:10" x14ac:dyDescent="0.15">
      <c r="B1640" s="10" t="s">
        <v>516</v>
      </c>
      <c r="C1640" s="13">
        <v>1</v>
      </c>
      <c r="D1640" s="14">
        <f t="shared" si="101"/>
        <v>1</v>
      </c>
      <c r="E1640" s="12">
        <v>42851</v>
      </c>
      <c r="G1640" s="15"/>
      <c r="H1640" s="7"/>
      <c r="I1640" s="14">
        <f t="shared" si="100"/>
        <v>0</v>
      </c>
      <c r="J1640" s="12"/>
    </row>
    <row r="1641" spans="2:10" x14ac:dyDescent="0.15">
      <c r="B1641" s="10" t="s">
        <v>510</v>
      </c>
      <c r="C1641" s="13">
        <v>18</v>
      </c>
      <c r="D1641" s="14">
        <f t="shared" si="101"/>
        <v>18</v>
      </c>
      <c r="E1641" s="12">
        <v>42854</v>
      </c>
      <c r="G1641" s="10"/>
      <c r="H1641" s="13"/>
      <c r="I1641" s="14">
        <f t="shared" si="100"/>
        <v>0</v>
      </c>
      <c r="J1641" s="12"/>
    </row>
    <row r="1642" spans="2:10" x14ac:dyDescent="0.15">
      <c r="B1642" s="10" t="s">
        <v>510</v>
      </c>
      <c r="C1642" s="13">
        <v>27</v>
      </c>
      <c r="D1642" s="14">
        <f t="shared" si="101"/>
        <v>27</v>
      </c>
      <c r="E1642" s="12">
        <v>42858</v>
      </c>
      <c r="G1642" s="15"/>
      <c r="H1642" s="13"/>
      <c r="I1642" s="14">
        <f t="shared" si="100"/>
        <v>0</v>
      </c>
      <c r="J1642" s="12"/>
    </row>
    <row r="1643" spans="2:10" x14ac:dyDescent="0.15">
      <c r="B1643" s="10" t="s">
        <v>510</v>
      </c>
      <c r="C1643" s="13">
        <v>29</v>
      </c>
      <c r="D1643" s="14">
        <f>SUM(C1643:C1643)</f>
        <v>29</v>
      </c>
      <c r="E1643" s="12">
        <v>42863</v>
      </c>
      <c r="G1643" s="15"/>
      <c r="H1643" s="13"/>
      <c r="I1643" s="14">
        <f t="shared" si="100"/>
        <v>0</v>
      </c>
      <c r="J1643" s="5"/>
    </row>
    <row r="1644" spans="2:10" x14ac:dyDescent="0.15">
      <c r="B1644" s="10" t="s">
        <v>510</v>
      </c>
      <c r="C1644" s="13">
        <v>45</v>
      </c>
      <c r="D1644" s="14">
        <f t="shared" ref="D1644:D1653" si="102">SUM(C1644:C1644)</f>
        <v>45</v>
      </c>
      <c r="E1644" s="12">
        <v>42866</v>
      </c>
      <c r="G1644" s="15"/>
      <c r="H1644" s="7"/>
      <c r="I1644" s="14">
        <f t="shared" si="100"/>
        <v>0</v>
      </c>
      <c r="J1644" s="12"/>
    </row>
    <row r="1645" spans="2:10" x14ac:dyDescent="0.15">
      <c r="B1645" s="10" t="s">
        <v>510</v>
      </c>
      <c r="C1645" s="13">
        <v>2</v>
      </c>
      <c r="D1645" s="14">
        <f t="shared" si="102"/>
        <v>2</v>
      </c>
      <c r="E1645" s="12">
        <v>42867</v>
      </c>
      <c r="G1645" s="15"/>
      <c r="H1645" s="13"/>
      <c r="I1645" s="14">
        <f t="shared" si="100"/>
        <v>0</v>
      </c>
      <c r="J1645" s="5"/>
    </row>
    <row r="1646" spans="2:10" x14ac:dyDescent="0.15">
      <c r="B1646" s="10" t="s">
        <v>510</v>
      </c>
      <c r="C1646" s="13">
        <v>6</v>
      </c>
      <c r="D1646" s="14">
        <f t="shared" si="102"/>
        <v>6</v>
      </c>
      <c r="E1646" s="12">
        <v>42871</v>
      </c>
      <c r="G1646" s="15"/>
      <c r="H1646" s="13"/>
      <c r="I1646" s="14">
        <f t="shared" si="100"/>
        <v>0</v>
      </c>
      <c r="J1646" s="12"/>
    </row>
    <row r="1647" spans="2:10" x14ac:dyDescent="0.15">
      <c r="B1647" s="10" t="s">
        <v>510</v>
      </c>
      <c r="C1647" s="13">
        <v>27</v>
      </c>
      <c r="D1647" s="14">
        <f t="shared" si="102"/>
        <v>27</v>
      </c>
      <c r="E1647" s="12">
        <v>42874</v>
      </c>
      <c r="G1647" s="15"/>
      <c r="H1647" s="13"/>
      <c r="I1647" s="14">
        <f t="shared" si="100"/>
        <v>0</v>
      </c>
      <c r="J1647" s="12"/>
    </row>
    <row r="1648" spans="2:10" x14ac:dyDescent="0.15">
      <c r="B1648" s="10" t="s">
        <v>510</v>
      </c>
      <c r="C1648" s="13">
        <v>5</v>
      </c>
      <c r="D1648" s="14">
        <f t="shared" si="102"/>
        <v>5</v>
      </c>
      <c r="E1648" s="5">
        <v>42875</v>
      </c>
      <c r="G1648" s="15"/>
      <c r="H1648" s="13"/>
      <c r="I1648" s="14">
        <f t="shared" si="100"/>
        <v>0</v>
      </c>
      <c r="J1648" s="12"/>
    </row>
    <row r="1649" spans="2:10" x14ac:dyDescent="0.15">
      <c r="B1649" s="10" t="s">
        <v>189</v>
      </c>
      <c r="C1649" s="13">
        <v>2</v>
      </c>
      <c r="D1649" s="14">
        <f t="shared" si="102"/>
        <v>2</v>
      </c>
      <c r="E1649" s="5">
        <v>42875</v>
      </c>
      <c r="G1649" s="15"/>
      <c r="H1649" s="7"/>
      <c r="I1649" s="14">
        <f>SUM(H1649:H1649)</f>
        <v>0</v>
      </c>
      <c r="J1649" s="12"/>
    </row>
    <row r="1650" spans="2:10" x14ac:dyDescent="0.15">
      <c r="B1650" s="10"/>
      <c r="C1650" s="13"/>
      <c r="D1650" s="14">
        <f t="shared" si="102"/>
        <v>0</v>
      </c>
      <c r="E1650" s="5"/>
      <c r="G1650" s="15"/>
      <c r="H1650" s="7"/>
      <c r="I1650" s="14">
        <f t="shared" si="100"/>
        <v>0</v>
      </c>
      <c r="J1650" s="12"/>
    </row>
    <row r="1651" spans="2:10" x14ac:dyDescent="0.15">
      <c r="B1651" s="10"/>
      <c r="C1651" s="13"/>
      <c r="D1651" s="14">
        <f t="shared" si="102"/>
        <v>0</v>
      </c>
      <c r="E1651" s="5"/>
      <c r="G1651" s="15"/>
      <c r="H1651" s="7"/>
      <c r="I1651" s="14">
        <f t="shared" si="100"/>
        <v>0</v>
      </c>
      <c r="J1651" s="12"/>
    </row>
    <row r="1652" spans="2:10" ht="14.25" thickBot="1" x14ac:dyDescent="0.2">
      <c r="B1652" s="10"/>
      <c r="C1652" s="13"/>
      <c r="D1652" s="11">
        <f t="shared" si="102"/>
        <v>0</v>
      </c>
      <c r="E1652" s="12"/>
      <c r="G1652" s="15"/>
      <c r="H1652" s="7"/>
      <c r="I1652" s="14">
        <f>SUM(H1652:H1652)</f>
        <v>0</v>
      </c>
      <c r="J1652" s="12"/>
    </row>
    <row r="1653" spans="2:10" ht="14.25" thickBot="1" x14ac:dyDescent="0.2">
      <c r="B1653" s="17" t="s">
        <v>2</v>
      </c>
      <c r="C1653" s="18">
        <f>SUM(C1629:C1652)</f>
        <v>269</v>
      </c>
      <c r="D1653" s="19">
        <f t="shared" si="102"/>
        <v>269</v>
      </c>
      <c r="E1653" s="20"/>
      <c r="G1653" s="17" t="s">
        <v>2</v>
      </c>
      <c r="H1653" s="18">
        <f>SUM(H1629:H1652)</f>
        <v>1250</v>
      </c>
      <c r="I1653" s="19">
        <f t="shared" si="100"/>
        <v>1250</v>
      </c>
      <c r="J1653" s="20"/>
    </row>
    <row r="1654" spans="2:10" ht="14.25" thickBot="1" x14ac:dyDescent="0.2">
      <c r="B1654" s="46" t="s">
        <v>3</v>
      </c>
      <c r="C1654" s="52">
        <f>C1628-C1653</f>
        <v>177</v>
      </c>
      <c r="D1654" s="48">
        <f>D1628-D1653</f>
        <v>177</v>
      </c>
      <c r="E1654" s="49"/>
      <c r="G1654" s="46" t="s">
        <v>3</v>
      </c>
      <c r="H1654" s="52">
        <f>H1628-H1653</f>
        <v>4750</v>
      </c>
      <c r="I1654" s="48">
        <f>I1628-I1653</f>
        <v>4750</v>
      </c>
      <c r="J1654" s="49"/>
    </row>
    <row r="1657" spans="2:10" ht="18.75" x14ac:dyDescent="0.2">
      <c r="B1657" s="26" t="s">
        <v>7</v>
      </c>
      <c r="G1657" s="26" t="s">
        <v>35</v>
      </c>
    </row>
    <row r="1658" spans="2:10" ht="14.25" thickBot="1" x14ac:dyDescent="0.2"/>
    <row r="1659" spans="2:10" ht="14.25" thickBot="1" x14ac:dyDescent="0.2">
      <c r="B1659" s="1"/>
      <c r="C1659" s="2"/>
      <c r="D1659" s="3" t="s">
        <v>0</v>
      </c>
      <c r="E1659" s="1" t="s">
        <v>4</v>
      </c>
      <c r="G1659" s="1"/>
      <c r="H1659" s="2"/>
      <c r="I1659" s="3" t="s">
        <v>0</v>
      </c>
      <c r="J1659" s="1" t="s">
        <v>4</v>
      </c>
    </row>
    <row r="1660" spans="2:10" x14ac:dyDescent="0.15">
      <c r="B1660" s="42" t="s">
        <v>5</v>
      </c>
      <c r="C1660" s="43">
        <f>C1654</f>
        <v>177</v>
      </c>
      <c r="D1660" s="44">
        <f>SUM(C1660:C1660)</f>
        <v>177</v>
      </c>
      <c r="E1660" s="45"/>
      <c r="G1660" s="42" t="s">
        <v>5</v>
      </c>
      <c r="H1660" s="43">
        <f>H1654</f>
        <v>4750</v>
      </c>
      <c r="I1660" s="44">
        <f>SUM(H1660:H1660)</f>
        <v>4750</v>
      </c>
      <c r="J1660" s="45"/>
    </row>
    <row r="1661" spans="2:10" x14ac:dyDescent="0.15">
      <c r="B1661" s="6" t="s">
        <v>6</v>
      </c>
      <c r="C1661" s="13">
        <v>200</v>
      </c>
      <c r="D1661" s="14">
        <f>SUM(C1661:C1661)</f>
        <v>200</v>
      </c>
      <c r="E1661" s="12">
        <v>42878</v>
      </c>
      <c r="G1661" s="6" t="s">
        <v>6</v>
      </c>
      <c r="H1661" s="13"/>
      <c r="I1661" s="14">
        <f>SUM(H1661:H1661)</f>
        <v>0</v>
      </c>
      <c r="J1661" s="5"/>
    </row>
    <row r="1662" spans="2:10" x14ac:dyDescent="0.15">
      <c r="B1662" s="6" t="s">
        <v>105</v>
      </c>
      <c r="C1662" s="7">
        <v>3</v>
      </c>
      <c r="D1662" s="8">
        <f>SUM(C1662:C1662)</f>
        <v>3</v>
      </c>
      <c r="E1662" s="9">
        <v>42882</v>
      </c>
      <c r="G1662" s="6" t="s">
        <v>6</v>
      </c>
      <c r="H1662" s="13"/>
      <c r="I1662" s="14">
        <f>SUM(H1662:H1662)</f>
        <v>0</v>
      </c>
      <c r="J1662" s="5"/>
    </row>
    <row r="1663" spans="2:10" ht="14.25" thickBot="1" x14ac:dyDescent="0.2">
      <c r="B1663" s="6" t="s">
        <v>6</v>
      </c>
      <c r="C1663" s="7">
        <v>336</v>
      </c>
      <c r="D1663" s="14">
        <f>SUM(C1663:C1663)</f>
        <v>336</v>
      </c>
      <c r="E1663" s="16">
        <v>42894</v>
      </c>
      <c r="G1663" s="6" t="s">
        <v>6</v>
      </c>
      <c r="H1663" s="88"/>
      <c r="I1663" s="11">
        <f>SUM(H1663:H1663)</f>
        <v>0</v>
      </c>
      <c r="J1663" s="85"/>
    </row>
    <row r="1664" spans="2:10" ht="14.25" thickBot="1" x14ac:dyDescent="0.2">
      <c r="B1664" s="46" t="s">
        <v>1</v>
      </c>
      <c r="C1664" s="48">
        <f>SUM(C1660:C1663)</f>
        <v>716</v>
      </c>
      <c r="D1664" s="48">
        <f>SUM(D1660:D1663)</f>
        <v>716</v>
      </c>
      <c r="E1664" s="49"/>
      <c r="G1664" s="46" t="s">
        <v>1</v>
      </c>
      <c r="H1664" s="47">
        <f>SUM(H1660:H1663)</f>
        <v>4750</v>
      </c>
      <c r="I1664" s="48">
        <f>SUM(I1660:I1663)</f>
        <v>4750</v>
      </c>
      <c r="J1664" s="49"/>
    </row>
    <row r="1665" spans="2:10" x14ac:dyDescent="0.15">
      <c r="B1665" s="15" t="s">
        <v>515</v>
      </c>
      <c r="C1665" s="77">
        <v>100</v>
      </c>
      <c r="D1665" s="11">
        <f>SUM(C1665:C1665)</f>
        <v>100</v>
      </c>
      <c r="E1665" s="12">
        <v>42881</v>
      </c>
      <c r="G1665" s="15" t="s">
        <v>514</v>
      </c>
      <c r="H1665" s="13">
        <v>300</v>
      </c>
      <c r="I1665" s="11">
        <f>SUM(H1665:H1665)</f>
        <v>300</v>
      </c>
      <c r="J1665" s="12">
        <v>42877</v>
      </c>
    </row>
    <row r="1666" spans="2:10" x14ac:dyDescent="0.15">
      <c r="B1666" s="10" t="s">
        <v>18</v>
      </c>
      <c r="C1666" s="13">
        <v>16</v>
      </c>
      <c r="D1666" s="14">
        <f>SUM(C1666:C1666)</f>
        <v>16</v>
      </c>
      <c r="E1666" s="12">
        <v>42878</v>
      </c>
      <c r="G1666" s="15" t="s">
        <v>12</v>
      </c>
      <c r="H1666" s="13">
        <v>200</v>
      </c>
      <c r="I1666" s="14">
        <f>SUM(H1666:H1666)</f>
        <v>200</v>
      </c>
      <c r="J1666" s="12">
        <v>42878</v>
      </c>
    </row>
    <row r="1667" spans="2:10" x14ac:dyDescent="0.15">
      <c r="B1667" s="10" t="s">
        <v>189</v>
      </c>
      <c r="C1667" s="13">
        <v>8</v>
      </c>
      <c r="D1667" s="14">
        <f>SUM(C1667:C1667)</f>
        <v>8</v>
      </c>
      <c r="E1667" s="12">
        <v>42879</v>
      </c>
      <c r="G1667" s="15" t="s">
        <v>517</v>
      </c>
      <c r="H1667" s="13">
        <v>400</v>
      </c>
      <c r="I1667" s="14">
        <f t="shared" ref="I1667:I1689" si="103">SUM(H1667:H1667)</f>
        <v>400</v>
      </c>
      <c r="J1667" s="12">
        <v>42888</v>
      </c>
    </row>
    <row r="1668" spans="2:10" x14ac:dyDescent="0.15">
      <c r="B1668" s="10" t="s">
        <v>18</v>
      </c>
      <c r="C1668" s="13">
        <v>33</v>
      </c>
      <c r="D1668" s="14">
        <f t="shared" ref="D1668:D1678" si="104">SUM(C1668:C1668)</f>
        <v>33</v>
      </c>
      <c r="E1668" s="12">
        <v>42881</v>
      </c>
      <c r="G1668" s="15" t="s">
        <v>518</v>
      </c>
      <c r="H1668" s="13">
        <v>200</v>
      </c>
      <c r="I1668" s="14">
        <f t="shared" si="103"/>
        <v>200</v>
      </c>
      <c r="J1668" s="12">
        <v>42889</v>
      </c>
    </row>
    <row r="1669" spans="2:10" x14ac:dyDescent="0.15">
      <c r="B1669" s="10" t="s">
        <v>18</v>
      </c>
      <c r="C1669" s="13">
        <v>34</v>
      </c>
      <c r="D1669" s="14">
        <f t="shared" si="104"/>
        <v>34</v>
      </c>
      <c r="E1669" s="12">
        <v>42884</v>
      </c>
      <c r="G1669" s="15" t="s">
        <v>519</v>
      </c>
      <c r="H1669" s="13">
        <v>400</v>
      </c>
      <c r="I1669" s="14">
        <f t="shared" si="103"/>
        <v>400</v>
      </c>
      <c r="J1669" s="12">
        <v>42893</v>
      </c>
    </row>
    <row r="1670" spans="2:10" x14ac:dyDescent="0.15">
      <c r="B1670" s="10" t="s">
        <v>189</v>
      </c>
      <c r="C1670" s="13">
        <v>1</v>
      </c>
      <c r="D1670" s="14">
        <f t="shared" si="104"/>
        <v>1</v>
      </c>
      <c r="E1670" s="12">
        <v>42884</v>
      </c>
      <c r="G1670" s="15" t="s">
        <v>12</v>
      </c>
      <c r="H1670" s="13">
        <v>336</v>
      </c>
      <c r="I1670" s="14">
        <f t="shared" si="103"/>
        <v>336</v>
      </c>
      <c r="J1670" s="12">
        <v>42894</v>
      </c>
    </row>
    <row r="1671" spans="2:10" x14ac:dyDescent="0.15">
      <c r="B1671" s="10" t="s">
        <v>18</v>
      </c>
      <c r="C1671" s="13">
        <v>14</v>
      </c>
      <c r="D1671" s="14">
        <f t="shared" si="104"/>
        <v>14</v>
      </c>
      <c r="E1671" s="12">
        <v>42887</v>
      </c>
      <c r="G1671" s="15" t="s">
        <v>520</v>
      </c>
      <c r="H1671" s="13">
        <v>500</v>
      </c>
      <c r="I1671" s="14">
        <f t="shared" si="103"/>
        <v>500</v>
      </c>
      <c r="J1671" s="12">
        <v>42895</v>
      </c>
    </row>
    <row r="1672" spans="2:10" x14ac:dyDescent="0.15">
      <c r="B1672" s="10" t="s">
        <v>189</v>
      </c>
      <c r="C1672" s="13">
        <v>2</v>
      </c>
      <c r="D1672" s="14">
        <f t="shared" si="104"/>
        <v>2</v>
      </c>
      <c r="E1672" s="12">
        <v>42887</v>
      </c>
      <c r="G1672" s="15"/>
      <c r="H1672" s="13"/>
      <c r="I1672" s="14">
        <f t="shared" si="103"/>
        <v>0</v>
      </c>
      <c r="J1672" s="12"/>
    </row>
    <row r="1673" spans="2:10" x14ac:dyDescent="0.15">
      <c r="B1673" s="10" t="s">
        <v>18</v>
      </c>
      <c r="C1673" s="13">
        <v>58</v>
      </c>
      <c r="D1673" s="14">
        <f t="shared" si="104"/>
        <v>58</v>
      </c>
      <c r="E1673" s="12">
        <v>42891</v>
      </c>
      <c r="G1673" s="10"/>
      <c r="H1673" s="13"/>
      <c r="I1673" s="14">
        <f t="shared" si="103"/>
        <v>0</v>
      </c>
      <c r="J1673" s="12"/>
    </row>
    <row r="1674" spans="2:10" x14ac:dyDescent="0.15">
      <c r="B1674" s="10" t="s">
        <v>18</v>
      </c>
      <c r="C1674" s="13">
        <v>11</v>
      </c>
      <c r="D1674" s="14">
        <f t="shared" si="104"/>
        <v>11</v>
      </c>
      <c r="E1674" s="12">
        <v>42893</v>
      </c>
      <c r="G1674" s="78"/>
      <c r="H1674" s="13"/>
      <c r="I1674" s="14">
        <f t="shared" si="103"/>
        <v>0</v>
      </c>
      <c r="J1674" s="12"/>
    </row>
    <row r="1675" spans="2:10" x14ac:dyDescent="0.15">
      <c r="B1675" s="15" t="s">
        <v>521</v>
      </c>
      <c r="C1675" s="13">
        <v>100</v>
      </c>
      <c r="D1675" s="14">
        <f t="shared" si="104"/>
        <v>100</v>
      </c>
      <c r="E1675" s="12">
        <v>42894</v>
      </c>
      <c r="G1675" s="15"/>
      <c r="H1675" s="13"/>
      <c r="I1675" s="14">
        <f t="shared" si="103"/>
        <v>0</v>
      </c>
      <c r="J1675" s="5"/>
    </row>
    <row r="1676" spans="2:10" x14ac:dyDescent="0.15">
      <c r="B1676" s="10" t="s">
        <v>18</v>
      </c>
      <c r="C1676" s="13">
        <v>86</v>
      </c>
      <c r="D1676" s="14">
        <f t="shared" si="104"/>
        <v>86</v>
      </c>
      <c r="E1676" s="12">
        <v>42895</v>
      </c>
      <c r="G1676" s="15"/>
      <c r="H1676" s="7"/>
      <c r="I1676" s="14">
        <f t="shared" si="103"/>
        <v>0</v>
      </c>
      <c r="J1676" s="12"/>
    </row>
    <row r="1677" spans="2:10" x14ac:dyDescent="0.15">
      <c r="B1677" s="15" t="s">
        <v>522</v>
      </c>
      <c r="C1677" s="13">
        <v>100</v>
      </c>
      <c r="D1677" s="14">
        <f t="shared" si="104"/>
        <v>100</v>
      </c>
      <c r="E1677" s="12">
        <v>42896</v>
      </c>
      <c r="G1677" s="10"/>
      <c r="H1677" s="13"/>
      <c r="I1677" s="14">
        <f t="shared" si="103"/>
        <v>0</v>
      </c>
      <c r="J1677" s="12"/>
    </row>
    <row r="1678" spans="2:10" x14ac:dyDescent="0.15">
      <c r="B1678" s="10" t="s">
        <v>189</v>
      </c>
      <c r="C1678" s="13">
        <v>6</v>
      </c>
      <c r="D1678" s="14">
        <f t="shared" si="104"/>
        <v>6</v>
      </c>
      <c r="E1678" s="12">
        <v>42895</v>
      </c>
      <c r="G1678" s="15"/>
      <c r="H1678" s="13"/>
      <c r="I1678" s="14">
        <f t="shared" si="103"/>
        <v>0</v>
      </c>
      <c r="J1678" s="12"/>
    </row>
    <row r="1679" spans="2:10" x14ac:dyDescent="0.15">
      <c r="B1679" s="10" t="s">
        <v>189</v>
      </c>
      <c r="C1679" s="13">
        <v>6</v>
      </c>
      <c r="D1679" s="14">
        <f>SUM(C1679:C1679)</f>
        <v>6</v>
      </c>
      <c r="E1679" s="12">
        <v>42898</v>
      </c>
      <c r="G1679" s="15"/>
      <c r="H1679" s="13"/>
      <c r="I1679" s="14">
        <f t="shared" si="103"/>
        <v>0</v>
      </c>
      <c r="J1679" s="5"/>
    </row>
    <row r="1680" spans="2:10" x14ac:dyDescent="0.15">
      <c r="B1680" s="10"/>
      <c r="C1680" s="13"/>
      <c r="D1680" s="14">
        <f t="shared" ref="D1680:D1689" si="105">SUM(C1680:C1680)</f>
        <v>0</v>
      </c>
      <c r="E1680" s="12"/>
      <c r="G1680" s="15"/>
      <c r="H1680" s="7"/>
      <c r="I1680" s="14">
        <f t="shared" si="103"/>
        <v>0</v>
      </c>
      <c r="J1680" s="12"/>
    </row>
    <row r="1681" spans="2:11" x14ac:dyDescent="0.15">
      <c r="B1681" s="10"/>
      <c r="C1681" s="13"/>
      <c r="D1681" s="14">
        <f t="shared" si="105"/>
        <v>0</v>
      </c>
      <c r="E1681" s="12"/>
      <c r="G1681" s="15"/>
      <c r="H1681" s="13"/>
      <c r="I1681" s="14">
        <f t="shared" si="103"/>
        <v>0</v>
      </c>
      <c r="J1681" s="5"/>
    </row>
    <row r="1682" spans="2:11" x14ac:dyDescent="0.15">
      <c r="B1682" s="10"/>
      <c r="C1682" s="13"/>
      <c r="D1682" s="14">
        <f t="shared" si="105"/>
        <v>0</v>
      </c>
      <c r="E1682" s="12"/>
      <c r="G1682" s="15"/>
      <c r="H1682" s="13"/>
      <c r="I1682" s="14">
        <f t="shared" si="103"/>
        <v>0</v>
      </c>
      <c r="J1682" s="12"/>
    </row>
    <row r="1683" spans="2:11" x14ac:dyDescent="0.15">
      <c r="B1683" s="10"/>
      <c r="C1683" s="13"/>
      <c r="D1683" s="14">
        <f t="shared" si="105"/>
        <v>0</v>
      </c>
      <c r="E1683" s="12"/>
      <c r="G1683" s="15"/>
      <c r="H1683" s="13"/>
      <c r="I1683" s="14">
        <f t="shared" si="103"/>
        <v>0</v>
      </c>
      <c r="J1683" s="12"/>
    </row>
    <row r="1684" spans="2:11" x14ac:dyDescent="0.15">
      <c r="B1684" s="10"/>
      <c r="C1684" s="13"/>
      <c r="D1684" s="14">
        <f t="shared" si="105"/>
        <v>0</v>
      </c>
      <c r="E1684" s="5"/>
      <c r="G1684" s="15"/>
      <c r="H1684" s="7"/>
      <c r="I1684" s="14">
        <f>SUM(H1684:H1684)</f>
        <v>0</v>
      </c>
      <c r="J1684" s="12"/>
    </row>
    <row r="1685" spans="2:11" x14ac:dyDescent="0.15">
      <c r="B1685" s="10"/>
      <c r="C1685" s="13"/>
      <c r="D1685" s="14">
        <f t="shared" si="105"/>
        <v>0</v>
      </c>
      <c r="E1685" s="5"/>
      <c r="G1685" s="15"/>
      <c r="H1685" s="7"/>
      <c r="I1685" s="14">
        <f>SUM(H1685:H1685)</f>
        <v>0</v>
      </c>
      <c r="J1685" s="12"/>
      <c r="K1685" s="86"/>
    </row>
    <row r="1686" spans="2:11" x14ac:dyDescent="0.15">
      <c r="B1686" s="10"/>
      <c r="C1686" s="13"/>
      <c r="D1686" s="14">
        <f t="shared" si="105"/>
        <v>0</v>
      </c>
      <c r="E1686" s="5"/>
      <c r="G1686" s="15"/>
      <c r="H1686" s="7"/>
      <c r="I1686" s="14">
        <f>SUM(H1686:H1686)</f>
        <v>0</v>
      </c>
      <c r="J1686" s="12"/>
    </row>
    <row r="1687" spans="2:11" x14ac:dyDescent="0.15">
      <c r="B1687" s="10"/>
      <c r="C1687" s="13"/>
      <c r="D1687" s="14">
        <f t="shared" si="105"/>
        <v>0</v>
      </c>
      <c r="E1687" s="5"/>
      <c r="G1687" s="15"/>
      <c r="H1687" s="7"/>
      <c r="I1687" s="14">
        <f>SUM(H1687:H1687)</f>
        <v>0</v>
      </c>
      <c r="J1687" s="12"/>
    </row>
    <row r="1688" spans="2:11" ht="14.25" thickBot="1" x14ac:dyDescent="0.2">
      <c r="B1688" s="10"/>
      <c r="C1688" s="13"/>
      <c r="D1688" s="11">
        <f t="shared" si="105"/>
        <v>0</v>
      </c>
      <c r="E1688" s="12"/>
      <c r="G1688" s="15"/>
      <c r="H1688" s="7"/>
      <c r="I1688" s="14">
        <f>SUM(H1688:H1688)</f>
        <v>0</v>
      </c>
      <c r="J1688" s="12"/>
    </row>
    <row r="1689" spans="2:11" ht="14.25" thickBot="1" x14ac:dyDescent="0.2">
      <c r="B1689" s="17" t="s">
        <v>2</v>
      </c>
      <c r="C1689" s="18">
        <f>SUM(C1665:C1688)</f>
        <v>575</v>
      </c>
      <c r="D1689" s="19">
        <f t="shared" si="105"/>
        <v>575</v>
      </c>
      <c r="E1689" s="20"/>
      <c r="G1689" s="17" t="s">
        <v>2</v>
      </c>
      <c r="H1689" s="18">
        <f>SUM(H1665:H1688)</f>
        <v>2336</v>
      </c>
      <c r="I1689" s="19">
        <f t="shared" si="103"/>
        <v>2336</v>
      </c>
      <c r="J1689" s="20"/>
    </row>
    <row r="1690" spans="2:11" ht="14.25" thickBot="1" x14ac:dyDescent="0.2">
      <c r="B1690" s="46" t="s">
        <v>3</v>
      </c>
      <c r="C1690" s="52">
        <f>C1664-C1689</f>
        <v>141</v>
      </c>
      <c r="D1690" s="48">
        <f>D1664-D1689</f>
        <v>141</v>
      </c>
      <c r="E1690" s="49"/>
      <c r="G1690" s="46" t="s">
        <v>3</v>
      </c>
      <c r="H1690" s="52">
        <f>H1664-H1689</f>
        <v>2414</v>
      </c>
      <c r="I1690" s="48">
        <f>I1664-I1689</f>
        <v>2414</v>
      </c>
      <c r="J1690" s="49"/>
    </row>
    <row r="1693" spans="2:11" ht="18.75" x14ac:dyDescent="0.2">
      <c r="B1693" s="26" t="s">
        <v>7</v>
      </c>
      <c r="G1693" s="26" t="s">
        <v>35</v>
      </c>
    </row>
    <row r="1694" spans="2:11" ht="14.25" thickBot="1" x14ac:dyDescent="0.2"/>
    <row r="1695" spans="2:11" ht="14.25" thickBot="1" x14ac:dyDescent="0.2">
      <c r="B1695" s="1"/>
      <c r="C1695" s="2"/>
      <c r="D1695" s="3" t="s">
        <v>0</v>
      </c>
      <c r="E1695" s="1" t="s">
        <v>4</v>
      </c>
      <c r="G1695" s="1"/>
      <c r="H1695" s="2"/>
      <c r="I1695" s="3" t="s">
        <v>0</v>
      </c>
      <c r="J1695" s="1" t="s">
        <v>4</v>
      </c>
    </row>
    <row r="1696" spans="2:11" x14ac:dyDescent="0.15">
      <c r="B1696" s="42" t="s">
        <v>5</v>
      </c>
      <c r="C1696" s="43">
        <f>C1690</f>
        <v>141</v>
      </c>
      <c r="D1696" s="44">
        <f>SUM(C1696:C1696)</f>
        <v>141</v>
      </c>
      <c r="E1696" s="45"/>
      <c r="G1696" s="42" t="s">
        <v>5</v>
      </c>
      <c r="H1696" s="43">
        <f>H1690</f>
        <v>2414</v>
      </c>
      <c r="I1696" s="44">
        <f>SUM(H1696:H1696)</f>
        <v>2414</v>
      </c>
      <c r="J1696" s="45"/>
    </row>
    <row r="1697" spans="2:10" x14ac:dyDescent="0.15">
      <c r="B1697" s="6" t="s">
        <v>6</v>
      </c>
      <c r="C1697" s="13">
        <v>336</v>
      </c>
      <c r="D1697" s="14">
        <f>SUM(C1697:C1697)</f>
        <v>336</v>
      </c>
      <c r="E1697" s="12">
        <v>42900</v>
      </c>
      <c r="G1697" s="6" t="s">
        <v>6</v>
      </c>
      <c r="H1697" s="13"/>
      <c r="I1697" s="14">
        <f>SUM(H1697:H1697)</f>
        <v>0</v>
      </c>
      <c r="J1697" s="5"/>
    </row>
    <row r="1698" spans="2:10" x14ac:dyDescent="0.15">
      <c r="B1698" s="6" t="s">
        <v>105</v>
      </c>
      <c r="C1698" s="7">
        <v>10</v>
      </c>
      <c r="D1698" s="8">
        <f>SUM(C1698:C1698)</f>
        <v>10</v>
      </c>
      <c r="E1698" s="9">
        <v>42914</v>
      </c>
      <c r="G1698" s="6" t="s">
        <v>6</v>
      </c>
      <c r="H1698" s="13">
        <v>2000</v>
      </c>
      <c r="I1698" s="14">
        <f>SUM(H1698:H1698)</f>
        <v>2000</v>
      </c>
      <c r="J1698" s="5">
        <v>42887</v>
      </c>
    </row>
    <row r="1699" spans="2:10" ht="14.25" thickBot="1" x14ac:dyDescent="0.2">
      <c r="B1699" s="6" t="s">
        <v>6</v>
      </c>
      <c r="C1699" s="7">
        <v>200</v>
      </c>
      <c r="D1699" s="14">
        <f>SUM(C1699:C1699)</f>
        <v>200</v>
      </c>
      <c r="E1699" s="16">
        <v>42926</v>
      </c>
      <c r="G1699" s="6" t="s">
        <v>6</v>
      </c>
      <c r="H1699" s="88"/>
      <c r="I1699" s="11">
        <f>SUM(H1699:H1699)</f>
        <v>0</v>
      </c>
      <c r="J1699" s="85"/>
    </row>
    <row r="1700" spans="2:10" ht="14.25" thickBot="1" x14ac:dyDescent="0.2">
      <c r="B1700" s="46" t="s">
        <v>1</v>
      </c>
      <c r="C1700" s="48">
        <f>SUM(C1696:C1699)</f>
        <v>687</v>
      </c>
      <c r="D1700" s="48">
        <f>SUM(D1696:D1699)</f>
        <v>687</v>
      </c>
      <c r="E1700" s="49"/>
      <c r="G1700" s="46" t="s">
        <v>1</v>
      </c>
      <c r="H1700" s="47">
        <f>SUM(H1696:H1699)</f>
        <v>4414</v>
      </c>
      <c r="I1700" s="48">
        <f>SUM(I1696:I1699)</f>
        <v>4414</v>
      </c>
      <c r="J1700" s="49"/>
    </row>
    <row r="1701" spans="2:10" x14ac:dyDescent="0.15">
      <c r="B1701" s="10" t="s">
        <v>18</v>
      </c>
      <c r="C1701" s="77">
        <v>65</v>
      </c>
      <c r="D1701" s="11">
        <f>SUM(C1701:C1701)</f>
        <v>65</v>
      </c>
      <c r="E1701" s="12">
        <v>42900</v>
      </c>
      <c r="G1701" s="81" t="s">
        <v>12</v>
      </c>
      <c r="H1701" s="13">
        <v>336</v>
      </c>
      <c r="I1701" s="11">
        <f>SUM(H1701:H1701)</f>
        <v>336</v>
      </c>
      <c r="J1701" s="12">
        <v>42900</v>
      </c>
    </row>
    <row r="1702" spans="2:10" x14ac:dyDescent="0.15">
      <c r="B1702" s="10" t="s">
        <v>18</v>
      </c>
      <c r="C1702" s="13">
        <v>41</v>
      </c>
      <c r="D1702" s="14">
        <f>SUM(C1702:C1702)</f>
        <v>41</v>
      </c>
      <c r="E1702" s="12">
        <v>42902</v>
      </c>
      <c r="G1702" s="15" t="s">
        <v>445</v>
      </c>
      <c r="H1702" s="13">
        <v>900</v>
      </c>
      <c r="I1702" s="14">
        <f>SUM(H1702:H1702)</f>
        <v>900</v>
      </c>
      <c r="J1702" s="12">
        <v>42901</v>
      </c>
    </row>
    <row r="1703" spans="2:10" x14ac:dyDescent="0.15">
      <c r="B1703" s="10" t="s">
        <v>18</v>
      </c>
      <c r="C1703" s="13">
        <v>9</v>
      </c>
      <c r="D1703" s="14">
        <f>SUM(C1703:C1703)</f>
        <v>9</v>
      </c>
      <c r="E1703" s="12">
        <v>42907</v>
      </c>
      <c r="G1703" s="15" t="s">
        <v>449</v>
      </c>
      <c r="H1703" s="13">
        <v>600</v>
      </c>
      <c r="I1703" s="14">
        <f t="shared" ref="I1703:I1725" si="106">SUM(H1703:H1703)</f>
        <v>600</v>
      </c>
      <c r="J1703" s="12">
        <v>42923</v>
      </c>
    </row>
    <row r="1704" spans="2:10" x14ac:dyDescent="0.15">
      <c r="B1704" s="10" t="s">
        <v>524</v>
      </c>
      <c r="C1704" s="13">
        <v>1</v>
      </c>
      <c r="D1704" s="14">
        <f t="shared" ref="D1704:D1714" si="107">SUM(C1704:C1704)</f>
        <v>1</v>
      </c>
      <c r="E1704" s="12">
        <v>42905</v>
      </c>
      <c r="G1704" s="15" t="s">
        <v>458</v>
      </c>
      <c r="H1704" s="13">
        <v>300</v>
      </c>
      <c r="I1704" s="14">
        <f t="shared" si="106"/>
        <v>300</v>
      </c>
      <c r="J1704" s="12">
        <v>42924</v>
      </c>
    </row>
    <row r="1705" spans="2:10" x14ac:dyDescent="0.15">
      <c r="B1705" s="10" t="s">
        <v>18</v>
      </c>
      <c r="C1705" s="13">
        <v>67</v>
      </c>
      <c r="D1705" s="14">
        <f t="shared" si="107"/>
        <v>67</v>
      </c>
      <c r="E1705" s="12">
        <v>42909</v>
      </c>
      <c r="G1705" s="15" t="s">
        <v>12</v>
      </c>
      <c r="H1705" s="13">
        <v>200</v>
      </c>
      <c r="I1705" s="14">
        <f t="shared" si="106"/>
        <v>200</v>
      </c>
      <c r="J1705" s="12">
        <v>42926</v>
      </c>
    </row>
    <row r="1706" spans="2:10" x14ac:dyDescent="0.15">
      <c r="B1706" s="10" t="s">
        <v>18</v>
      </c>
      <c r="C1706" s="13">
        <v>37</v>
      </c>
      <c r="D1706" s="14">
        <f t="shared" si="107"/>
        <v>37</v>
      </c>
      <c r="E1706" s="12">
        <v>42912</v>
      </c>
      <c r="G1706" s="78"/>
      <c r="H1706" s="13"/>
      <c r="I1706" s="14">
        <f t="shared" si="106"/>
        <v>0</v>
      </c>
      <c r="J1706" s="12"/>
    </row>
    <row r="1707" spans="2:10" x14ac:dyDescent="0.15">
      <c r="B1707" s="10" t="s">
        <v>18</v>
      </c>
      <c r="C1707" s="13">
        <v>40</v>
      </c>
      <c r="D1707" s="14">
        <f t="shared" si="107"/>
        <v>40</v>
      </c>
      <c r="E1707" s="12">
        <v>42916</v>
      </c>
      <c r="G1707" s="78"/>
      <c r="H1707" s="13"/>
      <c r="I1707" s="14">
        <f t="shared" si="106"/>
        <v>0</v>
      </c>
      <c r="J1707" s="12"/>
    </row>
    <row r="1708" spans="2:10" x14ac:dyDescent="0.15">
      <c r="B1708" s="10" t="s">
        <v>525</v>
      </c>
      <c r="C1708" s="13">
        <v>9</v>
      </c>
      <c r="D1708" s="14">
        <f t="shared" si="107"/>
        <v>9</v>
      </c>
      <c r="E1708" s="12">
        <v>42919</v>
      </c>
      <c r="G1708" s="78"/>
      <c r="H1708" s="13"/>
      <c r="I1708" s="14">
        <f t="shared" si="106"/>
        <v>0</v>
      </c>
      <c r="J1708" s="12"/>
    </row>
    <row r="1709" spans="2:10" x14ac:dyDescent="0.15">
      <c r="B1709" s="10" t="s">
        <v>189</v>
      </c>
      <c r="C1709" s="13">
        <v>1</v>
      </c>
      <c r="D1709" s="14">
        <f t="shared" si="107"/>
        <v>1</v>
      </c>
      <c r="E1709" s="12">
        <v>42919</v>
      </c>
      <c r="G1709" s="10"/>
      <c r="H1709" s="13"/>
      <c r="I1709" s="14">
        <f t="shared" si="106"/>
        <v>0</v>
      </c>
      <c r="J1709" s="12"/>
    </row>
    <row r="1710" spans="2:10" x14ac:dyDescent="0.15">
      <c r="B1710" s="10" t="s">
        <v>526</v>
      </c>
      <c r="C1710" s="13">
        <v>34</v>
      </c>
      <c r="D1710" s="14">
        <f t="shared" si="107"/>
        <v>34</v>
      </c>
      <c r="E1710" s="12">
        <v>42921</v>
      </c>
      <c r="G1710" s="78"/>
      <c r="H1710" s="13"/>
      <c r="I1710" s="14">
        <f t="shared" si="106"/>
        <v>0</v>
      </c>
      <c r="J1710" s="12"/>
    </row>
    <row r="1711" spans="2:10" x14ac:dyDescent="0.15">
      <c r="B1711" s="10" t="s">
        <v>189</v>
      </c>
      <c r="C1711" s="13">
        <v>1</v>
      </c>
      <c r="D1711" s="14">
        <f t="shared" si="107"/>
        <v>1</v>
      </c>
      <c r="E1711" s="12">
        <v>42921</v>
      </c>
      <c r="G1711" s="15"/>
      <c r="H1711" s="13"/>
      <c r="I1711" s="14">
        <f t="shared" si="106"/>
        <v>0</v>
      </c>
      <c r="J1711" s="5"/>
    </row>
    <row r="1712" spans="2:10" x14ac:dyDescent="0.15">
      <c r="B1712" s="10" t="s">
        <v>18</v>
      </c>
      <c r="C1712" s="13">
        <v>18</v>
      </c>
      <c r="D1712" s="14">
        <f t="shared" si="107"/>
        <v>18</v>
      </c>
      <c r="E1712" s="12">
        <v>42926</v>
      </c>
      <c r="G1712" s="15"/>
      <c r="H1712" s="7"/>
      <c r="I1712" s="14">
        <f t="shared" si="106"/>
        <v>0</v>
      </c>
      <c r="J1712" s="12"/>
    </row>
    <row r="1713" spans="2:10" x14ac:dyDescent="0.15">
      <c r="B1713" s="15" t="s">
        <v>467</v>
      </c>
      <c r="C1713" s="13">
        <v>100</v>
      </c>
      <c r="D1713" s="14">
        <f t="shared" si="107"/>
        <v>100</v>
      </c>
      <c r="E1713" s="12">
        <v>42927</v>
      </c>
      <c r="G1713" s="10"/>
      <c r="H1713" s="13"/>
      <c r="I1713" s="14">
        <f t="shared" si="106"/>
        <v>0</v>
      </c>
      <c r="J1713" s="12"/>
    </row>
    <row r="1714" spans="2:10" x14ac:dyDescent="0.15">
      <c r="B1714" s="10" t="s">
        <v>105</v>
      </c>
      <c r="C1714" s="13">
        <v>-1</v>
      </c>
      <c r="D1714" s="14">
        <f t="shared" si="107"/>
        <v>-1</v>
      </c>
      <c r="E1714" s="12">
        <v>42923</v>
      </c>
      <c r="G1714" s="15"/>
      <c r="H1714" s="13"/>
      <c r="I1714" s="14">
        <f t="shared" si="106"/>
        <v>0</v>
      </c>
      <c r="J1714" s="12"/>
    </row>
    <row r="1715" spans="2:10" x14ac:dyDescent="0.15">
      <c r="B1715" s="10" t="s">
        <v>18</v>
      </c>
      <c r="C1715" s="13">
        <v>59</v>
      </c>
      <c r="D1715" s="14">
        <f>SUM(C1715:C1715)</f>
        <v>59</v>
      </c>
      <c r="E1715" s="12">
        <v>42927</v>
      </c>
      <c r="G1715" s="15"/>
      <c r="H1715" s="13"/>
      <c r="I1715" s="14">
        <f t="shared" si="106"/>
        <v>0</v>
      </c>
      <c r="J1715" s="5"/>
    </row>
    <row r="1716" spans="2:10" x14ac:dyDescent="0.15">
      <c r="B1716" s="10" t="s">
        <v>528</v>
      </c>
      <c r="C1716" s="13">
        <v>1</v>
      </c>
      <c r="D1716" s="14">
        <f t="shared" ref="D1716:D1725" si="108">SUM(C1716:C1716)</f>
        <v>1</v>
      </c>
      <c r="E1716" s="12">
        <v>42926</v>
      </c>
      <c r="G1716" s="15"/>
      <c r="H1716" s="7"/>
      <c r="I1716" s="14">
        <f t="shared" si="106"/>
        <v>0</v>
      </c>
      <c r="J1716" s="12"/>
    </row>
    <row r="1717" spans="2:10" x14ac:dyDescent="0.15">
      <c r="B1717" s="10" t="s">
        <v>18</v>
      </c>
      <c r="C1717" s="13">
        <v>73</v>
      </c>
      <c r="D1717" s="14">
        <f t="shared" si="108"/>
        <v>73</v>
      </c>
      <c r="E1717" s="12">
        <v>42929</v>
      </c>
      <c r="G1717" s="15"/>
      <c r="H1717" s="13"/>
      <c r="I1717" s="14">
        <f t="shared" si="106"/>
        <v>0</v>
      </c>
      <c r="J1717" s="5"/>
    </row>
    <row r="1718" spans="2:10" x14ac:dyDescent="0.15">
      <c r="B1718" s="10" t="s">
        <v>189</v>
      </c>
      <c r="C1718" s="13">
        <v>8</v>
      </c>
      <c r="D1718" s="14">
        <f t="shared" si="108"/>
        <v>8</v>
      </c>
      <c r="E1718" s="12">
        <v>42927</v>
      </c>
      <c r="G1718" s="15"/>
      <c r="H1718" s="13"/>
      <c r="I1718" s="14">
        <f t="shared" si="106"/>
        <v>0</v>
      </c>
      <c r="J1718" s="12"/>
    </row>
    <row r="1719" spans="2:10" x14ac:dyDescent="0.15">
      <c r="B1719" s="10" t="s">
        <v>76</v>
      </c>
      <c r="C1719" s="13">
        <v>-7</v>
      </c>
      <c r="D1719" s="14">
        <f t="shared" si="108"/>
        <v>-7</v>
      </c>
      <c r="E1719" s="12">
        <v>42929</v>
      </c>
      <c r="G1719" s="15"/>
      <c r="H1719" s="13"/>
      <c r="I1719" s="14">
        <f t="shared" si="106"/>
        <v>0</v>
      </c>
      <c r="J1719" s="12"/>
    </row>
    <row r="1720" spans="2:10" x14ac:dyDescent="0.15">
      <c r="B1720" s="10"/>
      <c r="C1720" s="13"/>
      <c r="D1720" s="14">
        <f t="shared" si="108"/>
        <v>0</v>
      </c>
      <c r="E1720" s="5"/>
      <c r="G1720" s="15"/>
      <c r="H1720" s="13"/>
      <c r="I1720" s="14">
        <f t="shared" si="106"/>
        <v>0</v>
      </c>
      <c r="J1720" s="12"/>
    </row>
    <row r="1721" spans="2:10" x14ac:dyDescent="0.15">
      <c r="B1721" s="10"/>
      <c r="C1721" s="13"/>
      <c r="D1721" s="14">
        <f t="shared" si="108"/>
        <v>0</v>
      </c>
      <c r="E1721" s="5"/>
      <c r="G1721" s="15"/>
      <c r="H1721" s="13"/>
      <c r="I1721" s="14">
        <f>SUM(H1721:H1721)</f>
        <v>0</v>
      </c>
      <c r="J1721" s="12"/>
    </row>
    <row r="1722" spans="2:10" x14ac:dyDescent="0.15">
      <c r="B1722" s="10"/>
      <c r="C1722" s="13"/>
      <c r="D1722" s="14">
        <f t="shared" si="108"/>
        <v>0</v>
      </c>
      <c r="E1722" s="5"/>
      <c r="G1722" s="15"/>
      <c r="H1722" s="7"/>
      <c r="I1722" s="14">
        <f t="shared" si="106"/>
        <v>0</v>
      </c>
      <c r="J1722" s="12"/>
    </row>
    <row r="1723" spans="2:10" x14ac:dyDescent="0.15">
      <c r="B1723" s="10"/>
      <c r="C1723" s="13"/>
      <c r="D1723" s="14">
        <f t="shared" si="108"/>
        <v>0</v>
      </c>
      <c r="E1723" s="5"/>
      <c r="G1723" s="15"/>
      <c r="H1723" s="7"/>
      <c r="I1723" s="14">
        <f t="shared" si="106"/>
        <v>0</v>
      </c>
      <c r="J1723" s="12"/>
    </row>
    <row r="1724" spans="2:10" ht="14.25" thickBot="1" x14ac:dyDescent="0.2">
      <c r="B1724" s="10"/>
      <c r="C1724" s="13"/>
      <c r="D1724" s="11">
        <f t="shared" si="108"/>
        <v>0</v>
      </c>
      <c r="E1724" s="12"/>
      <c r="G1724" s="15"/>
      <c r="H1724" s="7"/>
      <c r="I1724" s="14">
        <f>SUM(H1724:H1724)</f>
        <v>0</v>
      </c>
      <c r="J1724" s="12"/>
    </row>
    <row r="1725" spans="2:10" ht="14.25" thickBot="1" x14ac:dyDescent="0.2">
      <c r="B1725" s="17" t="s">
        <v>2</v>
      </c>
      <c r="C1725" s="18">
        <f>SUM(C1701:C1724)</f>
        <v>556</v>
      </c>
      <c r="D1725" s="19">
        <f t="shared" si="108"/>
        <v>556</v>
      </c>
      <c r="E1725" s="20"/>
      <c r="G1725" s="17" t="s">
        <v>2</v>
      </c>
      <c r="H1725" s="18">
        <f>SUM(H1701:H1724)</f>
        <v>2336</v>
      </c>
      <c r="I1725" s="19">
        <f t="shared" si="106"/>
        <v>2336</v>
      </c>
      <c r="J1725" s="20"/>
    </row>
    <row r="1726" spans="2:10" ht="14.25" thickBot="1" x14ac:dyDescent="0.2">
      <c r="B1726" s="46" t="s">
        <v>3</v>
      </c>
      <c r="C1726" s="52">
        <f>C1700-C1725</f>
        <v>131</v>
      </c>
      <c r="D1726" s="48">
        <f>D1700-D1725</f>
        <v>131</v>
      </c>
      <c r="E1726" s="49"/>
      <c r="G1726" s="46" t="s">
        <v>3</v>
      </c>
      <c r="H1726" s="52">
        <f>H1700-H1725</f>
        <v>2078</v>
      </c>
      <c r="I1726" s="48">
        <f>I1700-I1725</f>
        <v>2078</v>
      </c>
      <c r="J1726" s="49"/>
    </row>
    <row r="1729" spans="2:10" ht="18.75" x14ac:dyDescent="0.2">
      <c r="B1729" s="26" t="s">
        <v>7</v>
      </c>
      <c r="G1729" s="26" t="s">
        <v>35</v>
      </c>
    </row>
    <row r="1730" spans="2:10" ht="14.25" thickBot="1" x14ac:dyDescent="0.2"/>
    <row r="1731" spans="2:10" ht="14.25" thickBot="1" x14ac:dyDescent="0.2">
      <c r="B1731" s="1"/>
      <c r="C1731" s="2"/>
      <c r="D1731" s="3" t="s">
        <v>0</v>
      </c>
      <c r="E1731" s="1" t="s">
        <v>4</v>
      </c>
      <c r="G1731" s="1"/>
      <c r="H1731" s="2"/>
      <c r="I1731" s="3" t="s">
        <v>0</v>
      </c>
      <c r="J1731" s="1" t="s">
        <v>4</v>
      </c>
    </row>
    <row r="1732" spans="2:10" x14ac:dyDescent="0.15">
      <c r="B1732" s="42" t="s">
        <v>5</v>
      </c>
      <c r="C1732" s="43">
        <f>C1726</f>
        <v>131</v>
      </c>
      <c r="D1732" s="44">
        <f>SUM(C1732:C1732)</f>
        <v>131</v>
      </c>
      <c r="E1732" s="45"/>
      <c r="G1732" s="42" t="s">
        <v>5</v>
      </c>
      <c r="H1732" s="43">
        <f>H1726</f>
        <v>2078</v>
      </c>
      <c r="I1732" s="44">
        <f>SUM(H1732:H1732)</f>
        <v>2078</v>
      </c>
      <c r="J1732" s="45"/>
    </row>
    <row r="1733" spans="2:10" x14ac:dyDescent="0.15">
      <c r="B1733" s="6" t="s">
        <v>6</v>
      </c>
      <c r="C1733" s="7">
        <v>336</v>
      </c>
      <c r="D1733" s="8">
        <f>SUM(C1733:C1733)</f>
        <v>336</v>
      </c>
      <c r="E1733" s="9">
        <v>42930</v>
      </c>
      <c r="G1733" s="6" t="s">
        <v>6</v>
      </c>
      <c r="H1733" s="13"/>
      <c r="I1733" s="14">
        <f>SUM(H1733:H1733)</f>
        <v>0</v>
      </c>
      <c r="J1733" s="5"/>
    </row>
    <row r="1734" spans="2:10" x14ac:dyDescent="0.15">
      <c r="B1734" s="6" t="s">
        <v>6</v>
      </c>
      <c r="C1734" s="7">
        <v>200</v>
      </c>
      <c r="D1734" s="14">
        <f>SUM(C1734:C1734)</f>
        <v>200</v>
      </c>
      <c r="E1734" s="5">
        <v>42937</v>
      </c>
      <c r="G1734" s="6" t="s">
        <v>6</v>
      </c>
      <c r="H1734" s="13">
        <v>2500</v>
      </c>
      <c r="I1734" s="14">
        <f>SUM(H1734:H1734)</f>
        <v>2500</v>
      </c>
      <c r="J1734" s="5">
        <v>42917</v>
      </c>
    </row>
    <row r="1735" spans="2:10" ht="14.25" thickBot="1" x14ac:dyDescent="0.2">
      <c r="B1735" s="6" t="s">
        <v>6</v>
      </c>
      <c r="C1735" s="7">
        <v>336</v>
      </c>
      <c r="D1735" s="14">
        <f>SUM(C1735:C1735)</f>
        <v>336</v>
      </c>
      <c r="E1735" s="85">
        <v>42948</v>
      </c>
      <c r="G1735" s="6" t="s">
        <v>6</v>
      </c>
      <c r="H1735" s="91">
        <v>1000</v>
      </c>
      <c r="I1735" s="14">
        <f>SUM(H1735:H1735)</f>
        <v>1000</v>
      </c>
      <c r="J1735" s="5">
        <v>42948</v>
      </c>
    </row>
    <row r="1736" spans="2:10" ht="14.25" thickBot="1" x14ac:dyDescent="0.2">
      <c r="B1736" s="46" t="s">
        <v>1</v>
      </c>
      <c r="C1736" s="48">
        <f>SUM(C1732:C1735)</f>
        <v>1003</v>
      </c>
      <c r="D1736" s="48">
        <f>SUM(D1732:D1735)</f>
        <v>1003</v>
      </c>
      <c r="E1736" s="49"/>
      <c r="G1736" s="46" t="s">
        <v>1</v>
      </c>
      <c r="H1736" s="47">
        <f>SUM(H1732:H1735)</f>
        <v>5578</v>
      </c>
      <c r="I1736" s="48">
        <f>SUM(I1732:I1735)</f>
        <v>5578</v>
      </c>
      <c r="J1736" s="49"/>
    </row>
    <row r="1737" spans="2:10" x14ac:dyDescent="0.15">
      <c r="B1737" s="15" t="s">
        <v>529</v>
      </c>
      <c r="C1737" s="77">
        <v>100</v>
      </c>
      <c r="D1737" s="11">
        <f>SUM(C1737:C1737)</f>
        <v>100</v>
      </c>
      <c r="E1737" s="12">
        <v>42930</v>
      </c>
      <c r="G1737" s="15" t="s">
        <v>527</v>
      </c>
      <c r="H1737" s="13">
        <v>360</v>
      </c>
      <c r="I1737" s="11">
        <f>SUM(H1737:H1737)</f>
        <v>360</v>
      </c>
      <c r="J1737" s="12">
        <v>42929</v>
      </c>
    </row>
    <row r="1738" spans="2:10" x14ac:dyDescent="0.15">
      <c r="B1738" s="10" t="s">
        <v>18</v>
      </c>
      <c r="C1738" s="13">
        <v>42</v>
      </c>
      <c r="D1738" s="14">
        <f>SUM(C1738:C1738)</f>
        <v>42</v>
      </c>
      <c r="E1738" s="12">
        <v>42931</v>
      </c>
      <c r="G1738" s="81" t="s">
        <v>12</v>
      </c>
      <c r="H1738" s="13">
        <v>336</v>
      </c>
      <c r="I1738" s="14">
        <f>SUM(H1738:H1738)</f>
        <v>336</v>
      </c>
      <c r="J1738" s="12">
        <v>42930</v>
      </c>
    </row>
    <row r="1739" spans="2:10" x14ac:dyDescent="0.15">
      <c r="B1739" s="10" t="s">
        <v>18</v>
      </c>
      <c r="C1739" s="13">
        <v>70</v>
      </c>
      <c r="D1739" s="14">
        <f>SUM(C1739:C1739)</f>
        <v>70</v>
      </c>
      <c r="E1739" s="12">
        <v>42936</v>
      </c>
      <c r="G1739" s="15" t="s">
        <v>478</v>
      </c>
      <c r="H1739" s="13">
        <v>200</v>
      </c>
      <c r="I1739" s="14">
        <f t="shared" ref="I1739:I1761" si="109">SUM(H1739:H1739)</f>
        <v>200</v>
      </c>
      <c r="J1739" s="12">
        <v>42936</v>
      </c>
    </row>
    <row r="1740" spans="2:10" x14ac:dyDescent="0.15">
      <c r="B1740" s="15" t="s">
        <v>530</v>
      </c>
      <c r="C1740" s="13">
        <v>100</v>
      </c>
      <c r="D1740" s="14">
        <f t="shared" ref="D1740:D1750" si="110">SUM(C1740:C1740)</f>
        <v>100</v>
      </c>
      <c r="E1740" s="12">
        <v>42938</v>
      </c>
      <c r="G1740" s="15" t="s">
        <v>480</v>
      </c>
      <c r="H1740" s="13">
        <v>400</v>
      </c>
      <c r="I1740" s="14">
        <f t="shared" si="109"/>
        <v>400</v>
      </c>
      <c r="J1740" s="12">
        <v>42937</v>
      </c>
    </row>
    <row r="1741" spans="2:10" x14ac:dyDescent="0.15">
      <c r="B1741" s="10" t="s">
        <v>18</v>
      </c>
      <c r="C1741" s="13">
        <v>62</v>
      </c>
      <c r="D1741" s="14">
        <f t="shared" si="110"/>
        <v>62</v>
      </c>
      <c r="E1741" s="12">
        <v>42938</v>
      </c>
      <c r="G1741" s="81" t="s">
        <v>12</v>
      </c>
      <c r="H1741" s="13">
        <v>200</v>
      </c>
      <c r="I1741" s="14">
        <f t="shared" si="109"/>
        <v>200</v>
      </c>
      <c r="J1741" s="12">
        <v>42937</v>
      </c>
    </row>
    <row r="1742" spans="2:10" x14ac:dyDescent="0.15">
      <c r="B1742" s="10" t="s">
        <v>189</v>
      </c>
      <c r="C1742" s="13">
        <v>6</v>
      </c>
      <c r="D1742" s="14">
        <f t="shared" si="110"/>
        <v>6</v>
      </c>
      <c r="E1742" s="12">
        <v>42937</v>
      </c>
      <c r="G1742" s="15" t="s">
        <v>531</v>
      </c>
      <c r="H1742" s="13">
        <v>200</v>
      </c>
      <c r="I1742" s="14">
        <f t="shared" si="109"/>
        <v>200</v>
      </c>
      <c r="J1742" s="12">
        <v>42943</v>
      </c>
    </row>
    <row r="1743" spans="2:10" x14ac:dyDescent="0.15">
      <c r="B1743" s="10" t="s">
        <v>189</v>
      </c>
      <c r="C1743" s="13">
        <v>4</v>
      </c>
      <c r="D1743" s="14">
        <f t="shared" si="110"/>
        <v>4</v>
      </c>
      <c r="E1743" s="12">
        <v>42940</v>
      </c>
      <c r="G1743" s="81" t="s">
        <v>12</v>
      </c>
      <c r="H1743" s="13">
        <v>336</v>
      </c>
      <c r="I1743" s="14">
        <f t="shared" si="109"/>
        <v>336</v>
      </c>
      <c r="J1743" s="12">
        <v>42948</v>
      </c>
    </row>
    <row r="1744" spans="2:10" x14ac:dyDescent="0.15">
      <c r="B1744" s="10" t="s">
        <v>18</v>
      </c>
      <c r="C1744" s="13">
        <v>55</v>
      </c>
      <c r="D1744" s="14">
        <f t="shared" si="110"/>
        <v>55</v>
      </c>
      <c r="E1744" s="12">
        <v>42943</v>
      </c>
      <c r="G1744" s="15" t="s">
        <v>534</v>
      </c>
      <c r="H1744" s="13">
        <v>300</v>
      </c>
      <c r="I1744" s="14">
        <f t="shared" si="109"/>
        <v>300</v>
      </c>
      <c r="J1744" s="12">
        <v>42950</v>
      </c>
    </row>
    <row r="1745" spans="2:11" x14ac:dyDescent="0.15">
      <c r="B1745" s="15" t="s">
        <v>532</v>
      </c>
      <c r="C1745" s="13">
        <v>70</v>
      </c>
      <c r="D1745" s="14">
        <f t="shared" si="110"/>
        <v>70</v>
      </c>
      <c r="E1745" s="12">
        <v>42944</v>
      </c>
      <c r="G1745" s="15" t="s">
        <v>535</v>
      </c>
      <c r="H1745" s="13">
        <v>267</v>
      </c>
      <c r="I1745" s="14">
        <f t="shared" si="109"/>
        <v>267</v>
      </c>
      <c r="J1745" s="12">
        <v>42955</v>
      </c>
    </row>
    <row r="1746" spans="2:11" x14ac:dyDescent="0.15">
      <c r="B1746" s="10" t="s">
        <v>18</v>
      </c>
      <c r="C1746" s="13">
        <v>83</v>
      </c>
      <c r="D1746" s="14">
        <f t="shared" si="110"/>
        <v>83</v>
      </c>
      <c r="E1746" s="12">
        <v>42945</v>
      </c>
      <c r="G1746" s="78"/>
      <c r="H1746" s="13"/>
      <c r="I1746" s="14">
        <f t="shared" si="109"/>
        <v>0</v>
      </c>
      <c r="J1746" s="12"/>
    </row>
    <row r="1747" spans="2:11" x14ac:dyDescent="0.15">
      <c r="B1747" s="10" t="s">
        <v>105</v>
      </c>
      <c r="C1747" s="13">
        <v>-2</v>
      </c>
      <c r="D1747" s="14">
        <f t="shared" si="110"/>
        <v>-2</v>
      </c>
      <c r="E1747" s="12">
        <v>42945</v>
      </c>
      <c r="G1747" s="15"/>
      <c r="H1747" s="13"/>
      <c r="I1747" s="14">
        <f t="shared" si="109"/>
        <v>0</v>
      </c>
      <c r="J1747" s="5"/>
    </row>
    <row r="1748" spans="2:11" x14ac:dyDescent="0.15">
      <c r="B1748" s="15" t="s">
        <v>533</v>
      </c>
      <c r="C1748" s="13">
        <v>52</v>
      </c>
      <c r="D1748" s="14">
        <f t="shared" si="110"/>
        <v>52</v>
      </c>
      <c r="E1748" s="12">
        <v>42948</v>
      </c>
      <c r="G1748" s="15"/>
      <c r="H1748" s="7"/>
      <c r="I1748" s="14">
        <f t="shared" si="109"/>
        <v>0</v>
      </c>
      <c r="J1748" s="12"/>
    </row>
    <row r="1749" spans="2:11" x14ac:dyDescent="0.15">
      <c r="B1749" s="10" t="s">
        <v>189</v>
      </c>
      <c r="C1749" s="13">
        <v>6</v>
      </c>
      <c r="D1749" s="14">
        <f t="shared" si="110"/>
        <v>6</v>
      </c>
      <c r="E1749" s="12">
        <v>42947</v>
      </c>
      <c r="G1749" s="10"/>
      <c r="H1749" s="13"/>
      <c r="I1749" s="14">
        <f t="shared" si="109"/>
        <v>0</v>
      </c>
      <c r="J1749" s="12"/>
    </row>
    <row r="1750" spans="2:11" x14ac:dyDescent="0.15">
      <c r="B1750" s="10" t="s">
        <v>18</v>
      </c>
      <c r="C1750" s="13">
        <v>53</v>
      </c>
      <c r="D1750" s="14">
        <f t="shared" si="110"/>
        <v>53</v>
      </c>
      <c r="E1750" s="12">
        <v>42949</v>
      </c>
      <c r="G1750" s="15"/>
      <c r="H1750" s="13"/>
      <c r="I1750" s="14">
        <f t="shared" si="109"/>
        <v>0</v>
      </c>
      <c r="J1750" s="12"/>
    </row>
    <row r="1751" spans="2:11" x14ac:dyDescent="0.15">
      <c r="B1751" s="10" t="s">
        <v>18</v>
      </c>
      <c r="C1751" s="13">
        <v>16</v>
      </c>
      <c r="D1751" s="14">
        <f>SUM(C1751:C1751)</f>
        <v>16</v>
      </c>
      <c r="E1751" s="12">
        <v>42950</v>
      </c>
      <c r="G1751" s="15"/>
      <c r="H1751" s="7"/>
      <c r="I1751" s="14">
        <f t="shared" si="109"/>
        <v>0</v>
      </c>
      <c r="J1751" s="12"/>
    </row>
    <row r="1752" spans="2:11" x14ac:dyDescent="0.15">
      <c r="B1752" s="10" t="s">
        <v>76</v>
      </c>
      <c r="C1752" s="13">
        <v>-25</v>
      </c>
      <c r="D1752" s="14">
        <f t="shared" ref="D1752:D1761" si="111">SUM(C1752:C1752)</f>
        <v>-25</v>
      </c>
      <c r="E1752" s="12">
        <v>42956</v>
      </c>
      <c r="G1752" s="15"/>
      <c r="H1752" s="7"/>
      <c r="I1752" s="14">
        <f t="shared" ref="I1752:I1760" si="112">SUM(H1752:H1752)</f>
        <v>0</v>
      </c>
      <c r="J1752" s="12"/>
    </row>
    <row r="1753" spans="2:11" x14ac:dyDescent="0.15">
      <c r="B1753" s="10" t="s">
        <v>18</v>
      </c>
      <c r="C1753" s="13">
        <v>19</v>
      </c>
      <c r="D1753" s="14">
        <f t="shared" si="111"/>
        <v>19</v>
      </c>
      <c r="E1753" s="12">
        <v>42954</v>
      </c>
      <c r="G1753" s="15"/>
      <c r="H1753" s="7"/>
      <c r="I1753" s="14">
        <f t="shared" si="112"/>
        <v>0</v>
      </c>
      <c r="J1753" s="12"/>
    </row>
    <row r="1754" spans="2:11" x14ac:dyDescent="0.15">
      <c r="B1754" s="10" t="s">
        <v>189</v>
      </c>
      <c r="C1754" s="13">
        <v>1</v>
      </c>
      <c r="D1754" s="14">
        <f t="shared" si="111"/>
        <v>1</v>
      </c>
      <c r="E1754" s="12">
        <v>42954</v>
      </c>
      <c r="G1754" s="15"/>
      <c r="H1754" s="7"/>
      <c r="I1754" s="14">
        <f t="shared" si="112"/>
        <v>0</v>
      </c>
      <c r="J1754" s="12"/>
    </row>
    <row r="1755" spans="2:11" x14ac:dyDescent="0.15">
      <c r="B1755" s="15" t="s">
        <v>536</v>
      </c>
      <c r="C1755" s="13">
        <v>50</v>
      </c>
      <c r="D1755" s="14">
        <f t="shared" si="111"/>
        <v>50</v>
      </c>
      <c r="E1755" s="12">
        <v>42965</v>
      </c>
      <c r="G1755" s="15"/>
      <c r="H1755" s="7"/>
      <c r="I1755" s="14">
        <f t="shared" si="112"/>
        <v>0</v>
      </c>
      <c r="J1755" s="12"/>
    </row>
    <row r="1756" spans="2:11" x14ac:dyDescent="0.15">
      <c r="B1756" s="10" t="s">
        <v>189</v>
      </c>
      <c r="C1756" s="13">
        <v>9</v>
      </c>
      <c r="D1756" s="14">
        <f t="shared" si="111"/>
        <v>9</v>
      </c>
      <c r="E1756" s="5">
        <v>42955</v>
      </c>
      <c r="G1756" s="15"/>
      <c r="H1756" s="7"/>
      <c r="I1756" s="14">
        <f t="shared" si="112"/>
        <v>0</v>
      </c>
      <c r="J1756" s="12"/>
    </row>
    <row r="1757" spans="2:11" x14ac:dyDescent="0.15">
      <c r="B1757" s="10" t="s">
        <v>18</v>
      </c>
      <c r="C1757" s="13">
        <v>26</v>
      </c>
      <c r="D1757" s="14">
        <f t="shared" si="111"/>
        <v>26</v>
      </c>
      <c r="E1757" s="5">
        <v>42957</v>
      </c>
      <c r="G1757" s="15"/>
      <c r="H1757" s="13"/>
      <c r="I1757" s="14">
        <f t="shared" si="112"/>
        <v>0</v>
      </c>
      <c r="J1757" s="12"/>
    </row>
    <row r="1758" spans="2:11" x14ac:dyDescent="0.15">
      <c r="B1758" s="10" t="s">
        <v>189</v>
      </c>
      <c r="C1758" s="13">
        <v>1</v>
      </c>
      <c r="D1758" s="14">
        <f t="shared" si="111"/>
        <v>1</v>
      </c>
      <c r="E1758" s="5">
        <v>42956</v>
      </c>
      <c r="G1758" s="15"/>
      <c r="H1758" s="13"/>
      <c r="I1758" s="14">
        <f>SUM(H1758:H1758)</f>
        <v>0</v>
      </c>
      <c r="J1758" s="12"/>
      <c r="K1758" s="86"/>
    </row>
    <row r="1759" spans="2:11" x14ac:dyDescent="0.15">
      <c r="B1759" s="10" t="s">
        <v>189</v>
      </c>
      <c r="C1759" s="13">
        <v>5</v>
      </c>
      <c r="D1759" s="14">
        <f t="shared" si="111"/>
        <v>5</v>
      </c>
      <c r="E1759" s="5">
        <v>42963</v>
      </c>
      <c r="G1759" s="15"/>
      <c r="H1759" s="7"/>
      <c r="I1759" s="14">
        <f t="shared" si="112"/>
        <v>0</v>
      </c>
      <c r="J1759" s="162"/>
      <c r="K1759" s="86"/>
    </row>
    <row r="1760" spans="2:11" ht="14.25" thickBot="1" x14ac:dyDescent="0.2">
      <c r="B1760" s="10" t="s">
        <v>18</v>
      </c>
      <c r="C1760" s="13">
        <v>18</v>
      </c>
      <c r="D1760" s="11">
        <f t="shared" si="111"/>
        <v>18</v>
      </c>
      <c r="E1760" s="12">
        <v>42966</v>
      </c>
      <c r="G1760" s="15"/>
      <c r="H1760" s="13"/>
      <c r="I1760" s="14">
        <f t="shared" si="112"/>
        <v>0</v>
      </c>
      <c r="J1760" s="12"/>
      <c r="K1760" s="86"/>
    </row>
    <row r="1761" spans="2:10" ht="14.25" thickBot="1" x14ac:dyDescent="0.2">
      <c r="B1761" s="17" t="s">
        <v>2</v>
      </c>
      <c r="C1761" s="18">
        <f>SUM(C1737:C1760)</f>
        <v>821</v>
      </c>
      <c r="D1761" s="19">
        <f t="shared" si="111"/>
        <v>821</v>
      </c>
      <c r="E1761" s="20"/>
      <c r="G1761" s="17" t="s">
        <v>2</v>
      </c>
      <c r="H1761" s="18">
        <f>SUM(H1737:H1760)</f>
        <v>2599</v>
      </c>
      <c r="I1761" s="19">
        <f t="shared" si="109"/>
        <v>2599</v>
      </c>
      <c r="J1761" s="20"/>
    </row>
    <row r="1762" spans="2:10" ht="14.25" thickBot="1" x14ac:dyDescent="0.2">
      <c r="B1762" s="46" t="s">
        <v>3</v>
      </c>
      <c r="C1762" s="52">
        <f>C1736-C1761</f>
        <v>182</v>
      </c>
      <c r="D1762" s="48">
        <f>D1736-D1761</f>
        <v>182</v>
      </c>
      <c r="E1762" s="49"/>
      <c r="G1762" s="46" t="s">
        <v>3</v>
      </c>
      <c r="H1762" s="52">
        <f>H1736-H1761</f>
        <v>2979</v>
      </c>
      <c r="I1762" s="48">
        <f>I1736-I1761</f>
        <v>2979</v>
      </c>
      <c r="J1762" s="49"/>
    </row>
    <row r="1765" spans="2:10" ht="18.75" x14ac:dyDescent="0.2">
      <c r="B1765" s="26" t="s">
        <v>7</v>
      </c>
      <c r="G1765" s="26" t="s">
        <v>35</v>
      </c>
    </row>
    <row r="1766" spans="2:10" ht="14.25" thickBot="1" x14ac:dyDescent="0.2"/>
    <row r="1767" spans="2:10" ht="14.25" thickBot="1" x14ac:dyDescent="0.2">
      <c r="B1767" s="1"/>
      <c r="C1767" s="2"/>
      <c r="D1767" s="3" t="s">
        <v>0</v>
      </c>
      <c r="E1767" s="1" t="s">
        <v>4</v>
      </c>
      <c r="G1767" s="1"/>
      <c r="H1767" s="2"/>
      <c r="I1767" s="3" t="s">
        <v>0</v>
      </c>
      <c r="J1767" s="1" t="s">
        <v>4</v>
      </c>
    </row>
    <row r="1768" spans="2:10" x14ac:dyDescent="0.15">
      <c r="B1768" s="42" t="s">
        <v>5</v>
      </c>
      <c r="C1768" s="43">
        <f>C1762</f>
        <v>182</v>
      </c>
      <c r="D1768" s="44">
        <f>SUM(C1768:C1768)</f>
        <v>182</v>
      </c>
      <c r="E1768" s="45"/>
      <c r="G1768" s="42" t="s">
        <v>5</v>
      </c>
      <c r="H1768" s="43">
        <f>H1762</f>
        <v>2979</v>
      </c>
      <c r="I1768" s="44">
        <f>SUM(H1768:H1768)</f>
        <v>2979</v>
      </c>
      <c r="J1768" s="45"/>
    </row>
    <row r="1769" spans="2:10" x14ac:dyDescent="0.15">
      <c r="B1769" s="6" t="s">
        <v>76</v>
      </c>
      <c r="C1769" s="13">
        <v>22</v>
      </c>
      <c r="D1769" s="14">
        <f>SUM(C1769:C1769)</f>
        <v>22</v>
      </c>
      <c r="E1769" s="12">
        <v>42969</v>
      </c>
      <c r="G1769" s="6" t="s">
        <v>6</v>
      </c>
      <c r="H1769" s="13"/>
      <c r="I1769" s="14">
        <f>SUM(H1769:H1769)</f>
        <v>0</v>
      </c>
      <c r="J1769" s="5"/>
    </row>
    <row r="1770" spans="2:10" x14ac:dyDescent="0.15">
      <c r="B1770" s="6" t="s">
        <v>6</v>
      </c>
      <c r="C1770" s="7">
        <v>336</v>
      </c>
      <c r="D1770" s="8">
        <f>SUM(C1770:C1770)</f>
        <v>336</v>
      </c>
      <c r="E1770" s="9">
        <v>42976</v>
      </c>
      <c r="G1770" s="6" t="s">
        <v>6</v>
      </c>
      <c r="H1770" s="13"/>
      <c r="I1770" s="14">
        <f>SUM(H1770:H1770)</f>
        <v>0</v>
      </c>
      <c r="J1770" s="5"/>
    </row>
    <row r="1771" spans="2:10" ht="14.25" thickBot="1" x14ac:dyDescent="0.2">
      <c r="B1771" s="6" t="s">
        <v>76</v>
      </c>
      <c r="C1771" s="7">
        <v>27</v>
      </c>
      <c r="D1771" s="14">
        <f>SUM(C1771:C1771)</f>
        <v>27</v>
      </c>
      <c r="E1771" s="16">
        <v>42991</v>
      </c>
      <c r="G1771" s="6" t="s">
        <v>6</v>
      </c>
      <c r="H1771" s="88"/>
      <c r="I1771" s="11">
        <f>SUM(H1771:H1771)</f>
        <v>0</v>
      </c>
      <c r="J1771" s="85"/>
    </row>
    <row r="1772" spans="2:10" ht="14.25" thickBot="1" x14ac:dyDescent="0.2">
      <c r="B1772" s="46" t="s">
        <v>1</v>
      </c>
      <c r="C1772" s="48">
        <f>SUM(C1768:C1771)</f>
        <v>567</v>
      </c>
      <c r="D1772" s="48">
        <f>SUM(D1768:D1771)</f>
        <v>567</v>
      </c>
      <c r="E1772" s="49"/>
      <c r="G1772" s="46" t="s">
        <v>1</v>
      </c>
      <c r="H1772" s="47">
        <f>SUM(H1768:H1771)</f>
        <v>2979</v>
      </c>
      <c r="I1772" s="48">
        <f>SUM(I1768:I1771)</f>
        <v>2979</v>
      </c>
      <c r="J1772" s="49"/>
    </row>
    <row r="1773" spans="2:10" x14ac:dyDescent="0.15">
      <c r="B1773" s="10" t="s">
        <v>18</v>
      </c>
      <c r="C1773" s="77">
        <v>16</v>
      </c>
      <c r="D1773" s="11">
        <f>SUM(C1773:C1773)</f>
        <v>16</v>
      </c>
      <c r="E1773" s="12">
        <v>42969</v>
      </c>
      <c r="G1773" s="15" t="s">
        <v>540</v>
      </c>
      <c r="H1773" s="13">
        <v>180</v>
      </c>
      <c r="I1773" s="11">
        <f>SUM(H1773:H1773)</f>
        <v>180</v>
      </c>
      <c r="J1773" s="12">
        <v>42972</v>
      </c>
    </row>
    <row r="1774" spans="2:10" x14ac:dyDescent="0.15">
      <c r="B1774" s="15" t="s">
        <v>538</v>
      </c>
      <c r="C1774" s="13">
        <v>25</v>
      </c>
      <c r="D1774" s="14">
        <f>SUM(C1774:C1774)</f>
        <v>25</v>
      </c>
      <c r="E1774" s="12">
        <v>42970</v>
      </c>
      <c r="G1774" s="81" t="s">
        <v>12</v>
      </c>
      <c r="H1774" s="13">
        <v>336</v>
      </c>
      <c r="I1774" s="14">
        <f>SUM(H1774:H1774)</f>
        <v>336</v>
      </c>
      <c r="J1774" s="12">
        <v>42976</v>
      </c>
    </row>
    <row r="1775" spans="2:10" x14ac:dyDescent="0.15">
      <c r="B1775" s="10" t="s">
        <v>189</v>
      </c>
      <c r="C1775" s="13">
        <v>26</v>
      </c>
      <c r="D1775" s="14">
        <f>SUM(C1775:C1775)</f>
        <v>26</v>
      </c>
      <c r="E1775" s="12">
        <v>42968</v>
      </c>
      <c r="G1775" s="15"/>
      <c r="H1775" s="13"/>
      <c r="I1775" s="14">
        <f t="shared" ref="I1775:I1787" si="113">SUM(H1775:H1775)</f>
        <v>0</v>
      </c>
      <c r="J1775" s="12"/>
    </row>
    <row r="1776" spans="2:10" x14ac:dyDescent="0.15">
      <c r="B1776" s="10" t="s">
        <v>189</v>
      </c>
      <c r="C1776" s="13">
        <v>11</v>
      </c>
      <c r="D1776" s="14">
        <f t="shared" ref="D1776:D1786" si="114">SUM(C1776:C1776)</f>
        <v>11</v>
      </c>
      <c r="E1776" s="12">
        <v>42969</v>
      </c>
      <c r="G1776" s="15"/>
      <c r="H1776" s="13"/>
      <c r="I1776" s="14">
        <f t="shared" si="113"/>
        <v>0</v>
      </c>
      <c r="J1776" s="12"/>
    </row>
    <row r="1777" spans="2:11" x14ac:dyDescent="0.15">
      <c r="B1777" s="10" t="s">
        <v>18</v>
      </c>
      <c r="C1777" s="13">
        <v>29</v>
      </c>
      <c r="D1777" s="14">
        <f t="shared" si="114"/>
        <v>29</v>
      </c>
      <c r="E1777" s="12">
        <v>42971</v>
      </c>
      <c r="G1777" s="15"/>
      <c r="H1777" s="13"/>
      <c r="I1777" s="14">
        <f t="shared" si="113"/>
        <v>0</v>
      </c>
      <c r="J1777" s="12"/>
    </row>
    <row r="1778" spans="2:11" x14ac:dyDescent="0.15">
      <c r="B1778" s="15" t="s">
        <v>539</v>
      </c>
      <c r="C1778" s="13">
        <v>5</v>
      </c>
      <c r="D1778" s="14">
        <f t="shared" si="114"/>
        <v>5</v>
      </c>
      <c r="E1778" s="12">
        <v>42972</v>
      </c>
      <c r="G1778" s="78"/>
      <c r="H1778" s="13"/>
      <c r="I1778" s="14">
        <f t="shared" si="113"/>
        <v>0</v>
      </c>
      <c r="J1778" s="12"/>
    </row>
    <row r="1779" spans="2:11" x14ac:dyDescent="0.15">
      <c r="B1779" s="10" t="s">
        <v>189</v>
      </c>
      <c r="C1779" s="13">
        <v>1</v>
      </c>
      <c r="D1779" s="14">
        <f t="shared" si="114"/>
        <v>1</v>
      </c>
      <c r="E1779" s="12">
        <v>42970</v>
      </c>
      <c r="G1779" s="78"/>
      <c r="H1779" s="13"/>
      <c r="I1779" s="14">
        <f t="shared" si="113"/>
        <v>0</v>
      </c>
      <c r="J1779" s="12"/>
    </row>
    <row r="1780" spans="2:11" x14ac:dyDescent="0.15">
      <c r="B1780" s="10" t="s">
        <v>189</v>
      </c>
      <c r="C1780" s="13">
        <v>5</v>
      </c>
      <c r="D1780" s="14">
        <f t="shared" si="114"/>
        <v>5</v>
      </c>
      <c r="E1780" s="12">
        <v>42971</v>
      </c>
      <c r="G1780" s="78"/>
      <c r="H1780" s="13"/>
      <c r="I1780" s="14">
        <f t="shared" si="113"/>
        <v>0</v>
      </c>
      <c r="J1780" s="12"/>
    </row>
    <row r="1781" spans="2:11" x14ac:dyDescent="0.15">
      <c r="B1781" s="10" t="s">
        <v>18</v>
      </c>
      <c r="C1781" s="13">
        <v>36</v>
      </c>
      <c r="D1781" s="14">
        <f t="shared" si="114"/>
        <v>36</v>
      </c>
      <c r="E1781" s="12">
        <v>42973</v>
      </c>
      <c r="G1781" s="10"/>
      <c r="H1781" s="13"/>
      <c r="I1781" s="14">
        <f t="shared" si="113"/>
        <v>0</v>
      </c>
      <c r="J1781" s="12"/>
    </row>
    <row r="1782" spans="2:11" x14ac:dyDescent="0.15">
      <c r="B1782" s="15" t="s">
        <v>523</v>
      </c>
      <c r="C1782" s="13">
        <v>114</v>
      </c>
      <c r="D1782" s="14">
        <f t="shared" si="114"/>
        <v>114</v>
      </c>
      <c r="E1782" s="12">
        <v>42978</v>
      </c>
      <c r="G1782" s="78"/>
      <c r="H1782" s="13"/>
      <c r="I1782" s="14">
        <f t="shared" si="113"/>
        <v>0</v>
      </c>
      <c r="J1782" s="12"/>
    </row>
    <row r="1783" spans="2:11" x14ac:dyDescent="0.15">
      <c r="B1783" s="10" t="s">
        <v>189</v>
      </c>
      <c r="C1783" s="13">
        <v>1</v>
      </c>
      <c r="D1783" s="14">
        <f t="shared" si="114"/>
        <v>1</v>
      </c>
      <c r="E1783" s="12">
        <v>42976</v>
      </c>
      <c r="G1783" s="15"/>
      <c r="H1783" s="13"/>
      <c r="I1783" s="14">
        <f t="shared" si="113"/>
        <v>0</v>
      </c>
      <c r="J1783" s="5"/>
    </row>
    <row r="1784" spans="2:11" x14ac:dyDescent="0.15">
      <c r="B1784" s="10" t="s">
        <v>18</v>
      </c>
      <c r="C1784" s="13">
        <v>17</v>
      </c>
      <c r="D1784" s="14">
        <f t="shared" si="114"/>
        <v>17</v>
      </c>
      <c r="E1784" s="12">
        <v>42978</v>
      </c>
      <c r="G1784" s="15"/>
      <c r="H1784" s="7"/>
      <c r="I1784" s="14">
        <f t="shared" si="113"/>
        <v>0</v>
      </c>
      <c r="J1784" s="12"/>
    </row>
    <row r="1785" spans="2:11" x14ac:dyDescent="0.15">
      <c r="B1785" s="10" t="s">
        <v>18</v>
      </c>
      <c r="C1785" s="13">
        <v>14</v>
      </c>
      <c r="D1785" s="14">
        <f t="shared" si="114"/>
        <v>14</v>
      </c>
      <c r="E1785" s="12">
        <v>42983</v>
      </c>
      <c r="G1785" s="10"/>
      <c r="H1785" s="13"/>
      <c r="I1785" s="14">
        <f t="shared" si="113"/>
        <v>0</v>
      </c>
      <c r="J1785" s="12"/>
    </row>
    <row r="1786" spans="2:11" x14ac:dyDescent="0.15">
      <c r="B1786" s="10" t="s">
        <v>18</v>
      </c>
      <c r="C1786" s="13">
        <v>21</v>
      </c>
      <c r="D1786" s="14">
        <f t="shared" si="114"/>
        <v>21</v>
      </c>
      <c r="E1786" s="12">
        <v>42987</v>
      </c>
      <c r="G1786" s="15"/>
      <c r="H1786" s="13"/>
      <c r="I1786" s="14">
        <f t="shared" si="113"/>
        <v>0</v>
      </c>
      <c r="J1786" s="12"/>
    </row>
    <row r="1787" spans="2:11" x14ac:dyDescent="0.15">
      <c r="B1787" s="10" t="s">
        <v>18</v>
      </c>
      <c r="C1787" s="13">
        <v>9</v>
      </c>
      <c r="D1787" s="14">
        <f>SUM(C1787:C1787)</f>
        <v>9</v>
      </c>
      <c r="E1787" s="12">
        <v>42992</v>
      </c>
      <c r="G1787" s="15"/>
      <c r="H1787" s="7"/>
      <c r="I1787" s="14">
        <f t="shared" si="113"/>
        <v>0</v>
      </c>
      <c r="J1787" s="12"/>
    </row>
    <row r="1788" spans="2:11" x14ac:dyDescent="0.15">
      <c r="B1788" s="10" t="s">
        <v>200</v>
      </c>
      <c r="C1788" s="13">
        <v>1</v>
      </c>
      <c r="D1788" s="14">
        <f t="shared" ref="D1788:D1797" si="115">SUM(C1788:C1788)</f>
        <v>1</v>
      </c>
      <c r="E1788" s="12">
        <v>42998</v>
      </c>
      <c r="G1788" s="15"/>
      <c r="H1788" s="7"/>
      <c r="I1788" s="14">
        <f t="shared" ref="I1788:I1797" si="116">SUM(H1788:H1788)</f>
        <v>0</v>
      </c>
      <c r="J1788" s="12"/>
    </row>
    <row r="1789" spans="2:11" x14ac:dyDescent="0.15">
      <c r="B1789" s="10" t="s">
        <v>18</v>
      </c>
      <c r="C1789" s="13">
        <v>15</v>
      </c>
      <c r="D1789" s="14">
        <f t="shared" si="115"/>
        <v>15</v>
      </c>
      <c r="E1789" s="12">
        <v>42994</v>
      </c>
      <c r="G1789" s="15"/>
      <c r="H1789" s="7"/>
      <c r="I1789" s="14">
        <f t="shared" si="116"/>
        <v>0</v>
      </c>
      <c r="J1789" s="12"/>
    </row>
    <row r="1790" spans="2:11" x14ac:dyDescent="0.15">
      <c r="B1790" s="10" t="s">
        <v>18</v>
      </c>
      <c r="C1790" s="13">
        <v>23</v>
      </c>
      <c r="D1790" s="14">
        <f t="shared" si="115"/>
        <v>23</v>
      </c>
      <c r="E1790" s="12">
        <v>42999</v>
      </c>
      <c r="G1790" s="15"/>
      <c r="H1790" s="7"/>
      <c r="I1790" s="14">
        <f t="shared" si="116"/>
        <v>0</v>
      </c>
      <c r="J1790" s="5"/>
    </row>
    <row r="1791" spans="2:11" x14ac:dyDescent="0.15">
      <c r="B1791" s="10" t="s">
        <v>541</v>
      </c>
      <c r="C1791" s="13">
        <v>2</v>
      </c>
      <c r="D1791" s="14">
        <f t="shared" si="115"/>
        <v>2</v>
      </c>
      <c r="E1791" s="12">
        <v>42997</v>
      </c>
      <c r="G1791" s="15"/>
      <c r="H1791" s="7"/>
      <c r="I1791" s="14">
        <f t="shared" si="116"/>
        <v>0</v>
      </c>
      <c r="J1791" s="5"/>
      <c r="K1791" t="s">
        <v>537</v>
      </c>
    </row>
    <row r="1792" spans="2:11" x14ac:dyDescent="0.15">
      <c r="B1792" s="10" t="s">
        <v>189</v>
      </c>
      <c r="C1792" s="13">
        <v>5</v>
      </c>
      <c r="D1792" s="14">
        <f t="shared" si="115"/>
        <v>5</v>
      </c>
      <c r="E1792" s="5">
        <v>42999</v>
      </c>
      <c r="G1792" s="15"/>
      <c r="H1792" s="7"/>
      <c r="I1792" s="14">
        <f t="shared" si="116"/>
        <v>0</v>
      </c>
      <c r="J1792" s="5"/>
    </row>
    <row r="1793" spans="2:11" x14ac:dyDescent="0.15">
      <c r="B1793" s="10" t="s">
        <v>189</v>
      </c>
      <c r="C1793" s="13">
        <v>16</v>
      </c>
      <c r="D1793" s="14">
        <f t="shared" si="115"/>
        <v>16</v>
      </c>
      <c r="E1793" s="5">
        <v>43006</v>
      </c>
      <c r="G1793" s="15"/>
      <c r="H1793" s="7"/>
      <c r="I1793" s="14">
        <f>SUM(H1793:H1793)</f>
        <v>0</v>
      </c>
      <c r="J1793" s="5"/>
    </row>
    <row r="1794" spans="2:11" x14ac:dyDescent="0.15">
      <c r="B1794" s="10" t="s">
        <v>542</v>
      </c>
      <c r="C1794" s="13">
        <v>-10</v>
      </c>
      <c r="D1794" s="14">
        <f t="shared" si="115"/>
        <v>-10</v>
      </c>
      <c r="E1794" s="5">
        <v>43006</v>
      </c>
      <c r="G1794" s="15"/>
      <c r="H1794" s="13"/>
      <c r="I1794" s="14">
        <f>SUM(H1794:H1794)</f>
        <v>0</v>
      </c>
      <c r="J1794" s="12"/>
      <c r="K1794" s="86"/>
    </row>
    <row r="1795" spans="2:11" x14ac:dyDescent="0.15">
      <c r="B1795" s="10" t="s">
        <v>189</v>
      </c>
      <c r="C1795" s="13">
        <v>2</v>
      </c>
      <c r="D1795" s="14">
        <f t="shared" si="115"/>
        <v>2</v>
      </c>
      <c r="E1795" s="5">
        <v>43005</v>
      </c>
      <c r="G1795" s="15"/>
      <c r="H1795" s="7"/>
      <c r="I1795" s="14">
        <f>SUM(H1795:H1795)</f>
        <v>0</v>
      </c>
      <c r="J1795" s="5"/>
    </row>
    <row r="1796" spans="2:11" ht="14.25" thickBot="1" x14ac:dyDescent="0.2">
      <c r="B1796" s="10" t="s">
        <v>18</v>
      </c>
      <c r="C1796" s="13">
        <v>21</v>
      </c>
      <c r="D1796" s="11">
        <f t="shared" si="115"/>
        <v>21</v>
      </c>
      <c r="E1796" s="12">
        <v>43011</v>
      </c>
      <c r="G1796" s="15"/>
      <c r="H1796" s="7"/>
      <c r="I1796" s="14">
        <f>SUM(H1796:H1796)</f>
        <v>0</v>
      </c>
      <c r="J1796" s="5"/>
      <c r="K1796" s="86"/>
    </row>
    <row r="1797" spans="2:11" ht="14.25" thickBot="1" x14ac:dyDescent="0.2">
      <c r="B1797" s="17" t="s">
        <v>2</v>
      </c>
      <c r="C1797" s="18">
        <f>SUM(C1773:C1796)</f>
        <v>405</v>
      </c>
      <c r="D1797" s="19">
        <f t="shared" si="115"/>
        <v>405</v>
      </c>
      <c r="E1797" s="20"/>
      <c r="G1797" s="17" t="s">
        <v>2</v>
      </c>
      <c r="H1797" s="18">
        <f>SUM(H1773:H1796)</f>
        <v>516</v>
      </c>
      <c r="I1797" s="19">
        <f t="shared" si="116"/>
        <v>516</v>
      </c>
      <c r="J1797" s="20"/>
    </row>
    <row r="1798" spans="2:11" ht="14.25" thickBot="1" x14ac:dyDescent="0.2">
      <c r="B1798" s="46" t="s">
        <v>3</v>
      </c>
      <c r="C1798" s="52">
        <f>C1772-C1797</f>
        <v>162</v>
      </c>
      <c r="D1798" s="48">
        <f>D1772-D1797</f>
        <v>162</v>
      </c>
      <c r="E1798" s="49"/>
      <c r="G1798" s="46" t="s">
        <v>3</v>
      </c>
      <c r="H1798" s="52">
        <f>H1772-H1797</f>
        <v>2463</v>
      </c>
      <c r="I1798" s="48">
        <f>I1772-I1797</f>
        <v>2463</v>
      </c>
      <c r="J1798" s="49"/>
    </row>
    <row r="1801" spans="2:11" ht="18.75" x14ac:dyDescent="0.2">
      <c r="B1801" s="26" t="s">
        <v>7</v>
      </c>
      <c r="G1801" s="26" t="s">
        <v>35</v>
      </c>
    </row>
    <row r="1802" spans="2:11" ht="14.25" thickBot="1" x14ac:dyDescent="0.2"/>
    <row r="1803" spans="2:11" ht="14.25" thickBot="1" x14ac:dyDescent="0.2">
      <c r="B1803" s="1"/>
      <c r="C1803" s="2"/>
      <c r="D1803" s="3" t="s">
        <v>0</v>
      </c>
      <c r="E1803" s="1" t="s">
        <v>4</v>
      </c>
      <c r="G1803" s="1"/>
      <c r="H1803" s="2"/>
      <c r="I1803" s="3" t="s">
        <v>0</v>
      </c>
      <c r="J1803" s="1" t="s">
        <v>4</v>
      </c>
    </row>
    <row r="1804" spans="2:11" x14ac:dyDescent="0.15">
      <c r="B1804" s="42" t="s">
        <v>5</v>
      </c>
      <c r="C1804" s="43">
        <f>C1798</f>
        <v>162</v>
      </c>
      <c r="D1804" s="44">
        <f>SUM(C1804:C1804)</f>
        <v>162</v>
      </c>
      <c r="E1804" s="45"/>
      <c r="G1804" s="42" t="s">
        <v>5</v>
      </c>
      <c r="H1804" s="43">
        <f>H1798</f>
        <v>2463</v>
      </c>
      <c r="I1804" s="44">
        <f>SUM(H1804:H1804)</f>
        <v>2463</v>
      </c>
      <c r="J1804" s="45"/>
    </row>
    <row r="1805" spans="2:11" x14ac:dyDescent="0.15">
      <c r="B1805" s="6" t="s">
        <v>76</v>
      </c>
      <c r="C1805" s="13">
        <v>10</v>
      </c>
      <c r="D1805" s="14">
        <f>SUM(C1805:C1805)</f>
        <v>10</v>
      </c>
      <c r="E1805" s="12">
        <v>43021</v>
      </c>
      <c r="G1805" s="6" t="s">
        <v>6</v>
      </c>
      <c r="H1805" s="13"/>
      <c r="I1805" s="14">
        <f>SUM(H1805:H1805)</f>
        <v>0</v>
      </c>
      <c r="J1805" s="5"/>
    </row>
    <row r="1806" spans="2:11" x14ac:dyDescent="0.15">
      <c r="B1806" s="6" t="s">
        <v>542</v>
      </c>
      <c r="C1806" s="7">
        <v>4</v>
      </c>
      <c r="D1806" s="8">
        <f>SUM(C1806:C1806)</f>
        <v>4</v>
      </c>
      <c r="E1806" s="9">
        <v>43038</v>
      </c>
      <c r="G1806" s="6" t="s">
        <v>6</v>
      </c>
      <c r="H1806" s="13"/>
      <c r="I1806" s="14">
        <f>SUM(H1806:H1806)</f>
        <v>0</v>
      </c>
      <c r="J1806" s="5"/>
    </row>
    <row r="1807" spans="2:11" ht="14.25" thickBot="1" x14ac:dyDescent="0.2">
      <c r="B1807" s="6" t="s">
        <v>6</v>
      </c>
      <c r="C1807" s="7">
        <v>336</v>
      </c>
      <c r="D1807" s="14">
        <f>SUM(C1807:C1807)</f>
        <v>336</v>
      </c>
      <c r="E1807" s="16">
        <v>43057</v>
      </c>
      <c r="G1807" s="6" t="s">
        <v>6</v>
      </c>
      <c r="H1807" s="88"/>
      <c r="I1807" s="11">
        <f>SUM(H1807:H1807)</f>
        <v>0</v>
      </c>
      <c r="J1807" s="85"/>
    </row>
    <row r="1808" spans="2:11" ht="14.25" thickBot="1" x14ac:dyDescent="0.2">
      <c r="B1808" s="46" t="s">
        <v>1</v>
      </c>
      <c r="C1808" s="48">
        <f>SUM(C1804:C1807)</f>
        <v>512</v>
      </c>
      <c r="D1808" s="48">
        <f>SUM(D1804:D1807)</f>
        <v>512</v>
      </c>
      <c r="E1808" s="49"/>
      <c r="G1808" s="46" t="s">
        <v>1</v>
      </c>
      <c r="H1808" s="47">
        <f>SUM(H1804:H1807)</f>
        <v>2463</v>
      </c>
      <c r="I1808" s="48">
        <f>SUM(I1804:I1807)</f>
        <v>2463</v>
      </c>
      <c r="J1808" s="49"/>
    </row>
    <row r="1809" spans="2:10" x14ac:dyDescent="0.15">
      <c r="B1809" s="10" t="s">
        <v>18</v>
      </c>
      <c r="C1809" s="77">
        <v>10</v>
      </c>
      <c r="D1809" s="11">
        <f>SUM(C1809:C1809)</f>
        <v>10</v>
      </c>
      <c r="E1809" s="12">
        <v>43014</v>
      </c>
      <c r="G1809" s="15" t="s">
        <v>12</v>
      </c>
      <c r="H1809" s="13">
        <v>336</v>
      </c>
      <c r="I1809" s="11">
        <f>SUM(H1809:H1809)</f>
        <v>336</v>
      </c>
      <c r="J1809" s="12">
        <v>43057</v>
      </c>
    </row>
    <row r="1810" spans="2:10" x14ac:dyDescent="0.15">
      <c r="B1810" s="10" t="s">
        <v>18</v>
      </c>
      <c r="C1810" s="13">
        <v>6</v>
      </c>
      <c r="D1810" s="14">
        <f>SUM(C1810:C1810)</f>
        <v>6</v>
      </c>
      <c r="E1810" s="12">
        <v>43019</v>
      </c>
      <c r="G1810" s="81"/>
      <c r="H1810" s="13"/>
      <c r="I1810" s="14">
        <f>SUM(H1810:H1810)</f>
        <v>0</v>
      </c>
      <c r="J1810" s="12"/>
    </row>
    <row r="1811" spans="2:10" x14ac:dyDescent="0.15">
      <c r="B1811" s="10" t="s">
        <v>189</v>
      </c>
      <c r="C1811" s="13">
        <v>13</v>
      </c>
      <c r="D1811" s="14">
        <f>SUM(C1811:C1811)</f>
        <v>13</v>
      </c>
      <c r="E1811" s="12">
        <v>43018</v>
      </c>
      <c r="G1811" s="15"/>
      <c r="H1811" s="13"/>
      <c r="I1811" s="14">
        <f t="shared" ref="I1811:I1828" si="117">SUM(H1811:H1811)</f>
        <v>0</v>
      </c>
      <c r="J1811" s="12"/>
    </row>
    <row r="1812" spans="2:10" x14ac:dyDescent="0.15">
      <c r="B1812" s="10" t="s">
        <v>18</v>
      </c>
      <c r="C1812" s="13">
        <v>7</v>
      </c>
      <c r="D1812" s="14">
        <f t="shared" ref="D1812:D1822" si="118">SUM(C1812:C1812)</f>
        <v>7</v>
      </c>
      <c r="E1812" s="12">
        <v>43021</v>
      </c>
      <c r="G1812" s="15"/>
      <c r="H1812" s="13"/>
      <c r="I1812" s="14">
        <f t="shared" si="117"/>
        <v>0</v>
      </c>
      <c r="J1812" s="12"/>
    </row>
    <row r="1813" spans="2:10" x14ac:dyDescent="0.15">
      <c r="B1813" s="10" t="s">
        <v>18</v>
      </c>
      <c r="C1813" s="13">
        <v>17</v>
      </c>
      <c r="D1813" s="14">
        <f t="shared" si="118"/>
        <v>17</v>
      </c>
      <c r="E1813" s="12">
        <v>43022</v>
      </c>
      <c r="G1813" s="15"/>
      <c r="H1813" s="13"/>
      <c r="I1813" s="14">
        <f t="shared" si="117"/>
        <v>0</v>
      </c>
      <c r="J1813" s="12"/>
    </row>
    <row r="1814" spans="2:10" x14ac:dyDescent="0.15">
      <c r="B1814" s="10" t="s">
        <v>18</v>
      </c>
      <c r="C1814" s="13">
        <v>5</v>
      </c>
      <c r="D1814" s="14">
        <f t="shared" si="118"/>
        <v>5</v>
      </c>
      <c r="E1814" s="12">
        <v>43027</v>
      </c>
      <c r="G1814" s="78"/>
      <c r="H1814" s="13"/>
      <c r="I1814" s="14">
        <f t="shared" si="117"/>
        <v>0</v>
      </c>
      <c r="J1814" s="12"/>
    </row>
    <row r="1815" spans="2:10" x14ac:dyDescent="0.15">
      <c r="B1815" s="10" t="s">
        <v>18</v>
      </c>
      <c r="C1815" s="13">
        <v>15</v>
      </c>
      <c r="D1815" s="14">
        <f t="shared" si="118"/>
        <v>15</v>
      </c>
      <c r="E1815" s="12">
        <v>43029</v>
      </c>
      <c r="G1815" s="78"/>
      <c r="H1815" s="13"/>
      <c r="I1815" s="14">
        <f t="shared" si="117"/>
        <v>0</v>
      </c>
      <c r="J1815" s="12"/>
    </row>
    <row r="1816" spans="2:10" x14ac:dyDescent="0.15">
      <c r="B1816" s="10" t="s">
        <v>189</v>
      </c>
      <c r="C1816" s="13">
        <v>5</v>
      </c>
      <c r="D1816" s="14">
        <f t="shared" si="118"/>
        <v>5</v>
      </c>
      <c r="E1816" s="12">
        <v>43028</v>
      </c>
      <c r="G1816" s="78"/>
      <c r="H1816" s="13"/>
      <c r="I1816" s="14">
        <f t="shared" si="117"/>
        <v>0</v>
      </c>
      <c r="J1816" s="12"/>
    </row>
    <row r="1817" spans="2:10" x14ac:dyDescent="0.15">
      <c r="B1817" s="10" t="s">
        <v>18</v>
      </c>
      <c r="C1817" s="13">
        <v>9</v>
      </c>
      <c r="D1817" s="14">
        <f t="shared" si="118"/>
        <v>9</v>
      </c>
      <c r="E1817" s="12">
        <v>43032</v>
      </c>
      <c r="G1817" s="10"/>
      <c r="H1817" s="13"/>
      <c r="I1817" s="14">
        <f t="shared" si="117"/>
        <v>0</v>
      </c>
      <c r="J1817" s="12"/>
    </row>
    <row r="1818" spans="2:10" x14ac:dyDescent="0.15">
      <c r="B1818" s="10" t="s">
        <v>18</v>
      </c>
      <c r="C1818" s="13">
        <v>19</v>
      </c>
      <c r="D1818" s="14">
        <f t="shared" si="118"/>
        <v>19</v>
      </c>
      <c r="E1818" s="12">
        <v>43036</v>
      </c>
      <c r="G1818" s="78"/>
      <c r="H1818" s="13"/>
      <c r="I1818" s="14">
        <f t="shared" si="117"/>
        <v>0</v>
      </c>
      <c r="J1818" s="12"/>
    </row>
    <row r="1819" spans="2:10" x14ac:dyDescent="0.15">
      <c r="B1819" s="10" t="s">
        <v>189</v>
      </c>
      <c r="C1819" s="13">
        <v>1</v>
      </c>
      <c r="D1819" s="14">
        <f t="shared" si="118"/>
        <v>1</v>
      </c>
      <c r="E1819" s="12">
        <v>43039</v>
      </c>
      <c r="G1819" s="15"/>
      <c r="H1819" s="13"/>
      <c r="I1819" s="14">
        <f t="shared" si="117"/>
        <v>0</v>
      </c>
      <c r="J1819" s="5"/>
    </row>
    <row r="1820" spans="2:10" x14ac:dyDescent="0.15">
      <c r="B1820" s="10" t="s">
        <v>18</v>
      </c>
      <c r="C1820" s="13">
        <v>7</v>
      </c>
      <c r="D1820" s="14">
        <f t="shared" si="118"/>
        <v>7</v>
      </c>
      <c r="E1820" s="12">
        <v>43046</v>
      </c>
      <c r="G1820" s="15"/>
      <c r="H1820" s="7"/>
      <c r="I1820" s="14">
        <f t="shared" si="117"/>
        <v>0</v>
      </c>
      <c r="J1820" s="12"/>
    </row>
    <row r="1821" spans="2:10" x14ac:dyDescent="0.15">
      <c r="B1821" s="10" t="s">
        <v>189</v>
      </c>
      <c r="C1821" s="13">
        <v>1</v>
      </c>
      <c r="D1821" s="14">
        <f t="shared" si="118"/>
        <v>1</v>
      </c>
      <c r="E1821" s="12">
        <v>43045</v>
      </c>
      <c r="G1821" s="10"/>
      <c r="H1821" s="13"/>
      <c r="I1821" s="14">
        <f t="shared" si="117"/>
        <v>0</v>
      </c>
      <c r="J1821" s="12"/>
    </row>
    <row r="1822" spans="2:10" x14ac:dyDescent="0.15">
      <c r="B1822" s="10" t="s">
        <v>189</v>
      </c>
      <c r="C1822" s="13">
        <v>1</v>
      </c>
      <c r="D1822" s="14">
        <f t="shared" si="118"/>
        <v>1</v>
      </c>
      <c r="E1822" s="12">
        <v>43046</v>
      </c>
      <c r="G1822" s="15"/>
      <c r="H1822" s="13"/>
      <c r="I1822" s="14">
        <f t="shared" si="117"/>
        <v>0</v>
      </c>
      <c r="J1822" s="12"/>
    </row>
    <row r="1823" spans="2:10" x14ac:dyDescent="0.15">
      <c r="B1823" s="10" t="s">
        <v>18</v>
      </c>
      <c r="C1823" s="13">
        <v>5</v>
      </c>
      <c r="D1823" s="14">
        <f>SUM(C1823:C1823)</f>
        <v>5</v>
      </c>
      <c r="E1823" s="12">
        <v>43048</v>
      </c>
      <c r="G1823" s="15"/>
      <c r="H1823" s="7"/>
      <c r="I1823" s="14">
        <f t="shared" si="117"/>
        <v>0</v>
      </c>
      <c r="J1823" s="12"/>
    </row>
    <row r="1824" spans="2:10" x14ac:dyDescent="0.15">
      <c r="B1824" s="10" t="s">
        <v>18</v>
      </c>
      <c r="C1824" s="13">
        <v>9</v>
      </c>
      <c r="D1824" s="14">
        <f t="shared" ref="D1824:D1833" si="119">SUM(C1824:C1824)</f>
        <v>9</v>
      </c>
      <c r="E1824" s="12">
        <v>43050</v>
      </c>
      <c r="G1824" s="15"/>
      <c r="H1824" s="7"/>
      <c r="I1824" s="14">
        <f t="shared" si="117"/>
        <v>0</v>
      </c>
      <c r="J1824" s="12"/>
    </row>
    <row r="1825" spans="2:10" x14ac:dyDescent="0.15">
      <c r="B1825" s="10" t="s">
        <v>18</v>
      </c>
      <c r="C1825" s="13">
        <v>14</v>
      </c>
      <c r="D1825" s="14">
        <f t="shared" si="119"/>
        <v>14</v>
      </c>
      <c r="E1825" s="12">
        <v>43054</v>
      </c>
      <c r="G1825" s="15"/>
      <c r="H1825" s="7"/>
      <c r="I1825" s="14">
        <f t="shared" si="117"/>
        <v>0</v>
      </c>
      <c r="J1825" s="12"/>
    </row>
    <row r="1826" spans="2:10" x14ac:dyDescent="0.15">
      <c r="B1826" s="10" t="s">
        <v>18</v>
      </c>
      <c r="C1826" s="13">
        <v>4</v>
      </c>
      <c r="D1826" s="14">
        <f t="shared" si="119"/>
        <v>4</v>
      </c>
      <c r="E1826" s="12">
        <v>43055</v>
      </c>
      <c r="G1826" s="15"/>
      <c r="H1826" s="7"/>
      <c r="I1826" s="14">
        <f t="shared" si="117"/>
        <v>0</v>
      </c>
      <c r="J1826" s="5"/>
    </row>
    <row r="1827" spans="2:10" x14ac:dyDescent="0.15">
      <c r="B1827" s="10" t="s">
        <v>18</v>
      </c>
      <c r="C1827" s="13">
        <v>8</v>
      </c>
      <c r="D1827" s="14">
        <f t="shared" si="119"/>
        <v>8</v>
      </c>
      <c r="E1827" s="12">
        <v>43057</v>
      </c>
      <c r="G1827" s="15"/>
      <c r="H1827" s="7"/>
      <c r="I1827" s="14">
        <f t="shared" si="117"/>
        <v>0</v>
      </c>
      <c r="J1827" s="5"/>
    </row>
    <row r="1828" spans="2:10" x14ac:dyDescent="0.15">
      <c r="B1828" s="10" t="s">
        <v>189</v>
      </c>
      <c r="C1828" s="13">
        <v>1</v>
      </c>
      <c r="D1828" s="14">
        <f t="shared" si="119"/>
        <v>1</v>
      </c>
      <c r="E1828" s="5">
        <v>43056</v>
      </c>
      <c r="G1828" s="15"/>
      <c r="H1828" s="7"/>
      <c r="I1828" s="14">
        <f t="shared" si="117"/>
        <v>0</v>
      </c>
      <c r="J1828" s="5"/>
    </row>
    <row r="1829" spans="2:10" x14ac:dyDescent="0.15">
      <c r="B1829" s="10" t="s">
        <v>18</v>
      </c>
      <c r="C1829" s="13">
        <v>24</v>
      </c>
      <c r="D1829" s="14">
        <f t="shared" si="119"/>
        <v>24</v>
      </c>
      <c r="E1829" s="5">
        <v>43060</v>
      </c>
      <c r="G1829" s="15"/>
      <c r="H1829" s="7"/>
      <c r="I1829" s="14">
        <f>SUM(H1829:H1829)</f>
        <v>0</v>
      </c>
      <c r="J1829" s="5"/>
    </row>
    <row r="1830" spans="2:10" x14ac:dyDescent="0.15">
      <c r="B1830" s="10" t="s">
        <v>18</v>
      </c>
      <c r="C1830" s="13">
        <v>10</v>
      </c>
      <c r="D1830" s="14">
        <f t="shared" si="119"/>
        <v>10</v>
      </c>
      <c r="E1830" s="5">
        <v>43068</v>
      </c>
      <c r="G1830" s="15"/>
      <c r="H1830" s="13"/>
      <c r="I1830" s="14">
        <f>SUM(H1830:H1830)</f>
        <v>0</v>
      </c>
      <c r="J1830" s="12"/>
    </row>
    <row r="1831" spans="2:10" x14ac:dyDescent="0.15">
      <c r="B1831" s="10" t="s">
        <v>105</v>
      </c>
      <c r="C1831" s="13">
        <v>-1</v>
      </c>
      <c r="D1831" s="14">
        <f t="shared" si="119"/>
        <v>-1</v>
      </c>
      <c r="E1831" s="5">
        <v>43067</v>
      </c>
      <c r="G1831" s="15"/>
      <c r="H1831" s="7"/>
      <c r="I1831" s="14">
        <f>SUM(H1831:H1831)</f>
        <v>0</v>
      </c>
      <c r="J1831" s="5"/>
    </row>
    <row r="1832" spans="2:10" ht="14.25" thickBot="1" x14ac:dyDescent="0.2">
      <c r="B1832" s="10" t="s">
        <v>18</v>
      </c>
      <c r="C1832" s="13">
        <v>1</v>
      </c>
      <c r="D1832" s="11">
        <f t="shared" si="119"/>
        <v>1</v>
      </c>
      <c r="E1832" s="12">
        <v>43069</v>
      </c>
      <c r="G1832" s="15"/>
      <c r="H1832" s="7"/>
      <c r="I1832" s="14">
        <f>SUM(H1832:H1832)</f>
        <v>0</v>
      </c>
      <c r="J1832" s="5"/>
    </row>
    <row r="1833" spans="2:10" ht="14.25" thickBot="1" x14ac:dyDescent="0.2">
      <c r="B1833" s="17" t="s">
        <v>2</v>
      </c>
      <c r="C1833" s="18">
        <f>SUM(C1809:C1832)</f>
        <v>191</v>
      </c>
      <c r="D1833" s="19">
        <f t="shared" si="119"/>
        <v>191</v>
      </c>
      <c r="E1833" s="20"/>
      <c r="G1833" s="17" t="s">
        <v>2</v>
      </c>
      <c r="H1833" s="18">
        <f>SUM(H1809:H1832)</f>
        <v>336</v>
      </c>
      <c r="I1833" s="19">
        <f>SUM(H1833:H1833)</f>
        <v>336</v>
      </c>
      <c r="J1833" s="20"/>
    </row>
    <row r="1834" spans="2:10" ht="14.25" thickBot="1" x14ac:dyDescent="0.2">
      <c r="B1834" s="46" t="s">
        <v>3</v>
      </c>
      <c r="C1834" s="52">
        <f>C1808-C1833</f>
        <v>321</v>
      </c>
      <c r="D1834" s="48">
        <f>D1808-D1833</f>
        <v>321</v>
      </c>
      <c r="E1834" s="49"/>
      <c r="G1834" s="46" t="s">
        <v>3</v>
      </c>
      <c r="H1834" s="52">
        <f>H1808-H1833</f>
        <v>2127</v>
      </c>
      <c r="I1834" s="48">
        <f>I1808-I1833</f>
        <v>2127</v>
      </c>
      <c r="J1834" s="49"/>
    </row>
    <row r="1837" spans="2:10" ht="18.75" x14ac:dyDescent="0.2">
      <c r="B1837" s="26" t="s">
        <v>7</v>
      </c>
      <c r="G1837" s="26" t="s">
        <v>35</v>
      </c>
    </row>
    <row r="1838" spans="2:10" ht="14.25" thickBot="1" x14ac:dyDescent="0.2"/>
    <row r="1839" spans="2:10" ht="14.25" thickBot="1" x14ac:dyDescent="0.2">
      <c r="B1839" s="1"/>
      <c r="C1839" s="2"/>
      <c r="D1839" s="3" t="s">
        <v>0</v>
      </c>
      <c r="E1839" s="1" t="s">
        <v>4</v>
      </c>
      <c r="G1839" s="1"/>
      <c r="H1839" s="2"/>
      <c r="I1839" s="3" t="s">
        <v>0</v>
      </c>
      <c r="J1839" s="1" t="s">
        <v>4</v>
      </c>
    </row>
    <row r="1840" spans="2:10" x14ac:dyDescent="0.15">
      <c r="B1840" s="42" t="s">
        <v>5</v>
      </c>
      <c r="C1840" s="43">
        <f>C1834</f>
        <v>321</v>
      </c>
      <c r="D1840" s="44">
        <f>SUM(C1840:C1840)</f>
        <v>321</v>
      </c>
      <c r="E1840" s="45"/>
      <c r="G1840" s="42" t="s">
        <v>5</v>
      </c>
      <c r="H1840" s="43">
        <f>H1834</f>
        <v>2127</v>
      </c>
      <c r="I1840" s="44">
        <f>SUM(H1840:H1840)</f>
        <v>2127</v>
      </c>
      <c r="J1840" s="45"/>
    </row>
    <row r="1841" spans="2:10" x14ac:dyDescent="0.15">
      <c r="B1841" s="6" t="s">
        <v>6</v>
      </c>
      <c r="C1841" s="13"/>
      <c r="D1841" s="14">
        <f>SUM(C1841:C1841)</f>
        <v>0</v>
      </c>
      <c r="E1841" s="12"/>
      <c r="G1841" s="6" t="s">
        <v>6</v>
      </c>
      <c r="H1841" s="13"/>
      <c r="I1841" s="14">
        <f>SUM(H1841:H1841)</f>
        <v>0</v>
      </c>
      <c r="J1841" s="5"/>
    </row>
    <row r="1842" spans="2:10" x14ac:dyDescent="0.15">
      <c r="B1842" s="6" t="s">
        <v>6</v>
      </c>
      <c r="C1842" s="7"/>
      <c r="D1842" s="8">
        <f>SUM(C1842:C1842)</f>
        <v>0</v>
      </c>
      <c r="E1842" s="9"/>
      <c r="G1842" s="6" t="s">
        <v>6</v>
      </c>
      <c r="H1842" s="13"/>
      <c r="I1842" s="14">
        <f>SUM(H1842:H1842)</f>
        <v>0</v>
      </c>
      <c r="J1842" s="5"/>
    </row>
    <row r="1843" spans="2:10" ht="14.25" thickBot="1" x14ac:dyDescent="0.2">
      <c r="B1843" s="6" t="s">
        <v>6</v>
      </c>
      <c r="C1843" s="7"/>
      <c r="D1843" s="14">
        <f>SUM(C1843:C1843)</f>
        <v>0</v>
      </c>
      <c r="E1843" s="16"/>
      <c r="G1843" s="6" t="s">
        <v>6</v>
      </c>
      <c r="H1843" s="88"/>
      <c r="I1843" s="11">
        <f>SUM(H1843:H1843)</f>
        <v>0</v>
      </c>
      <c r="J1843" s="85"/>
    </row>
    <row r="1844" spans="2:10" ht="14.25" thickBot="1" x14ac:dyDescent="0.2">
      <c r="B1844" s="46" t="s">
        <v>1</v>
      </c>
      <c r="C1844" s="48">
        <f>SUM(C1840:C1843)</f>
        <v>321</v>
      </c>
      <c r="D1844" s="48">
        <f>SUM(D1840:D1843)</f>
        <v>321</v>
      </c>
      <c r="E1844" s="49"/>
      <c r="G1844" s="46" t="s">
        <v>1</v>
      </c>
      <c r="H1844" s="47">
        <f>SUM(H1840:H1843)</f>
        <v>2127</v>
      </c>
      <c r="I1844" s="48">
        <f>SUM(I1840:I1843)</f>
        <v>2127</v>
      </c>
      <c r="J1844" s="49"/>
    </row>
    <row r="1845" spans="2:10" x14ac:dyDescent="0.15">
      <c r="B1845" s="10" t="s">
        <v>18</v>
      </c>
      <c r="C1845" s="77">
        <v>2</v>
      </c>
      <c r="D1845" s="11">
        <f>SUM(C1845:C1845)</f>
        <v>2</v>
      </c>
      <c r="E1845" s="12">
        <v>43073</v>
      </c>
      <c r="G1845" s="15"/>
      <c r="H1845" s="13"/>
      <c r="I1845" s="11">
        <f>SUM(H1845:H1845)</f>
        <v>0</v>
      </c>
      <c r="J1845" s="12"/>
    </row>
    <row r="1846" spans="2:10" x14ac:dyDescent="0.15">
      <c r="B1846" s="10" t="s">
        <v>18</v>
      </c>
      <c r="C1846" s="13">
        <v>6</v>
      </c>
      <c r="D1846" s="14">
        <f>SUM(C1846:C1846)</f>
        <v>6</v>
      </c>
      <c r="E1846" s="12">
        <v>43075</v>
      </c>
      <c r="G1846" s="81"/>
      <c r="H1846" s="13"/>
      <c r="I1846" s="14">
        <f>SUM(H1846:H1846)</f>
        <v>0</v>
      </c>
      <c r="J1846" s="12"/>
    </row>
    <row r="1847" spans="2:10" x14ac:dyDescent="0.15">
      <c r="B1847" s="10" t="s">
        <v>543</v>
      </c>
      <c r="C1847" s="13">
        <v>6</v>
      </c>
      <c r="D1847" s="14">
        <f>SUM(C1847:C1847)</f>
        <v>6</v>
      </c>
      <c r="E1847" s="12">
        <v>43074</v>
      </c>
      <c r="G1847" s="15"/>
      <c r="H1847" s="13"/>
      <c r="I1847" s="14">
        <f t="shared" ref="I1847:I1864" si="120">SUM(H1847:H1847)</f>
        <v>0</v>
      </c>
      <c r="J1847" s="12"/>
    </row>
    <row r="1848" spans="2:10" x14ac:dyDescent="0.15">
      <c r="B1848" s="10" t="s">
        <v>189</v>
      </c>
      <c r="C1848" s="13">
        <v>1</v>
      </c>
      <c r="D1848" s="14">
        <f t="shared" ref="D1848:D1858" si="121">SUM(C1848:C1848)</f>
        <v>1</v>
      </c>
      <c r="E1848" s="12">
        <v>43075</v>
      </c>
      <c r="G1848" s="15"/>
      <c r="H1848" s="13"/>
      <c r="I1848" s="14">
        <f t="shared" si="120"/>
        <v>0</v>
      </c>
      <c r="J1848" s="12"/>
    </row>
    <row r="1849" spans="2:10" x14ac:dyDescent="0.15">
      <c r="B1849" s="10" t="s">
        <v>18</v>
      </c>
      <c r="C1849" s="13">
        <v>8</v>
      </c>
      <c r="D1849" s="14">
        <f t="shared" si="121"/>
        <v>8</v>
      </c>
      <c r="E1849" s="12">
        <v>43077</v>
      </c>
      <c r="G1849" s="15"/>
      <c r="H1849" s="13"/>
      <c r="I1849" s="14">
        <f t="shared" si="120"/>
        <v>0</v>
      </c>
      <c r="J1849" s="12"/>
    </row>
    <row r="1850" spans="2:10" x14ac:dyDescent="0.15">
      <c r="B1850" s="10" t="s">
        <v>18</v>
      </c>
      <c r="C1850" s="13">
        <v>24</v>
      </c>
      <c r="D1850" s="14">
        <f t="shared" si="121"/>
        <v>24</v>
      </c>
      <c r="E1850" s="12">
        <v>43081</v>
      </c>
      <c r="G1850" s="78"/>
      <c r="H1850" s="13"/>
      <c r="I1850" s="14">
        <f t="shared" si="120"/>
        <v>0</v>
      </c>
      <c r="J1850" s="12"/>
    </row>
    <row r="1851" spans="2:10" x14ac:dyDescent="0.15">
      <c r="B1851" s="10" t="s">
        <v>18</v>
      </c>
      <c r="C1851" s="13">
        <v>9</v>
      </c>
      <c r="D1851" s="14">
        <f t="shared" si="121"/>
        <v>9</v>
      </c>
      <c r="E1851" s="12">
        <v>43084</v>
      </c>
      <c r="G1851" s="78"/>
      <c r="H1851" s="13"/>
      <c r="I1851" s="14">
        <f t="shared" si="120"/>
        <v>0</v>
      </c>
      <c r="J1851" s="12"/>
    </row>
    <row r="1852" spans="2:10" x14ac:dyDescent="0.15">
      <c r="B1852" s="10" t="s">
        <v>18</v>
      </c>
      <c r="C1852" s="13">
        <v>2</v>
      </c>
      <c r="D1852" s="14">
        <f t="shared" si="121"/>
        <v>2</v>
      </c>
      <c r="E1852" s="12">
        <v>43095</v>
      </c>
      <c r="G1852" s="78"/>
      <c r="H1852" s="13"/>
      <c r="I1852" s="14">
        <f t="shared" si="120"/>
        <v>0</v>
      </c>
      <c r="J1852" s="12"/>
    </row>
    <row r="1853" spans="2:10" x14ac:dyDescent="0.15">
      <c r="B1853" s="10" t="s">
        <v>189</v>
      </c>
      <c r="C1853" s="13">
        <v>1</v>
      </c>
      <c r="D1853" s="14">
        <f t="shared" si="121"/>
        <v>1</v>
      </c>
      <c r="E1853" s="12">
        <v>43095</v>
      </c>
      <c r="G1853" s="10"/>
      <c r="H1853" s="13"/>
      <c r="I1853" s="14">
        <f t="shared" si="120"/>
        <v>0</v>
      </c>
      <c r="J1853" s="12"/>
    </row>
    <row r="1854" spans="2:10" x14ac:dyDescent="0.15">
      <c r="B1854" s="10" t="s">
        <v>18</v>
      </c>
      <c r="C1854" s="13">
        <v>1</v>
      </c>
      <c r="D1854" s="14">
        <f t="shared" si="121"/>
        <v>1</v>
      </c>
      <c r="E1854" s="12">
        <v>43097</v>
      </c>
      <c r="G1854" s="78"/>
      <c r="H1854" s="13"/>
      <c r="I1854" s="14">
        <f t="shared" si="120"/>
        <v>0</v>
      </c>
      <c r="J1854" s="12"/>
    </row>
    <row r="1855" spans="2:10" x14ac:dyDescent="0.15">
      <c r="B1855" s="10" t="s">
        <v>18</v>
      </c>
      <c r="C1855" s="13">
        <v>3</v>
      </c>
      <c r="D1855" s="14">
        <f t="shared" si="121"/>
        <v>3</v>
      </c>
      <c r="E1855" s="12">
        <v>43106</v>
      </c>
      <c r="G1855" s="15"/>
      <c r="H1855" s="13"/>
      <c r="I1855" s="14">
        <f t="shared" si="120"/>
        <v>0</v>
      </c>
      <c r="J1855" s="5"/>
    </row>
    <row r="1856" spans="2:10" x14ac:dyDescent="0.15">
      <c r="B1856" s="10" t="s">
        <v>18</v>
      </c>
      <c r="C1856" s="13">
        <v>4</v>
      </c>
      <c r="D1856" s="14">
        <f t="shared" si="121"/>
        <v>4</v>
      </c>
      <c r="E1856" s="12">
        <v>43110</v>
      </c>
      <c r="G1856" s="15"/>
      <c r="H1856" s="7"/>
      <c r="I1856" s="14">
        <f t="shared" si="120"/>
        <v>0</v>
      </c>
      <c r="J1856" s="12"/>
    </row>
    <row r="1857" spans="2:10" x14ac:dyDescent="0.15">
      <c r="B1857" s="10" t="s">
        <v>18</v>
      </c>
      <c r="C1857" s="13">
        <v>1</v>
      </c>
      <c r="D1857" s="14">
        <f t="shared" si="121"/>
        <v>1</v>
      </c>
      <c r="E1857" s="12">
        <v>43112</v>
      </c>
      <c r="G1857" s="10"/>
      <c r="H1857" s="13"/>
      <c r="I1857" s="14">
        <f t="shared" si="120"/>
        <v>0</v>
      </c>
      <c r="J1857" s="12"/>
    </row>
    <row r="1858" spans="2:10" x14ac:dyDescent="0.15">
      <c r="B1858" s="10" t="s">
        <v>544</v>
      </c>
      <c r="C1858" s="13">
        <v>1</v>
      </c>
      <c r="D1858" s="14">
        <f t="shared" si="121"/>
        <v>1</v>
      </c>
      <c r="E1858" s="12">
        <v>43113</v>
      </c>
      <c r="G1858" s="15"/>
      <c r="H1858" s="13"/>
      <c r="I1858" s="14">
        <f t="shared" si="120"/>
        <v>0</v>
      </c>
      <c r="J1858" s="12"/>
    </row>
    <row r="1859" spans="2:10" x14ac:dyDescent="0.15">
      <c r="B1859" s="10" t="s">
        <v>18</v>
      </c>
      <c r="C1859" s="13">
        <v>1</v>
      </c>
      <c r="D1859" s="14">
        <f>SUM(C1859:C1859)</f>
        <v>1</v>
      </c>
      <c r="E1859" s="12">
        <v>43117</v>
      </c>
      <c r="G1859" s="15"/>
      <c r="H1859" s="7"/>
      <c r="I1859" s="14">
        <f t="shared" si="120"/>
        <v>0</v>
      </c>
      <c r="J1859" s="12"/>
    </row>
    <row r="1860" spans="2:10" x14ac:dyDescent="0.15">
      <c r="B1860" s="10" t="s">
        <v>18</v>
      </c>
      <c r="C1860" s="13">
        <v>1</v>
      </c>
      <c r="D1860" s="14">
        <f t="shared" ref="D1860:D1869" si="122">SUM(C1860:C1860)</f>
        <v>1</v>
      </c>
      <c r="E1860" s="12">
        <v>43120</v>
      </c>
      <c r="G1860" s="15"/>
      <c r="H1860" s="7"/>
      <c r="I1860" s="14">
        <f t="shared" si="120"/>
        <v>0</v>
      </c>
      <c r="J1860" s="12"/>
    </row>
    <row r="1861" spans="2:10" x14ac:dyDescent="0.15">
      <c r="B1861" s="10" t="s">
        <v>189</v>
      </c>
      <c r="C1861" s="13">
        <v>6</v>
      </c>
      <c r="D1861" s="14">
        <f t="shared" si="122"/>
        <v>6</v>
      </c>
      <c r="E1861" s="12">
        <v>43118</v>
      </c>
      <c r="G1861" s="15"/>
      <c r="H1861" s="7"/>
      <c r="I1861" s="14">
        <f t="shared" si="120"/>
        <v>0</v>
      </c>
      <c r="J1861" s="12"/>
    </row>
    <row r="1862" spans="2:10" x14ac:dyDescent="0.15">
      <c r="B1862" s="10" t="s">
        <v>18</v>
      </c>
      <c r="C1862" s="13">
        <v>1</v>
      </c>
      <c r="D1862" s="14">
        <f t="shared" si="122"/>
        <v>1</v>
      </c>
      <c r="E1862" s="12">
        <v>43124</v>
      </c>
      <c r="G1862" s="15"/>
      <c r="H1862" s="7"/>
      <c r="I1862" s="14">
        <f t="shared" si="120"/>
        <v>0</v>
      </c>
      <c r="J1862" s="5"/>
    </row>
    <row r="1863" spans="2:10" x14ac:dyDescent="0.15">
      <c r="B1863" s="10" t="s">
        <v>18</v>
      </c>
      <c r="C1863" s="13">
        <v>1</v>
      </c>
      <c r="D1863" s="14">
        <f t="shared" si="122"/>
        <v>1</v>
      </c>
      <c r="E1863" s="12">
        <v>43126</v>
      </c>
      <c r="G1863" s="15"/>
      <c r="H1863" s="7"/>
      <c r="I1863" s="14">
        <f t="shared" si="120"/>
        <v>0</v>
      </c>
      <c r="J1863" s="5"/>
    </row>
    <row r="1864" spans="2:10" x14ac:dyDescent="0.15">
      <c r="B1864" s="10" t="s">
        <v>189</v>
      </c>
      <c r="C1864" s="13">
        <v>1</v>
      </c>
      <c r="D1864" s="14">
        <f t="shared" si="122"/>
        <v>1</v>
      </c>
      <c r="E1864" s="5">
        <v>43126</v>
      </c>
      <c r="G1864" s="15"/>
      <c r="H1864" s="7"/>
      <c r="I1864" s="14">
        <f t="shared" si="120"/>
        <v>0</v>
      </c>
      <c r="J1864" s="5"/>
    </row>
    <row r="1865" spans="2:10" x14ac:dyDescent="0.15">
      <c r="B1865" s="10" t="s">
        <v>18</v>
      </c>
      <c r="C1865" s="13">
        <v>4</v>
      </c>
      <c r="D1865" s="14">
        <f t="shared" si="122"/>
        <v>4</v>
      </c>
      <c r="E1865" s="5">
        <v>43130</v>
      </c>
      <c r="G1865" s="15"/>
      <c r="H1865" s="7"/>
      <c r="I1865" s="14">
        <f>SUM(H1865:H1865)</f>
        <v>0</v>
      </c>
      <c r="J1865" s="5"/>
    </row>
    <row r="1866" spans="2:10" x14ac:dyDescent="0.15">
      <c r="B1866" s="10" t="s">
        <v>18</v>
      </c>
      <c r="C1866" s="13">
        <v>1</v>
      </c>
      <c r="D1866" s="14">
        <f t="shared" si="122"/>
        <v>1</v>
      </c>
      <c r="E1866" s="5">
        <v>43134</v>
      </c>
      <c r="G1866" s="15"/>
      <c r="H1866" s="7"/>
      <c r="I1866" s="14">
        <f>SUM(H1866:H1866)</f>
        <v>0</v>
      </c>
      <c r="J1866" s="5"/>
    </row>
    <row r="1867" spans="2:10" x14ac:dyDescent="0.15">
      <c r="B1867" s="10" t="s">
        <v>18</v>
      </c>
      <c r="C1867" s="13">
        <v>1</v>
      </c>
      <c r="D1867" s="14">
        <f t="shared" si="122"/>
        <v>1</v>
      </c>
      <c r="E1867" s="5">
        <v>43138</v>
      </c>
      <c r="G1867" s="15"/>
      <c r="H1867" s="7"/>
      <c r="I1867" s="14">
        <f>SUM(H1867:H1867)</f>
        <v>0</v>
      </c>
      <c r="J1867" s="5"/>
    </row>
    <row r="1868" spans="2:10" ht="14.25" thickBot="1" x14ac:dyDescent="0.2">
      <c r="B1868" s="10" t="s">
        <v>18</v>
      </c>
      <c r="C1868" s="13">
        <v>4</v>
      </c>
      <c r="D1868" s="11">
        <f t="shared" si="122"/>
        <v>4</v>
      </c>
      <c r="E1868" s="12">
        <v>43140</v>
      </c>
      <c r="G1868" s="15"/>
      <c r="H1868" s="13"/>
      <c r="I1868" s="14">
        <f>SUM(H1868:H1868)</f>
        <v>0</v>
      </c>
      <c r="J1868" s="12"/>
    </row>
    <row r="1869" spans="2:10" ht="14.25" thickBot="1" x14ac:dyDescent="0.2">
      <c r="B1869" s="17" t="s">
        <v>2</v>
      </c>
      <c r="C1869" s="18">
        <f>SUM(C1845:C1868)</f>
        <v>90</v>
      </c>
      <c r="D1869" s="19">
        <f t="shared" si="122"/>
        <v>90</v>
      </c>
      <c r="E1869" s="20"/>
      <c r="G1869" s="17" t="s">
        <v>2</v>
      </c>
      <c r="H1869" s="18">
        <f>SUM(H1845:H1868)</f>
        <v>0</v>
      </c>
      <c r="I1869" s="19">
        <f>SUM(H1869:H1869)</f>
        <v>0</v>
      </c>
      <c r="J1869" s="20"/>
    </row>
    <row r="1870" spans="2:10" ht="14.25" thickBot="1" x14ac:dyDescent="0.2">
      <c r="B1870" s="46" t="s">
        <v>3</v>
      </c>
      <c r="C1870" s="52">
        <f>C1844-C1869</f>
        <v>231</v>
      </c>
      <c r="D1870" s="48">
        <f>D1844-D1869</f>
        <v>231</v>
      </c>
      <c r="E1870" s="49"/>
      <c r="G1870" s="46" t="s">
        <v>3</v>
      </c>
      <c r="H1870" s="52">
        <f>H1844-H1869</f>
        <v>2127</v>
      </c>
      <c r="I1870" s="48">
        <f>I1844-I1869</f>
        <v>2127</v>
      </c>
      <c r="J1870" s="49"/>
    </row>
    <row r="1873" spans="2:10" ht="18.75" x14ac:dyDescent="0.2">
      <c r="B1873" s="26" t="s">
        <v>7</v>
      </c>
      <c r="G1873" s="26" t="s">
        <v>35</v>
      </c>
    </row>
    <row r="1874" spans="2:10" ht="14.25" thickBot="1" x14ac:dyDescent="0.2"/>
    <row r="1875" spans="2:10" ht="14.25" thickBot="1" x14ac:dyDescent="0.2">
      <c r="B1875" s="1"/>
      <c r="C1875" s="2"/>
      <c r="D1875" s="3" t="s">
        <v>0</v>
      </c>
      <c r="E1875" s="1" t="s">
        <v>4</v>
      </c>
      <c r="G1875" s="1"/>
      <c r="H1875" s="2"/>
      <c r="I1875" s="3" t="s">
        <v>0</v>
      </c>
      <c r="J1875" s="1" t="s">
        <v>4</v>
      </c>
    </row>
    <row r="1876" spans="2:10" x14ac:dyDescent="0.15">
      <c r="B1876" s="42" t="s">
        <v>5</v>
      </c>
      <c r="C1876" s="43">
        <f>C1870</f>
        <v>231</v>
      </c>
      <c r="D1876" s="44">
        <f>SUM(C1876:C1876)</f>
        <v>231</v>
      </c>
      <c r="E1876" s="45"/>
      <c r="G1876" s="42" t="s">
        <v>5</v>
      </c>
      <c r="H1876" s="43">
        <f>H1870</f>
        <v>2127</v>
      </c>
      <c r="I1876" s="44">
        <f>SUM(H1876:H1876)</f>
        <v>2127</v>
      </c>
      <c r="J1876" s="45"/>
    </row>
    <row r="1877" spans="2:10" x14ac:dyDescent="0.15">
      <c r="B1877" s="6" t="s">
        <v>6</v>
      </c>
      <c r="C1877" s="13">
        <v>336</v>
      </c>
      <c r="D1877" s="14">
        <f>SUM(C1877:C1877)</f>
        <v>336</v>
      </c>
      <c r="E1877" s="12">
        <v>43199</v>
      </c>
      <c r="G1877" s="6" t="s">
        <v>6</v>
      </c>
      <c r="H1877" s="13"/>
      <c r="I1877" s="14">
        <f>SUM(H1877:H1877)</f>
        <v>0</v>
      </c>
      <c r="J1877" s="5"/>
    </row>
    <row r="1878" spans="2:10" x14ac:dyDescent="0.15">
      <c r="B1878" s="6" t="s">
        <v>6</v>
      </c>
      <c r="C1878" s="7"/>
      <c r="D1878" s="8">
        <f>SUM(C1878:C1878)</f>
        <v>0</v>
      </c>
      <c r="E1878" s="9"/>
      <c r="G1878" s="6" t="s">
        <v>6</v>
      </c>
      <c r="H1878" s="13"/>
      <c r="I1878" s="14">
        <f>SUM(H1878:H1878)</f>
        <v>0</v>
      </c>
      <c r="J1878" s="5"/>
    </row>
    <row r="1879" spans="2:10" ht="14.25" thickBot="1" x14ac:dyDescent="0.2">
      <c r="B1879" s="6" t="s">
        <v>6</v>
      </c>
      <c r="C1879" s="7"/>
      <c r="D1879" s="14">
        <f>SUM(C1879:C1879)</f>
        <v>0</v>
      </c>
      <c r="E1879" s="16"/>
      <c r="G1879" s="6" t="s">
        <v>6</v>
      </c>
      <c r="H1879" s="88"/>
      <c r="I1879" s="11">
        <f>SUM(H1879:H1879)</f>
        <v>0</v>
      </c>
      <c r="J1879" s="85"/>
    </row>
    <row r="1880" spans="2:10" ht="14.25" thickBot="1" x14ac:dyDescent="0.2">
      <c r="B1880" s="46" t="s">
        <v>1</v>
      </c>
      <c r="C1880" s="48">
        <f>SUM(C1876:C1879)</f>
        <v>567</v>
      </c>
      <c r="D1880" s="48">
        <f>SUM(D1876:D1879)</f>
        <v>567</v>
      </c>
      <c r="E1880" s="49"/>
      <c r="G1880" s="46" t="s">
        <v>1</v>
      </c>
      <c r="H1880" s="47">
        <f>SUM(H1876:H1879)</f>
        <v>2127</v>
      </c>
      <c r="I1880" s="48">
        <f>SUM(I1876:I1879)</f>
        <v>2127</v>
      </c>
      <c r="J1880" s="49"/>
    </row>
    <row r="1881" spans="2:10" x14ac:dyDescent="0.15">
      <c r="B1881" s="10" t="s">
        <v>18</v>
      </c>
      <c r="C1881" s="77">
        <v>9</v>
      </c>
      <c r="D1881" s="11">
        <f>SUM(C1881:C1881)</f>
        <v>9</v>
      </c>
      <c r="E1881" s="12">
        <v>43145</v>
      </c>
      <c r="G1881" s="15" t="s">
        <v>545</v>
      </c>
      <c r="H1881" s="13">
        <v>150</v>
      </c>
      <c r="I1881" s="11">
        <f>SUM(H1881:H1881)</f>
        <v>150</v>
      </c>
      <c r="J1881" s="12">
        <v>43182</v>
      </c>
    </row>
    <row r="1882" spans="2:10" x14ac:dyDescent="0.15">
      <c r="B1882" s="10" t="s">
        <v>544</v>
      </c>
      <c r="C1882" s="13">
        <v>1</v>
      </c>
      <c r="D1882" s="14">
        <f>SUM(C1882:C1882)</f>
        <v>1</v>
      </c>
      <c r="E1882" s="12">
        <v>43145</v>
      </c>
      <c r="G1882" s="15" t="s">
        <v>546</v>
      </c>
      <c r="H1882" s="13">
        <v>250</v>
      </c>
      <c r="I1882" s="14">
        <f>SUM(H1882:H1882)</f>
        <v>250</v>
      </c>
      <c r="J1882" s="12">
        <v>43195</v>
      </c>
    </row>
    <row r="1883" spans="2:10" x14ac:dyDescent="0.15">
      <c r="B1883" s="10" t="s">
        <v>18</v>
      </c>
      <c r="C1883" s="13">
        <v>5</v>
      </c>
      <c r="D1883" s="14">
        <f>SUM(C1883:C1883)</f>
        <v>5</v>
      </c>
      <c r="E1883" s="12">
        <v>43150</v>
      </c>
      <c r="G1883" s="15" t="s">
        <v>547</v>
      </c>
      <c r="H1883" s="13">
        <v>100</v>
      </c>
      <c r="I1883" s="14">
        <f t="shared" ref="I1883:I1900" si="123">SUM(H1883:H1883)</f>
        <v>100</v>
      </c>
      <c r="J1883" s="12">
        <v>43196</v>
      </c>
    </row>
    <row r="1884" spans="2:10" x14ac:dyDescent="0.15">
      <c r="B1884" s="10" t="s">
        <v>18</v>
      </c>
      <c r="C1884" s="13">
        <v>23</v>
      </c>
      <c r="D1884" s="14">
        <f t="shared" ref="D1884:D1894" si="124">SUM(C1884:C1884)</f>
        <v>23</v>
      </c>
      <c r="E1884" s="12">
        <v>43152</v>
      </c>
      <c r="G1884" s="15" t="s">
        <v>12</v>
      </c>
      <c r="H1884" s="13">
        <v>336</v>
      </c>
      <c r="I1884" s="14">
        <f>SUM(H1884:H1884)</f>
        <v>336</v>
      </c>
      <c r="J1884" s="12">
        <v>43199</v>
      </c>
    </row>
    <row r="1885" spans="2:10" x14ac:dyDescent="0.15">
      <c r="B1885" s="10" t="s">
        <v>18</v>
      </c>
      <c r="C1885" s="13">
        <v>3</v>
      </c>
      <c r="D1885" s="14">
        <f t="shared" si="124"/>
        <v>3</v>
      </c>
      <c r="E1885" s="12">
        <v>43161</v>
      </c>
      <c r="G1885" s="15"/>
      <c r="H1885" s="13"/>
      <c r="I1885" s="14">
        <f t="shared" si="123"/>
        <v>0</v>
      </c>
      <c r="J1885" s="12"/>
    </row>
    <row r="1886" spans="2:10" x14ac:dyDescent="0.15">
      <c r="B1886" s="10" t="s">
        <v>189</v>
      </c>
      <c r="C1886" s="13">
        <v>3</v>
      </c>
      <c r="D1886" s="14">
        <f t="shared" si="124"/>
        <v>3</v>
      </c>
      <c r="E1886" s="12">
        <v>43161</v>
      </c>
      <c r="G1886" s="78"/>
      <c r="H1886" s="13"/>
      <c r="I1886" s="14">
        <f t="shared" si="123"/>
        <v>0</v>
      </c>
      <c r="J1886" s="12"/>
    </row>
    <row r="1887" spans="2:10" x14ac:dyDescent="0.15">
      <c r="B1887" s="10" t="s">
        <v>18</v>
      </c>
      <c r="C1887" s="13">
        <v>17</v>
      </c>
      <c r="D1887" s="14">
        <f t="shared" si="124"/>
        <v>17</v>
      </c>
      <c r="E1887" s="12">
        <v>43165</v>
      </c>
      <c r="G1887" s="78"/>
      <c r="H1887" s="13"/>
      <c r="I1887" s="14">
        <f t="shared" si="123"/>
        <v>0</v>
      </c>
      <c r="J1887" s="12"/>
    </row>
    <row r="1888" spans="2:10" x14ac:dyDescent="0.15">
      <c r="B1888" s="10" t="s">
        <v>189</v>
      </c>
      <c r="C1888" s="13">
        <v>3</v>
      </c>
      <c r="D1888" s="14">
        <f t="shared" si="124"/>
        <v>3</v>
      </c>
      <c r="E1888" s="12">
        <v>43164</v>
      </c>
      <c r="G1888" s="78"/>
      <c r="H1888" s="13"/>
      <c r="I1888" s="14">
        <f t="shared" si="123"/>
        <v>0</v>
      </c>
      <c r="J1888" s="12"/>
    </row>
    <row r="1889" spans="2:10" x14ac:dyDescent="0.15">
      <c r="B1889" s="10" t="s">
        <v>189</v>
      </c>
      <c r="C1889" s="13">
        <v>1</v>
      </c>
      <c r="D1889" s="14">
        <f t="shared" si="124"/>
        <v>1</v>
      </c>
      <c r="E1889" s="12">
        <v>43167</v>
      </c>
      <c r="G1889" s="10"/>
      <c r="H1889" s="13"/>
      <c r="I1889" s="14">
        <f t="shared" si="123"/>
        <v>0</v>
      </c>
      <c r="J1889" s="12"/>
    </row>
    <row r="1890" spans="2:10" x14ac:dyDescent="0.15">
      <c r="B1890" s="10" t="s">
        <v>18</v>
      </c>
      <c r="C1890" s="13">
        <v>13</v>
      </c>
      <c r="D1890" s="14">
        <f t="shared" si="124"/>
        <v>13</v>
      </c>
      <c r="E1890" s="12">
        <v>43172</v>
      </c>
      <c r="G1890" s="78"/>
      <c r="H1890" s="13"/>
      <c r="I1890" s="14">
        <f t="shared" si="123"/>
        <v>0</v>
      </c>
      <c r="J1890" s="12"/>
    </row>
    <row r="1891" spans="2:10" x14ac:dyDescent="0.15">
      <c r="B1891" s="10" t="s">
        <v>18</v>
      </c>
      <c r="C1891" s="13">
        <v>13</v>
      </c>
      <c r="D1891" s="14">
        <f t="shared" si="124"/>
        <v>13</v>
      </c>
      <c r="E1891" s="12">
        <v>43174</v>
      </c>
      <c r="G1891" s="15"/>
      <c r="H1891" s="13"/>
      <c r="I1891" s="14">
        <f t="shared" si="123"/>
        <v>0</v>
      </c>
      <c r="J1891" s="5"/>
    </row>
    <row r="1892" spans="2:10" x14ac:dyDescent="0.15">
      <c r="B1892" s="10" t="s">
        <v>189</v>
      </c>
      <c r="C1892" s="13">
        <v>1</v>
      </c>
      <c r="D1892" s="14">
        <f t="shared" si="124"/>
        <v>1</v>
      </c>
      <c r="E1892" s="12">
        <v>43173</v>
      </c>
      <c r="G1892" s="15"/>
      <c r="H1892" s="7"/>
      <c r="I1892" s="14">
        <f t="shared" si="123"/>
        <v>0</v>
      </c>
      <c r="J1892" s="12"/>
    </row>
    <row r="1893" spans="2:10" x14ac:dyDescent="0.15">
      <c r="B1893" s="10" t="s">
        <v>18</v>
      </c>
      <c r="C1893" s="13">
        <v>7</v>
      </c>
      <c r="D1893" s="14">
        <f t="shared" si="124"/>
        <v>7</v>
      </c>
      <c r="E1893" s="12">
        <v>43176</v>
      </c>
      <c r="G1893" s="10"/>
      <c r="H1893" s="13"/>
      <c r="I1893" s="14">
        <f t="shared" si="123"/>
        <v>0</v>
      </c>
      <c r="J1893" s="12"/>
    </row>
    <row r="1894" spans="2:10" x14ac:dyDescent="0.15">
      <c r="B1894" s="10" t="s">
        <v>18</v>
      </c>
      <c r="C1894" s="13">
        <v>17</v>
      </c>
      <c r="D1894" s="14">
        <f t="shared" si="124"/>
        <v>17</v>
      </c>
      <c r="E1894" s="12">
        <v>43179</v>
      </c>
      <c r="G1894" s="15"/>
      <c r="H1894" s="13"/>
      <c r="I1894" s="14">
        <f t="shared" si="123"/>
        <v>0</v>
      </c>
      <c r="J1894" s="12"/>
    </row>
    <row r="1895" spans="2:10" x14ac:dyDescent="0.15">
      <c r="B1895" s="10" t="s">
        <v>18</v>
      </c>
      <c r="C1895" s="13">
        <v>1</v>
      </c>
      <c r="D1895" s="14">
        <f>SUM(C1895:C1895)</f>
        <v>1</v>
      </c>
      <c r="E1895" s="12">
        <v>43182</v>
      </c>
      <c r="G1895" s="15"/>
      <c r="H1895" s="7"/>
      <c r="I1895" s="14">
        <f t="shared" si="123"/>
        <v>0</v>
      </c>
      <c r="J1895" s="12"/>
    </row>
    <row r="1896" spans="2:10" x14ac:dyDescent="0.15">
      <c r="B1896" s="10" t="s">
        <v>18</v>
      </c>
      <c r="C1896" s="13">
        <v>26</v>
      </c>
      <c r="D1896" s="14">
        <f t="shared" ref="D1896:D1905" si="125">SUM(C1896:C1896)</f>
        <v>26</v>
      </c>
      <c r="E1896" s="12">
        <v>43186</v>
      </c>
      <c r="G1896" s="15"/>
      <c r="H1896" s="7"/>
      <c r="I1896" s="14">
        <f t="shared" si="123"/>
        <v>0</v>
      </c>
      <c r="J1896" s="12"/>
    </row>
    <row r="1897" spans="2:10" x14ac:dyDescent="0.15">
      <c r="B1897" s="10" t="s">
        <v>189</v>
      </c>
      <c r="C1897" s="13">
        <v>2</v>
      </c>
      <c r="D1897" s="14">
        <f t="shared" si="125"/>
        <v>2</v>
      </c>
      <c r="E1897" s="12">
        <v>43185</v>
      </c>
      <c r="G1897" s="15"/>
      <c r="H1897" s="7"/>
      <c r="I1897" s="14">
        <f t="shared" si="123"/>
        <v>0</v>
      </c>
      <c r="J1897" s="12"/>
    </row>
    <row r="1898" spans="2:10" x14ac:dyDescent="0.15">
      <c r="B1898" s="10" t="s">
        <v>18</v>
      </c>
      <c r="C1898" s="13">
        <v>13</v>
      </c>
      <c r="D1898" s="14">
        <f t="shared" si="125"/>
        <v>13</v>
      </c>
      <c r="E1898" s="12">
        <v>43189</v>
      </c>
      <c r="G1898" s="15"/>
      <c r="H1898" s="13"/>
      <c r="I1898" s="14">
        <f>SUM(H1898:H1898)</f>
        <v>0</v>
      </c>
      <c r="J1898" s="12"/>
    </row>
    <row r="1899" spans="2:10" x14ac:dyDescent="0.15">
      <c r="B1899" s="10" t="s">
        <v>18</v>
      </c>
      <c r="C1899" s="13">
        <v>13</v>
      </c>
      <c r="D1899" s="14">
        <f t="shared" si="125"/>
        <v>13</v>
      </c>
      <c r="E1899" s="12">
        <v>43193</v>
      </c>
      <c r="G1899" s="15"/>
      <c r="H1899" s="7"/>
      <c r="I1899" s="14">
        <f>SUM(H1899:H1899)</f>
        <v>0</v>
      </c>
      <c r="J1899" s="5"/>
    </row>
    <row r="1900" spans="2:10" x14ac:dyDescent="0.15">
      <c r="B1900" s="10" t="s">
        <v>18</v>
      </c>
      <c r="C1900" s="13">
        <v>8</v>
      </c>
      <c r="D1900" s="14">
        <f t="shared" si="125"/>
        <v>8</v>
      </c>
      <c r="E1900" s="5">
        <v>43195</v>
      </c>
      <c r="G1900" s="15"/>
      <c r="H1900" s="7"/>
      <c r="I1900" s="14">
        <f t="shared" si="123"/>
        <v>0</v>
      </c>
      <c r="J1900" s="5"/>
    </row>
    <row r="1901" spans="2:10" x14ac:dyDescent="0.15">
      <c r="B1901" s="15" t="s">
        <v>548</v>
      </c>
      <c r="C1901" s="13">
        <v>50</v>
      </c>
      <c r="D1901" s="14">
        <f t="shared" si="125"/>
        <v>50</v>
      </c>
      <c r="E1901" s="5">
        <v>43197</v>
      </c>
      <c r="G1901" s="15"/>
      <c r="H1901" s="7"/>
      <c r="I1901" s="14">
        <f>SUM(H1901:H1901)</f>
        <v>0</v>
      </c>
      <c r="J1901" s="5"/>
    </row>
    <row r="1902" spans="2:10" x14ac:dyDescent="0.15">
      <c r="B1902" s="10" t="s">
        <v>18</v>
      </c>
      <c r="C1902" s="13">
        <v>15</v>
      </c>
      <c r="D1902" s="14">
        <f t="shared" si="125"/>
        <v>15</v>
      </c>
      <c r="E1902" s="5">
        <v>43200</v>
      </c>
      <c r="G1902" s="15"/>
      <c r="H1902" s="13"/>
      <c r="I1902" s="14">
        <f>SUM(H1902:H1902)</f>
        <v>0</v>
      </c>
      <c r="J1902" s="12"/>
    </row>
    <row r="1903" spans="2:10" x14ac:dyDescent="0.15">
      <c r="B1903" s="10" t="s">
        <v>18</v>
      </c>
      <c r="C1903" s="13">
        <v>3</v>
      </c>
      <c r="D1903" s="14">
        <f t="shared" si="125"/>
        <v>3</v>
      </c>
      <c r="E1903" s="5">
        <v>43202</v>
      </c>
      <c r="G1903" s="15"/>
      <c r="H1903" s="13"/>
      <c r="I1903" s="14">
        <f>SUM(H1903:H1903)</f>
        <v>0</v>
      </c>
      <c r="J1903" s="12"/>
    </row>
    <row r="1904" spans="2:10" ht="14.25" thickBot="1" x14ac:dyDescent="0.2">
      <c r="B1904" s="10" t="s">
        <v>189</v>
      </c>
      <c r="C1904" s="13">
        <v>1</v>
      </c>
      <c r="D1904" s="11">
        <f t="shared" si="125"/>
        <v>1</v>
      </c>
      <c r="E1904" s="12">
        <v>43201</v>
      </c>
      <c r="G1904" s="15"/>
      <c r="H1904" s="7"/>
      <c r="I1904" s="14">
        <f>SUM(H1904:H1904)</f>
        <v>0</v>
      </c>
      <c r="J1904" s="5"/>
    </row>
    <row r="1905" spans="2:10" ht="14.25" thickBot="1" x14ac:dyDescent="0.2">
      <c r="B1905" s="17" t="s">
        <v>2</v>
      </c>
      <c r="C1905" s="18">
        <f>SUM(C1881:C1904)</f>
        <v>248</v>
      </c>
      <c r="D1905" s="19">
        <f t="shared" si="125"/>
        <v>248</v>
      </c>
      <c r="E1905" s="20"/>
      <c r="G1905" s="17" t="s">
        <v>2</v>
      </c>
      <c r="H1905" s="18">
        <f>SUM(H1881:H1904)</f>
        <v>836</v>
      </c>
      <c r="I1905" s="19">
        <f>SUM(H1905:H1905)</f>
        <v>836</v>
      </c>
      <c r="J1905" s="20"/>
    </row>
    <row r="1906" spans="2:10" ht="14.25" thickBot="1" x14ac:dyDescent="0.2">
      <c r="B1906" s="46" t="s">
        <v>3</v>
      </c>
      <c r="C1906" s="52">
        <f>C1880-C1905</f>
        <v>319</v>
      </c>
      <c r="D1906" s="48">
        <f>D1880-D1905</f>
        <v>319</v>
      </c>
      <c r="E1906" s="49"/>
      <c r="G1906" s="46" t="s">
        <v>3</v>
      </c>
      <c r="H1906" s="52">
        <f>H1880-H1905</f>
        <v>1291</v>
      </c>
      <c r="I1906" s="48">
        <f>I1880-I1905</f>
        <v>1291</v>
      </c>
      <c r="J1906" s="49"/>
    </row>
    <row r="1909" spans="2:10" ht="18.75" x14ac:dyDescent="0.2">
      <c r="B1909" s="26" t="s">
        <v>7</v>
      </c>
      <c r="G1909" s="26" t="s">
        <v>35</v>
      </c>
    </row>
    <row r="1910" spans="2:10" ht="14.25" thickBot="1" x14ac:dyDescent="0.2"/>
    <row r="1911" spans="2:10" ht="14.25" thickBot="1" x14ac:dyDescent="0.2">
      <c r="B1911" s="1"/>
      <c r="C1911" s="2"/>
      <c r="D1911" s="3" t="s">
        <v>0</v>
      </c>
      <c r="E1911" s="1" t="s">
        <v>4</v>
      </c>
      <c r="G1911" s="1"/>
      <c r="H1911" s="2"/>
      <c r="I1911" s="3" t="s">
        <v>0</v>
      </c>
      <c r="J1911" s="1" t="s">
        <v>4</v>
      </c>
    </row>
    <row r="1912" spans="2:10" x14ac:dyDescent="0.15">
      <c r="B1912" s="42" t="s">
        <v>5</v>
      </c>
      <c r="C1912" s="43">
        <f>C1906</f>
        <v>319</v>
      </c>
      <c r="D1912" s="44">
        <f>SUM(C1912:C1912)</f>
        <v>319</v>
      </c>
      <c r="E1912" s="45"/>
      <c r="G1912" s="42" t="s">
        <v>5</v>
      </c>
      <c r="H1912" s="43">
        <f>H1906</f>
        <v>1291</v>
      </c>
      <c r="I1912" s="44">
        <f>SUM(H1912:H1912)</f>
        <v>1291</v>
      </c>
      <c r="J1912" s="45"/>
    </row>
    <row r="1913" spans="2:10" x14ac:dyDescent="0.15">
      <c r="B1913" s="6" t="s">
        <v>6</v>
      </c>
      <c r="C1913" s="13">
        <v>200</v>
      </c>
      <c r="D1913" s="14">
        <f>SUM(C1913:C1913)</f>
        <v>200</v>
      </c>
      <c r="E1913" s="12">
        <v>43221</v>
      </c>
      <c r="G1913" s="6" t="s">
        <v>6</v>
      </c>
      <c r="H1913" s="13">
        <v>2000</v>
      </c>
      <c r="I1913" s="14">
        <f>SUM(H1913:H1913)</f>
        <v>2000</v>
      </c>
      <c r="J1913" s="5">
        <v>43191</v>
      </c>
    </row>
    <row r="1914" spans="2:10" x14ac:dyDescent="0.15">
      <c r="B1914" s="6" t="s">
        <v>76</v>
      </c>
      <c r="C1914" s="7">
        <v>5</v>
      </c>
      <c r="D1914" s="8">
        <f>SUM(C1914:C1914)</f>
        <v>5</v>
      </c>
      <c r="E1914" s="9">
        <v>43229</v>
      </c>
      <c r="G1914" s="6" t="s">
        <v>6</v>
      </c>
      <c r="H1914" s="13"/>
      <c r="I1914" s="14">
        <f>SUM(H1914:H1914)</f>
        <v>0</v>
      </c>
      <c r="J1914" s="5"/>
    </row>
    <row r="1915" spans="2:10" ht="14.25" thickBot="1" x14ac:dyDescent="0.2">
      <c r="B1915" s="6" t="s">
        <v>6</v>
      </c>
      <c r="C1915" s="7">
        <v>336</v>
      </c>
      <c r="D1915" s="14">
        <f>SUM(C1915:C1915)</f>
        <v>336</v>
      </c>
      <c r="E1915" s="16">
        <v>43235</v>
      </c>
      <c r="G1915" s="6" t="s">
        <v>6</v>
      </c>
      <c r="H1915" s="7">
        <v>2000</v>
      </c>
      <c r="I1915" s="14">
        <f>SUM(H1915:H1915)</f>
        <v>2000</v>
      </c>
      <c r="J1915" s="9">
        <v>43221</v>
      </c>
    </row>
    <row r="1916" spans="2:10" ht="14.25" thickBot="1" x14ac:dyDescent="0.2">
      <c r="B1916" s="46" t="s">
        <v>1</v>
      </c>
      <c r="C1916" s="48">
        <f>SUM(C1912:C1915)</f>
        <v>860</v>
      </c>
      <c r="D1916" s="48">
        <f>SUM(D1912:D1915)</f>
        <v>860</v>
      </c>
      <c r="E1916" s="49"/>
      <c r="G1916" s="46" t="s">
        <v>1</v>
      </c>
      <c r="H1916" s="48">
        <f>SUM(H1912:H1915)</f>
        <v>5291</v>
      </c>
      <c r="I1916" s="48">
        <f>SUM(I1912:I1915)</f>
        <v>5291</v>
      </c>
      <c r="J1916" s="51"/>
    </row>
    <row r="1917" spans="2:10" x14ac:dyDescent="0.15">
      <c r="B1917" s="10" t="s">
        <v>18</v>
      </c>
      <c r="C1917" s="77">
        <v>3</v>
      </c>
      <c r="D1917" s="11">
        <f>SUM(C1917:C1917)</f>
        <v>3</v>
      </c>
      <c r="E1917" s="12">
        <v>43204</v>
      </c>
      <c r="G1917" s="15" t="s">
        <v>549</v>
      </c>
      <c r="H1917" s="13">
        <v>100</v>
      </c>
      <c r="I1917" s="11">
        <f>SUM(H1917:H1917)</f>
        <v>100</v>
      </c>
      <c r="J1917" s="12">
        <v>43204</v>
      </c>
    </row>
    <row r="1918" spans="2:10" x14ac:dyDescent="0.15">
      <c r="B1918" s="10" t="s">
        <v>18</v>
      </c>
      <c r="C1918" s="13">
        <v>1</v>
      </c>
      <c r="D1918" s="14">
        <f>SUM(C1918:C1918)</f>
        <v>1</v>
      </c>
      <c r="E1918" s="12">
        <v>43207</v>
      </c>
      <c r="G1918" s="15" t="s">
        <v>550</v>
      </c>
      <c r="H1918" s="13">
        <v>200</v>
      </c>
      <c r="I1918" s="14">
        <f>SUM(H1918:H1918)</f>
        <v>200</v>
      </c>
      <c r="J1918" s="12">
        <v>43215</v>
      </c>
    </row>
    <row r="1919" spans="2:10" x14ac:dyDescent="0.15">
      <c r="B1919" s="10" t="s">
        <v>189</v>
      </c>
      <c r="C1919" s="13">
        <v>2</v>
      </c>
      <c r="D1919" s="14">
        <f>SUM(C1919:C1919)</f>
        <v>2</v>
      </c>
      <c r="E1919" s="12">
        <v>43206</v>
      </c>
      <c r="G1919" s="15" t="s">
        <v>553</v>
      </c>
      <c r="H1919" s="13">
        <v>400</v>
      </c>
      <c r="I1919" s="14">
        <f t="shared" ref="I1919:I1936" si="126">SUM(H1919:H1919)</f>
        <v>400</v>
      </c>
      <c r="J1919" s="12">
        <v>43216</v>
      </c>
    </row>
    <row r="1920" spans="2:10" x14ac:dyDescent="0.15">
      <c r="B1920" s="10" t="s">
        <v>18</v>
      </c>
      <c r="C1920" s="13">
        <v>11</v>
      </c>
      <c r="D1920" s="14">
        <f t="shared" ref="D1920:D1930" si="127">SUM(C1920:C1920)</f>
        <v>11</v>
      </c>
      <c r="E1920" s="12">
        <v>43209</v>
      </c>
      <c r="G1920" s="15" t="s">
        <v>12</v>
      </c>
      <c r="H1920" s="13">
        <v>200</v>
      </c>
      <c r="I1920" s="14">
        <f>SUM(H1920:H1920)</f>
        <v>200</v>
      </c>
      <c r="J1920" s="12">
        <v>43221</v>
      </c>
    </row>
    <row r="1921" spans="2:10" x14ac:dyDescent="0.15">
      <c r="B1921" s="10" t="s">
        <v>18</v>
      </c>
      <c r="C1921" s="13">
        <v>1</v>
      </c>
      <c r="D1921" s="14">
        <f t="shared" si="127"/>
        <v>1</v>
      </c>
      <c r="E1921" s="12">
        <v>43211</v>
      </c>
      <c r="G1921" s="15" t="s">
        <v>555</v>
      </c>
      <c r="H1921" s="13">
        <v>100</v>
      </c>
      <c r="I1921" s="14">
        <f t="shared" si="126"/>
        <v>100</v>
      </c>
      <c r="J1921" s="12">
        <v>43234</v>
      </c>
    </row>
    <row r="1922" spans="2:10" x14ac:dyDescent="0.15">
      <c r="B1922" s="10" t="s">
        <v>189</v>
      </c>
      <c r="C1922" s="13">
        <v>1</v>
      </c>
      <c r="D1922" s="14">
        <f t="shared" si="127"/>
        <v>1</v>
      </c>
      <c r="E1922" s="12">
        <v>43210</v>
      </c>
      <c r="G1922" s="15" t="s">
        <v>556</v>
      </c>
      <c r="H1922" s="13">
        <v>150</v>
      </c>
      <c r="I1922" s="14">
        <f t="shared" si="126"/>
        <v>150</v>
      </c>
      <c r="J1922" s="12">
        <v>43238</v>
      </c>
    </row>
    <row r="1923" spans="2:10" x14ac:dyDescent="0.15">
      <c r="B1923" s="10" t="s">
        <v>18</v>
      </c>
      <c r="C1923" s="13">
        <v>2</v>
      </c>
      <c r="D1923" s="14">
        <f t="shared" si="127"/>
        <v>2</v>
      </c>
      <c r="E1923" s="12">
        <v>43214</v>
      </c>
      <c r="G1923" s="15" t="s">
        <v>12</v>
      </c>
      <c r="H1923" s="13">
        <v>336</v>
      </c>
      <c r="I1923" s="14">
        <f t="shared" si="126"/>
        <v>336</v>
      </c>
      <c r="J1923" s="12">
        <v>43235</v>
      </c>
    </row>
    <row r="1924" spans="2:10" x14ac:dyDescent="0.15">
      <c r="B1924" s="10" t="s">
        <v>189</v>
      </c>
      <c r="C1924" s="13">
        <v>11</v>
      </c>
      <c r="D1924" s="14">
        <f t="shared" si="127"/>
        <v>11</v>
      </c>
      <c r="E1924" s="12">
        <v>43213</v>
      </c>
      <c r="G1924" s="15" t="s">
        <v>557</v>
      </c>
      <c r="H1924" s="13">
        <v>300</v>
      </c>
      <c r="I1924" s="14">
        <f t="shared" si="126"/>
        <v>300</v>
      </c>
      <c r="J1924" s="12">
        <v>43238</v>
      </c>
    </row>
    <row r="1925" spans="2:10" x14ac:dyDescent="0.15">
      <c r="B1925" s="10" t="s">
        <v>18</v>
      </c>
      <c r="C1925" s="13">
        <v>6</v>
      </c>
      <c r="D1925" s="14">
        <f t="shared" si="127"/>
        <v>6</v>
      </c>
      <c r="E1925" s="12">
        <v>43215</v>
      </c>
      <c r="G1925" s="15" t="s">
        <v>558</v>
      </c>
      <c r="H1925" s="13">
        <v>100</v>
      </c>
      <c r="I1925" s="14">
        <f t="shared" si="126"/>
        <v>100</v>
      </c>
      <c r="J1925" s="12">
        <v>43242</v>
      </c>
    </row>
    <row r="1926" spans="2:10" x14ac:dyDescent="0.15">
      <c r="B1926" s="15" t="s">
        <v>551</v>
      </c>
      <c r="C1926" s="13">
        <v>100</v>
      </c>
      <c r="D1926" s="14">
        <f t="shared" si="127"/>
        <v>100</v>
      </c>
      <c r="E1926" s="12">
        <v>43217</v>
      </c>
      <c r="G1926" s="15" t="s">
        <v>559</v>
      </c>
      <c r="H1926" s="13">
        <v>200</v>
      </c>
      <c r="I1926" s="14">
        <f t="shared" si="126"/>
        <v>200</v>
      </c>
      <c r="J1926" s="12">
        <v>43243</v>
      </c>
    </row>
    <row r="1927" spans="2:10" x14ac:dyDescent="0.15">
      <c r="B1927" s="15" t="s">
        <v>552</v>
      </c>
      <c r="C1927" s="13">
        <v>100</v>
      </c>
      <c r="D1927" s="14">
        <f t="shared" si="127"/>
        <v>100</v>
      </c>
      <c r="E1927" s="12">
        <v>43222</v>
      </c>
      <c r="G1927" s="15" t="s">
        <v>560</v>
      </c>
      <c r="H1927" s="13">
        <v>600</v>
      </c>
      <c r="I1927" s="14">
        <f t="shared" si="126"/>
        <v>600</v>
      </c>
      <c r="J1927" s="5">
        <v>43245</v>
      </c>
    </row>
    <row r="1928" spans="2:10" x14ac:dyDescent="0.15">
      <c r="B1928" s="10" t="s">
        <v>18</v>
      </c>
      <c r="C1928" s="13">
        <v>8</v>
      </c>
      <c r="D1928" s="14">
        <f t="shared" si="127"/>
        <v>8</v>
      </c>
      <c r="E1928" s="12">
        <v>43218</v>
      </c>
      <c r="G1928" s="15"/>
      <c r="H1928" s="7"/>
      <c r="I1928" s="14">
        <f t="shared" si="126"/>
        <v>0</v>
      </c>
      <c r="J1928" s="12"/>
    </row>
    <row r="1929" spans="2:10" x14ac:dyDescent="0.15">
      <c r="B1929" s="10" t="s">
        <v>189</v>
      </c>
      <c r="C1929" s="13">
        <v>5</v>
      </c>
      <c r="D1929" s="14">
        <f t="shared" si="127"/>
        <v>5</v>
      </c>
      <c r="E1929" s="12">
        <v>43216</v>
      </c>
      <c r="G1929" s="10"/>
      <c r="H1929" s="13"/>
      <c r="I1929" s="14">
        <f t="shared" si="126"/>
        <v>0</v>
      </c>
      <c r="J1929" s="12"/>
    </row>
    <row r="1930" spans="2:10" x14ac:dyDescent="0.15">
      <c r="B1930" s="10" t="s">
        <v>189</v>
      </c>
      <c r="C1930" s="13">
        <v>2</v>
      </c>
      <c r="D1930" s="14">
        <f t="shared" si="127"/>
        <v>2</v>
      </c>
      <c r="E1930" s="12">
        <v>43217</v>
      </c>
      <c r="G1930" s="15"/>
      <c r="H1930" s="13"/>
      <c r="I1930" s="14">
        <f t="shared" si="126"/>
        <v>0</v>
      </c>
      <c r="J1930" s="12"/>
    </row>
    <row r="1931" spans="2:10" x14ac:dyDescent="0.15">
      <c r="B1931" s="15" t="s">
        <v>554</v>
      </c>
      <c r="C1931" s="13">
        <v>31</v>
      </c>
      <c r="D1931" s="14">
        <f>SUM(C1931:C1931)</f>
        <v>31</v>
      </c>
      <c r="E1931" s="12">
        <v>43222</v>
      </c>
      <c r="G1931" s="15"/>
      <c r="H1931" s="7"/>
      <c r="I1931" s="14">
        <f t="shared" si="126"/>
        <v>0</v>
      </c>
      <c r="J1931" s="12"/>
    </row>
    <row r="1932" spans="2:10" x14ac:dyDescent="0.15">
      <c r="B1932" s="10" t="s">
        <v>189</v>
      </c>
      <c r="C1932" s="13">
        <v>1</v>
      </c>
      <c r="D1932" s="14">
        <f t="shared" ref="D1932:D1941" si="128">SUM(C1932:C1932)</f>
        <v>1</v>
      </c>
      <c r="E1932" s="12">
        <v>43221</v>
      </c>
      <c r="G1932" s="15"/>
      <c r="H1932" s="7"/>
      <c r="I1932" s="14">
        <f t="shared" si="126"/>
        <v>0</v>
      </c>
      <c r="J1932" s="12"/>
    </row>
    <row r="1933" spans="2:10" x14ac:dyDescent="0.15">
      <c r="B1933" s="10" t="s">
        <v>18</v>
      </c>
      <c r="C1933" s="13">
        <v>47</v>
      </c>
      <c r="D1933" s="14">
        <f t="shared" si="128"/>
        <v>47</v>
      </c>
      <c r="E1933" s="12">
        <v>43228</v>
      </c>
      <c r="G1933" s="15"/>
      <c r="H1933" s="7"/>
      <c r="I1933" s="14">
        <f t="shared" si="126"/>
        <v>0</v>
      </c>
      <c r="J1933" s="12"/>
    </row>
    <row r="1934" spans="2:10" x14ac:dyDescent="0.15">
      <c r="B1934" s="10" t="s">
        <v>189</v>
      </c>
      <c r="C1934" s="13">
        <v>10</v>
      </c>
      <c r="D1934" s="14">
        <f t="shared" si="128"/>
        <v>10</v>
      </c>
      <c r="E1934" s="12">
        <v>43229</v>
      </c>
      <c r="G1934" s="15"/>
      <c r="H1934" s="7"/>
      <c r="I1934" s="14">
        <f t="shared" si="126"/>
        <v>0</v>
      </c>
      <c r="J1934" s="5"/>
    </row>
    <row r="1935" spans="2:10" x14ac:dyDescent="0.15">
      <c r="B1935" s="10" t="s">
        <v>18</v>
      </c>
      <c r="C1935" s="13">
        <v>29</v>
      </c>
      <c r="D1935" s="14">
        <f t="shared" si="128"/>
        <v>29</v>
      </c>
      <c r="E1935" s="12">
        <v>43230</v>
      </c>
      <c r="G1935" s="15"/>
      <c r="H1935" s="7"/>
      <c r="I1935" s="14">
        <f t="shared" si="126"/>
        <v>0</v>
      </c>
      <c r="J1935" s="5"/>
    </row>
    <row r="1936" spans="2:10" x14ac:dyDescent="0.15">
      <c r="B1936" s="10" t="s">
        <v>18</v>
      </c>
      <c r="C1936" s="13">
        <v>18</v>
      </c>
      <c r="D1936" s="14">
        <f t="shared" si="128"/>
        <v>18</v>
      </c>
      <c r="E1936" s="5">
        <v>43232</v>
      </c>
      <c r="G1936" s="15"/>
      <c r="H1936" s="7"/>
      <c r="I1936" s="14">
        <f t="shared" si="126"/>
        <v>0</v>
      </c>
      <c r="J1936" s="5"/>
    </row>
    <row r="1937" spans="2:10" x14ac:dyDescent="0.15">
      <c r="B1937" s="10" t="s">
        <v>18</v>
      </c>
      <c r="C1937" s="13">
        <v>46</v>
      </c>
      <c r="D1937" s="14">
        <f t="shared" si="128"/>
        <v>46</v>
      </c>
      <c r="E1937" s="5">
        <v>43235</v>
      </c>
      <c r="G1937" s="15"/>
      <c r="H1937" s="7"/>
      <c r="I1937" s="14">
        <f>SUM(H1937:H1937)</f>
        <v>0</v>
      </c>
      <c r="J1937" s="5"/>
    </row>
    <row r="1938" spans="2:10" x14ac:dyDescent="0.15">
      <c r="B1938" s="10" t="s">
        <v>189</v>
      </c>
      <c r="C1938" s="13">
        <v>1</v>
      </c>
      <c r="D1938" s="14">
        <f t="shared" si="128"/>
        <v>1</v>
      </c>
      <c r="E1938" s="5">
        <v>43235</v>
      </c>
      <c r="G1938" s="15"/>
      <c r="H1938" s="13"/>
      <c r="I1938" s="14">
        <f>SUM(H1938:H1938)</f>
        <v>0</v>
      </c>
      <c r="J1938" s="12"/>
    </row>
    <row r="1939" spans="2:10" x14ac:dyDescent="0.15">
      <c r="B1939" s="10" t="s">
        <v>18</v>
      </c>
      <c r="C1939" s="13">
        <v>45</v>
      </c>
      <c r="D1939" s="14">
        <f t="shared" si="128"/>
        <v>45</v>
      </c>
      <c r="E1939" s="5">
        <v>43237</v>
      </c>
      <c r="G1939" s="15"/>
      <c r="H1939" s="7"/>
      <c r="I1939" s="14">
        <f>SUM(H1939:H1939)</f>
        <v>0</v>
      </c>
      <c r="J1939" s="12"/>
    </row>
    <row r="1940" spans="2:10" ht="14.25" thickBot="1" x14ac:dyDescent="0.2">
      <c r="B1940" s="10" t="s">
        <v>18</v>
      </c>
      <c r="C1940" s="13">
        <v>18</v>
      </c>
      <c r="D1940" s="11">
        <f t="shared" si="128"/>
        <v>18</v>
      </c>
      <c r="E1940" s="12">
        <v>43239</v>
      </c>
      <c r="G1940" s="15"/>
      <c r="H1940" s="7"/>
      <c r="I1940" s="14">
        <f>SUM(H1940:H1940)</f>
        <v>0</v>
      </c>
      <c r="J1940" s="12"/>
    </row>
    <row r="1941" spans="2:10" ht="14.25" thickBot="1" x14ac:dyDescent="0.2">
      <c r="B1941" s="17" t="s">
        <v>2</v>
      </c>
      <c r="C1941" s="18">
        <f>SUM(C1917:C1940)</f>
        <v>499</v>
      </c>
      <c r="D1941" s="19">
        <f t="shared" si="128"/>
        <v>499</v>
      </c>
      <c r="E1941" s="20"/>
      <c r="G1941" s="17" t="s">
        <v>2</v>
      </c>
      <c r="H1941" s="18">
        <f>SUM(H1917:H1940)</f>
        <v>2686</v>
      </c>
      <c r="I1941" s="19">
        <f>SUM(H1941:H1941)</f>
        <v>2686</v>
      </c>
      <c r="J1941" s="20"/>
    </row>
    <row r="1942" spans="2:10" ht="14.25" thickBot="1" x14ac:dyDescent="0.2">
      <c r="B1942" s="46" t="s">
        <v>3</v>
      </c>
      <c r="C1942" s="52">
        <f>C1916-C1941</f>
        <v>361</v>
      </c>
      <c r="D1942" s="48">
        <f>D1916-D1941</f>
        <v>361</v>
      </c>
      <c r="E1942" s="49"/>
      <c r="G1942" s="46" t="s">
        <v>3</v>
      </c>
      <c r="H1942" s="52">
        <f>H1916-H1941</f>
        <v>2605</v>
      </c>
      <c r="I1942" s="48">
        <f>I1916-I1941</f>
        <v>2605</v>
      </c>
      <c r="J1942" s="49"/>
    </row>
    <row r="1945" spans="2:10" ht="18.75" x14ac:dyDescent="0.2">
      <c r="B1945" s="26" t="s">
        <v>7</v>
      </c>
      <c r="G1945" s="26" t="s">
        <v>35</v>
      </c>
    </row>
    <row r="1946" spans="2:10" ht="14.25" thickBot="1" x14ac:dyDescent="0.2"/>
    <row r="1947" spans="2:10" ht="14.25" thickBot="1" x14ac:dyDescent="0.2">
      <c r="B1947" s="1"/>
      <c r="C1947" s="2"/>
      <c r="D1947" s="3" t="s">
        <v>0</v>
      </c>
      <c r="E1947" s="1" t="s">
        <v>4</v>
      </c>
      <c r="G1947" s="1"/>
      <c r="H1947" s="2"/>
      <c r="I1947" s="3" t="s">
        <v>0</v>
      </c>
      <c r="J1947" s="1" t="s">
        <v>4</v>
      </c>
    </row>
    <row r="1948" spans="2:10" x14ac:dyDescent="0.15">
      <c r="B1948" s="42" t="s">
        <v>5</v>
      </c>
      <c r="C1948" s="43">
        <f>C1942</f>
        <v>361</v>
      </c>
      <c r="D1948" s="44">
        <f>SUM(C1948:C1948)</f>
        <v>361</v>
      </c>
      <c r="E1948" s="45"/>
      <c r="G1948" s="42" t="s">
        <v>5</v>
      </c>
      <c r="H1948" s="43">
        <f>H1942</f>
        <v>2605</v>
      </c>
      <c r="I1948" s="44">
        <f>SUM(H1948:H1948)</f>
        <v>2605</v>
      </c>
      <c r="J1948" s="45"/>
    </row>
    <row r="1949" spans="2:10" x14ac:dyDescent="0.15">
      <c r="B1949" s="6" t="s">
        <v>105</v>
      </c>
      <c r="C1949" s="13">
        <v>1</v>
      </c>
      <c r="D1949" s="14">
        <f>SUM(C1949:C1949)</f>
        <v>1</v>
      </c>
      <c r="E1949" s="12">
        <v>43250</v>
      </c>
      <c r="G1949" s="6" t="s">
        <v>6</v>
      </c>
      <c r="H1949" s="13"/>
      <c r="I1949" s="14">
        <f>SUM(H1949:H1949)</f>
        <v>0</v>
      </c>
      <c r="J1949" s="5"/>
    </row>
    <row r="1950" spans="2:10" x14ac:dyDescent="0.15">
      <c r="B1950" s="6" t="s">
        <v>76</v>
      </c>
      <c r="C1950" s="7">
        <v>2</v>
      </c>
      <c r="D1950" s="8">
        <f>SUM(C1950:C1950)</f>
        <v>2</v>
      </c>
      <c r="E1950" s="9">
        <v>43263</v>
      </c>
      <c r="G1950" s="6" t="s">
        <v>6</v>
      </c>
      <c r="H1950" s="13">
        <v>2000</v>
      </c>
      <c r="I1950" s="14">
        <f>SUM(H1950:H1950)</f>
        <v>2000</v>
      </c>
      <c r="J1950" s="5">
        <v>43252</v>
      </c>
    </row>
    <row r="1951" spans="2:10" ht="14.25" thickBot="1" x14ac:dyDescent="0.2">
      <c r="B1951" s="6" t="s">
        <v>105</v>
      </c>
      <c r="C1951" s="7">
        <v>1</v>
      </c>
      <c r="D1951" s="14">
        <f>SUM(C1951:C1951)</f>
        <v>1</v>
      </c>
      <c r="E1951" s="16">
        <v>43259</v>
      </c>
      <c r="G1951" s="6" t="s">
        <v>6</v>
      </c>
      <c r="H1951" s="88"/>
      <c r="I1951" s="11">
        <f>SUM(H1951:H1951)</f>
        <v>0</v>
      </c>
      <c r="J1951" s="85"/>
    </row>
    <row r="1952" spans="2:10" ht="14.25" thickBot="1" x14ac:dyDescent="0.2">
      <c r="B1952" s="46" t="s">
        <v>1</v>
      </c>
      <c r="C1952" s="48">
        <f>SUM(C1948:C1951)</f>
        <v>365</v>
      </c>
      <c r="D1952" s="48">
        <f>SUM(D1948:D1951)</f>
        <v>365</v>
      </c>
      <c r="E1952" s="49"/>
      <c r="G1952" s="46" t="s">
        <v>1</v>
      </c>
      <c r="H1952" s="47">
        <f>SUM(H1948:H1951)</f>
        <v>4605</v>
      </c>
      <c r="I1952" s="48">
        <f>SUM(I1948:I1951)</f>
        <v>4605</v>
      </c>
      <c r="J1952" s="49"/>
    </row>
    <row r="1953" spans="2:10" x14ac:dyDescent="0.15">
      <c r="B1953" s="10" t="s">
        <v>18</v>
      </c>
      <c r="C1953" s="77">
        <v>5</v>
      </c>
      <c r="D1953" s="11">
        <f>SUM(C1953:C1953)</f>
        <v>5</v>
      </c>
      <c r="E1953" s="12">
        <v>43242</v>
      </c>
      <c r="G1953" s="15" t="s">
        <v>561</v>
      </c>
      <c r="H1953" s="13">
        <v>200</v>
      </c>
      <c r="I1953" s="11">
        <f>SUM(H1953:H1953)</f>
        <v>200</v>
      </c>
      <c r="J1953" s="12">
        <v>43251</v>
      </c>
    </row>
    <row r="1954" spans="2:10" x14ac:dyDescent="0.15">
      <c r="B1954" s="10" t="s">
        <v>189</v>
      </c>
      <c r="C1954" s="13">
        <v>2</v>
      </c>
      <c r="D1954" s="14">
        <f>SUM(C1954:C1954)</f>
        <v>2</v>
      </c>
      <c r="E1954" s="12">
        <v>43241</v>
      </c>
      <c r="G1954" s="81" t="s">
        <v>12</v>
      </c>
      <c r="H1954" s="13">
        <v>336</v>
      </c>
      <c r="I1954" s="14">
        <f>SUM(H1954:H1954)</f>
        <v>336</v>
      </c>
      <c r="J1954" s="12">
        <v>43276</v>
      </c>
    </row>
    <row r="1955" spans="2:10" x14ac:dyDescent="0.15">
      <c r="B1955" s="10" t="s">
        <v>18</v>
      </c>
      <c r="C1955" s="13">
        <v>18</v>
      </c>
      <c r="D1955" s="14">
        <f>SUM(C1955:C1955)</f>
        <v>18</v>
      </c>
      <c r="E1955" s="12">
        <v>43244</v>
      </c>
      <c r="G1955" s="15"/>
      <c r="H1955" s="13"/>
      <c r="I1955" s="14">
        <f t="shared" ref="I1955:I1972" si="129">SUM(H1955:H1955)</f>
        <v>0</v>
      </c>
      <c r="J1955" s="12"/>
    </row>
    <row r="1956" spans="2:10" x14ac:dyDescent="0.15">
      <c r="B1956" s="10" t="s">
        <v>18</v>
      </c>
      <c r="C1956" s="13">
        <v>19</v>
      </c>
      <c r="D1956" s="14">
        <f t="shared" ref="D1956:D1966" si="130">SUM(C1956:C1956)</f>
        <v>19</v>
      </c>
      <c r="E1956" s="12">
        <v>43246</v>
      </c>
      <c r="G1956" s="15"/>
      <c r="H1956" s="13"/>
      <c r="I1956" s="14">
        <f t="shared" si="129"/>
        <v>0</v>
      </c>
      <c r="J1956" s="12"/>
    </row>
    <row r="1957" spans="2:10" x14ac:dyDescent="0.15">
      <c r="B1957" s="10" t="s">
        <v>189</v>
      </c>
      <c r="C1957" s="13">
        <v>31</v>
      </c>
      <c r="D1957" s="14">
        <f t="shared" si="130"/>
        <v>31</v>
      </c>
      <c r="E1957" s="12">
        <v>43245</v>
      </c>
      <c r="G1957" s="15"/>
      <c r="H1957" s="13"/>
      <c r="I1957" s="14">
        <f t="shared" si="129"/>
        <v>0</v>
      </c>
      <c r="J1957" s="12"/>
    </row>
    <row r="1958" spans="2:10" x14ac:dyDescent="0.15">
      <c r="B1958" s="10" t="s">
        <v>18</v>
      </c>
      <c r="C1958" s="13">
        <v>12</v>
      </c>
      <c r="D1958" s="14">
        <f t="shared" si="130"/>
        <v>12</v>
      </c>
      <c r="E1958" s="12">
        <v>43249</v>
      </c>
      <c r="G1958" s="78"/>
      <c r="H1958" s="13"/>
      <c r="I1958" s="14">
        <f t="shared" si="129"/>
        <v>0</v>
      </c>
      <c r="J1958" s="12"/>
    </row>
    <row r="1959" spans="2:10" x14ac:dyDescent="0.15">
      <c r="B1959" s="10" t="s">
        <v>18</v>
      </c>
      <c r="C1959" s="13">
        <v>12</v>
      </c>
      <c r="D1959" s="14">
        <f t="shared" si="130"/>
        <v>12</v>
      </c>
      <c r="E1959" s="12">
        <v>43251</v>
      </c>
      <c r="G1959" s="78"/>
      <c r="H1959" s="13"/>
      <c r="I1959" s="14">
        <f t="shared" si="129"/>
        <v>0</v>
      </c>
      <c r="J1959" s="12"/>
    </row>
    <row r="1960" spans="2:10" x14ac:dyDescent="0.15">
      <c r="B1960" s="10" t="s">
        <v>18</v>
      </c>
      <c r="C1960" s="13">
        <v>29</v>
      </c>
      <c r="D1960" s="14">
        <f t="shared" si="130"/>
        <v>29</v>
      </c>
      <c r="E1960" s="12">
        <v>43255</v>
      </c>
      <c r="G1960" s="78"/>
      <c r="H1960" s="13"/>
      <c r="I1960" s="14">
        <f t="shared" si="129"/>
        <v>0</v>
      </c>
      <c r="J1960" s="12"/>
    </row>
    <row r="1961" spans="2:10" x14ac:dyDescent="0.15">
      <c r="B1961" s="10" t="s">
        <v>189</v>
      </c>
      <c r="C1961" s="13">
        <v>1</v>
      </c>
      <c r="D1961" s="14">
        <f t="shared" si="130"/>
        <v>1</v>
      </c>
      <c r="E1961" s="12">
        <v>43256</v>
      </c>
      <c r="G1961" s="10"/>
      <c r="H1961" s="13"/>
      <c r="I1961" s="14">
        <f t="shared" si="129"/>
        <v>0</v>
      </c>
      <c r="J1961" s="12"/>
    </row>
    <row r="1962" spans="2:10" x14ac:dyDescent="0.15">
      <c r="B1962" s="10" t="s">
        <v>18</v>
      </c>
      <c r="C1962" s="13">
        <v>7</v>
      </c>
      <c r="D1962" s="14">
        <f t="shared" si="130"/>
        <v>7</v>
      </c>
      <c r="E1962" s="12">
        <v>43259</v>
      </c>
      <c r="G1962" s="78"/>
      <c r="H1962" s="13"/>
      <c r="I1962" s="14">
        <f t="shared" si="129"/>
        <v>0</v>
      </c>
      <c r="J1962" s="12"/>
    </row>
    <row r="1963" spans="2:10" x14ac:dyDescent="0.15">
      <c r="B1963" s="10" t="s">
        <v>18</v>
      </c>
      <c r="C1963" s="13">
        <v>42</v>
      </c>
      <c r="D1963" s="14">
        <f t="shared" si="130"/>
        <v>42</v>
      </c>
      <c r="E1963" s="12">
        <v>43263</v>
      </c>
      <c r="G1963" s="15"/>
      <c r="H1963" s="13"/>
      <c r="I1963" s="14">
        <f t="shared" si="129"/>
        <v>0</v>
      </c>
      <c r="J1963" s="5"/>
    </row>
    <row r="1964" spans="2:10" x14ac:dyDescent="0.15">
      <c r="B1964" s="10" t="s">
        <v>189</v>
      </c>
      <c r="C1964" s="13">
        <v>5</v>
      </c>
      <c r="D1964" s="14">
        <f t="shared" si="130"/>
        <v>5</v>
      </c>
      <c r="E1964" s="12">
        <v>43263</v>
      </c>
      <c r="G1964" s="15"/>
      <c r="H1964" s="7"/>
      <c r="I1964" s="14">
        <f t="shared" si="129"/>
        <v>0</v>
      </c>
      <c r="J1964" s="12"/>
    </row>
    <row r="1965" spans="2:10" x14ac:dyDescent="0.15">
      <c r="B1965" s="10" t="s">
        <v>18</v>
      </c>
      <c r="C1965" s="13">
        <v>12</v>
      </c>
      <c r="D1965" s="14">
        <f t="shared" si="130"/>
        <v>12</v>
      </c>
      <c r="E1965" s="12">
        <v>43265</v>
      </c>
      <c r="G1965" s="10"/>
      <c r="H1965" s="13"/>
      <c r="I1965" s="14">
        <f t="shared" si="129"/>
        <v>0</v>
      </c>
      <c r="J1965" s="12"/>
    </row>
    <row r="1966" spans="2:10" x14ac:dyDescent="0.15">
      <c r="B1966" s="15" t="s">
        <v>76</v>
      </c>
      <c r="C1966" s="13">
        <v>-25</v>
      </c>
      <c r="D1966" s="14">
        <f t="shared" si="130"/>
        <v>-25</v>
      </c>
      <c r="E1966" s="12">
        <v>43265</v>
      </c>
      <c r="G1966" s="15"/>
      <c r="H1966" s="7"/>
      <c r="I1966" s="14">
        <f t="shared" si="129"/>
        <v>0</v>
      </c>
      <c r="J1966" s="12"/>
    </row>
    <row r="1967" spans="2:10" x14ac:dyDescent="0.15">
      <c r="B1967" s="10" t="s">
        <v>18</v>
      </c>
      <c r="C1967" s="13">
        <v>12</v>
      </c>
      <c r="D1967" s="14">
        <f>SUM(C1967:C1967)</f>
        <v>12</v>
      </c>
      <c r="E1967" s="12">
        <v>43267</v>
      </c>
      <c r="G1967" s="15"/>
      <c r="H1967" s="7"/>
      <c r="I1967" s="14">
        <f t="shared" si="129"/>
        <v>0</v>
      </c>
      <c r="J1967" s="12"/>
    </row>
    <row r="1968" spans="2:10" x14ac:dyDescent="0.15">
      <c r="B1968" s="10" t="s">
        <v>562</v>
      </c>
      <c r="C1968" s="13">
        <v>9</v>
      </c>
      <c r="D1968" s="14">
        <f t="shared" ref="D1968:D1977" si="131">SUM(C1968:C1968)</f>
        <v>9</v>
      </c>
      <c r="E1968" s="12">
        <v>43270</v>
      </c>
      <c r="G1968" s="15"/>
      <c r="H1968" s="7"/>
      <c r="I1968" s="14">
        <f t="shared" si="129"/>
        <v>0</v>
      </c>
      <c r="J1968" s="12"/>
    </row>
    <row r="1969" spans="2:11" x14ac:dyDescent="0.15">
      <c r="B1969" s="10" t="s">
        <v>18</v>
      </c>
      <c r="C1969" s="13">
        <v>21</v>
      </c>
      <c r="D1969" s="14">
        <f t="shared" si="131"/>
        <v>21</v>
      </c>
      <c r="E1969" s="12">
        <v>43272</v>
      </c>
      <c r="G1969" s="15"/>
      <c r="H1969" s="7"/>
      <c r="I1969" s="14">
        <f t="shared" si="129"/>
        <v>0</v>
      </c>
      <c r="J1969" s="12"/>
    </row>
    <row r="1970" spans="2:11" x14ac:dyDescent="0.15">
      <c r="B1970" s="10" t="s">
        <v>6</v>
      </c>
      <c r="C1970" s="13">
        <v>-336</v>
      </c>
      <c r="D1970" s="14">
        <f t="shared" si="131"/>
        <v>-336</v>
      </c>
      <c r="E1970" s="12">
        <v>43276</v>
      </c>
      <c r="G1970" s="15"/>
      <c r="H1970" s="7"/>
      <c r="I1970" s="14">
        <f t="shared" si="129"/>
        <v>0</v>
      </c>
      <c r="J1970" s="5"/>
    </row>
    <row r="1971" spans="2:11" x14ac:dyDescent="0.15">
      <c r="B1971" s="10" t="s">
        <v>18</v>
      </c>
      <c r="C1971" s="13">
        <v>9</v>
      </c>
      <c r="D1971" s="14">
        <f t="shared" si="131"/>
        <v>9</v>
      </c>
      <c r="E1971" s="12">
        <v>43274</v>
      </c>
      <c r="G1971" s="15"/>
      <c r="H1971" s="7"/>
      <c r="I1971" s="14">
        <f>SUM(H1971:H1971)</f>
        <v>0</v>
      </c>
      <c r="J1971" s="5"/>
    </row>
    <row r="1972" spans="2:11" x14ac:dyDescent="0.15">
      <c r="B1972" s="10" t="s">
        <v>18</v>
      </c>
      <c r="C1972" s="13">
        <v>31</v>
      </c>
      <c r="D1972" s="14">
        <f t="shared" si="131"/>
        <v>31</v>
      </c>
      <c r="E1972" s="5">
        <v>43277</v>
      </c>
      <c r="G1972" s="15"/>
      <c r="H1972" s="7"/>
      <c r="I1972" s="14">
        <f t="shared" si="129"/>
        <v>0</v>
      </c>
      <c r="J1972" s="5"/>
    </row>
    <row r="1973" spans="2:11" x14ac:dyDescent="0.15">
      <c r="B1973" s="10" t="s">
        <v>105</v>
      </c>
      <c r="C1973" s="13">
        <v>-1</v>
      </c>
      <c r="D1973" s="14">
        <f t="shared" si="131"/>
        <v>-1</v>
      </c>
      <c r="E1973" s="5">
        <v>43279</v>
      </c>
      <c r="G1973" s="15"/>
      <c r="H1973" s="7"/>
      <c r="I1973" s="14">
        <f>SUM(H1973:H1973)</f>
        <v>0</v>
      </c>
      <c r="J1973" s="12"/>
    </row>
    <row r="1974" spans="2:11" x14ac:dyDescent="0.15">
      <c r="B1974" s="10" t="s">
        <v>18</v>
      </c>
      <c r="C1974" s="13">
        <v>15</v>
      </c>
      <c r="D1974" s="14">
        <f t="shared" si="131"/>
        <v>15</v>
      </c>
      <c r="E1974" s="5">
        <v>43281</v>
      </c>
      <c r="G1974" s="15"/>
      <c r="H1974" s="7"/>
      <c r="I1974" s="14">
        <f>SUM(H1974:H1974)</f>
        <v>0</v>
      </c>
      <c r="J1974" s="12"/>
    </row>
    <row r="1975" spans="2:11" x14ac:dyDescent="0.15">
      <c r="B1975" s="10" t="s">
        <v>18</v>
      </c>
      <c r="C1975" s="13">
        <v>37</v>
      </c>
      <c r="D1975" s="14">
        <f t="shared" si="131"/>
        <v>37</v>
      </c>
      <c r="E1975" s="5">
        <v>43284</v>
      </c>
      <c r="G1975" s="10"/>
      <c r="H1975" s="13"/>
      <c r="I1975" s="14">
        <f>SUM(H1975:H1975)</f>
        <v>0</v>
      </c>
      <c r="J1975" s="12"/>
      <c r="K1975" s="86"/>
    </row>
    <row r="1976" spans="2:11" ht="14.25" thickBot="1" x14ac:dyDescent="0.2">
      <c r="B1976" s="10" t="s">
        <v>18</v>
      </c>
      <c r="C1976" s="13">
        <v>59</v>
      </c>
      <c r="D1976" s="11">
        <f t="shared" si="131"/>
        <v>59</v>
      </c>
      <c r="E1976" s="12">
        <v>43286</v>
      </c>
      <c r="G1976" s="15"/>
      <c r="H1976" s="7"/>
      <c r="I1976" s="14">
        <f>SUM(H1976:H1976)</f>
        <v>0</v>
      </c>
      <c r="J1976" s="5"/>
    </row>
    <row r="1977" spans="2:11" ht="14.25" thickBot="1" x14ac:dyDescent="0.2">
      <c r="B1977" s="17" t="s">
        <v>2</v>
      </c>
      <c r="C1977" s="18">
        <f>SUM(C1953:C1976)</f>
        <v>26</v>
      </c>
      <c r="D1977" s="19">
        <f t="shared" si="131"/>
        <v>26</v>
      </c>
      <c r="E1977" s="20"/>
      <c r="G1977" s="17" t="s">
        <v>2</v>
      </c>
      <c r="H1977" s="18">
        <f>SUM(H1953:H1976)</f>
        <v>536</v>
      </c>
      <c r="I1977" s="19">
        <f>SUM(H1977:H1977)</f>
        <v>536</v>
      </c>
      <c r="J1977" s="20"/>
    </row>
    <row r="1978" spans="2:11" ht="14.25" thickBot="1" x14ac:dyDescent="0.2">
      <c r="B1978" s="46" t="s">
        <v>3</v>
      </c>
      <c r="C1978" s="52">
        <f>C1952-C1977</f>
        <v>339</v>
      </c>
      <c r="D1978" s="48">
        <f>D1952-D1977</f>
        <v>339</v>
      </c>
      <c r="E1978" s="49"/>
      <c r="G1978" s="46" t="s">
        <v>3</v>
      </c>
      <c r="H1978" s="52">
        <f>H1952-H1977</f>
        <v>4069</v>
      </c>
      <c r="I1978" s="48">
        <f>I1952-I1977</f>
        <v>4069</v>
      </c>
      <c r="J1978" s="49"/>
    </row>
    <row r="1981" spans="2:11" ht="18.75" x14ac:dyDescent="0.2">
      <c r="B1981" s="26" t="s">
        <v>7</v>
      </c>
      <c r="G1981" s="26" t="s">
        <v>35</v>
      </c>
    </row>
    <row r="1982" spans="2:11" ht="14.25" thickBot="1" x14ac:dyDescent="0.2"/>
    <row r="1983" spans="2:11" ht="14.25" thickBot="1" x14ac:dyDescent="0.2">
      <c r="B1983" s="1"/>
      <c r="C1983" s="2"/>
      <c r="D1983" s="3" t="s">
        <v>0</v>
      </c>
      <c r="E1983" s="1" t="s">
        <v>4</v>
      </c>
      <c r="G1983" s="1"/>
      <c r="H1983" s="2"/>
      <c r="I1983" s="3" t="s">
        <v>0</v>
      </c>
      <c r="J1983" s="1" t="s">
        <v>4</v>
      </c>
    </row>
    <row r="1984" spans="2:11" x14ac:dyDescent="0.15">
      <c r="B1984" s="42" t="s">
        <v>5</v>
      </c>
      <c r="C1984" s="43">
        <f>C1978</f>
        <v>339</v>
      </c>
      <c r="D1984" s="44">
        <f>SUM(C1984:C1984)</f>
        <v>339</v>
      </c>
      <c r="E1984" s="45"/>
      <c r="G1984" s="42" t="s">
        <v>5</v>
      </c>
      <c r="H1984" s="43">
        <f>H1978</f>
        <v>4069</v>
      </c>
      <c r="I1984" s="44">
        <f>SUM(H1984:H1984)</f>
        <v>4069</v>
      </c>
      <c r="J1984" s="45"/>
    </row>
    <row r="1985" spans="2:10" x14ac:dyDescent="0.15">
      <c r="B1985" s="6" t="s">
        <v>76</v>
      </c>
      <c r="C1985" s="13">
        <v>16</v>
      </c>
      <c r="D1985" s="14">
        <f>SUM(C1985:C1985)</f>
        <v>16</v>
      </c>
      <c r="E1985" s="12">
        <v>43290</v>
      </c>
      <c r="G1985" s="6" t="s">
        <v>6</v>
      </c>
      <c r="H1985" s="13"/>
      <c r="I1985" s="14">
        <f>SUM(H1985:H1985)</f>
        <v>0</v>
      </c>
      <c r="J1985" s="5"/>
    </row>
    <row r="1986" spans="2:10" x14ac:dyDescent="0.15">
      <c r="B1986" s="6" t="s">
        <v>6</v>
      </c>
      <c r="C1986" s="7">
        <v>336</v>
      </c>
      <c r="D1986" s="8">
        <f>SUM(C1986:C1986)</f>
        <v>336</v>
      </c>
      <c r="E1986" s="9">
        <v>43300</v>
      </c>
      <c r="G1986" s="6" t="s">
        <v>6</v>
      </c>
      <c r="H1986" s="13">
        <v>1000</v>
      </c>
      <c r="I1986" s="14">
        <f>SUM(H1986:H1986)</f>
        <v>1000</v>
      </c>
      <c r="J1986" s="5">
        <v>43282</v>
      </c>
    </row>
    <row r="1987" spans="2:10" ht="14.25" thickBot="1" x14ac:dyDescent="0.2">
      <c r="B1987" s="6" t="s">
        <v>76</v>
      </c>
      <c r="C1987" s="7">
        <v>132</v>
      </c>
      <c r="D1987" s="14">
        <f>SUM(C1987:C1987)</f>
        <v>132</v>
      </c>
      <c r="E1987" s="16">
        <v>43315</v>
      </c>
      <c r="G1987" s="6" t="s">
        <v>6</v>
      </c>
      <c r="H1987" s="88">
        <v>1000</v>
      </c>
      <c r="I1987" s="11">
        <f>SUM(H1987:H1987)</f>
        <v>1000</v>
      </c>
      <c r="J1987" s="85">
        <v>43282</v>
      </c>
    </row>
    <row r="1988" spans="2:10" ht="14.25" thickBot="1" x14ac:dyDescent="0.2">
      <c r="B1988" s="46" t="s">
        <v>1</v>
      </c>
      <c r="C1988" s="48">
        <f>SUM(C1984:C1987)</f>
        <v>823</v>
      </c>
      <c r="D1988" s="48">
        <f>SUM(D1984:D1987)</f>
        <v>823</v>
      </c>
      <c r="E1988" s="49"/>
      <c r="G1988" s="46" t="s">
        <v>1</v>
      </c>
      <c r="H1988" s="47">
        <f>SUM(H1984:H1987)</f>
        <v>6069</v>
      </c>
      <c r="I1988" s="48">
        <f>SUM(I1984:I1987)</f>
        <v>6069</v>
      </c>
      <c r="J1988" s="49"/>
    </row>
    <row r="1989" spans="2:10" x14ac:dyDescent="0.15">
      <c r="B1989" s="10" t="s">
        <v>18</v>
      </c>
      <c r="C1989" s="77">
        <v>10</v>
      </c>
      <c r="D1989" s="11">
        <f>SUM(C1989:C1989)</f>
        <v>10</v>
      </c>
      <c r="E1989" s="12">
        <v>43288</v>
      </c>
      <c r="G1989" s="15" t="s">
        <v>563</v>
      </c>
      <c r="H1989" s="13">
        <v>200</v>
      </c>
      <c r="I1989" s="11">
        <f>SUM(H1989:H1989)</f>
        <v>200</v>
      </c>
      <c r="J1989" s="12">
        <v>43290</v>
      </c>
    </row>
    <row r="1990" spans="2:10" x14ac:dyDescent="0.15">
      <c r="B1990" s="10" t="s">
        <v>189</v>
      </c>
      <c r="C1990" s="13">
        <v>2</v>
      </c>
      <c r="D1990" s="14">
        <f>SUM(C1990:C1990)</f>
        <v>2</v>
      </c>
      <c r="E1990" s="12">
        <v>43287</v>
      </c>
      <c r="G1990" s="15" t="s">
        <v>564</v>
      </c>
      <c r="H1990" s="13">
        <v>200</v>
      </c>
      <c r="I1990" s="14">
        <f>SUM(H1990:H1990)</f>
        <v>200</v>
      </c>
      <c r="J1990" s="12">
        <v>43291</v>
      </c>
    </row>
    <row r="1991" spans="2:10" x14ac:dyDescent="0.15">
      <c r="B1991" s="10" t="s">
        <v>18</v>
      </c>
      <c r="C1991" s="13">
        <v>31</v>
      </c>
      <c r="D1991" s="14">
        <f>SUM(C1991:C1991)</f>
        <v>31</v>
      </c>
      <c r="E1991" s="12">
        <v>43291</v>
      </c>
      <c r="G1991" s="15" t="s">
        <v>565</v>
      </c>
      <c r="H1991" s="13">
        <v>500</v>
      </c>
      <c r="I1991" s="14">
        <f t="shared" ref="I1991:I2006" si="132">SUM(H1991:H1991)</f>
        <v>500</v>
      </c>
      <c r="J1991" s="12">
        <v>43294</v>
      </c>
    </row>
    <row r="1992" spans="2:10" x14ac:dyDescent="0.15">
      <c r="B1992" s="10" t="s">
        <v>18</v>
      </c>
      <c r="C1992" s="13">
        <v>32</v>
      </c>
      <c r="D1992" s="14">
        <f t="shared" ref="D1992:D2002" si="133">SUM(C1992:C1992)</f>
        <v>32</v>
      </c>
      <c r="E1992" s="12">
        <v>43293</v>
      </c>
      <c r="G1992" s="15" t="s">
        <v>566</v>
      </c>
      <c r="H1992" s="13">
        <v>900</v>
      </c>
      <c r="I1992" s="14">
        <f t="shared" si="132"/>
        <v>900</v>
      </c>
      <c r="J1992" s="12">
        <v>43294</v>
      </c>
    </row>
    <row r="1993" spans="2:10" x14ac:dyDescent="0.15">
      <c r="B1993" s="15" t="s">
        <v>567</v>
      </c>
      <c r="C1993" s="13">
        <v>100</v>
      </c>
      <c r="D1993" s="14">
        <f t="shared" si="133"/>
        <v>100</v>
      </c>
      <c r="E1993" s="12">
        <v>43294</v>
      </c>
      <c r="G1993" s="15" t="s">
        <v>568</v>
      </c>
      <c r="H1993" s="13">
        <v>200</v>
      </c>
      <c r="I1993" s="14">
        <f t="shared" si="132"/>
        <v>200</v>
      </c>
      <c r="J1993" s="12">
        <v>43295</v>
      </c>
    </row>
    <row r="1994" spans="2:10" x14ac:dyDescent="0.15">
      <c r="B1994" s="10" t="s">
        <v>18</v>
      </c>
      <c r="C1994" s="13">
        <v>24</v>
      </c>
      <c r="D1994" s="14">
        <f t="shared" si="133"/>
        <v>24</v>
      </c>
      <c r="E1994" s="12">
        <v>43295</v>
      </c>
      <c r="G1994" s="78" t="s">
        <v>12</v>
      </c>
      <c r="H1994" s="13">
        <v>336</v>
      </c>
      <c r="I1994" s="14">
        <f t="shared" si="132"/>
        <v>336</v>
      </c>
      <c r="J1994" s="12">
        <v>43300</v>
      </c>
    </row>
    <row r="1995" spans="2:10" x14ac:dyDescent="0.15">
      <c r="B1995" s="10" t="s">
        <v>18</v>
      </c>
      <c r="C1995" s="13">
        <v>69</v>
      </c>
      <c r="D1995" s="14">
        <f t="shared" si="133"/>
        <v>69</v>
      </c>
      <c r="E1995" s="12">
        <v>43299</v>
      </c>
      <c r="G1995" s="15" t="s">
        <v>569</v>
      </c>
      <c r="H1995" s="13">
        <v>260</v>
      </c>
      <c r="I1995" s="14">
        <f t="shared" si="132"/>
        <v>260</v>
      </c>
      <c r="J1995" s="12">
        <v>43300</v>
      </c>
    </row>
    <row r="1996" spans="2:10" x14ac:dyDescent="0.15">
      <c r="B1996" s="10" t="s">
        <v>189</v>
      </c>
      <c r="C1996" s="13">
        <v>17</v>
      </c>
      <c r="D1996" s="14">
        <f t="shared" si="133"/>
        <v>17</v>
      </c>
      <c r="E1996" s="12">
        <v>43298</v>
      </c>
      <c r="G1996" s="15" t="s">
        <v>572</v>
      </c>
      <c r="H1996" s="13">
        <v>400</v>
      </c>
      <c r="I1996" s="14">
        <f t="shared" si="132"/>
        <v>400</v>
      </c>
      <c r="J1996" s="12">
        <v>43308</v>
      </c>
    </row>
    <row r="1997" spans="2:10" x14ac:dyDescent="0.15">
      <c r="B1997" s="10" t="s">
        <v>570</v>
      </c>
      <c r="C1997" s="13">
        <v>1</v>
      </c>
      <c r="D1997" s="14">
        <f t="shared" si="133"/>
        <v>1</v>
      </c>
      <c r="E1997" s="12">
        <v>43299</v>
      </c>
      <c r="G1997" s="15" t="s">
        <v>573</v>
      </c>
      <c r="H1997" s="13">
        <v>200</v>
      </c>
      <c r="I1997" s="14">
        <f t="shared" si="132"/>
        <v>200</v>
      </c>
      <c r="J1997" s="12">
        <v>43309</v>
      </c>
    </row>
    <row r="1998" spans="2:10" x14ac:dyDescent="0.15">
      <c r="B1998" s="10" t="s">
        <v>18</v>
      </c>
      <c r="C1998" s="13">
        <v>14</v>
      </c>
      <c r="D1998" s="14">
        <f t="shared" si="133"/>
        <v>14</v>
      </c>
      <c r="E1998" s="12">
        <v>43301</v>
      </c>
      <c r="G1998" s="78"/>
      <c r="H1998" s="13"/>
      <c r="I1998" s="14">
        <f t="shared" si="132"/>
        <v>0</v>
      </c>
      <c r="J1998" s="12"/>
    </row>
    <row r="1999" spans="2:10" x14ac:dyDescent="0.15">
      <c r="B1999" s="10" t="s">
        <v>574</v>
      </c>
      <c r="C1999" s="13">
        <v>1</v>
      </c>
      <c r="D1999" s="14">
        <f t="shared" si="133"/>
        <v>1</v>
      </c>
      <c r="E1999" s="12">
        <v>43302</v>
      </c>
      <c r="G1999" s="15"/>
      <c r="H1999" s="13"/>
      <c r="I1999" s="14">
        <f t="shared" si="132"/>
        <v>0</v>
      </c>
      <c r="J1999" s="5"/>
    </row>
    <row r="2000" spans="2:10" x14ac:dyDescent="0.15">
      <c r="B2000" s="15" t="s">
        <v>571</v>
      </c>
      <c r="C2000" s="13">
        <v>138</v>
      </c>
      <c r="D2000" s="14">
        <f t="shared" si="133"/>
        <v>138</v>
      </c>
      <c r="E2000" s="12">
        <v>43305</v>
      </c>
      <c r="G2000" s="15"/>
      <c r="H2000" s="7"/>
      <c r="I2000" s="14">
        <f t="shared" si="132"/>
        <v>0</v>
      </c>
      <c r="J2000" s="12"/>
    </row>
    <row r="2001" spans="2:11" x14ac:dyDescent="0.15">
      <c r="B2001" s="10" t="s">
        <v>18</v>
      </c>
      <c r="C2001" s="13">
        <v>45</v>
      </c>
      <c r="D2001" s="14">
        <f t="shared" si="133"/>
        <v>45</v>
      </c>
      <c r="E2001" s="12">
        <v>43305</v>
      </c>
      <c r="G2001" s="10"/>
      <c r="H2001" s="13"/>
      <c r="I2001" s="14">
        <f t="shared" si="132"/>
        <v>0</v>
      </c>
      <c r="J2001" s="12"/>
    </row>
    <row r="2002" spans="2:11" x14ac:dyDescent="0.15">
      <c r="B2002" s="10" t="s">
        <v>189</v>
      </c>
      <c r="C2002" s="13">
        <v>1</v>
      </c>
      <c r="D2002" s="14">
        <f t="shared" si="133"/>
        <v>1</v>
      </c>
      <c r="E2002" s="12">
        <v>43304</v>
      </c>
      <c r="G2002" s="15"/>
      <c r="H2002" s="7"/>
      <c r="I2002" s="14">
        <f t="shared" si="132"/>
        <v>0</v>
      </c>
      <c r="J2002" s="12"/>
    </row>
    <row r="2003" spans="2:11" x14ac:dyDescent="0.15">
      <c r="B2003" s="10" t="s">
        <v>189</v>
      </c>
      <c r="C2003" s="13">
        <v>1</v>
      </c>
      <c r="D2003" s="14">
        <f>SUM(C2003:C2003)</f>
        <v>1</v>
      </c>
      <c r="E2003" s="12">
        <v>43305</v>
      </c>
      <c r="G2003" s="15"/>
      <c r="H2003" s="7"/>
      <c r="I2003" s="14">
        <f t="shared" si="132"/>
        <v>0</v>
      </c>
      <c r="J2003" s="12"/>
    </row>
    <row r="2004" spans="2:11" x14ac:dyDescent="0.15">
      <c r="B2004" s="10" t="s">
        <v>18</v>
      </c>
      <c r="C2004" s="13">
        <v>51</v>
      </c>
      <c r="D2004" s="14">
        <f t="shared" ref="D2004:D2013" si="134">SUM(C2004:C2004)</f>
        <v>51</v>
      </c>
      <c r="E2004" s="12">
        <v>43307</v>
      </c>
      <c r="G2004" s="15"/>
      <c r="H2004" s="7"/>
      <c r="I2004" s="14">
        <f t="shared" si="132"/>
        <v>0</v>
      </c>
      <c r="J2004" s="12"/>
    </row>
    <row r="2005" spans="2:11" x14ac:dyDescent="0.15">
      <c r="B2005" s="10" t="s">
        <v>18</v>
      </c>
      <c r="C2005" s="13">
        <v>10</v>
      </c>
      <c r="D2005" s="14">
        <f t="shared" si="134"/>
        <v>10</v>
      </c>
      <c r="E2005" s="12">
        <v>43309</v>
      </c>
      <c r="G2005" s="15"/>
      <c r="H2005" s="7"/>
      <c r="I2005" s="14">
        <f t="shared" si="132"/>
        <v>0</v>
      </c>
      <c r="J2005" s="12"/>
    </row>
    <row r="2006" spans="2:11" x14ac:dyDescent="0.15">
      <c r="B2006" s="10" t="s">
        <v>18</v>
      </c>
      <c r="C2006" s="13">
        <v>9</v>
      </c>
      <c r="D2006" s="14">
        <f t="shared" si="134"/>
        <v>9</v>
      </c>
      <c r="E2006" s="12">
        <v>43312</v>
      </c>
      <c r="G2006" s="15"/>
      <c r="H2006" s="7"/>
      <c r="I2006" s="14">
        <f t="shared" si="132"/>
        <v>0</v>
      </c>
      <c r="J2006" s="5"/>
    </row>
    <row r="2007" spans="2:11" x14ac:dyDescent="0.15">
      <c r="B2007" s="10" t="s">
        <v>575</v>
      </c>
      <c r="C2007" s="13">
        <v>10</v>
      </c>
      <c r="D2007" s="14">
        <f t="shared" si="134"/>
        <v>10</v>
      </c>
      <c r="E2007" s="12">
        <v>43312</v>
      </c>
      <c r="G2007" s="15"/>
      <c r="H2007" s="7"/>
      <c r="I2007" s="14">
        <f t="shared" ref="I2007:I2013" si="135">SUM(H2007:H2007)</f>
        <v>0</v>
      </c>
      <c r="J2007" s="12"/>
    </row>
    <row r="2008" spans="2:11" x14ac:dyDescent="0.15">
      <c r="B2008" s="10" t="s">
        <v>18</v>
      </c>
      <c r="C2008" s="13">
        <v>18</v>
      </c>
      <c r="D2008" s="14">
        <f t="shared" si="134"/>
        <v>18</v>
      </c>
      <c r="E2008" s="5">
        <v>43314</v>
      </c>
      <c r="G2008" s="15"/>
      <c r="H2008" s="7"/>
      <c r="I2008" s="14">
        <f t="shared" si="135"/>
        <v>0</v>
      </c>
      <c r="J2008" s="5"/>
      <c r="K2008" s="86"/>
    </row>
    <row r="2009" spans="2:11" x14ac:dyDescent="0.15">
      <c r="B2009" s="10" t="s">
        <v>189</v>
      </c>
      <c r="C2009" s="13">
        <v>24</v>
      </c>
      <c r="D2009" s="14">
        <f t="shared" si="134"/>
        <v>24</v>
      </c>
      <c r="E2009" s="5">
        <v>43313</v>
      </c>
      <c r="G2009" s="15"/>
      <c r="H2009" s="7"/>
      <c r="I2009" s="14">
        <f t="shared" si="135"/>
        <v>0</v>
      </c>
      <c r="J2009" s="12"/>
    </row>
    <row r="2010" spans="2:11" x14ac:dyDescent="0.15">
      <c r="B2010" s="10" t="s">
        <v>18</v>
      </c>
      <c r="C2010" s="13">
        <v>19</v>
      </c>
      <c r="D2010" s="14">
        <f t="shared" si="134"/>
        <v>19</v>
      </c>
      <c r="E2010" s="5">
        <v>43316</v>
      </c>
      <c r="G2010" s="15"/>
      <c r="H2010" s="13"/>
      <c r="I2010" s="14">
        <f t="shared" si="135"/>
        <v>0</v>
      </c>
      <c r="J2010" s="12"/>
    </row>
    <row r="2011" spans="2:11" x14ac:dyDescent="0.15">
      <c r="B2011" s="10" t="s">
        <v>576</v>
      </c>
      <c r="C2011" s="13">
        <v>1</v>
      </c>
      <c r="D2011" s="14">
        <f t="shared" si="134"/>
        <v>1</v>
      </c>
      <c r="E2011" s="5">
        <v>43316</v>
      </c>
      <c r="G2011" s="15"/>
      <c r="H2011" s="7"/>
      <c r="I2011" s="14">
        <f t="shared" si="135"/>
        <v>0</v>
      </c>
      <c r="J2011" s="5"/>
    </row>
    <row r="2012" spans="2:11" ht="14.25" thickBot="1" x14ac:dyDescent="0.2">
      <c r="B2012" s="10" t="s">
        <v>489</v>
      </c>
      <c r="C2012" s="13">
        <v>-3</v>
      </c>
      <c r="D2012" s="11">
        <f t="shared" si="134"/>
        <v>-3</v>
      </c>
      <c r="E2012" s="12">
        <v>43316</v>
      </c>
      <c r="G2012" s="15"/>
      <c r="H2012" s="7"/>
      <c r="I2012" s="14">
        <f t="shared" si="135"/>
        <v>0</v>
      </c>
      <c r="J2012" s="5"/>
    </row>
    <row r="2013" spans="2:11" ht="14.25" thickBot="1" x14ac:dyDescent="0.2">
      <c r="B2013" s="17" t="s">
        <v>2</v>
      </c>
      <c r="C2013" s="18">
        <f>SUM(C1989:C2012)</f>
        <v>625</v>
      </c>
      <c r="D2013" s="19">
        <f t="shared" si="134"/>
        <v>625</v>
      </c>
      <c r="E2013" s="20"/>
      <c r="G2013" s="17" t="s">
        <v>2</v>
      </c>
      <c r="H2013" s="18">
        <f>SUM(H1989:H2012)</f>
        <v>3196</v>
      </c>
      <c r="I2013" s="19">
        <f t="shared" si="135"/>
        <v>3196</v>
      </c>
      <c r="J2013" s="20"/>
    </row>
    <row r="2014" spans="2:11" ht="14.25" thickBot="1" x14ac:dyDescent="0.2">
      <c r="B2014" s="46" t="s">
        <v>3</v>
      </c>
      <c r="C2014" s="52">
        <f>C1988-C2013</f>
        <v>198</v>
      </c>
      <c r="D2014" s="48">
        <f>D1988-D2013</f>
        <v>198</v>
      </c>
      <c r="E2014" s="49"/>
      <c r="G2014" s="46" t="s">
        <v>3</v>
      </c>
      <c r="H2014" s="52">
        <f>H1988-H2013</f>
        <v>2873</v>
      </c>
      <c r="I2014" s="48">
        <f>I1988-I2013</f>
        <v>2873</v>
      </c>
      <c r="J2014" s="49"/>
    </row>
    <row r="2017" spans="2:10" ht="18.75" x14ac:dyDescent="0.2">
      <c r="B2017" s="26" t="s">
        <v>7</v>
      </c>
      <c r="G2017" s="26" t="s">
        <v>35</v>
      </c>
    </row>
    <row r="2018" spans="2:10" ht="14.25" thickBot="1" x14ac:dyDescent="0.2"/>
    <row r="2019" spans="2:10" ht="14.25" thickBot="1" x14ac:dyDescent="0.2">
      <c r="B2019" s="1"/>
      <c r="C2019" s="2"/>
      <c r="D2019" s="3" t="s">
        <v>0</v>
      </c>
      <c r="E2019" s="1" t="s">
        <v>4</v>
      </c>
      <c r="G2019" s="1"/>
      <c r="H2019" s="2"/>
      <c r="I2019" s="3" t="s">
        <v>0</v>
      </c>
      <c r="J2019" s="1" t="s">
        <v>4</v>
      </c>
    </row>
    <row r="2020" spans="2:10" x14ac:dyDescent="0.15">
      <c r="B2020" s="42" t="s">
        <v>5</v>
      </c>
      <c r="C2020" s="43">
        <f>C2014</f>
        <v>198</v>
      </c>
      <c r="D2020" s="44">
        <f>SUM(C2020:C2020)</f>
        <v>198</v>
      </c>
      <c r="E2020" s="45"/>
      <c r="G2020" s="42" t="s">
        <v>5</v>
      </c>
      <c r="H2020" s="43">
        <f>H2014</f>
        <v>2873</v>
      </c>
      <c r="I2020" s="44">
        <f>SUM(H2020:H2020)</f>
        <v>2873</v>
      </c>
      <c r="J2020" s="45"/>
    </row>
    <row r="2021" spans="2:10" x14ac:dyDescent="0.15">
      <c r="B2021" s="6" t="s">
        <v>76</v>
      </c>
      <c r="C2021" s="13">
        <v>6</v>
      </c>
      <c r="D2021" s="14">
        <f>SUM(C2021:C2021)</f>
        <v>6</v>
      </c>
      <c r="E2021" s="12">
        <v>43319</v>
      </c>
      <c r="G2021" s="6" t="s">
        <v>6</v>
      </c>
      <c r="H2021" s="13"/>
      <c r="I2021" s="14">
        <f>SUM(H2021:H2021)</f>
        <v>0</v>
      </c>
      <c r="J2021" s="5"/>
    </row>
    <row r="2022" spans="2:10" x14ac:dyDescent="0.15">
      <c r="B2022" s="6" t="s">
        <v>105</v>
      </c>
      <c r="C2022" s="7">
        <v>1</v>
      </c>
      <c r="D2022" s="8">
        <f>SUM(C2022:C2022)</f>
        <v>1</v>
      </c>
      <c r="E2022" s="9">
        <v>43321</v>
      </c>
      <c r="G2022" s="6" t="s">
        <v>6</v>
      </c>
      <c r="H2022" s="13"/>
      <c r="I2022" s="14">
        <f>SUM(H2022:H2022)</f>
        <v>0</v>
      </c>
      <c r="J2022" s="5"/>
    </row>
    <row r="2023" spans="2:10" ht="14.25" thickBot="1" x14ac:dyDescent="0.2">
      <c r="B2023" s="6" t="s">
        <v>6</v>
      </c>
      <c r="C2023" s="7">
        <v>336</v>
      </c>
      <c r="D2023" s="14">
        <f>SUM(C2023:C2023)</f>
        <v>336</v>
      </c>
      <c r="E2023" s="16">
        <v>43339</v>
      </c>
      <c r="G2023" s="6" t="s">
        <v>6</v>
      </c>
      <c r="H2023" s="88"/>
      <c r="I2023" s="11">
        <f>SUM(H2023:H2023)</f>
        <v>0</v>
      </c>
      <c r="J2023" s="85"/>
    </row>
    <row r="2024" spans="2:10" ht="14.25" thickBot="1" x14ac:dyDescent="0.2">
      <c r="B2024" s="46" t="s">
        <v>1</v>
      </c>
      <c r="C2024" s="48">
        <f>SUM(C2020:C2023)</f>
        <v>541</v>
      </c>
      <c r="D2024" s="48">
        <f>SUM(D2020:D2023)</f>
        <v>541</v>
      </c>
      <c r="E2024" s="49"/>
      <c r="G2024" s="46" t="s">
        <v>1</v>
      </c>
      <c r="H2024" s="47">
        <f>SUM(H2020:H2023)</f>
        <v>2873</v>
      </c>
      <c r="I2024" s="48">
        <f>SUM(I2020:I2023)</f>
        <v>2873</v>
      </c>
      <c r="J2024" s="49"/>
    </row>
    <row r="2025" spans="2:10" x14ac:dyDescent="0.15">
      <c r="B2025" s="10" t="s">
        <v>18</v>
      </c>
      <c r="C2025" s="77">
        <v>3</v>
      </c>
      <c r="D2025" s="11">
        <f>SUM(C2025:C2025)</f>
        <v>3</v>
      </c>
      <c r="E2025" s="12">
        <v>43319</v>
      </c>
      <c r="G2025" s="15" t="s">
        <v>12</v>
      </c>
      <c r="H2025" s="13">
        <v>336</v>
      </c>
      <c r="I2025" s="11">
        <f>SUM(H2025:H2025)</f>
        <v>336</v>
      </c>
      <c r="J2025" s="12">
        <v>43339</v>
      </c>
    </row>
    <row r="2026" spans="2:10" x14ac:dyDescent="0.15">
      <c r="B2026" s="10" t="s">
        <v>577</v>
      </c>
      <c r="C2026" s="13">
        <v>1</v>
      </c>
      <c r="D2026" s="14">
        <f>SUM(C2026:C2026)</f>
        <v>1</v>
      </c>
      <c r="E2026" s="12">
        <v>43318</v>
      </c>
      <c r="G2026" s="81"/>
      <c r="H2026" s="13"/>
      <c r="I2026" s="14">
        <f>SUM(H2026:H2026)</f>
        <v>0</v>
      </c>
      <c r="J2026" s="12"/>
    </row>
    <row r="2027" spans="2:10" x14ac:dyDescent="0.15">
      <c r="B2027" s="10" t="s">
        <v>200</v>
      </c>
      <c r="C2027" s="13">
        <v>2</v>
      </c>
      <c r="D2027" s="14">
        <f>SUM(C2027:C2027)</f>
        <v>2</v>
      </c>
      <c r="E2027" s="12">
        <v>43323</v>
      </c>
      <c r="G2027" s="15"/>
      <c r="H2027" s="13"/>
      <c r="I2027" s="14">
        <f t="shared" ref="I2027:I2049" si="136">SUM(H2027:H2027)</f>
        <v>0</v>
      </c>
      <c r="J2027" s="12"/>
    </row>
    <row r="2028" spans="2:10" x14ac:dyDescent="0.15">
      <c r="B2028" s="10" t="s">
        <v>18</v>
      </c>
      <c r="C2028" s="13">
        <v>12</v>
      </c>
      <c r="D2028" s="14">
        <f t="shared" ref="D2028:D2038" si="137">SUM(C2028:C2028)</f>
        <v>12</v>
      </c>
      <c r="E2028" s="12">
        <v>43321</v>
      </c>
      <c r="G2028" s="15"/>
      <c r="H2028" s="13"/>
      <c r="I2028" s="14">
        <f t="shared" si="136"/>
        <v>0</v>
      </c>
      <c r="J2028" s="12"/>
    </row>
    <row r="2029" spans="2:10" x14ac:dyDescent="0.15">
      <c r="B2029" s="10" t="s">
        <v>189</v>
      </c>
      <c r="C2029" s="13">
        <v>1</v>
      </c>
      <c r="D2029" s="14">
        <f t="shared" si="137"/>
        <v>1</v>
      </c>
      <c r="E2029" s="12">
        <v>43320</v>
      </c>
      <c r="G2029" s="15"/>
      <c r="H2029" s="13"/>
      <c r="I2029" s="14">
        <f t="shared" si="136"/>
        <v>0</v>
      </c>
      <c r="J2029" s="12"/>
    </row>
    <row r="2030" spans="2:10" x14ac:dyDescent="0.15">
      <c r="B2030" s="10" t="s">
        <v>578</v>
      </c>
      <c r="C2030" s="13">
        <v>1</v>
      </c>
      <c r="D2030" s="14">
        <f t="shared" si="137"/>
        <v>1</v>
      </c>
      <c r="E2030" s="12">
        <v>43321</v>
      </c>
      <c r="G2030" s="78"/>
      <c r="H2030" s="13"/>
      <c r="I2030" s="14">
        <f t="shared" si="136"/>
        <v>0</v>
      </c>
      <c r="J2030" s="12"/>
    </row>
    <row r="2031" spans="2:10" x14ac:dyDescent="0.15">
      <c r="B2031" s="10" t="s">
        <v>18</v>
      </c>
      <c r="C2031" s="13">
        <v>4</v>
      </c>
      <c r="D2031" s="14">
        <f t="shared" si="137"/>
        <v>4</v>
      </c>
      <c r="E2031" s="12">
        <v>43323</v>
      </c>
      <c r="G2031" s="78"/>
      <c r="H2031" s="13"/>
      <c r="I2031" s="14">
        <f t="shared" si="136"/>
        <v>0</v>
      </c>
      <c r="J2031" s="12"/>
    </row>
    <row r="2032" spans="2:10" x14ac:dyDescent="0.15">
      <c r="B2032" s="10" t="s">
        <v>189</v>
      </c>
      <c r="C2032" s="13">
        <v>10</v>
      </c>
      <c r="D2032" s="14">
        <f t="shared" si="137"/>
        <v>10</v>
      </c>
      <c r="E2032" s="12">
        <v>43326</v>
      </c>
      <c r="G2032" s="78"/>
      <c r="H2032" s="13"/>
      <c r="I2032" s="14">
        <f t="shared" si="136"/>
        <v>0</v>
      </c>
      <c r="J2032" s="12"/>
    </row>
    <row r="2033" spans="2:10" x14ac:dyDescent="0.15">
      <c r="B2033" s="10" t="s">
        <v>18</v>
      </c>
      <c r="C2033" s="13">
        <v>21</v>
      </c>
      <c r="D2033" s="14">
        <f t="shared" si="137"/>
        <v>21</v>
      </c>
      <c r="E2033" s="12">
        <v>43329</v>
      </c>
      <c r="G2033" s="10"/>
      <c r="H2033" s="13"/>
      <c r="I2033" s="14">
        <f t="shared" si="136"/>
        <v>0</v>
      </c>
      <c r="J2033" s="12"/>
    </row>
    <row r="2034" spans="2:10" x14ac:dyDescent="0.15">
      <c r="B2034" s="10" t="s">
        <v>189</v>
      </c>
      <c r="C2034" s="13">
        <v>3</v>
      </c>
      <c r="D2034" s="14">
        <f t="shared" si="137"/>
        <v>3</v>
      </c>
      <c r="E2034" s="12">
        <v>43328</v>
      </c>
      <c r="G2034" s="78"/>
      <c r="H2034" s="13"/>
      <c r="I2034" s="14">
        <f t="shared" si="136"/>
        <v>0</v>
      </c>
      <c r="J2034" s="12"/>
    </row>
    <row r="2035" spans="2:10" x14ac:dyDescent="0.15">
      <c r="B2035" s="10" t="s">
        <v>18</v>
      </c>
      <c r="C2035" s="13">
        <v>38</v>
      </c>
      <c r="D2035" s="14">
        <f t="shared" si="137"/>
        <v>38</v>
      </c>
      <c r="E2035" s="12">
        <v>43330</v>
      </c>
      <c r="G2035" s="15"/>
      <c r="H2035" s="13"/>
      <c r="I2035" s="14">
        <f t="shared" si="136"/>
        <v>0</v>
      </c>
      <c r="J2035" s="5"/>
    </row>
    <row r="2036" spans="2:10" x14ac:dyDescent="0.15">
      <c r="B2036" s="10" t="s">
        <v>18</v>
      </c>
      <c r="C2036" s="13">
        <v>28</v>
      </c>
      <c r="D2036" s="14">
        <f t="shared" si="137"/>
        <v>28</v>
      </c>
      <c r="E2036" s="12">
        <v>43333</v>
      </c>
      <c r="G2036" s="15"/>
      <c r="H2036" s="7"/>
      <c r="I2036" s="14">
        <f t="shared" si="136"/>
        <v>0</v>
      </c>
      <c r="J2036" s="12"/>
    </row>
    <row r="2037" spans="2:10" x14ac:dyDescent="0.15">
      <c r="B2037" s="10" t="s">
        <v>189</v>
      </c>
      <c r="C2037" s="13">
        <v>1</v>
      </c>
      <c r="D2037" s="14">
        <f t="shared" si="137"/>
        <v>1</v>
      </c>
      <c r="E2037" s="12">
        <v>43333</v>
      </c>
      <c r="G2037" s="10"/>
      <c r="H2037" s="13"/>
      <c r="I2037" s="14">
        <f t="shared" si="136"/>
        <v>0</v>
      </c>
      <c r="J2037" s="12"/>
    </row>
    <row r="2038" spans="2:10" x14ac:dyDescent="0.15">
      <c r="B2038" s="10" t="s">
        <v>18</v>
      </c>
      <c r="C2038" s="13">
        <v>24</v>
      </c>
      <c r="D2038" s="14">
        <f t="shared" si="137"/>
        <v>24</v>
      </c>
      <c r="E2038" s="12">
        <v>43335</v>
      </c>
      <c r="G2038" s="15"/>
      <c r="H2038" s="7"/>
      <c r="I2038" s="14">
        <f t="shared" si="136"/>
        <v>0</v>
      </c>
      <c r="J2038" s="12"/>
    </row>
    <row r="2039" spans="2:10" x14ac:dyDescent="0.15">
      <c r="B2039" s="10" t="s">
        <v>189</v>
      </c>
      <c r="C2039" s="13">
        <v>1</v>
      </c>
      <c r="D2039" s="14">
        <f>SUM(C2039:C2039)</f>
        <v>1</v>
      </c>
      <c r="E2039" s="12">
        <v>43334</v>
      </c>
      <c r="G2039" s="15"/>
      <c r="H2039" s="7"/>
      <c r="I2039" s="14">
        <f t="shared" si="136"/>
        <v>0</v>
      </c>
      <c r="J2039" s="12"/>
    </row>
    <row r="2040" spans="2:10" x14ac:dyDescent="0.15">
      <c r="B2040" s="10" t="s">
        <v>18</v>
      </c>
      <c r="C2040" s="13">
        <v>42</v>
      </c>
      <c r="D2040" s="14">
        <f t="shared" ref="D2040:D2049" si="138">SUM(C2040:C2040)</f>
        <v>42</v>
      </c>
      <c r="E2040" s="12">
        <v>43337</v>
      </c>
      <c r="G2040" s="15"/>
      <c r="H2040" s="7"/>
      <c r="I2040" s="14">
        <f t="shared" si="136"/>
        <v>0</v>
      </c>
      <c r="J2040" s="12"/>
    </row>
    <row r="2041" spans="2:10" x14ac:dyDescent="0.15">
      <c r="B2041" s="10" t="s">
        <v>18</v>
      </c>
      <c r="C2041" s="13">
        <v>11</v>
      </c>
      <c r="D2041" s="14">
        <f t="shared" si="138"/>
        <v>11</v>
      </c>
      <c r="E2041" s="12">
        <v>43340</v>
      </c>
      <c r="G2041" s="15"/>
      <c r="H2041" s="7"/>
      <c r="I2041" s="14">
        <f t="shared" si="136"/>
        <v>0</v>
      </c>
      <c r="J2041" s="12"/>
    </row>
    <row r="2042" spans="2:10" x14ac:dyDescent="0.15">
      <c r="B2042" s="10" t="s">
        <v>189</v>
      </c>
      <c r="C2042" s="13">
        <v>1</v>
      </c>
      <c r="D2042" s="14">
        <f t="shared" si="138"/>
        <v>1</v>
      </c>
      <c r="E2042" s="12">
        <v>43340</v>
      </c>
      <c r="G2042" s="15"/>
      <c r="H2042" s="7"/>
      <c r="I2042" s="14">
        <f t="shared" si="136"/>
        <v>0</v>
      </c>
      <c r="J2042" s="5"/>
    </row>
    <row r="2043" spans="2:10" x14ac:dyDescent="0.15">
      <c r="B2043" s="10" t="s">
        <v>18</v>
      </c>
      <c r="C2043" s="13">
        <v>32</v>
      </c>
      <c r="D2043" s="14">
        <f t="shared" si="138"/>
        <v>32</v>
      </c>
      <c r="E2043" s="12">
        <v>43342</v>
      </c>
      <c r="G2043" s="15"/>
      <c r="H2043" s="7"/>
      <c r="I2043" s="14">
        <f t="shared" si="136"/>
        <v>0</v>
      </c>
      <c r="J2043" s="12"/>
    </row>
    <row r="2044" spans="2:10" x14ac:dyDescent="0.15">
      <c r="B2044" s="10" t="s">
        <v>18</v>
      </c>
      <c r="C2044" s="13">
        <v>10</v>
      </c>
      <c r="D2044" s="14">
        <f t="shared" si="138"/>
        <v>10</v>
      </c>
      <c r="E2044" s="5">
        <v>43343</v>
      </c>
      <c r="G2044" s="15"/>
      <c r="H2044" s="7"/>
      <c r="I2044" s="14">
        <f t="shared" si="136"/>
        <v>0</v>
      </c>
      <c r="J2044" s="5"/>
    </row>
    <row r="2045" spans="2:10" x14ac:dyDescent="0.15">
      <c r="B2045" s="10" t="s">
        <v>579</v>
      </c>
      <c r="C2045" s="13">
        <v>2</v>
      </c>
      <c r="D2045" s="14">
        <f t="shared" si="138"/>
        <v>2</v>
      </c>
      <c r="E2045" s="5">
        <v>43343</v>
      </c>
      <c r="G2045" s="15"/>
      <c r="H2045" s="7"/>
      <c r="I2045" s="14">
        <f t="shared" si="136"/>
        <v>0</v>
      </c>
      <c r="J2045" s="12"/>
    </row>
    <row r="2046" spans="2:10" x14ac:dyDescent="0.15">
      <c r="B2046" s="10" t="s">
        <v>18</v>
      </c>
      <c r="C2046" s="13">
        <v>39</v>
      </c>
      <c r="D2046" s="14">
        <f t="shared" si="138"/>
        <v>39</v>
      </c>
      <c r="E2046" s="5">
        <v>43347</v>
      </c>
      <c r="G2046" s="15"/>
      <c r="H2046" s="13"/>
      <c r="I2046" s="14">
        <f t="shared" si="136"/>
        <v>0</v>
      </c>
      <c r="J2046" s="12"/>
    </row>
    <row r="2047" spans="2:10" x14ac:dyDescent="0.15">
      <c r="B2047" s="10" t="s">
        <v>18</v>
      </c>
      <c r="C2047" s="13">
        <v>42</v>
      </c>
      <c r="D2047" s="14">
        <f t="shared" si="138"/>
        <v>42</v>
      </c>
      <c r="E2047" s="5">
        <v>43349</v>
      </c>
      <c r="G2047" s="15"/>
      <c r="H2047" s="7"/>
      <c r="I2047" s="14">
        <f t="shared" si="136"/>
        <v>0</v>
      </c>
      <c r="J2047" s="5"/>
    </row>
    <row r="2048" spans="2:10" ht="14.25" thickBot="1" x14ac:dyDescent="0.2">
      <c r="B2048" s="10" t="s">
        <v>189</v>
      </c>
      <c r="C2048" s="13">
        <v>1</v>
      </c>
      <c r="D2048" s="11">
        <f t="shared" si="138"/>
        <v>1</v>
      </c>
      <c r="E2048" s="12">
        <v>43348</v>
      </c>
      <c r="G2048" s="15"/>
      <c r="H2048" s="7"/>
      <c r="I2048" s="14">
        <f>SUM(H2048:H2048)</f>
        <v>0</v>
      </c>
      <c r="J2048" s="12"/>
    </row>
    <row r="2049" spans="2:10" ht="14.25" thickBot="1" x14ac:dyDescent="0.2">
      <c r="B2049" s="17" t="s">
        <v>2</v>
      </c>
      <c r="C2049" s="18">
        <f>SUM(C2025:C2048)</f>
        <v>330</v>
      </c>
      <c r="D2049" s="19">
        <f t="shared" si="138"/>
        <v>330</v>
      </c>
      <c r="E2049" s="20"/>
      <c r="G2049" s="17" t="s">
        <v>2</v>
      </c>
      <c r="H2049" s="18">
        <f>SUM(H2025:H2048)</f>
        <v>336</v>
      </c>
      <c r="I2049" s="19">
        <f t="shared" si="136"/>
        <v>336</v>
      </c>
      <c r="J2049" s="20"/>
    </row>
    <row r="2050" spans="2:10" ht="14.25" thickBot="1" x14ac:dyDescent="0.2">
      <c r="B2050" s="46" t="s">
        <v>3</v>
      </c>
      <c r="C2050" s="52">
        <f>C2024-C2049</f>
        <v>211</v>
      </c>
      <c r="D2050" s="48">
        <f>D2024-D2049</f>
        <v>211</v>
      </c>
      <c r="E2050" s="49"/>
      <c r="G2050" s="46" t="s">
        <v>3</v>
      </c>
      <c r="H2050" s="52">
        <f>H2024-H2049</f>
        <v>2537</v>
      </c>
      <c r="I2050" s="48">
        <f>I2024-I2049</f>
        <v>2537</v>
      </c>
      <c r="J2050" s="49"/>
    </row>
    <row r="2053" spans="2:10" ht="18.75" x14ac:dyDescent="0.2">
      <c r="B2053" s="26" t="s">
        <v>7</v>
      </c>
      <c r="G2053" s="26" t="s">
        <v>35</v>
      </c>
    </row>
    <row r="2054" spans="2:10" ht="14.25" thickBot="1" x14ac:dyDescent="0.2"/>
    <row r="2055" spans="2:10" ht="14.25" thickBot="1" x14ac:dyDescent="0.2">
      <c r="B2055" s="1"/>
      <c r="C2055" s="2"/>
      <c r="D2055" s="3" t="s">
        <v>0</v>
      </c>
      <c r="E2055" s="1" t="s">
        <v>4</v>
      </c>
      <c r="G2055" s="1"/>
      <c r="H2055" s="2"/>
      <c r="I2055" s="3" t="s">
        <v>0</v>
      </c>
      <c r="J2055" s="1" t="s">
        <v>4</v>
      </c>
    </row>
    <row r="2056" spans="2:10" x14ac:dyDescent="0.15">
      <c r="B2056" s="42" t="s">
        <v>5</v>
      </c>
      <c r="C2056" s="43">
        <f>C2050</f>
        <v>211</v>
      </c>
      <c r="D2056" s="44">
        <f>SUM(C2056:C2056)</f>
        <v>211</v>
      </c>
      <c r="E2056" s="45"/>
      <c r="G2056" s="42" t="s">
        <v>5</v>
      </c>
      <c r="H2056" s="43">
        <f>H2050</f>
        <v>2537</v>
      </c>
      <c r="I2056" s="44">
        <f>SUM(H2056:H2056)</f>
        <v>2537</v>
      </c>
      <c r="J2056" s="45"/>
    </row>
    <row r="2057" spans="2:10" x14ac:dyDescent="0.15">
      <c r="B2057" s="6" t="s">
        <v>76</v>
      </c>
      <c r="C2057" s="13">
        <v>48</v>
      </c>
      <c r="D2057" s="14">
        <f>SUM(C2057:C2057)</f>
        <v>48</v>
      </c>
      <c r="E2057" s="12">
        <v>43354</v>
      </c>
      <c r="G2057" s="6" t="s">
        <v>6</v>
      </c>
      <c r="H2057" s="13"/>
      <c r="I2057" s="14">
        <f>SUM(H2057:H2057)</f>
        <v>0</v>
      </c>
      <c r="J2057" s="5"/>
    </row>
    <row r="2058" spans="2:10" x14ac:dyDescent="0.15">
      <c r="B2058" s="6" t="s">
        <v>105</v>
      </c>
      <c r="C2058" s="7">
        <v>2</v>
      </c>
      <c r="D2058" s="8">
        <f>SUM(C2058:C2058)</f>
        <v>2</v>
      </c>
      <c r="E2058" s="9">
        <v>43357</v>
      </c>
      <c r="G2058" s="6" t="s">
        <v>6</v>
      </c>
      <c r="H2058" s="13"/>
      <c r="I2058" s="14">
        <f>SUM(H2058:H2058)</f>
        <v>0</v>
      </c>
      <c r="J2058" s="5"/>
    </row>
    <row r="2059" spans="2:10" ht="14.25" thickBot="1" x14ac:dyDescent="0.2">
      <c r="B2059" s="6" t="s">
        <v>105</v>
      </c>
      <c r="C2059" s="7">
        <v>1</v>
      </c>
      <c r="D2059" s="14">
        <f>SUM(C2059:C2059)</f>
        <v>1</v>
      </c>
      <c r="E2059" s="16">
        <v>43370</v>
      </c>
      <c r="G2059" s="6" t="s">
        <v>6</v>
      </c>
      <c r="H2059" s="88"/>
      <c r="I2059" s="11">
        <f>SUM(H2059:H2059)</f>
        <v>0</v>
      </c>
      <c r="J2059" s="85"/>
    </row>
    <row r="2060" spans="2:10" ht="14.25" thickBot="1" x14ac:dyDescent="0.2">
      <c r="B2060" s="46" t="s">
        <v>1</v>
      </c>
      <c r="C2060" s="48">
        <f>SUM(C2056:C2059)</f>
        <v>262</v>
      </c>
      <c r="D2060" s="48">
        <f>SUM(D2056:D2059)</f>
        <v>262</v>
      </c>
      <c r="E2060" s="49"/>
      <c r="G2060" s="46" t="s">
        <v>1</v>
      </c>
      <c r="H2060" s="47">
        <f>SUM(H2056:H2059)</f>
        <v>2537</v>
      </c>
      <c r="I2060" s="48">
        <f>SUM(I2056:I2059)</f>
        <v>2537</v>
      </c>
      <c r="J2060" s="49"/>
    </row>
    <row r="2061" spans="2:10" x14ac:dyDescent="0.15">
      <c r="B2061" s="10" t="s">
        <v>18</v>
      </c>
      <c r="C2061" s="77">
        <v>5</v>
      </c>
      <c r="D2061" s="11">
        <f>SUM(C2061:C2061)</f>
        <v>5</v>
      </c>
      <c r="E2061" s="12">
        <v>43350</v>
      </c>
      <c r="G2061" s="15"/>
      <c r="H2061" s="13"/>
      <c r="I2061" s="11">
        <f>SUM(H2061:H2061)</f>
        <v>0</v>
      </c>
      <c r="J2061" s="12"/>
    </row>
    <row r="2062" spans="2:10" x14ac:dyDescent="0.15">
      <c r="B2062" s="10" t="s">
        <v>18</v>
      </c>
      <c r="C2062" s="13">
        <v>5</v>
      </c>
      <c r="D2062" s="14">
        <f>SUM(C2062:C2062)</f>
        <v>5</v>
      </c>
      <c r="E2062" s="12">
        <v>43354</v>
      </c>
      <c r="G2062" s="81"/>
      <c r="H2062" s="13"/>
      <c r="I2062" s="14">
        <f>SUM(H2062:H2062)</f>
        <v>0</v>
      </c>
      <c r="J2062" s="12"/>
    </row>
    <row r="2063" spans="2:10" x14ac:dyDescent="0.15">
      <c r="B2063" s="10" t="s">
        <v>580</v>
      </c>
      <c r="C2063" s="13">
        <v>1</v>
      </c>
      <c r="D2063" s="14">
        <f>SUM(C2063:C2063)</f>
        <v>1</v>
      </c>
      <c r="E2063" s="12">
        <v>43353</v>
      </c>
      <c r="G2063" s="15"/>
      <c r="H2063" s="13"/>
      <c r="I2063" s="14">
        <f t="shared" ref="I2063:I2083" si="139">SUM(H2063:H2063)</f>
        <v>0</v>
      </c>
      <c r="J2063" s="12"/>
    </row>
    <row r="2064" spans="2:10" x14ac:dyDescent="0.15">
      <c r="B2064" s="10" t="s">
        <v>189</v>
      </c>
      <c r="C2064" s="13">
        <v>1</v>
      </c>
      <c r="D2064" s="14">
        <f t="shared" ref="D2064:D2074" si="140">SUM(C2064:C2064)</f>
        <v>1</v>
      </c>
      <c r="E2064" s="12">
        <v>43354</v>
      </c>
      <c r="G2064" s="15"/>
      <c r="H2064" s="13"/>
      <c r="I2064" s="14">
        <f t="shared" si="139"/>
        <v>0</v>
      </c>
      <c r="J2064" s="12"/>
    </row>
    <row r="2065" spans="2:10" x14ac:dyDescent="0.15">
      <c r="B2065" s="10" t="s">
        <v>18</v>
      </c>
      <c r="C2065" s="13">
        <v>8</v>
      </c>
      <c r="D2065" s="14">
        <f t="shared" si="140"/>
        <v>8</v>
      </c>
      <c r="E2065" s="12">
        <v>43356</v>
      </c>
      <c r="G2065" s="15"/>
      <c r="H2065" s="13"/>
      <c r="I2065" s="14">
        <f t="shared" si="139"/>
        <v>0</v>
      </c>
      <c r="J2065" s="12"/>
    </row>
    <row r="2066" spans="2:10" x14ac:dyDescent="0.15">
      <c r="B2066" s="10" t="s">
        <v>18</v>
      </c>
      <c r="C2066" s="13">
        <v>8</v>
      </c>
      <c r="D2066" s="14">
        <f t="shared" si="140"/>
        <v>8</v>
      </c>
      <c r="E2066" s="12">
        <v>43358</v>
      </c>
      <c r="G2066" s="78"/>
      <c r="H2066" s="13"/>
      <c r="I2066" s="14">
        <f t="shared" si="139"/>
        <v>0</v>
      </c>
      <c r="J2066" s="12"/>
    </row>
    <row r="2067" spans="2:10" x14ac:dyDescent="0.15">
      <c r="B2067" s="10" t="s">
        <v>18</v>
      </c>
      <c r="C2067" s="13">
        <v>3</v>
      </c>
      <c r="D2067" s="14">
        <f t="shared" si="140"/>
        <v>3</v>
      </c>
      <c r="E2067" s="12">
        <v>43361</v>
      </c>
      <c r="G2067" s="78"/>
      <c r="H2067" s="13"/>
      <c r="I2067" s="14">
        <f t="shared" si="139"/>
        <v>0</v>
      </c>
      <c r="J2067" s="12"/>
    </row>
    <row r="2068" spans="2:10" x14ac:dyDescent="0.15">
      <c r="B2068" s="10" t="s">
        <v>18</v>
      </c>
      <c r="C2068" s="13">
        <v>9</v>
      </c>
      <c r="D2068" s="14">
        <f t="shared" si="140"/>
        <v>9</v>
      </c>
      <c r="E2068" s="12">
        <v>43363</v>
      </c>
      <c r="G2068" s="78"/>
      <c r="H2068" s="13"/>
      <c r="I2068" s="14">
        <f t="shared" si="139"/>
        <v>0</v>
      </c>
      <c r="J2068" s="12"/>
    </row>
    <row r="2069" spans="2:10" x14ac:dyDescent="0.15">
      <c r="B2069" s="10" t="s">
        <v>189</v>
      </c>
      <c r="C2069" s="13">
        <v>2</v>
      </c>
      <c r="D2069" s="14">
        <f t="shared" si="140"/>
        <v>2</v>
      </c>
      <c r="E2069" s="12">
        <v>43361</v>
      </c>
      <c r="G2069" s="10"/>
      <c r="H2069" s="13"/>
      <c r="I2069" s="14">
        <f t="shared" si="139"/>
        <v>0</v>
      </c>
      <c r="J2069" s="12"/>
    </row>
    <row r="2070" spans="2:10" x14ac:dyDescent="0.15">
      <c r="B2070" s="10" t="s">
        <v>18</v>
      </c>
      <c r="C2070" s="13">
        <v>9</v>
      </c>
      <c r="D2070" s="14">
        <f t="shared" si="140"/>
        <v>9</v>
      </c>
      <c r="E2070" s="12">
        <v>43365</v>
      </c>
      <c r="G2070" s="78"/>
      <c r="H2070" s="13"/>
      <c r="I2070" s="14">
        <f t="shared" si="139"/>
        <v>0</v>
      </c>
      <c r="J2070" s="12"/>
    </row>
    <row r="2071" spans="2:10" x14ac:dyDescent="0.15">
      <c r="B2071" s="10" t="s">
        <v>189</v>
      </c>
      <c r="C2071" s="13">
        <v>1</v>
      </c>
      <c r="D2071" s="14">
        <f t="shared" si="140"/>
        <v>1</v>
      </c>
      <c r="E2071" s="12">
        <v>43364</v>
      </c>
      <c r="G2071" s="15"/>
      <c r="H2071" s="13"/>
      <c r="I2071" s="14">
        <f t="shared" si="139"/>
        <v>0</v>
      </c>
      <c r="J2071" s="5"/>
    </row>
    <row r="2072" spans="2:10" x14ac:dyDescent="0.15">
      <c r="B2072" s="10" t="s">
        <v>18</v>
      </c>
      <c r="C2072" s="13">
        <v>7</v>
      </c>
      <c r="D2072" s="14">
        <f t="shared" si="140"/>
        <v>7</v>
      </c>
      <c r="E2072" s="12">
        <v>43369</v>
      </c>
      <c r="G2072" s="15"/>
      <c r="H2072" s="7"/>
      <c r="I2072" s="14">
        <f t="shared" si="139"/>
        <v>0</v>
      </c>
      <c r="J2072" s="12"/>
    </row>
    <row r="2073" spans="2:10" x14ac:dyDescent="0.15">
      <c r="B2073" s="10" t="s">
        <v>189</v>
      </c>
      <c r="C2073" s="13">
        <v>1</v>
      </c>
      <c r="D2073" s="14">
        <f t="shared" si="140"/>
        <v>1</v>
      </c>
      <c r="E2073" s="12">
        <v>43368</v>
      </c>
      <c r="G2073" s="10"/>
      <c r="H2073" s="13"/>
      <c r="I2073" s="14">
        <f t="shared" si="139"/>
        <v>0</v>
      </c>
      <c r="J2073" s="12"/>
    </row>
    <row r="2074" spans="2:10" x14ac:dyDescent="0.15">
      <c r="B2074" s="10" t="s">
        <v>189</v>
      </c>
      <c r="C2074" s="13">
        <v>10</v>
      </c>
      <c r="D2074" s="14">
        <f t="shared" si="140"/>
        <v>10</v>
      </c>
      <c r="E2074" s="12">
        <v>43369</v>
      </c>
      <c r="G2074" s="15"/>
      <c r="H2074" s="7"/>
      <c r="I2074" s="14">
        <f t="shared" si="139"/>
        <v>0</v>
      </c>
      <c r="J2074" s="12"/>
    </row>
    <row r="2075" spans="2:10" x14ac:dyDescent="0.15">
      <c r="B2075" s="10" t="s">
        <v>18</v>
      </c>
      <c r="C2075" s="13">
        <v>9</v>
      </c>
      <c r="D2075" s="14">
        <f>SUM(C2075:C2075)</f>
        <v>9</v>
      </c>
      <c r="E2075" s="12">
        <v>43371</v>
      </c>
      <c r="G2075" s="15"/>
      <c r="H2075" s="7"/>
      <c r="I2075" s="14">
        <f t="shared" si="139"/>
        <v>0</v>
      </c>
      <c r="J2075" s="12"/>
    </row>
    <row r="2076" spans="2:10" x14ac:dyDescent="0.15">
      <c r="B2076" s="10" t="s">
        <v>18</v>
      </c>
      <c r="C2076" s="13">
        <v>3</v>
      </c>
      <c r="D2076" s="14">
        <f t="shared" ref="D2076:D2085" si="141">SUM(C2076:C2076)</f>
        <v>3</v>
      </c>
      <c r="E2076" s="12">
        <v>43375</v>
      </c>
      <c r="G2076" s="15"/>
      <c r="H2076" s="7"/>
      <c r="I2076" s="14">
        <f t="shared" si="139"/>
        <v>0</v>
      </c>
      <c r="J2076" s="12"/>
    </row>
    <row r="2077" spans="2:10" x14ac:dyDescent="0.15">
      <c r="B2077" s="10" t="s">
        <v>189</v>
      </c>
      <c r="C2077" s="13">
        <v>1</v>
      </c>
      <c r="D2077" s="14">
        <f t="shared" si="141"/>
        <v>1</v>
      </c>
      <c r="E2077" s="12">
        <v>43374</v>
      </c>
      <c r="G2077" s="15"/>
      <c r="H2077" s="7"/>
      <c r="I2077" s="14">
        <f t="shared" si="139"/>
        <v>0</v>
      </c>
      <c r="J2077" s="12"/>
    </row>
    <row r="2078" spans="2:10" x14ac:dyDescent="0.15">
      <c r="B2078" s="10" t="s">
        <v>189</v>
      </c>
      <c r="C2078" s="13">
        <v>1</v>
      </c>
      <c r="D2078" s="14">
        <f t="shared" si="141"/>
        <v>1</v>
      </c>
      <c r="E2078" s="12">
        <v>43375</v>
      </c>
      <c r="G2078" s="15"/>
      <c r="H2078" s="7"/>
      <c r="I2078" s="14">
        <f t="shared" si="139"/>
        <v>0</v>
      </c>
      <c r="J2078" s="5"/>
    </row>
    <row r="2079" spans="2:10" x14ac:dyDescent="0.15">
      <c r="B2079" s="10" t="s">
        <v>18</v>
      </c>
      <c r="C2079" s="13">
        <v>2</v>
      </c>
      <c r="D2079" s="14">
        <f t="shared" si="141"/>
        <v>2</v>
      </c>
      <c r="E2079" s="12">
        <v>43379</v>
      </c>
      <c r="G2079" s="15"/>
      <c r="H2079" s="7"/>
      <c r="I2079" s="14">
        <f t="shared" si="139"/>
        <v>0</v>
      </c>
      <c r="J2079" s="12"/>
    </row>
    <row r="2080" spans="2:10" x14ac:dyDescent="0.15">
      <c r="B2080" s="10" t="s">
        <v>18</v>
      </c>
      <c r="C2080" s="13">
        <v>2</v>
      </c>
      <c r="D2080" s="14">
        <f t="shared" si="141"/>
        <v>2</v>
      </c>
      <c r="E2080" s="5">
        <v>43383</v>
      </c>
      <c r="G2080" s="15"/>
      <c r="H2080" s="7"/>
      <c r="I2080" s="14">
        <f t="shared" si="139"/>
        <v>0</v>
      </c>
      <c r="J2080" s="5"/>
    </row>
    <row r="2081" spans="2:10" x14ac:dyDescent="0.15">
      <c r="B2081" s="10" t="s">
        <v>189</v>
      </c>
      <c r="C2081" s="13">
        <v>2</v>
      </c>
      <c r="D2081" s="14">
        <f t="shared" si="141"/>
        <v>2</v>
      </c>
      <c r="E2081" s="5">
        <v>43382</v>
      </c>
      <c r="G2081" s="15"/>
      <c r="H2081" s="7"/>
      <c r="I2081" s="14">
        <f t="shared" si="139"/>
        <v>0</v>
      </c>
      <c r="J2081" s="12"/>
    </row>
    <row r="2082" spans="2:10" x14ac:dyDescent="0.15">
      <c r="B2082" s="10" t="s">
        <v>18</v>
      </c>
      <c r="C2082" s="13">
        <v>3</v>
      </c>
      <c r="D2082" s="14">
        <f t="shared" si="141"/>
        <v>3</v>
      </c>
      <c r="E2082" s="5">
        <v>43385</v>
      </c>
      <c r="G2082" s="15"/>
      <c r="H2082" s="13"/>
      <c r="I2082" s="14">
        <f t="shared" si="139"/>
        <v>0</v>
      </c>
      <c r="J2082" s="12"/>
    </row>
    <row r="2083" spans="2:10" x14ac:dyDescent="0.15">
      <c r="B2083" s="10" t="s">
        <v>18</v>
      </c>
      <c r="C2083" s="13">
        <v>1</v>
      </c>
      <c r="D2083" s="14">
        <f t="shared" si="141"/>
        <v>1</v>
      </c>
      <c r="E2083" s="5">
        <v>43389</v>
      </c>
      <c r="G2083" s="15"/>
      <c r="H2083" s="7"/>
      <c r="I2083" s="14">
        <f t="shared" si="139"/>
        <v>0</v>
      </c>
      <c r="J2083" s="5"/>
    </row>
    <row r="2084" spans="2:10" ht="14.25" thickBot="1" x14ac:dyDescent="0.2">
      <c r="B2084" s="10" t="s">
        <v>18</v>
      </c>
      <c r="C2084" s="13">
        <v>1</v>
      </c>
      <c r="D2084" s="11">
        <f t="shared" si="141"/>
        <v>1</v>
      </c>
      <c r="E2084" s="12">
        <v>43391</v>
      </c>
      <c r="G2084" s="15"/>
      <c r="H2084" s="7"/>
      <c r="I2084" s="14">
        <f>SUM(H2084:H2084)</f>
        <v>0</v>
      </c>
      <c r="J2084" s="12"/>
    </row>
    <row r="2085" spans="2:10" ht="14.25" thickBot="1" x14ac:dyDescent="0.2">
      <c r="B2085" s="17" t="s">
        <v>2</v>
      </c>
      <c r="C2085" s="18">
        <f>SUM(C2061:C2084)</f>
        <v>95</v>
      </c>
      <c r="D2085" s="19">
        <f t="shared" si="141"/>
        <v>95</v>
      </c>
      <c r="E2085" s="20"/>
      <c r="G2085" s="17" t="s">
        <v>2</v>
      </c>
      <c r="H2085" s="18">
        <f>SUM(H2061:H2084)</f>
        <v>0</v>
      </c>
      <c r="I2085" s="19">
        <f>SUM(H2085:H2085)</f>
        <v>0</v>
      </c>
      <c r="J2085" s="20"/>
    </row>
    <row r="2086" spans="2:10" ht="14.25" thickBot="1" x14ac:dyDescent="0.2">
      <c r="B2086" s="46" t="s">
        <v>3</v>
      </c>
      <c r="C2086" s="52">
        <f>C2060-C2085</f>
        <v>167</v>
      </c>
      <c r="D2086" s="48">
        <f>D2060-D2085</f>
        <v>167</v>
      </c>
      <c r="E2086" s="49"/>
      <c r="G2086" s="46" t="s">
        <v>3</v>
      </c>
      <c r="H2086" s="52">
        <f>H2060-H2085</f>
        <v>2537</v>
      </c>
      <c r="I2086" s="48">
        <f>I2060-I2085</f>
        <v>2537</v>
      </c>
      <c r="J2086" s="49"/>
    </row>
    <row r="2089" spans="2:10" ht="18.75" x14ac:dyDescent="0.2">
      <c r="B2089" s="26" t="s">
        <v>7</v>
      </c>
      <c r="G2089" s="26" t="s">
        <v>35</v>
      </c>
    </row>
    <row r="2090" spans="2:10" ht="14.25" thickBot="1" x14ac:dyDescent="0.2"/>
    <row r="2091" spans="2:10" ht="14.25" thickBot="1" x14ac:dyDescent="0.2">
      <c r="B2091" s="1"/>
      <c r="C2091" s="2"/>
      <c r="D2091" s="3" t="s">
        <v>0</v>
      </c>
      <c r="E2091" s="1" t="s">
        <v>4</v>
      </c>
      <c r="G2091" s="1"/>
      <c r="H2091" s="2"/>
      <c r="I2091" s="3" t="s">
        <v>0</v>
      </c>
      <c r="J2091" s="1" t="s">
        <v>4</v>
      </c>
    </row>
    <row r="2092" spans="2:10" x14ac:dyDescent="0.15">
      <c r="B2092" s="42" t="s">
        <v>5</v>
      </c>
      <c r="C2092" s="43">
        <f>C2086</f>
        <v>167</v>
      </c>
      <c r="D2092" s="44">
        <f>SUM(C2092:C2092)</f>
        <v>167</v>
      </c>
      <c r="E2092" s="45"/>
      <c r="G2092" s="42" t="s">
        <v>5</v>
      </c>
      <c r="H2092" s="43">
        <f>H2086</f>
        <v>2537</v>
      </c>
      <c r="I2092" s="44">
        <f>SUM(H2092:H2092)</f>
        <v>2537</v>
      </c>
      <c r="J2092" s="45"/>
    </row>
    <row r="2093" spans="2:10" x14ac:dyDescent="0.15">
      <c r="B2093" s="6" t="s">
        <v>6</v>
      </c>
      <c r="C2093" s="13"/>
      <c r="D2093" s="14">
        <f>SUM(C2093:C2093)</f>
        <v>0</v>
      </c>
      <c r="E2093" s="12"/>
      <c r="G2093" s="6" t="s">
        <v>6</v>
      </c>
      <c r="H2093" s="13"/>
      <c r="I2093" s="14">
        <f>SUM(H2093:H2093)</f>
        <v>0</v>
      </c>
      <c r="J2093" s="5"/>
    </row>
    <row r="2094" spans="2:10" x14ac:dyDescent="0.15">
      <c r="B2094" s="6" t="s">
        <v>6</v>
      </c>
      <c r="C2094" s="7"/>
      <c r="D2094" s="8">
        <f>SUM(C2094:C2094)</f>
        <v>0</v>
      </c>
      <c r="E2094" s="9"/>
      <c r="G2094" s="6" t="s">
        <v>6</v>
      </c>
      <c r="H2094" s="13"/>
      <c r="I2094" s="14">
        <f>SUM(H2094:H2094)</f>
        <v>0</v>
      </c>
      <c r="J2094" s="5"/>
    </row>
    <row r="2095" spans="2:10" ht="14.25" thickBot="1" x14ac:dyDescent="0.2">
      <c r="B2095" s="6" t="s">
        <v>6</v>
      </c>
      <c r="C2095" s="7"/>
      <c r="D2095" s="14">
        <f>SUM(C2095:C2095)</f>
        <v>0</v>
      </c>
      <c r="E2095" s="16"/>
      <c r="G2095" s="6" t="s">
        <v>6</v>
      </c>
      <c r="H2095" s="88"/>
      <c r="I2095" s="11">
        <f>SUM(H2095:H2095)</f>
        <v>0</v>
      </c>
      <c r="J2095" s="85"/>
    </row>
    <row r="2096" spans="2:10" ht="14.25" thickBot="1" x14ac:dyDescent="0.2">
      <c r="B2096" s="46" t="s">
        <v>1</v>
      </c>
      <c r="C2096" s="48">
        <f>SUM(C2092:C2095)</f>
        <v>167</v>
      </c>
      <c r="D2096" s="48">
        <f>SUM(D2092:D2095)</f>
        <v>167</v>
      </c>
      <c r="E2096" s="49"/>
      <c r="G2096" s="46" t="s">
        <v>1</v>
      </c>
      <c r="H2096" s="47">
        <f>SUM(H2092:H2095)</f>
        <v>2537</v>
      </c>
      <c r="I2096" s="48">
        <f>SUM(I2092:I2095)</f>
        <v>2537</v>
      </c>
      <c r="J2096" s="49"/>
    </row>
    <row r="2097" spans="2:10" x14ac:dyDescent="0.15">
      <c r="B2097" s="10" t="s">
        <v>189</v>
      </c>
      <c r="C2097" s="77">
        <v>1</v>
      </c>
      <c r="D2097" s="11">
        <f>SUM(C2097:C2097)</f>
        <v>1</v>
      </c>
      <c r="E2097" s="12">
        <v>43390</v>
      </c>
      <c r="G2097" s="15"/>
      <c r="H2097" s="13"/>
      <c r="I2097" s="11">
        <f>SUM(H2097:H2097)</f>
        <v>0</v>
      </c>
      <c r="J2097" s="12"/>
    </row>
    <row r="2098" spans="2:10" x14ac:dyDescent="0.15">
      <c r="B2098" s="10" t="s">
        <v>18</v>
      </c>
      <c r="C2098" s="13">
        <v>2</v>
      </c>
      <c r="D2098" s="14">
        <f>SUM(C2098:C2098)</f>
        <v>2</v>
      </c>
      <c r="E2098" s="12">
        <v>43392</v>
      </c>
      <c r="G2098" s="81"/>
      <c r="H2098" s="13"/>
      <c r="I2098" s="14">
        <f>SUM(H2098:H2098)</f>
        <v>0</v>
      </c>
      <c r="J2098" s="12"/>
    </row>
    <row r="2099" spans="2:10" x14ac:dyDescent="0.15">
      <c r="B2099" s="10" t="s">
        <v>18</v>
      </c>
      <c r="C2099" s="13">
        <v>2</v>
      </c>
      <c r="D2099" s="14">
        <f>SUM(C2099:C2099)</f>
        <v>2</v>
      </c>
      <c r="E2099" s="12">
        <v>43395</v>
      </c>
      <c r="G2099" s="15"/>
      <c r="H2099" s="13"/>
      <c r="I2099" s="14">
        <f t="shared" ref="I2099:I2119" si="142">SUM(H2099:H2099)</f>
        <v>0</v>
      </c>
      <c r="J2099" s="12"/>
    </row>
    <row r="2100" spans="2:10" x14ac:dyDescent="0.15">
      <c r="B2100" s="10" t="s">
        <v>18</v>
      </c>
      <c r="C2100" s="13">
        <v>2</v>
      </c>
      <c r="D2100" s="14">
        <f t="shared" ref="D2100:D2110" si="143">SUM(C2100:C2100)</f>
        <v>2</v>
      </c>
      <c r="E2100" s="12">
        <v>43399</v>
      </c>
      <c r="G2100" s="15"/>
      <c r="H2100" s="13"/>
      <c r="I2100" s="14">
        <f t="shared" si="142"/>
        <v>0</v>
      </c>
      <c r="J2100" s="12"/>
    </row>
    <row r="2101" spans="2:10" x14ac:dyDescent="0.15">
      <c r="B2101" s="10" t="s">
        <v>18</v>
      </c>
      <c r="C2101" s="13">
        <v>1</v>
      </c>
      <c r="D2101" s="14">
        <f t="shared" si="143"/>
        <v>1</v>
      </c>
      <c r="E2101" s="12">
        <v>43403</v>
      </c>
      <c r="G2101" s="15"/>
      <c r="H2101" s="13"/>
      <c r="I2101" s="14">
        <f t="shared" si="142"/>
        <v>0</v>
      </c>
      <c r="J2101" s="12"/>
    </row>
    <row r="2102" spans="2:10" x14ac:dyDescent="0.15">
      <c r="B2102" s="10" t="s">
        <v>189</v>
      </c>
      <c r="C2102" s="13">
        <v>3</v>
      </c>
      <c r="D2102" s="14">
        <f t="shared" si="143"/>
        <v>3</v>
      </c>
      <c r="E2102" s="12">
        <v>43402</v>
      </c>
      <c r="G2102" s="78"/>
      <c r="H2102" s="13"/>
      <c r="I2102" s="14">
        <f t="shared" si="142"/>
        <v>0</v>
      </c>
      <c r="J2102" s="12"/>
    </row>
    <row r="2103" spans="2:10" x14ac:dyDescent="0.15">
      <c r="B2103" s="10" t="s">
        <v>18</v>
      </c>
      <c r="C2103" s="13">
        <v>2</v>
      </c>
      <c r="D2103" s="14">
        <f t="shared" si="143"/>
        <v>2</v>
      </c>
      <c r="E2103" s="12">
        <v>43404</v>
      </c>
      <c r="G2103" s="78"/>
      <c r="H2103" s="13"/>
      <c r="I2103" s="14">
        <f t="shared" si="142"/>
        <v>0</v>
      </c>
      <c r="J2103" s="12"/>
    </row>
    <row r="2104" spans="2:10" x14ac:dyDescent="0.15">
      <c r="B2104" s="10" t="s">
        <v>189</v>
      </c>
      <c r="C2104" s="13">
        <v>2</v>
      </c>
      <c r="D2104" s="14">
        <f t="shared" si="143"/>
        <v>2</v>
      </c>
      <c r="E2104" s="12">
        <v>43403</v>
      </c>
      <c r="G2104" s="78"/>
      <c r="H2104" s="13"/>
      <c r="I2104" s="14">
        <f t="shared" si="142"/>
        <v>0</v>
      </c>
      <c r="J2104" s="12"/>
    </row>
    <row r="2105" spans="2:10" x14ac:dyDescent="0.15">
      <c r="B2105" s="10" t="s">
        <v>18</v>
      </c>
      <c r="C2105" s="13">
        <v>4</v>
      </c>
      <c r="D2105" s="14">
        <f t="shared" si="143"/>
        <v>4</v>
      </c>
      <c r="E2105" s="12">
        <v>43406</v>
      </c>
      <c r="G2105" s="10"/>
      <c r="H2105" s="13"/>
      <c r="I2105" s="14">
        <f t="shared" si="142"/>
        <v>0</v>
      </c>
      <c r="J2105" s="12"/>
    </row>
    <row r="2106" spans="2:10" x14ac:dyDescent="0.15">
      <c r="B2106" s="10" t="s">
        <v>18</v>
      </c>
      <c r="C2106" s="13">
        <v>1</v>
      </c>
      <c r="D2106" s="14">
        <f t="shared" si="143"/>
        <v>1</v>
      </c>
      <c r="E2106" s="12">
        <v>43407</v>
      </c>
      <c r="G2106" s="78"/>
      <c r="H2106" s="13"/>
      <c r="I2106" s="14">
        <f t="shared" si="142"/>
        <v>0</v>
      </c>
      <c r="J2106" s="12"/>
    </row>
    <row r="2107" spans="2:10" x14ac:dyDescent="0.15">
      <c r="B2107" s="10" t="s">
        <v>189</v>
      </c>
      <c r="C2107" s="13">
        <v>1</v>
      </c>
      <c r="D2107" s="14">
        <f t="shared" si="143"/>
        <v>1</v>
      </c>
      <c r="E2107" s="12">
        <v>43406</v>
      </c>
      <c r="G2107" s="15"/>
      <c r="H2107" s="13"/>
      <c r="I2107" s="14">
        <f t="shared" si="142"/>
        <v>0</v>
      </c>
      <c r="J2107" s="5"/>
    </row>
    <row r="2108" spans="2:10" x14ac:dyDescent="0.15">
      <c r="B2108" s="10" t="s">
        <v>18</v>
      </c>
      <c r="C2108" s="13">
        <v>1</v>
      </c>
      <c r="D2108" s="14">
        <f t="shared" si="143"/>
        <v>1</v>
      </c>
      <c r="E2108" s="12">
        <v>43411</v>
      </c>
      <c r="G2108" s="15"/>
      <c r="H2108" s="7"/>
      <c r="I2108" s="14">
        <f t="shared" si="142"/>
        <v>0</v>
      </c>
      <c r="J2108" s="12"/>
    </row>
    <row r="2109" spans="2:10" x14ac:dyDescent="0.15">
      <c r="B2109" s="10" t="s">
        <v>18</v>
      </c>
      <c r="C2109" s="13">
        <v>3</v>
      </c>
      <c r="D2109" s="14">
        <f t="shared" si="143"/>
        <v>3</v>
      </c>
      <c r="E2109" s="12">
        <v>43419</v>
      </c>
      <c r="G2109" s="10"/>
      <c r="H2109" s="13"/>
      <c r="I2109" s="14">
        <f t="shared" si="142"/>
        <v>0</v>
      </c>
      <c r="J2109" s="12"/>
    </row>
    <row r="2110" spans="2:10" x14ac:dyDescent="0.15">
      <c r="B2110" s="10" t="s">
        <v>18</v>
      </c>
      <c r="C2110" s="13">
        <v>1</v>
      </c>
      <c r="D2110" s="14">
        <f t="shared" si="143"/>
        <v>1</v>
      </c>
      <c r="E2110" s="12">
        <v>43420</v>
      </c>
      <c r="G2110" s="15"/>
      <c r="H2110" s="7"/>
      <c r="I2110" s="14">
        <f t="shared" si="142"/>
        <v>0</v>
      </c>
      <c r="J2110" s="12"/>
    </row>
    <row r="2111" spans="2:10" x14ac:dyDescent="0.15">
      <c r="B2111" s="10" t="s">
        <v>18</v>
      </c>
      <c r="C2111" s="13">
        <v>1</v>
      </c>
      <c r="D2111" s="14">
        <f>SUM(C2111:C2111)</f>
        <v>1</v>
      </c>
      <c r="E2111" s="12">
        <v>43426</v>
      </c>
      <c r="G2111" s="15"/>
      <c r="H2111" s="7"/>
      <c r="I2111" s="14">
        <f t="shared" si="142"/>
        <v>0</v>
      </c>
      <c r="J2111" s="12"/>
    </row>
    <row r="2112" spans="2:10" x14ac:dyDescent="0.15">
      <c r="B2112" s="10" t="s">
        <v>189</v>
      </c>
      <c r="C2112" s="13">
        <v>1</v>
      </c>
      <c r="D2112" s="14">
        <f t="shared" ref="D2112:D2121" si="144">SUM(C2112:C2112)</f>
        <v>1</v>
      </c>
      <c r="E2112" s="12">
        <v>43425</v>
      </c>
      <c r="G2112" s="15"/>
      <c r="H2112" s="7"/>
      <c r="I2112" s="14">
        <f t="shared" si="142"/>
        <v>0</v>
      </c>
      <c r="J2112" s="12"/>
    </row>
    <row r="2113" spans="2:10" x14ac:dyDescent="0.15">
      <c r="B2113" s="10" t="s">
        <v>18</v>
      </c>
      <c r="C2113" s="13">
        <v>2</v>
      </c>
      <c r="D2113" s="14">
        <f t="shared" si="144"/>
        <v>2</v>
      </c>
      <c r="E2113" s="12">
        <v>43431</v>
      </c>
      <c r="G2113" s="15"/>
      <c r="H2113" s="7"/>
      <c r="I2113" s="14">
        <f t="shared" si="142"/>
        <v>0</v>
      </c>
      <c r="J2113" s="12"/>
    </row>
    <row r="2114" spans="2:10" x14ac:dyDescent="0.15">
      <c r="B2114" s="10" t="s">
        <v>189</v>
      </c>
      <c r="C2114" s="13">
        <v>1</v>
      </c>
      <c r="D2114" s="14">
        <f t="shared" si="144"/>
        <v>1</v>
      </c>
      <c r="E2114" s="12">
        <v>43430</v>
      </c>
      <c r="G2114" s="15"/>
      <c r="H2114" s="7"/>
      <c r="I2114" s="14">
        <f t="shared" si="142"/>
        <v>0</v>
      </c>
      <c r="J2114" s="5"/>
    </row>
    <row r="2115" spans="2:10" x14ac:dyDescent="0.15">
      <c r="B2115" s="10" t="s">
        <v>18</v>
      </c>
      <c r="C2115" s="13">
        <v>2</v>
      </c>
      <c r="D2115" s="14">
        <f t="shared" si="144"/>
        <v>2</v>
      </c>
      <c r="E2115" s="12">
        <v>43434</v>
      </c>
      <c r="G2115" s="15"/>
      <c r="H2115" s="7"/>
      <c r="I2115" s="14">
        <f t="shared" si="142"/>
        <v>0</v>
      </c>
      <c r="J2115" s="12"/>
    </row>
    <row r="2116" spans="2:10" x14ac:dyDescent="0.15">
      <c r="B2116" s="10" t="s">
        <v>18</v>
      </c>
      <c r="C2116" s="13">
        <v>1</v>
      </c>
      <c r="D2116" s="14">
        <f t="shared" si="144"/>
        <v>1</v>
      </c>
      <c r="E2116" s="5">
        <v>43438</v>
      </c>
      <c r="G2116" s="15"/>
      <c r="H2116" s="7"/>
      <c r="I2116" s="14">
        <f t="shared" si="142"/>
        <v>0</v>
      </c>
      <c r="J2116" s="5"/>
    </row>
    <row r="2117" spans="2:10" x14ac:dyDescent="0.15">
      <c r="B2117" s="10" t="s">
        <v>18</v>
      </c>
      <c r="C2117" s="13">
        <v>1</v>
      </c>
      <c r="D2117" s="14">
        <f t="shared" si="144"/>
        <v>1</v>
      </c>
      <c r="E2117" s="5">
        <v>43439</v>
      </c>
      <c r="G2117" s="15"/>
      <c r="H2117" s="7"/>
      <c r="I2117" s="14">
        <f t="shared" si="142"/>
        <v>0</v>
      </c>
      <c r="J2117" s="12"/>
    </row>
    <row r="2118" spans="2:10" x14ac:dyDescent="0.15">
      <c r="B2118" s="10" t="s">
        <v>18</v>
      </c>
      <c r="C2118" s="13">
        <v>3</v>
      </c>
      <c r="D2118" s="14">
        <f t="shared" si="144"/>
        <v>3</v>
      </c>
      <c r="E2118" s="5">
        <v>43441</v>
      </c>
      <c r="G2118" s="15"/>
      <c r="H2118" s="13"/>
      <c r="I2118" s="14">
        <f t="shared" si="142"/>
        <v>0</v>
      </c>
      <c r="J2118" s="12"/>
    </row>
    <row r="2119" spans="2:10" x14ac:dyDescent="0.15">
      <c r="B2119" s="10" t="s">
        <v>189</v>
      </c>
      <c r="C2119" s="13">
        <v>2</v>
      </c>
      <c r="D2119" s="14">
        <f t="shared" si="144"/>
        <v>2</v>
      </c>
      <c r="E2119" s="5">
        <v>43445</v>
      </c>
      <c r="G2119" s="97"/>
      <c r="H2119" s="7"/>
      <c r="I2119" s="14">
        <f t="shared" si="142"/>
        <v>0</v>
      </c>
      <c r="J2119" s="5"/>
    </row>
    <row r="2120" spans="2:10" ht="14.25" thickBot="1" x14ac:dyDescent="0.2">
      <c r="B2120" s="10" t="s">
        <v>18</v>
      </c>
      <c r="C2120" s="13">
        <v>2</v>
      </c>
      <c r="D2120" s="11">
        <f t="shared" si="144"/>
        <v>2</v>
      </c>
      <c r="E2120" s="12">
        <v>43448</v>
      </c>
      <c r="G2120" s="97"/>
      <c r="H2120" s="7"/>
      <c r="I2120" s="14">
        <f>SUM(H2120:H2120)</f>
        <v>0</v>
      </c>
      <c r="J2120" s="12"/>
    </row>
    <row r="2121" spans="2:10" ht="14.25" thickBot="1" x14ac:dyDescent="0.2">
      <c r="B2121" s="17" t="s">
        <v>2</v>
      </c>
      <c r="C2121" s="18">
        <f>SUM(C2097:C2120)</f>
        <v>42</v>
      </c>
      <c r="D2121" s="19">
        <f t="shared" si="144"/>
        <v>42</v>
      </c>
      <c r="E2121" s="20"/>
      <c r="G2121" s="17" t="s">
        <v>2</v>
      </c>
      <c r="H2121" s="18">
        <f>SUM(H2097:H2120)</f>
        <v>0</v>
      </c>
      <c r="I2121" s="19">
        <f>SUM(H2121:H2121)</f>
        <v>0</v>
      </c>
      <c r="J2121" s="20"/>
    </row>
    <row r="2122" spans="2:10" ht="14.25" thickBot="1" x14ac:dyDescent="0.2">
      <c r="B2122" s="46" t="s">
        <v>3</v>
      </c>
      <c r="C2122" s="52">
        <f>C2096-C2121</f>
        <v>125</v>
      </c>
      <c r="D2122" s="48">
        <f>D2096-D2121</f>
        <v>125</v>
      </c>
      <c r="E2122" s="49"/>
      <c r="G2122" s="46" t="s">
        <v>3</v>
      </c>
      <c r="H2122" s="52">
        <f>H2096-H2121</f>
        <v>2537</v>
      </c>
      <c r="I2122" s="48">
        <f>I2096-I2121</f>
        <v>2537</v>
      </c>
      <c r="J2122" s="49"/>
    </row>
    <row r="2125" spans="2:10" ht="18.75" x14ac:dyDescent="0.2">
      <c r="B2125" s="26" t="s">
        <v>7</v>
      </c>
      <c r="G2125" s="26" t="s">
        <v>35</v>
      </c>
    </row>
    <row r="2126" spans="2:10" ht="14.25" thickBot="1" x14ac:dyDescent="0.2"/>
    <row r="2127" spans="2:10" ht="14.25" thickBot="1" x14ac:dyDescent="0.2">
      <c r="B2127" s="1"/>
      <c r="C2127" s="2"/>
      <c r="D2127" s="3" t="s">
        <v>0</v>
      </c>
      <c r="E2127" s="1" t="s">
        <v>4</v>
      </c>
      <c r="G2127" s="1"/>
      <c r="H2127" s="2"/>
      <c r="I2127" s="3" t="s">
        <v>0</v>
      </c>
      <c r="J2127" s="1" t="s">
        <v>4</v>
      </c>
    </row>
    <row r="2128" spans="2:10" x14ac:dyDescent="0.15">
      <c r="B2128" s="42" t="s">
        <v>5</v>
      </c>
      <c r="C2128" s="43">
        <f>C2122</f>
        <v>125</v>
      </c>
      <c r="D2128" s="44">
        <f>SUM(C2128:C2128)</f>
        <v>125</v>
      </c>
      <c r="E2128" s="45"/>
      <c r="G2128" s="42" t="s">
        <v>5</v>
      </c>
      <c r="H2128" s="43">
        <f>H2122</f>
        <v>2537</v>
      </c>
      <c r="I2128" s="44">
        <f>SUM(H2128:H2128)</f>
        <v>2537</v>
      </c>
      <c r="J2128" s="45"/>
    </row>
    <row r="2129" spans="2:10" x14ac:dyDescent="0.15">
      <c r="B2129" s="6" t="s">
        <v>6</v>
      </c>
      <c r="C2129" s="13">
        <v>200</v>
      </c>
      <c r="D2129" s="14">
        <f>SUM(C2129:C2129)</f>
        <v>200</v>
      </c>
      <c r="E2129" s="12">
        <v>43550</v>
      </c>
      <c r="G2129" s="6" t="s">
        <v>6</v>
      </c>
      <c r="H2129" s="13"/>
      <c r="I2129" s="14">
        <f>SUM(H2129:H2129)</f>
        <v>0</v>
      </c>
      <c r="J2129" s="5"/>
    </row>
    <row r="2130" spans="2:10" x14ac:dyDescent="0.15">
      <c r="B2130" s="6" t="s">
        <v>6</v>
      </c>
      <c r="C2130" s="7">
        <v>200</v>
      </c>
      <c r="D2130" s="8">
        <f>SUM(C2130:C2130)</f>
        <v>200</v>
      </c>
      <c r="E2130" s="9">
        <v>43565</v>
      </c>
      <c r="G2130" s="6" t="s">
        <v>6</v>
      </c>
      <c r="H2130" s="13"/>
      <c r="I2130" s="14">
        <f>SUM(H2130:H2130)</f>
        <v>0</v>
      </c>
      <c r="J2130" s="5"/>
    </row>
    <row r="2131" spans="2:10" ht="14.25" thickBot="1" x14ac:dyDescent="0.2">
      <c r="B2131" s="6" t="s">
        <v>105</v>
      </c>
      <c r="C2131" s="7">
        <v>1</v>
      </c>
      <c r="D2131" s="14">
        <f>SUM(C2131:C2131)</f>
        <v>1</v>
      </c>
      <c r="E2131" s="16">
        <v>43565</v>
      </c>
      <c r="G2131" s="165" t="s">
        <v>6</v>
      </c>
      <c r="H2131" s="166"/>
      <c r="I2131" s="167">
        <f>SUM(H2131:H2131)</f>
        <v>0</v>
      </c>
      <c r="J2131" s="168"/>
    </row>
    <row r="2132" spans="2:10" ht="14.25" thickBot="1" x14ac:dyDescent="0.2">
      <c r="B2132" s="46" t="s">
        <v>1</v>
      </c>
      <c r="C2132" s="48">
        <f>SUM(C2128:C2131)</f>
        <v>526</v>
      </c>
      <c r="D2132" s="48">
        <f>SUM(D2128:D2131)</f>
        <v>526</v>
      </c>
      <c r="E2132" s="49"/>
      <c r="G2132" s="163" t="s">
        <v>1</v>
      </c>
      <c r="H2132" s="47">
        <f>SUM(H2128:H2131)</f>
        <v>2537</v>
      </c>
      <c r="I2132" s="164">
        <f>SUM(I2128:I2131)</f>
        <v>2537</v>
      </c>
      <c r="J2132" s="49"/>
    </row>
    <row r="2133" spans="2:10" x14ac:dyDescent="0.15">
      <c r="B2133" s="10" t="s">
        <v>18</v>
      </c>
      <c r="C2133" s="77">
        <v>1</v>
      </c>
      <c r="D2133" s="11">
        <f>SUM(C2133:C2133)</f>
        <v>1</v>
      </c>
      <c r="E2133" s="12">
        <v>43452</v>
      </c>
      <c r="G2133" s="15" t="s">
        <v>595</v>
      </c>
      <c r="H2133" s="13">
        <v>100</v>
      </c>
      <c r="I2133" s="11">
        <f>SUM(H2133:H2133)</f>
        <v>100</v>
      </c>
      <c r="J2133" s="12">
        <v>43531</v>
      </c>
    </row>
    <row r="2134" spans="2:10" x14ac:dyDescent="0.15">
      <c r="B2134" s="10" t="s">
        <v>189</v>
      </c>
      <c r="C2134" s="13">
        <v>1</v>
      </c>
      <c r="D2134" s="14">
        <f>SUM(C2134:C2134)</f>
        <v>1</v>
      </c>
      <c r="E2134" s="12">
        <v>43459</v>
      </c>
      <c r="G2134" s="15" t="s">
        <v>600</v>
      </c>
      <c r="H2134" s="13">
        <v>350</v>
      </c>
      <c r="I2134" s="14">
        <f>SUM(H2134:H2134)</f>
        <v>350</v>
      </c>
      <c r="J2134" s="12">
        <v>43545</v>
      </c>
    </row>
    <row r="2135" spans="2:10" x14ac:dyDescent="0.15">
      <c r="B2135" s="10" t="s">
        <v>189</v>
      </c>
      <c r="C2135" s="13">
        <v>1</v>
      </c>
      <c r="D2135" s="14">
        <f>SUM(C2135:C2135)</f>
        <v>1</v>
      </c>
      <c r="E2135" s="12">
        <v>43481</v>
      </c>
      <c r="G2135" s="15" t="s">
        <v>12</v>
      </c>
      <c r="H2135" s="13">
        <v>200</v>
      </c>
      <c r="I2135" s="14">
        <f t="shared" ref="I2135:I2153" si="145">SUM(H2135:H2135)</f>
        <v>200</v>
      </c>
      <c r="J2135" s="12">
        <v>43550</v>
      </c>
    </row>
    <row r="2136" spans="2:10" x14ac:dyDescent="0.15">
      <c r="B2136" s="10" t="s">
        <v>18</v>
      </c>
      <c r="C2136" s="13">
        <v>1</v>
      </c>
      <c r="D2136" s="14">
        <f t="shared" ref="D2136:D2146" si="146">SUM(C2136:C2136)</f>
        <v>1</v>
      </c>
      <c r="E2136" s="12">
        <v>43486</v>
      </c>
      <c r="G2136" s="15" t="s">
        <v>12</v>
      </c>
      <c r="H2136" s="13">
        <v>200</v>
      </c>
      <c r="I2136" s="14">
        <f t="shared" si="145"/>
        <v>200</v>
      </c>
      <c r="J2136" s="12">
        <v>43565</v>
      </c>
    </row>
    <row r="2137" spans="2:10" x14ac:dyDescent="0.15">
      <c r="B2137" s="10" t="s">
        <v>189</v>
      </c>
      <c r="C2137" s="13">
        <v>5</v>
      </c>
      <c r="D2137" s="14">
        <f t="shared" si="146"/>
        <v>5</v>
      </c>
      <c r="E2137" s="12">
        <v>43487</v>
      </c>
      <c r="G2137" s="15"/>
      <c r="H2137" s="13"/>
      <c r="I2137" s="14">
        <f t="shared" si="145"/>
        <v>0</v>
      </c>
      <c r="J2137" s="12"/>
    </row>
    <row r="2138" spans="2:10" x14ac:dyDescent="0.15">
      <c r="B2138" s="10" t="s">
        <v>189</v>
      </c>
      <c r="C2138" s="13">
        <v>1</v>
      </c>
      <c r="D2138" s="14">
        <f t="shared" si="146"/>
        <v>1</v>
      </c>
      <c r="E2138" s="12">
        <v>43489</v>
      </c>
      <c r="G2138" s="78"/>
      <c r="H2138" s="13"/>
      <c r="I2138" s="14">
        <f t="shared" si="145"/>
        <v>0</v>
      </c>
      <c r="J2138" s="12"/>
    </row>
    <row r="2139" spans="2:10" x14ac:dyDescent="0.15">
      <c r="B2139" s="10" t="s">
        <v>18</v>
      </c>
      <c r="C2139" s="13">
        <v>1</v>
      </c>
      <c r="D2139" s="14">
        <f t="shared" si="146"/>
        <v>1</v>
      </c>
      <c r="E2139" s="12">
        <v>43496</v>
      </c>
      <c r="G2139" s="78"/>
      <c r="H2139" s="13"/>
      <c r="I2139" s="14">
        <f t="shared" si="145"/>
        <v>0</v>
      </c>
      <c r="J2139" s="12"/>
    </row>
    <row r="2140" spans="2:10" x14ac:dyDescent="0.15">
      <c r="B2140" s="10" t="s">
        <v>189</v>
      </c>
      <c r="C2140" s="13">
        <v>1</v>
      </c>
      <c r="D2140" s="14">
        <f t="shared" si="146"/>
        <v>1</v>
      </c>
      <c r="E2140" s="12">
        <v>43511</v>
      </c>
      <c r="G2140" s="78"/>
      <c r="H2140" s="13"/>
      <c r="I2140" s="14">
        <f t="shared" si="145"/>
        <v>0</v>
      </c>
      <c r="J2140" s="12"/>
    </row>
    <row r="2141" spans="2:10" x14ac:dyDescent="0.15">
      <c r="B2141" s="10" t="s">
        <v>18</v>
      </c>
      <c r="C2141" s="13">
        <v>23</v>
      </c>
      <c r="D2141" s="14">
        <f t="shared" si="146"/>
        <v>23</v>
      </c>
      <c r="E2141" s="12">
        <v>43537</v>
      </c>
      <c r="G2141" s="10"/>
      <c r="H2141" s="13"/>
      <c r="I2141" s="14">
        <f t="shared" si="145"/>
        <v>0</v>
      </c>
      <c r="J2141" s="12"/>
    </row>
    <row r="2142" spans="2:10" x14ac:dyDescent="0.15">
      <c r="B2142" s="10" t="s">
        <v>189</v>
      </c>
      <c r="C2142" s="13">
        <v>2</v>
      </c>
      <c r="D2142" s="14">
        <f t="shared" si="146"/>
        <v>2</v>
      </c>
      <c r="E2142" s="12">
        <v>43536</v>
      </c>
      <c r="G2142" s="78"/>
      <c r="H2142" s="13"/>
      <c r="I2142" s="14">
        <f t="shared" si="145"/>
        <v>0</v>
      </c>
      <c r="J2142" s="12"/>
    </row>
    <row r="2143" spans="2:10" x14ac:dyDescent="0.15">
      <c r="B2143" s="10" t="s">
        <v>18</v>
      </c>
      <c r="C2143" s="13">
        <v>2</v>
      </c>
      <c r="D2143" s="14">
        <f t="shared" si="146"/>
        <v>2</v>
      </c>
      <c r="E2143" s="12">
        <v>43546</v>
      </c>
      <c r="G2143" s="15"/>
      <c r="H2143" s="13"/>
      <c r="I2143" s="14">
        <f t="shared" si="145"/>
        <v>0</v>
      </c>
      <c r="J2143" s="5"/>
    </row>
    <row r="2144" spans="2:10" x14ac:dyDescent="0.15">
      <c r="B2144" s="10" t="s">
        <v>189</v>
      </c>
      <c r="C2144" s="13">
        <v>5</v>
      </c>
      <c r="D2144" s="14">
        <f t="shared" si="146"/>
        <v>5</v>
      </c>
      <c r="E2144" s="12">
        <v>43546</v>
      </c>
      <c r="G2144" s="15"/>
      <c r="H2144" s="7"/>
      <c r="I2144" s="14">
        <f t="shared" si="145"/>
        <v>0</v>
      </c>
      <c r="J2144" s="12"/>
    </row>
    <row r="2145" spans="2:11" x14ac:dyDescent="0.15">
      <c r="B2145" s="10" t="s">
        <v>18</v>
      </c>
      <c r="C2145" s="13">
        <v>27</v>
      </c>
      <c r="D2145" s="14">
        <f t="shared" si="146"/>
        <v>27</v>
      </c>
      <c r="E2145" s="12">
        <v>43550</v>
      </c>
      <c r="G2145" s="10"/>
      <c r="H2145" s="13"/>
      <c r="I2145" s="14">
        <f t="shared" si="145"/>
        <v>0</v>
      </c>
      <c r="J2145" s="12"/>
    </row>
    <row r="2146" spans="2:11" x14ac:dyDescent="0.15">
      <c r="B2146" s="10" t="s">
        <v>189</v>
      </c>
      <c r="C2146" s="13">
        <v>11</v>
      </c>
      <c r="D2146" s="14">
        <f t="shared" si="146"/>
        <v>11</v>
      </c>
      <c r="E2146" s="12">
        <v>43549</v>
      </c>
      <c r="G2146" s="15"/>
      <c r="H2146" s="7"/>
      <c r="I2146" s="14">
        <f t="shared" si="145"/>
        <v>0</v>
      </c>
      <c r="J2146" s="12"/>
    </row>
    <row r="2147" spans="2:11" x14ac:dyDescent="0.15">
      <c r="B2147" s="10" t="s">
        <v>18</v>
      </c>
      <c r="C2147" s="13">
        <v>16</v>
      </c>
      <c r="D2147" s="14">
        <f>SUM(C2147:C2147)</f>
        <v>16</v>
      </c>
      <c r="E2147" s="12">
        <v>43552</v>
      </c>
      <c r="G2147" s="15"/>
      <c r="H2147" s="7"/>
      <c r="I2147" s="14">
        <f t="shared" si="145"/>
        <v>0</v>
      </c>
      <c r="J2147" s="12"/>
    </row>
    <row r="2148" spans="2:11" x14ac:dyDescent="0.15">
      <c r="B2148" s="10" t="s">
        <v>18</v>
      </c>
      <c r="C2148" s="13">
        <v>1</v>
      </c>
      <c r="D2148" s="14">
        <f t="shared" ref="D2148:D2157" si="147">SUM(C2148:C2148)</f>
        <v>1</v>
      </c>
      <c r="E2148" s="12">
        <v>43557</v>
      </c>
      <c r="G2148" s="15"/>
      <c r="H2148" s="7"/>
      <c r="I2148" s="14">
        <f t="shared" si="145"/>
        <v>0</v>
      </c>
      <c r="J2148" s="12"/>
    </row>
    <row r="2149" spans="2:11" x14ac:dyDescent="0.15">
      <c r="B2149" s="10" t="s">
        <v>189</v>
      </c>
      <c r="C2149" s="13">
        <v>1</v>
      </c>
      <c r="D2149" s="14">
        <f t="shared" si="147"/>
        <v>1</v>
      </c>
      <c r="E2149" s="12">
        <v>43556</v>
      </c>
      <c r="G2149" s="15"/>
      <c r="H2149" s="7"/>
      <c r="I2149" s="14">
        <f t="shared" si="145"/>
        <v>0</v>
      </c>
      <c r="J2149" s="12"/>
    </row>
    <row r="2150" spans="2:11" x14ac:dyDescent="0.15">
      <c r="B2150" s="10" t="s">
        <v>18</v>
      </c>
      <c r="C2150" s="13">
        <v>15</v>
      </c>
      <c r="D2150" s="14">
        <f t="shared" si="147"/>
        <v>15</v>
      </c>
      <c r="E2150" s="12">
        <v>43558</v>
      </c>
      <c r="G2150" s="15"/>
      <c r="H2150" s="7"/>
      <c r="I2150" s="14">
        <f t="shared" si="145"/>
        <v>0</v>
      </c>
      <c r="J2150" s="5"/>
    </row>
    <row r="2151" spans="2:11" x14ac:dyDescent="0.15">
      <c r="B2151" s="15" t="s">
        <v>607</v>
      </c>
      <c r="C2151" s="13">
        <v>100</v>
      </c>
      <c r="D2151" s="14">
        <f t="shared" si="147"/>
        <v>100</v>
      </c>
      <c r="E2151" s="12">
        <v>43560</v>
      </c>
      <c r="G2151" s="15"/>
      <c r="H2151" s="7"/>
      <c r="I2151" s="14">
        <f t="shared" si="145"/>
        <v>0</v>
      </c>
      <c r="J2151" s="12"/>
    </row>
    <row r="2152" spans="2:11" x14ac:dyDescent="0.15">
      <c r="B2152" s="10" t="s">
        <v>189</v>
      </c>
      <c r="C2152" s="13">
        <v>1</v>
      </c>
      <c r="D2152" s="14">
        <f t="shared" si="147"/>
        <v>1</v>
      </c>
      <c r="E2152" s="5">
        <v>43557</v>
      </c>
      <c r="G2152" s="15"/>
      <c r="H2152" s="7"/>
      <c r="I2152" s="14">
        <f t="shared" si="145"/>
        <v>0</v>
      </c>
      <c r="J2152" s="12"/>
      <c r="K2152" s="86"/>
    </row>
    <row r="2153" spans="2:11" x14ac:dyDescent="0.15">
      <c r="B2153" s="10" t="s">
        <v>18</v>
      </c>
      <c r="C2153" s="13">
        <v>6</v>
      </c>
      <c r="D2153" s="14">
        <f t="shared" si="147"/>
        <v>6</v>
      </c>
      <c r="E2153" s="5">
        <v>43559</v>
      </c>
      <c r="G2153" s="15" t="s">
        <v>586</v>
      </c>
      <c r="H2153" s="7"/>
      <c r="I2153" s="14">
        <f t="shared" si="145"/>
        <v>0</v>
      </c>
      <c r="J2153" s="12" t="s">
        <v>585</v>
      </c>
    </row>
    <row r="2154" spans="2:11" x14ac:dyDescent="0.15">
      <c r="B2154" s="10" t="s">
        <v>189</v>
      </c>
      <c r="C2154" s="13">
        <v>1</v>
      </c>
      <c r="D2154" s="14">
        <f t="shared" si="147"/>
        <v>1</v>
      </c>
      <c r="E2154" s="5">
        <v>43559</v>
      </c>
      <c r="G2154" s="15" t="s">
        <v>591</v>
      </c>
      <c r="H2154" s="7"/>
      <c r="I2154" s="14">
        <f>SUM(H2154:H2154)</f>
        <v>0</v>
      </c>
      <c r="J2154" s="12" t="s">
        <v>592</v>
      </c>
      <c r="K2154" s="86"/>
    </row>
    <row r="2155" spans="2:11" x14ac:dyDescent="0.15">
      <c r="B2155" s="10" t="s">
        <v>18</v>
      </c>
      <c r="C2155" s="13">
        <v>49</v>
      </c>
      <c r="D2155" s="14">
        <f t="shared" si="147"/>
        <v>49</v>
      </c>
      <c r="E2155" s="5">
        <v>43561</v>
      </c>
      <c r="G2155" s="15" t="s">
        <v>593</v>
      </c>
      <c r="H2155" s="7"/>
      <c r="I2155" s="14">
        <f>SUM(H2155:H2155)</f>
        <v>0</v>
      </c>
      <c r="J2155" s="12" t="s">
        <v>594</v>
      </c>
    </row>
    <row r="2156" spans="2:11" ht="14.25" thickBot="1" x14ac:dyDescent="0.2">
      <c r="B2156" s="10" t="s">
        <v>189</v>
      </c>
      <c r="C2156" s="13">
        <v>1</v>
      </c>
      <c r="D2156" s="11">
        <f t="shared" si="147"/>
        <v>1</v>
      </c>
      <c r="E2156" s="12">
        <v>43560</v>
      </c>
      <c r="G2156" s="15" t="s">
        <v>583</v>
      </c>
      <c r="H2156" s="7"/>
      <c r="I2156" s="14">
        <f>SUM(H2156:H2156)</f>
        <v>0</v>
      </c>
      <c r="J2156" s="12" t="s">
        <v>584</v>
      </c>
    </row>
    <row r="2157" spans="2:11" ht="14.25" thickBot="1" x14ac:dyDescent="0.2">
      <c r="B2157" s="17" t="s">
        <v>2</v>
      </c>
      <c r="C2157" s="18">
        <f>SUM(C2133:C2156)</f>
        <v>273</v>
      </c>
      <c r="D2157" s="19">
        <f t="shared" si="147"/>
        <v>273</v>
      </c>
      <c r="E2157" s="20"/>
      <c r="G2157" s="17" t="s">
        <v>2</v>
      </c>
      <c r="H2157" s="18">
        <f>SUM(H2133:H2156)</f>
        <v>850</v>
      </c>
      <c r="I2157" s="19">
        <f>SUM(H2157:H2157)</f>
        <v>850</v>
      </c>
      <c r="J2157" s="20"/>
    </row>
    <row r="2158" spans="2:11" ht="14.25" thickBot="1" x14ac:dyDescent="0.2">
      <c r="B2158" s="46" t="s">
        <v>3</v>
      </c>
      <c r="C2158" s="52">
        <f>C2132-C2157</f>
        <v>253</v>
      </c>
      <c r="D2158" s="48">
        <f>D2132-D2157</f>
        <v>253</v>
      </c>
      <c r="E2158" s="49"/>
      <c r="G2158" s="46" t="s">
        <v>3</v>
      </c>
      <c r="H2158" s="52">
        <f>H2132-H2157</f>
        <v>1687</v>
      </c>
      <c r="I2158" s="48">
        <f>I2132-I2157</f>
        <v>1687</v>
      </c>
      <c r="J2158" s="49"/>
    </row>
    <row r="2161" spans="2:10" ht="18.75" x14ac:dyDescent="0.2">
      <c r="B2161" s="26" t="s">
        <v>7</v>
      </c>
      <c r="G2161" s="26" t="s">
        <v>35</v>
      </c>
    </row>
    <row r="2162" spans="2:10" ht="14.25" thickBot="1" x14ac:dyDescent="0.2"/>
    <row r="2163" spans="2:10" ht="14.25" thickBot="1" x14ac:dyDescent="0.2">
      <c r="B2163" s="1"/>
      <c r="C2163" s="2"/>
      <c r="D2163" s="3" t="s">
        <v>0</v>
      </c>
      <c r="E2163" s="1" t="s">
        <v>4</v>
      </c>
      <c r="G2163" s="1"/>
      <c r="H2163" s="2"/>
      <c r="I2163" s="3" t="s">
        <v>0</v>
      </c>
      <c r="J2163" s="1" t="s">
        <v>4</v>
      </c>
    </row>
    <row r="2164" spans="2:10" x14ac:dyDescent="0.15">
      <c r="B2164" s="42" t="s">
        <v>5</v>
      </c>
      <c r="C2164" s="43">
        <f>C2158</f>
        <v>253</v>
      </c>
      <c r="D2164" s="44">
        <f>SUM(C2164:C2164)</f>
        <v>253</v>
      </c>
      <c r="E2164" s="45"/>
      <c r="G2164" s="42" t="s">
        <v>5</v>
      </c>
      <c r="H2164" s="43">
        <f>H2158</f>
        <v>1687</v>
      </c>
      <c r="I2164" s="44">
        <f>SUM(H2164:H2164)</f>
        <v>1687</v>
      </c>
      <c r="J2164" s="45"/>
    </row>
    <row r="2165" spans="2:10" x14ac:dyDescent="0.15">
      <c r="B2165" s="6" t="s">
        <v>6</v>
      </c>
      <c r="C2165" s="13"/>
      <c r="D2165" s="14">
        <f>SUM(C2165:C2165)</f>
        <v>0</v>
      </c>
      <c r="E2165" s="12"/>
      <c r="G2165" s="4" t="s">
        <v>6</v>
      </c>
      <c r="H2165" s="13">
        <v>2000</v>
      </c>
      <c r="I2165" s="14">
        <f>SUM(H2165:H2165)</f>
        <v>2000</v>
      </c>
      <c r="J2165" s="169">
        <v>43586</v>
      </c>
    </row>
    <row r="2166" spans="2:10" x14ac:dyDescent="0.15">
      <c r="B2166" s="6" t="s">
        <v>6</v>
      </c>
      <c r="C2166" s="7"/>
      <c r="D2166" s="8">
        <f>SUM(C2166:C2166)</f>
        <v>0</v>
      </c>
      <c r="E2166" s="9"/>
      <c r="G2166" s="92" t="s">
        <v>6</v>
      </c>
      <c r="H2166" s="77">
        <v>2000</v>
      </c>
      <c r="I2166" s="11">
        <f>SUM(H2166:H2166)</f>
        <v>2000</v>
      </c>
      <c r="J2166" s="172">
        <v>43617</v>
      </c>
    </row>
    <row r="2167" spans="2:10" ht="14.25" thickBot="1" x14ac:dyDescent="0.2">
      <c r="B2167" s="6" t="s">
        <v>6</v>
      </c>
      <c r="C2167" s="7"/>
      <c r="D2167" s="14">
        <f>SUM(C2167:C2167)</f>
        <v>0</v>
      </c>
      <c r="E2167" s="16"/>
      <c r="G2167" s="6" t="s">
        <v>6</v>
      </c>
      <c r="H2167" s="7">
        <v>1000</v>
      </c>
      <c r="I2167" s="14">
        <f>SUM(H2167:H2167)</f>
        <v>1000</v>
      </c>
      <c r="J2167" s="169">
        <v>43617</v>
      </c>
    </row>
    <row r="2168" spans="2:10" ht="14.25" thickBot="1" x14ac:dyDescent="0.2">
      <c r="B2168" s="46" t="s">
        <v>1</v>
      </c>
      <c r="C2168" s="48">
        <f>SUM(C2164:C2167)</f>
        <v>253</v>
      </c>
      <c r="D2168" s="48">
        <f>SUM(D2164:D2167)</f>
        <v>253</v>
      </c>
      <c r="E2168" s="49"/>
      <c r="G2168" s="46" t="s">
        <v>1</v>
      </c>
      <c r="H2168" s="48">
        <f>SUM(H2164:H2167)</f>
        <v>6687</v>
      </c>
      <c r="I2168" s="48">
        <f>SUM(I2164:I2167)</f>
        <v>6687</v>
      </c>
      <c r="J2168" s="49"/>
    </row>
    <row r="2169" spans="2:10" x14ac:dyDescent="0.15">
      <c r="B2169" s="10" t="s">
        <v>18</v>
      </c>
      <c r="C2169" s="77">
        <v>1</v>
      </c>
      <c r="D2169" s="11">
        <f>SUM(C2169:C2169)</f>
        <v>1</v>
      </c>
      <c r="E2169" s="12">
        <v>43564</v>
      </c>
      <c r="G2169" s="15" t="s">
        <v>612</v>
      </c>
      <c r="H2169" s="13">
        <v>100</v>
      </c>
      <c r="I2169" s="11">
        <f>SUM(H2169:H2169)</f>
        <v>100</v>
      </c>
      <c r="J2169" s="12">
        <v>43566</v>
      </c>
    </row>
    <row r="2170" spans="2:10" x14ac:dyDescent="0.15">
      <c r="B2170" s="10" t="s">
        <v>189</v>
      </c>
      <c r="C2170" s="13">
        <v>1</v>
      </c>
      <c r="D2170" s="14">
        <f>SUM(C2170:C2170)</f>
        <v>1</v>
      </c>
      <c r="E2170" s="12">
        <v>43563</v>
      </c>
      <c r="G2170" s="15" t="s">
        <v>613</v>
      </c>
      <c r="H2170" s="13">
        <v>100</v>
      </c>
      <c r="I2170" s="14">
        <f>SUM(H2170:H2170)</f>
        <v>100</v>
      </c>
      <c r="J2170" s="12">
        <v>43566</v>
      </c>
    </row>
    <row r="2171" spans="2:10" x14ac:dyDescent="0.15">
      <c r="B2171" s="10" t="s">
        <v>18</v>
      </c>
      <c r="C2171" s="13">
        <v>15</v>
      </c>
      <c r="D2171" s="14">
        <f>SUM(C2171:C2171)</f>
        <v>15</v>
      </c>
      <c r="E2171" s="12">
        <v>43566</v>
      </c>
      <c r="G2171" s="15" t="s">
        <v>616</v>
      </c>
      <c r="H2171" s="13">
        <v>500</v>
      </c>
      <c r="I2171" s="14">
        <f t="shared" ref="I2171:I2188" si="148">SUM(H2171:H2171)</f>
        <v>500</v>
      </c>
      <c r="J2171" s="12">
        <v>43574</v>
      </c>
    </row>
    <row r="2172" spans="2:10" x14ac:dyDescent="0.15">
      <c r="B2172" s="10" t="s">
        <v>189</v>
      </c>
      <c r="C2172" s="13">
        <v>12</v>
      </c>
      <c r="D2172" s="14">
        <f t="shared" ref="D2172:D2182" si="149">SUM(C2172:C2172)</f>
        <v>12</v>
      </c>
      <c r="E2172" s="12">
        <v>43565</v>
      </c>
      <c r="G2172" s="15" t="s">
        <v>615</v>
      </c>
      <c r="H2172" s="13">
        <v>450</v>
      </c>
      <c r="I2172" s="14">
        <f t="shared" si="148"/>
        <v>450</v>
      </c>
      <c r="J2172" s="12">
        <v>43574</v>
      </c>
    </row>
    <row r="2173" spans="2:10" x14ac:dyDescent="0.15">
      <c r="B2173" s="10" t="s">
        <v>18</v>
      </c>
      <c r="C2173" s="13">
        <v>21</v>
      </c>
      <c r="D2173" s="14">
        <f t="shared" si="149"/>
        <v>21</v>
      </c>
      <c r="E2173" s="12">
        <v>43567</v>
      </c>
      <c r="G2173" s="15" t="s">
        <v>617</v>
      </c>
      <c r="H2173" s="13">
        <v>100</v>
      </c>
      <c r="I2173" s="14">
        <f t="shared" si="148"/>
        <v>100</v>
      </c>
      <c r="J2173" s="12">
        <v>43579</v>
      </c>
    </row>
    <row r="2174" spans="2:10" x14ac:dyDescent="0.15">
      <c r="B2174" s="10" t="s">
        <v>189</v>
      </c>
      <c r="C2174" s="13">
        <v>1</v>
      </c>
      <c r="D2174" s="14">
        <f t="shared" si="149"/>
        <v>1</v>
      </c>
      <c r="E2174" s="12">
        <v>43566</v>
      </c>
      <c r="G2174" s="15" t="s">
        <v>620</v>
      </c>
      <c r="H2174" s="13">
        <v>250</v>
      </c>
      <c r="I2174" s="14">
        <f t="shared" si="148"/>
        <v>250</v>
      </c>
      <c r="J2174" s="12">
        <v>43575</v>
      </c>
    </row>
    <row r="2175" spans="2:10" x14ac:dyDescent="0.15">
      <c r="B2175" s="10" t="s">
        <v>18</v>
      </c>
      <c r="C2175" s="13">
        <v>4</v>
      </c>
      <c r="D2175" s="14">
        <f t="shared" si="149"/>
        <v>4</v>
      </c>
      <c r="E2175" s="12">
        <v>43568</v>
      </c>
      <c r="G2175" s="15" t="s">
        <v>621</v>
      </c>
      <c r="H2175" s="13">
        <v>800</v>
      </c>
      <c r="I2175" s="14">
        <f t="shared" si="148"/>
        <v>800</v>
      </c>
      <c r="J2175" s="12">
        <v>43582</v>
      </c>
    </row>
    <row r="2176" spans="2:10" x14ac:dyDescent="0.15">
      <c r="B2176" s="10" t="s">
        <v>189</v>
      </c>
      <c r="C2176" s="13">
        <v>1</v>
      </c>
      <c r="D2176" s="14">
        <f t="shared" si="149"/>
        <v>1</v>
      </c>
      <c r="E2176" s="12">
        <v>43567</v>
      </c>
      <c r="G2176" s="78"/>
      <c r="H2176" s="13"/>
      <c r="I2176" s="14">
        <f t="shared" si="148"/>
        <v>0</v>
      </c>
      <c r="J2176" s="12"/>
    </row>
    <row r="2177" spans="2:11" x14ac:dyDescent="0.15">
      <c r="B2177" s="10" t="s">
        <v>18</v>
      </c>
      <c r="C2177" s="13">
        <v>25</v>
      </c>
      <c r="D2177" s="14">
        <f t="shared" si="149"/>
        <v>25</v>
      </c>
      <c r="E2177" s="12">
        <v>43571</v>
      </c>
      <c r="G2177" s="10"/>
      <c r="H2177" s="13"/>
      <c r="I2177" s="14">
        <f t="shared" si="148"/>
        <v>0</v>
      </c>
      <c r="J2177" s="12"/>
    </row>
    <row r="2178" spans="2:11" x14ac:dyDescent="0.15">
      <c r="B2178" s="10" t="s">
        <v>189</v>
      </c>
      <c r="C2178" s="13">
        <v>1</v>
      </c>
      <c r="D2178" s="14">
        <f t="shared" si="149"/>
        <v>1</v>
      </c>
      <c r="E2178" s="12">
        <v>43570</v>
      </c>
      <c r="G2178" s="78"/>
      <c r="H2178" s="13"/>
      <c r="I2178" s="14">
        <f t="shared" si="148"/>
        <v>0</v>
      </c>
      <c r="J2178" s="12"/>
    </row>
    <row r="2179" spans="2:11" x14ac:dyDescent="0.15">
      <c r="B2179" s="10" t="s">
        <v>18</v>
      </c>
      <c r="C2179" s="13">
        <v>22</v>
      </c>
      <c r="D2179" s="14">
        <f t="shared" si="149"/>
        <v>22</v>
      </c>
      <c r="E2179" s="12">
        <v>43572</v>
      </c>
      <c r="G2179" s="15"/>
      <c r="H2179" s="13"/>
      <c r="I2179" s="14">
        <f t="shared" si="148"/>
        <v>0</v>
      </c>
      <c r="J2179" s="5"/>
    </row>
    <row r="2180" spans="2:11" x14ac:dyDescent="0.15">
      <c r="B2180" s="10" t="s">
        <v>189</v>
      </c>
      <c r="C2180" s="13">
        <v>3</v>
      </c>
      <c r="D2180" s="14">
        <f t="shared" si="149"/>
        <v>3</v>
      </c>
      <c r="E2180" s="12">
        <v>43571</v>
      </c>
      <c r="G2180" s="15"/>
      <c r="H2180" s="7"/>
      <c r="I2180" s="14">
        <f t="shared" si="148"/>
        <v>0</v>
      </c>
      <c r="J2180" s="12"/>
    </row>
    <row r="2181" spans="2:11" x14ac:dyDescent="0.15">
      <c r="B2181" s="10" t="s">
        <v>18</v>
      </c>
      <c r="C2181" s="13">
        <v>7</v>
      </c>
      <c r="D2181" s="14">
        <f t="shared" si="149"/>
        <v>7</v>
      </c>
      <c r="E2181" s="12">
        <v>43574</v>
      </c>
      <c r="G2181" s="10"/>
      <c r="H2181" s="13"/>
      <c r="I2181" s="14">
        <f t="shared" si="148"/>
        <v>0</v>
      </c>
      <c r="J2181" s="12"/>
    </row>
    <row r="2182" spans="2:11" x14ac:dyDescent="0.15">
      <c r="B2182" s="10" t="s">
        <v>18</v>
      </c>
      <c r="C2182" s="13">
        <v>1</v>
      </c>
      <c r="D2182" s="14">
        <f t="shared" si="149"/>
        <v>1</v>
      </c>
      <c r="E2182" s="12">
        <v>43575</v>
      </c>
      <c r="G2182" s="15"/>
      <c r="H2182" s="7"/>
      <c r="I2182" s="14">
        <f t="shared" si="148"/>
        <v>0</v>
      </c>
      <c r="J2182" s="12"/>
    </row>
    <row r="2183" spans="2:11" x14ac:dyDescent="0.15">
      <c r="B2183" s="10" t="s">
        <v>189</v>
      </c>
      <c r="C2183" s="13">
        <v>1</v>
      </c>
      <c r="D2183" s="14">
        <f>SUM(C2183:C2183)</f>
        <v>1</v>
      </c>
      <c r="E2183" s="12">
        <v>43575</v>
      </c>
      <c r="G2183" s="15"/>
      <c r="H2183" s="7"/>
      <c r="I2183" s="14">
        <f t="shared" si="148"/>
        <v>0</v>
      </c>
      <c r="J2183" s="12"/>
    </row>
    <row r="2184" spans="2:11" x14ac:dyDescent="0.15">
      <c r="B2184" s="10" t="s">
        <v>18</v>
      </c>
      <c r="C2184" s="13">
        <v>17</v>
      </c>
      <c r="D2184" s="14">
        <f t="shared" ref="D2184:D2193" si="150">SUM(C2184:C2184)</f>
        <v>17</v>
      </c>
      <c r="E2184" s="12">
        <v>43578</v>
      </c>
      <c r="G2184" s="15"/>
      <c r="H2184" s="7"/>
      <c r="I2184" s="14">
        <f t="shared" si="148"/>
        <v>0</v>
      </c>
      <c r="J2184" s="12"/>
    </row>
    <row r="2185" spans="2:11" x14ac:dyDescent="0.15">
      <c r="B2185" s="10" t="s">
        <v>189</v>
      </c>
      <c r="C2185" s="13">
        <v>1</v>
      </c>
      <c r="D2185" s="14">
        <f t="shared" si="150"/>
        <v>1</v>
      </c>
      <c r="E2185" s="12">
        <v>43577</v>
      </c>
      <c r="G2185" s="15"/>
      <c r="H2185" s="7"/>
      <c r="I2185" s="14">
        <f t="shared" si="148"/>
        <v>0</v>
      </c>
      <c r="J2185" s="12"/>
    </row>
    <row r="2186" spans="2:11" x14ac:dyDescent="0.15">
      <c r="B2186" s="10" t="s">
        <v>18</v>
      </c>
      <c r="C2186" s="13">
        <v>14</v>
      </c>
      <c r="D2186" s="14">
        <f t="shared" si="150"/>
        <v>14</v>
      </c>
      <c r="E2186" s="12">
        <v>43579</v>
      </c>
      <c r="G2186" s="15"/>
      <c r="H2186" s="7"/>
      <c r="I2186" s="14">
        <f t="shared" si="148"/>
        <v>0</v>
      </c>
      <c r="J2186" s="5"/>
      <c r="K2186" s="86"/>
    </row>
    <row r="2187" spans="2:11" x14ac:dyDescent="0.15">
      <c r="B2187" s="10" t="s">
        <v>189</v>
      </c>
      <c r="C2187" s="13">
        <v>1</v>
      </c>
      <c r="D2187" s="14">
        <f t="shared" si="150"/>
        <v>1</v>
      </c>
      <c r="E2187" s="12">
        <v>43579</v>
      </c>
      <c r="G2187" s="15"/>
      <c r="H2187" s="7"/>
      <c r="I2187" s="14">
        <f t="shared" si="148"/>
        <v>0</v>
      </c>
      <c r="J2187" s="12"/>
    </row>
    <row r="2188" spans="2:11" x14ac:dyDescent="0.15">
      <c r="B2188" s="10" t="s">
        <v>18</v>
      </c>
      <c r="C2188" s="13">
        <v>16</v>
      </c>
      <c r="D2188" s="14">
        <f t="shared" si="150"/>
        <v>16</v>
      </c>
      <c r="E2188" s="5">
        <v>43581</v>
      </c>
      <c r="G2188" s="15"/>
      <c r="H2188" s="7"/>
      <c r="I2188" s="14">
        <f t="shared" si="148"/>
        <v>0</v>
      </c>
      <c r="J2188" s="12"/>
    </row>
    <row r="2189" spans="2:11" x14ac:dyDescent="0.15">
      <c r="B2189" s="10" t="s">
        <v>18</v>
      </c>
      <c r="C2189" s="13">
        <v>6</v>
      </c>
      <c r="D2189" s="14">
        <f t="shared" si="150"/>
        <v>6</v>
      </c>
      <c r="E2189" s="5">
        <v>43582</v>
      </c>
      <c r="G2189" s="15" t="s">
        <v>598</v>
      </c>
      <c r="H2189" s="7"/>
      <c r="I2189" s="14">
        <f>SUM(H2189:H2189)</f>
        <v>0</v>
      </c>
      <c r="J2189" s="12" t="s">
        <v>599</v>
      </c>
      <c r="K2189" s="86"/>
    </row>
    <row r="2190" spans="2:11" x14ac:dyDescent="0.15">
      <c r="B2190" s="10" t="s">
        <v>189</v>
      </c>
      <c r="C2190" s="13">
        <v>1</v>
      </c>
      <c r="D2190" s="14">
        <f t="shared" si="150"/>
        <v>1</v>
      </c>
      <c r="E2190" s="5">
        <v>43580</v>
      </c>
      <c r="G2190" s="15" t="s">
        <v>603</v>
      </c>
      <c r="H2190" s="7"/>
      <c r="I2190" s="14">
        <f>SUM(H2190:H2190)</f>
        <v>0</v>
      </c>
      <c r="J2190" s="12" t="s">
        <v>604</v>
      </c>
    </row>
    <row r="2191" spans="2:11" x14ac:dyDescent="0.15">
      <c r="B2191" s="10" t="s">
        <v>189</v>
      </c>
      <c r="C2191" s="13">
        <v>4</v>
      </c>
      <c r="D2191" s="14">
        <f t="shared" si="150"/>
        <v>4</v>
      </c>
      <c r="E2191" s="5">
        <v>43581</v>
      </c>
      <c r="G2191" s="15" t="s">
        <v>581</v>
      </c>
      <c r="H2191" s="7"/>
      <c r="I2191" s="14">
        <f>SUM(H2191:H2191)</f>
        <v>0</v>
      </c>
      <c r="J2191" s="12" t="s">
        <v>582</v>
      </c>
    </row>
    <row r="2192" spans="2:11" ht="14.25" thickBot="1" x14ac:dyDescent="0.2">
      <c r="B2192" s="10" t="s">
        <v>18</v>
      </c>
      <c r="C2192" s="13">
        <v>29</v>
      </c>
      <c r="D2192" s="11">
        <f t="shared" si="150"/>
        <v>29</v>
      </c>
      <c r="E2192" s="12">
        <v>43593</v>
      </c>
      <c r="G2192" s="15" t="s">
        <v>587</v>
      </c>
      <c r="H2192" s="13"/>
      <c r="I2192" s="14">
        <f>SUM(H2192:H2192)</f>
        <v>0</v>
      </c>
      <c r="J2192" s="12" t="s">
        <v>588</v>
      </c>
    </row>
    <row r="2193" spans="2:10" ht="14.25" thickBot="1" x14ac:dyDescent="0.2">
      <c r="B2193" s="17" t="s">
        <v>2</v>
      </c>
      <c r="C2193" s="18">
        <f>SUM(C2169:C2192)</f>
        <v>205</v>
      </c>
      <c r="D2193" s="19">
        <f t="shared" si="150"/>
        <v>205</v>
      </c>
      <c r="E2193" s="20"/>
      <c r="G2193" s="17" t="s">
        <v>2</v>
      </c>
      <c r="H2193" s="18">
        <f>SUM(H2169:H2192)</f>
        <v>2300</v>
      </c>
      <c r="I2193" s="19">
        <f>SUM(H2193:H2193)</f>
        <v>2300</v>
      </c>
      <c r="J2193" s="20"/>
    </row>
    <row r="2194" spans="2:10" ht="14.25" thickBot="1" x14ac:dyDescent="0.2">
      <c r="B2194" s="46" t="s">
        <v>3</v>
      </c>
      <c r="C2194" s="52">
        <f>C2168-C2193</f>
        <v>48</v>
      </c>
      <c r="D2194" s="48">
        <f>D2168-D2193</f>
        <v>48</v>
      </c>
      <c r="E2194" s="49"/>
      <c r="G2194" s="46" t="s">
        <v>3</v>
      </c>
      <c r="H2194" s="52">
        <f>H2168-H2193</f>
        <v>4387</v>
      </c>
      <c r="I2194" s="48">
        <f>I2168-I2193</f>
        <v>4387</v>
      </c>
      <c r="J2194" s="49"/>
    </row>
    <row r="2197" spans="2:10" ht="18.75" x14ac:dyDescent="0.2">
      <c r="B2197" s="26" t="s">
        <v>7</v>
      </c>
      <c r="G2197" s="26" t="s">
        <v>35</v>
      </c>
    </row>
    <row r="2198" spans="2:10" ht="14.25" thickBot="1" x14ac:dyDescent="0.2"/>
    <row r="2199" spans="2:10" ht="14.25" thickBot="1" x14ac:dyDescent="0.2">
      <c r="B2199" s="1"/>
      <c r="C2199" s="2"/>
      <c r="D2199" s="3" t="s">
        <v>0</v>
      </c>
      <c r="E2199" s="1" t="s">
        <v>4</v>
      </c>
      <c r="G2199" s="1"/>
      <c r="H2199" s="2"/>
      <c r="I2199" s="3" t="s">
        <v>0</v>
      </c>
      <c r="J2199" s="1" t="s">
        <v>4</v>
      </c>
    </row>
    <row r="2200" spans="2:10" x14ac:dyDescent="0.15">
      <c r="B2200" s="42" t="s">
        <v>5</v>
      </c>
      <c r="C2200" s="43">
        <f>C2194</f>
        <v>48</v>
      </c>
      <c r="D2200" s="44">
        <f>SUM(C2200:C2200)</f>
        <v>48</v>
      </c>
      <c r="E2200" s="45"/>
      <c r="G2200" s="42" t="s">
        <v>5</v>
      </c>
      <c r="H2200" s="43">
        <f>H2194</f>
        <v>4387</v>
      </c>
      <c r="I2200" s="44">
        <f>SUM(H2200:H2200)</f>
        <v>4387</v>
      </c>
      <c r="J2200" s="45"/>
    </row>
    <row r="2201" spans="2:10" x14ac:dyDescent="0.15">
      <c r="B2201" s="6" t="s">
        <v>6</v>
      </c>
      <c r="C2201" s="13">
        <v>336</v>
      </c>
      <c r="D2201" s="14">
        <f>SUM(C2201:C2201)</f>
        <v>336</v>
      </c>
      <c r="E2201" s="12">
        <v>43596</v>
      </c>
      <c r="G2201" s="6" t="s">
        <v>6</v>
      </c>
      <c r="H2201" s="13"/>
      <c r="I2201" s="14">
        <f>SUM(H2201:H2201)</f>
        <v>0</v>
      </c>
      <c r="J2201" s="169"/>
    </row>
    <row r="2202" spans="2:10" x14ac:dyDescent="0.15">
      <c r="B2202" s="6" t="s">
        <v>105</v>
      </c>
      <c r="C2202" s="7">
        <v>4</v>
      </c>
      <c r="D2202" s="8">
        <f>SUM(C2202:C2202)</f>
        <v>4</v>
      </c>
      <c r="E2202" s="9">
        <v>43602</v>
      </c>
      <c r="G2202" s="6" t="s">
        <v>6</v>
      </c>
      <c r="H2202" s="170">
        <v>2000</v>
      </c>
      <c r="I2202" s="73">
        <f>SUM(H2202:H2202)</f>
        <v>2000</v>
      </c>
      <c r="J2202" s="171">
        <v>43617</v>
      </c>
    </row>
    <row r="2203" spans="2:10" ht="14.25" thickBot="1" x14ac:dyDescent="0.2">
      <c r="B2203" s="6" t="s">
        <v>105</v>
      </c>
      <c r="C2203" s="7">
        <v>5</v>
      </c>
      <c r="D2203" s="14">
        <f>SUM(C2203:C2203)</f>
        <v>5</v>
      </c>
      <c r="E2203" s="16">
        <v>43614</v>
      </c>
      <c r="G2203" s="6" t="s">
        <v>6</v>
      </c>
      <c r="H2203" s="13">
        <v>2000</v>
      </c>
      <c r="I2203" s="14">
        <f>SUM(H2203:H2203)</f>
        <v>2000</v>
      </c>
      <c r="J2203" s="169">
        <v>43617</v>
      </c>
    </row>
    <row r="2204" spans="2:10" ht="14.25" thickBot="1" x14ac:dyDescent="0.2">
      <c r="B2204" s="46" t="s">
        <v>1</v>
      </c>
      <c r="C2204" s="48">
        <f>SUM(C2200:C2203)</f>
        <v>393</v>
      </c>
      <c r="D2204" s="48">
        <f>SUM(D2200:D2203)</f>
        <v>393</v>
      </c>
      <c r="E2204" s="49"/>
      <c r="G2204" s="46" t="s">
        <v>1</v>
      </c>
      <c r="H2204" s="50">
        <f>SUM(H2200:H2203)</f>
        <v>8387</v>
      </c>
      <c r="I2204" s="48">
        <f>SUM(I2200:I2203)</f>
        <v>8387</v>
      </c>
      <c r="J2204" s="51"/>
    </row>
    <row r="2205" spans="2:10" x14ac:dyDescent="0.15">
      <c r="B2205" s="10" t="s">
        <v>189</v>
      </c>
      <c r="C2205" s="77">
        <v>1</v>
      </c>
      <c r="D2205" s="11">
        <f>SUM(C2205:C2205)</f>
        <v>1</v>
      </c>
      <c r="E2205" s="12">
        <v>43588</v>
      </c>
      <c r="G2205" s="15" t="s">
        <v>622</v>
      </c>
      <c r="H2205" s="13">
        <v>100</v>
      </c>
      <c r="I2205" s="11">
        <f>SUM(H2205:H2205)</f>
        <v>100</v>
      </c>
      <c r="J2205" s="12">
        <v>43594</v>
      </c>
    </row>
    <row r="2206" spans="2:10" x14ac:dyDescent="0.15">
      <c r="B2206" s="10" t="s">
        <v>189</v>
      </c>
      <c r="C2206" s="13">
        <v>1</v>
      </c>
      <c r="D2206" s="14">
        <f>SUM(C2206:C2206)</f>
        <v>1</v>
      </c>
      <c r="E2206" s="12">
        <v>43592</v>
      </c>
      <c r="G2206" s="81" t="s">
        <v>12</v>
      </c>
      <c r="H2206" s="13">
        <v>336</v>
      </c>
      <c r="I2206" s="14">
        <f>SUM(H2206:H2206)</f>
        <v>336</v>
      </c>
      <c r="J2206" s="12">
        <v>43596</v>
      </c>
    </row>
    <row r="2207" spans="2:10" x14ac:dyDescent="0.15">
      <c r="B2207" s="10" t="s">
        <v>189</v>
      </c>
      <c r="C2207" s="13">
        <v>6</v>
      </c>
      <c r="D2207" s="14">
        <f>SUM(C2207:C2207)</f>
        <v>6</v>
      </c>
      <c r="E2207" s="12">
        <v>43594</v>
      </c>
      <c r="G2207" s="15" t="s">
        <v>625</v>
      </c>
      <c r="H2207" s="13">
        <v>200</v>
      </c>
      <c r="I2207" s="14">
        <f t="shared" ref="I2207:I2223" si="151">SUM(H2207:H2207)</f>
        <v>200</v>
      </c>
      <c r="J2207" s="12">
        <v>43599</v>
      </c>
    </row>
    <row r="2208" spans="2:10" x14ac:dyDescent="0.15">
      <c r="B2208" s="10" t="s">
        <v>18</v>
      </c>
      <c r="C2208" s="13">
        <v>4</v>
      </c>
      <c r="D2208" s="14">
        <f t="shared" ref="D2208:D2218" si="152">SUM(C2208:C2208)</f>
        <v>4</v>
      </c>
      <c r="E2208" s="12">
        <v>43598</v>
      </c>
      <c r="G2208" s="15" t="s">
        <v>626</v>
      </c>
      <c r="H2208" s="13">
        <v>100</v>
      </c>
      <c r="I2208" s="14">
        <f t="shared" si="151"/>
        <v>100</v>
      </c>
      <c r="J2208" s="12">
        <v>43602</v>
      </c>
    </row>
    <row r="2209" spans="2:10" x14ac:dyDescent="0.15">
      <c r="B2209" s="10" t="s">
        <v>18</v>
      </c>
      <c r="C2209" s="13">
        <v>15</v>
      </c>
      <c r="D2209" s="14">
        <f t="shared" si="152"/>
        <v>15</v>
      </c>
      <c r="E2209" s="12">
        <v>43599</v>
      </c>
      <c r="G2209" s="15" t="s">
        <v>629</v>
      </c>
      <c r="H2209" s="13">
        <v>400</v>
      </c>
      <c r="I2209" s="14">
        <f t="shared" si="151"/>
        <v>400</v>
      </c>
      <c r="J2209" s="12">
        <v>43602</v>
      </c>
    </row>
    <row r="2210" spans="2:10" x14ac:dyDescent="0.15">
      <c r="B2210" s="10" t="s">
        <v>18</v>
      </c>
      <c r="C2210" s="13">
        <v>27</v>
      </c>
      <c r="D2210" s="14">
        <f t="shared" si="152"/>
        <v>27</v>
      </c>
      <c r="E2210" s="12">
        <v>43600</v>
      </c>
      <c r="G2210" s="15" t="s">
        <v>630</v>
      </c>
      <c r="H2210" s="13">
        <v>100</v>
      </c>
      <c r="I2210" s="14">
        <f t="shared" si="151"/>
        <v>100</v>
      </c>
      <c r="J2210" s="12">
        <v>43608</v>
      </c>
    </row>
    <row r="2211" spans="2:10" x14ac:dyDescent="0.15">
      <c r="B2211" s="10" t="s">
        <v>189</v>
      </c>
      <c r="C2211" s="13">
        <v>1</v>
      </c>
      <c r="D2211" s="14">
        <f t="shared" si="152"/>
        <v>1</v>
      </c>
      <c r="E2211" s="12">
        <v>43600</v>
      </c>
      <c r="G2211" s="15" t="s">
        <v>631</v>
      </c>
      <c r="H2211" s="13">
        <v>100</v>
      </c>
      <c r="I2211" s="14">
        <f t="shared" si="151"/>
        <v>100</v>
      </c>
      <c r="J2211" s="12">
        <v>43608</v>
      </c>
    </row>
    <row r="2212" spans="2:10" x14ac:dyDescent="0.15">
      <c r="B2212" s="10" t="s">
        <v>18</v>
      </c>
      <c r="C2212" s="13">
        <v>28</v>
      </c>
      <c r="D2212" s="14">
        <f t="shared" si="152"/>
        <v>28</v>
      </c>
      <c r="E2212" s="12">
        <v>43602</v>
      </c>
      <c r="G2212" s="15" t="s">
        <v>632</v>
      </c>
      <c r="H2212" s="13">
        <v>330</v>
      </c>
      <c r="I2212" s="14">
        <f t="shared" si="151"/>
        <v>330</v>
      </c>
      <c r="J2212" s="12">
        <v>43608</v>
      </c>
    </row>
    <row r="2213" spans="2:10" x14ac:dyDescent="0.15">
      <c r="B2213" s="10" t="s">
        <v>18</v>
      </c>
      <c r="C2213" s="13">
        <v>29</v>
      </c>
      <c r="D2213" s="14">
        <f t="shared" si="152"/>
        <v>29</v>
      </c>
      <c r="E2213" s="12">
        <v>43606</v>
      </c>
      <c r="G2213" s="15" t="s">
        <v>634</v>
      </c>
      <c r="H2213" s="13">
        <v>100</v>
      </c>
      <c r="I2213" s="14">
        <f t="shared" si="151"/>
        <v>100</v>
      </c>
      <c r="J2213" s="12">
        <v>43622</v>
      </c>
    </row>
    <row r="2214" spans="2:10" x14ac:dyDescent="0.15">
      <c r="B2214" s="10" t="s">
        <v>18</v>
      </c>
      <c r="C2214" s="13">
        <v>20</v>
      </c>
      <c r="D2214" s="14">
        <f t="shared" si="152"/>
        <v>20</v>
      </c>
      <c r="E2214" s="12">
        <v>43607</v>
      </c>
      <c r="G2214" s="15" t="s">
        <v>635</v>
      </c>
      <c r="H2214" s="13">
        <v>100</v>
      </c>
      <c r="I2214" s="14">
        <f t="shared" si="151"/>
        <v>100</v>
      </c>
      <c r="J2214" s="12">
        <v>43617</v>
      </c>
    </row>
    <row r="2215" spans="2:10" x14ac:dyDescent="0.15">
      <c r="B2215" s="10" t="s">
        <v>18</v>
      </c>
      <c r="C2215" s="13">
        <v>8</v>
      </c>
      <c r="D2215" s="14">
        <f t="shared" si="152"/>
        <v>8</v>
      </c>
      <c r="E2215" s="12">
        <v>43608</v>
      </c>
      <c r="G2215" s="15" t="s">
        <v>636</v>
      </c>
      <c r="H2215" s="13">
        <v>100</v>
      </c>
      <c r="I2215" s="14">
        <f t="shared" si="151"/>
        <v>100</v>
      </c>
      <c r="J2215" s="5">
        <v>43617</v>
      </c>
    </row>
    <row r="2216" spans="2:10" x14ac:dyDescent="0.15">
      <c r="B2216" s="10" t="s">
        <v>189</v>
      </c>
      <c r="C2216" s="13">
        <v>9</v>
      </c>
      <c r="D2216" s="14">
        <f t="shared" si="152"/>
        <v>9</v>
      </c>
      <c r="E2216" s="12">
        <v>43607</v>
      </c>
      <c r="G2216" s="15" t="s">
        <v>638</v>
      </c>
      <c r="H2216" s="7">
        <v>700</v>
      </c>
      <c r="I2216" s="14">
        <f t="shared" si="151"/>
        <v>700</v>
      </c>
      <c r="J2216" s="12">
        <v>43623</v>
      </c>
    </row>
    <row r="2217" spans="2:10" x14ac:dyDescent="0.15">
      <c r="B2217" s="10" t="s">
        <v>18</v>
      </c>
      <c r="C2217" s="13">
        <v>10</v>
      </c>
      <c r="D2217" s="14">
        <f t="shared" si="152"/>
        <v>10</v>
      </c>
      <c r="E2217" s="12">
        <v>43609</v>
      </c>
      <c r="G2217" s="15"/>
      <c r="H2217" s="7"/>
      <c r="I2217" s="14">
        <f t="shared" si="151"/>
        <v>0</v>
      </c>
      <c r="J2217" s="12"/>
    </row>
    <row r="2218" spans="2:10" x14ac:dyDescent="0.15">
      <c r="B2218" s="10" t="s">
        <v>189</v>
      </c>
      <c r="C2218" s="13">
        <v>4</v>
      </c>
      <c r="D2218" s="14">
        <f t="shared" si="152"/>
        <v>4</v>
      </c>
      <c r="E2218" s="12">
        <v>43608</v>
      </c>
      <c r="G2218" s="15"/>
      <c r="H2218" s="7"/>
      <c r="I2218" s="14">
        <f t="shared" si="151"/>
        <v>0</v>
      </c>
      <c r="J2218" s="5"/>
    </row>
    <row r="2219" spans="2:10" x14ac:dyDescent="0.15">
      <c r="B2219" s="10" t="s">
        <v>18</v>
      </c>
      <c r="C2219" s="13">
        <v>11</v>
      </c>
      <c r="D2219" s="14">
        <f>SUM(C2219:C2219)</f>
        <v>11</v>
      </c>
      <c r="E2219" s="12">
        <v>43610</v>
      </c>
      <c r="G2219" s="15"/>
      <c r="H2219" s="7"/>
      <c r="I2219" s="14">
        <f>SUM(H2219:H2219)</f>
        <v>0</v>
      </c>
      <c r="J2219" s="12"/>
    </row>
    <row r="2220" spans="2:10" x14ac:dyDescent="0.15">
      <c r="B2220" s="10" t="s">
        <v>189</v>
      </c>
      <c r="C2220" s="13">
        <v>2</v>
      </c>
      <c r="D2220" s="14">
        <f t="shared" ref="D2220:D2229" si="153">SUM(C2220:C2220)</f>
        <v>2</v>
      </c>
      <c r="E2220" s="12">
        <v>43612</v>
      </c>
      <c r="G2220" s="15"/>
      <c r="H2220" s="7"/>
      <c r="I2220" s="14">
        <f t="shared" si="151"/>
        <v>0</v>
      </c>
      <c r="J2220" s="12"/>
    </row>
    <row r="2221" spans="2:10" x14ac:dyDescent="0.15">
      <c r="B2221" s="10" t="s">
        <v>189</v>
      </c>
      <c r="C2221" s="13">
        <v>2</v>
      </c>
      <c r="D2221" s="14">
        <f t="shared" si="153"/>
        <v>2</v>
      </c>
      <c r="E2221" s="12">
        <v>43613</v>
      </c>
      <c r="G2221" s="15"/>
      <c r="H2221" s="7"/>
      <c r="I2221" s="14">
        <f t="shared" si="151"/>
        <v>0</v>
      </c>
      <c r="J2221" s="12"/>
    </row>
    <row r="2222" spans="2:10" x14ac:dyDescent="0.15">
      <c r="B2222" s="10" t="s">
        <v>18</v>
      </c>
      <c r="C2222" s="13">
        <v>4</v>
      </c>
      <c r="D2222" s="14">
        <f t="shared" si="153"/>
        <v>4</v>
      </c>
      <c r="E2222" s="12">
        <v>43616</v>
      </c>
      <c r="G2222" s="15"/>
      <c r="H2222" s="7"/>
      <c r="I2222" s="14">
        <f t="shared" si="151"/>
        <v>0</v>
      </c>
      <c r="J2222" s="5"/>
    </row>
    <row r="2223" spans="2:10" x14ac:dyDescent="0.15">
      <c r="B2223" s="10" t="s">
        <v>189</v>
      </c>
      <c r="C2223" s="13">
        <v>5</v>
      </c>
      <c r="D2223" s="14">
        <f t="shared" si="153"/>
        <v>5</v>
      </c>
      <c r="E2223" s="12">
        <v>43615</v>
      </c>
      <c r="G2223" s="15"/>
      <c r="H2223" s="7"/>
      <c r="I2223" s="14">
        <f t="shared" si="151"/>
        <v>0</v>
      </c>
      <c r="J2223" s="12"/>
    </row>
    <row r="2224" spans="2:10" x14ac:dyDescent="0.15">
      <c r="B2224" s="10" t="s">
        <v>18</v>
      </c>
      <c r="C2224" s="13">
        <v>10</v>
      </c>
      <c r="D2224" s="14">
        <f t="shared" si="153"/>
        <v>10</v>
      </c>
      <c r="E2224" s="5">
        <v>43617</v>
      </c>
      <c r="G2224" s="15"/>
      <c r="H2224" s="7"/>
      <c r="I2224" s="14">
        <f t="shared" ref="I2224:I2229" si="154">SUM(H2224:H2224)</f>
        <v>0</v>
      </c>
      <c r="J2224" s="5"/>
    </row>
    <row r="2225" spans="2:11" x14ac:dyDescent="0.15">
      <c r="B2225" s="10" t="s">
        <v>189</v>
      </c>
      <c r="C2225" s="13">
        <v>2</v>
      </c>
      <c r="D2225" s="14">
        <f t="shared" si="153"/>
        <v>2</v>
      </c>
      <c r="E2225" s="5">
        <v>43616</v>
      </c>
      <c r="G2225" s="15"/>
      <c r="H2225" s="7"/>
      <c r="I2225" s="14">
        <f t="shared" si="154"/>
        <v>0</v>
      </c>
      <c r="J2225" s="5"/>
      <c r="K2225" s="86"/>
    </row>
    <row r="2226" spans="2:11" x14ac:dyDescent="0.15">
      <c r="B2226" s="10" t="s">
        <v>18</v>
      </c>
      <c r="C2226" s="13">
        <v>34</v>
      </c>
      <c r="D2226" s="14">
        <f t="shared" si="153"/>
        <v>34</v>
      </c>
      <c r="E2226" s="5">
        <v>43619</v>
      </c>
      <c r="G2226" s="15" t="s">
        <v>605</v>
      </c>
      <c r="H2226" s="7"/>
      <c r="I2226" s="14">
        <f t="shared" si="154"/>
        <v>0</v>
      </c>
      <c r="J2226" s="5" t="s">
        <v>606</v>
      </c>
      <c r="K2226" s="86"/>
    </row>
    <row r="2227" spans="2:11" x14ac:dyDescent="0.15">
      <c r="B2227" s="10" t="s">
        <v>189</v>
      </c>
      <c r="C2227" s="13">
        <v>2</v>
      </c>
      <c r="D2227" s="14">
        <f t="shared" si="153"/>
        <v>2</v>
      </c>
      <c r="E2227" s="5">
        <v>43621</v>
      </c>
      <c r="G2227" s="15" t="s">
        <v>611</v>
      </c>
      <c r="H2227" s="7"/>
      <c r="I2227" s="14">
        <f t="shared" si="154"/>
        <v>0</v>
      </c>
      <c r="J2227" s="12" t="s">
        <v>633</v>
      </c>
    </row>
    <row r="2228" spans="2:11" ht="14.25" thickBot="1" x14ac:dyDescent="0.2">
      <c r="B2228" s="10" t="s">
        <v>18</v>
      </c>
      <c r="C2228" s="13">
        <v>1</v>
      </c>
      <c r="D2228" s="11">
        <f t="shared" si="153"/>
        <v>1</v>
      </c>
      <c r="E2228" s="12">
        <v>43624</v>
      </c>
      <c r="G2228" s="15" t="s">
        <v>602</v>
      </c>
      <c r="H2228" s="7"/>
      <c r="I2228" s="14">
        <f t="shared" si="154"/>
        <v>0</v>
      </c>
      <c r="J2228" s="5" t="s">
        <v>601</v>
      </c>
      <c r="K2228" s="86"/>
    </row>
    <row r="2229" spans="2:11" ht="14.25" thickBot="1" x14ac:dyDescent="0.2">
      <c r="B2229" s="17" t="s">
        <v>2</v>
      </c>
      <c r="C2229" s="18">
        <f>SUM(C2205:C2228)</f>
        <v>236</v>
      </c>
      <c r="D2229" s="19">
        <f t="shared" si="153"/>
        <v>236</v>
      </c>
      <c r="E2229" s="20"/>
      <c r="G2229" s="17" t="s">
        <v>2</v>
      </c>
      <c r="H2229" s="18">
        <f>SUM(H2205:H2228)</f>
        <v>2666</v>
      </c>
      <c r="I2229" s="19">
        <f t="shared" si="154"/>
        <v>2666</v>
      </c>
      <c r="J2229" s="20"/>
    </row>
    <row r="2230" spans="2:11" ht="14.25" thickBot="1" x14ac:dyDescent="0.2">
      <c r="B2230" s="46" t="s">
        <v>3</v>
      </c>
      <c r="C2230" s="52">
        <f>C2204-C2229</f>
        <v>157</v>
      </c>
      <c r="D2230" s="48">
        <f>D2204-D2229</f>
        <v>157</v>
      </c>
      <c r="E2230" s="49"/>
      <c r="G2230" s="46" t="s">
        <v>3</v>
      </c>
      <c r="H2230" s="52">
        <f>H2204-H2229</f>
        <v>5721</v>
      </c>
      <c r="I2230" s="48">
        <f>I2204-I2229</f>
        <v>5721</v>
      </c>
      <c r="J2230" s="49"/>
    </row>
    <row r="2233" spans="2:11" ht="18.75" x14ac:dyDescent="0.2">
      <c r="B2233" s="26" t="s">
        <v>7</v>
      </c>
      <c r="G2233" s="26" t="s">
        <v>35</v>
      </c>
    </row>
    <row r="2234" spans="2:11" ht="14.25" thickBot="1" x14ac:dyDescent="0.2"/>
    <row r="2235" spans="2:11" ht="14.25" thickBot="1" x14ac:dyDescent="0.2">
      <c r="B2235" s="1"/>
      <c r="C2235" s="2"/>
      <c r="D2235" s="3" t="s">
        <v>0</v>
      </c>
      <c r="E2235" s="1" t="s">
        <v>4</v>
      </c>
      <c r="G2235" s="1"/>
      <c r="H2235" s="2"/>
      <c r="I2235" s="3" t="s">
        <v>0</v>
      </c>
      <c r="J2235" s="1" t="s">
        <v>4</v>
      </c>
    </row>
    <row r="2236" spans="2:11" x14ac:dyDescent="0.15">
      <c r="B2236" s="42" t="s">
        <v>5</v>
      </c>
      <c r="C2236" s="43">
        <f>C2230</f>
        <v>157</v>
      </c>
      <c r="D2236" s="44">
        <f>SUM(C2236:C2236)</f>
        <v>157</v>
      </c>
      <c r="E2236" s="45"/>
      <c r="G2236" s="42" t="s">
        <v>5</v>
      </c>
      <c r="H2236" s="43">
        <f>H2230</f>
        <v>5721</v>
      </c>
      <c r="I2236" s="44">
        <f>SUM(H2236:H2236)</f>
        <v>5721</v>
      </c>
      <c r="J2236" s="45"/>
    </row>
    <row r="2237" spans="2:11" x14ac:dyDescent="0.15">
      <c r="B2237" s="6" t="s">
        <v>105</v>
      </c>
      <c r="C2237" s="13">
        <v>1</v>
      </c>
      <c r="D2237" s="14">
        <f>SUM(C2237:C2237)</f>
        <v>1</v>
      </c>
      <c r="E2237" s="12">
        <v>43622</v>
      </c>
      <c r="G2237" s="6" t="s">
        <v>6</v>
      </c>
      <c r="H2237" s="170"/>
      <c r="I2237" s="73">
        <f>SUM(H2237:H2237)</f>
        <v>0</v>
      </c>
      <c r="J2237" s="171"/>
    </row>
    <row r="2238" spans="2:11" x14ac:dyDescent="0.15">
      <c r="B2238" s="6" t="s">
        <v>76</v>
      </c>
      <c r="C2238" s="7">
        <v>15</v>
      </c>
      <c r="D2238" s="8">
        <f>SUM(C2238:C2238)</f>
        <v>15</v>
      </c>
      <c r="E2238" s="9">
        <v>43629</v>
      </c>
      <c r="G2238" s="6" t="s">
        <v>6</v>
      </c>
      <c r="H2238" s="13"/>
      <c r="I2238" s="14">
        <f>SUM(H2238:H2238)</f>
        <v>0</v>
      </c>
      <c r="J2238" s="169"/>
    </row>
    <row r="2239" spans="2:11" ht="14.25" thickBot="1" x14ac:dyDescent="0.2">
      <c r="B2239" s="6" t="s">
        <v>6</v>
      </c>
      <c r="C2239" s="7">
        <v>336</v>
      </c>
      <c r="D2239" s="14">
        <f>SUM(C2239:C2239)</f>
        <v>336</v>
      </c>
      <c r="E2239" s="16">
        <v>43633</v>
      </c>
      <c r="G2239" s="6" t="s">
        <v>6</v>
      </c>
      <c r="H2239" s="170"/>
      <c r="I2239" s="73">
        <f>SUM(H2239:H2239)</f>
        <v>0</v>
      </c>
      <c r="J2239" s="171"/>
    </row>
    <row r="2240" spans="2:11" ht="14.25" thickBot="1" x14ac:dyDescent="0.2">
      <c r="B2240" s="46" t="s">
        <v>1</v>
      </c>
      <c r="C2240" s="48">
        <f>SUM(C2236:C2239)</f>
        <v>509</v>
      </c>
      <c r="D2240" s="48">
        <f>SUM(D2236:D2239)</f>
        <v>509</v>
      </c>
      <c r="E2240" s="49"/>
      <c r="G2240" s="46" t="s">
        <v>1</v>
      </c>
      <c r="H2240" s="50">
        <f>SUM(H2236:H2239)</f>
        <v>5721</v>
      </c>
      <c r="I2240" s="48">
        <f>SUM(I2236:I2239)</f>
        <v>5721</v>
      </c>
      <c r="J2240" s="51"/>
    </row>
    <row r="2241" spans="2:10" x14ac:dyDescent="0.15">
      <c r="B2241" s="10" t="s">
        <v>189</v>
      </c>
      <c r="C2241" s="77">
        <v>1</v>
      </c>
      <c r="D2241" s="11">
        <f>SUM(C2241:C2241)</f>
        <v>1</v>
      </c>
      <c r="E2241" s="12">
        <v>43623</v>
      </c>
      <c r="G2241" s="15" t="s">
        <v>12</v>
      </c>
      <c r="H2241" s="13">
        <v>336</v>
      </c>
      <c r="I2241" s="11">
        <f>SUM(H2241:H2241)</f>
        <v>336</v>
      </c>
      <c r="J2241" s="12">
        <v>43633</v>
      </c>
    </row>
    <row r="2242" spans="2:10" x14ac:dyDescent="0.15">
      <c r="B2242" s="10" t="s">
        <v>18</v>
      </c>
      <c r="C2242" s="13">
        <v>14</v>
      </c>
      <c r="D2242" s="14">
        <f>SUM(C2242:C2242)</f>
        <v>14</v>
      </c>
      <c r="E2242" s="12">
        <v>43627</v>
      </c>
      <c r="G2242" s="15" t="s">
        <v>640</v>
      </c>
      <c r="H2242" s="13">
        <v>500</v>
      </c>
      <c r="I2242" s="14">
        <f>SUM(H2242:H2242)</f>
        <v>500</v>
      </c>
      <c r="J2242" s="12">
        <v>43636</v>
      </c>
    </row>
    <row r="2243" spans="2:10" x14ac:dyDescent="0.15">
      <c r="B2243" s="10" t="s">
        <v>189</v>
      </c>
      <c r="C2243" s="13">
        <v>1</v>
      </c>
      <c r="D2243" s="14">
        <f>SUM(C2243:C2243)</f>
        <v>1</v>
      </c>
      <c r="E2243" s="12">
        <v>43626</v>
      </c>
      <c r="G2243" s="15" t="s">
        <v>641</v>
      </c>
      <c r="H2243" s="13">
        <v>100</v>
      </c>
      <c r="I2243" s="14">
        <f t="shared" ref="I2243:I2254" si="155">SUM(H2243:H2243)</f>
        <v>100</v>
      </c>
      <c r="J2243" s="12">
        <v>43641</v>
      </c>
    </row>
    <row r="2244" spans="2:10" x14ac:dyDescent="0.15">
      <c r="B2244" s="10" t="s">
        <v>18</v>
      </c>
      <c r="C2244" s="13">
        <v>26</v>
      </c>
      <c r="D2244" s="14">
        <f t="shared" ref="D2244:D2254" si="156">SUM(C2244:C2244)</f>
        <v>26</v>
      </c>
      <c r="E2244" s="12">
        <v>43628</v>
      </c>
      <c r="G2244" s="15" t="s">
        <v>642</v>
      </c>
      <c r="H2244" s="13">
        <v>200</v>
      </c>
      <c r="I2244" s="14">
        <f t="shared" si="155"/>
        <v>200</v>
      </c>
      <c r="J2244" s="12">
        <v>43641</v>
      </c>
    </row>
    <row r="2245" spans="2:10" x14ac:dyDescent="0.15">
      <c r="B2245" s="10" t="s">
        <v>18</v>
      </c>
      <c r="C2245" s="13">
        <v>26</v>
      </c>
      <c r="D2245" s="14">
        <f t="shared" si="156"/>
        <v>26</v>
      </c>
      <c r="E2245" s="12">
        <v>43629</v>
      </c>
      <c r="G2245" s="15" t="s">
        <v>643</v>
      </c>
      <c r="H2245" s="13">
        <v>110</v>
      </c>
      <c r="I2245" s="14">
        <f t="shared" si="155"/>
        <v>110</v>
      </c>
      <c r="J2245" s="12">
        <v>43643</v>
      </c>
    </row>
    <row r="2246" spans="2:10" x14ac:dyDescent="0.15">
      <c r="B2246" s="10" t="s">
        <v>189</v>
      </c>
      <c r="C2246" s="13">
        <v>11</v>
      </c>
      <c r="D2246" s="14">
        <f t="shared" si="156"/>
        <v>11</v>
      </c>
      <c r="E2246" s="12">
        <v>43628</v>
      </c>
      <c r="G2246" s="15" t="s">
        <v>644</v>
      </c>
      <c r="H2246" s="13">
        <v>161</v>
      </c>
      <c r="I2246" s="14">
        <f t="shared" si="155"/>
        <v>161</v>
      </c>
      <c r="J2246" s="12">
        <v>43648</v>
      </c>
    </row>
    <row r="2247" spans="2:10" x14ac:dyDescent="0.15">
      <c r="B2247" s="10" t="s">
        <v>18</v>
      </c>
      <c r="C2247" s="13">
        <v>27</v>
      </c>
      <c r="D2247" s="14">
        <f t="shared" si="156"/>
        <v>27</v>
      </c>
      <c r="E2247" s="12">
        <v>43630</v>
      </c>
      <c r="G2247" s="15" t="s">
        <v>645</v>
      </c>
      <c r="H2247" s="13">
        <v>200</v>
      </c>
      <c r="I2247" s="14">
        <f t="shared" si="155"/>
        <v>200</v>
      </c>
      <c r="J2247" s="12">
        <v>43651</v>
      </c>
    </row>
    <row r="2248" spans="2:10" x14ac:dyDescent="0.15">
      <c r="B2248" s="10" t="s">
        <v>189</v>
      </c>
      <c r="C2248" s="13">
        <v>1</v>
      </c>
      <c r="D2248" s="14">
        <f t="shared" si="156"/>
        <v>1</v>
      </c>
      <c r="E2248" s="12">
        <v>43629</v>
      </c>
      <c r="G2248" s="15" t="s">
        <v>646</v>
      </c>
      <c r="H2248" s="13">
        <v>200</v>
      </c>
      <c r="I2248" s="14">
        <f t="shared" si="155"/>
        <v>200</v>
      </c>
      <c r="J2248" s="12">
        <v>43651</v>
      </c>
    </row>
    <row r="2249" spans="2:10" x14ac:dyDescent="0.15">
      <c r="B2249" s="10" t="s">
        <v>189</v>
      </c>
      <c r="C2249" s="13">
        <v>1</v>
      </c>
      <c r="D2249" s="14">
        <f t="shared" si="156"/>
        <v>1</v>
      </c>
      <c r="E2249" s="12">
        <v>43630</v>
      </c>
      <c r="G2249" s="15" t="s">
        <v>649</v>
      </c>
      <c r="H2249" s="13">
        <v>100</v>
      </c>
      <c r="I2249" s="14">
        <f t="shared" si="155"/>
        <v>100</v>
      </c>
      <c r="J2249" s="12">
        <v>43652</v>
      </c>
    </row>
    <row r="2250" spans="2:10" x14ac:dyDescent="0.15">
      <c r="B2250" s="10" t="s">
        <v>189</v>
      </c>
      <c r="C2250" s="13">
        <v>1</v>
      </c>
      <c r="D2250" s="14">
        <f t="shared" si="156"/>
        <v>1</v>
      </c>
      <c r="E2250" s="12">
        <v>43631</v>
      </c>
      <c r="G2250" s="15" t="s">
        <v>650</v>
      </c>
      <c r="H2250" s="13">
        <v>200</v>
      </c>
      <c r="I2250" s="14">
        <f t="shared" si="155"/>
        <v>200</v>
      </c>
      <c r="J2250" s="12">
        <v>43655</v>
      </c>
    </row>
    <row r="2251" spans="2:10" x14ac:dyDescent="0.15">
      <c r="B2251" s="10" t="s">
        <v>18</v>
      </c>
      <c r="C2251" s="13">
        <v>10</v>
      </c>
      <c r="D2251" s="14">
        <f t="shared" si="156"/>
        <v>10</v>
      </c>
      <c r="E2251" s="12">
        <v>43634</v>
      </c>
      <c r="G2251" s="15" t="s">
        <v>651</v>
      </c>
      <c r="H2251" s="13">
        <v>100</v>
      </c>
      <c r="I2251" s="14">
        <f t="shared" si="155"/>
        <v>100</v>
      </c>
      <c r="J2251" s="5">
        <v>43656</v>
      </c>
    </row>
    <row r="2252" spans="2:10" x14ac:dyDescent="0.15">
      <c r="B2252" s="10" t="s">
        <v>189</v>
      </c>
      <c r="C2252" s="13">
        <v>2</v>
      </c>
      <c r="D2252" s="14">
        <f t="shared" si="156"/>
        <v>2</v>
      </c>
      <c r="E2252" s="12">
        <v>43634</v>
      </c>
      <c r="G2252" s="15" t="s">
        <v>652</v>
      </c>
      <c r="H2252" s="7">
        <v>100</v>
      </c>
      <c r="I2252" s="14">
        <f t="shared" si="155"/>
        <v>100</v>
      </c>
      <c r="J2252" s="12">
        <v>43656</v>
      </c>
    </row>
    <row r="2253" spans="2:10" x14ac:dyDescent="0.15">
      <c r="B2253" s="10" t="s">
        <v>18</v>
      </c>
      <c r="C2253" s="13">
        <v>12</v>
      </c>
      <c r="D2253" s="14">
        <f t="shared" si="156"/>
        <v>12</v>
      </c>
      <c r="E2253" s="12">
        <v>43636</v>
      </c>
      <c r="G2253" s="15" t="s">
        <v>653</v>
      </c>
      <c r="H2253" s="7">
        <v>500</v>
      </c>
      <c r="I2253" s="14">
        <f t="shared" si="155"/>
        <v>500</v>
      </c>
      <c r="J2253" s="12">
        <v>43658</v>
      </c>
    </row>
    <row r="2254" spans="2:10" x14ac:dyDescent="0.15">
      <c r="B2254" s="10" t="s">
        <v>189</v>
      </c>
      <c r="C2254" s="13">
        <v>4</v>
      </c>
      <c r="D2254" s="14">
        <f t="shared" si="156"/>
        <v>4</v>
      </c>
      <c r="E2254" s="12">
        <v>43635</v>
      </c>
      <c r="G2254" s="15"/>
      <c r="H2254" s="7"/>
      <c r="I2254" s="14">
        <f t="shared" si="155"/>
        <v>0</v>
      </c>
      <c r="J2254" s="5"/>
    </row>
    <row r="2255" spans="2:10" x14ac:dyDescent="0.15">
      <c r="B2255" s="10" t="s">
        <v>18</v>
      </c>
      <c r="C2255" s="13">
        <v>14</v>
      </c>
      <c r="D2255" s="14">
        <f>SUM(C2255:C2255)</f>
        <v>14</v>
      </c>
      <c r="E2255" s="12">
        <v>43638</v>
      </c>
      <c r="G2255" s="15"/>
      <c r="H2255" s="7"/>
      <c r="I2255" s="14">
        <f t="shared" ref="I2255:I2265" si="157">SUM(H2255:H2255)</f>
        <v>0</v>
      </c>
      <c r="J2255" s="12"/>
    </row>
    <row r="2256" spans="2:10" x14ac:dyDescent="0.15">
      <c r="B2256" s="10" t="s">
        <v>189</v>
      </c>
      <c r="C2256" s="13">
        <v>1</v>
      </c>
      <c r="D2256" s="14">
        <f t="shared" ref="D2256:D2265" si="158">SUM(C2256:C2256)</f>
        <v>1</v>
      </c>
      <c r="E2256" s="12">
        <v>43637</v>
      </c>
      <c r="G2256" s="15"/>
      <c r="H2256" s="7"/>
      <c r="I2256" s="14">
        <f t="shared" si="157"/>
        <v>0</v>
      </c>
      <c r="J2256" s="12"/>
    </row>
    <row r="2257" spans="2:10" x14ac:dyDescent="0.15">
      <c r="B2257" s="10" t="s">
        <v>18</v>
      </c>
      <c r="C2257" s="13">
        <v>10</v>
      </c>
      <c r="D2257" s="14">
        <f t="shared" si="158"/>
        <v>10</v>
      </c>
      <c r="E2257" s="12">
        <v>43641</v>
      </c>
      <c r="G2257" s="15"/>
      <c r="H2257" s="7"/>
      <c r="I2257" s="14">
        <f t="shared" si="157"/>
        <v>0</v>
      </c>
      <c r="J2257" s="12"/>
    </row>
    <row r="2258" spans="2:10" x14ac:dyDescent="0.15">
      <c r="B2258" s="10" t="s">
        <v>189</v>
      </c>
      <c r="C2258" s="13">
        <v>3</v>
      </c>
      <c r="D2258" s="14">
        <f t="shared" si="158"/>
        <v>3</v>
      </c>
      <c r="E2258" s="12">
        <v>43641</v>
      </c>
      <c r="G2258" s="15"/>
      <c r="H2258" s="7"/>
      <c r="I2258" s="14">
        <f t="shared" si="157"/>
        <v>0</v>
      </c>
      <c r="J2258" s="5"/>
    </row>
    <row r="2259" spans="2:10" x14ac:dyDescent="0.15">
      <c r="B2259" s="10" t="s">
        <v>18</v>
      </c>
      <c r="C2259" s="13">
        <v>3</v>
      </c>
      <c r="D2259" s="14">
        <f t="shared" si="158"/>
        <v>3</v>
      </c>
      <c r="E2259" s="12">
        <v>43643</v>
      </c>
      <c r="G2259" s="15"/>
      <c r="H2259" s="7"/>
      <c r="I2259" s="14">
        <f t="shared" si="157"/>
        <v>0</v>
      </c>
      <c r="J2259" s="12"/>
    </row>
    <row r="2260" spans="2:10" x14ac:dyDescent="0.15">
      <c r="B2260" s="10" t="s">
        <v>189</v>
      </c>
      <c r="C2260" s="13">
        <v>1</v>
      </c>
      <c r="D2260" s="14">
        <f t="shared" si="158"/>
        <v>1</v>
      </c>
      <c r="E2260" s="5">
        <v>43642</v>
      </c>
      <c r="G2260" s="15"/>
      <c r="H2260" s="7"/>
      <c r="I2260" s="14">
        <f t="shared" si="157"/>
        <v>0</v>
      </c>
      <c r="J2260" s="12"/>
    </row>
    <row r="2261" spans="2:10" x14ac:dyDescent="0.15">
      <c r="B2261" s="10" t="s">
        <v>189</v>
      </c>
      <c r="C2261" s="13">
        <v>2</v>
      </c>
      <c r="D2261" s="14">
        <f t="shared" si="158"/>
        <v>2</v>
      </c>
      <c r="E2261" s="5">
        <v>43643</v>
      </c>
      <c r="G2261" s="15" t="s">
        <v>614</v>
      </c>
      <c r="H2261" s="13"/>
      <c r="I2261" s="14">
        <f t="shared" si="157"/>
        <v>0</v>
      </c>
      <c r="J2261" s="12" t="s">
        <v>410</v>
      </c>
    </row>
    <row r="2262" spans="2:10" x14ac:dyDescent="0.15">
      <c r="B2262" s="10" t="s">
        <v>189</v>
      </c>
      <c r="C2262" s="13">
        <v>1</v>
      </c>
      <c r="D2262" s="14">
        <f t="shared" si="158"/>
        <v>1</v>
      </c>
      <c r="E2262" s="5">
        <v>43644</v>
      </c>
      <c r="G2262" s="15" t="s">
        <v>589</v>
      </c>
      <c r="H2262" s="7"/>
      <c r="I2262" s="14">
        <f>SUM(H2262:H2262)</f>
        <v>0</v>
      </c>
      <c r="J2262" s="12" t="s">
        <v>590</v>
      </c>
    </row>
    <row r="2263" spans="2:10" x14ac:dyDescent="0.15">
      <c r="B2263" s="10" t="s">
        <v>18</v>
      </c>
      <c r="C2263" s="13">
        <v>20</v>
      </c>
      <c r="D2263" s="14">
        <f t="shared" si="158"/>
        <v>20</v>
      </c>
      <c r="E2263" s="5">
        <v>43649</v>
      </c>
      <c r="G2263" s="15" t="s">
        <v>623</v>
      </c>
      <c r="H2263" s="7"/>
      <c r="I2263" s="14">
        <f>SUM(H2263:H2263)</f>
        <v>0</v>
      </c>
      <c r="J2263" s="12" t="s">
        <v>639</v>
      </c>
    </row>
    <row r="2264" spans="2:10" ht="14.25" thickBot="1" x14ac:dyDescent="0.2">
      <c r="B2264" s="10" t="s">
        <v>189</v>
      </c>
      <c r="C2264" s="13">
        <v>9</v>
      </c>
      <c r="D2264" s="11">
        <f t="shared" si="158"/>
        <v>9</v>
      </c>
      <c r="E2264" s="12">
        <v>43648</v>
      </c>
      <c r="G2264" s="15" t="s">
        <v>618</v>
      </c>
      <c r="H2264" s="13"/>
      <c r="I2264" s="14">
        <f>SUM(H2264:H2264)</f>
        <v>0</v>
      </c>
      <c r="J2264" s="12" t="s">
        <v>619</v>
      </c>
    </row>
    <row r="2265" spans="2:10" ht="14.25" thickBot="1" x14ac:dyDescent="0.2">
      <c r="B2265" s="17" t="s">
        <v>2</v>
      </c>
      <c r="C2265" s="18">
        <f>SUM(C2241:C2264)</f>
        <v>201</v>
      </c>
      <c r="D2265" s="19">
        <f t="shared" si="158"/>
        <v>201</v>
      </c>
      <c r="E2265" s="20"/>
      <c r="G2265" s="17" t="s">
        <v>2</v>
      </c>
      <c r="H2265" s="18">
        <f>SUM(H2241:H2264)</f>
        <v>2807</v>
      </c>
      <c r="I2265" s="19">
        <f t="shared" si="157"/>
        <v>2807</v>
      </c>
      <c r="J2265" s="20"/>
    </row>
    <row r="2266" spans="2:10" ht="14.25" thickBot="1" x14ac:dyDescent="0.2">
      <c r="B2266" s="46" t="s">
        <v>3</v>
      </c>
      <c r="C2266" s="52">
        <f>C2240-C2265</f>
        <v>308</v>
      </c>
      <c r="D2266" s="48">
        <f>D2240-D2265</f>
        <v>308</v>
      </c>
      <c r="E2266" s="49"/>
      <c r="G2266" s="46" t="s">
        <v>3</v>
      </c>
      <c r="H2266" s="52">
        <f>H2240-H2265</f>
        <v>2914</v>
      </c>
      <c r="I2266" s="48">
        <f>I2240-I2265</f>
        <v>2914</v>
      </c>
      <c r="J2266" s="49"/>
    </row>
    <row r="2269" spans="2:10" ht="18.75" x14ac:dyDescent="0.2">
      <c r="B2269" s="26" t="s">
        <v>7</v>
      </c>
      <c r="G2269" s="26" t="s">
        <v>35</v>
      </c>
    </row>
    <row r="2270" spans="2:10" ht="14.25" thickBot="1" x14ac:dyDescent="0.2"/>
    <row r="2271" spans="2:10" ht="14.25" thickBot="1" x14ac:dyDescent="0.2">
      <c r="B2271" s="1"/>
      <c r="C2271" s="2"/>
      <c r="D2271" s="3" t="s">
        <v>0</v>
      </c>
      <c r="E2271" s="1" t="s">
        <v>4</v>
      </c>
      <c r="G2271" s="1"/>
      <c r="H2271" s="2"/>
      <c r="I2271" s="3" t="s">
        <v>0</v>
      </c>
      <c r="J2271" s="1" t="s">
        <v>4</v>
      </c>
    </row>
    <row r="2272" spans="2:10" x14ac:dyDescent="0.15">
      <c r="B2272" s="42" t="s">
        <v>5</v>
      </c>
      <c r="C2272" s="43">
        <f>C2266</f>
        <v>308</v>
      </c>
      <c r="D2272" s="44">
        <f>SUM(C2272:C2272)</f>
        <v>308</v>
      </c>
      <c r="E2272" s="45"/>
      <c r="G2272" s="42" t="s">
        <v>5</v>
      </c>
      <c r="H2272" s="43">
        <f>H2266</f>
        <v>2914</v>
      </c>
      <c r="I2272" s="44">
        <f>SUM(H2272:H2272)</f>
        <v>2914</v>
      </c>
      <c r="J2272" s="45"/>
    </row>
    <row r="2273" spans="2:11" x14ac:dyDescent="0.15">
      <c r="B2273" s="6" t="s">
        <v>76</v>
      </c>
      <c r="C2273" s="13">
        <v>18</v>
      </c>
      <c r="D2273" s="14">
        <f>SUM(C2273:C2273)</f>
        <v>18</v>
      </c>
      <c r="E2273" s="12">
        <v>43664</v>
      </c>
      <c r="G2273" s="6" t="s">
        <v>6</v>
      </c>
      <c r="H2273" s="170"/>
      <c r="I2273" s="73">
        <f>SUM(H2273:H2273)</f>
        <v>0</v>
      </c>
      <c r="J2273" s="171"/>
    </row>
    <row r="2274" spans="2:11" x14ac:dyDescent="0.15">
      <c r="B2274" s="6" t="s">
        <v>76</v>
      </c>
      <c r="C2274" s="7">
        <v>1</v>
      </c>
      <c r="D2274" s="8">
        <f>SUM(C2274:C2274)</f>
        <v>1</v>
      </c>
      <c r="E2274" s="9">
        <v>43666</v>
      </c>
      <c r="G2274" s="6" t="s">
        <v>6</v>
      </c>
      <c r="H2274" s="13">
        <v>1000</v>
      </c>
      <c r="I2274" s="14">
        <f>SUM(H2274:H2274)</f>
        <v>1000</v>
      </c>
      <c r="J2274" s="169">
        <v>43647</v>
      </c>
      <c r="K2274" t="s">
        <v>658</v>
      </c>
    </row>
    <row r="2275" spans="2:11" ht="14.25" thickBot="1" x14ac:dyDescent="0.2">
      <c r="B2275" s="6" t="s">
        <v>6</v>
      </c>
      <c r="C2275" s="7"/>
      <c r="D2275" s="14">
        <f>SUM(C2275:C2275)</f>
        <v>0</v>
      </c>
      <c r="E2275" s="16"/>
      <c r="G2275" s="6" t="s">
        <v>6</v>
      </c>
      <c r="H2275" s="170"/>
      <c r="I2275" s="73">
        <f>SUM(H2275:H2275)</f>
        <v>0</v>
      </c>
      <c r="J2275" s="171"/>
    </row>
    <row r="2276" spans="2:11" ht="14.25" thickBot="1" x14ac:dyDescent="0.2">
      <c r="B2276" s="46" t="s">
        <v>1</v>
      </c>
      <c r="C2276" s="48">
        <f>SUM(C2272:C2275)</f>
        <v>327</v>
      </c>
      <c r="D2276" s="48">
        <f>SUM(D2272:D2275)</f>
        <v>327</v>
      </c>
      <c r="E2276" s="49"/>
      <c r="G2276" s="46" t="s">
        <v>1</v>
      </c>
      <c r="H2276" s="50">
        <f>SUM(H2272:H2275)</f>
        <v>3914</v>
      </c>
      <c r="I2276" s="48">
        <f>SUM(I2272:I2275)</f>
        <v>3914</v>
      </c>
      <c r="J2276" s="51"/>
    </row>
    <row r="2277" spans="2:11" x14ac:dyDescent="0.15">
      <c r="B2277" s="10" t="s">
        <v>18</v>
      </c>
      <c r="C2277" s="77">
        <v>6</v>
      </c>
      <c r="D2277" s="11">
        <f>SUM(C2277:C2277)</f>
        <v>6</v>
      </c>
      <c r="E2277" s="12">
        <v>43650</v>
      </c>
      <c r="G2277" s="15"/>
      <c r="H2277" s="13"/>
      <c r="I2277" s="11">
        <f>SUM(H2277:H2277)</f>
        <v>0</v>
      </c>
      <c r="J2277" s="12"/>
    </row>
    <row r="2278" spans="2:11" x14ac:dyDescent="0.15">
      <c r="B2278" s="10" t="s">
        <v>189</v>
      </c>
      <c r="C2278" s="13">
        <v>1</v>
      </c>
      <c r="D2278" s="14">
        <f>SUM(C2278:C2278)</f>
        <v>1</v>
      </c>
      <c r="E2278" s="12">
        <v>43649</v>
      </c>
      <c r="G2278" s="81"/>
      <c r="H2278" s="13"/>
      <c r="I2278" s="14">
        <f>SUM(H2278:H2278)</f>
        <v>0</v>
      </c>
      <c r="J2278" s="12"/>
    </row>
    <row r="2279" spans="2:11" x14ac:dyDescent="0.15">
      <c r="B2279" s="10" t="s">
        <v>189</v>
      </c>
      <c r="C2279" s="13">
        <v>1</v>
      </c>
      <c r="D2279" s="14">
        <f>SUM(C2279:C2279)</f>
        <v>1</v>
      </c>
      <c r="E2279" s="12">
        <v>43650</v>
      </c>
      <c r="G2279" s="15"/>
      <c r="H2279" s="13"/>
      <c r="I2279" s="14">
        <f t="shared" ref="I2279:I2301" si="159">SUM(H2279:H2279)</f>
        <v>0</v>
      </c>
      <c r="J2279" s="12"/>
    </row>
    <row r="2280" spans="2:11" x14ac:dyDescent="0.15">
      <c r="B2280" s="10" t="s">
        <v>18</v>
      </c>
      <c r="C2280" s="13">
        <v>5</v>
      </c>
      <c r="D2280" s="14">
        <f t="shared" ref="D2280:D2290" si="160">SUM(C2280:C2280)</f>
        <v>5</v>
      </c>
      <c r="E2280" s="12">
        <v>43651</v>
      </c>
      <c r="G2280" s="15"/>
      <c r="H2280" s="13"/>
      <c r="I2280" s="14">
        <f t="shared" si="159"/>
        <v>0</v>
      </c>
      <c r="J2280" s="12"/>
    </row>
    <row r="2281" spans="2:11" x14ac:dyDescent="0.15">
      <c r="B2281" s="10" t="s">
        <v>18</v>
      </c>
      <c r="C2281" s="13">
        <v>5</v>
      </c>
      <c r="D2281" s="14">
        <f t="shared" si="160"/>
        <v>5</v>
      </c>
      <c r="E2281" s="12">
        <v>43652</v>
      </c>
      <c r="G2281" s="15"/>
      <c r="H2281" s="13"/>
      <c r="I2281" s="14">
        <f t="shared" si="159"/>
        <v>0</v>
      </c>
      <c r="J2281" s="12"/>
    </row>
    <row r="2282" spans="2:11" x14ac:dyDescent="0.15">
      <c r="B2282" s="10" t="s">
        <v>18</v>
      </c>
      <c r="C2282" s="13">
        <v>5</v>
      </c>
      <c r="D2282" s="14">
        <f t="shared" si="160"/>
        <v>5</v>
      </c>
      <c r="E2282" s="12">
        <v>43654</v>
      </c>
      <c r="G2282" s="78"/>
      <c r="H2282" s="13"/>
      <c r="I2282" s="14">
        <f t="shared" si="159"/>
        <v>0</v>
      </c>
      <c r="J2282" s="12"/>
    </row>
    <row r="2283" spans="2:11" x14ac:dyDescent="0.15">
      <c r="B2283" s="10" t="s">
        <v>189</v>
      </c>
      <c r="C2283" s="13">
        <v>1</v>
      </c>
      <c r="D2283" s="14">
        <f t="shared" si="160"/>
        <v>1</v>
      </c>
      <c r="E2283" s="12">
        <v>43652</v>
      </c>
      <c r="G2283" s="78"/>
      <c r="H2283" s="13"/>
      <c r="I2283" s="14">
        <f t="shared" si="159"/>
        <v>0</v>
      </c>
      <c r="J2283" s="12"/>
    </row>
    <row r="2284" spans="2:11" x14ac:dyDescent="0.15">
      <c r="B2284" s="10" t="s">
        <v>189</v>
      </c>
      <c r="C2284" s="13">
        <v>4</v>
      </c>
      <c r="D2284" s="14">
        <f t="shared" si="160"/>
        <v>4</v>
      </c>
      <c r="E2284" s="12">
        <v>43654</v>
      </c>
      <c r="G2284" s="78"/>
      <c r="H2284" s="13"/>
      <c r="I2284" s="14">
        <f t="shared" si="159"/>
        <v>0</v>
      </c>
      <c r="J2284" s="12"/>
    </row>
    <row r="2285" spans="2:11" x14ac:dyDescent="0.15">
      <c r="B2285" s="10" t="s">
        <v>189</v>
      </c>
      <c r="C2285" s="13">
        <v>6</v>
      </c>
      <c r="D2285" s="14">
        <f t="shared" si="160"/>
        <v>6</v>
      </c>
      <c r="E2285" s="12">
        <v>43655</v>
      </c>
      <c r="G2285" s="10"/>
      <c r="H2285" s="13"/>
      <c r="I2285" s="14">
        <f t="shared" si="159"/>
        <v>0</v>
      </c>
      <c r="J2285" s="12"/>
    </row>
    <row r="2286" spans="2:11" x14ac:dyDescent="0.15">
      <c r="B2286" s="10" t="s">
        <v>105</v>
      </c>
      <c r="C2286" s="13">
        <v>-1</v>
      </c>
      <c r="D2286" s="14">
        <f t="shared" si="160"/>
        <v>-1</v>
      </c>
      <c r="E2286" s="12">
        <v>43655</v>
      </c>
      <c r="G2286" s="78"/>
      <c r="H2286" s="13"/>
      <c r="I2286" s="14">
        <f t="shared" si="159"/>
        <v>0</v>
      </c>
      <c r="J2286" s="12"/>
    </row>
    <row r="2287" spans="2:11" x14ac:dyDescent="0.15">
      <c r="B2287" s="10" t="s">
        <v>18</v>
      </c>
      <c r="C2287" s="13">
        <v>9</v>
      </c>
      <c r="D2287" s="14">
        <f t="shared" si="160"/>
        <v>9</v>
      </c>
      <c r="E2287" s="12">
        <v>43657</v>
      </c>
      <c r="G2287" s="15"/>
      <c r="H2287" s="13"/>
      <c r="I2287" s="14">
        <f t="shared" si="159"/>
        <v>0</v>
      </c>
      <c r="J2287" s="5"/>
    </row>
    <row r="2288" spans="2:11" x14ac:dyDescent="0.15">
      <c r="B2288" s="10" t="s">
        <v>189</v>
      </c>
      <c r="C2288" s="13">
        <v>1</v>
      </c>
      <c r="D2288" s="14">
        <f t="shared" si="160"/>
        <v>1</v>
      </c>
      <c r="E2288" s="12">
        <v>43657</v>
      </c>
      <c r="G2288" s="15"/>
      <c r="H2288" s="7"/>
      <c r="I2288" s="14">
        <f t="shared" si="159"/>
        <v>0</v>
      </c>
      <c r="J2288" s="12"/>
    </row>
    <row r="2289" spans="2:10" x14ac:dyDescent="0.15">
      <c r="B2289" s="10" t="s">
        <v>18</v>
      </c>
      <c r="C2289" s="13">
        <v>10</v>
      </c>
      <c r="D2289" s="14">
        <f t="shared" si="160"/>
        <v>10</v>
      </c>
      <c r="E2289" s="12">
        <v>43663</v>
      </c>
      <c r="G2289" s="15"/>
      <c r="H2289" s="7"/>
      <c r="I2289" s="14">
        <f t="shared" si="159"/>
        <v>0</v>
      </c>
      <c r="J2289" s="12"/>
    </row>
    <row r="2290" spans="2:10" x14ac:dyDescent="0.15">
      <c r="B2290" s="10" t="s">
        <v>189</v>
      </c>
      <c r="C2290" s="13">
        <v>6</v>
      </c>
      <c r="D2290" s="14">
        <f t="shared" si="160"/>
        <v>6</v>
      </c>
      <c r="E2290" s="12">
        <v>43662</v>
      </c>
      <c r="G2290" s="15"/>
      <c r="H2290" s="7"/>
      <c r="I2290" s="14">
        <f t="shared" si="159"/>
        <v>0</v>
      </c>
      <c r="J2290" s="5"/>
    </row>
    <row r="2291" spans="2:10" x14ac:dyDescent="0.15">
      <c r="B2291" s="10" t="s">
        <v>189</v>
      </c>
      <c r="C2291" s="13">
        <v>2</v>
      </c>
      <c r="D2291" s="14">
        <f>SUM(C2291:C2291)</f>
        <v>2</v>
      </c>
      <c r="E2291" s="12">
        <v>43663</v>
      </c>
      <c r="G2291" s="15"/>
      <c r="H2291" s="7"/>
      <c r="I2291" s="14">
        <f t="shared" si="159"/>
        <v>0</v>
      </c>
      <c r="J2291" s="12"/>
    </row>
    <row r="2292" spans="2:10" x14ac:dyDescent="0.15">
      <c r="B2292" s="10" t="s">
        <v>18</v>
      </c>
      <c r="C2292" s="13">
        <v>39</v>
      </c>
      <c r="D2292" s="14">
        <f t="shared" ref="D2292:D2301" si="161">SUM(C2292:C2292)</f>
        <v>39</v>
      </c>
      <c r="E2292" s="12">
        <v>43665</v>
      </c>
      <c r="G2292" s="15"/>
      <c r="H2292" s="7"/>
      <c r="I2292" s="14">
        <f t="shared" si="159"/>
        <v>0</v>
      </c>
      <c r="J2292" s="12"/>
    </row>
    <row r="2293" spans="2:10" x14ac:dyDescent="0.15">
      <c r="B2293" s="10" t="s">
        <v>189</v>
      </c>
      <c r="C2293" s="13">
        <v>1</v>
      </c>
      <c r="D2293" s="14">
        <f t="shared" si="161"/>
        <v>1</v>
      </c>
      <c r="E2293" s="12">
        <v>43668</v>
      </c>
      <c r="G2293" s="15"/>
      <c r="H2293" s="7"/>
      <c r="I2293" s="14">
        <f t="shared" si="159"/>
        <v>0</v>
      </c>
      <c r="J2293" s="12"/>
    </row>
    <row r="2294" spans="2:10" x14ac:dyDescent="0.15">
      <c r="B2294" s="10" t="s">
        <v>18</v>
      </c>
      <c r="C2294" s="13">
        <v>23</v>
      </c>
      <c r="D2294" s="14">
        <f t="shared" si="161"/>
        <v>23</v>
      </c>
      <c r="E2294" s="12">
        <v>43671</v>
      </c>
      <c r="G2294" s="15"/>
      <c r="H2294" s="7"/>
      <c r="I2294" s="14">
        <f t="shared" si="159"/>
        <v>0</v>
      </c>
      <c r="J2294" s="5"/>
    </row>
    <row r="2295" spans="2:10" x14ac:dyDescent="0.15">
      <c r="B2295" s="10" t="s">
        <v>189</v>
      </c>
      <c r="C2295" s="13">
        <v>1</v>
      </c>
      <c r="D2295" s="14">
        <f t="shared" si="161"/>
        <v>1</v>
      </c>
      <c r="E2295" s="12">
        <v>43670</v>
      </c>
      <c r="G2295" s="15"/>
      <c r="H2295" s="7"/>
      <c r="I2295" s="14">
        <f t="shared" si="159"/>
        <v>0</v>
      </c>
      <c r="J2295" s="12"/>
    </row>
    <row r="2296" spans="2:10" x14ac:dyDescent="0.15">
      <c r="B2296" s="10" t="s">
        <v>18</v>
      </c>
      <c r="C2296" s="13">
        <v>29</v>
      </c>
      <c r="D2296" s="14">
        <f t="shared" si="161"/>
        <v>29</v>
      </c>
      <c r="E2296" s="5">
        <v>43672</v>
      </c>
      <c r="G2296" s="15"/>
      <c r="H2296" s="7"/>
      <c r="I2296" s="14">
        <f t="shared" si="159"/>
        <v>0</v>
      </c>
      <c r="J2296" s="12"/>
    </row>
    <row r="2297" spans="2:10" x14ac:dyDescent="0.15">
      <c r="B2297" s="10" t="s">
        <v>189</v>
      </c>
      <c r="C2297" s="13">
        <v>2</v>
      </c>
      <c r="D2297" s="14">
        <f t="shared" si="161"/>
        <v>2</v>
      </c>
      <c r="E2297" s="5">
        <v>43672</v>
      </c>
      <c r="G2297" s="15" t="s">
        <v>627</v>
      </c>
      <c r="H2297" s="7"/>
      <c r="I2297" s="14">
        <f>SUM(H2297:H2297)</f>
        <v>0</v>
      </c>
      <c r="J2297" s="12" t="s">
        <v>628</v>
      </c>
    </row>
    <row r="2298" spans="2:10" x14ac:dyDescent="0.15">
      <c r="B2298" s="10" t="s">
        <v>18</v>
      </c>
      <c r="C2298" s="13">
        <v>20</v>
      </c>
      <c r="D2298" s="14">
        <f t="shared" si="161"/>
        <v>20</v>
      </c>
      <c r="E2298" s="5">
        <v>43676</v>
      </c>
      <c r="G2298" s="15" t="s">
        <v>624</v>
      </c>
      <c r="H2298" s="7"/>
      <c r="I2298" s="14">
        <f>SUM(H2298:H2298)</f>
        <v>0</v>
      </c>
      <c r="J2298" s="12" t="s">
        <v>610</v>
      </c>
    </row>
    <row r="2299" spans="2:10" x14ac:dyDescent="0.15">
      <c r="B2299" s="10" t="s">
        <v>189</v>
      </c>
      <c r="C2299" s="13">
        <v>3</v>
      </c>
      <c r="D2299" s="14">
        <f t="shared" si="161"/>
        <v>3</v>
      </c>
      <c r="E2299" s="5">
        <v>43675</v>
      </c>
      <c r="G2299" s="15" t="s">
        <v>597</v>
      </c>
      <c r="H2299" s="7"/>
      <c r="I2299" s="14">
        <f t="shared" si="159"/>
        <v>0</v>
      </c>
      <c r="J2299" s="12" t="s">
        <v>596</v>
      </c>
    </row>
    <row r="2300" spans="2:10" ht="14.25" thickBot="1" x14ac:dyDescent="0.2">
      <c r="B2300" s="10" t="s">
        <v>18</v>
      </c>
      <c r="C2300" s="13">
        <v>23</v>
      </c>
      <c r="D2300" s="11">
        <f t="shared" si="161"/>
        <v>23</v>
      </c>
      <c r="E2300" s="12">
        <v>43677</v>
      </c>
      <c r="G2300" s="15" t="s">
        <v>637</v>
      </c>
      <c r="H2300" s="7"/>
      <c r="I2300" s="14">
        <v>0</v>
      </c>
      <c r="J2300" s="12" t="s">
        <v>656</v>
      </c>
    </row>
    <row r="2301" spans="2:10" ht="14.25" thickBot="1" x14ac:dyDescent="0.2">
      <c r="B2301" s="17" t="s">
        <v>2</v>
      </c>
      <c r="C2301" s="18">
        <f>SUM(C2277:C2300)</f>
        <v>202</v>
      </c>
      <c r="D2301" s="19">
        <f t="shared" si="161"/>
        <v>202</v>
      </c>
      <c r="E2301" s="20"/>
      <c r="G2301" s="17" t="s">
        <v>2</v>
      </c>
      <c r="H2301" s="18">
        <f>SUM(H2277:H2300)</f>
        <v>0</v>
      </c>
      <c r="I2301" s="19">
        <f t="shared" si="159"/>
        <v>0</v>
      </c>
      <c r="J2301" s="20"/>
    </row>
    <row r="2302" spans="2:10" ht="14.25" thickBot="1" x14ac:dyDescent="0.2">
      <c r="B2302" s="46" t="s">
        <v>3</v>
      </c>
      <c r="C2302" s="52">
        <f>C2276-C2301</f>
        <v>125</v>
      </c>
      <c r="D2302" s="48">
        <f>D2276-D2301</f>
        <v>125</v>
      </c>
      <c r="E2302" s="49"/>
      <c r="G2302" s="46" t="s">
        <v>3</v>
      </c>
      <c r="H2302" s="52">
        <f>H2276-H2301</f>
        <v>3914</v>
      </c>
      <c r="I2302" s="48">
        <f>I2276-I2301</f>
        <v>3914</v>
      </c>
      <c r="J2302" s="49"/>
    </row>
    <row r="2305" spans="2:10" ht="18.75" x14ac:dyDescent="0.2">
      <c r="B2305" s="26" t="s">
        <v>7</v>
      </c>
      <c r="G2305" s="26" t="s">
        <v>35</v>
      </c>
    </row>
    <row r="2306" spans="2:10" ht="14.25" thickBot="1" x14ac:dyDescent="0.2"/>
    <row r="2307" spans="2:10" ht="14.25" thickBot="1" x14ac:dyDescent="0.2">
      <c r="B2307" s="1"/>
      <c r="C2307" s="2"/>
      <c r="D2307" s="3" t="s">
        <v>0</v>
      </c>
      <c r="E2307" s="1" t="s">
        <v>4</v>
      </c>
      <c r="G2307" s="1"/>
      <c r="H2307" s="2"/>
      <c r="I2307" s="3" t="s">
        <v>0</v>
      </c>
      <c r="J2307" s="1" t="s">
        <v>4</v>
      </c>
    </row>
    <row r="2308" spans="2:10" x14ac:dyDescent="0.15">
      <c r="B2308" s="42" t="s">
        <v>5</v>
      </c>
      <c r="C2308" s="43">
        <f>C2302</f>
        <v>125</v>
      </c>
      <c r="D2308" s="44">
        <f>SUM(C2308:C2308)</f>
        <v>125</v>
      </c>
      <c r="E2308" s="45"/>
      <c r="G2308" s="42" t="s">
        <v>5</v>
      </c>
      <c r="H2308" s="43">
        <f>H2302</f>
        <v>3914</v>
      </c>
      <c r="I2308" s="44">
        <f>SUM(H2308:H2308)</f>
        <v>3914</v>
      </c>
      <c r="J2308" s="45"/>
    </row>
    <row r="2309" spans="2:10" x14ac:dyDescent="0.15">
      <c r="B2309" s="6" t="s">
        <v>6</v>
      </c>
      <c r="C2309" s="13">
        <v>336</v>
      </c>
      <c r="D2309" s="14">
        <f>SUM(C2309:C2309)</f>
        <v>336</v>
      </c>
      <c r="E2309" s="12">
        <v>43697</v>
      </c>
      <c r="G2309" s="6" t="s">
        <v>6</v>
      </c>
      <c r="H2309" s="170"/>
      <c r="I2309" s="73">
        <f>SUM(H2309:H2309)</f>
        <v>0</v>
      </c>
      <c r="J2309" s="171"/>
    </row>
    <row r="2310" spans="2:10" x14ac:dyDescent="0.15">
      <c r="B2310" s="6" t="s">
        <v>76</v>
      </c>
      <c r="C2310" s="7">
        <v>29</v>
      </c>
      <c r="D2310" s="8">
        <f>SUM(C2310:C2310)</f>
        <v>29</v>
      </c>
      <c r="E2310" s="9">
        <v>43693</v>
      </c>
      <c r="G2310" s="6" t="s">
        <v>6</v>
      </c>
      <c r="H2310" s="13"/>
      <c r="I2310" s="14">
        <f>SUM(H2310:H2310)</f>
        <v>0</v>
      </c>
      <c r="J2310" s="169"/>
    </row>
    <row r="2311" spans="2:10" ht="14.25" thickBot="1" x14ac:dyDescent="0.2">
      <c r="B2311" s="6" t="s">
        <v>105</v>
      </c>
      <c r="C2311" s="7">
        <v>1</v>
      </c>
      <c r="D2311" s="14">
        <f>SUM(C2311:C2311)</f>
        <v>1</v>
      </c>
      <c r="E2311" s="16">
        <v>43704</v>
      </c>
      <c r="F2311" s="25"/>
      <c r="G2311" s="6" t="s">
        <v>6</v>
      </c>
      <c r="H2311" s="170"/>
      <c r="I2311" s="73">
        <f>SUM(H2311:H2311)</f>
        <v>0</v>
      </c>
      <c r="J2311" s="171"/>
    </row>
    <row r="2312" spans="2:10" ht="14.25" thickBot="1" x14ac:dyDescent="0.2">
      <c r="B2312" s="46" t="s">
        <v>1</v>
      </c>
      <c r="C2312" s="48">
        <f>SUM(C2308:C2311)</f>
        <v>491</v>
      </c>
      <c r="D2312" s="48">
        <f>SUM(D2308:D2311)</f>
        <v>491</v>
      </c>
      <c r="E2312" s="49"/>
      <c r="G2312" s="46" t="s">
        <v>1</v>
      </c>
      <c r="H2312" s="50">
        <f>SUM(H2308:H2311)</f>
        <v>3914</v>
      </c>
      <c r="I2312" s="48">
        <f>SUM(I2308:I2311)</f>
        <v>3914</v>
      </c>
      <c r="J2312" s="51"/>
    </row>
    <row r="2313" spans="2:10" x14ac:dyDescent="0.15">
      <c r="B2313" s="10" t="s">
        <v>189</v>
      </c>
      <c r="C2313" s="77">
        <v>2</v>
      </c>
      <c r="D2313" s="11">
        <f>SUM(C2313:C2313)</f>
        <v>2</v>
      </c>
      <c r="E2313" s="12">
        <v>43677</v>
      </c>
      <c r="G2313" s="15" t="s">
        <v>657</v>
      </c>
      <c r="H2313" s="13">
        <v>1010</v>
      </c>
      <c r="I2313" s="11">
        <f>SUM(H2313:H2313)</f>
        <v>1010</v>
      </c>
      <c r="J2313" s="12">
        <v>43686</v>
      </c>
    </row>
    <row r="2314" spans="2:10" x14ac:dyDescent="0.15">
      <c r="B2314" s="10" t="s">
        <v>189</v>
      </c>
      <c r="C2314" s="13">
        <v>1</v>
      </c>
      <c r="D2314" s="14">
        <f>SUM(C2314:C2314)</f>
        <v>1</v>
      </c>
      <c r="E2314" s="12">
        <v>43678</v>
      </c>
      <c r="G2314" s="81" t="s">
        <v>12</v>
      </c>
      <c r="H2314" s="13">
        <v>336</v>
      </c>
      <c r="I2314" s="14">
        <f>SUM(H2314:H2314)</f>
        <v>336</v>
      </c>
      <c r="J2314" s="12">
        <v>43697</v>
      </c>
    </row>
    <row r="2315" spans="2:10" x14ac:dyDescent="0.15">
      <c r="B2315" s="10" t="s">
        <v>18</v>
      </c>
      <c r="C2315" s="13">
        <v>13</v>
      </c>
      <c r="D2315" s="14">
        <f>SUM(C2315:C2315)</f>
        <v>13</v>
      </c>
      <c r="E2315" s="12">
        <v>43680</v>
      </c>
      <c r="G2315" s="15"/>
      <c r="H2315" s="13"/>
      <c r="I2315" s="14">
        <f t="shared" ref="I2315:I2332" si="162">SUM(H2315:H2315)</f>
        <v>0</v>
      </c>
      <c r="J2315" s="12"/>
    </row>
    <row r="2316" spans="2:10" x14ac:dyDescent="0.15">
      <c r="B2316" s="10" t="s">
        <v>189</v>
      </c>
      <c r="C2316" s="13">
        <v>2</v>
      </c>
      <c r="D2316" s="14">
        <f t="shared" ref="D2316:D2326" si="163">SUM(C2316:C2316)</f>
        <v>2</v>
      </c>
      <c r="E2316" s="12">
        <v>43679</v>
      </c>
      <c r="G2316" s="15"/>
      <c r="H2316" s="13"/>
      <c r="I2316" s="14">
        <f t="shared" si="162"/>
        <v>0</v>
      </c>
      <c r="J2316" s="12"/>
    </row>
    <row r="2317" spans="2:10" x14ac:dyDescent="0.15">
      <c r="B2317" s="10" t="s">
        <v>18</v>
      </c>
      <c r="C2317" s="13">
        <v>4</v>
      </c>
      <c r="D2317" s="14">
        <f t="shared" si="163"/>
        <v>4</v>
      </c>
      <c r="E2317" s="12">
        <v>43682</v>
      </c>
      <c r="G2317" s="15"/>
      <c r="H2317" s="13"/>
      <c r="I2317" s="14">
        <f t="shared" si="162"/>
        <v>0</v>
      </c>
      <c r="J2317" s="12"/>
    </row>
    <row r="2318" spans="2:10" x14ac:dyDescent="0.15">
      <c r="B2318" s="10" t="s">
        <v>189</v>
      </c>
      <c r="C2318" s="13">
        <v>8</v>
      </c>
      <c r="D2318" s="14">
        <f t="shared" si="163"/>
        <v>8</v>
      </c>
      <c r="E2318" s="12">
        <v>43682</v>
      </c>
      <c r="G2318" s="78"/>
      <c r="H2318" s="13"/>
      <c r="I2318" s="14">
        <f t="shared" si="162"/>
        <v>0</v>
      </c>
      <c r="J2318" s="12"/>
    </row>
    <row r="2319" spans="2:10" x14ac:dyDescent="0.15">
      <c r="B2319" s="10" t="s">
        <v>18</v>
      </c>
      <c r="C2319" s="13">
        <v>31</v>
      </c>
      <c r="D2319" s="14">
        <f t="shared" si="163"/>
        <v>31</v>
      </c>
      <c r="E2319" s="12">
        <v>43684</v>
      </c>
      <c r="G2319" s="78"/>
      <c r="H2319" s="13"/>
      <c r="I2319" s="14">
        <f t="shared" si="162"/>
        <v>0</v>
      </c>
      <c r="J2319" s="12"/>
    </row>
    <row r="2320" spans="2:10" x14ac:dyDescent="0.15">
      <c r="B2320" s="10" t="s">
        <v>189</v>
      </c>
      <c r="C2320" s="13">
        <v>3</v>
      </c>
      <c r="D2320" s="14">
        <f t="shared" si="163"/>
        <v>3</v>
      </c>
      <c r="E2320" s="12">
        <v>43685</v>
      </c>
      <c r="G2320" s="78"/>
      <c r="H2320" s="13"/>
      <c r="I2320" s="14">
        <f t="shared" si="162"/>
        <v>0</v>
      </c>
      <c r="J2320" s="12"/>
    </row>
    <row r="2321" spans="2:11" x14ac:dyDescent="0.15">
      <c r="B2321" s="10" t="s">
        <v>189</v>
      </c>
      <c r="C2321" s="13">
        <v>1</v>
      </c>
      <c r="D2321" s="14">
        <f t="shared" si="163"/>
        <v>1</v>
      </c>
      <c r="E2321" s="12">
        <v>43686</v>
      </c>
      <c r="G2321" s="10"/>
      <c r="H2321" s="13"/>
      <c r="I2321" s="14">
        <f t="shared" si="162"/>
        <v>0</v>
      </c>
      <c r="J2321" s="12"/>
    </row>
    <row r="2322" spans="2:11" x14ac:dyDescent="0.15">
      <c r="B2322" s="10" t="s">
        <v>18</v>
      </c>
      <c r="C2322" s="13">
        <v>33</v>
      </c>
      <c r="D2322" s="14">
        <f t="shared" si="163"/>
        <v>33</v>
      </c>
      <c r="E2322" s="12">
        <v>43696</v>
      </c>
      <c r="G2322" s="78"/>
      <c r="H2322" s="13"/>
      <c r="I2322" s="14">
        <f t="shared" si="162"/>
        <v>0</v>
      </c>
      <c r="J2322" s="12"/>
    </row>
    <row r="2323" spans="2:11" x14ac:dyDescent="0.15">
      <c r="B2323" s="10" t="s">
        <v>189</v>
      </c>
      <c r="C2323" s="13">
        <v>1</v>
      </c>
      <c r="D2323" s="14">
        <f t="shared" si="163"/>
        <v>1</v>
      </c>
      <c r="E2323" s="12">
        <v>43693</v>
      </c>
      <c r="G2323" s="15"/>
      <c r="H2323" s="13"/>
      <c r="I2323" s="14">
        <f t="shared" si="162"/>
        <v>0</v>
      </c>
      <c r="J2323" s="5"/>
    </row>
    <row r="2324" spans="2:11" x14ac:dyDescent="0.15">
      <c r="B2324" s="10" t="s">
        <v>189</v>
      </c>
      <c r="C2324" s="13">
        <v>3</v>
      </c>
      <c r="D2324" s="14">
        <f t="shared" si="163"/>
        <v>3</v>
      </c>
      <c r="E2324" s="12">
        <v>43696</v>
      </c>
      <c r="G2324" s="15"/>
      <c r="H2324" s="7"/>
      <c r="I2324" s="14">
        <f t="shared" si="162"/>
        <v>0</v>
      </c>
      <c r="J2324" s="12"/>
    </row>
    <row r="2325" spans="2:11" x14ac:dyDescent="0.15">
      <c r="B2325" s="10" t="s">
        <v>18</v>
      </c>
      <c r="C2325" s="13">
        <v>58</v>
      </c>
      <c r="D2325" s="14">
        <f t="shared" si="163"/>
        <v>58</v>
      </c>
      <c r="E2325" s="12">
        <v>43698</v>
      </c>
      <c r="G2325" s="15"/>
      <c r="H2325" s="7"/>
      <c r="I2325" s="14">
        <f t="shared" si="162"/>
        <v>0</v>
      </c>
      <c r="J2325" s="12"/>
    </row>
    <row r="2326" spans="2:11" x14ac:dyDescent="0.15">
      <c r="B2326" s="10" t="s">
        <v>18</v>
      </c>
      <c r="C2326" s="13">
        <v>7</v>
      </c>
      <c r="D2326" s="14">
        <f t="shared" si="163"/>
        <v>7</v>
      </c>
      <c r="E2326" s="12">
        <v>43699</v>
      </c>
      <c r="G2326" s="15"/>
      <c r="H2326" s="7"/>
      <c r="I2326" s="14">
        <f t="shared" si="162"/>
        <v>0</v>
      </c>
      <c r="J2326" s="5"/>
    </row>
    <row r="2327" spans="2:11" x14ac:dyDescent="0.15">
      <c r="B2327" s="10" t="s">
        <v>18</v>
      </c>
      <c r="C2327" s="13">
        <v>10</v>
      </c>
      <c r="D2327" s="14">
        <f>SUM(C2327:C2327)</f>
        <v>10</v>
      </c>
      <c r="E2327" s="12">
        <v>43701</v>
      </c>
      <c r="G2327" s="15"/>
      <c r="H2327" s="7"/>
      <c r="I2327" s="14">
        <f t="shared" si="162"/>
        <v>0</v>
      </c>
      <c r="J2327" s="12"/>
    </row>
    <row r="2328" spans="2:11" x14ac:dyDescent="0.15">
      <c r="B2328" s="10" t="s">
        <v>189</v>
      </c>
      <c r="C2328" s="13">
        <v>1</v>
      </c>
      <c r="D2328" s="14">
        <f t="shared" ref="D2328:D2337" si="164">SUM(C2328:C2328)</f>
        <v>1</v>
      </c>
      <c r="E2328" s="12">
        <v>43703</v>
      </c>
      <c r="G2328" s="15"/>
      <c r="H2328" s="7"/>
      <c r="I2328" s="14">
        <f t="shared" si="162"/>
        <v>0</v>
      </c>
      <c r="J2328" s="12"/>
    </row>
    <row r="2329" spans="2:11" x14ac:dyDescent="0.15">
      <c r="B2329" s="10" t="s">
        <v>18</v>
      </c>
      <c r="C2329" s="13">
        <v>11</v>
      </c>
      <c r="D2329" s="14">
        <f t="shared" si="164"/>
        <v>11</v>
      </c>
      <c r="E2329" s="12">
        <v>43705</v>
      </c>
      <c r="G2329" s="15"/>
      <c r="H2329" s="7"/>
      <c r="I2329" s="14">
        <f t="shared" si="162"/>
        <v>0</v>
      </c>
      <c r="J2329" s="12"/>
    </row>
    <row r="2330" spans="2:11" x14ac:dyDescent="0.15">
      <c r="B2330" s="10" t="s">
        <v>18</v>
      </c>
      <c r="C2330" s="13">
        <v>17</v>
      </c>
      <c r="D2330" s="14">
        <f t="shared" si="164"/>
        <v>17</v>
      </c>
      <c r="E2330" s="12">
        <v>43711</v>
      </c>
      <c r="G2330" s="15"/>
      <c r="H2330" s="7"/>
      <c r="I2330" s="14">
        <f t="shared" si="162"/>
        <v>0</v>
      </c>
      <c r="J2330" s="5"/>
    </row>
    <row r="2331" spans="2:11" x14ac:dyDescent="0.15">
      <c r="B2331" s="10" t="s">
        <v>189</v>
      </c>
      <c r="C2331" s="13">
        <v>1</v>
      </c>
      <c r="D2331" s="14">
        <f t="shared" si="164"/>
        <v>1</v>
      </c>
      <c r="E2331" s="12">
        <v>43710</v>
      </c>
      <c r="G2331" s="15"/>
      <c r="H2331" s="7"/>
      <c r="I2331" s="14">
        <f t="shared" si="162"/>
        <v>0</v>
      </c>
      <c r="J2331" s="12"/>
    </row>
    <row r="2332" spans="2:11" x14ac:dyDescent="0.15">
      <c r="B2332" s="10" t="s">
        <v>189</v>
      </c>
      <c r="C2332" s="13">
        <v>1</v>
      </c>
      <c r="D2332" s="14">
        <f t="shared" si="164"/>
        <v>1</v>
      </c>
      <c r="E2332" s="5">
        <v>43711</v>
      </c>
      <c r="G2332" s="15"/>
      <c r="H2332" s="7"/>
      <c r="I2332" s="14">
        <f t="shared" si="162"/>
        <v>0</v>
      </c>
      <c r="J2332" s="12"/>
    </row>
    <row r="2333" spans="2:11" x14ac:dyDescent="0.15">
      <c r="B2333" s="10" t="s">
        <v>18</v>
      </c>
      <c r="C2333" s="13">
        <v>7</v>
      </c>
      <c r="D2333" s="14">
        <f t="shared" si="164"/>
        <v>7</v>
      </c>
      <c r="E2333" s="5">
        <v>43717</v>
      </c>
      <c r="G2333" s="15"/>
      <c r="H2333" s="7"/>
      <c r="I2333" s="14">
        <f>SUM(H2333:H2333)</f>
        <v>0</v>
      </c>
      <c r="J2333" s="12"/>
    </row>
    <row r="2334" spans="2:11" x14ac:dyDescent="0.15">
      <c r="B2334" s="10" t="s">
        <v>18</v>
      </c>
      <c r="C2334" s="13">
        <v>9</v>
      </c>
      <c r="D2334" s="14">
        <f t="shared" si="164"/>
        <v>9</v>
      </c>
      <c r="E2334" s="5">
        <v>43720</v>
      </c>
      <c r="G2334" s="15" t="s">
        <v>654</v>
      </c>
      <c r="H2334" s="7"/>
      <c r="I2334" s="14">
        <f>SUM(H2334:H2334)</f>
        <v>0</v>
      </c>
      <c r="J2334" s="12"/>
      <c r="K2334" t="s">
        <v>655</v>
      </c>
    </row>
    <row r="2335" spans="2:11" x14ac:dyDescent="0.15">
      <c r="B2335" s="10" t="s">
        <v>105</v>
      </c>
      <c r="C2335" s="13">
        <v>-1</v>
      </c>
      <c r="D2335" s="14">
        <f t="shared" si="164"/>
        <v>-1</v>
      </c>
      <c r="E2335" s="5">
        <v>43720</v>
      </c>
      <c r="G2335" s="15" t="s">
        <v>647</v>
      </c>
      <c r="H2335" s="7"/>
      <c r="I2335" s="14">
        <f>SUM(H2335:H2335)</f>
        <v>0</v>
      </c>
      <c r="J2335" s="12" t="s">
        <v>648</v>
      </c>
    </row>
    <row r="2336" spans="2:11" ht="14.25" thickBot="1" x14ac:dyDescent="0.2">
      <c r="B2336" s="10"/>
      <c r="C2336" s="13"/>
      <c r="D2336" s="11">
        <f t="shared" si="164"/>
        <v>0</v>
      </c>
      <c r="E2336" s="12"/>
      <c r="G2336" s="15" t="s">
        <v>608</v>
      </c>
      <c r="H2336" s="7"/>
      <c r="I2336" s="14">
        <f>SUM(H2336:H2336)</f>
        <v>0</v>
      </c>
      <c r="J2336" s="12" t="s">
        <v>609</v>
      </c>
    </row>
    <row r="2337" spans="2:10" ht="14.25" thickBot="1" x14ac:dyDescent="0.2">
      <c r="B2337" s="17" t="s">
        <v>2</v>
      </c>
      <c r="C2337" s="18">
        <f>SUM(C2313:C2336)</f>
        <v>223</v>
      </c>
      <c r="D2337" s="19">
        <f t="shared" si="164"/>
        <v>223</v>
      </c>
      <c r="E2337" s="20"/>
      <c r="G2337" s="17" t="s">
        <v>2</v>
      </c>
      <c r="H2337" s="18">
        <f>SUM(H2313:H2336)</f>
        <v>1346</v>
      </c>
      <c r="I2337" s="19">
        <f>SUM(H2337:H2337)</f>
        <v>1346</v>
      </c>
      <c r="J2337" s="20"/>
    </row>
    <row r="2338" spans="2:10" ht="14.25" thickBot="1" x14ac:dyDescent="0.2">
      <c r="B2338" s="46" t="s">
        <v>3</v>
      </c>
      <c r="C2338" s="52">
        <f>C2312-C2337</f>
        <v>268</v>
      </c>
      <c r="D2338" s="48">
        <f>D2312-D2337</f>
        <v>268</v>
      </c>
      <c r="E2338" s="49"/>
      <c r="G2338" s="46" t="s">
        <v>3</v>
      </c>
      <c r="H2338" s="52">
        <f>H2312-H2337</f>
        <v>2568</v>
      </c>
      <c r="I2338" s="48">
        <f>I2312-I2337</f>
        <v>2568</v>
      </c>
      <c r="J2338" s="49"/>
    </row>
    <row r="2341" spans="2:10" ht="18.75" x14ac:dyDescent="0.2">
      <c r="B2341" s="26" t="s">
        <v>7</v>
      </c>
      <c r="G2341" s="26" t="s">
        <v>35</v>
      </c>
    </row>
    <row r="2342" spans="2:10" ht="14.25" thickBot="1" x14ac:dyDescent="0.2"/>
    <row r="2343" spans="2:10" ht="14.25" thickBot="1" x14ac:dyDescent="0.2">
      <c r="B2343" s="1"/>
      <c r="C2343" s="2"/>
      <c r="D2343" s="3" t="s">
        <v>0</v>
      </c>
      <c r="E2343" s="1" t="s">
        <v>4</v>
      </c>
      <c r="G2343" s="1"/>
      <c r="H2343" s="2"/>
      <c r="I2343" s="3" t="s">
        <v>0</v>
      </c>
      <c r="J2343" s="1" t="s">
        <v>4</v>
      </c>
    </row>
    <row r="2344" spans="2:10" x14ac:dyDescent="0.15">
      <c r="B2344" s="42" t="s">
        <v>5</v>
      </c>
      <c r="C2344" s="43">
        <f>C2338</f>
        <v>268</v>
      </c>
      <c r="D2344" s="44">
        <f>SUM(C2344:C2344)</f>
        <v>268</v>
      </c>
      <c r="E2344" s="45"/>
      <c r="G2344" s="42" t="s">
        <v>5</v>
      </c>
      <c r="H2344" s="43">
        <f>H2338</f>
        <v>2568</v>
      </c>
      <c r="I2344" s="44">
        <f>SUM(H2344:H2344)</f>
        <v>2568</v>
      </c>
      <c r="J2344" s="45"/>
    </row>
    <row r="2345" spans="2:10" x14ac:dyDescent="0.15">
      <c r="B2345" s="6" t="s">
        <v>76</v>
      </c>
      <c r="C2345" s="13">
        <v>196</v>
      </c>
      <c r="D2345" s="14">
        <f>SUM(C2345:C2345)</f>
        <v>196</v>
      </c>
      <c r="E2345" s="12">
        <v>43720</v>
      </c>
      <c r="G2345" s="6" t="s">
        <v>6</v>
      </c>
      <c r="H2345" s="170"/>
      <c r="I2345" s="73">
        <f>SUM(H2345:H2345)</f>
        <v>0</v>
      </c>
      <c r="J2345" s="171"/>
    </row>
    <row r="2346" spans="2:10" x14ac:dyDescent="0.15">
      <c r="B2346" s="6" t="s">
        <v>76</v>
      </c>
      <c r="C2346" s="7">
        <v>19</v>
      </c>
      <c r="D2346" s="8">
        <f>SUM(C2346:C2346)</f>
        <v>19</v>
      </c>
      <c r="E2346" s="9">
        <v>43726</v>
      </c>
      <c r="G2346" s="6" t="s">
        <v>6</v>
      </c>
      <c r="H2346" s="13"/>
      <c r="I2346" s="14">
        <f>SUM(H2346:H2346)</f>
        <v>0</v>
      </c>
      <c r="J2346" s="169"/>
    </row>
    <row r="2347" spans="2:10" ht="14.25" thickBot="1" x14ac:dyDescent="0.2">
      <c r="B2347" s="6" t="s">
        <v>76</v>
      </c>
      <c r="C2347" s="7">
        <v>9</v>
      </c>
      <c r="D2347" s="14">
        <f>SUM(C2347:C2347)</f>
        <v>9</v>
      </c>
      <c r="E2347" s="16">
        <v>43755</v>
      </c>
      <c r="F2347" s="25"/>
      <c r="G2347" s="6" t="s">
        <v>6</v>
      </c>
      <c r="H2347" s="170"/>
      <c r="I2347" s="73">
        <f>SUM(H2347:H2347)</f>
        <v>0</v>
      </c>
      <c r="J2347" s="171"/>
    </row>
    <row r="2348" spans="2:10" ht="14.25" thickBot="1" x14ac:dyDescent="0.2">
      <c r="B2348" s="46" t="s">
        <v>1</v>
      </c>
      <c r="C2348" s="48">
        <f>SUM(C2344:C2347)</f>
        <v>492</v>
      </c>
      <c r="D2348" s="48">
        <f>SUM(D2344:D2347)</f>
        <v>492</v>
      </c>
      <c r="E2348" s="49"/>
      <c r="G2348" s="46" t="s">
        <v>1</v>
      </c>
      <c r="H2348" s="50">
        <f>SUM(H2344:H2347)</f>
        <v>2568</v>
      </c>
      <c r="I2348" s="48">
        <f>SUM(I2344:I2347)</f>
        <v>2568</v>
      </c>
      <c r="J2348" s="51"/>
    </row>
    <row r="2349" spans="2:10" x14ac:dyDescent="0.15">
      <c r="B2349" s="10" t="s">
        <v>18</v>
      </c>
      <c r="C2349" s="77">
        <v>11</v>
      </c>
      <c r="D2349" s="11">
        <f>SUM(C2349:C2349)</f>
        <v>11</v>
      </c>
      <c r="E2349" s="12">
        <v>43726</v>
      </c>
      <c r="G2349" s="15"/>
      <c r="H2349" s="13"/>
      <c r="I2349" s="11">
        <f>SUM(H2349:H2349)</f>
        <v>0</v>
      </c>
      <c r="J2349" s="12"/>
    </row>
    <row r="2350" spans="2:10" x14ac:dyDescent="0.15">
      <c r="B2350" s="10" t="s">
        <v>189</v>
      </c>
      <c r="C2350" s="13">
        <v>4</v>
      </c>
      <c r="D2350" s="14">
        <f>SUM(C2350:C2350)</f>
        <v>4</v>
      </c>
      <c r="E2350" s="12">
        <v>43724</v>
      </c>
      <c r="G2350" s="81"/>
      <c r="H2350" s="13"/>
      <c r="I2350" s="14">
        <f>SUM(H2350:H2350)</f>
        <v>0</v>
      </c>
      <c r="J2350" s="12"/>
    </row>
    <row r="2351" spans="2:10" x14ac:dyDescent="0.15">
      <c r="B2351" s="10" t="s">
        <v>189</v>
      </c>
      <c r="C2351" s="13">
        <v>2</v>
      </c>
      <c r="D2351" s="14">
        <f>SUM(C2351:C2351)</f>
        <v>2</v>
      </c>
      <c r="E2351" s="12">
        <v>43725</v>
      </c>
      <c r="G2351" s="15"/>
      <c r="H2351" s="13"/>
      <c r="I2351" s="14">
        <f t="shared" ref="I2351:I2368" si="165">SUM(H2351:H2351)</f>
        <v>0</v>
      </c>
      <c r="J2351" s="12"/>
    </row>
    <row r="2352" spans="2:10" x14ac:dyDescent="0.15">
      <c r="B2352" s="10" t="s">
        <v>189</v>
      </c>
      <c r="C2352" s="13">
        <v>2</v>
      </c>
      <c r="D2352" s="14">
        <f t="shared" ref="D2352:D2362" si="166">SUM(C2352:C2352)</f>
        <v>2</v>
      </c>
      <c r="E2352" s="12">
        <v>43726</v>
      </c>
      <c r="G2352" s="15"/>
      <c r="H2352" s="13"/>
      <c r="I2352" s="14">
        <f t="shared" si="165"/>
        <v>0</v>
      </c>
      <c r="J2352" s="12"/>
    </row>
    <row r="2353" spans="2:10" x14ac:dyDescent="0.15">
      <c r="B2353" s="10" t="s">
        <v>18</v>
      </c>
      <c r="C2353" s="13">
        <v>2</v>
      </c>
      <c r="D2353" s="14">
        <f t="shared" si="166"/>
        <v>2</v>
      </c>
      <c r="E2353" s="12">
        <v>43728</v>
      </c>
      <c r="G2353" s="15"/>
      <c r="H2353" s="13"/>
      <c r="I2353" s="14">
        <f t="shared" si="165"/>
        <v>0</v>
      </c>
      <c r="J2353" s="12"/>
    </row>
    <row r="2354" spans="2:10" x14ac:dyDescent="0.15">
      <c r="B2354" s="10" t="s">
        <v>189</v>
      </c>
      <c r="C2354" s="13">
        <v>1</v>
      </c>
      <c r="D2354" s="14">
        <f t="shared" si="166"/>
        <v>1</v>
      </c>
      <c r="E2354" s="12">
        <v>43727</v>
      </c>
      <c r="G2354" s="78"/>
      <c r="H2354" s="13"/>
      <c r="I2354" s="14">
        <f t="shared" si="165"/>
        <v>0</v>
      </c>
      <c r="J2354" s="12"/>
    </row>
    <row r="2355" spans="2:10" x14ac:dyDescent="0.15">
      <c r="B2355" s="10" t="s">
        <v>189</v>
      </c>
      <c r="C2355" s="13">
        <v>3</v>
      </c>
      <c r="D2355" s="14">
        <f t="shared" si="166"/>
        <v>3</v>
      </c>
      <c r="E2355" s="12">
        <v>43728</v>
      </c>
      <c r="G2355" s="78"/>
      <c r="H2355" s="13"/>
      <c r="I2355" s="14">
        <f t="shared" si="165"/>
        <v>0</v>
      </c>
      <c r="J2355" s="12"/>
    </row>
    <row r="2356" spans="2:10" x14ac:dyDescent="0.15">
      <c r="B2356" s="10" t="s">
        <v>18</v>
      </c>
      <c r="C2356" s="13">
        <v>10</v>
      </c>
      <c r="D2356" s="14">
        <f t="shared" si="166"/>
        <v>10</v>
      </c>
      <c r="E2356" s="12">
        <v>43733</v>
      </c>
      <c r="G2356" s="78"/>
      <c r="H2356" s="13"/>
      <c r="I2356" s="14">
        <f t="shared" si="165"/>
        <v>0</v>
      </c>
      <c r="J2356" s="12"/>
    </row>
    <row r="2357" spans="2:10" x14ac:dyDescent="0.15">
      <c r="B2357" s="10" t="s">
        <v>189</v>
      </c>
      <c r="C2357" s="13">
        <v>1</v>
      </c>
      <c r="D2357" s="14">
        <f t="shared" si="166"/>
        <v>1</v>
      </c>
      <c r="E2357" s="12">
        <v>43732</v>
      </c>
      <c r="G2357" s="10"/>
      <c r="H2357" s="13"/>
      <c r="I2357" s="14">
        <f t="shared" si="165"/>
        <v>0</v>
      </c>
      <c r="J2357" s="12"/>
    </row>
    <row r="2358" spans="2:10" x14ac:dyDescent="0.15">
      <c r="B2358" s="10" t="s">
        <v>18</v>
      </c>
      <c r="C2358" s="13">
        <v>6</v>
      </c>
      <c r="D2358" s="14">
        <f t="shared" si="166"/>
        <v>6</v>
      </c>
      <c r="E2358" s="12">
        <v>43735</v>
      </c>
      <c r="G2358" s="78"/>
      <c r="H2358" s="13"/>
      <c r="I2358" s="14">
        <f t="shared" si="165"/>
        <v>0</v>
      </c>
      <c r="J2358" s="12"/>
    </row>
    <row r="2359" spans="2:10" x14ac:dyDescent="0.15">
      <c r="B2359" s="10" t="s">
        <v>18</v>
      </c>
      <c r="C2359" s="13">
        <v>1</v>
      </c>
      <c r="D2359" s="14">
        <f t="shared" si="166"/>
        <v>1</v>
      </c>
      <c r="E2359" s="12">
        <v>43738</v>
      </c>
      <c r="G2359" s="15"/>
      <c r="H2359" s="13"/>
      <c r="I2359" s="14">
        <f t="shared" si="165"/>
        <v>0</v>
      </c>
      <c r="J2359" s="5"/>
    </row>
    <row r="2360" spans="2:10" x14ac:dyDescent="0.15">
      <c r="B2360" s="10" t="s">
        <v>18</v>
      </c>
      <c r="C2360" s="13">
        <v>20</v>
      </c>
      <c r="D2360" s="14">
        <f t="shared" si="166"/>
        <v>20</v>
      </c>
      <c r="E2360" s="12">
        <v>43739</v>
      </c>
      <c r="G2360" s="15"/>
      <c r="H2360" s="7"/>
      <c r="I2360" s="14">
        <f t="shared" si="165"/>
        <v>0</v>
      </c>
      <c r="J2360" s="12"/>
    </row>
    <row r="2361" spans="2:10" x14ac:dyDescent="0.15">
      <c r="B2361" s="10" t="s">
        <v>189</v>
      </c>
      <c r="C2361" s="13">
        <v>3</v>
      </c>
      <c r="D2361" s="14">
        <f t="shared" si="166"/>
        <v>3</v>
      </c>
      <c r="E2361" s="12">
        <v>43738</v>
      </c>
      <c r="G2361" s="15"/>
      <c r="H2361" s="7"/>
      <c r="I2361" s="14">
        <f t="shared" si="165"/>
        <v>0</v>
      </c>
      <c r="J2361" s="12"/>
    </row>
    <row r="2362" spans="2:10" x14ac:dyDescent="0.15">
      <c r="B2362" s="10" t="s">
        <v>18</v>
      </c>
      <c r="C2362" s="13">
        <v>8</v>
      </c>
      <c r="D2362" s="14">
        <f t="shared" si="166"/>
        <v>8</v>
      </c>
      <c r="E2362" s="12">
        <v>43740</v>
      </c>
      <c r="G2362" s="15"/>
      <c r="H2362" s="7"/>
      <c r="I2362" s="14">
        <f t="shared" si="165"/>
        <v>0</v>
      </c>
      <c r="J2362" s="5"/>
    </row>
    <row r="2363" spans="2:10" x14ac:dyDescent="0.15">
      <c r="B2363" s="10" t="s">
        <v>18</v>
      </c>
      <c r="C2363" s="13">
        <v>2</v>
      </c>
      <c r="D2363" s="14">
        <f>SUM(C2363:C2363)</f>
        <v>2</v>
      </c>
      <c r="E2363" s="12">
        <v>43742</v>
      </c>
      <c r="G2363" s="15"/>
      <c r="H2363" s="7"/>
      <c r="I2363" s="14">
        <f t="shared" si="165"/>
        <v>0</v>
      </c>
      <c r="J2363" s="12"/>
    </row>
    <row r="2364" spans="2:10" x14ac:dyDescent="0.15">
      <c r="B2364" s="10" t="s">
        <v>189</v>
      </c>
      <c r="C2364" s="13">
        <v>1</v>
      </c>
      <c r="D2364" s="14">
        <f t="shared" ref="D2364:D2373" si="167">SUM(C2364:C2364)</f>
        <v>1</v>
      </c>
      <c r="E2364" s="12">
        <v>43742</v>
      </c>
      <c r="G2364" s="15"/>
      <c r="H2364" s="7"/>
      <c r="I2364" s="14">
        <f t="shared" si="165"/>
        <v>0</v>
      </c>
      <c r="J2364" s="12"/>
    </row>
    <row r="2365" spans="2:10" x14ac:dyDescent="0.15">
      <c r="B2365" s="10" t="s">
        <v>189</v>
      </c>
      <c r="C2365" s="13">
        <v>1</v>
      </c>
      <c r="D2365" s="14">
        <f t="shared" si="167"/>
        <v>1</v>
      </c>
      <c r="E2365" s="12">
        <v>43746</v>
      </c>
      <c r="G2365" s="15"/>
      <c r="H2365" s="7"/>
      <c r="I2365" s="14">
        <f t="shared" si="165"/>
        <v>0</v>
      </c>
      <c r="J2365" s="12"/>
    </row>
    <row r="2366" spans="2:10" x14ac:dyDescent="0.15">
      <c r="B2366" s="10" t="s">
        <v>18</v>
      </c>
      <c r="C2366" s="13">
        <v>4</v>
      </c>
      <c r="D2366" s="14">
        <f t="shared" si="167"/>
        <v>4</v>
      </c>
      <c r="E2366" s="12">
        <v>43754</v>
      </c>
      <c r="G2366" s="15"/>
      <c r="H2366" s="7"/>
      <c r="I2366" s="14">
        <f t="shared" si="165"/>
        <v>0</v>
      </c>
      <c r="J2366" s="5"/>
    </row>
    <row r="2367" spans="2:10" x14ac:dyDescent="0.15">
      <c r="B2367" s="10" t="s">
        <v>18</v>
      </c>
      <c r="C2367" s="13">
        <v>1</v>
      </c>
      <c r="D2367" s="14">
        <f t="shared" si="167"/>
        <v>1</v>
      </c>
      <c r="E2367" s="12">
        <v>43762</v>
      </c>
      <c r="G2367" s="15"/>
      <c r="H2367" s="7"/>
      <c r="I2367" s="14">
        <f t="shared" si="165"/>
        <v>0</v>
      </c>
      <c r="J2367" s="12"/>
    </row>
    <row r="2368" spans="2:10" x14ac:dyDescent="0.15">
      <c r="B2368" s="10" t="s">
        <v>189</v>
      </c>
      <c r="C2368" s="13">
        <v>1</v>
      </c>
      <c r="D2368" s="14">
        <f t="shared" si="167"/>
        <v>1</v>
      </c>
      <c r="E2368" s="5">
        <v>43761</v>
      </c>
      <c r="G2368" s="15"/>
      <c r="H2368" s="7"/>
      <c r="I2368" s="14">
        <f t="shared" si="165"/>
        <v>0</v>
      </c>
      <c r="J2368" s="12"/>
    </row>
    <row r="2369" spans="2:10" x14ac:dyDescent="0.15">
      <c r="B2369" s="10" t="s">
        <v>189</v>
      </c>
      <c r="C2369" s="13">
        <v>1</v>
      </c>
      <c r="D2369" s="14">
        <f t="shared" si="167"/>
        <v>1</v>
      </c>
      <c r="E2369" s="5">
        <v>43770</v>
      </c>
      <c r="G2369" s="15"/>
      <c r="H2369" s="7"/>
      <c r="I2369" s="14">
        <f>SUM(H2369:H2369)</f>
        <v>0</v>
      </c>
      <c r="J2369" s="12"/>
    </row>
    <row r="2370" spans="2:10" x14ac:dyDescent="0.15">
      <c r="B2370" s="10" t="s">
        <v>18</v>
      </c>
      <c r="C2370" s="13">
        <v>3</v>
      </c>
      <c r="D2370" s="14">
        <f t="shared" si="167"/>
        <v>3</v>
      </c>
      <c r="E2370" s="5">
        <v>43771</v>
      </c>
      <c r="G2370" s="15"/>
      <c r="H2370" s="7"/>
      <c r="I2370" s="14">
        <f>SUM(H2370:H2370)</f>
        <v>0</v>
      </c>
      <c r="J2370" s="12"/>
    </row>
    <row r="2371" spans="2:10" x14ac:dyDescent="0.15">
      <c r="B2371" s="10" t="s">
        <v>189</v>
      </c>
      <c r="C2371" s="13">
        <v>1</v>
      </c>
      <c r="D2371" s="14">
        <f t="shared" si="167"/>
        <v>1</v>
      </c>
      <c r="E2371" s="5">
        <v>43775</v>
      </c>
      <c r="G2371" s="15"/>
      <c r="H2371" s="7"/>
      <c r="I2371" s="14">
        <f>SUM(H2371:H2371)</f>
        <v>0</v>
      </c>
      <c r="J2371" s="12"/>
    </row>
    <row r="2372" spans="2:10" ht="14.25" thickBot="1" x14ac:dyDescent="0.2">
      <c r="B2372" s="10" t="s">
        <v>18</v>
      </c>
      <c r="C2372" s="13">
        <v>5</v>
      </c>
      <c r="D2372" s="11">
        <f t="shared" si="167"/>
        <v>5</v>
      </c>
      <c r="E2372" s="12">
        <v>43783</v>
      </c>
      <c r="G2372" s="15"/>
      <c r="H2372" s="7"/>
      <c r="I2372" s="14">
        <f>SUM(H2372:H2372)</f>
        <v>0</v>
      </c>
      <c r="J2372" s="12"/>
    </row>
    <row r="2373" spans="2:10" ht="14.25" thickBot="1" x14ac:dyDescent="0.2">
      <c r="B2373" s="17" t="s">
        <v>2</v>
      </c>
      <c r="C2373" s="18">
        <f>SUM(C2349:C2372)</f>
        <v>94</v>
      </c>
      <c r="D2373" s="19">
        <f t="shared" si="167"/>
        <v>94</v>
      </c>
      <c r="E2373" s="20"/>
      <c r="G2373" s="17" t="s">
        <v>2</v>
      </c>
      <c r="H2373" s="18">
        <f>SUM(H2349:H2372)</f>
        <v>0</v>
      </c>
      <c r="I2373" s="19">
        <f>SUM(H2373:H2373)</f>
        <v>0</v>
      </c>
      <c r="J2373" s="20"/>
    </row>
    <row r="2374" spans="2:10" ht="14.25" thickBot="1" x14ac:dyDescent="0.2">
      <c r="B2374" s="46" t="s">
        <v>3</v>
      </c>
      <c r="C2374" s="52">
        <f>C2348-C2373</f>
        <v>398</v>
      </c>
      <c r="D2374" s="48">
        <f>D2348-D2373</f>
        <v>398</v>
      </c>
      <c r="E2374" s="49"/>
      <c r="G2374" s="46" t="s">
        <v>3</v>
      </c>
      <c r="H2374" s="52">
        <f>H2348-H2373</f>
        <v>2568</v>
      </c>
      <c r="I2374" s="48">
        <f>I2348-I2373</f>
        <v>2568</v>
      </c>
      <c r="J2374" s="49"/>
    </row>
    <row r="2377" spans="2:10" ht="18.75" x14ac:dyDescent="0.2">
      <c r="B2377" s="26" t="s">
        <v>7</v>
      </c>
      <c r="G2377" s="26" t="s">
        <v>35</v>
      </c>
    </row>
    <row r="2378" spans="2:10" ht="14.25" thickBot="1" x14ac:dyDescent="0.2"/>
    <row r="2379" spans="2:10" ht="14.25" thickBot="1" x14ac:dyDescent="0.2">
      <c r="B2379" s="1"/>
      <c r="C2379" s="2"/>
      <c r="D2379" s="3" t="s">
        <v>0</v>
      </c>
      <c r="E2379" s="1" t="s">
        <v>4</v>
      </c>
      <c r="G2379" s="1"/>
      <c r="H2379" s="2"/>
      <c r="I2379" s="3" t="s">
        <v>0</v>
      </c>
      <c r="J2379" s="1" t="s">
        <v>4</v>
      </c>
    </row>
    <row r="2380" spans="2:10" x14ac:dyDescent="0.15">
      <c r="B2380" s="42" t="s">
        <v>5</v>
      </c>
      <c r="C2380" s="43">
        <f>C2374</f>
        <v>398</v>
      </c>
      <c r="D2380" s="44">
        <f>SUM(C2380:C2380)</f>
        <v>398</v>
      </c>
      <c r="E2380" s="45"/>
      <c r="G2380" s="42" t="s">
        <v>5</v>
      </c>
      <c r="H2380" s="43">
        <f>H2374</f>
        <v>2568</v>
      </c>
      <c r="I2380" s="44">
        <f>SUM(H2380:H2380)</f>
        <v>2568</v>
      </c>
      <c r="J2380" s="45"/>
    </row>
    <row r="2381" spans="2:10" x14ac:dyDescent="0.15">
      <c r="B2381" s="6" t="s">
        <v>6</v>
      </c>
      <c r="C2381" s="13"/>
      <c r="D2381" s="14">
        <f>SUM(C2381:C2381)</f>
        <v>0</v>
      </c>
      <c r="E2381" s="12"/>
      <c r="G2381" s="6" t="s">
        <v>6</v>
      </c>
      <c r="H2381" s="170">
        <v>3000</v>
      </c>
      <c r="I2381" s="73">
        <f>SUM(H2381:H2381)</f>
        <v>3000</v>
      </c>
      <c r="J2381" s="171" t="s">
        <v>679</v>
      </c>
    </row>
    <row r="2382" spans="2:10" x14ac:dyDescent="0.15">
      <c r="B2382" s="6" t="s">
        <v>6</v>
      </c>
      <c r="C2382" s="7"/>
      <c r="D2382" s="8">
        <f>SUM(C2382:C2382)</f>
        <v>0</v>
      </c>
      <c r="E2382" s="9"/>
      <c r="G2382" s="6" t="s">
        <v>6</v>
      </c>
      <c r="H2382" s="13">
        <v>1000</v>
      </c>
      <c r="I2382" s="14">
        <f>SUM(H2382:H2382)</f>
        <v>1000</v>
      </c>
      <c r="J2382" s="169" t="s">
        <v>680</v>
      </c>
    </row>
    <row r="2383" spans="2:10" ht="14.25" thickBot="1" x14ac:dyDescent="0.2">
      <c r="B2383" s="6" t="s">
        <v>6</v>
      </c>
      <c r="C2383" s="7"/>
      <c r="D2383" s="14">
        <f>SUM(C2383:C2383)</f>
        <v>0</v>
      </c>
      <c r="E2383" s="16"/>
      <c r="F2383" s="25"/>
      <c r="G2383" s="6" t="s">
        <v>6</v>
      </c>
      <c r="H2383" s="170"/>
      <c r="I2383" s="73">
        <f>SUM(H2383:H2383)</f>
        <v>0</v>
      </c>
      <c r="J2383" s="171"/>
    </row>
    <row r="2384" spans="2:10" ht="14.25" thickBot="1" x14ac:dyDescent="0.2">
      <c r="B2384" s="46" t="s">
        <v>1</v>
      </c>
      <c r="C2384" s="48">
        <f>SUM(C2380:C2383)</f>
        <v>398</v>
      </c>
      <c r="D2384" s="48">
        <f>SUM(D2380:D2383)</f>
        <v>398</v>
      </c>
      <c r="E2384" s="49"/>
      <c r="G2384" s="46" t="s">
        <v>1</v>
      </c>
      <c r="H2384" s="50">
        <f>SUM(H2380:H2383)</f>
        <v>6568</v>
      </c>
      <c r="I2384" s="48">
        <f>SUM(I2380:I2383)</f>
        <v>6568</v>
      </c>
      <c r="J2384" s="51"/>
    </row>
    <row r="2385" spans="2:10" x14ac:dyDescent="0.15">
      <c r="B2385" s="71" t="s">
        <v>18</v>
      </c>
      <c r="C2385" s="77">
        <v>2</v>
      </c>
      <c r="D2385" s="11">
        <f>SUM(C2385:C2385)</f>
        <v>2</v>
      </c>
      <c r="E2385" s="12">
        <v>43784</v>
      </c>
      <c r="G2385" s="15" t="s">
        <v>673</v>
      </c>
      <c r="H2385" s="13">
        <v>200</v>
      </c>
      <c r="I2385" s="11">
        <f>SUM(H2385:H2385)</f>
        <v>200</v>
      </c>
      <c r="J2385" s="173">
        <v>43916</v>
      </c>
    </row>
    <row r="2386" spans="2:10" x14ac:dyDescent="0.15">
      <c r="B2386" s="10" t="s">
        <v>189</v>
      </c>
      <c r="C2386" s="13">
        <v>2</v>
      </c>
      <c r="D2386" s="14">
        <f>SUM(C2386:C2386)</f>
        <v>2</v>
      </c>
      <c r="E2386" s="12">
        <v>43795</v>
      </c>
      <c r="G2386" s="15" t="s">
        <v>681</v>
      </c>
      <c r="H2386" s="13">
        <v>350</v>
      </c>
      <c r="I2386" s="14">
        <f>SUM(H2386:H2386)</f>
        <v>350</v>
      </c>
      <c r="J2386" s="12">
        <v>43931</v>
      </c>
    </row>
    <row r="2387" spans="2:10" x14ac:dyDescent="0.15">
      <c r="B2387" s="71" t="s">
        <v>18</v>
      </c>
      <c r="C2387" s="13">
        <v>2</v>
      </c>
      <c r="D2387" s="14">
        <f>SUM(C2387:C2387)</f>
        <v>2</v>
      </c>
      <c r="E2387" s="12">
        <v>43802</v>
      </c>
      <c r="G2387" s="15" t="s">
        <v>685</v>
      </c>
      <c r="H2387" s="13">
        <v>500</v>
      </c>
      <c r="I2387" s="14">
        <f t="shared" ref="I2387:I2404" si="168">SUM(H2387:H2387)</f>
        <v>500</v>
      </c>
      <c r="J2387" s="12">
        <v>43938</v>
      </c>
    </row>
    <row r="2388" spans="2:10" x14ac:dyDescent="0.15">
      <c r="B2388" s="71" t="s">
        <v>18</v>
      </c>
      <c r="C2388" s="13">
        <v>1</v>
      </c>
      <c r="D2388" s="14">
        <f t="shared" ref="D2388:D2398" si="169">SUM(C2388:C2388)</f>
        <v>1</v>
      </c>
      <c r="E2388" s="12">
        <v>43803</v>
      </c>
      <c r="G2388" s="15" t="s">
        <v>686</v>
      </c>
      <c r="H2388" s="13">
        <v>200</v>
      </c>
      <c r="I2388" s="14">
        <f t="shared" si="168"/>
        <v>200</v>
      </c>
      <c r="J2388" s="12">
        <v>43939</v>
      </c>
    </row>
    <row r="2389" spans="2:10" x14ac:dyDescent="0.15">
      <c r="B2389" s="10" t="s">
        <v>189</v>
      </c>
      <c r="C2389" s="13">
        <v>1</v>
      </c>
      <c r="D2389" s="14">
        <f t="shared" si="169"/>
        <v>1</v>
      </c>
      <c r="E2389" s="12">
        <v>43805</v>
      </c>
      <c r="G2389" s="15" t="s">
        <v>689</v>
      </c>
      <c r="H2389" s="13">
        <v>300</v>
      </c>
      <c r="I2389" s="14">
        <f t="shared" si="168"/>
        <v>300</v>
      </c>
      <c r="J2389" s="12">
        <v>43946</v>
      </c>
    </row>
    <row r="2390" spans="2:10" x14ac:dyDescent="0.15">
      <c r="B2390" s="10" t="s">
        <v>189</v>
      </c>
      <c r="C2390" s="13">
        <v>1</v>
      </c>
      <c r="D2390" s="14">
        <f t="shared" si="169"/>
        <v>1</v>
      </c>
      <c r="E2390" s="12">
        <v>43812</v>
      </c>
      <c r="G2390" s="78"/>
      <c r="H2390" s="13"/>
      <c r="I2390" s="14">
        <f t="shared" si="168"/>
        <v>0</v>
      </c>
      <c r="J2390" s="12"/>
    </row>
    <row r="2391" spans="2:10" x14ac:dyDescent="0.15">
      <c r="B2391" s="71" t="s">
        <v>18</v>
      </c>
      <c r="C2391" s="13">
        <v>1</v>
      </c>
      <c r="D2391" s="14">
        <f t="shared" si="169"/>
        <v>1</v>
      </c>
      <c r="E2391" s="12">
        <v>43818</v>
      </c>
      <c r="G2391" s="78"/>
      <c r="H2391" s="13"/>
      <c r="I2391" s="14">
        <f t="shared" si="168"/>
        <v>0</v>
      </c>
      <c r="J2391" s="12"/>
    </row>
    <row r="2392" spans="2:10" x14ac:dyDescent="0.15">
      <c r="B2392" s="10" t="s">
        <v>189</v>
      </c>
      <c r="C2392" s="13">
        <v>3</v>
      </c>
      <c r="D2392" s="14">
        <f t="shared" si="169"/>
        <v>3</v>
      </c>
      <c r="E2392" s="12">
        <v>43817</v>
      </c>
      <c r="G2392" s="78"/>
      <c r="H2392" s="13"/>
      <c r="I2392" s="14">
        <f t="shared" si="168"/>
        <v>0</v>
      </c>
      <c r="J2392" s="12"/>
    </row>
    <row r="2393" spans="2:10" x14ac:dyDescent="0.15">
      <c r="B2393" s="10" t="s">
        <v>189</v>
      </c>
      <c r="C2393" s="13">
        <v>1</v>
      </c>
      <c r="D2393" s="14">
        <f t="shared" si="169"/>
        <v>1</v>
      </c>
      <c r="E2393" s="12">
        <v>43819</v>
      </c>
      <c r="G2393" s="10"/>
      <c r="H2393" s="13"/>
      <c r="I2393" s="14">
        <f t="shared" si="168"/>
        <v>0</v>
      </c>
      <c r="J2393" s="12"/>
    </row>
    <row r="2394" spans="2:10" x14ac:dyDescent="0.15">
      <c r="B2394" s="10" t="s">
        <v>189</v>
      </c>
      <c r="C2394" s="13">
        <v>1</v>
      </c>
      <c r="D2394" s="14">
        <f t="shared" si="169"/>
        <v>1</v>
      </c>
      <c r="E2394" s="12">
        <v>43820</v>
      </c>
      <c r="G2394" s="78"/>
      <c r="H2394" s="13"/>
      <c r="I2394" s="14">
        <f t="shared" si="168"/>
        <v>0</v>
      </c>
      <c r="J2394" s="12"/>
    </row>
    <row r="2395" spans="2:10" x14ac:dyDescent="0.15">
      <c r="B2395" s="10" t="s">
        <v>189</v>
      </c>
      <c r="C2395" s="13">
        <v>1</v>
      </c>
      <c r="D2395" s="14">
        <f t="shared" si="169"/>
        <v>1</v>
      </c>
      <c r="E2395" s="12">
        <v>43835</v>
      </c>
      <c r="G2395" s="15"/>
      <c r="H2395" s="13"/>
      <c r="I2395" s="14">
        <f t="shared" si="168"/>
        <v>0</v>
      </c>
      <c r="J2395" s="5"/>
    </row>
    <row r="2396" spans="2:10" x14ac:dyDescent="0.15">
      <c r="B2396" s="71" t="s">
        <v>18</v>
      </c>
      <c r="C2396" s="13">
        <v>1</v>
      </c>
      <c r="D2396" s="14">
        <f t="shared" si="169"/>
        <v>1</v>
      </c>
      <c r="E2396" s="12">
        <v>43845</v>
      </c>
      <c r="G2396" s="15"/>
      <c r="H2396" s="7"/>
      <c r="I2396" s="14">
        <f t="shared" si="168"/>
        <v>0</v>
      </c>
      <c r="J2396" s="12"/>
    </row>
    <row r="2397" spans="2:10" x14ac:dyDescent="0.15">
      <c r="B2397" s="10" t="s">
        <v>189</v>
      </c>
      <c r="C2397" s="13">
        <v>1</v>
      </c>
      <c r="D2397" s="14">
        <f t="shared" si="169"/>
        <v>1</v>
      </c>
      <c r="E2397" s="12">
        <v>43850</v>
      </c>
      <c r="G2397" s="15"/>
      <c r="H2397" s="7"/>
      <c r="I2397" s="14">
        <f t="shared" si="168"/>
        <v>0</v>
      </c>
      <c r="J2397" s="12"/>
    </row>
    <row r="2398" spans="2:10" x14ac:dyDescent="0.15">
      <c r="B2398" s="10" t="s">
        <v>189</v>
      </c>
      <c r="C2398" s="13">
        <v>1</v>
      </c>
      <c r="D2398" s="14">
        <f t="shared" si="169"/>
        <v>1</v>
      </c>
      <c r="E2398" s="12">
        <v>43871</v>
      </c>
      <c r="G2398" s="15"/>
      <c r="H2398" s="7"/>
      <c r="I2398" s="14">
        <f t="shared" si="168"/>
        <v>0</v>
      </c>
      <c r="J2398" s="5"/>
    </row>
    <row r="2399" spans="2:10" x14ac:dyDescent="0.15">
      <c r="B2399" s="10" t="s">
        <v>189</v>
      </c>
      <c r="C2399" s="13">
        <v>1</v>
      </c>
      <c r="D2399" s="14">
        <f>SUM(C2399:C2399)</f>
        <v>1</v>
      </c>
      <c r="E2399" s="12">
        <v>43887</v>
      </c>
      <c r="G2399" s="15"/>
      <c r="H2399" s="7"/>
      <c r="I2399" s="14">
        <f t="shared" si="168"/>
        <v>0</v>
      </c>
      <c r="J2399" s="12"/>
    </row>
    <row r="2400" spans="2:10" x14ac:dyDescent="0.15">
      <c r="B2400" s="15" t="s">
        <v>676</v>
      </c>
      <c r="C2400" s="13">
        <v>10</v>
      </c>
      <c r="D2400" s="14">
        <f t="shared" ref="D2400:D2409" si="170">SUM(C2400:C2400)</f>
        <v>10</v>
      </c>
      <c r="E2400" s="12">
        <v>43924</v>
      </c>
      <c r="G2400" s="15"/>
      <c r="H2400" s="7"/>
      <c r="I2400" s="14">
        <f t="shared" si="168"/>
        <v>0</v>
      </c>
      <c r="J2400" s="12"/>
    </row>
    <row r="2401" spans="2:11" x14ac:dyDescent="0.15">
      <c r="B2401" s="71" t="s">
        <v>18</v>
      </c>
      <c r="C2401" s="13">
        <v>18</v>
      </c>
      <c r="D2401" s="14">
        <f t="shared" si="170"/>
        <v>18</v>
      </c>
      <c r="E2401" s="12">
        <v>43927</v>
      </c>
      <c r="G2401" s="15"/>
      <c r="H2401" s="7"/>
      <c r="I2401" s="14">
        <f t="shared" si="168"/>
        <v>0</v>
      </c>
      <c r="J2401" s="12"/>
    </row>
    <row r="2402" spans="2:11" x14ac:dyDescent="0.15">
      <c r="B2402" s="10" t="s">
        <v>189</v>
      </c>
      <c r="C2402" s="13">
        <v>1</v>
      </c>
      <c r="D2402" s="14">
        <f t="shared" si="170"/>
        <v>1</v>
      </c>
      <c r="E2402" s="12">
        <v>43928</v>
      </c>
      <c r="G2402" s="15"/>
      <c r="H2402" s="7"/>
      <c r="I2402" s="14">
        <f t="shared" si="168"/>
        <v>0</v>
      </c>
      <c r="J2402" s="67"/>
      <c r="K2402" s="86"/>
    </row>
    <row r="2403" spans="2:11" x14ac:dyDescent="0.15">
      <c r="B2403" s="89" t="s">
        <v>682</v>
      </c>
      <c r="C2403" s="13">
        <v>100</v>
      </c>
      <c r="D2403" s="14">
        <f t="shared" si="170"/>
        <v>100</v>
      </c>
      <c r="E2403" s="12">
        <v>43930</v>
      </c>
      <c r="G2403" s="15"/>
      <c r="H2403" s="7"/>
      <c r="I2403" s="14">
        <f t="shared" si="168"/>
        <v>0</v>
      </c>
      <c r="J2403" s="12"/>
    </row>
    <row r="2404" spans="2:11" x14ac:dyDescent="0.15">
      <c r="B2404" s="10" t="s">
        <v>18</v>
      </c>
      <c r="C2404" s="13">
        <v>5</v>
      </c>
      <c r="D2404" s="14">
        <f t="shared" si="170"/>
        <v>5</v>
      </c>
      <c r="E2404" s="5">
        <v>43932</v>
      </c>
      <c r="G2404" s="15"/>
      <c r="H2404" s="7"/>
      <c r="I2404" s="14">
        <f t="shared" si="168"/>
        <v>0</v>
      </c>
      <c r="J2404" s="12"/>
    </row>
    <row r="2405" spans="2:11" x14ac:dyDescent="0.15">
      <c r="B2405" s="10" t="s">
        <v>189</v>
      </c>
      <c r="C2405" s="13">
        <v>1</v>
      </c>
      <c r="D2405" s="14">
        <f t="shared" si="170"/>
        <v>1</v>
      </c>
      <c r="E2405" s="5">
        <v>43931</v>
      </c>
      <c r="G2405" s="15"/>
      <c r="H2405" s="7"/>
      <c r="I2405" s="14">
        <f>SUM(H2405:H2405)</f>
        <v>0</v>
      </c>
      <c r="J2405" s="12"/>
    </row>
    <row r="2406" spans="2:11" x14ac:dyDescent="0.15">
      <c r="B2406" s="71" t="s">
        <v>18</v>
      </c>
      <c r="C2406" s="13">
        <v>44</v>
      </c>
      <c r="D2406" s="14">
        <f t="shared" si="170"/>
        <v>44</v>
      </c>
      <c r="E2406" s="5">
        <v>43935</v>
      </c>
      <c r="G2406" s="15" t="s">
        <v>664</v>
      </c>
      <c r="H2406" s="7"/>
      <c r="I2406" s="14">
        <f>SUM(H2406:H2406)</f>
        <v>0</v>
      </c>
      <c r="J2406" s="12" t="s">
        <v>665</v>
      </c>
    </row>
    <row r="2407" spans="2:11" x14ac:dyDescent="0.15">
      <c r="B2407" s="71" t="s">
        <v>18</v>
      </c>
      <c r="C2407" s="13">
        <v>2</v>
      </c>
      <c r="D2407" s="14">
        <f t="shared" si="170"/>
        <v>2</v>
      </c>
      <c r="E2407" s="5">
        <v>43938</v>
      </c>
      <c r="G2407" s="15" t="s">
        <v>662</v>
      </c>
      <c r="H2407" s="7"/>
      <c r="I2407" s="14">
        <f>SUM(H2407:H2407)</f>
        <v>0</v>
      </c>
      <c r="J2407" s="67" t="s">
        <v>663</v>
      </c>
      <c r="K2407" s="86"/>
    </row>
    <row r="2408" spans="2:11" ht="14.25" thickBot="1" x14ac:dyDescent="0.2">
      <c r="B2408" s="71" t="s">
        <v>18</v>
      </c>
      <c r="C2408" s="13">
        <v>16</v>
      </c>
      <c r="D2408" s="11">
        <f t="shared" si="170"/>
        <v>16</v>
      </c>
      <c r="E2408" s="12">
        <v>43942</v>
      </c>
      <c r="G2408" s="15" t="s">
        <v>670</v>
      </c>
      <c r="H2408" s="7"/>
      <c r="I2408" s="14">
        <f>SUM(H2408:H2408)</f>
        <v>0</v>
      </c>
      <c r="J2408" s="12" t="s">
        <v>659</v>
      </c>
    </row>
    <row r="2409" spans="2:11" ht="14.25" thickBot="1" x14ac:dyDescent="0.2">
      <c r="B2409" s="17" t="s">
        <v>2</v>
      </c>
      <c r="C2409" s="18">
        <f>SUM(C2385:C2408)</f>
        <v>217</v>
      </c>
      <c r="D2409" s="19">
        <f t="shared" si="170"/>
        <v>217</v>
      </c>
      <c r="E2409" s="20"/>
      <c r="G2409" s="17" t="s">
        <v>2</v>
      </c>
      <c r="H2409" s="18">
        <f>SUM(H2385:H2408)</f>
        <v>1550</v>
      </c>
      <c r="I2409" s="19">
        <f>SUM(H2409:H2409)</f>
        <v>1550</v>
      </c>
      <c r="J2409" s="20"/>
    </row>
    <row r="2410" spans="2:11" ht="14.25" thickBot="1" x14ac:dyDescent="0.2">
      <c r="B2410" s="46" t="s">
        <v>3</v>
      </c>
      <c r="C2410" s="52">
        <f>C2384-C2409</f>
        <v>181</v>
      </c>
      <c r="D2410" s="48">
        <f>D2384-D2409</f>
        <v>181</v>
      </c>
      <c r="E2410" s="49"/>
      <c r="G2410" s="46" t="s">
        <v>3</v>
      </c>
      <c r="H2410" s="52">
        <f>H2384-H2409</f>
        <v>5018</v>
      </c>
      <c r="I2410" s="48">
        <f>I2384-I2409</f>
        <v>5018</v>
      </c>
      <c r="J2410" s="49"/>
    </row>
    <row r="2413" spans="2:11" ht="18.75" x14ac:dyDescent="0.2">
      <c r="B2413" s="26" t="s">
        <v>7</v>
      </c>
      <c r="G2413" s="26" t="s">
        <v>35</v>
      </c>
    </row>
    <row r="2414" spans="2:11" ht="14.25" thickBot="1" x14ac:dyDescent="0.2"/>
    <row r="2415" spans="2:11" ht="14.25" thickBot="1" x14ac:dyDescent="0.2">
      <c r="B2415" s="1"/>
      <c r="C2415" s="2"/>
      <c r="D2415" s="3" t="s">
        <v>0</v>
      </c>
      <c r="E2415" s="1" t="s">
        <v>4</v>
      </c>
      <c r="G2415" s="1"/>
      <c r="H2415" s="175"/>
      <c r="I2415" s="1" t="s">
        <v>0</v>
      </c>
      <c r="J2415" s="1" t="s">
        <v>4</v>
      </c>
    </row>
    <row r="2416" spans="2:11" x14ac:dyDescent="0.15">
      <c r="B2416" s="42" t="s">
        <v>5</v>
      </c>
      <c r="C2416" s="43">
        <f>C2410</f>
        <v>181</v>
      </c>
      <c r="D2416" s="44">
        <f>SUM(C2416:C2416)</f>
        <v>181</v>
      </c>
      <c r="E2416" s="45"/>
      <c r="G2416" s="42" t="s">
        <v>5</v>
      </c>
      <c r="H2416" s="43">
        <f>H2410</f>
        <v>5018</v>
      </c>
      <c r="I2416" s="44">
        <f>SUM(H2416:H2416)</f>
        <v>5018</v>
      </c>
      <c r="J2416" s="45"/>
    </row>
    <row r="2417" spans="2:10" x14ac:dyDescent="0.15">
      <c r="B2417" s="6" t="s">
        <v>6</v>
      </c>
      <c r="C2417" s="13">
        <v>200</v>
      </c>
      <c r="D2417" s="14">
        <f>SUM(C2417:C2417)</f>
        <v>200</v>
      </c>
      <c r="E2417" s="12">
        <v>43965</v>
      </c>
      <c r="G2417" s="6" t="s">
        <v>6</v>
      </c>
      <c r="H2417" s="13">
        <v>2000</v>
      </c>
      <c r="I2417" s="14">
        <f>SUM(H2417:H2417)</f>
        <v>2000</v>
      </c>
      <c r="J2417" s="169" t="s">
        <v>692</v>
      </c>
    </row>
    <row r="2418" spans="2:10" x14ac:dyDescent="0.15">
      <c r="B2418" s="6" t="s">
        <v>6</v>
      </c>
      <c r="C2418" s="7"/>
      <c r="D2418" s="8">
        <f>SUM(C2418:C2418)</f>
        <v>0</v>
      </c>
      <c r="E2418" s="9"/>
      <c r="G2418" s="6" t="s">
        <v>6</v>
      </c>
      <c r="H2418" s="77">
        <v>2000</v>
      </c>
      <c r="I2418" s="11">
        <f>SUM(H2418:H2418)</f>
        <v>2000</v>
      </c>
      <c r="J2418" s="172" t="s">
        <v>692</v>
      </c>
    </row>
    <row r="2419" spans="2:10" ht="14.25" thickBot="1" x14ac:dyDescent="0.2">
      <c r="B2419" s="6" t="s">
        <v>6</v>
      </c>
      <c r="C2419" s="7"/>
      <c r="D2419" s="14">
        <f>SUM(C2419:C2419)</f>
        <v>0</v>
      </c>
      <c r="E2419" s="16"/>
      <c r="F2419" s="25"/>
      <c r="G2419" s="6" t="s">
        <v>6</v>
      </c>
      <c r="H2419" s="170"/>
      <c r="I2419" s="73">
        <f>SUM(H2419:H2419)</f>
        <v>0</v>
      </c>
      <c r="J2419" s="174"/>
    </row>
    <row r="2420" spans="2:10" ht="14.25" thickBot="1" x14ac:dyDescent="0.2">
      <c r="B2420" s="46" t="s">
        <v>1</v>
      </c>
      <c r="C2420" s="48">
        <f>SUM(C2416:C2419)</f>
        <v>381</v>
      </c>
      <c r="D2420" s="48">
        <f>SUM(D2416:D2419)</f>
        <v>381</v>
      </c>
      <c r="E2420" s="49"/>
      <c r="G2420" s="46" t="s">
        <v>1</v>
      </c>
      <c r="H2420" s="50">
        <f>SUM(H2416:H2419)</f>
        <v>9018</v>
      </c>
      <c r="I2420" s="48">
        <f>SUM(I2416:I2419)</f>
        <v>9018</v>
      </c>
      <c r="J2420" s="51"/>
    </row>
    <row r="2421" spans="2:10" x14ac:dyDescent="0.15">
      <c r="B2421" s="71" t="s">
        <v>18</v>
      </c>
      <c r="C2421" s="77">
        <v>12</v>
      </c>
      <c r="D2421" s="11">
        <f>SUM(C2421:C2421)</f>
        <v>12</v>
      </c>
      <c r="E2421" s="12">
        <v>43945</v>
      </c>
      <c r="G2421" s="15" t="s">
        <v>687</v>
      </c>
      <c r="H2421" s="13">
        <v>400</v>
      </c>
      <c r="I2421" s="11">
        <f>SUM(H2421:H2421)</f>
        <v>400</v>
      </c>
      <c r="J2421" s="12">
        <v>43951</v>
      </c>
    </row>
    <row r="2422" spans="2:10" x14ac:dyDescent="0.15">
      <c r="B2422" s="71" t="s">
        <v>18</v>
      </c>
      <c r="C2422" s="13">
        <v>4</v>
      </c>
      <c r="D2422" s="14">
        <f>SUM(C2422:C2422)</f>
        <v>4</v>
      </c>
      <c r="E2422" s="12">
        <v>43948</v>
      </c>
      <c r="G2422" s="15" t="s">
        <v>688</v>
      </c>
      <c r="H2422" s="13">
        <v>300</v>
      </c>
      <c r="I2422" s="14">
        <f>SUM(H2422:H2422)</f>
        <v>300</v>
      </c>
      <c r="J2422" s="12">
        <v>43951</v>
      </c>
    </row>
    <row r="2423" spans="2:10" x14ac:dyDescent="0.15">
      <c r="B2423" s="71" t="s">
        <v>18</v>
      </c>
      <c r="C2423" s="13">
        <v>4</v>
      </c>
      <c r="D2423" s="14">
        <f>SUM(C2423:C2423)</f>
        <v>4</v>
      </c>
      <c r="E2423" s="12">
        <v>43950</v>
      </c>
      <c r="G2423" s="15" t="s">
        <v>513</v>
      </c>
      <c r="H2423" s="13">
        <v>200</v>
      </c>
      <c r="I2423" s="14">
        <f t="shared" ref="I2423:I2440" si="171">SUM(H2423:H2423)</f>
        <v>200</v>
      </c>
      <c r="J2423" s="12">
        <v>43951</v>
      </c>
    </row>
    <row r="2424" spans="2:10" x14ac:dyDescent="0.15">
      <c r="B2424" s="10" t="s">
        <v>189</v>
      </c>
      <c r="C2424" s="13">
        <v>3</v>
      </c>
      <c r="D2424" s="14">
        <f t="shared" ref="D2424:D2434" si="172">SUM(C2424:C2424)</f>
        <v>3</v>
      </c>
      <c r="E2424" s="12">
        <v>43949</v>
      </c>
      <c r="G2424" s="15" t="s">
        <v>12</v>
      </c>
      <c r="H2424" s="13">
        <v>200</v>
      </c>
      <c r="I2424" s="14">
        <f t="shared" si="171"/>
        <v>200</v>
      </c>
      <c r="J2424" s="12">
        <v>43965</v>
      </c>
    </row>
    <row r="2425" spans="2:10" x14ac:dyDescent="0.15">
      <c r="B2425" s="71" t="s">
        <v>18</v>
      </c>
      <c r="C2425" s="13">
        <v>11</v>
      </c>
      <c r="D2425" s="14">
        <f t="shared" si="172"/>
        <v>11</v>
      </c>
      <c r="E2425" s="12">
        <v>43953</v>
      </c>
      <c r="G2425" s="15" t="s">
        <v>699</v>
      </c>
      <c r="H2425" s="13">
        <v>100</v>
      </c>
      <c r="I2425" s="14">
        <f t="shared" si="171"/>
        <v>100</v>
      </c>
      <c r="J2425" s="12">
        <v>43973</v>
      </c>
    </row>
    <row r="2426" spans="2:10" x14ac:dyDescent="0.15">
      <c r="B2426" s="10" t="s">
        <v>189</v>
      </c>
      <c r="C2426" s="13">
        <v>1</v>
      </c>
      <c r="D2426" s="14">
        <f t="shared" si="172"/>
        <v>1</v>
      </c>
      <c r="E2426" s="12">
        <v>43953</v>
      </c>
      <c r="G2426" s="15" t="s">
        <v>700</v>
      </c>
      <c r="H2426" s="13">
        <v>200</v>
      </c>
      <c r="I2426" s="14">
        <f t="shared" si="171"/>
        <v>200</v>
      </c>
      <c r="J2426" s="12">
        <v>43973</v>
      </c>
    </row>
    <row r="2427" spans="2:10" x14ac:dyDescent="0.15">
      <c r="B2427" s="10" t="s">
        <v>189</v>
      </c>
      <c r="C2427" s="13">
        <v>3</v>
      </c>
      <c r="D2427" s="14">
        <f t="shared" si="172"/>
        <v>3</v>
      </c>
      <c r="E2427" s="12">
        <v>43957</v>
      </c>
      <c r="G2427" s="15" t="s">
        <v>701</v>
      </c>
      <c r="H2427" s="13">
        <v>250</v>
      </c>
      <c r="I2427" s="14">
        <f t="shared" si="171"/>
        <v>250</v>
      </c>
      <c r="J2427" s="12">
        <v>43972</v>
      </c>
    </row>
    <row r="2428" spans="2:10" x14ac:dyDescent="0.15">
      <c r="B2428" s="90" t="s">
        <v>693</v>
      </c>
      <c r="C2428" s="13">
        <v>100</v>
      </c>
      <c r="D2428" s="14">
        <f t="shared" si="172"/>
        <v>100</v>
      </c>
      <c r="E2428" s="12">
        <v>43960</v>
      </c>
      <c r="G2428" s="15" t="s">
        <v>703</v>
      </c>
      <c r="H2428" s="13">
        <v>100</v>
      </c>
      <c r="I2428" s="14">
        <f t="shared" si="171"/>
        <v>100</v>
      </c>
      <c r="J2428" s="12">
        <v>43974</v>
      </c>
    </row>
    <row r="2429" spans="2:10" x14ac:dyDescent="0.15">
      <c r="B2429" s="71" t="s">
        <v>18</v>
      </c>
      <c r="C2429" s="13">
        <v>7</v>
      </c>
      <c r="D2429" s="14">
        <f t="shared" si="172"/>
        <v>7</v>
      </c>
      <c r="E2429" s="12">
        <v>43960</v>
      </c>
      <c r="G2429" s="15"/>
      <c r="H2429" s="13"/>
      <c r="I2429" s="14">
        <f t="shared" si="171"/>
        <v>0</v>
      </c>
      <c r="J2429" s="12"/>
    </row>
    <row r="2430" spans="2:10" x14ac:dyDescent="0.15">
      <c r="B2430" s="71" t="s">
        <v>18</v>
      </c>
      <c r="C2430" s="13">
        <v>8</v>
      </c>
      <c r="D2430" s="14">
        <f t="shared" si="172"/>
        <v>8</v>
      </c>
      <c r="E2430" s="12">
        <v>43963</v>
      </c>
      <c r="G2430" s="78"/>
      <c r="H2430" s="13"/>
      <c r="I2430" s="14">
        <f t="shared" si="171"/>
        <v>0</v>
      </c>
      <c r="J2430" s="12"/>
    </row>
    <row r="2431" spans="2:10" x14ac:dyDescent="0.15">
      <c r="B2431" s="10" t="s">
        <v>189</v>
      </c>
      <c r="C2431" s="13">
        <v>3</v>
      </c>
      <c r="D2431" s="14">
        <f t="shared" si="172"/>
        <v>3</v>
      </c>
      <c r="E2431" s="12">
        <v>43962</v>
      </c>
      <c r="G2431" s="15"/>
      <c r="H2431" s="13"/>
      <c r="I2431" s="14">
        <f t="shared" si="171"/>
        <v>0</v>
      </c>
      <c r="J2431" s="5"/>
    </row>
    <row r="2432" spans="2:10" x14ac:dyDescent="0.15">
      <c r="B2432" s="71" t="s">
        <v>18</v>
      </c>
      <c r="C2432" s="13">
        <v>2</v>
      </c>
      <c r="D2432" s="14">
        <f t="shared" si="172"/>
        <v>2</v>
      </c>
      <c r="E2432" s="12">
        <v>43964</v>
      </c>
      <c r="G2432" s="15"/>
      <c r="H2432" s="7"/>
      <c r="I2432" s="14">
        <f t="shared" si="171"/>
        <v>0</v>
      </c>
      <c r="J2432" s="12"/>
    </row>
    <row r="2433" spans="2:10" x14ac:dyDescent="0.15">
      <c r="B2433" s="10" t="s">
        <v>189</v>
      </c>
      <c r="C2433" s="13">
        <v>5</v>
      </c>
      <c r="D2433" s="14">
        <f t="shared" si="172"/>
        <v>5</v>
      </c>
      <c r="E2433" s="12">
        <v>43963</v>
      </c>
      <c r="G2433" s="15"/>
      <c r="H2433" s="7"/>
      <c r="I2433" s="14">
        <f t="shared" si="171"/>
        <v>0</v>
      </c>
      <c r="J2433" s="12"/>
    </row>
    <row r="2434" spans="2:10" x14ac:dyDescent="0.15">
      <c r="B2434" s="90" t="s">
        <v>694</v>
      </c>
      <c r="C2434" s="13">
        <v>100</v>
      </c>
      <c r="D2434" s="14">
        <f t="shared" si="172"/>
        <v>100</v>
      </c>
      <c r="E2434" s="12">
        <v>43966</v>
      </c>
      <c r="G2434" s="15"/>
      <c r="H2434" s="7"/>
      <c r="I2434" s="14">
        <f t="shared" si="171"/>
        <v>0</v>
      </c>
      <c r="J2434" s="5"/>
    </row>
    <row r="2435" spans="2:10" x14ac:dyDescent="0.15">
      <c r="B2435" s="10" t="s">
        <v>189</v>
      </c>
      <c r="C2435" s="13">
        <v>3</v>
      </c>
      <c r="D2435" s="14">
        <f>SUM(C2435:C2435)</f>
        <v>3</v>
      </c>
      <c r="E2435" s="12">
        <v>43964</v>
      </c>
      <c r="G2435" s="15"/>
      <c r="H2435" s="7"/>
      <c r="I2435" s="14">
        <f t="shared" si="171"/>
        <v>0</v>
      </c>
      <c r="J2435" s="12"/>
    </row>
    <row r="2436" spans="2:10" x14ac:dyDescent="0.15">
      <c r="B2436" s="71" t="s">
        <v>18</v>
      </c>
      <c r="C2436" s="13">
        <v>2</v>
      </c>
      <c r="D2436" s="14">
        <f t="shared" ref="D2436:D2445" si="173">SUM(C2436:C2436)</f>
        <v>2</v>
      </c>
      <c r="E2436" s="12">
        <v>43966</v>
      </c>
      <c r="G2436" s="15"/>
      <c r="H2436" s="7"/>
      <c r="I2436" s="14">
        <f t="shared" si="171"/>
        <v>0</v>
      </c>
      <c r="J2436" s="12"/>
    </row>
    <row r="2437" spans="2:10" x14ac:dyDescent="0.15">
      <c r="B2437" s="10" t="s">
        <v>189</v>
      </c>
      <c r="C2437" s="13">
        <v>3</v>
      </c>
      <c r="D2437" s="14">
        <f t="shared" si="173"/>
        <v>3</v>
      </c>
      <c r="E2437" s="12">
        <v>43965</v>
      </c>
      <c r="G2437" s="15"/>
      <c r="H2437" s="7"/>
      <c r="I2437" s="14">
        <f t="shared" si="171"/>
        <v>0</v>
      </c>
      <c r="J2437" s="12"/>
    </row>
    <row r="2438" spans="2:10" x14ac:dyDescent="0.15">
      <c r="B2438" s="10" t="s">
        <v>189</v>
      </c>
      <c r="C2438" s="13">
        <v>3</v>
      </c>
      <c r="D2438" s="14">
        <f t="shared" si="173"/>
        <v>3</v>
      </c>
      <c r="E2438" s="12">
        <v>43966</v>
      </c>
      <c r="G2438" s="15"/>
      <c r="H2438" s="7"/>
      <c r="I2438" s="14">
        <f t="shared" si="171"/>
        <v>0</v>
      </c>
      <c r="J2438" s="5"/>
    </row>
    <row r="2439" spans="2:10" x14ac:dyDescent="0.15">
      <c r="B2439" s="71" t="s">
        <v>18</v>
      </c>
      <c r="C2439" s="13">
        <v>1</v>
      </c>
      <c r="D2439" s="14">
        <f t="shared" si="173"/>
        <v>1</v>
      </c>
      <c r="E2439" s="12">
        <v>43969</v>
      </c>
      <c r="G2439" s="15"/>
      <c r="H2439" s="7"/>
      <c r="I2439" s="14">
        <f t="shared" si="171"/>
        <v>0</v>
      </c>
      <c r="J2439" s="12"/>
    </row>
    <row r="2440" spans="2:10" x14ac:dyDescent="0.15">
      <c r="B2440" s="71" t="s">
        <v>18</v>
      </c>
      <c r="C2440" s="13">
        <v>1</v>
      </c>
      <c r="D2440" s="14">
        <f t="shared" si="173"/>
        <v>1</v>
      </c>
      <c r="E2440" s="5">
        <v>43970</v>
      </c>
      <c r="G2440" s="15"/>
      <c r="H2440" s="7"/>
      <c r="I2440" s="14">
        <f t="shared" si="171"/>
        <v>0</v>
      </c>
      <c r="J2440" s="12"/>
    </row>
    <row r="2441" spans="2:10" x14ac:dyDescent="0.15">
      <c r="B2441" s="10" t="s">
        <v>189</v>
      </c>
      <c r="C2441" s="13">
        <v>1</v>
      </c>
      <c r="D2441" s="14">
        <f t="shared" si="173"/>
        <v>1</v>
      </c>
      <c r="E2441" s="5">
        <v>43969</v>
      </c>
      <c r="G2441" s="15"/>
      <c r="H2441" s="7"/>
      <c r="I2441" s="14">
        <f>SUM(H2441:H2441)</f>
        <v>0</v>
      </c>
      <c r="J2441" s="12"/>
    </row>
    <row r="2442" spans="2:10" x14ac:dyDescent="0.15">
      <c r="B2442" s="71" t="s">
        <v>18</v>
      </c>
      <c r="C2442" s="13">
        <v>3</v>
      </c>
      <c r="D2442" s="14">
        <f t="shared" si="173"/>
        <v>3</v>
      </c>
      <c r="E2442" s="5">
        <v>43971</v>
      </c>
      <c r="G2442" s="15"/>
      <c r="H2442" s="7"/>
      <c r="I2442" s="14">
        <f>SUM(H2442:H2442)</f>
        <v>0</v>
      </c>
      <c r="J2442" s="12"/>
    </row>
    <row r="2443" spans="2:10" x14ac:dyDescent="0.15">
      <c r="B2443" s="10" t="s">
        <v>222</v>
      </c>
      <c r="C2443" s="13">
        <v>2</v>
      </c>
      <c r="D2443" s="14">
        <f t="shared" si="173"/>
        <v>2</v>
      </c>
      <c r="E2443" s="5">
        <v>43970</v>
      </c>
      <c r="G2443" s="15" t="s">
        <v>671</v>
      </c>
      <c r="H2443" s="7"/>
      <c r="I2443" s="14">
        <f>SUM(H2443:H2443)</f>
        <v>0</v>
      </c>
      <c r="J2443" s="12" t="s">
        <v>672</v>
      </c>
    </row>
    <row r="2444" spans="2:10" ht="14.25" thickBot="1" x14ac:dyDescent="0.2">
      <c r="B2444" s="71" t="s">
        <v>702</v>
      </c>
      <c r="C2444" s="13">
        <v>5</v>
      </c>
      <c r="D2444" s="11">
        <f t="shared" si="173"/>
        <v>5</v>
      </c>
      <c r="E2444" s="12">
        <v>43972</v>
      </c>
      <c r="G2444" s="15" t="s">
        <v>668</v>
      </c>
      <c r="H2444" s="7"/>
      <c r="I2444" s="14">
        <f>SUM(H2444:H2444)</f>
        <v>0</v>
      </c>
      <c r="J2444" s="12" t="s">
        <v>660</v>
      </c>
    </row>
    <row r="2445" spans="2:10" ht="14.25" thickBot="1" x14ac:dyDescent="0.2">
      <c r="B2445" s="17" t="s">
        <v>2</v>
      </c>
      <c r="C2445" s="18">
        <f>SUM(C2421:C2444)</f>
        <v>287</v>
      </c>
      <c r="D2445" s="19">
        <f t="shared" si="173"/>
        <v>287</v>
      </c>
      <c r="E2445" s="20"/>
      <c r="G2445" s="17" t="s">
        <v>2</v>
      </c>
      <c r="H2445" s="18">
        <f>SUM(H2421:H2444)</f>
        <v>1750</v>
      </c>
      <c r="I2445" s="19">
        <f>SUM(H2445:H2445)</f>
        <v>1750</v>
      </c>
      <c r="J2445" s="20"/>
    </row>
    <row r="2446" spans="2:10" ht="14.25" thickBot="1" x14ac:dyDescent="0.2">
      <c r="B2446" s="46" t="s">
        <v>3</v>
      </c>
      <c r="C2446" s="52">
        <f>C2420-C2445</f>
        <v>94</v>
      </c>
      <c r="D2446" s="48">
        <f>D2420-D2445</f>
        <v>94</v>
      </c>
      <c r="E2446" s="49"/>
      <c r="G2446" s="46" t="s">
        <v>3</v>
      </c>
      <c r="H2446" s="52">
        <f>H2420-H2445</f>
        <v>7268</v>
      </c>
      <c r="I2446" s="48">
        <f>I2420-I2445</f>
        <v>7268</v>
      </c>
      <c r="J2446" s="49"/>
    </row>
    <row r="2449" spans="2:10" ht="18.75" x14ac:dyDescent="0.2">
      <c r="B2449" s="26" t="s">
        <v>7</v>
      </c>
      <c r="G2449" s="26" t="s">
        <v>35</v>
      </c>
    </row>
    <row r="2450" spans="2:10" ht="14.25" thickBot="1" x14ac:dyDescent="0.2"/>
    <row r="2451" spans="2:10" ht="14.25" thickBot="1" x14ac:dyDescent="0.2">
      <c r="B2451" s="1"/>
      <c r="C2451" s="2"/>
      <c r="D2451" s="3" t="s">
        <v>0</v>
      </c>
      <c r="E2451" s="1" t="s">
        <v>4</v>
      </c>
      <c r="G2451" s="1"/>
      <c r="H2451" s="2"/>
      <c r="I2451" s="3" t="s">
        <v>0</v>
      </c>
      <c r="J2451" s="1" t="s">
        <v>4</v>
      </c>
    </row>
    <row r="2452" spans="2:10" x14ac:dyDescent="0.15">
      <c r="B2452" s="42" t="s">
        <v>5</v>
      </c>
      <c r="C2452" s="43">
        <f>C2446</f>
        <v>94</v>
      </c>
      <c r="D2452" s="44">
        <f>SUM(C2452:C2452)</f>
        <v>94</v>
      </c>
      <c r="E2452" s="45"/>
      <c r="G2452" s="42" t="s">
        <v>5</v>
      </c>
      <c r="H2452" s="43">
        <f>H2446</f>
        <v>7268</v>
      </c>
      <c r="I2452" s="44">
        <f>SUM(H2452:H2452)</f>
        <v>7268</v>
      </c>
      <c r="J2452" s="45"/>
    </row>
    <row r="2453" spans="2:10" x14ac:dyDescent="0.15">
      <c r="B2453" s="6" t="s">
        <v>6</v>
      </c>
      <c r="C2453" s="13">
        <v>200</v>
      </c>
      <c r="D2453" s="14">
        <f>SUM(C2453:C2453)</f>
        <v>200</v>
      </c>
      <c r="E2453" s="12">
        <v>43987</v>
      </c>
      <c r="G2453" s="6" t="s">
        <v>6</v>
      </c>
      <c r="H2453" s="170"/>
      <c r="I2453" s="73">
        <f>SUM(H2453:H2453)</f>
        <v>0</v>
      </c>
      <c r="J2453" s="171"/>
    </row>
    <row r="2454" spans="2:10" x14ac:dyDescent="0.15">
      <c r="B2454" s="6" t="s">
        <v>76</v>
      </c>
      <c r="C2454" s="7">
        <v>6</v>
      </c>
      <c r="D2454" s="8">
        <f>SUM(C2454:C2454)</f>
        <v>6</v>
      </c>
      <c r="E2454" s="9">
        <v>43999</v>
      </c>
      <c r="G2454" s="6" t="s">
        <v>6</v>
      </c>
      <c r="H2454" s="13"/>
      <c r="I2454" s="14">
        <f>SUM(H2454:H2454)</f>
        <v>0</v>
      </c>
      <c r="J2454" s="169"/>
    </row>
    <row r="2455" spans="2:10" ht="14.25" thickBot="1" x14ac:dyDescent="0.2">
      <c r="B2455" s="6" t="s">
        <v>6</v>
      </c>
      <c r="C2455" s="7"/>
      <c r="D2455" s="14">
        <f>SUM(C2455:C2455)</f>
        <v>0</v>
      </c>
      <c r="E2455" s="16"/>
      <c r="F2455" s="25"/>
      <c r="G2455" s="6" t="s">
        <v>6</v>
      </c>
      <c r="H2455" s="170"/>
      <c r="I2455" s="73">
        <f>SUM(H2455:H2455)</f>
        <v>0</v>
      </c>
      <c r="J2455" s="171"/>
    </row>
    <row r="2456" spans="2:10" ht="14.25" thickBot="1" x14ac:dyDescent="0.2">
      <c r="B2456" s="46" t="s">
        <v>1</v>
      </c>
      <c r="C2456" s="48">
        <f>SUM(C2452:C2455)</f>
        <v>300</v>
      </c>
      <c r="D2456" s="48">
        <f>SUM(D2452:D2455)</f>
        <v>300</v>
      </c>
      <c r="E2456" s="49"/>
      <c r="G2456" s="46" t="s">
        <v>1</v>
      </c>
      <c r="H2456" s="50">
        <f>SUM(H2452:H2455)</f>
        <v>7268</v>
      </c>
      <c r="I2456" s="48">
        <f>SUM(I2452:I2455)</f>
        <v>7268</v>
      </c>
      <c r="J2456" s="51"/>
    </row>
    <row r="2457" spans="2:10" x14ac:dyDescent="0.15">
      <c r="B2457" s="71" t="s">
        <v>18</v>
      </c>
      <c r="C2457" s="77">
        <v>1</v>
      </c>
      <c r="D2457" s="11">
        <f>SUM(C2457:C2457)</f>
        <v>1</v>
      </c>
      <c r="E2457" s="12">
        <v>43973</v>
      </c>
      <c r="G2457" s="15" t="s">
        <v>708</v>
      </c>
      <c r="H2457" s="13">
        <v>250</v>
      </c>
      <c r="I2457" s="11">
        <f>SUM(H2457:H2457)</f>
        <v>250</v>
      </c>
      <c r="J2457" s="12">
        <v>43980</v>
      </c>
    </row>
    <row r="2458" spans="2:10" x14ac:dyDescent="0.15">
      <c r="B2458" s="71" t="s">
        <v>18</v>
      </c>
      <c r="C2458" s="13">
        <v>2</v>
      </c>
      <c r="D2458" s="14">
        <f>SUM(C2458:C2458)</f>
        <v>2</v>
      </c>
      <c r="E2458" s="12">
        <v>43974</v>
      </c>
      <c r="G2458" s="15" t="s">
        <v>709</v>
      </c>
      <c r="H2458" s="13">
        <v>400</v>
      </c>
      <c r="I2458" s="14">
        <f>SUM(H2458:H2458)</f>
        <v>400</v>
      </c>
      <c r="J2458" s="12">
        <v>43980</v>
      </c>
    </row>
    <row r="2459" spans="2:10" x14ac:dyDescent="0.15">
      <c r="B2459" s="10" t="s">
        <v>222</v>
      </c>
      <c r="C2459" s="13">
        <v>5</v>
      </c>
      <c r="D2459" s="14">
        <f>SUM(C2459:C2459)</f>
        <v>5</v>
      </c>
      <c r="E2459" s="12">
        <v>43976</v>
      </c>
      <c r="G2459" s="15" t="s">
        <v>710</v>
      </c>
      <c r="H2459" s="13">
        <v>150</v>
      </c>
      <c r="I2459" s="14">
        <f t="shared" ref="I2459:I2473" si="174">SUM(H2459:H2459)</f>
        <v>150</v>
      </c>
      <c r="J2459" s="12">
        <v>43981</v>
      </c>
    </row>
    <row r="2460" spans="2:10" x14ac:dyDescent="0.15">
      <c r="B2460" s="10" t="s">
        <v>222</v>
      </c>
      <c r="C2460" s="13">
        <v>2</v>
      </c>
      <c r="D2460" s="14">
        <f t="shared" ref="D2460:D2470" si="175">SUM(C2460:C2460)</f>
        <v>2</v>
      </c>
      <c r="E2460" s="12">
        <v>43977</v>
      </c>
      <c r="G2460" s="15" t="s">
        <v>711</v>
      </c>
      <c r="H2460" s="13">
        <v>100</v>
      </c>
      <c r="I2460" s="14">
        <f t="shared" si="174"/>
        <v>100</v>
      </c>
      <c r="J2460" s="12">
        <v>43981</v>
      </c>
    </row>
    <row r="2461" spans="2:10" x14ac:dyDescent="0.15">
      <c r="B2461" s="10" t="s">
        <v>222</v>
      </c>
      <c r="C2461" s="13">
        <v>2</v>
      </c>
      <c r="D2461" s="14">
        <f t="shared" si="175"/>
        <v>2</v>
      </c>
      <c r="E2461" s="12">
        <v>43978</v>
      </c>
      <c r="G2461" s="15" t="s">
        <v>713</v>
      </c>
      <c r="H2461" s="13">
        <v>650</v>
      </c>
      <c r="I2461" s="14">
        <f t="shared" si="174"/>
        <v>650</v>
      </c>
      <c r="J2461" s="12">
        <v>43986</v>
      </c>
    </row>
    <row r="2462" spans="2:10" x14ac:dyDescent="0.15">
      <c r="B2462" s="71" t="s">
        <v>18</v>
      </c>
      <c r="C2462" s="13">
        <v>4</v>
      </c>
      <c r="D2462" s="14">
        <f t="shared" si="175"/>
        <v>4</v>
      </c>
      <c r="E2462" s="12">
        <v>43980</v>
      </c>
      <c r="G2462" s="15" t="s">
        <v>714</v>
      </c>
      <c r="H2462" s="13">
        <v>150</v>
      </c>
      <c r="I2462" s="14">
        <f t="shared" si="174"/>
        <v>150</v>
      </c>
      <c r="J2462" s="12">
        <v>43987</v>
      </c>
    </row>
    <row r="2463" spans="2:10" x14ac:dyDescent="0.15">
      <c r="B2463" s="10" t="s">
        <v>222</v>
      </c>
      <c r="C2463" s="13">
        <v>2</v>
      </c>
      <c r="D2463" s="14">
        <f t="shared" si="175"/>
        <v>2</v>
      </c>
      <c r="E2463" s="12">
        <v>43979</v>
      </c>
      <c r="G2463" s="78" t="s">
        <v>12</v>
      </c>
      <c r="H2463" s="13">
        <v>200</v>
      </c>
      <c r="I2463" s="14">
        <f t="shared" si="174"/>
        <v>200</v>
      </c>
      <c r="J2463" s="12">
        <v>43987</v>
      </c>
    </row>
    <row r="2464" spans="2:10" x14ac:dyDescent="0.15">
      <c r="B2464" s="10" t="s">
        <v>222</v>
      </c>
      <c r="C2464" s="13">
        <v>1</v>
      </c>
      <c r="D2464" s="14">
        <f t="shared" si="175"/>
        <v>1</v>
      </c>
      <c r="E2464" s="12">
        <v>43980</v>
      </c>
      <c r="G2464" s="15" t="s">
        <v>716</v>
      </c>
      <c r="H2464" s="13">
        <v>300</v>
      </c>
      <c r="I2464" s="14">
        <f t="shared" si="174"/>
        <v>300</v>
      </c>
      <c r="J2464" s="12">
        <v>44000</v>
      </c>
    </row>
    <row r="2465" spans="2:10" x14ac:dyDescent="0.15">
      <c r="B2465" s="71" t="s">
        <v>18</v>
      </c>
      <c r="C2465" s="13">
        <v>2</v>
      </c>
      <c r="D2465" s="14">
        <f t="shared" si="175"/>
        <v>2</v>
      </c>
      <c r="E2465" s="12">
        <v>43983</v>
      </c>
      <c r="G2465" s="15" t="s">
        <v>717</v>
      </c>
      <c r="H2465" s="13">
        <v>150</v>
      </c>
      <c r="I2465" s="14">
        <f t="shared" si="174"/>
        <v>150</v>
      </c>
      <c r="J2465" s="12">
        <v>44008</v>
      </c>
    </row>
    <row r="2466" spans="2:10" x14ac:dyDescent="0.15">
      <c r="B2466" s="10" t="s">
        <v>222</v>
      </c>
      <c r="C2466" s="13">
        <v>3</v>
      </c>
      <c r="D2466" s="14">
        <f t="shared" si="175"/>
        <v>3</v>
      </c>
      <c r="E2466" s="12">
        <v>43983</v>
      </c>
      <c r="G2466" s="15" t="s">
        <v>718</v>
      </c>
      <c r="H2466" s="13">
        <v>100</v>
      </c>
      <c r="I2466" s="14">
        <f t="shared" si="174"/>
        <v>100</v>
      </c>
      <c r="J2466" s="12">
        <v>44008</v>
      </c>
    </row>
    <row r="2467" spans="2:10" x14ac:dyDescent="0.15">
      <c r="B2467" s="10" t="s">
        <v>222</v>
      </c>
      <c r="C2467" s="13">
        <v>1</v>
      </c>
      <c r="D2467" s="14">
        <f t="shared" si="175"/>
        <v>1</v>
      </c>
      <c r="E2467" s="12">
        <v>43984</v>
      </c>
      <c r="G2467" s="15"/>
      <c r="H2467" s="13"/>
      <c r="I2467" s="14">
        <f t="shared" si="174"/>
        <v>0</v>
      </c>
      <c r="J2467" s="5"/>
    </row>
    <row r="2468" spans="2:10" x14ac:dyDescent="0.15">
      <c r="B2468" s="71" t="s">
        <v>18</v>
      </c>
      <c r="C2468" s="13">
        <v>10</v>
      </c>
      <c r="D2468" s="14">
        <f t="shared" si="175"/>
        <v>10</v>
      </c>
      <c r="E2468" s="12">
        <v>43986</v>
      </c>
      <c r="G2468" s="15"/>
      <c r="H2468" s="7"/>
      <c r="I2468" s="14">
        <f t="shared" si="174"/>
        <v>0</v>
      </c>
      <c r="J2468" s="12"/>
    </row>
    <row r="2469" spans="2:10" x14ac:dyDescent="0.15">
      <c r="B2469" s="71" t="s">
        <v>18</v>
      </c>
      <c r="C2469" s="13">
        <v>1</v>
      </c>
      <c r="D2469" s="14">
        <f t="shared" si="175"/>
        <v>1</v>
      </c>
      <c r="E2469" s="12">
        <v>43987</v>
      </c>
      <c r="G2469" s="15"/>
      <c r="H2469" s="7"/>
      <c r="I2469" s="14">
        <f t="shared" si="174"/>
        <v>0</v>
      </c>
      <c r="J2469" s="12"/>
    </row>
    <row r="2470" spans="2:10" x14ac:dyDescent="0.15">
      <c r="B2470" s="89" t="s">
        <v>715</v>
      </c>
      <c r="C2470" s="13">
        <v>50</v>
      </c>
      <c r="D2470" s="14">
        <f t="shared" si="175"/>
        <v>50</v>
      </c>
      <c r="E2470" s="12">
        <v>43988</v>
      </c>
      <c r="G2470" s="15"/>
      <c r="H2470" s="7"/>
      <c r="I2470" s="14">
        <f t="shared" si="174"/>
        <v>0</v>
      </c>
      <c r="J2470" s="5"/>
    </row>
    <row r="2471" spans="2:10" x14ac:dyDescent="0.15">
      <c r="B2471" s="10" t="s">
        <v>222</v>
      </c>
      <c r="C2471" s="13">
        <v>2</v>
      </c>
      <c r="D2471" s="14">
        <f>SUM(C2471:C2471)</f>
        <v>2</v>
      </c>
      <c r="E2471" s="12">
        <v>43987</v>
      </c>
      <c r="G2471" s="15"/>
      <c r="H2471" s="7"/>
      <c r="I2471" s="14">
        <f t="shared" si="174"/>
        <v>0</v>
      </c>
      <c r="J2471" s="12"/>
    </row>
    <row r="2472" spans="2:10" x14ac:dyDescent="0.15">
      <c r="B2472" s="71" t="s">
        <v>18</v>
      </c>
      <c r="C2472" s="13">
        <v>2</v>
      </c>
      <c r="D2472" s="14">
        <f t="shared" ref="D2472:D2481" si="176">SUM(C2472:C2472)</f>
        <v>2</v>
      </c>
      <c r="E2472" s="12">
        <v>43991</v>
      </c>
      <c r="G2472" s="15"/>
      <c r="H2472" s="7"/>
      <c r="I2472" s="14">
        <f>SUM(H2472:H2472)</f>
        <v>0</v>
      </c>
      <c r="J2472" s="12"/>
    </row>
    <row r="2473" spans="2:10" x14ac:dyDescent="0.15">
      <c r="B2473" s="10" t="s">
        <v>222</v>
      </c>
      <c r="C2473" s="13">
        <v>1</v>
      </c>
      <c r="D2473" s="14">
        <f t="shared" si="176"/>
        <v>1</v>
      </c>
      <c r="E2473" s="12">
        <v>43990</v>
      </c>
      <c r="G2473" s="15"/>
      <c r="H2473" s="7"/>
      <c r="I2473" s="14">
        <f t="shared" si="174"/>
        <v>0</v>
      </c>
      <c r="J2473" s="12"/>
    </row>
    <row r="2474" spans="2:10" x14ac:dyDescent="0.15">
      <c r="B2474" s="10" t="s">
        <v>222</v>
      </c>
      <c r="C2474" s="13">
        <v>4</v>
      </c>
      <c r="D2474" s="14">
        <f t="shared" si="176"/>
        <v>4</v>
      </c>
      <c r="E2474" s="12">
        <v>43991</v>
      </c>
      <c r="G2474" s="15"/>
      <c r="H2474" s="7"/>
      <c r="I2474" s="14">
        <f t="shared" ref="I2474:I2481" si="177">SUM(H2474:H2474)</f>
        <v>0</v>
      </c>
      <c r="J2474" s="12"/>
    </row>
    <row r="2475" spans="2:10" x14ac:dyDescent="0.15">
      <c r="B2475" s="71" t="s">
        <v>18</v>
      </c>
      <c r="C2475" s="13">
        <v>4</v>
      </c>
      <c r="D2475" s="14">
        <f t="shared" si="176"/>
        <v>4</v>
      </c>
      <c r="E2475" s="12">
        <v>43994</v>
      </c>
      <c r="G2475" s="15"/>
      <c r="H2475" s="7"/>
      <c r="I2475" s="14">
        <f t="shared" si="177"/>
        <v>0</v>
      </c>
      <c r="J2475" s="12"/>
    </row>
    <row r="2476" spans="2:10" x14ac:dyDescent="0.15">
      <c r="B2476" s="10" t="s">
        <v>222</v>
      </c>
      <c r="C2476" s="13">
        <v>1</v>
      </c>
      <c r="D2476" s="14">
        <f t="shared" si="176"/>
        <v>1</v>
      </c>
      <c r="E2476" s="5">
        <v>43993</v>
      </c>
      <c r="G2476" s="15"/>
      <c r="H2476" s="7"/>
      <c r="I2476" s="14">
        <f t="shared" si="177"/>
        <v>0</v>
      </c>
      <c r="J2476" s="12"/>
    </row>
    <row r="2477" spans="2:10" x14ac:dyDescent="0.15">
      <c r="B2477" s="71" t="s">
        <v>18</v>
      </c>
      <c r="C2477" s="13">
        <v>28</v>
      </c>
      <c r="D2477" s="14">
        <f t="shared" si="176"/>
        <v>28</v>
      </c>
      <c r="E2477" s="5">
        <v>43998</v>
      </c>
      <c r="G2477" s="15" t="s">
        <v>677</v>
      </c>
      <c r="H2477" s="7"/>
      <c r="I2477" s="14">
        <f>SUM(H2477:H2477)</f>
        <v>0</v>
      </c>
      <c r="J2477" s="12" t="s">
        <v>678</v>
      </c>
    </row>
    <row r="2478" spans="2:10" x14ac:dyDescent="0.15">
      <c r="B2478" s="10" t="s">
        <v>222</v>
      </c>
      <c r="C2478" s="13">
        <v>1</v>
      </c>
      <c r="D2478" s="14">
        <f t="shared" si="176"/>
        <v>1</v>
      </c>
      <c r="E2478" s="5">
        <v>43998</v>
      </c>
      <c r="G2478" s="15" t="s">
        <v>704</v>
      </c>
      <c r="H2478" s="7"/>
      <c r="I2478" s="14">
        <f>SUM(H2478:H2478)</f>
        <v>0</v>
      </c>
      <c r="J2478" s="12" t="s">
        <v>705</v>
      </c>
    </row>
    <row r="2479" spans="2:10" x14ac:dyDescent="0.15">
      <c r="B2479" s="10" t="s">
        <v>222</v>
      </c>
      <c r="C2479" s="13">
        <v>4</v>
      </c>
      <c r="D2479" s="14">
        <f t="shared" si="176"/>
        <v>4</v>
      </c>
      <c r="E2479" s="5">
        <v>44004</v>
      </c>
      <c r="G2479" s="15" t="s">
        <v>683</v>
      </c>
      <c r="H2479" s="7"/>
      <c r="I2479" s="14">
        <f>SUM(H2479:H2479)</f>
        <v>0</v>
      </c>
      <c r="J2479" s="12" t="s">
        <v>684</v>
      </c>
    </row>
    <row r="2480" spans="2:10" ht="14.25" thickBot="1" x14ac:dyDescent="0.2">
      <c r="B2480" s="10" t="s">
        <v>222</v>
      </c>
      <c r="C2480" s="13">
        <v>3</v>
      </c>
      <c r="D2480" s="11">
        <f t="shared" si="176"/>
        <v>3</v>
      </c>
      <c r="E2480" s="12">
        <v>44006</v>
      </c>
      <c r="G2480" s="15" t="s">
        <v>669</v>
      </c>
      <c r="H2480" s="7"/>
      <c r="I2480" s="14">
        <f t="shared" si="177"/>
        <v>0</v>
      </c>
      <c r="J2480" s="12" t="s">
        <v>661</v>
      </c>
    </row>
    <row r="2481" spans="2:10" ht="14.25" thickBot="1" x14ac:dyDescent="0.2">
      <c r="B2481" s="17" t="s">
        <v>2</v>
      </c>
      <c r="C2481" s="18">
        <f>SUM(C2457:C2480)</f>
        <v>136</v>
      </c>
      <c r="D2481" s="19">
        <f t="shared" si="176"/>
        <v>136</v>
      </c>
      <c r="E2481" s="20"/>
      <c r="G2481" s="17" t="s">
        <v>2</v>
      </c>
      <c r="H2481" s="18">
        <f>SUM(H2457:H2480)</f>
        <v>2450</v>
      </c>
      <c r="I2481" s="19">
        <f t="shared" si="177"/>
        <v>2450</v>
      </c>
      <c r="J2481" s="20"/>
    </row>
    <row r="2482" spans="2:10" ht="14.25" thickBot="1" x14ac:dyDescent="0.2">
      <c r="B2482" s="46" t="s">
        <v>3</v>
      </c>
      <c r="C2482" s="52">
        <f>C2456-C2481</f>
        <v>164</v>
      </c>
      <c r="D2482" s="48">
        <f>D2456-D2481</f>
        <v>164</v>
      </c>
      <c r="E2482" s="49"/>
      <c r="G2482" s="46" t="s">
        <v>3</v>
      </c>
      <c r="H2482" s="52">
        <f>H2456-H2481</f>
        <v>4818</v>
      </c>
      <c r="I2482" s="48">
        <f>I2456-I2481</f>
        <v>4818</v>
      </c>
      <c r="J2482" s="49"/>
    </row>
    <row r="2485" spans="2:10" ht="18.75" x14ac:dyDescent="0.2">
      <c r="B2485" s="26" t="s">
        <v>7</v>
      </c>
      <c r="G2485" s="26" t="s">
        <v>35</v>
      </c>
    </row>
    <row r="2486" spans="2:10" ht="14.25" thickBot="1" x14ac:dyDescent="0.2"/>
    <row r="2487" spans="2:10" ht="14.25" thickBot="1" x14ac:dyDescent="0.2">
      <c r="B2487" s="1"/>
      <c r="C2487" s="2"/>
      <c r="D2487" s="3" t="s">
        <v>0</v>
      </c>
      <c r="E2487" s="1" t="s">
        <v>4</v>
      </c>
      <c r="G2487" s="1"/>
      <c r="H2487" s="2"/>
      <c r="I2487" s="3" t="s">
        <v>0</v>
      </c>
      <c r="J2487" s="1" t="s">
        <v>4</v>
      </c>
    </row>
    <row r="2488" spans="2:10" x14ac:dyDescent="0.15">
      <c r="B2488" s="42" t="s">
        <v>5</v>
      </c>
      <c r="C2488" s="43">
        <f>C2482</f>
        <v>164</v>
      </c>
      <c r="D2488" s="44">
        <f>SUM(C2488:C2488)</f>
        <v>164</v>
      </c>
      <c r="E2488" s="45"/>
      <c r="G2488" s="42" t="s">
        <v>5</v>
      </c>
      <c r="H2488" s="43">
        <f>H2482</f>
        <v>4818</v>
      </c>
      <c r="I2488" s="44">
        <f>SUM(H2488:H2488)</f>
        <v>4818</v>
      </c>
      <c r="J2488" s="45"/>
    </row>
    <row r="2489" spans="2:10" x14ac:dyDescent="0.15">
      <c r="B2489" s="6" t="s">
        <v>105</v>
      </c>
      <c r="C2489" s="13">
        <v>1</v>
      </c>
      <c r="D2489" s="14">
        <f>SUM(C2489:C2489)</f>
        <v>1</v>
      </c>
      <c r="E2489" s="12">
        <v>44008</v>
      </c>
      <c r="G2489" s="6" t="s">
        <v>6</v>
      </c>
      <c r="H2489" s="170">
        <v>2000</v>
      </c>
      <c r="I2489" s="73">
        <f>SUM(H2489:H2489)</f>
        <v>2000</v>
      </c>
      <c r="J2489" s="171" t="s">
        <v>724</v>
      </c>
    </row>
    <row r="2490" spans="2:10" x14ac:dyDescent="0.15">
      <c r="B2490" s="6" t="s">
        <v>6</v>
      </c>
      <c r="C2490" s="7">
        <v>200</v>
      </c>
      <c r="D2490" s="8">
        <f>SUM(C2490:C2490)</f>
        <v>200</v>
      </c>
      <c r="E2490" s="9">
        <v>44018</v>
      </c>
      <c r="G2490" s="6" t="s">
        <v>6</v>
      </c>
      <c r="H2490" s="13"/>
      <c r="I2490" s="14">
        <f>SUM(H2490:H2490)</f>
        <v>0</v>
      </c>
      <c r="J2490" s="169"/>
    </row>
    <row r="2491" spans="2:10" ht="14.25" thickBot="1" x14ac:dyDescent="0.2">
      <c r="B2491" s="6" t="s">
        <v>6</v>
      </c>
      <c r="C2491" s="7">
        <v>200</v>
      </c>
      <c r="D2491" s="14">
        <f>SUM(C2491:C2491)</f>
        <v>200</v>
      </c>
      <c r="E2491" s="16">
        <v>44029</v>
      </c>
      <c r="F2491" s="25"/>
      <c r="G2491" s="6" t="s">
        <v>6</v>
      </c>
      <c r="H2491" s="170"/>
      <c r="I2491" s="73">
        <f>SUM(H2491:H2491)</f>
        <v>0</v>
      </c>
      <c r="J2491" s="171"/>
    </row>
    <row r="2492" spans="2:10" ht="14.25" thickBot="1" x14ac:dyDescent="0.2">
      <c r="B2492" s="46" t="s">
        <v>1</v>
      </c>
      <c r="C2492" s="48">
        <f>SUM(C2488:C2491)</f>
        <v>565</v>
      </c>
      <c r="D2492" s="48">
        <f>SUM(D2488:D2491)</f>
        <v>565</v>
      </c>
      <c r="E2492" s="49"/>
      <c r="G2492" s="46" t="s">
        <v>1</v>
      </c>
      <c r="H2492" s="50">
        <f>SUM(H2488:H2491)</f>
        <v>6818</v>
      </c>
      <c r="I2492" s="48">
        <f>SUM(I2488:I2491)</f>
        <v>6818</v>
      </c>
      <c r="J2492" s="51"/>
    </row>
    <row r="2493" spans="2:10" x14ac:dyDescent="0.15">
      <c r="B2493" s="71" t="s">
        <v>18</v>
      </c>
      <c r="C2493" s="77">
        <v>19</v>
      </c>
      <c r="D2493" s="11">
        <f>SUM(C2493:C2493)</f>
        <v>19</v>
      </c>
      <c r="E2493" s="12">
        <v>44007</v>
      </c>
      <c r="G2493" s="15" t="s">
        <v>721</v>
      </c>
      <c r="H2493" s="13">
        <v>500</v>
      </c>
      <c r="I2493" s="11">
        <f>SUM(H2493:H2493)</f>
        <v>500</v>
      </c>
      <c r="J2493" s="12">
        <v>44014</v>
      </c>
    </row>
    <row r="2494" spans="2:10" x14ac:dyDescent="0.15">
      <c r="B2494" s="71" t="s">
        <v>18</v>
      </c>
      <c r="C2494" s="13">
        <v>13</v>
      </c>
      <c r="D2494" s="14">
        <f>SUM(C2494:C2494)</f>
        <v>13</v>
      </c>
      <c r="E2494" s="12">
        <v>44009</v>
      </c>
      <c r="G2494" s="15" t="s">
        <v>722</v>
      </c>
      <c r="H2494" s="13">
        <v>300</v>
      </c>
      <c r="I2494" s="14">
        <f>SUM(H2494:H2494)</f>
        <v>300</v>
      </c>
      <c r="J2494" s="12">
        <v>44015</v>
      </c>
    </row>
    <row r="2495" spans="2:10" x14ac:dyDescent="0.15">
      <c r="B2495" s="71" t="s">
        <v>18</v>
      </c>
      <c r="C2495" s="13">
        <v>22</v>
      </c>
      <c r="D2495" s="14">
        <f>SUM(C2495:C2495)</f>
        <v>22</v>
      </c>
      <c r="E2495" s="12">
        <v>44012</v>
      </c>
      <c r="G2495" s="15" t="s">
        <v>723</v>
      </c>
      <c r="H2495" s="13">
        <v>300</v>
      </c>
      <c r="I2495" s="14">
        <f t="shared" ref="I2495:I2507" si="178">SUM(H2495:H2495)</f>
        <v>300</v>
      </c>
      <c r="J2495" s="12">
        <v>44015</v>
      </c>
    </row>
    <row r="2496" spans="2:10" x14ac:dyDescent="0.15">
      <c r="B2496" s="71" t="s">
        <v>18</v>
      </c>
      <c r="C2496" s="13">
        <v>13</v>
      </c>
      <c r="D2496" s="14">
        <f t="shared" ref="D2496:D2506" si="179">SUM(C2496:C2496)</f>
        <v>13</v>
      </c>
      <c r="E2496" s="12">
        <v>44013</v>
      </c>
      <c r="G2496" s="15" t="s">
        <v>725</v>
      </c>
      <c r="H2496" s="13">
        <v>200</v>
      </c>
      <c r="I2496" s="14">
        <f t="shared" si="178"/>
        <v>200</v>
      </c>
      <c r="J2496" s="12">
        <v>44016</v>
      </c>
    </row>
    <row r="2497" spans="2:10" x14ac:dyDescent="0.15">
      <c r="B2497" s="71" t="s">
        <v>18</v>
      </c>
      <c r="C2497" s="13">
        <v>17</v>
      </c>
      <c r="D2497" s="14">
        <f t="shared" si="179"/>
        <v>17</v>
      </c>
      <c r="E2497" s="12">
        <v>44014</v>
      </c>
      <c r="G2497" s="15" t="s">
        <v>726</v>
      </c>
      <c r="H2497" s="13">
        <v>100</v>
      </c>
      <c r="I2497" s="14">
        <f t="shared" si="178"/>
        <v>100</v>
      </c>
      <c r="J2497" s="12">
        <v>44015</v>
      </c>
    </row>
    <row r="2498" spans="2:10" x14ac:dyDescent="0.15">
      <c r="B2498" s="71" t="s">
        <v>18</v>
      </c>
      <c r="C2498" s="13">
        <v>23</v>
      </c>
      <c r="D2498" s="14">
        <f t="shared" si="179"/>
        <v>23</v>
      </c>
      <c r="E2498" s="12">
        <v>44015</v>
      </c>
      <c r="G2498" s="78" t="s">
        <v>12</v>
      </c>
      <c r="H2498" s="13">
        <v>200</v>
      </c>
      <c r="I2498" s="14">
        <f t="shared" si="178"/>
        <v>200</v>
      </c>
      <c r="J2498" s="12">
        <v>44018</v>
      </c>
    </row>
    <row r="2499" spans="2:10" x14ac:dyDescent="0.15">
      <c r="B2499" s="10" t="s">
        <v>222</v>
      </c>
      <c r="C2499" s="13">
        <v>5</v>
      </c>
      <c r="D2499" s="14">
        <f t="shared" si="179"/>
        <v>5</v>
      </c>
      <c r="E2499" s="12">
        <v>44014</v>
      </c>
      <c r="G2499" s="15" t="s">
        <v>727</v>
      </c>
      <c r="H2499" s="13">
        <v>500</v>
      </c>
      <c r="I2499" s="14">
        <f t="shared" si="178"/>
        <v>500</v>
      </c>
      <c r="J2499" s="12">
        <v>44021</v>
      </c>
    </row>
    <row r="2500" spans="2:10" x14ac:dyDescent="0.15">
      <c r="B2500" s="71" t="s">
        <v>18</v>
      </c>
      <c r="C2500" s="13">
        <v>16</v>
      </c>
      <c r="D2500" s="14">
        <f t="shared" si="179"/>
        <v>16</v>
      </c>
      <c r="E2500" s="12">
        <v>44016</v>
      </c>
      <c r="G2500" s="15" t="s">
        <v>728</v>
      </c>
      <c r="H2500" s="13">
        <v>100</v>
      </c>
      <c r="I2500" s="14">
        <f t="shared" si="178"/>
        <v>100</v>
      </c>
      <c r="J2500" s="12">
        <v>44018</v>
      </c>
    </row>
    <row r="2501" spans="2:10" x14ac:dyDescent="0.15">
      <c r="B2501" s="71" t="s">
        <v>18</v>
      </c>
      <c r="C2501" s="13">
        <v>31</v>
      </c>
      <c r="D2501" s="14">
        <f t="shared" si="179"/>
        <v>31</v>
      </c>
      <c r="E2501" s="12">
        <v>44019</v>
      </c>
      <c r="G2501" s="15" t="s">
        <v>729</v>
      </c>
      <c r="H2501" s="13">
        <v>100</v>
      </c>
      <c r="I2501" s="14">
        <f t="shared" si="178"/>
        <v>100</v>
      </c>
      <c r="J2501" s="12">
        <v>44022</v>
      </c>
    </row>
    <row r="2502" spans="2:10" x14ac:dyDescent="0.15">
      <c r="B2502" s="10" t="s">
        <v>222</v>
      </c>
      <c r="C2502" s="13">
        <v>2</v>
      </c>
      <c r="D2502" s="14">
        <f t="shared" si="179"/>
        <v>2</v>
      </c>
      <c r="E2502" s="12">
        <v>44018</v>
      </c>
      <c r="G2502" s="15" t="s">
        <v>730</v>
      </c>
      <c r="H2502" s="13">
        <v>100</v>
      </c>
      <c r="I2502" s="14">
        <f t="shared" si="178"/>
        <v>100</v>
      </c>
      <c r="J2502" s="12">
        <v>44022</v>
      </c>
    </row>
    <row r="2503" spans="2:10" x14ac:dyDescent="0.15">
      <c r="B2503" s="71" t="s">
        <v>18</v>
      </c>
      <c r="C2503" s="13">
        <v>19</v>
      </c>
      <c r="D2503" s="14">
        <f t="shared" si="179"/>
        <v>19</v>
      </c>
      <c r="E2503" s="12">
        <v>44020</v>
      </c>
      <c r="G2503" s="15" t="s">
        <v>731</v>
      </c>
      <c r="H2503" s="13">
        <v>500</v>
      </c>
      <c r="I2503" s="14">
        <f t="shared" si="178"/>
        <v>500</v>
      </c>
      <c r="J2503" s="5">
        <v>44022</v>
      </c>
    </row>
    <row r="2504" spans="2:10" x14ac:dyDescent="0.15">
      <c r="B2504" s="71" t="s">
        <v>18</v>
      </c>
      <c r="C2504" s="13">
        <v>20</v>
      </c>
      <c r="D2504" s="14">
        <f t="shared" si="179"/>
        <v>20</v>
      </c>
      <c r="E2504" s="12">
        <v>44021</v>
      </c>
      <c r="G2504" s="15" t="s">
        <v>732</v>
      </c>
      <c r="H2504" s="7">
        <v>100</v>
      </c>
      <c r="I2504" s="14">
        <f t="shared" si="178"/>
        <v>100</v>
      </c>
      <c r="J2504" s="12">
        <v>44023</v>
      </c>
    </row>
    <row r="2505" spans="2:10" x14ac:dyDescent="0.15">
      <c r="B2505" s="10" t="s">
        <v>222</v>
      </c>
      <c r="C2505" s="13">
        <v>2</v>
      </c>
      <c r="D2505" s="14">
        <f t="shared" si="179"/>
        <v>2</v>
      </c>
      <c r="E2505" s="12">
        <v>44020</v>
      </c>
      <c r="G2505" s="15" t="s">
        <v>737</v>
      </c>
      <c r="H2505" s="7">
        <v>150</v>
      </c>
      <c r="I2505" s="14">
        <f t="shared" si="178"/>
        <v>150</v>
      </c>
      <c r="J2505" s="12">
        <v>44029</v>
      </c>
    </row>
    <row r="2506" spans="2:10" x14ac:dyDescent="0.15">
      <c r="B2506" s="10" t="s">
        <v>222</v>
      </c>
      <c r="C2506" s="13">
        <v>2</v>
      </c>
      <c r="D2506" s="14">
        <f t="shared" si="179"/>
        <v>2</v>
      </c>
      <c r="E2506" s="12">
        <v>44021</v>
      </c>
      <c r="G2506" s="89" t="s">
        <v>739</v>
      </c>
      <c r="H2506" s="7">
        <v>200</v>
      </c>
      <c r="I2506" s="14">
        <f t="shared" si="178"/>
        <v>200</v>
      </c>
      <c r="J2506" s="5">
        <v>44030</v>
      </c>
    </row>
    <row r="2507" spans="2:10" x14ac:dyDescent="0.15">
      <c r="B2507" s="71" t="s">
        <v>18</v>
      </c>
      <c r="C2507" s="13">
        <v>4</v>
      </c>
      <c r="D2507" s="14">
        <f>SUM(C2507:C2507)</f>
        <v>4</v>
      </c>
      <c r="E2507" s="12">
        <v>44023</v>
      </c>
      <c r="G2507" s="78" t="s">
        <v>12</v>
      </c>
      <c r="H2507" s="7">
        <v>200</v>
      </c>
      <c r="I2507" s="14">
        <f t="shared" si="178"/>
        <v>200</v>
      </c>
      <c r="J2507" s="12">
        <v>44029</v>
      </c>
    </row>
    <row r="2508" spans="2:10" x14ac:dyDescent="0.15">
      <c r="B2508" s="71" t="s">
        <v>18</v>
      </c>
      <c r="C2508" s="13">
        <v>9</v>
      </c>
      <c r="D2508" s="14">
        <f t="shared" ref="D2508:D2517" si="180">SUM(C2508:C2508)</f>
        <v>9</v>
      </c>
      <c r="E2508" s="12">
        <v>44026</v>
      </c>
      <c r="G2508" s="15" t="s">
        <v>742</v>
      </c>
      <c r="H2508" s="7">
        <v>100</v>
      </c>
      <c r="I2508" s="14">
        <f t="shared" ref="I2508:I2517" si="181">SUM(H2508:H2508)</f>
        <v>100</v>
      </c>
      <c r="J2508" s="12">
        <v>44034</v>
      </c>
    </row>
    <row r="2509" spans="2:10" x14ac:dyDescent="0.15">
      <c r="B2509" s="71" t="s">
        <v>18</v>
      </c>
      <c r="C2509" s="13">
        <v>11</v>
      </c>
      <c r="D2509" s="14">
        <f t="shared" si="180"/>
        <v>11</v>
      </c>
      <c r="E2509" s="12">
        <v>44027</v>
      </c>
      <c r="G2509" s="15"/>
      <c r="H2509" s="7"/>
      <c r="I2509" s="14">
        <f t="shared" si="181"/>
        <v>0</v>
      </c>
      <c r="J2509" s="12"/>
    </row>
    <row r="2510" spans="2:10" x14ac:dyDescent="0.15">
      <c r="B2510" s="89" t="s">
        <v>738</v>
      </c>
      <c r="C2510" s="13">
        <v>50</v>
      </c>
      <c r="D2510" s="14">
        <f t="shared" si="180"/>
        <v>50</v>
      </c>
      <c r="E2510" s="12">
        <v>44029</v>
      </c>
      <c r="G2510" s="15"/>
      <c r="H2510" s="7"/>
      <c r="I2510" s="14">
        <f t="shared" si="181"/>
        <v>0</v>
      </c>
      <c r="J2510" s="12"/>
    </row>
    <row r="2511" spans="2:10" x14ac:dyDescent="0.15">
      <c r="B2511" s="71" t="s">
        <v>18</v>
      </c>
      <c r="C2511" s="13">
        <v>7</v>
      </c>
      <c r="D2511" s="14">
        <f t="shared" si="180"/>
        <v>7</v>
      </c>
      <c r="E2511" s="12">
        <v>44028</v>
      </c>
      <c r="G2511" s="15"/>
      <c r="H2511" s="7"/>
      <c r="I2511" s="14">
        <f t="shared" si="181"/>
        <v>0</v>
      </c>
      <c r="J2511" s="12"/>
    </row>
    <row r="2512" spans="2:10" x14ac:dyDescent="0.15">
      <c r="B2512" s="71" t="s">
        <v>18</v>
      </c>
      <c r="C2512" s="13">
        <v>8</v>
      </c>
      <c r="D2512" s="14">
        <f t="shared" si="180"/>
        <v>8</v>
      </c>
      <c r="E2512" s="5">
        <v>44029</v>
      </c>
      <c r="G2512" s="15" t="s">
        <v>690</v>
      </c>
      <c r="H2512" s="7"/>
      <c r="I2512" s="14">
        <f t="shared" si="181"/>
        <v>0</v>
      </c>
      <c r="J2512" s="12" t="s">
        <v>691</v>
      </c>
    </row>
    <row r="2513" spans="2:10" x14ac:dyDescent="0.15">
      <c r="B2513" s="78" t="s">
        <v>740</v>
      </c>
      <c r="C2513" s="13">
        <v>50</v>
      </c>
      <c r="D2513" s="14">
        <f t="shared" si="180"/>
        <v>50</v>
      </c>
      <c r="E2513" s="5">
        <v>44030</v>
      </c>
      <c r="G2513" s="15" t="s">
        <v>666</v>
      </c>
      <c r="H2513" s="7"/>
      <c r="I2513" s="14">
        <f>SUM(H2513:H2513)</f>
        <v>0</v>
      </c>
      <c r="J2513" s="12" t="s">
        <v>667</v>
      </c>
    </row>
    <row r="2514" spans="2:10" x14ac:dyDescent="0.15">
      <c r="B2514" s="10" t="s">
        <v>76</v>
      </c>
      <c r="C2514" s="13">
        <v>-28</v>
      </c>
      <c r="D2514" s="14">
        <f t="shared" si="180"/>
        <v>-28</v>
      </c>
      <c r="E2514" s="5">
        <v>44027</v>
      </c>
      <c r="G2514" s="15" t="s">
        <v>695</v>
      </c>
      <c r="H2514" s="7"/>
      <c r="I2514" s="14">
        <f>SUM(H2514:H2514)</f>
        <v>0</v>
      </c>
      <c r="J2514" s="12" t="s">
        <v>696</v>
      </c>
    </row>
    <row r="2515" spans="2:10" x14ac:dyDescent="0.15">
      <c r="B2515" s="71" t="s">
        <v>18</v>
      </c>
      <c r="C2515" s="13">
        <v>4</v>
      </c>
      <c r="D2515" s="14">
        <f t="shared" si="180"/>
        <v>4</v>
      </c>
      <c r="E2515" s="5">
        <v>44033</v>
      </c>
      <c r="G2515" s="15" t="s">
        <v>674</v>
      </c>
      <c r="H2515" s="7"/>
      <c r="I2515" s="14">
        <f>SUM(H2515:H2515)</f>
        <v>0</v>
      </c>
      <c r="J2515" s="12" t="s">
        <v>675</v>
      </c>
    </row>
    <row r="2516" spans="2:10" ht="14.25" thickBot="1" x14ac:dyDescent="0.2">
      <c r="B2516" s="176" t="s">
        <v>743</v>
      </c>
      <c r="C2516" s="13">
        <v>150</v>
      </c>
      <c r="D2516" s="11">
        <v>150</v>
      </c>
      <c r="E2516" s="12">
        <v>44035</v>
      </c>
      <c r="G2516" s="15" t="s">
        <v>706</v>
      </c>
      <c r="H2516" s="7"/>
      <c r="I2516" s="14">
        <f>SUM(H2516:H2516)</f>
        <v>0</v>
      </c>
      <c r="J2516" s="12" t="s">
        <v>707</v>
      </c>
    </row>
    <row r="2517" spans="2:10" ht="14.25" thickBot="1" x14ac:dyDescent="0.2">
      <c r="B2517" s="17" t="s">
        <v>2</v>
      </c>
      <c r="C2517" s="18">
        <f>SUM(C2493:C2516)</f>
        <v>469</v>
      </c>
      <c r="D2517" s="19">
        <f t="shared" si="180"/>
        <v>469</v>
      </c>
      <c r="E2517" s="20"/>
      <c r="G2517" s="17" t="s">
        <v>2</v>
      </c>
      <c r="H2517" s="18">
        <f>SUM(H2493:H2516)</f>
        <v>3650</v>
      </c>
      <c r="I2517" s="19">
        <f t="shared" si="181"/>
        <v>3650</v>
      </c>
      <c r="J2517" s="20"/>
    </row>
    <row r="2518" spans="2:10" ht="14.25" thickBot="1" x14ac:dyDescent="0.2">
      <c r="B2518" s="46" t="s">
        <v>3</v>
      </c>
      <c r="C2518" s="52">
        <f>C2492-C2517</f>
        <v>96</v>
      </c>
      <c r="D2518" s="48">
        <f>D2492-D2517</f>
        <v>96</v>
      </c>
      <c r="E2518" s="49"/>
      <c r="G2518" s="46" t="s">
        <v>3</v>
      </c>
      <c r="H2518" s="52">
        <f>H2492-H2517</f>
        <v>3168</v>
      </c>
      <c r="I2518" s="48">
        <f>I2492-I2517</f>
        <v>3168</v>
      </c>
      <c r="J2518" s="49"/>
    </row>
    <row r="2521" spans="2:10" ht="18.75" x14ac:dyDescent="0.2">
      <c r="B2521" s="26" t="s">
        <v>7</v>
      </c>
      <c r="G2521" s="26" t="s">
        <v>35</v>
      </c>
    </row>
    <row r="2522" spans="2:10" ht="14.25" thickBot="1" x14ac:dyDescent="0.2"/>
    <row r="2523" spans="2:10" ht="14.25" thickBot="1" x14ac:dyDescent="0.2">
      <c r="B2523" s="1"/>
      <c r="C2523" s="2"/>
      <c r="D2523" s="3" t="s">
        <v>0</v>
      </c>
      <c r="E2523" s="1" t="s">
        <v>4</v>
      </c>
      <c r="G2523" s="1"/>
      <c r="H2523" s="2"/>
      <c r="I2523" s="3" t="s">
        <v>0</v>
      </c>
      <c r="J2523" s="1" t="s">
        <v>4</v>
      </c>
    </row>
    <row r="2524" spans="2:10" x14ac:dyDescent="0.15">
      <c r="B2524" s="42" t="s">
        <v>5</v>
      </c>
      <c r="C2524" s="43">
        <f>C2518</f>
        <v>96</v>
      </c>
      <c r="D2524" s="44">
        <f>SUM(C2524:C2524)</f>
        <v>96</v>
      </c>
      <c r="E2524" s="45"/>
      <c r="G2524" s="42" t="s">
        <v>5</v>
      </c>
      <c r="H2524" s="43">
        <f>H2518</f>
        <v>3168</v>
      </c>
      <c r="I2524" s="44">
        <f>SUM(H2524:H2524)</f>
        <v>3168</v>
      </c>
      <c r="J2524" s="45"/>
    </row>
    <row r="2525" spans="2:10" x14ac:dyDescent="0.15">
      <c r="B2525" s="6" t="s">
        <v>6</v>
      </c>
      <c r="C2525" s="13">
        <v>200</v>
      </c>
      <c r="D2525" s="14">
        <f>SUM(C2525:C2525)</f>
        <v>200</v>
      </c>
      <c r="E2525" s="12">
        <v>44043</v>
      </c>
      <c r="G2525" s="6" t="s">
        <v>6</v>
      </c>
      <c r="H2525" s="170"/>
      <c r="I2525" s="73">
        <f>SUM(H2525:H2525)</f>
        <v>0</v>
      </c>
      <c r="J2525" s="171"/>
    </row>
    <row r="2526" spans="2:10" x14ac:dyDescent="0.15">
      <c r="B2526" s="6" t="s">
        <v>6</v>
      </c>
      <c r="C2526" s="7">
        <v>200</v>
      </c>
      <c r="D2526" s="8">
        <f>SUM(C2526:C2526)</f>
        <v>200</v>
      </c>
      <c r="E2526" s="9">
        <v>44064</v>
      </c>
      <c r="G2526" s="6" t="s">
        <v>6</v>
      </c>
      <c r="H2526" s="13"/>
      <c r="I2526" s="14">
        <f>SUM(H2526:H2526)</f>
        <v>0</v>
      </c>
      <c r="J2526" s="169"/>
    </row>
    <row r="2527" spans="2:10" ht="14.25" thickBot="1" x14ac:dyDescent="0.2">
      <c r="B2527" s="6" t="s">
        <v>76</v>
      </c>
      <c r="C2527" s="7">
        <v>29</v>
      </c>
      <c r="D2527" s="14">
        <f>SUM(C2527:C2527)</f>
        <v>29</v>
      </c>
      <c r="E2527" s="16">
        <v>44061</v>
      </c>
      <c r="G2527" s="6" t="s">
        <v>6</v>
      </c>
      <c r="H2527" s="170"/>
      <c r="I2527" s="73">
        <f>SUM(H2527:H2527)</f>
        <v>0</v>
      </c>
      <c r="J2527" s="171"/>
    </row>
    <row r="2528" spans="2:10" ht="14.25" thickBot="1" x14ac:dyDescent="0.2">
      <c r="B2528" s="46" t="s">
        <v>1</v>
      </c>
      <c r="C2528" s="48">
        <f>SUM(C2524:C2527)</f>
        <v>525</v>
      </c>
      <c r="D2528" s="48">
        <f>SUM(D2524:D2527)</f>
        <v>525</v>
      </c>
      <c r="E2528" s="49"/>
      <c r="G2528" s="46" t="s">
        <v>1</v>
      </c>
      <c r="H2528" s="50">
        <f>SUM(H2524:H2527)</f>
        <v>3168</v>
      </c>
      <c r="I2528" s="48">
        <f>SUM(I2524:I2527)</f>
        <v>3168</v>
      </c>
      <c r="J2528" s="51"/>
    </row>
    <row r="2529" spans="2:10" x14ac:dyDescent="0.15">
      <c r="B2529" s="10" t="s">
        <v>222</v>
      </c>
      <c r="C2529" s="13">
        <v>1</v>
      </c>
      <c r="D2529" s="11">
        <f>SUM(C2529:C2529)</f>
        <v>1</v>
      </c>
      <c r="E2529" s="12">
        <v>44033</v>
      </c>
      <c r="G2529" s="15" t="s">
        <v>12</v>
      </c>
      <c r="H2529" s="13">
        <v>200</v>
      </c>
      <c r="I2529" s="11">
        <f>SUM(H2529:H2529)</f>
        <v>200</v>
      </c>
      <c r="J2529" s="12">
        <v>44043</v>
      </c>
    </row>
    <row r="2530" spans="2:10" x14ac:dyDescent="0.15">
      <c r="B2530" s="71" t="s">
        <v>702</v>
      </c>
      <c r="C2530" s="13">
        <v>4</v>
      </c>
      <c r="D2530" s="14">
        <v>4</v>
      </c>
      <c r="E2530" s="12">
        <v>44035</v>
      </c>
      <c r="G2530" s="15" t="s">
        <v>744</v>
      </c>
      <c r="H2530" s="13">
        <v>300</v>
      </c>
      <c r="I2530" s="14">
        <f>SUM(H2530:H2530)</f>
        <v>300</v>
      </c>
      <c r="J2530" s="12">
        <v>44049</v>
      </c>
    </row>
    <row r="2531" spans="2:10" x14ac:dyDescent="0.15">
      <c r="B2531" s="71" t="s">
        <v>702</v>
      </c>
      <c r="C2531" s="13">
        <v>32</v>
      </c>
      <c r="D2531" s="14">
        <f>SUM(C2531:C2531)</f>
        <v>32</v>
      </c>
      <c r="E2531" s="12">
        <v>44040</v>
      </c>
      <c r="G2531" s="15" t="s">
        <v>745</v>
      </c>
      <c r="H2531" s="13">
        <v>100</v>
      </c>
      <c r="I2531" s="14">
        <f t="shared" ref="I2531:I2549" si="182">SUM(H2531:H2531)</f>
        <v>100</v>
      </c>
      <c r="J2531" s="12">
        <v>44064</v>
      </c>
    </row>
    <row r="2532" spans="2:10" x14ac:dyDescent="0.15">
      <c r="B2532" s="10" t="s">
        <v>222</v>
      </c>
      <c r="C2532" s="13">
        <v>1</v>
      </c>
      <c r="D2532" s="14">
        <f t="shared" ref="D2532:D2542" si="183">SUM(C2532:C2532)</f>
        <v>1</v>
      </c>
      <c r="E2532" s="12">
        <v>44039</v>
      </c>
      <c r="G2532" s="15" t="s">
        <v>746</v>
      </c>
      <c r="H2532" s="13">
        <v>150</v>
      </c>
      <c r="I2532" s="14">
        <f t="shared" si="182"/>
        <v>150</v>
      </c>
      <c r="J2532" s="12">
        <v>44064</v>
      </c>
    </row>
    <row r="2533" spans="2:10" x14ac:dyDescent="0.15">
      <c r="B2533" s="71" t="s">
        <v>702</v>
      </c>
      <c r="C2533" s="13">
        <v>8</v>
      </c>
      <c r="D2533" s="14">
        <f t="shared" si="183"/>
        <v>8</v>
      </c>
      <c r="E2533" s="12">
        <v>44041</v>
      </c>
      <c r="G2533" s="15" t="s">
        <v>12</v>
      </c>
      <c r="H2533" s="13">
        <v>200</v>
      </c>
      <c r="I2533" s="14">
        <f t="shared" si="182"/>
        <v>200</v>
      </c>
      <c r="J2533" s="12">
        <v>44064</v>
      </c>
    </row>
    <row r="2534" spans="2:10" x14ac:dyDescent="0.15">
      <c r="B2534" s="71" t="s">
        <v>702</v>
      </c>
      <c r="C2534" s="13">
        <v>12</v>
      </c>
      <c r="D2534" s="14">
        <f t="shared" si="183"/>
        <v>12</v>
      </c>
      <c r="E2534" s="12">
        <v>44042</v>
      </c>
      <c r="G2534" s="78"/>
      <c r="H2534" s="13"/>
      <c r="I2534" s="14">
        <f t="shared" si="182"/>
        <v>0</v>
      </c>
      <c r="J2534" s="12"/>
    </row>
    <row r="2535" spans="2:10" x14ac:dyDescent="0.15">
      <c r="B2535" s="10" t="s">
        <v>222</v>
      </c>
      <c r="C2535" s="13">
        <v>2</v>
      </c>
      <c r="D2535" s="14">
        <f t="shared" si="183"/>
        <v>2</v>
      </c>
      <c r="E2535" s="12">
        <v>44041</v>
      </c>
      <c r="G2535" s="15"/>
      <c r="H2535" s="13"/>
      <c r="I2535" s="14">
        <f t="shared" si="182"/>
        <v>0</v>
      </c>
      <c r="J2535" s="12"/>
    </row>
    <row r="2536" spans="2:10" x14ac:dyDescent="0.15">
      <c r="B2536" s="71" t="s">
        <v>702</v>
      </c>
      <c r="C2536" s="13">
        <v>14</v>
      </c>
      <c r="D2536" s="14">
        <f t="shared" si="183"/>
        <v>14</v>
      </c>
      <c r="E2536" s="12">
        <v>44043</v>
      </c>
      <c r="G2536" s="15"/>
      <c r="H2536" s="13"/>
      <c r="I2536" s="14">
        <f t="shared" si="182"/>
        <v>0</v>
      </c>
      <c r="J2536" s="12"/>
    </row>
    <row r="2537" spans="2:10" x14ac:dyDescent="0.15">
      <c r="B2537" s="10" t="s">
        <v>222</v>
      </c>
      <c r="C2537" s="13">
        <v>1</v>
      </c>
      <c r="D2537" s="14">
        <f t="shared" si="183"/>
        <v>1</v>
      </c>
      <c r="E2537" s="12">
        <v>44042</v>
      </c>
      <c r="G2537" s="15"/>
      <c r="H2537" s="13"/>
      <c r="I2537" s="14">
        <f t="shared" si="182"/>
        <v>0</v>
      </c>
      <c r="J2537" s="12"/>
    </row>
    <row r="2538" spans="2:10" x14ac:dyDescent="0.15">
      <c r="B2538" s="71" t="s">
        <v>702</v>
      </c>
      <c r="C2538" s="13">
        <v>9</v>
      </c>
      <c r="D2538" s="14">
        <f t="shared" si="183"/>
        <v>9</v>
      </c>
      <c r="E2538" s="12">
        <v>44044</v>
      </c>
      <c r="G2538" s="15"/>
      <c r="H2538" s="13"/>
      <c r="I2538" s="14">
        <f t="shared" si="182"/>
        <v>0</v>
      </c>
      <c r="J2538" s="12"/>
    </row>
    <row r="2539" spans="2:10" x14ac:dyDescent="0.15">
      <c r="B2539" s="71" t="s">
        <v>702</v>
      </c>
      <c r="C2539" s="13">
        <v>9</v>
      </c>
      <c r="D2539" s="14">
        <f t="shared" si="183"/>
        <v>9</v>
      </c>
      <c r="E2539" s="12">
        <v>44047</v>
      </c>
      <c r="G2539" s="15"/>
      <c r="H2539" s="13"/>
      <c r="I2539" s="14">
        <f t="shared" si="182"/>
        <v>0</v>
      </c>
      <c r="J2539" s="5"/>
    </row>
    <row r="2540" spans="2:10" x14ac:dyDescent="0.15">
      <c r="B2540" s="71" t="s">
        <v>702</v>
      </c>
      <c r="C2540" s="13">
        <v>6</v>
      </c>
      <c r="D2540" s="14">
        <f t="shared" si="183"/>
        <v>6</v>
      </c>
      <c r="E2540" s="12">
        <v>44048</v>
      </c>
      <c r="G2540" s="15"/>
      <c r="H2540" s="7"/>
      <c r="I2540" s="14">
        <f t="shared" si="182"/>
        <v>0</v>
      </c>
      <c r="J2540" s="12"/>
    </row>
    <row r="2541" spans="2:10" x14ac:dyDescent="0.15">
      <c r="B2541" s="71" t="s">
        <v>702</v>
      </c>
      <c r="C2541" s="13">
        <v>4</v>
      </c>
      <c r="D2541" s="14">
        <f t="shared" si="183"/>
        <v>4</v>
      </c>
      <c r="E2541" s="12">
        <v>44049</v>
      </c>
      <c r="G2541" s="15"/>
      <c r="H2541" s="7"/>
      <c r="I2541" s="14">
        <f t="shared" si="182"/>
        <v>0</v>
      </c>
      <c r="J2541" s="12"/>
    </row>
    <row r="2542" spans="2:10" x14ac:dyDescent="0.15">
      <c r="B2542" s="71" t="s">
        <v>702</v>
      </c>
      <c r="C2542" s="13">
        <v>7</v>
      </c>
      <c r="D2542" s="14">
        <f t="shared" si="183"/>
        <v>7</v>
      </c>
      <c r="E2542" s="12">
        <v>44050</v>
      </c>
      <c r="G2542" s="15"/>
      <c r="H2542" s="7"/>
      <c r="I2542" s="14">
        <f t="shared" si="182"/>
        <v>0</v>
      </c>
      <c r="J2542" s="5"/>
    </row>
    <row r="2543" spans="2:10" x14ac:dyDescent="0.15">
      <c r="B2543" s="10" t="s">
        <v>222</v>
      </c>
      <c r="C2543" s="13">
        <v>1</v>
      </c>
      <c r="D2543" s="14">
        <f>SUM(C2543:C2543)</f>
        <v>1</v>
      </c>
      <c r="E2543" s="12">
        <v>44049</v>
      </c>
      <c r="G2543" s="15"/>
      <c r="H2543" s="7"/>
      <c r="I2543" s="14">
        <f t="shared" si="182"/>
        <v>0</v>
      </c>
      <c r="J2543" s="12"/>
    </row>
    <row r="2544" spans="2:10" x14ac:dyDescent="0.15">
      <c r="B2544" s="71" t="s">
        <v>702</v>
      </c>
      <c r="C2544" s="13">
        <v>6</v>
      </c>
      <c r="D2544" s="14">
        <f t="shared" ref="D2544:D2553" si="184">SUM(C2544:C2544)</f>
        <v>6</v>
      </c>
      <c r="E2544" s="12">
        <v>44051</v>
      </c>
      <c r="G2544" s="15"/>
      <c r="H2544" s="7"/>
      <c r="I2544" s="14">
        <f t="shared" si="182"/>
        <v>0</v>
      </c>
      <c r="J2544" s="12"/>
    </row>
    <row r="2545" spans="2:10" x14ac:dyDescent="0.15">
      <c r="B2545" s="71" t="s">
        <v>702</v>
      </c>
      <c r="C2545" s="13">
        <v>18</v>
      </c>
      <c r="D2545" s="14">
        <f t="shared" si="184"/>
        <v>18</v>
      </c>
      <c r="E2545" s="12">
        <v>44055</v>
      </c>
      <c r="G2545" s="15"/>
      <c r="H2545" s="7"/>
      <c r="I2545" s="14">
        <f t="shared" si="182"/>
        <v>0</v>
      </c>
      <c r="J2545" s="12"/>
    </row>
    <row r="2546" spans="2:10" x14ac:dyDescent="0.15">
      <c r="B2546" s="71" t="s">
        <v>702</v>
      </c>
      <c r="C2546" s="13">
        <v>56</v>
      </c>
      <c r="D2546" s="14">
        <f t="shared" si="184"/>
        <v>56</v>
      </c>
      <c r="E2546" s="12">
        <v>44056</v>
      </c>
      <c r="G2546" s="15"/>
      <c r="H2546" s="7"/>
      <c r="I2546" s="14">
        <f t="shared" si="182"/>
        <v>0</v>
      </c>
      <c r="J2546" s="12"/>
    </row>
    <row r="2547" spans="2:10" x14ac:dyDescent="0.15">
      <c r="B2547" s="71" t="s">
        <v>702</v>
      </c>
      <c r="C2547" s="13">
        <v>27</v>
      </c>
      <c r="D2547" s="14">
        <f t="shared" si="184"/>
        <v>27</v>
      </c>
      <c r="E2547" s="12">
        <v>44061</v>
      </c>
      <c r="G2547" s="15"/>
      <c r="H2547" s="7"/>
      <c r="I2547" s="14">
        <f t="shared" si="182"/>
        <v>0</v>
      </c>
      <c r="J2547" s="12"/>
    </row>
    <row r="2548" spans="2:10" x14ac:dyDescent="0.15">
      <c r="B2548" s="10" t="s">
        <v>222</v>
      </c>
      <c r="C2548" s="13">
        <v>1</v>
      </c>
      <c r="D2548" s="14">
        <f t="shared" si="184"/>
        <v>1</v>
      </c>
      <c r="E2548" s="5">
        <v>44060</v>
      </c>
      <c r="G2548" s="15"/>
      <c r="H2548" s="7"/>
      <c r="I2548" s="14">
        <f>SUM(H2548:H2548)</f>
        <v>0</v>
      </c>
      <c r="J2548" s="12"/>
    </row>
    <row r="2549" spans="2:10" x14ac:dyDescent="0.15">
      <c r="B2549" s="71" t="s">
        <v>702</v>
      </c>
      <c r="C2549" s="13">
        <v>40</v>
      </c>
      <c r="D2549" s="14">
        <f t="shared" si="184"/>
        <v>40</v>
      </c>
      <c r="E2549" s="5">
        <v>44062</v>
      </c>
      <c r="G2549" s="15"/>
      <c r="H2549" s="7"/>
      <c r="I2549" s="14">
        <f t="shared" si="182"/>
        <v>0</v>
      </c>
      <c r="J2549" s="12"/>
    </row>
    <row r="2550" spans="2:10" x14ac:dyDescent="0.15">
      <c r="B2550" s="10" t="s">
        <v>222</v>
      </c>
      <c r="C2550" s="13">
        <v>1</v>
      </c>
      <c r="D2550" s="14">
        <f t="shared" si="184"/>
        <v>1</v>
      </c>
      <c r="E2550" s="5">
        <v>44061</v>
      </c>
      <c r="G2550" s="15" t="s">
        <v>741</v>
      </c>
      <c r="H2550" s="7"/>
      <c r="I2550" s="14">
        <f>SUM(H2550:H2550)</f>
        <v>0</v>
      </c>
      <c r="J2550" s="12" t="s">
        <v>712</v>
      </c>
    </row>
    <row r="2551" spans="2:10" x14ac:dyDescent="0.15">
      <c r="B2551" s="71" t="s">
        <v>702</v>
      </c>
      <c r="C2551" s="13">
        <v>20</v>
      </c>
      <c r="D2551" s="14">
        <f t="shared" si="184"/>
        <v>20</v>
      </c>
      <c r="E2551" s="5">
        <v>44063</v>
      </c>
      <c r="G2551" s="15" t="s">
        <v>734</v>
      </c>
      <c r="H2551" s="7"/>
      <c r="I2551" s="14">
        <f>SUM(H2551:H2551)</f>
        <v>0</v>
      </c>
      <c r="J2551" s="12" t="s">
        <v>736</v>
      </c>
    </row>
    <row r="2552" spans="2:10" ht="14.25" thickBot="1" x14ac:dyDescent="0.2">
      <c r="B2552" s="71" t="s">
        <v>702</v>
      </c>
      <c r="C2552" s="13">
        <v>23</v>
      </c>
      <c r="D2552" s="11">
        <f t="shared" si="184"/>
        <v>23</v>
      </c>
      <c r="E2552" s="12">
        <v>44064</v>
      </c>
      <c r="G2552" s="15" t="s">
        <v>719</v>
      </c>
      <c r="H2552" s="7"/>
      <c r="I2552" s="14">
        <f>SUM(H2552:H2552)</f>
        <v>0</v>
      </c>
      <c r="J2552" s="12" t="s">
        <v>720</v>
      </c>
    </row>
    <row r="2553" spans="2:10" ht="14.25" thickBot="1" x14ac:dyDescent="0.2">
      <c r="B2553" s="17" t="s">
        <v>2</v>
      </c>
      <c r="C2553" s="18">
        <f>SUM(C2529:C2552)</f>
        <v>303</v>
      </c>
      <c r="D2553" s="19">
        <f t="shared" si="184"/>
        <v>303</v>
      </c>
      <c r="E2553" s="20"/>
      <c r="G2553" s="17" t="s">
        <v>2</v>
      </c>
      <c r="H2553" s="18">
        <f>SUM(H2529:H2552)</f>
        <v>950</v>
      </c>
      <c r="I2553" s="19">
        <f>SUM(H2553:H2553)</f>
        <v>950</v>
      </c>
      <c r="J2553" s="20"/>
    </row>
    <row r="2554" spans="2:10" ht="14.25" thickBot="1" x14ac:dyDescent="0.2">
      <c r="B2554" s="46" t="s">
        <v>3</v>
      </c>
      <c r="C2554" s="52">
        <f>C2528-C2553</f>
        <v>222</v>
      </c>
      <c r="D2554" s="48">
        <f>D2528-D2553</f>
        <v>222</v>
      </c>
      <c r="E2554" s="49"/>
      <c r="G2554" s="46" t="s">
        <v>3</v>
      </c>
      <c r="H2554" s="52">
        <f>H2528-H2553</f>
        <v>2218</v>
      </c>
      <c r="I2554" s="48">
        <f>I2528-I2553</f>
        <v>2218</v>
      </c>
      <c r="J2554" s="49"/>
    </row>
    <row r="2557" spans="2:10" ht="18.75" x14ac:dyDescent="0.2">
      <c r="B2557" s="26" t="s">
        <v>7</v>
      </c>
      <c r="G2557" s="26" t="s">
        <v>35</v>
      </c>
    </row>
    <row r="2558" spans="2:10" ht="14.25" thickBot="1" x14ac:dyDescent="0.2"/>
    <row r="2559" spans="2:10" ht="14.25" thickBot="1" x14ac:dyDescent="0.2">
      <c r="B2559" s="1"/>
      <c r="C2559" s="2"/>
      <c r="D2559" s="3" t="s">
        <v>0</v>
      </c>
      <c r="E2559" s="1" t="s">
        <v>4</v>
      </c>
      <c r="G2559" s="1"/>
      <c r="H2559" s="2"/>
      <c r="I2559" s="3" t="s">
        <v>0</v>
      </c>
      <c r="J2559" s="1" t="s">
        <v>4</v>
      </c>
    </row>
    <row r="2560" spans="2:10" x14ac:dyDescent="0.15">
      <c r="B2560" s="42" t="s">
        <v>5</v>
      </c>
      <c r="C2560" s="43">
        <f>C2554</f>
        <v>222</v>
      </c>
      <c r="D2560" s="44">
        <f>SUM(C2560:C2560)</f>
        <v>222</v>
      </c>
      <c r="E2560" s="45"/>
      <c r="G2560" s="42" t="s">
        <v>5</v>
      </c>
      <c r="H2560" s="43">
        <f>H2554</f>
        <v>2218</v>
      </c>
      <c r="I2560" s="44">
        <f>SUM(H2560:H2560)</f>
        <v>2218</v>
      </c>
      <c r="J2560" s="45"/>
    </row>
    <row r="2561" spans="2:10" x14ac:dyDescent="0.15">
      <c r="B2561" s="6" t="s">
        <v>105</v>
      </c>
      <c r="C2561" s="13">
        <v>1</v>
      </c>
      <c r="D2561" s="14">
        <f>SUM(C2561:C2561)</f>
        <v>1</v>
      </c>
      <c r="E2561" s="12">
        <v>44070</v>
      </c>
      <c r="G2561" s="6" t="s">
        <v>6</v>
      </c>
      <c r="H2561" s="170"/>
      <c r="I2561" s="73">
        <f>SUM(H2561:H2561)</f>
        <v>0</v>
      </c>
      <c r="J2561" s="171"/>
    </row>
    <row r="2562" spans="2:10" x14ac:dyDescent="0.15">
      <c r="B2562" s="6" t="s">
        <v>6</v>
      </c>
      <c r="C2562" s="7">
        <v>200</v>
      </c>
      <c r="D2562" s="8">
        <f>SUM(C2562:C2562)</f>
        <v>200</v>
      </c>
      <c r="E2562" s="9">
        <v>44081</v>
      </c>
      <c r="G2562" s="6" t="s">
        <v>6</v>
      </c>
      <c r="H2562" s="13"/>
      <c r="I2562" s="14">
        <f>SUM(H2562:H2562)</f>
        <v>0</v>
      </c>
      <c r="J2562" s="169"/>
    </row>
    <row r="2563" spans="2:10" ht="14.25" thickBot="1" x14ac:dyDescent="0.2">
      <c r="B2563" s="6" t="s">
        <v>76</v>
      </c>
      <c r="C2563" s="7">
        <v>24</v>
      </c>
      <c r="D2563" s="14">
        <f>SUM(C2563:C2563)</f>
        <v>24</v>
      </c>
      <c r="E2563" s="16">
        <v>44091</v>
      </c>
      <c r="G2563" s="6" t="s">
        <v>6</v>
      </c>
      <c r="H2563" s="170"/>
      <c r="I2563" s="73">
        <f>SUM(H2563:H2563)</f>
        <v>0</v>
      </c>
      <c r="J2563" s="171"/>
    </row>
    <row r="2564" spans="2:10" ht="14.25" thickBot="1" x14ac:dyDescent="0.2">
      <c r="B2564" s="46" t="s">
        <v>1</v>
      </c>
      <c r="C2564" s="48">
        <f>SUM(C2560:C2563)</f>
        <v>447</v>
      </c>
      <c r="D2564" s="48">
        <f>SUM(D2560:D2563)</f>
        <v>447</v>
      </c>
      <c r="E2564" s="49"/>
      <c r="G2564" s="46" t="s">
        <v>1</v>
      </c>
      <c r="H2564" s="50">
        <f>SUM(H2560:H2563)</f>
        <v>2218</v>
      </c>
      <c r="I2564" s="48">
        <f>SUM(I2560:I2563)</f>
        <v>2218</v>
      </c>
      <c r="J2564" s="51"/>
    </row>
    <row r="2565" spans="2:10" x14ac:dyDescent="0.15">
      <c r="B2565" s="10" t="s">
        <v>222</v>
      </c>
      <c r="C2565" s="13">
        <v>1</v>
      </c>
      <c r="D2565" s="11">
        <f>SUM(C2565:C2565)</f>
        <v>1</v>
      </c>
      <c r="E2565" s="12">
        <v>44063</v>
      </c>
      <c r="G2565" s="15" t="s">
        <v>747</v>
      </c>
      <c r="H2565" s="13">
        <v>400</v>
      </c>
      <c r="I2565" s="11">
        <f>SUM(H2565:H2565)</f>
        <v>400</v>
      </c>
      <c r="J2565" s="12">
        <v>44071</v>
      </c>
    </row>
    <row r="2566" spans="2:10" x14ac:dyDescent="0.15">
      <c r="B2566" s="10" t="s">
        <v>222</v>
      </c>
      <c r="C2566" s="13">
        <v>1</v>
      </c>
      <c r="D2566" s="14">
        <v>4</v>
      </c>
      <c r="E2566" s="12">
        <v>44064</v>
      </c>
      <c r="G2566" s="15" t="s">
        <v>748</v>
      </c>
      <c r="H2566" s="13">
        <v>400</v>
      </c>
      <c r="I2566" s="14">
        <f>SUM(H2566:H2566)</f>
        <v>400</v>
      </c>
      <c r="J2566" s="12">
        <v>44071</v>
      </c>
    </row>
    <row r="2567" spans="2:10" x14ac:dyDescent="0.15">
      <c r="B2567" s="71" t="s">
        <v>702</v>
      </c>
      <c r="C2567" s="13">
        <v>25</v>
      </c>
      <c r="D2567" s="14">
        <f>SUM(C2567:C2567)</f>
        <v>25</v>
      </c>
      <c r="E2567" s="12">
        <v>44068</v>
      </c>
      <c r="G2567" s="15" t="s">
        <v>749</v>
      </c>
      <c r="H2567" s="13">
        <v>300</v>
      </c>
      <c r="I2567" s="14">
        <f t="shared" ref="I2567:I2583" si="185">SUM(H2567:H2567)</f>
        <v>300</v>
      </c>
      <c r="J2567" s="12">
        <v>44072</v>
      </c>
    </row>
    <row r="2568" spans="2:10" x14ac:dyDescent="0.15">
      <c r="B2568" s="71" t="s">
        <v>702</v>
      </c>
      <c r="C2568" s="13">
        <v>38</v>
      </c>
      <c r="D2568" s="14">
        <f t="shared" ref="D2568:D2578" si="186">SUM(C2568:C2568)</f>
        <v>38</v>
      </c>
      <c r="E2568" s="12">
        <v>44069</v>
      </c>
      <c r="G2568" s="15" t="s">
        <v>750</v>
      </c>
      <c r="H2568" s="13">
        <v>400</v>
      </c>
      <c r="I2568" s="14">
        <f t="shared" si="185"/>
        <v>400</v>
      </c>
      <c r="J2568" s="12">
        <v>44078</v>
      </c>
    </row>
    <row r="2569" spans="2:10" x14ac:dyDescent="0.15">
      <c r="B2569" s="71" t="s">
        <v>702</v>
      </c>
      <c r="C2569" s="13">
        <v>27</v>
      </c>
      <c r="D2569" s="14">
        <f t="shared" si="186"/>
        <v>27</v>
      </c>
      <c r="E2569" s="12">
        <v>44075</v>
      </c>
      <c r="G2569" s="15" t="s">
        <v>12</v>
      </c>
      <c r="H2569" s="13">
        <v>200</v>
      </c>
      <c r="I2569" s="14">
        <f t="shared" si="185"/>
        <v>200</v>
      </c>
      <c r="J2569" s="12">
        <v>44081</v>
      </c>
    </row>
    <row r="2570" spans="2:10" x14ac:dyDescent="0.15">
      <c r="B2570" s="71" t="s">
        <v>702</v>
      </c>
      <c r="C2570" s="13">
        <v>31</v>
      </c>
      <c r="D2570" s="14">
        <f t="shared" si="186"/>
        <v>31</v>
      </c>
      <c r="E2570" s="12">
        <v>44076</v>
      </c>
      <c r="G2570" s="15"/>
      <c r="H2570" s="13"/>
      <c r="I2570" s="14">
        <f t="shared" si="185"/>
        <v>0</v>
      </c>
      <c r="J2570" s="12"/>
    </row>
    <row r="2571" spans="2:10" x14ac:dyDescent="0.15">
      <c r="B2571" s="71" t="s">
        <v>702</v>
      </c>
      <c r="C2571" s="13">
        <v>19</v>
      </c>
      <c r="D2571" s="14">
        <f t="shared" si="186"/>
        <v>19</v>
      </c>
      <c r="E2571" s="12">
        <v>44077</v>
      </c>
      <c r="G2571" s="15"/>
      <c r="H2571" s="13"/>
      <c r="I2571" s="14">
        <f t="shared" si="185"/>
        <v>0</v>
      </c>
      <c r="J2571" s="12"/>
    </row>
    <row r="2572" spans="2:10" x14ac:dyDescent="0.15">
      <c r="B2572" s="89" t="s">
        <v>751</v>
      </c>
      <c r="C2572" s="13">
        <v>50</v>
      </c>
      <c r="D2572" s="14">
        <f t="shared" si="186"/>
        <v>50</v>
      </c>
      <c r="E2572" s="12">
        <v>44081</v>
      </c>
      <c r="G2572" s="15"/>
      <c r="H2572" s="13"/>
      <c r="I2572" s="14">
        <f t="shared" si="185"/>
        <v>0</v>
      </c>
      <c r="J2572" s="12"/>
    </row>
    <row r="2573" spans="2:10" x14ac:dyDescent="0.15">
      <c r="B2573" s="71" t="s">
        <v>702</v>
      </c>
      <c r="C2573" s="13">
        <v>12</v>
      </c>
      <c r="D2573" s="14">
        <f t="shared" si="186"/>
        <v>12</v>
      </c>
      <c r="E2573" s="12">
        <v>44081</v>
      </c>
      <c r="G2573" s="15"/>
      <c r="H2573" s="13"/>
      <c r="I2573" s="14">
        <f t="shared" si="185"/>
        <v>0</v>
      </c>
      <c r="J2573" s="12"/>
    </row>
    <row r="2574" spans="2:10" x14ac:dyDescent="0.15">
      <c r="B2574" s="10" t="s">
        <v>222</v>
      </c>
      <c r="C2574" s="13">
        <v>1</v>
      </c>
      <c r="D2574" s="14">
        <f t="shared" si="186"/>
        <v>1</v>
      </c>
      <c r="E2574" s="12">
        <v>44079</v>
      </c>
      <c r="G2574" s="15"/>
      <c r="H2574" s="13"/>
      <c r="I2574" s="14">
        <f t="shared" si="185"/>
        <v>0</v>
      </c>
      <c r="J2574" s="12"/>
    </row>
    <row r="2575" spans="2:10" x14ac:dyDescent="0.15">
      <c r="B2575" s="71" t="s">
        <v>702</v>
      </c>
      <c r="C2575" s="13">
        <v>17</v>
      </c>
      <c r="D2575" s="14">
        <f t="shared" si="186"/>
        <v>17</v>
      </c>
      <c r="E2575" s="12">
        <v>44083</v>
      </c>
      <c r="G2575" s="15"/>
      <c r="H2575" s="13"/>
      <c r="I2575" s="14">
        <f t="shared" si="185"/>
        <v>0</v>
      </c>
      <c r="J2575" s="5"/>
    </row>
    <row r="2576" spans="2:10" x14ac:dyDescent="0.15">
      <c r="B2576" s="71" t="s">
        <v>702</v>
      </c>
      <c r="C2576" s="13">
        <v>3</v>
      </c>
      <c r="D2576" s="14">
        <f t="shared" si="186"/>
        <v>3</v>
      </c>
      <c r="E2576" s="12">
        <v>44084</v>
      </c>
      <c r="G2576" s="15"/>
      <c r="H2576" s="7"/>
      <c r="I2576" s="14">
        <f t="shared" si="185"/>
        <v>0</v>
      </c>
      <c r="J2576" s="12"/>
    </row>
    <row r="2577" spans="2:10" x14ac:dyDescent="0.15">
      <c r="B2577" s="71" t="s">
        <v>702</v>
      </c>
      <c r="C2577" s="13">
        <v>1</v>
      </c>
      <c r="D2577" s="14">
        <f t="shared" si="186"/>
        <v>1</v>
      </c>
      <c r="E2577" s="12">
        <v>44085</v>
      </c>
      <c r="G2577" s="15"/>
      <c r="H2577" s="7"/>
      <c r="I2577" s="14">
        <f t="shared" si="185"/>
        <v>0</v>
      </c>
      <c r="J2577" s="12"/>
    </row>
    <row r="2578" spans="2:10" x14ac:dyDescent="0.15">
      <c r="B2578" s="71" t="s">
        <v>702</v>
      </c>
      <c r="C2578" s="13">
        <v>1</v>
      </c>
      <c r="D2578" s="14">
        <f t="shared" si="186"/>
        <v>1</v>
      </c>
      <c r="E2578" s="12">
        <v>44086</v>
      </c>
      <c r="G2578" s="15"/>
      <c r="H2578" s="7"/>
      <c r="I2578" s="14">
        <f t="shared" si="185"/>
        <v>0</v>
      </c>
      <c r="J2578" s="5"/>
    </row>
    <row r="2579" spans="2:10" x14ac:dyDescent="0.15">
      <c r="B2579" s="71" t="s">
        <v>702</v>
      </c>
      <c r="C2579" s="13">
        <v>11</v>
      </c>
      <c r="D2579" s="14">
        <f>SUM(C2579:C2579)</f>
        <v>11</v>
      </c>
      <c r="E2579" s="12">
        <v>44089</v>
      </c>
      <c r="G2579" s="15"/>
      <c r="H2579" s="7"/>
      <c r="I2579" s="14">
        <f t="shared" si="185"/>
        <v>0</v>
      </c>
      <c r="J2579" s="12"/>
    </row>
    <row r="2580" spans="2:10" x14ac:dyDescent="0.15">
      <c r="B2580" s="71" t="s">
        <v>702</v>
      </c>
      <c r="C2580" s="13">
        <v>6</v>
      </c>
      <c r="D2580" s="14">
        <f t="shared" ref="D2580:D2589" si="187">SUM(C2580:C2580)</f>
        <v>6</v>
      </c>
      <c r="E2580" s="12">
        <v>44091</v>
      </c>
      <c r="G2580" s="15"/>
      <c r="H2580" s="7"/>
      <c r="I2580" s="14">
        <f t="shared" si="185"/>
        <v>0</v>
      </c>
      <c r="J2580" s="12"/>
    </row>
    <row r="2581" spans="2:10" x14ac:dyDescent="0.15">
      <c r="B2581" s="71" t="s">
        <v>702</v>
      </c>
      <c r="C2581" s="13">
        <v>4</v>
      </c>
      <c r="D2581" s="14">
        <f t="shared" si="187"/>
        <v>4</v>
      </c>
      <c r="E2581" s="12">
        <v>44092</v>
      </c>
      <c r="G2581" s="15"/>
      <c r="H2581" s="7"/>
      <c r="I2581" s="14">
        <f t="shared" si="185"/>
        <v>0</v>
      </c>
      <c r="J2581" s="12"/>
    </row>
    <row r="2582" spans="2:10" x14ac:dyDescent="0.15">
      <c r="B2582" s="71" t="s">
        <v>702</v>
      </c>
      <c r="C2582" s="13">
        <v>3</v>
      </c>
      <c r="D2582" s="14">
        <f t="shared" si="187"/>
        <v>3</v>
      </c>
      <c r="E2582" s="12">
        <v>44093</v>
      </c>
      <c r="G2582" s="15"/>
      <c r="H2582" s="7"/>
      <c r="I2582" s="14">
        <f t="shared" si="185"/>
        <v>0</v>
      </c>
      <c r="J2582" s="12"/>
    </row>
    <row r="2583" spans="2:10" x14ac:dyDescent="0.15">
      <c r="B2583" s="71" t="s">
        <v>702</v>
      </c>
      <c r="C2583" s="13">
        <v>4</v>
      </c>
      <c r="D2583" s="14">
        <f t="shared" si="187"/>
        <v>4</v>
      </c>
      <c r="E2583" s="12">
        <v>44098</v>
      </c>
      <c r="G2583" s="15"/>
      <c r="H2583" s="7"/>
      <c r="I2583" s="14">
        <f t="shared" si="185"/>
        <v>0</v>
      </c>
      <c r="J2583" s="12"/>
    </row>
    <row r="2584" spans="2:10" x14ac:dyDescent="0.15">
      <c r="B2584" s="71" t="s">
        <v>702</v>
      </c>
      <c r="C2584" s="13">
        <v>3</v>
      </c>
      <c r="D2584" s="14">
        <f t="shared" si="187"/>
        <v>3</v>
      </c>
      <c r="E2584" s="5">
        <v>44099</v>
      </c>
      <c r="G2584" s="15"/>
      <c r="H2584" s="7"/>
      <c r="I2584" s="14">
        <f t="shared" ref="I2584:I2589" si="188">SUM(H2584:H2584)</f>
        <v>0</v>
      </c>
      <c r="J2584" s="12"/>
    </row>
    <row r="2585" spans="2:10" x14ac:dyDescent="0.15">
      <c r="B2585" s="71" t="s">
        <v>702</v>
      </c>
      <c r="C2585" s="13">
        <v>12</v>
      </c>
      <c r="D2585" s="14">
        <f t="shared" si="187"/>
        <v>12</v>
      </c>
      <c r="E2585" s="5">
        <v>44100</v>
      </c>
      <c r="G2585" s="15"/>
      <c r="H2585" s="7"/>
      <c r="I2585" s="14">
        <f t="shared" si="188"/>
        <v>0</v>
      </c>
      <c r="J2585" s="12"/>
    </row>
    <row r="2586" spans="2:10" x14ac:dyDescent="0.15">
      <c r="B2586" s="10" t="s">
        <v>222</v>
      </c>
      <c r="C2586" s="13">
        <v>1</v>
      </c>
      <c r="D2586" s="14">
        <f t="shared" si="187"/>
        <v>1</v>
      </c>
      <c r="E2586" s="5">
        <v>44099</v>
      </c>
      <c r="G2586" s="15"/>
      <c r="H2586" s="7"/>
      <c r="I2586" s="14">
        <f>SUM(H2586:H2586)</f>
        <v>0</v>
      </c>
      <c r="J2586" s="12"/>
    </row>
    <row r="2587" spans="2:10" x14ac:dyDescent="0.15">
      <c r="B2587" s="71" t="s">
        <v>702</v>
      </c>
      <c r="C2587" s="13">
        <v>5</v>
      </c>
      <c r="D2587" s="14">
        <f t="shared" si="187"/>
        <v>5</v>
      </c>
      <c r="E2587" s="5">
        <v>44103</v>
      </c>
      <c r="G2587" s="15" t="s">
        <v>733</v>
      </c>
      <c r="H2587" s="7"/>
      <c r="I2587" s="14">
        <f t="shared" si="188"/>
        <v>0</v>
      </c>
      <c r="J2587" s="12" t="s">
        <v>735</v>
      </c>
    </row>
    <row r="2588" spans="2:10" ht="14.25" thickBot="1" x14ac:dyDescent="0.2">
      <c r="B2588" s="10" t="s">
        <v>222</v>
      </c>
      <c r="C2588" s="13">
        <v>5</v>
      </c>
      <c r="D2588" s="11">
        <f t="shared" si="187"/>
        <v>5</v>
      </c>
      <c r="E2588" s="12">
        <v>44100</v>
      </c>
      <c r="G2588" s="15" t="s">
        <v>697</v>
      </c>
      <c r="H2588" s="7"/>
      <c r="I2588" s="14">
        <f>SUM(H2588:H2588)</f>
        <v>0</v>
      </c>
      <c r="J2588" s="12" t="s">
        <v>698</v>
      </c>
    </row>
    <row r="2589" spans="2:10" ht="14.25" thickBot="1" x14ac:dyDescent="0.2">
      <c r="B2589" s="17" t="s">
        <v>2</v>
      </c>
      <c r="C2589" s="18">
        <f>SUM(C2565:C2588)</f>
        <v>281</v>
      </c>
      <c r="D2589" s="19">
        <f t="shared" si="187"/>
        <v>281</v>
      </c>
      <c r="E2589" s="20"/>
      <c r="G2589" s="17" t="s">
        <v>2</v>
      </c>
      <c r="H2589" s="18">
        <f>SUM(H2565:H2588)</f>
        <v>1700</v>
      </c>
      <c r="I2589" s="19">
        <f t="shared" si="188"/>
        <v>1700</v>
      </c>
      <c r="J2589" s="20"/>
    </row>
    <row r="2590" spans="2:10" ht="14.25" thickBot="1" x14ac:dyDescent="0.2">
      <c r="B2590" s="46" t="s">
        <v>3</v>
      </c>
      <c r="C2590" s="52">
        <f>C2564-C2589</f>
        <v>166</v>
      </c>
      <c r="D2590" s="48">
        <f>D2564-D2589</f>
        <v>166</v>
      </c>
      <c r="E2590" s="49"/>
      <c r="G2590" s="46" t="s">
        <v>3</v>
      </c>
      <c r="H2590" s="52">
        <f>H2564-H2589</f>
        <v>518</v>
      </c>
      <c r="I2590" s="48">
        <f>I2564-I2589</f>
        <v>518</v>
      </c>
      <c r="J2590" s="49"/>
    </row>
    <row r="2593" spans="2:10" ht="18.75" x14ac:dyDescent="0.2">
      <c r="B2593" s="26" t="s">
        <v>7</v>
      </c>
      <c r="G2593" s="26" t="s">
        <v>35</v>
      </c>
    </row>
    <row r="2594" spans="2:10" ht="14.25" thickBot="1" x14ac:dyDescent="0.2"/>
    <row r="2595" spans="2:10" ht="14.25" thickBot="1" x14ac:dyDescent="0.2">
      <c r="B2595" s="1"/>
      <c r="C2595" s="2"/>
      <c r="D2595" s="3" t="s">
        <v>0</v>
      </c>
      <c r="E2595" s="1" t="s">
        <v>4</v>
      </c>
      <c r="G2595" s="1"/>
      <c r="H2595" s="2"/>
      <c r="I2595" s="3" t="s">
        <v>0</v>
      </c>
      <c r="J2595" s="1" t="s">
        <v>4</v>
      </c>
    </row>
    <row r="2596" spans="2:10" x14ac:dyDescent="0.15">
      <c r="B2596" s="42" t="s">
        <v>5</v>
      </c>
      <c r="C2596" s="43">
        <f>C2590</f>
        <v>166</v>
      </c>
      <c r="D2596" s="44">
        <f>SUM(C2596:C2596)</f>
        <v>166</v>
      </c>
      <c r="E2596" s="45"/>
      <c r="G2596" s="42" t="s">
        <v>5</v>
      </c>
      <c r="H2596" s="43">
        <f>H2590</f>
        <v>518</v>
      </c>
      <c r="I2596" s="44">
        <f>SUM(H2596:H2596)</f>
        <v>518</v>
      </c>
      <c r="J2596" s="45"/>
    </row>
    <row r="2597" spans="2:10" x14ac:dyDescent="0.15">
      <c r="B2597" s="6" t="s">
        <v>76</v>
      </c>
      <c r="C2597" s="13">
        <v>96</v>
      </c>
      <c r="D2597" s="14">
        <f>SUM(C2597:C2597)</f>
        <v>96</v>
      </c>
      <c r="E2597" s="12">
        <v>44119</v>
      </c>
      <c r="G2597" s="6" t="s">
        <v>6</v>
      </c>
      <c r="H2597" s="170"/>
      <c r="I2597" s="73">
        <f>SUM(H2597:H2597)</f>
        <v>0</v>
      </c>
      <c r="J2597" s="171"/>
    </row>
    <row r="2598" spans="2:10" x14ac:dyDescent="0.15">
      <c r="B2598" s="6" t="s">
        <v>76</v>
      </c>
      <c r="C2598" s="13">
        <v>13</v>
      </c>
      <c r="D2598" s="14">
        <f>SUM(C2598:C2598)</f>
        <v>13</v>
      </c>
      <c r="E2598" s="12">
        <v>44124</v>
      </c>
      <c r="G2598" s="6" t="s">
        <v>6</v>
      </c>
      <c r="H2598" s="13"/>
      <c r="I2598" s="14">
        <f>SUM(H2598:H2598)</f>
        <v>0</v>
      </c>
      <c r="J2598" s="169"/>
    </row>
    <row r="2599" spans="2:10" ht="14.25" thickBot="1" x14ac:dyDescent="0.2">
      <c r="B2599" s="6" t="s">
        <v>76</v>
      </c>
      <c r="C2599" s="7">
        <v>12</v>
      </c>
      <c r="D2599" s="14">
        <f>SUM(C2599:C2599)</f>
        <v>12</v>
      </c>
      <c r="E2599" s="16">
        <v>44153</v>
      </c>
      <c r="G2599" s="6" t="s">
        <v>6</v>
      </c>
      <c r="H2599" s="170"/>
      <c r="I2599" s="73">
        <f>SUM(H2599:H2599)</f>
        <v>0</v>
      </c>
      <c r="J2599" s="171"/>
    </row>
    <row r="2600" spans="2:10" ht="14.25" thickBot="1" x14ac:dyDescent="0.2">
      <c r="B2600" s="46" t="s">
        <v>1</v>
      </c>
      <c r="C2600" s="48">
        <f>SUM(C2596:C2599)</f>
        <v>287</v>
      </c>
      <c r="D2600" s="48">
        <f>SUM(D2596:D2599)</f>
        <v>287</v>
      </c>
      <c r="E2600" s="49"/>
      <c r="G2600" s="46" t="s">
        <v>1</v>
      </c>
      <c r="H2600" s="50">
        <f>SUM(H2596:H2599)</f>
        <v>518</v>
      </c>
      <c r="I2600" s="48">
        <f>SUM(I2596:I2599)</f>
        <v>518</v>
      </c>
      <c r="J2600" s="51"/>
    </row>
    <row r="2601" spans="2:10" x14ac:dyDescent="0.15">
      <c r="B2601" s="10" t="s">
        <v>222</v>
      </c>
      <c r="C2601" s="13">
        <v>5</v>
      </c>
      <c r="D2601" s="11">
        <f>SUM(C2601:C2601)</f>
        <v>5</v>
      </c>
      <c r="E2601" s="12">
        <v>44102</v>
      </c>
      <c r="G2601" s="15"/>
      <c r="H2601" s="13"/>
      <c r="I2601" s="11">
        <f>SUM(H2601:H2601)</f>
        <v>0</v>
      </c>
      <c r="J2601" s="12"/>
    </row>
    <row r="2602" spans="2:10" x14ac:dyDescent="0.15">
      <c r="B2602" s="71" t="s">
        <v>702</v>
      </c>
      <c r="C2602" s="13">
        <v>3</v>
      </c>
      <c r="D2602" s="14">
        <v>4</v>
      </c>
      <c r="E2602" s="12">
        <v>44104</v>
      </c>
      <c r="G2602" s="15"/>
      <c r="H2602" s="13"/>
      <c r="I2602" s="14">
        <f>SUM(H2602:H2602)</f>
        <v>0</v>
      </c>
      <c r="J2602" s="12"/>
    </row>
    <row r="2603" spans="2:10" x14ac:dyDescent="0.15">
      <c r="B2603" s="71" t="s">
        <v>702</v>
      </c>
      <c r="C2603" s="13">
        <v>3</v>
      </c>
      <c r="D2603" s="14">
        <f>SUM(C2603:C2603)</f>
        <v>3</v>
      </c>
      <c r="E2603" s="12">
        <v>44105</v>
      </c>
      <c r="G2603" s="15"/>
      <c r="H2603" s="13"/>
      <c r="I2603" s="14">
        <f t="shared" ref="I2603:I2621" si="189">SUM(H2603:H2603)</f>
        <v>0</v>
      </c>
      <c r="J2603" s="12"/>
    </row>
    <row r="2604" spans="2:10" x14ac:dyDescent="0.15">
      <c r="B2604" s="71" t="s">
        <v>702</v>
      </c>
      <c r="C2604" s="13">
        <v>1</v>
      </c>
      <c r="D2604" s="14">
        <f t="shared" ref="D2604:D2614" si="190">SUM(C2604:C2604)</f>
        <v>1</v>
      </c>
      <c r="E2604" s="12">
        <v>44107</v>
      </c>
      <c r="G2604" s="15"/>
      <c r="H2604" s="13"/>
      <c r="I2604" s="14">
        <f t="shared" si="189"/>
        <v>0</v>
      </c>
      <c r="J2604" s="12"/>
    </row>
    <row r="2605" spans="2:10" x14ac:dyDescent="0.15">
      <c r="B2605" s="71" t="s">
        <v>702</v>
      </c>
      <c r="C2605" s="13">
        <v>2</v>
      </c>
      <c r="D2605" s="14">
        <f t="shared" si="190"/>
        <v>2</v>
      </c>
      <c r="E2605" s="12">
        <v>44110</v>
      </c>
      <c r="G2605" s="15"/>
      <c r="H2605" s="13"/>
      <c r="I2605" s="14">
        <f t="shared" si="189"/>
        <v>0</v>
      </c>
      <c r="J2605" s="12"/>
    </row>
    <row r="2606" spans="2:10" x14ac:dyDescent="0.15">
      <c r="B2606" s="71" t="s">
        <v>702</v>
      </c>
      <c r="C2606" s="13">
        <v>4</v>
      </c>
      <c r="D2606" s="14">
        <f t="shared" si="190"/>
        <v>4</v>
      </c>
      <c r="E2606" s="12">
        <v>44112</v>
      </c>
      <c r="G2606" s="15"/>
      <c r="H2606" s="13"/>
      <c r="I2606" s="14">
        <f t="shared" si="189"/>
        <v>0</v>
      </c>
      <c r="J2606" s="12"/>
    </row>
    <row r="2607" spans="2:10" x14ac:dyDescent="0.15">
      <c r="B2607" s="71" t="s">
        <v>702</v>
      </c>
      <c r="C2607" s="13">
        <v>1</v>
      </c>
      <c r="D2607" s="14">
        <f t="shared" si="190"/>
        <v>1</v>
      </c>
      <c r="E2607" s="12">
        <v>44114</v>
      </c>
      <c r="G2607" s="15"/>
      <c r="H2607" s="13"/>
      <c r="I2607" s="14">
        <f t="shared" si="189"/>
        <v>0</v>
      </c>
      <c r="J2607" s="12"/>
    </row>
    <row r="2608" spans="2:10" x14ac:dyDescent="0.15">
      <c r="B2608" s="71" t="s">
        <v>702</v>
      </c>
      <c r="C2608" s="13">
        <v>2</v>
      </c>
      <c r="D2608" s="14">
        <f t="shared" si="190"/>
        <v>2</v>
      </c>
      <c r="E2608" s="12">
        <v>44117</v>
      </c>
      <c r="G2608" s="15"/>
      <c r="H2608" s="13"/>
      <c r="I2608" s="14">
        <f t="shared" si="189"/>
        <v>0</v>
      </c>
      <c r="J2608" s="12"/>
    </row>
    <row r="2609" spans="2:10" x14ac:dyDescent="0.15">
      <c r="B2609" s="10" t="s">
        <v>222</v>
      </c>
      <c r="C2609" s="13">
        <v>1</v>
      </c>
      <c r="D2609" s="14">
        <f t="shared" si="190"/>
        <v>1</v>
      </c>
      <c r="E2609" s="12">
        <v>44120</v>
      </c>
      <c r="G2609" s="15"/>
      <c r="H2609" s="13"/>
      <c r="I2609" s="14">
        <f t="shared" si="189"/>
        <v>0</v>
      </c>
      <c r="J2609" s="12"/>
    </row>
    <row r="2610" spans="2:10" x14ac:dyDescent="0.15">
      <c r="B2610" s="71" t="s">
        <v>702</v>
      </c>
      <c r="C2610" s="13">
        <v>4</v>
      </c>
      <c r="D2610" s="14">
        <f t="shared" si="190"/>
        <v>4</v>
      </c>
      <c r="E2610" s="12">
        <v>44124</v>
      </c>
      <c r="G2610" s="15"/>
      <c r="H2610" s="13"/>
      <c r="I2610" s="14">
        <f t="shared" si="189"/>
        <v>0</v>
      </c>
      <c r="J2610" s="12"/>
    </row>
    <row r="2611" spans="2:10" x14ac:dyDescent="0.15">
      <c r="B2611" s="71" t="s">
        <v>702</v>
      </c>
      <c r="C2611" s="13">
        <v>1</v>
      </c>
      <c r="D2611" s="14">
        <f t="shared" si="190"/>
        <v>1</v>
      </c>
      <c r="E2611" s="12">
        <v>44127</v>
      </c>
      <c r="G2611" s="15"/>
      <c r="H2611" s="13"/>
      <c r="I2611" s="14">
        <f t="shared" si="189"/>
        <v>0</v>
      </c>
      <c r="J2611" s="5"/>
    </row>
    <row r="2612" spans="2:10" x14ac:dyDescent="0.15">
      <c r="B2612" s="71" t="s">
        <v>702</v>
      </c>
      <c r="C2612" s="13">
        <v>2</v>
      </c>
      <c r="D2612" s="14">
        <f t="shared" si="190"/>
        <v>2</v>
      </c>
      <c r="E2612" s="12">
        <v>44132</v>
      </c>
      <c r="G2612" s="15"/>
      <c r="H2612" s="7"/>
      <c r="I2612" s="14">
        <f t="shared" si="189"/>
        <v>0</v>
      </c>
      <c r="J2612" s="12"/>
    </row>
    <row r="2613" spans="2:10" x14ac:dyDescent="0.15">
      <c r="B2613" s="71" t="s">
        <v>702</v>
      </c>
      <c r="C2613" s="13">
        <v>3</v>
      </c>
      <c r="D2613" s="14">
        <f t="shared" si="190"/>
        <v>3</v>
      </c>
      <c r="E2613" s="12">
        <v>44135</v>
      </c>
      <c r="G2613" s="15"/>
      <c r="H2613" s="7"/>
      <c r="I2613" s="14">
        <f t="shared" si="189"/>
        <v>0</v>
      </c>
      <c r="J2613" s="12"/>
    </row>
    <row r="2614" spans="2:10" x14ac:dyDescent="0.15">
      <c r="B2614" s="10" t="s">
        <v>222</v>
      </c>
      <c r="C2614" s="13">
        <v>1</v>
      </c>
      <c r="D2614" s="14">
        <f t="shared" si="190"/>
        <v>1</v>
      </c>
      <c r="E2614" s="12">
        <v>44137</v>
      </c>
      <c r="G2614" s="15"/>
      <c r="H2614" s="7"/>
      <c r="I2614" s="14">
        <f t="shared" si="189"/>
        <v>0</v>
      </c>
      <c r="J2614" s="5"/>
    </row>
    <row r="2615" spans="2:10" x14ac:dyDescent="0.15">
      <c r="B2615" s="71" t="s">
        <v>702</v>
      </c>
      <c r="C2615" s="13">
        <v>1</v>
      </c>
      <c r="D2615" s="14">
        <f>SUM(C2615:C2615)</f>
        <v>1</v>
      </c>
      <c r="E2615" s="12">
        <v>44140</v>
      </c>
      <c r="G2615" s="15"/>
      <c r="H2615" s="7"/>
      <c r="I2615" s="14">
        <f t="shared" si="189"/>
        <v>0</v>
      </c>
      <c r="J2615" s="12"/>
    </row>
    <row r="2616" spans="2:10" x14ac:dyDescent="0.15">
      <c r="B2616" s="10" t="s">
        <v>222</v>
      </c>
      <c r="C2616" s="13">
        <v>1</v>
      </c>
      <c r="D2616" s="14">
        <f t="shared" ref="D2616:D2625" si="191">SUM(C2616:C2616)</f>
        <v>1</v>
      </c>
      <c r="E2616" s="12">
        <v>44141</v>
      </c>
      <c r="G2616" s="15"/>
      <c r="H2616" s="7"/>
      <c r="I2616" s="14">
        <f t="shared" si="189"/>
        <v>0</v>
      </c>
      <c r="J2616" s="12"/>
    </row>
    <row r="2617" spans="2:10" x14ac:dyDescent="0.15">
      <c r="B2617" s="71" t="s">
        <v>702</v>
      </c>
      <c r="C2617" s="13">
        <v>3</v>
      </c>
      <c r="D2617" s="14">
        <f t="shared" si="191"/>
        <v>3</v>
      </c>
      <c r="E2617" s="12">
        <v>44145</v>
      </c>
      <c r="G2617" s="15"/>
      <c r="H2617" s="7"/>
      <c r="I2617" s="14">
        <f t="shared" si="189"/>
        <v>0</v>
      </c>
      <c r="J2617" s="12"/>
    </row>
    <row r="2618" spans="2:10" x14ac:dyDescent="0.15">
      <c r="B2618" s="10" t="s">
        <v>222</v>
      </c>
      <c r="C2618" s="13">
        <v>1</v>
      </c>
      <c r="D2618" s="14">
        <f t="shared" si="191"/>
        <v>1</v>
      </c>
      <c r="E2618" s="12">
        <v>44144</v>
      </c>
      <c r="G2618" s="15"/>
      <c r="H2618" s="7"/>
      <c r="I2618" s="14">
        <f t="shared" si="189"/>
        <v>0</v>
      </c>
      <c r="J2618" s="12"/>
    </row>
    <row r="2619" spans="2:10" x14ac:dyDescent="0.15">
      <c r="B2619" s="10" t="s">
        <v>222</v>
      </c>
      <c r="C2619" s="13">
        <v>1</v>
      </c>
      <c r="D2619" s="14">
        <f t="shared" si="191"/>
        <v>1</v>
      </c>
      <c r="E2619" s="12">
        <v>44145</v>
      </c>
      <c r="G2619" s="15"/>
      <c r="H2619" s="7"/>
      <c r="I2619" s="14">
        <f t="shared" si="189"/>
        <v>0</v>
      </c>
      <c r="J2619" s="12"/>
    </row>
    <row r="2620" spans="2:10" x14ac:dyDescent="0.15">
      <c r="B2620" s="10" t="s">
        <v>222</v>
      </c>
      <c r="C2620" s="13">
        <v>1</v>
      </c>
      <c r="D2620" s="14">
        <f t="shared" si="191"/>
        <v>1</v>
      </c>
      <c r="E2620" s="5">
        <v>44146</v>
      </c>
      <c r="G2620" s="15"/>
      <c r="H2620" s="7"/>
      <c r="I2620" s="14">
        <f t="shared" si="189"/>
        <v>0</v>
      </c>
      <c r="J2620" s="12"/>
    </row>
    <row r="2621" spans="2:10" x14ac:dyDescent="0.15">
      <c r="B2621" s="71" t="s">
        <v>702</v>
      </c>
      <c r="C2621" s="13">
        <v>1</v>
      </c>
      <c r="D2621" s="14">
        <f t="shared" si="191"/>
        <v>1</v>
      </c>
      <c r="E2621" s="5">
        <v>44162</v>
      </c>
      <c r="G2621" s="15"/>
      <c r="H2621" s="7"/>
      <c r="I2621" s="14">
        <f t="shared" si="189"/>
        <v>0</v>
      </c>
      <c r="J2621" s="12"/>
    </row>
    <row r="2622" spans="2:10" x14ac:dyDescent="0.15">
      <c r="B2622" s="71" t="s">
        <v>702</v>
      </c>
      <c r="C2622" s="13">
        <v>2</v>
      </c>
      <c r="D2622" s="14">
        <f t="shared" si="191"/>
        <v>2</v>
      </c>
      <c r="E2622" s="5">
        <v>44166</v>
      </c>
      <c r="G2622" s="15"/>
      <c r="H2622" s="7"/>
      <c r="I2622" s="14">
        <f>SUM(H2622:H2622)</f>
        <v>0</v>
      </c>
      <c r="J2622" s="12"/>
    </row>
    <row r="2623" spans="2:10" x14ac:dyDescent="0.15">
      <c r="B2623" s="71" t="s">
        <v>702</v>
      </c>
      <c r="C2623" s="13">
        <v>1</v>
      </c>
      <c r="D2623" s="14">
        <f t="shared" si="191"/>
        <v>1</v>
      </c>
      <c r="E2623" s="5">
        <v>44167</v>
      </c>
      <c r="G2623" s="15"/>
      <c r="H2623" s="7"/>
      <c r="I2623" s="14">
        <f>SUM(H2623:H2623)</f>
        <v>0</v>
      </c>
      <c r="J2623" s="12"/>
    </row>
    <row r="2624" spans="2:10" ht="14.25" thickBot="1" x14ac:dyDescent="0.2">
      <c r="B2624" s="71" t="s">
        <v>702</v>
      </c>
      <c r="C2624" s="13">
        <v>3</v>
      </c>
      <c r="D2624" s="11">
        <f t="shared" si="191"/>
        <v>3</v>
      </c>
      <c r="E2624" s="12">
        <v>44173</v>
      </c>
      <c r="G2624" s="15"/>
      <c r="H2624" s="7"/>
      <c r="I2624" s="14">
        <f>SUM(H2624:H2624)</f>
        <v>0</v>
      </c>
      <c r="J2624" s="12"/>
    </row>
    <row r="2625" spans="2:10" ht="14.25" thickBot="1" x14ac:dyDescent="0.2">
      <c r="B2625" s="17" t="s">
        <v>2</v>
      </c>
      <c r="C2625" s="18">
        <f>SUM(C2601:C2624)</f>
        <v>48</v>
      </c>
      <c r="D2625" s="19">
        <f t="shared" si="191"/>
        <v>48</v>
      </c>
      <c r="E2625" s="20"/>
      <c r="G2625" s="17" t="s">
        <v>2</v>
      </c>
      <c r="H2625" s="18">
        <f>SUM(H2601:H2624)</f>
        <v>0</v>
      </c>
      <c r="I2625" s="19">
        <f>SUM(H2625:H2625)</f>
        <v>0</v>
      </c>
      <c r="J2625" s="20"/>
    </row>
    <row r="2626" spans="2:10" ht="14.25" thickBot="1" x14ac:dyDescent="0.2">
      <c r="B2626" s="46" t="s">
        <v>3</v>
      </c>
      <c r="C2626" s="52">
        <f>C2600-C2625</f>
        <v>239</v>
      </c>
      <c r="D2626" s="48">
        <f>D2600-D2625</f>
        <v>239</v>
      </c>
      <c r="E2626" s="49"/>
      <c r="G2626" s="46" t="s">
        <v>3</v>
      </c>
      <c r="H2626" s="52">
        <f>H2600-H2625</f>
        <v>518</v>
      </c>
      <c r="I2626" s="48">
        <f>I2600-I2625</f>
        <v>518</v>
      </c>
      <c r="J2626" s="49"/>
    </row>
    <row r="2629" spans="2:10" ht="18.75" x14ac:dyDescent="0.2">
      <c r="B2629" s="26" t="s">
        <v>7</v>
      </c>
      <c r="G2629" s="26" t="s">
        <v>35</v>
      </c>
    </row>
    <row r="2630" spans="2:10" ht="14.25" thickBot="1" x14ac:dyDescent="0.2"/>
    <row r="2631" spans="2:10" ht="14.25" thickBot="1" x14ac:dyDescent="0.2">
      <c r="B2631" s="1"/>
      <c r="C2631" s="2"/>
      <c r="D2631" s="3" t="s">
        <v>0</v>
      </c>
      <c r="E2631" s="1" t="s">
        <v>4</v>
      </c>
      <c r="G2631" s="1"/>
      <c r="H2631" s="2"/>
      <c r="I2631" s="3" t="s">
        <v>0</v>
      </c>
      <c r="J2631" s="1" t="s">
        <v>4</v>
      </c>
    </row>
    <row r="2632" spans="2:10" x14ac:dyDescent="0.15">
      <c r="B2632" s="42" t="s">
        <v>5</v>
      </c>
      <c r="C2632" s="43">
        <f>C2626</f>
        <v>239</v>
      </c>
      <c r="D2632" s="44">
        <f>SUM(C2632:C2632)</f>
        <v>239</v>
      </c>
      <c r="E2632" s="45"/>
      <c r="G2632" s="42" t="s">
        <v>5</v>
      </c>
      <c r="H2632" s="43">
        <f>H2626</f>
        <v>518</v>
      </c>
      <c r="I2632" s="44">
        <f>SUM(H2632:H2632)</f>
        <v>518</v>
      </c>
      <c r="J2632" s="45"/>
    </row>
    <row r="2633" spans="2:10" x14ac:dyDescent="0.15">
      <c r="B2633" s="6" t="s">
        <v>767</v>
      </c>
      <c r="C2633" s="13">
        <v>200</v>
      </c>
      <c r="D2633" s="14">
        <f>SUM(C2633:C2633)</f>
        <v>200</v>
      </c>
      <c r="E2633" s="12">
        <v>44277</v>
      </c>
      <c r="G2633" s="6" t="s">
        <v>6</v>
      </c>
      <c r="H2633" s="67"/>
      <c r="I2633" s="14">
        <f>SUM(H2633:H2633)</f>
        <v>0</v>
      </c>
      <c r="J2633" s="171"/>
    </row>
    <row r="2634" spans="2:10" x14ac:dyDescent="0.15">
      <c r="B2634" s="6"/>
      <c r="C2634" s="13"/>
      <c r="D2634" s="14">
        <f>SUM(C2634:C2634)</f>
        <v>0</v>
      </c>
      <c r="E2634" s="12"/>
      <c r="G2634" s="6" t="s">
        <v>6</v>
      </c>
      <c r="H2634" s="178">
        <v>3000</v>
      </c>
      <c r="I2634" s="11">
        <f>SUM(H2634:H2634)</f>
        <v>3000</v>
      </c>
      <c r="J2634" s="171" t="s">
        <v>766</v>
      </c>
    </row>
    <row r="2635" spans="2:10" ht="14.25" thickBot="1" x14ac:dyDescent="0.2">
      <c r="B2635" s="6"/>
      <c r="C2635" s="7"/>
      <c r="D2635" s="14">
        <f>SUM(C2635:C2635)</f>
        <v>0</v>
      </c>
      <c r="E2635" s="16"/>
      <c r="G2635" s="6" t="s">
        <v>6</v>
      </c>
      <c r="H2635" s="170"/>
      <c r="I2635" s="73">
        <f>SUM(H2635:H2635)</f>
        <v>0</v>
      </c>
      <c r="J2635" s="171"/>
    </row>
    <row r="2636" spans="2:10" ht="14.25" thickBot="1" x14ac:dyDescent="0.2">
      <c r="B2636" s="46" t="s">
        <v>1</v>
      </c>
      <c r="C2636" s="48">
        <f>SUM(C2632:C2635)</f>
        <v>439</v>
      </c>
      <c r="D2636" s="48">
        <f>SUM(D2632:D2635)</f>
        <v>439</v>
      </c>
      <c r="E2636" s="49"/>
      <c r="G2636" s="46" t="s">
        <v>1</v>
      </c>
      <c r="H2636" s="50">
        <f>SUM(H2632:H2635)</f>
        <v>3518</v>
      </c>
      <c r="I2636" s="48">
        <f>SUM(I2632:I2635)</f>
        <v>3518</v>
      </c>
      <c r="J2636" s="51"/>
    </row>
    <row r="2637" spans="2:10" x14ac:dyDescent="0.15">
      <c r="B2637" s="71" t="s">
        <v>702</v>
      </c>
      <c r="C2637" s="13">
        <v>2</v>
      </c>
      <c r="D2637" s="11">
        <f>SUM(C2637:C2637)</f>
        <v>2</v>
      </c>
      <c r="E2637" s="12">
        <v>44180</v>
      </c>
      <c r="G2637" s="15" t="s">
        <v>768</v>
      </c>
      <c r="H2637" s="13">
        <v>200</v>
      </c>
      <c r="I2637" s="11">
        <f>SUM(H2637:H2637)</f>
        <v>200</v>
      </c>
      <c r="J2637" s="12">
        <v>44277</v>
      </c>
    </row>
    <row r="2638" spans="2:10" x14ac:dyDescent="0.15">
      <c r="B2638" s="71" t="s">
        <v>702</v>
      </c>
      <c r="C2638" s="13">
        <v>4</v>
      </c>
      <c r="D2638" s="14">
        <f t="shared" ref="D2638:D2650" si="192">SUM(C2638:C2638)</f>
        <v>4</v>
      </c>
      <c r="E2638" s="12">
        <v>44191</v>
      </c>
      <c r="G2638" s="15" t="s">
        <v>769</v>
      </c>
      <c r="H2638" s="13">
        <v>100</v>
      </c>
      <c r="I2638" s="14">
        <f>SUM(H2638:H2638)</f>
        <v>100</v>
      </c>
      <c r="J2638" s="12">
        <v>44275</v>
      </c>
    </row>
    <row r="2639" spans="2:10" x14ac:dyDescent="0.15">
      <c r="B2639" s="71" t="s">
        <v>702</v>
      </c>
      <c r="C2639" s="13">
        <v>3</v>
      </c>
      <c r="D2639" s="14">
        <f t="shared" si="192"/>
        <v>3</v>
      </c>
      <c r="E2639" s="12">
        <v>43835</v>
      </c>
      <c r="G2639" s="15"/>
      <c r="H2639" s="13"/>
      <c r="I2639" s="14">
        <f t="shared" ref="I2639:I2657" si="193">SUM(H2639:H2639)</f>
        <v>0</v>
      </c>
      <c r="J2639" s="12"/>
    </row>
    <row r="2640" spans="2:10" x14ac:dyDescent="0.15">
      <c r="B2640" s="10" t="s">
        <v>222</v>
      </c>
      <c r="C2640" s="13">
        <v>1</v>
      </c>
      <c r="D2640" s="14">
        <f t="shared" si="192"/>
        <v>1</v>
      </c>
      <c r="E2640" s="12">
        <v>44208</v>
      </c>
      <c r="G2640" s="15"/>
      <c r="H2640" s="13"/>
      <c r="I2640" s="14">
        <f t="shared" si="193"/>
        <v>0</v>
      </c>
      <c r="J2640" s="12"/>
    </row>
    <row r="2641" spans="2:10" x14ac:dyDescent="0.15">
      <c r="B2641" s="71" t="s">
        <v>702</v>
      </c>
      <c r="C2641" s="13">
        <v>1</v>
      </c>
      <c r="D2641" s="14">
        <f t="shared" si="192"/>
        <v>1</v>
      </c>
      <c r="E2641" s="12">
        <v>44210</v>
      </c>
      <c r="G2641" s="15"/>
      <c r="H2641" s="13"/>
      <c r="I2641" s="14">
        <f t="shared" si="193"/>
        <v>0</v>
      </c>
      <c r="J2641" s="12"/>
    </row>
    <row r="2642" spans="2:10" x14ac:dyDescent="0.15">
      <c r="B2642" s="71" t="s">
        <v>702</v>
      </c>
      <c r="C2642" s="13">
        <v>1</v>
      </c>
      <c r="D2642" s="14">
        <f t="shared" si="192"/>
        <v>1</v>
      </c>
      <c r="E2642" s="12">
        <v>44212</v>
      </c>
      <c r="G2642" s="15"/>
      <c r="H2642" s="13"/>
      <c r="I2642" s="14">
        <f t="shared" si="193"/>
        <v>0</v>
      </c>
      <c r="J2642" s="12"/>
    </row>
    <row r="2643" spans="2:10" x14ac:dyDescent="0.15">
      <c r="B2643" s="71" t="s">
        <v>702</v>
      </c>
      <c r="C2643" s="13">
        <v>1</v>
      </c>
      <c r="D2643" s="14">
        <f t="shared" si="192"/>
        <v>1</v>
      </c>
      <c r="E2643" s="12">
        <v>44219</v>
      </c>
      <c r="G2643" s="15"/>
      <c r="H2643" s="13"/>
      <c r="I2643" s="14">
        <f t="shared" si="193"/>
        <v>0</v>
      </c>
      <c r="J2643" s="12"/>
    </row>
    <row r="2644" spans="2:10" x14ac:dyDescent="0.15">
      <c r="B2644" s="10" t="s">
        <v>222</v>
      </c>
      <c r="C2644" s="13">
        <v>1</v>
      </c>
      <c r="D2644" s="14">
        <f t="shared" si="192"/>
        <v>1</v>
      </c>
      <c r="E2644" s="12">
        <v>44232</v>
      </c>
      <c r="G2644" s="15"/>
      <c r="H2644" s="13"/>
      <c r="I2644" s="14">
        <f t="shared" si="193"/>
        <v>0</v>
      </c>
      <c r="J2644" s="12"/>
    </row>
    <row r="2645" spans="2:10" x14ac:dyDescent="0.15">
      <c r="B2645" s="71" t="s">
        <v>702</v>
      </c>
      <c r="C2645" s="13">
        <v>7</v>
      </c>
      <c r="D2645" s="14">
        <f t="shared" si="192"/>
        <v>7</v>
      </c>
      <c r="E2645" s="12">
        <v>44246</v>
      </c>
      <c r="G2645" s="15"/>
      <c r="H2645" s="13"/>
      <c r="I2645" s="14">
        <f t="shared" si="193"/>
        <v>0</v>
      </c>
      <c r="J2645" s="12"/>
    </row>
    <row r="2646" spans="2:10" x14ac:dyDescent="0.15">
      <c r="B2646" s="71" t="s">
        <v>702</v>
      </c>
      <c r="C2646" s="13">
        <v>5</v>
      </c>
      <c r="D2646" s="14">
        <f t="shared" si="192"/>
        <v>5</v>
      </c>
      <c r="E2646" s="12">
        <v>44253</v>
      </c>
      <c r="G2646" s="15"/>
      <c r="H2646" s="13"/>
      <c r="I2646" s="14">
        <f t="shared" si="193"/>
        <v>0</v>
      </c>
      <c r="J2646" s="12"/>
    </row>
    <row r="2647" spans="2:10" x14ac:dyDescent="0.15">
      <c r="B2647" s="71" t="s">
        <v>702</v>
      </c>
      <c r="C2647" s="13">
        <v>8</v>
      </c>
      <c r="D2647" s="14">
        <f t="shared" si="192"/>
        <v>8</v>
      </c>
      <c r="E2647" s="12">
        <v>44254</v>
      </c>
      <c r="G2647" s="15"/>
      <c r="H2647" s="13"/>
      <c r="I2647" s="14">
        <f t="shared" si="193"/>
        <v>0</v>
      </c>
      <c r="J2647" s="5"/>
    </row>
    <row r="2648" spans="2:10" x14ac:dyDescent="0.15">
      <c r="B2648" s="15" t="s">
        <v>763</v>
      </c>
      <c r="C2648" s="13">
        <v>100</v>
      </c>
      <c r="D2648" s="14">
        <f t="shared" si="192"/>
        <v>100</v>
      </c>
      <c r="E2648" s="12">
        <v>44259</v>
      </c>
      <c r="G2648" s="15"/>
      <c r="H2648" s="7"/>
      <c r="I2648" s="14">
        <f t="shared" si="193"/>
        <v>0</v>
      </c>
      <c r="J2648" s="12"/>
    </row>
    <row r="2649" spans="2:10" x14ac:dyDescent="0.15">
      <c r="B2649" s="71" t="s">
        <v>702</v>
      </c>
      <c r="C2649" s="13">
        <v>8</v>
      </c>
      <c r="D2649" s="14">
        <f t="shared" si="192"/>
        <v>8</v>
      </c>
      <c r="E2649" s="12">
        <v>44257</v>
      </c>
      <c r="G2649" s="15"/>
      <c r="H2649" s="7"/>
      <c r="I2649" s="14">
        <f t="shared" si="193"/>
        <v>0</v>
      </c>
      <c r="J2649" s="12"/>
    </row>
    <row r="2650" spans="2:10" x14ac:dyDescent="0.15">
      <c r="B2650" s="71" t="s">
        <v>702</v>
      </c>
      <c r="C2650" s="13">
        <v>5</v>
      </c>
      <c r="D2650" s="14">
        <f t="shared" si="192"/>
        <v>5</v>
      </c>
      <c r="E2650" s="12">
        <v>44259</v>
      </c>
      <c r="G2650" s="15"/>
      <c r="H2650" s="7"/>
      <c r="I2650" s="14">
        <f t="shared" si="193"/>
        <v>0</v>
      </c>
      <c r="J2650" s="5"/>
    </row>
    <row r="2651" spans="2:10" x14ac:dyDescent="0.15">
      <c r="B2651" s="71" t="s">
        <v>702</v>
      </c>
      <c r="C2651" s="13">
        <v>2</v>
      </c>
      <c r="D2651" s="14">
        <f>SUM(C2651:C2651)</f>
        <v>2</v>
      </c>
      <c r="E2651" s="12">
        <v>44260</v>
      </c>
      <c r="G2651" s="15"/>
      <c r="H2651" s="7"/>
      <c r="I2651" s="14">
        <f t="shared" si="193"/>
        <v>0</v>
      </c>
      <c r="J2651" s="12"/>
    </row>
    <row r="2652" spans="2:10" x14ac:dyDescent="0.15">
      <c r="B2652" s="71" t="s">
        <v>702</v>
      </c>
      <c r="C2652" s="13">
        <v>10</v>
      </c>
      <c r="D2652" s="14">
        <f t="shared" ref="D2652:D2661" si="194">SUM(C2652:C2652)</f>
        <v>10</v>
      </c>
      <c r="E2652" s="12">
        <v>44261</v>
      </c>
      <c r="G2652" s="15"/>
      <c r="H2652" s="7"/>
      <c r="I2652" s="14">
        <f t="shared" si="193"/>
        <v>0</v>
      </c>
      <c r="J2652" s="12"/>
    </row>
    <row r="2653" spans="2:10" x14ac:dyDescent="0.15">
      <c r="B2653" s="71" t="s">
        <v>702</v>
      </c>
      <c r="C2653" s="13">
        <v>1</v>
      </c>
      <c r="D2653" s="14">
        <f t="shared" si="194"/>
        <v>1</v>
      </c>
      <c r="E2653" s="12">
        <v>44266</v>
      </c>
      <c r="G2653" s="15"/>
      <c r="H2653" s="7"/>
      <c r="I2653" s="14">
        <f t="shared" si="193"/>
        <v>0</v>
      </c>
      <c r="J2653" s="12"/>
    </row>
    <row r="2654" spans="2:10" x14ac:dyDescent="0.15">
      <c r="B2654" s="71" t="s">
        <v>702</v>
      </c>
      <c r="C2654" s="13">
        <v>4</v>
      </c>
      <c r="D2654" s="14">
        <f t="shared" si="194"/>
        <v>4</v>
      </c>
      <c r="E2654" s="12">
        <v>44268</v>
      </c>
      <c r="G2654" s="15"/>
      <c r="H2654" s="7"/>
      <c r="I2654" s="14">
        <f t="shared" si="193"/>
        <v>0</v>
      </c>
      <c r="J2654" s="12"/>
    </row>
    <row r="2655" spans="2:10" x14ac:dyDescent="0.15">
      <c r="B2655" s="71" t="s">
        <v>702</v>
      </c>
      <c r="C2655" s="13">
        <v>1</v>
      </c>
      <c r="D2655" s="14">
        <f t="shared" si="194"/>
        <v>1</v>
      </c>
      <c r="E2655" s="12">
        <v>44279</v>
      </c>
      <c r="G2655" s="15"/>
      <c r="H2655" s="7"/>
      <c r="I2655" s="14">
        <f t="shared" si="193"/>
        <v>0</v>
      </c>
      <c r="J2655" s="12"/>
    </row>
    <row r="2656" spans="2:10" x14ac:dyDescent="0.15">
      <c r="B2656" s="71" t="s">
        <v>702</v>
      </c>
      <c r="C2656" s="13">
        <v>20</v>
      </c>
      <c r="D2656" s="14">
        <f t="shared" si="194"/>
        <v>20</v>
      </c>
      <c r="E2656" s="5">
        <v>44280</v>
      </c>
      <c r="G2656" s="15"/>
      <c r="H2656" s="7"/>
      <c r="I2656" s="14">
        <f t="shared" si="193"/>
        <v>0</v>
      </c>
      <c r="J2656" s="12"/>
    </row>
    <row r="2657" spans="2:10" x14ac:dyDescent="0.15">
      <c r="B2657" s="10" t="s">
        <v>222</v>
      </c>
      <c r="C2657" s="13">
        <f>2+4</f>
        <v>6</v>
      </c>
      <c r="D2657" s="14">
        <f t="shared" si="194"/>
        <v>6</v>
      </c>
      <c r="E2657" s="5">
        <v>44284</v>
      </c>
      <c r="G2657" s="15"/>
      <c r="H2657" s="7"/>
      <c r="I2657" s="14">
        <f t="shared" si="193"/>
        <v>0</v>
      </c>
      <c r="J2657" s="12"/>
    </row>
    <row r="2658" spans="2:10" x14ac:dyDescent="0.15">
      <c r="B2658" s="71"/>
      <c r="C2658" s="13"/>
      <c r="D2658" s="14">
        <f t="shared" si="194"/>
        <v>0</v>
      </c>
      <c r="E2658" s="5"/>
      <c r="G2658" s="15" t="s">
        <v>593</v>
      </c>
      <c r="H2658" s="7"/>
      <c r="I2658" s="14">
        <f>SUM(H2658:H2658)</f>
        <v>0</v>
      </c>
      <c r="J2658" s="12" t="s">
        <v>594</v>
      </c>
    </row>
    <row r="2659" spans="2:10" x14ac:dyDescent="0.15">
      <c r="B2659" s="177"/>
      <c r="C2659" s="94"/>
      <c r="D2659" s="96">
        <f t="shared" si="194"/>
        <v>0</v>
      </c>
      <c r="E2659" s="104"/>
      <c r="G2659" s="15" t="s">
        <v>752</v>
      </c>
      <c r="H2659" s="7"/>
      <c r="I2659" s="14">
        <f>SUM(H2659:H2659)</f>
        <v>0</v>
      </c>
      <c r="J2659" s="12" t="s">
        <v>757</v>
      </c>
    </row>
    <row r="2660" spans="2:10" ht="14.25" thickBot="1" x14ac:dyDescent="0.2">
      <c r="B2660" s="10"/>
      <c r="C2660" s="13"/>
      <c r="D2660" s="11">
        <f t="shared" si="194"/>
        <v>0</v>
      </c>
      <c r="E2660" s="12"/>
      <c r="G2660" s="15" t="s">
        <v>755</v>
      </c>
      <c r="H2660" s="7"/>
      <c r="I2660" s="14">
        <f>SUM(H2660:H2660)</f>
        <v>0</v>
      </c>
      <c r="J2660" s="12" t="s">
        <v>756</v>
      </c>
    </row>
    <row r="2661" spans="2:10" ht="14.25" thickBot="1" x14ac:dyDescent="0.2">
      <c r="B2661" s="17" t="s">
        <v>2</v>
      </c>
      <c r="C2661" s="18">
        <f>SUM(C2637:C2660)</f>
        <v>191</v>
      </c>
      <c r="D2661" s="19">
        <f t="shared" si="194"/>
        <v>191</v>
      </c>
      <c r="E2661" s="20"/>
      <c r="G2661" s="17" t="s">
        <v>2</v>
      </c>
      <c r="H2661" s="18">
        <f>SUM(H2637:H2660)</f>
        <v>300</v>
      </c>
      <c r="I2661" s="19">
        <f>SUM(H2661:H2661)</f>
        <v>300</v>
      </c>
      <c r="J2661" s="20"/>
    </row>
    <row r="2662" spans="2:10" ht="14.25" thickBot="1" x14ac:dyDescent="0.2">
      <c r="B2662" s="46" t="s">
        <v>3</v>
      </c>
      <c r="C2662" s="52">
        <f>C2636-C2661</f>
        <v>248</v>
      </c>
      <c r="D2662" s="48">
        <f>D2636-D2661</f>
        <v>248</v>
      </c>
      <c r="E2662" s="49"/>
      <c r="G2662" s="46" t="s">
        <v>3</v>
      </c>
      <c r="H2662" s="52">
        <f>H2636-H2661</f>
        <v>3218</v>
      </c>
      <c r="I2662" s="48">
        <f>I2636-I2661</f>
        <v>3218</v>
      </c>
      <c r="J2662" s="49"/>
    </row>
    <row r="2665" spans="2:10" ht="18.75" x14ac:dyDescent="0.2">
      <c r="B2665" s="26" t="s">
        <v>7</v>
      </c>
      <c r="G2665" s="26" t="s">
        <v>35</v>
      </c>
    </row>
    <row r="2666" spans="2:10" ht="14.25" thickBot="1" x14ac:dyDescent="0.2"/>
    <row r="2667" spans="2:10" ht="14.25" thickBot="1" x14ac:dyDescent="0.2">
      <c r="B2667" s="1"/>
      <c r="C2667" s="2"/>
      <c r="D2667" s="3" t="s">
        <v>0</v>
      </c>
      <c r="E2667" s="1" t="s">
        <v>4</v>
      </c>
      <c r="G2667" s="1"/>
      <c r="H2667" s="2"/>
      <c r="I2667" s="3" t="s">
        <v>0</v>
      </c>
      <c r="J2667" s="1" t="s">
        <v>4</v>
      </c>
    </row>
    <row r="2668" spans="2:10" x14ac:dyDescent="0.15">
      <c r="B2668" s="42" t="s">
        <v>5</v>
      </c>
      <c r="C2668" s="43">
        <f>C2662</f>
        <v>248</v>
      </c>
      <c r="D2668" s="44">
        <f>SUM(C2668:C2668)</f>
        <v>248</v>
      </c>
      <c r="E2668" s="45"/>
      <c r="G2668" s="42" t="s">
        <v>5</v>
      </c>
      <c r="H2668" s="43">
        <f>H2662</f>
        <v>3218</v>
      </c>
      <c r="I2668" s="44">
        <f>SUM(H2668:H2668)</f>
        <v>3218</v>
      </c>
      <c r="J2668" s="45"/>
    </row>
    <row r="2669" spans="2:10" x14ac:dyDescent="0.15">
      <c r="B2669" s="6" t="s">
        <v>773</v>
      </c>
      <c r="C2669" s="13">
        <v>200</v>
      </c>
      <c r="D2669" s="14">
        <f>SUM(C2669:C2669)</f>
        <v>200</v>
      </c>
      <c r="E2669" s="12">
        <v>44284</v>
      </c>
      <c r="G2669" s="6" t="s">
        <v>6</v>
      </c>
      <c r="H2669" s="170">
        <v>3000</v>
      </c>
      <c r="I2669" s="73">
        <f>SUM(H2669:H2669)</f>
        <v>3000</v>
      </c>
      <c r="J2669" s="171">
        <v>44287</v>
      </c>
    </row>
    <row r="2670" spans="2:10" x14ac:dyDescent="0.15">
      <c r="B2670" s="6" t="s">
        <v>6</v>
      </c>
      <c r="C2670" s="13">
        <v>200</v>
      </c>
      <c r="D2670" s="14">
        <f>SUM(C2670:C2670)</f>
        <v>200</v>
      </c>
      <c r="E2670" s="12">
        <v>44293</v>
      </c>
      <c r="G2670" s="6" t="s">
        <v>6</v>
      </c>
      <c r="H2670" s="13"/>
      <c r="I2670" s="14">
        <f>SUM(H2670:H2670)</f>
        <v>0</v>
      </c>
      <c r="J2670" s="169"/>
    </row>
    <row r="2671" spans="2:10" ht="14.25" thickBot="1" x14ac:dyDescent="0.2">
      <c r="B2671" s="6" t="s">
        <v>6</v>
      </c>
      <c r="C2671" s="7">
        <v>200</v>
      </c>
      <c r="D2671" s="14">
        <f>SUM(C2671:C2671)</f>
        <v>200</v>
      </c>
      <c r="E2671" s="16">
        <v>44302</v>
      </c>
      <c r="G2671" s="6" t="s">
        <v>6</v>
      </c>
      <c r="H2671" s="170"/>
      <c r="I2671" s="73">
        <f>SUM(H2671:H2671)</f>
        <v>0</v>
      </c>
      <c r="J2671" s="171"/>
    </row>
    <row r="2672" spans="2:10" ht="14.25" thickBot="1" x14ac:dyDescent="0.2">
      <c r="B2672" s="46" t="s">
        <v>1</v>
      </c>
      <c r="C2672" s="48">
        <f>SUM(C2668:C2671)</f>
        <v>848</v>
      </c>
      <c r="D2672" s="48">
        <f>SUM(D2668:D2671)</f>
        <v>848</v>
      </c>
      <c r="E2672" s="49"/>
      <c r="G2672" s="46" t="s">
        <v>1</v>
      </c>
      <c r="H2672" s="50">
        <f>SUM(H2668:H2671)</f>
        <v>6218</v>
      </c>
      <c r="I2672" s="48">
        <f>SUM(I2668:I2671)</f>
        <v>6218</v>
      </c>
      <c r="J2672" s="51"/>
    </row>
    <row r="2673" spans="2:10" x14ac:dyDescent="0.15">
      <c r="B2673" s="89" t="s">
        <v>776</v>
      </c>
      <c r="C2673" s="13">
        <v>100</v>
      </c>
      <c r="D2673" s="11">
        <f t="shared" ref="D2673:D2678" si="195">SUM(C2673:C2673)</f>
        <v>100</v>
      </c>
      <c r="E2673" s="12">
        <v>44288</v>
      </c>
      <c r="G2673" s="15" t="s">
        <v>772</v>
      </c>
      <c r="H2673" s="13">
        <v>200</v>
      </c>
      <c r="I2673" s="11">
        <f>SUM(H2673:H2673)</f>
        <v>200</v>
      </c>
      <c r="J2673" s="12">
        <v>44284</v>
      </c>
    </row>
    <row r="2674" spans="2:10" x14ac:dyDescent="0.15">
      <c r="B2674" s="15" t="s">
        <v>771</v>
      </c>
      <c r="C2674" s="13">
        <v>100</v>
      </c>
      <c r="D2674" s="11">
        <f t="shared" si="195"/>
        <v>100</v>
      </c>
      <c r="E2674" s="12">
        <v>44288</v>
      </c>
      <c r="G2674" s="89" t="s">
        <v>777</v>
      </c>
      <c r="H2674" s="13">
        <v>200</v>
      </c>
      <c r="I2674" s="14">
        <f>SUM(H2674:H2674)</f>
        <v>200</v>
      </c>
      <c r="J2674" s="12">
        <v>44295</v>
      </c>
    </row>
    <row r="2675" spans="2:10" x14ac:dyDescent="0.15">
      <c r="B2675" s="89" t="s">
        <v>778</v>
      </c>
      <c r="C2675" s="13">
        <v>100</v>
      </c>
      <c r="D2675" s="11">
        <f t="shared" si="195"/>
        <v>100</v>
      </c>
      <c r="E2675" s="12">
        <v>44295</v>
      </c>
      <c r="G2675" s="15" t="s">
        <v>12</v>
      </c>
      <c r="H2675" s="13">
        <v>200</v>
      </c>
      <c r="I2675" s="14">
        <f t="shared" ref="I2675:I2693" si="196">SUM(H2675:H2675)</f>
        <v>200</v>
      </c>
      <c r="J2675" s="12">
        <v>44293</v>
      </c>
    </row>
    <row r="2676" spans="2:10" x14ac:dyDescent="0.15">
      <c r="B2676" s="71" t="s">
        <v>702</v>
      </c>
      <c r="C2676" s="13">
        <v>10</v>
      </c>
      <c r="D2676" s="11">
        <f t="shared" si="195"/>
        <v>10</v>
      </c>
      <c r="E2676" s="12">
        <v>44287</v>
      </c>
      <c r="G2676" s="15" t="s">
        <v>12</v>
      </c>
      <c r="H2676" s="13">
        <v>200</v>
      </c>
      <c r="I2676" s="14">
        <f t="shared" si="196"/>
        <v>200</v>
      </c>
      <c r="J2676" s="12">
        <v>44302</v>
      </c>
    </row>
    <row r="2677" spans="2:10" x14ac:dyDescent="0.15">
      <c r="B2677" s="10" t="s">
        <v>222</v>
      </c>
      <c r="C2677" s="13">
        <v>1</v>
      </c>
      <c r="D2677" s="11">
        <f t="shared" si="195"/>
        <v>1</v>
      </c>
      <c r="E2677" s="12">
        <v>44286</v>
      </c>
      <c r="G2677" s="89" t="s">
        <v>785</v>
      </c>
      <c r="H2677" s="13">
        <v>200</v>
      </c>
      <c r="I2677" s="14">
        <f t="shared" si="196"/>
        <v>200</v>
      </c>
      <c r="J2677" s="12">
        <v>44303</v>
      </c>
    </row>
    <row r="2678" spans="2:10" x14ac:dyDescent="0.15">
      <c r="B2678" s="71" t="s">
        <v>702</v>
      </c>
      <c r="C2678" s="13">
        <v>16</v>
      </c>
      <c r="D2678" s="11">
        <f t="shared" si="195"/>
        <v>16</v>
      </c>
      <c r="E2678" s="12">
        <v>44288</v>
      </c>
      <c r="G2678" s="15" t="s">
        <v>12</v>
      </c>
      <c r="H2678" s="13">
        <v>200</v>
      </c>
      <c r="I2678" s="14">
        <f t="shared" si="196"/>
        <v>200</v>
      </c>
      <c r="J2678" s="12">
        <v>44309</v>
      </c>
    </row>
    <row r="2679" spans="2:10" x14ac:dyDescent="0.15">
      <c r="B2679" s="71" t="s">
        <v>702</v>
      </c>
      <c r="C2679" s="13">
        <v>27</v>
      </c>
      <c r="D2679" s="14">
        <f t="shared" ref="D2679:D2686" si="197">SUM(C2679:C2679)</f>
        <v>27</v>
      </c>
      <c r="E2679" s="12">
        <v>44289</v>
      </c>
      <c r="G2679" s="15"/>
      <c r="H2679" s="13"/>
      <c r="I2679" s="14">
        <f t="shared" si="196"/>
        <v>0</v>
      </c>
      <c r="J2679" s="12"/>
    </row>
    <row r="2680" spans="2:10" x14ac:dyDescent="0.15">
      <c r="B2680" s="71" t="s">
        <v>702</v>
      </c>
      <c r="C2680" s="13">
        <v>12</v>
      </c>
      <c r="D2680" s="14">
        <f t="shared" si="197"/>
        <v>12</v>
      </c>
      <c r="E2680" s="12">
        <v>44292</v>
      </c>
      <c r="G2680" s="15"/>
      <c r="H2680" s="13"/>
      <c r="I2680" s="14">
        <f t="shared" si="196"/>
        <v>0</v>
      </c>
      <c r="J2680" s="12"/>
    </row>
    <row r="2681" spans="2:10" x14ac:dyDescent="0.15">
      <c r="B2681" s="71" t="s">
        <v>702</v>
      </c>
      <c r="C2681" s="13">
        <v>16</v>
      </c>
      <c r="D2681" s="14">
        <f t="shared" si="197"/>
        <v>16</v>
      </c>
      <c r="E2681" s="12">
        <v>44294</v>
      </c>
      <c r="G2681" s="15"/>
      <c r="H2681" s="13"/>
      <c r="I2681" s="14">
        <f t="shared" si="196"/>
        <v>0</v>
      </c>
      <c r="J2681" s="12"/>
    </row>
    <row r="2682" spans="2:10" x14ac:dyDescent="0.15">
      <c r="B2682" s="71" t="s">
        <v>702</v>
      </c>
      <c r="C2682" s="13">
        <v>3</v>
      </c>
      <c r="D2682" s="14">
        <f t="shared" si="197"/>
        <v>3</v>
      </c>
      <c r="E2682" s="12">
        <v>44295</v>
      </c>
      <c r="G2682" s="15"/>
      <c r="H2682" s="13"/>
      <c r="I2682" s="14">
        <f t="shared" si="196"/>
        <v>0</v>
      </c>
      <c r="J2682" s="12"/>
    </row>
    <row r="2683" spans="2:10" x14ac:dyDescent="0.15">
      <c r="B2683" s="71" t="s">
        <v>702</v>
      </c>
      <c r="C2683" s="13">
        <v>10</v>
      </c>
      <c r="D2683" s="14">
        <f t="shared" si="197"/>
        <v>10</v>
      </c>
      <c r="E2683" s="12">
        <v>44299</v>
      </c>
      <c r="G2683" s="15"/>
      <c r="H2683" s="13"/>
      <c r="I2683" s="14">
        <f t="shared" si="196"/>
        <v>0</v>
      </c>
      <c r="J2683" s="5"/>
    </row>
    <row r="2684" spans="2:10" x14ac:dyDescent="0.15">
      <c r="B2684" s="71" t="s">
        <v>702</v>
      </c>
      <c r="C2684" s="13">
        <v>13</v>
      </c>
      <c r="D2684" s="14">
        <f t="shared" si="197"/>
        <v>13</v>
      </c>
      <c r="E2684" s="12">
        <v>44300</v>
      </c>
      <c r="G2684" s="15"/>
      <c r="H2684" s="7"/>
      <c r="I2684" s="14">
        <f t="shared" si="196"/>
        <v>0</v>
      </c>
      <c r="J2684" s="12"/>
    </row>
    <row r="2685" spans="2:10" x14ac:dyDescent="0.15">
      <c r="B2685" s="15" t="s">
        <v>784</v>
      </c>
      <c r="C2685" s="13">
        <v>100</v>
      </c>
      <c r="D2685" s="14">
        <f t="shared" si="197"/>
        <v>100</v>
      </c>
      <c r="E2685" s="12">
        <v>44301</v>
      </c>
      <c r="G2685" s="15"/>
      <c r="H2685" s="7"/>
      <c r="I2685" s="14">
        <f t="shared" si="196"/>
        <v>0</v>
      </c>
      <c r="J2685" s="12"/>
    </row>
    <row r="2686" spans="2:10" x14ac:dyDescent="0.15">
      <c r="B2686" s="71" t="s">
        <v>702</v>
      </c>
      <c r="C2686" s="13">
        <v>2</v>
      </c>
      <c r="D2686" s="14">
        <f t="shared" si="197"/>
        <v>2</v>
      </c>
      <c r="E2686" s="12">
        <v>44302</v>
      </c>
      <c r="G2686" s="15"/>
      <c r="H2686" s="7"/>
      <c r="I2686" s="14">
        <f t="shared" si="196"/>
        <v>0</v>
      </c>
      <c r="J2686" s="5"/>
    </row>
    <row r="2687" spans="2:10" x14ac:dyDescent="0.15">
      <c r="B2687" s="89" t="s">
        <v>786</v>
      </c>
      <c r="C2687" s="13">
        <v>100</v>
      </c>
      <c r="D2687" s="14">
        <f>SUM(C2687:C2687)</f>
        <v>100</v>
      </c>
      <c r="E2687" s="12">
        <v>44303</v>
      </c>
      <c r="G2687" s="15"/>
      <c r="H2687" s="7"/>
      <c r="I2687" s="14">
        <f t="shared" si="196"/>
        <v>0</v>
      </c>
      <c r="J2687" s="12"/>
    </row>
    <row r="2688" spans="2:10" x14ac:dyDescent="0.15">
      <c r="B2688" s="71" t="s">
        <v>702</v>
      </c>
      <c r="C2688" s="13">
        <v>1</v>
      </c>
      <c r="D2688" s="14">
        <f t="shared" ref="D2688:D2697" si="198">SUM(C2688:C2688)</f>
        <v>1</v>
      </c>
      <c r="E2688" s="12">
        <v>44303</v>
      </c>
      <c r="G2688" s="15"/>
      <c r="H2688" s="7"/>
      <c r="I2688" s="14">
        <f t="shared" si="196"/>
        <v>0</v>
      </c>
      <c r="J2688" s="12"/>
    </row>
    <row r="2689" spans="2:10" x14ac:dyDescent="0.15">
      <c r="B2689" s="71" t="s">
        <v>702</v>
      </c>
      <c r="C2689" s="13">
        <v>4</v>
      </c>
      <c r="D2689" s="14">
        <f t="shared" si="198"/>
        <v>4</v>
      </c>
      <c r="E2689" s="12">
        <v>44306</v>
      </c>
      <c r="G2689" s="15"/>
      <c r="H2689" s="7"/>
      <c r="I2689" s="14">
        <f t="shared" si="196"/>
        <v>0</v>
      </c>
      <c r="J2689" s="12"/>
    </row>
    <row r="2690" spans="2:10" x14ac:dyDescent="0.15">
      <c r="B2690" s="71" t="s">
        <v>787</v>
      </c>
      <c r="C2690" s="13">
        <v>1</v>
      </c>
      <c r="D2690" s="14">
        <f t="shared" si="198"/>
        <v>1</v>
      </c>
      <c r="E2690" s="12">
        <v>44306</v>
      </c>
      <c r="G2690" s="15"/>
      <c r="H2690" s="7"/>
      <c r="I2690" s="14">
        <f t="shared" si="196"/>
        <v>0</v>
      </c>
      <c r="J2690" s="12"/>
    </row>
    <row r="2691" spans="2:10" x14ac:dyDescent="0.15">
      <c r="B2691" s="71" t="s">
        <v>702</v>
      </c>
      <c r="C2691" s="13">
        <v>4</v>
      </c>
      <c r="D2691" s="14">
        <f t="shared" si="198"/>
        <v>4</v>
      </c>
      <c r="E2691" s="12">
        <v>44307</v>
      </c>
      <c r="G2691" s="15"/>
      <c r="H2691" s="7"/>
      <c r="I2691" s="14">
        <f t="shared" si="196"/>
        <v>0</v>
      </c>
      <c r="J2691" s="12"/>
    </row>
    <row r="2692" spans="2:10" x14ac:dyDescent="0.15">
      <c r="B2692" s="10" t="s">
        <v>222</v>
      </c>
      <c r="C2692" s="13">
        <v>4</v>
      </c>
      <c r="D2692" s="14">
        <f t="shared" si="198"/>
        <v>4</v>
      </c>
      <c r="E2692" s="5">
        <v>44306</v>
      </c>
      <c r="G2692" s="15"/>
      <c r="H2692" s="7"/>
      <c r="I2692" s="14">
        <f t="shared" si="196"/>
        <v>0</v>
      </c>
      <c r="J2692" s="67"/>
    </row>
    <row r="2693" spans="2:10" x14ac:dyDescent="0.15">
      <c r="B2693" s="89" t="s">
        <v>786</v>
      </c>
      <c r="C2693" s="13">
        <v>150</v>
      </c>
      <c r="D2693" s="14">
        <f t="shared" si="198"/>
        <v>150</v>
      </c>
      <c r="E2693" s="5">
        <v>44309</v>
      </c>
      <c r="G2693" s="15"/>
      <c r="H2693" s="7"/>
      <c r="I2693" s="14">
        <f t="shared" si="196"/>
        <v>0</v>
      </c>
      <c r="J2693" s="67"/>
    </row>
    <row r="2694" spans="2:10" x14ac:dyDescent="0.15">
      <c r="B2694" s="10"/>
      <c r="C2694" s="13"/>
      <c r="D2694" s="14">
        <f t="shared" si="198"/>
        <v>0</v>
      </c>
      <c r="E2694" s="5"/>
      <c r="G2694" s="15"/>
      <c r="H2694" s="7"/>
      <c r="I2694" s="14">
        <f>SUM(H2694:H2694)</f>
        <v>0</v>
      </c>
      <c r="J2694" s="12"/>
    </row>
    <row r="2695" spans="2:10" x14ac:dyDescent="0.15">
      <c r="B2695" s="71" t="s">
        <v>702</v>
      </c>
      <c r="C2695" s="13">
        <v>1</v>
      </c>
      <c r="D2695" s="14">
        <f t="shared" si="198"/>
        <v>1</v>
      </c>
      <c r="E2695" s="5">
        <v>44309</v>
      </c>
      <c r="G2695" s="15" t="s">
        <v>753</v>
      </c>
      <c r="H2695" s="7"/>
      <c r="I2695" s="14">
        <f t="shared" ref="I2695" si="199">SUM(H2695:H2695)</f>
        <v>0</v>
      </c>
      <c r="J2695" s="179" t="s">
        <v>754</v>
      </c>
    </row>
    <row r="2696" spans="2:10" ht="14.25" thickBot="1" x14ac:dyDescent="0.2">
      <c r="B2696" s="71" t="s">
        <v>787</v>
      </c>
      <c r="C2696" s="13">
        <v>1</v>
      </c>
      <c r="D2696" s="11">
        <f t="shared" si="198"/>
        <v>1</v>
      </c>
      <c r="E2696" s="12">
        <v>44309</v>
      </c>
      <c r="G2696" s="15" t="s">
        <v>758</v>
      </c>
      <c r="H2696" s="7"/>
      <c r="I2696" s="14">
        <f t="shared" ref="I2696" si="200">SUM(H2696:H2696)</f>
        <v>0</v>
      </c>
      <c r="J2696" s="67" t="s">
        <v>762</v>
      </c>
    </row>
    <row r="2697" spans="2:10" ht="14.25" thickBot="1" x14ac:dyDescent="0.2">
      <c r="B2697" s="17" t="s">
        <v>2</v>
      </c>
      <c r="C2697" s="18">
        <f>SUM(C2673:C2696)</f>
        <v>776</v>
      </c>
      <c r="D2697" s="19">
        <f t="shared" si="198"/>
        <v>776</v>
      </c>
      <c r="E2697" s="20"/>
      <c r="G2697" s="17" t="s">
        <v>2</v>
      </c>
      <c r="H2697" s="18">
        <f>SUM(H2673:H2696)</f>
        <v>1200</v>
      </c>
      <c r="I2697" s="19">
        <f>SUM(H2697:H2697)</f>
        <v>1200</v>
      </c>
      <c r="J2697" s="20"/>
    </row>
    <row r="2698" spans="2:10" ht="14.25" thickBot="1" x14ac:dyDescent="0.2">
      <c r="B2698" s="46" t="s">
        <v>3</v>
      </c>
      <c r="C2698" s="52">
        <f>C2672-C2697</f>
        <v>72</v>
      </c>
      <c r="D2698" s="48">
        <f>D2672-D2697</f>
        <v>72</v>
      </c>
      <c r="E2698" s="49"/>
      <c r="G2698" s="46" t="s">
        <v>3</v>
      </c>
      <c r="H2698" s="52">
        <f>H2672-H2697</f>
        <v>5018</v>
      </c>
      <c r="I2698" s="48">
        <f>I2672-I2697</f>
        <v>5018</v>
      </c>
      <c r="J2698" s="49"/>
    </row>
    <row r="2701" spans="2:10" ht="18.75" x14ac:dyDescent="0.2">
      <c r="B2701" s="26" t="s">
        <v>7</v>
      </c>
      <c r="G2701" s="26" t="s">
        <v>35</v>
      </c>
    </row>
    <row r="2702" spans="2:10" ht="14.25" thickBot="1" x14ac:dyDescent="0.2"/>
    <row r="2703" spans="2:10" ht="14.25" thickBot="1" x14ac:dyDescent="0.2">
      <c r="B2703" s="1"/>
      <c r="C2703" s="2"/>
      <c r="D2703" s="3" t="s">
        <v>0</v>
      </c>
      <c r="E2703" s="1" t="s">
        <v>4</v>
      </c>
      <c r="G2703" s="1"/>
      <c r="H2703" s="2"/>
      <c r="I2703" s="3" t="s">
        <v>0</v>
      </c>
      <c r="J2703" s="1" t="s">
        <v>4</v>
      </c>
    </row>
    <row r="2704" spans="2:10" x14ac:dyDescent="0.15">
      <c r="B2704" s="42" t="s">
        <v>5</v>
      </c>
      <c r="C2704" s="43">
        <f>C2698</f>
        <v>72</v>
      </c>
      <c r="D2704" s="44">
        <f>SUM(C2704:C2704)</f>
        <v>72</v>
      </c>
      <c r="E2704" s="45"/>
      <c r="G2704" s="42" t="s">
        <v>5</v>
      </c>
      <c r="H2704" s="43">
        <f>H2698</f>
        <v>5018</v>
      </c>
      <c r="I2704" s="44">
        <f>SUM(H2704:H2704)</f>
        <v>5018</v>
      </c>
      <c r="J2704" s="45"/>
    </row>
    <row r="2705" spans="2:10" x14ac:dyDescent="0.15">
      <c r="B2705" s="6" t="s">
        <v>789</v>
      </c>
      <c r="C2705" s="13">
        <v>200</v>
      </c>
      <c r="D2705" s="14">
        <f>SUM(C2705:C2705)</f>
        <v>200</v>
      </c>
      <c r="E2705" s="5">
        <v>44309</v>
      </c>
      <c r="G2705" s="6" t="s">
        <v>6</v>
      </c>
      <c r="H2705" s="170"/>
      <c r="I2705" s="73">
        <f>SUM(H2705:H2705)</f>
        <v>0</v>
      </c>
      <c r="J2705" s="171"/>
    </row>
    <row r="2706" spans="2:10" x14ac:dyDescent="0.15">
      <c r="B2706" s="6" t="s">
        <v>789</v>
      </c>
      <c r="C2706" s="13">
        <v>200</v>
      </c>
      <c r="D2706" s="14">
        <f>SUM(C2706:C2706)</f>
        <v>200</v>
      </c>
      <c r="E2706" s="12">
        <v>44314</v>
      </c>
      <c r="G2706" s="6" t="s">
        <v>6</v>
      </c>
      <c r="H2706" s="13"/>
      <c r="I2706" s="14">
        <f>SUM(H2706:H2706)</f>
        <v>0</v>
      </c>
      <c r="J2706" s="169"/>
    </row>
    <row r="2707" spans="2:10" ht="14.25" thickBot="1" x14ac:dyDescent="0.2">
      <c r="B2707" s="6" t="s">
        <v>789</v>
      </c>
      <c r="C2707" s="7">
        <v>200</v>
      </c>
      <c r="D2707" s="14">
        <f>SUM(C2707:C2707)</f>
        <v>200</v>
      </c>
      <c r="E2707" s="16">
        <v>44329</v>
      </c>
      <c r="G2707" s="6" t="s">
        <v>6</v>
      </c>
      <c r="H2707" s="170"/>
      <c r="I2707" s="73">
        <f>SUM(H2707:H2707)</f>
        <v>0</v>
      </c>
      <c r="J2707" s="171"/>
    </row>
    <row r="2708" spans="2:10" ht="14.25" thickBot="1" x14ac:dyDescent="0.2">
      <c r="B2708" s="46" t="s">
        <v>1</v>
      </c>
      <c r="C2708" s="48">
        <f>SUM(C2704:C2707)</f>
        <v>672</v>
      </c>
      <c r="D2708" s="48">
        <f>SUM(D2704:D2707)</f>
        <v>672</v>
      </c>
      <c r="E2708" s="49"/>
      <c r="G2708" s="46" t="s">
        <v>1</v>
      </c>
      <c r="H2708" s="50">
        <f>SUM(H2704:H2707)</f>
        <v>5018</v>
      </c>
      <c r="I2708" s="48">
        <f>SUM(I2704:I2707)</f>
        <v>5018</v>
      </c>
      <c r="J2708" s="51"/>
    </row>
    <row r="2709" spans="2:10" x14ac:dyDescent="0.15">
      <c r="B2709" s="89" t="s">
        <v>788</v>
      </c>
      <c r="C2709" s="13">
        <v>100</v>
      </c>
      <c r="D2709" s="11">
        <f>SUM(C2709:C2709)</f>
        <v>100</v>
      </c>
      <c r="E2709" s="12">
        <v>44310</v>
      </c>
      <c r="G2709" s="15" t="s">
        <v>793</v>
      </c>
      <c r="H2709" s="13">
        <v>200</v>
      </c>
      <c r="I2709" s="11">
        <f>SUM(H2709:H2709)</f>
        <v>200</v>
      </c>
      <c r="J2709" s="12">
        <v>44314</v>
      </c>
    </row>
    <row r="2710" spans="2:10" x14ac:dyDescent="0.15">
      <c r="B2710" s="15" t="s">
        <v>790</v>
      </c>
      <c r="C2710" s="13">
        <v>100</v>
      </c>
      <c r="D2710" s="14">
        <f>SUM(C2710:C2710)</f>
        <v>100</v>
      </c>
      <c r="E2710" s="12">
        <v>44314</v>
      </c>
      <c r="G2710" s="15" t="s">
        <v>793</v>
      </c>
      <c r="H2710" s="13">
        <v>200</v>
      </c>
      <c r="I2710" s="14">
        <f>SUM(H2710:H2710)</f>
        <v>200</v>
      </c>
      <c r="J2710" s="12">
        <v>44329</v>
      </c>
    </row>
    <row r="2711" spans="2:10" x14ac:dyDescent="0.15">
      <c r="B2711" s="10" t="s">
        <v>792</v>
      </c>
      <c r="C2711" s="13">
        <v>3</v>
      </c>
      <c r="D2711" s="14">
        <f>SUM(C2711:C2711)</f>
        <v>3</v>
      </c>
      <c r="E2711" s="12">
        <v>44312</v>
      </c>
      <c r="G2711" s="15" t="s">
        <v>799</v>
      </c>
      <c r="H2711" s="13">
        <v>300</v>
      </c>
      <c r="I2711" s="14">
        <f t="shared" ref="I2711:I2726" si="201">SUM(H2711:H2711)</f>
        <v>300</v>
      </c>
      <c r="J2711" s="12">
        <v>44329</v>
      </c>
    </row>
    <row r="2712" spans="2:10" x14ac:dyDescent="0.15">
      <c r="B2712" s="71" t="s">
        <v>702</v>
      </c>
      <c r="C2712" s="13">
        <v>4</v>
      </c>
      <c r="D2712" s="14">
        <f t="shared" ref="D2712:D2722" si="202">SUM(C2712:C2712)</f>
        <v>4</v>
      </c>
      <c r="E2712" s="12">
        <v>44314</v>
      </c>
      <c r="G2712" s="15"/>
      <c r="H2712" s="13"/>
      <c r="I2712" s="14">
        <f t="shared" si="201"/>
        <v>0</v>
      </c>
      <c r="J2712" s="12"/>
    </row>
    <row r="2713" spans="2:10" x14ac:dyDescent="0.15">
      <c r="B2713" s="71" t="s">
        <v>702</v>
      </c>
      <c r="C2713" s="13">
        <v>4</v>
      </c>
      <c r="D2713" s="14">
        <f t="shared" si="202"/>
        <v>4</v>
      </c>
      <c r="E2713" s="12">
        <v>44317</v>
      </c>
      <c r="G2713" s="15"/>
      <c r="H2713" s="13"/>
      <c r="I2713" s="14">
        <f t="shared" si="201"/>
        <v>0</v>
      </c>
      <c r="J2713" s="12"/>
    </row>
    <row r="2714" spans="2:10" x14ac:dyDescent="0.15">
      <c r="B2714" s="71" t="s">
        <v>702</v>
      </c>
      <c r="C2714" s="13">
        <v>1</v>
      </c>
      <c r="D2714" s="14">
        <f t="shared" si="202"/>
        <v>1</v>
      </c>
      <c r="E2714" s="12">
        <v>44324</v>
      </c>
      <c r="G2714" s="15"/>
      <c r="H2714" s="13"/>
      <c r="I2714" s="14">
        <f t="shared" si="201"/>
        <v>0</v>
      </c>
      <c r="J2714" s="12"/>
    </row>
    <row r="2715" spans="2:10" x14ac:dyDescent="0.15">
      <c r="B2715" s="71" t="s">
        <v>702</v>
      </c>
      <c r="C2715" s="13">
        <v>3</v>
      </c>
      <c r="D2715" s="14">
        <f t="shared" si="202"/>
        <v>3</v>
      </c>
      <c r="E2715" s="12">
        <v>44327</v>
      </c>
      <c r="G2715" s="15"/>
      <c r="H2715" s="13"/>
      <c r="I2715" s="14">
        <f t="shared" si="201"/>
        <v>0</v>
      </c>
      <c r="J2715" s="12"/>
    </row>
    <row r="2716" spans="2:10" x14ac:dyDescent="0.15">
      <c r="B2716" s="71" t="s">
        <v>702</v>
      </c>
      <c r="C2716" s="13">
        <v>15</v>
      </c>
      <c r="D2716" s="14">
        <f t="shared" si="202"/>
        <v>15</v>
      </c>
      <c r="E2716" s="12">
        <v>44328</v>
      </c>
      <c r="G2716" s="15"/>
      <c r="H2716" s="13"/>
      <c r="I2716" s="14">
        <f t="shared" si="201"/>
        <v>0</v>
      </c>
      <c r="J2716" s="12"/>
    </row>
    <row r="2717" spans="2:10" x14ac:dyDescent="0.15">
      <c r="B2717" s="89" t="s">
        <v>797</v>
      </c>
      <c r="C2717" s="13">
        <v>100</v>
      </c>
      <c r="D2717" s="14">
        <f t="shared" si="202"/>
        <v>100</v>
      </c>
      <c r="E2717" s="12">
        <v>44337</v>
      </c>
      <c r="G2717" s="15"/>
      <c r="H2717" s="13"/>
      <c r="I2717" s="14">
        <f t="shared" si="201"/>
        <v>0</v>
      </c>
      <c r="J2717" s="12"/>
    </row>
    <row r="2718" spans="2:10" x14ac:dyDescent="0.15">
      <c r="B2718" s="89" t="s">
        <v>798</v>
      </c>
      <c r="C2718" s="13">
        <v>100</v>
      </c>
      <c r="D2718" s="14">
        <f t="shared" si="202"/>
        <v>100</v>
      </c>
      <c r="E2718" s="12">
        <v>44337</v>
      </c>
      <c r="G2718" s="15"/>
      <c r="H2718" s="13"/>
      <c r="I2718" s="14">
        <f t="shared" si="201"/>
        <v>0</v>
      </c>
      <c r="J2718" s="12"/>
    </row>
    <row r="2719" spans="2:10" x14ac:dyDescent="0.15">
      <c r="B2719" s="10" t="s">
        <v>189</v>
      </c>
      <c r="C2719" s="13">
        <v>5</v>
      </c>
      <c r="D2719" s="14">
        <f t="shared" si="202"/>
        <v>5</v>
      </c>
      <c r="E2719" s="12">
        <v>44327</v>
      </c>
      <c r="G2719" s="15"/>
      <c r="H2719" s="13"/>
      <c r="I2719" s="14">
        <f t="shared" si="201"/>
        <v>0</v>
      </c>
      <c r="J2719" s="5"/>
    </row>
    <row r="2720" spans="2:10" x14ac:dyDescent="0.15">
      <c r="B2720" s="71" t="s">
        <v>702</v>
      </c>
      <c r="C2720" s="13">
        <v>19</v>
      </c>
      <c r="D2720" s="14">
        <f t="shared" si="202"/>
        <v>19</v>
      </c>
      <c r="E2720" s="12">
        <v>44329</v>
      </c>
      <c r="G2720" s="15"/>
      <c r="H2720" s="7"/>
      <c r="I2720" s="14">
        <f t="shared" si="201"/>
        <v>0</v>
      </c>
      <c r="J2720" s="12"/>
    </row>
    <row r="2721" spans="2:10" x14ac:dyDescent="0.15">
      <c r="B2721" s="71" t="s">
        <v>702</v>
      </c>
      <c r="C2721" s="13">
        <v>24</v>
      </c>
      <c r="D2721" s="14">
        <f t="shared" si="202"/>
        <v>24</v>
      </c>
      <c r="E2721" s="12">
        <v>44330</v>
      </c>
      <c r="G2721" s="15"/>
      <c r="H2721" s="7"/>
      <c r="I2721" s="14">
        <f t="shared" si="201"/>
        <v>0</v>
      </c>
      <c r="J2721" s="12"/>
    </row>
    <row r="2722" spans="2:10" x14ac:dyDescent="0.15">
      <c r="B2722" s="71" t="s">
        <v>702</v>
      </c>
      <c r="C2722" s="13">
        <v>2</v>
      </c>
      <c r="D2722" s="14">
        <f t="shared" si="202"/>
        <v>2</v>
      </c>
      <c r="E2722" s="12">
        <v>44331</v>
      </c>
      <c r="G2722" s="15"/>
      <c r="H2722" s="7"/>
      <c r="I2722" s="14">
        <f t="shared" si="201"/>
        <v>0</v>
      </c>
      <c r="J2722" s="5"/>
    </row>
    <row r="2723" spans="2:10" x14ac:dyDescent="0.15">
      <c r="B2723" s="10" t="s">
        <v>189</v>
      </c>
      <c r="C2723" s="13">
        <v>1</v>
      </c>
      <c r="D2723" s="14">
        <f>SUM(C2723:C2723)</f>
        <v>1</v>
      </c>
      <c r="E2723" s="12">
        <v>44330</v>
      </c>
      <c r="G2723" s="15"/>
      <c r="H2723" s="7"/>
      <c r="I2723" s="14">
        <f t="shared" si="201"/>
        <v>0</v>
      </c>
      <c r="J2723" s="12"/>
    </row>
    <row r="2724" spans="2:10" x14ac:dyDescent="0.15">
      <c r="B2724" s="71" t="s">
        <v>702</v>
      </c>
      <c r="C2724" s="13">
        <v>35</v>
      </c>
      <c r="D2724" s="14">
        <f t="shared" ref="D2724:D2733" si="203">SUM(C2724:C2724)</f>
        <v>35</v>
      </c>
      <c r="E2724" s="12">
        <v>44334</v>
      </c>
      <c r="G2724" s="15"/>
      <c r="H2724" s="7"/>
      <c r="I2724" s="14">
        <f t="shared" si="201"/>
        <v>0</v>
      </c>
      <c r="J2724" s="12"/>
    </row>
    <row r="2725" spans="2:10" x14ac:dyDescent="0.15">
      <c r="B2725" s="71" t="s">
        <v>702</v>
      </c>
      <c r="C2725" s="13">
        <v>44</v>
      </c>
      <c r="D2725" s="14">
        <f t="shared" si="203"/>
        <v>44</v>
      </c>
      <c r="E2725" s="12">
        <v>44335</v>
      </c>
      <c r="G2725" s="15"/>
      <c r="H2725" s="7"/>
      <c r="I2725" s="14">
        <f t="shared" si="201"/>
        <v>0</v>
      </c>
      <c r="J2725" s="67"/>
    </row>
    <row r="2726" spans="2:10" x14ac:dyDescent="0.15">
      <c r="B2726" s="71" t="s">
        <v>702</v>
      </c>
      <c r="C2726" s="13">
        <v>8</v>
      </c>
      <c r="D2726" s="14">
        <f t="shared" si="203"/>
        <v>8</v>
      </c>
      <c r="E2726" s="12">
        <v>44336</v>
      </c>
      <c r="G2726" s="15"/>
      <c r="H2726" s="7"/>
      <c r="I2726" s="14">
        <f t="shared" si="201"/>
        <v>0</v>
      </c>
      <c r="J2726" s="67"/>
    </row>
    <row r="2727" spans="2:10" x14ac:dyDescent="0.15">
      <c r="B2727" s="10" t="s">
        <v>189</v>
      </c>
      <c r="C2727" s="13">
        <v>5</v>
      </c>
      <c r="D2727" s="14">
        <f t="shared" si="203"/>
        <v>5</v>
      </c>
      <c r="E2727" s="5">
        <v>44335</v>
      </c>
      <c r="G2727" s="15"/>
      <c r="H2727" s="7"/>
      <c r="I2727" s="14">
        <f t="shared" ref="I2727" si="204">SUM(H2727:H2727)</f>
        <v>0</v>
      </c>
      <c r="J2727" s="67"/>
    </row>
    <row r="2728" spans="2:10" x14ac:dyDescent="0.15">
      <c r="B2728" s="10"/>
      <c r="C2728" s="13"/>
      <c r="D2728" s="14">
        <f t="shared" ref="D2728" si="205">SUM(C2728:C2728)</f>
        <v>0</v>
      </c>
      <c r="E2728" s="5"/>
      <c r="G2728" s="15"/>
      <c r="H2728" s="7"/>
      <c r="I2728" s="14">
        <f t="shared" ref="I2728" si="206">SUM(H2728:H2728)</f>
        <v>0</v>
      </c>
      <c r="J2728" s="67"/>
    </row>
    <row r="2729" spans="2:10" x14ac:dyDescent="0.15">
      <c r="B2729" s="71"/>
      <c r="C2729" s="13"/>
      <c r="D2729" s="14">
        <f t="shared" si="203"/>
        <v>0</v>
      </c>
      <c r="E2729" s="5"/>
      <c r="G2729" s="15"/>
      <c r="H2729" s="7"/>
      <c r="I2729" s="14">
        <f>SUM(H2729:H2729)</f>
        <v>0</v>
      </c>
      <c r="J2729" s="12"/>
    </row>
    <row r="2730" spans="2:10" x14ac:dyDescent="0.15">
      <c r="B2730" s="71"/>
      <c r="C2730" s="13"/>
      <c r="D2730" s="14">
        <f t="shared" si="203"/>
        <v>0</v>
      </c>
      <c r="E2730" s="5"/>
      <c r="G2730" s="15"/>
      <c r="H2730" s="7"/>
      <c r="I2730" s="14">
        <f t="shared" ref="I2730" si="207">SUM(H2730:H2730)</f>
        <v>0</v>
      </c>
      <c r="J2730" s="67"/>
    </row>
    <row r="2731" spans="2:10" x14ac:dyDescent="0.15">
      <c r="B2731" s="71"/>
      <c r="C2731" s="13"/>
      <c r="D2731" s="14">
        <f t="shared" si="203"/>
        <v>0</v>
      </c>
      <c r="E2731" s="5"/>
      <c r="G2731" s="15" t="s">
        <v>759</v>
      </c>
      <c r="H2731" s="7"/>
      <c r="I2731" s="14">
        <f t="shared" ref="I2731" si="208">SUM(H2731:H2731)</f>
        <v>0</v>
      </c>
      <c r="J2731" s="67" t="s">
        <v>765</v>
      </c>
    </row>
    <row r="2732" spans="2:10" ht="14.25" thickBot="1" x14ac:dyDescent="0.2">
      <c r="B2732" s="10"/>
      <c r="C2732" s="13"/>
      <c r="D2732" s="11">
        <f t="shared" si="203"/>
        <v>0</v>
      </c>
      <c r="E2732" s="12"/>
      <c r="G2732" s="15" t="s">
        <v>780</v>
      </c>
      <c r="H2732" s="7"/>
      <c r="I2732" s="14">
        <f>SUM(H2732:H2732)</f>
        <v>0</v>
      </c>
      <c r="J2732" s="12" t="s">
        <v>781</v>
      </c>
    </row>
    <row r="2733" spans="2:10" ht="14.25" thickBot="1" x14ac:dyDescent="0.2">
      <c r="B2733" s="17" t="s">
        <v>2</v>
      </c>
      <c r="C2733" s="18">
        <f>SUM(C2709:C2732)</f>
        <v>573</v>
      </c>
      <c r="D2733" s="19">
        <f t="shared" si="203"/>
        <v>573</v>
      </c>
      <c r="E2733" s="20"/>
      <c r="G2733" s="17" t="s">
        <v>2</v>
      </c>
      <c r="H2733" s="18">
        <f>SUM(H2709:H2732)</f>
        <v>700</v>
      </c>
      <c r="I2733" s="19">
        <f t="shared" ref="I2733" si="209">SUM(H2733:H2733)</f>
        <v>700</v>
      </c>
      <c r="J2733" s="20"/>
    </row>
    <row r="2734" spans="2:10" ht="14.25" thickBot="1" x14ac:dyDescent="0.2">
      <c r="B2734" s="46" t="s">
        <v>3</v>
      </c>
      <c r="C2734" s="52">
        <f>C2708-C2733</f>
        <v>99</v>
      </c>
      <c r="D2734" s="48">
        <f>D2708-D2733</f>
        <v>99</v>
      </c>
      <c r="E2734" s="49"/>
      <c r="G2734" s="46" t="s">
        <v>3</v>
      </c>
      <c r="H2734" s="52">
        <f>H2708-H2733</f>
        <v>4318</v>
      </c>
      <c r="I2734" s="48">
        <f>I2708-I2733</f>
        <v>4318</v>
      </c>
      <c r="J2734" s="49"/>
    </row>
    <row r="2737" spans="2:10" ht="18.75" x14ac:dyDescent="0.2">
      <c r="B2737" s="26" t="s">
        <v>7</v>
      </c>
      <c r="G2737" s="26" t="s">
        <v>35</v>
      </c>
    </row>
    <row r="2738" spans="2:10" ht="14.25" thickBot="1" x14ac:dyDescent="0.2"/>
    <row r="2739" spans="2:10" ht="14.25" thickBot="1" x14ac:dyDescent="0.2">
      <c r="B2739" s="1"/>
      <c r="C2739" s="2"/>
      <c r="D2739" s="3" t="s">
        <v>0</v>
      </c>
      <c r="E2739" s="1" t="s">
        <v>4</v>
      </c>
      <c r="G2739" s="1"/>
      <c r="H2739" s="2"/>
      <c r="I2739" s="3" t="s">
        <v>0</v>
      </c>
      <c r="J2739" s="1" t="s">
        <v>4</v>
      </c>
    </row>
    <row r="2740" spans="2:10" x14ac:dyDescent="0.15">
      <c r="B2740" s="42" t="s">
        <v>5</v>
      </c>
      <c r="C2740" s="43">
        <f>C2734</f>
        <v>99</v>
      </c>
      <c r="D2740" s="44">
        <f>SUM(C2740:C2740)</f>
        <v>99</v>
      </c>
      <c r="E2740" s="45"/>
      <c r="G2740" s="42" t="s">
        <v>5</v>
      </c>
      <c r="H2740" s="43">
        <f>H2734</f>
        <v>4318</v>
      </c>
      <c r="I2740" s="44">
        <f>SUM(H2740:H2740)</f>
        <v>4318</v>
      </c>
      <c r="J2740" s="45"/>
    </row>
    <row r="2741" spans="2:10" x14ac:dyDescent="0.15">
      <c r="B2741" s="6" t="s">
        <v>801</v>
      </c>
      <c r="C2741" s="13">
        <v>200</v>
      </c>
      <c r="D2741" s="14">
        <f>SUM(C2741:C2741)</f>
        <v>200</v>
      </c>
      <c r="E2741" s="12">
        <v>44335</v>
      </c>
      <c r="G2741" s="6" t="s">
        <v>6</v>
      </c>
      <c r="H2741" s="170"/>
      <c r="I2741" s="73">
        <f>SUM(H2741:H2741)</f>
        <v>0</v>
      </c>
      <c r="J2741" s="171"/>
    </row>
    <row r="2742" spans="2:10" x14ac:dyDescent="0.15">
      <c r="B2742" s="6" t="s">
        <v>6</v>
      </c>
      <c r="C2742" s="13">
        <v>200</v>
      </c>
      <c r="D2742" s="14">
        <f>SUM(C2742:C2742)</f>
        <v>200</v>
      </c>
      <c r="E2742" s="12">
        <v>44340</v>
      </c>
      <c r="G2742" s="6" t="s">
        <v>6</v>
      </c>
      <c r="H2742" s="13">
        <v>3000</v>
      </c>
      <c r="I2742" s="14">
        <f>SUM(H2742:H2742)</f>
        <v>3000</v>
      </c>
      <c r="J2742" s="169">
        <v>44348</v>
      </c>
    </row>
    <row r="2743" spans="2:10" ht="14.25" thickBot="1" x14ac:dyDescent="0.2">
      <c r="B2743" s="6" t="s">
        <v>6</v>
      </c>
      <c r="C2743" s="7">
        <v>200</v>
      </c>
      <c r="D2743" s="14">
        <f>SUM(C2743:C2743)</f>
        <v>200</v>
      </c>
      <c r="E2743" s="16">
        <v>44354</v>
      </c>
      <c r="G2743" s="6" t="s">
        <v>6</v>
      </c>
      <c r="H2743" s="170"/>
      <c r="I2743" s="73">
        <f>SUM(H2743:H2743)</f>
        <v>0</v>
      </c>
      <c r="J2743" s="171"/>
    </row>
    <row r="2744" spans="2:10" ht="14.25" thickBot="1" x14ac:dyDescent="0.2">
      <c r="B2744" s="46" t="s">
        <v>1</v>
      </c>
      <c r="C2744" s="48">
        <f>SUM(C2740:C2743)</f>
        <v>699</v>
      </c>
      <c r="D2744" s="48">
        <f>SUM(D2740:D2743)</f>
        <v>699</v>
      </c>
      <c r="E2744" s="49"/>
      <c r="G2744" s="46" t="s">
        <v>1</v>
      </c>
      <c r="H2744" s="50">
        <f>SUM(H2740:H2743)</f>
        <v>7318</v>
      </c>
      <c r="I2744" s="48">
        <f>SUM(I2740:I2743)</f>
        <v>7318</v>
      </c>
      <c r="J2744" s="51"/>
    </row>
    <row r="2745" spans="2:10" x14ac:dyDescent="0.15">
      <c r="B2745" s="15" t="s">
        <v>800</v>
      </c>
      <c r="C2745" s="13">
        <v>100</v>
      </c>
      <c r="D2745" s="11">
        <f>SUM(C2745:C2745)</f>
        <v>100</v>
      </c>
      <c r="E2745" s="12">
        <v>44336</v>
      </c>
      <c r="G2745" s="15" t="s">
        <v>802</v>
      </c>
      <c r="H2745" s="13">
        <v>200</v>
      </c>
      <c r="I2745" s="11">
        <f>SUM(H2745:H2745)</f>
        <v>200</v>
      </c>
      <c r="J2745" s="12">
        <v>44335</v>
      </c>
    </row>
    <row r="2746" spans="2:10" x14ac:dyDescent="0.15">
      <c r="B2746" s="71" t="s">
        <v>702</v>
      </c>
      <c r="C2746" s="13">
        <v>2</v>
      </c>
      <c r="D2746" s="14">
        <f>SUM(C2746:C2746)</f>
        <v>2</v>
      </c>
      <c r="E2746" s="12">
        <v>44337</v>
      </c>
      <c r="G2746" s="15" t="s">
        <v>803</v>
      </c>
      <c r="H2746" s="13">
        <v>200</v>
      </c>
      <c r="I2746" s="14">
        <f>SUM(H2746:H2746)</f>
        <v>200</v>
      </c>
      <c r="J2746" s="12">
        <v>44340</v>
      </c>
    </row>
    <row r="2747" spans="2:10" x14ac:dyDescent="0.15">
      <c r="B2747" s="71" t="s">
        <v>702</v>
      </c>
      <c r="C2747" s="13">
        <v>4</v>
      </c>
      <c r="D2747" s="14">
        <f>SUM(C2747:C2747)</f>
        <v>4</v>
      </c>
      <c r="E2747" s="12">
        <v>44341</v>
      </c>
      <c r="G2747" s="89" t="s">
        <v>805</v>
      </c>
      <c r="H2747" s="13">
        <v>300</v>
      </c>
      <c r="I2747" s="14">
        <f t="shared" ref="I2747:I2763" si="210">SUM(H2747:H2747)</f>
        <v>300</v>
      </c>
      <c r="J2747" s="12">
        <v>44344</v>
      </c>
    </row>
    <row r="2748" spans="2:10" x14ac:dyDescent="0.15">
      <c r="B2748" s="89" t="s">
        <v>804</v>
      </c>
      <c r="C2748" s="13">
        <v>100</v>
      </c>
      <c r="D2748" s="14">
        <f t="shared" ref="D2748:D2758" si="211">SUM(C2748:C2748)</f>
        <v>100</v>
      </c>
      <c r="E2748" s="12">
        <v>44343</v>
      </c>
      <c r="G2748" s="89" t="s">
        <v>806</v>
      </c>
      <c r="H2748" s="13">
        <v>200</v>
      </c>
      <c r="I2748" s="14">
        <f t="shared" si="210"/>
        <v>200</v>
      </c>
      <c r="J2748" s="12">
        <v>44344</v>
      </c>
    </row>
    <row r="2749" spans="2:10" x14ac:dyDescent="0.15">
      <c r="B2749" s="71" t="s">
        <v>702</v>
      </c>
      <c r="C2749" s="13">
        <v>3</v>
      </c>
      <c r="D2749" s="14">
        <f t="shared" si="211"/>
        <v>3</v>
      </c>
      <c r="E2749" s="12">
        <v>44344</v>
      </c>
      <c r="G2749" s="89" t="s">
        <v>807</v>
      </c>
      <c r="H2749" s="13">
        <v>150</v>
      </c>
      <c r="I2749" s="14">
        <f t="shared" si="210"/>
        <v>150</v>
      </c>
      <c r="J2749" s="12">
        <v>44345</v>
      </c>
    </row>
    <row r="2750" spans="2:10" x14ac:dyDescent="0.15">
      <c r="B2750" s="71" t="s">
        <v>702</v>
      </c>
      <c r="C2750" s="13">
        <v>4</v>
      </c>
      <c r="D2750" s="14">
        <f t="shared" si="211"/>
        <v>4</v>
      </c>
      <c r="E2750" s="12">
        <v>44345</v>
      </c>
      <c r="G2750" s="15" t="s">
        <v>809</v>
      </c>
      <c r="H2750" s="13">
        <v>200</v>
      </c>
      <c r="I2750" s="14">
        <f t="shared" si="210"/>
        <v>200</v>
      </c>
      <c r="J2750" s="12">
        <v>44350</v>
      </c>
    </row>
    <row r="2751" spans="2:10" x14ac:dyDescent="0.15">
      <c r="B2751" s="71" t="s">
        <v>702</v>
      </c>
      <c r="C2751" s="13">
        <v>14</v>
      </c>
      <c r="D2751" s="14">
        <f t="shared" si="211"/>
        <v>14</v>
      </c>
      <c r="E2751" s="12">
        <v>44348</v>
      </c>
      <c r="G2751" s="89" t="s">
        <v>810</v>
      </c>
      <c r="H2751" s="13">
        <v>200</v>
      </c>
      <c r="I2751" s="14">
        <f t="shared" si="210"/>
        <v>200</v>
      </c>
      <c r="J2751" s="12">
        <v>44351</v>
      </c>
    </row>
    <row r="2752" spans="2:10" x14ac:dyDescent="0.15">
      <c r="B2752" s="71" t="s">
        <v>702</v>
      </c>
      <c r="C2752" s="13">
        <v>7</v>
      </c>
      <c r="D2752" s="14">
        <f t="shared" si="211"/>
        <v>7</v>
      </c>
      <c r="E2752" s="12">
        <v>44349</v>
      </c>
      <c r="G2752" s="15" t="s">
        <v>813</v>
      </c>
      <c r="H2752" s="13">
        <v>200</v>
      </c>
      <c r="I2752" s="14">
        <f t="shared" si="210"/>
        <v>200</v>
      </c>
      <c r="J2752" s="12">
        <v>44354</v>
      </c>
    </row>
    <row r="2753" spans="2:10" x14ac:dyDescent="0.15">
      <c r="B2753" s="10" t="s">
        <v>808</v>
      </c>
      <c r="C2753" s="13">
        <v>1</v>
      </c>
      <c r="D2753" s="14">
        <f t="shared" si="211"/>
        <v>1</v>
      </c>
      <c r="E2753" s="12">
        <v>44348</v>
      </c>
      <c r="G2753" s="15"/>
      <c r="H2753" s="13"/>
      <c r="I2753" s="14">
        <f t="shared" si="210"/>
        <v>0</v>
      </c>
      <c r="J2753" s="12"/>
    </row>
    <row r="2754" spans="2:10" x14ac:dyDescent="0.15">
      <c r="B2754" s="71" t="s">
        <v>702</v>
      </c>
      <c r="C2754" s="13">
        <v>3</v>
      </c>
      <c r="D2754" s="14">
        <f t="shared" si="211"/>
        <v>3</v>
      </c>
      <c r="E2754" s="12">
        <v>44350</v>
      </c>
      <c r="G2754" s="15"/>
      <c r="H2754" s="13"/>
      <c r="I2754" s="14">
        <f t="shared" si="210"/>
        <v>0</v>
      </c>
      <c r="J2754" s="12"/>
    </row>
    <row r="2755" spans="2:10" x14ac:dyDescent="0.15">
      <c r="B2755" s="71" t="s">
        <v>702</v>
      </c>
      <c r="C2755" s="13">
        <v>6</v>
      </c>
      <c r="D2755" s="14">
        <f t="shared" si="211"/>
        <v>6</v>
      </c>
      <c r="E2755" s="12">
        <v>44351</v>
      </c>
      <c r="G2755" s="15"/>
      <c r="H2755" s="13"/>
      <c r="I2755" s="14">
        <f t="shared" si="210"/>
        <v>0</v>
      </c>
      <c r="J2755" s="5"/>
    </row>
    <row r="2756" spans="2:10" x14ac:dyDescent="0.15">
      <c r="B2756" s="89" t="s">
        <v>811</v>
      </c>
      <c r="C2756" s="13">
        <v>100</v>
      </c>
      <c r="D2756" s="14">
        <f t="shared" si="211"/>
        <v>100</v>
      </c>
      <c r="E2756" s="12">
        <v>44352</v>
      </c>
      <c r="G2756" s="15"/>
      <c r="H2756" s="7"/>
      <c r="I2756" s="14">
        <f t="shared" si="210"/>
        <v>0</v>
      </c>
      <c r="J2756" s="12"/>
    </row>
    <row r="2757" spans="2:10" x14ac:dyDescent="0.15">
      <c r="B2757" s="10" t="s">
        <v>189</v>
      </c>
      <c r="C2757" s="13">
        <v>5</v>
      </c>
      <c r="D2757" s="14">
        <f t="shared" si="211"/>
        <v>5</v>
      </c>
      <c r="E2757" s="12">
        <v>44350</v>
      </c>
      <c r="G2757" s="15"/>
      <c r="H2757" s="7"/>
      <c r="I2757" s="14">
        <f t="shared" si="210"/>
        <v>0</v>
      </c>
      <c r="J2757" s="12"/>
    </row>
    <row r="2758" spans="2:10" x14ac:dyDescent="0.15">
      <c r="B2758" s="71" t="s">
        <v>702</v>
      </c>
      <c r="C2758" s="13">
        <v>7</v>
      </c>
      <c r="D2758" s="14">
        <f t="shared" si="211"/>
        <v>7</v>
      </c>
      <c r="E2758" s="12">
        <v>44352</v>
      </c>
      <c r="G2758" s="15"/>
      <c r="H2758" s="7"/>
      <c r="I2758" s="14">
        <f t="shared" si="210"/>
        <v>0</v>
      </c>
      <c r="J2758" s="5"/>
    </row>
    <row r="2759" spans="2:10" x14ac:dyDescent="0.15">
      <c r="B2759" s="15" t="s">
        <v>812</v>
      </c>
      <c r="C2759" s="13">
        <v>100</v>
      </c>
      <c r="D2759" s="14">
        <f>SUM(C2759:C2759)</f>
        <v>100</v>
      </c>
      <c r="E2759" s="12">
        <v>44352</v>
      </c>
      <c r="G2759" s="15"/>
      <c r="H2759" s="7"/>
      <c r="I2759" s="14">
        <f t="shared" si="210"/>
        <v>0</v>
      </c>
      <c r="J2759" s="12"/>
    </row>
    <row r="2760" spans="2:10" x14ac:dyDescent="0.15">
      <c r="B2760" s="10" t="s">
        <v>189</v>
      </c>
      <c r="C2760" s="13">
        <v>2</v>
      </c>
      <c r="D2760" s="14">
        <f t="shared" ref="D2760:D2769" si="212">SUM(C2760:C2760)</f>
        <v>2</v>
      </c>
      <c r="E2760" s="12">
        <v>44352</v>
      </c>
      <c r="G2760" s="15"/>
      <c r="H2760" s="7"/>
      <c r="I2760" s="14">
        <f t="shared" si="210"/>
        <v>0</v>
      </c>
      <c r="J2760" s="12"/>
    </row>
    <row r="2761" spans="2:10" x14ac:dyDescent="0.15">
      <c r="B2761" s="10" t="s">
        <v>189</v>
      </c>
      <c r="C2761" s="13">
        <v>4</v>
      </c>
      <c r="D2761" s="14">
        <f t="shared" si="212"/>
        <v>4</v>
      </c>
      <c r="E2761" s="12">
        <v>44354</v>
      </c>
      <c r="G2761" s="15"/>
      <c r="H2761" s="7"/>
      <c r="I2761" s="14">
        <f t="shared" si="210"/>
        <v>0</v>
      </c>
      <c r="J2761" s="67"/>
    </row>
    <row r="2762" spans="2:10" x14ac:dyDescent="0.15">
      <c r="B2762" s="71" t="s">
        <v>814</v>
      </c>
      <c r="C2762" s="13">
        <v>-2</v>
      </c>
      <c r="D2762" s="14">
        <f t="shared" si="212"/>
        <v>-2</v>
      </c>
      <c r="E2762" s="12">
        <v>44354</v>
      </c>
      <c r="G2762" s="15"/>
      <c r="H2762" s="7"/>
      <c r="I2762" s="14">
        <f t="shared" si="210"/>
        <v>0</v>
      </c>
      <c r="J2762" s="67"/>
    </row>
    <row r="2763" spans="2:10" x14ac:dyDescent="0.15">
      <c r="B2763" s="10" t="s">
        <v>189</v>
      </c>
      <c r="C2763" s="13">
        <v>3</v>
      </c>
      <c r="D2763" s="14">
        <f t="shared" si="212"/>
        <v>3</v>
      </c>
      <c r="E2763" s="12">
        <v>44355</v>
      </c>
      <c r="G2763" s="15"/>
      <c r="H2763" s="7"/>
      <c r="I2763" s="14">
        <f t="shared" si="210"/>
        <v>0</v>
      </c>
      <c r="J2763" s="67"/>
    </row>
    <row r="2764" spans="2:10" x14ac:dyDescent="0.15">
      <c r="B2764" s="10" t="s">
        <v>189</v>
      </c>
      <c r="C2764" s="13">
        <v>1</v>
      </c>
      <c r="D2764" s="14">
        <f t="shared" ref="D2764" si="213">SUM(C2764:C2764)</f>
        <v>1</v>
      </c>
      <c r="E2764" s="5">
        <v>44356</v>
      </c>
      <c r="G2764" s="15"/>
      <c r="H2764" s="7"/>
      <c r="I2764" s="14">
        <f>SUM(H2764:H2764)</f>
        <v>0</v>
      </c>
      <c r="J2764" s="12"/>
    </row>
    <row r="2765" spans="2:10" x14ac:dyDescent="0.15">
      <c r="B2765" s="71" t="s">
        <v>702</v>
      </c>
      <c r="C2765" s="13">
        <v>4</v>
      </c>
      <c r="D2765" s="14">
        <f t="shared" si="212"/>
        <v>4</v>
      </c>
      <c r="E2765" s="5">
        <v>44358</v>
      </c>
      <c r="G2765" s="15"/>
      <c r="H2765" s="7"/>
      <c r="I2765" s="14">
        <f t="shared" ref="I2765:I2766" si="214">SUM(H2765:H2765)</f>
        <v>0</v>
      </c>
      <c r="J2765" s="67"/>
    </row>
    <row r="2766" spans="2:10" x14ac:dyDescent="0.15">
      <c r="B2766" s="71" t="s">
        <v>702</v>
      </c>
      <c r="C2766" s="13">
        <v>7</v>
      </c>
      <c r="D2766" s="14">
        <f t="shared" si="212"/>
        <v>7</v>
      </c>
      <c r="E2766" s="5">
        <v>44359</v>
      </c>
      <c r="G2766" s="15" t="s">
        <v>760</v>
      </c>
      <c r="H2766" s="7"/>
      <c r="I2766" s="14">
        <f t="shared" si="214"/>
        <v>0</v>
      </c>
      <c r="J2766" s="67" t="s">
        <v>761</v>
      </c>
    </row>
    <row r="2767" spans="2:10" x14ac:dyDescent="0.15">
      <c r="B2767" s="71" t="s">
        <v>702</v>
      </c>
      <c r="C2767" s="13">
        <v>2</v>
      </c>
      <c r="D2767" s="14">
        <f t="shared" si="212"/>
        <v>2</v>
      </c>
      <c r="E2767" s="5">
        <v>44362</v>
      </c>
      <c r="G2767" s="15" t="s">
        <v>796</v>
      </c>
      <c r="H2767" s="7"/>
      <c r="I2767" s="14">
        <f>SUM(H2767:H2767)</f>
        <v>0</v>
      </c>
      <c r="J2767" s="12" t="s">
        <v>407</v>
      </c>
    </row>
    <row r="2768" spans="2:10" ht="14.25" thickBot="1" x14ac:dyDescent="0.2">
      <c r="B2768" s="71" t="s">
        <v>702</v>
      </c>
      <c r="C2768" s="13">
        <v>43</v>
      </c>
      <c r="D2768" s="11">
        <f t="shared" si="212"/>
        <v>43</v>
      </c>
      <c r="E2768" s="12">
        <v>44363</v>
      </c>
      <c r="G2768" s="15" t="s">
        <v>774</v>
      </c>
      <c r="H2768" s="7"/>
      <c r="I2768" s="14">
        <f t="shared" ref="I2768" si="215">SUM(H2768:H2768)</f>
        <v>0</v>
      </c>
      <c r="J2768" s="67" t="s">
        <v>775</v>
      </c>
    </row>
    <row r="2769" spans="2:10" ht="14.25" thickBot="1" x14ac:dyDescent="0.2">
      <c r="B2769" s="17" t="s">
        <v>2</v>
      </c>
      <c r="C2769" s="18">
        <f>SUM(C2745:C2768)</f>
        <v>520</v>
      </c>
      <c r="D2769" s="19">
        <f t="shared" si="212"/>
        <v>520</v>
      </c>
      <c r="E2769" s="20"/>
      <c r="G2769" s="17" t="s">
        <v>2</v>
      </c>
      <c r="H2769" s="18">
        <f>SUM(H2745:H2768)</f>
        <v>1650</v>
      </c>
      <c r="I2769" s="19">
        <f t="shared" ref="I2769" si="216">SUM(H2769:H2769)</f>
        <v>1650</v>
      </c>
      <c r="J2769" s="20"/>
    </row>
    <row r="2770" spans="2:10" ht="14.25" thickBot="1" x14ac:dyDescent="0.2">
      <c r="B2770" s="46" t="s">
        <v>3</v>
      </c>
      <c r="C2770" s="52">
        <f>C2744-C2769</f>
        <v>179</v>
      </c>
      <c r="D2770" s="48">
        <f>D2744-D2769</f>
        <v>179</v>
      </c>
      <c r="E2770" s="49"/>
      <c r="G2770" s="46" t="s">
        <v>3</v>
      </c>
      <c r="H2770" s="52">
        <f>H2744-H2769</f>
        <v>5668</v>
      </c>
      <c r="I2770" s="48">
        <f>I2744-I2769</f>
        <v>5668</v>
      </c>
      <c r="J2770" s="49"/>
    </row>
    <row r="2773" spans="2:10" ht="18.75" x14ac:dyDescent="0.2">
      <c r="B2773" s="26" t="s">
        <v>7</v>
      </c>
      <c r="G2773" s="26" t="s">
        <v>35</v>
      </c>
    </row>
    <row r="2774" spans="2:10" ht="14.25" thickBot="1" x14ac:dyDescent="0.2"/>
    <row r="2775" spans="2:10" ht="14.25" thickBot="1" x14ac:dyDescent="0.2">
      <c r="B2775" s="1"/>
      <c r="C2775" s="2"/>
      <c r="D2775" s="3" t="s">
        <v>0</v>
      </c>
      <c r="E2775" s="1" t="s">
        <v>4</v>
      </c>
      <c r="G2775" s="1"/>
      <c r="H2775" s="2"/>
      <c r="I2775" s="3" t="s">
        <v>0</v>
      </c>
      <c r="J2775" s="1" t="s">
        <v>4</v>
      </c>
    </row>
    <row r="2776" spans="2:10" x14ac:dyDescent="0.15">
      <c r="B2776" s="42" t="s">
        <v>5</v>
      </c>
      <c r="C2776" s="43">
        <f>C2770</f>
        <v>179</v>
      </c>
      <c r="D2776" s="44">
        <f>SUM(C2776:C2776)</f>
        <v>179</v>
      </c>
      <c r="E2776" s="45"/>
      <c r="G2776" s="42" t="s">
        <v>5</v>
      </c>
      <c r="H2776" s="43">
        <f>H2770</f>
        <v>5668</v>
      </c>
      <c r="I2776" s="44">
        <f>SUM(H2776:H2776)</f>
        <v>5668</v>
      </c>
      <c r="J2776" s="45"/>
    </row>
    <row r="2777" spans="2:10" x14ac:dyDescent="0.15">
      <c r="B2777" s="6" t="s">
        <v>817</v>
      </c>
      <c r="C2777" s="13">
        <v>9</v>
      </c>
      <c r="D2777" s="14">
        <f>SUM(C2777:C2777)</f>
        <v>9</v>
      </c>
      <c r="E2777" s="12">
        <v>44362</v>
      </c>
      <c r="G2777" s="6" t="s">
        <v>6</v>
      </c>
      <c r="H2777" s="13"/>
      <c r="I2777" s="14">
        <f>SUM(H2777:H2777)</f>
        <v>0</v>
      </c>
      <c r="J2777" s="169"/>
    </row>
    <row r="2778" spans="2:10" x14ac:dyDescent="0.15">
      <c r="B2778" s="6" t="s">
        <v>6</v>
      </c>
      <c r="C2778" s="13">
        <v>200</v>
      </c>
      <c r="D2778" s="14">
        <f>SUM(C2778:C2778)</f>
        <v>200</v>
      </c>
      <c r="E2778" s="12">
        <v>44368</v>
      </c>
      <c r="G2778" s="6" t="s">
        <v>6</v>
      </c>
      <c r="H2778" s="77"/>
      <c r="I2778" s="11">
        <f>SUM(H2778:H2778)</f>
        <v>0</v>
      </c>
      <c r="J2778" s="172"/>
    </row>
    <row r="2779" spans="2:10" ht="14.25" thickBot="1" x14ac:dyDescent="0.2">
      <c r="B2779" s="6" t="s">
        <v>6</v>
      </c>
      <c r="C2779" s="13">
        <v>200</v>
      </c>
      <c r="D2779" s="14">
        <f>SUM(C2779:C2779)</f>
        <v>200</v>
      </c>
      <c r="E2779" s="12">
        <v>44371</v>
      </c>
      <c r="G2779" s="6" t="s">
        <v>6</v>
      </c>
      <c r="H2779" s="170"/>
      <c r="I2779" s="73">
        <f>SUM(H2779:H2779)</f>
        <v>0</v>
      </c>
      <c r="J2779" s="174"/>
    </row>
    <row r="2780" spans="2:10" ht="14.25" thickBot="1" x14ac:dyDescent="0.2">
      <c r="B2780" s="46" t="s">
        <v>1</v>
      </c>
      <c r="C2780" s="48">
        <f>SUM(C2776:C2779)</f>
        <v>588</v>
      </c>
      <c r="D2780" s="48">
        <f>SUM(D2776:D2779)</f>
        <v>588</v>
      </c>
      <c r="E2780" s="49"/>
      <c r="G2780" s="46" t="s">
        <v>1</v>
      </c>
      <c r="H2780" s="50">
        <f>SUM(H2776:H2779)</f>
        <v>5668</v>
      </c>
      <c r="I2780" s="48">
        <f>SUM(I2776:I2779)</f>
        <v>5668</v>
      </c>
      <c r="J2780" s="51"/>
    </row>
    <row r="2781" spans="2:10" x14ac:dyDescent="0.15">
      <c r="B2781" s="69" t="s">
        <v>815</v>
      </c>
      <c r="C2781" s="13">
        <v>100</v>
      </c>
      <c r="D2781" s="11">
        <f>SUM(C2781:C2781)</f>
        <v>100</v>
      </c>
      <c r="E2781" s="12">
        <v>44372</v>
      </c>
      <c r="F2781" s="180"/>
      <c r="G2781" s="15" t="s">
        <v>12</v>
      </c>
      <c r="H2781" s="13">
        <v>200</v>
      </c>
      <c r="I2781" s="11">
        <f>SUM(H2781:H2781)</f>
        <v>200</v>
      </c>
      <c r="J2781" s="12">
        <v>44368</v>
      </c>
    </row>
    <row r="2782" spans="2:10" x14ac:dyDescent="0.15">
      <c r="B2782" s="69" t="s">
        <v>816</v>
      </c>
      <c r="C2782" s="13">
        <v>100</v>
      </c>
      <c r="D2782" s="14">
        <f>SUM(C2782:C2782)</f>
        <v>100</v>
      </c>
      <c r="E2782" s="12">
        <v>44372</v>
      </c>
      <c r="F2782" s="180"/>
      <c r="G2782" s="15" t="s">
        <v>12</v>
      </c>
      <c r="H2782" s="13">
        <v>200</v>
      </c>
      <c r="I2782" s="14">
        <f>SUM(H2782:H2782)</f>
        <v>200</v>
      </c>
      <c r="J2782" s="12">
        <v>44371</v>
      </c>
    </row>
    <row r="2783" spans="2:10" x14ac:dyDescent="0.15">
      <c r="B2783" s="71" t="s">
        <v>702</v>
      </c>
      <c r="C2783" s="13">
        <v>30</v>
      </c>
      <c r="D2783" s="14">
        <f>SUM(C2783:C2783)</f>
        <v>30</v>
      </c>
      <c r="E2783" s="12">
        <v>44370</v>
      </c>
      <c r="G2783" s="15" t="s">
        <v>820</v>
      </c>
      <c r="H2783" s="13">
        <v>500</v>
      </c>
      <c r="I2783" s="14">
        <f t="shared" ref="I2783:I2805" si="217">SUM(H2783:H2783)</f>
        <v>500</v>
      </c>
      <c r="J2783" s="12">
        <v>44378</v>
      </c>
    </row>
    <row r="2784" spans="2:10" x14ac:dyDescent="0.15">
      <c r="B2784" s="71" t="s">
        <v>702</v>
      </c>
      <c r="C2784" s="13">
        <v>33</v>
      </c>
      <c r="D2784" s="14">
        <f t="shared" ref="D2784:D2794" si="218">SUM(C2784:C2784)</f>
        <v>33</v>
      </c>
      <c r="E2784" s="12">
        <v>44371</v>
      </c>
      <c r="G2784" s="15" t="s">
        <v>821</v>
      </c>
      <c r="H2784" s="13">
        <v>300</v>
      </c>
      <c r="I2784" s="14">
        <f t="shared" si="217"/>
        <v>300</v>
      </c>
      <c r="J2784" s="12">
        <v>44379</v>
      </c>
    </row>
    <row r="2785" spans="2:10" x14ac:dyDescent="0.15">
      <c r="B2785" s="71" t="s">
        <v>702</v>
      </c>
      <c r="C2785" s="13">
        <v>16</v>
      </c>
      <c r="D2785" s="14">
        <f t="shared" si="218"/>
        <v>16</v>
      </c>
      <c r="E2785" s="12">
        <v>44372</v>
      </c>
      <c r="G2785" s="15" t="s">
        <v>823</v>
      </c>
      <c r="H2785" s="13">
        <v>200</v>
      </c>
      <c r="I2785" s="14">
        <f t="shared" si="217"/>
        <v>200</v>
      </c>
      <c r="J2785" s="12">
        <v>44380</v>
      </c>
    </row>
    <row r="2786" spans="2:10" x14ac:dyDescent="0.15">
      <c r="B2786" s="71" t="s">
        <v>702</v>
      </c>
      <c r="C2786" s="13">
        <v>17</v>
      </c>
      <c r="D2786" s="14">
        <f t="shared" si="218"/>
        <v>17</v>
      </c>
      <c r="E2786" s="12">
        <v>44373</v>
      </c>
      <c r="G2786" s="15" t="s">
        <v>824</v>
      </c>
      <c r="H2786" s="13">
        <v>450</v>
      </c>
      <c r="I2786" s="14">
        <f t="shared" si="217"/>
        <v>450</v>
      </c>
      <c r="J2786" s="12">
        <v>44386</v>
      </c>
    </row>
    <row r="2787" spans="2:10" x14ac:dyDescent="0.15">
      <c r="B2787" s="71" t="s">
        <v>702</v>
      </c>
      <c r="C2787" s="13">
        <v>3</v>
      </c>
      <c r="D2787" s="14">
        <f t="shared" si="218"/>
        <v>3</v>
      </c>
      <c r="E2787" s="12">
        <v>44376</v>
      </c>
      <c r="G2787" s="15"/>
      <c r="H2787" s="13"/>
      <c r="I2787" s="14">
        <f t="shared" si="217"/>
        <v>0</v>
      </c>
      <c r="J2787" s="12"/>
    </row>
    <row r="2788" spans="2:10" x14ac:dyDescent="0.15">
      <c r="B2788" s="71" t="s">
        <v>702</v>
      </c>
      <c r="C2788" s="13">
        <v>4</v>
      </c>
      <c r="D2788" s="14">
        <f t="shared" si="218"/>
        <v>4</v>
      </c>
      <c r="E2788" s="12">
        <v>44377</v>
      </c>
      <c r="G2788" s="15"/>
      <c r="H2788" s="13"/>
      <c r="I2788" s="14">
        <f t="shared" si="217"/>
        <v>0</v>
      </c>
      <c r="J2788" s="12"/>
    </row>
    <row r="2789" spans="2:10" x14ac:dyDescent="0.15">
      <c r="B2789" s="10" t="s">
        <v>189</v>
      </c>
      <c r="C2789" s="13">
        <v>1</v>
      </c>
      <c r="D2789" s="14">
        <f t="shared" si="218"/>
        <v>1</v>
      </c>
      <c r="E2789" s="12">
        <v>44376</v>
      </c>
      <c r="G2789" s="15"/>
      <c r="H2789" s="13"/>
      <c r="I2789" s="14">
        <f t="shared" si="217"/>
        <v>0</v>
      </c>
      <c r="J2789" s="12"/>
    </row>
    <row r="2790" spans="2:10" x14ac:dyDescent="0.15">
      <c r="B2790" s="69" t="s">
        <v>822</v>
      </c>
      <c r="C2790" s="13">
        <v>50</v>
      </c>
      <c r="D2790" s="14">
        <f t="shared" si="218"/>
        <v>50</v>
      </c>
      <c r="E2790" s="12">
        <v>44379</v>
      </c>
      <c r="G2790" s="15"/>
      <c r="H2790" s="13"/>
      <c r="I2790" s="14">
        <f t="shared" si="217"/>
        <v>0</v>
      </c>
      <c r="J2790" s="12"/>
    </row>
    <row r="2791" spans="2:10" x14ac:dyDescent="0.15">
      <c r="B2791" s="71" t="s">
        <v>702</v>
      </c>
      <c r="C2791" s="13">
        <v>3</v>
      </c>
      <c r="D2791" s="14">
        <f t="shared" si="218"/>
        <v>3</v>
      </c>
      <c r="E2791" s="12">
        <v>44378</v>
      </c>
      <c r="G2791" s="15"/>
      <c r="H2791" s="13"/>
      <c r="I2791" s="14">
        <f t="shared" si="217"/>
        <v>0</v>
      </c>
      <c r="J2791" s="5"/>
    </row>
    <row r="2792" spans="2:10" x14ac:dyDescent="0.15">
      <c r="B2792" s="71" t="s">
        <v>702</v>
      </c>
      <c r="C2792" s="13">
        <v>6</v>
      </c>
      <c r="D2792" s="14">
        <f t="shared" si="218"/>
        <v>6</v>
      </c>
      <c r="E2792" s="12">
        <v>44379</v>
      </c>
      <c r="G2792" s="15"/>
      <c r="H2792" s="7"/>
      <c r="I2792" s="14">
        <f t="shared" si="217"/>
        <v>0</v>
      </c>
      <c r="J2792" s="12"/>
    </row>
    <row r="2793" spans="2:10" x14ac:dyDescent="0.15">
      <c r="B2793" s="10" t="s">
        <v>189</v>
      </c>
      <c r="C2793" s="13">
        <v>1</v>
      </c>
      <c r="D2793" s="14">
        <f t="shared" si="218"/>
        <v>1</v>
      </c>
      <c r="E2793" s="12">
        <v>44379</v>
      </c>
      <c r="G2793" s="15"/>
      <c r="H2793" s="7"/>
      <c r="I2793" s="14">
        <f t="shared" si="217"/>
        <v>0</v>
      </c>
      <c r="J2793" s="12"/>
    </row>
    <row r="2794" spans="2:10" x14ac:dyDescent="0.15">
      <c r="B2794" s="71" t="s">
        <v>702</v>
      </c>
      <c r="C2794" s="13">
        <v>16</v>
      </c>
      <c r="D2794" s="14">
        <f t="shared" si="218"/>
        <v>16</v>
      </c>
      <c r="E2794" s="12">
        <v>44383</v>
      </c>
      <c r="G2794" s="15"/>
      <c r="H2794" s="7"/>
      <c r="I2794" s="14">
        <f t="shared" si="217"/>
        <v>0</v>
      </c>
      <c r="J2794" s="5"/>
    </row>
    <row r="2795" spans="2:10" x14ac:dyDescent="0.15">
      <c r="B2795" s="71" t="s">
        <v>702</v>
      </c>
      <c r="C2795" s="13">
        <v>4</v>
      </c>
      <c r="D2795" s="14">
        <f>SUM(C2795:C2795)</f>
        <v>4</v>
      </c>
      <c r="E2795" s="12">
        <v>44384</v>
      </c>
      <c r="G2795" s="15"/>
      <c r="H2795" s="7"/>
      <c r="I2795" s="14">
        <f t="shared" si="217"/>
        <v>0</v>
      </c>
      <c r="J2795" s="12"/>
    </row>
    <row r="2796" spans="2:10" x14ac:dyDescent="0.15">
      <c r="B2796" s="71" t="s">
        <v>702</v>
      </c>
      <c r="C2796" s="13">
        <v>2</v>
      </c>
      <c r="D2796" s="14">
        <f t="shared" ref="D2796:D2805" si="219">SUM(C2796:C2796)</f>
        <v>2</v>
      </c>
      <c r="E2796" s="12">
        <v>44385</v>
      </c>
      <c r="G2796" s="15"/>
      <c r="H2796" s="7"/>
      <c r="I2796" s="14">
        <f t="shared" si="217"/>
        <v>0</v>
      </c>
      <c r="J2796" s="12"/>
    </row>
    <row r="2797" spans="2:10" x14ac:dyDescent="0.15">
      <c r="B2797" s="71" t="s">
        <v>702</v>
      </c>
      <c r="C2797" s="13">
        <v>4</v>
      </c>
      <c r="D2797" s="14">
        <f t="shared" si="219"/>
        <v>4</v>
      </c>
      <c r="E2797" s="12">
        <v>44386</v>
      </c>
      <c r="G2797" s="15"/>
      <c r="H2797" s="7"/>
      <c r="I2797" s="14">
        <f t="shared" si="217"/>
        <v>0</v>
      </c>
      <c r="J2797" s="67"/>
    </row>
    <row r="2798" spans="2:10" x14ac:dyDescent="0.15">
      <c r="B2798" s="10" t="s">
        <v>189</v>
      </c>
      <c r="C2798" s="13">
        <v>4</v>
      </c>
      <c r="D2798" s="14">
        <f t="shared" si="219"/>
        <v>4</v>
      </c>
      <c r="E2798" s="12">
        <v>44385</v>
      </c>
      <c r="G2798" s="15"/>
      <c r="H2798" s="7"/>
      <c r="I2798" s="14">
        <f t="shared" si="217"/>
        <v>0</v>
      </c>
      <c r="J2798" s="67"/>
    </row>
    <row r="2799" spans="2:10" x14ac:dyDescent="0.15">
      <c r="B2799" s="71" t="s">
        <v>702</v>
      </c>
      <c r="C2799" s="13">
        <v>4</v>
      </c>
      <c r="D2799" s="14">
        <f t="shared" si="219"/>
        <v>4</v>
      </c>
      <c r="E2799" s="12">
        <v>44387</v>
      </c>
      <c r="G2799" s="15"/>
      <c r="H2799" s="7"/>
      <c r="I2799" s="14">
        <f t="shared" si="217"/>
        <v>0</v>
      </c>
      <c r="J2799" s="67"/>
    </row>
    <row r="2800" spans="2:10" x14ac:dyDescent="0.15">
      <c r="B2800" s="71" t="s">
        <v>702</v>
      </c>
      <c r="C2800" s="13">
        <v>5</v>
      </c>
      <c r="D2800" s="14">
        <f t="shared" si="219"/>
        <v>5</v>
      </c>
      <c r="E2800" s="5">
        <v>44390</v>
      </c>
      <c r="G2800" s="15"/>
      <c r="H2800" s="7"/>
      <c r="I2800" s="14">
        <f t="shared" si="217"/>
        <v>0</v>
      </c>
      <c r="J2800" s="67"/>
    </row>
    <row r="2801" spans="2:11" x14ac:dyDescent="0.15">
      <c r="B2801" s="71" t="s">
        <v>702</v>
      </c>
      <c r="C2801" s="13">
        <v>7</v>
      </c>
      <c r="D2801" s="14">
        <f t="shared" si="219"/>
        <v>7</v>
      </c>
      <c r="E2801" s="5">
        <v>44391</v>
      </c>
      <c r="G2801" s="15"/>
      <c r="H2801" s="7"/>
      <c r="I2801" s="14">
        <f t="shared" si="217"/>
        <v>0</v>
      </c>
      <c r="J2801" s="67"/>
    </row>
    <row r="2802" spans="2:11" x14ac:dyDescent="0.15">
      <c r="B2802" s="71" t="s">
        <v>827</v>
      </c>
      <c r="C2802" s="13">
        <v>1</v>
      </c>
      <c r="D2802" s="14">
        <f t="shared" si="219"/>
        <v>1</v>
      </c>
      <c r="E2802" s="5">
        <v>44391</v>
      </c>
      <c r="G2802" s="15"/>
      <c r="H2802" s="7"/>
      <c r="I2802" s="14">
        <f t="shared" ref="I2802:I2804" si="220">SUM(H2802:H2802)</f>
        <v>0</v>
      </c>
      <c r="J2802" s="67"/>
    </row>
    <row r="2803" spans="2:11" x14ac:dyDescent="0.15">
      <c r="B2803" s="10" t="s">
        <v>189</v>
      </c>
      <c r="C2803" s="13">
        <v>1</v>
      </c>
      <c r="D2803" s="14">
        <f t="shared" si="219"/>
        <v>1</v>
      </c>
      <c r="E2803" s="5">
        <v>44390</v>
      </c>
      <c r="G2803" s="15" t="s">
        <v>382</v>
      </c>
      <c r="H2803" s="7"/>
      <c r="I2803" s="14">
        <f t="shared" si="220"/>
        <v>0</v>
      </c>
      <c r="J2803" s="67" t="s">
        <v>764</v>
      </c>
    </row>
    <row r="2804" spans="2:11" ht="14.25" thickBot="1" x14ac:dyDescent="0.2">
      <c r="B2804" s="71" t="s">
        <v>702</v>
      </c>
      <c r="C2804" s="13">
        <v>16</v>
      </c>
      <c r="D2804" s="11">
        <f t="shared" si="219"/>
        <v>16</v>
      </c>
      <c r="E2804" s="12">
        <v>44392</v>
      </c>
      <c r="G2804" s="15" t="s">
        <v>782</v>
      </c>
      <c r="H2804" s="7"/>
      <c r="I2804" s="14">
        <f t="shared" si="220"/>
        <v>0</v>
      </c>
      <c r="J2804" s="67" t="s">
        <v>791</v>
      </c>
      <c r="K2804" s="86"/>
    </row>
    <row r="2805" spans="2:11" ht="14.25" thickBot="1" x14ac:dyDescent="0.2">
      <c r="B2805" s="17" t="s">
        <v>2</v>
      </c>
      <c r="C2805" s="18">
        <f>SUM(C2781:C2804)</f>
        <v>428</v>
      </c>
      <c r="D2805" s="19">
        <f t="shared" si="219"/>
        <v>428</v>
      </c>
      <c r="E2805" s="20"/>
      <c r="G2805" s="17" t="s">
        <v>2</v>
      </c>
      <c r="H2805" s="18">
        <f>SUM(H2781:H2804)</f>
        <v>1850</v>
      </c>
      <c r="I2805" s="19">
        <f t="shared" si="217"/>
        <v>1850</v>
      </c>
      <c r="J2805" s="20"/>
    </row>
    <row r="2806" spans="2:11" ht="14.25" thickBot="1" x14ac:dyDescent="0.2">
      <c r="B2806" s="46" t="s">
        <v>3</v>
      </c>
      <c r="C2806" s="52">
        <f>C2780-C2805</f>
        <v>160</v>
      </c>
      <c r="D2806" s="48">
        <f>D2780-D2805</f>
        <v>160</v>
      </c>
      <c r="E2806" s="49"/>
      <c r="G2806" s="46" t="s">
        <v>3</v>
      </c>
      <c r="H2806" s="52">
        <f>H2780-H2805</f>
        <v>3818</v>
      </c>
      <c r="I2806" s="48">
        <f>I2780-I2805</f>
        <v>3818</v>
      </c>
      <c r="J2806" s="49"/>
    </row>
    <row r="2809" spans="2:11" ht="18.75" x14ac:dyDescent="0.2">
      <c r="B2809" s="26" t="s">
        <v>7</v>
      </c>
      <c r="G2809" s="26" t="s">
        <v>35</v>
      </c>
    </row>
    <row r="2810" spans="2:11" ht="14.25" thickBot="1" x14ac:dyDescent="0.2"/>
    <row r="2811" spans="2:11" ht="14.25" thickBot="1" x14ac:dyDescent="0.2">
      <c r="B2811" s="1"/>
      <c r="C2811" s="2"/>
      <c r="D2811" s="3" t="s">
        <v>0</v>
      </c>
      <c r="E2811" s="1" t="s">
        <v>4</v>
      </c>
      <c r="G2811" s="1"/>
      <c r="H2811" s="2"/>
      <c r="I2811" s="3" t="s">
        <v>0</v>
      </c>
      <c r="J2811" s="1" t="s">
        <v>4</v>
      </c>
    </row>
    <row r="2812" spans="2:11" x14ac:dyDescent="0.15">
      <c r="B2812" s="42" t="s">
        <v>5</v>
      </c>
      <c r="C2812" s="43">
        <f>C2806</f>
        <v>160</v>
      </c>
      <c r="D2812" s="44">
        <f>SUM(C2812:C2812)</f>
        <v>160</v>
      </c>
      <c r="E2812" s="45"/>
      <c r="G2812" s="42" t="s">
        <v>5</v>
      </c>
      <c r="H2812" s="43">
        <f>H2806</f>
        <v>3818</v>
      </c>
      <c r="I2812" s="44">
        <f>SUM(H2812:H2812)</f>
        <v>3818</v>
      </c>
      <c r="J2812" s="45"/>
    </row>
    <row r="2813" spans="2:11" x14ac:dyDescent="0.15">
      <c r="B2813" s="6" t="s">
        <v>6</v>
      </c>
      <c r="C2813" s="13">
        <v>200</v>
      </c>
      <c r="D2813" s="14">
        <f>SUM(C2813:C2813)</f>
        <v>200</v>
      </c>
      <c r="E2813" s="12">
        <v>44405</v>
      </c>
      <c r="G2813" s="6" t="s">
        <v>6</v>
      </c>
      <c r="H2813" s="13"/>
      <c r="I2813" s="14">
        <f>SUM(H2813:H2813)</f>
        <v>0</v>
      </c>
      <c r="J2813" s="169"/>
    </row>
    <row r="2814" spans="2:11" x14ac:dyDescent="0.15">
      <c r="B2814" s="6" t="s">
        <v>6</v>
      </c>
      <c r="C2814" s="13">
        <v>200</v>
      </c>
      <c r="D2814" s="14">
        <f>SUM(C2814:C2814)</f>
        <v>200</v>
      </c>
      <c r="E2814" s="12">
        <v>44410</v>
      </c>
      <c r="G2814" s="6" t="s">
        <v>6</v>
      </c>
      <c r="H2814" s="77"/>
      <c r="I2814" s="11">
        <f>SUM(H2814:H2814)</f>
        <v>0</v>
      </c>
      <c r="J2814" s="172"/>
    </row>
    <row r="2815" spans="2:11" ht="14.25" thickBot="1" x14ac:dyDescent="0.2">
      <c r="B2815" s="6" t="s">
        <v>6</v>
      </c>
      <c r="C2815" s="7"/>
      <c r="D2815" s="14">
        <f>SUM(C2815:C2815)</f>
        <v>0</v>
      </c>
      <c r="E2815" s="16"/>
      <c r="G2815" s="6" t="s">
        <v>6</v>
      </c>
      <c r="H2815" s="170"/>
      <c r="I2815" s="73">
        <f>SUM(H2815:H2815)</f>
        <v>0</v>
      </c>
      <c r="J2815" s="174"/>
    </row>
    <row r="2816" spans="2:11" ht="14.25" thickBot="1" x14ac:dyDescent="0.2">
      <c r="B2816" s="46" t="s">
        <v>1</v>
      </c>
      <c r="C2816" s="48">
        <f>SUM(C2812:C2815)</f>
        <v>560</v>
      </c>
      <c r="D2816" s="48">
        <f>SUM(D2812:D2815)</f>
        <v>560</v>
      </c>
      <c r="E2816" s="49"/>
      <c r="G2816" s="46" t="s">
        <v>1</v>
      </c>
      <c r="H2816" s="50">
        <f>SUM(H2812:H2815)</f>
        <v>3818</v>
      </c>
      <c r="I2816" s="48">
        <f>SUM(I2812:I2815)</f>
        <v>3818</v>
      </c>
      <c r="J2816" s="51"/>
    </row>
    <row r="2817" spans="2:10" x14ac:dyDescent="0.15">
      <c r="B2817" s="71" t="s">
        <v>702</v>
      </c>
      <c r="C2817" s="13">
        <v>3</v>
      </c>
      <c r="D2817" s="11">
        <f>SUM(C2817:C2817)</f>
        <v>3</v>
      </c>
      <c r="E2817" s="12">
        <v>44393</v>
      </c>
      <c r="F2817" s="180"/>
      <c r="G2817" s="15" t="s">
        <v>826</v>
      </c>
      <c r="H2817" s="13">
        <v>200</v>
      </c>
      <c r="I2817" s="11">
        <f>SUM(H2817:H2817)</f>
        <v>200</v>
      </c>
      <c r="J2817" s="12">
        <v>44392</v>
      </c>
    </row>
    <row r="2818" spans="2:10" x14ac:dyDescent="0.15">
      <c r="B2818" s="69" t="s">
        <v>828</v>
      </c>
      <c r="C2818" s="13">
        <v>1</v>
      </c>
      <c r="D2818" s="14">
        <f>SUM(C2818:C2818)</f>
        <v>1</v>
      </c>
      <c r="E2818" s="12">
        <v>44392</v>
      </c>
      <c r="F2818" s="180"/>
      <c r="G2818" s="15" t="s">
        <v>830</v>
      </c>
      <c r="H2818" s="13">
        <v>250</v>
      </c>
      <c r="I2818" s="14">
        <f>SUM(H2818:H2818)</f>
        <v>250</v>
      </c>
      <c r="J2818" s="12">
        <v>44398</v>
      </c>
    </row>
    <row r="2819" spans="2:10" x14ac:dyDescent="0.15">
      <c r="B2819" s="71" t="s">
        <v>702</v>
      </c>
      <c r="C2819" s="13">
        <v>1</v>
      </c>
      <c r="D2819" s="14">
        <f>SUM(C2819:C2819)</f>
        <v>1</v>
      </c>
      <c r="E2819" s="12">
        <v>44394</v>
      </c>
      <c r="G2819" s="15" t="s">
        <v>829</v>
      </c>
      <c r="H2819" s="13">
        <v>200</v>
      </c>
      <c r="I2819" s="14">
        <f t="shared" ref="I2819:I2841" si="221">SUM(H2819:H2819)</f>
        <v>200</v>
      </c>
      <c r="J2819" s="12">
        <v>44405</v>
      </c>
    </row>
    <row r="2820" spans="2:10" x14ac:dyDescent="0.15">
      <c r="B2820" s="71" t="s">
        <v>702</v>
      </c>
      <c r="C2820" s="13">
        <v>10</v>
      </c>
      <c r="D2820" s="14">
        <f t="shared" ref="D2820:D2830" si="222">SUM(C2820:C2820)</f>
        <v>10</v>
      </c>
      <c r="E2820" s="12">
        <v>44397</v>
      </c>
      <c r="G2820" s="15" t="s">
        <v>832</v>
      </c>
      <c r="H2820" s="13">
        <v>400</v>
      </c>
      <c r="I2820" s="14">
        <f t="shared" si="221"/>
        <v>400</v>
      </c>
      <c r="J2820" s="12">
        <v>44406</v>
      </c>
    </row>
    <row r="2821" spans="2:10" x14ac:dyDescent="0.15">
      <c r="B2821" s="71" t="s">
        <v>702</v>
      </c>
      <c r="C2821" s="13">
        <v>4</v>
      </c>
      <c r="D2821" s="14">
        <f t="shared" si="222"/>
        <v>4</v>
      </c>
      <c r="E2821" s="12">
        <v>44398</v>
      </c>
      <c r="G2821" s="15" t="s">
        <v>12</v>
      </c>
      <c r="H2821" s="13">
        <v>200</v>
      </c>
      <c r="I2821" s="14">
        <f t="shared" si="221"/>
        <v>200</v>
      </c>
      <c r="J2821" s="12">
        <v>44410</v>
      </c>
    </row>
    <row r="2822" spans="2:10" x14ac:dyDescent="0.15">
      <c r="B2822" s="69" t="s">
        <v>189</v>
      </c>
      <c r="C2822" s="13">
        <v>3</v>
      </c>
      <c r="D2822" s="14">
        <f t="shared" si="222"/>
        <v>3</v>
      </c>
      <c r="E2822" s="12">
        <v>44397</v>
      </c>
      <c r="G2822" s="15" t="s">
        <v>834</v>
      </c>
      <c r="H2822" s="13">
        <v>300</v>
      </c>
      <c r="I2822" s="14">
        <f t="shared" si="221"/>
        <v>300</v>
      </c>
      <c r="J2822" s="12">
        <v>44414</v>
      </c>
    </row>
    <row r="2823" spans="2:10" x14ac:dyDescent="0.15">
      <c r="B2823" s="71" t="s">
        <v>702</v>
      </c>
      <c r="C2823" s="13">
        <v>7</v>
      </c>
      <c r="D2823" s="14">
        <f t="shared" si="222"/>
        <v>7</v>
      </c>
      <c r="E2823" s="12">
        <v>44399</v>
      </c>
      <c r="G2823" s="15"/>
      <c r="H2823" s="13"/>
      <c r="I2823" s="14">
        <f t="shared" si="221"/>
        <v>0</v>
      </c>
      <c r="J2823" s="12"/>
    </row>
    <row r="2824" spans="2:10" x14ac:dyDescent="0.15">
      <c r="B2824" s="69" t="s">
        <v>189</v>
      </c>
      <c r="C2824" s="13">
        <v>2</v>
      </c>
      <c r="D2824" s="14">
        <f t="shared" si="222"/>
        <v>2</v>
      </c>
      <c r="E2824" s="12">
        <v>44398</v>
      </c>
      <c r="G2824" s="15"/>
      <c r="H2824" s="13"/>
      <c r="I2824" s="14">
        <f t="shared" si="221"/>
        <v>0</v>
      </c>
      <c r="J2824" s="12"/>
    </row>
    <row r="2825" spans="2:10" x14ac:dyDescent="0.15">
      <c r="B2825" s="71" t="s">
        <v>702</v>
      </c>
      <c r="C2825" s="13">
        <v>1</v>
      </c>
      <c r="D2825" s="14">
        <f t="shared" si="222"/>
        <v>1</v>
      </c>
      <c r="E2825" s="12">
        <v>44404</v>
      </c>
      <c r="G2825" s="15"/>
      <c r="H2825" s="13"/>
      <c r="I2825" s="14">
        <f t="shared" si="221"/>
        <v>0</v>
      </c>
      <c r="J2825" s="12"/>
    </row>
    <row r="2826" spans="2:10" x14ac:dyDescent="0.15">
      <c r="B2826" s="69" t="s">
        <v>189</v>
      </c>
      <c r="C2826" s="13">
        <f>1+5+1</f>
        <v>7</v>
      </c>
      <c r="D2826" s="14">
        <f t="shared" si="222"/>
        <v>7</v>
      </c>
      <c r="E2826" s="12">
        <v>44403</v>
      </c>
      <c r="G2826" s="15"/>
      <c r="H2826" s="13"/>
      <c r="I2826" s="14">
        <f t="shared" si="221"/>
        <v>0</v>
      </c>
      <c r="J2826" s="12"/>
    </row>
    <row r="2827" spans="2:10" x14ac:dyDescent="0.15">
      <c r="B2827" s="71" t="s">
        <v>702</v>
      </c>
      <c r="C2827" s="13">
        <v>7</v>
      </c>
      <c r="D2827" s="14">
        <f t="shared" si="222"/>
        <v>7</v>
      </c>
      <c r="E2827" s="12">
        <v>44405</v>
      </c>
      <c r="G2827" s="15"/>
      <c r="H2827" s="13"/>
      <c r="I2827" s="14">
        <f t="shared" si="221"/>
        <v>0</v>
      </c>
      <c r="J2827" s="5"/>
    </row>
    <row r="2828" spans="2:10" x14ac:dyDescent="0.15">
      <c r="B2828" s="69" t="s">
        <v>831</v>
      </c>
      <c r="C2828" s="13">
        <v>100</v>
      </c>
      <c r="D2828" s="14">
        <f t="shared" si="222"/>
        <v>100</v>
      </c>
      <c r="E2828" s="12">
        <v>44414</v>
      </c>
      <c r="G2828" s="15"/>
      <c r="H2828" s="7"/>
      <c r="I2828" s="14">
        <f t="shared" si="221"/>
        <v>0</v>
      </c>
      <c r="J2828" s="12"/>
    </row>
    <row r="2829" spans="2:10" x14ac:dyDescent="0.15">
      <c r="B2829" s="69" t="s">
        <v>189</v>
      </c>
      <c r="C2829" s="13">
        <v>2</v>
      </c>
      <c r="D2829" s="14">
        <f t="shared" si="222"/>
        <v>2</v>
      </c>
      <c r="E2829" s="12">
        <v>44404</v>
      </c>
      <c r="G2829" s="15"/>
      <c r="H2829" s="7"/>
      <c r="I2829" s="14">
        <f t="shared" si="221"/>
        <v>0</v>
      </c>
      <c r="J2829" s="12"/>
    </row>
    <row r="2830" spans="2:10" x14ac:dyDescent="0.15">
      <c r="B2830" s="71" t="s">
        <v>702</v>
      </c>
      <c r="C2830" s="13">
        <v>4</v>
      </c>
      <c r="D2830" s="14">
        <f t="shared" si="222"/>
        <v>4</v>
      </c>
      <c r="E2830" s="12">
        <v>44406</v>
      </c>
      <c r="G2830" s="15"/>
      <c r="H2830" s="7"/>
      <c r="I2830" s="14">
        <f t="shared" si="221"/>
        <v>0</v>
      </c>
      <c r="J2830" s="5"/>
    </row>
    <row r="2831" spans="2:10" x14ac:dyDescent="0.15">
      <c r="B2831" s="71" t="s">
        <v>702</v>
      </c>
      <c r="C2831" s="13">
        <v>6</v>
      </c>
      <c r="D2831" s="14">
        <f>SUM(C2831:C2831)</f>
        <v>6</v>
      </c>
      <c r="E2831" s="12">
        <v>44407</v>
      </c>
      <c r="G2831" s="15"/>
      <c r="H2831" s="7"/>
      <c r="I2831" s="14">
        <f t="shared" si="221"/>
        <v>0</v>
      </c>
      <c r="J2831" s="12"/>
    </row>
    <row r="2832" spans="2:10" x14ac:dyDescent="0.15">
      <c r="B2832" s="69" t="s">
        <v>189</v>
      </c>
      <c r="C2832" s="13">
        <v>1</v>
      </c>
      <c r="D2832" s="14">
        <f t="shared" ref="D2832:D2841" si="223">SUM(C2832:C2832)</f>
        <v>1</v>
      </c>
      <c r="E2832" s="12">
        <v>44406</v>
      </c>
      <c r="G2832" s="15"/>
      <c r="H2832" s="7"/>
      <c r="I2832" s="14">
        <f t="shared" si="221"/>
        <v>0</v>
      </c>
      <c r="J2832" s="12"/>
    </row>
    <row r="2833" spans="2:10" x14ac:dyDescent="0.15">
      <c r="B2833" s="71" t="s">
        <v>702</v>
      </c>
      <c r="C2833" s="13">
        <v>10</v>
      </c>
      <c r="D2833" s="14">
        <f t="shared" si="223"/>
        <v>10</v>
      </c>
      <c r="E2833" s="12">
        <v>44408</v>
      </c>
      <c r="G2833" s="15"/>
      <c r="H2833" s="7"/>
      <c r="I2833" s="14">
        <f t="shared" si="221"/>
        <v>0</v>
      </c>
      <c r="J2833" s="67"/>
    </row>
    <row r="2834" spans="2:10" x14ac:dyDescent="0.15">
      <c r="B2834" s="15" t="s">
        <v>833</v>
      </c>
      <c r="C2834" s="13">
        <v>100</v>
      </c>
      <c r="D2834" s="14">
        <f t="shared" si="223"/>
        <v>100</v>
      </c>
      <c r="E2834" s="12">
        <v>44408</v>
      </c>
      <c r="G2834" s="15"/>
      <c r="H2834" s="7"/>
      <c r="I2834" s="14">
        <f t="shared" si="221"/>
        <v>0</v>
      </c>
      <c r="J2834" s="67"/>
    </row>
    <row r="2835" spans="2:10" x14ac:dyDescent="0.15">
      <c r="B2835" s="71" t="s">
        <v>702</v>
      </c>
      <c r="C2835" s="13">
        <v>3</v>
      </c>
      <c r="D2835" s="14">
        <f t="shared" si="223"/>
        <v>3</v>
      </c>
      <c r="E2835" s="12">
        <v>44410</v>
      </c>
      <c r="G2835" s="15"/>
      <c r="H2835" s="7"/>
      <c r="I2835" s="14">
        <f t="shared" si="221"/>
        <v>0</v>
      </c>
      <c r="J2835" s="67"/>
    </row>
    <row r="2836" spans="2:10" x14ac:dyDescent="0.15">
      <c r="B2836" s="69" t="s">
        <v>189</v>
      </c>
      <c r="C2836" s="13">
        <v>1</v>
      </c>
      <c r="D2836" s="14">
        <f t="shared" si="223"/>
        <v>1</v>
      </c>
      <c r="E2836" s="5">
        <v>44408</v>
      </c>
      <c r="G2836" s="15"/>
      <c r="H2836" s="7"/>
      <c r="I2836" s="14">
        <f t="shared" si="221"/>
        <v>0</v>
      </c>
      <c r="J2836" s="67"/>
    </row>
    <row r="2837" spans="2:10" x14ac:dyDescent="0.15">
      <c r="B2837" s="71" t="s">
        <v>702</v>
      </c>
      <c r="C2837" s="13">
        <v>8</v>
      </c>
      <c r="D2837" s="14">
        <f t="shared" si="223"/>
        <v>8</v>
      </c>
      <c r="E2837" s="5">
        <v>44411</v>
      </c>
      <c r="G2837" s="15"/>
      <c r="H2837" s="7"/>
      <c r="I2837" s="14">
        <f t="shared" si="221"/>
        <v>0</v>
      </c>
      <c r="J2837" s="67"/>
    </row>
    <row r="2838" spans="2:10" x14ac:dyDescent="0.15">
      <c r="B2838" s="71" t="s">
        <v>702</v>
      </c>
      <c r="C2838" s="13">
        <v>3</v>
      </c>
      <c r="D2838" s="14">
        <f t="shared" si="223"/>
        <v>3</v>
      </c>
      <c r="E2838" s="5">
        <v>44412</v>
      </c>
      <c r="G2838" s="15" t="s">
        <v>818</v>
      </c>
      <c r="H2838" s="7"/>
      <c r="I2838" s="14">
        <f t="shared" ref="I2838:I2839" si="224">SUM(H2838:H2838)</f>
        <v>0</v>
      </c>
      <c r="J2838" s="67" t="s">
        <v>819</v>
      </c>
    </row>
    <row r="2839" spans="2:10" x14ac:dyDescent="0.15">
      <c r="B2839" s="71" t="s">
        <v>702</v>
      </c>
      <c r="C2839" s="13">
        <v>5</v>
      </c>
      <c r="D2839" s="14">
        <f t="shared" si="223"/>
        <v>5</v>
      </c>
      <c r="E2839" s="5">
        <v>44413</v>
      </c>
      <c r="G2839" s="15" t="s">
        <v>783</v>
      </c>
      <c r="H2839" s="7"/>
      <c r="I2839" s="14">
        <f t="shared" si="224"/>
        <v>0</v>
      </c>
      <c r="J2839" s="67" t="s">
        <v>825</v>
      </c>
    </row>
    <row r="2840" spans="2:10" ht="14.25" thickBot="1" x14ac:dyDescent="0.2">
      <c r="B2840" s="89" t="s">
        <v>837</v>
      </c>
      <c r="C2840" s="13">
        <v>100</v>
      </c>
      <c r="D2840" s="11">
        <f t="shared" si="223"/>
        <v>100</v>
      </c>
      <c r="E2840" s="12">
        <v>44415</v>
      </c>
      <c r="G2840" s="15" t="s">
        <v>770</v>
      </c>
      <c r="H2840" s="7"/>
      <c r="I2840" s="14">
        <f t="shared" ref="I2840" si="225">SUM(H2840:H2840)</f>
        <v>0</v>
      </c>
      <c r="J2840" s="67" t="s">
        <v>779</v>
      </c>
    </row>
    <row r="2841" spans="2:10" ht="14.25" thickBot="1" x14ac:dyDescent="0.2">
      <c r="B2841" s="17" t="s">
        <v>2</v>
      </c>
      <c r="C2841" s="18">
        <f>SUM(C2817:C2840)</f>
        <v>389</v>
      </c>
      <c r="D2841" s="19">
        <f t="shared" si="223"/>
        <v>389</v>
      </c>
      <c r="E2841" s="20"/>
      <c r="G2841" s="17" t="s">
        <v>2</v>
      </c>
      <c r="H2841" s="18">
        <f>SUM(H2817:H2840)</f>
        <v>1550</v>
      </c>
      <c r="I2841" s="19">
        <f t="shared" si="221"/>
        <v>1550</v>
      </c>
      <c r="J2841" s="20"/>
    </row>
    <row r="2842" spans="2:10" ht="14.25" thickBot="1" x14ac:dyDescent="0.2">
      <c r="B2842" s="46" t="s">
        <v>3</v>
      </c>
      <c r="C2842" s="52">
        <f>C2816-C2841</f>
        <v>171</v>
      </c>
      <c r="D2842" s="48">
        <f>D2816-D2841</f>
        <v>171</v>
      </c>
      <c r="E2842" s="49"/>
      <c r="G2842" s="46" t="s">
        <v>3</v>
      </c>
      <c r="H2842" s="52">
        <f>H2816-H2841</f>
        <v>2268</v>
      </c>
      <c r="I2842" s="48">
        <f>I2816-I2841</f>
        <v>2268</v>
      </c>
      <c r="J2842" s="49"/>
    </row>
    <row r="2845" spans="2:10" ht="18.75" x14ac:dyDescent="0.2">
      <c r="B2845" s="26" t="s">
        <v>7</v>
      </c>
      <c r="G2845" s="26" t="s">
        <v>35</v>
      </c>
    </row>
    <row r="2846" spans="2:10" ht="14.25" thickBot="1" x14ac:dyDescent="0.2"/>
    <row r="2847" spans="2:10" ht="14.25" thickBot="1" x14ac:dyDescent="0.2">
      <c r="B2847" s="1"/>
      <c r="C2847" s="2"/>
      <c r="D2847" s="3" t="s">
        <v>0</v>
      </c>
      <c r="E2847" s="1" t="s">
        <v>4</v>
      </c>
      <c r="G2847" s="1"/>
      <c r="H2847" s="2"/>
      <c r="I2847" s="3" t="s">
        <v>0</v>
      </c>
      <c r="J2847" s="1" t="s">
        <v>4</v>
      </c>
    </row>
    <row r="2848" spans="2:10" x14ac:dyDescent="0.15">
      <c r="B2848" s="42" t="s">
        <v>5</v>
      </c>
      <c r="C2848" s="43">
        <f>C2842</f>
        <v>171</v>
      </c>
      <c r="D2848" s="44">
        <f>SUM(C2848:C2848)</f>
        <v>171</v>
      </c>
      <c r="E2848" s="45"/>
      <c r="G2848" s="42" t="s">
        <v>5</v>
      </c>
      <c r="H2848" s="43">
        <f>H2842</f>
        <v>2268</v>
      </c>
      <c r="I2848" s="44">
        <f>SUM(H2848:H2848)</f>
        <v>2268</v>
      </c>
      <c r="J2848" s="45"/>
    </row>
    <row r="2849" spans="2:10" x14ac:dyDescent="0.15">
      <c r="B2849" s="6" t="s">
        <v>6</v>
      </c>
      <c r="C2849" s="13">
        <v>200</v>
      </c>
      <c r="D2849" s="14">
        <f>SUM(C2849:C2849)</f>
        <v>200</v>
      </c>
      <c r="E2849" s="12">
        <v>44424</v>
      </c>
      <c r="G2849" s="6" t="s">
        <v>6</v>
      </c>
      <c r="H2849" s="13"/>
      <c r="I2849" s="14">
        <f>SUM(H2849:H2849)</f>
        <v>0</v>
      </c>
      <c r="J2849" s="169"/>
    </row>
    <row r="2850" spans="2:10" x14ac:dyDescent="0.15">
      <c r="B2850" s="6" t="s">
        <v>843</v>
      </c>
      <c r="C2850" s="13">
        <v>-2</v>
      </c>
      <c r="D2850" s="14">
        <f>SUM(C2850:C2850)</f>
        <v>-2</v>
      </c>
      <c r="E2850" s="12">
        <v>44434</v>
      </c>
      <c r="G2850" s="6" t="s">
        <v>6</v>
      </c>
      <c r="H2850" s="77"/>
      <c r="I2850" s="11">
        <f>SUM(H2850:H2850)</f>
        <v>0</v>
      </c>
      <c r="J2850" s="172"/>
    </row>
    <row r="2851" spans="2:10" ht="14.25" thickBot="1" x14ac:dyDescent="0.2">
      <c r="B2851" s="6" t="s">
        <v>76</v>
      </c>
      <c r="C2851" s="7">
        <v>20</v>
      </c>
      <c r="D2851" s="14">
        <f>SUM(C2851:C2851)</f>
        <v>20</v>
      </c>
      <c r="E2851" s="16"/>
      <c r="F2851" s="25">
        <v>44435</v>
      </c>
      <c r="G2851" s="6" t="s">
        <v>6</v>
      </c>
      <c r="H2851" s="170"/>
      <c r="I2851" s="73">
        <f>SUM(H2851:H2851)</f>
        <v>0</v>
      </c>
      <c r="J2851" s="174"/>
    </row>
    <row r="2852" spans="2:10" ht="14.25" thickBot="1" x14ac:dyDescent="0.2">
      <c r="B2852" s="46" t="s">
        <v>1</v>
      </c>
      <c r="C2852" s="48">
        <f>SUM(C2848:C2851)</f>
        <v>389</v>
      </c>
      <c r="D2852" s="48">
        <f>SUM(D2848:D2851)</f>
        <v>389</v>
      </c>
      <c r="E2852" s="49"/>
      <c r="G2852" s="46" t="s">
        <v>1</v>
      </c>
      <c r="H2852" s="50">
        <f>SUM(H2848:H2851)</f>
        <v>2268</v>
      </c>
      <c r="I2852" s="48">
        <f>SUM(I2848:I2851)</f>
        <v>2268</v>
      </c>
      <c r="J2852" s="51"/>
    </row>
    <row r="2853" spans="2:10" x14ac:dyDescent="0.15">
      <c r="B2853" s="69" t="s">
        <v>189</v>
      </c>
      <c r="C2853" s="13">
        <v>1</v>
      </c>
      <c r="D2853" s="11">
        <f>SUM(C2853:C2853)</f>
        <v>1</v>
      </c>
      <c r="E2853" s="12">
        <v>44413</v>
      </c>
      <c r="F2853" s="180"/>
      <c r="G2853" s="15" t="s">
        <v>838</v>
      </c>
      <c r="H2853" s="13">
        <v>200</v>
      </c>
      <c r="I2853" s="11">
        <f>SUM(H2853:H2853)</f>
        <v>200</v>
      </c>
      <c r="J2853" s="12">
        <v>44424</v>
      </c>
    </row>
    <row r="2854" spans="2:10" x14ac:dyDescent="0.15">
      <c r="B2854" s="71" t="s">
        <v>702</v>
      </c>
      <c r="C2854" s="13">
        <v>3</v>
      </c>
      <c r="D2854" s="14">
        <f>SUM(C2854:C2854)</f>
        <v>3</v>
      </c>
      <c r="E2854" s="12">
        <v>44415</v>
      </c>
      <c r="F2854" s="180"/>
      <c r="G2854" s="89" t="s">
        <v>840</v>
      </c>
      <c r="H2854" s="13">
        <v>270</v>
      </c>
      <c r="I2854" s="14">
        <f>SUM(H2854:H2854)</f>
        <v>270</v>
      </c>
      <c r="J2854" s="12">
        <v>44435</v>
      </c>
    </row>
    <row r="2855" spans="2:10" x14ac:dyDescent="0.15">
      <c r="B2855" s="69" t="s">
        <v>189</v>
      </c>
      <c r="C2855" s="13">
        <v>1</v>
      </c>
      <c r="D2855" s="14">
        <f>SUM(C2855:C2855)</f>
        <v>1</v>
      </c>
      <c r="E2855" s="12">
        <v>44415</v>
      </c>
      <c r="G2855" s="89" t="s">
        <v>841</v>
      </c>
      <c r="H2855" s="13">
        <v>300</v>
      </c>
      <c r="I2855" s="14">
        <f t="shared" ref="I2855:I2877" si="226">SUM(H2855:H2855)</f>
        <v>300</v>
      </c>
      <c r="J2855" s="12">
        <v>44435</v>
      </c>
    </row>
    <row r="2856" spans="2:10" x14ac:dyDescent="0.15">
      <c r="B2856" s="89" t="s">
        <v>839</v>
      </c>
      <c r="C2856" s="13">
        <v>100</v>
      </c>
      <c r="D2856" s="14">
        <f t="shared" ref="D2856:D2866" si="227">SUM(C2856:C2856)</f>
        <v>100</v>
      </c>
      <c r="E2856" s="12">
        <v>44428</v>
      </c>
      <c r="G2856" s="89" t="s">
        <v>842</v>
      </c>
      <c r="H2856" s="13">
        <v>200</v>
      </c>
      <c r="I2856" s="14">
        <f t="shared" si="226"/>
        <v>200</v>
      </c>
      <c r="J2856" s="12">
        <v>44436</v>
      </c>
    </row>
    <row r="2857" spans="2:10" x14ac:dyDescent="0.15">
      <c r="B2857" s="69" t="s">
        <v>189</v>
      </c>
      <c r="C2857" s="13">
        <v>1</v>
      </c>
      <c r="D2857" s="14">
        <f t="shared" si="227"/>
        <v>1</v>
      </c>
      <c r="E2857" s="12">
        <v>44418</v>
      </c>
      <c r="G2857" s="89" t="s">
        <v>845</v>
      </c>
      <c r="H2857" s="13">
        <v>250</v>
      </c>
      <c r="I2857" s="14">
        <f t="shared" si="226"/>
        <v>250</v>
      </c>
      <c r="J2857" s="12">
        <v>44442</v>
      </c>
    </row>
    <row r="2858" spans="2:10" x14ac:dyDescent="0.15">
      <c r="B2858" s="69" t="s">
        <v>189</v>
      </c>
      <c r="C2858" s="13">
        <v>1</v>
      </c>
      <c r="D2858" s="14">
        <f t="shared" si="227"/>
        <v>1</v>
      </c>
      <c r="E2858" s="12">
        <v>44419</v>
      </c>
      <c r="G2858" s="15"/>
      <c r="H2858" s="13"/>
      <c r="I2858" s="14">
        <f t="shared" si="226"/>
        <v>0</v>
      </c>
      <c r="J2858" s="12"/>
    </row>
    <row r="2859" spans="2:10" x14ac:dyDescent="0.15">
      <c r="B2859" s="71" t="s">
        <v>702</v>
      </c>
      <c r="C2859" s="13">
        <v>6</v>
      </c>
      <c r="D2859" s="14">
        <f t="shared" si="227"/>
        <v>6</v>
      </c>
      <c r="E2859" s="12">
        <v>44425</v>
      </c>
      <c r="G2859" s="15"/>
      <c r="H2859" s="13"/>
      <c r="I2859" s="14">
        <f t="shared" si="226"/>
        <v>0</v>
      </c>
      <c r="J2859" s="12"/>
    </row>
    <row r="2860" spans="2:10" x14ac:dyDescent="0.15">
      <c r="B2860" s="71" t="s">
        <v>702</v>
      </c>
      <c r="C2860" s="13">
        <v>1</v>
      </c>
      <c r="D2860" s="14">
        <f t="shared" si="227"/>
        <v>1</v>
      </c>
      <c r="E2860" s="12">
        <v>44427</v>
      </c>
      <c r="G2860" s="15"/>
      <c r="H2860" s="13"/>
      <c r="I2860" s="14">
        <f t="shared" si="226"/>
        <v>0</v>
      </c>
      <c r="J2860" s="12"/>
    </row>
    <row r="2861" spans="2:10" x14ac:dyDescent="0.15">
      <c r="B2861" s="71" t="s">
        <v>702</v>
      </c>
      <c r="C2861" s="13">
        <v>2</v>
      </c>
      <c r="D2861" s="14">
        <f t="shared" si="227"/>
        <v>2</v>
      </c>
      <c r="E2861" s="12">
        <v>44428</v>
      </c>
      <c r="G2861" s="15"/>
      <c r="H2861" s="13"/>
      <c r="I2861" s="14">
        <f t="shared" si="226"/>
        <v>0</v>
      </c>
      <c r="J2861" s="12"/>
    </row>
    <row r="2862" spans="2:10" x14ac:dyDescent="0.15">
      <c r="B2862" s="71" t="s">
        <v>702</v>
      </c>
      <c r="C2862" s="13">
        <v>2</v>
      </c>
      <c r="D2862" s="14">
        <f t="shared" si="227"/>
        <v>2</v>
      </c>
      <c r="E2862" s="12">
        <v>44429</v>
      </c>
      <c r="G2862" s="15"/>
      <c r="H2862" s="13"/>
      <c r="I2862" s="14">
        <f t="shared" si="226"/>
        <v>0</v>
      </c>
      <c r="J2862" s="12"/>
    </row>
    <row r="2863" spans="2:10" x14ac:dyDescent="0.15">
      <c r="B2863" s="71" t="s">
        <v>702</v>
      </c>
      <c r="C2863" s="13">
        <v>2</v>
      </c>
      <c r="D2863" s="14">
        <f t="shared" si="227"/>
        <v>2</v>
      </c>
      <c r="E2863" s="12">
        <v>44432</v>
      </c>
      <c r="G2863" s="15"/>
      <c r="H2863" s="13"/>
      <c r="I2863" s="14">
        <f t="shared" si="226"/>
        <v>0</v>
      </c>
      <c r="J2863" s="5"/>
    </row>
    <row r="2864" spans="2:10" x14ac:dyDescent="0.15">
      <c r="B2864" s="71" t="s">
        <v>702</v>
      </c>
      <c r="C2864" s="13">
        <v>1</v>
      </c>
      <c r="D2864" s="14">
        <f t="shared" si="227"/>
        <v>1</v>
      </c>
      <c r="E2864" s="12">
        <v>44433</v>
      </c>
      <c r="G2864" s="15"/>
      <c r="H2864" s="7"/>
      <c r="I2864" s="14">
        <f t="shared" si="226"/>
        <v>0</v>
      </c>
      <c r="J2864" s="12"/>
    </row>
    <row r="2865" spans="2:10" x14ac:dyDescent="0.15">
      <c r="B2865" s="71" t="s">
        <v>702</v>
      </c>
      <c r="C2865" s="13">
        <v>1</v>
      </c>
      <c r="D2865" s="14">
        <f t="shared" si="227"/>
        <v>1</v>
      </c>
      <c r="E2865" s="12">
        <v>44434</v>
      </c>
      <c r="G2865" s="15"/>
      <c r="H2865" s="7"/>
      <c r="I2865" s="14">
        <f t="shared" si="226"/>
        <v>0</v>
      </c>
      <c r="J2865" s="12"/>
    </row>
    <row r="2866" spans="2:10" x14ac:dyDescent="0.15">
      <c r="B2866" s="71" t="s">
        <v>702</v>
      </c>
      <c r="C2866" s="13">
        <v>3</v>
      </c>
      <c r="D2866" s="14">
        <f t="shared" si="227"/>
        <v>3</v>
      </c>
      <c r="E2866" s="12">
        <v>44435</v>
      </c>
      <c r="G2866" s="15"/>
      <c r="H2866" s="7"/>
      <c r="I2866" s="14">
        <f t="shared" si="226"/>
        <v>0</v>
      </c>
      <c r="J2866" s="5"/>
    </row>
    <row r="2867" spans="2:10" x14ac:dyDescent="0.15">
      <c r="B2867" s="89" t="s">
        <v>844</v>
      </c>
      <c r="C2867" s="13">
        <v>100</v>
      </c>
      <c r="D2867" s="14">
        <f>SUM(C2867:C2867)</f>
        <v>100</v>
      </c>
      <c r="E2867" s="12">
        <v>44439</v>
      </c>
      <c r="G2867" s="15"/>
      <c r="H2867" s="7"/>
      <c r="I2867" s="14">
        <f t="shared" si="226"/>
        <v>0</v>
      </c>
      <c r="J2867" s="12"/>
    </row>
    <row r="2868" spans="2:10" x14ac:dyDescent="0.15">
      <c r="B2868" s="71" t="s">
        <v>702</v>
      </c>
      <c r="C2868" s="13">
        <v>1</v>
      </c>
      <c r="D2868" s="14">
        <f t="shared" ref="D2868:D2877" si="228">SUM(C2868:C2868)</f>
        <v>1</v>
      </c>
      <c r="E2868" s="12">
        <v>44440</v>
      </c>
      <c r="G2868" s="15"/>
      <c r="H2868" s="7"/>
      <c r="I2868" s="14">
        <f t="shared" si="226"/>
        <v>0</v>
      </c>
      <c r="J2868" s="12"/>
    </row>
    <row r="2869" spans="2:10" x14ac:dyDescent="0.15">
      <c r="B2869" s="71" t="s">
        <v>702</v>
      </c>
      <c r="C2869" s="13">
        <v>2</v>
      </c>
      <c r="D2869" s="14">
        <f t="shared" si="228"/>
        <v>2</v>
      </c>
      <c r="E2869" s="12">
        <v>44446</v>
      </c>
      <c r="G2869" s="15"/>
      <c r="H2869" s="7"/>
      <c r="I2869" s="14">
        <f t="shared" si="226"/>
        <v>0</v>
      </c>
      <c r="J2869" s="67"/>
    </row>
    <row r="2870" spans="2:10" x14ac:dyDescent="0.15">
      <c r="B2870" s="71" t="s">
        <v>846</v>
      </c>
      <c r="C2870" s="13">
        <v>1</v>
      </c>
      <c r="D2870" s="14">
        <f t="shared" si="228"/>
        <v>1</v>
      </c>
      <c r="E2870" s="12">
        <v>44446</v>
      </c>
      <c r="G2870" s="15"/>
      <c r="H2870" s="7"/>
      <c r="I2870" s="14">
        <f t="shared" si="226"/>
        <v>0</v>
      </c>
      <c r="J2870" s="67"/>
    </row>
    <row r="2871" spans="2:10" x14ac:dyDescent="0.15">
      <c r="B2871" s="71" t="s">
        <v>702</v>
      </c>
      <c r="C2871" s="13">
        <v>1</v>
      </c>
      <c r="D2871" s="14">
        <f t="shared" si="228"/>
        <v>1</v>
      </c>
      <c r="E2871" s="12">
        <v>44447</v>
      </c>
      <c r="G2871" s="15"/>
      <c r="H2871" s="7"/>
      <c r="I2871" s="14">
        <f t="shared" si="226"/>
        <v>0</v>
      </c>
      <c r="J2871" s="67"/>
    </row>
    <row r="2872" spans="2:10" x14ac:dyDescent="0.15">
      <c r="B2872" s="71" t="s">
        <v>702</v>
      </c>
      <c r="C2872" s="13">
        <v>9</v>
      </c>
      <c r="D2872" s="14">
        <f t="shared" si="228"/>
        <v>9</v>
      </c>
      <c r="E2872" s="5">
        <v>44448</v>
      </c>
      <c r="G2872" s="15"/>
      <c r="H2872" s="7"/>
      <c r="I2872" s="14">
        <f t="shared" si="226"/>
        <v>0</v>
      </c>
      <c r="J2872" s="67"/>
    </row>
    <row r="2873" spans="2:10" x14ac:dyDescent="0.15">
      <c r="B2873" s="71" t="s">
        <v>787</v>
      </c>
      <c r="C2873" s="13">
        <v>1</v>
      </c>
      <c r="D2873" s="14">
        <f t="shared" si="228"/>
        <v>1</v>
      </c>
      <c r="E2873" s="5">
        <v>44448</v>
      </c>
      <c r="G2873" s="15"/>
      <c r="H2873" s="7"/>
      <c r="I2873" s="14">
        <f t="shared" si="226"/>
        <v>0</v>
      </c>
      <c r="J2873" s="67"/>
    </row>
    <row r="2874" spans="2:10" x14ac:dyDescent="0.15">
      <c r="B2874" s="71" t="s">
        <v>702</v>
      </c>
      <c r="C2874" s="13">
        <v>6</v>
      </c>
      <c r="D2874" s="14">
        <f t="shared" si="228"/>
        <v>6</v>
      </c>
      <c r="E2874" s="5">
        <v>44449</v>
      </c>
      <c r="G2874" s="15"/>
      <c r="H2874" s="7"/>
      <c r="I2874" s="14">
        <f t="shared" ref="I2874" si="229">SUM(H2874:H2874)</f>
        <v>0</v>
      </c>
      <c r="J2874" s="67"/>
    </row>
    <row r="2875" spans="2:10" x14ac:dyDescent="0.15">
      <c r="B2875" s="71" t="s">
        <v>702</v>
      </c>
      <c r="C2875" s="13">
        <v>2</v>
      </c>
      <c r="D2875" s="14">
        <f t="shared" si="228"/>
        <v>2</v>
      </c>
      <c r="E2875" s="5">
        <v>44453</v>
      </c>
      <c r="G2875" s="15" t="s">
        <v>835</v>
      </c>
      <c r="H2875" s="7"/>
      <c r="I2875" s="14">
        <f t="shared" si="226"/>
        <v>0</v>
      </c>
      <c r="J2875" s="67" t="s">
        <v>836</v>
      </c>
    </row>
    <row r="2876" spans="2:10" ht="14.25" thickBot="1" x14ac:dyDescent="0.2">
      <c r="B2876" s="71" t="s">
        <v>849</v>
      </c>
      <c r="C2876" s="13">
        <v>-1</v>
      </c>
      <c r="D2876" s="11">
        <f t="shared" si="228"/>
        <v>-1</v>
      </c>
      <c r="E2876" s="12">
        <v>44452</v>
      </c>
      <c r="G2876" s="15" t="s">
        <v>794</v>
      </c>
      <c r="H2876" s="7"/>
      <c r="I2876" s="14">
        <f t="shared" si="226"/>
        <v>0</v>
      </c>
      <c r="J2876" s="67" t="s">
        <v>795</v>
      </c>
    </row>
    <row r="2877" spans="2:10" ht="14.25" thickBot="1" x14ac:dyDescent="0.2">
      <c r="B2877" s="17" t="s">
        <v>2</v>
      </c>
      <c r="C2877" s="18">
        <f>SUM(C2853:C2876)</f>
        <v>247</v>
      </c>
      <c r="D2877" s="19">
        <f t="shared" si="228"/>
        <v>247</v>
      </c>
      <c r="E2877" s="20"/>
      <c r="G2877" s="17" t="s">
        <v>2</v>
      </c>
      <c r="H2877" s="18">
        <f>SUM(H2853:H2876)</f>
        <v>1220</v>
      </c>
      <c r="I2877" s="19">
        <f t="shared" si="226"/>
        <v>1220</v>
      </c>
      <c r="J2877" s="20"/>
    </row>
    <row r="2878" spans="2:10" ht="14.25" thickBot="1" x14ac:dyDescent="0.2">
      <c r="B2878" s="46" t="s">
        <v>3</v>
      </c>
      <c r="C2878" s="52">
        <f>C2852-C2877</f>
        <v>142</v>
      </c>
      <c r="D2878" s="48">
        <f>D2852-D2877</f>
        <v>142</v>
      </c>
      <c r="E2878" s="49"/>
      <c r="G2878" s="46" t="s">
        <v>3</v>
      </c>
      <c r="H2878" s="52">
        <f>H2852-H2877</f>
        <v>1048</v>
      </c>
      <c r="I2878" s="48">
        <f>I2852-I2877</f>
        <v>1048</v>
      </c>
      <c r="J2878" s="49"/>
    </row>
    <row r="2881" spans="2:10" ht="18.75" x14ac:dyDescent="0.2">
      <c r="B2881" s="26" t="s">
        <v>7</v>
      </c>
      <c r="G2881" s="26" t="s">
        <v>35</v>
      </c>
    </row>
    <row r="2882" spans="2:10" ht="14.25" thickBot="1" x14ac:dyDescent="0.2"/>
    <row r="2883" spans="2:10" ht="14.25" thickBot="1" x14ac:dyDescent="0.2">
      <c r="B2883" s="1"/>
      <c r="C2883" s="1"/>
      <c r="D2883" s="53" t="s">
        <v>0</v>
      </c>
      <c r="E2883" s="1" t="s">
        <v>4</v>
      </c>
      <c r="G2883" s="1"/>
      <c r="H2883" s="1"/>
      <c r="I2883" s="53" t="s">
        <v>0</v>
      </c>
      <c r="J2883" s="1" t="s">
        <v>4</v>
      </c>
    </row>
    <row r="2884" spans="2:10" x14ac:dyDescent="0.15">
      <c r="B2884" s="42" t="s">
        <v>5</v>
      </c>
      <c r="C2884" s="43">
        <f>C2878</f>
        <v>142</v>
      </c>
      <c r="D2884" s="44">
        <f>SUM(C2884:C2884)</f>
        <v>142</v>
      </c>
      <c r="E2884" s="45"/>
      <c r="G2884" s="42" t="s">
        <v>5</v>
      </c>
      <c r="H2884" s="43">
        <f>H2878</f>
        <v>1048</v>
      </c>
      <c r="I2884" s="44">
        <f>SUM(H2884:H2884)</f>
        <v>1048</v>
      </c>
      <c r="J2884" s="45"/>
    </row>
    <row r="2885" spans="2:10" x14ac:dyDescent="0.15">
      <c r="B2885" s="6" t="s">
        <v>76</v>
      </c>
      <c r="C2885" s="13">
        <v>16</v>
      </c>
      <c r="D2885" s="14">
        <f>SUM(C2885:C2885)</f>
        <v>16</v>
      </c>
      <c r="E2885" s="12">
        <v>44454</v>
      </c>
      <c r="G2885" s="6" t="s">
        <v>6</v>
      </c>
      <c r="H2885" s="13"/>
      <c r="I2885" s="14">
        <f>SUM(H2885:H2885)</f>
        <v>0</v>
      </c>
      <c r="J2885" s="169"/>
    </row>
    <row r="2886" spans="2:10" x14ac:dyDescent="0.15">
      <c r="B2886" s="6" t="s">
        <v>76</v>
      </c>
      <c r="C2886" s="13">
        <v>8</v>
      </c>
      <c r="D2886" s="14">
        <f>SUM(C2886:C2886)</f>
        <v>8</v>
      </c>
      <c r="E2886" s="12">
        <v>44483</v>
      </c>
      <c r="G2886" s="6" t="s">
        <v>6</v>
      </c>
      <c r="H2886" s="77"/>
      <c r="I2886" s="11">
        <f>SUM(H2886:H2886)</f>
        <v>0</v>
      </c>
      <c r="J2886" s="172"/>
    </row>
    <row r="2887" spans="2:10" ht="14.25" thickBot="1" x14ac:dyDescent="0.2">
      <c r="B2887" s="6" t="s">
        <v>76</v>
      </c>
      <c r="C2887" s="13">
        <v>57</v>
      </c>
      <c r="D2887" s="14">
        <f>SUM(C2887:C2887)</f>
        <v>57</v>
      </c>
      <c r="E2887" s="12">
        <v>44484</v>
      </c>
      <c r="F2887" s="25"/>
      <c r="G2887" s="6" t="s">
        <v>6</v>
      </c>
      <c r="H2887" s="170"/>
      <c r="I2887" s="73">
        <f>SUM(H2887:H2887)</f>
        <v>0</v>
      </c>
      <c r="J2887" s="174"/>
    </row>
    <row r="2888" spans="2:10" ht="14.25" thickBot="1" x14ac:dyDescent="0.2">
      <c r="B2888" s="46" t="s">
        <v>1</v>
      </c>
      <c r="C2888" s="48">
        <f>SUM(C2884:C2887)</f>
        <v>223</v>
      </c>
      <c r="D2888" s="48">
        <f>SUM(D2884:D2887)</f>
        <v>223</v>
      </c>
      <c r="E2888" s="49"/>
      <c r="G2888" s="46" t="s">
        <v>1</v>
      </c>
      <c r="H2888" s="50">
        <f>SUM(H2884:H2887)</f>
        <v>1048</v>
      </c>
      <c r="I2888" s="48">
        <f>SUM(I2884:I2887)</f>
        <v>1048</v>
      </c>
      <c r="J2888" s="51"/>
    </row>
    <row r="2889" spans="2:10" x14ac:dyDescent="0.15">
      <c r="B2889" s="71" t="s">
        <v>702</v>
      </c>
      <c r="C2889" s="13">
        <v>4</v>
      </c>
      <c r="D2889" s="11">
        <f>SUM(C2889:C2889)</f>
        <v>4</v>
      </c>
      <c r="E2889" s="12">
        <v>44454</v>
      </c>
      <c r="F2889" s="180"/>
      <c r="G2889" s="15"/>
      <c r="H2889" s="13"/>
      <c r="I2889" s="11">
        <f>SUM(H2889:H2889)</f>
        <v>0</v>
      </c>
      <c r="J2889" s="12"/>
    </row>
    <row r="2890" spans="2:10" x14ac:dyDescent="0.15">
      <c r="B2890" s="71" t="s">
        <v>702</v>
      </c>
      <c r="C2890" s="13">
        <v>2</v>
      </c>
      <c r="D2890" s="14">
        <f>SUM(C2890:C2890)</f>
        <v>2</v>
      </c>
      <c r="E2890" s="12">
        <v>44455</v>
      </c>
      <c r="F2890" s="180"/>
      <c r="G2890" s="89"/>
      <c r="H2890" s="13"/>
      <c r="I2890" s="14">
        <f>SUM(H2890:H2890)</f>
        <v>0</v>
      </c>
      <c r="J2890" s="12"/>
    </row>
    <row r="2891" spans="2:10" x14ac:dyDescent="0.15">
      <c r="B2891" s="71" t="s">
        <v>702</v>
      </c>
      <c r="C2891" s="13">
        <v>1</v>
      </c>
      <c r="D2891" s="14">
        <f>SUM(C2891:C2891)</f>
        <v>1</v>
      </c>
      <c r="E2891" s="12">
        <v>44456</v>
      </c>
      <c r="G2891" s="89"/>
      <c r="H2891" s="13"/>
      <c r="I2891" s="14">
        <f t="shared" ref="I2891:I2913" si="230">SUM(H2891:H2891)</f>
        <v>0</v>
      </c>
      <c r="J2891" s="12"/>
    </row>
    <row r="2892" spans="2:10" x14ac:dyDescent="0.15">
      <c r="B2892" s="71" t="s">
        <v>702</v>
      </c>
      <c r="C2892" s="13">
        <v>1</v>
      </c>
      <c r="D2892" s="14">
        <f t="shared" ref="D2892:D2902" si="231">SUM(C2892:C2892)</f>
        <v>1</v>
      </c>
      <c r="E2892" s="12">
        <v>44457</v>
      </c>
      <c r="G2892" s="89"/>
      <c r="H2892" s="13"/>
      <c r="I2892" s="14">
        <f t="shared" si="230"/>
        <v>0</v>
      </c>
      <c r="J2892" s="12"/>
    </row>
    <row r="2893" spans="2:10" x14ac:dyDescent="0.15">
      <c r="B2893" s="69" t="s">
        <v>850</v>
      </c>
      <c r="C2893" s="13">
        <v>1</v>
      </c>
      <c r="D2893" s="14">
        <f t="shared" si="231"/>
        <v>1</v>
      </c>
      <c r="E2893" s="12">
        <v>44460</v>
      </c>
      <c r="G2893" s="89"/>
      <c r="H2893" s="13"/>
      <c r="I2893" s="14">
        <f t="shared" si="230"/>
        <v>0</v>
      </c>
      <c r="J2893" s="12"/>
    </row>
    <row r="2894" spans="2:10" x14ac:dyDescent="0.15">
      <c r="B2894" s="71" t="s">
        <v>702</v>
      </c>
      <c r="C2894" s="13">
        <v>1</v>
      </c>
      <c r="D2894" s="14">
        <f t="shared" si="231"/>
        <v>1</v>
      </c>
      <c r="E2894" s="12">
        <v>44462</v>
      </c>
      <c r="G2894" s="15"/>
      <c r="H2894" s="13"/>
      <c r="I2894" s="14">
        <f t="shared" si="230"/>
        <v>0</v>
      </c>
      <c r="J2894" s="12"/>
    </row>
    <row r="2895" spans="2:10" x14ac:dyDescent="0.15">
      <c r="B2895" s="71" t="s">
        <v>702</v>
      </c>
      <c r="C2895" s="13">
        <v>1</v>
      </c>
      <c r="D2895" s="14">
        <f t="shared" si="231"/>
        <v>1</v>
      </c>
      <c r="E2895" s="12">
        <v>44467</v>
      </c>
      <c r="G2895" s="15"/>
      <c r="H2895" s="13"/>
      <c r="I2895" s="14">
        <f t="shared" si="230"/>
        <v>0</v>
      </c>
      <c r="J2895" s="12"/>
    </row>
    <row r="2896" spans="2:10" x14ac:dyDescent="0.15">
      <c r="B2896" s="71" t="s">
        <v>702</v>
      </c>
      <c r="C2896" s="13">
        <v>1</v>
      </c>
      <c r="D2896" s="14">
        <f t="shared" si="231"/>
        <v>1</v>
      </c>
      <c r="E2896" s="12">
        <v>44470</v>
      </c>
      <c r="G2896" s="15"/>
      <c r="H2896" s="13"/>
      <c r="I2896" s="14">
        <f t="shared" si="230"/>
        <v>0</v>
      </c>
      <c r="J2896" s="12"/>
    </row>
    <row r="2897" spans="2:10" x14ac:dyDescent="0.15">
      <c r="B2897" s="71" t="s">
        <v>702</v>
      </c>
      <c r="C2897" s="13">
        <v>3</v>
      </c>
      <c r="D2897" s="14">
        <f t="shared" si="231"/>
        <v>3</v>
      </c>
      <c r="E2897" s="12">
        <v>44471</v>
      </c>
      <c r="G2897" s="15"/>
      <c r="H2897" s="13"/>
      <c r="I2897" s="14">
        <f t="shared" si="230"/>
        <v>0</v>
      </c>
      <c r="J2897" s="12"/>
    </row>
    <row r="2898" spans="2:10" x14ac:dyDescent="0.15">
      <c r="B2898" s="71" t="s">
        <v>702</v>
      </c>
      <c r="C2898" s="13">
        <v>21</v>
      </c>
      <c r="D2898" s="14">
        <f t="shared" si="231"/>
        <v>21</v>
      </c>
      <c r="E2898" s="12">
        <v>44474</v>
      </c>
      <c r="G2898" s="15"/>
      <c r="H2898" s="13"/>
      <c r="I2898" s="14">
        <f t="shared" si="230"/>
        <v>0</v>
      </c>
      <c r="J2898" s="12"/>
    </row>
    <row r="2899" spans="2:10" x14ac:dyDescent="0.15">
      <c r="B2899" s="71" t="s">
        <v>787</v>
      </c>
      <c r="C2899" s="13">
        <v>2</v>
      </c>
      <c r="D2899" s="14">
        <f t="shared" si="231"/>
        <v>2</v>
      </c>
      <c r="E2899" s="12">
        <v>44481</v>
      </c>
      <c r="G2899" s="15"/>
      <c r="H2899" s="13"/>
      <c r="I2899" s="14">
        <f t="shared" si="230"/>
        <v>0</v>
      </c>
      <c r="J2899" s="5"/>
    </row>
    <row r="2900" spans="2:10" x14ac:dyDescent="0.15">
      <c r="B2900" s="71" t="s">
        <v>702</v>
      </c>
      <c r="C2900" s="13">
        <v>6</v>
      </c>
      <c r="D2900" s="14">
        <f t="shared" si="231"/>
        <v>6</v>
      </c>
      <c r="E2900" s="12">
        <v>44483</v>
      </c>
      <c r="G2900" s="15"/>
      <c r="H2900" s="7"/>
      <c r="I2900" s="14">
        <f t="shared" si="230"/>
        <v>0</v>
      </c>
      <c r="J2900" s="12"/>
    </row>
    <row r="2901" spans="2:10" x14ac:dyDescent="0.15">
      <c r="B2901" s="71" t="s">
        <v>702</v>
      </c>
      <c r="C2901" s="13">
        <v>4</v>
      </c>
      <c r="D2901" s="14">
        <f t="shared" si="231"/>
        <v>4</v>
      </c>
      <c r="E2901" s="12">
        <v>44484</v>
      </c>
      <c r="G2901" s="15"/>
      <c r="H2901" s="7"/>
      <c r="I2901" s="14">
        <f t="shared" si="230"/>
        <v>0</v>
      </c>
      <c r="J2901" s="12"/>
    </row>
    <row r="2902" spans="2:10" x14ac:dyDescent="0.15">
      <c r="B2902" s="71" t="s">
        <v>702</v>
      </c>
      <c r="C2902" s="13">
        <v>2</v>
      </c>
      <c r="D2902" s="14">
        <f t="shared" si="231"/>
        <v>2</v>
      </c>
      <c r="E2902" s="12">
        <v>44488</v>
      </c>
      <c r="G2902" s="15"/>
      <c r="H2902" s="7"/>
      <c r="I2902" s="14">
        <f t="shared" si="230"/>
        <v>0</v>
      </c>
      <c r="J2902" s="5"/>
    </row>
    <row r="2903" spans="2:10" x14ac:dyDescent="0.15">
      <c r="B2903" s="71" t="s">
        <v>702</v>
      </c>
      <c r="C2903" s="13">
        <v>2</v>
      </c>
      <c r="D2903" s="14">
        <f>SUM(C2903:C2903)</f>
        <v>2</v>
      </c>
      <c r="E2903" s="12">
        <v>44490</v>
      </c>
      <c r="G2903" s="15"/>
      <c r="H2903" s="7"/>
      <c r="I2903" s="14">
        <f t="shared" si="230"/>
        <v>0</v>
      </c>
      <c r="J2903" s="12"/>
    </row>
    <row r="2904" spans="2:10" x14ac:dyDescent="0.15">
      <c r="B2904" s="71" t="s">
        <v>702</v>
      </c>
      <c r="C2904" s="13">
        <v>1</v>
      </c>
      <c r="D2904" s="14">
        <f t="shared" ref="D2904:D2913" si="232">SUM(C2904:C2904)</f>
        <v>1</v>
      </c>
      <c r="E2904" s="12">
        <v>44491</v>
      </c>
      <c r="G2904" s="15"/>
      <c r="H2904" s="7"/>
      <c r="I2904" s="14">
        <f t="shared" si="230"/>
        <v>0</v>
      </c>
      <c r="J2904" s="12"/>
    </row>
    <row r="2905" spans="2:10" x14ac:dyDescent="0.15">
      <c r="B2905" s="71" t="s">
        <v>702</v>
      </c>
      <c r="C2905" s="13">
        <v>1</v>
      </c>
      <c r="D2905" s="14">
        <f t="shared" si="232"/>
        <v>1</v>
      </c>
      <c r="E2905" s="12">
        <v>44495</v>
      </c>
      <c r="G2905" s="15"/>
      <c r="H2905" s="7"/>
      <c r="I2905" s="14">
        <f t="shared" si="230"/>
        <v>0</v>
      </c>
      <c r="J2905" s="67"/>
    </row>
    <row r="2906" spans="2:10" x14ac:dyDescent="0.15">
      <c r="B2906" s="71" t="s">
        <v>702</v>
      </c>
      <c r="C2906" s="13">
        <v>5</v>
      </c>
      <c r="D2906" s="14">
        <f t="shared" si="232"/>
        <v>5</v>
      </c>
      <c r="E2906" s="12">
        <v>44503</v>
      </c>
      <c r="G2906" s="15"/>
      <c r="H2906" s="7"/>
      <c r="I2906" s="14">
        <f t="shared" si="230"/>
        <v>0</v>
      </c>
      <c r="J2906" s="67"/>
    </row>
    <row r="2907" spans="2:10" x14ac:dyDescent="0.15">
      <c r="B2907" s="71" t="s">
        <v>702</v>
      </c>
      <c r="C2907" s="13">
        <v>1</v>
      </c>
      <c r="D2907" s="14">
        <f t="shared" si="232"/>
        <v>1</v>
      </c>
      <c r="E2907" s="12">
        <v>44505</v>
      </c>
      <c r="G2907" s="15"/>
      <c r="H2907" s="7"/>
      <c r="I2907" s="14">
        <f t="shared" si="230"/>
        <v>0</v>
      </c>
      <c r="J2907" s="67"/>
    </row>
    <row r="2908" spans="2:10" x14ac:dyDescent="0.15">
      <c r="B2908" s="4" t="s">
        <v>76</v>
      </c>
      <c r="C2908" s="13">
        <v>-14</v>
      </c>
      <c r="D2908" s="14">
        <f t="shared" si="232"/>
        <v>-14</v>
      </c>
      <c r="E2908" s="5">
        <v>44516</v>
      </c>
      <c r="G2908" s="15"/>
      <c r="H2908" s="7"/>
      <c r="I2908" s="14">
        <f t="shared" si="230"/>
        <v>0</v>
      </c>
      <c r="J2908" s="67"/>
    </row>
    <row r="2909" spans="2:10" x14ac:dyDescent="0.15">
      <c r="B2909" s="71" t="s">
        <v>702</v>
      </c>
      <c r="C2909" s="13">
        <v>2</v>
      </c>
      <c r="D2909" s="14">
        <f t="shared" si="232"/>
        <v>2</v>
      </c>
      <c r="E2909" s="5">
        <v>44518</v>
      </c>
      <c r="G2909" s="15"/>
      <c r="H2909" s="7"/>
      <c r="I2909" s="14">
        <f t="shared" si="230"/>
        <v>0</v>
      </c>
      <c r="J2909" s="67"/>
    </row>
    <row r="2910" spans="2:10" x14ac:dyDescent="0.15">
      <c r="B2910" s="71" t="s">
        <v>702</v>
      </c>
      <c r="C2910" s="13">
        <v>2</v>
      </c>
      <c r="D2910" s="14">
        <f t="shared" si="232"/>
        <v>2</v>
      </c>
      <c r="E2910" s="5">
        <v>44519</v>
      </c>
      <c r="G2910" s="15"/>
      <c r="H2910" s="7"/>
      <c r="I2910" s="14">
        <f t="shared" si="230"/>
        <v>0</v>
      </c>
      <c r="J2910" s="67"/>
    </row>
    <row r="2911" spans="2:10" x14ac:dyDescent="0.15">
      <c r="B2911" s="69" t="s">
        <v>189</v>
      </c>
      <c r="C2911" s="13">
        <v>2</v>
      </c>
      <c r="D2911" s="14">
        <f t="shared" si="232"/>
        <v>2</v>
      </c>
      <c r="E2911" s="5">
        <v>44524</v>
      </c>
      <c r="G2911" s="15"/>
      <c r="H2911" s="7"/>
      <c r="I2911" s="14">
        <f t="shared" si="230"/>
        <v>0</v>
      </c>
      <c r="J2911" s="67"/>
    </row>
    <row r="2912" spans="2:10" ht="14.25" thickBot="1" x14ac:dyDescent="0.2">
      <c r="B2912" s="71" t="s">
        <v>702</v>
      </c>
      <c r="C2912" s="13">
        <v>1</v>
      </c>
      <c r="D2912" s="11">
        <f t="shared" si="232"/>
        <v>1</v>
      </c>
      <c r="E2912" s="12">
        <v>44527</v>
      </c>
      <c r="G2912" s="15" t="s">
        <v>847</v>
      </c>
      <c r="H2912" s="7"/>
      <c r="I2912" s="14">
        <f t="shared" ref="I2912" si="233">SUM(H2912:H2912)</f>
        <v>0</v>
      </c>
      <c r="J2912" s="67" t="s">
        <v>848</v>
      </c>
    </row>
    <row r="2913" spans="2:10" ht="14.25" thickBot="1" x14ac:dyDescent="0.2">
      <c r="B2913" s="17" t="s">
        <v>2</v>
      </c>
      <c r="C2913" s="18">
        <f>SUM(C2889:C2912)</f>
        <v>53</v>
      </c>
      <c r="D2913" s="19">
        <f t="shared" si="232"/>
        <v>53</v>
      </c>
      <c r="E2913" s="20"/>
      <c r="G2913" s="17" t="s">
        <v>2</v>
      </c>
      <c r="H2913" s="18">
        <f>SUM(H2889:H2912)</f>
        <v>0</v>
      </c>
      <c r="I2913" s="19">
        <f t="shared" si="230"/>
        <v>0</v>
      </c>
      <c r="J2913" s="20"/>
    </row>
    <row r="2914" spans="2:10" ht="14.25" thickBot="1" x14ac:dyDescent="0.2">
      <c r="B2914" s="46" t="s">
        <v>3</v>
      </c>
      <c r="C2914" s="52">
        <f>C2888-C2913</f>
        <v>170</v>
      </c>
      <c r="D2914" s="48">
        <f>D2888-D2913</f>
        <v>170</v>
      </c>
      <c r="E2914" s="49"/>
      <c r="G2914" s="46" t="s">
        <v>3</v>
      </c>
      <c r="H2914" s="52">
        <f>H2888-H2913</f>
        <v>1048</v>
      </c>
      <c r="I2914" s="48">
        <f>I2888-I2913</f>
        <v>1048</v>
      </c>
      <c r="J2914" s="49"/>
    </row>
    <row r="2917" spans="2:10" ht="18.75" x14ac:dyDescent="0.2">
      <c r="B2917" s="26" t="s">
        <v>7</v>
      </c>
      <c r="G2917" s="26" t="s">
        <v>35</v>
      </c>
    </row>
    <row r="2918" spans="2:10" ht="14.25" thickBot="1" x14ac:dyDescent="0.2"/>
    <row r="2919" spans="2:10" ht="14.25" thickBot="1" x14ac:dyDescent="0.2">
      <c r="B2919" s="1"/>
      <c r="C2919" s="1"/>
      <c r="D2919" s="53" t="s">
        <v>0</v>
      </c>
      <c r="E2919" s="1" t="s">
        <v>4</v>
      </c>
      <c r="G2919" s="1"/>
      <c r="H2919" s="1"/>
      <c r="I2919" s="53" t="s">
        <v>0</v>
      </c>
      <c r="J2919" s="1" t="s">
        <v>4</v>
      </c>
    </row>
    <row r="2920" spans="2:10" x14ac:dyDescent="0.15">
      <c r="B2920" s="42" t="s">
        <v>5</v>
      </c>
      <c r="C2920" s="43">
        <f>C2914</f>
        <v>170</v>
      </c>
      <c r="D2920" s="44">
        <f>SUM(C2920:C2920)</f>
        <v>170</v>
      </c>
      <c r="E2920" s="45"/>
      <c r="G2920" s="42" t="s">
        <v>5</v>
      </c>
      <c r="H2920" s="43">
        <f>H2914</f>
        <v>1048</v>
      </c>
      <c r="I2920" s="44">
        <f>SUM(H2920:H2920)</f>
        <v>1048</v>
      </c>
      <c r="J2920" s="45"/>
    </row>
    <row r="2921" spans="2:10" x14ac:dyDescent="0.15">
      <c r="B2921" s="6" t="s">
        <v>6</v>
      </c>
      <c r="C2921" s="13"/>
      <c r="D2921" s="14">
        <f>SUM(C2921:C2921)</f>
        <v>0</v>
      </c>
      <c r="E2921" s="12"/>
      <c r="G2921" s="6" t="s">
        <v>6</v>
      </c>
      <c r="H2921" s="13"/>
      <c r="I2921" s="14">
        <f>SUM(H2921:H2921)</f>
        <v>0</v>
      </c>
      <c r="J2921" s="169"/>
    </row>
    <row r="2922" spans="2:10" x14ac:dyDescent="0.15">
      <c r="B2922" s="6" t="s">
        <v>6</v>
      </c>
      <c r="C2922" s="13"/>
      <c r="D2922" s="14">
        <f>SUM(C2922:C2922)</f>
        <v>0</v>
      </c>
      <c r="E2922" s="12"/>
      <c r="G2922" s="6" t="s">
        <v>6</v>
      </c>
      <c r="H2922" s="77"/>
      <c r="I2922" s="11">
        <f>SUM(H2922:H2922)</f>
        <v>0</v>
      </c>
      <c r="J2922" s="172"/>
    </row>
    <row r="2923" spans="2:10" ht="14.25" thickBot="1" x14ac:dyDescent="0.2">
      <c r="B2923" s="6" t="s">
        <v>6</v>
      </c>
      <c r="C2923" s="13"/>
      <c r="D2923" s="14">
        <f>SUM(C2923:C2923)</f>
        <v>0</v>
      </c>
      <c r="E2923" s="74"/>
      <c r="F2923" s="25"/>
      <c r="G2923" s="6" t="s">
        <v>6</v>
      </c>
      <c r="H2923" s="170"/>
      <c r="I2923" s="73">
        <f>SUM(H2923:H2923)</f>
        <v>0</v>
      </c>
      <c r="J2923" s="174"/>
    </row>
    <row r="2924" spans="2:10" ht="14.25" thickBot="1" x14ac:dyDescent="0.2">
      <c r="B2924" s="46" t="s">
        <v>1</v>
      </c>
      <c r="C2924" s="48">
        <f>SUM(C2920:C2923)</f>
        <v>170</v>
      </c>
      <c r="D2924" s="48">
        <f>SUM(D2920:D2923)</f>
        <v>170</v>
      </c>
      <c r="E2924" s="51"/>
      <c r="G2924" s="46" t="s">
        <v>1</v>
      </c>
      <c r="H2924" s="50">
        <f>SUM(H2920:H2923)</f>
        <v>1048</v>
      </c>
      <c r="I2924" s="48">
        <f>SUM(I2920:I2923)</f>
        <v>1048</v>
      </c>
      <c r="J2924" s="51"/>
    </row>
    <row r="2925" spans="2:10" x14ac:dyDescent="0.15">
      <c r="B2925" s="10" t="s">
        <v>702</v>
      </c>
      <c r="C2925" s="13">
        <v>1</v>
      </c>
      <c r="D2925" s="11">
        <f>SUM(C2925:C2925)</f>
        <v>1</v>
      </c>
      <c r="E2925" s="12">
        <v>44531</v>
      </c>
      <c r="F2925" s="180"/>
      <c r="G2925" s="15"/>
      <c r="H2925" s="13"/>
      <c r="I2925" s="11">
        <f>SUM(H2925:H2925)</f>
        <v>0</v>
      </c>
      <c r="J2925" s="12"/>
    </row>
    <row r="2926" spans="2:10" x14ac:dyDescent="0.15">
      <c r="B2926" s="69" t="s">
        <v>189</v>
      </c>
      <c r="C2926" s="13">
        <v>2</v>
      </c>
      <c r="D2926" s="14">
        <f>SUM(C2926:C2926)</f>
        <v>2</v>
      </c>
      <c r="E2926" s="12">
        <v>44539</v>
      </c>
      <c r="F2926" s="180"/>
      <c r="G2926" s="89"/>
      <c r="H2926" s="13"/>
      <c r="I2926" s="14">
        <f>SUM(H2926:H2926)</f>
        <v>0</v>
      </c>
      <c r="J2926" s="12"/>
    </row>
    <row r="2927" spans="2:10" x14ac:dyDescent="0.15">
      <c r="B2927" s="69" t="s">
        <v>189</v>
      </c>
      <c r="C2927" s="13">
        <v>4</v>
      </c>
      <c r="D2927" s="14">
        <f>SUM(C2927:C2927)</f>
        <v>4</v>
      </c>
      <c r="E2927" s="12">
        <v>44543</v>
      </c>
      <c r="G2927" s="89"/>
      <c r="H2927" s="13"/>
      <c r="I2927" s="14">
        <f t="shared" ref="I2927:I2949" si="234">SUM(H2927:H2927)</f>
        <v>0</v>
      </c>
      <c r="J2927" s="12"/>
    </row>
    <row r="2928" spans="2:10" x14ac:dyDescent="0.15">
      <c r="B2928" s="10" t="s">
        <v>702</v>
      </c>
      <c r="C2928" s="13">
        <v>2</v>
      </c>
      <c r="D2928" s="14">
        <f t="shared" ref="D2928:D2938" si="235">SUM(C2928:C2928)</f>
        <v>2</v>
      </c>
      <c r="E2928" s="12">
        <v>44548</v>
      </c>
      <c r="G2928" s="89"/>
      <c r="H2928" s="13"/>
      <c r="I2928" s="14">
        <f t="shared" si="234"/>
        <v>0</v>
      </c>
      <c r="J2928" s="12"/>
    </row>
    <row r="2929" spans="2:10" x14ac:dyDescent="0.15">
      <c r="B2929" s="69" t="s">
        <v>851</v>
      </c>
      <c r="C2929" s="13">
        <v>1</v>
      </c>
      <c r="D2929" s="14">
        <f t="shared" si="235"/>
        <v>1</v>
      </c>
      <c r="E2929" s="12">
        <v>44548</v>
      </c>
      <c r="G2929" s="89"/>
      <c r="H2929" s="13"/>
      <c r="I2929" s="14">
        <f t="shared" si="234"/>
        <v>0</v>
      </c>
      <c r="J2929" s="12"/>
    </row>
    <row r="2930" spans="2:10" x14ac:dyDescent="0.15">
      <c r="B2930" s="69" t="s">
        <v>189</v>
      </c>
      <c r="C2930" s="13">
        <v>1</v>
      </c>
      <c r="D2930" s="14">
        <f t="shared" si="235"/>
        <v>1</v>
      </c>
      <c r="E2930" s="12">
        <v>44554</v>
      </c>
      <c r="G2930" s="15"/>
      <c r="H2930" s="13"/>
      <c r="I2930" s="14">
        <f t="shared" si="234"/>
        <v>0</v>
      </c>
      <c r="J2930" s="12"/>
    </row>
    <row r="2931" spans="2:10" x14ac:dyDescent="0.15">
      <c r="B2931" s="10" t="s">
        <v>702</v>
      </c>
      <c r="C2931" s="13">
        <v>5</v>
      </c>
      <c r="D2931" s="14">
        <f t="shared" si="235"/>
        <v>5</v>
      </c>
      <c r="E2931" s="12">
        <v>44569</v>
      </c>
      <c r="G2931" s="15"/>
      <c r="H2931" s="13"/>
      <c r="I2931" s="14">
        <f t="shared" si="234"/>
        <v>0</v>
      </c>
      <c r="J2931" s="12"/>
    </row>
    <row r="2932" spans="2:10" x14ac:dyDescent="0.15">
      <c r="B2932" s="69" t="s">
        <v>189</v>
      </c>
      <c r="C2932" s="13">
        <v>2</v>
      </c>
      <c r="D2932" s="14">
        <f t="shared" si="235"/>
        <v>2</v>
      </c>
      <c r="E2932" s="12">
        <v>44585</v>
      </c>
      <c r="G2932" s="15"/>
      <c r="H2932" s="13"/>
      <c r="I2932" s="14">
        <f t="shared" si="234"/>
        <v>0</v>
      </c>
      <c r="J2932" s="12"/>
    </row>
    <row r="2933" spans="2:10" x14ac:dyDescent="0.15">
      <c r="B2933" s="69" t="s">
        <v>189</v>
      </c>
      <c r="C2933" s="13"/>
      <c r="D2933" s="14">
        <f t="shared" si="235"/>
        <v>0</v>
      </c>
      <c r="E2933" s="12">
        <v>44586</v>
      </c>
      <c r="G2933" s="15"/>
      <c r="H2933" s="13"/>
      <c r="I2933" s="14">
        <f t="shared" si="234"/>
        <v>0</v>
      </c>
      <c r="J2933" s="12"/>
    </row>
    <row r="2934" spans="2:10" x14ac:dyDescent="0.15">
      <c r="B2934" s="69" t="s">
        <v>189</v>
      </c>
      <c r="C2934" s="13">
        <v>1</v>
      </c>
      <c r="D2934" s="14">
        <f t="shared" si="235"/>
        <v>1</v>
      </c>
      <c r="E2934" s="12">
        <v>44592</v>
      </c>
      <c r="G2934" s="15"/>
      <c r="H2934" s="13"/>
      <c r="I2934" s="14">
        <f t="shared" si="234"/>
        <v>0</v>
      </c>
      <c r="J2934" s="12"/>
    </row>
    <row r="2935" spans="2:10" x14ac:dyDescent="0.15">
      <c r="B2935" s="69" t="s">
        <v>189</v>
      </c>
      <c r="C2935" s="13">
        <v>2</v>
      </c>
      <c r="D2935" s="14">
        <f t="shared" si="235"/>
        <v>2</v>
      </c>
      <c r="E2935" s="12">
        <v>44595</v>
      </c>
      <c r="G2935" s="15"/>
      <c r="H2935" s="13"/>
      <c r="I2935" s="14">
        <f t="shared" si="234"/>
        <v>0</v>
      </c>
      <c r="J2935" s="5"/>
    </row>
    <row r="2936" spans="2:10" x14ac:dyDescent="0.15">
      <c r="B2936" s="69" t="s">
        <v>189</v>
      </c>
      <c r="C2936" s="13">
        <v>1</v>
      </c>
      <c r="D2936" s="14">
        <f t="shared" si="235"/>
        <v>1</v>
      </c>
      <c r="E2936" s="12">
        <v>44599</v>
      </c>
      <c r="G2936" s="15"/>
      <c r="H2936" s="7"/>
      <c r="I2936" s="14">
        <f t="shared" si="234"/>
        <v>0</v>
      </c>
      <c r="J2936" s="12"/>
    </row>
    <row r="2937" spans="2:10" x14ac:dyDescent="0.15">
      <c r="B2937" s="69" t="s">
        <v>189</v>
      </c>
      <c r="C2937" s="13">
        <f>1+1+3</f>
        <v>5</v>
      </c>
      <c r="D2937" s="14">
        <f t="shared" si="235"/>
        <v>5</v>
      </c>
      <c r="E2937" s="12">
        <v>44606</v>
      </c>
      <c r="G2937" s="15"/>
      <c r="H2937" s="7"/>
      <c r="I2937" s="14">
        <f t="shared" si="234"/>
        <v>0</v>
      </c>
      <c r="J2937" s="12"/>
    </row>
    <row r="2938" spans="2:10" x14ac:dyDescent="0.15">
      <c r="B2938" s="10" t="s">
        <v>858</v>
      </c>
      <c r="C2938" s="13">
        <v>14</v>
      </c>
      <c r="D2938" s="14">
        <f t="shared" si="235"/>
        <v>14</v>
      </c>
      <c r="E2938" s="12">
        <v>44613</v>
      </c>
      <c r="G2938" s="15"/>
      <c r="H2938" s="7"/>
      <c r="I2938" s="14">
        <f t="shared" si="234"/>
        <v>0</v>
      </c>
      <c r="J2938" s="5"/>
    </row>
    <row r="2939" spans="2:10" x14ac:dyDescent="0.15">
      <c r="B2939" s="69" t="s">
        <v>189</v>
      </c>
      <c r="C2939" s="13">
        <f>1+3</f>
        <v>4</v>
      </c>
      <c r="D2939" s="14">
        <f>SUM(C2939:C2939)</f>
        <v>4</v>
      </c>
      <c r="E2939" s="12">
        <v>44613</v>
      </c>
      <c r="G2939" s="15"/>
      <c r="H2939" s="7"/>
      <c r="I2939" s="14">
        <f t="shared" si="234"/>
        <v>0</v>
      </c>
      <c r="J2939" s="12"/>
    </row>
    <row r="2940" spans="2:10" x14ac:dyDescent="0.15">
      <c r="B2940" s="69" t="s">
        <v>189</v>
      </c>
      <c r="C2940" s="13">
        <v>2</v>
      </c>
      <c r="D2940" s="14">
        <f t="shared" ref="D2940:D2949" si="236">SUM(C2940:C2940)</f>
        <v>2</v>
      </c>
      <c r="E2940" s="12">
        <v>44620</v>
      </c>
      <c r="G2940" s="15"/>
      <c r="H2940" s="7"/>
      <c r="I2940" s="14">
        <f t="shared" si="234"/>
        <v>0</v>
      </c>
      <c r="J2940" s="12"/>
    </row>
    <row r="2941" spans="2:10" x14ac:dyDescent="0.15">
      <c r="B2941" s="10" t="s">
        <v>18</v>
      </c>
      <c r="C2941" s="13">
        <v>11</v>
      </c>
      <c r="D2941" s="14">
        <f t="shared" si="236"/>
        <v>11</v>
      </c>
      <c r="E2941" s="12">
        <v>44622</v>
      </c>
      <c r="G2941" s="15"/>
      <c r="H2941" s="7"/>
      <c r="I2941" s="14">
        <f t="shared" si="234"/>
        <v>0</v>
      </c>
      <c r="J2941" s="67"/>
    </row>
    <row r="2942" spans="2:10" x14ac:dyDescent="0.15">
      <c r="B2942" s="10" t="s">
        <v>18</v>
      </c>
      <c r="C2942" s="13">
        <v>10</v>
      </c>
      <c r="D2942" s="14">
        <f t="shared" si="236"/>
        <v>10</v>
      </c>
      <c r="E2942" s="12">
        <v>44623</v>
      </c>
      <c r="G2942" s="15"/>
      <c r="H2942" s="7"/>
      <c r="I2942" s="14">
        <f t="shared" si="234"/>
        <v>0</v>
      </c>
      <c r="J2942" s="67"/>
    </row>
    <row r="2943" spans="2:10" x14ac:dyDescent="0.15">
      <c r="B2943" s="69" t="s">
        <v>189</v>
      </c>
      <c r="C2943" s="13">
        <v>1</v>
      </c>
      <c r="D2943" s="14">
        <f t="shared" si="236"/>
        <v>1</v>
      </c>
      <c r="E2943" s="12">
        <v>44623</v>
      </c>
      <c r="G2943" s="15"/>
      <c r="H2943" s="7"/>
      <c r="I2943" s="14">
        <f t="shared" si="234"/>
        <v>0</v>
      </c>
      <c r="J2943" s="67"/>
    </row>
    <row r="2944" spans="2:10" x14ac:dyDescent="0.15">
      <c r="B2944" s="69" t="s">
        <v>189</v>
      </c>
      <c r="C2944" s="13">
        <v>1</v>
      </c>
      <c r="D2944" s="14">
        <f t="shared" si="236"/>
        <v>1</v>
      </c>
      <c r="E2944" s="5">
        <v>44628</v>
      </c>
      <c r="G2944" s="15"/>
      <c r="H2944" s="7"/>
      <c r="I2944" s="14">
        <f t="shared" si="234"/>
        <v>0</v>
      </c>
      <c r="J2944" s="67"/>
    </row>
    <row r="2945" spans="2:10" x14ac:dyDescent="0.15">
      <c r="B2945" s="10" t="s">
        <v>18</v>
      </c>
      <c r="C2945" s="13">
        <v>3</v>
      </c>
      <c r="D2945" s="14">
        <f t="shared" si="236"/>
        <v>3</v>
      </c>
      <c r="E2945" s="5">
        <v>44630</v>
      </c>
      <c r="G2945" s="15"/>
      <c r="H2945" s="7"/>
      <c r="I2945" s="14">
        <f t="shared" si="234"/>
        <v>0</v>
      </c>
      <c r="J2945" s="67"/>
    </row>
    <row r="2946" spans="2:10" x14ac:dyDescent="0.15">
      <c r="B2946" s="10" t="s">
        <v>18</v>
      </c>
      <c r="C2946" s="13">
        <v>3</v>
      </c>
      <c r="D2946" s="14">
        <f t="shared" si="236"/>
        <v>3</v>
      </c>
      <c r="E2946" s="5">
        <v>44634</v>
      </c>
      <c r="G2946" s="15"/>
      <c r="H2946" s="7"/>
      <c r="I2946" s="14">
        <f t="shared" si="234"/>
        <v>0</v>
      </c>
      <c r="J2946" s="67"/>
    </row>
    <row r="2947" spans="2:10" x14ac:dyDescent="0.15">
      <c r="B2947" s="15" t="s">
        <v>853</v>
      </c>
      <c r="C2947" s="7"/>
      <c r="D2947" s="14">
        <f t="shared" si="236"/>
        <v>0</v>
      </c>
      <c r="E2947" s="67" t="s">
        <v>854</v>
      </c>
      <c r="G2947" s="15"/>
      <c r="H2947" s="7"/>
      <c r="I2947" s="14">
        <f t="shared" si="234"/>
        <v>0</v>
      </c>
      <c r="J2947" s="67"/>
    </row>
    <row r="2948" spans="2:10" ht="14.25" thickBot="1" x14ac:dyDescent="0.2">
      <c r="B2948" s="15" t="s">
        <v>859</v>
      </c>
      <c r="C2948" s="7"/>
      <c r="D2948" s="14">
        <f t="shared" si="236"/>
        <v>0</v>
      </c>
      <c r="E2948" s="67" t="s">
        <v>860</v>
      </c>
      <c r="G2948" s="15"/>
      <c r="H2948" s="7"/>
      <c r="I2948" s="14">
        <f t="shared" si="234"/>
        <v>0</v>
      </c>
      <c r="J2948" s="67"/>
    </row>
    <row r="2949" spans="2:10" ht="14.25" thickBot="1" x14ac:dyDescent="0.2">
      <c r="B2949" s="17" t="s">
        <v>2</v>
      </c>
      <c r="C2949" s="18">
        <f>SUM(C2925:C2948)</f>
        <v>76</v>
      </c>
      <c r="D2949" s="19">
        <f t="shared" si="236"/>
        <v>76</v>
      </c>
      <c r="E2949" s="20"/>
      <c r="G2949" s="17" t="s">
        <v>2</v>
      </c>
      <c r="H2949" s="18">
        <f>SUM(H2925:H2948)</f>
        <v>0</v>
      </c>
      <c r="I2949" s="19">
        <f t="shared" si="234"/>
        <v>0</v>
      </c>
      <c r="J2949" s="20"/>
    </row>
    <row r="2950" spans="2:10" ht="14.25" thickBot="1" x14ac:dyDescent="0.2">
      <c r="B2950" s="46" t="s">
        <v>3</v>
      </c>
      <c r="C2950" s="52">
        <f>C2924-C2949</f>
        <v>94</v>
      </c>
      <c r="D2950" s="48">
        <f>D2924-D2949</f>
        <v>94</v>
      </c>
      <c r="E2950" s="49"/>
      <c r="G2950" s="46" t="s">
        <v>3</v>
      </c>
      <c r="H2950" s="52">
        <f>H2924-H2949</f>
        <v>1048</v>
      </c>
      <c r="I2950" s="48">
        <f>I2924-I2949</f>
        <v>1048</v>
      </c>
      <c r="J2950" s="49"/>
    </row>
    <row r="2953" spans="2:10" ht="18.75" x14ac:dyDescent="0.2">
      <c r="B2953" s="26" t="s">
        <v>7</v>
      </c>
      <c r="G2953" s="26" t="s">
        <v>35</v>
      </c>
    </row>
    <row r="2954" spans="2:10" ht="14.25" thickBot="1" x14ac:dyDescent="0.2"/>
    <row r="2955" spans="2:10" ht="14.25" thickBot="1" x14ac:dyDescent="0.2">
      <c r="B2955" s="1"/>
      <c r="C2955" s="1"/>
      <c r="D2955" s="53" t="s">
        <v>0</v>
      </c>
      <c r="E2955" s="1" t="s">
        <v>4</v>
      </c>
      <c r="G2955" s="1"/>
      <c r="H2955" s="1"/>
      <c r="I2955" s="53" t="s">
        <v>0</v>
      </c>
      <c r="J2955" s="1" t="s">
        <v>4</v>
      </c>
    </row>
    <row r="2956" spans="2:10" x14ac:dyDescent="0.15">
      <c r="B2956" s="42" t="s">
        <v>5</v>
      </c>
      <c r="C2956" s="43">
        <f>C2950</f>
        <v>94</v>
      </c>
      <c r="D2956" s="44">
        <f>SUM(C2956:C2956)</f>
        <v>94</v>
      </c>
      <c r="E2956" s="45"/>
      <c r="G2956" s="42" t="s">
        <v>5</v>
      </c>
      <c r="H2956" s="43">
        <f>H2950</f>
        <v>1048</v>
      </c>
      <c r="I2956" s="44">
        <f>SUM(H2956:H2956)</f>
        <v>1048</v>
      </c>
      <c r="J2956" s="45"/>
    </row>
    <row r="2957" spans="2:10" x14ac:dyDescent="0.15">
      <c r="B2957" s="6" t="s">
        <v>6</v>
      </c>
      <c r="C2957" s="13">
        <v>200</v>
      </c>
      <c r="D2957" s="14">
        <f>SUM(C2957:C2957)</f>
        <v>200</v>
      </c>
      <c r="E2957" s="12">
        <v>44643</v>
      </c>
      <c r="G2957" s="6" t="s">
        <v>6</v>
      </c>
      <c r="H2957" s="13"/>
      <c r="I2957" s="14">
        <f>SUM(H2957:H2957)</f>
        <v>0</v>
      </c>
      <c r="J2957" s="169"/>
    </row>
    <row r="2958" spans="2:10" x14ac:dyDescent="0.15">
      <c r="B2958" s="6" t="s">
        <v>6</v>
      </c>
      <c r="C2958" s="13">
        <v>600</v>
      </c>
      <c r="D2958" s="14">
        <f>SUM(C2958:C2958)</f>
        <v>600</v>
      </c>
      <c r="E2958" s="12">
        <v>44651</v>
      </c>
      <c r="F2958" s="86"/>
      <c r="G2958" s="6" t="s">
        <v>6</v>
      </c>
      <c r="H2958" s="77">
        <v>2000</v>
      </c>
      <c r="I2958" s="11">
        <f>SUM(H2958:H2958)</f>
        <v>2000</v>
      </c>
      <c r="J2958" s="172" t="s">
        <v>868</v>
      </c>
    </row>
    <row r="2959" spans="2:10" ht="14.25" thickBot="1" x14ac:dyDescent="0.2">
      <c r="B2959" s="6" t="s">
        <v>6</v>
      </c>
      <c r="C2959" s="13"/>
      <c r="D2959" s="14">
        <f>SUM(C2959:C2959)</f>
        <v>0</v>
      </c>
      <c r="E2959" s="74"/>
      <c r="F2959" s="25"/>
      <c r="G2959" s="6" t="s">
        <v>6</v>
      </c>
      <c r="H2959" s="170"/>
      <c r="I2959" s="73">
        <f>SUM(H2959:H2959)</f>
        <v>0</v>
      </c>
      <c r="J2959" s="174"/>
    </row>
    <row r="2960" spans="2:10" ht="14.25" thickBot="1" x14ac:dyDescent="0.2">
      <c r="B2960" s="46" t="s">
        <v>1</v>
      </c>
      <c r="C2960" s="48">
        <f>SUM(C2956:C2959)</f>
        <v>894</v>
      </c>
      <c r="D2960" s="48">
        <f>SUM(D2956:D2959)</f>
        <v>894</v>
      </c>
      <c r="E2960" s="51"/>
      <c r="G2960" s="46" t="s">
        <v>1</v>
      </c>
      <c r="H2960" s="50">
        <f>SUM(H2956:H2959)</f>
        <v>3048</v>
      </c>
      <c r="I2960" s="48">
        <f>SUM(I2956:I2959)</f>
        <v>3048</v>
      </c>
      <c r="J2960" s="51"/>
    </row>
    <row r="2961" spans="2:10" x14ac:dyDescent="0.15">
      <c r="B2961" s="10" t="s">
        <v>18</v>
      </c>
      <c r="C2961" s="13">
        <v>1</v>
      </c>
      <c r="D2961" s="11">
        <f>SUM(C2961:C2961)</f>
        <v>1</v>
      </c>
      <c r="E2961" s="12">
        <v>44635</v>
      </c>
      <c r="F2961" s="180"/>
      <c r="G2961" s="15" t="s">
        <v>863</v>
      </c>
      <c r="H2961" s="13">
        <v>200</v>
      </c>
      <c r="I2961" s="11">
        <f>SUM(H2961:H2961)</f>
        <v>200</v>
      </c>
      <c r="J2961" s="12">
        <v>44643</v>
      </c>
    </row>
    <row r="2962" spans="2:10" x14ac:dyDescent="0.15">
      <c r="B2962" s="10" t="s">
        <v>18</v>
      </c>
      <c r="C2962" s="13">
        <v>1</v>
      </c>
      <c r="D2962" s="14">
        <f>SUM(C2962:C2962)</f>
        <v>1</v>
      </c>
      <c r="E2962" s="12">
        <v>44636</v>
      </c>
      <c r="F2962" s="180"/>
      <c r="G2962" s="15" t="s">
        <v>12</v>
      </c>
      <c r="H2962" s="13">
        <v>600</v>
      </c>
      <c r="I2962" s="14">
        <f>SUM(H2962:H2962)</f>
        <v>600</v>
      </c>
      <c r="J2962" s="12">
        <v>44651</v>
      </c>
    </row>
    <row r="2963" spans="2:10" x14ac:dyDescent="0.15">
      <c r="B2963" s="69" t="s">
        <v>189</v>
      </c>
      <c r="C2963" s="13">
        <v>2</v>
      </c>
      <c r="D2963" s="14">
        <f>SUM(C2963:C2963)</f>
        <v>2</v>
      </c>
      <c r="E2963" s="12">
        <v>44635</v>
      </c>
      <c r="G2963" s="15" t="s">
        <v>546</v>
      </c>
      <c r="H2963" s="13">
        <v>250</v>
      </c>
      <c r="I2963" s="14">
        <f t="shared" ref="I2963:I2985" si="237">SUM(H2963:H2963)</f>
        <v>250</v>
      </c>
      <c r="J2963" s="12">
        <v>44658</v>
      </c>
    </row>
    <row r="2964" spans="2:10" x14ac:dyDescent="0.15">
      <c r="B2964" s="10" t="s">
        <v>18</v>
      </c>
      <c r="C2964" s="13">
        <v>1</v>
      </c>
      <c r="D2964" s="14">
        <f t="shared" ref="D2964:D2974" si="238">SUM(C2964:C2964)</f>
        <v>1</v>
      </c>
      <c r="E2964" s="12">
        <v>44637</v>
      </c>
      <c r="G2964" s="89"/>
      <c r="H2964" s="13"/>
      <c r="I2964" s="14">
        <f t="shared" si="237"/>
        <v>0</v>
      </c>
      <c r="J2964" s="12"/>
    </row>
    <row r="2965" spans="2:10" x14ac:dyDescent="0.15">
      <c r="B2965" s="10" t="s">
        <v>18</v>
      </c>
      <c r="C2965" s="13">
        <v>1</v>
      </c>
      <c r="D2965" s="14">
        <f t="shared" si="238"/>
        <v>1</v>
      </c>
      <c r="E2965" s="12">
        <v>44642</v>
      </c>
      <c r="G2965" s="89"/>
      <c r="H2965" s="13"/>
      <c r="I2965" s="14">
        <f t="shared" si="237"/>
        <v>0</v>
      </c>
      <c r="J2965" s="12"/>
    </row>
    <row r="2966" spans="2:10" x14ac:dyDescent="0.15">
      <c r="B2966" s="15" t="s">
        <v>864</v>
      </c>
      <c r="C2966" s="13">
        <v>100</v>
      </c>
      <c r="D2966" s="14">
        <f t="shared" si="238"/>
        <v>100</v>
      </c>
      <c r="E2966" s="12">
        <v>44652</v>
      </c>
      <c r="G2966" s="15"/>
      <c r="H2966" s="13"/>
      <c r="I2966" s="14">
        <f t="shared" si="237"/>
        <v>0</v>
      </c>
      <c r="J2966" s="12"/>
    </row>
    <row r="2967" spans="2:10" x14ac:dyDescent="0.15">
      <c r="B2967" s="15" t="s">
        <v>545</v>
      </c>
      <c r="C2967" s="13">
        <v>100</v>
      </c>
      <c r="D2967" s="14">
        <f t="shared" si="238"/>
        <v>100</v>
      </c>
      <c r="E2967" s="12">
        <v>44644</v>
      </c>
      <c r="G2967" s="15"/>
      <c r="H2967" s="13"/>
      <c r="I2967" s="14">
        <f t="shared" si="237"/>
        <v>0</v>
      </c>
      <c r="J2967" s="12"/>
    </row>
    <row r="2968" spans="2:10" x14ac:dyDescent="0.15">
      <c r="B2968" s="69" t="s">
        <v>189</v>
      </c>
      <c r="C2968" s="13">
        <v>1</v>
      </c>
      <c r="D2968" s="14">
        <f t="shared" si="238"/>
        <v>1</v>
      </c>
      <c r="E2968" s="12">
        <v>44642</v>
      </c>
      <c r="G2968" s="15"/>
      <c r="H2968" s="13"/>
      <c r="I2968" s="14">
        <f t="shared" si="237"/>
        <v>0</v>
      </c>
      <c r="J2968" s="12"/>
    </row>
    <row r="2969" spans="2:10" x14ac:dyDescent="0.15">
      <c r="B2969" s="10" t="s">
        <v>18</v>
      </c>
      <c r="C2969" s="13">
        <v>3</v>
      </c>
      <c r="D2969" s="14">
        <f t="shared" si="238"/>
        <v>3</v>
      </c>
      <c r="E2969" s="12">
        <v>44644</v>
      </c>
      <c r="G2969" s="15"/>
      <c r="H2969" s="13"/>
      <c r="I2969" s="14">
        <f t="shared" si="237"/>
        <v>0</v>
      </c>
      <c r="J2969" s="12"/>
    </row>
    <row r="2970" spans="2:10" x14ac:dyDescent="0.15">
      <c r="B2970" s="10" t="s">
        <v>18</v>
      </c>
      <c r="C2970" s="13">
        <v>1</v>
      </c>
      <c r="D2970" s="14">
        <f t="shared" si="238"/>
        <v>1</v>
      </c>
      <c r="E2970" s="12">
        <v>44645</v>
      </c>
      <c r="G2970" s="15"/>
      <c r="H2970" s="13"/>
      <c r="I2970" s="14">
        <f t="shared" si="237"/>
        <v>0</v>
      </c>
      <c r="J2970" s="12"/>
    </row>
    <row r="2971" spans="2:10" x14ac:dyDescent="0.15">
      <c r="B2971" s="69" t="s">
        <v>189</v>
      </c>
      <c r="C2971" s="13">
        <v>4</v>
      </c>
      <c r="D2971" s="14">
        <f t="shared" si="238"/>
        <v>4</v>
      </c>
      <c r="E2971" s="12">
        <v>44644</v>
      </c>
      <c r="G2971" s="15"/>
      <c r="H2971" s="13"/>
      <c r="I2971" s="14">
        <f t="shared" si="237"/>
        <v>0</v>
      </c>
      <c r="J2971" s="5"/>
    </row>
    <row r="2972" spans="2:10" x14ac:dyDescent="0.15">
      <c r="B2972" s="10" t="s">
        <v>18</v>
      </c>
      <c r="C2972" s="13">
        <v>2</v>
      </c>
      <c r="D2972" s="14">
        <f t="shared" si="238"/>
        <v>2</v>
      </c>
      <c r="E2972" s="12">
        <v>44649</v>
      </c>
      <c r="G2972" s="15"/>
      <c r="H2972" s="7"/>
      <c r="I2972" s="14">
        <f t="shared" si="237"/>
        <v>0</v>
      </c>
      <c r="J2972" s="12"/>
    </row>
    <row r="2973" spans="2:10" x14ac:dyDescent="0.15">
      <c r="B2973" s="10" t="s">
        <v>18</v>
      </c>
      <c r="C2973" s="13">
        <v>1</v>
      </c>
      <c r="D2973" s="14">
        <f t="shared" si="238"/>
        <v>1</v>
      </c>
      <c r="E2973" s="12">
        <v>44650</v>
      </c>
      <c r="G2973" s="15"/>
      <c r="H2973" s="7"/>
      <c r="I2973" s="14">
        <f t="shared" si="237"/>
        <v>0</v>
      </c>
      <c r="J2973" s="12"/>
    </row>
    <row r="2974" spans="2:10" x14ac:dyDescent="0.15">
      <c r="B2974" s="15" t="s">
        <v>866</v>
      </c>
      <c r="C2974" s="13">
        <v>100</v>
      </c>
      <c r="D2974" s="14">
        <f t="shared" si="238"/>
        <v>100</v>
      </c>
      <c r="E2974" s="12">
        <v>44659</v>
      </c>
      <c r="G2974" s="15"/>
      <c r="H2974" s="7"/>
      <c r="I2974" s="14">
        <f t="shared" si="237"/>
        <v>0</v>
      </c>
      <c r="J2974" s="5"/>
    </row>
    <row r="2975" spans="2:10" x14ac:dyDescent="0.15">
      <c r="B2975" s="15" t="s">
        <v>867</v>
      </c>
      <c r="C2975" s="13">
        <v>100</v>
      </c>
      <c r="D2975" s="14">
        <f>SUM(C2975:C2975)</f>
        <v>100</v>
      </c>
      <c r="E2975" s="12">
        <v>44659</v>
      </c>
      <c r="G2975" s="15"/>
      <c r="H2975" s="7"/>
      <c r="I2975" s="14">
        <f t="shared" si="237"/>
        <v>0</v>
      </c>
      <c r="J2975" s="12"/>
    </row>
    <row r="2976" spans="2:10" x14ac:dyDescent="0.15">
      <c r="B2976" s="69" t="s">
        <v>189</v>
      </c>
      <c r="C2976" s="13">
        <v>1</v>
      </c>
      <c r="D2976" s="14">
        <f t="shared" ref="D2976:D2985" si="239">SUM(C2976:C2976)</f>
        <v>1</v>
      </c>
      <c r="E2976" s="12">
        <v>44649</v>
      </c>
      <c r="G2976" s="15"/>
      <c r="H2976" s="7"/>
      <c r="I2976" s="14">
        <f t="shared" si="237"/>
        <v>0</v>
      </c>
      <c r="J2976" s="12"/>
    </row>
    <row r="2977" spans="2:11" x14ac:dyDescent="0.15">
      <c r="B2977" s="10" t="s">
        <v>18</v>
      </c>
      <c r="C2977" s="13">
        <v>5</v>
      </c>
      <c r="D2977" s="14">
        <f t="shared" si="239"/>
        <v>5</v>
      </c>
      <c r="E2977" s="12">
        <v>44652</v>
      </c>
      <c r="G2977" s="15"/>
      <c r="H2977" s="7"/>
      <c r="I2977" s="14">
        <f t="shared" si="237"/>
        <v>0</v>
      </c>
      <c r="J2977" s="67"/>
    </row>
    <row r="2978" spans="2:11" x14ac:dyDescent="0.15">
      <c r="B2978" s="10" t="s">
        <v>18</v>
      </c>
      <c r="C2978" s="13">
        <v>3</v>
      </c>
      <c r="D2978" s="14">
        <f t="shared" si="239"/>
        <v>3</v>
      </c>
      <c r="E2978" s="12">
        <v>44655</v>
      </c>
      <c r="G2978" s="15"/>
      <c r="H2978" s="7"/>
      <c r="I2978" s="14">
        <f t="shared" si="237"/>
        <v>0</v>
      </c>
      <c r="J2978" s="67"/>
    </row>
    <row r="2979" spans="2:11" x14ac:dyDescent="0.15">
      <c r="B2979" s="10" t="s">
        <v>18</v>
      </c>
      <c r="C2979" s="13">
        <v>2</v>
      </c>
      <c r="D2979" s="14">
        <f t="shared" si="239"/>
        <v>2</v>
      </c>
      <c r="E2979" s="12">
        <v>44656</v>
      </c>
      <c r="G2979" s="15"/>
      <c r="H2979" s="7"/>
      <c r="I2979" s="14">
        <f t="shared" si="237"/>
        <v>0</v>
      </c>
      <c r="J2979" s="67"/>
    </row>
    <row r="2980" spans="2:11" x14ac:dyDescent="0.15">
      <c r="B2980" s="10" t="s">
        <v>18</v>
      </c>
      <c r="C2980" s="13">
        <v>6</v>
      </c>
      <c r="D2980" s="14">
        <f t="shared" si="239"/>
        <v>6</v>
      </c>
      <c r="E2980" s="5">
        <v>44658</v>
      </c>
      <c r="G2980" s="15"/>
      <c r="H2980" s="7"/>
      <c r="I2980" s="14">
        <f t="shared" si="237"/>
        <v>0</v>
      </c>
      <c r="J2980" s="67"/>
    </row>
    <row r="2981" spans="2:11" x14ac:dyDescent="0.15">
      <c r="B2981" s="69" t="s">
        <v>189</v>
      </c>
      <c r="C2981" s="13">
        <v>1</v>
      </c>
      <c r="D2981" s="14">
        <f t="shared" si="239"/>
        <v>1</v>
      </c>
      <c r="E2981" s="5">
        <v>44657</v>
      </c>
      <c r="G2981" s="15"/>
      <c r="H2981" s="7"/>
      <c r="I2981" s="14">
        <f t="shared" ref="I2981" si="240">SUM(H2981:H2981)</f>
        <v>0</v>
      </c>
      <c r="J2981" s="67"/>
    </row>
    <row r="2982" spans="2:11" x14ac:dyDescent="0.15">
      <c r="B2982" s="69" t="s">
        <v>189</v>
      </c>
      <c r="C2982" s="13">
        <v>2</v>
      </c>
      <c r="D2982" s="14">
        <f t="shared" si="239"/>
        <v>2</v>
      </c>
      <c r="E2982" s="5">
        <v>44658</v>
      </c>
      <c r="G2982" s="15"/>
      <c r="H2982" s="7"/>
      <c r="I2982" s="14">
        <f t="shared" ref="I2982:I2983" si="241">SUM(H2982:H2982)</f>
        <v>0</v>
      </c>
      <c r="J2982" s="67"/>
    </row>
    <row r="2983" spans="2:11" x14ac:dyDescent="0.15">
      <c r="B2983" s="69" t="s">
        <v>702</v>
      </c>
      <c r="C2983" s="13">
        <v>1</v>
      </c>
      <c r="D2983" s="14">
        <f t="shared" si="239"/>
        <v>1</v>
      </c>
      <c r="E2983" s="5">
        <v>44662</v>
      </c>
      <c r="G2983" s="15"/>
      <c r="H2983" s="7"/>
      <c r="I2983" s="14">
        <f t="shared" si="241"/>
        <v>0</v>
      </c>
      <c r="J2983" s="67"/>
      <c r="K2983" s="181"/>
    </row>
    <row r="2984" spans="2:11" ht="14.25" thickBot="1" x14ac:dyDescent="0.2">
      <c r="B2984" s="69" t="s">
        <v>189</v>
      </c>
      <c r="C2984" s="7">
        <v>4</v>
      </c>
      <c r="D2984" s="14">
        <f t="shared" si="239"/>
        <v>4</v>
      </c>
      <c r="E2984" s="5">
        <v>44659</v>
      </c>
      <c r="G2984" s="15" t="s">
        <v>852</v>
      </c>
      <c r="H2984" s="7"/>
      <c r="I2984" s="14">
        <f t="shared" ref="I2984" si="242">SUM(H2984:H2984)</f>
        <v>0</v>
      </c>
      <c r="J2984" s="67" t="s">
        <v>857</v>
      </c>
      <c r="K2984" s="181"/>
    </row>
    <row r="2985" spans="2:11" ht="14.25" thickBot="1" x14ac:dyDescent="0.2">
      <c r="B2985" s="17" t="s">
        <v>2</v>
      </c>
      <c r="C2985" s="18">
        <f>SUM(C2961:C2984)</f>
        <v>443</v>
      </c>
      <c r="D2985" s="19">
        <f t="shared" si="239"/>
        <v>443</v>
      </c>
      <c r="E2985" s="20"/>
      <c r="G2985" s="17" t="s">
        <v>2</v>
      </c>
      <c r="H2985" s="18">
        <f>SUM(H2961:H2984)</f>
        <v>1050</v>
      </c>
      <c r="I2985" s="19">
        <f t="shared" si="237"/>
        <v>1050</v>
      </c>
      <c r="J2985" s="20"/>
    </row>
    <row r="2986" spans="2:11" ht="14.25" thickBot="1" x14ac:dyDescent="0.2">
      <c r="B2986" s="46" t="s">
        <v>3</v>
      </c>
      <c r="C2986" s="52">
        <f>C2960-C2985</f>
        <v>451</v>
      </c>
      <c r="D2986" s="48">
        <f>D2960-D2985</f>
        <v>451</v>
      </c>
      <c r="E2986" s="49"/>
      <c r="G2986" s="46" t="s">
        <v>3</v>
      </c>
      <c r="H2986" s="52">
        <f>H2960-H2985</f>
        <v>1998</v>
      </c>
      <c r="I2986" s="48">
        <f>I2960-I2985</f>
        <v>1998</v>
      </c>
      <c r="J2986" s="49"/>
    </row>
    <row r="2989" spans="2:11" ht="18.75" x14ac:dyDescent="0.2">
      <c r="B2989" s="26" t="s">
        <v>7</v>
      </c>
      <c r="G2989" s="26" t="s">
        <v>35</v>
      </c>
    </row>
    <row r="2990" spans="2:11" ht="14.25" thickBot="1" x14ac:dyDescent="0.2"/>
    <row r="2991" spans="2:11" ht="14.25" thickBot="1" x14ac:dyDescent="0.2">
      <c r="B2991" s="1"/>
      <c r="C2991" s="1"/>
      <c r="D2991" s="53" t="s">
        <v>0</v>
      </c>
      <c r="E2991" s="1" t="s">
        <v>4</v>
      </c>
      <c r="G2991" s="1"/>
      <c r="H2991" s="1"/>
      <c r="I2991" s="53" t="s">
        <v>0</v>
      </c>
      <c r="J2991" s="1" t="s">
        <v>4</v>
      </c>
    </row>
    <row r="2992" spans="2:11" x14ac:dyDescent="0.15">
      <c r="B2992" s="42" t="s">
        <v>5</v>
      </c>
      <c r="C2992" s="43">
        <f>C2986</f>
        <v>451</v>
      </c>
      <c r="D2992" s="44">
        <f>SUM(C2992:C2992)</f>
        <v>451</v>
      </c>
      <c r="E2992" s="45"/>
      <c r="G2992" s="42" t="s">
        <v>5</v>
      </c>
      <c r="H2992" s="43">
        <f>H2986</f>
        <v>1998</v>
      </c>
      <c r="I2992" s="44">
        <f>SUM(H2992:H2992)</f>
        <v>1998</v>
      </c>
      <c r="J2992" s="45"/>
    </row>
    <row r="2993" spans="2:10" x14ac:dyDescent="0.15">
      <c r="B2993" s="6" t="s">
        <v>6</v>
      </c>
      <c r="C2993" s="13"/>
      <c r="D2993" s="14">
        <f>SUM(C2993:C2993)</f>
        <v>0</v>
      </c>
      <c r="E2993" s="12"/>
      <c r="G2993" s="6" t="s">
        <v>6</v>
      </c>
      <c r="H2993" s="13"/>
      <c r="I2993" s="14">
        <f>SUM(H2993:H2993)</f>
        <v>0</v>
      </c>
      <c r="J2993" s="169"/>
    </row>
    <row r="2994" spans="2:10" x14ac:dyDescent="0.15">
      <c r="B2994" s="6" t="s">
        <v>6</v>
      </c>
      <c r="C2994" s="13">
        <v>400</v>
      </c>
      <c r="D2994" s="14">
        <f>SUM(C2994:C2994)</f>
        <v>400</v>
      </c>
      <c r="E2994" s="12">
        <v>44671</v>
      </c>
      <c r="G2994" s="4" t="s">
        <v>6</v>
      </c>
      <c r="H2994" s="93"/>
      <c r="I2994" s="14">
        <f>SUM(H2994:H2994)</f>
        <v>0</v>
      </c>
      <c r="J2994" s="169"/>
    </row>
    <row r="2995" spans="2:10" ht="14.25" thickBot="1" x14ac:dyDescent="0.2">
      <c r="B2995" s="6" t="s">
        <v>6</v>
      </c>
      <c r="C2995" s="13"/>
      <c r="D2995" s="14">
        <f>SUM(C2995:C2995)</f>
        <v>0</v>
      </c>
      <c r="E2995" s="74"/>
      <c r="F2995" s="25"/>
      <c r="G2995" s="92" t="s">
        <v>6</v>
      </c>
      <c r="H2995" s="170"/>
      <c r="I2995" s="73">
        <f>SUM(H2995:H2995)</f>
        <v>0</v>
      </c>
      <c r="J2995" s="174"/>
    </row>
    <row r="2996" spans="2:10" ht="14.25" thickBot="1" x14ac:dyDescent="0.2">
      <c r="B2996" s="46" t="s">
        <v>1</v>
      </c>
      <c r="C2996" s="48">
        <f>SUM(C2992:C2995)</f>
        <v>851</v>
      </c>
      <c r="D2996" s="48">
        <f>SUM(D2992:D2995)</f>
        <v>851</v>
      </c>
      <c r="E2996" s="51"/>
      <c r="G2996" s="46" t="s">
        <v>1</v>
      </c>
      <c r="H2996" s="50">
        <f>SUM(H2992:H2995)</f>
        <v>1998</v>
      </c>
      <c r="I2996" s="48">
        <f>SUM(I2992:I2995)</f>
        <v>1998</v>
      </c>
      <c r="J2996" s="51"/>
    </row>
    <row r="2997" spans="2:10" x14ac:dyDescent="0.15">
      <c r="B2997" s="69" t="s">
        <v>702</v>
      </c>
      <c r="C2997" s="13">
        <v>4</v>
      </c>
      <c r="D2997" s="11">
        <f>SUM(C2997:C2997)</f>
        <v>4</v>
      </c>
      <c r="E2997" s="12">
        <v>44663</v>
      </c>
      <c r="F2997" s="180"/>
      <c r="G2997" s="15" t="s">
        <v>873</v>
      </c>
      <c r="H2997" s="13">
        <v>400</v>
      </c>
      <c r="I2997" s="11">
        <f>SUM(H2997:H2997)</f>
        <v>400</v>
      </c>
      <c r="J2997" s="12">
        <v>44671</v>
      </c>
    </row>
    <row r="2998" spans="2:10" x14ac:dyDescent="0.15">
      <c r="B2998" s="69" t="s">
        <v>189</v>
      </c>
      <c r="C2998" s="13">
        <v>3</v>
      </c>
      <c r="D2998" s="14">
        <f>SUM(C2998:C2998)</f>
        <v>3</v>
      </c>
      <c r="E2998" s="12">
        <v>44662</v>
      </c>
      <c r="F2998" s="180"/>
      <c r="G2998" s="15" t="s">
        <v>875</v>
      </c>
      <c r="H2998" s="13">
        <v>200</v>
      </c>
      <c r="I2998" s="14">
        <f>SUM(H2998:H2998)</f>
        <v>200</v>
      </c>
      <c r="J2998" s="12">
        <v>44673</v>
      </c>
    </row>
    <row r="2999" spans="2:10" x14ac:dyDescent="0.15">
      <c r="B2999" s="69" t="s">
        <v>702</v>
      </c>
      <c r="C2999" s="13">
        <v>2</v>
      </c>
      <c r="D2999" s="14">
        <f>SUM(C2999:C2999)</f>
        <v>2</v>
      </c>
      <c r="E2999" s="12">
        <v>44664</v>
      </c>
      <c r="G2999" s="89"/>
      <c r="H2999" s="13"/>
      <c r="I2999" s="14">
        <f t="shared" ref="I2999:I3021" si="243">SUM(H2999:H2999)</f>
        <v>0</v>
      </c>
      <c r="J2999" s="12"/>
    </row>
    <row r="3000" spans="2:10" x14ac:dyDescent="0.15">
      <c r="B3000" s="69" t="s">
        <v>189</v>
      </c>
      <c r="C3000" s="13">
        <v>1</v>
      </c>
      <c r="D3000" s="14">
        <f t="shared" ref="D3000:D3010" si="244">SUM(C3000:C3000)</f>
        <v>1</v>
      </c>
      <c r="E3000" s="12">
        <v>44663</v>
      </c>
      <c r="G3000" s="89"/>
      <c r="H3000" s="13"/>
      <c r="I3000" s="14">
        <f t="shared" si="243"/>
        <v>0</v>
      </c>
      <c r="J3000" s="12"/>
    </row>
    <row r="3001" spans="2:10" x14ac:dyDescent="0.15">
      <c r="B3001" s="15" t="s">
        <v>870</v>
      </c>
      <c r="C3001" s="13">
        <v>100</v>
      </c>
      <c r="D3001" s="14">
        <f t="shared" si="244"/>
        <v>100</v>
      </c>
      <c r="E3001" s="12">
        <v>44666</v>
      </c>
      <c r="G3001" s="89"/>
      <c r="H3001" s="13"/>
      <c r="I3001" s="14">
        <f t="shared" si="243"/>
        <v>0</v>
      </c>
      <c r="J3001" s="12"/>
    </row>
    <row r="3002" spans="2:10" x14ac:dyDescent="0.15">
      <c r="B3002" s="15" t="s">
        <v>871</v>
      </c>
      <c r="C3002" s="13">
        <v>100</v>
      </c>
      <c r="D3002" s="14">
        <f t="shared" si="244"/>
        <v>100</v>
      </c>
      <c r="E3002" s="12">
        <v>44666</v>
      </c>
      <c r="G3002" s="15"/>
      <c r="H3002" s="13"/>
      <c r="I3002" s="14">
        <f t="shared" si="243"/>
        <v>0</v>
      </c>
      <c r="J3002" s="12"/>
    </row>
    <row r="3003" spans="2:10" x14ac:dyDescent="0.15">
      <c r="B3003" s="69" t="s">
        <v>702</v>
      </c>
      <c r="C3003" s="13">
        <v>1</v>
      </c>
      <c r="D3003" s="14">
        <f t="shared" si="244"/>
        <v>1</v>
      </c>
      <c r="E3003" s="12">
        <v>44665</v>
      </c>
      <c r="G3003" s="15"/>
      <c r="H3003" s="13"/>
      <c r="I3003" s="14">
        <f t="shared" si="243"/>
        <v>0</v>
      </c>
      <c r="J3003" s="12"/>
    </row>
    <row r="3004" spans="2:10" x14ac:dyDescent="0.15">
      <c r="B3004" s="69" t="s">
        <v>189</v>
      </c>
      <c r="C3004" s="13">
        <v>5</v>
      </c>
      <c r="D3004" s="14">
        <f t="shared" si="244"/>
        <v>5</v>
      </c>
      <c r="E3004" s="12">
        <v>44664</v>
      </c>
      <c r="G3004" s="15"/>
      <c r="H3004" s="13"/>
      <c r="I3004" s="14">
        <f t="shared" si="243"/>
        <v>0</v>
      </c>
      <c r="J3004" s="12"/>
    </row>
    <row r="3005" spans="2:10" x14ac:dyDescent="0.15">
      <c r="B3005" s="69" t="s">
        <v>702</v>
      </c>
      <c r="C3005" s="13">
        <v>4</v>
      </c>
      <c r="D3005" s="14">
        <f t="shared" si="244"/>
        <v>4</v>
      </c>
      <c r="E3005" s="12">
        <v>44666</v>
      </c>
      <c r="G3005" s="15"/>
      <c r="H3005" s="13"/>
      <c r="I3005" s="14">
        <f t="shared" si="243"/>
        <v>0</v>
      </c>
      <c r="J3005" s="12"/>
    </row>
    <row r="3006" spans="2:10" x14ac:dyDescent="0.15">
      <c r="B3006" s="15" t="s">
        <v>872</v>
      </c>
      <c r="C3006" s="13">
        <v>100</v>
      </c>
      <c r="D3006" s="14">
        <f t="shared" si="244"/>
        <v>100</v>
      </c>
      <c r="E3006" s="12">
        <v>44669</v>
      </c>
      <c r="G3006" s="15"/>
      <c r="H3006" s="13"/>
      <c r="I3006" s="14">
        <f t="shared" si="243"/>
        <v>0</v>
      </c>
      <c r="J3006" s="12"/>
    </row>
    <row r="3007" spans="2:10" x14ac:dyDescent="0.15">
      <c r="B3007" s="69" t="s">
        <v>189</v>
      </c>
      <c r="C3007" s="13">
        <v>1</v>
      </c>
      <c r="D3007" s="14">
        <f t="shared" si="244"/>
        <v>1</v>
      </c>
      <c r="E3007" s="12">
        <v>44665</v>
      </c>
      <c r="G3007" s="15"/>
      <c r="H3007" s="13"/>
      <c r="I3007" s="14">
        <f t="shared" si="243"/>
        <v>0</v>
      </c>
      <c r="J3007" s="5"/>
    </row>
    <row r="3008" spans="2:10" x14ac:dyDescent="0.15">
      <c r="B3008" s="69" t="s">
        <v>189</v>
      </c>
      <c r="C3008" s="13">
        <v>3</v>
      </c>
      <c r="D3008" s="14">
        <f t="shared" si="244"/>
        <v>3</v>
      </c>
      <c r="E3008" s="12">
        <v>44669</v>
      </c>
      <c r="G3008" s="15"/>
      <c r="H3008" s="7"/>
      <c r="I3008" s="14">
        <f t="shared" si="243"/>
        <v>0</v>
      </c>
      <c r="J3008" s="12"/>
    </row>
    <row r="3009" spans="2:10" x14ac:dyDescent="0.15">
      <c r="B3009" s="69" t="s">
        <v>702</v>
      </c>
      <c r="C3009" s="13">
        <v>1</v>
      </c>
      <c r="D3009" s="14">
        <f t="shared" si="244"/>
        <v>1</v>
      </c>
      <c r="E3009" s="12">
        <v>44671</v>
      </c>
      <c r="G3009" s="15"/>
      <c r="H3009" s="7"/>
      <c r="I3009" s="14">
        <f t="shared" si="243"/>
        <v>0</v>
      </c>
      <c r="J3009" s="12"/>
    </row>
    <row r="3010" spans="2:10" x14ac:dyDescent="0.15">
      <c r="B3010" s="15" t="s">
        <v>874</v>
      </c>
      <c r="C3010" s="13">
        <v>100</v>
      </c>
      <c r="D3010" s="14">
        <f t="shared" si="244"/>
        <v>100</v>
      </c>
      <c r="E3010" s="12">
        <v>44672</v>
      </c>
      <c r="G3010" s="15"/>
      <c r="H3010" s="7"/>
      <c r="I3010" s="14">
        <f t="shared" si="243"/>
        <v>0</v>
      </c>
      <c r="J3010" s="5"/>
    </row>
    <row r="3011" spans="2:10" x14ac:dyDescent="0.15">
      <c r="B3011" s="69" t="s">
        <v>702</v>
      </c>
      <c r="C3011" s="13">
        <v>2</v>
      </c>
      <c r="D3011" s="14">
        <f>SUM(C3011:C3011)</f>
        <v>2</v>
      </c>
      <c r="E3011" s="12">
        <v>44672</v>
      </c>
      <c r="G3011" s="15"/>
      <c r="H3011" s="7"/>
      <c r="I3011" s="14">
        <f t="shared" si="243"/>
        <v>0</v>
      </c>
      <c r="J3011" s="12"/>
    </row>
    <row r="3012" spans="2:10" x14ac:dyDescent="0.15">
      <c r="B3012" s="15" t="s">
        <v>876</v>
      </c>
      <c r="C3012" s="13">
        <v>100</v>
      </c>
      <c r="D3012" s="14">
        <f t="shared" ref="D3012:D3021" si="245">SUM(C3012:C3012)</f>
        <v>100</v>
      </c>
      <c r="E3012" s="12">
        <v>44674</v>
      </c>
      <c r="G3012" s="15"/>
      <c r="H3012" s="7"/>
      <c r="I3012" s="14">
        <f t="shared" si="243"/>
        <v>0</v>
      </c>
      <c r="J3012" s="12"/>
    </row>
    <row r="3013" spans="2:10" x14ac:dyDescent="0.15">
      <c r="B3013" s="69" t="s">
        <v>702</v>
      </c>
      <c r="C3013" s="13">
        <v>1</v>
      </c>
      <c r="D3013" s="14">
        <f t="shared" si="245"/>
        <v>1</v>
      </c>
      <c r="E3013" s="12">
        <v>44676</v>
      </c>
      <c r="G3013" s="15"/>
      <c r="H3013" s="7"/>
      <c r="I3013" s="14">
        <f t="shared" si="243"/>
        <v>0</v>
      </c>
      <c r="J3013" s="67"/>
    </row>
    <row r="3014" spans="2:10" x14ac:dyDescent="0.15">
      <c r="B3014" s="69" t="s">
        <v>702</v>
      </c>
      <c r="C3014" s="13">
        <v>2</v>
      </c>
      <c r="D3014" s="14">
        <f t="shared" si="245"/>
        <v>2</v>
      </c>
      <c r="E3014" s="12">
        <v>44677</v>
      </c>
      <c r="G3014" s="15"/>
      <c r="H3014" s="7"/>
      <c r="I3014" s="14">
        <f t="shared" si="243"/>
        <v>0</v>
      </c>
      <c r="J3014" s="67"/>
    </row>
    <row r="3015" spans="2:10" x14ac:dyDescent="0.15">
      <c r="B3015" s="69" t="s">
        <v>702</v>
      </c>
      <c r="C3015" s="13">
        <v>1</v>
      </c>
      <c r="D3015" s="14">
        <f t="shared" si="245"/>
        <v>1</v>
      </c>
      <c r="E3015" s="12">
        <v>44678</v>
      </c>
      <c r="G3015" s="15"/>
      <c r="H3015" s="7"/>
      <c r="I3015" s="14">
        <f t="shared" si="243"/>
        <v>0</v>
      </c>
      <c r="J3015" s="67"/>
    </row>
    <row r="3016" spans="2:10" x14ac:dyDescent="0.15">
      <c r="B3016" s="69" t="s">
        <v>702</v>
      </c>
      <c r="C3016" s="13">
        <v>1</v>
      </c>
      <c r="D3016" s="14">
        <f t="shared" si="245"/>
        <v>1</v>
      </c>
      <c r="E3016" s="5">
        <v>44681</v>
      </c>
      <c r="G3016" s="15"/>
      <c r="H3016" s="7"/>
      <c r="I3016" s="14">
        <f t="shared" si="243"/>
        <v>0</v>
      </c>
      <c r="J3016" s="67"/>
    </row>
    <row r="3017" spans="2:10" x14ac:dyDescent="0.15">
      <c r="B3017" s="69" t="s">
        <v>189</v>
      </c>
      <c r="C3017" s="13">
        <v>2</v>
      </c>
      <c r="D3017" s="14">
        <f t="shared" si="245"/>
        <v>2</v>
      </c>
      <c r="E3017" s="5">
        <v>44679</v>
      </c>
      <c r="G3017" s="15"/>
      <c r="H3017" s="7"/>
      <c r="I3017" s="14">
        <f t="shared" si="243"/>
        <v>0</v>
      </c>
      <c r="J3017" s="67"/>
    </row>
    <row r="3018" spans="2:10" x14ac:dyDescent="0.15">
      <c r="B3018" s="69" t="s">
        <v>189</v>
      </c>
      <c r="C3018" s="13">
        <v>2</v>
      </c>
      <c r="D3018" s="14">
        <f t="shared" si="245"/>
        <v>2</v>
      </c>
      <c r="E3018" s="5">
        <v>44681</v>
      </c>
      <c r="G3018" s="15"/>
      <c r="H3018" s="7"/>
      <c r="I3018" s="14">
        <f t="shared" si="243"/>
        <v>0</v>
      </c>
      <c r="J3018" s="67"/>
    </row>
    <row r="3019" spans="2:10" x14ac:dyDescent="0.15">
      <c r="B3019" s="69" t="s">
        <v>189</v>
      </c>
      <c r="C3019" s="13">
        <v>2</v>
      </c>
      <c r="D3019" s="14">
        <f t="shared" si="245"/>
        <v>2</v>
      </c>
      <c r="E3019" s="5">
        <v>44683</v>
      </c>
      <c r="G3019" s="15"/>
      <c r="H3019" s="7"/>
      <c r="I3019" s="14">
        <f t="shared" ref="I3019" si="246">SUM(H3019:H3019)</f>
        <v>0</v>
      </c>
      <c r="J3019" s="67"/>
    </row>
    <row r="3020" spans="2:10" ht="14.25" thickBot="1" x14ac:dyDescent="0.2">
      <c r="B3020" s="69" t="s">
        <v>702</v>
      </c>
      <c r="C3020" s="7">
        <v>4</v>
      </c>
      <c r="D3020" s="14">
        <f t="shared" si="245"/>
        <v>4</v>
      </c>
      <c r="E3020" s="5">
        <v>44690</v>
      </c>
      <c r="G3020" s="15" t="s">
        <v>885</v>
      </c>
      <c r="H3020" s="7"/>
      <c r="I3020" s="14">
        <f t="shared" ref="I3020" si="247">SUM(H3020:H3020)</f>
        <v>0</v>
      </c>
      <c r="J3020" s="67" t="s">
        <v>855</v>
      </c>
    </row>
    <row r="3021" spans="2:10" ht="14.25" thickBot="1" x14ac:dyDescent="0.2">
      <c r="B3021" s="17" t="s">
        <v>2</v>
      </c>
      <c r="C3021" s="18">
        <f>SUM(C2997:C3020)</f>
        <v>542</v>
      </c>
      <c r="D3021" s="19">
        <f t="shared" si="245"/>
        <v>542</v>
      </c>
      <c r="E3021" s="20"/>
      <c r="G3021" s="17" t="s">
        <v>2</v>
      </c>
      <c r="H3021" s="18">
        <f>SUM(H2997:H3020)</f>
        <v>600</v>
      </c>
      <c r="I3021" s="19">
        <f t="shared" si="243"/>
        <v>600</v>
      </c>
      <c r="J3021" s="20"/>
    </row>
    <row r="3022" spans="2:10" ht="14.25" thickBot="1" x14ac:dyDescent="0.2">
      <c r="B3022" s="46" t="s">
        <v>3</v>
      </c>
      <c r="C3022" s="52">
        <f>C2996-C3021</f>
        <v>309</v>
      </c>
      <c r="D3022" s="48">
        <f>D2996-D3021</f>
        <v>309</v>
      </c>
      <c r="E3022" s="49"/>
      <c r="G3022" s="46" t="s">
        <v>3</v>
      </c>
      <c r="H3022" s="52">
        <f>H2996-H3021</f>
        <v>1398</v>
      </c>
      <c r="I3022" s="48">
        <f>I2996-I3021</f>
        <v>1398</v>
      </c>
      <c r="J3022" s="49"/>
    </row>
    <row r="3025" spans="2:10" ht="18.75" x14ac:dyDescent="0.2">
      <c r="B3025" s="26" t="s">
        <v>7</v>
      </c>
      <c r="G3025" s="26" t="s">
        <v>35</v>
      </c>
    </row>
    <row r="3026" spans="2:10" ht="14.25" thickBot="1" x14ac:dyDescent="0.2"/>
    <row r="3027" spans="2:10" ht="14.25" thickBot="1" x14ac:dyDescent="0.2">
      <c r="B3027" s="1"/>
      <c r="C3027" s="1"/>
      <c r="D3027" s="53" t="s">
        <v>0</v>
      </c>
      <c r="E3027" s="1" t="s">
        <v>4</v>
      </c>
      <c r="G3027" s="1"/>
      <c r="H3027" s="1"/>
      <c r="I3027" s="53" t="s">
        <v>0</v>
      </c>
      <c r="J3027" s="1" t="s">
        <v>4</v>
      </c>
    </row>
    <row r="3028" spans="2:10" x14ac:dyDescent="0.15">
      <c r="B3028" s="42" t="s">
        <v>5</v>
      </c>
      <c r="C3028" s="43">
        <f>C3022</f>
        <v>309</v>
      </c>
      <c r="D3028" s="44">
        <f>SUM(C3028:C3028)</f>
        <v>309</v>
      </c>
      <c r="E3028" s="45"/>
      <c r="G3028" s="42" t="s">
        <v>5</v>
      </c>
      <c r="H3028" s="43">
        <f>H3022</f>
        <v>1398</v>
      </c>
      <c r="I3028" s="44">
        <f>SUM(H3028:H3028)</f>
        <v>1398</v>
      </c>
      <c r="J3028" s="45"/>
    </row>
    <row r="3029" spans="2:10" x14ac:dyDescent="0.15">
      <c r="B3029" s="6" t="s">
        <v>6</v>
      </c>
      <c r="C3029" s="13">
        <v>400</v>
      </c>
      <c r="D3029" s="14">
        <f>SUM(C3029:C3029)</f>
        <v>400</v>
      </c>
      <c r="E3029" s="12">
        <v>44702</v>
      </c>
      <c r="G3029" s="6" t="s">
        <v>6</v>
      </c>
      <c r="H3029" s="13"/>
      <c r="I3029" s="14">
        <f>SUM(H3029:H3029)</f>
        <v>0</v>
      </c>
      <c r="J3029" s="169"/>
    </row>
    <row r="3030" spans="2:10" x14ac:dyDescent="0.15">
      <c r="B3030" s="6" t="s">
        <v>6</v>
      </c>
      <c r="C3030" s="13"/>
      <c r="D3030" s="14">
        <f>SUM(C3030:C3030)</f>
        <v>0</v>
      </c>
      <c r="E3030" s="12"/>
      <c r="G3030" s="4" t="s">
        <v>6</v>
      </c>
      <c r="H3030" s="93">
        <v>3000</v>
      </c>
      <c r="I3030" s="14">
        <f>SUM(H3030:H3030)</f>
        <v>3000</v>
      </c>
      <c r="J3030" s="169" t="s">
        <v>886</v>
      </c>
    </row>
    <row r="3031" spans="2:10" ht="14.25" thickBot="1" x14ac:dyDescent="0.2">
      <c r="B3031" s="6" t="s">
        <v>6</v>
      </c>
      <c r="C3031" s="13"/>
      <c r="D3031" s="14">
        <f>SUM(C3031:C3031)</f>
        <v>0</v>
      </c>
      <c r="E3031" s="74"/>
      <c r="F3031" s="25"/>
      <c r="G3031" s="92" t="s">
        <v>6</v>
      </c>
      <c r="H3031" s="170"/>
      <c r="I3031" s="73">
        <f>SUM(H3031:H3031)</f>
        <v>0</v>
      </c>
      <c r="J3031" s="174"/>
    </row>
    <row r="3032" spans="2:10" ht="14.25" thickBot="1" x14ac:dyDescent="0.2">
      <c r="B3032" s="46" t="s">
        <v>1</v>
      </c>
      <c r="C3032" s="48">
        <f>SUM(C3028:C3031)</f>
        <v>709</v>
      </c>
      <c r="D3032" s="48">
        <f>SUM(D3028:D3031)</f>
        <v>709</v>
      </c>
      <c r="E3032" s="51"/>
      <c r="G3032" s="46" t="s">
        <v>1</v>
      </c>
      <c r="H3032" s="50">
        <f>SUM(H3028:H3031)</f>
        <v>4398</v>
      </c>
      <c r="I3032" s="48">
        <f>SUM(I3028:I3031)</f>
        <v>4398</v>
      </c>
      <c r="J3032" s="51"/>
    </row>
    <row r="3033" spans="2:10" x14ac:dyDescent="0.15">
      <c r="B3033" s="89" t="s">
        <v>878</v>
      </c>
      <c r="C3033" s="13">
        <v>100</v>
      </c>
      <c r="D3033" s="14">
        <f t="shared" ref="D3033" si="248">SUM(C3033:C3033)</f>
        <v>100</v>
      </c>
      <c r="E3033" s="12">
        <v>44694</v>
      </c>
      <c r="F3033" s="180"/>
      <c r="G3033" s="89" t="s">
        <v>877</v>
      </c>
      <c r="H3033" s="13">
        <v>200</v>
      </c>
      <c r="I3033" s="14">
        <f t="shared" ref="I3033" si="249">SUM(H3033:H3033)</f>
        <v>200</v>
      </c>
      <c r="J3033" s="12">
        <v>44694</v>
      </c>
    </row>
    <row r="3034" spans="2:10" x14ac:dyDescent="0.15">
      <c r="B3034" s="69" t="s">
        <v>189</v>
      </c>
      <c r="C3034" s="13">
        <v>2</v>
      </c>
      <c r="D3034" s="14">
        <f>SUM(C3034:C3034)</f>
        <v>2</v>
      </c>
      <c r="E3034" s="12">
        <v>44687</v>
      </c>
      <c r="F3034" s="180"/>
      <c r="G3034" s="89" t="s">
        <v>887</v>
      </c>
      <c r="H3034" s="13">
        <v>200</v>
      </c>
      <c r="I3034" s="14">
        <f>SUM(H3034:H3034)</f>
        <v>200</v>
      </c>
      <c r="J3034" s="12">
        <v>44702</v>
      </c>
    </row>
    <row r="3035" spans="2:10" x14ac:dyDescent="0.15">
      <c r="B3035" s="69" t="s">
        <v>702</v>
      </c>
      <c r="C3035" s="13">
        <v>3</v>
      </c>
      <c r="D3035" s="14">
        <f>SUM(C3035:C3035)</f>
        <v>3</v>
      </c>
      <c r="E3035" s="12">
        <v>44691</v>
      </c>
      <c r="G3035" s="89" t="s">
        <v>889</v>
      </c>
      <c r="H3035" s="13">
        <v>400</v>
      </c>
      <c r="I3035" s="14">
        <f t="shared" ref="I3035:I3057" si="250">SUM(H3035:H3035)</f>
        <v>400</v>
      </c>
      <c r="J3035" s="12">
        <v>44702</v>
      </c>
    </row>
    <row r="3036" spans="2:10" x14ac:dyDescent="0.15">
      <c r="B3036" s="69" t="s">
        <v>189</v>
      </c>
      <c r="C3036" s="13">
        <v>3</v>
      </c>
      <c r="D3036" s="14">
        <f t="shared" ref="D3036:D3046" si="251">SUM(C3036:C3036)</f>
        <v>3</v>
      </c>
      <c r="E3036" s="12">
        <v>44690</v>
      </c>
      <c r="G3036" s="89" t="s">
        <v>890</v>
      </c>
      <c r="H3036" s="13">
        <v>200</v>
      </c>
      <c r="I3036" s="14">
        <f t="shared" si="250"/>
        <v>200</v>
      </c>
      <c r="J3036" s="12">
        <v>44708</v>
      </c>
    </row>
    <row r="3037" spans="2:10" x14ac:dyDescent="0.15">
      <c r="B3037" s="69" t="s">
        <v>189</v>
      </c>
      <c r="C3037" s="13">
        <v>1</v>
      </c>
      <c r="D3037" s="14">
        <f t="shared" si="251"/>
        <v>1</v>
      </c>
      <c r="E3037" s="12">
        <v>44691</v>
      </c>
      <c r="G3037" s="89"/>
      <c r="H3037" s="13"/>
      <c r="I3037" s="14">
        <f t="shared" si="250"/>
        <v>0</v>
      </c>
      <c r="J3037" s="12"/>
    </row>
    <row r="3038" spans="2:10" x14ac:dyDescent="0.15">
      <c r="B3038" s="69" t="s">
        <v>702</v>
      </c>
      <c r="C3038" s="13">
        <v>1</v>
      </c>
      <c r="D3038" s="14">
        <f t="shared" si="251"/>
        <v>1</v>
      </c>
      <c r="E3038" s="12">
        <v>44694</v>
      </c>
      <c r="G3038" s="15"/>
      <c r="H3038" s="13"/>
      <c r="I3038" s="14">
        <f t="shared" si="250"/>
        <v>0</v>
      </c>
      <c r="J3038" s="12"/>
    </row>
    <row r="3039" spans="2:10" x14ac:dyDescent="0.15">
      <c r="B3039" s="69" t="s">
        <v>189</v>
      </c>
      <c r="C3039" s="13">
        <v>1</v>
      </c>
      <c r="D3039" s="14">
        <f t="shared" si="251"/>
        <v>1</v>
      </c>
      <c r="E3039" s="12">
        <v>44694</v>
      </c>
      <c r="G3039" s="15"/>
      <c r="H3039" s="13"/>
      <c r="I3039" s="14">
        <f t="shared" si="250"/>
        <v>0</v>
      </c>
      <c r="J3039" s="12"/>
    </row>
    <row r="3040" spans="2:10" x14ac:dyDescent="0.15">
      <c r="B3040" s="69" t="s">
        <v>189</v>
      </c>
      <c r="C3040" s="13">
        <v>2</v>
      </c>
      <c r="D3040" s="14">
        <f t="shared" si="251"/>
        <v>2</v>
      </c>
      <c r="E3040" s="12">
        <v>44697</v>
      </c>
      <c r="G3040" s="15"/>
      <c r="H3040" s="13"/>
      <c r="I3040" s="14">
        <f t="shared" si="250"/>
        <v>0</v>
      </c>
      <c r="J3040" s="12"/>
    </row>
    <row r="3041" spans="2:10" x14ac:dyDescent="0.15">
      <c r="B3041" s="69" t="s">
        <v>702</v>
      </c>
      <c r="C3041" s="13">
        <v>1</v>
      </c>
      <c r="D3041" s="14">
        <f t="shared" si="251"/>
        <v>1</v>
      </c>
      <c r="E3041" s="12">
        <v>44699</v>
      </c>
      <c r="G3041" s="15"/>
      <c r="H3041" s="13"/>
      <c r="I3041" s="14">
        <f t="shared" si="250"/>
        <v>0</v>
      </c>
      <c r="J3041" s="12"/>
    </row>
    <row r="3042" spans="2:10" x14ac:dyDescent="0.15">
      <c r="B3042" s="69" t="s">
        <v>702</v>
      </c>
      <c r="C3042" s="13">
        <v>2</v>
      </c>
      <c r="D3042" s="14">
        <f t="shared" si="251"/>
        <v>2</v>
      </c>
      <c r="E3042" s="12">
        <v>44700</v>
      </c>
      <c r="G3042" s="15"/>
      <c r="H3042" s="13"/>
      <c r="I3042" s="14">
        <f t="shared" si="250"/>
        <v>0</v>
      </c>
      <c r="J3042" s="12"/>
    </row>
    <row r="3043" spans="2:10" x14ac:dyDescent="0.15">
      <c r="B3043" s="69" t="s">
        <v>702</v>
      </c>
      <c r="C3043" s="13">
        <v>1</v>
      </c>
      <c r="D3043" s="14">
        <f t="shared" si="251"/>
        <v>1</v>
      </c>
      <c r="E3043" s="12">
        <v>44701</v>
      </c>
      <c r="G3043" s="15"/>
      <c r="H3043" s="13"/>
      <c r="I3043" s="14">
        <f t="shared" si="250"/>
        <v>0</v>
      </c>
      <c r="J3043" s="5"/>
    </row>
    <row r="3044" spans="2:10" x14ac:dyDescent="0.15">
      <c r="B3044" s="89" t="s">
        <v>888</v>
      </c>
      <c r="C3044" s="13">
        <v>100</v>
      </c>
      <c r="D3044" s="14">
        <f t="shared" si="251"/>
        <v>100</v>
      </c>
      <c r="E3044" s="12">
        <v>44704</v>
      </c>
      <c r="G3044" s="15"/>
      <c r="H3044" s="7"/>
      <c r="I3044" s="14">
        <f t="shared" si="250"/>
        <v>0</v>
      </c>
      <c r="J3044" s="12"/>
    </row>
    <row r="3045" spans="2:10" x14ac:dyDescent="0.15">
      <c r="B3045" s="69" t="s">
        <v>189</v>
      </c>
      <c r="C3045" s="13">
        <v>2</v>
      </c>
      <c r="D3045" s="14">
        <f t="shared" si="251"/>
        <v>2</v>
      </c>
      <c r="E3045" s="12">
        <v>44700</v>
      </c>
      <c r="G3045" s="15"/>
      <c r="H3045" s="7"/>
      <c r="I3045" s="14">
        <f t="shared" si="250"/>
        <v>0</v>
      </c>
      <c r="J3045" s="12"/>
    </row>
    <row r="3046" spans="2:10" x14ac:dyDescent="0.15">
      <c r="B3046" s="69" t="s">
        <v>702</v>
      </c>
      <c r="C3046" s="13">
        <v>3</v>
      </c>
      <c r="D3046" s="14">
        <f t="shared" si="251"/>
        <v>3</v>
      </c>
      <c r="E3046" s="12">
        <v>44704</v>
      </c>
      <c r="G3046" s="15"/>
      <c r="H3046" s="7"/>
      <c r="I3046" s="14">
        <f t="shared" si="250"/>
        <v>0</v>
      </c>
      <c r="J3046" s="5"/>
    </row>
    <row r="3047" spans="2:10" x14ac:dyDescent="0.15">
      <c r="B3047" s="69" t="s">
        <v>189</v>
      </c>
      <c r="C3047" s="13">
        <v>4</v>
      </c>
      <c r="D3047" s="14">
        <f>SUM(C3047:C3047)</f>
        <v>4</v>
      </c>
      <c r="E3047" s="12">
        <v>44702</v>
      </c>
      <c r="G3047" s="15"/>
      <c r="H3047" s="7"/>
      <c r="I3047" s="14">
        <f t="shared" si="250"/>
        <v>0</v>
      </c>
      <c r="J3047" s="12"/>
    </row>
    <row r="3048" spans="2:10" x14ac:dyDescent="0.15">
      <c r="B3048" s="69" t="s">
        <v>702</v>
      </c>
      <c r="C3048" s="13">
        <v>3</v>
      </c>
      <c r="D3048" s="14">
        <f t="shared" ref="D3048:D3057" si="252">SUM(C3048:C3048)</f>
        <v>3</v>
      </c>
      <c r="E3048" s="12">
        <v>44705</v>
      </c>
      <c r="G3048" s="15"/>
      <c r="H3048" s="7"/>
      <c r="I3048" s="14">
        <f t="shared" si="250"/>
        <v>0</v>
      </c>
      <c r="J3048" s="12"/>
    </row>
    <row r="3049" spans="2:10" x14ac:dyDescent="0.15">
      <c r="B3049" s="69" t="s">
        <v>189</v>
      </c>
      <c r="C3049" s="13">
        <v>2</v>
      </c>
      <c r="D3049" s="14">
        <f t="shared" si="252"/>
        <v>2</v>
      </c>
      <c r="E3049" s="12">
        <v>44706</v>
      </c>
      <c r="G3049" s="15"/>
      <c r="H3049" s="7"/>
      <c r="I3049" s="14">
        <f t="shared" si="250"/>
        <v>0</v>
      </c>
      <c r="J3049" s="67"/>
    </row>
    <row r="3050" spans="2:10" x14ac:dyDescent="0.15">
      <c r="B3050" s="69" t="s">
        <v>702</v>
      </c>
      <c r="C3050" s="13">
        <v>1</v>
      </c>
      <c r="D3050" s="14">
        <f t="shared" si="252"/>
        <v>1</v>
      </c>
      <c r="E3050" s="12">
        <v>44708</v>
      </c>
      <c r="G3050" s="15"/>
      <c r="H3050" s="7"/>
      <c r="I3050" s="14">
        <f t="shared" si="250"/>
        <v>0</v>
      </c>
      <c r="J3050" s="67"/>
    </row>
    <row r="3051" spans="2:10" x14ac:dyDescent="0.15">
      <c r="B3051" s="69" t="s">
        <v>702</v>
      </c>
      <c r="C3051" s="13">
        <v>1</v>
      </c>
      <c r="D3051" s="14">
        <f t="shared" si="252"/>
        <v>1</v>
      </c>
      <c r="E3051" s="12">
        <v>44712</v>
      </c>
      <c r="G3051" s="15"/>
      <c r="H3051" s="7"/>
      <c r="I3051" s="14">
        <f t="shared" si="250"/>
        <v>0</v>
      </c>
      <c r="J3051" s="67"/>
    </row>
    <row r="3052" spans="2:10" x14ac:dyDescent="0.15">
      <c r="B3052" s="69" t="s">
        <v>189</v>
      </c>
      <c r="C3052" s="13">
        <f>3+2</f>
        <v>5</v>
      </c>
      <c r="D3052" s="14">
        <f t="shared" si="252"/>
        <v>5</v>
      </c>
      <c r="E3052" s="5">
        <v>44711</v>
      </c>
      <c r="G3052" s="15"/>
      <c r="H3052" s="7"/>
      <c r="I3052" s="14">
        <f t="shared" si="250"/>
        <v>0</v>
      </c>
      <c r="J3052" s="67"/>
    </row>
    <row r="3053" spans="2:10" x14ac:dyDescent="0.15">
      <c r="B3053" s="69" t="s">
        <v>702</v>
      </c>
      <c r="C3053" s="13">
        <v>2</v>
      </c>
      <c r="D3053" s="14">
        <f t="shared" si="252"/>
        <v>2</v>
      </c>
      <c r="E3053" s="5">
        <v>44713</v>
      </c>
      <c r="G3053" s="15"/>
      <c r="H3053" s="7"/>
      <c r="I3053" s="14">
        <f t="shared" si="250"/>
        <v>0</v>
      </c>
      <c r="J3053" s="67"/>
    </row>
    <row r="3054" spans="2:10" x14ac:dyDescent="0.15">
      <c r="B3054" s="69" t="s">
        <v>189</v>
      </c>
      <c r="C3054" s="13">
        <v>2</v>
      </c>
      <c r="D3054" s="14">
        <f t="shared" si="252"/>
        <v>2</v>
      </c>
      <c r="E3054" s="5">
        <v>44715</v>
      </c>
      <c r="G3054" s="15"/>
      <c r="H3054" s="7"/>
      <c r="I3054" s="14">
        <f t="shared" si="250"/>
        <v>0</v>
      </c>
      <c r="J3054" s="67"/>
    </row>
    <row r="3055" spans="2:10" x14ac:dyDescent="0.15">
      <c r="B3055" s="69" t="s">
        <v>702</v>
      </c>
      <c r="C3055" s="13">
        <v>2</v>
      </c>
      <c r="D3055" s="14">
        <f t="shared" si="252"/>
        <v>2</v>
      </c>
      <c r="E3055" s="5">
        <v>44719</v>
      </c>
      <c r="G3055" s="15"/>
      <c r="H3055" s="7"/>
      <c r="I3055" s="14">
        <f t="shared" si="250"/>
        <v>0</v>
      </c>
      <c r="J3055" s="67"/>
    </row>
    <row r="3056" spans="2:10" ht="14.25" thickBot="1" x14ac:dyDescent="0.2">
      <c r="B3056" s="69" t="s">
        <v>702</v>
      </c>
      <c r="C3056" s="7">
        <v>1</v>
      </c>
      <c r="D3056" s="14">
        <f t="shared" si="252"/>
        <v>1</v>
      </c>
      <c r="E3056" s="5">
        <v>44720</v>
      </c>
      <c r="G3056" s="15" t="s">
        <v>884</v>
      </c>
      <c r="H3056" s="7"/>
      <c r="I3056" s="14">
        <f t="shared" si="250"/>
        <v>0</v>
      </c>
      <c r="J3056" s="67" t="s">
        <v>856</v>
      </c>
    </row>
    <row r="3057" spans="2:10" ht="14.25" thickBot="1" x14ac:dyDescent="0.2">
      <c r="B3057" s="17" t="s">
        <v>2</v>
      </c>
      <c r="C3057" s="18">
        <f>SUM(C3033:C3056)</f>
        <v>245</v>
      </c>
      <c r="D3057" s="19">
        <f t="shared" si="252"/>
        <v>245</v>
      </c>
      <c r="E3057" s="20"/>
      <c r="G3057" s="17" t="s">
        <v>2</v>
      </c>
      <c r="H3057" s="18">
        <f>SUM(H3033:H3056)</f>
        <v>1000</v>
      </c>
      <c r="I3057" s="19">
        <f t="shared" si="250"/>
        <v>1000</v>
      </c>
      <c r="J3057" s="20"/>
    </row>
    <row r="3058" spans="2:10" ht="14.25" thickBot="1" x14ac:dyDescent="0.2">
      <c r="B3058" s="46" t="s">
        <v>3</v>
      </c>
      <c r="C3058" s="52">
        <f>C3032-C3057</f>
        <v>464</v>
      </c>
      <c r="D3058" s="48">
        <f>D3032-D3057</f>
        <v>464</v>
      </c>
      <c r="E3058" s="49"/>
      <c r="G3058" s="46" t="s">
        <v>3</v>
      </c>
      <c r="H3058" s="52">
        <f>H3032-H3057</f>
        <v>3398</v>
      </c>
      <c r="I3058" s="48">
        <f>I3032-I3057</f>
        <v>3398</v>
      </c>
      <c r="J3058" s="49"/>
    </row>
    <row r="3061" spans="2:10" ht="18.75" x14ac:dyDescent="0.2">
      <c r="B3061" s="26" t="s">
        <v>7</v>
      </c>
      <c r="G3061" s="26" t="s">
        <v>35</v>
      </c>
    </row>
    <row r="3062" spans="2:10" ht="14.25" thickBot="1" x14ac:dyDescent="0.2"/>
    <row r="3063" spans="2:10" ht="14.25" thickBot="1" x14ac:dyDescent="0.2">
      <c r="B3063" s="1"/>
      <c r="C3063" s="1"/>
      <c r="D3063" s="53" t="s">
        <v>0</v>
      </c>
      <c r="E3063" s="1" t="s">
        <v>4</v>
      </c>
      <c r="G3063" s="1"/>
      <c r="H3063" s="1"/>
      <c r="I3063" s="53" t="s">
        <v>0</v>
      </c>
      <c r="J3063" s="1" t="s">
        <v>4</v>
      </c>
    </row>
    <row r="3064" spans="2:10" x14ac:dyDescent="0.15">
      <c r="B3064" s="42" t="s">
        <v>5</v>
      </c>
      <c r="C3064" s="43">
        <f>C3058</f>
        <v>464</v>
      </c>
      <c r="D3064" s="44">
        <f>SUM(C3064:C3064)</f>
        <v>464</v>
      </c>
      <c r="E3064" s="45"/>
      <c r="G3064" s="42" t="s">
        <v>5</v>
      </c>
      <c r="H3064" s="43">
        <f>H3058</f>
        <v>3398</v>
      </c>
      <c r="I3064" s="44">
        <f>SUM(H3064:H3064)</f>
        <v>3398</v>
      </c>
      <c r="J3064" s="45"/>
    </row>
    <row r="3065" spans="2:10" x14ac:dyDescent="0.15">
      <c r="B3065" s="6" t="s">
        <v>895</v>
      </c>
      <c r="C3065" s="13">
        <v>7</v>
      </c>
      <c r="D3065" s="14">
        <f>SUM(C3065:C3065)</f>
        <v>7</v>
      </c>
      <c r="E3065" s="12">
        <v>44728</v>
      </c>
      <c r="G3065" s="6" t="s">
        <v>6</v>
      </c>
      <c r="H3065" s="13"/>
      <c r="I3065" s="14">
        <f>SUM(H3065:H3065)</f>
        <v>0</v>
      </c>
      <c r="J3065" s="169"/>
    </row>
    <row r="3066" spans="2:10" x14ac:dyDescent="0.15">
      <c r="B3066" s="6" t="s">
        <v>6</v>
      </c>
      <c r="C3066" s="13">
        <v>200</v>
      </c>
      <c r="D3066" s="14">
        <f>SUM(C3066:C3066)</f>
        <v>200</v>
      </c>
      <c r="E3066" s="12">
        <v>44741</v>
      </c>
      <c r="G3066" s="4" t="s">
        <v>6</v>
      </c>
      <c r="H3066" s="93">
        <v>2000</v>
      </c>
      <c r="I3066" s="14">
        <f>SUM(H3066:H3066)</f>
        <v>2000</v>
      </c>
      <c r="J3066" s="169" t="s">
        <v>908</v>
      </c>
    </row>
    <row r="3067" spans="2:10" ht="14.25" thickBot="1" x14ac:dyDescent="0.2">
      <c r="B3067" s="6" t="s">
        <v>6</v>
      </c>
      <c r="C3067" s="13">
        <v>200</v>
      </c>
      <c r="D3067" s="14">
        <f>SUM(C3067:C3067)</f>
        <v>200</v>
      </c>
      <c r="E3067" s="74">
        <v>44743</v>
      </c>
      <c r="F3067" s="25"/>
      <c r="G3067" s="92" t="s">
        <v>6</v>
      </c>
      <c r="H3067" s="170"/>
      <c r="I3067" s="73">
        <f>SUM(H3067:H3067)</f>
        <v>0</v>
      </c>
      <c r="J3067" s="174"/>
    </row>
    <row r="3068" spans="2:10" ht="14.25" thickBot="1" x14ac:dyDescent="0.2">
      <c r="B3068" s="46" t="s">
        <v>1</v>
      </c>
      <c r="C3068" s="48">
        <f>SUM(C3064:C3067)</f>
        <v>871</v>
      </c>
      <c r="D3068" s="48">
        <f>SUM(D3064:D3067)</f>
        <v>871</v>
      </c>
      <c r="E3068" s="51"/>
      <c r="G3068" s="46" t="s">
        <v>1</v>
      </c>
      <c r="H3068" s="50">
        <f>SUM(H3064:H3067)</f>
        <v>5398</v>
      </c>
      <c r="I3068" s="48">
        <f>SUM(I3064:I3067)</f>
        <v>5398</v>
      </c>
      <c r="J3068" s="51"/>
    </row>
    <row r="3069" spans="2:10" x14ac:dyDescent="0.15">
      <c r="B3069" s="69" t="s">
        <v>189</v>
      </c>
      <c r="C3069" s="13">
        <v>1</v>
      </c>
      <c r="D3069" s="11">
        <f>SUM(C3069:C3069)</f>
        <v>1</v>
      </c>
      <c r="E3069" s="12">
        <v>44720</v>
      </c>
      <c r="F3069" s="180"/>
      <c r="G3069" s="15" t="s">
        <v>896</v>
      </c>
      <c r="H3069" s="13">
        <v>200</v>
      </c>
      <c r="I3069" s="11">
        <f>SUM(H3069:H3069)</f>
        <v>200</v>
      </c>
      <c r="J3069" s="12">
        <v>44741</v>
      </c>
    </row>
    <row r="3070" spans="2:10" x14ac:dyDescent="0.15">
      <c r="B3070" s="15" t="s">
        <v>157</v>
      </c>
      <c r="C3070" s="13">
        <v>100</v>
      </c>
      <c r="D3070" s="14">
        <f>SUM(C3070:C3070)</f>
        <v>100</v>
      </c>
      <c r="E3070" s="12">
        <v>44728</v>
      </c>
      <c r="F3070" s="180"/>
      <c r="G3070" s="15" t="s">
        <v>162</v>
      </c>
      <c r="H3070" s="13">
        <v>500</v>
      </c>
      <c r="I3070" s="14">
        <f>SUM(H3070:H3070)</f>
        <v>500</v>
      </c>
      <c r="J3070" s="12">
        <v>44742</v>
      </c>
    </row>
    <row r="3071" spans="2:10" x14ac:dyDescent="0.15">
      <c r="B3071" s="69" t="s">
        <v>189</v>
      </c>
      <c r="C3071" s="13">
        <v>2</v>
      </c>
      <c r="D3071" s="14">
        <f>SUM(C3071:C3071)</f>
        <v>2</v>
      </c>
      <c r="E3071" s="12">
        <v>44722</v>
      </c>
      <c r="G3071" s="89" t="s">
        <v>898</v>
      </c>
      <c r="H3071" s="13">
        <v>200</v>
      </c>
      <c r="I3071" s="14">
        <f t="shared" ref="I3071:I3093" si="253">SUM(H3071:H3071)</f>
        <v>200</v>
      </c>
      <c r="J3071" s="12">
        <v>44742</v>
      </c>
    </row>
    <row r="3072" spans="2:10" x14ac:dyDescent="0.15">
      <c r="B3072" s="69" t="s">
        <v>189</v>
      </c>
      <c r="C3072" s="13">
        <v>1</v>
      </c>
      <c r="D3072" s="14">
        <f t="shared" ref="D3072:D3082" si="254">SUM(C3072:C3072)</f>
        <v>1</v>
      </c>
      <c r="E3072" s="12">
        <v>44725</v>
      </c>
      <c r="G3072" s="89" t="s">
        <v>899</v>
      </c>
      <c r="H3072" s="13">
        <v>400</v>
      </c>
      <c r="I3072" s="14">
        <f t="shared" si="253"/>
        <v>400</v>
      </c>
      <c r="J3072" s="12">
        <v>44743</v>
      </c>
    </row>
    <row r="3073" spans="2:10" x14ac:dyDescent="0.15">
      <c r="B3073" s="89" t="s">
        <v>893</v>
      </c>
      <c r="C3073" s="13">
        <v>100</v>
      </c>
      <c r="D3073" s="14">
        <f t="shared" si="254"/>
        <v>100</v>
      </c>
      <c r="E3073" s="12">
        <v>44736</v>
      </c>
      <c r="G3073" s="89" t="s">
        <v>900</v>
      </c>
      <c r="H3073" s="13">
        <v>700</v>
      </c>
      <c r="I3073" s="14">
        <f t="shared" si="253"/>
        <v>700</v>
      </c>
      <c r="J3073" s="12">
        <v>44743</v>
      </c>
    </row>
    <row r="3074" spans="2:10" x14ac:dyDescent="0.15">
      <c r="B3074" s="89" t="s">
        <v>894</v>
      </c>
      <c r="C3074" s="13">
        <v>100</v>
      </c>
      <c r="D3074" s="14">
        <f t="shared" si="254"/>
        <v>100</v>
      </c>
      <c r="E3074" s="12">
        <v>44736</v>
      </c>
      <c r="G3074" s="89" t="s">
        <v>12</v>
      </c>
      <c r="H3074" s="13">
        <v>200</v>
      </c>
      <c r="I3074" s="14">
        <f t="shared" si="253"/>
        <v>200</v>
      </c>
      <c r="J3074" s="12">
        <v>44743</v>
      </c>
    </row>
    <row r="3075" spans="2:10" x14ac:dyDescent="0.15">
      <c r="B3075" s="69" t="s">
        <v>189</v>
      </c>
      <c r="C3075" s="13">
        <v>1</v>
      </c>
      <c r="D3075" s="14">
        <f t="shared" si="254"/>
        <v>1</v>
      </c>
      <c r="E3075" s="12">
        <v>44726</v>
      </c>
      <c r="G3075" s="89" t="s">
        <v>904</v>
      </c>
      <c r="H3075" s="13">
        <v>600</v>
      </c>
      <c r="I3075" s="14">
        <f t="shared" si="253"/>
        <v>600</v>
      </c>
      <c r="J3075" s="12">
        <v>44750</v>
      </c>
    </row>
    <row r="3076" spans="2:10" x14ac:dyDescent="0.15">
      <c r="B3076" s="69" t="s">
        <v>702</v>
      </c>
      <c r="C3076" s="13">
        <v>18</v>
      </c>
      <c r="D3076" s="14">
        <f t="shared" si="254"/>
        <v>18</v>
      </c>
      <c r="E3076" s="12">
        <v>44728</v>
      </c>
      <c r="G3076" s="182" t="s">
        <v>905</v>
      </c>
      <c r="H3076" s="13">
        <v>200</v>
      </c>
      <c r="I3076" s="14">
        <f t="shared" si="253"/>
        <v>200</v>
      </c>
      <c r="J3076" s="12">
        <v>44764</v>
      </c>
    </row>
    <row r="3077" spans="2:10" x14ac:dyDescent="0.15">
      <c r="B3077" s="69" t="s">
        <v>189</v>
      </c>
      <c r="C3077" s="13">
        <v>3</v>
      </c>
      <c r="D3077" s="14">
        <f t="shared" si="254"/>
        <v>3</v>
      </c>
      <c r="E3077" s="12">
        <v>44732</v>
      </c>
      <c r="G3077" s="182" t="s">
        <v>906</v>
      </c>
      <c r="H3077" s="13">
        <v>300</v>
      </c>
      <c r="I3077" s="14">
        <f t="shared" si="253"/>
        <v>300</v>
      </c>
      <c r="J3077" s="12">
        <v>44764</v>
      </c>
    </row>
    <row r="3078" spans="2:10" x14ac:dyDescent="0.15">
      <c r="B3078" s="69" t="s">
        <v>189</v>
      </c>
      <c r="C3078" s="13">
        <v>1</v>
      </c>
      <c r="D3078" s="14">
        <f t="shared" si="254"/>
        <v>1</v>
      </c>
      <c r="E3078" s="12">
        <v>44735</v>
      </c>
      <c r="G3078" s="15" t="s">
        <v>907</v>
      </c>
      <c r="H3078" s="13">
        <v>200</v>
      </c>
      <c r="I3078" s="14">
        <f t="shared" si="253"/>
        <v>200</v>
      </c>
      <c r="J3078" s="12">
        <v>44756</v>
      </c>
    </row>
    <row r="3079" spans="2:10" x14ac:dyDescent="0.15">
      <c r="B3079" s="69" t="s">
        <v>702</v>
      </c>
      <c r="C3079" s="13">
        <v>16</v>
      </c>
      <c r="D3079" s="14">
        <f t="shared" si="254"/>
        <v>16</v>
      </c>
      <c r="E3079" s="12">
        <v>44740</v>
      </c>
      <c r="G3079" s="182" t="s">
        <v>909</v>
      </c>
      <c r="H3079" s="13">
        <v>200</v>
      </c>
      <c r="I3079" s="14">
        <f t="shared" si="253"/>
        <v>200</v>
      </c>
      <c r="J3079" s="5">
        <v>44771</v>
      </c>
    </row>
    <row r="3080" spans="2:10" x14ac:dyDescent="0.15">
      <c r="B3080" s="69" t="s">
        <v>189</v>
      </c>
      <c r="C3080" s="13">
        <v>1</v>
      </c>
      <c r="D3080" s="14">
        <f t="shared" si="254"/>
        <v>1</v>
      </c>
      <c r="E3080" s="12">
        <v>44739</v>
      </c>
      <c r="G3080" s="15"/>
      <c r="H3080" s="7"/>
      <c r="I3080" s="14">
        <f t="shared" si="253"/>
        <v>0</v>
      </c>
      <c r="J3080" s="12"/>
    </row>
    <row r="3081" spans="2:10" x14ac:dyDescent="0.15">
      <c r="B3081" s="69" t="s">
        <v>702</v>
      </c>
      <c r="C3081" s="13">
        <v>3</v>
      </c>
      <c r="D3081" s="14">
        <f t="shared" si="254"/>
        <v>3</v>
      </c>
      <c r="E3081" s="12">
        <v>44741</v>
      </c>
      <c r="G3081" s="15"/>
      <c r="H3081" s="7"/>
      <c r="I3081" s="14">
        <f t="shared" si="253"/>
        <v>0</v>
      </c>
      <c r="J3081" s="12"/>
    </row>
    <row r="3082" spans="2:10" x14ac:dyDescent="0.15">
      <c r="B3082" s="89" t="s">
        <v>897</v>
      </c>
      <c r="C3082" s="13">
        <v>100</v>
      </c>
      <c r="D3082" s="14">
        <f t="shared" si="254"/>
        <v>100</v>
      </c>
      <c r="E3082" s="12">
        <v>44742</v>
      </c>
      <c r="G3082" s="15"/>
      <c r="H3082" s="7"/>
      <c r="I3082" s="14">
        <f t="shared" si="253"/>
        <v>0</v>
      </c>
      <c r="J3082" s="5"/>
    </row>
    <row r="3083" spans="2:10" x14ac:dyDescent="0.15">
      <c r="B3083" s="69" t="s">
        <v>702</v>
      </c>
      <c r="C3083" s="13">
        <v>13</v>
      </c>
      <c r="D3083" s="14">
        <f>SUM(C3083:C3083)</f>
        <v>13</v>
      </c>
      <c r="E3083" s="12">
        <v>44742</v>
      </c>
      <c r="G3083" s="15"/>
      <c r="H3083" s="7"/>
      <c r="I3083" s="14">
        <f t="shared" si="253"/>
        <v>0</v>
      </c>
      <c r="J3083" s="12"/>
    </row>
    <row r="3084" spans="2:10" x14ac:dyDescent="0.15">
      <c r="B3084" s="69" t="s">
        <v>702</v>
      </c>
      <c r="C3084" s="13">
        <v>1</v>
      </c>
      <c r="D3084" s="14">
        <f t="shared" ref="D3084:D3093" si="255">SUM(C3084:C3084)</f>
        <v>1</v>
      </c>
      <c r="E3084" s="12">
        <v>44743</v>
      </c>
      <c r="G3084" s="15"/>
      <c r="H3084" s="7"/>
      <c r="I3084" s="14">
        <f t="shared" si="253"/>
        <v>0</v>
      </c>
      <c r="J3084" s="12"/>
    </row>
    <row r="3085" spans="2:10" x14ac:dyDescent="0.15">
      <c r="B3085" s="15" t="s">
        <v>901</v>
      </c>
      <c r="C3085" s="13">
        <v>100</v>
      </c>
      <c r="D3085" s="14">
        <f t="shared" si="255"/>
        <v>100</v>
      </c>
      <c r="E3085" s="12">
        <v>44743</v>
      </c>
      <c r="G3085" s="15"/>
      <c r="H3085" s="7"/>
      <c r="I3085" s="14">
        <f t="shared" si="253"/>
        <v>0</v>
      </c>
      <c r="J3085" s="67"/>
    </row>
    <row r="3086" spans="2:10" x14ac:dyDescent="0.15">
      <c r="B3086" s="89" t="s">
        <v>902</v>
      </c>
      <c r="C3086" s="13">
        <v>200</v>
      </c>
      <c r="D3086" s="14">
        <f t="shared" si="255"/>
        <v>200</v>
      </c>
      <c r="E3086" s="12">
        <v>44746</v>
      </c>
      <c r="G3086" s="15"/>
      <c r="H3086" s="7"/>
      <c r="I3086" s="14">
        <f t="shared" si="253"/>
        <v>0</v>
      </c>
      <c r="J3086" s="67"/>
    </row>
    <row r="3087" spans="2:10" x14ac:dyDescent="0.15">
      <c r="B3087" s="69" t="s">
        <v>189</v>
      </c>
      <c r="C3087" s="13">
        <v>5</v>
      </c>
      <c r="D3087" s="14">
        <f t="shared" si="255"/>
        <v>5</v>
      </c>
      <c r="E3087" s="12">
        <v>44742</v>
      </c>
      <c r="G3087" s="15"/>
      <c r="H3087" s="7"/>
      <c r="I3087" s="14">
        <f t="shared" si="253"/>
        <v>0</v>
      </c>
      <c r="J3087" s="67"/>
    </row>
    <row r="3088" spans="2:10" x14ac:dyDescent="0.15">
      <c r="B3088" s="69" t="s">
        <v>702</v>
      </c>
      <c r="C3088" s="13">
        <v>4</v>
      </c>
      <c r="D3088" s="14">
        <f t="shared" si="255"/>
        <v>4</v>
      </c>
      <c r="E3088" s="5">
        <v>44746</v>
      </c>
      <c r="G3088" s="15"/>
      <c r="H3088" s="7"/>
      <c r="I3088" s="14">
        <f t="shared" si="253"/>
        <v>0</v>
      </c>
      <c r="J3088" s="67"/>
    </row>
    <row r="3089" spans="2:11" x14ac:dyDescent="0.15">
      <c r="B3089" s="69" t="s">
        <v>189</v>
      </c>
      <c r="C3089" s="13">
        <v>2</v>
      </c>
      <c r="D3089" s="14">
        <f t="shared" si="255"/>
        <v>2</v>
      </c>
      <c r="E3089" s="5">
        <v>44743</v>
      </c>
      <c r="G3089" s="15" t="s">
        <v>862</v>
      </c>
      <c r="H3089" s="7"/>
      <c r="I3089" s="14">
        <f>SUM(H3089:H3089)</f>
        <v>0</v>
      </c>
      <c r="J3089" s="67" t="s">
        <v>861</v>
      </c>
    </row>
    <row r="3090" spans="2:11" x14ac:dyDescent="0.15">
      <c r="B3090" s="69" t="s">
        <v>702</v>
      </c>
      <c r="C3090" s="13">
        <v>2</v>
      </c>
      <c r="D3090" s="14">
        <f t="shared" si="255"/>
        <v>2</v>
      </c>
      <c r="E3090" s="5">
        <v>44748</v>
      </c>
      <c r="G3090" s="15" t="s">
        <v>879</v>
      </c>
      <c r="H3090" s="7"/>
      <c r="I3090" s="14">
        <f>SUM(H3090:H3090)</f>
        <v>0</v>
      </c>
      <c r="J3090" s="67" t="s">
        <v>880</v>
      </c>
    </row>
    <row r="3091" spans="2:11" x14ac:dyDescent="0.15">
      <c r="B3091" s="69" t="s">
        <v>189</v>
      </c>
      <c r="C3091" s="13">
        <v>1</v>
      </c>
      <c r="D3091" s="14">
        <f t="shared" si="255"/>
        <v>1</v>
      </c>
      <c r="E3091" s="5">
        <v>44747</v>
      </c>
      <c r="G3091" s="4" t="s">
        <v>913</v>
      </c>
      <c r="H3091" s="184"/>
      <c r="I3091" s="185">
        <f>SUM(H3091:H3091)</f>
        <v>0</v>
      </c>
      <c r="J3091" s="186"/>
    </row>
    <row r="3092" spans="2:11" ht="14.25" thickBot="1" x14ac:dyDescent="0.2">
      <c r="B3092" s="15" t="s">
        <v>869</v>
      </c>
      <c r="C3092" s="7"/>
      <c r="D3092" s="14">
        <f t="shared" si="255"/>
        <v>0</v>
      </c>
      <c r="E3092" s="67" t="s">
        <v>407</v>
      </c>
      <c r="G3092" s="15" t="s">
        <v>883</v>
      </c>
      <c r="H3092" s="7"/>
      <c r="I3092" s="14">
        <f t="shared" ref="I3092" si="256">SUM(H3092:H3092)</f>
        <v>0</v>
      </c>
      <c r="J3092" s="67" t="s">
        <v>865</v>
      </c>
    </row>
    <row r="3093" spans="2:11" ht="14.25" thickBot="1" x14ac:dyDescent="0.2">
      <c r="B3093" s="17" t="s">
        <v>2</v>
      </c>
      <c r="C3093" s="18">
        <f>SUM(C3069:C3092)</f>
        <v>775</v>
      </c>
      <c r="D3093" s="19">
        <f t="shared" si="255"/>
        <v>775</v>
      </c>
      <c r="E3093" s="20"/>
      <c r="G3093" s="17" t="s">
        <v>2</v>
      </c>
      <c r="H3093" s="18">
        <f>SUM(H3069:H3092)</f>
        <v>3700</v>
      </c>
      <c r="I3093" s="19">
        <f t="shared" si="253"/>
        <v>3700</v>
      </c>
      <c r="J3093" s="20"/>
    </row>
    <row r="3094" spans="2:11" ht="14.25" thickBot="1" x14ac:dyDescent="0.2">
      <c r="B3094" s="46" t="s">
        <v>3</v>
      </c>
      <c r="C3094" s="52">
        <f>C3068-C3093</f>
        <v>96</v>
      </c>
      <c r="D3094" s="48">
        <f>D3068-D3093</f>
        <v>96</v>
      </c>
      <c r="E3094" s="49"/>
      <c r="G3094" s="46" t="s">
        <v>3</v>
      </c>
      <c r="H3094" s="52">
        <f>H3068-H3093</f>
        <v>1698</v>
      </c>
      <c r="I3094" s="48">
        <f>I3068-I3093</f>
        <v>1698</v>
      </c>
      <c r="J3094" s="49"/>
    </row>
    <row r="3097" spans="2:11" ht="18.75" x14ac:dyDescent="0.2">
      <c r="B3097" s="26" t="s">
        <v>7</v>
      </c>
      <c r="G3097" s="26" t="s">
        <v>35</v>
      </c>
    </row>
    <row r="3098" spans="2:11" ht="14.25" thickBot="1" x14ac:dyDescent="0.2"/>
    <row r="3099" spans="2:11" ht="14.25" thickBot="1" x14ac:dyDescent="0.2">
      <c r="B3099" s="1"/>
      <c r="C3099" s="1"/>
      <c r="D3099" s="53" t="s">
        <v>0</v>
      </c>
      <c r="E3099" s="1" t="s">
        <v>4</v>
      </c>
      <c r="G3099" s="1"/>
      <c r="H3099" s="1"/>
      <c r="I3099" s="53" t="s">
        <v>0</v>
      </c>
      <c r="J3099" s="1" t="s">
        <v>4</v>
      </c>
    </row>
    <row r="3100" spans="2:11" x14ac:dyDescent="0.15">
      <c r="B3100" s="42" t="s">
        <v>5</v>
      </c>
      <c r="C3100" s="43">
        <f>C3094</f>
        <v>96</v>
      </c>
      <c r="D3100" s="44">
        <f>SUM(C3100:C3100)</f>
        <v>96</v>
      </c>
      <c r="E3100" s="45"/>
      <c r="G3100" s="42" t="s">
        <v>5</v>
      </c>
      <c r="H3100" s="43">
        <f>H3094</f>
        <v>1698</v>
      </c>
      <c r="I3100" s="44">
        <f>SUM(H3100:H3100)</f>
        <v>1698</v>
      </c>
      <c r="J3100" s="45"/>
    </row>
    <row r="3101" spans="2:11" x14ac:dyDescent="0.15">
      <c r="B3101" s="6" t="s">
        <v>105</v>
      </c>
      <c r="C3101" s="13">
        <v>1</v>
      </c>
      <c r="D3101" s="14">
        <f>SUM(C3101:C3101)</f>
        <v>1</v>
      </c>
      <c r="E3101" s="12">
        <v>44750</v>
      </c>
      <c r="G3101" s="6" t="s">
        <v>6</v>
      </c>
      <c r="H3101" s="13"/>
      <c r="I3101" s="14">
        <f>SUM(H3101:H3101)</f>
        <v>0</v>
      </c>
      <c r="J3101" s="169"/>
    </row>
    <row r="3102" spans="2:11" x14ac:dyDescent="0.15">
      <c r="B3102" s="6" t="s">
        <v>76</v>
      </c>
      <c r="C3102" s="13">
        <v>2</v>
      </c>
      <c r="D3102" s="14">
        <f>SUM(C3102:C3102)</f>
        <v>2</v>
      </c>
      <c r="E3102" s="12">
        <v>44755</v>
      </c>
      <c r="G3102" s="4" t="s">
        <v>6</v>
      </c>
      <c r="H3102" s="93">
        <v>2500</v>
      </c>
      <c r="I3102" s="14">
        <f>SUM(H3102:H3102)</f>
        <v>2500</v>
      </c>
      <c r="J3102" s="169" t="s">
        <v>914</v>
      </c>
      <c r="K3102" s="86"/>
    </row>
    <row r="3103" spans="2:11" ht="14.25" thickBot="1" x14ac:dyDescent="0.2">
      <c r="B3103" s="6" t="s">
        <v>6</v>
      </c>
      <c r="C3103" s="13">
        <v>200</v>
      </c>
      <c r="D3103" s="14">
        <f>SUM(C3103:C3103)</f>
        <v>200</v>
      </c>
      <c r="E3103" s="74">
        <v>44770</v>
      </c>
      <c r="F3103" s="25"/>
      <c r="G3103" s="92" t="s">
        <v>6</v>
      </c>
      <c r="H3103" s="170"/>
      <c r="I3103" s="73">
        <f>SUM(H3103:H3103)</f>
        <v>0</v>
      </c>
      <c r="J3103" s="169"/>
    </row>
    <row r="3104" spans="2:11" ht="14.25" thickBot="1" x14ac:dyDescent="0.2">
      <c r="B3104" s="46" t="s">
        <v>1</v>
      </c>
      <c r="C3104" s="48">
        <f>SUM(C3100:C3103)</f>
        <v>299</v>
      </c>
      <c r="D3104" s="48">
        <f>SUM(D3100:D3103)</f>
        <v>299</v>
      </c>
      <c r="E3104" s="51"/>
      <c r="G3104" s="46" t="s">
        <v>1</v>
      </c>
      <c r="H3104" s="50">
        <f>SUM(H3100:H3103)</f>
        <v>4198</v>
      </c>
      <c r="I3104" s="48">
        <f>SUM(I3100:I3103)</f>
        <v>4198</v>
      </c>
      <c r="J3104" s="51"/>
    </row>
    <row r="3105" spans="2:10" x14ac:dyDescent="0.15">
      <c r="B3105" s="69" t="s">
        <v>702</v>
      </c>
      <c r="C3105" s="13">
        <v>6</v>
      </c>
      <c r="D3105" s="11">
        <f>SUM(C3105:C3105)</f>
        <v>6</v>
      </c>
      <c r="E3105" s="12">
        <v>44754</v>
      </c>
      <c r="F3105" s="180"/>
      <c r="G3105" s="15" t="s">
        <v>910</v>
      </c>
      <c r="H3105" s="13">
        <v>200</v>
      </c>
      <c r="I3105" s="11">
        <f>SUM(H3105:H3105)</f>
        <v>200</v>
      </c>
      <c r="J3105" s="12">
        <v>44770</v>
      </c>
    </row>
    <row r="3106" spans="2:10" x14ac:dyDescent="0.15">
      <c r="B3106" s="69" t="s">
        <v>189</v>
      </c>
      <c r="C3106" s="13">
        <f>1+5+2</f>
        <v>8</v>
      </c>
      <c r="D3106" s="14">
        <f>SUM(C3106:C3106)</f>
        <v>8</v>
      </c>
      <c r="E3106" s="12">
        <v>44753</v>
      </c>
      <c r="F3106" s="180"/>
      <c r="G3106" s="15" t="s">
        <v>928</v>
      </c>
      <c r="H3106" s="13">
        <v>450</v>
      </c>
      <c r="I3106" s="14">
        <f>SUM(H3106:H3106)</f>
        <v>450</v>
      </c>
      <c r="J3106" s="12">
        <v>44778</v>
      </c>
    </row>
    <row r="3107" spans="2:10" x14ac:dyDescent="0.15">
      <c r="B3107" s="69" t="s">
        <v>702</v>
      </c>
      <c r="C3107" s="13">
        <v>2</v>
      </c>
      <c r="D3107" s="14">
        <f>SUM(C3107:C3107)</f>
        <v>2</v>
      </c>
      <c r="E3107" s="12">
        <v>44755</v>
      </c>
      <c r="G3107" s="89"/>
      <c r="H3107" s="13"/>
      <c r="I3107" s="14">
        <f t="shared" ref="I3107:I3129" si="257">SUM(H3107:H3107)</f>
        <v>0</v>
      </c>
      <c r="J3107" s="12"/>
    </row>
    <row r="3108" spans="2:10" x14ac:dyDescent="0.15">
      <c r="B3108" s="69" t="s">
        <v>189</v>
      </c>
      <c r="C3108" s="13">
        <f>2+1</f>
        <v>3</v>
      </c>
      <c r="D3108" s="14">
        <f t="shared" ref="D3108:D3118" si="258">SUM(C3108:C3108)</f>
        <v>3</v>
      </c>
      <c r="E3108" s="12">
        <v>44755</v>
      </c>
      <c r="G3108" s="89"/>
      <c r="H3108" s="13"/>
      <c r="I3108" s="14">
        <f t="shared" si="257"/>
        <v>0</v>
      </c>
      <c r="J3108" s="12"/>
    </row>
    <row r="3109" spans="2:10" x14ac:dyDescent="0.15">
      <c r="B3109" s="69" t="s">
        <v>702</v>
      </c>
      <c r="C3109" s="13">
        <v>2</v>
      </c>
      <c r="D3109" s="14">
        <f t="shared" si="258"/>
        <v>2</v>
      </c>
      <c r="E3109" s="12">
        <v>44757</v>
      </c>
      <c r="G3109" s="89"/>
      <c r="H3109" s="13"/>
      <c r="I3109" s="14">
        <f t="shared" si="257"/>
        <v>0</v>
      </c>
      <c r="J3109" s="12"/>
    </row>
    <row r="3110" spans="2:10" x14ac:dyDescent="0.15">
      <c r="B3110" s="69" t="s">
        <v>189</v>
      </c>
      <c r="C3110" s="13">
        <v>1</v>
      </c>
      <c r="D3110" s="14">
        <f t="shared" si="258"/>
        <v>1</v>
      </c>
      <c r="E3110" s="12">
        <v>44756</v>
      </c>
      <c r="G3110" s="15"/>
      <c r="H3110" s="13"/>
      <c r="I3110" s="14">
        <f t="shared" si="257"/>
        <v>0</v>
      </c>
      <c r="J3110" s="12"/>
    </row>
    <row r="3111" spans="2:10" x14ac:dyDescent="0.15">
      <c r="B3111" s="69" t="s">
        <v>189</v>
      </c>
      <c r="C3111" s="13">
        <v>2</v>
      </c>
      <c r="D3111" s="14">
        <f t="shared" si="258"/>
        <v>2</v>
      </c>
      <c r="E3111" s="12">
        <v>44757</v>
      </c>
      <c r="G3111" s="15"/>
      <c r="H3111" s="13"/>
      <c r="I3111" s="14">
        <f t="shared" si="257"/>
        <v>0</v>
      </c>
      <c r="J3111" s="12"/>
    </row>
    <row r="3112" spans="2:10" x14ac:dyDescent="0.15">
      <c r="B3112" s="69" t="s">
        <v>702</v>
      </c>
      <c r="C3112" s="13">
        <v>3</v>
      </c>
      <c r="D3112" s="14">
        <f t="shared" si="258"/>
        <v>3</v>
      </c>
      <c r="E3112" s="12">
        <v>44762</v>
      </c>
      <c r="G3112" s="15"/>
      <c r="H3112" s="13"/>
      <c r="I3112" s="14">
        <f t="shared" si="257"/>
        <v>0</v>
      </c>
      <c r="J3112" s="12"/>
    </row>
    <row r="3113" spans="2:10" x14ac:dyDescent="0.15">
      <c r="B3113" s="69" t="s">
        <v>189</v>
      </c>
      <c r="C3113" s="13">
        <v>3</v>
      </c>
      <c r="D3113" s="14">
        <f t="shared" si="258"/>
        <v>3</v>
      </c>
      <c r="E3113" s="12">
        <v>44761</v>
      </c>
      <c r="G3113" s="15"/>
      <c r="H3113" s="13"/>
      <c r="I3113" s="14">
        <f t="shared" si="257"/>
        <v>0</v>
      </c>
      <c r="J3113" s="12"/>
    </row>
    <row r="3114" spans="2:10" x14ac:dyDescent="0.15">
      <c r="B3114" s="69" t="s">
        <v>702</v>
      </c>
      <c r="C3114" s="13">
        <v>1</v>
      </c>
      <c r="D3114" s="14">
        <f t="shared" si="258"/>
        <v>1</v>
      </c>
      <c r="E3114" s="12">
        <v>44763</v>
      </c>
      <c r="G3114" s="15"/>
      <c r="H3114" s="13"/>
      <c r="I3114" s="14">
        <f t="shared" si="257"/>
        <v>0</v>
      </c>
      <c r="J3114" s="12"/>
    </row>
    <row r="3115" spans="2:10" x14ac:dyDescent="0.15">
      <c r="B3115" s="69" t="s">
        <v>702</v>
      </c>
      <c r="C3115" s="13">
        <v>2</v>
      </c>
      <c r="D3115" s="14">
        <f t="shared" si="258"/>
        <v>2</v>
      </c>
      <c r="E3115" s="12">
        <v>44764</v>
      </c>
      <c r="G3115" s="15"/>
      <c r="H3115" s="13"/>
      <c r="I3115" s="14">
        <f t="shared" si="257"/>
        <v>0</v>
      </c>
      <c r="J3115" s="5"/>
    </row>
    <row r="3116" spans="2:10" x14ac:dyDescent="0.15">
      <c r="B3116" s="69" t="s">
        <v>702</v>
      </c>
      <c r="C3116" s="13">
        <v>1</v>
      </c>
      <c r="D3116" s="14">
        <f t="shared" si="258"/>
        <v>1</v>
      </c>
      <c r="E3116" s="12">
        <v>44768</v>
      </c>
      <c r="G3116" s="15"/>
      <c r="H3116" s="7"/>
      <c r="I3116" s="14">
        <f t="shared" si="257"/>
        <v>0</v>
      </c>
      <c r="J3116" s="12"/>
    </row>
    <row r="3117" spans="2:10" x14ac:dyDescent="0.15">
      <c r="B3117" s="69" t="s">
        <v>189</v>
      </c>
      <c r="C3117" s="13">
        <v>2</v>
      </c>
      <c r="D3117" s="14">
        <f t="shared" si="258"/>
        <v>2</v>
      </c>
      <c r="E3117" s="12">
        <v>44767</v>
      </c>
      <c r="G3117" s="15"/>
      <c r="H3117" s="7"/>
      <c r="I3117" s="14">
        <f t="shared" si="257"/>
        <v>0</v>
      </c>
      <c r="J3117" s="12"/>
    </row>
    <row r="3118" spans="2:10" x14ac:dyDescent="0.15">
      <c r="B3118" s="69" t="s">
        <v>702</v>
      </c>
      <c r="C3118" s="13">
        <v>1</v>
      </c>
      <c r="D3118" s="14">
        <f t="shared" si="258"/>
        <v>1</v>
      </c>
      <c r="E3118" s="12">
        <v>44769</v>
      </c>
      <c r="G3118" s="15"/>
      <c r="H3118" s="7"/>
      <c r="I3118" s="14">
        <f t="shared" si="257"/>
        <v>0</v>
      </c>
      <c r="J3118" s="5"/>
    </row>
    <row r="3119" spans="2:10" x14ac:dyDescent="0.15">
      <c r="B3119" s="69" t="s">
        <v>189</v>
      </c>
      <c r="C3119" s="13">
        <v>1</v>
      </c>
      <c r="D3119" s="14">
        <f>SUM(C3119:C3119)</f>
        <v>1</v>
      </c>
      <c r="E3119" s="12">
        <v>44768</v>
      </c>
      <c r="G3119" s="15"/>
      <c r="H3119" s="7"/>
      <c r="I3119" s="14">
        <f t="shared" si="257"/>
        <v>0</v>
      </c>
      <c r="J3119" s="12"/>
    </row>
    <row r="3120" spans="2:10" x14ac:dyDescent="0.15">
      <c r="B3120" s="15" t="s">
        <v>907</v>
      </c>
      <c r="C3120" s="13">
        <v>100</v>
      </c>
      <c r="D3120" s="14">
        <f t="shared" ref="D3120:D3129" si="259">SUM(C3120:C3120)</f>
        <v>100</v>
      </c>
      <c r="E3120" s="12">
        <v>44771</v>
      </c>
      <c r="G3120" s="15"/>
      <c r="H3120" s="7"/>
      <c r="I3120" s="14">
        <f t="shared" si="257"/>
        <v>0</v>
      </c>
      <c r="J3120" s="12"/>
    </row>
    <row r="3121" spans="2:10" x14ac:dyDescent="0.15">
      <c r="B3121" s="69" t="s">
        <v>702</v>
      </c>
      <c r="C3121" s="13">
        <v>2</v>
      </c>
      <c r="D3121" s="14">
        <f t="shared" si="259"/>
        <v>2</v>
      </c>
      <c r="E3121" s="12">
        <v>44770</v>
      </c>
      <c r="G3121" s="15"/>
      <c r="H3121" s="7"/>
      <c r="I3121" s="14">
        <f t="shared" si="257"/>
        <v>0</v>
      </c>
      <c r="J3121" s="67"/>
    </row>
    <row r="3122" spans="2:10" x14ac:dyDescent="0.15">
      <c r="B3122" s="69" t="s">
        <v>189</v>
      </c>
      <c r="C3122" s="13">
        <v>2</v>
      </c>
      <c r="D3122" s="14">
        <f t="shared" si="259"/>
        <v>2</v>
      </c>
      <c r="E3122" s="12">
        <v>44768</v>
      </c>
      <c r="G3122" s="15"/>
      <c r="H3122" s="7"/>
      <c r="I3122" s="14">
        <f t="shared" si="257"/>
        <v>0</v>
      </c>
      <c r="J3122" s="67"/>
    </row>
    <row r="3123" spans="2:10" x14ac:dyDescent="0.15">
      <c r="B3123" s="69" t="s">
        <v>189</v>
      </c>
      <c r="C3123" s="13">
        <v>2</v>
      </c>
      <c r="D3123" s="14">
        <f t="shared" si="259"/>
        <v>2</v>
      </c>
      <c r="E3123" s="12">
        <v>44769</v>
      </c>
      <c r="G3123" s="15"/>
      <c r="H3123" s="7"/>
      <c r="I3123" s="14">
        <f t="shared" si="257"/>
        <v>0</v>
      </c>
      <c r="J3123" s="67"/>
    </row>
    <row r="3124" spans="2:10" x14ac:dyDescent="0.15">
      <c r="B3124" s="69" t="s">
        <v>702</v>
      </c>
      <c r="C3124" s="13">
        <v>1</v>
      </c>
      <c r="D3124" s="14">
        <f t="shared" si="259"/>
        <v>1</v>
      </c>
      <c r="E3124" s="5">
        <v>44774</v>
      </c>
      <c r="G3124" s="15"/>
      <c r="H3124" s="7"/>
      <c r="I3124" s="14">
        <f t="shared" si="257"/>
        <v>0</v>
      </c>
      <c r="J3124" s="67"/>
    </row>
    <row r="3125" spans="2:10" x14ac:dyDescent="0.15">
      <c r="B3125" s="69" t="s">
        <v>702</v>
      </c>
      <c r="C3125" s="13">
        <v>4</v>
      </c>
      <c r="D3125" s="14">
        <f t="shared" si="259"/>
        <v>4</v>
      </c>
      <c r="E3125" s="5">
        <v>44775</v>
      </c>
      <c r="G3125" s="15"/>
      <c r="H3125" s="7"/>
      <c r="I3125" s="14">
        <f t="shared" ref="I3125:I3126" si="260">SUM(H3125:H3125)</f>
        <v>0</v>
      </c>
      <c r="J3125" s="67"/>
    </row>
    <row r="3126" spans="2:10" x14ac:dyDescent="0.15">
      <c r="B3126" s="69" t="s">
        <v>702</v>
      </c>
      <c r="C3126" s="13">
        <v>2</v>
      </c>
      <c r="D3126" s="14">
        <f t="shared" si="259"/>
        <v>2</v>
      </c>
      <c r="E3126" s="5">
        <v>44776</v>
      </c>
      <c r="G3126" s="15"/>
      <c r="H3126" s="7"/>
      <c r="I3126" s="14">
        <f t="shared" si="260"/>
        <v>0</v>
      </c>
      <c r="J3126" s="67"/>
    </row>
    <row r="3127" spans="2:10" x14ac:dyDescent="0.15">
      <c r="B3127" s="69" t="s">
        <v>189</v>
      </c>
      <c r="C3127" s="13">
        <v>2</v>
      </c>
      <c r="D3127" s="14">
        <f t="shared" si="259"/>
        <v>2</v>
      </c>
      <c r="E3127" s="5">
        <v>44775</v>
      </c>
      <c r="G3127" s="4" t="s">
        <v>911</v>
      </c>
      <c r="H3127" s="184"/>
      <c r="I3127" s="185">
        <f t="shared" ref="I3127:I3128" si="261">SUM(H3127:H3127)</f>
        <v>0</v>
      </c>
      <c r="J3127" s="186"/>
    </row>
    <row r="3128" spans="2:10" ht="14.25" thickBot="1" x14ac:dyDescent="0.2">
      <c r="B3128" s="69" t="s">
        <v>702</v>
      </c>
      <c r="C3128" s="7">
        <v>5</v>
      </c>
      <c r="D3128" s="14">
        <f t="shared" si="259"/>
        <v>5</v>
      </c>
      <c r="E3128" s="5">
        <v>44778</v>
      </c>
      <c r="G3128" s="68" t="s">
        <v>891</v>
      </c>
      <c r="H3128" s="166"/>
      <c r="I3128" s="167">
        <f t="shared" si="261"/>
        <v>0</v>
      </c>
      <c r="J3128" s="91" t="s">
        <v>892</v>
      </c>
    </row>
    <row r="3129" spans="2:10" ht="14.25" thickBot="1" x14ac:dyDescent="0.2">
      <c r="B3129" s="17" t="s">
        <v>2</v>
      </c>
      <c r="C3129" s="18">
        <f>SUM(C3105:C3128)</f>
        <v>158</v>
      </c>
      <c r="D3129" s="19">
        <f t="shared" si="259"/>
        <v>158</v>
      </c>
      <c r="E3129" s="20"/>
      <c r="G3129" s="17" t="s">
        <v>2</v>
      </c>
      <c r="H3129" s="18">
        <f>SUM(H3105:H3128)</f>
        <v>650</v>
      </c>
      <c r="I3129" s="19">
        <f t="shared" si="257"/>
        <v>650</v>
      </c>
      <c r="J3129" s="20"/>
    </row>
    <row r="3130" spans="2:10" ht="14.25" thickBot="1" x14ac:dyDescent="0.2">
      <c r="B3130" s="46" t="s">
        <v>3</v>
      </c>
      <c r="C3130" s="52">
        <f>C3104-C3129</f>
        <v>141</v>
      </c>
      <c r="D3130" s="48">
        <f>D3104-D3129</f>
        <v>141</v>
      </c>
      <c r="E3130" s="49"/>
      <c r="G3130" s="46" t="s">
        <v>3</v>
      </c>
      <c r="H3130" s="52">
        <f>H3104-H3129</f>
        <v>3548</v>
      </c>
      <c r="I3130" s="48">
        <f>I3104-I3129</f>
        <v>3548</v>
      </c>
      <c r="J3130" s="49"/>
    </row>
    <row r="3133" spans="2:10" ht="18.75" x14ac:dyDescent="0.2">
      <c r="B3133" s="26" t="s">
        <v>7</v>
      </c>
      <c r="G3133" s="26" t="s">
        <v>35</v>
      </c>
    </row>
    <row r="3134" spans="2:10" ht="14.25" thickBot="1" x14ac:dyDescent="0.2"/>
    <row r="3135" spans="2:10" ht="14.25" thickBot="1" x14ac:dyDescent="0.2">
      <c r="B3135" s="1"/>
      <c r="C3135" s="1"/>
      <c r="D3135" s="53" t="s">
        <v>0</v>
      </c>
      <c r="E3135" s="1" t="s">
        <v>4</v>
      </c>
      <c r="G3135" s="1"/>
      <c r="H3135" s="1"/>
      <c r="I3135" s="53" t="s">
        <v>0</v>
      </c>
      <c r="J3135" s="1" t="s">
        <v>4</v>
      </c>
    </row>
    <row r="3136" spans="2:10" x14ac:dyDescent="0.15">
      <c r="B3136" s="42" t="s">
        <v>5</v>
      </c>
      <c r="C3136" s="43">
        <f>C3130</f>
        <v>141</v>
      </c>
      <c r="D3136" s="44">
        <f>SUM(C3136:C3136)</f>
        <v>141</v>
      </c>
      <c r="E3136" s="45"/>
      <c r="G3136" s="42" t="s">
        <v>5</v>
      </c>
      <c r="H3136" s="43">
        <f>H3130</f>
        <v>3548</v>
      </c>
      <c r="I3136" s="44">
        <f>SUM(H3136:H3136)</f>
        <v>3548</v>
      </c>
      <c r="J3136" s="45"/>
    </row>
    <row r="3137" spans="2:11" x14ac:dyDescent="0.15">
      <c r="B3137" s="6" t="s">
        <v>6</v>
      </c>
      <c r="C3137" s="13">
        <v>200</v>
      </c>
      <c r="D3137" s="14">
        <f>SUM(C3137:C3137)</f>
        <v>200</v>
      </c>
      <c r="E3137" s="12">
        <v>44781</v>
      </c>
      <c r="G3137" s="6" t="s">
        <v>6</v>
      </c>
      <c r="H3137" s="13"/>
      <c r="I3137" s="14">
        <f>SUM(H3137:H3137)</f>
        <v>0</v>
      </c>
      <c r="J3137" s="169"/>
    </row>
    <row r="3138" spans="2:11" x14ac:dyDescent="0.15">
      <c r="B3138" s="6" t="s">
        <v>6</v>
      </c>
      <c r="C3138" s="13">
        <v>200</v>
      </c>
      <c r="D3138" s="14">
        <f>SUM(C3138:C3138)</f>
        <v>200</v>
      </c>
      <c r="E3138" s="12">
        <v>44795</v>
      </c>
      <c r="G3138" s="4" t="s">
        <v>6</v>
      </c>
      <c r="H3138" s="93"/>
      <c r="I3138" s="14">
        <f>SUM(H3138:H3138)</f>
        <v>0</v>
      </c>
      <c r="J3138" s="169"/>
      <c r="K3138" s="86"/>
    </row>
    <row r="3139" spans="2:11" ht="14.25" thickBot="1" x14ac:dyDescent="0.2">
      <c r="B3139" s="106" t="s">
        <v>924</v>
      </c>
      <c r="C3139" s="187">
        <v>0</v>
      </c>
      <c r="D3139" s="183">
        <f>SUM(C3139:C3139)</f>
        <v>0</v>
      </c>
      <c r="E3139" s="188">
        <v>44798</v>
      </c>
      <c r="F3139" s="25"/>
      <c r="G3139" s="92" t="s">
        <v>6</v>
      </c>
      <c r="H3139" s="170"/>
      <c r="I3139" s="73">
        <f>SUM(H3139:H3139)</f>
        <v>0</v>
      </c>
      <c r="J3139" s="169"/>
    </row>
    <row r="3140" spans="2:11" ht="14.25" thickBot="1" x14ac:dyDescent="0.2">
      <c r="B3140" s="46" t="s">
        <v>1</v>
      </c>
      <c r="C3140" s="48">
        <f>SUM(C3136:C3139)</f>
        <v>541</v>
      </c>
      <c r="D3140" s="48">
        <f>SUM(D3136:D3139)</f>
        <v>541</v>
      </c>
      <c r="E3140" s="51"/>
      <c r="G3140" s="46" t="s">
        <v>1</v>
      </c>
      <c r="H3140" s="50">
        <f>SUM(H3136:H3139)</f>
        <v>3548</v>
      </c>
      <c r="I3140" s="48">
        <f>SUM(I3136:I3139)</f>
        <v>3548</v>
      </c>
      <c r="J3140" s="51"/>
    </row>
    <row r="3141" spans="2:11" x14ac:dyDescent="0.15">
      <c r="B3141" s="182" t="s">
        <v>915</v>
      </c>
      <c r="C3141" s="13">
        <v>100</v>
      </c>
      <c r="D3141" s="11">
        <f>SUM(C3141:C3141)</f>
        <v>100</v>
      </c>
      <c r="E3141" s="12">
        <v>44779</v>
      </c>
      <c r="F3141" s="180"/>
      <c r="G3141" s="15" t="s">
        <v>916</v>
      </c>
      <c r="H3141" s="13">
        <v>200</v>
      </c>
      <c r="I3141" s="11">
        <f>SUM(H3141:H3141)</f>
        <v>200</v>
      </c>
      <c r="J3141" s="12">
        <v>44781</v>
      </c>
    </row>
    <row r="3142" spans="2:11" x14ac:dyDescent="0.15">
      <c r="B3142" s="69" t="s">
        <v>702</v>
      </c>
      <c r="C3142" s="13">
        <v>25</v>
      </c>
      <c r="D3142" s="14">
        <f>SUM(C3142:C3142)</f>
        <v>25</v>
      </c>
      <c r="E3142" s="12">
        <v>44781</v>
      </c>
      <c r="F3142" s="180"/>
      <c r="G3142" s="15" t="s">
        <v>12</v>
      </c>
      <c r="H3142" s="13">
        <v>200</v>
      </c>
      <c r="I3142" s="14">
        <f>SUM(H3142:H3142)</f>
        <v>200</v>
      </c>
      <c r="J3142" s="12">
        <v>44795</v>
      </c>
    </row>
    <row r="3143" spans="2:11" x14ac:dyDescent="0.15">
      <c r="B3143" s="69" t="s">
        <v>189</v>
      </c>
      <c r="C3143" s="13">
        <v>1</v>
      </c>
      <c r="D3143" s="14">
        <f>SUM(C3143:C3143)</f>
        <v>1</v>
      </c>
      <c r="E3143" s="12">
        <v>44779</v>
      </c>
      <c r="G3143" s="15" t="s">
        <v>918</v>
      </c>
      <c r="H3143" s="13">
        <v>200</v>
      </c>
      <c r="I3143" s="14">
        <f t="shared" ref="I3143:I3165" si="262">SUM(H3143:H3143)</f>
        <v>200</v>
      </c>
      <c r="J3143" s="12">
        <v>44798</v>
      </c>
    </row>
    <row r="3144" spans="2:11" x14ac:dyDescent="0.15">
      <c r="B3144" s="89" t="s">
        <v>917</v>
      </c>
      <c r="C3144" s="13">
        <v>100</v>
      </c>
      <c r="D3144" s="14">
        <f t="shared" ref="D3144:D3149" si="263">SUM(C3144:C3144)</f>
        <v>100</v>
      </c>
      <c r="E3144" s="12">
        <v>44792</v>
      </c>
      <c r="G3144" s="89" t="s">
        <v>920</v>
      </c>
      <c r="H3144" s="13">
        <v>300</v>
      </c>
      <c r="I3144" s="14">
        <f t="shared" si="262"/>
        <v>300</v>
      </c>
      <c r="J3144" s="12">
        <v>44799</v>
      </c>
    </row>
    <row r="3145" spans="2:11" x14ac:dyDescent="0.15">
      <c r="B3145" s="69" t="s">
        <v>189</v>
      </c>
      <c r="C3145" s="13">
        <v>4</v>
      </c>
      <c r="D3145" s="14">
        <f t="shared" si="263"/>
        <v>4</v>
      </c>
      <c r="E3145" s="12">
        <v>44782</v>
      </c>
      <c r="G3145" s="89" t="s">
        <v>921</v>
      </c>
      <c r="H3145" s="13">
        <v>200</v>
      </c>
      <c r="I3145" s="14">
        <f t="shared" si="262"/>
        <v>200</v>
      </c>
      <c r="J3145" s="12">
        <v>44800</v>
      </c>
    </row>
    <row r="3146" spans="2:11" x14ac:dyDescent="0.15">
      <c r="B3146" s="69" t="s">
        <v>702</v>
      </c>
      <c r="C3146" s="13">
        <v>25</v>
      </c>
      <c r="D3146" s="14">
        <f t="shared" si="263"/>
        <v>25</v>
      </c>
      <c r="E3146" s="12">
        <v>44785</v>
      </c>
      <c r="G3146" s="89" t="s">
        <v>925</v>
      </c>
      <c r="H3146" s="13">
        <v>350</v>
      </c>
      <c r="I3146" s="14">
        <f t="shared" si="262"/>
        <v>350</v>
      </c>
      <c r="J3146" s="12">
        <v>44806</v>
      </c>
    </row>
    <row r="3147" spans="2:11" x14ac:dyDescent="0.15">
      <c r="B3147" s="69" t="s">
        <v>189</v>
      </c>
      <c r="C3147" s="13">
        <v>1</v>
      </c>
      <c r="D3147" s="14">
        <f t="shared" si="263"/>
        <v>1</v>
      </c>
      <c r="E3147" s="12">
        <v>44783</v>
      </c>
      <c r="G3147" s="89" t="s">
        <v>926</v>
      </c>
      <c r="H3147" s="13">
        <v>50</v>
      </c>
      <c r="I3147" s="14">
        <f t="shared" si="262"/>
        <v>50</v>
      </c>
      <c r="J3147" s="12">
        <v>44806</v>
      </c>
    </row>
    <row r="3148" spans="2:11" x14ac:dyDescent="0.15">
      <c r="B3148" s="69" t="s">
        <v>189</v>
      </c>
      <c r="C3148" s="13">
        <v>7</v>
      </c>
      <c r="D3148" s="14">
        <f t="shared" si="263"/>
        <v>7</v>
      </c>
      <c r="E3148" s="12">
        <v>44790</v>
      </c>
      <c r="G3148" s="15"/>
      <c r="H3148" s="13"/>
      <c r="I3148" s="14">
        <f t="shared" si="262"/>
        <v>0</v>
      </c>
      <c r="J3148" s="12"/>
    </row>
    <row r="3149" spans="2:11" x14ac:dyDescent="0.15">
      <c r="B3149" s="69" t="s">
        <v>923</v>
      </c>
      <c r="C3149" s="13">
        <v>-2</v>
      </c>
      <c r="D3149" s="14">
        <f t="shared" si="263"/>
        <v>-2</v>
      </c>
      <c r="E3149" s="12">
        <v>44791</v>
      </c>
      <c r="G3149" s="15"/>
      <c r="H3149" s="13"/>
      <c r="I3149" s="14">
        <f t="shared" si="262"/>
        <v>0</v>
      </c>
      <c r="J3149" s="12"/>
    </row>
    <row r="3150" spans="2:11" x14ac:dyDescent="0.15">
      <c r="B3150" s="69" t="s">
        <v>702</v>
      </c>
      <c r="C3150" s="13">
        <v>5</v>
      </c>
      <c r="D3150" s="14">
        <f t="shared" ref="D3150:D3155" si="264">SUM(C3150:C3150)</f>
        <v>5</v>
      </c>
      <c r="E3150" s="12">
        <v>44792</v>
      </c>
      <c r="G3150" s="15"/>
      <c r="H3150" s="13"/>
      <c r="I3150" s="14">
        <f t="shared" si="262"/>
        <v>0</v>
      </c>
      <c r="J3150" s="12"/>
    </row>
    <row r="3151" spans="2:11" x14ac:dyDescent="0.15">
      <c r="B3151" s="69" t="s">
        <v>702</v>
      </c>
      <c r="C3151" s="13">
        <v>10</v>
      </c>
      <c r="D3151" s="14">
        <f t="shared" si="264"/>
        <v>10</v>
      </c>
      <c r="E3151" s="12">
        <v>44795</v>
      </c>
      <c r="G3151" s="15"/>
      <c r="H3151" s="13"/>
      <c r="I3151" s="14">
        <f t="shared" si="262"/>
        <v>0</v>
      </c>
      <c r="J3151" s="5"/>
    </row>
    <row r="3152" spans="2:11" x14ac:dyDescent="0.15">
      <c r="B3152" s="69" t="s">
        <v>702</v>
      </c>
      <c r="C3152" s="13">
        <v>21</v>
      </c>
      <c r="D3152" s="14">
        <f t="shared" si="264"/>
        <v>21</v>
      </c>
      <c r="E3152" s="12">
        <v>44796</v>
      </c>
      <c r="G3152" s="15"/>
      <c r="H3152" s="7"/>
      <c r="I3152" s="14">
        <f t="shared" si="262"/>
        <v>0</v>
      </c>
      <c r="J3152" s="12"/>
    </row>
    <row r="3153" spans="2:10" x14ac:dyDescent="0.15">
      <c r="B3153" s="69" t="s">
        <v>787</v>
      </c>
      <c r="C3153" s="13">
        <v>1</v>
      </c>
      <c r="D3153" s="14">
        <f t="shared" si="264"/>
        <v>1</v>
      </c>
      <c r="E3153" s="12">
        <v>44796</v>
      </c>
      <c r="G3153" s="15"/>
      <c r="H3153" s="7"/>
      <c r="I3153" s="14">
        <f t="shared" si="262"/>
        <v>0</v>
      </c>
      <c r="J3153" s="12"/>
    </row>
    <row r="3154" spans="2:10" x14ac:dyDescent="0.15">
      <c r="B3154" s="69" t="s">
        <v>702</v>
      </c>
      <c r="C3154" s="13">
        <v>15</v>
      </c>
      <c r="D3154" s="14">
        <f t="shared" si="264"/>
        <v>15</v>
      </c>
      <c r="E3154" s="12">
        <v>44797</v>
      </c>
      <c r="G3154" s="15"/>
      <c r="H3154" s="7"/>
      <c r="I3154" s="14">
        <f t="shared" si="262"/>
        <v>0</v>
      </c>
      <c r="J3154" s="5"/>
    </row>
    <row r="3155" spans="2:10" x14ac:dyDescent="0.15">
      <c r="B3155" s="69" t="s">
        <v>787</v>
      </c>
      <c r="C3155" s="13">
        <v>1</v>
      </c>
      <c r="D3155" s="14">
        <f t="shared" si="264"/>
        <v>1</v>
      </c>
      <c r="E3155" s="12">
        <v>44797</v>
      </c>
      <c r="G3155" s="15"/>
      <c r="H3155" s="7"/>
      <c r="I3155" s="14">
        <f t="shared" si="262"/>
        <v>0</v>
      </c>
      <c r="J3155" s="12"/>
    </row>
    <row r="3156" spans="2:10" x14ac:dyDescent="0.15">
      <c r="B3156" s="89" t="s">
        <v>919</v>
      </c>
      <c r="C3156" s="13">
        <v>150</v>
      </c>
      <c r="D3156" s="14">
        <f>SUM(C3156:C3156)</f>
        <v>150</v>
      </c>
      <c r="E3156" s="12">
        <v>44799</v>
      </c>
      <c r="G3156" s="15"/>
      <c r="H3156" s="7"/>
      <c r="I3156" s="14">
        <f t="shared" si="262"/>
        <v>0</v>
      </c>
      <c r="J3156" s="12"/>
    </row>
    <row r="3157" spans="2:10" x14ac:dyDescent="0.15">
      <c r="B3157" s="69" t="s">
        <v>189</v>
      </c>
      <c r="C3157" s="13">
        <v>2</v>
      </c>
      <c r="D3157" s="14">
        <f t="shared" ref="D3157:D3158" si="265">SUM(C3157:C3157)</f>
        <v>2</v>
      </c>
      <c r="E3157" s="12">
        <v>44797</v>
      </c>
      <c r="G3157" s="15"/>
      <c r="H3157" s="7"/>
      <c r="I3157" s="14">
        <f t="shared" si="262"/>
        <v>0</v>
      </c>
      <c r="J3157" s="67"/>
    </row>
    <row r="3158" spans="2:10" x14ac:dyDescent="0.15">
      <c r="B3158" s="69" t="s">
        <v>922</v>
      </c>
      <c r="C3158" s="13">
        <v>1</v>
      </c>
      <c r="D3158" s="14">
        <f t="shared" si="265"/>
        <v>1</v>
      </c>
      <c r="E3158" s="12">
        <v>44798</v>
      </c>
      <c r="G3158" s="15"/>
      <c r="H3158" s="7"/>
      <c r="I3158" s="14">
        <f t="shared" si="262"/>
        <v>0</v>
      </c>
      <c r="J3158" s="67"/>
    </row>
    <row r="3159" spans="2:10" x14ac:dyDescent="0.15">
      <c r="B3159" s="69" t="s">
        <v>189</v>
      </c>
      <c r="C3159" s="13">
        <v>1</v>
      </c>
      <c r="D3159" s="14">
        <f t="shared" ref="D3159:D3165" si="266">SUM(C3159:C3159)</f>
        <v>1</v>
      </c>
      <c r="E3159" s="12">
        <v>44803</v>
      </c>
      <c r="G3159" s="15"/>
      <c r="H3159" s="7"/>
      <c r="I3159" s="14">
        <f t="shared" si="262"/>
        <v>0</v>
      </c>
      <c r="J3159" s="67"/>
    </row>
    <row r="3160" spans="2:10" x14ac:dyDescent="0.15">
      <c r="B3160" s="69"/>
      <c r="C3160" s="13"/>
      <c r="D3160" s="14">
        <f t="shared" si="266"/>
        <v>0</v>
      </c>
      <c r="E3160" s="5"/>
      <c r="G3160" s="15"/>
      <c r="H3160" s="7"/>
      <c r="I3160" s="14">
        <f t="shared" si="262"/>
        <v>0</v>
      </c>
      <c r="J3160" s="67"/>
    </row>
    <row r="3161" spans="2:10" x14ac:dyDescent="0.15">
      <c r="B3161" s="69"/>
      <c r="C3161" s="13"/>
      <c r="D3161" s="14">
        <f t="shared" si="266"/>
        <v>0</v>
      </c>
      <c r="E3161" s="5"/>
      <c r="G3161" s="4"/>
      <c r="H3161" s="184"/>
      <c r="I3161" s="185">
        <f t="shared" si="262"/>
        <v>0</v>
      </c>
      <c r="J3161" s="186"/>
    </row>
    <row r="3162" spans="2:10" x14ac:dyDescent="0.15">
      <c r="B3162" s="10"/>
      <c r="C3162" s="13"/>
      <c r="D3162" s="14">
        <f t="shared" si="266"/>
        <v>0</v>
      </c>
      <c r="E3162" s="5"/>
      <c r="G3162" s="15"/>
      <c r="H3162" s="7"/>
      <c r="I3162" s="14">
        <f t="shared" si="262"/>
        <v>0</v>
      </c>
      <c r="J3162" s="67"/>
    </row>
    <row r="3163" spans="2:10" x14ac:dyDescent="0.15">
      <c r="B3163" s="69"/>
      <c r="C3163" s="13"/>
      <c r="D3163" s="14">
        <f t="shared" si="266"/>
        <v>0</v>
      </c>
      <c r="E3163" s="5"/>
      <c r="G3163" s="4" t="s">
        <v>912</v>
      </c>
      <c r="H3163" s="184"/>
      <c r="I3163" s="185">
        <f t="shared" si="262"/>
        <v>0</v>
      </c>
      <c r="J3163" s="186"/>
    </row>
    <row r="3164" spans="2:10" ht="14.25" thickBot="1" x14ac:dyDescent="0.2">
      <c r="B3164" s="15" t="s">
        <v>903</v>
      </c>
      <c r="C3164" s="7"/>
      <c r="D3164" s="14">
        <f t="shared" si="266"/>
        <v>0</v>
      </c>
      <c r="E3164" s="67" t="s">
        <v>736</v>
      </c>
      <c r="G3164" s="15" t="s">
        <v>882</v>
      </c>
      <c r="H3164" s="7"/>
      <c r="I3164" s="14">
        <f t="shared" si="262"/>
        <v>0</v>
      </c>
      <c r="J3164" s="67" t="s">
        <v>881</v>
      </c>
    </row>
    <row r="3165" spans="2:10" ht="14.25" thickBot="1" x14ac:dyDescent="0.2">
      <c r="B3165" s="17" t="s">
        <v>2</v>
      </c>
      <c r="C3165" s="18">
        <f>SUM(C3141:C3164)</f>
        <v>468</v>
      </c>
      <c r="D3165" s="19">
        <f t="shared" si="266"/>
        <v>468</v>
      </c>
      <c r="E3165" s="20"/>
      <c r="G3165" s="17" t="s">
        <v>2</v>
      </c>
      <c r="H3165" s="18">
        <f>SUM(H3141:H3164)</f>
        <v>1500</v>
      </c>
      <c r="I3165" s="19">
        <f t="shared" si="262"/>
        <v>1500</v>
      </c>
      <c r="J3165" s="20"/>
    </row>
    <row r="3166" spans="2:10" ht="14.25" thickBot="1" x14ac:dyDescent="0.2">
      <c r="B3166" s="46" t="s">
        <v>3</v>
      </c>
      <c r="C3166" s="52">
        <f>C3140-C3165</f>
        <v>73</v>
      </c>
      <c r="D3166" s="48">
        <f>D3140-D3165</f>
        <v>73</v>
      </c>
      <c r="E3166" s="49"/>
      <c r="G3166" s="46" t="s">
        <v>3</v>
      </c>
      <c r="H3166" s="52">
        <f>H3140-H3165</f>
        <v>2048</v>
      </c>
      <c r="I3166" s="48">
        <f>I3140-I3165</f>
        <v>2048</v>
      </c>
      <c r="J3166" s="49"/>
    </row>
    <row r="3169" spans="2:11" ht="18.75" x14ac:dyDescent="0.2">
      <c r="B3169" s="26" t="s">
        <v>7</v>
      </c>
      <c r="G3169" s="26" t="s">
        <v>35</v>
      </c>
    </row>
    <row r="3170" spans="2:11" ht="14.25" thickBot="1" x14ac:dyDescent="0.2"/>
    <row r="3171" spans="2:11" ht="14.25" thickBot="1" x14ac:dyDescent="0.2">
      <c r="B3171" s="1"/>
      <c r="C3171" s="1"/>
      <c r="D3171" s="53" t="s">
        <v>0</v>
      </c>
      <c r="E3171" s="1" t="s">
        <v>4</v>
      </c>
      <c r="G3171" s="1"/>
      <c r="H3171" s="1"/>
      <c r="I3171" s="53" t="s">
        <v>0</v>
      </c>
      <c r="J3171" s="1" t="s">
        <v>4</v>
      </c>
    </row>
    <row r="3172" spans="2:11" x14ac:dyDescent="0.15">
      <c r="B3172" s="42" t="s">
        <v>5</v>
      </c>
      <c r="C3172" s="43">
        <f>C3166</f>
        <v>73</v>
      </c>
      <c r="D3172" s="44">
        <f>SUM(C3172:C3172)</f>
        <v>73</v>
      </c>
      <c r="E3172" s="45"/>
      <c r="G3172" s="42" t="s">
        <v>5</v>
      </c>
      <c r="H3172" s="43">
        <f>H3166</f>
        <v>2048</v>
      </c>
      <c r="I3172" s="44">
        <f>SUM(H3172:H3172)</f>
        <v>2048</v>
      </c>
      <c r="J3172" s="45"/>
    </row>
    <row r="3173" spans="2:11" x14ac:dyDescent="0.15">
      <c r="B3173" s="6" t="s">
        <v>105</v>
      </c>
      <c r="C3173" s="13">
        <v>2</v>
      </c>
      <c r="D3173" s="14">
        <f>SUM(C3173:C3173)</f>
        <v>2</v>
      </c>
      <c r="E3173" s="12">
        <v>44816</v>
      </c>
      <c r="G3173" s="6" t="s">
        <v>6</v>
      </c>
      <c r="H3173" s="13"/>
      <c r="I3173" s="14">
        <f>SUM(H3173:H3173)</f>
        <v>0</v>
      </c>
      <c r="J3173" s="169"/>
    </row>
    <row r="3174" spans="2:11" x14ac:dyDescent="0.15">
      <c r="B3174" s="6" t="s">
        <v>76</v>
      </c>
      <c r="C3174" s="13">
        <v>20</v>
      </c>
      <c r="D3174" s="14">
        <f t="shared" ref="D3174:D3175" si="267">SUM(C3174:C3174)</f>
        <v>20</v>
      </c>
      <c r="E3174" s="12">
        <v>44818</v>
      </c>
      <c r="G3174" s="4" t="s">
        <v>6</v>
      </c>
      <c r="H3174" s="93"/>
      <c r="I3174" s="14">
        <f>SUM(H3174:H3174)</f>
        <v>0</v>
      </c>
      <c r="J3174" s="169"/>
      <c r="K3174" s="86"/>
    </row>
    <row r="3175" spans="2:11" ht="14.25" thickBot="1" x14ac:dyDescent="0.2">
      <c r="B3175" s="6" t="s">
        <v>927</v>
      </c>
      <c r="C3175" s="13">
        <v>1</v>
      </c>
      <c r="D3175" s="14">
        <f t="shared" si="267"/>
        <v>1</v>
      </c>
      <c r="E3175" s="12">
        <v>44845</v>
      </c>
      <c r="F3175" s="25"/>
      <c r="G3175" s="92" t="s">
        <v>6</v>
      </c>
      <c r="H3175" s="170"/>
      <c r="I3175" s="73">
        <f>SUM(H3175:H3175)</f>
        <v>0</v>
      </c>
      <c r="J3175" s="169"/>
    </row>
    <row r="3176" spans="2:11" ht="14.25" thickBot="1" x14ac:dyDescent="0.2">
      <c r="B3176" s="46" t="s">
        <v>1</v>
      </c>
      <c r="C3176" s="48">
        <f>SUM(C3172:C3175)</f>
        <v>96</v>
      </c>
      <c r="D3176" s="48">
        <f>SUM(D3172:D3175)</f>
        <v>96</v>
      </c>
      <c r="E3176" s="51"/>
      <c r="G3176" s="46" t="s">
        <v>1</v>
      </c>
      <c r="H3176" s="50">
        <f>SUM(H3172:H3175)</f>
        <v>2048</v>
      </c>
      <c r="I3176" s="48">
        <f>SUM(I3172:I3175)</f>
        <v>2048</v>
      </c>
      <c r="J3176" s="51"/>
    </row>
    <row r="3177" spans="2:11" x14ac:dyDescent="0.15">
      <c r="B3177" s="69" t="s">
        <v>189</v>
      </c>
      <c r="C3177" s="13">
        <f>3+1</f>
        <v>4</v>
      </c>
      <c r="D3177" s="14">
        <f t="shared" ref="D3177" si="268">SUM(C3177:C3177)</f>
        <v>4</v>
      </c>
      <c r="E3177" s="5">
        <v>44806</v>
      </c>
      <c r="F3177" s="180"/>
      <c r="G3177" s="15"/>
      <c r="H3177" s="13"/>
      <c r="I3177" s="11">
        <f>SUM(H3177:H3177)</f>
        <v>0</v>
      </c>
      <c r="J3177" s="12"/>
    </row>
    <row r="3178" spans="2:11" x14ac:dyDescent="0.15">
      <c r="B3178" s="69" t="s">
        <v>702</v>
      </c>
      <c r="C3178" s="13">
        <v>2</v>
      </c>
      <c r="D3178" s="14">
        <f>SUM(C3178:C3178)</f>
        <v>2</v>
      </c>
      <c r="E3178" s="12">
        <v>44810</v>
      </c>
      <c r="F3178" s="180"/>
      <c r="G3178" s="15"/>
      <c r="H3178" s="13"/>
      <c r="I3178" s="14">
        <f>SUM(H3178:H3178)</f>
        <v>0</v>
      </c>
      <c r="J3178" s="12"/>
    </row>
    <row r="3179" spans="2:11" x14ac:dyDescent="0.15">
      <c r="B3179" s="69" t="s">
        <v>189</v>
      </c>
      <c r="C3179" s="13">
        <v>1</v>
      </c>
      <c r="D3179" s="14">
        <f>SUM(C3179:C3179)</f>
        <v>1</v>
      </c>
      <c r="E3179" s="12">
        <v>44809</v>
      </c>
      <c r="G3179" s="15"/>
      <c r="H3179" s="13"/>
      <c r="I3179" s="14">
        <f t="shared" ref="I3179:I3201" si="269">SUM(H3179:H3179)</f>
        <v>0</v>
      </c>
      <c r="J3179" s="12"/>
    </row>
    <row r="3180" spans="2:11" x14ac:dyDescent="0.15">
      <c r="B3180" s="69" t="s">
        <v>702</v>
      </c>
      <c r="C3180" s="13">
        <v>1</v>
      </c>
      <c r="D3180" s="14">
        <f t="shared" ref="D3180:D3191" si="270">SUM(C3180:C3180)</f>
        <v>1</v>
      </c>
      <c r="E3180" s="12">
        <v>44811</v>
      </c>
      <c r="G3180" s="89"/>
      <c r="H3180" s="13"/>
      <c r="I3180" s="14">
        <f t="shared" si="269"/>
        <v>0</v>
      </c>
      <c r="J3180" s="12"/>
    </row>
    <row r="3181" spans="2:11" x14ac:dyDescent="0.15">
      <c r="B3181" s="69" t="s">
        <v>189</v>
      </c>
      <c r="C3181" s="13">
        <v>1</v>
      </c>
      <c r="D3181" s="14">
        <f t="shared" si="270"/>
        <v>1</v>
      </c>
      <c r="E3181" s="12">
        <v>44810</v>
      </c>
      <c r="G3181" s="89"/>
      <c r="H3181" s="13"/>
      <c r="I3181" s="14">
        <f t="shared" si="269"/>
        <v>0</v>
      </c>
      <c r="J3181" s="12"/>
    </row>
    <row r="3182" spans="2:11" x14ac:dyDescent="0.15">
      <c r="B3182" s="69" t="s">
        <v>702</v>
      </c>
      <c r="C3182" s="13">
        <v>7</v>
      </c>
      <c r="D3182" s="14">
        <f t="shared" si="270"/>
        <v>7</v>
      </c>
      <c r="E3182" s="12">
        <v>44812</v>
      </c>
      <c r="G3182" s="89"/>
      <c r="H3182" s="13"/>
      <c r="I3182" s="14">
        <f t="shared" si="269"/>
        <v>0</v>
      </c>
      <c r="J3182" s="12"/>
    </row>
    <row r="3183" spans="2:11" x14ac:dyDescent="0.15">
      <c r="B3183" s="69" t="s">
        <v>189</v>
      </c>
      <c r="C3183" s="13">
        <v>1</v>
      </c>
      <c r="D3183" s="14">
        <f t="shared" si="270"/>
        <v>1</v>
      </c>
      <c r="E3183" s="12">
        <v>44811</v>
      </c>
      <c r="G3183" s="89"/>
      <c r="H3183" s="13"/>
      <c r="I3183" s="14">
        <f t="shared" si="269"/>
        <v>0</v>
      </c>
      <c r="J3183" s="12"/>
    </row>
    <row r="3184" spans="2:11" x14ac:dyDescent="0.15">
      <c r="B3184" s="69" t="s">
        <v>702</v>
      </c>
      <c r="C3184" s="13">
        <v>2</v>
      </c>
      <c r="D3184" s="14">
        <f t="shared" si="270"/>
        <v>2</v>
      </c>
      <c r="E3184" s="12">
        <v>44813</v>
      </c>
      <c r="G3184" s="15"/>
      <c r="H3184" s="13"/>
      <c r="I3184" s="14">
        <f t="shared" si="269"/>
        <v>0</v>
      </c>
      <c r="J3184" s="12"/>
    </row>
    <row r="3185" spans="2:10" x14ac:dyDescent="0.15">
      <c r="B3185" s="69" t="s">
        <v>702</v>
      </c>
      <c r="C3185" s="13">
        <v>1</v>
      </c>
      <c r="D3185" s="14">
        <f t="shared" si="270"/>
        <v>1</v>
      </c>
      <c r="E3185" s="12">
        <v>44817</v>
      </c>
      <c r="G3185" s="15"/>
      <c r="H3185" s="13"/>
      <c r="I3185" s="14">
        <f t="shared" si="269"/>
        <v>0</v>
      </c>
      <c r="J3185" s="12"/>
    </row>
    <row r="3186" spans="2:10" x14ac:dyDescent="0.15">
      <c r="B3186" s="69" t="s">
        <v>189</v>
      </c>
      <c r="C3186" s="13">
        <f>1+1+1</f>
        <v>3</v>
      </c>
      <c r="D3186" s="14">
        <f t="shared" si="270"/>
        <v>3</v>
      </c>
      <c r="E3186" s="12">
        <v>44816</v>
      </c>
      <c r="G3186" s="15"/>
      <c r="H3186" s="13"/>
      <c r="I3186" s="14">
        <f t="shared" si="269"/>
        <v>0</v>
      </c>
      <c r="J3186" s="12"/>
    </row>
    <row r="3187" spans="2:10" x14ac:dyDescent="0.15">
      <c r="B3187" s="69" t="s">
        <v>702</v>
      </c>
      <c r="C3187" s="13">
        <v>1</v>
      </c>
      <c r="D3187" s="14">
        <f t="shared" si="270"/>
        <v>1</v>
      </c>
      <c r="E3187" s="12">
        <v>44818</v>
      </c>
      <c r="G3187" s="15"/>
      <c r="H3187" s="13"/>
      <c r="I3187" s="14">
        <f t="shared" si="269"/>
        <v>0</v>
      </c>
      <c r="J3187" s="5"/>
    </row>
    <row r="3188" spans="2:10" x14ac:dyDescent="0.15">
      <c r="B3188" s="69" t="s">
        <v>189</v>
      </c>
      <c r="C3188" s="13">
        <v>2</v>
      </c>
      <c r="D3188" s="14">
        <f t="shared" si="270"/>
        <v>2</v>
      </c>
      <c r="E3188" s="12">
        <v>44818</v>
      </c>
      <c r="G3188" s="15"/>
      <c r="H3188" s="7"/>
      <c r="I3188" s="14">
        <f t="shared" si="269"/>
        <v>0</v>
      </c>
      <c r="J3188" s="12"/>
    </row>
    <row r="3189" spans="2:10" x14ac:dyDescent="0.15">
      <c r="B3189" s="69" t="s">
        <v>702</v>
      </c>
      <c r="C3189" s="13">
        <v>3</v>
      </c>
      <c r="D3189" s="14">
        <f t="shared" si="270"/>
        <v>3</v>
      </c>
      <c r="E3189" s="12">
        <v>44824</v>
      </c>
      <c r="G3189" s="15"/>
      <c r="H3189" s="7"/>
      <c r="I3189" s="14">
        <f t="shared" si="269"/>
        <v>0</v>
      </c>
      <c r="J3189" s="12"/>
    </row>
    <row r="3190" spans="2:10" x14ac:dyDescent="0.15">
      <c r="B3190" s="69" t="s">
        <v>189</v>
      </c>
      <c r="C3190" s="13">
        <v>1</v>
      </c>
      <c r="D3190" s="14">
        <f t="shared" si="270"/>
        <v>1</v>
      </c>
      <c r="E3190" s="12">
        <v>44820</v>
      </c>
      <c r="G3190" s="15"/>
      <c r="H3190" s="7"/>
      <c r="I3190" s="14">
        <f t="shared" si="269"/>
        <v>0</v>
      </c>
      <c r="J3190" s="5"/>
    </row>
    <row r="3191" spans="2:10" x14ac:dyDescent="0.15">
      <c r="B3191" s="69" t="s">
        <v>702</v>
      </c>
      <c r="C3191" s="13">
        <v>1</v>
      </c>
      <c r="D3191" s="14">
        <f t="shared" si="270"/>
        <v>1</v>
      </c>
      <c r="E3191" s="12">
        <v>44825</v>
      </c>
      <c r="G3191" s="15"/>
      <c r="H3191" s="7"/>
      <c r="I3191" s="14">
        <f t="shared" si="269"/>
        <v>0</v>
      </c>
      <c r="J3191" s="12"/>
    </row>
    <row r="3192" spans="2:10" x14ac:dyDescent="0.15">
      <c r="B3192" s="69" t="s">
        <v>189</v>
      </c>
      <c r="C3192" s="13">
        <f>2+1</f>
        <v>3</v>
      </c>
      <c r="D3192" s="14">
        <f>SUM(C3192:C3192)</f>
        <v>3</v>
      </c>
      <c r="E3192" s="12">
        <v>44824</v>
      </c>
      <c r="G3192" s="15"/>
      <c r="H3192" s="7"/>
      <c r="I3192" s="14">
        <f t="shared" si="269"/>
        <v>0</v>
      </c>
      <c r="J3192" s="12"/>
    </row>
    <row r="3193" spans="2:10" x14ac:dyDescent="0.15">
      <c r="B3193" s="69" t="s">
        <v>702</v>
      </c>
      <c r="C3193" s="13">
        <v>3</v>
      </c>
      <c r="D3193" s="14">
        <f t="shared" ref="D3193:D3201" si="271">SUM(C3193:C3193)</f>
        <v>3</v>
      </c>
      <c r="E3193" s="12">
        <v>44826</v>
      </c>
      <c r="G3193" s="15"/>
      <c r="H3193" s="7"/>
      <c r="I3193" s="14">
        <f t="shared" si="269"/>
        <v>0</v>
      </c>
      <c r="J3193" s="67"/>
    </row>
    <row r="3194" spans="2:10" x14ac:dyDescent="0.15">
      <c r="B3194" s="69" t="s">
        <v>189</v>
      </c>
      <c r="C3194" s="13">
        <v>2</v>
      </c>
      <c r="D3194" s="14">
        <f t="shared" si="271"/>
        <v>2</v>
      </c>
      <c r="E3194" s="12">
        <v>44830</v>
      </c>
      <c r="G3194" s="15"/>
      <c r="H3194" s="7"/>
      <c r="I3194" s="14">
        <f t="shared" si="269"/>
        <v>0</v>
      </c>
      <c r="J3194" s="67"/>
    </row>
    <row r="3195" spans="2:10" x14ac:dyDescent="0.15">
      <c r="B3195" s="69" t="s">
        <v>702</v>
      </c>
      <c r="C3195" s="13">
        <v>4</v>
      </c>
      <c r="D3195" s="14">
        <f t="shared" si="271"/>
        <v>4</v>
      </c>
      <c r="E3195" s="12">
        <v>44833</v>
      </c>
      <c r="G3195" s="15"/>
      <c r="H3195" s="7"/>
      <c r="I3195" s="14">
        <f t="shared" si="269"/>
        <v>0</v>
      </c>
      <c r="J3195" s="67"/>
    </row>
    <row r="3196" spans="2:10" x14ac:dyDescent="0.15">
      <c r="B3196" s="69" t="s">
        <v>702</v>
      </c>
      <c r="C3196" s="13">
        <v>2</v>
      </c>
      <c r="D3196" s="14">
        <f t="shared" si="271"/>
        <v>2</v>
      </c>
      <c r="E3196" s="5">
        <v>44834</v>
      </c>
      <c r="G3196" s="15"/>
      <c r="H3196" s="7"/>
      <c r="I3196" s="14">
        <f t="shared" si="269"/>
        <v>0</v>
      </c>
      <c r="J3196" s="67"/>
    </row>
    <row r="3197" spans="2:10" x14ac:dyDescent="0.15">
      <c r="B3197" s="69" t="s">
        <v>702</v>
      </c>
      <c r="C3197" s="13">
        <v>2</v>
      </c>
      <c r="D3197" s="14">
        <f t="shared" si="271"/>
        <v>2</v>
      </c>
      <c r="E3197" s="5">
        <v>44838</v>
      </c>
      <c r="G3197" s="4"/>
      <c r="H3197" s="184"/>
      <c r="I3197" s="185">
        <f t="shared" si="269"/>
        <v>0</v>
      </c>
      <c r="J3197" s="186"/>
    </row>
    <row r="3198" spans="2:10" x14ac:dyDescent="0.15">
      <c r="B3198" s="69" t="s">
        <v>189</v>
      </c>
      <c r="C3198" s="13">
        <v>1</v>
      </c>
      <c r="D3198" s="14">
        <f t="shared" si="271"/>
        <v>1</v>
      </c>
      <c r="E3198" s="5">
        <v>44837</v>
      </c>
      <c r="G3198" s="15"/>
      <c r="H3198" s="7"/>
      <c r="I3198" s="14">
        <f t="shared" si="269"/>
        <v>0</v>
      </c>
      <c r="J3198" s="67"/>
    </row>
    <row r="3199" spans="2:10" x14ac:dyDescent="0.15">
      <c r="B3199" s="69" t="s">
        <v>702</v>
      </c>
      <c r="C3199" s="13">
        <v>2</v>
      </c>
      <c r="D3199" s="14">
        <f t="shared" si="271"/>
        <v>2</v>
      </c>
      <c r="E3199" s="5">
        <v>44839</v>
      </c>
      <c r="G3199" s="4"/>
      <c r="H3199" s="184"/>
      <c r="I3199" s="185">
        <f t="shared" si="269"/>
        <v>0</v>
      </c>
      <c r="J3199" s="186"/>
    </row>
    <row r="3200" spans="2:10" ht="14.25" thickBot="1" x14ac:dyDescent="0.2">
      <c r="B3200" s="69" t="s">
        <v>702</v>
      </c>
      <c r="C3200" s="7">
        <v>2</v>
      </c>
      <c r="D3200" s="14">
        <f t="shared" si="271"/>
        <v>2</v>
      </c>
      <c r="E3200" s="5">
        <v>44845</v>
      </c>
      <c r="G3200" s="15"/>
      <c r="H3200" s="7"/>
      <c r="I3200" s="14">
        <f t="shared" si="269"/>
        <v>0</v>
      </c>
      <c r="J3200" s="67"/>
    </row>
    <row r="3201" spans="2:10" ht="14.25" thickBot="1" x14ac:dyDescent="0.2">
      <c r="B3201" s="17" t="s">
        <v>2</v>
      </c>
      <c r="C3201" s="18">
        <f>SUM(C3177:C3200)</f>
        <v>52</v>
      </c>
      <c r="D3201" s="19">
        <f t="shared" si="271"/>
        <v>52</v>
      </c>
      <c r="E3201" s="20"/>
      <c r="G3201" s="17" t="s">
        <v>2</v>
      </c>
      <c r="H3201" s="18">
        <f>SUM(H3177:H3200)</f>
        <v>0</v>
      </c>
      <c r="I3201" s="19">
        <f t="shared" si="269"/>
        <v>0</v>
      </c>
      <c r="J3201" s="20"/>
    </row>
    <row r="3202" spans="2:10" ht="14.25" thickBot="1" x14ac:dyDescent="0.2">
      <c r="B3202" s="46" t="s">
        <v>3</v>
      </c>
      <c r="C3202" s="52">
        <f>C3176-C3201</f>
        <v>44</v>
      </c>
      <c r="D3202" s="48">
        <f>D3176-D3201</f>
        <v>44</v>
      </c>
      <c r="E3202" s="49"/>
      <c r="G3202" s="46" t="s">
        <v>3</v>
      </c>
      <c r="H3202" s="52">
        <f>H3176-H3201</f>
        <v>2048</v>
      </c>
      <c r="I3202" s="48">
        <f>I3176-I3201</f>
        <v>2048</v>
      </c>
      <c r="J3202" s="49"/>
    </row>
    <row r="3205" spans="2:10" ht="18.75" x14ac:dyDescent="0.2">
      <c r="B3205" s="26" t="s">
        <v>7</v>
      </c>
      <c r="G3205" s="26" t="s">
        <v>35</v>
      </c>
    </row>
    <row r="3206" spans="2:10" ht="14.25" thickBot="1" x14ac:dyDescent="0.2"/>
    <row r="3207" spans="2:10" ht="14.25" thickBot="1" x14ac:dyDescent="0.2">
      <c r="B3207" s="1"/>
      <c r="C3207" s="1"/>
      <c r="D3207" s="53" t="s">
        <v>0</v>
      </c>
      <c r="E3207" s="1" t="s">
        <v>4</v>
      </c>
      <c r="G3207" s="1"/>
      <c r="H3207" s="1"/>
      <c r="I3207" s="53" t="s">
        <v>0</v>
      </c>
      <c r="J3207" s="1" t="s">
        <v>4</v>
      </c>
    </row>
    <row r="3208" spans="2:10" x14ac:dyDescent="0.15">
      <c r="B3208" s="42" t="s">
        <v>5</v>
      </c>
      <c r="C3208" s="43">
        <f>C3202</f>
        <v>44</v>
      </c>
      <c r="D3208" s="44">
        <f>SUM(C3208:C3208)</f>
        <v>44</v>
      </c>
      <c r="E3208" s="45"/>
      <c r="G3208" s="42" t="s">
        <v>5</v>
      </c>
      <c r="H3208" s="43">
        <f>H3202</f>
        <v>2048</v>
      </c>
      <c r="I3208" s="44">
        <f>SUM(H3208:H3208)</f>
        <v>2048</v>
      </c>
      <c r="J3208" s="45"/>
    </row>
    <row r="3209" spans="2:10" x14ac:dyDescent="0.15">
      <c r="B3209" s="6" t="s">
        <v>76</v>
      </c>
      <c r="C3209" s="13">
        <v>164</v>
      </c>
      <c r="D3209" s="14">
        <f t="shared" ref="D3209" si="272">SUM(C3209:C3209)</f>
        <v>164</v>
      </c>
      <c r="E3209" s="12">
        <v>44848</v>
      </c>
      <c r="G3209" s="6" t="s">
        <v>6</v>
      </c>
      <c r="H3209" s="13"/>
      <c r="I3209" s="14">
        <f>SUM(H3209:H3209)</f>
        <v>0</v>
      </c>
      <c r="J3209" s="169"/>
    </row>
    <row r="3210" spans="2:10" x14ac:dyDescent="0.15">
      <c r="B3210" s="4" t="s">
        <v>76</v>
      </c>
      <c r="C3210" s="13">
        <v>12</v>
      </c>
      <c r="D3210" s="14">
        <f t="shared" ref="D3210:D3211" si="273">SUM(C3210:C3210)</f>
        <v>12</v>
      </c>
      <c r="E3210" s="12">
        <v>44860</v>
      </c>
      <c r="G3210" s="4" t="s">
        <v>6</v>
      </c>
      <c r="H3210" s="93"/>
      <c r="I3210" s="14">
        <f>SUM(H3210:H3210)</f>
        <v>0</v>
      </c>
      <c r="J3210" s="169"/>
    </row>
    <row r="3211" spans="2:10" ht="14.25" thickBot="1" x14ac:dyDescent="0.2">
      <c r="B3211" s="92" t="s">
        <v>6</v>
      </c>
      <c r="C3211" s="13"/>
      <c r="D3211" s="14">
        <f t="shared" si="273"/>
        <v>0</v>
      </c>
      <c r="E3211" s="12"/>
      <c r="F3211" s="25"/>
      <c r="G3211" s="92" t="s">
        <v>6</v>
      </c>
      <c r="H3211" s="170"/>
      <c r="I3211" s="73">
        <f>SUM(H3211:H3211)</f>
        <v>0</v>
      </c>
      <c r="J3211" s="169"/>
    </row>
    <row r="3212" spans="2:10" ht="14.25" thickBot="1" x14ac:dyDescent="0.2">
      <c r="B3212" s="46" t="s">
        <v>1</v>
      </c>
      <c r="C3212" s="48">
        <f>SUM(C3208:C3211)</f>
        <v>220</v>
      </c>
      <c r="D3212" s="48">
        <f>SUM(D3208:D3211)</f>
        <v>220</v>
      </c>
      <c r="E3212" s="51"/>
      <c r="G3212" s="46" t="s">
        <v>1</v>
      </c>
      <c r="H3212" s="50">
        <f>SUM(H3208:H3211)</f>
        <v>2048</v>
      </c>
      <c r="I3212" s="48">
        <f>SUM(I3208:I3211)</f>
        <v>2048</v>
      </c>
      <c r="J3212" s="51"/>
    </row>
    <row r="3213" spans="2:10" x14ac:dyDescent="0.15">
      <c r="B3213" s="69" t="s">
        <v>189</v>
      </c>
      <c r="C3213" s="13">
        <v>2</v>
      </c>
      <c r="D3213" s="14">
        <f t="shared" ref="D3213" si="274">SUM(C3213:C3213)</f>
        <v>2</v>
      </c>
      <c r="E3213" s="5">
        <v>44845</v>
      </c>
      <c r="F3213" s="180"/>
      <c r="G3213" s="15"/>
      <c r="H3213" s="13"/>
      <c r="I3213" s="11">
        <f>SUM(H3213:H3213)</f>
        <v>0</v>
      </c>
      <c r="J3213" s="12"/>
    </row>
    <row r="3214" spans="2:10" x14ac:dyDescent="0.15">
      <c r="B3214" s="69" t="s">
        <v>189</v>
      </c>
      <c r="C3214" s="13">
        <v>2</v>
      </c>
      <c r="D3214" s="14">
        <f>SUM(C3214:C3214)</f>
        <v>2</v>
      </c>
      <c r="E3214" s="12">
        <v>44851</v>
      </c>
      <c r="F3214" s="180"/>
      <c r="G3214" s="15"/>
      <c r="H3214" s="13"/>
      <c r="I3214" s="14">
        <f>SUM(H3214:H3214)</f>
        <v>0</v>
      </c>
      <c r="J3214" s="12"/>
    </row>
    <row r="3215" spans="2:10" x14ac:dyDescent="0.15">
      <c r="B3215" s="69" t="s">
        <v>702</v>
      </c>
      <c r="C3215" s="13">
        <v>1</v>
      </c>
      <c r="D3215" s="14">
        <f>SUM(C3215:C3215)</f>
        <v>1</v>
      </c>
      <c r="E3215" s="12">
        <v>44854</v>
      </c>
      <c r="G3215" s="15"/>
      <c r="H3215" s="13"/>
      <c r="I3215" s="14">
        <f t="shared" ref="I3215:I3237" si="275">SUM(H3215:H3215)</f>
        <v>0</v>
      </c>
      <c r="J3215" s="12"/>
    </row>
    <row r="3216" spans="2:10" x14ac:dyDescent="0.15">
      <c r="B3216" s="69" t="s">
        <v>189</v>
      </c>
      <c r="C3216" s="13">
        <v>10</v>
      </c>
      <c r="D3216" s="14">
        <f t="shared" ref="D3216:D3227" si="276">SUM(C3216:C3216)</f>
        <v>10</v>
      </c>
      <c r="E3216" s="12">
        <v>44853</v>
      </c>
      <c r="G3216" s="89"/>
      <c r="H3216" s="13"/>
      <c r="I3216" s="14">
        <f t="shared" si="275"/>
        <v>0</v>
      </c>
      <c r="J3216" s="12"/>
    </row>
    <row r="3217" spans="2:10" x14ac:dyDescent="0.15">
      <c r="B3217" s="69" t="s">
        <v>702</v>
      </c>
      <c r="C3217" s="13">
        <v>1</v>
      </c>
      <c r="D3217" s="14">
        <f t="shared" si="276"/>
        <v>1</v>
      </c>
      <c r="E3217" s="12">
        <v>44855</v>
      </c>
      <c r="G3217" s="89"/>
      <c r="H3217" s="13"/>
      <c r="I3217" s="14">
        <f t="shared" si="275"/>
        <v>0</v>
      </c>
      <c r="J3217" s="12"/>
    </row>
    <row r="3218" spans="2:10" x14ac:dyDescent="0.15">
      <c r="B3218" s="69" t="s">
        <v>189</v>
      </c>
      <c r="C3218" s="13">
        <v>2</v>
      </c>
      <c r="D3218" s="14">
        <f t="shared" si="276"/>
        <v>2</v>
      </c>
      <c r="E3218" s="12">
        <v>44858</v>
      </c>
      <c r="G3218" s="89"/>
      <c r="H3218" s="13"/>
      <c r="I3218" s="14">
        <f t="shared" si="275"/>
        <v>0</v>
      </c>
      <c r="J3218" s="12"/>
    </row>
    <row r="3219" spans="2:10" x14ac:dyDescent="0.15">
      <c r="B3219" s="69" t="s">
        <v>702</v>
      </c>
      <c r="C3219" s="13">
        <v>11</v>
      </c>
      <c r="D3219" s="14">
        <f t="shared" si="276"/>
        <v>11</v>
      </c>
      <c r="E3219" s="12">
        <v>44862</v>
      </c>
      <c r="G3219" s="89"/>
      <c r="H3219" s="13"/>
      <c r="I3219" s="14">
        <f t="shared" si="275"/>
        <v>0</v>
      </c>
      <c r="J3219" s="12"/>
    </row>
    <row r="3220" spans="2:10" x14ac:dyDescent="0.15">
      <c r="B3220" s="69" t="s">
        <v>702</v>
      </c>
      <c r="C3220" s="13">
        <v>1</v>
      </c>
      <c r="D3220" s="14">
        <f t="shared" si="276"/>
        <v>1</v>
      </c>
      <c r="E3220" s="12">
        <v>44866</v>
      </c>
      <c r="G3220" s="15"/>
      <c r="H3220" s="13"/>
      <c r="I3220" s="14">
        <f t="shared" si="275"/>
        <v>0</v>
      </c>
      <c r="J3220" s="12"/>
    </row>
    <row r="3221" spans="2:10" x14ac:dyDescent="0.15">
      <c r="B3221" s="69" t="s">
        <v>189</v>
      </c>
      <c r="C3221" s="13">
        <f>2+1</f>
        <v>3</v>
      </c>
      <c r="D3221" s="14">
        <f t="shared" si="276"/>
        <v>3</v>
      </c>
      <c r="E3221" s="12">
        <v>44865</v>
      </c>
      <c r="G3221" s="15"/>
      <c r="H3221" s="13"/>
      <c r="I3221" s="14">
        <f t="shared" si="275"/>
        <v>0</v>
      </c>
      <c r="J3221" s="12"/>
    </row>
    <row r="3222" spans="2:10" x14ac:dyDescent="0.15">
      <c r="B3222" s="69" t="s">
        <v>189</v>
      </c>
      <c r="C3222" s="13">
        <v>4</v>
      </c>
      <c r="D3222" s="14">
        <f t="shared" si="276"/>
        <v>4</v>
      </c>
      <c r="E3222" s="12">
        <v>44869</v>
      </c>
      <c r="G3222" s="15"/>
      <c r="H3222" s="13"/>
      <c r="I3222" s="14">
        <f t="shared" si="275"/>
        <v>0</v>
      </c>
      <c r="J3222" s="12"/>
    </row>
    <row r="3223" spans="2:10" x14ac:dyDescent="0.15">
      <c r="B3223" s="69" t="s">
        <v>189</v>
      </c>
      <c r="C3223" s="13">
        <v>1</v>
      </c>
      <c r="D3223" s="14">
        <f t="shared" si="276"/>
        <v>1</v>
      </c>
      <c r="E3223" s="12">
        <v>44872</v>
      </c>
      <c r="G3223" s="15"/>
      <c r="H3223" s="13"/>
      <c r="I3223" s="14">
        <f t="shared" si="275"/>
        <v>0</v>
      </c>
      <c r="J3223" s="5"/>
    </row>
    <row r="3224" spans="2:10" x14ac:dyDescent="0.15">
      <c r="B3224" s="69" t="s">
        <v>189</v>
      </c>
      <c r="C3224" s="13">
        <v>2</v>
      </c>
      <c r="D3224" s="14">
        <f t="shared" si="276"/>
        <v>2</v>
      </c>
      <c r="E3224" s="12">
        <v>44873</v>
      </c>
      <c r="G3224" s="15"/>
      <c r="H3224" s="7"/>
      <c r="I3224" s="14">
        <f t="shared" si="275"/>
        <v>0</v>
      </c>
      <c r="J3224" s="12"/>
    </row>
    <row r="3225" spans="2:10" x14ac:dyDescent="0.15">
      <c r="B3225" s="69" t="s">
        <v>189</v>
      </c>
      <c r="C3225" s="13">
        <v>2</v>
      </c>
      <c r="D3225" s="14">
        <f t="shared" si="276"/>
        <v>2</v>
      </c>
      <c r="E3225" s="12">
        <v>44874</v>
      </c>
      <c r="G3225" s="15"/>
      <c r="H3225" s="7"/>
      <c r="I3225" s="14">
        <f t="shared" si="275"/>
        <v>0</v>
      </c>
      <c r="J3225" s="12"/>
    </row>
    <row r="3226" spans="2:10" x14ac:dyDescent="0.15">
      <c r="B3226" s="69" t="s">
        <v>702</v>
      </c>
      <c r="C3226" s="13">
        <v>1</v>
      </c>
      <c r="D3226" s="14">
        <f t="shared" si="276"/>
        <v>1</v>
      </c>
      <c r="E3226" s="12">
        <v>44881</v>
      </c>
      <c r="G3226" s="15"/>
      <c r="H3226" s="7"/>
      <c r="I3226" s="14">
        <f t="shared" si="275"/>
        <v>0</v>
      </c>
      <c r="J3226" s="5"/>
    </row>
    <row r="3227" spans="2:10" x14ac:dyDescent="0.15">
      <c r="B3227" s="69" t="s">
        <v>702</v>
      </c>
      <c r="C3227" s="13">
        <v>1</v>
      </c>
      <c r="D3227" s="14">
        <f t="shared" si="276"/>
        <v>1</v>
      </c>
      <c r="E3227" s="12">
        <v>44882</v>
      </c>
      <c r="G3227" s="15"/>
      <c r="H3227" s="7"/>
      <c r="I3227" s="14">
        <f t="shared" si="275"/>
        <v>0</v>
      </c>
      <c r="J3227" s="12"/>
    </row>
    <row r="3228" spans="2:10" x14ac:dyDescent="0.15">
      <c r="B3228" s="69" t="s">
        <v>189</v>
      </c>
      <c r="C3228" s="13">
        <v>1</v>
      </c>
      <c r="D3228" s="14">
        <f>SUM(C3228:C3228)</f>
        <v>1</v>
      </c>
      <c r="E3228" s="12">
        <v>44881</v>
      </c>
      <c r="G3228" s="15"/>
      <c r="H3228" s="7"/>
      <c r="I3228" s="14">
        <f t="shared" si="275"/>
        <v>0</v>
      </c>
      <c r="J3228" s="12"/>
    </row>
    <row r="3229" spans="2:10" x14ac:dyDescent="0.15">
      <c r="B3229" s="69" t="s">
        <v>189</v>
      </c>
      <c r="C3229" s="13">
        <v>3</v>
      </c>
      <c r="D3229" s="14">
        <f t="shared" ref="D3229:D3237" si="277">SUM(C3229:C3229)</f>
        <v>3</v>
      </c>
      <c r="E3229" s="12">
        <v>44884</v>
      </c>
      <c r="G3229" s="15"/>
      <c r="H3229" s="7"/>
      <c r="I3229" s="14">
        <f t="shared" si="275"/>
        <v>0</v>
      </c>
      <c r="J3229" s="67"/>
    </row>
    <row r="3230" spans="2:10" x14ac:dyDescent="0.15">
      <c r="B3230" s="69" t="s">
        <v>189</v>
      </c>
      <c r="C3230" s="13">
        <v>1</v>
      </c>
      <c r="D3230" s="14">
        <f t="shared" si="277"/>
        <v>1</v>
      </c>
      <c r="E3230" s="12">
        <v>44896</v>
      </c>
      <c r="G3230" s="15"/>
      <c r="H3230" s="7"/>
      <c r="I3230" s="14">
        <f t="shared" si="275"/>
        <v>0</v>
      </c>
      <c r="J3230" s="67"/>
    </row>
    <row r="3231" spans="2:10" x14ac:dyDescent="0.15">
      <c r="B3231" s="69" t="s">
        <v>702</v>
      </c>
      <c r="C3231" s="13">
        <v>1</v>
      </c>
      <c r="D3231" s="14">
        <f t="shared" si="277"/>
        <v>1</v>
      </c>
      <c r="E3231" s="12">
        <v>44902</v>
      </c>
      <c r="G3231" s="15"/>
      <c r="H3231" s="7"/>
      <c r="I3231" s="14">
        <f t="shared" si="275"/>
        <v>0</v>
      </c>
      <c r="J3231" s="67"/>
    </row>
    <row r="3232" spans="2:10" x14ac:dyDescent="0.15">
      <c r="B3232" s="69" t="s">
        <v>189</v>
      </c>
      <c r="C3232" s="13">
        <v>1</v>
      </c>
      <c r="D3232" s="14">
        <f t="shared" si="277"/>
        <v>1</v>
      </c>
      <c r="E3232" s="5">
        <v>44903</v>
      </c>
      <c r="G3232" s="15"/>
      <c r="H3232" s="7"/>
      <c r="I3232" s="14">
        <f t="shared" si="275"/>
        <v>0</v>
      </c>
      <c r="J3232" s="67"/>
    </row>
    <row r="3233" spans="2:11" x14ac:dyDescent="0.15">
      <c r="B3233" s="69" t="s">
        <v>189</v>
      </c>
      <c r="C3233" s="13">
        <v>2</v>
      </c>
      <c r="D3233" s="14">
        <f t="shared" si="277"/>
        <v>2</v>
      </c>
      <c r="E3233" s="5">
        <v>44904</v>
      </c>
      <c r="G3233" s="15"/>
      <c r="H3233" s="7"/>
      <c r="I3233" s="14">
        <f t="shared" si="275"/>
        <v>0</v>
      </c>
      <c r="J3233" s="67"/>
    </row>
    <row r="3234" spans="2:11" x14ac:dyDescent="0.15">
      <c r="B3234" s="69" t="s">
        <v>189</v>
      </c>
      <c r="C3234" s="13">
        <v>1</v>
      </c>
      <c r="D3234" s="14">
        <f t="shared" si="277"/>
        <v>1</v>
      </c>
      <c r="E3234" s="5">
        <v>44916</v>
      </c>
      <c r="G3234" s="15"/>
      <c r="H3234" s="7"/>
      <c r="I3234" s="14">
        <f t="shared" si="275"/>
        <v>0</v>
      </c>
      <c r="J3234" s="67"/>
    </row>
    <row r="3235" spans="2:11" x14ac:dyDescent="0.15">
      <c r="B3235" s="69" t="s">
        <v>189</v>
      </c>
      <c r="C3235" s="13">
        <v>2</v>
      </c>
      <c r="D3235" s="14">
        <f t="shared" si="277"/>
        <v>2</v>
      </c>
      <c r="E3235" s="5">
        <v>44922</v>
      </c>
      <c r="G3235" s="15"/>
      <c r="H3235" s="7"/>
      <c r="I3235" s="14">
        <f t="shared" si="275"/>
        <v>0</v>
      </c>
      <c r="J3235" s="67"/>
    </row>
    <row r="3236" spans="2:11" ht="14.25" thickBot="1" x14ac:dyDescent="0.2">
      <c r="B3236" s="15"/>
      <c r="C3236" s="7"/>
      <c r="D3236" s="14">
        <f t="shared" si="277"/>
        <v>0</v>
      </c>
      <c r="E3236" s="67"/>
      <c r="G3236" s="15"/>
      <c r="H3236" s="7"/>
      <c r="I3236" s="14">
        <f t="shared" si="275"/>
        <v>0</v>
      </c>
      <c r="J3236" s="67"/>
      <c r="K3236" s="86"/>
    </row>
    <row r="3237" spans="2:11" ht="14.25" thickBot="1" x14ac:dyDescent="0.2">
      <c r="B3237" s="17" t="s">
        <v>2</v>
      </c>
      <c r="C3237" s="18">
        <f>SUM(C3213:C3236)</f>
        <v>56</v>
      </c>
      <c r="D3237" s="19">
        <f t="shared" si="277"/>
        <v>56</v>
      </c>
      <c r="E3237" s="20"/>
      <c r="G3237" s="17" t="s">
        <v>2</v>
      </c>
      <c r="H3237" s="18">
        <f>SUM(H3213:H3236)</f>
        <v>0</v>
      </c>
      <c r="I3237" s="19">
        <f t="shared" si="275"/>
        <v>0</v>
      </c>
      <c r="J3237" s="20"/>
    </row>
    <row r="3238" spans="2:11" ht="14.25" thickBot="1" x14ac:dyDescent="0.2">
      <c r="B3238" s="46" t="s">
        <v>3</v>
      </c>
      <c r="C3238" s="52">
        <f>C3212-C3237</f>
        <v>164</v>
      </c>
      <c r="D3238" s="48">
        <f>D3212-D3237</f>
        <v>164</v>
      </c>
      <c r="E3238" s="49"/>
      <c r="G3238" s="46" t="s">
        <v>3</v>
      </c>
      <c r="H3238" s="52">
        <f>H3212-H3237</f>
        <v>2048</v>
      </c>
      <c r="I3238" s="48">
        <f>I3212-I3237</f>
        <v>2048</v>
      </c>
      <c r="J3238" s="49"/>
    </row>
    <row r="3241" spans="2:11" ht="18.75" x14ac:dyDescent="0.2">
      <c r="B3241" s="26" t="s">
        <v>7</v>
      </c>
      <c r="G3241" s="26" t="s">
        <v>35</v>
      </c>
    </row>
    <row r="3242" spans="2:11" ht="14.25" thickBot="1" x14ac:dyDescent="0.2"/>
    <row r="3243" spans="2:11" ht="14.25" thickBot="1" x14ac:dyDescent="0.2">
      <c r="B3243" s="1"/>
      <c r="C3243" s="1"/>
      <c r="D3243" s="53" t="s">
        <v>0</v>
      </c>
      <c r="E3243" s="1" t="s">
        <v>4</v>
      </c>
      <c r="G3243" s="1"/>
      <c r="H3243" s="1"/>
      <c r="I3243" s="53" t="s">
        <v>0</v>
      </c>
      <c r="J3243" s="1" t="s">
        <v>4</v>
      </c>
    </row>
    <row r="3244" spans="2:11" x14ac:dyDescent="0.15">
      <c r="B3244" s="42" t="s">
        <v>5</v>
      </c>
      <c r="C3244" s="43">
        <f>C3238</f>
        <v>164</v>
      </c>
      <c r="D3244" s="44">
        <f>SUM(C3244:C3244)</f>
        <v>164</v>
      </c>
      <c r="E3244" s="45"/>
      <c r="G3244" s="42" t="s">
        <v>5</v>
      </c>
      <c r="H3244" s="43">
        <f>H3238</f>
        <v>2048</v>
      </c>
      <c r="I3244" s="44">
        <f>SUM(H3244:H3244)</f>
        <v>2048</v>
      </c>
      <c r="J3244" s="45"/>
    </row>
    <row r="3245" spans="2:11" x14ac:dyDescent="0.15">
      <c r="B3245" s="4" t="s">
        <v>6</v>
      </c>
      <c r="C3245" s="13"/>
      <c r="D3245" s="14">
        <f t="shared" ref="D3245:D3246" si="278">SUM(C3245:C3245)</f>
        <v>0</v>
      </c>
      <c r="E3245" s="12"/>
      <c r="F3245" s="25"/>
      <c r="G3245" s="6" t="s">
        <v>6</v>
      </c>
      <c r="H3245" s="13"/>
      <c r="I3245" s="14">
        <f>SUM(H3245:H3245)</f>
        <v>0</v>
      </c>
      <c r="J3245" s="169"/>
    </row>
    <row r="3246" spans="2:11" x14ac:dyDescent="0.15">
      <c r="B3246" s="4" t="s">
        <v>6</v>
      </c>
      <c r="C3246" s="13"/>
      <c r="D3246" s="14">
        <f t="shared" si="278"/>
        <v>0</v>
      </c>
      <c r="E3246" s="12"/>
      <c r="F3246" s="25"/>
      <c r="G3246" s="6" t="s">
        <v>6</v>
      </c>
      <c r="H3246" s="93"/>
      <c r="I3246" s="14">
        <f>SUM(H3246:H3246)</f>
        <v>0</v>
      </c>
      <c r="J3246" s="169"/>
    </row>
    <row r="3247" spans="2:11" ht="14.25" thickBot="1" x14ac:dyDescent="0.2">
      <c r="B3247" s="92" t="s">
        <v>6</v>
      </c>
      <c r="C3247" s="13"/>
      <c r="D3247" s="14">
        <f t="shared" ref="D3247" si="279">SUM(C3247:C3247)</f>
        <v>0</v>
      </c>
      <c r="E3247" s="12"/>
      <c r="F3247" s="25"/>
      <c r="G3247" s="92" t="s">
        <v>6</v>
      </c>
      <c r="H3247" s="170"/>
      <c r="I3247" s="73">
        <f>SUM(H3247:H3247)</f>
        <v>0</v>
      </c>
      <c r="J3247" s="169"/>
    </row>
    <row r="3248" spans="2:11" ht="14.25" thickBot="1" x14ac:dyDescent="0.2">
      <c r="B3248" s="46" t="s">
        <v>1</v>
      </c>
      <c r="C3248" s="48">
        <f>SUM(C3244:C3247)</f>
        <v>164</v>
      </c>
      <c r="D3248" s="48">
        <f>SUM(D3244:D3247)</f>
        <v>164</v>
      </c>
      <c r="E3248" s="51"/>
      <c r="G3248" s="46" t="s">
        <v>1</v>
      </c>
      <c r="H3248" s="50">
        <f>SUM(H3244:H3247)</f>
        <v>2048</v>
      </c>
      <c r="I3248" s="48">
        <f>SUM(I3244:I3247)</f>
        <v>2048</v>
      </c>
      <c r="J3248" s="51"/>
    </row>
    <row r="3249" spans="2:10" x14ac:dyDescent="0.15">
      <c r="B3249" s="69" t="s">
        <v>189</v>
      </c>
      <c r="C3249" s="13">
        <v>3</v>
      </c>
      <c r="D3249" s="14">
        <f t="shared" ref="D3249:D3257" si="280">SUM(C3249:C3249)</f>
        <v>3</v>
      </c>
      <c r="E3249" s="12">
        <v>44931</v>
      </c>
      <c r="G3249" s="15"/>
      <c r="H3249" s="13"/>
      <c r="I3249" s="11">
        <f>SUM(H3249:H3249)</f>
        <v>0</v>
      </c>
      <c r="J3249" s="173"/>
    </row>
    <row r="3250" spans="2:10" x14ac:dyDescent="0.15">
      <c r="B3250" s="69" t="s">
        <v>189</v>
      </c>
      <c r="C3250" s="13">
        <v>1</v>
      </c>
      <c r="D3250" s="14">
        <f t="shared" si="280"/>
        <v>1</v>
      </c>
      <c r="E3250" s="12">
        <v>44938</v>
      </c>
      <c r="G3250" s="15"/>
      <c r="H3250" s="13"/>
      <c r="I3250" s="14">
        <f>SUM(H3250:H3250)</f>
        <v>0</v>
      </c>
      <c r="J3250" s="12"/>
    </row>
    <row r="3251" spans="2:10" x14ac:dyDescent="0.15">
      <c r="B3251" s="69" t="s">
        <v>189</v>
      </c>
      <c r="C3251" s="13">
        <v>1</v>
      </c>
      <c r="D3251" s="14">
        <f t="shared" si="280"/>
        <v>1</v>
      </c>
      <c r="E3251" s="12">
        <v>44949</v>
      </c>
      <c r="G3251" s="15"/>
      <c r="H3251" s="13"/>
      <c r="I3251" s="14">
        <f t="shared" ref="I3251:I3273" si="281">SUM(H3251:H3251)</f>
        <v>0</v>
      </c>
      <c r="J3251" s="12"/>
    </row>
    <row r="3252" spans="2:10" x14ac:dyDescent="0.15">
      <c r="B3252" s="69" t="s">
        <v>189</v>
      </c>
      <c r="C3252" s="13">
        <v>1</v>
      </c>
      <c r="D3252" s="14">
        <f t="shared" si="280"/>
        <v>1</v>
      </c>
      <c r="E3252" s="12">
        <v>44956</v>
      </c>
      <c r="G3252" s="89"/>
      <c r="H3252" s="13"/>
      <c r="I3252" s="14">
        <f t="shared" si="281"/>
        <v>0</v>
      </c>
      <c r="J3252" s="12"/>
    </row>
    <row r="3253" spans="2:10" x14ac:dyDescent="0.15">
      <c r="B3253" s="69" t="s">
        <v>189</v>
      </c>
      <c r="C3253" s="13">
        <v>1</v>
      </c>
      <c r="D3253" s="14">
        <f t="shared" si="280"/>
        <v>1</v>
      </c>
      <c r="E3253" s="12">
        <v>44957</v>
      </c>
      <c r="G3253" s="89"/>
      <c r="H3253" s="13"/>
      <c r="I3253" s="14">
        <f t="shared" si="281"/>
        <v>0</v>
      </c>
      <c r="J3253" s="12"/>
    </row>
    <row r="3254" spans="2:10" x14ac:dyDescent="0.15">
      <c r="B3254" s="69" t="s">
        <v>189</v>
      </c>
      <c r="C3254" s="13">
        <v>1</v>
      </c>
      <c r="D3254" s="14">
        <f t="shared" si="280"/>
        <v>1</v>
      </c>
      <c r="E3254" s="12">
        <v>44958</v>
      </c>
      <c r="G3254" s="89"/>
      <c r="H3254" s="13"/>
      <c r="I3254" s="14">
        <f t="shared" si="281"/>
        <v>0</v>
      </c>
      <c r="J3254" s="12"/>
    </row>
    <row r="3255" spans="2:10" x14ac:dyDescent="0.15">
      <c r="B3255" s="69" t="s">
        <v>189</v>
      </c>
      <c r="C3255" s="13">
        <v>2</v>
      </c>
      <c r="D3255" s="14">
        <f t="shared" si="280"/>
        <v>2</v>
      </c>
      <c r="E3255" s="12">
        <v>44963</v>
      </c>
      <c r="G3255" s="89"/>
      <c r="H3255" s="13"/>
      <c r="I3255" s="14">
        <f t="shared" si="281"/>
        <v>0</v>
      </c>
      <c r="J3255" s="12"/>
    </row>
    <row r="3256" spans="2:10" x14ac:dyDescent="0.15">
      <c r="B3256" s="69" t="s">
        <v>189</v>
      </c>
      <c r="C3256" s="13">
        <v>2</v>
      </c>
      <c r="D3256" s="14">
        <f t="shared" si="280"/>
        <v>2</v>
      </c>
      <c r="E3256" s="12">
        <v>44966</v>
      </c>
      <c r="G3256" s="15"/>
      <c r="H3256" s="13"/>
      <c r="I3256" s="14">
        <f t="shared" si="281"/>
        <v>0</v>
      </c>
      <c r="J3256" s="12"/>
    </row>
    <row r="3257" spans="2:10" x14ac:dyDescent="0.15">
      <c r="B3257" s="69" t="s">
        <v>189</v>
      </c>
      <c r="C3257" s="13">
        <v>1</v>
      </c>
      <c r="D3257" s="14">
        <f t="shared" si="280"/>
        <v>1</v>
      </c>
      <c r="E3257" s="12">
        <v>44972</v>
      </c>
      <c r="G3257" s="15"/>
      <c r="H3257" s="13"/>
      <c r="I3257" s="14">
        <f t="shared" si="281"/>
        <v>0</v>
      </c>
      <c r="J3257" s="12"/>
    </row>
    <row r="3258" spans="2:10" x14ac:dyDescent="0.15">
      <c r="B3258" s="69" t="s">
        <v>189</v>
      </c>
      <c r="C3258" s="13">
        <v>3</v>
      </c>
      <c r="D3258" s="14">
        <f t="shared" ref="D3258:D3263" si="282">SUM(C3258:C3258)</f>
        <v>3</v>
      </c>
      <c r="E3258" s="12">
        <v>44977</v>
      </c>
      <c r="G3258" s="15"/>
      <c r="H3258" s="13"/>
      <c r="I3258" s="14">
        <f t="shared" si="281"/>
        <v>0</v>
      </c>
      <c r="J3258" s="12"/>
    </row>
    <row r="3259" spans="2:10" x14ac:dyDescent="0.15">
      <c r="B3259" s="69" t="s">
        <v>189</v>
      </c>
      <c r="C3259" s="13">
        <f>2+1</f>
        <v>3</v>
      </c>
      <c r="D3259" s="14">
        <f t="shared" si="282"/>
        <v>3</v>
      </c>
      <c r="E3259" s="12">
        <v>44998</v>
      </c>
      <c r="G3259" s="15"/>
      <c r="H3259" s="13"/>
      <c r="I3259" s="14">
        <f t="shared" si="281"/>
        <v>0</v>
      </c>
      <c r="J3259" s="5"/>
    </row>
    <row r="3260" spans="2:10" x14ac:dyDescent="0.15">
      <c r="B3260" s="69" t="s">
        <v>189</v>
      </c>
      <c r="C3260" s="13">
        <v>2</v>
      </c>
      <c r="D3260" s="14">
        <f t="shared" si="282"/>
        <v>2</v>
      </c>
      <c r="E3260" s="12">
        <v>45001</v>
      </c>
      <c r="G3260" s="15"/>
      <c r="H3260" s="7"/>
      <c r="I3260" s="14">
        <f t="shared" si="281"/>
        <v>0</v>
      </c>
      <c r="J3260" s="12"/>
    </row>
    <row r="3261" spans="2:10" x14ac:dyDescent="0.15">
      <c r="B3261" s="69"/>
      <c r="C3261" s="13"/>
      <c r="D3261" s="14">
        <f t="shared" si="282"/>
        <v>0</v>
      </c>
      <c r="E3261" s="12"/>
      <c r="G3261" s="15"/>
      <c r="H3261" s="7"/>
      <c r="I3261" s="14">
        <f t="shared" si="281"/>
        <v>0</v>
      </c>
      <c r="J3261" s="12"/>
    </row>
    <row r="3262" spans="2:10" x14ac:dyDescent="0.15">
      <c r="B3262" s="69"/>
      <c r="C3262" s="13"/>
      <c r="D3262" s="14">
        <f t="shared" si="282"/>
        <v>0</v>
      </c>
      <c r="E3262" s="12"/>
      <c r="G3262" s="15"/>
      <c r="H3262" s="7"/>
      <c r="I3262" s="14">
        <f t="shared" si="281"/>
        <v>0</v>
      </c>
      <c r="J3262" s="5"/>
    </row>
    <row r="3263" spans="2:10" x14ac:dyDescent="0.15">
      <c r="B3263" s="69"/>
      <c r="C3263" s="13"/>
      <c r="D3263" s="14">
        <f t="shared" si="282"/>
        <v>0</v>
      </c>
      <c r="E3263" s="12"/>
      <c r="G3263" s="15"/>
      <c r="H3263" s="7"/>
      <c r="I3263" s="14">
        <f t="shared" si="281"/>
        <v>0</v>
      </c>
      <c r="J3263" s="12"/>
    </row>
    <row r="3264" spans="2:10" x14ac:dyDescent="0.15">
      <c r="B3264" s="69"/>
      <c r="C3264" s="13"/>
      <c r="D3264" s="14">
        <f>SUM(C3264:C3264)</f>
        <v>0</v>
      </c>
      <c r="E3264" s="12"/>
      <c r="G3264" s="15"/>
      <c r="H3264" s="7"/>
      <c r="I3264" s="14">
        <f t="shared" si="281"/>
        <v>0</v>
      </c>
      <c r="J3264" s="12"/>
    </row>
    <row r="3265" spans="2:11" x14ac:dyDescent="0.15">
      <c r="B3265" s="69"/>
      <c r="C3265" s="13"/>
      <c r="D3265" s="14">
        <f t="shared" ref="D3265:D3273" si="283">SUM(C3265:C3265)</f>
        <v>0</v>
      </c>
      <c r="E3265" s="12"/>
      <c r="G3265" s="15"/>
      <c r="H3265" s="7"/>
      <c r="I3265" s="14">
        <f t="shared" si="281"/>
        <v>0</v>
      </c>
      <c r="J3265" s="67"/>
    </row>
    <row r="3266" spans="2:11" x14ac:dyDescent="0.15">
      <c r="B3266" s="69"/>
      <c r="C3266" s="13"/>
      <c r="D3266" s="14">
        <f t="shared" si="283"/>
        <v>0</v>
      </c>
      <c r="E3266" s="12"/>
      <c r="G3266" s="15"/>
      <c r="H3266" s="7"/>
      <c r="I3266" s="14">
        <f t="shared" si="281"/>
        <v>0</v>
      </c>
      <c r="J3266" s="67"/>
    </row>
    <row r="3267" spans="2:11" x14ac:dyDescent="0.15">
      <c r="B3267" s="69"/>
      <c r="C3267" s="13"/>
      <c r="D3267" s="14">
        <f t="shared" si="283"/>
        <v>0</v>
      </c>
      <c r="E3267" s="12"/>
      <c r="G3267" s="15"/>
      <c r="H3267" s="7"/>
      <c r="I3267" s="14">
        <f t="shared" si="281"/>
        <v>0</v>
      </c>
      <c r="J3267" s="67"/>
    </row>
    <row r="3268" spans="2:11" x14ac:dyDescent="0.15">
      <c r="B3268" s="69"/>
      <c r="C3268" s="13"/>
      <c r="D3268" s="14">
        <f t="shared" si="283"/>
        <v>0</v>
      </c>
      <c r="E3268" s="5"/>
      <c r="G3268" s="15"/>
      <c r="H3268" s="7"/>
      <c r="I3268" s="14">
        <f t="shared" si="281"/>
        <v>0</v>
      </c>
      <c r="J3268" s="67"/>
    </row>
    <row r="3269" spans="2:11" x14ac:dyDescent="0.15">
      <c r="B3269" s="69"/>
      <c r="C3269" s="13"/>
      <c r="D3269" s="14">
        <f t="shared" si="283"/>
        <v>0</v>
      </c>
      <c r="E3269" s="5"/>
      <c r="G3269" s="15"/>
      <c r="H3269" s="7"/>
      <c r="I3269" s="14">
        <f t="shared" si="281"/>
        <v>0</v>
      </c>
      <c r="J3269" s="67"/>
    </row>
    <row r="3270" spans="2:11" x14ac:dyDescent="0.15">
      <c r="B3270" s="69"/>
      <c r="C3270" s="13"/>
      <c r="D3270" s="14">
        <f t="shared" si="283"/>
        <v>0</v>
      </c>
      <c r="E3270" s="5"/>
      <c r="G3270" s="15"/>
      <c r="H3270" s="7"/>
      <c r="I3270" s="14">
        <f t="shared" si="281"/>
        <v>0</v>
      </c>
      <c r="J3270" s="67"/>
    </row>
    <row r="3271" spans="2:11" x14ac:dyDescent="0.15">
      <c r="B3271" s="69"/>
      <c r="C3271" s="13"/>
      <c r="D3271" s="14">
        <f t="shared" si="283"/>
        <v>0</v>
      </c>
      <c r="E3271" s="5"/>
      <c r="G3271" s="15"/>
      <c r="H3271" s="7"/>
      <c r="I3271" s="14">
        <f t="shared" si="281"/>
        <v>0</v>
      </c>
      <c r="J3271" s="67"/>
    </row>
    <row r="3272" spans="2:11" ht="14.25" thickBot="1" x14ac:dyDescent="0.2">
      <c r="B3272" s="15"/>
      <c r="C3272" s="7"/>
      <c r="D3272" s="14">
        <f t="shared" si="283"/>
        <v>0</v>
      </c>
      <c r="E3272" s="67"/>
      <c r="G3272" s="15"/>
      <c r="H3272" s="7"/>
      <c r="I3272" s="14">
        <f t="shared" si="281"/>
        <v>0</v>
      </c>
      <c r="J3272" s="190"/>
      <c r="K3272" s="86"/>
    </row>
    <row r="3273" spans="2:11" ht="14.25" thickBot="1" x14ac:dyDescent="0.2">
      <c r="B3273" s="17" t="s">
        <v>2</v>
      </c>
      <c r="C3273" s="18">
        <f>SUM(C3249:C3272)</f>
        <v>21</v>
      </c>
      <c r="D3273" s="19">
        <f t="shared" si="283"/>
        <v>21</v>
      </c>
      <c r="E3273" s="20"/>
      <c r="G3273" s="17" t="s">
        <v>2</v>
      </c>
      <c r="H3273" s="18">
        <f>SUM(H3249:H3272)</f>
        <v>0</v>
      </c>
      <c r="I3273" s="19">
        <f t="shared" si="281"/>
        <v>0</v>
      </c>
      <c r="J3273" s="20"/>
    </row>
    <row r="3274" spans="2:11" ht="14.25" thickBot="1" x14ac:dyDescent="0.2">
      <c r="B3274" s="46" t="s">
        <v>3</v>
      </c>
      <c r="C3274" s="52">
        <f>C3248-C3273</f>
        <v>143</v>
      </c>
      <c r="D3274" s="48">
        <f>D3248-D3273</f>
        <v>143</v>
      </c>
      <c r="E3274" s="49"/>
      <c r="G3274" s="46" t="s">
        <v>3</v>
      </c>
      <c r="H3274" s="52">
        <f>H3248-H3273</f>
        <v>2048</v>
      </c>
      <c r="I3274" s="48">
        <f>I3248-I3273</f>
        <v>2048</v>
      </c>
      <c r="J3274" s="49"/>
    </row>
    <row r="3277" spans="2:11" ht="18.75" x14ac:dyDescent="0.2">
      <c r="B3277" s="26" t="s">
        <v>7</v>
      </c>
      <c r="G3277" s="26" t="s">
        <v>35</v>
      </c>
    </row>
    <row r="3278" spans="2:11" ht="14.25" thickBot="1" x14ac:dyDescent="0.2"/>
    <row r="3279" spans="2:11" ht="14.25" thickBot="1" x14ac:dyDescent="0.2">
      <c r="B3279" s="1"/>
      <c r="C3279" s="1"/>
      <c r="D3279" s="53" t="s">
        <v>0</v>
      </c>
      <c r="E3279" s="1" t="s">
        <v>4</v>
      </c>
      <c r="G3279" s="1"/>
      <c r="H3279" s="1"/>
      <c r="I3279" s="53" t="s">
        <v>0</v>
      </c>
      <c r="J3279" s="1" t="s">
        <v>4</v>
      </c>
    </row>
    <row r="3280" spans="2:11" x14ac:dyDescent="0.15">
      <c r="B3280" s="42" t="s">
        <v>5</v>
      </c>
      <c r="C3280" s="43">
        <f>C3274</f>
        <v>143</v>
      </c>
      <c r="D3280" s="44">
        <f>SUM(C3280:C3280)</f>
        <v>143</v>
      </c>
      <c r="E3280" s="45"/>
      <c r="G3280" s="42" t="s">
        <v>5</v>
      </c>
      <c r="H3280" s="43">
        <f>H3274</f>
        <v>2048</v>
      </c>
      <c r="I3280" s="44">
        <f>SUM(H3280:H3280)</f>
        <v>2048</v>
      </c>
      <c r="J3280" s="45"/>
    </row>
    <row r="3281" spans="2:10" x14ac:dyDescent="0.15">
      <c r="B3281" s="4" t="s">
        <v>6</v>
      </c>
      <c r="C3281" s="13">
        <v>400</v>
      </c>
      <c r="D3281" s="14">
        <f t="shared" ref="D3281:D3283" si="284">SUM(C3281:C3281)</f>
        <v>400</v>
      </c>
      <c r="E3281" s="12">
        <v>45012</v>
      </c>
      <c r="F3281" s="25"/>
      <c r="G3281" s="6" t="s">
        <v>6</v>
      </c>
      <c r="H3281" s="13"/>
      <c r="I3281" s="14">
        <f>SUM(H3281:H3281)</f>
        <v>0</v>
      </c>
      <c r="J3281" s="169"/>
    </row>
    <row r="3282" spans="2:10" x14ac:dyDescent="0.15">
      <c r="B3282" s="4" t="s">
        <v>6</v>
      </c>
      <c r="C3282" s="13">
        <v>400</v>
      </c>
      <c r="D3282" s="14">
        <f t="shared" si="284"/>
        <v>400</v>
      </c>
      <c r="E3282" s="12">
        <v>45033</v>
      </c>
      <c r="F3282" s="25"/>
      <c r="G3282" s="4" t="s">
        <v>6</v>
      </c>
      <c r="H3282" s="93"/>
      <c r="I3282" s="14">
        <f>SUM(H3282:H3282)</f>
        <v>0</v>
      </c>
      <c r="J3282" s="169"/>
    </row>
    <row r="3283" spans="2:10" ht="14.25" thickBot="1" x14ac:dyDescent="0.2">
      <c r="B3283" s="92" t="s">
        <v>6</v>
      </c>
      <c r="C3283" s="13"/>
      <c r="D3283" s="14">
        <f t="shared" si="284"/>
        <v>0</v>
      </c>
      <c r="E3283" s="12"/>
      <c r="F3283" s="25"/>
      <c r="G3283" s="92" t="s">
        <v>6</v>
      </c>
      <c r="H3283" s="170"/>
      <c r="I3283" s="73">
        <f>SUM(H3283:H3283)</f>
        <v>0</v>
      </c>
      <c r="J3283" s="169"/>
    </row>
    <row r="3284" spans="2:10" ht="14.25" thickBot="1" x14ac:dyDescent="0.2">
      <c r="B3284" s="46" t="s">
        <v>1</v>
      </c>
      <c r="C3284" s="48">
        <f>SUM(C3280:C3283)</f>
        <v>943</v>
      </c>
      <c r="D3284" s="48">
        <f>SUM(D3280:D3283)</f>
        <v>943</v>
      </c>
      <c r="E3284" s="51"/>
      <c r="G3284" s="46" t="s">
        <v>1</v>
      </c>
      <c r="H3284" s="50">
        <f>SUM(H3280:H3283)</f>
        <v>2048</v>
      </c>
      <c r="I3284" s="48">
        <f>SUM(I3280:I3283)</f>
        <v>2048</v>
      </c>
      <c r="J3284" s="51"/>
    </row>
    <row r="3285" spans="2:10" x14ac:dyDescent="0.15">
      <c r="B3285" s="15" t="s">
        <v>941</v>
      </c>
      <c r="C3285" s="13">
        <v>100</v>
      </c>
      <c r="D3285" s="14">
        <f t="shared" ref="D3285:D3299" si="285">SUM(C3285:C3285)</f>
        <v>100</v>
      </c>
      <c r="E3285" s="12">
        <v>45015</v>
      </c>
      <c r="G3285" s="15" t="s">
        <v>940</v>
      </c>
      <c r="H3285" s="13">
        <v>400</v>
      </c>
      <c r="I3285" s="11">
        <f>SUM(H3285:H3285)</f>
        <v>400</v>
      </c>
      <c r="J3285" s="12">
        <v>45012</v>
      </c>
    </row>
    <row r="3286" spans="2:10" x14ac:dyDescent="0.15">
      <c r="B3286" s="69" t="s">
        <v>189</v>
      </c>
      <c r="C3286" s="13">
        <v>2</v>
      </c>
      <c r="D3286" s="14">
        <f t="shared" si="285"/>
        <v>2</v>
      </c>
      <c r="E3286" s="12">
        <v>45013</v>
      </c>
      <c r="G3286" s="15" t="s">
        <v>946</v>
      </c>
      <c r="H3286" s="13">
        <v>250</v>
      </c>
      <c r="I3286" s="14">
        <f>SUM(H3286:H3286)</f>
        <v>250</v>
      </c>
      <c r="J3286" s="12">
        <v>45023</v>
      </c>
    </row>
    <row r="3287" spans="2:10" x14ac:dyDescent="0.15">
      <c r="B3287" s="15" t="s">
        <v>945</v>
      </c>
      <c r="C3287" s="13">
        <v>150</v>
      </c>
      <c r="D3287" s="14">
        <f t="shared" si="285"/>
        <v>150</v>
      </c>
      <c r="E3287" s="12">
        <v>45023</v>
      </c>
      <c r="G3287" s="15" t="s">
        <v>12</v>
      </c>
      <c r="H3287" s="13">
        <v>400</v>
      </c>
      <c r="I3287" s="14">
        <f t="shared" ref="I3287:I3309" si="286">SUM(H3287:H3287)</f>
        <v>400</v>
      </c>
      <c r="J3287" s="12">
        <v>45033</v>
      </c>
    </row>
    <row r="3288" spans="2:10" x14ac:dyDescent="0.15">
      <c r="B3288" s="69" t="s">
        <v>189</v>
      </c>
      <c r="C3288" s="13">
        <v>1</v>
      </c>
      <c r="D3288" s="14">
        <f t="shared" si="285"/>
        <v>1</v>
      </c>
      <c r="E3288" s="12">
        <v>45019</v>
      </c>
      <c r="G3288" s="15" t="s">
        <v>951</v>
      </c>
      <c r="H3288" s="13">
        <v>250</v>
      </c>
      <c r="I3288" s="14">
        <f t="shared" si="286"/>
        <v>250</v>
      </c>
      <c r="J3288" s="12">
        <v>45037</v>
      </c>
    </row>
    <row r="3289" spans="2:10" x14ac:dyDescent="0.15">
      <c r="B3289" s="69" t="s">
        <v>947</v>
      </c>
      <c r="C3289" s="13">
        <v>2</v>
      </c>
      <c r="D3289" s="14">
        <f t="shared" si="285"/>
        <v>2</v>
      </c>
      <c r="E3289" s="12">
        <v>45026</v>
      </c>
      <c r="G3289" s="89"/>
      <c r="H3289" s="13"/>
      <c r="I3289" s="14">
        <f t="shared" si="286"/>
        <v>0</v>
      </c>
      <c r="J3289" s="12"/>
    </row>
    <row r="3290" spans="2:10" x14ac:dyDescent="0.15">
      <c r="B3290" s="69" t="s">
        <v>189</v>
      </c>
      <c r="C3290" s="13">
        <f>1+1</f>
        <v>2</v>
      </c>
      <c r="D3290" s="14">
        <f t="shared" si="285"/>
        <v>2</v>
      </c>
      <c r="E3290" s="12">
        <v>45026</v>
      </c>
      <c r="G3290" s="89"/>
      <c r="H3290" s="13"/>
      <c r="I3290" s="14">
        <f t="shared" si="286"/>
        <v>0</v>
      </c>
      <c r="J3290" s="12"/>
    </row>
    <row r="3291" spans="2:10" x14ac:dyDescent="0.15">
      <c r="B3291" s="69" t="s">
        <v>18</v>
      </c>
      <c r="C3291" s="13">
        <v>4</v>
      </c>
      <c r="D3291" s="14">
        <f t="shared" si="285"/>
        <v>4</v>
      </c>
      <c r="E3291" s="12">
        <v>45028</v>
      </c>
      <c r="G3291" s="89"/>
      <c r="H3291" s="13"/>
      <c r="I3291" s="14">
        <f t="shared" si="286"/>
        <v>0</v>
      </c>
      <c r="J3291" s="12"/>
    </row>
    <row r="3292" spans="2:10" x14ac:dyDescent="0.15">
      <c r="B3292" s="69" t="s">
        <v>18</v>
      </c>
      <c r="C3292" s="13">
        <v>1</v>
      </c>
      <c r="D3292" s="14">
        <f t="shared" si="285"/>
        <v>1</v>
      </c>
      <c r="E3292" s="12">
        <v>45030</v>
      </c>
      <c r="G3292" s="15"/>
      <c r="H3292" s="13"/>
      <c r="I3292" s="14">
        <f t="shared" si="286"/>
        <v>0</v>
      </c>
      <c r="J3292" s="12"/>
    </row>
    <row r="3293" spans="2:10" x14ac:dyDescent="0.15">
      <c r="B3293" s="15" t="s">
        <v>948</v>
      </c>
      <c r="C3293" s="13">
        <v>150</v>
      </c>
      <c r="D3293" s="14">
        <f t="shared" si="285"/>
        <v>150</v>
      </c>
      <c r="E3293" s="12">
        <v>45031</v>
      </c>
      <c r="G3293" s="15"/>
      <c r="H3293" s="13"/>
      <c r="I3293" s="14">
        <f t="shared" si="286"/>
        <v>0</v>
      </c>
      <c r="J3293" s="12"/>
    </row>
    <row r="3294" spans="2:10" x14ac:dyDescent="0.15">
      <c r="B3294" s="69" t="s">
        <v>18</v>
      </c>
      <c r="C3294" s="13">
        <v>3</v>
      </c>
      <c r="D3294" s="14">
        <f t="shared" si="285"/>
        <v>3</v>
      </c>
      <c r="E3294" s="12">
        <v>45033</v>
      </c>
      <c r="G3294" s="15"/>
      <c r="H3294" s="13"/>
      <c r="I3294" s="14">
        <f t="shared" si="286"/>
        <v>0</v>
      </c>
      <c r="J3294" s="12"/>
    </row>
    <row r="3295" spans="2:10" x14ac:dyDescent="0.15">
      <c r="B3295" s="15" t="s">
        <v>949</v>
      </c>
      <c r="C3295" s="13">
        <v>50</v>
      </c>
      <c r="D3295" s="14">
        <f t="shared" si="285"/>
        <v>50</v>
      </c>
      <c r="E3295" s="12">
        <v>45034</v>
      </c>
      <c r="G3295" s="15"/>
      <c r="H3295" s="13"/>
      <c r="I3295" s="14">
        <f t="shared" si="286"/>
        <v>0</v>
      </c>
      <c r="J3295" s="5"/>
    </row>
    <row r="3296" spans="2:10" x14ac:dyDescent="0.15">
      <c r="B3296" s="69" t="s">
        <v>18</v>
      </c>
      <c r="C3296" s="13">
        <v>4</v>
      </c>
      <c r="D3296" s="14">
        <f t="shared" si="285"/>
        <v>4</v>
      </c>
      <c r="E3296" s="12">
        <v>45034</v>
      </c>
      <c r="G3296" s="15"/>
      <c r="H3296" s="7"/>
      <c r="I3296" s="14">
        <f t="shared" si="286"/>
        <v>0</v>
      </c>
      <c r="J3296" s="12"/>
    </row>
    <row r="3297" spans="2:11" x14ac:dyDescent="0.15">
      <c r="B3297" s="69" t="s">
        <v>189</v>
      </c>
      <c r="C3297" s="13">
        <v>2</v>
      </c>
      <c r="D3297" s="14">
        <f t="shared" si="285"/>
        <v>2</v>
      </c>
      <c r="E3297" s="12">
        <v>45033</v>
      </c>
      <c r="G3297" s="15"/>
      <c r="H3297" s="7"/>
      <c r="I3297" s="14">
        <f t="shared" si="286"/>
        <v>0</v>
      </c>
      <c r="J3297" s="12"/>
    </row>
    <row r="3298" spans="2:11" x14ac:dyDescent="0.15">
      <c r="B3298" s="69" t="s">
        <v>189</v>
      </c>
      <c r="C3298" s="13">
        <v>5</v>
      </c>
      <c r="D3298" s="14">
        <f t="shared" si="285"/>
        <v>5</v>
      </c>
      <c r="E3298" s="12">
        <v>45035</v>
      </c>
      <c r="G3298" s="15"/>
      <c r="H3298" s="7"/>
      <c r="I3298" s="14">
        <f t="shared" si="286"/>
        <v>0</v>
      </c>
      <c r="J3298" s="5"/>
    </row>
    <row r="3299" spans="2:11" x14ac:dyDescent="0.15">
      <c r="B3299" s="69" t="s">
        <v>189</v>
      </c>
      <c r="C3299" s="13">
        <v>1</v>
      </c>
      <c r="D3299" s="14">
        <f t="shared" si="285"/>
        <v>1</v>
      </c>
      <c r="E3299" s="12">
        <v>45037</v>
      </c>
      <c r="G3299" s="15"/>
      <c r="H3299" s="7"/>
      <c r="I3299" s="14">
        <f t="shared" si="286"/>
        <v>0</v>
      </c>
      <c r="J3299" s="12"/>
    </row>
    <row r="3300" spans="2:11" x14ac:dyDescent="0.15">
      <c r="B3300" s="69" t="s">
        <v>189</v>
      </c>
      <c r="C3300" s="13">
        <v>3</v>
      </c>
      <c r="D3300" s="14">
        <f>SUM(C3300:C3300)</f>
        <v>3</v>
      </c>
      <c r="E3300" s="12">
        <v>45040</v>
      </c>
      <c r="G3300" s="15"/>
      <c r="H3300" s="7"/>
      <c r="I3300" s="14">
        <f t="shared" si="286"/>
        <v>0</v>
      </c>
      <c r="J3300" s="12"/>
    </row>
    <row r="3301" spans="2:11" x14ac:dyDescent="0.15">
      <c r="B3301" s="69"/>
      <c r="C3301" s="13"/>
      <c r="D3301" s="14">
        <f t="shared" ref="D3301:D3309" si="287">SUM(C3301:C3301)</f>
        <v>0</v>
      </c>
      <c r="E3301" s="12"/>
      <c r="G3301" s="15"/>
      <c r="H3301" s="7"/>
      <c r="I3301" s="14">
        <f t="shared" si="286"/>
        <v>0</v>
      </c>
      <c r="J3301" s="67"/>
    </row>
    <row r="3302" spans="2:11" x14ac:dyDescent="0.15">
      <c r="B3302" s="69"/>
      <c r="C3302" s="13"/>
      <c r="D3302" s="14">
        <f t="shared" si="287"/>
        <v>0</v>
      </c>
      <c r="E3302" s="12"/>
      <c r="G3302" s="15"/>
      <c r="H3302" s="7"/>
      <c r="I3302" s="14">
        <f t="shared" si="286"/>
        <v>0</v>
      </c>
      <c r="J3302" s="67"/>
    </row>
    <row r="3303" spans="2:11" x14ac:dyDescent="0.15">
      <c r="B3303" s="69"/>
      <c r="C3303" s="13"/>
      <c r="D3303" s="14">
        <f t="shared" si="287"/>
        <v>0</v>
      </c>
      <c r="E3303" s="12"/>
      <c r="G3303" s="15"/>
      <c r="H3303" s="7"/>
      <c r="I3303" s="14">
        <f t="shared" si="286"/>
        <v>0</v>
      </c>
      <c r="J3303" s="67"/>
    </row>
    <row r="3304" spans="2:11" x14ac:dyDescent="0.15">
      <c r="B3304" s="69"/>
      <c r="C3304" s="13"/>
      <c r="D3304" s="14">
        <f t="shared" si="287"/>
        <v>0</v>
      </c>
      <c r="E3304" s="5"/>
      <c r="G3304" s="15"/>
      <c r="H3304" s="7"/>
      <c r="I3304" s="14">
        <f t="shared" si="286"/>
        <v>0</v>
      </c>
      <c r="J3304" s="67"/>
    </row>
    <row r="3305" spans="2:11" x14ac:dyDescent="0.15">
      <c r="B3305" s="69"/>
      <c r="C3305" s="13"/>
      <c r="D3305" s="14">
        <f t="shared" si="287"/>
        <v>0</v>
      </c>
      <c r="E3305" s="5"/>
      <c r="G3305" s="15"/>
      <c r="H3305" s="7"/>
      <c r="I3305" s="14">
        <f t="shared" si="286"/>
        <v>0</v>
      </c>
      <c r="J3305" s="67"/>
    </row>
    <row r="3306" spans="2:11" x14ac:dyDescent="0.15">
      <c r="B3306" s="69"/>
      <c r="C3306" s="13"/>
      <c r="D3306" s="14">
        <f t="shared" si="287"/>
        <v>0</v>
      </c>
      <c r="E3306" s="5"/>
      <c r="G3306" s="15" t="s">
        <v>938</v>
      </c>
      <c r="H3306" s="7"/>
      <c r="I3306" s="14">
        <f t="shared" si="286"/>
        <v>0</v>
      </c>
      <c r="J3306" s="67" t="s">
        <v>939</v>
      </c>
      <c r="K3306" s="86"/>
    </row>
    <row r="3307" spans="2:11" x14ac:dyDescent="0.15">
      <c r="B3307" s="69"/>
      <c r="C3307" s="13"/>
      <c r="D3307" s="14">
        <f t="shared" si="287"/>
        <v>0</v>
      </c>
      <c r="E3307" s="5"/>
      <c r="G3307" s="4" t="s">
        <v>930</v>
      </c>
      <c r="H3307" s="184"/>
      <c r="I3307" s="185">
        <f t="shared" si="286"/>
        <v>0</v>
      </c>
      <c r="J3307" s="186"/>
      <c r="K3307" s="86"/>
    </row>
    <row r="3308" spans="2:11" ht="14.25" thickBot="1" x14ac:dyDescent="0.2">
      <c r="B3308" s="15"/>
      <c r="C3308" s="7"/>
      <c r="D3308" s="14">
        <f t="shared" si="287"/>
        <v>0</v>
      </c>
      <c r="E3308" s="67"/>
      <c r="G3308" s="15" t="s">
        <v>931</v>
      </c>
      <c r="H3308" s="7"/>
      <c r="I3308" s="14">
        <f t="shared" si="286"/>
        <v>0</v>
      </c>
      <c r="J3308" s="67" t="s">
        <v>929</v>
      </c>
      <c r="K3308" s="86"/>
    </row>
    <row r="3309" spans="2:11" ht="14.25" thickBot="1" x14ac:dyDescent="0.2">
      <c r="B3309" s="17" t="s">
        <v>2</v>
      </c>
      <c r="C3309" s="18">
        <f>SUM(C3285:C3308)</f>
        <v>480</v>
      </c>
      <c r="D3309" s="19">
        <f t="shared" si="287"/>
        <v>480</v>
      </c>
      <c r="E3309" s="20"/>
      <c r="G3309" s="17" t="s">
        <v>2</v>
      </c>
      <c r="H3309" s="18">
        <f>SUM(H3285:H3308)</f>
        <v>1300</v>
      </c>
      <c r="I3309" s="19">
        <f t="shared" si="286"/>
        <v>1300</v>
      </c>
      <c r="J3309" s="20"/>
    </row>
    <row r="3310" spans="2:11" ht="14.25" thickBot="1" x14ac:dyDescent="0.2">
      <c r="B3310" s="46" t="s">
        <v>3</v>
      </c>
      <c r="C3310" s="52">
        <f>C3284-C3309</f>
        <v>463</v>
      </c>
      <c r="D3310" s="48">
        <f>D3284-D3309</f>
        <v>463</v>
      </c>
      <c r="E3310" s="49"/>
      <c r="G3310" s="46" t="s">
        <v>3</v>
      </c>
      <c r="H3310" s="52">
        <f>H3284-H3309</f>
        <v>748</v>
      </c>
      <c r="I3310" s="48">
        <f>I3284-I3309</f>
        <v>748</v>
      </c>
      <c r="J3310" s="49"/>
    </row>
    <row r="3313" spans="2:10" ht="18.75" x14ac:dyDescent="0.2">
      <c r="B3313" s="26" t="s">
        <v>7</v>
      </c>
      <c r="G3313" s="26" t="s">
        <v>35</v>
      </c>
    </row>
    <row r="3314" spans="2:10" ht="14.25" thickBot="1" x14ac:dyDescent="0.2"/>
    <row r="3315" spans="2:10" ht="14.25" thickBot="1" x14ac:dyDescent="0.2">
      <c r="B3315" s="1"/>
      <c r="C3315" s="1"/>
      <c r="D3315" s="53" t="s">
        <v>0</v>
      </c>
      <c r="E3315" s="1" t="s">
        <v>4</v>
      </c>
      <c r="G3315" s="1"/>
      <c r="H3315" s="1"/>
      <c r="I3315" s="53" t="s">
        <v>0</v>
      </c>
      <c r="J3315" s="1" t="s">
        <v>4</v>
      </c>
    </row>
    <row r="3316" spans="2:10" x14ac:dyDescent="0.15">
      <c r="B3316" s="42" t="s">
        <v>5</v>
      </c>
      <c r="C3316" s="43">
        <f>C3310</f>
        <v>463</v>
      </c>
      <c r="D3316" s="44">
        <f>SUM(C3316:C3316)</f>
        <v>463</v>
      </c>
      <c r="E3316" s="45"/>
      <c r="G3316" s="42" t="s">
        <v>5</v>
      </c>
      <c r="H3316" s="43">
        <f>H3310</f>
        <v>748</v>
      </c>
      <c r="I3316" s="44">
        <f>SUM(H3316:H3316)</f>
        <v>748</v>
      </c>
      <c r="J3316" s="45"/>
    </row>
    <row r="3317" spans="2:10" x14ac:dyDescent="0.15">
      <c r="B3317" s="4" t="s">
        <v>76</v>
      </c>
      <c r="C3317" s="13">
        <v>6</v>
      </c>
      <c r="D3317" s="14">
        <f t="shared" ref="D3317:D3319" si="288">SUM(C3317:C3317)</f>
        <v>6</v>
      </c>
      <c r="E3317" s="12">
        <v>45091</v>
      </c>
      <c r="F3317" s="25"/>
      <c r="G3317" s="6" t="s">
        <v>6</v>
      </c>
      <c r="H3317" s="13"/>
      <c r="I3317" s="14">
        <f>SUM(H3317:H3317)</f>
        <v>0</v>
      </c>
      <c r="J3317" s="169"/>
    </row>
    <row r="3318" spans="2:10" x14ac:dyDescent="0.15">
      <c r="B3318" s="4" t="s">
        <v>6</v>
      </c>
      <c r="C3318" s="13"/>
      <c r="D3318" s="14">
        <f t="shared" si="288"/>
        <v>0</v>
      </c>
      <c r="E3318" s="12"/>
      <c r="F3318" s="25"/>
      <c r="G3318" s="4" t="s">
        <v>6</v>
      </c>
      <c r="H3318" s="93">
        <v>2000</v>
      </c>
      <c r="I3318" s="14">
        <f>SUM(H3318:H3318)</f>
        <v>2000</v>
      </c>
      <c r="J3318" s="169" t="s">
        <v>959</v>
      </c>
    </row>
    <row r="3319" spans="2:10" ht="14.25" thickBot="1" x14ac:dyDescent="0.2">
      <c r="B3319" s="92" t="s">
        <v>6</v>
      </c>
      <c r="C3319" s="13"/>
      <c r="D3319" s="14">
        <f t="shared" si="288"/>
        <v>0</v>
      </c>
      <c r="E3319" s="12"/>
      <c r="F3319" s="25"/>
      <c r="G3319" s="92" t="s">
        <v>6</v>
      </c>
      <c r="H3319" s="170"/>
      <c r="I3319" s="73">
        <f>SUM(H3319:H3319)</f>
        <v>0</v>
      </c>
      <c r="J3319" s="169"/>
    </row>
    <row r="3320" spans="2:10" ht="14.25" thickBot="1" x14ac:dyDescent="0.2">
      <c r="B3320" s="46" t="s">
        <v>1</v>
      </c>
      <c r="C3320" s="48">
        <f>SUM(C3316:C3319)</f>
        <v>469</v>
      </c>
      <c r="D3320" s="48">
        <f>SUM(D3316:D3319)</f>
        <v>469</v>
      </c>
      <c r="E3320" s="51"/>
      <c r="G3320" s="46" t="s">
        <v>1</v>
      </c>
      <c r="H3320" s="50">
        <f>SUM(H3316:H3319)</f>
        <v>2748</v>
      </c>
      <c r="I3320" s="48">
        <f>SUM(I3316:I3319)</f>
        <v>2748</v>
      </c>
      <c r="J3320" s="51"/>
    </row>
    <row r="3321" spans="2:10" x14ac:dyDescent="0.15">
      <c r="B3321" s="15" t="s">
        <v>957</v>
      </c>
      <c r="C3321" s="13">
        <v>150</v>
      </c>
      <c r="D3321" s="14">
        <f t="shared" ref="D3321:D3335" si="289">SUM(C3321:C3321)</f>
        <v>150</v>
      </c>
      <c r="E3321" s="12">
        <v>45058</v>
      </c>
      <c r="G3321" s="15" t="s">
        <v>958</v>
      </c>
      <c r="H3321" s="13">
        <v>200</v>
      </c>
      <c r="I3321" s="11">
        <f>SUM(H3321:H3321)</f>
        <v>200</v>
      </c>
      <c r="J3321" s="12">
        <v>45058</v>
      </c>
    </row>
    <row r="3322" spans="2:10" x14ac:dyDescent="0.15">
      <c r="B3322" s="69" t="s">
        <v>189</v>
      </c>
      <c r="C3322" s="13">
        <v>6</v>
      </c>
      <c r="D3322" s="14">
        <f t="shared" si="289"/>
        <v>6</v>
      </c>
      <c r="E3322" s="12">
        <v>45047</v>
      </c>
      <c r="G3322" s="15" t="s">
        <v>967</v>
      </c>
      <c r="H3322" s="13">
        <v>400</v>
      </c>
      <c r="I3322" s="14">
        <f>SUM(H3322:H3322)</f>
        <v>400</v>
      </c>
      <c r="J3322" s="12">
        <v>45072</v>
      </c>
    </row>
    <row r="3323" spans="2:10" x14ac:dyDescent="0.15">
      <c r="B3323" s="69" t="s">
        <v>18</v>
      </c>
      <c r="C3323" s="13">
        <v>1</v>
      </c>
      <c r="D3323" s="14">
        <f t="shared" si="289"/>
        <v>1</v>
      </c>
      <c r="E3323" s="12">
        <v>45054</v>
      </c>
      <c r="G3323" s="15"/>
      <c r="H3323" s="13"/>
      <c r="I3323" s="14">
        <f t="shared" ref="I3323:I3345" si="290">SUM(H3323:H3323)</f>
        <v>0</v>
      </c>
      <c r="J3323" s="12"/>
    </row>
    <row r="3324" spans="2:10" x14ac:dyDescent="0.15">
      <c r="B3324" s="69" t="s">
        <v>189</v>
      </c>
      <c r="C3324" s="13">
        <v>2</v>
      </c>
      <c r="D3324" s="14">
        <f t="shared" si="289"/>
        <v>2</v>
      </c>
      <c r="E3324" s="12">
        <v>45055</v>
      </c>
      <c r="G3324" s="89"/>
      <c r="H3324" s="13"/>
      <c r="I3324" s="14">
        <f t="shared" si="290"/>
        <v>0</v>
      </c>
      <c r="J3324" s="12"/>
    </row>
    <row r="3325" spans="2:10" x14ac:dyDescent="0.15">
      <c r="B3325" s="69" t="s">
        <v>18</v>
      </c>
      <c r="C3325" s="13">
        <v>1</v>
      </c>
      <c r="D3325" s="14">
        <f t="shared" si="289"/>
        <v>1</v>
      </c>
      <c r="E3325" s="12">
        <v>45061</v>
      </c>
      <c r="G3325" s="89"/>
      <c r="H3325" s="13"/>
      <c r="I3325" s="14">
        <f t="shared" si="290"/>
        <v>0</v>
      </c>
      <c r="J3325" s="12"/>
    </row>
    <row r="3326" spans="2:10" x14ac:dyDescent="0.15">
      <c r="B3326" s="69" t="s">
        <v>18</v>
      </c>
      <c r="C3326" s="13">
        <v>1</v>
      </c>
      <c r="D3326" s="14">
        <f t="shared" si="289"/>
        <v>1</v>
      </c>
      <c r="E3326" s="12">
        <v>45062</v>
      </c>
      <c r="G3326" s="89"/>
      <c r="H3326" s="13"/>
      <c r="I3326" s="14">
        <f t="shared" si="290"/>
        <v>0</v>
      </c>
      <c r="J3326" s="12"/>
    </row>
    <row r="3327" spans="2:10" x14ac:dyDescent="0.15">
      <c r="B3327" s="15" t="s">
        <v>961</v>
      </c>
      <c r="C3327" s="13">
        <v>80</v>
      </c>
      <c r="D3327" s="14">
        <f t="shared" si="289"/>
        <v>80</v>
      </c>
      <c r="E3327" s="12">
        <v>45066</v>
      </c>
      <c r="G3327" s="89"/>
      <c r="H3327" s="13"/>
      <c r="I3327" s="14">
        <f t="shared" si="290"/>
        <v>0</v>
      </c>
      <c r="J3327" s="12"/>
    </row>
    <row r="3328" spans="2:10" x14ac:dyDescent="0.15">
      <c r="B3328" s="69" t="s">
        <v>189</v>
      </c>
      <c r="C3328" s="13">
        <v>2</v>
      </c>
      <c r="D3328" s="14">
        <f t="shared" si="289"/>
        <v>2</v>
      </c>
      <c r="E3328" s="12">
        <v>45064</v>
      </c>
      <c r="G3328" s="15"/>
      <c r="H3328" s="13"/>
      <c r="I3328" s="14">
        <f t="shared" si="290"/>
        <v>0</v>
      </c>
      <c r="J3328" s="12"/>
    </row>
    <row r="3329" spans="2:10" x14ac:dyDescent="0.15">
      <c r="B3329" s="15" t="s">
        <v>962</v>
      </c>
      <c r="C3329" s="13">
        <v>50</v>
      </c>
      <c r="D3329" s="14">
        <f t="shared" si="289"/>
        <v>50</v>
      </c>
      <c r="E3329" s="12">
        <v>45066</v>
      </c>
      <c r="G3329" s="15"/>
      <c r="H3329" s="13"/>
      <c r="I3329" s="14">
        <f t="shared" si="290"/>
        <v>0</v>
      </c>
      <c r="J3329" s="12"/>
    </row>
    <row r="3330" spans="2:10" x14ac:dyDescent="0.15">
      <c r="B3330" s="69" t="s">
        <v>189</v>
      </c>
      <c r="C3330" s="13">
        <v>6</v>
      </c>
      <c r="D3330" s="14">
        <f t="shared" si="289"/>
        <v>6</v>
      </c>
      <c r="E3330" s="12">
        <v>45068</v>
      </c>
      <c r="G3330" s="15"/>
      <c r="H3330" s="13"/>
      <c r="I3330" s="14">
        <f t="shared" si="290"/>
        <v>0</v>
      </c>
      <c r="J3330" s="12"/>
    </row>
    <row r="3331" spans="2:10" x14ac:dyDescent="0.15">
      <c r="B3331" s="69" t="s">
        <v>189</v>
      </c>
      <c r="C3331" s="13">
        <v>1</v>
      </c>
      <c r="D3331" s="14">
        <f t="shared" si="289"/>
        <v>1</v>
      </c>
      <c r="E3331" s="12">
        <v>45070</v>
      </c>
      <c r="G3331" s="15"/>
      <c r="H3331" s="13"/>
      <c r="I3331" s="14">
        <f t="shared" si="290"/>
        <v>0</v>
      </c>
      <c r="J3331" s="5"/>
    </row>
    <row r="3332" spans="2:10" x14ac:dyDescent="0.15">
      <c r="B3332" s="69" t="s">
        <v>189</v>
      </c>
      <c r="C3332" s="13">
        <v>4</v>
      </c>
      <c r="D3332" s="14">
        <f t="shared" si="289"/>
        <v>4</v>
      </c>
      <c r="E3332" s="12">
        <v>45071</v>
      </c>
      <c r="G3332" s="15"/>
      <c r="H3332" s="7"/>
      <c r="I3332" s="14">
        <f t="shared" si="290"/>
        <v>0</v>
      </c>
      <c r="J3332" s="12"/>
    </row>
    <row r="3333" spans="2:10" x14ac:dyDescent="0.15">
      <c r="B3333" s="69" t="s">
        <v>189</v>
      </c>
      <c r="C3333" s="13">
        <v>2</v>
      </c>
      <c r="D3333" s="14">
        <f t="shared" si="289"/>
        <v>2</v>
      </c>
      <c r="E3333" s="12">
        <v>45076</v>
      </c>
      <c r="G3333" s="15"/>
      <c r="H3333" s="7"/>
      <c r="I3333" s="14">
        <f t="shared" si="290"/>
        <v>0</v>
      </c>
      <c r="J3333" s="12"/>
    </row>
    <row r="3334" spans="2:10" x14ac:dyDescent="0.15">
      <c r="B3334" s="69" t="s">
        <v>189</v>
      </c>
      <c r="C3334" s="13">
        <v>2</v>
      </c>
      <c r="D3334" s="14">
        <f t="shared" si="289"/>
        <v>2</v>
      </c>
      <c r="E3334" s="12">
        <v>45078</v>
      </c>
      <c r="G3334" s="15"/>
      <c r="H3334" s="7"/>
      <c r="I3334" s="14">
        <f t="shared" si="290"/>
        <v>0</v>
      </c>
      <c r="J3334" s="5"/>
    </row>
    <row r="3335" spans="2:10" x14ac:dyDescent="0.15">
      <c r="B3335" s="69" t="s">
        <v>189</v>
      </c>
      <c r="C3335" s="13">
        <v>4</v>
      </c>
      <c r="D3335" s="14">
        <f t="shared" si="289"/>
        <v>4</v>
      </c>
      <c r="E3335" s="12">
        <v>45080</v>
      </c>
      <c r="G3335" s="15"/>
      <c r="H3335" s="7"/>
      <c r="I3335" s="14">
        <f t="shared" si="290"/>
        <v>0</v>
      </c>
      <c r="J3335" s="12"/>
    </row>
    <row r="3336" spans="2:10" x14ac:dyDescent="0.15">
      <c r="B3336" s="69" t="s">
        <v>18</v>
      </c>
      <c r="C3336" s="13">
        <v>1</v>
      </c>
      <c r="D3336" s="14">
        <f>SUM(C3336:C3336)</f>
        <v>1</v>
      </c>
      <c r="E3336" s="12">
        <v>45083</v>
      </c>
      <c r="G3336" s="15"/>
      <c r="H3336" s="7"/>
      <c r="I3336" s="14">
        <f t="shared" si="290"/>
        <v>0</v>
      </c>
      <c r="J3336" s="12"/>
    </row>
    <row r="3337" spans="2:10" x14ac:dyDescent="0.15">
      <c r="B3337" s="69" t="s">
        <v>189</v>
      </c>
      <c r="C3337" s="13">
        <v>2</v>
      </c>
      <c r="D3337" s="14">
        <f t="shared" ref="D3337:D3345" si="291">SUM(C3337:C3337)</f>
        <v>2</v>
      </c>
      <c r="E3337" s="12">
        <v>45082</v>
      </c>
      <c r="G3337" s="15"/>
      <c r="H3337" s="7"/>
      <c r="I3337" s="14">
        <f t="shared" si="290"/>
        <v>0</v>
      </c>
      <c r="J3337" s="67"/>
    </row>
    <row r="3338" spans="2:10" x14ac:dyDescent="0.15">
      <c r="B3338" s="69" t="s">
        <v>189</v>
      </c>
      <c r="C3338" s="13">
        <v>4</v>
      </c>
      <c r="D3338" s="14">
        <f t="shared" si="291"/>
        <v>4</v>
      </c>
      <c r="E3338" s="12">
        <v>45084</v>
      </c>
      <c r="G3338" s="15"/>
      <c r="H3338" s="7"/>
      <c r="I3338" s="14">
        <f t="shared" si="290"/>
        <v>0</v>
      </c>
      <c r="J3338" s="67"/>
    </row>
    <row r="3339" spans="2:10" x14ac:dyDescent="0.15">
      <c r="B3339" s="69" t="s">
        <v>189</v>
      </c>
      <c r="C3339" s="13">
        <v>6</v>
      </c>
      <c r="D3339" s="14">
        <f t="shared" si="291"/>
        <v>6</v>
      </c>
      <c r="E3339" s="5">
        <v>45088</v>
      </c>
      <c r="G3339" s="15"/>
      <c r="H3339" s="7"/>
      <c r="I3339" s="14">
        <f t="shared" si="290"/>
        <v>0</v>
      </c>
      <c r="J3339" s="67"/>
    </row>
    <row r="3340" spans="2:10" x14ac:dyDescent="0.15">
      <c r="B3340" s="69" t="s">
        <v>189</v>
      </c>
      <c r="C3340" s="13">
        <v>1</v>
      </c>
      <c r="D3340" s="14">
        <f t="shared" si="291"/>
        <v>1</v>
      </c>
      <c r="E3340" s="5">
        <v>45089</v>
      </c>
      <c r="G3340" s="15"/>
      <c r="H3340" s="7"/>
      <c r="I3340" s="14">
        <f t="shared" si="290"/>
        <v>0</v>
      </c>
      <c r="J3340" s="67"/>
    </row>
    <row r="3341" spans="2:10" x14ac:dyDescent="0.15">
      <c r="B3341" s="69" t="s">
        <v>189</v>
      </c>
      <c r="C3341" s="13">
        <v>2</v>
      </c>
      <c r="D3341" s="14">
        <f t="shared" si="291"/>
        <v>2</v>
      </c>
      <c r="E3341" s="5">
        <v>45090</v>
      </c>
      <c r="G3341" s="15"/>
      <c r="H3341" s="7"/>
      <c r="I3341" s="14">
        <f t="shared" si="290"/>
        <v>0</v>
      </c>
      <c r="J3341" s="67"/>
    </row>
    <row r="3342" spans="2:10" x14ac:dyDescent="0.15">
      <c r="B3342" s="69"/>
      <c r="C3342" s="13"/>
      <c r="D3342" s="14">
        <f t="shared" si="291"/>
        <v>0</v>
      </c>
      <c r="E3342" s="5"/>
      <c r="G3342" s="15"/>
      <c r="H3342" s="7"/>
      <c r="I3342" s="14">
        <f t="shared" si="290"/>
        <v>0</v>
      </c>
      <c r="J3342" s="67"/>
    </row>
    <row r="3343" spans="2:10" x14ac:dyDescent="0.15">
      <c r="B3343" s="69"/>
      <c r="C3343" s="13"/>
      <c r="D3343" s="14">
        <f t="shared" si="291"/>
        <v>0</v>
      </c>
      <c r="E3343" s="5"/>
      <c r="G3343" s="4" t="s">
        <v>934</v>
      </c>
      <c r="H3343" s="184"/>
      <c r="I3343" s="185">
        <f t="shared" si="290"/>
        <v>0</v>
      </c>
      <c r="J3343" s="186"/>
    </row>
    <row r="3344" spans="2:10" ht="14.25" thickBot="1" x14ac:dyDescent="0.2">
      <c r="B3344" s="15"/>
      <c r="C3344" s="7"/>
      <c r="D3344" s="14">
        <f t="shared" si="291"/>
        <v>0</v>
      </c>
      <c r="E3344" s="67"/>
      <c r="G3344" s="15" t="s">
        <v>932</v>
      </c>
      <c r="H3344" s="7"/>
      <c r="I3344" s="14">
        <f t="shared" si="290"/>
        <v>0</v>
      </c>
      <c r="J3344" t="s">
        <v>933</v>
      </c>
    </row>
    <row r="3345" spans="2:10" ht="14.25" thickBot="1" x14ac:dyDescent="0.2">
      <c r="B3345" s="17" t="s">
        <v>2</v>
      </c>
      <c r="C3345" s="18">
        <f>SUM(C3321:C3344)</f>
        <v>328</v>
      </c>
      <c r="D3345" s="19">
        <f t="shared" si="291"/>
        <v>328</v>
      </c>
      <c r="E3345" s="20"/>
      <c r="G3345" s="17" t="s">
        <v>2</v>
      </c>
      <c r="H3345" s="18">
        <f>SUM(H3321:H3344)</f>
        <v>600</v>
      </c>
      <c r="I3345" s="19">
        <f t="shared" si="290"/>
        <v>600</v>
      </c>
      <c r="J3345" s="20"/>
    </row>
    <row r="3346" spans="2:10" ht="14.25" thickBot="1" x14ac:dyDescent="0.2">
      <c r="B3346" s="46" t="s">
        <v>3</v>
      </c>
      <c r="C3346" s="52">
        <f>C3320-C3345</f>
        <v>141</v>
      </c>
      <c r="D3346" s="48">
        <f>D3320-D3345</f>
        <v>141</v>
      </c>
      <c r="E3346" s="49"/>
      <c r="G3346" s="46" t="s">
        <v>3</v>
      </c>
      <c r="H3346" s="52">
        <f>H3320-H3345</f>
        <v>2148</v>
      </c>
      <c r="I3346" s="48">
        <f>I3320-I3345</f>
        <v>2148</v>
      </c>
      <c r="J3346" s="49"/>
    </row>
    <row r="3349" spans="2:10" ht="18.75" x14ac:dyDescent="0.2">
      <c r="B3349" s="26" t="s">
        <v>7</v>
      </c>
      <c r="G3349" s="26" t="s">
        <v>35</v>
      </c>
    </row>
    <row r="3350" spans="2:10" ht="14.25" thickBot="1" x14ac:dyDescent="0.2"/>
    <row r="3351" spans="2:10" ht="14.25" thickBot="1" x14ac:dyDescent="0.2">
      <c r="B3351" s="1"/>
      <c r="C3351" s="1"/>
      <c r="D3351" s="53" t="s">
        <v>0</v>
      </c>
      <c r="E3351" s="1" t="s">
        <v>4</v>
      </c>
      <c r="G3351" s="1"/>
      <c r="H3351" s="1"/>
      <c r="I3351" s="53" t="s">
        <v>0</v>
      </c>
      <c r="J3351" s="1" t="s">
        <v>4</v>
      </c>
    </row>
    <row r="3352" spans="2:10" x14ac:dyDescent="0.15">
      <c r="B3352" s="42" t="s">
        <v>5</v>
      </c>
      <c r="C3352" s="43">
        <f>C3346</f>
        <v>141</v>
      </c>
      <c r="D3352" s="44">
        <f>SUM(C3352:C3352)</f>
        <v>141</v>
      </c>
      <c r="E3352" s="45"/>
      <c r="G3352" s="42" t="s">
        <v>5</v>
      </c>
      <c r="H3352" s="43">
        <f>H3346</f>
        <v>2148</v>
      </c>
      <c r="I3352" s="44">
        <f>SUM(H3352:H3352)</f>
        <v>2148</v>
      </c>
      <c r="J3352" s="45"/>
    </row>
    <row r="3353" spans="2:10" x14ac:dyDescent="0.15">
      <c r="B3353" s="4" t="s">
        <v>6</v>
      </c>
      <c r="C3353" s="13">
        <v>400</v>
      </c>
      <c r="D3353" s="14">
        <f t="shared" ref="D3353:D3355" si="292">SUM(C3353:C3353)</f>
        <v>400</v>
      </c>
      <c r="E3353" s="12">
        <v>45091</v>
      </c>
      <c r="G3353" s="6" t="s">
        <v>6</v>
      </c>
      <c r="H3353" s="13"/>
      <c r="I3353" s="14">
        <f>SUM(H3353:H3353)</f>
        <v>0</v>
      </c>
      <c r="J3353" s="169"/>
    </row>
    <row r="3354" spans="2:10" x14ac:dyDescent="0.15">
      <c r="B3354" s="4" t="s">
        <v>895</v>
      </c>
      <c r="C3354" s="13">
        <v>3</v>
      </c>
      <c r="D3354" s="14">
        <f t="shared" si="292"/>
        <v>3</v>
      </c>
      <c r="E3354" s="12">
        <v>45120</v>
      </c>
      <c r="G3354" s="4" t="s">
        <v>6</v>
      </c>
      <c r="H3354" s="93">
        <v>3000</v>
      </c>
      <c r="I3354" s="14">
        <f>SUM(H3354:H3354)</f>
        <v>3000</v>
      </c>
      <c r="J3354" s="169" t="s">
        <v>975</v>
      </c>
    </row>
    <row r="3355" spans="2:10" ht="14.25" thickBot="1" x14ac:dyDescent="0.2">
      <c r="B3355" s="92" t="s">
        <v>988</v>
      </c>
      <c r="C3355" s="13">
        <v>9</v>
      </c>
      <c r="D3355" s="14">
        <f t="shared" si="292"/>
        <v>9</v>
      </c>
      <c r="E3355" s="12"/>
      <c r="G3355" s="92" t="s">
        <v>6</v>
      </c>
      <c r="H3355" s="170"/>
      <c r="I3355" s="73">
        <f>SUM(H3355:H3355)</f>
        <v>0</v>
      </c>
      <c r="J3355" s="169"/>
    </row>
    <row r="3356" spans="2:10" ht="14.25" thickBot="1" x14ac:dyDescent="0.2">
      <c r="B3356" s="46" t="s">
        <v>1</v>
      </c>
      <c r="C3356" s="48">
        <f>SUM(C3352:C3355)</f>
        <v>553</v>
      </c>
      <c r="D3356" s="48">
        <f>SUM(D3352:D3355)</f>
        <v>553</v>
      </c>
      <c r="E3356" s="51"/>
      <c r="G3356" s="46" t="s">
        <v>1</v>
      </c>
      <c r="H3356" s="50">
        <f>SUM(H3352:H3355)</f>
        <v>5148</v>
      </c>
      <c r="I3356" s="48">
        <f>SUM(I3352:I3355)</f>
        <v>5148</v>
      </c>
      <c r="J3356" s="51"/>
    </row>
    <row r="3357" spans="2:10" x14ac:dyDescent="0.15">
      <c r="B3357" s="15" t="s">
        <v>157</v>
      </c>
      <c r="C3357" s="13">
        <v>100</v>
      </c>
      <c r="D3357" s="14">
        <f t="shared" ref="D3357:D3371" si="293">SUM(C3357:C3357)</f>
        <v>100</v>
      </c>
      <c r="E3357" s="12">
        <v>45092</v>
      </c>
      <c r="G3357" s="15" t="s">
        <v>968</v>
      </c>
      <c r="H3357" s="13">
        <v>400</v>
      </c>
      <c r="I3357" s="11">
        <f>SUM(H3357:H3357)</f>
        <v>400</v>
      </c>
      <c r="J3357" s="12">
        <v>45091</v>
      </c>
    </row>
    <row r="3358" spans="2:10" x14ac:dyDescent="0.15">
      <c r="B3358" s="69" t="s">
        <v>189</v>
      </c>
      <c r="C3358" s="13">
        <v>3</v>
      </c>
      <c r="D3358" s="14">
        <f t="shared" si="293"/>
        <v>3</v>
      </c>
      <c r="E3358" s="12">
        <v>45092</v>
      </c>
      <c r="G3358" s="15" t="s">
        <v>971</v>
      </c>
      <c r="H3358" s="13">
        <v>200</v>
      </c>
      <c r="I3358" s="14">
        <f>SUM(H3358:H3358)</f>
        <v>200</v>
      </c>
      <c r="J3358" s="12">
        <v>45100</v>
      </c>
    </row>
    <row r="3359" spans="2:10" x14ac:dyDescent="0.15">
      <c r="B3359" s="69" t="s">
        <v>189</v>
      </c>
      <c r="C3359" s="13">
        <v>3</v>
      </c>
      <c r="D3359" s="14">
        <f t="shared" si="293"/>
        <v>3</v>
      </c>
      <c r="E3359" s="12">
        <v>45096</v>
      </c>
      <c r="G3359" s="15" t="s">
        <v>972</v>
      </c>
      <c r="H3359" s="13">
        <v>200</v>
      </c>
      <c r="I3359" s="14">
        <f t="shared" ref="I3359:I3381" si="294">SUM(H3359:H3359)</f>
        <v>200</v>
      </c>
      <c r="J3359" s="12">
        <v>45100</v>
      </c>
    </row>
    <row r="3360" spans="2:10" x14ac:dyDescent="0.15">
      <c r="B3360" s="69" t="s">
        <v>189</v>
      </c>
      <c r="C3360" s="13">
        <v>1</v>
      </c>
      <c r="D3360" s="14">
        <f t="shared" si="293"/>
        <v>1</v>
      </c>
      <c r="E3360" s="12">
        <v>45099</v>
      </c>
      <c r="G3360" s="15" t="s">
        <v>973</v>
      </c>
      <c r="H3360" s="13">
        <v>400</v>
      </c>
      <c r="I3360" s="14">
        <f t="shared" si="294"/>
        <v>400</v>
      </c>
      <c r="J3360" s="12">
        <v>45107</v>
      </c>
    </row>
    <row r="3361" spans="2:10" x14ac:dyDescent="0.15">
      <c r="B3361" s="69" t="s">
        <v>189</v>
      </c>
      <c r="C3361" s="13">
        <v>2</v>
      </c>
      <c r="D3361" s="14">
        <f t="shared" si="293"/>
        <v>2</v>
      </c>
      <c r="E3361" s="12">
        <v>45103</v>
      </c>
      <c r="G3361" s="15" t="s">
        <v>974</v>
      </c>
      <c r="H3361" s="13">
        <v>200</v>
      </c>
      <c r="I3361" s="14">
        <f t="shared" si="294"/>
        <v>200</v>
      </c>
      <c r="J3361" s="12">
        <v>45107</v>
      </c>
    </row>
    <row r="3362" spans="2:10" x14ac:dyDescent="0.15">
      <c r="B3362" s="69" t="s">
        <v>189</v>
      </c>
      <c r="C3362" s="13">
        <v>2</v>
      </c>
      <c r="D3362" s="14">
        <f t="shared" si="293"/>
        <v>2</v>
      </c>
      <c r="E3362" s="12">
        <v>45104</v>
      </c>
      <c r="G3362" s="15" t="s">
        <v>162</v>
      </c>
      <c r="H3362" s="13">
        <v>800</v>
      </c>
      <c r="I3362" s="14">
        <f t="shared" si="294"/>
        <v>800</v>
      </c>
      <c r="J3362" s="12">
        <v>45106</v>
      </c>
    </row>
    <row r="3363" spans="2:10" x14ac:dyDescent="0.15">
      <c r="B3363" s="69" t="s">
        <v>189</v>
      </c>
      <c r="C3363" s="13">
        <v>3</v>
      </c>
      <c r="D3363" s="14">
        <f t="shared" si="293"/>
        <v>3</v>
      </c>
      <c r="E3363" s="12">
        <v>45105</v>
      </c>
      <c r="G3363" s="15" t="s">
        <v>976</v>
      </c>
      <c r="H3363" s="13">
        <v>400</v>
      </c>
      <c r="I3363" s="14">
        <f t="shared" si="294"/>
        <v>400</v>
      </c>
      <c r="J3363" s="12">
        <v>45108</v>
      </c>
    </row>
    <row r="3364" spans="2:10" x14ac:dyDescent="0.15">
      <c r="B3364" s="15" t="s">
        <v>901</v>
      </c>
      <c r="C3364" s="13">
        <v>100</v>
      </c>
      <c r="D3364" s="14">
        <f t="shared" si="293"/>
        <v>100</v>
      </c>
      <c r="E3364" s="12">
        <v>45107</v>
      </c>
      <c r="G3364" s="15" t="s">
        <v>977</v>
      </c>
      <c r="H3364" s="13">
        <v>200</v>
      </c>
      <c r="I3364" s="14">
        <f t="shared" si="294"/>
        <v>200</v>
      </c>
      <c r="J3364" s="12">
        <v>45108</v>
      </c>
    </row>
    <row r="3365" spans="2:10" x14ac:dyDescent="0.15">
      <c r="B3365" s="69" t="s">
        <v>189</v>
      </c>
      <c r="C3365" s="13">
        <v>1</v>
      </c>
      <c r="D3365" s="14">
        <f t="shared" si="293"/>
        <v>1</v>
      </c>
      <c r="E3365" s="12">
        <v>45106</v>
      </c>
      <c r="G3365" s="15" t="s">
        <v>981</v>
      </c>
      <c r="H3365" s="13">
        <v>200</v>
      </c>
      <c r="I3365" s="14">
        <f t="shared" si="294"/>
        <v>200</v>
      </c>
      <c r="J3365" s="12">
        <v>45114</v>
      </c>
    </row>
    <row r="3366" spans="2:10" x14ac:dyDescent="0.15">
      <c r="B3366" s="69" t="s">
        <v>189</v>
      </c>
      <c r="C3366" s="13">
        <v>3</v>
      </c>
      <c r="D3366" s="14">
        <f t="shared" si="293"/>
        <v>3</v>
      </c>
      <c r="E3366" s="12">
        <v>45110</v>
      </c>
      <c r="G3366" s="15"/>
      <c r="H3366" s="13"/>
      <c r="I3366" s="14">
        <f t="shared" si="294"/>
        <v>0</v>
      </c>
      <c r="J3366" s="12"/>
    </row>
    <row r="3367" spans="2:10" x14ac:dyDescent="0.15">
      <c r="B3367" s="69" t="s">
        <v>189</v>
      </c>
      <c r="C3367" s="13">
        <v>1</v>
      </c>
      <c r="D3367" s="14">
        <f t="shared" si="293"/>
        <v>1</v>
      </c>
      <c r="E3367" s="12">
        <v>45113</v>
      </c>
      <c r="G3367" s="15"/>
      <c r="H3367" s="13"/>
      <c r="I3367" s="14">
        <f t="shared" si="294"/>
        <v>0</v>
      </c>
      <c r="J3367" s="5"/>
    </row>
    <row r="3368" spans="2:10" x14ac:dyDescent="0.15">
      <c r="B3368" s="69" t="s">
        <v>189</v>
      </c>
      <c r="C3368" s="13">
        <v>1</v>
      </c>
      <c r="D3368" s="14">
        <f t="shared" si="293"/>
        <v>1</v>
      </c>
      <c r="E3368" s="12">
        <v>45114</v>
      </c>
      <c r="G3368" s="15"/>
      <c r="H3368" s="7"/>
      <c r="I3368" s="14">
        <f t="shared" si="294"/>
        <v>0</v>
      </c>
      <c r="J3368" s="12"/>
    </row>
    <row r="3369" spans="2:10" x14ac:dyDescent="0.15">
      <c r="B3369" s="69" t="s">
        <v>189</v>
      </c>
      <c r="C3369" s="13">
        <v>1</v>
      </c>
      <c r="D3369" s="14">
        <f t="shared" si="293"/>
        <v>1</v>
      </c>
      <c r="E3369" s="12">
        <v>45117</v>
      </c>
      <c r="G3369" s="15"/>
      <c r="H3369" s="7"/>
      <c r="I3369" s="14">
        <f t="shared" si="294"/>
        <v>0</v>
      </c>
      <c r="J3369" s="12"/>
    </row>
    <row r="3370" spans="2:10" x14ac:dyDescent="0.15">
      <c r="B3370" s="69" t="s">
        <v>189</v>
      </c>
      <c r="C3370" s="13">
        <v>1</v>
      </c>
      <c r="D3370" s="14">
        <f t="shared" si="293"/>
        <v>1</v>
      </c>
      <c r="E3370" s="12">
        <v>45118</v>
      </c>
      <c r="G3370" s="15"/>
      <c r="H3370" s="7"/>
      <c r="I3370" s="14">
        <f t="shared" si="294"/>
        <v>0</v>
      </c>
      <c r="J3370" s="5"/>
    </row>
    <row r="3371" spans="2:10" x14ac:dyDescent="0.15">
      <c r="B3371" s="69"/>
      <c r="C3371" s="13"/>
      <c r="D3371" s="14">
        <f t="shared" si="293"/>
        <v>0</v>
      </c>
      <c r="E3371" s="12"/>
      <c r="G3371" s="15"/>
      <c r="H3371" s="7"/>
      <c r="I3371" s="14">
        <f t="shared" si="294"/>
        <v>0</v>
      </c>
      <c r="J3371" s="12"/>
    </row>
    <row r="3372" spans="2:10" x14ac:dyDescent="0.15">
      <c r="B3372" s="69"/>
      <c r="C3372" s="13"/>
      <c r="D3372" s="14">
        <f>SUM(C3372:C3372)</f>
        <v>0</v>
      </c>
      <c r="E3372" s="12"/>
      <c r="G3372" s="15"/>
      <c r="H3372" s="7"/>
      <c r="I3372" s="14">
        <f t="shared" si="294"/>
        <v>0</v>
      </c>
      <c r="J3372" s="12"/>
    </row>
    <row r="3373" spans="2:10" x14ac:dyDescent="0.15">
      <c r="B3373" s="69"/>
      <c r="C3373" s="13"/>
      <c r="D3373" s="14">
        <f t="shared" ref="D3373:D3381" si="295">SUM(C3373:C3373)</f>
        <v>0</v>
      </c>
      <c r="E3373" s="12"/>
      <c r="G3373" s="15"/>
      <c r="H3373" s="7"/>
      <c r="I3373" s="14">
        <f t="shared" si="294"/>
        <v>0</v>
      </c>
      <c r="J3373" s="67"/>
    </row>
    <row r="3374" spans="2:10" x14ac:dyDescent="0.15">
      <c r="B3374" s="69"/>
      <c r="C3374" s="13"/>
      <c r="D3374" s="14">
        <f t="shared" si="295"/>
        <v>0</v>
      </c>
      <c r="E3374" s="12"/>
      <c r="G3374" s="15"/>
      <c r="H3374" s="7"/>
      <c r="I3374" s="14">
        <f t="shared" si="294"/>
        <v>0</v>
      </c>
      <c r="J3374" s="67"/>
    </row>
    <row r="3375" spans="2:10" x14ac:dyDescent="0.15">
      <c r="B3375" s="69"/>
      <c r="C3375" s="13"/>
      <c r="D3375" s="14">
        <f t="shared" si="295"/>
        <v>0</v>
      </c>
      <c r="E3375" s="12"/>
      <c r="G3375" s="15"/>
      <c r="H3375" s="7"/>
      <c r="I3375" s="14">
        <f t="shared" si="294"/>
        <v>0</v>
      </c>
      <c r="J3375" s="67"/>
    </row>
    <row r="3376" spans="2:10" x14ac:dyDescent="0.15">
      <c r="B3376" s="69"/>
      <c r="C3376" s="13"/>
      <c r="D3376" s="14">
        <f t="shared" si="295"/>
        <v>0</v>
      </c>
      <c r="E3376" s="5"/>
      <c r="G3376" s="15"/>
      <c r="H3376" s="7"/>
      <c r="I3376" s="14">
        <f t="shared" si="294"/>
        <v>0</v>
      </c>
      <c r="J3376" s="67"/>
    </row>
    <row r="3377" spans="2:10" x14ac:dyDescent="0.15">
      <c r="B3377" s="69"/>
      <c r="C3377" s="13"/>
      <c r="D3377" s="14">
        <f t="shared" si="295"/>
        <v>0</v>
      </c>
      <c r="E3377" s="5"/>
      <c r="G3377" s="15"/>
      <c r="H3377" s="7"/>
      <c r="I3377" s="14">
        <f t="shared" si="294"/>
        <v>0</v>
      </c>
      <c r="J3377" s="67"/>
    </row>
    <row r="3378" spans="2:10" x14ac:dyDescent="0.15">
      <c r="B3378" s="69"/>
      <c r="C3378" s="13"/>
      <c r="D3378" s="14">
        <f t="shared" si="295"/>
        <v>0</v>
      </c>
      <c r="E3378" s="5"/>
      <c r="G3378" s="15"/>
      <c r="H3378" s="7"/>
      <c r="I3378" s="14">
        <f t="shared" si="294"/>
        <v>0</v>
      </c>
      <c r="J3378" s="67"/>
    </row>
    <row r="3379" spans="2:10" x14ac:dyDescent="0.15">
      <c r="B3379" s="69"/>
      <c r="C3379" s="13"/>
      <c r="D3379" s="14">
        <f t="shared" si="295"/>
        <v>0</v>
      </c>
      <c r="E3379" s="5"/>
      <c r="G3379" s="4" t="s">
        <v>936</v>
      </c>
      <c r="H3379" s="184"/>
      <c r="I3379" s="185">
        <f t="shared" si="294"/>
        <v>0</v>
      </c>
      <c r="J3379" s="186"/>
    </row>
    <row r="3380" spans="2:10" ht="14.25" thickBot="1" x14ac:dyDescent="0.2">
      <c r="B3380" s="15"/>
      <c r="C3380" s="7"/>
      <c r="D3380" s="14">
        <f t="shared" si="295"/>
        <v>0</v>
      </c>
      <c r="E3380" s="67"/>
      <c r="G3380" s="15" t="s">
        <v>935</v>
      </c>
      <c r="H3380" s="7"/>
      <c r="I3380" s="14">
        <f t="shared" si="294"/>
        <v>0</v>
      </c>
      <c r="J3380" s="67" t="s">
        <v>937</v>
      </c>
    </row>
    <row r="3381" spans="2:10" ht="14.25" thickBot="1" x14ac:dyDescent="0.2">
      <c r="B3381" s="17" t="s">
        <v>2</v>
      </c>
      <c r="C3381" s="18">
        <f>SUM(C3357:C3380)</f>
        <v>222</v>
      </c>
      <c r="D3381" s="19">
        <f t="shared" si="295"/>
        <v>222</v>
      </c>
      <c r="E3381" s="20"/>
      <c r="G3381" s="17" t="s">
        <v>2</v>
      </c>
      <c r="H3381" s="18">
        <f>SUM(H3357:H3380)</f>
        <v>3000</v>
      </c>
      <c r="I3381" s="19">
        <f t="shared" si="294"/>
        <v>3000</v>
      </c>
      <c r="J3381" s="20"/>
    </row>
    <row r="3382" spans="2:10" ht="14.25" thickBot="1" x14ac:dyDescent="0.2">
      <c r="B3382" s="46" t="s">
        <v>3</v>
      </c>
      <c r="C3382" s="52">
        <f>C3356-C3381</f>
        <v>331</v>
      </c>
      <c r="D3382" s="48">
        <f>D3356-D3381</f>
        <v>331</v>
      </c>
      <c r="E3382" s="49"/>
      <c r="G3382" s="46" t="s">
        <v>3</v>
      </c>
      <c r="H3382" s="52">
        <f>H3356-H3381</f>
        <v>2148</v>
      </c>
      <c r="I3382" s="48">
        <f>I3356-I3381</f>
        <v>2148</v>
      </c>
      <c r="J3382" s="49"/>
    </row>
    <row r="3385" spans="2:10" ht="18.75" x14ac:dyDescent="0.2">
      <c r="B3385" s="26" t="s">
        <v>7</v>
      </c>
      <c r="G3385" s="26" t="s">
        <v>35</v>
      </c>
    </row>
    <row r="3386" spans="2:10" ht="14.25" thickBot="1" x14ac:dyDescent="0.2"/>
    <row r="3387" spans="2:10" ht="14.25" thickBot="1" x14ac:dyDescent="0.2">
      <c r="B3387" s="1"/>
      <c r="C3387" s="1"/>
      <c r="D3387" s="53" t="s">
        <v>0</v>
      </c>
      <c r="E3387" s="1" t="s">
        <v>4</v>
      </c>
      <c r="G3387" s="1"/>
      <c r="H3387" s="1"/>
      <c r="I3387" s="53" t="s">
        <v>0</v>
      </c>
      <c r="J3387" s="1" t="s">
        <v>4</v>
      </c>
    </row>
    <row r="3388" spans="2:10" x14ac:dyDescent="0.15">
      <c r="B3388" s="42" t="s">
        <v>5</v>
      </c>
      <c r="C3388" s="43">
        <f>C3382</f>
        <v>331</v>
      </c>
      <c r="D3388" s="44">
        <f>SUM(C3388:C3388)</f>
        <v>331</v>
      </c>
      <c r="E3388" s="45"/>
      <c r="G3388" s="42" t="s">
        <v>5</v>
      </c>
      <c r="H3388" s="43">
        <f>H3382</f>
        <v>2148</v>
      </c>
      <c r="I3388" s="44">
        <f>SUM(H3388:H3388)</f>
        <v>2148</v>
      </c>
      <c r="J3388" s="45"/>
    </row>
    <row r="3389" spans="2:10" x14ac:dyDescent="0.15">
      <c r="B3389" s="4" t="s">
        <v>843</v>
      </c>
      <c r="C3389" s="13">
        <v>0</v>
      </c>
      <c r="D3389" s="14">
        <f t="shared" ref="D3389:D3391" si="296">SUM(C3389:C3389)</f>
        <v>0</v>
      </c>
      <c r="E3389" s="12">
        <v>45142</v>
      </c>
      <c r="G3389" s="6" t="s">
        <v>6</v>
      </c>
      <c r="H3389" s="13"/>
      <c r="I3389" s="14">
        <f>SUM(H3389:H3389)</f>
        <v>0</v>
      </c>
      <c r="J3389" s="169"/>
    </row>
    <row r="3390" spans="2:10" x14ac:dyDescent="0.15">
      <c r="B3390" s="4" t="s">
        <v>6</v>
      </c>
      <c r="C3390" s="13"/>
      <c r="D3390" s="14">
        <f t="shared" ref="D3390" si="297">SUM(C3390:C3390)</f>
        <v>0</v>
      </c>
      <c r="E3390" s="12"/>
      <c r="G3390" s="4" t="s">
        <v>6</v>
      </c>
      <c r="H3390" s="93">
        <v>3000</v>
      </c>
      <c r="I3390" s="14">
        <f>SUM(H3390:H3390)</f>
        <v>3000</v>
      </c>
      <c r="J3390" s="169" t="s">
        <v>979</v>
      </c>
    </row>
    <row r="3391" spans="2:10" ht="14.25" thickBot="1" x14ac:dyDescent="0.2">
      <c r="B3391" s="92" t="s">
        <v>6</v>
      </c>
      <c r="C3391" s="13"/>
      <c r="D3391" s="14">
        <f t="shared" si="296"/>
        <v>0</v>
      </c>
      <c r="E3391" s="12"/>
      <c r="G3391" s="92" t="s">
        <v>6</v>
      </c>
      <c r="H3391" s="170">
        <v>500</v>
      </c>
      <c r="I3391" s="73">
        <f>SUM(H3391:H3391)</f>
        <v>500</v>
      </c>
      <c r="J3391" s="169" t="s">
        <v>980</v>
      </c>
    </row>
    <row r="3392" spans="2:10" ht="14.25" thickBot="1" x14ac:dyDescent="0.2">
      <c r="B3392" s="46" t="s">
        <v>1</v>
      </c>
      <c r="C3392" s="48">
        <f>SUM(C3388:C3391)</f>
        <v>331</v>
      </c>
      <c r="D3392" s="48">
        <f>SUM(D3388:D3391)</f>
        <v>331</v>
      </c>
      <c r="E3392" s="51"/>
      <c r="G3392" s="46" t="s">
        <v>1</v>
      </c>
      <c r="H3392" s="50">
        <f>SUM(H3388:H3391)</f>
        <v>5648</v>
      </c>
      <c r="I3392" s="48">
        <f>SUM(I3388:I3391)</f>
        <v>5648</v>
      </c>
      <c r="J3392" s="51"/>
    </row>
    <row r="3393" spans="2:10" x14ac:dyDescent="0.15">
      <c r="B3393" s="69" t="s">
        <v>189</v>
      </c>
      <c r="C3393" s="13">
        <v>15</v>
      </c>
      <c r="D3393" s="14">
        <f t="shared" ref="D3393:D3407" si="298">SUM(C3393:C3393)</f>
        <v>15</v>
      </c>
      <c r="E3393" s="12">
        <v>45125</v>
      </c>
      <c r="G3393" s="15" t="s">
        <v>978</v>
      </c>
      <c r="H3393" s="13">
        <v>200</v>
      </c>
      <c r="I3393" s="11">
        <f>SUM(H3393:H3393)</f>
        <v>200</v>
      </c>
      <c r="J3393" s="12">
        <v>45113</v>
      </c>
    </row>
    <row r="3394" spans="2:10" x14ac:dyDescent="0.15">
      <c r="B3394" s="69" t="s">
        <v>985</v>
      </c>
      <c r="C3394" s="13">
        <v>1</v>
      </c>
      <c r="D3394" s="14">
        <f t="shared" si="298"/>
        <v>1</v>
      </c>
      <c r="E3394" s="12">
        <v>45127</v>
      </c>
      <c r="G3394" s="15" t="s">
        <v>982</v>
      </c>
      <c r="H3394" s="13">
        <v>200</v>
      </c>
      <c r="I3394" s="14">
        <f>SUM(H3394:H3394)</f>
        <v>200</v>
      </c>
      <c r="J3394" s="12">
        <v>45128</v>
      </c>
    </row>
    <row r="3395" spans="2:10" x14ac:dyDescent="0.15">
      <c r="B3395" s="69" t="s">
        <v>189</v>
      </c>
      <c r="C3395" s="13">
        <v>1</v>
      </c>
      <c r="D3395" s="14">
        <f t="shared" si="298"/>
        <v>1</v>
      </c>
      <c r="E3395" s="12">
        <v>45126</v>
      </c>
      <c r="G3395" s="15" t="s">
        <v>983</v>
      </c>
      <c r="H3395" s="13">
        <v>200</v>
      </c>
      <c r="I3395" s="14">
        <f t="shared" ref="I3395:I3417" si="299">SUM(H3395:H3395)</f>
        <v>200</v>
      </c>
      <c r="J3395" s="12">
        <v>45128</v>
      </c>
    </row>
    <row r="3396" spans="2:10" x14ac:dyDescent="0.15">
      <c r="B3396" s="69" t="s">
        <v>18</v>
      </c>
      <c r="C3396" s="13">
        <v>40</v>
      </c>
      <c r="D3396" s="14">
        <f t="shared" si="298"/>
        <v>40</v>
      </c>
      <c r="E3396" s="12">
        <v>45128</v>
      </c>
      <c r="G3396" s="15" t="s">
        <v>984</v>
      </c>
      <c r="H3396" s="13">
        <v>400</v>
      </c>
      <c r="I3396" s="14">
        <f t="shared" si="299"/>
        <v>400</v>
      </c>
      <c r="J3396" s="12">
        <v>45127</v>
      </c>
    </row>
    <row r="3397" spans="2:10" x14ac:dyDescent="0.15">
      <c r="B3397" s="69" t="s">
        <v>189</v>
      </c>
      <c r="C3397" s="13">
        <v>2</v>
      </c>
      <c r="D3397" s="14">
        <f t="shared" si="298"/>
        <v>2</v>
      </c>
      <c r="E3397" s="12">
        <v>45127</v>
      </c>
      <c r="G3397" s="15" t="s">
        <v>986</v>
      </c>
      <c r="H3397" s="13">
        <v>300</v>
      </c>
      <c r="I3397" s="14">
        <f t="shared" si="299"/>
        <v>300</v>
      </c>
      <c r="J3397" s="12">
        <v>45135</v>
      </c>
    </row>
    <row r="3398" spans="2:10" x14ac:dyDescent="0.15">
      <c r="B3398" s="69" t="s">
        <v>189</v>
      </c>
      <c r="C3398" s="13">
        <v>1</v>
      </c>
      <c r="D3398" s="14">
        <f t="shared" si="298"/>
        <v>1</v>
      </c>
      <c r="E3398" s="12">
        <v>45131</v>
      </c>
      <c r="G3398" s="15" t="s">
        <v>987</v>
      </c>
      <c r="H3398" s="13">
        <v>200</v>
      </c>
      <c r="I3398" s="14">
        <f t="shared" si="299"/>
        <v>200</v>
      </c>
      <c r="J3398" s="12">
        <v>45136</v>
      </c>
    </row>
    <row r="3399" spans="2:10" x14ac:dyDescent="0.15">
      <c r="B3399" s="69" t="s">
        <v>18</v>
      </c>
      <c r="C3399" s="13">
        <v>4</v>
      </c>
      <c r="D3399" s="14">
        <f t="shared" si="298"/>
        <v>4</v>
      </c>
      <c r="E3399" s="12">
        <v>45133</v>
      </c>
      <c r="G3399" s="15" t="s">
        <v>989</v>
      </c>
      <c r="H3399" s="13">
        <v>400</v>
      </c>
      <c r="I3399" s="14">
        <f t="shared" si="299"/>
        <v>400</v>
      </c>
      <c r="J3399" s="12">
        <v>45142</v>
      </c>
    </row>
    <row r="3400" spans="2:10" x14ac:dyDescent="0.15">
      <c r="B3400" s="69" t="s">
        <v>189</v>
      </c>
      <c r="C3400" s="13">
        <v>2</v>
      </c>
      <c r="D3400" s="14">
        <f t="shared" si="298"/>
        <v>2</v>
      </c>
      <c r="E3400" s="12">
        <v>45132</v>
      </c>
      <c r="G3400" s="15"/>
      <c r="H3400" s="13"/>
      <c r="I3400" s="14">
        <f t="shared" si="299"/>
        <v>0</v>
      </c>
      <c r="J3400" s="12"/>
    </row>
    <row r="3401" spans="2:10" x14ac:dyDescent="0.15">
      <c r="B3401" s="69" t="s">
        <v>18</v>
      </c>
      <c r="C3401" s="13">
        <v>9</v>
      </c>
      <c r="D3401" s="14">
        <f t="shared" si="298"/>
        <v>9</v>
      </c>
      <c r="E3401" s="12">
        <v>45134</v>
      </c>
      <c r="G3401" s="15"/>
      <c r="H3401" s="13"/>
      <c r="I3401" s="14">
        <f t="shared" si="299"/>
        <v>0</v>
      </c>
      <c r="J3401" s="12"/>
    </row>
    <row r="3402" spans="2:10" x14ac:dyDescent="0.15">
      <c r="B3402" s="69" t="s">
        <v>18</v>
      </c>
      <c r="C3402" s="13">
        <v>30</v>
      </c>
      <c r="D3402" s="14">
        <f t="shared" si="298"/>
        <v>30</v>
      </c>
      <c r="E3402" s="12">
        <v>45135</v>
      </c>
      <c r="G3402" s="15"/>
      <c r="H3402" s="13"/>
      <c r="I3402" s="14">
        <f t="shared" si="299"/>
        <v>0</v>
      </c>
      <c r="J3402" s="12"/>
    </row>
    <row r="3403" spans="2:10" x14ac:dyDescent="0.15">
      <c r="B3403" s="69" t="s">
        <v>189</v>
      </c>
      <c r="C3403" s="13">
        <v>1</v>
      </c>
      <c r="D3403" s="14">
        <f t="shared" si="298"/>
        <v>1</v>
      </c>
      <c r="E3403" s="12">
        <v>45134</v>
      </c>
      <c r="G3403" s="15"/>
      <c r="H3403" s="13"/>
      <c r="I3403" s="14">
        <f t="shared" si="299"/>
        <v>0</v>
      </c>
      <c r="J3403" s="5"/>
    </row>
    <row r="3404" spans="2:10" x14ac:dyDescent="0.15">
      <c r="B3404" s="69" t="s">
        <v>18</v>
      </c>
      <c r="C3404" s="13">
        <v>11</v>
      </c>
      <c r="D3404" s="14">
        <f t="shared" si="298"/>
        <v>11</v>
      </c>
      <c r="E3404" s="12">
        <v>45138</v>
      </c>
      <c r="G3404" s="15"/>
      <c r="H3404" s="7"/>
      <c r="I3404" s="14">
        <f t="shared" si="299"/>
        <v>0</v>
      </c>
      <c r="J3404" s="12"/>
    </row>
    <row r="3405" spans="2:10" x14ac:dyDescent="0.15">
      <c r="B3405" s="69" t="s">
        <v>189</v>
      </c>
      <c r="C3405" s="13">
        <v>2</v>
      </c>
      <c r="D3405" s="14">
        <f t="shared" si="298"/>
        <v>2</v>
      </c>
      <c r="E3405" s="12">
        <v>45135</v>
      </c>
      <c r="G3405" s="15"/>
      <c r="H3405" s="7"/>
      <c r="I3405" s="14">
        <f t="shared" si="299"/>
        <v>0</v>
      </c>
      <c r="J3405" s="12"/>
    </row>
    <row r="3406" spans="2:10" x14ac:dyDescent="0.15">
      <c r="B3406" s="69" t="s">
        <v>18</v>
      </c>
      <c r="C3406" s="13">
        <v>5</v>
      </c>
      <c r="D3406" s="14">
        <f t="shared" si="298"/>
        <v>5</v>
      </c>
      <c r="E3406" s="12">
        <v>45139</v>
      </c>
      <c r="G3406" s="15"/>
      <c r="H3406" s="7"/>
      <c r="I3406" s="14">
        <f t="shared" si="299"/>
        <v>0</v>
      </c>
      <c r="J3406" s="5"/>
    </row>
    <row r="3407" spans="2:10" x14ac:dyDescent="0.15">
      <c r="B3407" s="69" t="s">
        <v>189</v>
      </c>
      <c r="C3407" s="13">
        <v>3</v>
      </c>
      <c r="D3407" s="14">
        <f t="shared" si="298"/>
        <v>3</v>
      </c>
      <c r="E3407" s="12">
        <v>45138</v>
      </c>
      <c r="G3407" s="15"/>
      <c r="H3407" s="7"/>
      <c r="I3407" s="14">
        <f t="shared" si="299"/>
        <v>0</v>
      </c>
      <c r="J3407" s="12"/>
    </row>
    <row r="3408" spans="2:10" x14ac:dyDescent="0.15">
      <c r="B3408" s="69" t="s">
        <v>18</v>
      </c>
      <c r="C3408" s="13">
        <v>10</v>
      </c>
      <c r="D3408" s="14">
        <f>SUM(C3408:C3408)</f>
        <v>10</v>
      </c>
      <c r="E3408" s="12">
        <v>45140</v>
      </c>
      <c r="G3408" s="15"/>
      <c r="H3408" s="7"/>
      <c r="I3408" s="14">
        <f t="shared" si="299"/>
        <v>0</v>
      </c>
      <c r="J3408" s="12"/>
    </row>
    <row r="3409" spans="2:11" x14ac:dyDescent="0.15">
      <c r="B3409" s="69" t="s">
        <v>18</v>
      </c>
      <c r="C3409" s="13">
        <v>18</v>
      </c>
      <c r="D3409" s="14">
        <f t="shared" ref="D3409:D3417" si="300">SUM(C3409:C3409)</f>
        <v>18</v>
      </c>
      <c r="E3409" s="12">
        <v>45141</v>
      </c>
      <c r="G3409" s="15"/>
      <c r="H3409" s="7"/>
      <c r="I3409" s="14">
        <f t="shared" si="299"/>
        <v>0</v>
      </c>
      <c r="J3409" s="67"/>
    </row>
    <row r="3410" spans="2:11" x14ac:dyDescent="0.15">
      <c r="B3410" s="69" t="s">
        <v>189</v>
      </c>
      <c r="C3410" s="13">
        <v>1</v>
      </c>
      <c r="D3410" s="14">
        <f t="shared" si="300"/>
        <v>1</v>
      </c>
      <c r="E3410" s="12">
        <v>45140</v>
      </c>
      <c r="G3410" s="15" t="s">
        <v>969</v>
      </c>
      <c r="H3410" s="7"/>
      <c r="I3410" s="14">
        <f t="shared" si="299"/>
        <v>0</v>
      </c>
      <c r="J3410" s="67" t="s">
        <v>970</v>
      </c>
    </row>
    <row r="3411" spans="2:11" x14ac:dyDescent="0.15">
      <c r="B3411" s="69" t="s">
        <v>18</v>
      </c>
      <c r="C3411" s="13">
        <v>3</v>
      </c>
      <c r="D3411" s="14">
        <f t="shared" si="300"/>
        <v>3</v>
      </c>
      <c r="E3411" s="12">
        <v>45142</v>
      </c>
      <c r="G3411" s="4" t="s">
        <v>955</v>
      </c>
      <c r="H3411" s="184"/>
      <c r="I3411" s="185">
        <f t="shared" ref="I3411:I3414" si="301">SUM(H3411:H3411)</f>
        <v>0</v>
      </c>
      <c r="J3411" s="186"/>
    </row>
    <row r="3412" spans="2:11" x14ac:dyDescent="0.15">
      <c r="B3412" s="69" t="s">
        <v>18</v>
      </c>
      <c r="C3412" s="13">
        <v>2</v>
      </c>
      <c r="D3412" s="14">
        <f t="shared" si="300"/>
        <v>2</v>
      </c>
      <c r="E3412" s="5">
        <v>45145</v>
      </c>
      <c r="G3412" s="15" t="s">
        <v>879</v>
      </c>
      <c r="H3412" s="7"/>
      <c r="I3412" s="14">
        <f t="shared" si="301"/>
        <v>0</v>
      </c>
      <c r="J3412" s="67" t="s">
        <v>954</v>
      </c>
    </row>
    <row r="3413" spans="2:11" x14ac:dyDescent="0.15">
      <c r="B3413" s="69" t="s">
        <v>189</v>
      </c>
      <c r="C3413" s="13">
        <v>1</v>
      </c>
      <c r="D3413" s="14">
        <f t="shared" si="300"/>
        <v>1</v>
      </c>
      <c r="E3413" s="5">
        <v>45143</v>
      </c>
      <c r="G3413" s="15" t="s">
        <v>963</v>
      </c>
      <c r="H3413" s="184"/>
      <c r="I3413" s="185">
        <f t="shared" si="301"/>
        <v>0</v>
      </c>
      <c r="J3413" s="186"/>
    </row>
    <row r="3414" spans="2:11" x14ac:dyDescent="0.15">
      <c r="B3414" s="69" t="s">
        <v>18</v>
      </c>
      <c r="C3414" s="13">
        <v>13</v>
      </c>
      <c r="D3414" s="14">
        <f t="shared" si="300"/>
        <v>13</v>
      </c>
      <c r="E3414" s="5">
        <v>45146</v>
      </c>
      <c r="G3414" s="15" t="s">
        <v>950</v>
      </c>
      <c r="H3414" s="7"/>
      <c r="I3414" s="14">
        <f t="shared" si="301"/>
        <v>0</v>
      </c>
      <c r="J3414" s="67" t="s">
        <v>964</v>
      </c>
    </row>
    <row r="3415" spans="2:11" x14ac:dyDescent="0.15">
      <c r="B3415" s="69" t="s">
        <v>189</v>
      </c>
      <c r="C3415" s="13">
        <v>1</v>
      </c>
      <c r="D3415" s="14">
        <f t="shared" si="300"/>
        <v>1</v>
      </c>
      <c r="E3415" s="5">
        <v>45145</v>
      </c>
      <c r="G3415" s="4" t="s">
        <v>942</v>
      </c>
      <c r="H3415" s="184"/>
      <c r="I3415" s="185">
        <f t="shared" si="299"/>
        <v>0</v>
      </c>
      <c r="J3415" s="186"/>
    </row>
    <row r="3416" spans="2:11" ht="14.25" thickBot="1" x14ac:dyDescent="0.2">
      <c r="B3416" s="69" t="s">
        <v>18</v>
      </c>
      <c r="C3416" s="7">
        <v>3</v>
      </c>
      <c r="D3416" s="14">
        <f t="shared" si="300"/>
        <v>3</v>
      </c>
      <c r="E3416" s="5">
        <v>45147</v>
      </c>
      <c r="G3416" s="15" t="s">
        <v>943</v>
      </c>
      <c r="H3416" s="7"/>
      <c r="I3416" s="14">
        <f t="shared" si="299"/>
        <v>0</v>
      </c>
      <c r="J3416" s="67" t="s">
        <v>944</v>
      </c>
      <c r="K3416" s="86"/>
    </row>
    <row r="3417" spans="2:11" ht="14.25" thickBot="1" x14ac:dyDescent="0.2">
      <c r="B3417" s="17" t="s">
        <v>2</v>
      </c>
      <c r="C3417" s="18">
        <f>SUM(C3393:C3416)</f>
        <v>179</v>
      </c>
      <c r="D3417" s="19">
        <f t="shared" si="300"/>
        <v>179</v>
      </c>
      <c r="E3417" s="20"/>
      <c r="G3417" s="17" t="s">
        <v>2</v>
      </c>
      <c r="H3417" s="18">
        <f>SUM(H3393:H3416)</f>
        <v>1900</v>
      </c>
      <c r="I3417" s="19">
        <f t="shared" si="299"/>
        <v>1900</v>
      </c>
      <c r="J3417" s="20"/>
    </row>
    <row r="3418" spans="2:11" ht="14.25" thickBot="1" x14ac:dyDescent="0.2">
      <c r="B3418" s="46" t="s">
        <v>3</v>
      </c>
      <c r="C3418" s="52">
        <f>C3392-C3417</f>
        <v>152</v>
      </c>
      <c r="D3418" s="48">
        <f>D3392-D3417</f>
        <v>152</v>
      </c>
      <c r="E3418" s="49"/>
      <c r="G3418" s="46" t="s">
        <v>3</v>
      </c>
      <c r="H3418" s="52">
        <f>H3392-H3417</f>
        <v>3748</v>
      </c>
      <c r="I3418" s="48">
        <f>I3392-I3417</f>
        <v>3748</v>
      </c>
      <c r="J3418" s="49"/>
    </row>
    <row r="3421" spans="2:11" ht="18.75" x14ac:dyDescent="0.2">
      <c r="B3421" s="26" t="s">
        <v>7</v>
      </c>
      <c r="G3421" s="26" t="s">
        <v>35</v>
      </c>
    </row>
    <row r="3422" spans="2:11" ht="14.25" thickBot="1" x14ac:dyDescent="0.2"/>
    <row r="3423" spans="2:11" ht="14.25" thickBot="1" x14ac:dyDescent="0.2">
      <c r="B3423" s="1"/>
      <c r="C3423" s="1"/>
      <c r="D3423" s="53" t="s">
        <v>0</v>
      </c>
      <c r="E3423" s="1" t="s">
        <v>4</v>
      </c>
      <c r="G3423" s="1"/>
      <c r="H3423" s="1"/>
      <c r="I3423" s="53" t="s">
        <v>0</v>
      </c>
      <c r="J3423" s="1" t="s">
        <v>4</v>
      </c>
    </row>
    <row r="3424" spans="2:11" x14ac:dyDescent="0.15">
      <c r="B3424" s="42" t="s">
        <v>5</v>
      </c>
      <c r="C3424" s="43">
        <f>C3418</f>
        <v>152</v>
      </c>
      <c r="D3424" s="44">
        <f>SUM(C3424:C3424)</f>
        <v>152</v>
      </c>
      <c r="E3424" s="45"/>
      <c r="G3424" s="42" t="s">
        <v>5</v>
      </c>
      <c r="H3424" s="43">
        <f>H3418</f>
        <v>3748</v>
      </c>
      <c r="I3424" s="44">
        <f>SUM(H3424:H3424)</f>
        <v>3748</v>
      </c>
      <c r="J3424" s="45"/>
    </row>
    <row r="3425" spans="2:11" x14ac:dyDescent="0.15">
      <c r="B3425" s="4" t="s">
        <v>76</v>
      </c>
      <c r="C3425" s="13">
        <f>4+1</f>
        <v>5</v>
      </c>
      <c r="D3425" s="14">
        <f t="shared" ref="D3425:D3426" si="302">SUM(C3425:C3425)</f>
        <v>5</v>
      </c>
      <c r="E3425" s="12">
        <v>45155</v>
      </c>
      <c r="G3425" s="6" t="s">
        <v>6</v>
      </c>
      <c r="H3425" s="13"/>
      <c r="I3425" s="14">
        <f>SUM(H3425:H3425)</f>
        <v>0</v>
      </c>
      <c r="J3425" s="169"/>
    </row>
    <row r="3426" spans="2:11" x14ac:dyDescent="0.15">
      <c r="B3426" s="4" t="s">
        <v>6</v>
      </c>
      <c r="C3426" s="13"/>
      <c r="D3426" s="14">
        <f t="shared" si="302"/>
        <v>0</v>
      </c>
      <c r="E3426" s="5"/>
      <c r="G3426" s="4" t="s">
        <v>6</v>
      </c>
      <c r="H3426" s="13"/>
      <c r="I3426" s="14">
        <f t="shared" ref="I3426:I3427" si="303">SUM(H3426:H3426)</f>
        <v>0</v>
      </c>
      <c r="J3426" s="189"/>
    </row>
    <row r="3427" spans="2:11" ht="14.25" thickBot="1" x14ac:dyDescent="0.2">
      <c r="B3427" s="92" t="s">
        <v>6</v>
      </c>
      <c r="C3427" s="77"/>
      <c r="D3427" s="11">
        <f t="shared" ref="D3427" si="304">SUM(C3427:C3427)</f>
        <v>0</v>
      </c>
      <c r="E3427" s="12"/>
      <c r="G3427" s="92" t="s">
        <v>6</v>
      </c>
      <c r="H3427" s="13"/>
      <c r="I3427" s="14">
        <f t="shared" si="303"/>
        <v>0</v>
      </c>
      <c r="J3427" s="169"/>
    </row>
    <row r="3428" spans="2:11" ht="14.25" thickBot="1" x14ac:dyDescent="0.2">
      <c r="B3428" s="46" t="s">
        <v>1</v>
      </c>
      <c r="C3428" s="48">
        <f>SUM(C3424:C3427)</f>
        <v>157</v>
      </c>
      <c r="D3428" s="48">
        <f>SUM(D3424:D3427)</f>
        <v>157</v>
      </c>
      <c r="E3428" s="51"/>
      <c r="G3428" s="46" t="s">
        <v>1</v>
      </c>
      <c r="H3428" s="50">
        <f>SUM(H3424:H3427)</f>
        <v>3748</v>
      </c>
      <c r="I3428" s="48">
        <f>SUM(I3424:I3427)</f>
        <v>3748</v>
      </c>
      <c r="J3428" s="51"/>
    </row>
    <row r="3429" spans="2:11" x14ac:dyDescent="0.15">
      <c r="B3429" s="69" t="s">
        <v>18</v>
      </c>
      <c r="C3429" s="13">
        <v>12</v>
      </c>
      <c r="D3429" s="14">
        <f t="shared" ref="D3429:D3443" si="305">SUM(C3429:C3429)</f>
        <v>12</v>
      </c>
      <c r="E3429" s="12">
        <v>45148</v>
      </c>
      <c r="G3429" s="15" t="s">
        <v>990</v>
      </c>
      <c r="H3429" s="13">
        <v>200</v>
      </c>
      <c r="I3429" s="11">
        <f>SUM(H3429:H3429)</f>
        <v>200</v>
      </c>
      <c r="J3429" s="12">
        <v>45164</v>
      </c>
      <c r="K3429" s="25"/>
    </row>
    <row r="3430" spans="2:11" x14ac:dyDescent="0.15">
      <c r="B3430" s="69" t="s">
        <v>18</v>
      </c>
      <c r="C3430" s="13">
        <v>2</v>
      </c>
      <c r="D3430" s="14">
        <f t="shared" si="305"/>
        <v>2</v>
      </c>
      <c r="E3430" s="12">
        <v>45154</v>
      </c>
      <c r="G3430" s="15" t="s">
        <v>993</v>
      </c>
      <c r="H3430" s="13">
        <v>400</v>
      </c>
      <c r="I3430" s="14">
        <f>SUM(H3430:H3430)</f>
        <v>400</v>
      </c>
      <c r="J3430" s="12">
        <v>45167</v>
      </c>
    </row>
    <row r="3431" spans="2:11" x14ac:dyDescent="0.15">
      <c r="B3431" s="69" t="s">
        <v>189</v>
      </c>
      <c r="C3431" s="13">
        <v>2</v>
      </c>
      <c r="D3431" s="14">
        <f t="shared" si="305"/>
        <v>2</v>
      </c>
      <c r="E3431" s="12">
        <v>45148</v>
      </c>
      <c r="G3431" s="15" t="s">
        <v>994</v>
      </c>
      <c r="H3431" s="13">
        <v>200</v>
      </c>
      <c r="I3431" s="14">
        <f t="shared" ref="I3431:I3453" si="306">SUM(H3431:H3431)</f>
        <v>200</v>
      </c>
      <c r="J3431" s="12">
        <v>45170</v>
      </c>
    </row>
    <row r="3432" spans="2:11" x14ac:dyDescent="0.15">
      <c r="B3432" s="69" t="s">
        <v>189</v>
      </c>
      <c r="C3432" s="13">
        <f>2+1+1</f>
        <v>4</v>
      </c>
      <c r="D3432" s="14">
        <f t="shared" si="305"/>
        <v>4</v>
      </c>
      <c r="E3432" s="12">
        <v>45154</v>
      </c>
      <c r="G3432" s="89"/>
      <c r="H3432" s="13"/>
      <c r="I3432" s="14">
        <f t="shared" si="306"/>
        <v>0</v>
      </c>
      <c r="J3432" s="12"/>
    </row>
    <row r="3433" spans="2:11" x14ac:dyDescent="0.15">
      <c r="B3433" s="69" t="s">
        <v>18</v>
      </c>
      <c r="C3433" s="13">
        <v>3</v>
      </c>
      <c r="D3433" s="14">
        <f t="shared" si="305"/>
        <v>3</v>
      </c>
      <c r="E3433" s="12">
        <v>45156</v>
      </c>
      <c r="G3433" s="89"/>
      <c r="H3433" s="13"/>
      <c r="I3433" s="14">
        <f t="shared" si="306"/>
        <v>0</v>
      </c>
      <c r="J3433" s="12"/>
    </row>
    <row r="3434" spans="2:11" x14ac:dyDescent="0.15">
      <c r="B3434" s="69" t="s">
        <v>18</v>
      </c>
      <c r="C3434" s="13">
        <v>7</v>
      </c>
      <c r="D3434" s="14">
        <f t="shared" si="305"/>
        <v>7</v>
      </c>
      <c r="E3434" s="12">
        <v>45159</v>
      </c>
      <c r="F3434" s="180"/>
      <c r="G3434" s="89"/>
      <c r="H3434" s="13"/>
      <c r="I3434" s="14">
        <f t="shared" si="306"/>
        <v>0</v>
      </c>
      <c r="J3434" s="12"/>
    </row>
    <row r="3435" spans="2:11" x14ac:dyDescent="0.15">
      <c r="B3435" s="69" t="s">
        <v>189</v>
      </c>
      <c r="C3435" s="13">
        <v>2</v>
      </c>
      <c r="D3435" s="14">
        <f t="shared" si="305"/>
        <v>2</v>
      </c>
      <c r="E3435" s="12">
        <v>45156</v>
      </c>
      <c r="G3435" s="89"/>
      <c r="H3435" s="13"/>
      <c r="I3435" s="14">
        <f t="shared" si="306"/>
        <v>0</v>
      </c>
      <c r="J3435" s="12"/>
    </row>
    <row r="3436" spans="2:11" x14ac:dyDescent="0.15">
      <c r="B3436" s="69" t="s">
        <v>18</v>
      </c>
      <c r="C3436" s="13">
        <v>4</v>
      </c>
      <c r="D3436" s="14">
        <f t="shared" si="305"/>
        <v>4</v>
      </c>
      <c r="E3436" s="12">
        <v>45160</v>
      </c>
      <c r="G3436" s="15"/>
      <c r="H3436" s="13"/>
      <c r="I3436" s="14">
        <f t="shared" si="306"/>
        <v>0</v>
      </c>
      <c r="J3436" s="12"/>
    </row>
    <row r="3437" spans="2:11" x14ac:dyDescent="0.15">
      <c r="B3437" s="69" t="s">
        <v>189</v>
      </c>
      <c r="C3437" s="13">
        <v>1</v>
      </c>
      <c r="D3437" s="14">
        <f t="shared" si="305"/>
        <v>1</v>
      </c>
      <c r="E3437" s="12">
        <v>45159</v>
      </c>
      <c r="G3437" s="15"/>
      <c r="H3437" s="13"/>
      <c r="I3437" s="14">
        <f t="shared" si="306"/>
        <v>0</v>
      </c>
      <c r="J3437" s="12"/>
    </row>
    <row r="3438" spans="2:11" x14ac:dyDescent="0.15">
      <c r="B3438" s="69" t="s">
        <v>18</v>
      </c>
      <c r="C3438" s="13">
        <v>3</v>
      </c>
      <c r="D3438" s="14">
        <f t="shared" si="305"/>
        <v>3</v>
      </c>
      <c r="E3438" s="12">
        <v>45161</v>
      </c>
      <c r="G3438" s="15"/>
      <c r="H3438" s="13"/>
      <c r="I3438" s="14">
        <f t="shared" si="306"/>
        <v>0</v>
      </c>
      <c r="J3438" s="12"/>
    </row>
    <row r="3439" spans="2:11" x14ac:dyDescent="0.15">
      <c r="B3439" s="69" t="s">
        <v>18</v>
      </c>
      <c r="C3439" s="13">
        <v>3</v>
      </c>
      <c r="D3439" s="14">
        <f t="shared" si="305"/>
        <v>3</v>
      </c>
      <c r="E3439" s="12">
        <v>45162</v>
      </c>
      <c r="G3439" s="15"/>
      <c r="H3439" s="13"/>
      <c r="I3439" s="14">
        <f t="shared" si="306"/>
        <v>0</v>
      </c>
      <c r="J3439" s="5"/>
    </row>
    <row r="3440" spans="2:11" x14ac:dyDescent="0.15">
      <c r="B3440" s="69" t="s">
        <v>18</v>
      </c>
      <c r="C3440" s="13">
        <v>2</v>
      </c>
      <c r="D3440" s="14">
        <f t="shared" si="305"/>
        <v>2</v>
      </c>
      <c r="E3440" s="12">
        <v>45163</v>
      </c>
      <c r="G3440" s="15"/>
      <c r="H3440" s="7"/>
      <c r="I3440" s="14">
        <f t="shared" si="306"/>
        <v>0</v>
      </c>
      <c r="J3440" s="12"/>
    </row>
    <row r="3441" spans="2:11" x14ac:dyDescent="0.15">
      <c r="B3441" s="69" t="s">
        <v>18</v>
      </c>
      <c r="C3441" s="13">
        <v>3</v>
      </c>
      <c r="D3441" s="14">
        <f t="shared" si="305"/>
        <v>3</v>
      </c>
      <c r="E3441" s="12">
        <v>45166</v>
      </c>
      <c r="G3441" s="15"/>
      <c r="H3441" s="7"/>
      <c r="I3441" s="14">
        <f t="shared" si="306"/>
        <v>0</v>
      </c>
      <c r="J3441" s="12"/>
    </row>
    <row r="3442" spans="2:11" x14ac:dyDescent="0.15">
      <c r="B3442" s="69" t="s">
        <v>189</v>
      </c>
      <c r="C3442" s="13">
        <v>1</v>
      </c>
      <c r="D3442" s="14">
        <f t="shared" si="305"/>
        <v>1</v>
      </c>
      <c r="E3442" s="12">
        <v>45163</v>
      </c>
      <c r="G3442" s="15"/>
      <c r="H3442" s="7"/>
      <c r="I3442" s="14">
        <f t="shared" si="306"/>
        <v>0</v>
      </c>
      <c r="J3442" s="5"/>
    </row>
    <row r="3443" spans="2:11" x14ac:dyDescent="0.15">
      <c r="B3443" s="69" t="s">
        <v>189</v>
      </c>
      <c r="C3443" s="13">
        <v>1</v>
      </c>
      <c r="D3443" s="14">
        <f t="shared" si="305"/>
        <v>1</v>
      </c>
      <c r="E3443" s="12">
        <v>45166</v>
      </c>
      <c r="G3443" s="15"/>
      <c r="H3443" s="7"/>
      <c r="I3443" s="14">
        <f t="shared" si="306"/>
        <v>0</v>
      </c>
      <c r="J3443" s="12"/>
    </row>
    <row r="3444" spans="2:11" x14ac:dyDescent="0.15">
      <c r="B3444" s="69" t="s">
        <v>18</v>
      </c>
      <c r="C3444" s="13">
        <v>2</v>
      </c>
      <c r="D3444" s="14">
        <f>SUM(C3444:C3444)</f>
        <v>2</v>
      </c>
      <c r="E3444" s="12">
        <v>45168</v>
      </c>
      <c r="G3444" s="15"/>
      <c r="H3444" s="7"/>
      <c r="I3444" s="14">
        <f t="shared" si="306"/>
        <v>0</v>
      </c>
      <c r="J3444" s="12"/>
    </row>
    <row r="3445" spans="2:11" x14ac:dyDescent="0.15">
      <c r="B3445" s="69" t="s">
        <v>18</v>
      </c>
      <c r="C3445" s="13">
        <v>2</v>
      </c>
      <c r="D3445" s="14">
        <f t="shared" ref="D3445:D3453" si="307">SUM(C3445:C3445)</f>
        <v>2</v>
      </c>
      <c r="E3445" s="12">
        <v>45169</v>
      </c>
      <c r="G3445" s="15"/>
      <c r="H3445" s="7"/>
      <c r="I3445" s="14">
        <f t="shared" si="306"/>
        <v>0</v>
      </c>
      <c r="J3445" s="67"/>
    </row>
    <row r="3446" spans="2:11" x14ac:dyDescent="0.15">
      <c r="B3446" s="69" t="s">
        <v>18</v>
      </c>
      <c r="C3446" s="13">
        <v>2</v>
      </c>
      <c r="D3446" s="14">
        <f t="shared" si="307"/>
        <v>2</v>
      </c>
      <c r="E3446" s="12">
        <v>45173</v>
      </c>
      <c r="G3446" s="15"/>
      <c r="H3446" s="7"/>
      <c r="I3446" s="14">
        <f t="shared" si="306"/>
        <v>0</v>
      </c>
      <c r="J3446" s="67"/>
    </row>
    <row r="3447" spans="2:11" x14ac:dyDescent="0.15">
      <c r="B3447" s="69" t="s">
        <v>189</v>
      </c>
      <c r="C3447" s="13">
        <v>1</v>
      </c>
      <c r="D3447" s="14">
        <f t="shared" si="307"/>
        <v>1</v>
      </c>
      <c r="E3447" s="12">
        <v>45170</v>
      </c>
      <c r="G3447" s="15"/>
      <c r="H3447" s="7"/>
      <c r="I3447" s="14">
        <f t="shared" si="306"/>
        <v>0</v>
      </c>
      <c r="J3447" s="67"/>
    </row>
    <row r="3448" spans="2:11" x14ac:dyDescent="0.15">
      <c r="B3448" s="69" t="s">
        <v>189</v>
      </c>
      <c r="C3448" s="13">
        <v>4</v>
      </c>
      <c r="D3448" s="14">
        <f t="shared" si="307"/>
        <v>4</v>
      </c>
      <c r="E3448" s="5">
        <v>45173</v>
      </c>
      <c r="G3448" s="15"/>
      <c r="H3448" s="7"/>
      <c r="I3448" s="14">
        <f t="shared" ref="I3448" si="308">SUM(H3448:H3448)</f>
        <v>0</v>
      </c>
      <c r="J3448" s="67"/>
      <c r="K3448" s="86"/>
    </row>
    <row r="3449" spans="2:11" x14ac:dyDescent="0.15">
      <c r="B3449" s="69" t="s">
        <v>18</v>
      </c>
      <c r="C3449" s="13">
        <v>4</v>
      </c>
      <c r="D3449" s="14">
        <f t="shared" si="307"/>
        <v>4</v>
      </c>
      <c r="E3449" s="5">
        <v>45176</v>
      </c>
      <c r="G3449" s="15"/>
      <c r="H3449" s="7"/>
      <c r="I3449" s="14">
        <f t="shared" si="306"/>
        <v>0</v>
      </c>
      <c r="J3449" s="67"/>
    </row>
    <row r="3450" spans="2:11" x14ac:dyDescent="0.15">
      <c r="B3450" s="69" t="s">
        <v>189</v>
      </c>
      <c r="C3450" s="13">
        <v>2</v>
      </c>
      <c r="D3450" s="14">
        <f t="shared" si="307"/>
        <v>2</v>
      </c>
      <c r="E3450" s="5">
        <v>45175</v>
      </c>
      <c r="G3450" s="15"/>
      <c r="H3450" s="7"/>
      <c r="I3450" s="14">
        <f t="shared" ref="I3450" si="309">SUM(H3450:H3450)</f>
        <v>0</v>
      </c>
      <c r="J3450" s="67"/>
    </row>
    <row r="3451" spans="2:11" x14ac:dyDescent="0.15">
      <c r="B3451" s="69" t="s">
        <v>18</v>
      </c>
      <c r="C3451" s="13">
        <v>7</v>
      </c>
      <c r="D3451" s="14">
        <f t="shared" si="307"/>
        <v>7</v>
      </c>
      <c r="E3451" s="5">
        <v>45177</v>
      </c>
      <c r="G3451" s="4" t="s">
        <v>956</v>
      </c>
      <c r="H3451" s="184"/>
      <c r="I3451" s="185">
        <f>SUM(H3451:H3451)</f>
        <v>0</v>
      </c>
      <c r="J3451" s="186"/>
    </row>
    <row r="3452" spans="2:11" ht="14.25" thickBot="1" x14ac:dyDescent="0.2">
      <c r="B3452" s="69" t="s">
        <v>18</v>
      </c>
      <c r="C3452" s="7">
        <v>9</v>
      </c>
      <c r="D3452" s="14">
        <f t="shared" si="307"/>
        <v>9</v>
      </c>
      <c r="E3452" s="5">
        <v>45180</v>
      </c>
      <c r="G3452" s="15" t="s">
        <v>952</v>
      </c>
      <c r="H3452" s="7"/>
      <c r="I3452" s="14">
        <f>SUM(H3452:H3452)</f>
        <v>0</v>
      </c>
      <c r="J3452" s="67" t="s">
        <v>953</v>
      </c>
    </row>
    <row r="3453" spans="2:11" ht="14.25" thickBot="1" x14ac:dyDescent="0.2">
      <c r="B3453" s="17" t="s">
        <v>2</v>
      </c>
      <c r="C3453" s="18">
        <f>SUM(C3429:C3452)</f>
        <v>83</v>
      </c>
      <c r="D3453" s="19">
        <f t="shared" si="307"/>
        <v>83</v>
      </c>
      <c r="E3453" s="20"/>
      <c r="G3453" s="17" t="s">
        <v>2</v>
      </c>
      <c r="H3453" s="18">
        <f>SUM(H3429:H3452)</f>
        <v>800</v>
      </c>
      <c r="I3453" s="19">
        <f t="shared" si="306"/>
        <v>800</v>
      </c>
      <c r="J3453" s="20"/>
    </row>
    <row r="3454" spans="2:11" ht="14.25" thickBot="1" x14ac:dyDescent="0.2">
      <c r="B3454" s="46" t="s">
        <v>3</v>
      </c>
      <c r="C3454" s="52">
        <f>C3428-C3453</f>
        <v>74</v>
      </c>
      <c r="D3454" s="48">
        <f>D3428-D3453</f>
        <v>74</v>
      </c>
      <c r="E3454" s="49"/>
      <c r="G3454" s="46" t="s">
        <v>3</v>
      </c>
      <c r="H3454" s="52">
        <f>H3428-H3453</f>
        <v>2948</v>
      </c>
      <c r="I3454" s="48">
        <f>I3428-I3453</f>
        <v>2948</v>
      </c>
      <c r="J3454" s="49"/>
    </row>
    <row r="3457" spans="2:10" ht="18.75" x14ac:dyDescent="0.2">
      <c r="B3457" s="26" t="s">
        <v>7</v>
      </c>
      <c r="G3457" s="26" t="s">
        <v>35</v>
      </c>
    </row>
    <row r="3458" spans="2:10" ht="14.25" thickBot="1" x14ac:dyDescent="0.2"/>
    <row r="3459" spans="2:10" ht="14.25" thickBot="1" x14ac:dyDescent="0.2">
      <c r="B3459" s="1"/>
      <c r="C3459" s="1"/>
      <c r="D3459" s="53" t="s">
        <v>0</v>
      </c>
      <c r="E3459" s="1" t="s">
        <v>4</v>
      </c>
      <c r="G3459" s="1"/>
      <c r="H3459" s="1"/>
      <c r="I3459" s="53" t="s">
        <v>0</v>
      </c>
      <c r="J3459" s="1" t="s">
        <v>4</v>
      </c>
    </row>
    <row r="3460" spans="2:10" x14ac:dyDescent="0.15">
      <c r="B3460" s="42" t="s">
        <v>5</v>
      </c>
      <c r="C3460" s="43">
        <f>C3454</f>
        <v>74</v>
      </c>
      <c r="D3460" s="44">
        <f>SUM(C3460:C3460)</f>
        <v>74</v>
      </c>
      <c r="E3460" s="45"/>
      <c r="G3460" s="42" t="s">
        <v>5</v>
      </c>
      <c r="H3460" s="43">
        <f>H3454</f>
        <v>2948</v>
      </c>
      <c r="I3460" s="44">
        <f>SUM(H3460:H3460)</f>
        <v>2948</v>
      </c>
      <c r="J3460" s="45"/>
    </row>
    <row r="3461" spans="2:10" x14ac:dyDescent="0.15">
      <c r="B3461" s="4" t="s">
        <v>76</v>
      </c>
      <c r="C3461" s="13">
        <v>26</v>
      </c>
      <c r="D3461" s="14">
        <f t="shared" ref="D3461" si="310">SUM(C3461:C3461)</f>
        <v>26</v>
      </c>
      <c r="E3461" s="12">
        <v>45183</v>
      </c>
      <c r="G3461" s="6" t="s">
        <v>6</v>
      </c>
      <c r="H3461" s="13"/>
      <c r="I3461" s="14">
        <f>SUM(H3461:H3461)</f>
        <v>0</v>
      </c>
      <c r="J3461" s="169"/>
    </row>
    <row r="3462" spans="2:10" x14ac:dyDescent="0.15">
      <c r="B3462" s="4" t="s">
        <v>6</v>
      </c>
      <c r="C3462" s="13">
        <v>400</v>
      </c>
      <c r="D3462" s="14">
        <f t="shared" ref="D3462:D3463" si="311">SUM(C3462:C3462)</f>
        <v>400</v>
      </c>
      <c r="E3462" s="12">
        <v>45197</v>
      </c>
      <c r="G3462" s="4" t="s">
        <v>6</v>
      </c>
      <c r="H3462" s="13"/>
      <c r="I3462" s="14">
        <f>SUM(H3462:H3462)</f>
        <v>0</v>
      </c>
      <c r="J3462" s="169"/>
    </row>
    <row r="3463" spans="2:10" ht="14.25" thickBot="1" x14ac:dyDescent="0.2">
      <c r="B3463" s="4" t="s">
        <v>1004</v>
      </c>
      <c r="C3463" s="13">
        <v>9</v>
      </c>
      <c r="D3463" s="14">
        <f t="shared" si="311"/>
        <v>9</v>
      </c>
      <c r="E3463" s="12">
        <v>45218</v>
      </c>
      <c r="G3463" s="92" t="s">
        <v>6</v>
      </c>
      <c r="H3463" s="13"/>
      <c r="I3463" s="14">
        <f t="shared" ref="I3463" si="312">SUM(H3463:H3463)</f>
        <v>0</v>
      </c>
      <c r="J3463" s="169"/>
    </row>
    <row r="3464" spans="2:10" ht="14.25" thickBot="1" x14ac:dyDescent="0.2">
      <c r="B3464" s="46" t="s">
        <v>1</v>
      </c>
      <c r="C3464" s="48">
        <f>SUM(C3460:C3463)</f>
        <v>509</v>
      </c>
      <c r="D3464" s="48">
        <f>SUM(D3460:D3463)</f>
        <v>509</v>
      </c>
      <c r="E3464" s="51"/>
      <c r="G3464" s="46" t="s">
        <v>1</v>
      </c>
      <c r="H3464" s="50">
        <f>SUM(H3460:H3463)</f>
        <v>2948</v>
      </c>
      <c r="I3464" s="48">
        <f>SUM(I3460:I3463)</f>
        <v>2948</v>
      </c>
      <c r="J3464" s="51"/>
    </row>
    <row r="3465" spans="2:10" x14ac:dyDescent="0.15">
      <c r="B3465" s="69" t="s">
        <v>189</v>
      </c>
      <c r="C3465" s="13">
        <v>2</v>
      </c>
      <c r="D3465" s="14">
        <f t="shared" ref="D3465:D3479" si="313">SUM(C3465:C3465)</f>
        <v>2</v>
      </c>
      <c r="E3465" s="12">
        <v>45180</v>
      </c>
      <c r="G3465" s="15" t="s">
        <v>997</v>
      </c>
      <c r="H3465" s="13">
        <v>200</v>
      </c>
      <c r="I3465" s="11">
        <f>SUM(H3465:H3465)</f>
        <v>200</v>
      </c>
      <c r="J3465" s="12">
        <v>45184</v>
      </c>
    </row>
    <row r="3466" spans="2:10" x14ac:dyDescent="0.15">
      <c r="B3466" s="69" t="s">
        <v>18</v>
      </c>
      <c r="C3466" s="13">
        <v>1</v>
      </c>
      <c r="D3466" s="14">
        <f t="shared" si="313"/>
        <v>1</v>
      </c>
      <c r="E3466" s="12">
        <v>45182</v>
      </c>
      <c r="G3466" s="15" t="s">
        <v>1000</v>
      </c>
      <c r="H3466" s="13">
        <v>200</v>
      </c>
      <c r="I3466" s="14">
        <f>SUM(H3466:H3466)</f>
        <v>200</v>
      </c>
      <c r="J3466" s="12">
        <v>45191</v>
      </c>
    </row>
    <row r="3467" spans="2:10" x14ac:dyDescent="0.15">
      <c r="B3467" s="69" t="s">
        <v>18</v>
      </c>
      <c r="C3467" s="13">
        <v>1</v>
      </c>
      <c r="D3467" s="14">
        <f t="shared" si="313"/>
        <v>1</v>
      </c>
      <c r="E3467" s="12">
        <v>45183</v>
      </c>
      <c r="G3467" s="15" t="s">
        <v>1001</v>
      </c>
      <c r="H3467" s="13">
        <v>500</v>
      </c>
      <c r="I3467" s="14">
        <f t="shared" ref="I3467:I3489" si="314">SUM(H3467:H3467)</f>
        <v>500</v>
      </c>
      <c r="J3467" s="12">
        <v>45192</v>
      </c>
    </row>
    <row r="3468" spans="2:10" x14ac:dyDescent="0.15">
      <c r="B3468" s="69" t="s">
        <v>18</v>
      </c>
      <c r="C3468" s="13">
        <v>2</v>
      </c>
      <c r="D3468" s="14">
        <f t="shared" si="313"/>
        <v>2</v>
      </c>
      <c r="E3468" s="12">
        <v>45184</v>
      </c>
      <c r="G3468" s="89" t="s">
        <v>1003</v>
      </c>
      <c r="H3468" s="13">
        <v>400</v>
      </c>
      <c r="I3468" s="14">
        <f t="shared" si="314"/>
        <v>400</v>
      </c>
      <c r="J3468" s="12">
        <v>45197</v>
      </c>
    </row>
    <row r="3469" spans="2:10" x14ac:dyDescent="0.15">
      <c r="B3469" s="69" t="s">
        <v>18</v>
      </c>
      <c r="C3469" s="13">
        <v>1</v>
      </c>
      <c r="D3469" s="14">
        <f t="shared" si="313"/>
        <v>1</v>
      </c>
      <c r="E3469" s="12">
        <v>45188</v>
      </c>
      <c r="G3469" s="89"/>
      <c r="H3469" s="13"/>
      <c r="I3469" s="14">
        <f t="shared" si="314"/>
        <v>0</v>
      </c>
      <c r="J3469" s="12"/>
    </row>
    <row r="3470" spans="2:10" x14ac:dyDescent="0.15">
      <c r="B3470" s="69" t="s">
        <v>189</v>
      </c>
      <c r="C3470" s="13">
        <v>1</v>
      </c>
      <c r="D3470" s="14">
        <f t="shared" si="313"/>
        <v>1</v>
      </c>
      <c r="E3470" s="12">
        <v>45184</v>
      </c>
      <c r="G3470" s="89"/>
      <c r="H3470" s="13"/>
      <c r="I3470" s="14">
        <f t="shared" si="314"/>
        <v>0</v>
      </c>
      <c r="J3470" s="12"/>
    </row>
    <row r="3471" spans="2:10" x14ac:dyDescent="0.15">
      <c r="B3471" s="69" t="s">
        <v>189</v>
      </c>
      <c r="C3471" s="13">
        <v>5</v>
      </c>
      <c r="D3471" s="14">
        <f t="shared" si="313"/>
        <v>5</v>
      </c>
      <c r="E3471" s="12">
        <v>45188</v>
      </c>
      <c r="G3471" s="89"/>
      <c r="H3471" s="13"/>
      <c r="I3471" s="14">
        <f t="shared" si="314"/>
        <v>0</v>
      </c>
      <c r="J3471" s="12"/>
    </row>
    <row r="3472" spans="2:10" x14ac:dyDescent="0.15">
      <c r="B3472" s="69" t="s">
        <v>189</v>
      </c>
      <c r="C3472" s="13">
        <v>2</v>
      </c>
      <c r="D3472" s="14">
        <f t="shared" si="313"/>
        <v>2</v>
      </c>
      <c r="E3472" s="12">
        <v>45189</v>
      </c>
      <c r="G3472" s="15"/>
      <c r="H3472" s="13"/>
      <c r="I3472" s="14">
        <f t="shared" si="314"/>
        <v>0</v>
      </c>
      <c r="J3472" s="12"/>
    </row>
    <row r="3473" spans="2:11" x14ac:dyDescent="0.15">
      <c r="B3473" s="15" t="s">
        <v>1002</v>
      </c>
      <c r="C3473" s="13">
        <v>50</v>
      </c>
      <c r="D3473" s="14">
        <f t="shared" si="313"/>
        <v>50</v>
      </c>
      <c r="E3473" s="12">
        <v>45192</v>
      </c>
      <c r="G3473" s="15"/>
      <c r="H3473" s="13"/>
      <c r="I3473" s="14">
        <f t="shared" si="314"/>
        <v>0</v>
      </c>
      <c r="J3473" s="12"/>
    </row>
    <row r="3474" spans="2:11" x14ac:dyDescent="0.15">
      <c r="B3474" s="69" t="s">
        <v>18</v>
      </c>
      <c r="C3474" s="13">
        <v>1</v>
      </c>
      <c r="D3474" s="14">
        <f t="shared" si="313"/>
        <v>1</v>
      </c>
      <c r="E3474" s="12">
        <v>45194</v>
      </c>
      <c r="G3474" s="15"/>
      <c r="H3474" s="13"/>
      <c r="I3474" s="14">
        <f t="shared" si="314"/>
        <v>0</v>
      </c>
      <c r="J3474" s="12"/>
    </row>
    <row r="3475" spans="2:11" x14ac:dyDescent="0.15">
      <c r="B3475" s="69" t="s">
        <v>18</v>
      </c>
      <c r="C3475" s="13">
        <v>1</v>
      </c>
      <c r="D3475" s="14">
        <f t="shared" si="313"/>
        <v>1</v>
      </c>
      <c r="E3475" s="12">
        <v>45195</v>
      </c>
      <c r="G3475" s="15"/>
      <c r="H3475" s="13"/>
      <c r="I3475" s="14">
        <f t="shared" si="314"/>
        <v>0</v>
      </c>
      <c r="J3475" s="5"/>
    </row>
    <row r="3476" spans="2:11" x14ac:dyDescent="0.15">
      <c r="B3476" s="69" t="s">
        <v>18</v>
      </c>
      <c r="C3476" s="13">
        <v>5</v>
      </c>
      <c r="D3476" s="14">
        <f t="shared" si="313"/>
        <v>5</v>
      </c>
      <c r="E3476" s="12">
        <v>45196</v>
      </c>
      <c r="G3476" s="15"/>
      <c r="H3476" s="7"/>
      <c r="I3476" s="14">
        <f t="shared" si="314"/>
        <v>0</v>
      </c>
      <c r="J3476" s="12"/>
    </row>
    <row r="3477" spans="2:11" x14ac:dyDescent="0.15">
      <c r="B3477" s="69" t="s">
        <v>18</v>
      </c>
      <c r="C3477" s="13">
        <v>14</v>
      </c>
      <c r="D3477" s="14">
        <f t="shared" si="313"/>
        <v>14</v>
      </c>
      <c r="E3477" s="12">
        <v>45197</v>
      </c>
      <c r="G3477" s="15"/>
      <c r="H3477" s="7"/>
      <c r="I3477" s="14">
        <f t="shared" si="314"/>
        <v>0</v>
      </c>
      <c r="J3477" s="12"/>
    </row>
    <row r="3478" spans="2:11" x14ac:dyDescent="0.15">
      <c r="B3478" s="69" t="s">
        <v>18</v>
      </c>
      <c r="C3478" s="13">
        <v>1</v>
      </c>
      <c r="D3478" s="14">
        <f t="shared" si="313"/>
        <v>1</v>
      </c>
      <c r="E3478" s="12">
        <v>45198</v>
      </c>
      <c r="G3478" s="15"/>
      <c r="H3478" s="7"/>
      <c r="I3478" s="14">
        <f t="shared" si="314"/>
        <v>0</v>
      </c>
      <c r="J3478" s="5"/>
    </row>
    <row r="3479" spans="2:11" x14ac:dyDescent="0.15">
      <c r="B3479" s="69" t="s">
        <v>18</v>
      </c>
      <c r="C3479" s="13">
        <v>1</v>
      </c>
      <c r="D3479" s="14">
        <f t="shared" si="313"/>
        <v>1</v>
      </c>
      <c r="E3479" s="12">
        <v>45201</v>
      </c>
      <c r="G3479" s="15"/>
      <c r="H3479" s="7"/>
      <c r="I3479" s="14">
        <f t="shared" si="314"/>
        <v>0</v>
      </c>
      <c r="J3479" s="12"/>
    </row>
    <row r="3480" spans="2:11" x14ac:dyDescent="0.15">
      <c r="B3480" s="69" t="s">
        <v>18</v>
      </c>
      <c r="C3480" s="13">
        <v>6</v>
      </c>
      <c r="D3480" s="14">
        <f>SUM(C3480:C3480)</f>
        <v>6</v>
      </c>
      <c r="E3480" s="12">
        <v>45202</v>
      </c>
      <c r="G3480" s="15"/>
      <c r="H3480" s="7"/>
      <c r="I3480" s="14">
        <f t="shared" si="314"/>
        <v>0</v>
      </c>
      <c r="J3480" s="12"/>
    </row>
    <row r="3481" spans="2:11" x14ac:dyDescent="0.15">
      <c r="B3481" s="69" t="s">
        <v>18</v>
      </c>
      <c r="C3481" s="13">
        <v>3</v>
      </c>
      <c r="D3481" s="14">
        <f t="shared" ref="D3481:D3489" si="315">SUM(C3481:C3481)</f>
        <v>3</v>
      </c>
      <c r="E3481" s="12">
        <v>45204</v>
      </c>
      <c r="G3481" s="15"/>
      <c r="H3481" s="7"/>
      <c r="I3481" s="14">
        <f t="shared" si="314"/>
        <v>0</v>
      </c>
      <c r="J3481" s="67"/>
    </row>
    <row r="3482" spans="2:11" x14ac:dyDescent="0.15">
      <c r="B3482" s="69" t="s">
        <v>18</v>
      </c>
      <c r="C3482" s="13">
        <v>1</v>
      </c>
      <c r="D3482" s="14">
        <f t="shared" si="315"/>
        <v>1</v>
      </c>
      <c r="E3482" s="12">
        <v>45209</v>
      </c>
      <c r="G3482" s="15"/>
      <c r="H3482" s="7"/>
      <c r="I3482" s="14">
        <f t="shared" si="314"/>
        <v>0</v>
      </c>
      <c r="J3482" s="67"/>
    </row>
    <row r="3483" spans="2:11" x14ac:dyDescent="0.15">
      <c r="B3483" s="69" t="s">
        <v>189</v>
      </c>
      <c r="C3483" s="13">
        <v>1</v>
      </c>
      <c r="D3483" s="14">
        <f t="shared" si="315"/>
        <v>1</v>
      </c>
      <c r="E3483" s="12">
        <v>45205</v>
      </c>
      <c r="G3483" s="15"/>
      <c r="H3483" s="7"/>
      <c r="I3483" s="14">
        <f t="shared" si="314"/>
        <v>0</v>
      </c>
      <c r="J3483" s="67"/>
    </row>
    <row r="3484" spans="2:11" x14ac:dyDescent="0.15">
      <c r="B3484" s="69" t="s">
        <v>18</v>
      </c>
      <c r="C3484" s="13">
        <v>4</v>
      </c>
      <c r="D3484" s="14">
        <f t="shared" si="315"/>
        <v>4</v>
      </c>
      <c r="E3484" s="5">
        <v>45210</v>
      </c>
      <c r="G3484" s="15"/>
      <c r="H3484" s="7"/>
      <c r="I3484" s="14">
        <f t="shared" ref="I3484:I3485" si="316">SUM(H3484:H3484)</f>
        <v>0</v>
      </c>
      <c r="J3484" s="67"/>
    </row>
    <row r="3485" spans="2:11" x14ac:dyDescent="0.15">
      <c r="B3485" s="69" t="s">
        <v>189</v>
      </c>
      <c r="C3485" s="13">
        <v>1</v>
      </c>
      <c r="D3485" s="14">
        <f t="shared" si="315"/>
        <v>1</v>
      </c>
      <c r="E3485" s="5">
        <v>45209</v>
      </c>
      <c r="G3485" s="15"/>
      <c r="H3485" s="7"/>
      <c r="I3485" s="14">
        <f t="shared" si="316"/>
        <v>0</v>
      </c>
      <c r="J3485" s="67"/>
    </row>
    <row r="3486" spans="2:11" x14ac:dyDescent="0.15">
      <c r="B3486" s="69" t="s">
        <v>18</v>
      </c>
      <c r="C3486" s="13">
        <v>8</v>
      </c>
      <c r="D3486" s="14">
        <f t="shared" si="315"/>
        <v>8</v>
      </c>
      <c r="E3486" s="5">
        <v>45211</v>
      </c>
      <c r="G3486" s="15" t="s">
        <v>991</v>
      </c>
      <c r="H3486" s="7"/>
      <c r="I3486" s="14">
        <f t="shared" ref="I3486" si="317">SUM(H3486:H3486)</f>
        <v>0</v>
      </c>
      <c r="J3486" s="67" t="s">
        <v>992</v>
      </c>
      <c r="K3486" s="180"/>
    </row>
    <row r="3487" spans="2:11" x14ac:dyDescent="0.15">
      <c r="B3487" s="69" t="s">
        <v>18</v>
      </c>
      <c r="C3487" s="13">
        <v>1</v>
      </c>
      <c r="D3487" s="14">
        <f t="shared" si="315"/>
        <v>1</v>
      </c>
      <c r="E3487" s="5">
        <v>45217</v>
      </c>
      <c r="G3487" s="4" t="s">
        <v>960</v>
      </c>
      <c r="H3487" s="184"/>
      <c r="I3487" s="185">
        <f t="shared" si="314"/>
        <v>0</v>
      </c>
      <c r="J3487" s="186"/>
    </row>
    <row r="3488" spans="2:11" ht="14.25" thickBot="1" x14ac:dyDescent="0.2">
      <c r="B3488" s="69" t="s">
        <v>18</v>
      </c>
      <c r="C3488" s="7">
        <v>2</v>
      </c>
      <c r="D3488" s="14">
        <f t="shared" si="315"/>
        <v>2</v>
      </c>
      <c r="E3488" s="5">
        <v>45218</v>
      </c>
      <c r="G3488" s="15" t="s">
        <v>965</v>
      </c>
      <c r="H3488" s="7"/>
      <c r="I3488" s="14">
        <f t="shared" si="314"/>
        <v>0</v>
      </c>
      <c r="J3488" s="67" t="s">
        <v>966</v>
      </c>
    </row>
    <row r="3489" spans="2:10" ht="14.25" thickBot="1" x14ac:dyDescent="0.2">
      <c r="B3489" s="17" t="s">
        <v>2</v>
      </c>
      <c r="C3489" s="18">
        <f>SUM(C3465:C3488)</f>
        <v>115</v>
      </c>
      <c r="D3489" s="19">
        <f t="shared" si="315"/>
        <v>115</v>
      </c>
      <c r="E3489" s="20"/>
      <c r="G3489" s="17" t="s">
        <v>2</v>
      </c>
      <c r="H3489" s="18">
        <f>SUM(H3465:H3488)</f>
        <v>1300</v>
      </c>
      <c r="I3489" s="19">
        <f t="shared" si="314"/>
        <v>1300</v>
      </c>
      <c r="J3489" s="20"/>
    </row>
    <row r="3490" spans="2:10" ht="14.25" thickBot="1" x14ac:dyDescent="0.2">
      <c r="B3490" s="46" t="s">
        <v>3</v>
      </c>
      <c r="C3490" s="52">
        <f>C3464-C3489</f>
        <v>394</v>
      </c>
      <c r="D3490" s="48">
        <f>D3464-D3489</f>
        <v>394</v>
      </c>
      <c r="E3490" s="49"/>
      <c r="G3490" s="46" t="s">
        <v>3</v>
      </c>
      <c r="H3490" s="52">
        <f>H3464-H3489</f>
        <v>1648</v>
      </c>
      <c r="I3490" s="48">
        <f>I3464-I3489</f>
        <v>1648</v>
      </c>
      <c r="J3490" s="49"/>
    </row>
    <row r="3491" spans="2:10" x14ac:dyDescent="0.15">
      <c r="H3491">
        <f>H3489+H3453+H3417+H3381+H3345+H3309-400</f>
        <v>8500</v>
      </c>
    </row>
    <row r="3493" spans="2:10" ht="18.75" x14ac:dyDescent="0.2">
      <c r="B3493" s="26" t="s">
        <v>7</v>
      </c>
      <c r="G3493" s="26" t="s">
        <v>35</v>
      </c>
    </row>
    <row r="3494" spans="2:10" ht="14.25" thickBot="1" x14ac:dyDescent="0.2"/>
    <row r="3495" spans="2:10" ht="14.25" thickBot="1" x14ac:dyDescent="0.2">
      <c r="B3495" s="1"/>
      <c r="C3495" s="1"/>
      <c r="D3495" s="53" t="s">
        <v>0</v>
      </c>
      <c r="E3495" s="1" t="s">
        <v>4</v>
      </c>
      <c r="G3495" s="1"/>
      <c r="H3495" s="1"/>
      <c r="I3495" s="53" t="s">
        <v>0</v>
      </c>
      <c r="J3495" s="1" t="s">
        <v>4</v>
      </c>
    </row>
    <row r="3496" spans="2:10" x14ac:dyDescent="0.15">
      <c r="B3496" s="42" t="s">
        <v>5</v>
      </c>
      <c r="C3496" s="43">
        <f>C3490</f>
        <v>394</v>
      </c>
      <c r="D3496" s="44">
        <f>SUM(C3496:C3496)</f>
        <v>394</v>
      </c>
      <c r="E3496" s="45"/>
      <c r="G3496" s="42" t="s">
        <v>5</v>
      </c>
      <c r="H3496" s="43">
        <f>H3490</f>
        <v>1648</v>
      </c>
      <c r="I3496" s="44">
        <f>SUM(H3496:H3496)</f>
        <v>1648</v>
      </c>
      <c r="J3496" s="45"/>
    </row>
    <row r="3497" spans="2:10" x14ac:dyDescent="0.15">
      <c r="B3497" s="4" t="s">
        <v>1004</v>
      </c>
      <c r="C3497" s="13">
        <f>177-137</f>
        <v>40</v>
      </c>
      <c r="D3497" s="14">
        <f t="shared" ref="D3497:D3499" si="318">SUM(C3497:C3497)</f>
        <v>40</v>
      </c>
      <c r="E3497" s="12">
        <v>45252</v>
      </c>
      <c r="G3497" s="6" t="s">
        <v>6</v>
      </c>
      <c r="H3497" s="13"/>
      <c r="I3497" s="14">
        <f>SUM(H3497:H3497)</f>
        <v>0</v>
      </c>
      <c r="J3497" s="169"/>
    </row>
    <row r="3498" spans="2:10" x14ac:dyDescent="0.15">
      <c r="B3498" s="4" t="s">
        <v>1004</v>
      </c>
      <c r="C3498" s="13">
        <f>37+137</f>
        <v>174</v>
      </c>
      <c r="D3498" s="14">
        <f t="shared" si="318"/>
        <v>174</v>
      </c>
      <c r="E3498" s="12">
        <v>45252</v>
      </c>
      <c r="G3498" s="4" t="s">
        <v>6</v>
      </c>
      <c r="H3498" s="13"/>
      <c r="I3498" s="14">
        <f>SUM(H3498:H3498)</f>
        <v>0</v>
      </c>
      <c r="J3498" s="169"/>
    </row>
    <row r="3499" spans="2:10" ht="14.25" thickBot="1" x14ac:dyDescent="0.2">
      <c r="B3499" s="4" t="s">
        <v>6</v>
      </c>
      <c r="C3499" s="94"/>
      <c r="D3499" s="96">
        <f t="shared" si="318"/>
        <v>0</v>
      </c>
      <c r="E3499" s="98"/>
      <c r="G3499" s="92" t="s">
        <v>6</v>
      </c>
      <c r="H3499" s="13"/>
      <c r="I3499" s="14">
        <f t="shared" ref="I3499" si="319">SUM(H3499:H3499)</f>
        <v>0</v>
      </c>
      <c r="J3499" s="169"/>
    </row>
    <row r="3500" spans="2:10" ht="14.25" thickBot="1" x14ac:dyDescent="0.2">
      <c r="B3500" s="46" t="s">
        <v>1</v>
      </c>
      <c r="C3500" s="48">
        <f>SUM(C3496:C3499)</f>
        <v>608</v>
      </c>
      <c r="D3500" s="48">
        <f>SUM(D3496:D3499)</f>
        <v>608</v>
      </c>
      <c r="E3500" s="51"/>
      <c r="G3500" s="46" t="s">
        <v>1</v>
      </c>
      <c r="H3500" s="50">
        <f>SUM(H3496:H3499)</f>
        <v>1648</v>
      </c>
      <c r="I3500" s="48">
        <f>SUM(I3496:I3499)</f>
        <v>1648</v>
      </c>
      <c r="J3500" s="51"/>
    </row>
    <row r="3501" spans="2:10" x14ac:dyDescent="0.15">
      <c r="B3501" s="69" t="s">
        <v>18</v>
      </c>
      <c r="C3501" s="13">
        <v>43</v>
      </c>
      <c r="D3501" s="14">
        <f t="shared" ref="D3501:D3519" si="320">SUM(C3501:C3501)</f>
        <v>43</v>
      </c>
      <c r="E3501" s="5">
        <v>45222</v>
      </c>
      <c r="G3501" s="89"/>
      <c r="H3501" s="13"/>
      <c r="I3501" s="14">
        <f t="shared" ref="I3501:I3504" si="321">SUM(H3501:H3501)</f>
        <v>0</v>
      </c>
      <c r="J3501" s="12"/>
    </row>
    <row r="3502" spans="2:10" x14ac:dyDescent="0.15">
      <c r="B3502" s="69" t="s">
        <v>1005</v>
      </c>
      <c r="C3502" s="13">
        <v>2</v>
      </c>
      <c r="D3502" s="14">
        <f t="shared" si="320"/>
        <v>2</v>
      </c>
      <c r="E3502" s="5">
        <v>45222</v>
      </c>
      <c r="G3502" s="89"/>
      <c r="H3502" s="13"/>
      <c r="I3502" s="14">
        <f t="shared" si="321"/>
        <v>0</v>
      </c>
      <c r="J3502" s="12"/>
    </row>
    <row r="3503" spans="2:10" x14ac:dyDescent="0.15">
      <c r="B3503" s="69" t="s">
        <v>18</v>
      </c>
      <c r="C3503" s="13">
        <v>2</v>
      </c>
      <c r="D3503" s="14">
        <f t="shared" si="320"/>
        <v>2</v>
      </c>
      <c r="E3503" s="5">
        <v>45230</v>
      </c>
      <c r="G3503" s="89"/>
      <c r="H3503" s="13"/>
      <c r="I3503" s="14">
        <f t="shared" si="321"/>
        <v>0</v>
      </c>
      <c r="J3503" s="12"/>
    </row>
    <row r="3504" spans="2:10" x14ac:dyDescent="0.15">
      <c r="B3504" s="69" t="s">
        <v>189</v>
      </c>
      <c r="C3504" s="13">
        <v>2</v>
      </c>
      <c r="D3504" s="14">
        <f t="shared" si="320"/>
        <v>2</v>
      </c>
      <c r="E3504" s="5">
        <v>45229</v>
      </c>
      <c r="G3504" s="89"/>
      <c r="H3504" s="13"/>
      <c r="I3504" s="14">
        <f t="shared" si="321"/>
        <v>0</v>
      </c>
      <c r="J3504" s="12"/>
    </row>
    <row r="3505" spans="2:10" x14ac:dyDescent="0.15">
      <c r="B3505" s="69" t="s">
        <v>18</v>
      </c>
      <c r="C3505" s="13">
        <v>5</v>
      </c>
      <c r="D3505" s="14">
        <f t="shared" si="320"/>
        <v>5</v>
      </c>
      <c r="E3505" s="5">
        <v>45231</v>
      </c>
      <c r="G3505" s="89"/>
      <c r="H3505" s="13"/>
      <c r="I3505" s="14">
        <f t="shared" ref="I3505:I3525" si="322">SUM(H3505:H3505)</f>
        <v>0</v>
      </c>
      <c r="J3505" s="12"/>
    </row>
    <row r="3506" spans="2:10" x14ac:dyDescent="0.15">
      <c r="B3506" s="69" t="s">
        <v>18</v>
      </c>
      <c r="C3506" s="13">
        <v>4</v>
      </c>
      <c r="D3506" s="14">
        <f t="shared" si="320"/>
        <v>4</v>
      </c>
      <c r="E3506" s="5">
        <v>45232</v>
      </c>
      <c r="G3506" s="89"/>
      <c r="H3506" s="13"/>
      <c r="I3506" s="14">
        <f t="shared" si="322"/>
        <v>0</v>
      </c>
      <c r="J3506" s="12"/>
    </row>
    <row r="3507" spans="2:10" x14ac:dyDescent="0.15">
      <c r="B3507" s="69" t="s">
        <v>18</v>
      </c>
      <c r="C3507" s="13">
        <v>13</v>
      </c>
      <c r="D3507" s="14">
        <f t="shared" si="320"/>
        <v>13</v>
      </c>
      <c r="E3507" s="5">
        <v>45236</v>
      </c>
      <c r="G3507" s="89"/>
      <c r="H3507" s="13"/>
      <c r="I3507" s="14">
        <f t="shared" si="322"/>
        <v>0</v>
      </c>
      <c r="J3507" s="12"/>
    </row>
    <row r="3508" spans="2:10" x14ac:dyDescent="0.15">
      <c r="B3508" s="69" t="s">
        <v>18</v>
      </c>
      <c r="C3508" s="13">
        <v>7</v>
      </c>
      <c r="D3508" s="14">
        <f t="shared" si="320"/>
        <v>7</v>
      </c>
      <c r="E3508" s="5">
        <v>45237</v>
      </c>
      <c r="G3508" s="15"/>
      <c r="H3508" s="13"/>
      <c r="I3508" s="14">
        <f t="shared" si="322"/>
        <v>0</v>
      </c>
      <c r="J3508" s="12"/>
    </row>
    <row r="3509" spans="2:10" x14ac:dyDescent="0.15">
      <c r="B3509" s="69" t="s">
        <v>189</v>
      </c>
      <c r="C3509" s="13">
        <v>1</v>
      </c>
      <c r="D3509" s="14">
        <f t="shared" si="320"/>
        <v>1</v>
      </c>
      <c r="E3509" s="5">
        <v>45236</v>
      </c>
      <c r="G3509" s="15"/>
      <c r="H3509" s="13"/>
      <c r="I3509" s="14">
        <f t="shared" si="322"/>
        <v>0</v>
      </c>
      <c r="J3509" s="12"/>
    </row>
    <row r="3510" spans="2:10" x14ac:dyDescent="0.15">
      <c r="B3510" s="69" t="s">
        <v>18</v>
      </c>
      <c r="C3510" s="13">
        <v>9</v>
      </c>
      <c r="D3510" s="14">
        <f t="shared" si="320"/>
        <v>9</v>
      </c>
      <c r="E3510" s="5">
        <v>45238</v>
      </c>
      <c r="G3510" s="15"/>
      <c r="H3510" s="13"/>
      <c r="I3510" s="14">
        <f t="shared" si="322"/>
        <v>0</v>
      </c>
      <c r="J3510" s="12"/>
    </row>
    <row r="3511" spans="2:10" x14ac:dyDescent="0.15">
      <c r="B3511" s="69" t="s">
        <v>189</v>
      </c>
      <c r="C3511" s="13">
        <v>2</v>
      </c>
      <c r="D3511" s="14">
        <f t="shared" si="320"/>
        <v>2</v>
      </c>
      <c r="E3511" s="5">
        <v>45237</v>
      </c>
      <c r="G3511" s="15"/>
      <c r="H3511" s="13"/>
      <c r="I3511" s="14">
        <f t="shared" si="322"/>
        <v>0</v>
      </c>
      <c r="J3511" s="5"/>
    </row>
    <row r="3512" spans="2:10" x14ac:dyDescent="0.15">
      <c r="B3512" s="69" t="s">
        <v>18</v>
      </c>
      <c r="C3512" s="13">
        <v>4</v>
      </c>
      <c r="D3512" s="14">
        <f t="shared" si="320"/>
        <v>4</v>
      </c>
      <c r="E3512" s="5">
        <v>45243</v>
      </c>
      <c r="G3512" s="15"/>
      <c r="H3512" s="7"/>
      <c r="I3512" s="14">
        <f t="shared" si="322"/>
        <v>0</v>
      </c>
      <c r="J3512" s="12"/>
    </row>
    <row r="3513" spans="2:10" x14ac:dyDescent="0.15">
      <c r="B3513" s="69" t="s">
        <v>18</v>
      </c>
      <c r="C3513" s="13">
        <v>6</v>
      </c>
      <c r="D3513" s="14">
        <f t="shared" si="320"/>
        <v>6</v>
      </c>
      <c r="E3513" s="5">
        <v>45244</v>
      </c>
      <c r="G3513" s="15"/>
      <c r="H3513" s="7"/>
      <c r="I3513" s="14">
        <f t="shared" si="322"/>
        <v>0</v>
      </c>
      <c r="J3513" s="12"/>
    </row>
    <row r="3514" spans="2:10" x14ac:dyDescent="0.15">
      <c r="B3514" s="69" t="s">
        <v>18</v>
      </c>
      <c r="C3514" s="13">
        <v>4</v>
      </c>
      <c r="D3514" s="14">
        <f t="shared" si="320"/>
        <v>4</v>
      </c>
      <c r="E3514" s="5">
        <v>45247</v>
      </c>
      <c r="G3514" s="15"/>
      <c r="H3514" s="7"/>
      <c r="I3514" s="14">
        <f t="shared" si="322"/>
        <v>0</v>
      </c>
      <c r="J3514" s="5"/>
    </row>
    <row r="3515" spans="2:10" x14ac:dyDescent="0.15">
      <c r="B3515" s="69" t="s">
        <v>18</v>
      </c>
      <c r="C3515" s="13">
        <v>2</v>
      </c>
      <c r="D3515" s="14">
        <f t="shared" si="320"/>
        <v>2</v>
      </c>
      <c r="E3515" s="5">
        <v>45250</v>
      </c>
      <c r="G3515" s="15"/>
      <c r="H3515" s="7"/>
      <c r="I3515" s="14">
        <f t="shared" si="322"/>
        <v>0</v>
      </c>
      <c r="J3515" s="12"/>
    </row>
    <row r="3516" spans="2:10" x14ac:dyDescent="0.15">
      <c r="B3516" s="69" t="s">
        <v>18</v>
      </c>
      <c r="C3516" s="13">
        <v>4</v>
      </c>
      <c r="D3516" s="14">
        <f t="shared" si="320"/>
        <v>4</v>
      </c>
      <c r="E3516" s="5">
        <v>45250</v>
      </c>
      <c r="G3516" s="15"/>
      <c r="H3516" s="7"/>
      <c r="I3516" s="14">
        <f t="shared" si="322"/>
        <v>0</v>
      </c>
      <c r="J3516" s="12"/>
    </row>
    <row r="3517" spans="2:10" x14ac:dyDescent="0.15">
      <c r="B3517" s="69" t="s">
        <v>18</v>
      </c>
      <c r="C3517" s="13">
        <v>4</v>
      </c>
      <c r="D3517" s="14">
        <f t="shared" si="320"/>
        <v>4</v>
      </c>
      <c r="E3517" s="5">
        <v>45252</v>
      </c>
      <c r="G3517" s="15"/>
      <c r="H3517" s="7"/>
      <c r="I3517" s="14">
        <f t="shared" si="322"/>
        <v>0</v>
      </c>
      <c r="J3517" s="67"/>
    </row>
    <row r="3518" spans="2:10" x14ac:dyDescent="0.15">
      <c r="B3518" s="69" t="s">
        <v>189</v>
      </c>
      <c r="C3518" s="13">
        <v>1</v>
      </c>
      <c r="D3518" s="14">
        <f t="shared" si="320"/>
        <v>1</v>
      </c>
      <c r="E3518" s="5">
        <v>45250</v>
      </c>
      <c r="G3518" s="15"/>
      <c r="H3518" s="7"/>
      <c r="I3518" s="14">
        <f t="shared" si="322"/>
        <v>0</v>
      </c>
      <c r="J3518" s="67"/>
    </row>
    <row r="3519" spans="2:10" x14ac:dyDescent="0.15">
      <c r="B3519" s="69" t="s">
        <v>18</v>
      </c>
      <c r="C3519" s="13">
        <v>2</v>
      </c>
      <c r="D3519" s="14">
        <f t="shared" si="320"/>
        <v>2</v>
      </c>
      <c r="E3519" s="5">
        <v>45254</v>
      </c>
      <c r="G3519" s="15"/>
      <c r="H3519" s="7"/>
      <c r="I3519" s="14">
        <f t="shared" si="322"/>
        <v>0</v>
      </c>
      <c r="J3519" s="67"/>
    </row>
    <row r="3520" spans="2:10" x14ac:dyDescent="0.15">
      <c r="B3520" s="69" t="s">
        <v>18</v>
      </c>
      <c r="C3520" s="13">
        <v>1</v>
      </c>
      <c r="D3520" s="14">
        <f t="shared" ref="D3520:D3525" si="323">SUM(C3520:C3520)</f>
        <v>1</v>
      </c>
      <c r="E3520" s="5">
        <v>45254</v>
      </c>
      <c r="G3520" s="15"/>
      <c r="H3520" s="7"/>
      <c r="I3520" s="14">
        <f t="shared" ref="I3520:I3523" si="324">SUM(H3520:H3520)</f>
        <v>0</v>
      </c>
      <c r="J3520" s="67"/>
    </row>
    <row r="3521" spans="2:10" x14ac:dyDescent="0.15">
      <c r="B3521" s="69" t="s">
        <v>189</v>
      </c>
      <c r="C3521" s="13">
        <v>1</v>
      </c>
      <c r="D3521" s="14">
        <f t="shared" si="323"/>
        <v>1</v>
      </c>
      <c r="E3521" s="5">
        <v>45254</v>
      </c>
      <c r="G3521" s="15" t="s">
        <v>998</v>
      </c>
      <c r="H3521" s="7"/>
      <c r="I3521" s="14">
        <f t="shared" ref="I3521:I3522" si="325">SUM(H3521:H3521)</f>
        <v>0</v>
      </c>
      <c r="J3521" s="67" t="s">
        <v>999</v>
      </c>
    </row>
    <row r="3522" spans="2:10" x14ac:dyDescent="0.15">
      <c r="B3522" s="69" t="s">
        <v>18</v>
      </c>
      <c r="C3522" s="13">
        <v>1</v>
      </c>
      <c r="D3522" s="14">
        <f t="shared" si="323"/>
        <v>1</v>
      </c>
      <c r="E3522" s="5">
        <v>45258</v>
      </c>
      <c r="G3522" s="15" t="s">
        <v>995</v>
      </c>
      <c r="H3522" s="7"/>
      <c r="I3522" s="14">
        <f t="shared" si="325"/>
        <v>0</v>
      </c>
      <c r="J3522" s="67" t="s">
        <v>996</v>
      </c>
    </row>
    <row r="3523" spans="2:10" x14ac:dyDescent="0.15">
      <c r="B3523" s="69" t="s">
        <v>18</v>
      </c>
      <c r="C3523" s="13">
        <v>3</v>
      </c>
      <c r="D3523" s="14">
        <f t="shared" si="323"/>
        <v>3</v>
      </c>
      <c r="E3523" s="5">
        <v>45260</v>
      </c>
      <c r="G3523" s="15"/>
      <c r="H3523" s="7"/>
      <c r="I3523" s="14">
        <f t="shared" si="324"/>
        <v>0</v>
      </c>
      <c r="J3523" s="67"/>
    </row>
    <row r="3524" spans="2:10" ht="14.25" thickBot="1" x14ac:dyDescent="0.2">
      <c r="B3524" s="69" t="s">
        <v>18</v>
      </c>
      <c r="C3524" s="7">
        <v>1</v>
      </c>
      <c r="D3524" s="14">
        <f t="shared" si="323"/>
        <v>1</v>
      </c>
      <c r="E3524" s="5">
        <v>45264</v>
      </c>
      <c r="G3524" s="15"/>
      <c r="H3524" s="7"/>
      <c r="I3524" s="14">
        <f t="shared" ref="I3524" si="326">SUM(H3524:H3524)</f>
        <v>0</v>
      </c>
      <c r="J3524" s="67"/>
    </row>
    <row r="3525" spans="2:10" ht="14.25" thickBot="1" x14ac:dyDescent="0.2">
      <c r="B3525" s="17" t="s">
        <v>2</v>
      </c>
      <c r="C3525" s="18">
        <f>SUM(C3501:C3524)</f>
        <v>124</v>
      </c>
      <c r="D3525" s="19">
        <f t="shared" si="323"/>
        <v>124</v>
      </c>
      <c r="E3525" s="20"/>
      <c r="G3525" s="17" t="s">
        <v>2</v>
      </c>
      <c r="H3525" s="18">
        <f>SUM(H3501:H3524)</f>
        <v>0</v>
      </c>
      <c r="I3525" s="19">
        <f t="shared" si="322"/>
        <v>0</v>
      </c>
      <c r="J3525" s="20"/>
    </row>
    <row r="3526" spans="2:10" ht="14.25" thickBot="1" x14ac:dyDescent="0.2">
      <c r="B3526" s="46" t="s">
        <v>3</v>
      </c>
      <c r="C3526" s="52">
        <f>C3500-C3525</f>
        <v>484</v>
      </c>
      <c r="D3526" s="48">
        <f>D3500-D3525</f>
        <v>484</v>
      </c>
      <c r="E3526" s="49"/>
      <c r="G3526" s="46" t="s">
        <v>3</v>
      </c>
      <c r="H3526" s="52">
        <f>H3500-H3525</f>
        <v>1648</v>
      </c>
      <c r="I3526" s="48">
        <f>I3500-I3525</f>
        <v>1648</v>
      </c>
      <c r="J3526" s="49"/>
    </row>
    <row r="3529" spans="2:10" ht="18.75" x14ac:dyDescent="0.2">
      <c r="B3529" s="26" t="s">
        <v>7</v>
      </c>
      <c r="G3529" s="26" t="s">
        <v>35</v>
      </c>
    </row>
    <row r="3530" spans="2:10" ht="14.25" thickBot="1" x14ac:dyDescent="0.2"/>
    <row r="3531" spans="2:10" ht="14.25" thickBot="1" x14ac:dyDescent="0.2">
      <c r="B3531" s="1"/>
      <c r="C3531" s="1"/>
      <c r="D3531" s="53" t="s">
        <v>0</v>
      </c>
      <c r="E3531" s="1" t="s">
        <v>4</v>
      </c>
      <c r="G3531" s="1"/>
      <c r="H3531" s="1"/>
      <c r="I3531" s="53" t="s">
        <v>0</v>
      </c>
      <c r="J3531" s="1" t="s">
        <v>4</v>
      </c>
    </row>
    <row r="3532" spans="2:10" x14ac:dyDescent="0.15">
      <c r="B3532" s="42" t="s">
        <v>5</v>
      </c>
      <c r="C3532" s="43">
        <f>C3526</f>
        <v>484</v>
      </c>
      <c r="D3532" s="44">
        <f>SUM(C3532:C3532)</f>
        <v>484</v>
      </c>
      <c r="E3532" s="45"/>
      <c r="G3532" s="42" t="s">
        <v>5</v>
      </c>
      <c r="H3532" s="43">
        <f>H3526</f>
        <v>1648</v>
      </c>
      <c r="I3532" s="44">
        <f>SUM(H3532:H3532)</f>
        <v>1648</v>
      </c>
      <c r="J3532" s="45"/>
    </row>
    <row r="3533" spans="2:10" x14ac:dyDescent="0.15">
      <c r="B3533" s="4" t="s">
        <v>76</v>
      </c>
      <c r="C3533" s="13">
        <v>5</v>
      </c>
      <c r="D3533" s="14">
        <f t="shared" ref="D3533:D3534" si="327">SUM(C3533:C3533)</f>
        <v>5</v>
      </c>
      <c r="E3533" s="12">
        <v>45266</v>
      </c>
      <c r="G3533" s="6" t="s">
        <v>6</v>
      </c>
      <c r="H3533" s="13"/>
      <c r="I3533" s="14">
        <f>SUM(H3533:H3533)</f>
        <v>0</v>
      </c>
      <c r="J3533" s="169"/>
    </row>
    <row r="3534" spans="2:10" x14ac:dyDescent="0.15">
      <c r="B3534" s="4" t="s">
        <v>76</v>
      </c>
      <c r="C3534" s="13">
        <v>4</v>
      </c>
      <c r="D3534" s="14">
        <f t="shared" si="327"/>
        <v>4</v>
      </c>
      <c r="E3534" s="12">
        <v>45274</v>
      </c>
      <c r="G3534" s="4" t="s">
        <v>6</v>
      </c>
      <c r="H3534" s="13"/>
      <c r="I3534" s="14">
        <f>SUM(H3534:H3534)</f>
        <v>0</v>
      </c>
      <c r="J3534" s="169"/>
    </row>
    <row r="3535" spans="2:10" ht="14.25" thickBot="1" x14ac:dyDescent="0.2">
      <c r="B3535" s="4" t="s">
        <v>6</v>
      </c>
      <c r="C3535" s="94"/>
      <c r="D3535" s="96">
        <f t="shared" ref="D3535" si="328">SUM(C3535:C3535)</f>
        <v>0</v>
      </c>
      <c r="E3535" s="98"/>
      <c r="G3535" s="92" t="s">
        <v>6</v>
      </c>
      <c r="H3535" s="13"/>
      <c r="I3535" s="14">
        <f t="shared" ref="I3535" si="329">SUM(H3535:H3535)</f>
        <v>0</v>
      </c>
      <c r="J3535" s="169"/>
    </row>
    <row r="3536" spans="2:10" ht="14.25" thickBot="1" x14ac:dyDescent="0.2">
      <c r="B3536" s="46" t="s">
        <v>1</v>
      </c>
      <c r="C3536" s="48">
        <f>SUM(C3532:C3535)</f>
        <v>493</v>
      </c>
      <c r="D3536" s="48">
        <f>SUM(D3532:D3535)</f>
        <v>493</v>
      </c>
      <c r="E3536" s="51"/>
      <c r="G3536" s="46" t="s">
        <v>1</v>
      </c>
      <c r="H3536" s="50">
        <f>SUM(H3532:H3535)</f>
        <v>1648</v>
      </c>
      <c r="I3536" s="48">
        <f>SUM(I3532:I3535)</f>
        <v>1648</v>
      </c>
      <c r="J3536" s="51"/>
    </row>
    <row r="3537" spans="2:10" x14ac:dyDescent="0.15">
      <c r="B3537" s="69" t="s">
        <v>18</v>
      </c>
      <c r="C3537" s="13">
        <v>1</v>
      </c>
      <c r="D3537" s="14">
        <f t="shared" ref="D3537:D3557" si="330">SUM(C3537:C3537)</f>
        <v>1</v>
      </c>
      <c r="E3537" s="5">
        <v>45268</v>
      </c>
      <c r="G3537" s="89"/>
      <c r="H3537" s="13"/>
      <c r="I3537" s="14">
        <f t="shared" ref="I3537:I3561" si="331">SUM(H3537:H3537)</f>
        <v>0</v>
      </c>
      <c r="J3537" s="12"/>
    </row>
    <row r="3538" spans="2:10" x14ac:dyDescent="0.15">
      <c r="B3538" s="69" t="s">
        <v>189</v>
      </c>
      <c r="C3538" s="13">
        <v>1</v>
      </c>
      <c r="D3538" s="14">
        <f t="shared" si="330"/>
        <v>1</v>
      </c>
      <c r="E3538" s="5">
        <v>45266</v>
      </c>
      <c r="G3538" s="89"/>
      <c r="H3538" s="13"/>
      <c r="I3538" s="14">
        <f t="shared" si="331"/>
        <v>0</v>
      </c>
      <c r="J3538" s="12"/>
    </row>
    <row r="3539" spans="2:10" x14ac:dyDescent="0.15">
      <c r="B3539" s="69" t="s">
        <v>18</v>
      </c>
      <c r="C3539" s="13">
        <v>4</v>
      </c>
      <c r="D3539" s="14">
        <f t="shared" ref="D3539" si="332">SUM(C3539:C3539)</f>
        <v>4</v>
      </c>
      <c r="E3539" s="5">
        <v>45268</v>
      </c>
      <c r="G3539" s="89"/>
      <c r="H3539" s="13"/>
      <c r="I3539" s="14">
        <f t="shared" si="331"/>
        <v>0</v>
      </c>
      <c r="J3539" s="12"/>
    </row>
    <row r="3540" spans="2:10" x14ac:dyDescent="0.15">
      <c r="B3540" s="69" t="s">
        <v>18</v>
      </c>
      <c r="C3540" s="13">
        <v>1</v>
      </c>
      <c r="D3540" s="14">
        <f t="shared" si="330"/>
        <v>1</v>
      </c>
      <c r="E3540" s="5">
        <v>45271</v>
      </c>
      <c r="G3540" s="89"/>
      <c r="H3540" s="13"/>
      <c r="I3540" s="14">
        <f t="shared" si="331"/>
        <v>0</v>
      </c>
      <c r="J3540" s="12"/>
    </row>
    <row r="3541" spans="2:10" x14ac:dyDescent="0.15">
      <c r="B3541" s="69" t="s">
        <v>189</v>
      </c>
      <c r="C3541" s="13">
        <v>2</v>
      </c>
      <c r="D3541" s="14">
        <f t="shared" si="330"/>
        <v>2</v>
      </c>
      <c r="E3541" s="5">
        <v>45271</v>
      </c>
      <c r="G3541" s="89"/>
      <c r="H3541" s="13"/>
      <c r="I3541" s="14">
        <f t="shared" si="331"/>
        <v>0</v>
      </c>
      <c r="J3541" s="12"/>
    </row>
    <row r="3542" spans="2:10" x14ac:dyDescent="0.15">
      <c r="B3542" s="69" t="s">
        <v>18</v>
      </c>
      <c r="C3542" s="13">
        <v>1</v>
      </c>
      <c r="D3542" s="14">
        <f t="shared" si="330"/>
        <v>1</v>
      </c>
      <c r="E3542" s="5">
        <v>45275</v>
      </c>
      <c r="G3542" s="89"/>
      <c r="H3542" s="13"/>
      <c r="I3542" s="14">
        <f t="shared" si="331"/>
        <v>0</v>
      </c>
      <c r="J3542" s="12"/>
    </row>
    <row r="3543" spans="2:10" x14ac:dyDescent="0.15">
      <c r="B3543" s="69" t="s">
        <v>18</v>
      </c>
      <c r="C3543" s="13">
        <v>1</v>
      </c>
      <c r="D3543" s="14">
        <f t="shared" si="330"/>
        <v>1</v>
      </c>
      <c r="E3543" s="5">
        <v>45275</v>
      </c>
      <c r="G3543" s="89"/>
      <c r="H3543" s="13"/>
      <c r="I3543" s="14">
        <f t="shared" si="331"/>
        <v>0</v>
      </c>
      <c r="J3543" s="12"/>
    </row>
    <row r="3544" spans="2:10" x14ac:dyDescent="0.15">
      <c r="B3544" s="69" t="s">
        <v>18</v>
      </c>
      <c r="C3544" s="13">
        <v>2</v>
      </c>
      <c r="D3544" s="14">
        <f t="shared" si="330"/>
        <v>2</v>
      </c>
      <c r="E3544" s="5">
        <v>45278</v>
      </c>
      <c r="G3544" s="15"/>
      <c r="H3544" s="13"/>
      <c r="I3544" s="14">
        <f t="shared" si="331"/>
        <v>0</v>
      </c>
      <c r="J3544" s="12"/>
    </row>
    <row r="3545" spans="2:10" x14ac:dyDescent="0.15">
      <c r="B3545" s="69" t="s">
        <v>189</v>
      </c>
      <c r="C3545" s="13">
        <v>2</v>
      </c>
      <c r="D3545" s="14">
        <f t="shared" si="330"/>
        <v>2</v>
      </c>
      <c r="E3545" s="5">
        <v>45278</v>
      </c>
      <c r="G3545" s="15"/>
      <c r="H3545" s="13"/>
      <c r="I3545" s="14">
        <f t="shared" si="331"/>
        <v>0</v>
      </c>
      <c r="J3545" s="12"/>
    </row>
    <row r="3546" spans="2:10" x14ac:dyDescent="0.15">
      <c r="B3546" s="69" t="s">
        <v>18</v>
      </c>
      <c r="C3546" s="13">
        <v>6</v>
      </c>
      <c r="D3546" s="14">
        <f t="shared" si="330"/>
        <v>6</v>
      </c>
      <c r="E3546" s="5">
        <v>45281</v>
      </c>
      <c r="G3546" s="15"/>
      <c r="H3546" s="13"/>
      <c r="I3546" s="14">
        <f t="shared" si="331"/>
        <v>0</v>
      </c>
      <c r="J3546" s="12"/>
    </row>
    <row r="3547" spans="2:10" x14ac:dyDescent="0.15">
      <c r="B3547" s="69" t="s">
        <v>18</v>
      </c>
      <c r="C3547" s="13">
        <v>4</v>
      </c>
      <c r="D3547" s="14">
        <f t="shared" si="330"/>
        <v>4</v>
      </c>
      <c r="E3547" s="5">
        <v>45282</v>
      </c>
      <c r="G3547" s="15"/>
      <c r="H3547" s="13"/>
      <c r="I3547" s="14">
        <f t="shared" si="331"/>
        <v>0</v>
      </c>
      <c r="J3547" s="5"/>
    </row>
    <row r="3548" spans="2:10" x14ac:dyDescent="0.15">
      <c r="B3548" s="69" t="s">
        <v>18</v>
      </c>
      <c r="C3548" s="13">
        <v>4</v>
      </c>
      <c r="D3548" s="14">
        <f t="shared" si="330"/>
        <v>4</v>
      </c>
      <c r="E3548" s="5">
        <v>45282</v>
      </c>
      <c r="G3548" s="15"/>
      <c r="H3548" s="7"/>
      <c r="I3548" s="14">
        <f t="shared" si="331"/>
        <v>0</v>
      </c>
      <c r="J3548" s="12"/>
    </row>
    <row r="3549" spans="2:10" x14ac:dyDescent="0.15">
      <c r="B3549" s="69" t="s">
        <v>18</v>
      </c>
      <c r="C3549" s="13">
        <v>8</v>
      </c>
      <c r="D3549" s="14">
        <f t="shared" si="330"/>
        <v>8</v>
      </c>
      <c r="E3549" s="5">
        <v>45287</v>
      </c>
      <c r="G3549" s="15"/>
      <c r="H3549" s="7"/>
      <c r="I3549" s="14">
        <f t="shared" si="331"/>
        <v>0</v>
      </c>
      <c r="J3549" s="12"/>
    </row>
    <row r="3550" spans="2:10" x14ac:dyDescent="0.15">
      <c r="B3550" s="69" t="s">
        <v>189</v>
      </c>
      <c r="C3550" s="13">
        <v>3</v>
      </c>
      <c r="D3550" s="14">
        <f t="shared" si="330"/>
        <v>3</v>
      </c>
      <c r="E3550" s="5">
        <v>45285</v>
      </c>
      <c r="G3550" s="15"/>
      <c r="H3550" s="7"/>
      <c r="I3550" s="14">
        <f t="shared" si="331"/>
        <v>0</v>
      </c>
      <c r="J3550" s="5"/>
    </row>
    <row r="3551" spans="2:10" x14ac:dyDescent="0.15">
      <c r="B3551" s="69" t="s">
        <v>189</v>
      </c>
      <c r="C3551" s="13">
        <v>2</v>
      </c>
      <c r="D3551" s="14">
        <f t="shared" si="330"/>
        <v>2</v>
      </c>
      <c r="E3551" s="5">
        <v>45300</v>
      </c>
      <c r="G3551" s="15"/>
      <c r="H3551" s="7"/>
      <c r="I3551" s="14">
        <f t="shared" si="331"/>
        <v>0</v>
      </c>
      <c r="J3551" s="12"/>
    </row>
    <row r="3552" spans="2:10" x14ac:dyDescent="0.15">
      <c r="B3552" s="69" t="s">
        <v>18</v>
      </c>
      <c r="C3552" s="13">
        <v>6</v>
      </c>
      <c r="D3552" s="14">
        <f t="shared" si="330"/>
        <v>6</v>
      </c>
      <c r="E3552" s="5">
        <v>45303</v>
      </c>
      <c r="G3552" s="15"/>
      <c r="H3552" s="7"/>
      <c r="I3552" s="14">
        <f t="shared" si="331"/>
        <v>0</v>
      </c>
      <c r="J3552" s="12"/>
    </row>
    <row r="3553" spans="2:10" x14ac:dyDescent="0.15">
      <c r="B3553" s="69" t="s">
        <v>18</v>
      </c>
      <c r="C3553" s="13">
        <v>2</v>
      </c>
      <c r="D3553" s="14">
        <f t="shared" si="330"/>
        <v>2</v>
      </c>
      <c r="E3553" s="5">
        <v>45306</v>
      </c>
      <c r="G3553" s="15"/>
      <c r="H3553" s="7"/>
      <c r="I3553" s="14">
        <f t="shared" si="331"/>
        <v>0</v>
      </c>
      <c r="J3553" s="67"/>
    </row>
    <row r="3554" spans="2:10" x14ac:dyDescent="0.15">
      <c r="B3554" s="69" t="s">
        <v>18</v>
      </c>
      <c r="C3554" s="13">
        <v>1</v>
      </c>
      <c r="D3554" s="14">
        <f t="shared" si="330"/>
        <v>1</v>
      </c>
      <c r="E3554" s="5">
        <v>45316</v>
      </c>
      <c r="G3554" s="15"/>
      <c r="H3554" s="7"/>
      <c r="I3554" s="14">
        <f t="shared" si="331"/>
        <v>0</v>
      </c>
      <c r="J3554" s="67"/>
    </row>
    <row r="3555" spans="2:10" x14ac:dyDescent="0.15">
      <c r="B3555" s="69" t="s">
        <v>189</v>
      </c>
      <c r="C3555" s="13">
        <v>1</v>
      </c>
      <c r="D3555" s="14">
        <f t="shared" si="330"/>
        <v>1</v>
      </c>
      <c r="E3555" s="5">
        <v>45320</v>
      </c>
      <c r="G3555" s="15"/>
      <c r="H3555" s="7"/>
      <c r="I3555" s="14">
        <f t="shared" si="331"/>
        <v>0</v>
      </c>
      <c r="J3555" s="67"/>
    </row>
    <row r="3556" spans="2:10" x14ac:dyDescent="0.15">
      <c r="B3556" s="69" t="s">
        <v>18</v>
      </c>
      <c r="C3556" s="13">
        <v>5</v>
      </c>
      <c r="D3556" s="14">
        <f t="shared" si="330"/>
        <v>5</v>
      </c>
      <c r="E3556" s="5">
        <v>45323</v>
      </c>
      <c r="G3556" s="15"/>
      <c r="H3556" s="7"/>
      <c r="I3556" s="14">
        <f t="shared" si="331"/>
        <v>0</v>
      </c>
      <c r="J3556" s="67"/>
    </row>
    <row r="3557" spans="2:10" x14ac:dyDescent="0.15">
      <c r="B3557" s="69" t="s">
        <v>189</v>
      </c>
      <c r="C3557" s="13">
        <v>2</v>
      </c>
      <c r="D3557" s="14">
        <f t="shared" si="330"/>
        <v>2</v>
      </c>
      <c r="E3557" s="5">
        <v>45321</v>
      </c>
      <c r="G3557" s="15"/>
      <c r="H3557" s="7"/>
      <c r="I3557" s="14">
        <f t="shared" ref="I3557:I3560" si="333">SUM(H3557:H3557)</f>
        <v>0</v>
      </c>
      <c r="J3557" s="67"/>
    </row>
    <row r="3558" spans="2:10" x14ac:dyDescent="0.15">
      <c r="B3558" s="69" t="s">
        <v>189</v>
      </c>
      <c r="C3558" s="13">
        <v>1</v>
      </c>
      <c r="D3558" s="14">
        <f t="shared" ref="D3558:D3561" si="334">SUM(C3558:C3558)</f>
        <v>1</v>
      </c>
      <c r="E3558" s="5">
        <v>45335</v>
      </c>
      <c r="G3558" s="15"/>
      <c r="H3558" s="7"/>
      <c r="I3558" s="14">
        <f t="shared" si="333"/>
        <v>0</v>
      </c>
      <c r="J3558" s="67"/>
    </row>
    <row r="3559" spans="2:10" x14ac:dyDescent="0.15">
      <c r="B3559" s="69" t="s">
        <v>18</v>
      </c>
      <c r="C3559" s="13">
        <v>1</v>
      </c>
      <c r="D3559" s="14">
        <f t="shared" si="334"/>
        <v>1</v>
      </c>
      <c r="E3559" s="5">
        <v>45338</v>
      </c>
      <c r="G3559" s="15"/>
      <c r="H3559" s="7"/>
      <c r="I3559" s="14">
        <f t="shared" si="333"/>
        <v>0</v>
      </c>
      <c r="J3559" s="67"/>
    </row>
    <row r="3560" spans="2:10" ht="14.25" thickBot="1" x14ac:dyDescent="0.2">
      <c r="B3560" s="69" t="s">
        <v>18</v>
      </c>
      <c r="C3560" s="7">
        <v>1</v>
      </c>
      <c r="D3560" s="14">
        <f t="shared" si="334"/>
        <v>1</v>
      </c>
      <c r="E3560" s="5">
        <v>45341</v>
      </c>
      <c r="G3560" s="15" t="s">
        <v>1006</v>
      </c>
      <c r="H3560" s="7"/>
      <c r="I3560" s="14">
        <f t="shared" si="333"/>
        <v>0</v>
      </c>
      <c r="J3560" s="67" t="s">
        <v>1007</v>
      </c>
    </row>
    <row r="3561" spans="2:10" ht="14.25" thickBot="1" x14ac:dyDescent="0.2">
      <c r="B3561" s="17" t="s">
        <v>2</v>
      </c>
      <c r="C3561" s="18">
        <f>SUM(C3537:C3560)</f>
        <v>62</v>
      </c>
      <c r="D3561" s="19">
        <f t="shared" si="334"/>
        <v>62</v>
      </c>
      <c r="E3561" s="20"/>
      <c r="G3561" s="17" t="s">
        <v>2</v>
      </c>
      <c r="H3561" s="18">
        <f>SUM(H3537:H3560)</f>
        <v>0</v>
      </c>
      <c r="I3561" s="19">
        <f t="shared" si="331"/>
        <v>0</v>
      </c>
      <c r="J3561" s="20"/>
    </row>
    <row r="3562" spans="2:10" ht="14.25" thickBot="1" x14ac:dyDescent="0.2">
      <c r="B3562" s="46" t="s">
        <v>3</v>
      </c>
      <c r="C3562" s="52">
        <f>C3536-C3561</f>
        <v>431</v>
      </c>
      <c r="D3562" s="48">
        <f>D3536-D3561</f>
        <v>431</v>
      </c>
      <c r="E3562" s="49"/>
      <c r="G3562" s="46" t="s">
        <v>3</v>
      </c>
      <c r="H3562" s="52">
        <f>H3536-H3561</f>
        <v>1648</v>
      </c>
      <c r="I3562" s="48">
        <f>I3536-I3561</f>
        <v>1648</v>
      </c>
      <c r="J3562" s="49"/>
    </row>
    <row r="3563" spans="2:10" x14ac:dyDescent="0.15">
      <c r="H3563">
        <f>H3489+H3453+H3417+H3381+H3345+H3309</f>
        <v>8900</v>
      </c>
    </row>
    <row r="3564" spans="2:10" ht="24" customHeight="1" x14ac:dyDescent="0.3">
      <c r="E3564" s="200" t="s">
        <v>1012</v>
      </c>
      <c r="F3564" s="200"/>
      <c r="G3564" s="200"/>
      <c r="H3564" s="200"/>
      <c r="I3564" s="200"/>
    </row>
    <row r="3565" spans="2:10" ht="18.75" x14ac:dyDescent="0.2">
      <c r="B3565" s="26" t="s">
        <v>7</v>
      </c>
      <c r="G3565" s="26" t="s">
        <v>35</v>
      </c>
    </row>
    <row r="3566" spans="2:10" ht="14.25" thickBot="1" x14ac:dyDescent="0.2"/>
    <row r="3567" spans="2:10" ht="14.25" thickBot="1" x14ac:dyDescent="0.2">
      <c r="B3567" s="1"/>
      <c r="C3567" s="1"/>
      <c r="D3567" s="53" t="s">
        <v>0</v>
      </c>
      <c r="E3567" s="1" t="s">
        <v>4</v>
      </c>
      <c r="G3567" s="1"/>
      <c r="H3567" s="1"/>
      <c r="I3567" s="53" t="s">
        <v>0</v>
      </c>
      <c r="J3567" s="1" t="s">
        <v>4</v>
      </c>
    </row>
    <row r="3568" spans="2:10" x14ac:dyDescent="0.15">
      <c r="B3568" s="42" t="s">
        <v>5</v>
      </c>
      <c r="C3568" s="43">
        <f>C3562</f>
        <v>431</v>
      </c>
      <c r="D3568" s="44">
        <f>SUM(C3568:C3568)</f>
        <v>431</v>
      </c>
      <c r="E3568" s="45"/>
      <c r="G3568" s="42" t="s">
        <v>5</v>
      </c>
      <c r="H3568" s="43">
        <f>H3562</f>
        <v>1648</v>
      </c>
      <c r="I3568" s="44">
        <f>SUM(H3568:H3568)</f>
        <v>1648</v>
      </c>
      <c r="J3568" s="45"/>
    </row>
    <row r="3569" spans="2:10" x14ac:dyDescent="0.15">
      <c r="B3569" s="4" t="s">
        <v>6</v>
      </c>
      <c r="C3569" s="94"/>
      <c r="D3569" s="96">
        <f t="shared" ref="D3569:D3571" si="335">SUM(C3569:C3569)</f>
        <v>0</v>
      </c>
      <c r="E3569" s="98"/>
      <c r="G3569" s="6" t="s">
        <v>6</v>
      </c>
      <c r="H3569" s="13"/>
      <c r="I3569" s="14">
        <f>SUM(H3569:H3569)</f>
        <v>0</v>
      </c>
      <c r="J3569" s="169"/>
    </row>
    <row r="3570" spans="2:10" x14ac:dyDescent="0.15">
      <c r="B3570" s="4" t="s">
        <v>6</v>
      </c>
      <c r="C3570" s="94"/>
      <c r="D3570" s="96">
        <f t="shared" si="335"/>
        <v>0</v>
      </c>
      <c r="E3570" s="98"/>
      <c r="G3570" s="6" t="s">
        <v>6</v>
      </c>
      <c r="H3570" s="13"/>
      <c r="I3570" s="14">
        <f>SUM(H3570:H3570)</f>
        <v>0</v>
      </c>
      <c r="J3570" s="169"/>
    </row>
    <row r="3571" spans="2:10" ht="14.25" thickBot="1" x14ac:dyDescent="0.2">
      <c r="B3571" s="4" t="s">
        <v>6</v>
      </c>
      <c r="C3571" s="94"/>
      <c r="D3571" s="96">
        <f t="shared" si="335"/>
        <v>0</v>
      </c>
      <c r="E3571" s="98"/>
      <c r="G3571" s="6" t="s">
        <v>6</v>
      </c>
      <c r="H3571" s="13"/>
      <c r="I3571" s="14">
        <f t="shared" ref="I3571" si="336">SUM(H3571:H3571)</f>
        <v>0</v>
      </c>
      <c r="J3571" s="169"/>
    </row>
    <row r="3572" spans="2:10" ht="14.25" thickBot="1" x14ac:dyDescent="0.2">
      <c r="B3572" s="46" t="s">
        <v>1</v>
      </c>
      <c r="C3572" s="48">
        <f>SUM(C3568:C3571)</f>
        <v>431</v>
      </c>
      <c r="D3572" s="48">
        <f>SUM(D3568:D3571)</f>
        <v>431</v>
      </c>
      <c r="E3572" s="51"/>
      <c r="G3572" s="46" t="s">
        <v>1</v>
      </c>
      <c r="H3572" s="50">
        <f>SUM(H3568:H3571)</f>
        <v>1648</v>
      </c>
      <c r="I3572" s="48">
        <f>SUM(I3568:I3571)</f>
        <v>1648</v>
      </c>
      <c r="J3572" s="51"/>
    </row>
    <row r="3573" spans="2:10" x14ac:dyDescent="0.15">
      <c r="B3573" s="69" t="s">
        <v>189</v>
      </c>
      <c r="C3573" s="13">
        <v>2</v>
      </c>
      <c r="D3573" s="14">
        <f t="shared" ref="D3573:D3597" si="337">SUM(C3573:C3573)</f>
        <v>2</v>
      </c>
      <c r="E3573" s="5">
        <v>45339</v>
      </c>
      <c r="G3573" s="15" t="s">
        <v>1014</v>
      </c>
      <c r="H3573" s="13">
        <v>200</v>
      </c>
      <c r="I3573" s="14">
        <f t="shared" ref="I3573:I3597" si="338">SUM(H3573:H3573)</f>
        <v>200</v>
      </c>
      <c r="J3573" s="12">
        <v>45380</v>
      </c>
    </row>
    <row r="3574" spans="2:10" x14ac:dyDescent="0.15">
      <c r="B3574" s="69" t="s">
        <v>18</v>
      </c>
      <c r="C3574" s="13">
        <v>2</v>
      </c>
      <c r="D3574" s="14">
        <f t="shared" si="337"/>
        <v>2</v>
      </c>
      <c r="E3574" s="5">
        <v>45343</v>
      </c>
      <c r="G3574" s="15" t="s">
        <v>1020</v>
      </c>
      <c r="H3574" s="13">
        <v>400</v>
      </c>
      <c r="I3574" s="14">
        <f t="shared" si="338"/>
        <v>400</v>
      </c>
      <c r="J3574" s="12">
        <v>45394</v>
      </c>
    </row>
    <row r="3575" spans="2:10" x14ac:dyDescent="0.15">
      <c r="B3575" s="69" t="s">
        <v>18</v>
      </c>
      <c r="C3575" s="13">
        <v>2</v>
      </c>
      <c r="D3575" s="14">
        <f t="shared" si="337"/>
        <v>2</v>
      </c>
      <c r="E3575" s="5">
        <v>45357</v>
      </c>
      <c r="G3575" s="15" t="s">
        <v>1021</v>
      </c>
      <c r="H3575" s="13">
        <v>800</v>
      </c>
      <c r="I3575" s="14">
        <f t="shared" si="338"/>
        <v>800</v>
      </c>
      <c r="J3575" s="12">
        <v>45394</v>
      </c>
    </row>
    <row r="3576" spans="2:10" x14ac:dyDescent="0.15">
      <c r="B3576" s="69" t="s">
        <v>189</v>
      </c>
      <c r="C3576" s="13">
        <v>5</v>
      </c>
      <c r="D3576" s="14">
        <f t="shared" si="337"/>
        <v>5</v>
      </c>
      <c r="E3576" s="5">
        <v>45356</v>
      </c>
      <c r="G3576" s="89"/>
      <c r="H3576" s="13"/>
      <c r="I3576" s="14">
        <f t="shared" si="338"/>
        <v>0</v>
      </c>
      <c r="J3576" s="12"/>
    </row>
    <row r="3577" spans="2:10" x14ac:dyDescent="0.15">
      <c r="B3577" s="69" t="s">
        <v>18</v>
      </c>
      <c r="C3577" s="13">
        <v>1</v>
      </c>
      <c r="D3577" s="14">
        <f t="shared" si="337"/>
        <v>1</v>
      </c>
      <c r="E3577" s="5">
        <v>45359</v>
      </c>
      <c r="G3577" s="89"/>
      <c r="H3577" s="13"/>
      <c r="I3577" s="14">
        <f t="shared" si="338"/>
        <v>0</v>
      </c>
      <c r="J3577" s="12"/>
    </row>
    <row r="3578" spans="2:10" x14ac:dyDescent="0.15">
      <c r="B3578" s="69" t="s">
        <v>189</v>
      </c>
      <c r="C3578" s="13">
        <v>2</v>
      </c>
      <c r="D3578" s="14">
        <f t="shared" si="337"/>
        <v>2</v>
      </c>
      <c r="E3578" s="5">
        <v>45362</v>
      </c>
      <c r="G3578" s="89"/>
      <c r="H3578" s="13"/>
      <c r="I3578" s="14">
        <f t="shared" si="338"/>
        <v>0</v>
      </c>
      <c r="J3578" s="12"/>
    </row>
    <row r="3579" spans="2:10" x14ac:dyDescent="0.15">
      <c r="B3579" s="69" t="s">
        <v>18</v>
      </c>
      <c r="C3579" s="13">
        <v>4</v>
      </c>
      <c r="D3579" s="14">
        <f t="shared" si="337"/>
        <v>4</v>
      </c>
      <c r="E3579" s="5">
        <v>45365</v>
      </c>
      <c r="G3579" s="89"/>
      <c r="H3579" s="13"/>
      <c r="I3579" s="14">
        <f t="shared" si="338"/>
        <v>0</v>
      </c>
      <c r="J3579" s="12"/>
    </row>
    <row r="3580" spans="2:10" x14ac:dyDescent="0.15">
      <c r="B3580" s="69" t="s">
        <v>18</v>
      </c>
      <c r="C3580" s="13">
        <v>1</v>
      </c>
      <c r="D3580" s="14">
        <f t="shared" si="337"/>
        <v>1</v>
      </c>
      <c r="E3580" s="5">
        <v>45369</v>
      </c>
      <c r="G3580" s="15"/>
      <c r="H3580" s="13"/>
      <c r="I3580" s="14">
        <f t="shared" si="338"/>
        <v>0</v>
      </c>
      <c r="J3580" s="12"/>
    </row>
    <row r="3581" spans="2:10" x14ac:dyDescent="0.15">
      <c r="B3581" s="69" t="s">
        <v>189</v>
      </c>
      <c r="C3581" s="13">
        <v>1</v>
      </c>
      <c r="D3581" s="14">
        <f t="shared" si="337"/>
        <v>1</v>
      </c>
      <c r="E3581" s="5">
        <v>45378</v>
      </c>
      <c r="G3581" s="15"/>
      <c r="H3581" s="13"/>
      <c r="I3581" s="14">
        <f t="shared" si="338"/>
        <v>0</v>
      </c>
      <c r="J3581" s="12"/>
    </row>
    <row r="3582" spans="2:10" x14ac:dyDescent="0.15">
      <c r="B3582" s="69" t="s">
        <v>189</v>
      </c>
      <c r="C3582" s="13">
        <v>4</v>
      </c>
      <c r="D3582" s="14">
        <f t="shared" si="337"/>
        <v>4</v>
      </c>
      <c r="E3582" s="5">
        <v>45379</v>
      </c>
      <c r="G3582" s="15"/>
      <c r="H3582" s="13"/>
      <c r="I3582" s="14">
        <f t="shared" si="338"/>
        <v>0</v>
      </c>
      <c r="J3582" s="12"/>
    </row>
    <row r="3583" spans="2:10" x14ac:dyDescent="0.15">
      <c r="B3583" s="15" t="s">
        <v>1017</v>
      </c>
      <c r="C3583" s="13">
        <v>100</v>
      </c>
      <c r="D3583" s="14">
        <f t="shared" si="337"/>
        <v>100</v>
      </c>
      <c r="E3583" s="5">
        <v>45387</v>
      </c>
      <c r="G3583" s="15"/>
      <c r="H3583" s="13"/>
      <c r="I3583" s="14">
        <f t="shared" si="338"/>
        <v>0</v>
      </c>
      <c r="J3583" s="5"/>
    </row>
    <row r="3584" spans="2:10" x14ac:dyDescent="0.15">
      <c r="B3584" s="69" t="s">
        <v>189</v>
      </c>
      <c r="C3584" s="13">
        <v>1</v>
      </c>
      <c r="D3584" s="14">
        <f t="shared" si="337"/>
        <v>1</v>
      </c>
      <c r="E3584" s="5">
        <v>45387</v>
      </c>
      <c r="G3584" s="15"/>
      <c r="H3584" s="7"/>
      <c r="I3584" s="14">
        <f t="shared" si="338"/>
        <v>0</v>
      </c>
      <c r="J3584" s="12"/>
    </row>
    <row r="3585" spans="2:10" x14ac:dyDescent="0.15">
      <c r="B3585" s="69" t="s">
        <v>189</v>
      </c>
      <c r="C3585" s="13">
        <v>1</v>
      </c>
      <c r="D3585" s="14">
        <f t="shared" si="337"/>
        <v>1</v>
      </c>
      <c r="E3585" s="5">
        <v>45391</v>
      </c>
      <c r="G3585" s="15"/>
      <c r="H3585" s="7"/>
      <c r="I3585" s="14">
        <f t="shared" si="338"/>
        <v>0</v>
      </c>
      <c r="J3585" s="12"/>
    </row>
    <row r="3586" spans="2:10" x14ac:dyDescent="0.15">
      <c r="B3586" s="69" t="s">
        <v>18</v>
      </c>
      <c r="C3586" s="13">
        <v>1</v>
      </c>
      <c r="D3586" s="14">
        <f t="shared" si="337"/>
        <v>1</v>
      </c>
      <c r="E3586" s="5">
        <v>45394</v>
      </c>
      <c r="G3586" s="15"/>
      <c r="H3586" s="7"/>
      <c r="I3586" s="14">
        <f t="shared" si="338"/>
        <v>0</v>
      </c>
      <c r="J3586" s="5"/>
    </row>
    <row r="3587" spans="2:10" x14ac:dyDescent="0.15">
      <c r="B3587" s="15" t="s">
        <v>1022</v>
      </c>
      <c r="C3587" s="13">
        <v>200</v>
      </c>
      <c r="D3587" s="14">
        <f t="shared" si="337"/>
        <v>200</v>
      </c>
      <c r="E3587" s="5">
        <v>45395</v>
      </c>
      <c r="G3587" s="15"/>
      <c r="H3587" s="7"/>
      <c r="I3587" s="14">
        <f t="shared" si="338"/>
        <v>0</v>
      </c>
      <c r="J3587" s="12"/>
    </row>
    <row r="3588" spans="2:10" x14ac:dyDescent="0.15">
      <c r="B3588" s="69" t="s">
        <v>189</v>
      </c>
      <c r="C3588" s="13">
        <v>8</v>
      </c>
      <c r="D3588" s="14">
        <f t="shared" si="337"/>
        <v>8</v>
      </c>
      <c r="E3588" s="5">
        <v>45397</v>
      </c>
      <c r="G3588" s="15"/>
      <c r="H3588" s="7"/>
      <c r="I3588" s="14">
        <f t="shared" si="338"/>
        <v>0</v>
      </c>
      <c r="J3588" s="12"/>
    </row>
    <row r="3589" spans="2:10" x14ac:dyDescent="0.15">
      <c r="B3589" s="69" t="s">
        <v>189</v>
      </c>
      <c r="C3589" s="13">
        <v>2</v>
      </c>
      <c r="D3589" s="14">
        <f t="shared" si="337"/>
        <v>2</v>
      </c>
      <c r="E3589" s="5">
        <v>45398</v>
      </c>
      <c r="G3589" s="15"/>
      <c r="H3589" s="7"/>
      <c r="I3589" s="14">
        <f t="shared" si="338"/>
        <v>0</v>
      </c>
      <c r="J3589" s="67"/>
    </row>
    <row r="3590" spans="2:10" x14ac:dyDescent="0.15">
      <c r="B3590" s="69" t="s">
        <v>189</v>
      </c>
      <c r="C3590" s="13">
        <v>1</v>
      </c>
      <c r="D3590" s="14">
        <f t="shared" si="337"/>
        <v>1</v>
      </c>
      <c r="E3590" s="5">
        <v>45399</v>
      </c>
      <c r="G3590" s="15"/>
      <c r="H3590" s="7"/>
      <c r="I3590" s="14">
        <f t="shared" si="338"/>
        <v>0</v>
      </c>
      <c r="J3590" s="67"/>
    </row>
    <row r="3591" spans="2:10" x14ac:dyDescent="0.15">
      <c r="B3591" s="69" t="s">
        <v>189</v>
      </c>
      <c r="C3591" s="13">
        <v>1</v>
      </c>
      <c r="D3591" s="14">
        <f t="shared" si="337"/>
        <v>1</v>
      </c>
      <c r="E3591" s="5">
        <v>45400</v>
      </c>
      <c r="G3591" s="15"/>
      <c r="H3591" s="7"/>
      <c r="I3591" s="14">
        <f t="shared" si="338"/>
        <v>0</v>
      </c>
      <c r="J3591" s="67"/>
    </row>
    <row r="3592" spans="2:10" x14ac:dyDescent="0.15">
      <c r="B3592" s="69" t="s">
        <v>189</v>
      </c>
      <c r="C3592" s="13">
        <v>1</v>
      </c>
      <c r="D3592" s="14">
        <f t="shared" si="337"/>
        <v>1</v>
      </c>
      <c r="E3592" s="5">
        <v>45404</v>
      </c>
      <c r="G3592" s="15"/>
      <c r="H3592" s="7"/>
      <c r="I3592" s="14">
        <f t="shared" si="338"/>
        <v>0</v>
      </c>
      <c r="J3592" s="67"/>
    </row>
    <row r="3593" spans="2:10" x14ac:dyDescent="0.15">
      <c r="B3593" s="69" t="s">
        <v>189</v>
      </c>
      <c r="C3593" s="13">
        <v>4</v>
      </c>
      <c r="D3593" s="14">
        <f t="shared" si="337"/>
        <v>4</v>
      </c>
      <c r="E3593" s="5">
        <v>45405</v>
      </c>
      <c r="G3593" s="15"/>
      <c r="H3593" s="7"/>
      <c r="I3593" s="14">
        <f t="shared" si="338"/>
        <v>0</v>
      </c>
      <c r="J3593" s="67"/>
    </row>
    <row r="3594" spans="2:10" x14ac:dyDescent="0.15">
      <c r="B3594" s="69" t="s">
        <v>189</v>
      </c>
      <c r="C3594" s="13">
        <v>1</v>
      </c>
      <c r="D3594" s="14">
        <f t="shared" si="337"/>
        <v>1</v>
      </c>
      <c r="E3594" s="5">
        <v>45405</v>
      </c>
      <c r="G3594" s="15"/>
      <c r="H3594" s="7"/>
      <c r="I3594" s="14">
        <f t="shared" si="338"/>
        <v>0</v>
      </c>
      <c r="J3594" s="67"/>
    </row>
    <row r="3595" spans="2:10" x14ac:dyDescent="0.15">
      <c r="B3595" s="69"/>
      <c r="C3595" s="13"/>
      <c r="D3595" s="14">
        <f t="shared" si="337"/>
        <v>0</v>
      </c>
      <c r="E3595" s="5"/>
      <c r="G3595" s="4" t="s">
        <v>1010</v>
      </c>
      <c r="H3595" s="184">
        <v>0</v>
      </c>
      <c r="I3595" s="185">
        <f t="shared" si="338"/>
        <v>0</v>
      </c>
      <c r="J3595" s="186"/>
    </row>
    <row r="3596" spans="2:10" ht="14.25" thickBot="1" x14ac:dyDescent="0.2">
      <c r="B3596" s="15"/>
      <c r="C3596" s="7"/>
      <c r="D3596" s="14">
        <f t="shared" si="337"/>
        <v>0</v>
      </c>
      <c r="E3596" s="67"/>
      <c r="G3596" s="15" t="s">
        <v>1008</v>
      </c>
      <c r="H3596" s="7">
        <f>1572-200-100-400-800-72</f>
        <v>0</v>
      </c>
      <c r="I3596" s="14">
        <f t="shared" si="338"/>
        <v>0</v>
      </c>
      <c r="J3596" t="s">
        <v>1009</v>
      </c>
    </row>
    <row r="3597" spans="2:10" ht="14.25" thickBot="1" x14ac:dyDescent="0.2">
      <c r="B3597" s="17" t="s">
        <v>2</v>
      </c>
      <c r="C3597" s="18">
        <f>SUM(C3573:C3596)</f>
        <v>345</v>
      </c>
      <c r="D3597" s="19">
        <f t="shared" si="337"/>
        <v>345</v>
      </c>
      <c r="E3597" s="20"/>
      <c r="G3597" s="17" t="s">
        <v>2</v>
      </c>
      <c r="H3597" s="18">
        <f>SUM(H3573:H3596)</f>
        <v>1400</v>
      </c>
      <c r="I3597" s="19">
        <f t="shared" si="338"/>
        <v>1400</v>
      </c>
      <c r="J3597" s="20"/>
    </row>
    <row r="3598" spans="2:10" ht="14.25" thickBot="1" x14ac:dyDescent="0.2">
      <c r="B3598" s="46" t="s">
        <v>3</v>
      </c>
      <c r="C3598" s="52">
        <f>C3572-C3597</f>
        <v>86</v>
      </c>
      <c r="D3598" s="48">
        <f>D3572-D3597</f>
        <v>86</v>
      </c>
      <c r="E3598" s="49"/>
      <c r="G3598" s="46" t="s">
        <v>3</v>
      </c>
      <c r="H3598" s="52">
        <f>H3572-H3597</f>
        <v>248</v>
      </c>
      <c r="I3598" s="48">
        <f>I3572-I3597</f>
        <v>248</v>
      </c>
      <c r="J3598" s="49"/>
    </row>
    <row r="3601" spans="2:10" ht="18.75" x14ac:dyDescent="0.2">
      <c r="B3601" s="26" t="s">
        <v>7</v>
      </c>
      <c r="G3601" s="26" t="s">
        <v>35</v>
      </c>
    </row>
    <row r="3602" spans="2:10" ht="14.25" thickBot="1" x14ac:dyDescent="0.2">
      <c r="J3602">
        <v>360</v>
      </c>
    </row>
    <row r="3603" spans="2:10" ht="14.25" thickBot="1" x14ac:dyDescent="0.2">
      <c r="B3603" s="1"/>
      <c r="C3603" s="1"/>
      <c r="D3603" s="53" t="s">
        <v>0</v>
      </c>
      <c r="E3603" s="1" t="s">
        <v>4</v>
      </c>
      <c r="G3603" s="1"/>
      <c r="H3603" s="1"/>
      <c r="I3603" s="53" t="s">
        <v>0</v>
      </c>
      <c r="J3603" s="1" t="s">
        <v>4</v>
      </c>
    </row>
    <row r="3604" spans="2:10" x14ac:dyDescent="0.15">
      <c r="B3604" s="42" t="s">
        <v>5</v>
      </c>
      <c r="C3604" s="43">
        <f>C3598</f>
        <v>86</v>
      </c>
      <c r="D3604" s="44">
        <f>SUM(C3604:C3604)</f>
        <v>86</v>
      </c>
      <c r="E3604" s="45"/>
      <c r="G3604" s="42" t="s">
        <v>5</v>
      </c>
      <c r="H3604" s="43">
        <f>H3598</f>
        <v>248</v>
      </c>
      <c r="I3604" s="44">
        <f>SUM(H3604:H3604)</f>
        <v>248</v>
      </c>
      <c r="J3604" s="45"/>
    </row>
    <row r="3605" spans="2:10" x14ac:dyDescent="0.15">
      <c r="B3605" s="4" t="s">
        <v>6</v>
      </c>
      <c r="C3605" s="13">
        <v>400</v>
      </c>
      <c r="D3605" s="14">
        <f t="shared" ref="D3605:D3607" si="339">SUM(C3605:C3605)</f>
        <v>400</v>
      </c>
      <c r="E3605" s="12">
        <v>45419</v>
      </c>
      <c r="G3605" s="6"/>
      <c r="H3605" s="13"/>
      <c r="I3605" s="14">
        <f>SUM(H3605:H3605)</f>
        <v>0</v>
      </c>
      <c r="J3605" s="169"/>
    </row>
    <row r="3606" spans="2:10" x14ac:dyDescent="0.15">
      <c r="B3606" s="4" t="s">
        <v>6</v>
      </c>
      <c r="C3606" s="94"/>
      <c r="D3606" s="96">
        <f t="shared" si="339"/>
        <v>0</v>
      </c>
      <c r="E3606" s="98"/>
      <c r="G3606" s="4" t="s">
        <v>6</v>
      </c>
      <c r="H3606" s="13">
        <v>2000</v>
      </c>
      <c r="I3606" s="14">
        <f>SUM(H3606:H3606)</f>
        <v>2000</v>
      </c>
      <c r="J3606" s="169" t="s">
        <v>1038</v>
      </c>
    </row>
    <row r="3607" spans="2:10" ht="14.25" thickBot="1" x14ac:dyDescent="0.2">
      <c r="B3607" s="4" t="s">
        <v>6</v>
      </c>
      <c r="C3607" s="94"/>
      <c r="D3607" s="96">
        <f t="shared" si="339"/>
        <v>0</v>
      </c>
      <c r="E3607" s="98"/>
      <c r="G3607" s="92"/>
      <c r="H3607" s="13"/>
      <c r="I3607" s="14">
        <f t="shared" ref="I3607" si="340">SUM(H3607:H3607)</f>
        <v>0</v>
      </c>
      <c r="J3607" s="169"/>
    </row>
    <row r="3608" spans="2:10" ht="14.25" thickBot="1" x14ac:dyDescent="0.2">
      <c r="B3608" s="46" t="s">
        <v>1</v>
      </c>
      <c r="C3608" s="48">
        <f>SUM(C3604:C3607)</f>
        <v>486</v>
      </c>
      <c r="D3608" s="48">
        <f>SUM(D3604:D3607)</f>
        <v>486</v>
      </c>
      <c r="E3608" s="51"/>
      <c r="G3608" s="46" t="s">
        <v>1</v>
      </c>
      <c r="H3608" s="50">
        <f>SUM(H3604:H3607)</f>
        <v>2248</v>
      </c>
      <c r="I3608" s="48">
        <f>SUM(I3604:I3607)</f>
        <v>2248</v>
      </c>
      <c r="J3608" s="51"/>
    </row>
    <row r="3609" spans="2:10" x14ac:dyDescent="0.15">
      <c r="B3609" s="15" t="s">
        <v>1026</v>
      </c>
      <c r="C3609" s="13">
        <v>5</v>
      </c>
      <c r="D3609" s="14">
        <f t="shared" ref="D3609:D3633" si="341">SUM(C3609:C3609)</f>
        <v>5</v>
      </c>
      <c r="E3609" s="5">
        <v>45414</v>
      </c>
      <c r="G3609" s="89" t="s">
        <v>1029</v>
      </c>
      <c r="H3609" s="13">
        <v>400</v>
      </c>
      <c r="I3609" s="14">
        <f t="shared" ref="I3609:I3633" si="342">SUM(H3609:H3609)</f>
        <v>400</v>
      </c>
      <c r="J3609" s="12">
        <v>45419</v>
      </c>
    </row>
    <row r="3610" spans="2:10" x14ac:dyDescent="0.15">
      <c r="B3610" s="69" t="s">
        <v>18</v>
      </c>
      <c r="C3610" s="13">
        <v>2</v>
      </c>
      <c r="D3610" s="14">
        <f t="shared" si="341"/>
        <v>2</v>
      </c>
      <c r="E3610" s="5">
        <v>45412</v>
      </c>
      <c r="G3610" s="15" t="s">
        <v>1030</v>
      </c>
      <c r="H3610" s="13">
        <v>200</v>
      </c>
      <c r="I3610" s="14">
        <f t="shared" si="342"/>
        <v>200</v>
      </c>
      <c r="J3610" s="12">
        <v>45428</v>
      </c>
    </row>
    <row r="3611" spans="2:10" x14ac:dyDescent="0.15">
      <c r="B3611" s="69" t="s">
        <v>18</v>
      </c>
      <c r="C3611" s="13">
        <v>1</v>
      </c>
      <c r="D3611" s="14">
        <f t="shared" si="341"/>
        <v>1</v>
      </c>
      <c r="E3611" s="5">
        <v>45414</v>
      </c>
      <c r="G3611" s="89"/>
      <c r="H3611" s="13"/>
      <c r="I3611" s="14">
        <f t="shared" si="342"/>
        <v>0</v>
      </c>
      <c r="J3611" s="12"/>
    </row>
    <row r="3612" spans="2:10" x14ac:dyDescent="0.15">
      <c r="B3612" s="69" t="s">
        <v>189</v>
      </c>
      <c r="C3612" s="13">
        <v>1</v>
      </c>
      <c r="D3612" s="14">
        <f t="shared" si="341"/>
        <v>1</v>
      </c>
      <c r="E3612" s="5">
        <v>45413</v>
      </c>
      <c r="G3612" s="89"/>
      <c r="H3612" s="13"/>
      <c r="I3612" s="14">
        <f t="shared" si="342"/>
        <v>0</v>
      </c>
      <c r="J3612" s="12"/>
    </row>
    <row r="3613" spans="2:10" x14ac:dyDescent="0.15">
      <c r="B3613" s="69" t="s">
        <v>189</v>
      </c>
      <c r="C3613" s="13">
        <v>2</v>
      </c>
      <c r="D3613" s="14">
        <f t="shared" si="341"/>
        <v>2</v>
      </c>
      <c r="E3613" s="5">
        <v>45414</v>
      </c>
      <c r="G3613" s="89"/>
      <c r="H3613" s="13"/>
      <c r="I3613" s="14">
        <f t="shared" si="342"/>
        <v>0</v>
      </c>
      <c r="J3613" s="12"/>
    </row>
    <row r="3614" spans="2:10" x14ac:dyDescent="0.15">
      <c r="B3614" s="69" t="s">
        <v>189</v>
      </c>
      <c r="C3614" s="13">
        <v>3</v>
      </c>
      <c r="D3614" s="14">
        <f t="shared" si="341"/>
        <v>3</v>
      </c>
      <c r="E3614" s="5">
        <v>45420</v>
      </c>
      <c r="G3614" s="89"/>
      <c r="H3614" s="13"/>
      <c r="I3614" s="14">
        <f t="shared" si="342"/>
        <v>0</v>
      </c>
      <c r="J3614" s="12"/>
    </row>
    <row r="3615" spans="2:10" x14ac:dyDescent="0.15">
      <c r="B3615" s="69" t="s">
        <v>189</v>
      </c>
      <c r="C3615" s="13">
        <v>1</v>
      </c>
      <c r="D3615" s="14">
        <f t="shared" si="341"/>
        <v>1</v>
      </c>
      <c r="E3615" s="5">
        <v>45425</v>
      </c>
      <c r="G3615" s="89"/>
      <c r="H3615" s="13"/>
      <c r="I3615" s="14">
        <f t="shared" si="342"/>
        <v>0</v>
      </c>
      <c r="J3615" s="12"/>
    </row>
    <row r="3616" spans="2:10" x14ac:dyDescent="0.15">
      <c r="B3616" s="69" t="s">
        <v>18</v>
      </c>
      <c r="C3616" s="13">
        <v>2</v>
      </c>
      <c r="D3616" s="14">
        <f t="shared" si="341"/>
        <v>2</v>
      </c>
      <c r="E3616" s="5">
        <v>45428</v>
      </c>
      <c r="G3616" s="15"/>
      <c r="H3616" s="13"/>
      <c r="I3616" s="14">
        <f t="shared" si="342"/>
        <v>0</v>
      </c>
      <c r="J3616" s="12"/>
    </row>
    <row r="3617" spans="2:10" x14ac:dyDescent="0.15">
      <c r="B3617" s="15" t="s">
        <v>1032</v>
      </c>
      <c r="C3617" s="13">
        <v>60</v>
      </c>
      <c r="D3617" s="14">
        <f t="shared" si="341"/>
        <v>60</v>
      </c>
      <c r="E3617" s="5">
        <v>45435</v>
      </c>
      <c r="G3617" s="15"/>
      <c r="H3617" s="13"/>
      <c r="I3617" s="14">
        <f t="shared" si="342"/>
        <v>0</v>
      </c>
      <c r="J3617" s="12"/>
    </row>
    <row r="3618" spans="2:10" x14ac:dyDescent="0.15">
      <c r="B3618" s="15" t="s">
        <v>1035</v>
      </c>
      <c r="C3618" s="13">
        <v>60</v>
      </c>
      <c r="D3618" s="14">
        <f t="shared" si="341"/>
        <v>60</v>
      </c>
      <c r="E3618" s="5">
        <v>45437</v>
      </c>
      <c r="G3618" s="15"/>
      <c r="H3618" s="13"/>
      <c r="I3618" s="14">
        <f t="shared" si="342"/>
        <v>0</v>
      </c>
      <c r="J3618" s="12"/>
    </row>
    <row r="3619" spans="2:10" x14ac:dyDescent="0.15">
      <c r="B3619" s="15" t="s">
        <v>1036</v>
      </c>
      <c r="C3619" s="13">
        <v>10</v>
      </c>
      <c r="D3619" s="14">
        <f t="shared" si="341"/>
        <v>10</v>
      </c>
      <c r="E3619" s="5">
        <v>45440</v>
      </c>
      <c r="G3619" s="15"/>
      <c r="H3619" s="13"/>
      <c r="I3619" s="14">
        <f t="shared" si="342"/>
        <v>0</v>
      </c>
      <c r="J3619" s="5"/>
    </row>
    <row r="3620" spans="2:10" x14ac:dyDescent="0.15">
      <c r="B3620" s="69" t="s">
        <v>189</v>
      </c>
      <c r="C3620" s="13">
        <v>1</v>
      </c>
      <c r="D3620" s="14">
        <f t="shared" si="341"/>
        <v>1</v>
      </c>
      <c r="E3620" s="5">
        <v>45440</v>
      </c>
      <c r="G3620" s="15"/>
      <c r="H3620" s="7"/>
      <c r="I3620" s="14">
        <f t="shared" si="342"/>
        <v>0</v>
      </c>
      <c r="J3620" s="12"/>
    </row>
    <row r="3621" spans="2:10" x14ac:dyDescent="0.15">
      <c r="B3621" s="69" t="s">
        <v>189</v>
      </c>
      <c r="C3621" s="13">
        <v>2</v>
      </c>
      <c r="D3621" s="14">
        <f t="shared" si="341"/>
        <v>2</v>
      </c>
      <c r="E3621" s="5">
        <v>45442</v>
      </c>
      <c r="G3621" s="15"/>
      <c r="H3621" s="7"/>
      <c r="I3621" s="14">
        <f t="shared" si="342"/>
        <v>0</v>
      </c>
      <c r="J3621" s="12"/>
    </row>
    <row r="3622" spans="2:10" x14ac:dyDescent="0.15">
      <c r="B3622" s="69" t="s">
        <v>18</v>
      </c>
      <c r="C3622" s="13">
        <v>5</v>
      </c>
      <c r="D3622" s="14">
        <f t="shared" si="341"/>
        <v>5</v>
      </c>
      <c r="E3622" s="5">
        <v>45446</v>
      </c>
      <c r="G3622" s="15"/>
      <c r="H3622" s="7"/>
      <c r="I3622" s="14">
        <f t="shared" si="342"/>
        <v>0</v>
      </c>
      <c r="J3622" s="5"/>
    </row>
    <row r="3623" spans="2:10" x14ac:dyDescent="0.15">
      <c r="B3623" s="69" t="s">
        <v>189</v>
      </c>
      <c r="C3623" s="13">
        <v>4</v>
      </c>
      <c r="D3623" s="14">
        <f t="shared" si="341"/>
        <v>4</v>
      </c>
      <c r="E3623" s="5">
        <v>45443</v>
      </c>
      <c r="G3623" s="15"/>
      <c r="H3623" s="7"/>
      <c r="I3623" s="14">
        <f t="shared" si="342"/>
        <v>0</v>
      </c>
      <c r="J3623" s="12"/>
    </row>
    <row r="3624" spans="2:10" x14ac:dyDescent="0.15">
      <c r="B3624" s="69"/>
      <c r="C3624" s="13"/>
      <c r="D3624" s="14">
        <f t="shared" si="341"/>
        <v>0</v>
      </c>
      <c r="E3624" s="5"/>
      <c r="G3624" s="15"/>
      <c r="H3624" s="7"/>
      <c r="I3624" s="14">
        <f t="shared" si="342"/>
        <v>0</v>
      </c>
      <c r="J3624" s="12"/>
    </row>
    <row r="3625" spans="2:10" x14ac:dyDescent="0.15">
      <c r="B3625" s="69"/>
      <c r="C3625" s="13"/>
      <c r="D3625" s="14">
        <f t="shared" si="341"/>
        <v>0</v>
      </c>
      <c r="E3625" s="5"/>
      <c r="G3625" s="15"/>
      <c r="H3625" s="7"/>
      <c r="I3625" s="14">
        <f t="shared" si="342"/>
        <v>0</v>
      </c>
      <c r="J3625" s="67"/>
    </row>
    <row r="3626" spans="2:10" x14ac:dyDescent="0.15">
      <c r="B3626" s="69"/>
      <c r="C3626" s="13"/>
      <c r="D3626" s="14">
        <f t="shared" si="341"/>
        <v>0</v>
      </c>
      <c r="E3626" s="5"/>
      <c r="G3626" s="15"/>
      <c r="H3626" s="7"/>
      <c r="I3626" s="14">
        <f t="shared" si="342"/>
        <v>0</v>
      </c>
      <c r="J3626" s="67"/>
    </row>
    <row r="3627" spans="2:10" x14ac:dyDescent="0.15">
      <c r="B3627" s="69"/>
      <c r="C3627" s="13"/>
      <c r="D3627" s="14">
        <f t="shared" si="341"/>
        <v>0</v>
      </c>
      <c r="E3627" s="5"/>
      <c r="G3627" s="15"/>
      <c r="H3627" s="7"/>
      <c r="I3627" s="14">
        <f t="shared" si="342"/>
        <v>0</v>
      </c>
      <c r="J3627" s="67"/>
    </row>
    <row r="3628" spans="2:10" x14ac:dyDescent="0.15">
      <c r="B3628" s="69"/>
      <c r="C3628" s="13"/>
      <c r="D3628" s="14">
        <f t="shared" si="341"/>
        <v>0</v>
      </c>
      <c r="E3628" s="5"/>
      <c r="G3628" s="15"/>
      <c r="H3628" s="7"/>
      <c r="I3628" s="14">
        <f t="shared" si="342"/>
        <v>0</v>
      </c>
      <c r="J3628" s="67"/>
    </row>
    <row r="3629" spans="2:10" x14ac:dyDescent="0.15">
      <c r="B3629" s="69"/>
      <c r="C3629" s="13"/>
      <c r="D3629" s="14">
        <f t="shared" si="341"/>
        <v>0</v>
      </c>
      <c r="E3629" s="5"/>
      <c r="G3629" s="15"/>
      <c r="H3629" s="7"/>
      <c r="I3629" s="14">
        <f t="shared" si="342"/>
        <v>0</v>
      </c>
      <c r="J3629" s="67"/>
    </row>
    <row r="3630" spans="2:10" x14ac:dyDescent="0.15">
      <c r="B3630" s="69"/>
      <c r="C3630" s="13"/>
      <c r="D3630" s="14">
        <f t="shared" si="341"/>
        <v>0</v>
      </c>
      <c r="E3630" s="5"/>
      <c r="G3630" s="15"/>
      <c r="H3630" s="7"/>
      <c r="I3630" s="14">
        <f t="shared" si="342"/>
        <v>0</v>
      </c>
      <c r="J3630" s="67"/>
    </row>
    <row r="3631" spans="2:10" x14ac:dyDescent="0.15">
      <c r="B3631" s="69"/>
      <c r="C3631" s="13"/>
      <c r="D3631" s="14">
        <f t="shared" si="341"/>
        <v>0</v>
      </c>
      <c r="E3631" s="5"/>
      <c r="G3631" s="4" t="s">
        <v>934</v>
      </c>
      <c r="H3631" s="184"/>
      <c r="I3631" s="185">
        <f t="shared" si="342"/>
        <v>0</v>
      </c>
      <c r="J3631" s="186"/>
    </row>
    <row r="3632" spans="2:10" ht="14.25" thickBot="1" x14ac:dyDescent="0.2">
      <c r="B3632" s="15"/>
      <c r="C3632" s="7"/>
      <c r="D3632" s="14">
        <f t="shared" si="341"/>
        <v>0</v>
      </c>
      <c r="E3632" s="67"/>
      <c r="G3632" s="15" t="s">
        <v>932</v>
      </c>
      <c r="H3632" s="7"/>
      <c r="I3632" s="14">
        <f t="shared" si="342"/>
        <v>0</v>
      </c>
      <c r="J3632" s="67" t="s">
        <v>1011</v>
      </c>
    </row>
    <row r="3633" spans="2:10" ht="14.25" thickBot="1" x14ac:dyDescent="0.2">
      <c r="B3633" s="17" t="s">
        <v>2</v>
      </c>
      <c r="C3633" s="18">
        <f>SUM(C3609:C3632)</f>
        <v>159</v>
      </c>
      <c r="D3633" s="19">
        <f t="shared" si="341"/>
        <v>159</v>
      </c>
      <c r="E3633" s="20"/>
      <c r="G3633" s="17" t="s">
        <v>2</v>
      </c>
      <c r="H3633" s="18">
        <f>SUM(H3609:H3632)</f>
        <v>600</v>
      </c>
      <c r="I3633" s="19">
        <f t="shared" si="342"/>
        <v>600</v>
      </c>
      <c r="J3633" s="20"/>
    </row>
    <row r="3634" spans="2:10" ht="14.25" thickBot="1" x14ac:dyDescent="0.2">
      <c r="B3634" s="46" t="s">
        <v>3</v>
      </c>
      <c r="C3634" s="52">
        <f>C3608-C3633</f>
        <v>327</v>
      </c>
      <c r="D3634" s="48">
        <f>D3608-D3633</f>
        <v>327</v>
      </c>
      <c r="E3634" s="49"/>
      <c r="G3634" s="46" t="s">
        <v>3</v>
      </c>
      <c r="H3634" s="52">
        <f>H3608-H3633</f>
        <v>1648</v>
      </c>
      <c r="I3634" s="48">
        <f>I3608-I3633</f>
        <v>1648</v>
      </c>
      <c r="J3634" s="49"/>
    </row>
    <row r="3637" spans="2:10" ht="18.75" x14ac:dyDescent="0.2">
      <c r="B3637" s="26" t="s">
        <v>7</v>
      </c>
      <c r="G3637" s="26" t="s">
        <v>35</v>
      </c>
    </row>
    <row r="3638" spans="2:10" ht="14.25" thickBot="1" x14ac:dyDescent="0.2">
      <c r="J3638">
        <v>360</v>
      </c>
    </row>
    <row r="3639" spans="2:10" ht="14.25" thickBot="1" x14ac:dyDescent="0.2">
      <c r="B3639" s="1"/>
      <c r="C3639" s="1"/>
      <c r="D3639" s="53" t="s">
        <v>0</v>
      </c>
      <c r="E3639" s="1" t="s">
        <v>4</v>
      </c>
      <c r="G3639" s="1"/>
      <c r="H3639" s="1"/>
      <c r="I3639" s="53" t="s">
        <v>0</v>
      </c>
      <c r="J3639" s="1" t="s">
        <v>4</v>
      </c>
    </row>
    <row r="3640" spans="2:10" x14ac:dyDescent="0.15">
      <c r="B3640" s="42" t="s">
        <v>5</v>
      </c>
      <c r="C3640" s="43">
        <f>C3634</f>
        <v>327</v>
      </c>
      <c r="D3640" s="44">
        <f>SUM(C3640:C3640)</f>
        <v>327</v>
      </c>
      <c r="E3640" s="45"/>
      <c r="G3640" s="42" t="s">
        <v>5</v>
      </c>
      <c r="H3640" s="43">
        <f>H3634</f>
        <v>1648</v>
      </c>
      <c r="I3640" s="44">
        <f>SUM(H3640:H3640)</f>
        <v>1648</v>
      </c>
      <c r="J3640" s="45"/>
    </row>
    <row r="3641" spans="2:10" x14ac:dyDescent="0.15">
      <c r="B3641" s="4" t="s">
        <v>895</v>
      </c>
      <c r="C3641" s="13">
        <v>8</v>
      </c>
      <c r="D3641" s="14">
        <f t="shared" ref="D3641:D3643" si="343">SUM(C3641:C3641)</f>
        <v>8</v>
      </c>
      <c r="E3641" s="12">
        <v>45456</v>
      </c>
      <c r="G3641" s="106"/>
      <c r="H3641" s="94"/>
      <c r="I3641" s="96">
        <f>SUM(H3641:H3641)</f>
        <v>0</v>
      </c>
      <c r="J3641" s="189"/>
    </row>
    <row r="3642" spans="2:10" x14ac:dyDescent="0.15">
      <c r="B3642" s="4" t="s">
        <v>6</v>
      </c>
      <c r="C3642" s="13">
        <v>400</v>
      </c>
      <c r="D3642" s="14">
        <f t="shared" si="343"/>
        <v>400</v>
      </c>
      <c r="E3642" s="12">
        <v>45463</v>
      </c>
      <c r="G3642" s="4" t="s">
        <v>6</v>
      </c>
      <c r="H3642" s="13">
        <v>2000</v>
      </c>
      <c r="I3642" s="14">
        <f>SUM(H3642:H3642)</f>
        <v>2000</v>
      </c>
      <c r="J3642" s="169" t="s">
        <v>1046</v>
      </c>
    </row>
    <row r="3643" spans="2:10" ht="14.25" thickBot="1" x14ac:dyDescent="0.2">
      <c r="B3643" s="4" t="s">
        <v>6</v>
      </c>
      <c r="C3643" s="94"/>
      <c r="D3643" s="96">
        <f t="shared" si="343"/>
        <v>0</v>
      </c>
      <c r="E3643" s="98"/>
      <c r="G3643" s="92"/>
      <c r="H3643" s="13"/>
      <c r="I3643" s="14">
        <f t="shared" ref="I3643" si="344">SUM(H3643:H3643)</f>
        <v>0</v>
      </c>
      <c r="J3643" s="169"/>
    </row>
    <row r="3644" spans="2:10" ht="14.25" thickBot="1" x14ac:dyDescent="0.2">
      <c r="B3644" s="46" t="s">
        <v>1</v>
      </c>
      <c r="C3644" s="48">
        <f>SUM(C3640:C3643)</f>
        <v>735</v>
      </c>
      <c r="D3644" s="48">
        <f>SUM(D3640:D3643)</f>
        <v>735</v>
      </c>
      <c r="E3644" s="51"/>
      <c r="G3644" s="46" t="s">
        <v>1</v>
      </c>
      <c r="H3644" s="50">
        <f>SUM(H3640:H3643)</f>
        <v>3648</v>
      </c>
      <c r="I3644" s="48">
        <f>SUM(I3640:I3643)</f>
        <v>3648</v>
      </c>
      <c r="J3644" s="51"/>
    </row>
    <row r="3645" spans="2:10" x14ac:dyDescent="0.15">
      <c r="B3645" s="69" t="s">
        <v>1040</v>
      </c>
      <c r="C3645" s="13">
        <v>15</v>
      </c>
      <c r="D3645" s="14">
        <f t="shared" ref="D3645:D3669" si="345">SUM(C3645:C3645)</f>
        <v>15</v>
      </c>
      <c r="E3645" s="5">
        <v>45450</v>
      </c>
      <c r="G3645" s="15" t="s">
        <v>713</v>
      </c>
      <c r="H3645" s="13">
        <v>200</v>
      </c>
      <c r="I3645" s="14">
        <f t="shared" ref="I3645:I3669" si="346">SUM(H3645:H3645)</f>
        <v>200</v>
      </c>
      <c r="J3645" s="12">
        <v>45435</v>
      </c>
    </row>
    <row r="3646" spans="2:10" x14ac:dyDescent="0.15">
      <c r="B3646" s="69" t="s">
        <v>189</v>
      </c>
      <c r="C3646" s="13">
        <v>2</v>
      </c>
      <c r="D3646" s="14">
        <f t="shared" si="345"/>
        <v>2</v>
      </c>
      <c r="E3646" s="5">
        <v>45448</v>
      </c>
      <c r="G3646" s="15" t="s">
        <v>1039</v>
      </c>
      <c r="H3646" s="13">
        <v>370</v>
      </c>
      <c r="I3646" s="14">
        <f t="shared" si="346"/>
        <v>370</v>
      </c>
      <c r="J3646" s="12">
        <v>45449</v>
      </c>
    </row>
    <row r="3647" spans="2:10" x14ac:dyDescent="0.15">
      <c r="B3647" s="15" t="s">
        <v>1041</v>
      </c>
      <c r="C3647" s="13">
        <v>60</v>
      </c>
      <c r="D3647" s="14">
        <f t="shared" si="345"/>
        <v>60</v>
      </c>
      <c r="E3647" s="5">
        <v>45451</v>
      </c>
      <c r="G3647" s="15" t="s">
        <v>157</v>
      </c>
      <c r="H3647" s="13">
        <v>300</v>
      </c>
      <c r="I3647" s="14">
        <f t="shared" si="346"/>
        <v>300</v>
      </c>
      <c r="J3647" s="12">
        <v>45456</v>
      </c>
    </row>
    <row r="3648" spans="2:10" x14ac:dyDescent="0.15">
      <c r="B3648" s="69" t="s">
        <v>189</v>
      </c>
      <c r="C3648" s="13">
        <v>1</v>
      </c>
      <c r="D3648" s="14">
        <f t="shared" si="345"/>
        <v>1</v>
      </c>
      <c r="E3648" s="5">
        <v>45449</v>
      </c>
      <c r="G3648" s="89" t="s">
        <v>1043</v>
      </c>
      <c r="H3648" s="13">
        <v>400</v>
      </c>
      <c r="I3648" s="14">
        <f t="shared" si="346"/>
        <v>400</v>
      </c>
      <c r="J3648" s="12">
        <v>45463</v>
      </c>
    </row>
    <row r="3649" spans="2:10" x14ac:dyDescent="0.15">
      <c r="B3649" s="69" t="s">
        <v>189</v>
      </c>
      <c r="C3649" s="13">
        <v>3</v>
      </c>
      <c r="D3649" s="14">
        <f t="shared" si="345"/>
        <v>3</v>
      </c>
      <c r="E3649" s="5">
        <v>45453</v>
      </c>
      <c r="G3649" s="89"/>
      <c r="H3649" s="13"/>
      <c r="I3649" s="14">
        <f t="shared" si="346"/>
        <v>0</v>
      </c>
      <c r="J3649" s="12"/>
    </row>
    <row r="3650" spans="2:10" x14ac:dyDescent="0.15">
      <c r="B3650" s="69" t="s">
        <v>18</v>
      </c>
      <c r="C3650" s="13">
        <v>10</v>
      </c>
      <c r="D3650" s="14">
        <f t="shared" si="345"/>
        <v>10</v>
      </c>
      <c r="E3650" s="5">
        <v>45456</v>
      </c>
      <c r="G3650" s="89"/>
      <c r="H3650" s="13"/>
      <c r="I3650" s="14">
        <f t="shared" si="346"/>
        <v>0</v>
      </c>
      <c r="J3650" s="12"/>
    </row>
    <row r="3651" spans="2:10" x14ac:dyDescent="0.15">
      <c r="B3651" s="69" t="s">
        <v>189</v>
      </c>
      <c r="C3651" s="13">
        <v>1</v>
      </c>
      <c r="D3651" s="14">
        <f t="shared" si="345"/>
        <v>1</v>
      </c>
      <c r="E3651" s="5">
        <v>45454</v>
      </c>
      <c r="G3651" s="89"/>
      <c r="H3651" s="13"/>
      <c r="I3651" s="14">
        <f t="shared" si="346"/>
        <v>0</v>
      </c>
      <c r="J3651" s="12"/>
    </row>
    <row r="3652" spans="2:10" x14ac:dyDescent="0.15">
      <c r="B3652" s="69" t="s">
        <v>18</v>
      </c>
      <c r="C3652" s="13">
        <v>14</v>
      </c>
      <c r="D3652" s="14">
        <f t="shared" si="345"/>
        <v>14</v>
      </c>
      <c r="E3652" s="5">
        <v>45457</v>
      </c>
      <c r="G3652" s="15"/>
      <c r="H3652" s="13"/>
      <c r="I3652" s="14">
        <f t="shared" si="346"/>
        <v>0</v>
      </c>
      <c r="J3652" s="12"/>
    </row>
    <row r="3653" spans="2:10" x14ac:dyDescent="0.15">
      <c r="B3653" s="69" t="s">
        <v>18</v>
      </c>
      <c r="C3653" s="13">
        <v>22</v>
      </c>
      <c r="D3653" s="14">
        <f t="shared" si="345"/>
        <v>22</v>
      </c>
      <c r="E3653" s="5">
        <v>45457</v>
      </c>
      <c r="G3653" s="15"/>
      <c r="H3653" s="13"/>
      <c r="I3653" s="14">
        <f t="shared" si="346"/>
        <v>0</v>
      </c>
      <c r="J3653" s="12"/>
    </row>
    <row r="3654" spans="2:10" x14ac:dyDescent="0.15">
      <c r="B3654" s="69" t="s">
        <v>18</v>
      </c>
      <c r="C3654" s="13">
        <v>11</v>
      </c>
      <c r="D3654" s="14">
        <f t="shared" si="345"/>
        <v>11</v>
      </c>
      <c r="E3654" s="5">
        <v>45460</v>
      </c>
      <c r="G3654" s="15"/>
      <c r="H3654" s="13"/>
      <c r="I3654" s="14">
        <f t="shared" si="346"/>
        <v>0</v>
      </c>
      <c r="J3654" s="12"/>
    </row>
    <row r="3655" spans="2:10" x14ac:dyDescent="0.15">
      <c r="B3655" s="69" t="s">
        <v>189</v>
      </c>
      <c r="C3655" s="13">
        <v>1</v>
      </c>
      <c r="D3655" s="14">
        <f t="shared" si="345"/>
        <v>1</v>
      </c>
      <c r="E3655" s="5">
        <v>45458</v>
      </c>
      <c r="G3655" s="15"/>
      <c r="H3655" s="13"/>
      <c r="I3655" s="14">
        <f t="shared" si="346"/>
        <v>0</v>
      </c>
      <c r="J3655" s="5"/>
    </row>
    <row r="3656" spans="2:10" x14ac:dyDescent="0.15">
      <c r="B3656" s="69" t="s">
        <v>18</v>
      </c>
      <c r="C3656" s="13">
        <v>9</v>
      </c>
      <c r="D3656" s="14">
        <f t="shared" si="345"/>
        <v>9</v>
      </c>
      <c r="E3656" s="5">
        <v>45462</v>
      </c>
      <c r="G3656" s="15"/>
      <c r="H3656" s="7"/>
      <c r="I3656" s="14">
        <f t="shared" si="346"/>
        <v>0</v>
      </c>
      <c r="J3656" s="12"/>
    </row>
    <row r="3657" spans="2:10" x14ac:dyDescent="0.15">
      <c r="B3657" s="69" t="s">
        <v>189</v>
      </c>
      <c r="C3657" s="13">
        <v>6</v>
      </c>
      <c r="D3657" s="14">
        <f t="shared" si="345"/>
        <v>6</v>
      </c>
      <c r="E3657" s="5">
        <v>45460</v>
      </c>
      <c r="G3657" s="15"/>
      <c r="H3657" s="7"/>
      <c r="I3657" s="14">
        <f t="shared" si="346"/>
        <v>0</v>
      </c>
      <c r="J3657" s="12"/>
    </row>
    <row r="3658" spans="2:10" x14ac:dyDescent="0.15">
      <c r="B3658" s="69" t="s">
        <v>18</v>
      </c>
      <c r="C3658" s="13">
        <v>13</v>
      </c>
      <c r="D3658" s="14">
        <f t="shared" si="345"/>
        <v>13</v>
      </c>
      <c r="E3658" s="5">
        <v>45463</v>
      </c>
      <c r="G3658" s="15"/>
      <c r="H3658" s="7"/>
      <c r="I3658" s="14">
        <f t="shared" si="346"/>
        <v>0</v>
      </c>
      <c r="J3658" s="5"/>
    </row>
    <row r="3659" spans="2:10" x14ac:dyDescent="0.15">
      <c r="B3659" s="15" t="s">
        <v>971</v>
      </c>
      <c r="C3659" s="13">
        <v>150</v>
      </c>
      <c r="D3659" s="14">
        <f t="shared" si="345"/>
        <v>150</v>
      </c>
      <c r="E3659" s="5">
        <v>45464</v>
      </c>
      <c r="G3659" s="15"/>
      <c r="H3659" s="7"/>
      <c r="I3659" s="14">
        <f t="shared" si="346"/>
        <v>0</v>
      </c>
      <c r="J3659" s="12"/>
    </row>
    <row r="3660" spans="2:10" x14ac:dyDescent="0.15">
      <c r="B3660" s="69" t="s">
        <v>189</v>
      </c>
      <c r="C3660" s="13">
        <v>1</v>
      </c>
      <c r="D3660" s="14">
        <f t="shared" si="345"/>
        <v>1</v>
      </c>
      <c r="E3660" s="5">
        <v>45461</v>
      </c>
      <c r="G3660" s="15"/>
      <c r="H3660" s="7"/>
      <c r="I3660" s="14">
        <f t="shared" si="346"/>
        <v>0</v>
      </c>
      <c r="J3660" s="12"/>
    </row>
    <row r="3661" spans="2:10" x14ac:dyDescent="0.15">
      <c r="B3661" s="69" t="s">
        <v>18</v>
      </c>
      <c r="C3661" s="13">
        <v>3</v>
      </c>
      <c r="D3661" s="14">
        <f t="shared" si="345"/>
        <v>3</v>
      </c>
      <c r="E3661" s="5">
        <v>45464</v>
      </c>
      <c r="G3661" s="15"/>
      <c r="H3661" s="7"/>
      <c r="I3661" s="14">
        <f t="shared" si="346"/>
        <v>0</v>
      </c>
      <c r="J3661" s="67"/>
    </row>
    <row r="3662" spans="2:10" x14ac:dyDescent="0.15">
      <c r="B3662" s="69" t="s">
        <v>18</v>
      </c>
      <c r="C3662" s="13">
        <v>14</v>
      </c>
      <c r="D3662" s="14">
        <f t="shared" si="345"/>
        <v>14</v>
      </c>
      <c r="E3662" s="5">
        <v>45464</v>
      </c>
      <c r="G3662" s="15"/>
      <c r="H3662" s="7"/>
      <c r="I3662" s="14">
        <f t="shared" si="346"/>
        <v>0</v>
      </c>
      <c r="J3662" s="67"/>
    </row>
    <row r="3663" spans="2:10" x14ac:dyDescent="0.15">
      <c r="B3663" s="69" t="s">
        <v>189</v>
      </c>
      <c r="C3663" s="13">
        <v>4</v>
      </c>
      <c r="D3663" s="14">
        <f t="shared" si="345"/>
        <v>4</v>
      </c>
      <c r="E3663" s="5">
        <v>45463</v>
      </c>
      <c r="G3663" s="15"/>
      <c r="H3663" s="7"/>
      <c r="I3663" s="14">
        <f t="shared" ref="I3663:I3664" si="347">SUM(H3663:H3663)</f>
        <v>0</v>
      </c>
      <c r="J3663" s="67"/>
    </row>
    <row r="3664" spans="2:10" x14ac:dyDescent="0.15">
      <c r="B3664" s="69" t="s">
        <v>18</v>
      </c>
      <c r="C3664" s="13">
        <v>8</v>
      </c>
      <c r="D3664" s="14">
        <f t="shared" si="345"/>
        <v>8</v>
      </c>
      <c r="E3664" s="5">
        <v>45467</v>
      </c>
      <c r="G3664" s="15"/>
      <c r="H3664" s="7"/>
      <c r="I3664" s="14">
        <f t="shared" si="347"/>
        <v>0</v>
      </c>
      <c r="J3664" s="67"/>
    </row>
    <row r="3665" spans="2:11" x14ac:dyDescent="0.15">
      <c r="B3665" s="69" t="s">
        <v>189</v>
      </c>
      <c r="C3665" s="13">
        <v>1</v>
      </c>
      <c r="D3665" s="14">
        <f t="shared" si="345"/>
        <v>1</v>
      </c>
      <c r="E3665" s="5">
        <v>45464</v>
      </c>
      <c r="G3665" s="15"/>
      <c r="H3665" s="7"/>
      <c r="I3665" s="14">
        <f t="shared" ref="I3665" si="348">SUM(H3665:H3665)</f>
        <v>0</v>
      </c>
      <c r="J3665" s="67"/>
    </row>
    <row r="3666" spans="2:11" x14ac:dyDescent="0.15">
      <c r="B3666" s="69" t="s">
        <v>189</v>
      </c>
      <c r="C3666" s="13">
        <f>3+4</f>
        <v>7</v>
      </c>
      <c r="D3666" s="14">
        <f t="shared" si="345"/>
        <v>7</v>
      </c>
      <c r="E3666" s="5">
        <v>45467</v>
      </c>
      <c r="G3666" s="15" t="s">
        <v>1028</v>
      </c>
      <c r="H3666" s="7"/>
      <c r="I3666" s="14">
        <f t="shared" ref="I3666:I3668" si="349">SUM(H3666:H3666)</f>
        <v>0</v>
      </c>
      <c r="J3666" s="67" t="s">
        <v>426</v>
      </c>
    </row>
    <row r="3667" spans="2:11" x14ac:dyDescent="0.15">
      <c r="B3667" s="69" t="s">
        <v>18</v>
      </c>
      <c r="C3667" s="13">
        <v>6</v>
      </c>
      <c r="D3667" s="14">
        <f t="shared" si="345"/>
        <v>6</v>
      </c>
      <c r="E3667" s="5">
        <v>45470</v>
      </c>
      <c r="G3667" s="4" t="s">
        <v>1018</v>
      </c>
      <c r="H3667" s="184"/>
      <c r="I3667" s="185">
        <f t="shared" si="349"/>
        <v>0</v>
      </c>
      <c r="J3667" s="186"/>
      <c r="K3667" s="86"/>
    </row>
    <row r="3668" spans="2:11" ht="14.25" thickBot="1" x14ac:dyDescent="0.2">
      <c r="B3668" s="69" t="s">
        <v>189</v>
      </c>
      <c r="C3668" s="7">
        <v>1</v>
      </c>
      <c r="D3668" s="14">
        <f t="shared" si="345"/>
        <v>1</v>
      </c>
      <c r="E3668" s="5">
        <v>45474</v>
      </c>
      <c r="G3668" s="15" t="s">
        <v>677</v>
      </c>
      <c r="H3668" s="7"/>
      <c r="I3668" s="14">
        <f t="shared" si="349"/>
        <v>0</v>
      </c>
      <c r="J3668" s="67" t="s">
        <v>1019</v>
      </c>
      <c r="K3668" s="86"/>
    </row>
    <row r="3669" spans="2:11" ht="14.25" thickBot="1" x14ac:dyDescent="0.2">
      <c r="B3669" s="17" t="s">
        <v>2</v>
      </c>
      <c r="C3669" s="18">
        <f>SUM(C3645:C3668)</f>
        <v>363</v>
      </c>
      <c r="D3669" s="19">
        <f t="shared" si="345"/>
        <v>363</v>
      </c>
      <c r="E3669" s="20"/>
      <c r="G3669" s="17" t="s">
        <v>2</v>
      </c>
      <c r="H3669" s="18">
        <f>SUM(H3645:H3668)</f>
        <v>1270</v>
      </c>
      <c r="I3669" s="19">
        <f t="shared" si="346"/>
        <v>1270</v>
      </c>
      <c r="J3669" s="20"/>
    </row>
    <row r="3670" spans="2:11" ht="14.25" thickBot="1" x14ac:dyDescent="0.2">
      <c r="B3670" s="46" t="s">
        <v>3</v>
      </c>
      <c r="C3670" s="52">
        <f>C3644-C3669</f>
        <v>372</v>
      </c>
      <c r="D3670" s="48">
        <f>D3644-D3669</f>
        <v>372</v>
      </c>
      <c r="E3670" s="49"/>
      <c r="G3670" s="46" t="s">
        <v>3</v>
      </c>
      <c r="H3670" s="52">
        <f>H3644-H3669</f>
        <v>2378</v>
      </c>
      <c r="I3670" s="48">
        <f>I3644-I3669</f>
        <v>2378</v>
      </c>
      <c r="J3670" s="49"/>
    </row>
    <row r="3673" spans="2:11" ht="18.75" x14ac:dyDescent="0.2">
      <c r="B3673" s="26" t="s">
        <v>7</v>
      </c>
      <c r="G3673" s="26" t="s">
        <v>35</v>
      </c>
    </row>
    <row r="3674" spans="2:11" ht="14.25" thickBot="1" x14ac:dyDescent="0.2">
      <c r="J3674">
        <v>360</v>
      </c>
    </row>
    <row r="3675" spans="2:11" ht="14.25" thickBot="1" x14ac:dyDescent="0.2">
      <c r="B3675" s="1"/>
      <c r="C3675" s="1"/>
      <c r="D3675" s="53" t="s">
        <v>0</v>
      </c>
      <c r="E3675" s="1" t="s">
        <v>4</v>
      </c>
      <c r="G3675" s="1"/>
      <c r="H3675" s="1"/>
      <c r="I3675" s="53" t="s">
        <v>0</v>
      </c>
      <c r="J3675" s="1" t="s">
        <v>4</v>
      </c>
    </row>
    <row r="3676" spans="2:11" x14ac:dyDescent="0.15">
      <c r="B3676" s="42" t="s">
        <v>5</v>
      </c>
      <c r="C3676" s="43">
        <f>C3670</f>
        <v>372</v>
      </c>
      <c r="D3676" s="44">
        <f>SUM(C3676:C3676)</f>
        <v>372</v>
      </c>
      <c r="E3676" s="45"/>
      <c r="G3676" s="42" t="s">
        <v>5</v>
      </c>
      <c r="H3676" s="43">
        <f>H3670</f>
        <v>2378</v>
      </c>
      <c r="I3676" s="44">
        <f>I3670</f>
        <v>2378</v>
      </c>
      <c r="J3676" s="45"/>
    </row>
    <row r="3677" spans="2:11" x14ac:dyDescent="0.15">
      <c r="B3677" s="4" t="s">
        <v>6</v>
      </c>
      <c r="C3677" s="13">
        <v>400</v>
      </c>
      <c r="D3677" s="14">
        <f t="shared" ref="D3677:D3679" si="350">SUM(C3677:C3677)</f>
        <v>400</v>
      </c>
      <c r="E3677" s="12">
        <v>45477</v>
      </c>
      <c r="G3677" s="106"/>
      <c r="H3677" s="94"/>
      <c r="I3677" s="96">
        <f>SUM(H3677:H3677)</f>
        <v>0</v>
      </c>
      <c r="J3677" s="189"/>
    </row>
    <row r="3678" spans="2:11" x14ac:dyDescent="0.15">
      <c r="B3678" s="4" t="s">
        <v>6</v>
      </c>
      <c r="C3678" s="13"/>
      <c r="D3678" s="14">
        <f t="shared" si="350"/>
        <v>0</v>
      </c>
      <c r="E3678" s="12"/>
      <c r="G3678" s="4" t="s">
        <v>6</v>
      </c>
      <c r="H3678" s="13">
        <v>3000</v>
      </c>
      <c r="I3678" s="14">
        <f>SUM(H3678:H3678)</f>
        <v>3000</v>
      </c>
      <c r="J3678" s="169" t="s">
        <v>1047</v>
      </c>
    </row>
    <row r="3679" spans="2:11" ht="14.25" thickBot="1" x14ac:dyDescent="0.2">
      <c r="B3679" s="4" t="s">
        <v>6</v>
      </c>
      <c r="C3679" s="94"/>
      <c r="D3679" s="96">
        <f t="shared" si="350"/>
        <v>0</v>
      </c>
      <c r="E3679" s="98"/>
      <c r="G3679" s="191"/>
      <c r="H3679" s="94"/>
      <c r="I3679" s="96">
        <f t="shared" ref="I3679" si="351">SUM(H3679:H3679)</f>
        <v>0</v>
      </c>
      <c r="J3679" s="189"/>
    </row>
    <row r="3680" spans="2:11" ht="14.25" thickBot="1" x14ac:dyDescent="0.2">
      <c r="B3680" s="46" t="s">
        <v>1</v>
      </c>
      <c r="C3680" s="48">
        <f>SUM(C3676:C3679)</f>
        <v>772</v>
      </c>
      <c r="D3680" s="48">
        <f>SUM(D3676:D3679)</f>
        <v>772</v>
      </c>
      <c r="E3680" s="51"/>
      <c r="G3680" s="46" t="s">
        <v>1</v>
      </c>
      <c r="H3680" s="50">
        <f>SUM(H3676:H3679)</f>
        <v>5378</v>
      </c>
      <c r="I3680" s="48">
        <f>SUM(I3676:I3679)</f>
        <v>5378</v>
      </c>
      <c r="J3680" s="51"/>
    </row>
    <row r="3681" spans="2:10" x14ac:dyDescent="0.15">
      <c r="B3681" s="15" t="s">
        <v>162</v>
      </c>
      <c r="C3681" s="13">
        <v>50</v>
      </c>
      <c r="D3681" s="14">
        <f t="shared" ref="D3681:D3705" si="352">SUM(C3681:C3681)</f>
        <v>50</v>
      </c>
      <c r="E3681" s="5">
        <v>45470</v>
      </c>
      <c r="G3681" s="15" t="s">
        <v>973</v>
      </c>
      <c r="H3681" s="13">
        <v>550</v>
      </c>
      <c r="I3681" s="14">
        <f t="shared" ref="I3681:I3705" si="353">SUM(H3681:H3681)</f>
        <v>550</v>
      </c>
      <c r="J3681" s="12">
        <v>45470</v>
      </c>
    </row>
    <row r="3682" spans="2:10" x14ac:dyDescent="0.15">
      <c r="B3682" s="15" t="s">
        <v>976</v>
      </c>
      <c r="C3682" s="13">
        <v>120</v>
      </c>
      <c r="D3682" s="14">
        <f t="shared" si="352"/>
        <v>120</v>
      </c>
      <c r="E3682" s="5">
        <v>45472</v>
      </c>
      <c r="G3682" s="89" t="s">
        <v>1048</v>
      </c>
      <c r="H3682" s="13">
        <v>400</v>
      </c>
      <c r="I3682" s="14">
        <f t="shared" si="353"/>
        <v>400</v>
      </c>
      <c r="J3682" s="12">
        <v>45477</v>
      </c>
    </row>
    <row r="3683" spans="2:10" x14ac:dyDescent="0.15">
      <c r="B3683" s="69" t="s">
        <v>18</v>
      </c>
      <c r="C3683" s="13">
        <v>18</v>
      </c>
      <c r="D3683" s="14">
        <f t="shared" si="352"/>
        <v>18</v>
      </c>
      <c r="E3683" s="5">
        <v>45474</v>
      </c>
      <c r="G3683" s="89"/>
      <c r="H3683" s="13"/>
      <c r="I3683" s="14">
        <f t="shared" si="353"/>
        <v>0</v>
      </c>
      <c r="J3683" s="12"/>
    </row>
    <row r="3684" spans="2:10" x14ac:dyDescent="0.15">
      <c r="B3684" s="69" t="s">
        <v>18</v>
      </c>
      <c r="C3684" s="13">
        <v>14</v>
      </c>
      <c r="D3684" s="14">
        <f t="shared" si="352"/>
        <v>14</v>
      </c>
      <c r="E3684" s="5">
        <v>45476</v>
      </c>
      <c r="G3684" s="89"/>
      <c r="H3684" s="13"/>
      <c r="I3684" s="14">
        <f t="shared" si="353"/>
        <v>0</v>
      </c>
      <c r="J3684" s="12"/>
    </row>
    <row r="3685" spans="2:10" x14ac:dyDescent="0.15">
      <c r="B3685" s="69" t="s">
        <v>18</v>
      </c>
      <c r="C3685" s="13">
        <v>16</v>
      </c>
      <c r="D3685" s="14">
        <f t="shared" si="352"/>
        <v>16</v>
      </c>
      <c r="E3685" s="5">
        <v>45477</v>
      </c>
      <c r="G3685" s="89"/>
      <c r="H3685" s="13"/>
      <c r="I3685" s="14">
        <f t="shared" si="353"/>
        <v>0</v>
      </c>
      <c r="J3685" s="12"/>
    </row>
    <row r="3686" spans="2:10" x14ac:dyDescent="0.15">
      <c r="B3686" s="15" t="s">
        <v>981</v>
      </c>
      <c r="C3686" s="13">
        <v>150</v>
      </c>
      <c r="D3686" s="14">
        <f t="shared" si="352"/>
        <v>150</v>
      </c>
      <c r="E3686" s="5">
        <v>45478</v>
      </c>
      <c r="G3686" s="89"/>
      <c r="H3686" s="13"/>
      <c r="I3686" s="14">
        <f t="shared" si="353"/>
        <v>0</v>
      </c>
      <c r="J3686" s="12"/>
    </row>
    <row r="3687" spans="2:10" x14ac:dyDescent="0.15">
      <c r="B3687" s="69" t="s">
        <v>18</v>
      </c>
      <c r="C3687" s="13">
        <v>21</v>
      </c>
      <c r="D3687" s="14">
        <f t="shared" si="352"/>
        <v>21</v>
      </c>
      <c r="E3687" s="5">
        <v>45478</v>
      </c>
      <c r="G3687" s="89"/>
      <c r="H3687" s="13"/>
      <c r="I3687" s="14">
        <f t="shared" si="353"/>
        <v>0</v>
      </c>
      <c r="J3687" s="12"/>
    </row>
    <row r="3688" spans="2:10" x14ac:dyDescent="0.15">
      <c r="B3688" s="69" t="s">
        <v>18</v>
      </c>
      <c r="C3688" s="13">
        <v>9</v>
      </c>
      <c r="D3688" s="14">
        <f t="shared" si="352"/>
        <v>9</v>
      </c>
      <c r="E3688" s="5">
        <v>45481</v>
      </c>
      <c r="G3688" s="15"/>
      <c r="H3688" s="13"/>
      <c r="I3688" s="14">
        <f t="shared" si="353"/>
        <v>0</v>
      </c>
      <c r="J3688" s="12"/>
    </row>
    <row r="3689" spans="2:10" x14ac:dyDescent="0.15">
      <c r="B3689" s="69" t="s">
        <v>189</v>
      </c>
      <c r="C3689" s="13">
        <v>3</v>
      </c>
      <c r="D3689" s="14">
        <f t="shared" si="352"/>
        <v>3</v>
      </c>
      <c r="E3689" s="5">
        <v>45478</v>
      </c>
      <c r="G3689" s="15"/>
      <c r="H3689" s="13"/>
      <c r="I3689" s="14">
        <f t="shared" si="353"/>
        <v>0</v>
      </c>
      <c r="J3689" s="12"/>
    </row>
    <row r="3690" spans="2:10" x14ac:dyDescent="0.15">
      <c r="B3690" s="69" t="s">
        <v>18</v>
      </c>
      <c r="C3690" s="13">
        <v>5</v>
      </c>
      <c r="D3690" s="14">
        <f t="shared" si="352"/>
        <v>5</v>
      </c>
      <c r="E3690" s="5">
        <v>45483</v>
      </c>
      <c r="G3690" s="15"/>
      <c r="H3690" s="13"/>
      <c r="I3690" s="14">
        <f t="shared" si="353"/>
        <v>0</v>
      </c>
      <c r="J3690" s="12"/>
    </row>
    <row r="3691" spans="2:10" x14ac:dyDescent="0.15">
      <c r="B3691" s="15" t="s">
        <v>1051</v>
      </c>
      <c r="C3691" s="13">
        <v>62</v>
      </c>
      <c r="D3691" s="14">
        <f t="shared" si="352"/>
        <v>62</v>
      </c>
      <c r="E3691" s="5">
        <v>45483</v>
      </c>
      <c r="G3691" s="15"/>
      <c r="H3691" s="13"/>
      <c r="I3691" s="14">
        <f t="shared" si="353"/>
        <v>0</v>
      </c>
      <c r="J3691" s="5"/>
    </row>
    <row r="3692" spans="2:10" x14ac:dyDescent="0.15">
      <c r="B3692" s="69"/>
      <c r="C3692" s="13"/>
      <c r="D3692" s="14">
        <f t="shared" ref="D3692" si="354">SUM(C3692:C3692)</f>
        <v>0</v>
      </c>
      <c r="E3692" s="5"/>
      <c r="G3692" s="15"/>
      <c r="H3692" s="7"/>
      <c r="I3692" s="14">
        <f t="shared" si="353"/>
        <v>0</v>
      </c>
      <c r="J3692" s="12"/>
    </row>
    <row r="3693" spans="2:10" x14ac:dyDescent="0.15">
      <c r="B3693" s="69"/>
      <c r="C3693" s="13"/>
      <c r="D3693" s="14">
        <f t="shared" si="352"/>
        <v>0</v>
      </c>
      <c r="E3693" s="5"/>
      <c r="G3693" s="15"/>
      <c r="H3693" s="7"/>
      <c r="I3693" s="14">
        <f t="shared" si="353"/>
        <v>0</v>
      </c>
      <c r="J3693" s="12"/>
    </row>
    <row r="3694" spans="2:10" x14ac:dyDescent="0.15">
      <c r="B3694" s="69"/>
      <c r="C3694" s="13"/>
      <c r="D3694" s="14">
        <f t="shared" si="352"/>
        <v>0</v>
      </c>
      <c r="E3694" s="5"/>
      <c r="G3694" s="15"/>
      <c r="H3694" s="7"/>
      <c r="I3694" s="14">
        <f t="shared" si="353"/>
        <v>0</v>
      </c>
      <c r="J3694" s="5"/>
    </row>
    <row r="3695" spans="2:10" x14ac:dyDescent="0.15">
      <c r="B3695" s="69"/>
      <c r="C3695" s="13"/>
      <c r="D3695" s="14">
        <f t="shared" si="352"/>
        <v>0</v>
      </c>
      <c r="E3695" s="5"/>
      <c r="G3695" s="15"/>
      <c r="H3695" s="7"/>
      <c r="I3695" s="14">
        <f t="shared" si="353"/>
        <v>0</v>
      </c>
      <c r="J3695" s="12"/>
    </row>
    <row r="3696" spans="2:10" x14ac:dyDescent="0.15">
      <c r="B3696" s="69"/>
      <c r="C3696" s="13"/>
      <c r="D3696" s="14">
        <f t="shared" si="352"/>
        <v>0</v>
      </c>
      <c r="E3696" s="5"/>
      <c r="G3696" s="15"/>
      <c r="H3696" s="7"/>
      <c r="I3696" s="14">
        <f t="shared" si="353"/>
        <v>0</v>
      </c>
      <c r="J3696" s="12"/>
    </row>
    <row r="3697" spans="2:10" x14ac:dyDescent="0.15">
      <c r="B3697" s="69"/>
      <c r="C3697" s="13"/>
      <c r="D3697" s="14">
        <f t="shared" si="352"/>
        <v>0</v>
      </c>
      <c r="E3697" s="5"/>
      <c r="G3697" s="15"/>
      <c r="H3697" s="7"/>
      <c r="I3697" s="14">
        <f t="shared" si="353"/>
        <v>0</v>
      </c>
      <c r="J3697" s="67"/>
    </row>
    <row r="3698" spans="2:10" x14ac:dyDescent="0.15">
      <c r="B3698" s="69"/>
      <c r="C3698" s="13"/>
      <c r="D3698" s="14">
        <f t="shared" si="352"/>
        <v>0</v>
      </c>
      <c r="E3698" s="5"/>
      <c r="G3698" s="15"/>
      <c r="H3698" s="7"/>
      <c r="I3698" s="14">
        <f t="shared" ref="I3698:I3699" si="355">SUM(H3698:H3698)</f>
        <v>0</v>
      </c>
      <c r="J3698" s="67"/>
    </row>
    <row r="3699" spans="2:10" x14ac:dyDescent="0.15">
      <c r="B3699" s="69"/>
      <c r="C3699" s="13"/>
      <c r="D3699" s="14">
        <f t="shared" si="352"/>
        <v>0</v>
      </c>
      <c r="E3699" s="5"/>
      <c r="G3699" s="15" t="s">
        <v>1031</v>
      </c>
      <c r="H3699" s="7"/>
      <c r="I3699" s="14">
        <f t="shared" si="355"/>
        <v>0</v>
      </c>
      <c r="J3699" s="67" t="s">
        <v>1042</v>
      </c>
    </row>
    <row r="3700" spans="2:10" x14ac:dyDescent="0.15">
      <c r="B3700" s="69"/>
      <c r="C3700" s="13"/>
      <c r="D3700" s="14">
        <f t="shared" si="352"/>
        <v>0</v>
      </c>
      <c r="E3700" s="5"/>
      <c r="G3700" s="4" t="s">
        <v>936</v>
      </c>
      <c r="H3700" s="184"/>
      <c r="I3700" s="185">
        <f t="shared" ref="I3700:I3704" si="356">SUM(H3700:H3700)</f>
        <v>0</v>
      </c>
      <c r="J3700" s="186"/>
    </row>
    <row r="3701" spans="2:10" x14ac:dyDescent="0.15">
      <c r="B3701" s="69"/>
      <c r="C3701" s="13"/>
      <c r="D3701" s="14">
        <f t="shared" si="352"/>
        <v>0</v>
      </c>
      <c r="E3701" s="5"/>
      <c r="G3701" s="15" t="s">
        <v>935</v>
      </c>
      <c r="H3701" s="7"/>
      <c r="I3701" s="14">
        <f t="shared" si="356"/>
        <v>0</v>
      </c>
      <c r="J3701" s="67" t="s">
        <v>1013</v>
      </c>
    </row>
    <row r="3702" spans="2:10" x14ac:dyDescent="0.15">
      <c r="B3702" s="69"/>
      <c r="C3702" s="13"/>
      <c r="D3702" s="14">
        <f t="shared" si="352"/>
        <v>0</v>
      </c>
      <c r="E3702" s="5"/>
      <c r="G3702" s="15" t="s">
        <v>1027</v>
      </c>
      <c r="H3702" s="7"/>
      <c r="I3702" s="14">
        <f t="shared" si="356"/>
        <v>0</v>
      </c>
      <c r="J3702" s="67" t="s">
        <v>628</v>
      </c>
    </row>
    <row r="3703" spans="2:10" x14ac:dyDescent="0.15">
      <c r="B3703" s="69"/>
      <c r="C3703" s="13"/>
      <c r="D3703" s="14">
        <f t="shared" si="352"/>
        <v>0</v>
      </c>
      <c r="E3703" s="5"/>
      <c r="G3703" s="4" t="s">
        <v>955</v>
      </c>
      <c r="H3703" s="184"/>
      <c r="I3703" s="185">
        <f t="shared" si="356"/>
        <v>0</v>
      </c>
      <c r="J3703" s="186"/>
    </row>
    <row r="3704" spans="2:10" ht="14.25" thickBot="1" x14ac:dyDescent="0.2">
      <c r="B3704" s="15"/>
      <c r="C3704" s="7"/>
      <c r="D3704" s="14">
        <f t="shared" si="352"/>
        <v>0</v>
      </c>
      <c r="E3704" s="67"/>
      <c r="G3704" s="15" t="s">
        <v>879</v>
      </c>
      <c r="H3704" s="7"/>
      <c r="I3704" s="14">
        <f t="shared" si="356"/>
        <v>0</v>
      </c>
      <c r="J3704" s="67" t="s">
        <v>1025</v>
      </c>
    </row>
    <row r="3705" spans="2:10" ht="14.25" thickBot="1" x14ac:dyDescent="0.2">
      <c r="B3705" s="17" t="s">
        <v>2</v>
      </c>
      <c r="C3705" s="18">
        <f>SUM(C3681:C3704)</f>
        <v>468</v>
      </c>
      <c r="D3705" s="19">
        <f t="shared" si="352"/>
        <v>468</v>
      </c>
      <c r="E3705" s="20"/>
      <c r="G3705" s="17" t="s">
        <v>2</v>
      </c>
      <c r="H3705" s="18">
        <f>SUM(H3681:H3704)</f>
        <v>950</v>
      </c>
      <c r="I3705" s="19">
        <f t="shared" si="353"/>
        <v>950</v>
      </c>
      <c r="J3705" s="20"/>
    </row>
    <row r="3706" spans="2:10" ht="14.25" thickBot="1" x14ac:dyDescent="0.2">
      <c r="B3706" s="46" t="s">
        <v>3</v>
      </c>
      <c r="C3706" s="52">
        <f>C3680-C3705</f>
        <v>304</v>
      </c>
      <c r="D3706" s="48">
        <f>D3680-D3705</f>
        <v>304</v>
      </c>
      <c r="E3706" s="49"/>
      <c r="G3706" s="46" t="s">
        <v>3</v>
      </c>
      <c r="H3706" s="52">
        <f>H3680-H3705</f>
        <v>4428</v>
      </c>
      <c r="I3706" s="48">
        <f>I3680-I3705</f>
        <v>4428</v>
      </c>
      <c r="J3706" s="49"/>
    </row>
    <row r="3709" spans="2:10" ht="18.75" x14ac:dyDescent="0.2">
      <c r="B3709" s="26" t="s">
        <v>7</v>
      </c>
      <c r="G3709" s="26" t="s">
        <v>35</v>
      </c>
    </row>
    <row r="3710" spans="2:10" ht="14.25" thickBot="1" x14ac:dyDescent="0.2">
      <c r="J3710">
        <v>360</v>
      </c>
    </row>
    <row r="3711" spans="2:10" ht="14.25" thickBot="1" x14ac:dyDescent="0.2">
      <c r="B3711" s="1"/>
      <c r="C3711" s="1"/>
      <c r="D3711" s="53" t="s">
        <v>0</v>
      </c>
      <c r="E3711" s="1" t="s">
        <v>4</v>
      </c>
      <c r="G3711" s="1"/>
      <c r="H3711" s="1"/>
      <c r="I3711" s="53" t="s">
        <v>0</v>
      </c>
      <c r="J3711" s="1" t="s">
        <v>4</v>
      </c>
    </row>
    <row r="3712" spans="2:10" x14ac:dyDescent="0.15">
      <c r="B3712" s="42" t="s">
        <v>5</v>
      </c>
      <c r="C3712" s="43">
        <f>C3706</f>
        <v>304</v>
      </c>
      <c r="D3712" s="44">
        <f>SUM(C3712:C3712)</f>
        <v>304</v>
      </c>
      <c r="E3712" s="45"/>
      <c r="G3712" s="42" t="s">
        <v>5</v>
      </c>
      <c r="H3712" s="43">
        <f>H3706</f>
        <v>4428</v>
      </c>
      <c r="I3712" s="44">
        <f>I3706</f>
        <v>4428</v>
      </c>
      <c r="J3712" s="45"/>
    </row>
    <row r="3713" spans="2:10" x14ac:dyDescent="0.15">
      <c r="B3713" s="4" t="s">
        <v>6</v>
      </c>
      <c r="C3713" s="13">
        <v>400</v>
      </c>
      <c r="D3713" s="14">
        <f t="shared" ref="D3713:D3715" si="357">SUM(C3713:C3713)</f>
        <v>400</v>
      </c>
      <c r="E3713" s="12">
        <v>45490</v>
      </c>
      <c r="G3713" s="4" t="s">
        <v>6</v>
      </c>
      <c r="H3713" s="94"/>
      <c r="I3713" s="96">
        <f>SUM(H3713:H3713)</f>
        <v>0</v>
      </c>
      <c r="J3713" s="189"/>
    </row>
    <row r="3714" spans="2:10" x14ac:dyDescent="0.15">
      <c r="B3714" s="4" t="s">
        <v>895</v>
      </c>
      <c r="C3714" s="13">
        <v>7</v>
      </c>
      <c r="D3714" s="14">
        <f t="shared" si="357"/>
        <v>7</v>
      </c>
      <c r="E3714" s="12">
        <v>45490</v>
      </c>
      <c r="G3714" s="4" t="s">
        <v>6</v>
      </c>
      <c r="H3714" s="94"/>
      <c r="I3714" s="96">
        <f>SUM(H3714:H3714)</f>
        <v>0</v>
      </c>
      <c r="J3714" s="189"/>
    </row>
    <row r="3715" spans="2:10" ht="14.25" thickBot="1" x14ac:dyDescent="0.2">
      <c r="B3715" s="4" t="s">
        <v>6</v>
      </c>
      <c r="C3715" s="13">
        <v>400</v>
      </c>
      <c r="D3715" s="14">
        <f t="shared" si="357"/>
        <v>400</v>
      </c>
      <c r="E3715" s="12">
        <v>45498</v>
      </c>
      <c r="G3715" s="4" t="s">
        <v>6</v>
      </c>
      <c r="H3715" s="94"/>
      <c r="I3715" s="96">
        <f t="shared" ref="I3715" si="358">SUM(H3715:H3715)</f>
        <v>0</v>
      </c>
      <c r="J3715" s="189"/>
    </row>
    <row r="3716" spans="2:10" ht="14.25" thickBot="1" x14ac:dyDescent="0.2">
      <c r="B3716" s="46" t="s">
        <v>1</v>
      </c>
      <c r="C3716" s="48">
        <f>SUM(C3712:C3715)</f>
        <v>1111</v>
      </c>
      <c r="D3716" s="48">
        <f>SUM(D3712:D3715)</f>
        <v>1111</v>
      </c>
      <c r="E3716" s="51"/>
      <c r="G3716" s="46" t="s">
        <v>1</v>
      </c>
      <c r="H3716" s="50">
        <f>SUM(H3712:H3715)</f>
        <v>4428</v>
      </c>
      <c r="I3716" s="48">
        <f>SUM(I3712:I3715)</f>
        <v>4428</v>
      </c>
      <c r="J3716" s="51"/>
    </row>
    <row r="3717" spans="2:10" x14ac:dyDescent="0.15">
      <c r="B3717" s="15" t="s">
        <v>727</v>
      </c>
      <c r="C3717" s="13">
        <v>200</v>
      </c>
      <c r="D3717" s="14">
        <f t="shared" ref="D3717:D3741" si="359">SUM(C3717:C3717)</f>
        <v>200</v>
      </c>
      <c r="E3717" s="5">
        <v>45484</v>
      </c>
      <c r="G3717" s="89" t="s">
        <v>1052</v>
      </c>
      <c r="H3717" s="13">
        <v>400</v>
      </c>
      <c r="I3717" s="14">
        <f t="shared" ref="I3717:I3741" si="360">SUM(H3717:H3717)</f>
        <v>400</v>
      </c>
      <c r="J3717" s="12">
        <v>45490</v>
      </c>
    </row>
    <row r="3718" spans="2:10" x14ac:dyDescent="0.15">
      <c r="B3718" s="69" t="s">
        <v>18</v>
      </c>
      <c r="C3718" s="13">
        <v>4</v>
      </c>
      <c r="D3718" s="14">
        <f t="shared" si="359"/>
        <v>4</v>
      </c>
      <c r="E3718" s="5">
        <v>45484</v>
      </c>
      <c r="G3718" s="15" t="s">
        <v>1058</v>
      </c>
      <c r="H3718" s="13">
        <v>250</v>
      </c>
      <c r="I3718" s="14">
        <f t="shared" si="360"/>
        <v>250</v>
      </c>
      <c r="J3718" s="12">
        <v>45498</v>
      </c>
    </row>
    <row r="3719" spans="2:10" x14ac:dyDescent="0.15">
      <c r="B3719" s="69" t="s">
        <v>18</v>
      </c>
      <c r="C3719" s="13">
        <v>9</v>
      </c>
      <c r="D3719" s="14">
        <f t="shared" si="359"/>
        <v>9</v>
      </c>
      <c r="E3719" s="5">
        <v>45485</v>
      </c>
      <c r="G3719" s="15" t="s">
        <v>1060</v>
      </c>
      <c r="H3719" s="13">
        <v>1100</v>
      </c>
      <c r="I3719" s="14">
        <f t="shared" si="360"/>
        <v>1100</v>
      </c>
      <c r="J3719" s="12">
        <v>45498</v>
      </c>
    </row>
    <row r="3720" spans="2:10" x14ac:dyDescent="0.15">
      <c r="B3720" s="69" t="s">
        <v>18</v>
      </c>
      <c r="C3720" s="13">
        <v>17</v>
      </c>
      <c r="D3720" s="14">
        <f t="shared" si="359"/>
        <v>17</v>
      </c>
      <c r="E3720" s="5">
        <v>45485</v>
      </c>
      <c r="G3720" s="89" t="s">
        <v>1061</v>
      </c>
      <c r="H3720" s="13">
        <v>400</v>
      </c>
      <c r="I3720" s="14">
        <f t="shared" si="360"/>
        <v>400</v>
      </c>
      <c r="J3720" s="12">
        <v>45498</v>
      </c>
    </row>
    <row r="3721" spans="2:10" x14ac:dyDescent="0.15">
      <c r="B3721" s="69" t="s">
        <v>18</v>
      </c>
      <c r="C3721" s="13">
        <v>16</v>
      </c>
      <c r="D3721" s="14">
        <f t="shared" si="359"/>
        <v>16</v>
      </c>
      <c r="E3721" s="5">
        <v>45491</v>
      </c>
      <c r="G3721" s="89"/>
      <c r="H3721" s="13"/>
      <c r="I3721" s="14">
        <f t="shared" si="360"/>
        <v>0</v>
      </c>
      <c r="J3721" s="12"/>
    </row>
    <row r="3722" spans="2:10" x14ac:dyDescent="0.15">
      <c r="B3722" s="69" t="s">
        <v>1005</v>
      </c>
      <c r="C3722" s="13">
        <v>2</v>
      </c>
      <c r="D3722" s="14">
        <f t="shared" si="359"/>
        <v>2</v>
      </c>
      <c r="E3722" s="5">
        <v>45491</v>
      </c>
      <c r="G3722" s="89"/>
      <c r="H3722" s="13"/>
      <c r="I3722" s="14">
        <f t="shared" si="360"/>
        <v>0</v>
      </c>
      <c r="J3722" s="12"/>
    </row>
    <row r="3723" spans="2:10" x14ac:dyDescent="0.15">
      <c r="B3723" s="69" t="s">
        <v>189</v>
      </c>
      <c r="C3723" s="13">
        <v>12</v>
      </c>
      <c r="D3723" s="14">
        <f t="shared" si="359"/>
        <v>12</v>
      </c>
      <c r="E3723" s="5">
        <v>45489</v>
      </c>
      <c r="G3723" s="89"/>
      <c r="H3723" s="13"/>
      <c r="I3723" s="14">
        <f t="shared" si="360"/>
        <v>0</v>
      </c>
      <c r="J3723" s="12"/>
    </row>
    <row r="3724" spans="2:10" x14ac:dyDescent="0.15">
      <c r="B3724" s="69" t="s">
        <v>702</v>
      </c>
      <c r="C3724" s="13">
        <v>2</v>
      </c>
      <c r="D3724" s="14">
        <f t="shared" si="359"/>
        <v>2</v>
      </c>
      <c r="E3724" s="5">
        <v>45492</v>
      </c>
      <c r="G3724" s="15"/>
      <c r="H3724" s="13"/>
      <c r="I3724" s="14">
        <f t="shared" si="360"/>
        <v>0</v>
      </c>
      <c r="J3724" s="12"/>
    </row>
    <row r="3725" spans="2:10" x14ac:dyDescent="0.15">
      <c r="B3725" s="15" t="s">
        <v>1053</v>
      </c>
      <c r="C3725" s="13">
        <v>200</v>
      </c>
      <c r="D3725" s="14">
        <f t="shared" si="359"/>
        <v>200</v>
      </c>
      <c r="E3725" s="5">
        <v>45492</v>
      </c>
      <c r="G3725" s="15"/>
      <c r="H3725" s="13"/>
      <c r="I3725" s="14">
        <f t="shared" si="360"/>
        <v>0</v>
      </c>
      <c r="J3725" s="12"/>
    </row>
    <row r="3726" spans="2:10" x14ac:dyDescent="0.15">
      <c r="B3726" s="15" t="s">
        <v>1054</v>
      </c>
      <c r="C3726" s="13">
        <v>30</v>
      </c>
      <c r="D3726" s="14">
        <f t="shared" si="359"/>
        <v>30</v>
      </c>
      <c r="E3726" s="5">
        <v>45492</v>
      </c>
      <c r="G3726" s="15"/>
      <c r="H3726" s="13"/>
      <c r="I3726" s="14">
        <f t="shared" si="360"/>
        <v>0</v>
      </c>
      <c r="J3726" s="12"/>
    </row>
    <row r="3727" spans="2:10" x14ac:dyDescent="0.15">
      <c r="B3727" s="69" t="s">
        <v>189</v>
      </c>
      <c r="C3727" s="13">
        <v>1</v>
      </c>
      <c r="D3727" s="14">
        <f t="shared" si="359"/>
        <v>1</v>
      </c>
      <c r="E3727" s="5">
        <v>45490</v>
      </c>
      <c r="G3727" s="15"/>
      <c r="H3727" s="13"/>
      <c r="I3727" s="14">
        <f t="shared" si="360"/>
        <v>0</v>
      </c>
      <c r="J3727" s="5"/>
    </row>
    <row r="3728" spans="2:10" x14ac:dyDescent="0.15">
      <c r="B3728" s="69" t="s">
        <v>1055</v>
      </c>
      <c r="C3728" s="13">
        <v>10</v>
      </c>
      <c r="D3728" s="14">
        <f t="shared" si="359"/>
        <v>10</v>
      </c>
      <c r="E3728" s="5">
        <v>45492</v>
      </c>
      <c r="G3728" s="15"/>
      <c r="H3728" s="7"/>
      <c r="I3728" s="14">
        <f t="shared" si="360"/>
        <v>0</v>
      </c>
      <c r="J3728" s="12"/>
    </row>
    <row r="3729" spans="2:10" x14ac:dyDescent="0.15">
      <c r="B3729" s="69" t="s">
        <v>189</v>
      </c>
      <c r="C3729" s="13">
        <v>1</v>
      </c>
      <c r="D3729" s="14">
        <f t="shared" si="359"/>
        <v>1</v>
      </c>
      <c r="E3729" s="5">
        <v>45491</v>
      </c>
      <c r="G3729" s="15"/>
      <c r="H3729" s="7"/>
      <c r="I3729" s="14">
        <f t="shared" si="360"/>
        <v>0</v>
      </c>
      <c r="J3729" s="12"/>
    </row>
    <row r="3730" spans="2:10" x14ac:dyDescent="0.15">
      <c r="B3730" s="69" t="s">
        <v>18</v>
      </c>
      <c r="C3730" s="13">
        <v>17</v>
      </c>
      <c r="D3730" s="14">
        <f t="shared" si="359"/>
        <v>17</v>
      </c>
      <c r="E3730" s="5">
        <v>45495</v>
      </c>
      <c r="G3730" s="15"/>
      <c r="H3730" s="7"/>
      <c r="I3730" s="14">
        <f t="shared" si="360"/>
        <v>0</v>
      </c>
      <c r="J3730" s="5"/>
    </row>
    <row r="3731" spans="2:10" x14ac:dyDescent="0.15">
      <c r="B3731" s="69" t="s">
        <v>189</v>
      </c>
      <c r="C3731" s="13">
        <v>8</v>
      </c>
      <c r="D3731" s="14">
        <f t="shared" si="359"/>
        <v>8</v>
      </c>
      <c r="E3731" s="5">
        <v>45493</v>
      </c>
      <c r="G3731" s="15"/>
      <c r="H3731" s="7"/>
      <c r="I3731" s="14">
        <f t="shared" si="360"/>
        <v>0</v>
      </c>
      <c r="J3731" s="12"/>
    </row>
    <row r="3732" spans="2:10" x14ac:dyDescent="0.15">
      <c r="B3732" s="69" t="s">
        <v>18</v>
      </c>
      <c r="C3732" s="13">
        <v>22</v>
      </c>
      <c r="D3732" s="14">
        <f t="shared" si="359"/>
        <v>22</v>
      </c>
      <c r="E3732" s="5">
        <v>45497</v>
      </c>
      <c r="G3732" s="15"/>
      <c r="H3732" s="7"/>
      <c r="I3732" s="14">
        <f t="shared" si="360"/>
        <v>0</v>
      </c>
      <c r="J3732" s="12"/>
    </row>
    <row r="3733" spans="2:10" x14ac:dyDescent="0.15">
      <c r="B3733" s="69" t="s">
        <v>189</v>
      </c>
      <c r="C3733" s="13">
        <v>3</v>
      </c>
      <c r="D3733" s="14">
        <f t="shared" si="359"/>
        <v>3</v>
      </c>
      <c r="E3733" s="5">
        <v>45495</v>
      </c>
      <c r="G3733" s="15"/>
      <c r="H3733" s="7"/>
      <c r="I3733" s="14">
        <f t="shared" ref="I3733" si="361">SUM(H3733:H3733)</f>
        <v>0</v>
      </c>
      <c r="J3733" s="12"/>
    </row>
    <row r="3734" spans="2:10" x14ac:dyDescent="0.15">
      <c r="B3734" s="69" t="s">
        <v>18</v>
      </c>
      <c r="C3734" s="13">
        <v>14</v>
      </c>
      <c r="D3734" s="14">
        <f t="shared" si="359"/>
        <v>14</v>
      </c>
      <c r="E3734" s="5">
        <v>45498</v>
      </c>
      <c r="G3734" s="15"/>
      <c r="H3734" s="7"/>
      <c r="I3734" s="14">
        <f t="shared" ref="I3734:I3735" si="362">SUM(H3734:H3734)</f>
        <v>0</v>
      </c>
      <c r="J3734" s="12"/>
    </row>
    <row r="3735" spans="2:10" x14ac:dyDescent="0.15">
      <c r="B3735" s="15" t="s">
        <v>1059</v>
      </c>
      <c r="C3735" s="13">
        <v>120</v>
      </c>
      <c r="D3735" s="14">
        <f t="shared" si="359"/>
        <v>120</v>
      </c>
      <c r="E3735" s="5">
        <v>45498</v>
      </c>
      <c r="G3735" s="15"/>
      <c r="H3735" s="7"/>
      <c r="I3735" s="14">
        <f t="shared" si="362"/>
        <v>0</v>
      </c>
      <c r="J3735" s="12"/>
    </row>
    <row r="3736" spans="2:10" x14ac:dyDescent="0.15">
      <c r="B3736" s="69" t="s">
        <v>189</v>
      </c>
      <c r="C3736" s="13">
        <v>1</v>
      </c>
      <c r="D3736" s="14">
        <f t="shared" si="359"/>
        <v>1</v>
      </c>
      <c r="E3736" s="5">
        <v>45497</v>
      </c>
      <c r="G3736" s="15" t="s">
        <v>1045</v>
      </c>
      <c r="H3736" s="7"/>
      <c r="I3736" s="14">
        <f t="shared" ref="I3736:I3738" si="363">SUM(H3736:H3736)</f>
        <v>0</v>
      </c>
      <c r="J3736" s="67" t="s">
        <v>970</v>
      </c>
    </row>
    <row r="3737" spans="2:10" x14ac:dyDescent="0.15">
      <c r="B3737" s="69" t="s">
        <v>18</v>
      </c>
      <c r="C3737" s="13">
        <v>6</v>
      </c>
      <c r="D3737" s="14">
        <f t="shared" si="359"/>
        <v>6</v>
      </c>
      <c r="E3737" s="5">
        <v>45499</v>
      </c>
      <c r="G3737" s="4" t="s">
        <v>942</v>
      </c>
      <c r="H3737" s="184"/>
      <c r="I3737" s="185">
        <f t="shared" si="363"/>
        <v>0</v>
      </c>
      <c r="J3737" s="186"/>
    </row>
    <row r="3738" spans="2:10" x14ac:dyDescent="0.15">
      <c r="B3738" s="69" t="s">
        <v>18</v>
      </c>
      <c r="C3738" s="13">
        <v>13</v>
      </c>
      <c r="D3738" s="14">
        <f t="shared" si="359"/>
        <v>13</v>
      </c>
      <c r="E3738" s="5">
        <v>45502</v>
      </c>
      <c r="G3738" s="15" t="s">
        <v>1015</v>
      </c>
      <c r="H3738" s="7"/>
      <c r="I3738" s="14">
        <f t="shared" si="363"/>
        <v>0</v>
      </c>
      <c r="J3738" t="s">
        <v>1016</v>
      </c>
    </row>
    <row r="3739" spans="2:10" x14ac:dyDescent="0.15">
      <c r="B3739" s="69" t="s">
        <v>189</v>
      </c>
      <c r="C3739" s="13">
        <v>1</v>
      </c>
      <c r="D3739" s="14">
        <f t="shared" si="359"/>
        <v>1</v>
      </c>
      <c r="E3739" s="5">
        <v>45499</v>
      </c>
      <c r="G3739" s="4" t="s">
        <v>1033</v>
      </c>
      <c r="H3739" s="184"/>
      <c r="I3739" s="185">
        <f t="shared" ref="I3739:I3740" si="364">SUM(H3739:H3739)</f>
        <v>0</v>
      </c>
      <c r="J3739" s="186"/>
    </row>
    <row r="3740" spans="2:10" ht="14.25" thickBot="1" x14ac:dyDescent="0.2">
      <c r="B3740" s="69" t="s">
        <v>18</v>
      </c>
      <c r="C3740" s="7">
        <v>39</v>
      </c>
      <c r="D3740" s="14">
        <f t="shared" si="359"/>
        <v>39</v>
      </c>
      <c r="E3740" s="5">
        <v>45504</v>
      </c>
      <c r="G3740" s="15" t="s">
        <v>706</v>
      </c>
      <c r="H3740" s="7"/>
      <c r="I3740" s="14">
        <f t="shared" si="364"/>
        <v>0</v>
      </c>
      <c r="J3740" t="s">
        <v>1037</v>
      </c>
    </row>
    <row r="3741" spans="2:10" ht="14.25" thickBot="1" x14ac:dyDescent="0.2">
      <c r="B3741" s="17" t="s">
        <v>2</v>
      </c>
      <c r="C3741" s="18">
        <f>SUM(C3717:C3740)</f>
        <v>748</v>
      </c>
      <c r="D3741" s="19">
        <f t="shared" si="359"/>
        <v>748</v>
      </c>
      <c r="E3741" s="20"/>
      <c r="G3741" s="17" t="s">
        <v>2</v>
      </c>
      <c r="H3741" s="18">
        <f>SUM(H3717:H3740)</f>
        <v>2150</v>
      </c>
      <c r="I3741" s="19">
        <f t="shared" si="360"/>
        <v>2150</v>
      </c>
      <c r="J3741" s="20"/>
    </row>
    <row r="3742" spans="2:10" ht="14.25" thickBot="1" x14ac:dyDescent="0.2">
      <c r="B3742" s="46" t="s">
        <v>3</v>
      </c>
      <c r="C3742" s="52">
        <f>C3716-C3741</f>
        <v>363</v>
      </c>
      <c r="D3742" s="48">
        <f>D3716-D3741</f>
        <v>363</v>
      </c>
      <c r="E3742" s="49"/>
      <c r="G3742" s="46" t="s">
        <v>3</v>
      </c>
      <c r="H3742" s="52">
        <f>H3716-H3741</f>
        <v>2278</v>
      </c>
      <c r="I3742" s="48">
        <f>I3716-I3741</f>
        <v>2278</v>
      </c>
      <c r="J3742" s="49"/>
    </row>
    <row r="3745" spans="2:10" ht="18.75" x14ac:dyDescent="0.2">
      <c r="B3745" s="26" t="s">
        <v>7</v>
      </c>
      <c r="G3745" s="26" t="s">
        <v>35</v>
      </c>
    </row>
    <row r="3746" spans="2:10" ht="14.25" thickBot="1" x14ac:dyDescent="0.2">
      <c r="J3746">
        <v>360</v>
      </c>
    </row>
    <row r="3747" spans="2:10" ht="14.25" thickBot="1" x14ac:dyDescent="0.2">
      <c r="B3747" s="1"/>
      <c r="C3747" s="1"/>
      <c r="D3747" s="53" t="s">
        <v>0</v>
      </c>
      <c r="E3747" s="1" t="s">
        <v>4</v>
      </c>
      <c r="G3747" s="1"/>
      <c r="H3747" s="1"/>
      <c r="I3747" s="53" t="s">
        <v>0</v>
      </c>
      <c r="J3747" s="1" t="s">
        <v>4</v>
      </c>
    </row>
    <row r="3748" spans="2:10" x14ac:dyDescent="0.15">
      <c r="B3748" s="42" t="s">
        <v>5</v>
      </c>
      <c r="C3748" s="43">
        <f>C3742</f>
        <v>363</v>
      </c>
      <c r="D3748" s="44">
        <f>SUM(C3748:C3748)</f>
        <v>363</v>
      </c>
      <c r="E3748" s="45"/>
      <c r="G3748" s="42" t="s">
        <v>5</v>
      </c>
      <c r="H3748" s="43">
        <f>H3742</f>
        <v>2278</v>
      </c>
      <c r="I3748" s="44">
        <f>I3742</f>
        <v>2278</v>
      </c>
      <c r="J3748" s="45"/>
    </row>
    <row r="3749" spans="2:10" x14ac:dyDescent="0.15">
      <c r="B3749" s="4" t="s">
        <v>843</v>
      </c>
      <c r="C3749" s="13">
        <v>4</v>
      </c>
      <c r="D3749" s="14">
        <f t="shared" ref="D3749:D3751" si="365">SUM(C3749:C3749)</f>
        <v>4</v>
      </c>
      <c r="E3749" s="12">
        <v>45530</v>
      </c>
      <c r="G3749" s="4" t="s">
        <v>6</v>
      </c>
      <c r="H3749" s="94"/>
      <c r="I3749" s="96">
        <f>SUM(H3749:H3749)</f>
        <v>0</v>
      </c>
      <c r="J3749" s="189"/>
    </row>
    <row r="3750" spans="2:10" x14ac:dyDescent="0.15">
      <c r="B3750" s="4" t="s">
        <v>105</v>
      </c>
      <c r="C3750" s="13">
        <v>1</v>
      </c>
      <c r="D3750" s="14">
        <f t="shared" si="365"/>
        <v>1</v>
      </c>
      <c r="E3750" s="12">
        <v>45533</v>
      </c>
      <c r="G3750" s="4" t="s">
        <v>6</v>
      </c>
      <c r="H3750" s="94"/>
      <c r="I3750" s="96">
        <f t="shared" ref="I3750:I3751" si="366">SUM(H3750:H3750)</f>
        <v>0</v>
      </c>
      <c r="J3750" s="189"/>
    </row>
    <row r="3751" spans="2:10" ht="14.25" thickBot="1" x14ac:dyDescent="0.2">
      <c r="B3751" s="4" t="s">
        <v>6</v>
      </c>
      <c r="C3751" s="94"/>
      <c r="D3751" s="96">
        <f t="shared" si="365"/>
        <v>0</v>
      </c>
      <c r="E3751" s="98"/>
      <c r="G3751" s="4" t="s">
        <v>6</v>
      </c>
      <c r="H3751" s="94"/>
      <c r="I3751" s="96">
        <f t="shared" si="366"/>
        <v>0</v>
      </c>
      <c r="J3751" s="189"/>
    </row>
    <row r="3752" spans="2:10" ht="14.25" thickBot="1" x14ac:dyDescent="0.2">
      <c r="B3752" s="46" t="s">
        <v>1</v>
      </c>
      <c r="C3752" s="48">
        <f>SUM(C3748:C3751)</f>
        <v>368</v>
      </c>
      <c r="D3752" s="48">
        <f>SUM(D3748:D3751)</f>
        <v>368</v>
      </c>
      <c r="E3752" s="51"/>
      <c r="G3752" s="46" t="s">
        <v>1</v>
      </c>
      <c r="H3752" s="194">
        <f>SUM(H3748:H3751)</f>
        <v>2278</v>
      </c>
      <c r="I3752" s="48">
        <f>SUM(I3748:I3751)</f>
        <v>2278</v>
      </c>
      <c r="J3752" s="51"/>
    </row>
    <row r="3753" spans="2:10" x14ac:dyDescent="0.15">
      <c r="B3753" s="69" t="s">
        <v>189</v>
      </c>
      <c r="C3753" s="13">
        <v>1</v>
      </c>
      <c r="D3753" s="14">
        <f t="shared" ref="D3753:D3777" si="367">SUM(C3753:C3753)</f>
        <v>1</v>
      </c>
      <c r="E3753" s="5">
        <v>45502</v>
      </c>
      <c r="G3753" s="15" t="s">
        <v>1064</v>
      </c>
      <c r="H3753" s="13">
        <v>1600</v>
      </c>
      <c r="I3753" s="14">
        <f t="shared" ref="I3753:I3769" si="368">SUM(H3753:H3753)</f>
        <v>1600</v>
      </c>
      <c r="J3753" s="12">
        <v>45526</v>
      </c>
    </row>
    <row r="3754" spans="2:10" x14ac:dyDescent="0.15">
      <c r="B3754" s="69" t="s">
        <v>18</v>
      </c>
      <c r="C3754" s="13">
        <v>6</v>
      </c>
      <c r="D3754" s="14">
        <f t="shared" si="367"/>
        <v>6</v>
      </c>
      <c r="E3754" s="5">
        <v>45505</v>
      </c>
      <c r="G3754" s="15" t="s">
        <v>1065</v>
      </c>
      <c r="H3754" s="13">
        <v>200</v>
      </c>
      <c r="I3754" s="14">
        <f t="shared" si="368"/>
        <v>200</v>
      </c>
      <c r="J3754" s="12">
        <v>45532</v>
      </c>
    </row>
    <row r="3755" spans="2:10" x14ac:dyDescent="0.15">
      <c r="B3755" s="69" t="s">
        <v>189</v>
      </c>
      <c r="C3755" s="13">
        <v>1</v>
      </c>
      <c r="D3755" s="14">
        <f t="shared" si="367"/>
        <v>1</v>
      </c>
      <c r="E3755" s="5">
        <v>45503</v>
      </c>
      <c r="G3755" s="15" t="s">
        <v>1066</v>
      </c>
      <c r="H3755" s="13">
        <v>185</v>
      </c>
      <c r="I3755" s="14">
        <f t="shared" si="368"/>
        <v>185</v>
      </c>
      <c r="J3755" s="12">
        <v>45534</v>
      </c>
    </row>
    <row r="3756" spans="2:10" x14ac:dyDescent="0.15">
      <c r="B3756" s="69" t="s">
        <v>18</v>
      </c>
      <c r="C3756" s="13">
        <v>11</v>
      </c>
      <c r="D3756" s="14">
        <f t="shared" si="367"/>
        <v>11</v>
      </c>
      <c r="E3756" s="5">
        <v>45506</v>
      </c>
      <c r="G3756" s="15" t="s">
        <v>1068</v>
      </c>
      <c r="H3756" s="13">
        <v>250</v>
      </c>
      <c r="I3756" s="14">
        <f t="shared" si="368"/>
        <v>250</v>
      </c>
      <c r="J3756" s="12">
        <v>45535</v>
      </c>
    </row>
    <row r="3757" spans="2:10" x14ac:dyDescent="0.15">
      <c r="B3757" s="69" t="s">
        <v>18</v>
      </c>
      <c r="C3757" s="13">
        <v>6</v>
      </c>
      <c r="D3757" s="14">
        <f t="shared" si="367"/>
        <v>6</v>
      </c>
      <c r="E3757" s="5">
        <v>45506</v>
      </c>
      <c r="G3757" s="89"/>
      <c r="H3757" s="13"/>
      <c r="I3757" s="14">
        <f t="shared" si="368"/>
        <v>0</v>
      </c>
      <c r="J3757" s="12"/>
    </row>
    <row r="3758" spans="2:10" x14ac:dyDescent="0.15">
      <c r="B3758" s="69" t="s">
        <v>1005</v>
      </c>
      <c r="C3758" s="13">
        <v>1</v>
      </c>
      <c r="D3758" s="14">
        <f t="shared" si="367"/>
        <v>1</v>
      </c>
      <c r="E3758" s="5">
        <v>45506</v>
      </c>
      <c r="G3758" s="89"/>
      <c r="H3758" s="13"/>
      <c r="I3758" s="14">
        <f t="shared" si="368"/>
        <v>0</v>
      </c>
      <c r="J3758" s="12"/>
    </row>
    <row r="3759" spans="2:10" x14ac:dyDescent="0.15">
      <c r="B3759" s="69" t="s">
        <v>18</v>
      </c>
      <c r="C3759" s="13">
        <v>4</v>
      </c>
      <c r="D3759" s="14">
        <f t="shared" si="367"/>
        <v>4</v>
      </c>
      <c r="E3759" s="5">
        <v>45509</v>
      </c>
      <c r="G3759" s="89"/>
      <c r="H3759" s="13"/>
      <c r="I3759" s="14">
        <f t="shared" si="368"/>
        <v>0</v>
      </c>
      <c r="J3759" s="12"/>
    </row>
    <row r="3760" spans="2:10" x14ac:dyDescent="0.15">
      <c r="B3760" s="69" t="s">
        <v>189</v>
      </c>
      <c r="C3760" s="13">
        <v>1</v>
      </c>
      <c r="D3760" s="14">
        <f t="shared" si="367"/>
        <v>1</v>
      </c>
      <c r="E3760" s="5">
        <v>45506</v>
      </c>
      <c r="G3760" s="15"/>
      <c r="H3760" s="13"/>
      <c r="I3760" s="14">
        <f t="shared" si="368"/>
        <v>0</v>
      </c>
      <c r="J3760" s="12"/>
    </row>
    <row r="3761" spans="2:10" x14ac:dyDescent="0.15">
      <c r="B3761" s="69" t="s">
        <v>189</v>
      </c>
      <c r="C3761" s="13">
        <v>2</v>
      </c>
      <c r="D3761" s="14">
        <f t="shared" si="367"/>
        <v>2</v>
      </c>
      <c r="E3761" s="5">
        <v>45509</v>
      </c>
      <c r="G3761" s="15"/>
      <c r="H3761" s="13"/>
      <c r="I3761" s="14">
        <f t="shared" si="368"/>
        <v>0</v>
      </c>
      <c r="J3761" s="12"/>
    </row>
    <row r="3762" spans="2:10" x14ac:dyDescent="0.15">
      <c r="B3762" s="69" t="s">
        <v>18</v>
      </c>
      <c r="C3762" s="13">
        <v>9</v>
      </c>
      <c r="D3762" s="14">
        <f t="shared" si="367"/>
        <v>9</v>
      </c>
      <c r="E3762" s="5">
        <v>45512</v>
      </c>
      <c r="G3762" s="15"/>
      <c r="H3762" s="13"/>
      <c r="I3762" s="14">
        <f t="shared" si="368"/>
        <v>0</v>
      </c>
      <c r="J3762" s="12"/>
    </row>
    <row r="3763" spans="2:10" x14ac:dyDescent="0.15">
      <c r="B3763" s="69" t="s">
        <v>18</v>
      </c>
      <c r="C3763" s="13">
        <v>11</v>
      </c>
      <c r="D3763" s="14">
        <f t="shared" si="367"/>
        <v>11</v>
      </c>
      <c r="E3763" s="5">
        <v>45513</v>
      </c>
      <c r="G3763" s="15"/>
      <c r="H3763" s="13"/>
      <c r="I3763" s="14">
        <f t="shared" si="368"/>
        <v>0</v>
      </c>
      <c r="J3763" s="5"/>
    </row>
    <row r="3764" spans="2:10" x14ac:dyDescent="0.15">
      <c r="B3764" s="69" t="s">
        <v>189</v>
      </c>
      <c r="C3764" s="13">
        <v>2</v>
      </c>
      <c r="D3764" s="14">
        <f t="shared" si="367"/>
        <v>2</v>
      </c>
      <c r="E3764" s="5">
        <v>45511</v>
      </c>
      <c r="G3764" s="15"/>
      <c r="H3764" s="7"/>
      <c r="I3764" s="14">
        <f t="shared" si="368"/>
        <v>0</v>
      </c>
      <c r="J3764" s="12"/>
    </row>
    <row r="3765" spans="2:10" x14ac:dyDescent="0.15">
      <c r="B3765" s="15" t="s">
        <v>1062</v>
      </c>
      <c r="C3765" s="13">
        <v>50</v>
      </c>
      <c r="D3765" s="14">
        <f t="shared" si="367"/>
        <v>50</v>
      </c>
      <c r="E3765" s="5">
        <v>45520</v>
      </c>
      <c r="G3765" s="15"/>
      <c r="H3765" s="7"/>
      <c r="I3765" s="14">
        <f t="shared" si="368"/>
        <v>0</v>
      </c>
      <c r="J3765" s="12"/>
    </row>
    <row r="3766" spans="2:10" x14ac:dyDescent="0.15">
      <c r="B3766" s="69" t="s">
        <v>18</v>
      </c>
      <c r="C3766" s="13">
        <v>3</v>
      </c>
      <c r="D3766" s="14">
        <f t="shared" si="367"/>
        <v>3</v>
      </c>
      <c r="E3766" s="5">
        <v>45520</v>
      </c>
      <c r="G3766" s="15"/>
      <c r="H3766" s="7"/>
      <c r="I3766" s="14">
        <f t="shared" si="368"/>
        <v>0</v>
      </c>
      <c r="J3766" s="5"/>
    </row>
    <row r="3767" spans="2:10" x14ac:dyDescent="0.15">
      <c r="B3767" s="15" t="s">
        <v>1063</v>
      </c>
      <c r="C3767" s="13">
        <v>100</v>
      </c>
      <c r="D3767" s="14">
        <f t="shared" si="367"/>
        <v>100</v>
      </c>
      <c r="E3767" s="5">
        <v>45520</v>
      </c>
      <c r="G3767" s="15"/>
      <c r="H3767" s="7"/>
      <c r="I3767" s="14">
        <f t="shared" si="368"/>
        <v>0</v>
      </c>
      <c r="J3767" s="12"/>
    </row>
    <row r="3768" spans="2:10" x14ac:dyDescent="0.15">
      <c r="B3768" s="69" t="s">
        <v>18</v>
      </c>
      <c r="C3768" s="13">
        <v>8</v>
      </c>
      <c r="D3768" s="14">
        <f t="shared" si="367"/>
        <v>8</v>
      </c>
      <c r="E3768" s="5">
        <v>45523</v>
      </c>
      <c r="G3768" s="15"/>
      <c r="H3768" s="7"/>
      <c r="I3768" s="14">
        <f t="shared" si="368"/>
        <v>0</v>
      </c>
      <c r="J3768" s="12"/>
    </row>
    <row r="3769" spans="2:10" x14ac:dyDescent="0.15">
      <c r="B3769" s="69" t="s">
        <v>189</v>
      </c>
      <c r="C3769" s="13">
        <v>4</v>
      </c>
      <c r="D3769" s="14">
        <f t="shared" si="367"/>
        <v>4</v>
      </c>
      <c r="E3769" s="5">
        <v>45520</v>
      </c>
      <c r="G3769" s="15"/>
      <c r="H3769" s="7"/>
      <c r="I3769" s="14">
        <f t="shared" si="368"/>
        <v>0</v>
      </c>
      <c r="J3769" s="67"/>
    </row>
    <row r="3770" spans="2:10" x14ac:dyDescent="0.15">
      <c r="B3770" s="69" t="s">
        <v>18</v>
      </c>
      <c r="C3770" s="13">
        <v>8</v>
      </c>
      <c r="D3770" s="14">
        <f t="shared" si="367"/>
        <v>8</v>
      </c>
      <c r="E3770" s="5">
        <v>45525</v>
      </c>
      <c r="G3770" s="15"/>
      <c r="H3770" s="7"/>
      <c r="I3770" s="14">
        <f t="shared" ref="I3770" si="369">SUM(H3770:H3770)</f>
        <v>0</v>
      </c>
      <c r="J3770" s="67"/>
    </row>
    <row r="3771" spans="2:10" x14ac:dyDescent="0.15">
      <c r="B3771" s="69" t="s">
        <v>189</v>
      </c>
      <c r="C3771" s="13">
        <v>5</v>
      </c>
      <c r="D3771" s="14">
        <f t="shared" si="367"/>
        <v>5</v>
      </c>
      <c r="E3771" s="5">
        <v>45523</v>
      </c>
      <c r="G3771" s="15"/>
      <c r="H3771" s="7"/>
      <c r="I3771" s="14">
        <f t="shared" ref="I3771:I3774" si="370">SUM(H3771:H3771)</f>
        <v>0</v>
      </c>
      <c r="J3771" s="67"/>
    </row>
    <row r="3772" spans="2:10" x14ac:dyDescent="0.15">
      <c r="B3772" s="69" t="s">
        <v>18</v>
      </c>
      <c r="C3772" s="13">
        <v>11</v>
      </c>
      <c r="D3772" s="14">
        <f t="shared" si="367"/>
        <v>11</v>
      </c>
      <c r="E3772" s="5">
        <v>45526</v>
      </c>
      <c r="G3772" s="15"/>
      <c r="H3772" s="7"/>
      <c r="I3772" s="14">
        <f t="shared" si="370"/>
        <v>0</v>
      </c>
      <c r="J3772" s="67"/>
    </row>
    <row r="3773" spans="2:10" x14ac:dyDescent="0.15">
      <c r="B3773" s="69" t="s">
        <v>18</v>
      </c>
      <c r="C3773" s="13">
        <v>3</v>
      </c>
      <c r="D3773" s="14">
        <f t="shared" si="367"/>
        <v>3</v>
      </c>
      <c r="E3773" s="5">
        <v>45527</v>
      </c>
      <c r="G3773" s="15"/>
      <c r="H3773" s="7"/>
      <c r="I3773" s="14">
        <f t="shared" si="370"/>
        <v>0</v>
      </c>
      <c r="J3773" s="67"/>
    </row>
    <row r="3774" spans="2:10" x14ac:dyDescent="0.15">
      <c r="B3774" s="69" t="s">
        <v>18</v>
      </c>
      <c r="C3774" s="13">
        <v>2</v>
      </c>
      <c r="D3774" s="14">
        <f t="shared" si="367"/>
        <v>2</v>
      </c>
      <c r="E3774" s="5">
        <v>45527</v>
      </c>
      <c r="G3774" s="15" t="s">
        <v>1049</v>
      </c>
      <c r="H3774" s="7"/>
      <c r="I3774" s="14">
        <f t="shared" si="370"/>
        <v>0</v>
      </c>
      <c r="J3774" s="67" t="s">
        <v>1050</v>
      </c>
    </row>
    <row r="3775" spans="2:10" x14ac:dyDescent="0.15">
      <c r="B3775" s="69" t="s">
        <v>18</v>
      </c>
      <c r="C3775" s="13">
        <v>5</v>
      </c>
      <c r="D3775" s="14">
        <f t="shared" si="367"/>
        <v>5</v>
      </c>
      <c r="E3775" s="5">
        <v>45532</v>
      </c>
      <c r="G3775" s="4" t="s">
        <v>912</v>
      </c>
      <c r="H3775" s="184"/>
      <c r="I3775" s="185">
        <f t="shared" ref="I3775:I3776" si="371">SUM(H3775:H3775)</f>
        <v>0</v>
      </c>
      <c r="J3775" s="186"/>
    </row>
    <row r="3776" spans="2:10" ht="14.25" thickBot="1" x14ac:dyDescent="0.2">
      <c r="B3776" s="69" t="s">
        <v>18</v>
      </c>
      <c r="C3776" s="7">
        <v>27</v>
      </c>
      <c r="D3776" s="14">
        <f t="shared" si="367"/>
        <v>27</v>
      </c>
      <c r="E3776" s="5">
        <v>45533</v>
      </c>
      <c r="G3776" s="15" t="s">
        <v>1023</v>
      </c>
      <c r="H3776" s="7"/>
      <c r="I3776" s="14">
        <f t="shared" si="371"/>
        <v>0</v>
      </c>
      <c r="J3776" t="s">
        <v>1024</v>
      </c>
    </row>
    <row r="3777" spans="2:10" ht="14.25" thickBot="1" x14ac:dyDescent="0.2">
      <c r="B3777" s="17" t="s">
        <v>2</v>
      </c>
      <c r="C3777" s="18">
        <f>SUM(C3753:C3776)</f>
        <v>281</v>
      </c>
      <c r="D3777" s="19">
        <f t="shared" si="367"/>
        <v>281</v>
      </c>
      <c r="E3777" s="20"/>
      <c r="G3777" s="17" t="s">
        <v>2</v>
      </c>
      <c r="H3777" s="18">
        <f>SUM(H3753:H3776)</f>
        <v>2235</v>
      </c>
      <c r="I3777" s="18">
        <f>SUM(I3753:I3776)</f>
        <v>2235</v>
      </c>
      <c r="J3777" s="20"/>
    </row>
    <row r="3778" spans="2:10" ht="14.25" thickBot="1" x14ac:dyDescent="0.2">
      <c r="B3778" s="46" t="s">
        <v>3</v>
      </c>
      <c r="C3778" s="52">
        <f>C3752-C3777</f>
        <v>87</v>
      </c>
      <c r="D3778" s="48">
        <f>D3752-D3777</f>
        <v>87</v>
      </c>
      <c r="E3778" s="49"/>
      <c r="G3778" s="46" t="s">
        <v>3</v>
      </c>
      <c r="H3778" s="52">
        <f>H3752-H3777</f>
        <v>43</v>
      </c>
      <c r="I3778" s="52">
        <f>I3752-I3777</f>
        <v>43</v>
      </c>
      <c r="J3778" s="49"/>
    </row>
    <row r="3781" spans="2:10" ht="18.75" x14ac:dyDescent="0.2">
      <c r="B3781" s="26" t="s">
        <v>7</v>
      </c>
      <c r="G3781" s="26" t="s">
        <v>35</v>
      </c>
    </row>
    <row r="3782" spans="2:10" ht="14.25" thickBot="1" x14ac:dyDescent="0.2">
      <c r="J3782">
        <v>360</v>
      </c>
    </row>
    <row r="3783" spans="2:10" ht="14.25" thickBot="1" x14ac:dyDescent="0.2">
      <c r="B3783" s="1"/>
      <c r="C3783" s="1"/>
      <c r="D3783" s="53" t="s">
        <v>0</v>
      </c>
      <c r="E3783" s="1" t="s">
        <v>4</v>
      </c>
      <c r="G3783" s="1"/>
      <c r="H3783" s="1"/>
      <c r="I3783" s="53" t="s">
        <v>0</v>
      </c>
      <c r="J3783" s="1" t="s">
        <v>4</v>
      </c>
    </row>
    <row r="3784" spans="2:10" x14ac:dyDescent="0.15">
      <c r="B3784" s="42" t="s">
        <v>5</v>
      </c>
      <c r="C3784" s="43">
        <f>C3778</f>
        <v>87</v>
      </c>
      <c r="D3784" s="44">
        <f>SUM(C3784:C3784)</f>
        <v>87</v>
      </c>
      <c r="E3784" s="45"/>
      <c r="G3784" s="42" t="s">
        <v>5</v>
      </c>
      <c r="H3784" s="43">
        <f>H3778</f>
        <v>43</v>
      </c>
      <c r="I3784" s="44">
        <f>I3778</f>
        <v>43</v>
      </c>
      <c r="J3784" s="45"/>
    </row>
    <row r="3785" spans="2:10" x14ac:dyDescent="0.15">
      <c r="B3785" s="4" t="s">
        <v>6</v>
      </c>
      <c r="C3785" s="13">
        <v>400</v>
      </c>
      <c r="D3785" s="14">
        <f t="shared" ref="D3785:D3787" si="372">SUM(C3785:C3785)</f>
        <v>400</v>
      </c>
      <c r="E3785" s="12">
        <v>45538</v>
      </c>
      <c r="G3785" s="4" t="s">
        <v>6</v>
      </c>
      <c r="H3785" s="94"/>
      <c r="I3785" s="96">
        <f>SUM(H3785:H3785)</f>
        <v>0</v>
      </c>
      <c r="J3785" s="189"/>
    </row>
    <row r="3786" spans="2:10" x14ac:dyDescent="0.15">
      <c r="B3786" s="4" t="s">
        <v>895</v>
      </c>
      <c r="C3786" s="13">
        <v>9</v>
      </c>
      <c r="D3786" s="14">
        <f t="shared" si="372"/>
        <v>9</v>
      </c>
      <c r="E3786" s="12">
        <v>45539</v>
      </c>
      <c r="G3786" s="4" t="s">
        <v>6</v>
      </c>
      <c r="H3786" s="13">
        <v>1500</v>
      </c>
      <c r="I3786" s="14">
        <f>SUM(H3786:H3786)</f>
        <v>1500</v>
      </c>
      <c r="J3786" s="169" t="s">
        <v>1070</v>
      </c>
    </row>
    <row r="3787" spans="2:10" ht="14.25" thickBot="1" x14ac:dyDescent="0.2">
      <c r="B3787" s="4" t="s">
        <v>105</v>
      </c>
      <c r="C3787" s="13">
        <v>1</v>
      </c>
      <c r="D3787" s="14">
        <f t="shared" si="372"/>
        <v>1</v>
      </c>
      <c r="E3787" s="12">
        <v>45576</v>
      </c>
      <c r="G3787" s="4" t="s">
        <v>6</v>
      </c>
      <c r="H3787" s="94"/>
      <c r="I3787" s="96">
        <f t="shared" ref="I3787" si="373">SUM(H3787:H3787)</f>
        <v>0</v>
      </c>
      <c r="J3787" s="189"/>
    </row>
    <row r="3788" spans="2:10" ht="14.25" thickBot="1" x14ac:dyDescent="0.2">
      <c r="B3788" s="46" t="s">
        <v>1</v>
      </c>
      <c r="C3788" s="48">
        <f>SUM(C3784:C3787)</f>
        <v>497</v>
      </c>
      <c r="D3788" s="48">
        <f>SUM(D3784:D3787)</f>
        <v>497</v>
      </c>
      <c r="E3788" s="51"/>
      <c r="G3788" s="46" t="s">
        <v>1</v>
      </c>
      <c r="H3788" s="194">
        <f>SUM(H3784:H3787)</f>
        <v>1543</v>
      </c>
      <c r="I3788" s="48">
        <f>SUM(I3784:I3787)</f>
        <v>1543</v>
      </c>
      <c r="J3788" s="51"/>
    </row>
    <row r="3789" spans="2:10" x14ac:dyDescent="0.15">
      <c r="B3789" s="69" t="s">
        <v>189</v>
      </c>
      <c r="C3789" s="13">
        <v>1</v>
      </c>
      <c r="D3789" s="14">
        <f t="shared" ref="D3789" si="374">SUM(C3789:C3789)</f>
        <v>1</v>
      </c>
      <c r="E3789" s="5">
        <v>45534</v>
      </c>
      <c r="G3789" s="89" t="s">
        <v>1069</v>
      </c>
      <c r="H3789" s="13">
        <v>400</v>
      </c>
      <c r="I3789" s="14">
        <f t="shared" ref="I3789:I3812" si="375">SUM(H3789:H3789)</f>
        <v>400</v>
      </c>
      <c r="J3789" s="12">
        <v>45538</v>
      </c>
    </row>
    <row r="3790" spans="2:10" x14ac:dyDescent="0.15">
      <c r="B3790" s="69" t="s">
        <v>18</v>
      </c>
      <c r="C3790" s="13">
        <v>9</v>
      </c>
      <c r="D3790" s="14">
        <f t="shared" ref="D3790:D3791" si="376">SUM(C3790:C3790)</f>
        <v>9</v>
      </c>
      <c r="E3790" s="5">
        <v>45539</v>
      </c>
      <c r="G3790" s="89"/>
      <c r="H3790" s="13"/>
      <c r="I3790" s="14">
        <f t="shared" si="375"/>
        <v>0</v>
      </c>
      <c r="J3790" s="12"/>
    </row>
    <row r="3791" spans="2:10" x14ac:dyDescent="0.15">
      <c r="B3791" s="15" t="s">
        <v>997</v>
      </c>
      <c r="C3791" s="13">
        <v>100</v>
      </c>
      <c r="D3791" s="14">
        <f t="shared" si="376"/>
        <v>100</v>
      </c>
      <c r="E3791" s="5">
        <v>45541</v>
      </c>
      <c r="G3791" s="89"/>
      <c r="H3791" s="13"/>
      <c r="I3791" s="14">
        <f t="shared" si="375"/>
        <v>0</v>
      </c>
      <c r="J3791" s="12"/>
    </row>
    <row r="3792" spans="2:10" x14ac:dyDescent="0.15">
      <c r="B3792" s="69" t="s">
        <v>189</v>
      </c>
      <c r="C3792" s="13">
        <v>1</v>
      </c>
      <c r="D3792" s="14">
        <f t="shared" ref="D3792:D3813" si="377">SUM(C3792:C3792)</f>
        <v>1</v>
      </c>
      <c r="E3792" s="5">
        <v>45537</v>
      </c>
      <c r="G3792" s="89"/>
      <c r="H3792" s="13"/>
      <c r="I3792" s="14">
        <f t="shared" si="375"/>
        <v>0</v>
      </c>
      <c r="J3792" s="12"/>
    </row>
    <row r="3793" spans="2:10" x14ac:dyDescent="0.15">
      <c r="B3793" s="69" t="s">
        <v>18</v>
      </c>
      <c r="C3793" s="13">
        <v>21</v>
      </c>
      <c r="D3793" s="14">
        <f t="shared" si="377"/>
        <v>21</v>
      </c>
      <c r="E3793" s="5">
        <v>45540</v>
      </c>
      <c r="G3793" s="89"/>
      <c r="H3793" s="13"/>
      <c r="I3793" s="14">
        <f t="shared" si="375"/>
        <v>0</v>
      </c>
      <c r="J3793" s="12"/>
    </row>
    <row r="3794" spans="2:10" x14ac:dyDescent="0.15">
      <c r="B3794" s="69" t="s">
        <v>189</v>
      </c>
      <c r="C3794" s="13">
        <v>1</v>
      </c>
      <c r="D3794" s="14">
        <f t="shared" si="377"/>
        <v>1</v>
      </c>
      <c r="E3794" s="5">
        <v>45538</v>
      </c>
      <c r="G3794" s="89"/>
      <c r="H3794" s="13"/>
      <c r="I3794" s="14">
        <f t="shared" si="375"/>
        <v>0</v>
      </c>
      <c r="J3794" s="12"/>
    </row>
    <row r="3795" spans="2:10" x14ac:dyDescent="0.15">
      <c r="B3795" s="69" t="s">
        <v>18</v>
      </c>
      <c r="C3795" s="13">
        <v>2</v>
      </c>
      <c r="D3795" s="14">
        <f t="shared" si="377"/>
        <v>2</v>
      </c>
      <c r="E3795" s="5">
        <v>45540</v>
      </c>
      <c r="G3795" s="89"/>
      <c r="H3795" s="13"/>
      <c r="I3795" s="14">
        <f t="shared" si="375"/>
        <v>0</v>
      </c>
      <c r="J3795" s="12"/>
    </row>
    <row r="3796" spans="2:10" x14ac:dyDescent="0.15">
      <c r="B3796" s="69" t="s">
        <v>18</v>
      </c>
      <c r="C3796" s="13">
        <v>18</v>
      </c>
      <c r="D3796" s="14">
        <f t="shared" si="377"/>
        <v>18</v>
      </c>
      <c r="E3796" s="5">
        <v>45544</v>
      </c>
      <c r="G3796" s="15"/>
      <c r="H3796" s="13"/>
      <c r="I3796" s="14">
        <f t="shared" si="375"/>
        <v>0</v>
      </c>
      <c r="J3796" s="12"/>
    </row>
    <row r="3797" spans="2:10" x14ac:dyDescent="0.15">
      <c r="B3797" s="69" t="s">
        <v>18</v>
      </c>
      <c r="C3797" s="13">
        <v>11</v>
      </c>
      <c r="D3797" s="14">
        <f t="shared" si="377"/>
        <v>11</v>
      </c>
      <c r="E3797" s="5">
        <v>45546</v>
      </c>
      <c r="G3797" s="15"/>
      <c r="H3797" s="13"/>
      <c r="I3797" s="14">
        <f t="shared" si="375"/>
        <v>0</v>
      </c>
      <c r="J3797" s="12"/>
    </row>
    <row r="3798" spans="2:10" x14ac:dyDescent="0.15">
      <c r="B3798" s="69" t="s">
        <v>189</v>
      </c>
      <c r="C3798" s="13">
        <v>5</v>
      </c>
      <c r="D3798" s="14">
        <f t="shared" si="377"/>
        <v>5</v>
      </c>
      <c r="E3798" s="5">
        <v>45544</v>
      </c>
      <c r="G3798" s="15"/>
      <c r="H3798" s="13"/>
      <c r="I3798" s="14">
        <f t="shared" si="375"/>
        <v>0</v>
      </c>
      <c r="J3798" s="12"/>
    </row>
    <row r="3799" spans="2:10" x14ac:dyDescent="0.15">
      <c r="B3799" s="69" t="s">
        <v>18</v>
      </c>
      <c r="C3799" s="13">
        <v>11</v>
      </c>
      <c r="D3799" s="14">
        <f t="shared" si="377"/>
        <v>11</v>
      </c>
      <c r="E3799" s="5">
        <v>45547</v>
      </c>
      <c r="G3799" s="15"/>
      <c r="H3799" s="13"/>
      <c r="I3799" s="14">
        <f t="shared" si="375"/>
        <v>0</v>
      </c>
      <c r="J3799" s="5"/>
    </row>
    <row r="3800" spans="2:10" x14ac:dyDescent="0.15">
      <c r="B3800" s="69" t="s">
        <v>1071</v>
      </c>
      <c r="C3800" s="13">
        <v>1</v>
      </c>
      <c r="D3800" s="14">
        <f t="shared" si="377"/>
        <v>1</v>
      </c>
      <c r="E3800" s="5">
        <v>45547</v>
      </c>
      <c r="G3800" s="15"/>
      <c r="H3800" s="7"/>
      <c r="I3800" s="14">
        <f t="shared" si="375"/>
        <v>0</v>
      </c>
      <c r="J3800" s="12"/>
    </row>
    <row r="3801" spans="2:10" x14ac:dyDescent="0.15">
      <c r="B3801" s="69" t="s">
        <v>189</v>
      </c>
      <c r="C3801" s="13">
        <v>1</v>
      </c>
      <c r="D3801" s="14">
        <f t="shared" si="377"/>
        <v>1</v>
      </c>
      <c r="E3801" s="5">
        <v>45545</v>
      </c>
      <c r="G3801" s="15"/>
      <c r="H3801" s="7"/>
      <c r="I3801" s="14">
        <f t="shared" si="375"/>
        <v>0</v>
      </c>
      <c r="J3801" s="12"/>
    </row>
    <row r="3802" spans="2:10" x14ac:dyDescent="0.15">
      <c r="B3802" s="69" t="s">
        <v>18</v>
      </c>
      <c r="C3802" s="13">
        <v>19</v>
      </c>
      <c r="D3802" s="14">
        <f t="shared" si="377"/>
        <v>19</v>
      </c>
      <c r="E3802" s="5">
        <v>45548</v>
      </c>
      <c r="G3802" s="15"/>
      <c r="H3802" s="7"/>
      <c r="I3802" s="14">
        <f t="shared" si="375"/>
        <v>0</v>
      </c>
      <c r="J3802" s="5"/>
    </row>
    <row r="3803" spans="2:10" x14ac:dyDescent="0.15">
      <c r="B3803" s="69" t="s">
        <v>18</v>
      </c>
      <c r="C3803" s="13">
        <v>1</v>
      </c>
      <c r="D3803" s="14">
        <f t="shared" si="377"/>
        <v>1</v>
      </c>
      <c r="E3803" s="5">
        <v>45548</v>
      </c>
      <c r="G3803" s="15"/>
      <c r="H3803" s="7"/>
      <c r="I3803" s="14">
        <f t="shared" si="375"/>
        <v>0</v>
      </c>
      <c r="J3803" s="12"/>
    </row>
    <row r="3804" spans="2:10" x14ac:dyDescent="0.15">
      <c r="B3804" s="69" t="s">
        <v>18</v>
      </c>
      <c r="C3804" s="13">
        <v>7</v>
      </c>
      <c r="D3804" s="14">
        <f t="shared" si="377"/>
        <v>7</v>
      </c>
      <c r="E3804" s="5">
        <v>45552</v>
      </c>
      <c r="G3804" s="15"/>
      <c r="H3804" s="7"/>
      <c r="I3804" s="14">
        <f t="shared" si="375"/>
        <v>0</v>
      </c>
      <c r="J3804" s="12"/>
    </row>
    <row r="3805" spans="2:10" x14ac:dyDescent="0.15">
      <c r="B3805" s="69" t="s">
        <v>18</v>
      </c>
      <c r="C3805" s="13">
        <v>14</v>
      </c>
      <c r="D3805" s="14">
        <f t="shared" si="377"/>
        <v>14</v>
      </c>
      <c r="E3805" s="5">
        <v>45554</v>
      </c>
      <c r="G3805" s="15"/>
      <c r="H3805" s="7"/>
      <c r="I3805" s="14">
        <f t="shared" si="375"/>
        <v>0</v>
      </c>
      <c r="J3805" s="67"/>
    </row>
    <row r="3806" spans="2:10" x14ac:dyDescent="0.15">
      <c r="B3806" s="69" t="s">
        <v>189</v>
      </c>
      <c r="C3806" s="13">
        <f>2+2+1</f>
        <v>5</v>
      </c>
      <c r="D3806" s="14">
        <f t="shared" si="377"/>
        <v>5</v>
      </c>
      <c r="E3806" s="5">
        <v>45552</v>
      </c>
      <c r="G3806" s="15"/>
      <c r="H3806" s="7"/>
      <c r="I3806" s="14">
        <f t="shared" si="375"/>
        <v>0</v>
      </c>
      <c r="J3806" s="67"/>
    </row>
    <row r="3807" spans="2:10" x14ac:dyDescent="0.15">
      <c r="B3807" s="69" t="s">
        <v>18</v>
      </c>
      <c r="C3807" s="13">
        <v>1</v>
      </c>
      <c r="D3807" s="14">
        <f t="shared" si="377"/>
        <v>1</v>
      </c>
      <c r="E3807" s="5">
        <v>45559</v>
      </c>
      <c r="G3807" s="15"/>
      <c r="H3807" s="7"/>
      <c r="I3807" s="14">
        <f t="shared" ref="I3807" si="378">SUM(H3807:H3807)</f>
        <v>0</v>
      </c>
      <c r="J3807" s="67"/>
    </row>
    <row r="3808" spans="2:10" x14ac:dyDescent="0.15">
      <c r="B3808" s="69" t="s">
        <v>189</v>
      </c>
      <c r="C3808" s="13">
        <v>1</v>
      </c>
      <c r="D3808" s="14">
        <f t="shared" si="377"/>
        <v>1</v>
      </c>
      <c r="E3808" s="5">
        <v>45555</v>
      </c>
      <c r="G3808" s="15" t="s">
        <v>1056</v>
      </c>
      <c r="H3808" s="7"/>
      <c r="I3808" s="14">
        <f t="shared" si="375"/>
        <v>0</v>
      </c>
      <c r="J3808" s="67" t="s">
        <v>1057</v>
      </c>
    </row>
    <row r="3809" spans="2:10" x14ac:dyDescent="0.15">
      <c r="B3809" s="69" t="s">
        <v>18</v>
      </c>
      <c r="C3809" s="13">
        <v>13</v>
      </c>
      <c r="D3809" s="14">
        <f t="shared" si="377"/>
        <v>13</v>
      </c>
      <c r="E3809" s="5">
        <v>45561</v>
      </c>
      <c r="G3809" s="4" t="s">
        <v>1034</v>
      </c>
      <c r="H3809" s="184"/>
      <c r="I3809" s="185">
        <f t="shared" si="375"/>
        <v>0</v>
      </c>
      <c r="J3809" s="186"/>
    </row>
    <row r="3810" spans="2:10" x14ac:dyDescent="0.15">
      <c r="B3810" s="69" t="s">
        <v>189</v>
      </c>
      <c r="C3810" s="13">
        <v>4</v>
      </c>
      <c r="D3810" s="14">
        <f t="shared" si="377"/>
        <v>4</v>
      </c>
      <c r="E3810" s="5">
        <v>45556</v>
      </c>
      <c r="G3810" s="15" t="s">
        <v>965</v>
      </c>
      <c r="H3810" s="7"/>
      <c r="I3810" s="14">
        <f t="shared" si="375"/>
        <v>0</v>
      </c>
      <c r="J3810" s="67" t="s">
        <v>1067</v>
      </c>
    </row>
    <row r="3811" spans="2:10" x14ac:dyDescent="0.15">
      <c r="B3811" s="69" t="s">
        <v>189</v>
      </c>
      <c r="C3811" s="13">
        <v>2</v>
      </c>
      <c r="D3811" s="14">
        <f t="shared" si="377"/>
        <v>2</v>
      </c>
      <c r="E3811" s="5">
        <v>45559</v>
      </c>
      <c r="G3811" s="15" t="s">
        <v>1072</v>
      </c>
      <c r="H3811" s="184"/>
      <c r="I3811" s="185">
        <f t="shared" si="375"/>
        <v>0</v>
      </c>
      <c r="J3811" s="186"/>
    </row>
    <row r="3812" spans="2:10" ht="14.25" thickBot="1" x14ac:dyDescent="0.2">
      <c r="B3812" s="69" t="s">
        <v>18</v>
      </c>
      <c r="C3812" s="7">
        <v>7</v>
      </c>
      <c r="D3812" s="14">
        <f t="shared" si="377"/>
        <v>7</v>
      </c>
      <c r="E3812" s="5">
        <v>45562</v>
      </c>
      <c r="G3812" s="15" t="s">
        <v>1073</v>
      </c>
      <c r="H3812" s="7"/>
      <c r="I3812" s="14">
        <f t="shared" si="375"/>
        <v>0</v>
      </c>
      <c r="J3812" s="67" t="s">
        <v>1044</v>
      </c>
    </row>
    <row r="3813" spans="2:10" ht="14.25" thickBot="1" x14ac:dyDescent="0.2">
      <c r="B3813" s="17" t="s">
        <v>2</v>
      </c>
      <c r="C3813" s="18">
        <f>SUM(C3789:C3812)</f>
        <v>256</v>
      </c>
      <c r="D3813" s="19">
        <f t="shared" si="377"/>
        <v>256</v>
      </c>
      <c r="E3813" s="20"/>
      <c r="G3813" s="17" t="s">
        <v>2</v>
      </c>
      <c r="H3813" s="18">
        <f>SUM(H3789:H3812)</f>
        <v>400</v>
      </c>
      <c r="I3813" s="18">
        <f>SUM(I3789:I3812)</f>
        <v>400</v>
      </c>
      <c r="J3813" s="20"/>
    </row>
    <row r="3814" spans="2:10" ht="14.25" thickBot="1" x14ac:dyDescent="0.2">
      <c r="B3814" s="46" t="s">
        <v>3</v>
      </c>
      <c r="C3814" s="52">
        <f>C3788-C3813</f>
        <v>241</v>
      </c>
      <c r="D3814" s="48">
        <f>D3788-D3813</f>
        <v>241</v>
      </c>
      <c r="E3814" s="49"/>
      <c r="G3814" s="46" t="s">
        <v>3</v>
      </c>
      <c r="H3814" s="52">
        <f>H3788-H3813</f>
        <v>1143</v>
      </c>
      <c r="I3814" s="52">
        <f>I3788-I3813</f>
        <v>1143</v>
      </c>
      <c r="J3814" s="49"/>
    </row>
    <row r="3817" spans="2:10" ht="18.75" x14ac:dyDescent="0.2">
      <c r="B3817" s="26" t="s">
        <v>7</v>
      </c>
      <c r="G3817" s="26" t="s">
        <v>35</v>
      </c>
    </row>
    <row r="3818" spans="2:10" ht="14.25" thickBot="1" x14ac:dyDescent="0.2">
      <c r="J3818">
        <v>360</v>
      </c>
    </row>
    <row r="3819" spans="2:10" ht="14.25" thickBot="1" x14ac:dyDescent="0.2">
      <c r="B3819" s="1"/>
      <c r="C3819" s="1"/>
      <c r="D3819" s="53" t="s">
        <v>0</v>
      </c>
      <c r="E3819" s="1" t="s">
        <v>4</v>
      </c>
      <c r="G3819" s="1"/>
      <c r="H3819" s="1"/>
      <c r="I3819" s="53" t="s">
        <v>0</v>
      </c>
      <c r="J3819" s="1" t="s">
        <v>4</v>
      </c>
    </row>
    <row r="3820" spans="2:10" x14ac:dyDescent="0.15">
      <c r="B3820" s="42" t="s">
        <v>5</v>
      </c>
      <c r="C3820" s="43">
        <f>C3814</f>
        <v>241</v>
      </c>
      <c r="D3820" s="44">
        <f>SUM(C3820:C3820)</f>
        <v>241</v>
      </c>
      <c r="E3820" s="45"/>
      <c r="G3820" s="42" t="s">
        <v>5</v>
      </c>
      <c r="H3820" s="43">
        <f>H3814</f>
        <v>1143</v>
      </c>
      <c r="I3820" s="44">
        <f>I3814</f>
        <v>1143</v>
      </c>
      <c r="J3820" s="45"/>
    </row>
    <row r="3821" spans="2:10" x14ac:dyDescent="0.15">
      <c r="B3821" s="4" t="s">
        <v>895</v>
      </c>
      <c r="C3821" s="13">
        <v>14</v>
      </c>
      <c r="D3821" s="14">
        <f t="shared" ref="D3821:D3822" si="379">SUM(C3821:C3821)</f>
        <v>14</v>
      </c>
      <c r="E3821" s="12">
        <v>45608</v>
      </c>
      <c r="G3821" s="4" t="s">
        <v>6</v>
      </c>
      <c r="H3821" s="94"/>
      <c r="I3821" s="96">
        <f>SUM(H3821:H3821)</f>
        <v>0</v>
      </c>
      <c r="J3821" s="189"/>
    </row>
    <row r="3822" spans="2:10" x14ac:dyDescent="0.15">
      <c r="B3822" s="4" t="s">
        <v>6</v>
      </c>
      <c r="C3822" s="13"/>
      <c r="D3822" s="14">
        <f t="shared" si="379"/>
        <v>0</v>
      </c>
      <c r="E3822" s="12"/>
      <c r="G3822" s="4" t="s">
        <v>6</v>
      </c>
      <c r="H3822" s="94"/>
      <c r="I3822" s="96">
        <f>SUM(H3822:H3822)</f>
        <v>0</v>
      </c>
      <c r="J3822" s="189"/>
    </row>
    <row r="3823" spans="2:10" ht="14.25" thickBot="1" x14ac:dyDescent="0.2">
      <c r="B3823" s="4" t="s">
        <v>6</v>
      </c>
      <c r="C3823" s="13"/>
      <c r="D3823" s="14">
        <f t="shared" ref="D3823" si="380">SUM(C3823:C3823)</f>
        <v>0</v>
      </c>
      <c r="E3823" s="12"/>
      <c r="G3823" s="4" t="s">
        <v>6</v>
      </c>
      <c r="H3823" s="94"/>
      <c r="I3823" s="96">
        <f t="shared" ref="I3823" si="381">SUM(H3823:H3823)</f>
        <v>0</v>
      </c>
      <c r="J3823" s="189"/>
    </row>
    <row r="3824" spans="2:10" ht="14.25" thickBot="1" x14ac:dyDescent="0.2">
      <c r="B3824" s="46" t="s">
        <v>1</v>
      </c>
      <c r="C3824" s="48">
        <f>SUM(C3820:C3823)</f>
        <v>255</v>
      </c>
      <c r="D3824" s="48">
        <f>SUM(D3820:D3823)</f>
        <v>255</v>
      </c>
      <c r="E3824" s="51"/>
      <c r="G3824" s="46" t="s">
        <v>1</v>
      </c>
      <c r="H3824" s="194">
        <f>SUM(H3820:H3823)</f>
        <v>1143</v>
      </c>
      <c r="I3824" s="48">
        <f>SUM(I3820:I3823)</f>
        <v>1143</v>
      </c>
      <c r="J3824" s="51"/>
    </row>
    <row r="3825" spans="2:10" x14ac:dyDescent="0.15">
      <c r="B3825" s="69" t="s">
        <v>189</v>
      </c>
      <c r="C3825" s="13">
        <v>1</v>
      </c>
      <c r="D3825" s="14">
        <f t="shared" ref="D3825:D3837" si="382">SUM(C3825:C3825)</f>
        <v>1</v>
      </c>
      <c r="E3825" s="5">
        <v>45560</v>
      </c>
      <c r="G3825" s="89"/>
      <c r="H3825" s="13"/>
      <c r="I3825" s="14">
        <f t="shared" ref="I3825" si="383">SUM(H3825:H3825)</f>
        <v>0</v>
      </c>
      <c r="J3825" s="12"/>
    </row>
    <row r="3826" spans="2:10" x14ac:dyDescent="0.15">
      <c r="B3826" s="69" t="s">
        <v>18</v>
      </c>
      <c r="C3826" s="13">
        <v>3</v>
      </c>
      <c r="D3826" s="14">
        <f t="shared" si="382"/>
        <v>3</v>
      </c>
      <c r="E3826" s="5">
        <v>45562</v>
      </c>
      <c r="G3826" s="89"/>
      <c r="H3826" s="13"/>
      <c r="I3826" s="14">
        <f t="shared" ref="I3826:I3843" si="384">SUM(H3826:H3826)</f>
        <v>0</v>
      </c>
      <c r="J3826" s="12"/>
    </row>
    <row r="3827" spans="2:10" x14ac:dyDescent="0.15">
      <c r="B3827" s="69" t="s">
        <v>1074</v>
      </c>
      <c r="C3827" s="13">
        <v>1</v>
      </c>
      <c r="D3827" s="14">
        <f t="shared" si="382"/>
        <v>1</v>
      </c>
      <c r="E3827" s="5">
        <v>45555</v>
      </c>
      <c r="G3827" s="89"/>
      <c r="H3827" s="13"/>
      <c r="I3827" s="14">
        <f t="shared" si="384"/>
        <v>0</v>
      </c>
      <c r="J3827" s="12"/>
    </row>
    <row r="3828" spans="2:10" x14ac:dyDescent="0.15">
      <c r="B3828" s="69" t="s">
        <v>18</v>
      </c>
      <c r="C3828" s="13">
        <v>3</v>
      </c>
      <c r="D3828" s="14">
        <f t="shared" si="382"/>
        <v>3</v>
      </c>
      <c r="E3828" s="5">
        <v>45567</v>
      </c>
      <c r="G3828" s="89"/>
      <c r="H3828" s="13"/>
      <c r="I3828" s="14">
        <f t="shared" si="384"/>
        <v>0</v>
      </c>
      <c r="J3828" s="12"/>
    </row>
    <row r="3829" spans="2:10" x14ac:dyDescent="0.15">
      <c r="B3829" s="69" t="s">
        <v>18</v>
      </c>
      <c r="C3829" s="13">
        <v>2</v>
      </c>
      <c r="D3829" s="14">
        <f t="shared" si="382"/>
        <v>2</v>
      </c>
      <c r="E3829" s="5">
        <v>45568</v>
      </c>
      <c r="G3829" s="89"/>
      <c r="H3829" s="13"/>
      <c r="I3829" s="14">
        <f t="shared" si="384"/>
        <v>0</v>
      </c>
      <c r="J3829" s="12"/>
    </row>
    <row r="3830" spans="2:10" x14ac:dyDescent="0.15">
      <c r="B3830" s="69" t="s">
        <v>18</v>
      </c>
      <c r="C3830" s="13">
        <v>3</v>
      </c>
      <c r="D3830" s="14">
        <f t="shared" si="382"/>
        <v>3</v>
      </c>
      <c r="E3830" s="5">
        <v>45569</v>
      </c>
      <c r="G3830" s="89"/>
      <c r="H3830" s="13"/>
      <c r="I3830" s="14">
        <f t="shared" si="384"/>
        <v>0</v>
      </c>
      <c r="J3830" s="12"/>
    </row>
    <row r="3831" spans="2:10" x14ac:dyDescent="0.15">
      <c r="B3831" s="69" t="s">
        <v>18</v>
      </c>
      <c r="C3831" s="13">
        <v>2</v>
      </c>
      <c r="D3831" s="14">
        <f t="shared" si="382"/>
        <v>2</v>
      </c>
      <c r="E3831" s="5">
        <v>45569</v>
      </c>
      <c r="G3831" s="89"/>
      <c r="H3831" s="13"/>
      <c r="I3831" s="14">
        <f t="shared" si="384"/>
        <v>0</v>
      </c>
      <c r="J3831" s="12"/>
    </row>
    <row r="3832" spans="2:10" x14ac:dyDescent="0.15">
      <c r="B3832" s="69" t="s">
        <v>18</v>
      </c>
      <c r="C3832" s="13">
        <v>2</v>
      </c>
      <c r="D3832" s="14">
        <f t="shared" si="382"/>
        <v>2</v>
      </c>
      <c r="E3832" s="5">
        <v>45574</v>
      </c>
      <c r="G3832" s="15"/>
      <c r="H3832" s="13"/>
      <c r="I3832" s="14">
        <f t="shared" si="384"/>
        <v>0</v>
      </c>
      <c r="J3832" s="12"/>
    </row>
    <row r="3833" spans="2:10" x14ac:dyDescent="0.15">
      <c r="B3833" s="69" t="s">
        <v>189</v>
      </c>
      <c r="C3833" s="13">
        <v>1</v>
      </c>
      <c r="D3833" s="14">
        <f t="shared" si="382"/>
        <v>1</v>
      </c>
      <c r="E3833" s="5">
        <v>45572</v>
      </c>
      <c r="G3833" s="15"/>
      <c r="H3833" s="13"/>
      <c r="I3833" s="14">
        <f t="shared" si="384"/>
        <v>0</v>
      </c>
      <c r="J3833" s="12"/>
    </row>
    <row r="3834" spans="2:10" x14ac:dyDescent="0.15">
      <c r="B3834" s="69" t="s">
        <v>18</v>
      </c>
      <c r="C3834" s="13">
        <v>1</v>
      </c>
      <c r="D3834" s="14">
        <f t="shared" si="382"/>
        <v>1</v>
      </c>
      <c r="E3834" s="5">
        <v>45576</v>
      </c>
      <c r="G3834" s="15"/>
      <c r="H3834" s="13"/>
      <c r="I3834" s="14">
        <f t="shared" si="384"/>
        <v>0</v>
      </c>
      <c r="J3834" s="12"/>
    </row>
    <row r="3835" spans="2:10" x14ac:dyDescent="0.15">
      <c r="B3835" s="69" t="s">
        <v>18</v>
      </c>
      <c r="C3835" s="13">
        <v>5</v>
      </c>
      <c r="D3835" s="14">
        <f t="shared" si="382"/>
        <v>5</v>
      </c>
      <c r="E3835" s="5">
        <v>45576</v>
      </c>
      <c r="G3835" s="15"/>
      <c r="H3835" s="13"/>
      <c r="I3835" s="14">
        <f t="shared" si="384"/>
        <v>0</v>
      </c>
      <c r="J3835" s="5"/>
    </row>
    <row r="3836" spans="2:10" x14ac:dyDescent="0.15">
      <c r="B3836" s="69" t="s">
        <v>18</v>
      </c>
      <c r="C3836" s="13">
        <v>6</v>
      </c>
      <c r="D3836" s="14">
        <f t="shared" si="382"/>
        <v>6</v>
      </c>
      <c r="E3836" s="5">
        <v>45580</v>
      </c>
      <c r="G3836" s="15"/>
      <c r="H3836" s="7"/>
      <c r="I3836" s="14">
        <f t="shared" si="384"/>
        <v>0</v>
      </c>
      <c r="J3836" s="12"/>
    </row>
    <row r="3837" spans="2:10" x14ac:dyDescent="0.15">
      <c r="B3837" s="69" t="s">
        <v>189</v>
      </c>
      <c r="C3837" s="13">
        <v>3</v>
      </c>
      <c r="D3837" s="14">
        <f t="shared" si="382"/>
        <v>3</v>
      </c>
      <c r="E3837" s="5">
        <v>45580</v>
      </c>
      <c r="G3837" s="15"/>
      <c r="H3837" s="7"/>
      <c r="I3837" s="14">
        <f t="shared" si="384"/>
        <v>0</v>
      </c>
      <c r="J3837" s="12"/>
    </row>
    <row r="3838" spans="2:10" x14ac:dyDescent="0.15">
      <c r="B3838" s="69" t="s">
        <v>18</v>
      </c>
      <c r="C3838" s="13">
        <v>2</v>
      </c>
      <c r="D3838" s="14">
        <f t="shared" ref="D3838:D3849" si="385">SUM(C3838:C3838)</f>
        <v>2</v>
      </c>
      <c r="E3838" s="5">
        <v>45583</v>
      </c>
      <c r="G3838" s="15"/>
      <c r="H3838" s="7"/>
      <c r="I3838" s="14">
        <f t="shared" si="384"/>
        <v>0</v>
      </c>
      <c r="J3838" s="5"/>
    </row>
    <row r="3839" spans="2:10" x14ac:dyDescent="0.15">
      <c r="B3839" s="69" t="s">
        <v>189</v>
      </c>
      <c r="C3839" s="13">
        <v>2</v>
      </c>
      <c r="D3839" s="14">
        <f t="shared" si="385"/>
        <v>2</v>
      </c>
      <c r="E3839" s="5">
        <v>45583</v>
      </c>
      <c r="G3839" s="15"/>
      <c r="H3839" s="7"/>
      <c r="I3839" s="14">
        <f t="shared" si="384"/>
        <v>0</v>
      </c>
      <c r="J3839" s="12"/>
    </row>
    <row r="3840" spans="2:10" x14ac:dyDescent="0.15">
      <c r="B3840" s="69" t="s">
        <v>18</v>
      </c>
      <c r="C3840" s="13">
        <v>2</v>
      </c>
      <c r="D3840" s="14">
        <f t="shared" si="385"/>
        <v>2</v>
      </c>
      <c r="E3840" s="5">
        <v>45588</v>
      </c>
      <c r="G3840" s="15"/>
      <c r="H3840" s="7"/>
      <c r="I3840" s="14">
        <f t="shared" si="384"/>
        <v>0</v>
      </c>
      <c r="J3840" s="12"/>
    </row>
    <row r="3841" spans="2:10" x14ac:dyDescent="0.15">
      <c r="B3841" s="69" t="s">
        <v>189</v>
      </c>
      <c r="C3841" s="13">
        <v>7</v>
      </c>
      <c r="D3841" s="14">
        <f t="shared" si="385"/>
        <v>7</v>
      </c>
      <c r="E3841" s="5">
        <v>45586</v>
      </c>
      <c r="G3841" s="15"/>
      <c r="H3841" s="7"/>
      <c r="I3841" s="14">
        <f t="shared" si="384"/>
        <v>0</v>
      </c>
      <c r="J3841" s="67"/>
    </row>
    <row r="3842" spans="2:10" x14ac:dyDescent="0.15">
      <c r="B3842" s="69" t="s">
        <v>18</v>
      </c>
      <c r="C3842" s="13">
        <v>1</v>
      </c>
      <c r="D3842" s="14">
        <f t="shared" si="385"/>
        <v>1</v>
      </c>
      <c r="E3842" s="5">
        <v>45589</v>
      </c>
      <c r="G3842" s="15"/>
      <c r="H3842" s="7"/>
      <c r="I3842" s="14">
        <f t="shared" si="384"/>
        <v>0</v>
      </c>
      <c r="J3842" s="67"/>
    </row>
    <row r="3843" spans="2:10" x14ac:dyDescent="0.15">
      <c r="B3843" s="69" t="s">
        <v>189</v>
      </c>
      <c r="C3843" s="13">
        <v>1</v>
      </c>
      <c r="D3843" s="14">
        <f t="shared" si="385"/>
        <v>1</v>
      </c>
      <c r="E3843" s="5">
        <v>45587</v>
      </c>
      <c r="G3843" s="15"/>
      <c r="H3843" s="7"/>
      <c r="I3843" s="14">
        <f t="shared" si="384"/>
        <v>0</v>
      </c>
      <c r="J3843" s="67"/>
    </row>
    <row r="3844" spans="2:10" x14ac:dyDescent="0.15">
      <c r="B3844" s="69" t="s">
        <v>18</v>
      </c>
      <c r="C3844" s="13">
        <v>1</v>
      </c>
      <c r="D3844" s="14">
        <f t="shared" si="385"/>
        <v>1</v>
      </c>
      <c r="E3844" s="5">
        <v>45590</v>
      </c>
      <c r="G3844" s="15"/>
      <c r="H3844" s="7"/>
      <c r="I3844" s="14">
        <f t="shared" ref="I3844:I3848" si="386">SUM(H3844:H3844)</f>
        <v>0</v>
      </c>
      <c r="J3844" s="67"/>
    </row>
    <row r="3845" spans="2:10" x14ac:dyDescent="0.15">
      <c r="B3845" s="69" t="s">
        <v>18</v>
      </c>
      <c r="C3845" s="13">
        <v>1</v>
      </c>
      <c r="D3845" s="14">
        <f t="shared" si="385"/>
        <v>1</v>
      </c>
      <c r="E3845" s="5">
        <v>45590</v>
      </c>
      <c r="G3845" s="15"/>
      <c r="H3845" s="7"/>
      <c r="I3845" s="14">
        <f t="shared" si="386"/>
        <v>0</v>
      </c>
      <c r="J3845" s="67"/>
    </row>
    <row r="3846" spans="2:10" x14ac:dyDescent="0.15">
      <c r="B3846" s="69" t="s">
        <v>189</v>
      </c>
      <c r="C3846" s="13">
        <v>4</v>
      </c>
      <c r="D3846" s="14">
        <f t="shared" si="385"/>
        <v>4</v>
      </c>
      <c r="E3846" s="5">
        <v>45589</v>
      </c>
      <c r="G3846" s="15"/>
      <c r="H3846" s="7"/>
      <c r="I3846" s="14">
        <f t="shared" si="386"/>
        <v>0</v>
      </c>
      <c r="J3846" s="67"/>
    </row>
    <row r="3847" spans="2:10" x14ac:dyDescent="0.15">
      <c r="B3847" s="69" t="s">
        <v>18</v>
      </c>
      <c r="C3847" s="13">
        <v>2</v>
      </c>
      <c r="D3847" s="14">
        <f t="shared" si="385"/>
        <v>2</v>
      </c>
      <c r="E3847" s="5">
        <v>45595</v>
      </c>
      <c r="G3847" s="15"/>
      <c r="H3847" s="7"/>
      <c r="I3847" s="14">
        <f t="shared" si="386"/>
        <v>0</v>
      </c>
      <c r="J3847" s="67"/>
    </row>
    <row r="3848" spans="2:10" ht="14.25" thickBot="1" x14ac:dyDescent="0.2">
      <c r="B3848" s="69" t="s">
        <v>18</v>
      </c>
      <c r="C3848" s="7">
        <v>1</v>
      </c>
      <c r="D3848" s="14">
        <f t="shared" si="385"/>
        <v>1</v>
      </c>
      <c r="E3848" s="5">
        <v>45597</v>
      </c>
      <c r="G3848" s="15"/>
      <c r="H3848" s="7"/>
      <c r="I3848" s="14">
        <f t="shared" si="386"/>
        <v>0</v>
      </c>
      <c r="J3848" s="67"/>
    </row>
    <row r="3849" spans="2:10" ht="14.25" thickBot="1" x14ac:dyDescent="0.2">
      <c r="B3849" s="17" t="s">
        <v>2</v>
      </c>
      <c r="C3849" s="18">
        <f>SUM(C3825:C3848)</f>
        <v>57</v>
      </c>
      <c r="D3849" s="19">
        <f t="shared" si="385"/>
        <v>57</v>
      </c>
      <c r="E3849" s="20"/>
      <c r="G3849" s="17" t="s">
        <v>2</v>
      </c>
      <c r="H3849" s="18">
        <f>SUM(H3825:H3848)</f>
        <v>0</v>
      </c>
      <c r="I3849" s="18">
        <f>SUM(I3825:I3848)</f>
        <v>0</v>
      </c>
      <c r="J3849" s="20"/>
    </row>
    <row r="3850" spans="2:10" ht="14.25" thickBot="1" x14ac:dyDescent="0.2">
      <c r="B3850" s="46" t="s">
        <v>3</v>
      </c>
      <c r="C3850" s="52">
        <f>C3824-C3849</f>
        <v>198</v>
      </c>
      <c r="D3850" s="48">
        <f>D3824-D3849</f>
        <v>198</v>
      </c>
      <c r="E3850" s="49"/>
      <c r="G3850" s="46" t="s">
        <v>3</v>
      </c>
      <c r="H3850" s="52">
        <f>H3824-H3849</f>
        <v>1143</v>
      </c>
      <c r="I3850" s="52">
        <f>I3824-I3849</f>
        <v>1143</v>
      </c>
      <c r="J3850" s="49"/>
    </row>
    <row r="3853" spans="2:10" ht="18.75" x14ac:dyDescent="0.2">
      <c r="B3853" s="26" t="s">
        <v>7</v>
      </c>
      <c r="G3853" s="26" t="s">
        <v>35</v>
      </c>
    </row>
    <row r="3854" spans="2:10" ht="14.25" thickBot="1" x14ac:dyDescent="0.2">
      <c r="J3854">
        <v>360</v>
      </c>
    </row>
    <row r="3855" spans="2:10" ht="14.25" thickBot="1" x14ac:dyDescent="0.2">
      <c r="B3855" s="1"/>
      <c r="C3855" s="1"/>
      <c r="D3855" s="53" t="s">
        <v>0</v>
      </c>
      <c r="E3855" s="1" t="s">
        <v>4</v>
      </c>
      <c r="G3855" s="1"/>
      <c r="H3855" s="1"/>
      <c r="I3855" s="53" t="s">
        <v>0</v>
      </c>
      <c r="J3855" s="1" t="s">
        <v>4</v>
      </c>
    </row>
    <row r="3856" spans="2:10" x14ac:dyDescent="0.15">
      <c r="B3856" s="42" t="s">
        <v>5</v>
      </c>
      <c r="C3856" s="43">
        <f>C3850</f>
        <v>198</v>
      </c>
      <c r="D3856" s="44">
        <f>SUM(C3856:C3856)</f>
        <v>198</v>
      </c>
      <c r="E3856" s="45"/>
      <c r="G3856" s="42" t="s">
        <v>5</v>
      </c>
      <c r="H3856" s="43">
        <f>H3850</f>
        <v>1143</v>
      </c>
      <c r="I3856" s="44">
        <f>I3850</f>
        <v>1143</v>
      </c>
      <c r="J3856" s="45"/>
    </row>
    <row r="3857" spans="2:10" x14ac:dyDescent="0.15">
      <c r="B3857" s="4" t="s">
        <v>895</v>
      </c>
      <c r="C3857" s="13">
        <v>24</v>
      </c>
      <c r="D3857" s="14">
        <f t="shared" ref="D3857:D3859" si="387">SUM(C3857:C3857)</f>
        <v>24</v>
      </c>
      <c r="E3857" s="12">
        <v>45630</v>
      </c>
      <c r="G3857" s="4" t="s">
        <v>6</v>
      </c>
      <c r="H3857" s="94"/>
      <c r="I3857" s="96">
        <f>SUM(H3857:H3857)</f>
        <v>0</v>
      </c>
      <c r="J3857" s="189"/>
    </row>
    <row r="3858" spans="2:10" x14ac:dyDescent="0.15">
      <c r="B3858" s="4" t="s">
        <v>895</v>
      </c>
      <c r="C3858" s="13">
        <v>36</v>
      </c>
      <c r="D3858" s="14">
        <f t="shared" si="387"/>
        <v>36</v>
      </c>
      <c r="E3858" s="12">
        <v>45635</v>
      </c>
      <c r="G3858" s="4" t="s">
        <v>6</v>
      </c>
      <c r="H3858" s="94"/>
      <c r="I3858" s="96">
        <f>SUM(H3858:H3858)</f>
        <v>0</v>
      </c>
      <c r="J3858" s="189"/>
    </row>
    <row r="3859" spans="2:10" ht="14.25" thickBot="1" x14ac:dyDescent="0.2">
      <c r="B3859" s="4" t="s">
        <v>6</v>
      </c>
      <c r="C3859" s="13"/>
      <c r="D3859" s="14">
        <f t="shared" si="387"/>
        <v>0</v>
      </c>
      <c r="E3859" s="12"/>
      <c r="G3859" s="4" t="s">
        <v>6</v>
      </c>
      <c r="H3859" s="94"/>
      <c r="I3859" s="96">
        <f t="shared" ref="I3859" si="388">SUM(H3859:H3859)</f>
        <v>0</v>
      </c>
      <c r="J3859" s="189"/>
    </row>
    <row r="3860" spans="2:10" ht="14.25" thickBot="1" x14ac:dyDescent="0.2">
      <c r="B3860" s="46" t="s">
        <v>1</v>
      </c>
      <c r="C3860" s="48">
        <f>SUM(C3856:C3859)</f>
        <v>258</v>
      </c>
      <c r="D3860" s="48">
        <f>SUM(D3856:D3859)</f>
        <v>258</v>
      </c>
      <c r="E3860" s="51"/>
      <c r="G3860" s="46" t="s">
        <v>1</v>
      </c>
      <c r="H3860" s="194">
        <f>SUM(H3856:H3859)</f>
        <v>1143</v>
      </c>
      <c r="I3860" s="48">
        <f>SUM(I3856:I3859)</f>
        <v>1143</v>
      </c>
      <c r="J3860" s="51"/>
    </row>
    <row r="3861" spans="2:10" x14ac:dyDescent="0.15">
      <c r="B3861" s="69" t="s">
        <v>189</v>
      </c>
      <c r="C3861" s="13">
        <v>2</v>
      </c>
      <c r="D3861" s="14">
        <f t="shared" ref="D3861:D3875" si="389">SUM(C3861:C3861)</f>
        <v>2</v>
      </c>
      <c r="E3861" s="5">
        <v>45597</v>
      </c>
      <c r="G3861" s="15"/>
      <c r="H3861" s="7"/>
      <c r="I3861" s="14">
        <f t="shared" ref="I3861:I3875" si="390">SUM(H3861:H3861)</f>
        <v>0</v>
      </c>
      <c r="J3861" s="12"/>
    </row>
    <row r="3862" spans="2:10" x14ac:dyDescent="0.15">
      <c r="B3862" s="69" t="s">
        <v>18</v>
      </c>
      <c r="C3862" s="13">
        <v>3</v>
      </c>
      <c r="D3862" s="14">
        <f t="shared" si="389"/>
        <v>3</v>
      </c>
      <c r="E3862" s="5">
        <v>45610</v>
      </c>
      <c r="G3862" s="15"/>
      <c r="H3862" s="7"/>
      <c r="I3862" s="14">
        <f t="shared" si="390"/>
        <v>0</v>
      </c>
      <c r="J3862" s="12"/>
    </row>
    <row r="3863" spans="2:10" x14ac:dyDescent="0.15">
      <c r="B3863" s="69" t="s">
        <v>189</v>
      </c>
      <c r="C3863" s="13">
        <v>1</v>
      </c>
      <c r="D3863" s="14">
        <f t="shared" si="389"/>
        <v>1</v>
      </c>
      <c r="E3863" s="5">
        <v>45610</v>
      </c>
      <c r="G3863" s="15"/>
      <c r="H3863" s="7"/>
      <c r="I3863" s="14">
        <f t="shared" si="390"/>
        <v>0</v>
      </c>
      <c r="J3863" s="12"/>
    </row>
    <row r="3864" spans="2:10" x14ac:dyDescent="0.15">
      <c r="B3864" s="69" t="s">
        <v>18</v>
      </c>
      <c r="C3864" s="13">
        <v>2</v>
      </c>
      <c r="D3864" s="14">
        <f t="shared" si="389"/>
        <v>2</v>
      </c>
      <c r="E3864" s="5">
        <v>45614</v>
      </c>
      <c r="G3864" s="15"/>
      <c r="H3864" s="7"/>
      <c r="I3864" s="14">
        <f t="shared" si="390"/>
        <v>0</v>
      </c>
      <c r="J3864" s="12"/>
    </row>
    <row r="3865" spans="2:10" x14ac:dyDescent="0.15">
      <c r="B3865" s="69" t="s">
        <v>189</v>
      </c>
      <c r="C3865" s="13">
        <v>2</v>
      </c>
      <c r="D3865" s="14">
        <f t="shared" si="389"/>
        <v>2</v>
      </c>
      <c r="E3865" s="5">
        <v>45614</v>
      </c>
      <c r="G3865" s="15"/>
      <c r="H3865" s="7"/>
      <c r="I3865" s="14">
        <f t="shared" si="390"/>
        <v>0</v>
      </c>
      <c r="J3865" s="12"/>
    </row>
    <row r="3866" spans="2:10" x14ac:dyDescent="0.15">
      <c r="B3866" s="69" t="s">
        <v>18</v>
      </c>
      <c r="C3866" s="13">
        <v>1</v>
      </c>
      <c r="D3866" s="14">
        <f t="shared" si="389"/>
        <v>1</v>
      </c>
      <c r="E3866" s="5">
        <v>45618</v>
      </c>
      <c r="G3866" s="15"/>
      <c r="H3866" s="7"/>
      <c r="I3866" s="14">
        <f t="shared" si="390"/>
        <v>0</v>
      </c>
      <c r="J3866" s="12"/>
    </row>
    <row r="3867" spans="2:10" x14ac:dyDescent="0.15">
      <c r="B3867" s="69" t="s">
        <v>18</v>
      </c>
      <c r="C3867" s="13">
        <v>7</v>
      </c>
      <c r="D3867" s="14">
        <f t="shared" si="389"/>
        <v>7</v>
      </c>
      <c r="E3867" s="5">
        <v>45621</v>
      </c>
      <c r="G3867" s="15"/>
      <c r="H3867" s="7"/>
      <c r="I3867" s="14">
        <f t="shared" si="390"/>
        <v>0</v>
      </c>
      <c r="J3867" s="12"/>
    </row>
    <row r="3868" spans="2:10" x14ac:dyDescent="0.15">
      <c r="B3868" s="69" t="s">
        <v>18</v>
      </c>
      <c r="C3868" s="13">
        <v>1</v>
      </c>
      <c r="D3868" s="14">
        <f t="shared" si="389"/>
        <v>1</v>
      </c>
      <c r="E3868" s="5">
        <v>45623</v>
      </c>
      <c r="G3868" s="15"/>
      <c r="H3868" s="7"/>
      <c r="I3868" s="14">
        <f t="shared" si="390"/>
        <v>0</v>
      </c>
      <c r="J3868" s="12"/>
    </row>
    <row r="3869" spans="2:10" x14ac:dyDescent="0.15">
      <c r="B3869" s="69" t="s">
        <v>189</v>
      </c>
      <c r="C3869" s="13">
        <v>1</v>
      </c>
      <c r="D3869" s="14">
        <f t="shared" si="389"/>
        <v>1</v>
      </c>
      <c r="E3869" s="5">
        <v>45621</v>
      </c>
      <c r="G3869" s="15"/>
      <c r="H3869" s="7"/>
      <c r="I3869" s="14">
        <f t="shared" si="390"/>
        <v>0</v>
      </c>
      <c r="J3869" s="12"/>
    </row>
    <row r="3870" spans="2:10" x14ac:dyDescent="0.15">
      <c r="B3870" s="69" t="s">
        <v>18</v>
      </c>
      <c r="C3870" s="13">
        <v>2</v>
      </c>
      <c r="D3870" s="14">
        <f t="shared" si="389"/>
        <v>2</v>
      </c>
      <c r="E3870" s="5">
        <v>45632</v>
      </c>
      <c r="G3870" s="15"/>
      <c r="H3870" s="7"/>
      <c r="I3870" s="14">
        <f t="shared" si="390"/>
        <v>0</v>
      </c>
      <c r="J3870" s="12"/>
    </row>
    <row r="3871" spans="2:10" x14ac:dyDescent="0.15">
      <c r="B3871" s="69" t="s">
        <v>189</v>
      </c>
      <c r="C3871" s="13">
        <v>1</v>
      </c>
      <c r="D3871" s="14">
        <f t="shared" si="389"/>
        <v>1</v>
      </c>
      <c r="E3871" s="5">
        <v>45625</v>
      </c>
      <c r="G3871" s="15"/>
      <c r="H3871" s="7"/>
      <c r="I3871" s="14">
        <f t="shared" si="390"/>
        <v>0</v>
      </c>
      <c r="J3871" s="12"/>
    </row>
    <row r="3872" spans="2:10" x14ac:dyDescent="0.15">
      <c r="B3872" s="69" t="s">
        <v>18</v>
      </c>
      <c r="C3872" s="13">
        <v>1</v>
      </c>
      <c r="D3872" s="14">
        <f t="shared" si="389"/>
        <v>1</v>
      </c>
      <c r="E3872" s="5">
        <v>45630</v>
      </c>
      <c r="G3872" s="15"/>
      <c r="H3872" s="7"/>
      <c r="I3872" s="14">
        <f t="shared" si="390"/>
        <v>0</v>
      </c>
      <c r="J3872" s="12"/>
    </row>
    <row r="3873" spans="2:10" x14ac:dyDescent="0.15">
      <c r="B3873" s="69" t="s">
        <v>189</v>
      </c>
      <c r="C3873" s="13">
        <v>1</v>
      </c>
      <c r="D3873" s="14">
        <f t="shared" si="389"/>
        <v>1</v>
      </c>
      <c r="E3873" s="5">
        <v>45628</v>
      </c>
      <c r="G3873" s="15"/>
      <c r="H3873" s="7"/>
      <c r="I3873" s="14">
        <f t="shared" si="390"/>
        <v>0</v>
      </c>
      <c r="J3873" s="12"/>
    </row>
    <row r="3874" spans="2:10" x14ac:dyDescent="0.15">
      <c r="B3874" s="69" t="s">
        <v>189</v>
      </c>
      <c r="C3874" s="13">
        <v>7</v>
      </c>
      <c r="D3874" s="14">
        <f t="shared" si="389"/>
        <v>7</v>
      </c>
      <c r="E3874" s="5">
        <v>45631</v>
      </c>
      <c r="G3874" s="15"/>
      <c r="H3874" s="7"/>
      <c r="I3874" s="14">
        <f t="shared" si="390"/>
        <v>0</v>
      </c>
      <c r="J3874" s="12"/>
    </row>
    <row r="3875" spans="2:10" x14ac:dyDescent="0.15">
      <c r="B3875" s="69" t="s">
        <v>18</v>
      </c>
      <c r="C3875" s="13">
        <v>1</v>
      </c>
      <c r="D3875" s="14">
        <f t="shared" si="389"/>
        <v>1</v>
      </c>
      <c r="E3875" s="5">
        <v>45639</v>
      </c>
      <c r="G3875" s="15"/>
      <c r="H3875" s="7"/>
      <c r="I3875" s="14">
        <f t="shared" si="390"/>
        <v>0</v>
      </c>
      <c r="J3875" s="12"/>
    </row>
    <row r="3876" spans="2:10" x14ac:dyDescent="0.15">
      <c r="B3876" s="69" t="s">
        <v>18</v>
      </c>
      <c r="C3876" s="13">
        <v>3</v>
      </c>
      <c r="D3876" s="14">
        <f t="shared" ref="D3876:D3885" si="391">SUM(C3876:C3876)</f>
        <v>3</v>
      </c>
      <c r="E3876" s="5">
        <v>45642</v>
      </c>
      <c r="G3876" s="15"/>
      <c r="H3876" s="7"/>
      <c r="I3876" s="14">
        <f t="shared" ref="I3876:I3884" si="392">SUM(H3876:H3876)</f>
        <v>0</v>
      </c>
      <c r="J3876" s="12"/>
    </row>
    <row r="3877" spans="2:10" x14ac:dyDescent="0.15">
      <c r="B3877" s="69" t="s">
        <v>189</v>
      </c>
      <c r="C3877" s="13">
        <f>2+1</f>
        <v>3</v>
      </c>
      <c r="D3877" s="14">
        <f t="shared" si="391"/>
        <v>3</v>
      </c>
      <c r="E3877" s="5">
        <v>45642</v>
      </c>
      <c r="G3877" s="15"/>
      <c r="H3877" s="7"/>
      <c r="I3877" s="14">
        <f t="shared" si="392"/>
        <v>0</v>
      </c>
      <c r="J3877" s="67"/>
    </row>
    <row r="3878" spans="2:10" x14ac:dyDescent="0.15">
      <c r="B3878" s="69" t="s">
        <v>189</v>
      </c>
      <c r="C3878" s="13">
        <v>3</v>
      </c>
      <c r="D3878" s="14">
        <f t="shared" si="391"/>
        <v>3</v>
      </c>
      <c r="E3878" s="5">
        <v>45647</v>
      </c>
      <c r="G3878" s="15"/>
      <c r="H3878" s="7"/>
      <c r="I3878" s="14">
        <f t="shared" si="392"/>
        <v>0</v>
      </c>
      <c r="J3878" s="67"/>
    </row>
    <row r="3879" spans="2:10" x14ac:dyDescent="0.15">
      <c r="B3879" s="69" t="s">
        <v>18</v>
      </c>
      <c r="C3879" s="13">
        <v>1</v>
      </c>
      <c r="D3879" s="14">
        <f t="shared" si="391"/>
        <v>1</v>
      </c>
      <c r="E3879" s="5">
        <v>45652</v>
      </c>
      <c r="G3879" s="15"/>
      <c r="H3879" s="7"/>
      <c r="I3879" s="14">
        <f t="shared" si="392"/>
        <v>0</v>
      </c>
      <c r="J3879" s="67"/>
    </row>
    <row r="3880" spans="2:10" x14ac:dyDescent="0.15">
      <c r="B3880" s="69" t="s">
        <v>189</v>
      </c>
      <c r="C3880" s="13">
        <v>1</v>
      </c>
      <c r="D3880" s="14">
        <f t="shared" si="391"/>
        <v>1</v>
      </c>
      <c r="E3880" s="5">
        <v>45650</v>
      </c>
      <c r="G3880" s="15"/>
      <c r="H3880" s="7"/>
      <c r="I3880" s="14">
        <f t="shared" si="392"/>
        <v>0</v>
      </c>
      <c r="J3880" s="67"/>
    </row>
    <row r="3881" spans="2:10" x14ac:dyDescent="0.15">
      <c r="B3881" s="69" t="s">
        <v>189</v>
      </c>
      <c r="C3881" s="13">
        <v>2</v>
      </c>
      <c r="D3881" s="14">
        <f t="shared" si="391"/>
        <v>2</v>
      </c>
      <c r="E3881" s="5">
        <v>45651</v>
      </c>
      <c r="G3881" s="15"/>
      <c r="H3881" s="7"/>
      <c r="I3881" s="14">
        <f t="shared" si="392"/>
        <v>0</v>
      </c>
      <c r="J3881" s="67"/>
    </row>
    <row r="3882" spans="2:10" x14ac:dyDescent="0.15">
      <c r="B3882" s="69" t="s">
        <v>189</v>
      </c>
      <c r="C3882" s="13">
        <v>1</v>
      </c>
      <c r="D3882" s="14">
        <f t="shared" si="391"/>
        <v>1</v>
      </c>
      <c r="E3882" s="5">
        <v>45663</v>
      </c>
      <c r="G3882" s="15"/>
      <c r="H3882" s="7"/>
      <c r="I3882" s="14">
        <f t="shared" si="392"/>
        <v>0</v>
      </c>
      <c r="J3882" s="67"/>
    </row>
    <row r="3883" spans="2:10" x14ac:dyDescent="0.15">
      <c r="B3883" s="69" t="s">
        <v>189</v>
      </c>
      <c r="C3883" s="13">
        <v>5</v>
      </c>
      <c r="D3883" s="14">
        <f t="shared" si="391"/>
        <v>5</v>
      </c>
      <c r="E3883" s="5">
        <v>45666</v>
      </c>
      <c r="G3883" s="15"/>
      <c r="H3883" s="7"/>
      <c r="I3883" s="14">
        <f t="shared" si="392"/>
        <v>0</v>
      </c>
      <c r="J3883" s="67"/>
    </row>
    <row r="3884" spans="2:10" ht="14.25" thickBot="1" x14ac:dyDescent="0.2">
      <c r="B3884" s="15"/>
      <c r="C3884" s="7"/>
      <c r="D3884" s="14">
        <f t="shared" si="391"/>
        <v>0</v>
      </c>
      <c r="E3884" s="67"/>
      <c r="G3884" s="15"/>
      <c r="H3884" s="7"/>
      <c r="I3884" s="14">
        <f t="shared" si="392"/>
        <v>0</v>
      </c>
      <c r="J3884" s="67"/>
    </row>
    <row r="3885" spans="2:10" ht="14.25" thickBot="1" x14ac:dyDescent="0.2">
      <c r="B3885" s="17" t="s">
        <v>2</v>
      </c>
      <c r="C3885" s="18">
        <f>SUM(C3861:C3884)</f>
        <v>52</v>
      </c>
      <c r="D3885" s="19">
        <f t="shared" si="391"/>
        <v>52</v>
      </c>
      <c r="E3885" s="20"/>
      <c r="G3885" s="17" t="s">
        <v>2</v>
      </c>
      <c r="H3885" s="18">
        <f>SUM(H3861:H3884)</f>
        <v>0</v>
      </c>
      <c r="I3885" s="18">
        <f>SUM(I3861:I3884)</f>
        <v>0</v>
      </c>
      <c r="J3885" s="20"/>
    </row>
    <row r="3886" spans="2:10" ht="14.25" thickBot="1" x14ac:dyDescent="0.2">
      <c r="B3886" s="46" t="s">
        <v>3</v>
      </c>
      <c r="C3886" s="52">
        <f>C3860-C3885</f>
        <v>206</v>
      </c>
      <c r="D3886" s="48">
        <f>D3860-D3885</f>
        <v>206</v>
      </c>
      <c r="E3886" s="49"/>
      <c r="G3886" s="46" t="s">
        <v>3</v>
      </c>
      <c r="H3886" s="52">
        <f>H3860-H3885</f>
        <v>1143</v>
      </c>
      <c r="I3886" s="52">
        <f>I3860-I3885</f>
        <v>1143</v>
      </c>
      <c r="J3886" s="49"/>
    </row>
    <row r="3887" spans="2:10" x14ac:dyDescent="0.15">
      <c r="H3887">
        <f>H3813+H3777+H3741+H3705+H3669+H3633+H3597</f>
        <v>9005</v>
      </c>
    </row>
    <row r="3888" spans="2:10" ht="36" customHeight="1" x14ac:dyDescent="0.3">
      <c r="B3888" s="201" t="s">
        <v>1076</v>
      </c>
      <c r="C3888" s="201"/>
      <c r="D3888" s="201"/>
      <c r="E3888" s="201"/>
      <c r="F3888" s="201"/>
      <c r="G3888" s="201"/>
      <c r="H3888" s="201"/>
      <c r="I3888" s="201"/>
      <c r="J3888" s="201"/>
    </row>
    <row r="3889" spans="2:10" ht="18.75" x14ac:dyDescent="0.2">
      <c r="B3889" s="26" t="s">
        <v>7</v>
      </c>
      <c r="G3889" s="26" t="s">
        <v>35</v>
      </c>
    </row>
    <row r="3890" spans="2:10" ht="14.25" thickBot="1" x14ac:dyDescent="0.2">
      <c r="J3890">
        <v>360</v>
      </c>
    </row>
    <row r="3891" spans="2:10" ht="14.25" thickBot="1" x14ac:dyDescent="0.2">
      <c r="B3891" s="1"/>
      <c r="C3891" s="1"/>
      <c r="D3891" s="53" t="s">
        <v>0</v>
      </c>
      <c r="E3891" s="1" t="s">
        <v>4</v>
      </c>
      <c r="G3891" s="1"/>
      <c r="H3891" s="1"/>
      <c r="I3891" s="53" t="s">
        <v>0</v>
      </c>
      <c r="J3891" s="1" t="s">
        <v>4</v>
      </c>
    </row>
    <row r="3892" spans="2:10" x14ac:dyDescent="0.15">
      <c r="B3892" s="42" t="s">
        <v>5</v>
      </c>
      <c r="C3892" s="43">
        <f>C3886</f>
        <v>206</v>
      </c>
      <c r="D3892" s="44">
        <f>SUM(C3892:C3892)</f>
        <v>206</v>
      </c>
      <c r="E3892" s="45"/>
      <c r="G3892" s="42" t="s">
        <v>5</v>
      </c>
      <c r="H3892" s="43">
        <f>H3886</f>
        <v>1143</v>
      </c>
      <c r="I3892" s="44">
        <f>I3886</f>
        <v>1143</v>
      </c>
      <c r="J3892" s="45"/>
    </row>
    <row r="3893" spans="2:10" x14ac:dyDescent="0.15">
      <c r="B3893" s="4" t="s">
        <v>895</v>
      </c>
      <c r="C3893" s="13">
        <v>1</v>
      </c>
      <c r="D3893" s="14">
        <f t="shared" ref="D3893:D3894" si="393">SUM(C3893:C3893)</f>
        <v>1</v>
      </c>
      <c r="E3893" s="12">
        <v>45300</v>
      </c>
      <c r="G3893" s="4" t="s">
        <v>6</v>
      </c>
      <c r="H3893" s="94"/>
      <c r="I3893" s="96">
        <f>SUM(H3893:H3893)</f>
        <v>0</v>
      </c>
      <c r="J3893" s="189"/>
    </row>
    <row r="3894" spans="2:10" x14ac:dyDescent="0.15">
      <c r="B3894" s="4" t="s">
        <v>6</v>
      </c>
      <c r="C3894" s="13">
        <v>400</v>
      </c>
      <c r="D3894" s="14">
        <f t="shared" si="393"/>
        <v>400</v>
      </c>
      <c r="E3894" s="12">
        <v>45750</v>
      </c>
      <c r="G3894" s="4" t="s">
        <v>6</v>
      </c>
      <c r="H3894" s="13">
        <v>1000</v>
      </c>
      <c r="I3894" s="14">
        <f>SUM(H3894:H3894)</f>
        <v>1000</v>
      </c>
      <c r="J3894" s="169" t="s">
        <v>1096</v>
      </c>
    </row>
    <row r="3895" spans="2:10" ht="14.25" thickBot="1" x14ac:dyDescent="0.2">
      <c r="B3895" s="4" t="s">
        <v>6</v>
      </c>
      <c r="C3895" s="13"/>
      <c r="D3895" s="14">
        <f t="shared" ref="D3895" si="394">SUM(C3895:C3895)</f>
        <v>0</v>
      </c>
      <c r="E3895" s="12"/>
      <c r="G3895" s="4" t="s">
        <v>6</v>
      </c>
      <c r="H3895" s="94"/>
      <c r="I3895" s="96">
        <f t="shared" ref="I3895" si="395">SUM(H3895:H3895)</f>
        <v>0</v>
      </c>
      <c r="J3895" s="189"/>
    </row>
    <row r="3896" spans="2:10" ht="14.25" thickBot="1" x14ac:dyDescent="0.2">
      <c r="B3896" s="46" t="s">
        <v>1</v>
      </c>
      <c r="C3896" s="48">
        <f>SUM(C3892:C3895)</f>
        <v>607</v>
      </c>
      <c r="D3896" s="48">
        <f>SUM(D3892:D3895)</f>
        <v>607</v>
      </c>
      <c r="E3896" s="51"/>
      <c r="G3896" s="46" t="s">
        <v>1</v>
      </c>
      <c r="H3896" s="194">
        <f>SUM(H3892:H3895)</f>
        <v>2143</v>
      </c>
      <c r="I3896" s="48">
        <f>SUM(I3892:I3895)</f>
        <v>2143</v>
      </c>
      <c r="J3896" s="51"/>
    </row>
    <row r="3897" spans="2:10" x14ac:dyDescent="0.15">
      <c r="B3897" s="69" t="s">
        <v>18</v>
      </c>
      <c r="C3897" s="13">
        <v>1</v>
      </c>
      <c r="D3897" s="14">
        <f t="shared" ref="D3897:D3911" si="396">SUM(C3897:C3897)</f>
        <v>1</v>
      </c>
      <c r="E3897" s="5">
        <v>45664</v>
      </c>
      <c r="G3897" s="15" t="s">
        <v>1088</v>
      </c>
      <c r="H3897" s="7">
        <v>400</v>
      </c>
      <c r="I3897" s="14">
        <f t="shared" ref="I3897:I3920" si="397">SUM(H3897:H3897)</f>
        <v>400</v>
      </c>
      <c r="J3897" s="12">
        <v>45750</v>
      </c>
    </row>
    <row r="3898" spans="2:10" x14ac:dyDescent="0.15">
      <c r="B3898" s="69" t="s">
        <v>18</v>
      </c>
      <c r="C3898" s="13">
        <v>1</v>
      </c>
      <c r="D3898" s="14">
        <f t="shared" ref="D3898" si="398">SUM(C3898:C3898)</f>
        <v>1</v>
      </c>
      <c r="E3898" s="5">
        <v>45665</v>
      </c>
      <c r="G3898" s="15" t="s">
        <v>1092</v>
      </c>
      <c r="H3898" s="7">
        <v>300</v>
      </c>
      <c r="I3898" s="14">
        <f t="shared" si="397"/>
        <v>300</v>
      </c>
      <c r="J3898" s="12">
        <v>45765</v>
      </c>
    </row>
    <row r="3899" spans="2:10" x14ac:dyDescent="0.15">
      <c r="B3899" s="69" t="s">
        <v>189</v>
      </c>
      <c r="C3899" s="13">
        <v>1</v>
      </c>
      <c r="D3899" s="14">
        <f t="shared" si="396"/>
        <v>1</v>
      </c>
      <c r="E3899" s="5">
        <v>45671</v>
      </c>
      <c r="G3899" s="15"/>
      <c r="H3899" s="7"/>
      <c r="I3899" s="14">
        <f t="shared" si="397"/>
        <v>0</v>
      </c>
      <c r="J3899" s="12"/>
    </row>
    <row r="3900" spans="2:10" x14ac:dyDescent="0.15">
      <c r="B3900" s="69" t="s">
        <v>189</v>
      </c>
      <c r="C3900" s="13">
        <v>1</v>
      </c>
      <c r="D3900" s="14">
        <f t="shared" si="396"/>
        <v>1</v>
      </c>
      <c r="E3900" s="5">
        <v>45672</v>
      </c>
      <c r="G3900" s="15"/>
      <c r="H3900" s="7"/>
      <c r="I3900" s="14">
        <f t="shared" si="397"/>
        <v>0</v>
      </c>
      <c r="J3900" s="12"/>
    </row>
    <row r="3901" spans="2:10" x14ac:dyDescent="0.15">
      <c r="B3901" s="69" t="s">
        <v>189</v>
      </c>
      <c r="C3901" s="13">
        <v>4</v>
      </c>
      <c r="D3901" s="14">
        <f t="shared" si="396"/>
        <v>4</v>
      </c>
      <c r="E3901" s="5">
        <v>45673</v>
      </c>
      <c r="G3901" s="15"/>
      <c r="H3901" s="7"/>
      <c r="I3901" s="14">
        <f t="shared" si="397"/>
        <v>0</v>
      </c>
      <c r="J3901" s="12"/>
    </row>
    <row r="3902" spans="2:10" x14ac:dyDescent="0.15">
      <c r="B3902" s="69" t="s">
        <v>189</v>
      </c>
      <c r="C3902" s="13">
        <v>1</v>
      </c>
      <c r="D3902" s="14">
        <f t="shared" si="396"/>
        <v>1</v>
      </c>
      <c r="E3902" s="5">
        <v>45680</v>
      </c>
      <c r="G3902" s="15"/>
      <c r="H3902" s="7"/>
      <c r="I3902" s="14">
        <f t="shared" si="397"/>
        <v>0</v>
      </c>
      <c r="J3902" s="12"/>
    </row>
    <row r="3903" spans="2:10" x14ac:dyDescent="0.15">
      <c r="B3903" s="69" t="s">
        <v>189</v>
      </c>
      <c r="C3903" s="13">
        <v>3</v>
      </c>
      <c r="D3903" s="14">
        <f t="shared" si="396"/>
        <v>3</v>
      </c>
      <c r="E3903" s="5">
        <v>45684</v>
      </c>
      <c r="G3903" s="15"/>
      <c r="H3903" s="7"/>
      <c r="I3903" s="14">
        <f t="shared" si="397"/>
        <v>0</v>
      </c>
      <c r="J3903" s="12"/>
    </row>
    <row r="3904" spans="2:10" x14ac:dyDescent="0.15">
      <c r="B3904" s="69" t="s">
        <v>18</v>
      </c>
      <c r="C3904" s="13">
        <v>1</v>
      </c>
      <c r="D3904" s="14">
        <f t="shared" si="396"/>
        <v>1</v>
      </c>
      <c r="E3904" s="5">
        <v>45688</v>
      </c>
      <c r="G3904" s="15"/>
      <c r="H3904" s="7"/>
      <c r="I3904" s="14">
        <f t="shared" si="397"/>
        <v>0</v>
      </c>
      <c r="J3904" s="12"/>
    </row>
    <row r="3905" spans="2:10" x14ac:dyDescent="0.15">
      <c r="B3905" s="69" t="s">
        <v>189</v>
      </c>
      <c r="C3905" s="13">
        <v>3</v>
      </c>
      <c r="D3905" s="14">
        <f t="shared" si="396"/>
        <v>3</v>
      </c>
      <c r="E3905" s="5">
        <v>45691</v>
      </c>
      <c r="G3905" s="15"/>
      <c r="H3905" s="7"/>
      <c r="I3905" s="14">
        <f t="shared" si="397"/>
        <v>0</v>
      </c>
      <c r="J3905" s="12"/>
    </row>
    <row r="3906" spans="2:10" x14ac:dyDescent="0.15">
      <c r="B3906" s="69" t="s">
        <v>18</v>
      </c>
      <c r="C3906" s="13">
        <v>1</v>
      </c>
      <c r="D3906" s="14">
        <f t="shared" si="396"/>
        <v>1</v>
      </c>
      <c r="E3906" s="5">
        <v>45705</v>
      </c>
      <c r="G3906" s="15"/>
      <c r="H3906" s="7"/>
      <c r="I3906" s="14">
        <f t="shared" si="397"/>
        <v>0</v>
      </c>
      <c r="J3906" s="12"/>
    </row>
    <row r="3907" spans="2:10" x14ac:dyDescent="0.15">
      <c r="B3907" s="69" t="s">
        <v>189</v>
      </c>
      <c r="C3907" s="13">
        <v>2</v>
      </c>
      <c r="D3907" s="14">
        <f t="shared" si="396"/>
        <v>2</v>
      </c>
      <c r="E3907" s="5">
        <v>45708</v>
      </c>
      <c r="G3907" s="15"/>
      <c r="H3907" s="7"/>
      <c r="I3907" s="14">
        <f t="shared" si="397"/>
        <v>0</v>
      </c>
      <c r="J3907" s="12"/>
    </row>
    <row r="3908" spans="2:10" x14ac:dyDescent="0.15">
      <c r="B3908" s="69" t="s">
        <v>18</v>
      </c>
      <c r="C3908" s="13">
        <v>1</v>
      </c>
      <c r="D3908" s="14">
        <f t="shared" si="396"/>
        <v>1</v>
      </c>
      <c r="E3908" s="5">
        <v>45716</v>
      </c>
      <c r="G3908" s="15"/>
      <c r="H3908" s="7"/>
      <c r="I3908" s="14">
        <f t="shared" si="397"/>
        <v>0</v>
      </c>
      <c r="J3908" s="12"/>
    </row>
    <row r="3909" spans="2:10" x14ac:dyDescent="0.15">
      <c r="B3909" s="69" t="s">
        <v>189</v>
      </c>
      <c r="C3909" s="13">
        <v>3</v>
      </c>
      <c r="D3909" s="14">
        <f t="shared" si="396"/>
        <v>3</v>
      </c>
      <c r="E3909" s="5">
        <v>45719</v>
      </c>
      <c r="G3909" s="15"/>
      <c r="H3909" s="7"/>
      <c r="I3909" s="14">
        <f t="shared" si="397"/>
        <v>0</v>
      </c>
      <c r="J3909" s="12"/>
    </row>
    <row r="3910" spans="2:10" x14ac:dyDescent="0.15">
      <c r="B3910" s="69" t="s">
        <v>189</v>
      </c>
      <c r="C3910" s="13">
        <v>2</v>
      </c>
      <c r="D3910" s="14">
        <f t="shared" si="396"/>
        <v>2</v>
      </c>
      <c r="E3910" s="5">
        <v>45720</v>
      </c>
      <c r="G3910" s="15"/>
      <c r="H3910" s="7"/>
      <c r="I3910" s="14">
        <f t="shared" si="397"/>
        <v>0</v>
      </c>
      <c r="J3910" s="12"/>
    </row>
    <row r="3911" spans="2:10" x14ac:dyDescent="0.15">
      <c r="B3911" s="69" t="s">
        <v>189</v>
      </c>
      <c r="C3911" s="13">
        <v>1</v>
      </c>
      <c r="D3911" s="14">
        <f t="shared" si="396"/>
        <v>1</v>
      </c>
      <c r="E3911" s="5">
        <v>45723</v>
      </c>
      <c r="G3911" s="15"/>
      <c r="H3911" s="7"/>
      <c r="I3911" s="14">
        <f t="shared" si="397"/>
        <v>0</v>
      </c>
      <c r="J3911" s="12"/>
    </row>
    <row r="3912" spans="2:10" x14ac:dyDescent="0.15">
      <c r="B3912" s="69" t="s">
        <v>189</v>
      </c>
      <c r="C3912" s="13">
        <v>4</v>
      </c>
      <c r="D3912" s="14">
        <f t="shared" ref="D3912:D3921" si="399">SUM(C3912:C3912)</f>
        <v>4</v>
      </c>
      <c r="E3912" s="5">
        <v>45726</v>
      </c>
      <c r="G3912" s="15"/>
      <c r="H3912" s="7"/>
      <c r="I3912" s="14">
        <f t="shared" si="397"/>
        <v>0</v>
      </c>
      <c r="J3912" s="12"/>
    </row>
    <row r="3913" spans="2:10" x14ac:dyDescent="0.15">
      <c r="B3913" s="69" t="s">
        <v>189</v>
      </c>
      <c r="C3913" s="13">
        <v>2</v>
      </c>
      <c r="D3913" s="14">
        <f t="shared" si="399"/>
        <v>2</v>
      </c>
      <c r="E3913" s="5">
        <v>45727</v>
      </c>
      <c r="G3913" s="15"/>
      <c r="H3913" s="7"/>
      <c r="I3913" s="14">
        <f t="shared" si="397"/>
        <v>0</v>
      </c>
      <c r="J3913" s="67"/>
    </row>
    <row r="3914" spans="2:10" x14ac:dyDescent="0.15">
      <c r="B3914" s="69" t="s">
        <v>189</v>
      </c>
      <c r="C3914" s="13">
        <v>2</v>
      </c>
      <c r="D3914" s="14">
        <f t="shared" si="399"/>
        <v>2</v>
      </c>
      <c r="E3914" s="5">
        <v>45730</v>
      </c>
      <c r="G3914" s="15"/>
      <c r="H3914" s="7"/>
      <c r="I3914" s="14">
        <f t="shared" si="397"/>
        <v>0</v>
      </c>
      <c r="J3914" s="67"/>
    </row>
    <row r="3915" spans="2:10" x14ac:dyDescent="0.15">
      <c r="B3915" s="69" t="s">
        <v>189</v>
      </c>
      <c r="C3915" s="13">
        <v>2</v>
      </c>
      <c r="D3915" s="14">
        <f t="shared" si="399"/>
        <v>2</v>
      </c>
      <c r="E3915" s="5">
        <v>45737</v>
      </c>
      <c r="G3915" s="15"/>
      <c r="H3915" s="7"/>
      <c r="I3915" s="14">
        <f t="shared" si="397"/>
        <v>0</v>
      </c>
      <c r="J3915" s="67"/>
    </row>
    <row r="3916" spans="2:10" x14ac:dyDescent="0.15">
      <c r="B3916" s="15" t="s">
        <v>1087</v>
      </c>
      <c r="C3916" s="13">
        <v>80</v>
      </c>
      <c r="D3916" s="14">
        <f t="shared" si="399"/>
        <v>80</v>
      </c>
      <c r="E3916" s="5">
        <v>45751</v>
      </c>
      <c r="G3916" s="15"/>
      <c r="H3916" s="7"/>
      <c r="I3916" s="14">
        <f t="shared" si="397"/>
        <v>0</v>
      </c>
      <c r="J3916" s="67"/>
    </row>
    <row r="3917" spans="2:10" x14ac:dyDescent="0.15">
      <c r="B3917" s="69" t="s">
        <v>189</v>
      </c>
      <c r="C3917" s="13">
        <v>1</v>
      </c>
      <c r="D3917" s="14">
        <f t="shared" si="399"/>
        <v>1</v>
      </c>
      <c r="E3917" s="5">
        <v>45752</v>
      </c>
      <c r="G3917" s="15"/>
      <c r="H3917" s="7"/>
      <c r="I3917" s="14">
        <f t="shared" si="397"/>
        <v>0</v>
      </c>
      <c r="J3917" s="67"/>
    </row>
    <row r="3918" spans="2:10" x14ac:dyDescent="0.15">
      <c r="B3918" s="69" t="s">
        <v>189</v>
      </c>
      <c r="C3918" s="13">
        <f>1+2</f>
        <v>3</v>
      </c>
      <c r="D3918" s="14">
        <f t="shared" si="399"/>
        <v>3</v>
      </c>
      <c r="E3918" s="5">
        <v>45754</v>
      </c>
      <c r="G3918" s="15" t="s">
        <v>1080</v>
      </c>
      <c r="H3918" s="7"/>
      <c r="I3918" s="14">
        <f t="shared" ref="I3918" si="400">SUM(H3918:H3918)</f>
        <v>0</v>
      </c>
      <c r="J3918" s="67" t="s">
        <v>1081</v>
      </c>
    </row>
    <row r="3919" spans="2:10" x14ac:dyDescent="0.15">
      <c r="B3919" s="15" t="s">
        <v>1090</v>
      </c>
      <c r="C3919" s="13">
        <v>30</v>
      </c>
      <c r="D3919" s="14">
        <f t="shared" si="399"/>
        <v>30</v>
      </c>
      <c r="E3919" s="5">
        <v>45758</v>
      </c>
      <c r="G3919" s="4" t="s">
        <v>1085</v>
      </c>
      <c r="H3919" s="184"/>
      <c r="I3919" s="185">
        <f t="shared" si="397"/>
        <v>0</v>
      </c>
      <c r="J3919" s="186"/>
    </row>
    <row r="3920" spans="2:10" ht="14.25" thickBot="1" x14ac:dyDescent="0.2">
      <c r="B3920" s="15" t="s">
        <v>1091</v>
      </c>
      <c r="C3920" s="7">
        <v>100</v>
      </c>
      <c r="D3920" s="14">
        <f t="shared" si="399"/>
        <v>100</v>
      </c>
      <c r="E3920" s="5">
        <v>45759</v>
      </c>
      <c r="G3920" s="15" t="s">
        <v>1075</v>
      </c>
      <c r="H3920" s="7"/>
      <c r="I3920" s="14">
        <f t="shared" si="397"/>
        <v>0</v>
      </c>
      <c r="J3920" t="s">
        <v>1077</v>
      </c>
    </row>
    <row r="3921" spans="2:10" ht="14.25" thickBot="1" x14ac:dyDescent="0.2">
      <c r="B3921" s="17" t="s">
        <v>2</v>
      </c>
      <c r="C3921" s="18">
        <f>SUM(C3897:C3920)</f>
        <v>250</v>
      </c>
      <c r="D3921" s="19">
        <f t="shared" si="399"/>
        <v>250</v>
      </c>
      <c r="E3921" s="20"/>
      <c r="G3921" s="17" t="s">
        <v>2</v>
      </c>
      <c r="H3921" s="18">
        <f>SUM(H3897:H3920)</f>
        <v>700</v>
      </c>
      <c r="I3921" s="18">
        <f>SUM(I3897:I3920)</f>
        <v>700</v>
      </c>
      <c r="J3921" s="20"/>
    </row>
    <row r="3922" spans="2:10" ht="14.25" thickBot="1" x14ac:dyDescent="0.2">
      <c r="B3922" s="46" t="s">
        <v>3</v>
      </c>
      <c r="C3922" s="52">
        <f>C3896-C3921</f>
        <v>357</v>
      </c>
      <c r="D3922" s="48">
        <f>D3896-D3921</f>
        <v>357</v>
      </c>
      <c r="E3922" s="49"/>
      <c r="G3922" s="46" t="s">
        <v>3</v>
      </c>
      <c r="H3922" s="52">
        <f>H3896-H3921</f>
        <v>1443</v>
      </c>
      <c r="I3922" s="52">
        <f>I3896-I3921</f>
        <v>1443</v>
      </c>
      <c r="J3922" s="49"/>
    </row>
    <row r="3924" spans="2:10" ht="13.5" customHeight="1" x14ac:dyDescent="0.3">
      <c r="B3924" s="202"/>
      <c r="C3924" s="202"/>
      <c r="D3924" s="202"/>
      <c r="E3924" s="202"/>
      <c r="F3924" s="202"/>
      <c r="G3924" s="202"/>
      <c r="H3924" s="202"/>
      <c r="I3924" s="202"/>
      <c r="J3924" s="202"/>
    </row>
    <row r="3925" spans="2:10" ht="18.75" x14ac:dyDescent="0.2">
      <c r="B3925" s="26" t="s">
        <v>7</v>
      </c>
      <c r="G3925" s="26" t="s">
        <v>35</v>
      </c>
    </row>
    <row r="3926" spans="2:10" ht="14.25" thickBot="1" x14ac:dyDescent="0.2">
      <c r="J3926">
        <v>360</v>
      </c>
    </row>
    <row r="3927" spans="2:10" ht="14.25" thickBot="1" x14ac:dyDescent="0.2">
      <c r="B3927" s="1"/>
      <c r="C3927" s="1"/>
      <c r="D3927" s="53" t="s">
        <v>0</v>
      </c>
      <c r="E3927" s="1" t="s">
        <v>4</v>
      </c>
      <c r="G3927" s="1"/>
      <c r="H3927" s="1"/>
      <c r="I3927" s="53" t="s">
        <v>0</v>
      </c>
      <c r="J3927" s="1" t="s">
        <v>4</v>
      </c>
    </row>
    <row r="3928" spans="2:10" x14ac:dyDescent="0.15">
      <c r="B3928" s="42" t="s">
        <v>5</v>
      </c>
      <c r="C3928" s="43">
        <f>C3922</f>
        <v>357</v>
      </c>
      <c r="D3928" s="44">
        <f>SUM(C3928:C3928)</f>
        <v>357</v>
      </c>
      <c r="E3928" s="45"/>
      <c r="G3928" s="42" t="s">
        <v>5</v>
      </c>
      <c r="H3928" s="43">
        <f>H3922</f>
        <v>1443</v>
      </c>
      <c r="I3928" s="44">
        <f>I3922</f>
        <v>1443</v>
      </c>
      <c r="J3928" s="45"/>
    </row>
    <row r="3929" spans="2:10" x14ac:dyDescent="0.15">
      <c r="B3929" s="4" t="s">
        <v>6</v>
      </c>
      <c r="C3929" s="13"/>
      <c r="D3929" s="14">
        <f t="shared" ref="D3929" si="401">SUM(C3929:C3929)</f>
        <v>0</v>
      </c>
      <c r="E3929" s="12"/>
      <c r="G3929" s="192" t="s">
        <v>6</v>
      </c>
      <c r="H3929" s="94"/>
      <c r="I3929" s="96">
        <f>SUM(H3929:H3929)</f>
        <v>0</v>
      </c>
      <c r="J3929" s="189"/>
    </row>
    <row r="3930" spans="2:10" x14ac:dyDescent="0.15">
      <c r="B3930" s="4" t="s">
        <v>6</v>
      </c>
      <c r="C3930" s="13"/>
      <c r="D3930" s="14">
        <f t="shared" ref="D3930:D3931" si="402">SUM(C3930:C3930)</f>
        <v>0</v>
      </c>
      <c r="E3930" s="12"/>
      <c r="G3930" s="4" t="s">
        <v>6</v>
      </c>
      <c r="H3930" s="13">
        <v>2000</v>
      </c>
      <c r="I3930" s="14">
        <f>SUM(H3930:H3930)</f>
        <v>2000</v>
      </c>
      <c r="J3930" s="169" t="s">
        <v>1097</v>
      </c>
    </row>
    <row r="3931" spans="2:10" ht="14.25" thickBot="1" x14ac:dyDescent="0.2">
      <c r="B3931" s="4" t="s">
        <v>6</v>
      </c>
      <c r="C3931" s="13"/>
      <c r="D3931" s="14">
        <f t="shared" si="402"/>
        <v>0</v>
      </c>
      <c r="E3931" s="12"/>
      <c r="G3931" s="192" t="s">
        <v>6</v>
      </c>
      <c r="H3931" s="94"/>
      <c r="I3931" s="96">
        <f t="shared" ref="I3931" si="403">SUM(H3931:H3931)</f>
        <v>0</v>
      </c>
      <c r="J3931" s="189"/>
    </row>
    <row r="3932" spans="2:10" ht="14.25" thickBot="1" x14ac:dyDescent="0.2">
      <c r="B3932" s="46" t="s">
        <v>1</v>
      </c>
      <c r="C3932" s="48">
        <f>SUM(C3928:C3931)</f>
        <v>357</v>
      </c>
      <c r="D3932" s="48">
        <f>SUM(D3928:D3931)</f>
        <v>357</v>
      </c>
      <c r="E3932" s="51"/>
      <c r="G3932" s="46" t="s">
        <v>1</v>
      </c>
      <c r="H3932" s="194">
        <f>SUM(H3928:H3931)</f>
        <v>3443</v>
      </c>
      <c r="I3932" s="48">
        <f>SUM(I3928:I3931)</f>
        <v>3443</v>
      </c>
      <c r="J3932" s="51"/>
    </row>
    <row r="3933" spans="2:10" x14ac:dyDescent="0.15">
      <c r="B3933" s="69" t="s">
        <v>18</v>
      </c>
      <c r="C3933" s="13">
        <v>15</v>
      </c>
      <c r="D3933" s="14">
        <f t="shared" ref="D3933:D3957" si="404">SUM(C3933:C3933)</f>
        <v>15</v>
      </c>
      <c r="E3933" s="5">
        <v>45764</v>
      </c>
      <c r="G3933" s="15" t="s">
        <v>713</v>
      </c>
      <c r="H3933" s="7">
        <v>200</v>
      </c>
      <c r="I3933" s="14">
        <f t="shared" ref="I3933:I3955" si="405">SUM(H3933:H3933)</f>
        <v>200</v>
      </c>
      <c r="J3933" s="12">
        <v>45799</v>
      </c>
    </row>
    <row r="3934" spans="2:10" x14ac:dyDescent="0.15">
      <c r="B3934" s="69" t="s">
        <v>18</v>
      </c>
      <c r="C3934" s="13">
        <v>16</v>
      </c>
      <c r="D3934" s="14">
        <f t="shared" si="404"/>
        <v>16</v>
      </c>
      <c r="E3934" s="5">
        <v>45771</v>
      </c>
      <c r="G3934" s="15"/>
      <c r="H3934" s="7"/>
      <c r="I3934" s="14">
        <f t="shared" si="405"/>
        <v>0</v>
      </c>
      <c r="J3934" s="12"/>
    </row>
    <row r="3935" spans="2:10" x14ac:dyDescent="0.15">
      <c r="B3935" s="69" t="s">
        <v>189</v>
      </c>
      <c r="C3935" s="13">
        <v>2</v>
      </c>
      <c r="D3935" s="14">
        <f t="shared" si="404"/>
        <v>2</v>
      </c>
      <c r="E3935" s="5">
        <v>45769</v>
      </c>
      <c r="G3935" s="15"/>
      <c r="H3935" s="7"/>
      <c r="I3935" s="14">
        <f t="shared" si="405"/>
        <v>0</v>
      </c>
      <c r="J3935" s="12"/>
    </row>
    <row r="3936" spans="2:10" x14ac:dyDescent="0.15">
      <c r="B3936" s="69" t="s">
        <v>18</v>
      </c>
      <c r="C3936" s="13">
        <v>7</v>
      </c>
      <c r="D3936" s="14">
        <f t="shared" si="404"/>
        <v>7</v>
      </c>
      <c r="E3936" s="5">
        <v>45772</v>
      </c>
      <c r="G3936" s="15"/>
      <c r="H3936" s="7"/>
      <c r="I3936" s="14">
        <f t="shared" si="405"/>
        <v>0</v>
      </c>
      <c r="J3936" s="12"/>
    </row>
    <row r="3937" spans="2:10" x14ac:dyDescent="0.15">
      <c r="B3937" s="69" t="s">
        <v>18</v>
      </c>
      <c r="C3937" s="13">
        <v>20</v>
      </c>
      <c r="D3937" s="14">
        <f t="shared" si="404"/>
        <v>20</v>
      </c>
      <c r="E3937" s="5">
        <v>45772</v>
      </c>
      <c r="G3937" s="15"/>
      <c r="H3937" s="7"/>
      <c r="I3937" s="14">
        <f t="shared" si="405"/>
        <v>0</v>
      </c>
      <c r="J3937" s="12"/>
    </row>
    <row r="3938" spans="2:10" x14ac:dyDescent="0.15">
      <c r="B3938" s="69" t="s">
        <v>18</v>
      </c>
      <c r="C3938" s="13">
        <v>6</v>
      </c>
      <c r="D3938" s="14">
        <f t="shared" si="404"/>
        <v>6</v>
      </c>
      <c r="E3938" s="5">
        <v>45777</v>
      </c>
      <c r="G3938" s="15"/>
      <c r="H3938" s="7"/>
      <c r="I3938" s="14">
        <f t="shared" si="405"/>
        <v>0</v>
      </c>
      <c r="J3938" s="12"/>
    </row>
    <row r="3939" spans="2:10" x14ac:dyDescent="0.15">
      <c r="B3939" s="69" t="s">
        <v>18</v>
      </c>
      <c r="C3939" s="13">
        <v>9</v>
      </c>
      <c r="D3939" s="14">
        <f t="shared" si="404"/>
        <v>9</v>
      </c>
      <c r="E3939" s="5">
        <v>45779</v>
      </c>
      <c r="G3939" s="15"/>
      <c r="H3939" s="7"/>
      <c r="I3939" s="14">
        <f t="shared" si="405"/>
        <v>0</v>
      </c>
      <c r="J3939" s="12"/>
    </row>
    <row r="3940" spans="2:10" x14ac:dyDescent="0.15">
      <c r="B3940" s="69" t="s">
        <v>18</v>
      </c>
      <c r="C3940" s="13">
        <v>14</v>
      </c>
      <c r="D3940" s="14">
        <f t="shared" si="404"/>
        <v>14</v>
      </c>
      <c r="E3940" s="5">
        <v>45779</v>
      </c>
      <c r="G3940" s="15"/>
      <c r="H3940" s="7"/>
      <c r="I3940" s="14">
        <f t="shared" si="405"/>
        <v>0</v>
      </c>
      <c r="J3940" s="12"/>
    </row>
    <row r="3941" spans="2:10" x14ac:dyDescent="0.15">
      <c r="B3941" s="69" t="s">
        <v>18</v>
      </c>
      <c r="C3941" s="13">
        <v>3</v>
      </c>
      <c r="D3941" s="14">
        <f t="shared" si="404"/>
        <v>3</v>
      </c>
      <c r="E3941" s="5">
        <v>45784</v>
      </c>
      <c r="G3941" s="15"/>
      <c r="H3941" s="7"/>
      <c r="I3941" s="14">
        <f t="shared" si="405"/>
        <v>0</v>
      </c>
      <c r="J3941" s="12"/>
    </row>
    <row r="3942" spans="2:10" x14ac:dyDescent="0.15">
      <c r="B3942" s="69" t="s">
        <v>18</v>
      </c>
      <c r="C3942" s="13">
        <v>25</v>
      </c>
      <c r="D3942" s="14">
        <f t="shared" si="404"/>
        <v>25</v>
      </c>
      <c r="E3942" s="5">
        <v>45786</v>
      </c>
      <c r="G3942" s="15"/>
      <c r="H3942" s="7"/>
      <c r="I3942" s="14">
        <f t="shared" si="405"/>
        <v>0</v>
      </c>
      <c r="J3942" s="12"/>
    </row>
    <row r="3943" spans="2:10" x14ac:dyDescent="0.15">
      <c r="B3943" s="69" t="s">
        <v>189</v>
      </c>
      <c r="C3943" s="13">
        <v>2</v>
      </c>
      <c r="D3943" s="14">
        <f t="shared" si="404"/>
        <v>2</v>
      </c>
      <c r="E3943" s="5">
        <v>45784</v>
      </c>
      <c r="G3943" s="15"/>
      <c r="H3943" s="7"/>
      <c r="I3943" s="14">
        <f t="shared" si="405"/>
        <v>0</v>
      </c>
      <c r="J3943" s="12"/>
    </row>
    <row r="3944" spans="2:10" x14ac:dyDescent="0.15">
      <c r="B3944" s="69" t="s">
        <v>18</v>
      </c>
      <c r="C3944" s="13">
        <v>1</v>
      </c>
      <c r="D3944" s="14">
        <f t="shared" si="404"/>
        <v>1</v>
      </c>
      <c r="E3944" s="5">
        <v>45791</v>
      </c>
      <c r="G3944" s="15"/>
      <c r="H3944" s="7"/>
      <c r="I3944" s="14">
        <f t="shared" si="405"/>
        <v>0</v>
      </c>
      <c r="J3944" s="12"/>
    </row>
    <row r="3945" spans="2:10" x14ac:dyDescent="0.15">
      <c r="B3945" s="69" t="s">
        <v>189</v>
      </c>
      <c r="C3945" s="13">
        <v>1</v>
      </c>
      <c r="D3945" s="14">
        <f t="shared" si="404"/>
        <v>1</v>
      </c>
      <c r="E3945" s="5">
        <v>45789</v>
      </c>
      <c r="G3945" s="15"/>
      <c r="H3945" s="7"/>
      <c r="I3945" s="14">
        <f t="shared" si="405"/>
        <v>0</v>
      </c>
      <c r="J3945" s="12"/>
    </row>
    <row r="3946" spans="2:10" x14ac:dyDescent="0.15">
      <c r="B3946" s="69" t="s">
        <v>18</v>
      </c>
      <c r="C3946" s="13">
        <v>20</v>
      </c>
      <c r="D3946" s="14">
        <f t="shared" si="404"/>
        <v>20</v>
      </c>
      <c r="E3946" s="5">
        <v>45792</v>
      </c>
      <c r="G3946" s="15"/>
      <c r="H3946" s="7"/>
      <c r="I3946" s="14">
        <f t="shared" si="405"/>
        <v>0</v>
      </c>
      <c r="J3946" s="12"/>
    </row>
    <row r="3947" spans="2:10" x14ac:dyDescent="0.15">
      <c r="B3947" s="69" t="s">
        <v>18</v>
      </c>
      <c r="C3947" s="13">
        <v>14</v>
      </c>
      <c r="D3947" s="14">
        <f t="shared" si="404"/>
        <v>14</v>
      </c>
      <c r="E3947" s="5">
        <v>45793</v>
      </c>
      <c r="G3947" s="15"/>
      <c r="H3947" s="7"/>
      <c r="I3947" s="14">
        <f t="shared" si="405"/>
        <v>0</v>
      </c>
      <c r="J3947" s="12"/>
    </row>
    <row r="3948" spans="2:10" x14ac:dyDescent="0.15">
      <c r="B3948" s="69" t="s">
        <v>18</v>
      </c>
      <c r="C3948" s="13">
        <v>13</v>
      </c>
      <c r="D3948" s="14">
        <f t="shared" si="404"/>
        <v>13</v>
      </c>
      <c r="E3948" s="5">
        <v>45793</v>
      </c>
      <c r="G3948" s="15"/>
      <c r="H3948" s="7"/>
      <c r="I3948" s="14">
        <f t="shared" si="405"/>
        <v>0</v>
      </c>
      <c r="J3948" s="12"/>
    </row>
    <row r="3949" spans="2:10" x14ac:dyDescent="0.15">
      <c r="B3949" s="69" t="s">
        <v>18</v>
      </c>
      <c r="C3949" s="13">
        <v>10</v>
      </c>
      <c r="D3949" s="14">
        <f t="shared" si="404"/>
        <v>10</v>
      </c>
      <c r="E3949" s="5">
        <v>45796</v>
      </c>
      <c r="G3949" s="15"/>
      <c r="H3949" s="7"/>
      <c r="I3949" s="14">
        <f t="shared" si="405"/>
        <v>0</v>
      </c>
      <c r="J3949" s="67"/>
    </row>
    <row r="3950" spans="2:10" x14ac:dyDescent="0.15">
      <c r="B3950" s="69" t="s">
        <v>18</v>
      </c>
      <c r="C3950" s="13">
        <v>26</v>
      </c>
      <c r="D3950" s="14">
        <f t="shared" si="404"/>
        <v>26</v>
      </c>
      <c r="E3950" s="5">
        <v>45798</v>
      </c>
      <c r="G3950" s="15"/>
      <c r="H3950" s="7"/>
      <c r="I3950" s="14">
        <f t="shared" si="405"/>
        <v>0</v>
      </c>
      <c r="J3950" s="67"/>
    </row>
    <row r="3951" spans="2:10" x14ac:dyDescent="0.15">
      <c r="B3951" s="69" t="s">
        <v>18</v>
      </c>
      <c r="C3951" s="13">
        <v>6</v>
      </c>
      <c r="D3951" s="14">
        <f t="shared" si="404"/>
        <v>6</v>
      </c>
      <c r="E3951" s="5">
        <v>45800</v>
      </c>
      <c r="G3951" s="15"/>
      <c r="H3951" s="7"/>
      <c r="I3951" s="14">
        <f t="shared" si="405"/>
        <v>0</v>
      </c>
      <c r="J3951" s="67"/>
    </row>
    <row r="3952" spans="2:10" x14ac:dyDescent="0.15">
      <c r="B3952" s="69" t="s">
        <v>18</v>
      </c>
      <c r="C3952" s="13">
        <v>5</v>
      </c>
      <c r="D3952" s="14">
        <f t="shared" si="404"/>
        <v>5</v>
      </c>
      <c r="E3952" s="5">
        <v>45803</v>
      </c>
      <c r="G3952" s="15"/>
      <c r="H3952" s="7"/>
      <c r="I3952" s="14">
        <f t="shared" si="405"/>
        <v>0</v>
      </c>
      <c r="J3952" s="67"/>
    </row>
    <row r="3953" spans="2:11" x14ac:dyDescent="0.15">
      <c r="B3953" s="69" t="s">
        <v>18</v>
      </c>
      <c r="C3953" s="13">
        <v>5</v>
      </c>
      <c r="D3953" s="14">
        <f t="shared" si="404"/>
        <v>5</v>
      </c>
      <c r="E3953" s="5">
        <v>45805</v>
      </c>
      <c r="G3953" s="15"/>
      <c r="H3953" s="7"/>
      <c r="I3953" s="14">
        <f t="shared" si="405"/>
        <v>0</v>
      </c>
      <c r="J3953" s="67"/>
    </row>
    <row r="3954" spans="2:11" x14ac:dyDescent="0.15">
      <c r="B3954" s="69" t="s">
        <v>18</v>
      </c>
      <c r="C3954" s="13">
        <v>11</v>
      </c>
      <c r="D3954" s="14">
        <f t="shared" si="404"/>
        <v>11</v>
      </c>
      <c r="E3954" s="5">
        <v>45807</v>
      </c>
      <c r="G3954" s="15"/>
      <c r="H3954" s="7"/>
      <c r="I3954" s="14">
        <f t="shared" si="405"/>
        <v>0</v>
      </c>
      <c r="J3954" s="67"/>
    </row>
    <row r="3955" spans="2:11" x14ac:dyDescent="0.15">
      <c r="B3955" s="69" t="s">
        <v>189</v>
      </c>
      <c r="C3955" s="13">
        <v>2</v>
      </c>
      <c r="D3955" s="14">
        <f t="shared" si="404"/>
        <v>2</v>
      </c>
      <c r="E3955" s="5">
        <v>45805</v>
      </c>
      <c r="G3955" s="15"/>
      <c r="H3955" s="7"/>
      <c r="I3955" s="14">
        <f t="shared" si="405"/>
        <v>0</v>
      </c>
      <c r="J3955" s="67"/>
    </row>
    <row r="3956" spans="2:11" ht="14.25" thickBot="1" x14ac:dyDescent="0.2">
      <c r="B3956" s="69" t="s">
        <v>18</v>
      </c>
      <c r="C3956" s="7">
        <v>8</v>
      </c>
      <c r="D3956" s="14">
        <f t="shared" si="404"/>
        <v>8</v>
      </c>
      <c r="E3956" s="5">
        <v>45807</v>
      </c>
      <c r="G3956" s="15" t="s">
        <v>605</v>
      </c>
      <c r="H3956" s="7"/>
      <c r="I3956" s="14">
        <f t="shared" ref="I3956" si="406">SUM(H3956:H3956)</f>
        <v>0</v>
      </c>
      <c r="J3956" s="67" t="s">
        <v>606</v>
      </c>
      <c r="K3956" s="86"/>
    </row>
    <row r="3957" spans="2:11" ht="14.25" thickBot="1" x14ac:dyDescent="0.2">
      <c r="B3957" s="17" t="s">
        <v>2</v>
      </c>
      <c r="C3957" s="18">
        <f>SUM(C3933:C3956)</f>
        <v>241</v>
      </c>
      <c r="D3957" s="19">
        <f t="shared" si="404"/>
        <v>241</v>
      </c>
      <c r="E3957" s="20"/>
      <c r="G3957" s="17" t="s">
        <v>2</v>
      </c>
      <c r="H3957" s="18">
        <f>SUM(H3933:H3956)</f>
        <v>200</v>
      </c>
      <c r="I3957" s="18">
        <f>SUM(I3933:I3956)</f>
        <v>200</v>
      </c>
      <c r="J3957" s="20"/>
    </row>
    <row r="3958" spans="2:11" ht="14.25" thickBot="1" x14ac:dyDescent="0.2">
      <c r="B3958" s="46" t="s">
        <v>3</v>
      </c>
      <c r="C3958" s="52">
        <f>C3932-C3957</f>
        <v>116</v>
      </c>
      <c r="D3958" s="48">
        <f>D3932-D3957</f>
        <v>116</v>
      </c>
      <c r="E3958" s="49"/>
      <c r="G3958" s="46" t="s">
        <v>3</v>
      </c>
      <c r="H3958" s="52">
        <f>H3932-H3957</f>
        <v>3243</v>
      </c>
      <c r="I3958" s="52">
        <f>I3932-I3957</f>
        <v>3243</v>
      </c>
      <c r="J3958" s="49"/>
    </row>
    <row r="3960" spans="2:11" ht="32.25" x14ac:dyDescent="0.3">
      <c r="B3960" s="202"/>
      <c r="C3960" s="202"/>
      <c r="D3960" s="202"/>
      <c r="E3960" s="202"/>
      <c r="F3960" s="202"/>
      <c r="G3960" s="202"/>
      <c r="H3960" s="202"/>
      <c r="I3960" s="202"/>
      <c r="J3960" s="202"/>
    </row>
    <row r="3961" spans="2:11" ht="18.75" x14ac:dyDescent="0.2">
      <c r="B3961" s="26" t="s">
        <v>7</v>
      </c>
      <c r="G3961" s="26" t="s">
        <v>35</v>
      </c>
    </row>
    <row r="3962" spans="2:11" ht="14.25" thickBot="1" x14ac:dyDescent="0.2">
      <c r="J3962">
        <v>360</v>
      </c>
    </row>
    <row r="3963" spans="2:11" ht="14.25" thickBot="1" x14ac:dyDescent="0.2">
      <c r="B3963" s="1"/>
      <c r="C3963" s="1"/>
      <c r="D3963" s="53" t="s">
        <v>0</v>
      </c>
      <c r="E3963" s="1" t="s">
        <v>4</v>
      </c>
      <c r="G3963" s="1"/>
      <c r="H3963" s="1"/>
      <c r="I3963" s="53" t="s">
        <v>0</v>
      </c>
      <c r="J3963" s="1" t="s">
        <v>4</v>
      </c>
    </row>
    <row r="3964" spans="2:11" x14ac:dyDescent="0.15">
      <c r="B3964" s="42" t="s">
        <v>5</v>
      </c>
      <c r="C3964" s="43">
        <f>C3958</f>
        <v>116</v>
      </c>
      <c r="D3964" s="44">
        <f>SUM(C3964:C3964)</f>
        <v>116</v>
      </c>
      <c r="E3964" s="45"/>
      <c r="G3964" s="42" t="s">
        <v>5</v>
      </c>
      <c r="H3964" s="43">
        <f>H3958</f>
        <v>3243</v>
      </c>
      <c r="I3964" s="44">
        <f>I3958</f>
        <v>3243</v>
      </c>
      <c r="J3964" s="45"/>
    </row>
    <row r="3965" spans="2:11" x14ac:dyDescent="0.15">
      <c r="B3965" s="4" t="s">
        <v>6</v>
      </c>
      <c r="C3965" s="13">
        <v>400</v>
      </c>
      <c r="D3965" s="14">
        <f t="shared" ref="D3965:D3967" si="407">SUM(C3965:C3965)</f>
        <v>400</v>
      </c>
      <c r="E3965" s="12">
        <v>45813</v>
      </c>
      <c r="G3965" s="192" t="s">
        <v>6</v>
      </c>
      <c r="H3965" s="94"/>
      <c r="I3965" s="96">
        <f>SUM(H3965:H3965)</f>
        <v>0</v>
      </c>
      <c r="J3965" s="189"/>
    </row>
    <row r="3966" spans="2:11" x14ac:dyDescent="0.15">
      <c r="B3966" s="4" t="s">
        <v>895</v>
      </c>
      <c r="C3966" s="13">
        <v>8</v>
      </c>
      <c r="D3966" s="14">
        <f t="shared" si="407"/>
        <v>8</v>
      </c>
      <c r="E3966" s="12">
        <v>45826</v>
      </c>
      <c r="G3966" s="4" t="s">
        <v>6</v>
      </c>
      <c r="H3966" s="13">
        <v>2000</v>
      </c>
      <c r="I3966" s="14">
        <f>SUM(H3966:H3966)</f>
        <v>2000</v>
      </c>
      <c r="J3966" s="169" t="s">
        <v>1104</v>
      </c>
    </row>
    <row r="3967" spans="2:11" ht="14.25" thickBot="1" x14ac:dyDescent="0.2">
      <c r="B3967" s="4" t="s">
        <v>6</v>
      </c>
      <c r="C3967" s="13">
        <v>400</v>
      </c>
      <c r="D3967" s="14">
        <f t="shared" si="407"/>
        <v>400</v>
      </c>
      <c r="E3967" s="12">
        <v>45834</v>
      </c>
      <c r="G3967" s="192" t="s">
        <v>6</v>
      </c>
      <c r="H3967" s="94"/>
      <c r="I3967" s="96">
        <f t="shared" ref="I3967" si="408">SUM(H3967:H3967)</f>
        <v>0</v>
      </c>
      <c r="J3967" s="189"/>
    </row>
    <row r="3968" spans="2:11" ht="14.25" thickBot="1" x14ac:dyDescent="0.2">
      <c r="B3968" s="46" t="s">
        <v>1</v>
      </c>
      <c r="C3968" s="48">
        <f>SUM(C3964:C3967)</f>
        <v>924</v>
      </c>
      <c r="D3968" s="48">
        <f>SUM(D3964:D3967)</f>
        <v>924</v>
      </c>
      <c r="E3968" s="51"/>
      <c r="G3968" s="46" t="s">
        <v>1</v>
      </c>
      <c r="H3968" s="194">
        <f>SUM(H3964:H3967)</f>
        <v>5243</v>
      </c>
      <c r="I3968" s="48">
        <f>SUM(I3964:I3967)</f>
        <v>5243</v>
      </c>
      <c r="J3968" s="51"/>
    </row>
    <row r="3969" spans="2:10" x14ac:dyDescent="0.15">
      <c r="B3969" s="69" t="s">
        <v>18</v>
      </c>
      <c r="C3969" s="13">
        <v>4</v>
      </c>
      <c r="D3969" s="14">
        <f t="shared" ref="D3969:D3993" si="409">SUM(C3969:C3969)</f>
        <v>4</v>
      </c>
      <c r="E3969" s="5">
        <v>45810</v>
      </c>
      <c r="G3969" s="15" t="s">
        <v>1103</v>
      </c>
      <c r="H3969" s="7">
        <v>400</v>
      </c>
      <c r="I3969" s="14">
        <f t="shared" ref="I3969:I3992" si="410">SUM(H3969:H3969)</f>
        <v>400</v>
      </c>
      <c r="J3969" s="12">
        <v>45813</v>
      </c>
    </row>
    <row r="3970" spans="2:10" x14ac:dyDescent="0.15">
      <c r="B3970" s="69" t="s">
        <v>18</v>
      </c>
      <c r="C3970" s="13">
        <v>3</v>
      </c>
      <c r="D3970" s="14">
        <f t="shared" si="409"/>
        <v>3</v>
      </c>
      <c r="E3970" s="5">
        <v>45812</v>
      </c>
      <c r="G3970" s="15" t="s">
        <v>1039</v>
      </c>
      <c r="H3970" s="7">
        <v>400</v>
      </c>
      <c r="I3970" s="14">
        <f t="shared" si="410"/>
        <v>400</v>
      </c>
      <c r="J3970" s="12">
        <v>45813</v>
      </c>
    </row>
    <row r="3971" spans="2:10" x14ac:dyDescent="0.15">
      <c r="B3971" s="69" t="s">
        <v>189</v>
      </c>
      <c r="C3971" s="13">
        <v>1</v>
      </c>
      <c r="D3971" s="14">
        <f t="shared" si="409"/>
        <v>1</v>
      </c>
      <c r="E3971" s="5">
        <v>45810</v>
      </c>
      <c r="G3971" s="15" t="s">
        <v>1110</v>
      </c>
      <c r="H3971" s="7">
        <v>250</v>
      </c>
      <c r="I3971" s="14">
        <f t="shared" si="410"/>
        <v>250</v>
      </c>
      <c r="J3971" s="12">
        <v>45828</v>
      </c>
    </row>
    <row r="3972" spans="2:10" x14ac:dyDescent="0.15">
      <c r="B3972" s="69" t="s">
        <v>18</v>
      </c>
      <c r="C3972" s="13">
        <v>10</v>
      </c>
      <c r="D3972" s="14">
        <f t="shared" si="409"/>
        <v>10</v>
      </c>
      <c r="E3972" s="5">
        <v>45813</v>
      </c>
      <c r="G3972" s="15" t="s">
        <v>1113</v>
      </c>
      <c r="H3972" s="7">
        <v>600</v>
      </c>
      <c r="I3972" s="14">
        <f t="shared" si="410"/>
        <v>600</v>
      </c>
      <c r="J3972" s="12">
        <v>45834</v>
      </c>
    </row>
    <row r="3973" spans="2:10" x14ac:dyDescent="0.15">
      <c r="B3973" s="69" t="s">
        <v>18</v>
      </c>
      <c r="C3973" s="13">
        <v>36</v>
      </c>
      <c r="D3973" s="14">
        <f t="shared" si="409"/>
        <v>36</v>
      </c>
      <c r="E3973" s="5">
        <v>45814</v>
      </c>
      <c r="G3973" s="15" t="s">
        <v>12</v>
      </c>
      <c r="H3973" s="7">
        <v>400</v>
      </c>
      <c r="I3973" s="14">
        <f t="shared" si="410"/>
        <v>400</v>
      </c>
      <c r="J3973" s="12">
        <v>45834</v>
      </c>
    </row>
    <row r="3974" spans="2:10" x14ac:dyDescent="0.15">
      <c r="B3974" s="69" t="s">
        <v>189</v>
      </c>
      <c r="C3974" s="13">
        <v>3</v>
      </c>
      <c r="D3974" s="14">
        <f t="shared" si="409"/>
        <v>3</v>
      </c>
      <c r="E3974" s="5">
        <v>45813</v>
      </c>
      <c r="G3974" s="15" t="s">
        <v>1114</v>
      </c>
      <c r="H3974" s="7">
        <v>200</v>
      </c>
      <c r="I3974" s="14">
        <f t="shared" si="410"/>
        <v>200</v>
      </c>
      <c r="J3974" s="12">
        <v>45834</v>
      </c>
    </row>
    <row r="3975" spans="2:10" x14ac:dyDescent="0.15">
      <c r="B3975" s="69" t="s">
        <v>18</v>
      </c>
      <c r="C3975" s="13">
        <v>10</v>
      </c>
      <c r="D3975" s="14">
        <f t="shared" si="409"/>
        <v>10</v>
      </c>
      <c r="E3975" s="5">
        <v>45819</v>
      </c>
      <c r="G3975" s="15"/>
      <c r="H3975" s="7"/>
      <c r="I3975" s="14">
        <f t="shared" si="410"/>
        <v>0</v>
      </c>
      <c r="J3975" s="12"/>
    </row>
    <row r="3976" spans="2:10" x14ac:dyDescent="0.15">
      <c r="B3976" s="69" t="s">
        <v>1105</v>
      </c>
      <c r="C3976" s="13">
        <v>1</v>
      </c>
      <c r="D3976" s="14">
        <f t="shared" si="409"/>
        <v>1</v>
      </c>
      <c r="E3976" s="5">
        <v>45818</v>
      </c>
      <c r="G3976" s="15"/>
      <c r="H3976" s="7"/>
      <c r="I3976" s="14">
        <f t="shared" si="410"/>
        <v>0</v>
      </c>
      <c r="J3976" s="12"/>
    </row>
    <row r="3977" spans="2:10" x14ac:dyDescent="0.15">
      <c r="B3977" s="15" t="s">
        <v>157</v>
      </c>
      <c r="C3977" s="13">
        <v>100</v>
      </c>
      <c r="D3977" s="14">
        <f t="shared" si="409"/>
        <v>100</v>
      </c>
      <c r="E3977" s="5">
        <v>45820</v>
      </c>
      <c r="G3977" s="15"/>
      <c r="H3977" s="7"/>
      <c r="I3977" s="14">
        <f t="shared" si="410"/>
        <v>0</v>
      </c>
      <c r="J3977" s="12"/>
    </row>
    <row r="3978" spans="2:10" x14ac:dyDescent="0.15">
      <c r="B3978" s="69" t="s">
        <v>18</v>
      </c>
      <c r="C3978" s="13">
        <v>3</v>
      </c>
      <c r="D3978" s="14">
        <f t="shared" si="409"/>
        <v>3</v>
      </c>
      <c r="E3978" s="5">
        <v>45820</v>
      </c>
      <c r="G3978" s="15"/>
      <c r="H3978" s="7"/>
      <c r="I3978" s="14">
        <f t="shared" si="410"/>
        <v>0</v>
      </c>
      <c r="J3978" s="12"/>
    </row>
    <row r="3979" spans="2:10" x14ac:dyDescent="0.15">
      <c r="B3979" s="69" t="s">
        <v>18</v>
      </c>
      <c r="C3979" s="13">
        <v>10</v>
      </c>
      <c r="D3979" s="14">
        <f t="shared" si="409"/>
        <v>10</v>
      </c>
      <c r="E3979" s="5">
        <v>45821</v>
      </c>
      <c r="G3979" s="15"/>
      <c r="H3979" s="7"/>
      <c r="I3979" s="14">
        <f t="shared" si="410"/>
        <v>0</v>
      </c>
      <c r="J3979" s="12"/>
    </row>
    <row r="3980" spans="2:10" x14ac:dyDescent="0.15">
      <c r="B3980" s="69" t="s">
        <v>18</v>
      </c>
      <c r="C3980" s="13">
        <v>12</v>
      </c>
      <c r="D3980" s="14">
        <f t="shared" si="409"/>
        <v>12</v>
      </c>
      <c r="E3980" s="5">
        <v>45821</v>
      </c>
      <c r="G3980" s="15"/>
      <c r="H3980" s="7"/>
      <c r="I3980" s="14">
        <f t="shared" si="410"/>
        <v>0</v>
      </c>
      <c r="J3980" s="12"/>
    </row>
    <row r="3981" spans="2:10" x14ac:dyDescent="0.15">
      <c r="B3981" s="69" t="s">
        <v>18</v>
      </c>
      <c r="C3981" s="13">
        <v>8</v>
      </c>
      <c r="D3981" s="14">
        <f t="shared" si="409"/>
        <v>8</v>
      </c>
      <c r="E3981" s="5">
        <v>45824</v>
      </c>
      <c r="G3981" s="15"/>
      <c r="H3981" s="7"/>
      <c r="I3981" s="14">
        <f t="shared" si="410"/>
        <v>0</v>
      </c>
      <c r="J3981" s="12"/>
    </row>
    <row r="3982" spans="2:10" x14ac:dyDescent="0.15">
      <c r="B3982" s="15" t="s">
        <v>1109</v>
      </c>
      <c r="C3982" s="13">
        <v>70</v>
      </c>
      <c r="D3982" s="14">
        <f t="shared" si="409"/>
        <v>70</v>
      </c>
      <c r="E3982" s="5">
        <v>45828</v>
      </c>
      <c r="G3982" s="15"/>
      <c r="H3982" s="7"/>
      <c r="I3982" s="14">
        <f t="shared" si="410"/>
        <v>0</v>
      </c>
      <c r="J3982" s="12"/>
    </row>
    <row r="3983" spans="2:10" x14ac:dyDescent="0.15">
      <c r="B3983" s="69" t="s">
        <v>18</v>
      </c>
      <c r="C3983" s="13">
        <v>37</v>
      </c>
      <c r="D3983" s="14">
        <f t="shared" si="409"/>
        <v>37</v>
      </c>
      <c r="E3983" s="5">
        <v>45826</v>
      </c>
      <c r="G3983" s="15"/>
      <c r="H3983" s="7"/>
      <c r="I3983" s="14">
        <f t="shared" si="410"/>
        <v>0</v>
      </c>
      <c r="J3983" s="12"/>
    </row>
    <row r="3984" spans="2:10" x14ac:dyDescent="0.15">
      <c r="B3984" s="69" t="s">
        <v>189</v>
      </c>
      <c r="C3984" s="13">
        <f>1+1</f>
        <v>2</v>
      </c>
      <c r="D3984" s="14">
        <f t="shared" si="409"/>
        <v>2</v>
      </c>
      <c r="E3984" s="5">
        <v>45824</v>
      </c>
      <c r="G3984" s="15"/>
      <c r="H3984" s="7"/>
      <c r="I3984" s="14">
        <f t="shared" si="410"/>
        <v>0</v>
      </c>
      <c r="J3984" s="12"/>
    </row>
    <row r="3985" spans="2:10" x14ac:dyDescent="0.15">
      <c r="B3985" s="69" t="s">
        <v>18</v>
      </c>
      <c r="C3985" s="13">
        <v>38</v>
      </c>
      <c r="D3985" s="14">
        <f t="shared" si="409"/>
        <v>38</v>
      </c>
      <c r="E3985" s="5">
        <v>45827</v>
      </c>
      <c r="G3985" s="15"/>
      <c r="H3985" s="7"/>
      <c r="I3985" s="14">
        <f t="shared" si="410"/>
        <v>0</v>
      </c>
      <c r="J3985" s="67"/>
    </row>
    <row r="3986" spans="2:10" x14ac:dyDescent="0.15">
      <c r="B3986" s="69" t="s">
        <v>189</v>
      </c>
      <c r="C3986" s="13">
        <v>3</v>
      </c>
      <c r="D3986" s="14">
        <f t="shared" si="409"/>
        <v>3</v>
      </c>
      <c r="E3986" s="5">
        <v>45825</v>
      </c>
      <c r="G3986" s="15" t="s">
        <v>1028</v>
      </c>
      <c r="H3986" s="7"/>
      <c r="I3986" s="14">
        <f t="shared" ref="I3986:I3987" si="411">SUM(H3986:H3986)</f>
        <v>0</v>
      </c>
      <c r="J3986" s="67" t="s">
        <v>426</v>
      </c>
    </row>
    <row r="3987" spans="2:10" x14ac:dyDescent="0.15">
      <c r="B3987" s="69" t="s">
        <v>18</v>
      </c>
      <c r="C3987" s="13">
        <v>39</v>
      </c>
      <c r="D3987" s="14">
        <f t="shared" si="409"/>
        <v>39</v>
      </c>
      <c r="E3987" s="5">
        <v>45828</v>
      </c>
      <c r="G3987" s="15" t="s">
        <v>1094</v>
      </c>
      <c r="H3987" s="7"/>
      <c r="I3987" s="14">
        <f t="shared" si="411"/>
        <v>0</v>
      </c>
      <c r="J3987" s="67" t="s">
        <v>1095</v>
      </c>
    </row>
    <row r="3988" spans="2:10" x14ac:dyDescent="0.15">
      <c r="B3988" s="69" t="s">
        <v>189</v>
      </c>
      <c r="C3988" s="13">
        <v>1</v>
      </c>
      <c r="D3988" s="14">
        <f t="shared" si="409"/>
        <v>1</v>
      </c>
      <c r="E3988" s="5">
        <v>45826</v>
      </c>
      <c r="G3988" s="15" t="s">
        <v>1098</v>
      </c>
      <c r="H3988" s="7"/>
      <c r="I3988" s="14">
        <f t="shared" si="410"/>
        <v>0</v>
      </c>
      <c r="J3988" s="67" t="s">
        <v>1099</v>
      </c>
    </row>
    <row r="3989" spans="2:10" x14ac:dyDescent="0.15">
      <c r="B3989" s="69" t="s">
        <v>189</v>
      </c>
      <c r="C3989" s="13">
        <v>1</v>
      </c>
      <c r="D3989" s="14">
        <f t="shared" si="409"/>
        <v>1</v>
      </c>
      <c r="E3989" s="5">
        <v>45827</v>
      </c>
      <c r="G3989" s="4" t="s">
        <v>1018</v>
      </c>
      <c r="H3989" s="184"/>
      <c r="I3989" s="185">
        <f t="shared" si="410"/>
        <v>0</v>
      </c>
      <c r="J3989" s="186"/>
    </row>
    <row r="3990" spans="2:10" x14ac:dyDescent="0.15">
      <c r="B3990" s="69" t="s">
        <v>18</v>
      </c>
      <c r="C3990" s="13">
        <v>12</v>
      </c>
      <c r="D3990" s="14">
        <f t="shared" si="409"/>
        <v>12</v>
      </c>
      <c r="E3990" s="5">
        <v>45831</v>
      </c>
      <c r="G3990" s="15" t="s">
        <v>677</v>
      </c>
      <c r="H3990" s="7"/>
      <c r="I3990" s="14">
        <f t="shared" ref="I3990" si="412">SUM(H3990:H3990)</f>
        <v>0</v>
      </c>
      <c r="J3990" t="s">
        <v>1089</v>
      </c>
    </row>
    <row r="3991" spans="2:10" x14ac:dyDescent="0.15">
      <c r="B3991" s="69" t="s">
        <v>189</v>
      </c>
      <c r="C3991" s="13">
        <v>1</v>
      </c>
      <c r="D3991" s="14">
        <f t="shared" si="409"/>
        <v>1</v>
      </c>
      <c r="E3991" s="5">
        <v>45828</v>
      </c>
      <c r="G3991" s="4" t="s">
        <v>1084</v>
      </c>
      <c r="H3991" s="184"/>
      <c r="I3991" s="185">
        <f t="shared" si="410"/>
        <v>0</v>
      </c>
      <c r="J3991" s="186"/>
    </row>
    <row r="3992" spans="2:10" ht="14.25" thickBot="1" x14ac:dyDescent="0.2">
      <c r="B3992" s="69" t="s">
        <v>18</v>
      </c>
      <c r="C3992" s="7">
        <v>10</v>
      </c>
      <c r="D3992" s="14">
        <f t="shared" si="409"/>
        <v>10</v>
      </c>
      <c r="E3992" s="5">
        <v>45833</v>
      </c>
      <c r="G3992" s="15" t="s">
        <v>1078</v>
      </c>
      <c r="H3992" s="7"/>
      <c r="I3992" s="14">
        <f t="shared" si="410"/>
        <v>0</v>
      </c>
      <c r="J3992" t="s">
        <v>1079</v>
      </c>
    </row>
    <row r="3993" spans="2:10" ht="14.25" thickBot="1" x14ac:dyDescent="0.2">
      <c r="B3993" s="17" t="s">
        <v>2</v>
      </c>
      <c r="C3993" s="18">
        <f>SUM(C3969:C3992)</f>
        <v>415</v>
      </c>
      <c r="D3993" s="19">
        <f t="shared" si="409"/>
        <v>415</v>
      </c>
      <c r="E3993" s="20"/>
      <c r="G3993" s="17" t="s">
        <v>2</v>
      </c>
      <c r="H3993" s="18">
        <f>SUM(H3969:H3992)</f>
        <v>2250</v>
      </c>
      <c r="I3993" s="18">
        <f>SUM(I3969:I3992)</f>
        <v>2250</v>
      </c>
      <c r="J3993" s="20"/>
    </row>
    <row r="3994" spans="2:10" ht="14.25" thickBot="1" x14ac:dyDescent="0.2">
      <c r="B3994" s="46" t="s">
        <v>3</v>
      </c>
      <c r="C3994" s="52">
        <f>C3968-C3993</f>
        <v>509</v>
      </c>
      <c r="D3994" s="48">
        <f>D3968-D3993</f>
        <v>509</v>
      </c>
      <c r="E3994" s="49"/>
      <c r="G3994" s="46" t="s">
        <v>3</v>
      </c>
      <c r="H3994" s="52">
        <f>H3968-H3993</f>
        <v>2993</v>
      </c>
      <c r="I3994" s="52">
        <f>I3968-I3993</f>
        <v>2993</v>
      </c>
      <c r="J3994" s="49"/>
    </row>
    <row r="3996" spans="2:10" ht="32.25" x14ac:dyDescent="0.3">
      <c r="B3996" s="202"/>
      <c r="C3996" s="202"/>
      <c r="D3996" s="202"/>
      <c r="E3996" s="202"/>
      <c r="F3996" s="202"/>
      <c r="G3996" s="202"/>
      <c r="H3996" s="202"/>
      <c r="I3996" s="202"/>
      <c r="J3996" s="202"/>
    </row>
    <row r="3997" spans="2:10" ht="18.75" x14ac:dyDescent="0.2">
      <c r="B3997" s="26" t="s">
        <v>7</v>
      </c>
      <c r="G3997" s="26" t="s">
        <v>35</v>
      </c>
    </row>
    <row r="3998" spans="2:10" ht="14.25" thickBot="1" x14ac:dyDescent="0.2">
      <c r="J3998">
        <v>360</v>
      </c>
    </row>
    <row r="3999" spans="2:10" ht="14.25" thickBot="1" x14ac:dyDescent="0.2">
      <c r="B3999" s="1"/>
      <c r="C3999" s="1"/>
      <c r="D3999" s="53" t="s">
        <v>0</v>
      </c>
      <c r="E3999" s="1" t="s">
        <v>4</v>
      </c>
      <c r="G3999" s="1"/>
      <c r="H3999" s="1"/>
      <c r="I3999" s="53" t="s">
        <v>0</v>
      </c>
      <c r="J3999" s="1" t="s">
        <v>4</v>
      </c>
    </row>
    <row r="4000" spans="2:10" x14ac:dyDescent="0.15">
      <c r="B4000" s="42" t="s">
        <v>5</v>
      </c>
      <c r="C4000" s="43">
        <f>C3994</f>
        <v>509</v>
      </c>
      <c r="D4000" s="44">
        <f>SUM(C4000:C4000)</f>
        <v>509</v>
      </c>
      <c r="E4000" s="45"/>
      <c r="G4000" s="42" t="s">
        <v>5</v>
      </c>
      <c r="H4000" s="43">
        <f>H3994</f>
        <v>2993</v>
      </c>
      <c r="I4000" s="44">
        <f>I3994</f>
        <v>2993</v>
      </c>
      <c r="J4000" s="45"/>
    </row>
    <row r="4001" spans="2:10" x14ac:dyDescent="0.15">
      <c r="B4001" s="4" t="s">
        <v>6</v>
      </c>
      <c r="C4001" s="13">
        <v>400</v>
      </c>
      <c r="D4001" s="14">
        <f t="shared" ref="D4001:D4003" si="413">SUM(C4001:C4001)</f>
        <v>400</v>
      </c>
      <c r="E4001" s="12">
        <v>45840</v>
      </c>
      <c r="G4001" s="192" t="s">
        <v>6</v>
      </c>
      <c r="H4001" s="94"/>
      <c r="I4001" s="96">
        <f>SUM(H4001:H4001)</f>
        <v>0</v>
      </c>
      <c r="J4001" s="189"/>
    </row>
    <row r="4002" spans="2:10" x14ac:dyDescent="0.15">
      <c r="B4002" s="4" t="s">
        <v>6</v>
      </c>
      <c r="C4002" s="13"/>
      <c r="D4002" s="14">
        <f t="shared" si="413"/>
        <v>0</v>
      </c>
      <c r="E4002" s="12"/>
      <c r="G4002" s="4" t="s">
        <v>6</v>
      </c>
      <c r="H4002" s="13">
        <v>2000</v>
      </c>
      <c r="I4002" s="14">
        <f>SUM(H4002:H4002)</f>
        <v>2000</v>
      </c>
      <c r="J4002" s="169" t="s">
        <v>1122</v>
      </c>
    </row>
    <row r="4003" spans="2:10" ht="14.25" thickBot="1" x14ac:dyDescent="0.2">
      <c r="B4003" s="4" t="s">
        <v>6</v>
      </c>
      <c r="C4003" s="13"/>
      <c r="D4003" s="14">
        <f t="shared" si="413"/>
        <v>0</v>
      </c>
      <c r="E4003" s="12"/>
      <c r="G4003" s="192" t="s">
        <v>6</v>
      </c>
      <c r="H4003" s="94"/>
      <c r="I4003" s="96">
        <f t="shared" ref="I4003" si="414">SUM(H4003:H4003)</f>
        <v>0</v>
      </c>
      <c r="J4003" s="189"/>
    </row>
    <row r="4004" spans="2:10" ht="14.25" thickBot="1" x14ac:dyDescent="0.2">
      <c r="B4004" s="46" t="s">
        <v>1</v>
      </c>
      <c r="C4004" s="48">
        <f>SUM(C4000:C4003)</f>
        <v>909</v>
      </c>
      <c r="D4004" s="48">
        <f>SUM(D4000:D4003)</f>
        <v>909</v>
      </c>
      <c r="E4004" s="51"/>
      <c r="G4004" s="46" t="s">
        <v>1</v>
      </c>
      <c r="H4004" s="50">
        <f>SUM(H4000:H4003)</f>
        <v>4993</v>
      </c>
      <c r="I4004" s="50">
        <f>SUM(I4000:I4003)</f>
        <v>4993</v>
      </c>
      <c r="J4004" s="51"/>
    </row>
    <row r="4005" spans="2:10" x14ac:dyDescent="0.15">
      <c r="B4005" s="69" t="s">
        <v>189</v>
      </c>
      <c r="C4005" s="13">
        <f>1+4</f>
        <v>5</v>
      </c>
      <c r="D4005" s="14">
        <f t="shared" ref="D4005:D4029" si="415">SUM(C4005:C4005)</f>
        <v>5</v>
      </c>
      <c r="E4005" s="5">
        <v>45831</v>
      </c>
      <c r="F4005" s="25"/>
      <c r="G4005" s="15" t="s">
        <v>1118</v>
      </c>
      <c r="H4005" s="7">
        <v>400</v>
      </c>
      <c r="I4005" s="14">
        <f t="shared" ref="I4005:I4018" si="416">SUM(H4005:H4005)</f>
        <v>400</v>
      </c>
      <c r="J4005" s="12">
        <v>45840</v>
      </c>
    </row>
    <row r="4006" spans="2:10" x14ac:dyDescent="0.15">
      <c r="B4006" s="69" t="s">
        <v>18</v>
      </c>
      <c r="C4006" s="13">
        <v>11</v>
      </c>
      <c r="D4006" s="14">
        <f t="shared" si="415"/>
        <v>11</v>
      </c>
      <c r="E4006" s="5">
        <v>45834</v>
      </c>
      <c r="G4006" s="15" t="s">
        <v>1121</v>
      </c>
      <c r="H4006" s="7">
        <v>550</v>
      </c>
      <c r="I4006" s="14">
        <f t="shared" si="416"/>
        <v>550</v>
      </c>
      <c r="J4006" s="12">
        <v>45842</v>
      </c>
    </row>
    <row r="4007" spans="2:10" x14ac:dyDescent="0.15">
      <c r="B4007" s="15" t="s">
        <v>1115</v>
      </c>
      <c r="C4007" s="13">
        <v>50</v>
      </c>
      <c r="D4007" s="14">
        <f t="shared" si="415"/>
        <v>50</v>
      </c>
      <c r="E4007" s="5">
        <v>45834</v>
      </c>
      <c r="G4007" s="15"/>
      <c r="H4007" s="7"/>
      <c r="I4007" s="14">
        <f t="shared" si="416"/>
        <v>0</v>
      </c>
      <c r="J4007" s="12"/>
    </row>
    <row r="4008" spans="2:10" x14ac:dyDescent="0.15">
      <c r="B4008" s="69" t="s">
        <v>18</v>
      </c>
      <c r="C4008" s="13">
        <v>8</v>
      </c>
      <c r="D4008" s="14">
        <f t="shared" si="415"/>
        <v>8</v>
      </c>
      <c r="E4008" s="5">
        <v>45835</v>
      </c>
      <c r="G4008" s="15"/>
      <c r="H4008" s="7"/>
      <c r="I4008" s="14">
        <f t="shared" si="416"/>
        <v>0</v>
      </c>
      <c r="J4008" s="12"/>
    </row>
    <row r="4009" spans="2:10" x14ac:dyDescent="0.15">
      <c r="B4009" s="69" t="s">
        <v>18</v>
      </c>
      <c r="C4009" s="13">
        <v>8</v>
      </c>
      <c r="D4009" s="14">
        <f t="shared" si="415"/>
        <v>8</v>
      </c>
      <c r="E4009" s="5">
        <v>45835</v>
      </c>
      <c r="G4009" s="15"/>
      <c r="H4009" s="7"/>
      <c r="I4009" s="14">
        <f t="shared" si="416"/>
        <v>0</v>
      </c>
      <c r="J4009" s="12"/>
    </row>
    <row r="4010" spans="2:10" x14ac:dyDescent="0.15">
      <c r="B4010" s="15" t="s">
        <v>165</v>
      </c>
      <c r="C4010" s="13">
        <v>100</v>
      </c>
      <c r="D4010" s="14">
        <f t="shared" si="415"/>
        <v>100</v>
      </c>
      <c r="E4010" s="5">
        <v>45835</v>
      </c>
      <c r="G4010" s="15"/>
      <c r="H4010" s="7"/>
      <c r="I4010" s="14">
        <f t="shared" si="416"/>
        <v>0</v>
      </c>
      <c r="J4010" s="12"/>
    </row>
    <row r="4011" spans="2:10" x14ac:dyDescent="0.15">
      <c r="B4011" s="15" t="s">
        <v>1116</v>
      </c>
      <c r="C4011" s="13">
        <v>120</v>
      </c>
      <c r="D4011" s="14">
        <f t="shared" si="415"/>
        <v>120</v>
      </c>
      <c r="E4011" s="5">
        <v>45835</v>
      </c>
      <c r="G4011" s="15"/>
      <c r="H4011" s="7"/>
      <c r="I4011" s="14">
        <f t="shared" si="416"/>
        <v>0</v>
      </c>
      <c r="J4011" s="12"/>
    </row>
    <row r="4012" spans="2:10" x14ac:dyDescent="0.15">
      <c r="B4012" s="69" t="s">
        <v>1117</v>
      </c>
      <c r="C4012" s="13">
        <v>-1</v>
      </c>
      <c r="D4012" s="14">
        <f t="shared" si="415"/>
        <v>-1</v>
      </c>
      <c r="E4012" s="5">
        <v>45832</v>
      </c>
      <c r="G4012" s="15"/>
      <c r="H4012" s="7"/>
      <c r="I4012" s="14">
        <f t="shared" si="416"/>
        <v>0</v>
      </c>
      <c r="J4012" s="12"/>
    </row>
    <row r="4013" spans="2:10" x14ac:dyDescent="0.15">
      <c r="B4013" s="69" t="s">
        <v>189</v>
      </c>
      <c r="C4013" s="13">
        <v>1</v>
      </c>
      <c r="D4013" s="14">
        <f t="shared" si="415"/>
        <v>1</v>
      </c>
      <c r="E4013" s="5">
        <v>45834</v>
      </c>
      <c r="G4013" s="15"/>
      <c r="H4013" s="7"/>
      <c r="I4013" s="14">
        <f t="shared" si="416"/>
        <v>0</v>
      </c>
      <c r="J4013" s="12"/>
    </row>
    <row r="4014" spans="2:10" x14ac:dyDescent="0.15">
      <c r="B4014" s="69" t="s">
        <v>18</v>
      </c>
      <c r="C4014" s="13">
        <v>18</v>
      </c>
      <c r="D4014" s="14">
        <f t="shared" si="415"/>
        <v>18</v>
      </c>
      <c r="E4014" s="5">
        <v>45838</v>
      </c>
      <c r="G4014" s="15"/>
      <c r="H4014" s="7"/>
      <c r="I4014" s="14">
        <f t="shared" si="416"/>
        <v>0</v>
      </c>
      <c r="J4014" s="12"/>
    </row>
    <row r="4015" spans="2:10" x14ac:dyDescent="0.15">
      <c r="B4015" s="69" t="s">
        <v>18</v>
      </c>
      <c r="C4015" s="13">
        <v>23</v>
      </c>
      <c r="D4015" s="14">
        <f t="shared" si="415"/>
        <v>23</v>
      </c>
      <c r="E4015" s="5">
        <v>45840</v>
      </c>
      <c r="G4015" s="15"/>
      <c r="H4015" s="7"/>
      <c r="I4015" s="14">
        <f t="shared" si="416"/>
        <v>0</v>
      </c>
      <c r="J4015" s="12"/>
    </row>
    <row r="4016" spans="2:10" x14ac:dyDescent="0.15">
      <c r="B4016" s="69" t="s">
        <v>189</v>
      </c>
      <c r="C4016" s="13">
        <v>1</v>
      </c>
      <c r="D4016" s="14">
        <f t="shared" si="415"/>
        <v>1</v>
      </c>
      <c r="E4016" s="5">
        <v>45838</v>
      </c>
      <c r="G4016" s="15"/>
      <c r="H4016" s="7"/>
      <c r="I4016" s="14">
        <f t="shared" si="416"/>
        <v>0</v>
      </c>
      <c r="J4016" s="12"/>
    </row>
    <row r="4017" spans="2:11" x14ac:dyDescent="0.15">
      <c r="B4017" s="15" t="s">
        <v>1119</v>
      </c>
      <c r="C4017" s="13">
        <v>70</v>
      </c>
      <c r="D4017" s="14">
        <f t="shared" si="415"/>
        <v>70</v>
      </c>
      <c r="E4017" s="5">
        <v>45839</v>
      </c>
      <c r="G4017" s="15"/>
      <c r="H4017" s="7"/>
      <c r="I4017" s="14">
        <f t="shared" si="416"/>
        <v>0</v>
      </c>
      <c r="J4017" s="12"/>
    </row>
    <row r="4018" spans="2:11" x14ac:dyDescent="0.15">
      <c r="B4018" s="15" t="s">
        <v>1120</v>
      </c>
      <c r="C4018" s="13">
        <v>50</v>
      </c>
      <c r="D4018" s="14">
        <f t="shared" si="415"/>
        <v>50</v>
      </c>
      <c r="E4018" s="5">
        <v>45839</v>
      </c>
      <c r="G4018" s="15"/>
      <c r="H4018" s="7"/>
      <c r="I4018" s="14">
        <f t="shared" si="416"/>
        <v>0</v>
      </c>
      <c r="J4018" s="12"/>
    </row>
    <row r="4019" spans="2:11" x14ac:dyDescent="0.15">
      <c r="B4019" s="69" t="s">
        <v>18</v>
      </c>
      <c r="C4019" s="13">
        <v>13</v>
      </c>
      <c r="D4019" s="14">
        <f t="shared" si="415"/>
        <v>13</v>
      </c>
      <c r="E4019" s="5">
        <v>45841</v>
      </c>
      <c r="G4019" s="15"/>
      <c r="H4019" s="7"/>
      <c r="I4019" s="14">
        <f t="shared" ref="I4019:I4024" si="417">SUM(H4019:H4019)</f>
        <v>0</v>
      </c>
      <c r="J4019" s="12"/>
    </row>
    <row r="4020" spans="2:11" x14ac:dyDescent="0.15">
      <c r="B4020" s="69" t="s">
        <v>18</v>
      </c>
      <c r="C4020" s="13">
        <v>8</v>
      </c>
      <c r="D4020" s="14">
        <f t="shared" si="415"/>
        <v>8</v>
      </c>
      <c r="E4020" s="5">
        <v>45842</v>
      </c>
      <c r="G4020" s="15"/>
      <c r="H4020" s="7"/>
      <c r="I4020" s="14">
        <f t="shared" si="417"/>
        <v>0</v>
      </c>
      <c r="J4020" s="12"/>
    </row>
    <row r="4021" spans="2:11" x14ac:dyDescent="0.15">
      <c r="B4021" s="69" t="s">
        <v>18</v>
      </c>
      <c r="C4021" s="13">
        <v>12</v>
      </c>
      <c r="D4021" s="14">
        <f t="shared" si="415"/>
        <v>12</v>
      </c>
      <c r="E4021" s="5">
        <v>45842</v>
      </c>
      <c r="G4021" s="15"/>
      <c r="H4021" s="7"/>
      <c r="I4021" s="14">
        <f t="shared" si="417"/>
        <v>0</v>
      </c>
      <c r="J4021" s="12"/>
    </row>
    <row r="4022" spans="2:11" x14ac:dyDescent="0.15">
      <c r="B4022" s="69" t="s">
        <v>18</v>
      </c>
      <c r="C4022" s="13">
        <v>2</v>
      </c>
      <c r="D4022" s="14">
        <f t="shared" si="415"/>
        <v>2</v>
      </c>
      <c r="E4022" s="5">
        <v>45845</v>
      </c>
      <c r="G4022" s="15"/>
      <c r="H4022" s="7"/>
      <c r="I4022" s="14">
        <f t="shared" si="417"/>
        <v>0</v>
      </c>
      <c r="J4022" s="12"/>
    </row>
    <row r="4023" spans="2:11" x14ac:dyDescent="0.15">
      <c r="B4023" s="69" t="s">
        <v>18</v>
      </c>
      <c r="C4023" s="13">
        <v>15</v>
      </c>
      <c r="D4023" s="14">
        <f t="shared" si="415"/>
        <v>15</v>
      </c>
      <c r="E4023" s="5">
        <v>45847</v>
      </c>
      <c r="G4023" s="15"/>
      <c r="H4023" s="7"/>
      <c r="I4023" s="14">
        <f t="shared" si="417"/>
        <v>0</v>
      </c>
      <c r="J4023" s="12"/>
    </row>
    <row r="4024" spans="2:11" x14ac:dyDescent="0.15">
      <c r="B4024" s="69" t="s">
        <v>189</v>
      </c>
      <c r="C4024" s="13">
        <v>3</v>
      </c>
      <c r="D4024" s="14">
        <f t="shared" si="415"/>
        <v>3</v>
      </c>
      <c r="E4024" s="5">
        <v>45845</v>
      </c>
      <c r="G4024" s="15"/>
      <c r="H4024" s="7"/>
      <c r="I4024" s="14">
        <f t="shared" si="417"/>
        <v>0</v>
      </c>
      <c r="J4024" s="12"/>
    </row>
    <row r="4025" spans="2:11" x14ac:dyDescent="0.15">
      <c r="B4025" s="69" t="s">
        <v>18</v>
      </c>
      <c r="C4025" s="13">
        <v>1</v>
      </c>
      <c r="D4025" s="14">
        <f t="shared" si="415"/>
        <v>1</v>
      </c>
      <c r="E4025" s="5">
        <v>45848</v>
      </c>
      <c r="G4025" s="15" t="s">
        <v>1100</v>
      </c>
      <c r="H4025" s="7"/>
      <c r="I4025" s="14">
        <f t="shared" ref="I4025:I4026" si="418">SUM(H4025:H4025)</f>
        <v>0</v>
      </c>
      <c r="J4025" s="12" t="s">
        <v>435</v>
      </c>
      <c r="K4025" s="86"/>
    </row>
    <row r="4026" spans="2:11" x14ac:dyDescent="0.15">
      <c r="B4026" s="69" t="s">
        <v>189</v>
      </c>
      <c r="C4026" s="13">
        <v>1</v>
      </c>
      <c r="D4026" s="14">
        <f t="shared" si="415"/>
        <v>1</v>
      </c>
      <c r="E4026" s="5">
        <v>45846</v>
      </c>
      <c r="G4026" s="15" t="s">
        <v>1111</v>
      </c>
      <c r="H4026" s="7"/>
      <c r="I4026" s="14">
        <f t="shared" si="418"/>
        <v>0</v>
      </c>
      <c r="J4026" s="67" t="s">
        <v>1112</v>
      </c>
      <c r="K4026" s="86"/>
    </row>
    <row r="4027" spans="2:11" x14ac:dyDescent="0.15">
      <c r="B4027" s="69" t="s">
        <v>18</v>
      </c>
      <c r="C4027" s="13">
        <v>15</v>
      </c>
      <c r="D4027" s="14">
        <f t="shared" si="415"/>
        <v>15</v>
      </c>
      <c r="E4027" s="5">
        <v>45849</v>
      </c>
      <c r="G4027" s="4" t="s">
        <v>955</v>
      </c>
      <c r="H4027" s="184"/>
      <c r="I4027" s="185">
        <f t="shared" ref="I4027:I4028" si="419">SUM(H4027:H4027)</f>
        <v>0</v>
      </c>
      <c r="J4027" s="67"/>
      <c r="K4027" s="193"/>
    </row>
    <row r="4028" spans="2:11" ht="14.25" thickBot="1" x14ac:dyDescent="0.2">
      <c r="B4028" s="69" t="s">
        <v>18</v>
      </c>
      <c r="C4028" s="7">
        <v>21</v>
      </c>
      <c r="D4028" s="14">
        <f t="shared" si="415"/>
        <v>21</v>
      </c>
      <c r="E4028" s="5">
        <v>45849</v>
      </c>
      <c r="G4028" s="15" t="s">
        <v>879</v>
      </c>
      <c r="H4028" s="7"/>
      <c r="I4028" s="14">
        <f t="shared" si="419"/>
        <v>0</v>
      </c>
      <c r="J4028" s="67" t="s">
        <v>1093</v>
      </c>
      <c r="K4028" s="86"/>
    </row>
    <row r="4029" spans="2:11" ht="14.25" thickBot="1" x14ac:dyDescent="0.2">
      <c r="B4029" s="17" t="s">
        <v>2</v>
      </c>
      <c r="C4029" s="18">
        <f>SUM(C4005:C4028)</f>
        <v>555</v>
      </c>
      <c r="D4029" s="19">
        <f t="shared" si="415"/>
        <v>555</v>
      </c>
      <c r="E4029" s="20"/>
      <c r="G4029" s="17" t="s">
        <v>2</v>
      </c>
      <c r="H4029" s="18">
        <f>SUM(H4005:H4028)</f>
        <v>950</v>
      </c>
      <c r="I4029" s="18">
        <f>SUM(I4005:I4028)</f>
        <v>950</v>
      </c>
      <c r="J4029" s="20"/>
    </row>
    <row r="4030" spans="2:11" ht="14.25" thickBot="1" x14ac:dyDescent="0.2">
      <c r="B4030" s="46" t="s">
        <v>3</v>
      </c>
      <c r="C4030" s="52">
        <f>C4004-C4029</f>
        <v>354</v>
      </c>
      <c r="D4030" s="48">
        <f>D4004-D4029</f>
        <v>354</v>
      </c>
      <c r="E4030" s="49"/>
      <c r="G4030" s="46" t="s">
        <v>3</v>
      </c>
      <c r="H4030" s="52">
        <f>H4004-H4029</f>
        <v>4043</v>
      </c>
      <c r="I4030" s="52">
        <f>I4004-I4029</f>
        <v>4043</v>
      </c>
      <c r="J4030" s="49"/>
    </row>
    <row r="4033" spans="2:10" ht="18.75" x14ac:dyDescent="0.2">
      <c r="B4033" s="26" t="s">
        <v>7</v>
      </c>
      <c r="G4033" s="26" t="s">
        <v>35</v>
      </c>
    </row>
    <row r="4034" spans="2:10" ht="14.25" thickBot="1" x14ac:dyDescent="0.2">
      <c r="J4034">
        <v>360</v>
      </c>
    </row>
    <row r="4035" spans="2:10" ht="14.25" thickBot="1" x14ac:dyDescent="0.2">
      <c r="B4035" s="1"/>
      <c r="C4035" s="1"/>
      <c r="D4035" s="53" t="s">
        <v>0</v>
      </c>
      <c r="E4035" s="1" t="s">
        <v>4</v>
      </c>
      <c r="G4035" s="1"/>
      <c r="H4035" s="1"/>
      <c r="I4035" s="53" t="s">
        <v>0</v>
      </c>
      <c r="J4035" s="1" t="s">
        <v>4</v>
      </c>
    </row>
    <row r="4036" spans="2:10" x14ac:dyDescent="0.15">
      <c r="B4036" s="42" t="s">
        <v>5</v>
      </c>
      <c r="C4036" s="43">
        <f>C4030</f>
        <v>354</v>
      </c>
      <c r="D4036" s="44">
        <f>SUM(C4036:C4036)</f>
        <v>354</v>
      </c>
      <c r="E4036" s="45"/>
      <c r="G4036" s="42" t="s">
        <v>5</v>
      </c>
      <c r="H4036" s="43">
        <f>H4030</f>
        <v>4043</v>
      </c>
      <c r="I4036" s="44">
        <f>I4030</f>
        <v>4043</v>
      </c>
      <c r="J4036" s="45"/>
    </row>
    <row r="4037" spans="2:10" x14ac:dyDescent="0.15">
      <c r="B4037" s="4" t="s">
        <v>105</v>
      </c>
      <c r="C4037" s="13">
        <v>1</v>
      </c>
      <c r="D4037" s="14">
        <f t="shared" ref="D4037:D4039" si="420">SUM(C4037:C4037)</f>
        <v>1</v>
      </c>
      <c r="E4037" s="12">
        <v>45861</v>
      </c>
      <c r="G4037" s="192" t="s">
        <v>6</v>
      </c>
      <c r="H4037" s="94"/>
      <c r="I4037" s="96">
        <f>SUM(H4037:H4037)</f>
        <v>0</v>
      </c>
      <c r="J4037" s="189"/>
    </row>
    <row r="4038" spans="2:10" x14ac:dyDescent="0.15">
      <c r="B4038" s="4" t="s">
        <v>6</v>
      </c>
      <c r="C4038" s="13">
        <v>400</v>
      </c>
      <c r="D4038" s="14">
        <f t="shared" si="420"/>
        <v>400</v>
      </c>
      <c r="E4038" s="12">
        <v>45874</v>
      </c>
      <c r="G4038" s="192" t="s">
        <v>6</v>
      </c>
      <c r="H4038" s="94"/>
      <c r="I4038" s="96">
        <f>SUM(H4038:H4038)</f>
        <v>0</v>
      </c>
      <c r="J4038" s="189"/>
    </row>
    <row r="4039" spans="2:10" ht="14.25" thickBot="1" x14ac:dyDescent="0.2">
      <c r="B4039" s="4" t="s">
        <v>843</v>
      </c>
      <c r="C4039" s="13">
        <v>-13</v>
      </c>
      <c r="D4039" s="14">
        <f t="shared" si="420"/>
        <v>-13</v>
      </c>
      <c r="E4039" s="12">
        <v>45878</v>
      </c>
      <c r="G4039" s="192" t="s">
        <v>6</v>
      </c>
      <c r="H4039" s="94"/>
      <c r="I4039" s="96">
        <f t="shared" ref="I4039" si="421">SUM(H4039:H4039)</f>
        <v>0</v>
      </c>
      <c r="J4039" s="189"/>
    </row>
    <row r="4040" spans="2:10" ht="14.25" thickBot="1" x14ac:dyDescent="0.2">
      <c r="B4040" s="46" t="s">
        <v>1</v>
      </c>
      <c r="C4040" s="48">
        <f>SUM(C4036:C4039)</f>
        <v>742</v>
      </c>
      <c r="D4040" s="48">
        <f>SUM(D4036:D4039)</f>
        <v>742</v>
      </c>
      <c r="E4040" s="51"/>
      <c r="G4040" s="46" t="s">
        <v>1</v>
      </c>
      <c r="H4040" s="50">
        <f>SUM(H4036:H4039)</f>
        <v>4043</v>
      </c>
      <c r="I4040" s="50">
        <f>SUM(I4036:I4039)</f>
        <v>4043</v>
      </c>
      <c r="J4040" s="51"/>
    </row>
    <row r="4041" spans="2:10" x14ac:dyDescent="0.15">
      <c r="B4041" s="69" t="s">
        <v>18</v>
      </c>
      <c r="C4041" s="13">
        <v>9</v>
      </c>
      <c r="D4041" s="14">
        <f t="shared" ref="D4041:D4050" si="422">SUM(C4041:C4041)</f>
        <v>9</v>
      </c>
      <c r="E4041" s="5">
        <v>45852</v>
      </c>
      <c r="F4041" s="25"/>
      <c r="G4041" s="15" t="s">
        <v>742</v>
      </c>
      <c r="H4041" s="7">
        <v>200</v>
      </c>
      <c r="I4041" s="14">
        <f t="shared" ref="I4041:I4054" si="423">SUM(H4041:H4041)</f>
        <v>200</v>
      </c>
      <c r="J4041" s="12">
        <v>45862</v>
      </c>
    </row>
    <row r="4042" spans="2:10" x14ac:dyDescent="0.15">
      <c r="B4042" s="69" t="s">
        <v>18</v>
      </c>
      <c r="C4042" s="13">
        <v>12</v>
      </c>
      <c r="D4042" s="14">
        <f t="shared" si="422"/>
        <v>12</v>
      </c>
      <c r="E4042" s="5">
        <v>45854</v>
      </c>
      <c r="G4042" s="15" t="s">
        <v>1123</v>
      </c>
      <c r="H4042" s="7">
        <v>800</v>
      </c>
      <c r="I4042" s="14">
        <f t="shared" si="423"/>
        <v>800</v>
      </c>
      <c r="J4042" s="12">
        <v>45877</v>
      </c>
    </row>
    <row r="4043" spans="2:10" x14ac:dyDescent="0.15">
      <c r="B4043" s="69" t="s">
        <v>18</v>
      </c>
      <c r="C4043" s="13">
        <v>32</v>
      </c>
      <c r="D4043" s="14">
        <f t="shared" si="422"/>
        <v>32</v>
      </c>
      <c r="E4043" s="5">
        <v>45855</v>
      </c>
      <c r="G4043" s="15" t="s">
        <v>1124</v>
      </c>
      <c r="H4043" s="7">
        <v>400</v>
      </c>
      <c r="I4043" s="14">
        <f t="shared" si="423"/>
        <v>400</v>
      </c>
      <c r="J4043" s="12">
        <v>45874</v>
      </c>
    </row>
    <row r="4044" spans="2:10" x14ac:dyDescent="0.15">
      <c r="B4044" s="69" t="s">
        <v>18</v>
      </c>
      <c r="C4044" s="13">
        <v>18</v>
      </c>
      <c r="D4044" s="14">
        <f t="shared" si="422"/>
        <v>18</v>
      </c>
      <c r="E4044" s="5">
        <v>45856</v>
      </c>
      <c r="G4044" s="15" t="s">
        <v>744</v>
      </c>
      <c r="H4044" s="7">
        <v>350</v>
      </c>
      <c r="I4044" s="14">
        <f t="shared" si="423"/>
        <v>350</v>
      </c>
      <c r="J4044" s="12">
        <v>45876</v>
      </c>
    </row>
    <row r="4045" spans="2:10" x14ac:dyDescent="0.15">
      <c r="B4045" s="69" t="s">
        <v>18</v>
      </c>
      <c r="C4045" s="13">
        <v>4</v>
      </c>
      <c r="D4045" s="14">
        <f t="shared" si="422"/>
        <v>4</v>
      </c>
      <c r="E4045" s="5">
        <v>45856</v>
      </c>
      <c r="G4045" s="15"/>
      <c r="H4045" s="7"/>
      <c r="I4045" s="14">
        <f t="shared" si="423"/>
        <v>0</v>
      </c>
      <c r="J4045" s="12"/>
    </row>
    <row r="4046" spans="2:10" x14ac:dyDescent="0.15">
      <c r="B4046" s="69" t="s">
        <v>18</v>
      </c>
      <c r="C4046" s="13">
        <v>9</v>
      </c>
      <c r="D4046" s="14">
        <f t="shared" si="422"/>
        <v>9</v>
      </c>
      <c r="E4046" s="5">
        <v>45862</v>
      </c>
      <c r="G4046" s="15"/>
      <c r="H4046" s="7"/>
      <c r="I4046" s="14">
        <f t="shared" si="423"/>
        <v>0</v>
      </c>
      <c r="J4046" s="12"/>
    </row>
    <row r="4047" spans="2:10" x14ac:dyDescent="0.15">
      <c r="B4047" s="69" t="s">
        <v>189</v>
      </c>
      <c r="C4047" s="13">
        <v>1</v>
      </c>
      <c r="D4047" s="14">
        <f t="shared" si="422"/>
        <v>1</v>
      </c>
      <c r="E4047" s="5">
        <v>45860</v>
      </c>
      <c r="G4047" s="15"/>
      <c r="H4047" s="7"/>
      <c r="I4047" s="14">
        <f t="shared" si="423"/>
        <v>0</v>
      </c>
      <c r="J4047" s="12"/>
    </row>
    <row r="4048" spans="2:10" x14ac:dyDescent="0.15">
      <c r="B4048" s="69" t="s">
        <v>18</v>
      </c>
      <c r="C4048" s="13">
        <v>17</v>
      </c>
      <c r="D4048" s="14">
        <f t="shared" si="422"/>
        <v>17</v>
      </c>
      <c r="E4048" s="5">
        <v>45863</v>
      </c>
      <c r="G4048" s="15"/>
      <c r="H4048" s="7"/>
      <c r="I4048" s="14">
        <f t="shared" si="423"/>
        <v>0</v>
      </c>
      <c r="J4048" s="12"/>
    </row>
    <row r="4049" spans="2:10" x14ac:dyDescent="0.15">
      <c r="B4049" s="69" t="s">
        <v>18</v>
      </c>
      <c r="C4049" s="13">
        <v>4</v>
      </c>
      <c r="D4049" s="14">
        <f t="shared" si="422"/>
        <v>4</v>
      </c>
      <c r="E4049" s="5">
        <v>45863</v>
      </c>
      <c r="G4049" s="15"/>
      <c r="H4049" s="7"/>
      <c r="I4049" s="14">
        <f t="shared" si="423"/>
        <v>0</v>
      </c>
      <c r="J4049" s="12"/>
    </row>
    <row r="4050" spans="2:10" x14ac:dyDescent="0.15">
      <c r="B4050" s="69" t="s">
        <v>18</v>
      </c>
      <c r="C4050" s="13">
        <v>25</v>
      </c>
      <c r="D4050" s="14">
        <f t="shared" si="422"/>
        <v>25</v>
      </c>
      <c r="E4050" s="5">
        <v>45866</v>
      </c>
      <c r="G4050" s="15"/>
      <c r="H4050" s="7"/>
      <c r="I4050" s="14">
        <f t="shared" si="423"/>
        <v>0</v>
      </c>
      <c r="J4050" s="12"/>
    </row>
    <row r="4051" spans="2:10" x14ac:dyDescent="0.15">
      <c r="B4051" s="69" t="s">
        <v>189</v>
      </c>
      <c r="C4051" s="13">
        <v>4</v>
      </c>
      <c r="D4051" s="14">
        <f t="shared" ref="D4051:D4065" si="424">SUM(C4051:C4051)</f>
        <v>4</v>
      </c>
      <c r="E4051" s="5">
        <v>45863</v>
      </c>
      <c r="G4051" s="15"/>
      <c r="H4051" s="7"/>
      <c r="I4051" s="14">
        <f t="shared" si="423"/>
        <v>0</v>
      </c>
      <c r="J4051" s="12"/>
    </row>
    <row r="4052" spans="2:10" x14ac:dyDescent="0.15">
      <c r="B4052" s="69" t="s">
        <v>18</v>
      </c>
      <c r="C4052" s="13">
        <v>3</v>
      </c>
      <c r="D4052" s="14">
        <f t="shared" si="424"/>
        <v>3</v>
      </c>
      <c r="E4052" s="5">
        <v>45870</v>
      </c>
      <c r="G4052" s="15"/>
      <c r="H4052" s="7"/>
      <c r="I4052" s="14">
        <f t="shared" si="423"/>
        <v>0</v>
      </c>
      <c r="J4052" s="12"/>
    </row>
    <row r="4053" spans="2:10" x14ac:dyDescent="0.15">
      <c r="B4053" s="69" t="s">
        <v>18</v>
      </c>
      <c r="C4053" s="13">
        <v>26</v>
      </c>
      <c r="D4053" s="14">
        <f t="shared" si="424"/>
        <v>26</v>
      </c>
      <c r="E4053" s="5">
        <v>45873</v>
      </c>
      <c r="G4053" s="15"/>
      <c r="H4053" s="7"/>
      <c r="I4053" s="14">
        <f t="shared" si="423"/>
        <v>0</v>
      </c>
      <c r="J4053" s="12"/>
    </row>
    <row r="4054" spans="2:10" x14ac:dyDescent="0.15">
      <c r="B4054" s="69" t="s">
        <v>18</v>
      </c>
      <c r="C4054" s="13">
        <v>28</v>
      </c>
      <c r="D4054" s="14">
        <f t="shared" si="424"/>
        <v>28</v>
      </c>
      <c r="E4054" s="5">
        <v>45875</v>
      </c>
      <c r="G4054" s="15"/>
      <c r="H4054" s="7"/>
      <c r="I4054" s="14">
        <f t="shared" si="423"/>
        <v>0</v>
      </c>
      <c r="J4054" s="12"/>
    </row>
    <row r="4055" spans="2:10" x14ac:dyDescent="0.15">
      <c r="B4055" s="69" t="s">
        <v>18</v>
      </c>
      <c r="C4055" s="13">
        <v>13</v>
      </c>
      <c r="D4055" s="14">
        <f t="shared" si="424"/>
        <v>13</v>
      </c>
      <c r="E4055" s="5">
        <v>45876</v>
      </c>
      <c r="G4055" s="15"/>
      <c r="H4055" s="7"/>
      <c r="I4055" s="14">
        <f t="shared" ref="I4055:I4058" si="425">SUM(H4055:H4055)</f>
        <v>0</v>
      </c>
      <c r="J4055" s="12"/>
    </row>
    <row r="4056" spans="2:10" x14ac:dyDescent="0.15">
      <c r="B4056" s="69" t="s">
        <v>18</v>
      </c>
      <c r="C4056" s="13">
        <v>20</v>
      </c>
      <c r="D4056" s="14">
        <f t="shared" si="424"/>
        <v>20</v>
      </c>
      <c r="E4056" s="5">
        <v>45877</v>
      </c>
      <c r="G4056" s="15"/>
      <c r="H4056" s="7"/>
      <c r="I4056" s="14">
        <f t="shared" si="425"/>
        <v>0</v>
      </c>
      <c r="J4056" s="12"/>
    </row>
    <row r="4057" spans="2:10" x14ac:dyDescent="0.15">
      <c r="B4057" s="69" t="s">
        <v>18</v>
      </c>
      <c r="C4057" s="13">
        <v>7</v>
      </c>
      <c r="D4057" s="14">
        <f t="shared" si="424"/>
        <v>7</v>
      </c>
      <c r="E4057" s="5">
        <v>45877</v>
      </c>
      <c r="G4057" s="15"/>
      <c r="H4057" s="7"/>
      <c r="I4057" s="14">
        <f t="shared" si="425"/>
        <v>0</v>
      </c>
      <c r="J4057" s="12"/>
    </row>
    <row r="4058" spans="2:10" x14ac:dyDescent="0.15">
      <c r="B4058" s="69" t="s">
        <v>189</v>
      </c>
      <c r="C4058" s="13">
        <v>1</v>
      </c>
      <c r="D4058" s="14">
        <f t="shared" si="424"/>
        <v>1</v>
      </c>
      <c r="E4058" s="5">
        <v>45876</v>
      </c>
      <c r="G4058" s="15"/>
      <c r="H4058" s="7"/>
      <c r="I4058" s="14">
        <f t="shared" si="425"/>
        <v>0</v>
      </c>
      <c r="J4058" s="12"/>
    </row>
    <row r="4059" spans="2:10" x14ac:dyDescent="0.15">
      <c r="B4059" s="69" t="s">
        <v>18</v>
      </c>
      <c r="C4059" s="13">
        <v>9</v>
      </c>
      <c r="D4059" s="14">
        <f t="shared" si="424"/>
        <v>9</v>
      </c>
      <c r="E4059" s="5">
        <v>45885</v>
      </c>
      <c r="G4059" s="15"/>
      <c r="H4059" s="7"/>
      <c r="I4059" s="14">
        <f t="shared" ref="I4059:I4060" si="426">SUM(H4059:H4059)</f>
        <v>0</v>
      </c>
      <c r="J4059" s="12"/>
    </row>
    <row r="4060" spans="2:10" x14ac:dyDescent="0.15">
      <c r="B4060" s="69" t="s">
        <v>18</v>
      </c>
      <c r="C4060" s="13">
        <v>9</v>
      </c>
      <c r="D4060" s="14">
        <f t="shared" si="424"/>
        <v>9</v>
      </c>
      <c r="E4060" s="5">
        <v>45889</v>
      </c>
      <c r="G4060" s="15"/>
      <c r="H4060" s="7"/>
      <c r="I4060" s="14">
        <f t="shared" si="426"/>
        <v>0</v>
      </c>
      <c r="J4060" s="12"/>
    </row>
    <row r="4061" spans="2:10" x14ac:dyDescent="0.15">
      <c r="B4061" s="69" t="s">
        <v>189</v>
      </c>
      <c r="C4061" s="13">
        <v>2</v>
      </c>
      <c r="D4061" s="14">
        <f t="shared" si="424"/>
        <v>2</v>
      </c>
      <c r="E4061" s="5">
        <v>45887</v>
      </c>
      <c r="G4061" s="4" t="s">
        <v>1107</v>
      </c>
      <c r="H4061" s="184"/>
      <c r="I4061" s="185">
        <f t="shared" ref="I4061:I4064" si="427">SUM(H4061:H4061)</f>
        <v>0</v>
      </c>
      <c r="J4061" s="186"/>
    </row>
    <row r="4062" spans="2:10" x14ac:dyDescent="0.15">
      <c r="B4062" s="69" t="s">
        <v>18</v>
      </c>
      <c r="C4062" s="13">
        <v>7</v>
      </c>
      <c r="D4062" s="14">
        <f t="shared" si="424"/>
        <v>7</v>
      </c>
      <c r="E4062" s="5">
        <v>45890</v>
      </c>
      <c r="G4062" s="15" t="s">
        <v>741</v>
      </c>
      <c r="H4062" s="7"/>
      <c r="I4062" s="14">
        <f t="shared" si="427"/>
        <v>0</v>
      </c>
      <c r="J4062" s="67" t="s">
        <v>1106</v>
      </c>
    </row>
    <row r="4063" spans="2:10" x14ac:dyDescent="0.15">
      <c r="B4063" s="69" t="s">
        <v>18</v>
      </c>
      <c r="C4063" s="13">
        <v>6</v>
      </c>
      <c r="D4063" s="14">
        <f t="shared" si="424"/>
        <v>6</v>
      </c>
      <c r="E4063" s="5">
        <v>45891</v>
      </c>
      <c r="G4063" s="4" t="s">
        <v>1083</v>
      </c>
      <c r="H4063" s="184"/>
      <c r="I4063" s="185">
        <f t="shared" si="427"/>
        <v>0</v>
      </c>
      <c r="J4063" s="186"/>
    </row>
    <row r="4064" spans="2:10" ht="14.25" thickBot="1" x14ac:dyDescent="0.2">
      <c r="B4064" s="69" t="s">
        <v>189</v>
      </c>
      <c r="C4064" s="7">
        <v>2</v>
      </c>
      <c r="D4064" s="14">
        <f t="shared" si="424"/>
        <v>2</v>
      </c>
      <c r="E4064" s="5">
        <v>45889</v>
      </c>
      <c r="G4064" s="15" t="s">
        <v>1082</v>
      </c>
      <c r="H4064" s="7"/>
      <c r="I4064" s="14">
        <f t="shared" si="427"/>
        <v>0</v>
      </c>
      <c r="J4064" s="67" t="s">
        <v>1086</v>
      </c>
    </row>
    <row r="4065" spans="2:10" ht="14.25" thickBot="1" x14ac:dyDescent="0.2">
      <c r="B4065" s="17" t="s">
        <v>2</v>
      </c>
      <c r="C4065" s="18">
        <f>SUM(C4041:C4064)</f>
        <v>268</v>
      </c>
      <c r="D4065" s="19">
        <f t="shared" si="424"/>
        <v>268</v>
      </c>
      <c r="E4065" s="20"/>
      <c r="G4065" s="17" t="s">
        <v>2</v>
      </c>
      <c r="H4065" s="18">
        <f>SUM(H4041:H4064)</f>
        <v>1750</v>
      </c>
      <c r="I4065" s="18">
        <f>SUM(I4041:I4064)</f>
        <v>1750</v>
      </c>
      <c r="J4065" s="20"/>
    </row>
    <row r="4066" spans="2:10" ht="14.25" thickBot="1" x14ac:dyDescent="0.2">
      <c r="B4066" s="46" t="s">
        <v>3</v>
      </c>
      <c r="C4066" s="52">
        <f>C4040-C4065</f>
        <v>474</v>
      </c>
      <c r="D4066" s="48">
        <f>D4040-D4065</f>
        <v>474</v>
      </c>
      <c r="E4066" s="49"/>
      <c r="G4066" s="46" t="s">
        <v>3</v>
      </c>
      <c r="H4066" s="52">
        <f>H4040-H4065</f>
        <v>2293</v>
      </c>
      <c r="I4066" s="52">
        <f>I4040-I4065</f>
        <v>2293</v>
      </c>
      <c r="J4066" s="49"/>
    </row>
    <row r="4069" spans="2:10" ht="18.75" x14ac:dyDescent="0.2">
      <c r="B4069" s="26" t="s">
        <v>7</v>
      </c>
      <c r="G4069" s="26" t="s">
        <v>35</v>
      </c>
    </row>
    <row r="4070" spans="2:10" ht="14.25" thickBot="1" x14ac:dyDescent="0.2">
      <c r="J4070">
        <v>360</v>
      </c>
    </row>
    <row r="4071" spans="2:10" ht="14.25" thickBot="1" x14ac:dyDescent="0.2">
      <c r="B4071" s="1"/>
      <c r="C4071" s="1"/>
      <c r="D4071" s="53" t="s">
        <v>0</v>
      </c>
      <c r="E4071" s="1" t="s">
        <v>4</v>
      </c>
      <c r="G4071" s="1"/>
      <c r="H4071" s="1"/>
      <c r="I4071" s="53" t="s">
        <v>0</v>
      </c>
      <c r="J4071" s="1" t="s">
        <v>4</v>
      </c>
    </row>
    <row r="4072" spans="2:10" x14ac:dyDescent="0.15">
      <c r="B4072" s="42" t="s">
        <v>5</v>
      </c>
      <c r="C4072" s="43">
        <f>C4066</f>
        <v>474</v>
      </c>
      <c r="D4072" s="44">
        <f>SUM(C4072:C4072)</f>
        <v>474</v>
      </c>
      <c r="E4072" s="45"/>
      <c r="G4072" s="42" t="s">
        <v>5</v>
      </c>
      <c r="H4072" s="43">
        <f>H4066</f>
        <v>2293</v>
      </c>
      <c r="I4072" s="44">
        <f>I4066</f>
        <v>2293</v>
      </c>
      <c r="J4072" s="45"/>
    </row>
    <row r="4073" spans="2:10" x14ac:dyDescent="0.15">
      <c r="B4073" s="4" t="s">
        <v>895</v>
      </c>
      <c r="C4073" s="13">
        <v>15</v>
      </c>
      <c r="D4073" s="14">
        <f t="shared" ref="D4073:D4075" si="428">SUM(C4073:C4073)</f>
        <v>15</v>
      </c>
      <c r="E4073" s="12">
        <v>45903</v>
      </c>
      <c r="G4073" s="192" t="s">
        <v>6</v>
      </c>
      <c r="H4073" s="94"/>
      <c r="I4073" s="96">
        <f>SUM(H4073:H4073)</f>
        <v>0</v>
      </c>
      <c r="J4073" s="189"/>
    </row>
    <row r="4074" spans="2:10" x14ac:dyDescent="0.15">
      <c r="B4074" s="4" t="s">
        <v>895</v>
      </c>
      <c r="C4074" s="13">
        <v>1</v>
      </c>
      <c r="D4074" s="14">
        <f t="shared" si="428"/>
        <v>1</v>
      </c>
      <c r="E4074" s="12">
        <v>45917</v>
      </c>
      <c r="G4074" s="192" t="s">
        <v>6</v>
      </c>
      <c r="H4074" s="94"/>
      <c r="I4074" s="96">
        <f>SUM(H4074:H4074)</f>
        <v>0</v>
      </c>
      <c r="J4074" s="189"/>
    </row>
    <row r="4075" spans="2:10" ht="14.25" thickBot="1" x14ac:dyDescent="0.2">
      <c r="B4075" s="4" t="s">
        <v>6</v>
      </c>
      <c r="C4075" s="13"/>
      <c r="D4075" s="14">
        <f t="shared" si="428"/>
        <v>0</v>
      </c>
      <c r="E4075" s="12"/>
      <c r="G4075" s="192" t="s">
        <v>6</v>
      </c>
      <c r="H4075" s="94"/>
      <c r="I4075" s="96">
        <f t="shared" ref="I4075" si="429">SUM(H4075:H4075)</f>
        <v>0</v>
      </c>
      <c r="J4075" s="189"/>
    </row>
    <row r="4076" spans="2:10" ht="14.25" thickBot="1" x14ac:dyDescent="0.2">
      <c r="B4076" s="46" t="s">
        <v>1</v>
      </c>
      <c r="C4076" s="48">
        <f>SUM(C4072:C4075)</f>
        <v>490</v>
      </c>
      <c r="D4076" s="48">
        <f>SUM(D4072:D4075)</f>
        <v>490</v>
      </c>
      <c r="E4076" s="51"/>
      <c r="G4076" s="46" t="s">
        <v>1</v>
      </c>
      <c r="H4076" s="50">
        <f>SUM(H4072:H4075)</f>
        <v>2293</v>
      </c>
      <c r="I4076" s="50">
        <f>SUM(I4072:I4075)</f>
        <v>2293</v>
      </c>
      <c r="J4076" s="51"/>
    </row>
    <row r="4077" spans="2:10" x14ac:dyDescent="0.15">
      <c r="B4077" s="69" t="s">
        <v>18</v>
      </c>
      <c r="C4077" s="13">
        <v>5</v>
      </c>
      <c r="D4077" s="14">
        <f t="shared" ref="D4077:D4101" si="430">SUM(C4077:C4077)</f>
        <v>5</v>
      </c>
      <c r="E4077" s="5">
        <v>45891</v>
      </c>
      <c r="F4077" s="25"/>
      <c r="G4077" s="15" t="s">
        <v>1126</v>
      </c>
      <c r="H4077" s="7">
        <v>350</v>
      </c>
      <c r="I4077" s="14">
        <f t="shared" ref="I4077:I4080" si="431">SUM(H4077:H4077)</f>
        <v>350</v>
      </c>
      <c r="J4077" s="12">
        <v>45911</v>
      </c>
    </row>
    <row r="4078" spans="2:10" x14ac:dyDescent="0.15">
      <c r="B4078" s="69" t="s">
        <v>18</v>
      </c>
      <c r="C4078" s="13">
        <v>9</v>
      </c>
      <c r="D4078" s="14">
        <f t="shared" si="430"/>
        <v>9</v>
      </c>
      <c r="E4078" s="5">
        <v>45894</v>
      </c>
      <c r="G4078" s="15" t="s">
        <v>1128</v>
      </c>
      <c r="H4078" s="7">
        <v>350</v>
      </c>
      <c r="I4078" s="14">
        <f t="shared" si="431"/>
        <v>350</v>
      </c>
      <c r="J4078" s="12">
        <v>45918</v>
      </c>
    </row>
    <row r="4079" spans="2:10" x14ac:dyDescent="0.15">
      <c r="B4079" s="69" t="s">
        <v>18</v>
      </c>
      <c r="C4079" s="13">
        <v>22</v>
      </c>
      <c r="D4079" s="14">
        <f t="shared" si="430"/>
        <v>22</v>
      </c>
      <c r="E4079" s="5">
        <v>45896</v>
      </c>
      <c r="G4079" s="15"/>
      <c r="H4079" s="7"/>
      <c r="I4079" s="14">
        <f t="shared" si="431"/>
        <v>0</v>
      </c>
      <c r="J4079" s="12"/>
    </row>
    <row r="4080" spans="2:10" x14ac:dyDescent="0.15">
      <c r="B4080" s="69" t="s">
        <v>18</v>
      </c>
      <c r="C4080" s="13">
        <v>3</v>
      </c>
      <c r="D4080" s="14">
        <f t="shared" si="430"/>
        <v>3</v>
      </c>
      <c r="E4080" s="5">
        <v>45897</v>
      </c>
      <c r="G4080" s="15"/>
      <c r="H4080" s="7"/>
      <c r="I4080" s="14">
        <f t="shared" si="431"/>
        <v>0</v>
      </c>
      <c r="J4080" s="12"/>
    </row>
    <row r="4081" spans="2:10" x14ac:dyDescent="0.15">
      <c r="B4081" s="69" t="s">
        <v>18</v>
      </c>
      <c r="C4081" s="13">
        <v>1</v>
      </c>
      <c r="D4081" s="14">
        <f t="shared" si="430"/>
        <v>1</v>
      </c>
      <c r="E4081" s="5">
        <v>45898</v>
      </c>
      <c r="G4081" s="15"/>
      <c r="H4081" s="7"/>
      <c r="I4081" s="14">
        <f t="shared" ref="I4081:I4100" si="432">SUM(H4081:H4081)</f>
        <v>0</v>
      </c>
      <c r="J4081" s="12"/>
    </row>
    <row r="4082" spans="2:10" x14ac:dyDescent="0.15">
      <c r="B4082" s="69" t="s">
        <v>18</v>
      </c>
      <c r="C4082" s="13">
        <v>12</v>
      </c>
      <c r="D4082" s="14">
        <f t="shared" si="430"/>
        <v>12</v>
      </c>
      <c r="E4082" s="5">
        <v>45898</v>
      </c>
      <c r="G4082" s="15"/>
      <c r="H4082" s="7"/>
      <c r="I4082" s="14">
        <f t="shared" si="432"/>
        <v>0</v>
      </c>
      <c r="J4082" s="12"/>
    </row>
    <row r="4083" spans="2:10" x14ac:dyDescent="0.15">
      <c r="B4083" s="69" t="s">
        <v>18</v>
      </c>
      <c r="C4083" s="13">
        <v>1</v>
      </c>
      <c r="D4083" s="14">
        <f t="shared" si="430"/>
        <v>1</v>
      </c>
      <c r="E4083" s="5">
        <v>45901</v>
      </c>
      <c r="G4083" s="15"/>
      <c r="H4083" s="7"/>
      <c r="I4083" s="14">
        <f t="shared" si="432"/>
        <v>0</v>
      </c>
      <c r="J4083" s="12"/>
    </row>
    <row r="4084" spans="2:10" x14ac:dyDescent="0.15">
      <c r="B4084" s="69" t="s">
        <v>18</v>
      </c>
      <c r="C4084" s="13">
        <v>4</v>
      </c>
      <c r="D4084" s="14">
        <f t="shared" si="430"/>
        <v>4</v>
      </c>
      <c r="E4084" s="5">
        <v>45903</v>
      </c>
      <c r="G4084" s="15"/>
      <c r="H4084" s="7"/>
      <c r="I4084" s="14">
        <f t="shared" si="432"/>
        <v>0</v>
      </c>
      <c r="J4084" s="12"/>
    </row>
    <row r="4085" spans="2:10" x14ac:dyDescent="0.15">
      <c r="B4085" s="69" t="s">
        <v>18</v>
      </c>
      <c r="C4085" s="13">
        <v>9</v>
      </c>
      <c r="D4085" s="14">
        <f t="shared" si="430"/>
        <v>9</v>
      </c>
      <c r="E4085" s="5">
        <v>45904</v>
      </c>
      <c r="G4085" s="15"/>
      <c r="H4085" s="7"/>
      <c r="I4085" s="14">
        <f t="shared" si="432"/>
        <v>0</v>
      </c>
      <c r="J4085" s="12"/>
    </row>
    <row r="4086" spans="2:10" x14ac:dyDescent="0.15">
      <c r="B4086" s="69" t="s">
        <v>18</v>
      </c>
      <c r="C4086" s="13">
        <v>11</v>
      </c>
      <c r="D4086" s="14">
        <f t="shared" si="430"/>
        <v>11</v>
      </c>
      <c r="E4086" s="5">
        <v>45905</v>
      </c>
      <c r="G4086" s="15"/>
      <c r="H4086" s="7"/>
      <c r="I4086" s="14">
        <f t="shared" si="432"/>
        <v>0</v>
      </c>
      <c r="J4086" s="12"/>
    </row>
    <row r="4087" spans="2:10" x14ac:dyDescent="0.15">
      <c r="B4087" s="69" t="s">
        <v>189</v>
      </c>
      <c r="C4087" s="13">
        <f>1+4+1</f>
        <v>6</v>
      </c>
      <c r="D4087" s="14">
        <f t="shared" si="430"/>
        <v>6</v>
      </c>
      <c r="E4087" s="5">
        <v>45906</v>
      </c>
      <c r="G4087" s="15"/>
      <c r="H4087" s="7"/>
      <c r="I4087" s="14">
        <f t="shared" si="432"/>
        <v>0</v>
      </c>
      <c r="J4087" s="12"/>
    </row>
    <row r="4088" spans="2:10" x14ac:dyDescent="0.15">
      <c r="B4088" s="69" t="s">
        <v>18</v>
      </c>
      <c r="C4088" s="13">
        <v>2</v>
      </c>
      <c r="D4088" s="14">
        <f t="shared" si="430"/>
        <v>2</v>
      </c>
      <c r="E4088" s="5">
        <v>45910</v>
      </c>
      <c r="G4088" s="15"/>
      <c r="H4088" s="7"/>
      <c r="I4088" s="14">
        <f t="shared" si="432"/>
        <v>0</v>
      </c>
      <c r="J4088" s="12"/>
    </row>
    <row r="4089" spans="2:10" x14ac:dyDescent="0.15">
      <c r="B4089" s="69" t="s">
        <v>18</v>
      </c>
      <c r="C4089" s="13">
        <v>1</v>
      </c>
      <c r="D4089" s="14">
        <f t="shared" si="430"/>
        <v>1</v>
      </c>
      <c r="E4089" s="5">
        <v>45911</v>
      </c>
      <c r="G4089" s="15"/>
      <c r="H4089" s="7"/>
      <c r="I4089" s="14">
        <f t="shared" si="432"/>
        <v>0</v>
      </c>
      <c r="J4089" s="12"/>
    </row>
    <row r="4090" spans="2:10" x14ac:dyDescent="0.15">
      <c r="B4090" s="69" t="s">
        <v>189</v>
      </c>
      <c r="C4090" s="13">
        <v>4</v>
      </c>
      <c r="D4090" s="14">
        <f t="shared" si="430"/>
        <v>4</v>
      </c>
      <c r="E4090" s="5">
        <v>45909</v>
      </c>
      <c r="G4090" s="15"/>
      <c r="H4090" s="7"/>
      <c r="I4090" s="14">
        <f t="shared" si="432"/>
        <v>0</v>
      </c>
      <c r="J4090" s="12"/>
    </row>
    <row r="4091" spans="2:10" x14ac:dyDescent="0.15">
      <c r="B4091" s="69" t="s">
        <v>1127</v>
      </c>
      <c r="C4091" s="13">
        <v>1</v>
      </c>
      <c r="D4091" s="14">
        <f t="shared" si="430"/>
        <v>1</v>
      </c>
      <c r="E4091" s="5">
        <v>45912</v>
      </c>
      <c r="G4091" s="15"/>
      <c r="H4091" s="7"/>
      <c r="I4091" s="14">
        <f t="shared" si="432"/>
        <v>0</v>
      </c>
      <c r="J4091" s="12"/>
    </row>
    <row r="4092" spans="2:10" x14ac:dyDescent="0.15">
      <c r="B4092" s="69" t="s">
        <v>189</v>
      </c>
      <c r="C4092" s="13">
        <v>6</v>
      </c>
      <c r="D4092" s="14">
        <f t="shared" si="430"/>
        <v>6</v>
      </c>
      <c r="E4092" s="5">
        <v>45911</v>
      </c>
      <c r="G4092" s="15"/>
      <c r="H4092" s="7"/>
      <c r="I4092" s="14">
        <f t="shared" si="432"/>
        <v>0</v>
      </c>
      <c r="J4092" s="12"/>
    </row>
    <row r="4093" spans="2:10" x14ac:dyDescent="0.15">
      <c r="B4093" s="69" t="s">
        <v>18</v>
      </c>
      <c r="C4093" s="13">
        <v>5</v>
      </c>
      <c r="D4093" s="14">
        <f t="shared" si="430"/>
        <v>5</v>
      </c>
      <c r="E4093" s="5">
        <v>45916</v>
      </c>
      <c r="G4093" s="15"/>
      <c r="H4093" s="7"/>
      <c r="I4093" s="14">
        <f t="shared" si="432"/>
        <v>0</v>
      </c>
      <c r="J4093" s="12"/>
    </row>
    <row r="4094" spans="2:10" x14ac:dyDescent="0.15">
      <c r="B4094" s="69" t="s">
        <v>189</v>
      </c>
      <c r="C4094" s="13">
        <v>1</v>
      </c>
      <c r="D4094" s="14">
        <f t="shared" si="430"/>
        <v>1</v>
      </c>
      <c r="E4094" s="5">
        <v>45912</v>
      </c>
      <c r="G4094" s="15"/>
      <c r="H4094" s="7"/>
      <c r="I4094" s="14">
        <f t="shared" si="432"/>
        <v>0</v>
      </c>
      <c r="J4094" s="12"/>
    </row>
    <row r="4095" spans="2:10" x14ac:dyDescent="0.15">
      <c r="B4095" s="69" t="s">
        <v>18</v>
      </c>
      <c r="C4095" s="13">
        <v>1</v>
      </c>
      <c r="D4095" s="14">
        <f t="shared" si="430"/>
        <v>1</v>
      </c>
      <c r="E4095" s="5">
        <v>45918</v>
      </c>
      <c r="G4095" s="15"/>
      <c r="H4095" s="7"/>
      <c r="I4095" s="14">
        <f t="shared" ref="I4095:I4098" si="433">SUM(H4095:H4095)</f>
        <v>0</v>
      </c>
      <c r="J4095" s="12"/>
    </row>
    <row r="4096" spans="2:10" x14ac:dyDescent="0.15">
      <c r="B4096" s="69" t="s">
        <v>189</v>
      </c>
      <c r="C4096" s="13">
        <v>4</v>
      </c>
      <c r="D4096" s="14">
        <f t="shared" si="430"/>
        <v>4</v>
      </c>
      <c r="E4096" s="5">
        <v>45916</v>
      </c>
      <c r="G4096" s="15"/>
      <c r="H4096" s="7"/>
      <c r="I4096" s="14">
        <f t="shared" si="433"/>
        <v>0</v>
      </c>
      <c r="J4096" s="12"/>
    </row>
    <row r="4097" spans="2:12" x14ac:dyDescent="0.15">
      <c r="B4097" s="69" t="s">
        <v>18</v>
      </c>
      <c r="C4097" s="13">
        <v>2</v>
      </c>
      <c r="D4097" s="14">
        <f t="shared" si="430"/>
        <v>2</v>
      </c>
      <c r="E4097" s="5">
        <v>45919</v>
      </c>
      <c r="G4097" s="15"/>
      <c r="H4097" s="7"/>
      <c r="I4097" s="14">
        <f t="shared" si="433"/>
        <v>0</v>
      </c>
      <c r="J4097" s="12"/>
    </row>
    <row r="4098" spans="2:12" x14ac:dyDescent="0.15">
      <c r="B4098" s="69" t="s">
        <v>189</v>
      </c>
      <c r="C4098" s="13">
        <v>1</v>
      </c>
      <c r="D4098" s="14">
        <f t="shared" si="430"/>
        <v>1</v>
      </c>
      <c r="E4098" s="5">
        <v>45917</v>
      </c>
      <c r="G4098" s="15"/>
      <c r="H4098" s="7"/>
      <c r="I4098" s="14">
        <f t="shared" si="433"/>
        <v>0</v>
      </c>
      <c r="J4098" s="12"/>
    </row>
    <row r="4099" spans="2:12" x14ac:dyDescent="0.15">
      <c r="B4099" s="69" t="s">
        <v>18</v>
      </c>
      <c r="C4099" s="13">
        <v>6</v>
      </c>
      <c r="D4099" s="14">
        <f t="shared" si="430"/>
        <v>6</v>
      </c>
      <c r="E4099" s="5">
        <v>45919</v>
      </c>
      <c r="G4099" s="4" t="s">
        <v>1101</v>
      </c>
      <c r="H4099" s="184"/>
      <c r="I4099" s="185">
        <f t="shared" si="432"/>
        <v>0</v>
      </c>
      <c r="J4099" s="186"/>
    </row>
    <row r="4100" spans="2:12" ht="14.25" thickBot="1" x14ac:dyDescent="0.2">
      <c r="B4100" s="69" t="s">
        <v>18</v>
      </c>
      <c r="C4100" s="7">
        <v>2</v>
      </c>
      <c r="D4100" s="14">
        <f t="shared" si="430"/>
        <v>2</v>
      </c>
      <c r="E4100" s="5">
        <v>45922</v>
      </c>
      <c r="G4100" s="15" t="s">
        <v>1108</v>
      </c>
      <c r="H4100" s="7"/>
      <c r="I4100" s="14">
        <f t="shared" si="432"/>
        <v>0</v>
      </c>
      <c r="J4100" t="s">
        <v>1102</v>
      </c>
    </row>
    <row r="4101" spans="2:12" ht="14.25" thickBot="1" x14ac:dyDescent="0.2">
      <c r="B4101" s="17" t="s">
        <v>2</v>
      </c>
      <c r="C4101" s="18">
        <f>SUM(C4077:C4100)</f>
        <v>119</v>
      </c>
      <c r="D4101" s="19">
        <f t="shared" si="430"/>
        <v>119</v>
      </c>
      <c r="E4101" s="20"/>
      <c r="G4101" s="17" t="s">
        <v>2</v>
      </c>
      <c r="H4101" s="18">
        <f>SUM(H4077:H4100)</f>
        <v>700</v>
      </c>
      <c r="I4101" s="18">
        <f>SUM(I4077:I4100)</f>
        <v>700</v>
      </c>
      <c r="J4101" s="20"/>
    </row>
    <row r="4102" spans="2:12" ht="14.25" thickBot="1" x14ac:dyDescent="0.2">
      <c r="B4102" s="46" t="s">
        <v>3</v>
      </c>
      <c r="C4102" s="52">
        <f>C4076-C4101</f>
        <v>371</v>
      </c>
      <c r="D4102" s="48">
        <f>D4076-D4101</f>
        <v>371</v>
      </c>
      <c r="E4102" s="49"/>
      <c r="G4102" s="46" t="s">
        <v>3</v>
      </c>
      <c r="H4102" s="52">
        <f>H4076-H4101</f>
        <v>1593</v>
      </c>
      <c r="I4102" s="52">
        <f>I4076-I4101</f>
        <v>1593</v>
      </c>
      <c r="J4102" s="49"/>
      <c r="L4102" t="s">
        <v>1125</v>
      </c>
    </row>
    <row r="4105" spans="2:12" ht="18.75" x14ac:dyDescent="0.2">
      <c r="B4105" s="26" t="s">
        <v>7</v>
      </c>
      <c r="G4105" s="26" t="s">
        <v>35</v>
      </c>
    </row>
    <row r="4106" spans="2:12" ht="14.25" thickBot="1" x14ac:dyDescent="0.2">
      <c r="J4106">
        <v>360</v>
      </c>
    </row>
    <row r="4107" spans="2:12" ht="14.25" thickBot="1" x14ac:dyDescent="0.2">
      <c r="B4107" s="1"/>
      <c r="C4107" s="1"/>
      <c r="D4107" s="53" t="s">
        <v>0</v>
      </c>
      <c r="E4107" s="1" t="s">
        <v>4</v>
      </c>
      <c r="G4107" s="1"/>
      <c r="H4107" s="1"/>
      <c r="I4107" s="53" t="s">
        <v>0</v>
      </c>
      <c r="J4107" s="1" t="s">
        <v>4</v>
      </c>
    </row>
    <row r="4108" spans="2:12" x14ac:dyDescent="0.15">
      <c r="B4108" s="42" t="s">
        <v>5</v>
      </c>
      <c r="C4108" s="43">
        <f>C4102</f>
        <v>371</v>
      </c>
      <c r="D4108" s="44">
        <f>SUM(C4108:C4108)</f>
        <v>371</v>
      </c>
      <c r="E4108" s="45"/>
      <c r="G4108" s="42" t="s">
        <v>5</v>
      </c>
      <c r="H4108" s="43">
        <f>H4102</f>
        <v>1593</v>
      </c>
      <c r="I4108" s="44">
        <f>I4102</f>
        <v>1593</v>
      </c>
      <c r="J4108" s="45"/>
    </row>
    <row r="4109" spans="2:12" x14ac:dyDescent="0.15">
      <c r="B4109" s="4" t="s">
        <v>76</v>
      </c>
      <c r="C4109" s="13">
        <v>13</v>
      </c>
      <c r="D4109" s="14">
        <f t="shared" ref="D4109:D4111" si="434">SUM(C4109:C4109)</f>
        <v>13</v>
      </c>
      <c r="E4109" s="12">
        <v>45945</v>
      </c>
      <c r="G4109" s="192" t="s">
        <v>6</v>
      </c>
      <c r="H4109" s="94"/>
      <c r="I4109" s="96">
        <f>SUM(H4109:H4109)</f>
        <v>0</v>
      </c>
      <c r="J4109" s="189"/>
    </row>
    <row r="4110" spans="2:12" x14ac:dyDescent="0.15">
      <c r="B4110" s="4" t="s">
        <v>76</v>
      </c>
      <c r="C4110" s="13">
        <v>2</v>
      </c>
      <c r="D4110" s="14">
        <f t="shared" si="434"/>
        <v>2</v>
      </c>
      <c r="E4110" s="12">
        <v>45947</v>
      </c>
      <c r="G4110" s="192" t="s">
        <v>6</v>
      </c>
      <c r="H4110" s="94"/>
      <c r="I4110" s="96">
        <f>SUM(H4110:H4110)</f>
        <v>0</v>
      </c>
      <c r="J4110" s="189"/>
    </row>
    <row r="4111" spans="2:12" ht="14.25" thickBot="1" x14ac:dyDescent="0.2">
      <c r="B4111" s="4" t="s">
        <v>6</v>
      </c>
      <c r="C4111" s="13"/>
      <c r="D4111" s="14">
        <f t="shared" si="434"/>
        <v>0</v>
      </c>
      <c r="E4111" s="12"/>
      <c r="G4111" s="192" t="s">
        <v>6</v>
      </c>
      <c r="H4111" s="94"/>
      <c r="I4111" s="96">
        <f t="shared" ref="I4111" si="435">SUM(H4111:H4111)</f>
        <v>0</v>
      </c>
      <c r="J4111" s="189"/>
    </row>
    <row r="4112" spans="2:12" ht="14.25" thickBot="1" x14ac:dyDescent="0.2">
      <c r="B4112" s="46" t="s">
        <v>1</v>
      </c>
      <c r="C4112" s="48">
        <f>SUM(C4108:C4111)</f>
        <v>386</v>
      </c>
      <c r="D4112" s="48">
        <f>SUM(D4108:D4111)</f>
        <v>386</v>
      </c>
      <c r="E4112" s="51"/>
      <c r="G4112" s="46" t="s">
        <v>1</v>
      </c>
      <c r="H4112" s="50">
        <f>SUM(H4108:H4111)</f>
        <v>1593</v>
      </c>
      <c r="I4112" s="50">
        <f>SUM(I4108:I4111)</f>
        <v>1593</v>
      </c>
      <c r="J4112" s="51"/>
    </row>
    <row r="4113" spans="2:10" x14ac:dyDescent="0.15">
      <c r="B4113" s="69" t="s">
        <v>189</v>
      </c>
      <c r="C4113" s="13">
        <v>1</v>
      </c>
      <c r="D4113" s="14">
        <f t="shared" ref="D4113:D4137" si="436">SUM(C4113:C4113)</f>
        <v>1</v>
      </c>
      <c r="E4113" s="5">
        <v>45919</v>
      </c>
      <c r="F4113" s="25"/>
      <c r="G4113" s="15"/>
      <c r="H4113" s="7"/>
      <c r="I4113" s="14">
        <f t="shared" ref="I4113:I4114" si="437">SUM(H4113:H4113)</f>
        <v>0</v>
      </c>
      <c r="J4113" s="12"/>
    </row>
    <row r="4114" spans="2:10" x14ac:dyDescent="0.15">
      <c r="B4114" s="69" t="s">
        <v>18</v>
      </c>
      <c r="C4114" s="13">
        <v>1</v>
      </c>
      <c r="D4114" s="14">
        <f t="shared" si="436"/>
        <v>1</v>
      </c>
      <c r="E4114" s="5">
        <v>45924</v>
      </c>
      <c r="G4114" s="15"/>
      <c r="H4114" s="7"/>
      <c r="I4114" s="14">
        <f t="shared" si="437"/>
        <v>0</v>
      </c>
      <c r="J4114" s="12"/>
    </row>
    <row r="4115" spans="2:10" x14ac:dyDescent="0.15">
      <c r="B4115" s="69" t="s">
        <v>18</v>
      </c>
      <c r="C4115" s="13">
        <v>4</v>
      </c>
      <c r="D4115" s="14">
        <f t="shared" si="436"/>
        <v>4</v>
      </c>
      <c r="E4115" s="5">
        <v>45926</v>
      </c>
      <c r="G4115" s="15"/>
      <c r="H4115" s="7"/>
      <c r="I4115" s="14">
        <f t="shared" ref="I4115:I4134" si="438">SUM(H4115:H4115)</f>
        <v>0</v>
      </c>
      <c r="J4115" s="12"/>
    </row>
    <row r="4116" spans="2:10" x14ac:dyDescent="0.15">
      <c r="B4116" s="69" t="s">
        <v>189</v>
      </c>
      <c r="C4116" s="13">
        <v>2</v>
      </c>
      <c r="D4116" s="14">
        <f t="shared" si="436"/>
        <v>2</v>
      </c>
      <c r="E4116" s="5">
        <v>45924</v>
      </c>
      <c r="G4116" s="15"/>
      <c r="H4116" s="7"/>
      <c r="I4116" s="14">
        <f t="shared" si="438"/>
        <v>0</v>
      </c>
      <c r="J4116" s="12"/>
    </row>
    <row r="4117" spans="2:10" x14ac:dyDescent="0.15">
      <c r="B4117" s="69" t="s">
        <v>18</v>
      </c>
      <c r="C4117" s="13">
        <v>1</v>
      </c>
      <c r="D4117" s="14">
        <f t="shared" si="436"/>
        <v>1</v>
      </c>
      <c r="E4117" s="5">
        <v>45931</v>
      </c>
      <c r="G4117" s="15"/>
      <c r="H4117" s="7"/>
      <c r="I4117" s="14">
        <f t="shared" si="438"/>
        <v>0</v>
      </c>
      <c r="J4117" s="12"/>
    </row>
    <row r="4118" spans="2:10" x14ac:dyDescent="0.15">
      <c r="B4118" s="69" t="s">
        <v>18</v>
      </c>
      <c r="C4118" s="13">
        <v>7</v>
      </c>
      <c r="D4118" s="14">
        <f t="shared" si="436"/>
        <v>7</v>
      </c>
      <c r="E4118" s="5">
        <v>45932</v>
      </c>
      <c r="G4118" s="15"/>
      <c r="H4118" s="7"/>
      <c r="I4118" s="14">
        <f t="shared" si="438"/>
        <v>0</v>
      </c>
      <c r="J4118" s="12"/>
    </row>
    <row r="4119" spans="2:10" x14ac:dyDescent="0.15">
      <c r="B4119" s="69" t="s">
        <v>18</v>
      </c>
      <c r="C4119" s="13">
        <v>1</v>
      </c>
      <c r="D4119" s="14">
        <f t="shared" si="436"/>
        <v>1</v>
      </c>
      <c r="E4119" s="5">
        <v>45933</v>
      </c>
      <c r="G4119" s="15"/>
      <c r="H4119" s="7"/>
      <c r="I4119" s="14">
        <f t="shared" si="438"/>
        <v>0</v>
      </c>
      <c r="J4119" s="12"/>
    </row>
    <row r="4120" spans="2:10" x14ac:dyDescent="0.15">
      <c r="B4120" s="69" t="s">
        <v>18</v>
      </c>
      <c r="C4120" s="13">
        <v>1</v>
      </c>
      <c r="D4120" s="14">
        <f t="shared" si="436"/>
        <v>1</v>
      </c>
      <c r="E4120" s="5">
        <v>45933</v>
      </c>
      <c r="G4120" s="15"/>
      <c r="H4120" s="7"/>
      <c r="I4120" s="14">
        <f t="shared" si="438"/>
        <v>0</v>
      </c>
      <c r="J4120" s="12"/>
    </row>
    <row r="4121" spans="2:10" x14ac:dyDescent="0.15">
      <c r="B4121" s="69" t="s">
        <v>18</v>
      </c>
      <c r="C4121" s="13">
        <v>2</v>
      </c>
      <c r="D4121" s="14">
        <f t="shared" si="436"/>
        <v>2</v>
      </c>
      <c r="E4121" s="5">
        <v>45936</v>
      </c>
      <c r="G4121" s="15"/>
      <c r="H4121" s="7"/>
      <c r="I4121" s="14">
        <f t="shared" si="438"/>
        <v>0</v>
      </c>
      <c r="J4121" s="12"/>
    </row>
    <row r="4122" spans="2:10" x14ac:dyDescent="0.15">
      <c r="B4122" s="69" t="s">
        <v>189</v>
      </c>
      <c r="C4122" s="13">
        <v>2</v>
      </c>
      <c r="D4122" s="14">
        <f t="shared" si="436"/>
        <v>2</v>
      </c>
      <c r="E4122" s="5">
        <v>45934</v>
      </c>
      <c r="G4122" s="15"/>
      <c r="H4122" s="7"/>
      <c r="I4122" s="14">
        <f t="shared" si="438"/>
        <v>0</v>
      </c>
      <c r="J4122" s="12"/>
    </row>
    <row r="4123" spans="2:10" x14ac:dyDescent="0.15">
      <c r="B4123" s="69" t="s">
        <v>18</v>
      </c>
      <c r="C4123" s="13">
        <v>2</v>
      </c>
      <c r="D4123" s="14">
        <f t="shared" si="436"/>
        <v>2</v>
      </c>
      <c r="E4123" s="5">
        <v>45938</v>
      </c>
      <c r="G4123" s="15"/>
      <c r="H4123" s="7"/>
      <c r="I4123" s="14">
        <f t="shared" si="438"/>
        <v>0</v>
      </c>
      <c r="J4123" s="12"/>
    </row>
    <row r="4124" spans="2:10" x14ac:dyDescent="0.15">
      <c r="B4124" s="69" t="s">
        <v>189</v>
      </c>
      <c r="C4124" s="13">
        <f>2+1</f>
        <v>3</v>
      </c>
      <c r="D4124" s="14">
        <f t="shared" si="436"/>
        <v>3</v>
      </c>
      <c r="E4124" s="5">
        <v>45936</v>
      </c>
      <c r="G4124" s="15"/>
      <c r="H4124" s="7"/>
      <c r="I4124" s="14">
        <f t="shared" si="438"/>
        <v>0</v>
      </c>
      <c r="J4124" s="12"/>
    </row>
    <row r="4125" spans="2:10" x14ac:dyDescent="0.15">
      <c r="B4125" s="69" t="s">
        <v>18</v>
      </c>
      <c r="C4125" s="13">
        <v>2</v>
      </c>
      <c r="D4125" s="14">
        <f t="shared" si="436"/>
        <v>2</v>
      </c>
      <c r="E4125" s="5">
        <v>45939</v>
      </c>
      <c r="G4125" s="15"/>
      <c r="H4125" s="7"/>
      <c r="I4125" s="14">
        <f t="shared" si="438"/>
        <v>0</v>
      </c>
      <c r="J4125" s="12"/>
    </row>
    <row r="4126" spans="2:10" x14ac:dyDescent="0.15">
      <c r="B4126" s="69" t="s">
        <v>189</v>
      </c>
      <c r="C4126" s="13">
        <v>1</v>
      </c>
      <c r="D4126" s="14">
        <f t="shared" si="436"/>
        <v>1</v>
      </c>
      <c r="E4126" s="5">
        <v>45937</v>
      </c>
      <c r="G4126" s="15"/>
      <c r="H4126" s="7"/>
      <c r="I4126" s="14">
        <f t="shared" si="438"/>
        <v>0</v>
      </c>
      <c r="J4126" s="12"/>
    </row>
    <row r="4127" spans="2:10" x14ac:dyDescent="0.15">
      <c r="B4127" s="69" t="s">
        <v>18</v>
      </c>
      <c r="C4127" s="13">
        <v>1</v>
      </c>
      <c r="D4127" s="14">
        <f t="shared" si="436"/>
        <v>1</v>
      </c>
      <c r="E4127" s="5">
        <v>45940</v>
      </c>
      <c r="G4127" s="15"/>
      <c r="H4127" s="7"/>
      <c r="I4127" s="14">
        <f t="shared" si="438"/>
        <v>0</v>
      </c>
      <c r="J4127" s="12"/>
    </row>
    <row r="4128" spans="2:10" x14ac:dyDescent="0.15">
      <c r="B4128" s="69" t="s">
        <v>18</v>
      </c>
      <c r="C4128" s="13">
        <v>1</v>
      </c>
      <c r="D4128" s="14">
        <f t="shared" si="436"/>
        <v>1</v>
      </c>
      <c r="E4128" s="5">
        <v>45944</v>
      </c>
      <c r="G4128" s="15"/>
      <c r="H4128" s="7"/>
      <c r="I4128" s="14">
        <f t="shared" si="438"/>
        <v>0</v>
      </c>
      <c r="J4128" s="12"/>
    </row>
    <row r="4129" spans="2:10" x14ac:dyDescent="0.15">
      <c r="B4129" s="69" t="s">
        <v>18</v>
      </c>
      <c r="C4129" s="13">
        <v>1</v>
      </c>
      <c r="D4129" s="14">
        <f t="shared" si="436"/>
        <v>1</v>
      </c>
      <c r="E4129" s="5">
        <v>45946</v>
      </c>
      <c r="G4129" s="15"/>
      <c r="H4129" s="7"/>
      <c r="I4129" s="14">
        <f t="shared" si="438"/>
        <v>0</v>
      </c>
      <c r="J4129" s="12"/>
    </row>
    <row r="4130" spans="2:10" x14ac:dyDescent="0.15">
      <c r="B4130" s="69" t="s">
        <v>18</v>
      </c>
      <c r="C4130" s="13">
        <v>2</v>
      </c>
      <c r="D4130" s="14">
        <f t="shared" si="436"/>
        <v>2</v>
      </c>
      <c r="E4130" s="5">
        <v>45947</v>
      </c>
      <c r="G4130" s="15"/>
      <c r="H4130" s="7"/>
      <c r="I4130" s="14">
        <f t="shared" si="438"/>
        <v>0</v>
      </c>
      <c r="J4130" s="12"/>
    </row>
    <row r="4131" spans="2:10" x14ac:dyDescent="0.15">
      <c r="B4131" s="69" t="s">
        <v>189</v>
      </c>
      <c r="C4131" s="13">
        <v>2</v>
      </c>
      <c r="D4131" s="14">
        <f t="shared" si="436"/>
        <v>2</v>
      </c>
      <c r="E4131" s="5">
        <v>45945</v>
      </c>
      <c r="G4131" s="15"/>
      <c r="H4131" s="7"/>
      <c r="I4131" s="14">
        <f t="shared" si="438"/>
        <v>0</v>
      </c>
      <c r="J4131" s="12"/>
    </row>
    <row r="4132" spans="2:10" x14ac:dyDescent="0.15">
      <c r="B4132" s="69" t="s">
        <v>18</v>
      </c>
      <c r="C4132" s="13">
        <v>2</v>
      </c>
      <c r="D4132" s="14">
        <f t="shared" si="436"/>
        <v>2</v>
      </c>
      <c r="E4132" s="5">
        <v>45952</v>
      </c>
      <c r="G4132" s="15"/>
      <c r="H4132" s="7"/>
      <c r="I4132" s="14">
        <f t="shared" si="438"/>
        <v>0</v>
      </c>
      <c r="J4132" s="12"/>
    </row>
    <row r="4133" spans="2:10" x14ac:dyDescent="0.15">
      <c r="B4133" s="69" t="s">
        <v>18</v>
      </c>
      <c r="C4133" s="13">
        <v>2</v>
      </c>
      <c r="D4133" s="14">
        <f t="shared" si="436"/>
        <v>2</v>
      </c>
      <c r="E4133" s="5">
        <v>45953</v>
      </c>
      <c r="G4133" s="15"/>
      <c r="H4133" s="7"/>
      <c r="I4133" s="14">
        <f t="shared" si="438"/>
        <v>0</v>
      </c>
      <c r="J4133" s="12"/>
    </row>
    <row r="4134" spans="2:10" x14ac:dyDescent="0.15">
      <c r="B4134" s="69" t="s">
        <v>189</v>
      </c>
      <c r="C4134" s="13">
        <v>1</v>
      </c>
      <c r="D4134" s="14">
        <f t="shared" si="436"/>
        <v>1</v>
      </c>
      <c r="E4134" s="5">
        <v>45952</v>
      </c>
      <c r="G4134" s="15"/>
      <c r="H4134" s="7"/>
      <c r="I4134" s="14">
        <f t="shared" si="438"/>
        <v>0</v>
      </c>
      <c r="J4134" s="12"/>
    </row>
    <row r="4135" spans="2:10" x14ac:dyDescent="0.15">
      <c r="B4135" s="69" t="s">
        <v>18</v>
      </c>
      <c r="C4135" s="13">
        <v>2</v>
      </c>
      <c r="D4135" s="14">
        <f t="shared" si="436"/>
        <v>2</v>
      </c>
      <c r="E4135" s="5">
        <v>45957</v>
      </c>
      <c r="G4135" s="15"/>
      <c r="H4135" s="7"/>
      <c r="I4135" s="14">
        <f t="shared" ref="I4135:I4136" si="439">SUM(H4135:H4135)</f>
        <v>0</v>
      </c>
      <c r="J4135" s="12"/>
    </row>
    <row r="4136" spans="2:10" ht="14.25" thickBot="1" x14ac:dyDescent="0.2">
      <c r="B4136" s="69" t="s">
        <v>18</v>
      </c>
      <c r="C4136" s="7">
        <v>1</v>
      </c>
      <c r="D4136" s="14">
        <f t="shared" si="436"/>
        <v>1</v>
      </c>
      <c r="E4136" s="5">
        <v>45959</v>
      </c>
      <c r="G4136" s="15"/>
      <c r="H4136" s="7"/>
      <c r="I4136" s="14">
        <f t="shared" si="439"/>
        <v>0</v>
      </c>
      <c r="J4136" s="12"/>
    </row>
    <row r="4137" spans="2:10" ht="14.25" thickBot="1" x14ac:dyDescent="0.2">
      <c r="B4137" s="17" t="s">
        <v>2</v>
      </c>
      <c r="C4137" s="18">
        <f>SUM(C4113:C4136)</f>
        <v>45</v>
      </c>
      <c r="D4137" s="19">
        <f t="shared" si="436"/>
        <v>45</v>
      </c>
      <c r="E4137" s="20"/>
      <c r="G4137" s="17" t="s">
        <v>2</v>
      </c>
      <c r="H4137" s="18">
        <f>SUM(H4113:H4136)</f>
        <v>0</v>
      </c>
      <c r="I4137" s="18">
        <f>SUM(I4113:I4136)</f>
        <v>0</v>
      </c>
      <c r="J4137" s="20"/>
    </row>
    <row r="4138" spans="2:10" ht="14.25" thickBot="1" x14ac:dyDescent="0.2">
      <c r="B4138" s="46" t="s">
        <v>3</v>
      </c>
      <c r="C4138" s="52">
        <f>C4112-C4137</f>
        <v>341</v>
      </c>
      <c r="D4138" s="48">
        <f>D4112-D4137</f>
        <v>341</v>
      </c>
      <c r="E4138" s="49"/>
      <c r="G4138" s="46" t="s">
        <v>3</v>
      </c>
      <c r="H4138" s="52">
        <f>H4112-H4137</f>
        <v>1593</v>
      </c>
      <c r="I4138" s="52">
        <f>I4112-I4137</f>
        <v>1593</v>
      </c>
      <c r="J4138" s="49"/>
    </row>
    <row r="4141" spans="2:10" ht="18.75" x14ac:dyDescent="0.2">
      <c r="B4141" s="26" t="s">
        <v>7</v>
      </c>
      <c r="G4141" s="26" t="s">
        <v>35</v>
      </c>
    </row>
    <row r="4142" spans="2:10" ht="14.25" thickBot="1" x14ac:dyDescent="0.2">
      <c r="J4142">
        <v>360</v>
      </c>
    </row>
    <row r="4143" spans="2:10" ht="14.25" thickBot="1" x14ac:dyDescent="0.2">
      <c r="B4143" s="1"/>
      <c r="C4143" s="1"/>
      <c r="D4143" s="53" t="s">
        <v>0</v>
      </c>
      <c r="E4143" s="1" t="s">
        <v>4</v>
      </c>
      <c r="G4143" s="1"/>
      <c r="H4143" s="1"/>
      <c r="I4143" s="53" t="s">
        <v>0</v>
      </c>
      <c r="J4143" s="1" t="s">
        <v>4</v>
      </c>
    </row>
    <row r="4144" spans="2:10" x14ac:dyDescent="0.15">
      <c r="B4144" s="42" t="s">
        <v>5</v>
      </c>
      <c r="C4144" s="43">
        <f>C4138</f>
        <v>341</v>
      </c>
      <c r="D4144" s="44">
        <f>SUM(C4144:C4144)</f>
        <v>341</v>
      </c>
      <c r="E4144" s="45"/>
      <c r="G4144" s="42" t="s">
        <v>5</v>
      </c>
      <c r="H4144" s="43">
        <f>H4138</f>
        <v>1593</v>
      </c>
      <c r="I4144" s="44">
        <f>I4138</f>
        <v>1593</v>
      </c>
      <c r="J4144" s="45"/>
    </row>
    <row r="4145" spans="2:10" x14ac:dyDescent="0.15">
      <c r="B4145" s="4" t="s">
        <v>1129</v>
      </c>
      <c r="C4145" s="13">
        <v>15</v>
      </c>
      <c r="D4145" s="14">
        <f t="shared" ref="D4145:D4146" si="440">SUM(C4145:C4145)</f>
        <v>15</v>
      </c>
      <c r="E4145" s="12">
        <v>45974</v>
      </c>
      <c r="G4145" s="192" t="s">
        <v>6</v>
      </c>
      <c r="H4145" s="94"/>
      <c r="I4145" s="96">
        <f>SUM(H4145:H4145)</f>
        <v>0</v>
      </c>
      <c r="J4145" s="189"/>
    </row>
    <row r="4146" spans="2:10" x14ac:dyDescent="0.15">
      <c r="B4146" s="4" t="s">
        <v>1129</v>
      </c>
      <c r="C4146" s="13">
        <v>7</v>
      </c>
      <c r="D4146" s="14">
        <f t="shared" si="440"/>
        <v>7</v>
      </c>
      <c r="E4146" s="12">
        <v>46043</v>
      </c>
      <c r="G4146" s="192" t="s">
        <v>6</v>
      </c>
      <c r="H4146" s="94"/>
      <c r="I4146" s="96">
        <f>SUM(H4146:H4146)</f>
        <v>0</v>
      </c>
      <c r="J4146" s="189"/>
    </row>
    <row r="4147" spans="2:10" ht="14.25" thickBot="1" x14ac:dyDescent="0.2">
      <c r="B4147" s="4" t="s">
        <v>6</v>
      </c>
      <c r="C4147" s="13"/>
      <c r="D4147" s="14">
        <f t="shared" ref="D4147" si="441">SUM(C4147:C4147)</f>
        <v>0</v>
      </c>
      <c r="E4147" s="12"/>
      <c r="G4147" s="192" t="s">
        <v>6</v>
      </c>
      <c r="H4147" s="94"/>
      <c r="I4147" s="96">
        <f t="shared" ref="I4147" si="442">SUM(H4147:H4147)</f>
        <v>0</v>
      </c>
      <c r="J4147" s="189"/>
    </row>
    <row r="4148" spans="2:10" ht="14.25" thickBot="1" x14ac:dyDescent="0.2">
      <c r="B4148" s="46" t="s">
        <v>1</v>
      </c>
      <c r="C4148" s="48">
        <f>SUM(C4144:C4147)</f>
        <v>363</v>
      </c>
      <c r="D4148" s="48">
        <f>SUM(D4144:D4147)</f>
        <v>363</v>
      </c>
      <c r="E4148" s="51"/>
      <c r="G4148" s="46" t="s">
        <v>1</v>
      </c>
      <c r="H4148" s="50">
        <f>SUM(H4144:H4147)</f>
        <v>1593</v>
      </c>
      <c r="I4148" s="50">
        <f>SUM(I4144:I4147)</f>
        <v>1593</v>
      </c>
      <c r="J4148" s="51"/>
    </row>
    <row r="4149" spans="2:10" x14ac:dyDescent="0.15">
      <c r="B4149" s="69" t="s">
        <v>18</v>
      </c>
      <c r="C4149" s="13">
        <v>1</v>
      </c>
      <c r="D4149" s="14">
        <f t="shared" ref="D4149:D4168" si="443">SUM(C4149:C4149)</f>
        <v>1</v>
      </c>
      <c r="E4149" s="5">
        <v>45965</v>
      </c>
      <c r="F4149" s="25"/>
      <c r="G4149" s="15"/>
      <c r="H4149" s="7"/>
      <c r="I4149" s="14">
        <f t="shared" ref="I4149:I4170" si="444">SUM(H4149:H4149)</f>
        <v>0</v>
      </c>
      <c r="J4149" s="12"/>
    </row>
    <row r="4150" spans="2:10" x14ac:dyDescent="0.15">
      <c r="B4150" s="69" t="s">
        <v>189</v>
      </c>
      <c r="C4150" s="13">
        <v>1</v>
      </c>
      <c r="D4150" s="14">
        <f t="shared" si="443"/>
        <v>1</v>
      </c>
      <c r="E4150" s="5">
        <v>45965</v>
      </c>
      <c r="G4150" s="15"/>
      <c r="H4150" s="7"/>
      <c r="I4150" s="14">
        <f t="shared" si="444"/>
        <v>0</v>
      </c>
      <c r="J4150" s="12"/>
    </row>
    <row r="4151" spans="2:10" x14ac:dyDescent="0.15">
      <c r="B4151" s="69" t="s">
        <v>18</v>
      </c>
      <c r="C4151" s="13">
        <v>2</v>
      </c>
      <c r="D4151" s="14">
        <f t="shared" si="443"/>
        <v>2</v>
      </c>
      <c r="E4151" s="5">
        <v>45968</v>
      </c>
      <c r="G4151" s="15"/>
      <c r="H4151" s="7"/>
      <c r="I4151" s="14">
        <f t="shared" si="444"/>
        <v>0</v>
      </c>
      <c r="J4151" s="12"/>
    </row>
    <row r="4152" spans="2:10" x14ac:dyDescent="0.15">
      <c r="B4152" s="69" t="s">
        <v>18</v>
      </c>
      <c r="C4152" s="13">
        <v>1</v>
      </c>
      <c r="D4152" s="14">
        <f t="shared" si="443"/>
        <v>1</v>
      </c>
      <c r="E4152" s="5">
        <v>45968</v>
      </c>
      <c r="G4152" s="15"/>
      <c r="H4152" s="7"/>
      <c r="I4152" s="14">
        <f t="shared" si="444"/>
        <v>0</v>
      </c>
      <c r="J4152" s="12"/>
    </row>
    <row r="4153" spans="2:10" x14ac:dyDescent="0.15">
      <c r="B4153" s="69" t="s">
        <v>189</v>
      </c>
      <c r="C4153" s="13">
        <v>1</v>
      </c>
      <c r="D4153" s="14">
        <f t="shared" si="443"/>
        <v>1</v>
      </c>
      <c r="E4153" s="5">
        <v>45967</v>
      </c>
      <c r="G4153" s="15"/>
      <c r="H4153" s="7"/>
      <c r="I4153" s="14">
        <f t="shared" si="444"/>
        <v>0</v>
      </c>
      <c r="J4153" s="12"/>
    </row>
    <row r="4154" spans="2:10" x14ac:dyDescent="0.15">
      <c r="B4154" s="69" t="s">
        <v>18</v>
      </c>
      <c r="C4154" s="13">
        <v>6</v>
      </c>
      <c r="D4154" s="14">
        <f t="shared" si="443"/>
        <v>6</v>
      </c>
      <c r="E4154" s="5">
        <v>45971</v>
      </c>
      <c r="G4154" s="15"/>
      <c r="H4154" s="7"/>
      <c r="I4154" s="14">
        <f t="shared" si="444"/>
        <v>0</v>
      </c>
      <c r="J4154" s="12"/>
    </row>
    <row r="4155" spans="2:10" x14ac:dyDescent="0.15">
      <c r="B4155" s="69" t="s">
        <v>189</v>
      </c>
      <c r="C4155" s="13">
        <v>3</v>
      </c>
      <c r="D4155" s="14">
        <f t="shared" si="443"/>
        <v>3</v>
      </c>
      <c r="E4155" s="5">
        <v>45978</v>
      </c>
      <c r="G4155" s="15"/>
      <c r="H4155" s="7"/>
      <c r="I4155" s="14">
        <f t="shared" si="444"/>
        <v>0</v>
      </c>
      <c r="J4155" s="12"/>
    </row>
    <row r="4156" spans="2:10" x14ac:dyDescent="0.15">
      <c r="B4156" s="69" t="s">
        <v>189</v>
      </c>
      <c r="C4156" s="13">
        <v>4</v>
      </c>
      <c r="D4156" s="14">
        <f t="shared" si="443"/>
        <v>4</v>
      </c>
      <c r="E4156" s="5">
        <v>45987</v>
      </c>
      <c r="G4156" s="15"/>
      <c r="H4156" s="7"/>
      <c r="I4156" s="14">
        <f t="shared" si="444"/>
        <v>0</v>
      </c>
      <c r="J4156" s="12"/>
    </row>
    <row r="4157" spans="2:10" x14ac:dyDescent="0.15">
      <c r="B4157" s="69" t="s">
        <v>18</v>
      </c>
      <c r="C4157" s="13">
        <v>2</v>
      </c>
      <c r="D4157" s="14">
        <f t="shared" si="443"/>
        <v>2</v>
      </c>
      <c r="E4157" s="5">
        <v>45989</v>
      </c>
      <c r="G4157" s="15"/>
      <c r="H4157" s="7"/>
      <c r="I4157" s="14">
        <f t="shared" si="444"/>
        <v>0</v>
      </c>
      <c r="J4157" s="12"/>
    </row>
    <row r="4158" spans="2:10" x14ac:dyDescent="0.15">
      <c r="B4158" s="69" t="s">
        <v>189</v>
      </c>
      <c r="C4158" s="13">
        <v>3</v>
      </c>
      <c r="D4158" s="14">
        <f t="shared" si="443"/>
        <v>3</v>
      </c>
      <c r="E4158" s="5">
        <v>45988</v>
      </c>
      <c r="G4158" s="15"/>
      <c r="H4158" s="7"/>
      <c r="I4158" s="14">
        <f t="shared" si="444"/>
        <v>0</v>
      </c>
      <c r="J4158" s="12"/>
    </row>
    <row r="4159" spans="2:10" x14ac:dyDescent="0.15">
      <c r="B4159" s="69" t="s">
        <v>189</v>
      </c>
      <c r="C4159" s="13">
        <v>2</v>
      </c>
      <c r="D4159" s="14">
        <f t="shared" si="443"/>
        <v>2</v>
      </c>
      <c r="E4159" s="5">
        <v>45989</v>
      </c>
      <c r="G4159" s="15"/>
      <c r="H4159" s="7"/>
      <c r="I4159" s="14">
        <f t="shared" si="444"/>
        <v>0</v>
      </c>
      <c r="J4159" s="12"/>
    </row>
    <row r="4160" spans="2:10" x14ac:dyDescent="0.15">
      <c r="B4160" s="69" t="s">
        <v>189</v>
      </c>
      <c r="C4160" s="13">
        <v>5</v>
      </c>
      <c r="D4160" s="14">
        <f t="shared" si="443"/>
        <v>5</v>
      </c>
      <c r="E4160" s="5">
        <v>45992</v>
      </c>
      <c r="G4160" s="15"/>
      <c r="H4160" s="7"/>
      <c r="I4160" s="14">
        <f t="shared" si="444"/>
        <v>0</v>
      </c>
      <c r="J4160" s="12"/>
    </row>
    <row r="4161" spans="2:11" x14ac:dyDescent="0.15">
      <c r="B4161" s="69" t="s">
        <v>189</v>
      </c>
      <c r="C4161" s="13">
        <v>6</v>
      </c>
      <c r="D4161" s="14">
        <f t="shared" si="443"/>
        <v>6</v>
      </c>
      <c r="E4161" s="5">
        <v>45997</v>
      </c>
      <c r="G4161" s="15"/>
      <c r="H4161" s="7"/>
      <c r="I4161" s="14">
        <f t="shared" si="444"/>
        <v>0</v>
      </c>
      <c r="J4161" s="12"/>
    </row>
    <row r="4162" spans="2:11" x14ac:dyDescent="0.15">
      <c r="B4162" s="69" t="s">
        <v>189</v>
      </c>
      <c r="C4162" s="13">
        <v>2</v>
      </c>
      <c r="D4162" s="14">
        <f t="shared" si="443"/>
        <v>2</v>
      </c>
      <c r="E4162" s="5">
        <v>45999</v>
      </c>
      <c r="G4162" s="15"/>
      <c r="H4162" s="7"/>
      <c r="I4162" s="14">
        <f t="shared" si="444"/>
        <v>0</v>
      </c>
      <c r="J4162" s="12"/>
    </row>
    <row r="4163" spans="2:11" x14ac:dyDescent="0.15">
      <c r="B4163" s="69" t="s">
        <v>189</v>
      </c>
      <c r="C4163" s="13">
        <v>1</v>
      </c>
      <c r="D4163" s="14">
        <f t="shared" si="443"/>
        <v>1</v>
      </c>
      <c r="E4163" s="5">
        <v>46000</v>
      </c>
      <c r="G4163" s="15"/>
      <c r="H4163" s="7"/>
      <c r="I4163" s="14">
        <f t="shared" si="444"/>
        <v>0</v>
      </c>
      <c r="J4163" s="12"/>
    </row>
    <row r="4164" spans="2:11" x14ac:dyDescent="0.15">
      <c r="B4164" s="69" t="s">
        <v>189</v>
      </c>
      <c r="C4164" s="13">
        <v>1</v>
      </c>
      <c r="D4164" s="14">
        <f t="shared" si="443"/>
        <v>1</v>
      </c>
      <c r="E4164" s="5">
        <v>46001</v>
      </c>
      <c r="G4164" s="15"/>
      <c r="H4164" s="7"/>
      <c r="I4164" s="14">
        <f t="shared" si="444"/>
        <v>0</v>
      </c>
      <c r="J4164" s="12"/>
    </row>
    <row r="4165" spans="2:11" x14ac:dyDescent="0.15">
      <c r="B4165" s="69" t="s">
        <v>189</v>
      </c>
      <c r="C4165" s="13">
        <v>1</v>
      </c>
      <c r="D4165" s="14">
        <f t="shared" si="443"/>
        <v>1</v>
      </c>
      <c r="E4165" s="5">
        <v>46003</v>
      </c>
      <c r="G4165" s="15"/>
      <c r="H4165" s="7"/>
      <c r="I4165" s="14">
        <f t="shared" si="444"/>
        <v>0</v>
      </c>
      <c r="J4165" s="12"/>
    </row>
    <row r="4166" spans="2:11" x14ac:dyDescent="0.15">
      <c r="B4166" s="69" t="s">
        <v>189</v>
      </c>
      <c r="C4166" s="13">
        <v>2</v>
      </c>
      <c r="D4166" s="14">
        <f t="shared" si="443"/>
        <v>2</v>
      </c>
      <c r="E4166" s="5">
        <v>46013</v>
      </c>
      <c r="G4166" s="15"/>
      <c r="H4166" s="7"/>
      <c r="I4166" s="14">
        <f t="shared" si="444"/>
        <v>0</v>
      </c>
      <c r="J4166" s="12"/>
    </row>
    <row r="4167" spans="2:11" x14ac:dyDescent="0.15">
      <c r="B4167" s="69" t="s">
        <v>189</v>
      </c>
      <c r="C4167" s="13">
        <v>1</v>
      </c>
      <c r="D4167" s="14">
        <f t="shared" si="443"/>
        <v>1</v>
      </c>
      <c r="E4167" s="5">
        <v>46017</v>
      </c>
      <c r="G4167" s="15"/>
      <c r="H4167" s="7"/>
      <c r="I4167" s="14">
        <f t="shared" si="444"/>
        <v>0</v>
      </c>
      <c r="J4167" s="12"/>
    </row>
    <row r="4168" spans="2:11" x14ac:dyDescent="0.15">
      <c r="B4168" s="69" t="s">
        <v>189</v>
      </c>
      <c r="C4168" s="13">
        <v>4</v>
      </c>
      <c r="D4168" s="14">
        <f t="shared" si="443"/>
        <v>4</v>
      </c>
      <c r="E4168" s="5">
        <v>46037</v>
      </c>
      <c r="G4168" s="15"/>
      <c r="H4168" s="7"/>
      <c r="I4168" s="14">
        <f t="shared" si="444"/>
        <v>0</v>
      </c>
      <c r="J4168" s="12"/>
    </row>
    <row r="4169" spans="2:11" x14ac:dyDescent="0.15">
      <c r="B4169" s="69" t="s">
        <v>1137</v>
      </c>
      <c r="C4169" s="13">
        <v>1</v>
      </c>
      <c r="D4169" s="14">
        <f t="shared" ref="D4169:D4173" si="445">SUM(C4169:C4169)</f>
        <v>1</v>
      </c>
      <c r="E4169" s="5">
        <v>46038</v>
      </c>
      <c r="G4169" s="15"/>
      <c r="H4169" s="7"/>
      <c r="I4169" s="14">
        <f t="shared" si="444"/>
        <v>0</v>
      </c>
      <c r="J4169" s="12"/>
    </row>
    <row r="4170" spans="2:11" x14ac:dyDescent="0.15">
      <c r="B4170" s="69" t="s">
        <v>189</v>
      </c>
      <c r="C4170" s="13">
        <v>5</v>
      </c>
      <c r="D4170" s="14">
        <f t="shared" si="445"/>
        <v>5</v>
      </c>
      <c r="E4170" s="5">
        <v>46041</v>
      </c>
      <c r="G4170" s="15"/>
      <c r="H4170" s="7"/>
      <c r="I4170" s="14">
        <f t="shared" si="444"/>
        <v>0</v>
      </c>
      <c r="J4170" s="67"/>
      <c r="K4170" s="86"/>
    </row>
    <row r="4171" spans="2:11" x14ac:dyDescent="0.15">
      <c r="B4171" s="69" t="s">
        <v>189</v>
      </c>
      <c r="C4171" s="13">
        <v>2</v>
      </c>
      <c r="D4171" s="14">
        <f t="shared" si="445"/>
        <v>2</v>
      </c>
      <c r="E4171" s="5">
        <v>46048</v>
      </c>
      <c r="G4171" s="15" t="s">
        <v>1130</v>
      </c>
      <c r="H4171" s="7"/>
      <c r="I4171" s="14">
        <f t="shared" ref="I4171:I4172" si="446">SUM(H4171:H4171)</f>
        <v>0</v>
      </c>
      <c r="J4171" s="67" t="s">
        <v>1131</v>
      </c>
      <c r="K4171" s="86"/>
    </row>
    <row r="4172" spans="2:11" ht="14.25" thickBot="1" x14ac:dyDescent="0.2">
      <c r="B4172" s="69" t="s">
        <v>189</v>
      </c>
      <c r="C4172" s="7">
        <v>2</v>
      </c>
      <c r="D4172" s="14">
        <f t="shared" si="445"/>
        <v>2</v>
      </c>
      <c r="E4172" s="5">
        <v>46052</v>
      </c>
      <c r="G4172" s="15" t="s">
        <v>1135</v>
      </c>
      <c r="H4172" s="7"/>
      <c r="I4172" s="14">
        <f t="shared" si="446"/>
        <v>0</v>
      </c>
      <c r="J4172" s="67" t="s">
        <v>1136</v>
      </c>
      <c r="K4172" s="86"/>
    </row>
    <row r="4173" spans="2:11" ht="14.25" thickBot="1" x14ac:dyDescent="0.2">
      <c r="B4173" s="17" t="s">
        <v>2</v>
      </c>
      <c r="C4173" s="18">
        <f>SUM(C4149:C4172)</f>
        <v>59</v>
      </c>
      <c r="D4173" s="19">
        <f t="shared" si="445"/>
        <v>59</v>
      </c>
      <c r="E4173" s="20"/>
      <c r="G4173" s="17" t="s">
        <v>2</v>
      </c>
      <c r="H4173" s="18">
        <f>SUM(H4149:H4172)</f>
        <v>0</v>
      </c>
      <c r="I4173" s="18">
        <f>SUM(I4149:I4172)</f>
        <v>0</v>
      </c>
      <c r="J4173" s="20"/>
    </row>
    <row r="4174" spans="2:11" ht="14.25" thickBot="1" x14ac:dyDescent="0.2">
      <c r="B4174" s="46" t="s">
        <v>3</v>
      </c>
      <c r="C4174" s="52">
        <f>C4148-C4173</f>
        <v>304</v>
      </c>
      <c r="D4174" s="48">
        <f>D4148-D4173</f>
        <v>304</v>
      </c>
      <c r="E4174" s="49"/>
      <c r="G4174" s="46" t="s">
        <v>3</v>
      </c>
      <c r="H4174" s="52">
        <f>H4148-H4173</f>
        <v>1593</v>
      </c>
      <c r="I4174" s="52">
        <f>I4148-I4173</f>
        <v>1593</v>
      </c>
      <c r="J4174" s="49"/>
    </row>
    <row r="4177" spans="2:10" ht="18.75" x14ac:dyDescent="0.2">
      <c r="B4177" s="26" t="s">
        <v>7</v>
      </c>
      <c r="G4177" s="26" t="s">
        <v>35</v>
      </c>
    </row>
    <row r="4178" spans="2:10" ht="14.25" thickBot="1" x14ac:dyDescent="0.2">
      <c r="J4178">
        <v>360</v>
      </c>
    </row>
    <row r="4179" spans="2:10" ht="14.25" thickBot="1" x14ac:dyDescent="0.2">
      <c r="B4179" s="1"/>
      <c r="C4179" s="1"/>
      <c r="D4179" s="53" t="s">
        <v>0</v>
      </c>
      <c r="E4179" s="1" t="s">
        <v>4</v>
      </c>
      <c r="G4179" s="1"/>
      <c r="H4179" s="1"/>
      <c r="I4179" s="53" t="s">
        <v>0</v>
      </c>
      <c r="J4179" s="1" t="s">
        <v>4</v>
      </c>
    </row>
    <row r="4180" spans="2:10" x14ac:dyDescent="0.15">
      <c r="B4180" s="42" t="s">
        <v>5</v>
      </c>
      <c r="C4180" s="43">
        <f>C4174</f>
        <v>304</v>
      </c>
      <c r="D4180" s="44">
        <f>SUM(C4180:C4180)</f>
        <v>304</v>
      </c>
      <c r="E4180" s="45"/>
      <c r="G4180" s="42" t="s">
        <v>5</v>
      </c>
      <c r="H4180" s="43">
        <f>H4174</f>
        <v>1593</v>
      </c>
      <c r="I4180" s="44">
        <f>I4174</f>
        <v>1593</v>
      </c>
      <c r="J4180" s="45"/>
    </row>
    <row r="4181" spans="2:10" x14ac:dyDescent="0.15">
      <c r="B4181" s="4" t="s">
        <v>6</v>
      </c>
      <c r="C4181" s="13"/>
      <c r="D4181" s="14">
        <f t="shared" ref="D4181" si="447">SUM(C4181:C4181)</f>
        <v>0</v>
      </c>
      <c r="E4181" s="12"/>
      <c r="G4181" s="192" t="s">
        <v>6</v>
      </c>
      <c r="H4181" s="94"/>
      <c r="I4181" s="96">
        <f>SUM(H4181:H4181)</f>
        <v>0</v>
      </c>
      <c r="J4181" s="189"/>
    </row>
    <row r="4182" spans="2:10" x14ac:dyDescent="0.15">
      <c r="B4182" s="4" t="s">
        <v>6</v>
      </c>
      <c r="C4182" s="13"/>
      <c r="D4182" s="14">
        <f t="shared" ref="D4182:D4183" si="448">SUM(C4182:C4182)</f>
        <v>0</v>
      </c>
      <c r="E4182" s="12"/>
      <c r="G4182" s="192" t="s">
        <v>6</v>
      </c>
      <c r="H4182" s="94"/>
      <c r="I4182" s="96">
        <f>SUM(H4182:H4182)</f>
        <v>0</v>
      </c>
      <c r="J4182" s="189"/>
    </row>
    <row r="4183" spans="2:10" ht="14.25" thickBot="1" x14ac:dyDescent="0.2">
      <c r="B4183" s="4" t="s">
        <v>6</v>
      </c>
      <c r="C4183" s="13"/>
      <c r="D4183" s="14">
        <f t="shared" si="448"/>
        <v>0</v>
      </c>
      <c r="E4183" s="12"/>
      <c r="G4183" s="192" t="s">
        <v>6</v>
      </c>
      <c r="H4183" s="94"/>
      <c r="I4183" s="96">
        <f t="shared" ref="I4183" si="449">SUM(H4183:H4183)</f>
        <v>0</v>
      </c>
      <c r="J4183" s="189"/>
    </row>
    <row r="4184" spans="2:10" ht="14.25" thickBot="1" x14ac:dyDescent="0.2">
      <c r="B4184" s="46" t="s">
        <v>1</v>
      </c>
      <c r="C4184" s="48">
        <f>SUM(C4180:C4183)</f>
        <v>304</v>
      </c>
      <c r="D4184" s="48">
        <f>SUM(D4180:D4183)</f>
        <v>304</v>
      </c>
      <c r="E4184" s="51"/>
      <c r="G4184" s="46" t="s">
        <v>1</v>
      </c>
      <c r="H4184" s="50">
        <f>SUM(H4180:H4183)</f>
        <v>1593</v>
      </c>
      <c r="I4184" s="50">
        <f>SUM(I4180:I4183)</f>
        <v>1593</v>
      </c>
      <c r="J4184" s="51"/>
    </row>
    <row r="4185" spans="2:10" x14ac:dyDescent="0.15">
      <c r="B4185" s="69" t="s">
        <v>1138</v>
      </c>
      <c r="C4185" s="13">
        <v>33</v>
      </c>
      <c r="D4185" s="14">
        <f t="shared" ref="D4185:D4201" si="450">SUM(C4185:C4185)</f>
        <v>33</v>
      </c>
      <c r="E4185" s="5">
        <v>46057</v>
      </c>
      <c r="G4185" s="15" t="s">
        <v>1146</v>
      </c>
      <c r="H4185" s="7">
        <v>200</v>
      </c>
      <c r="I4185" s="14">
        <f t="shared" ref="I4185:I4208" si="451">SUM(H4185:H4185)</f>
        <v>200</v>
      </c>
      <c r="J4185" s="12">
        <v>46120</v>
      </c>
    </row>
    <row r="4186" spans="2:10" x14ac:dyDescent="0.15">
      <c r="B4186" s="69" t="s">
        <v>189</v>
      </c>
      <c r="C4186" s="13">
        <v>5</v>
      </c>
      <c r="D4186" s="14">
        <f t="shared" si="450"/>
        <v>5</v>
      </c>
      <c r="E4186" s="5">
        <v>46063</v>
      </c>
      <c r="G4186" s="15" t="s">
        <v>1147</v>
      </c>
      <c r="H4186" s="7">
        <v>700</v>
      </c>
      <c r="I4186" s="14">
        <f t="shared" ref="I4186" si="452">SUM(H4186:H4186)</f>
        <v>700</v>
      </c>
      <c r="J4186" s="12">
        <v>46120</v>
      </c>
    </row>
    <row r="4187" spans="2:10" x14ac:dyDescent="0.15">
      <c r="B4187" s="69" t="s">
        <v>18</v>
      </c>
      <c r="C4187" s="13">
        <v>6</v>
      </c>
      <c r="D4187" s="14">
        <f t="shared" si="450"/>
        <v>6</v>
      </c>
      <c r="E4187" s="5">
        <v>46071</v>
      </c>
      <c r="G4187" s="15" t="s">
        <v>1148</v>
      </c>
      <c r="H4187" s="7">
        <v>400</v>
      </c>
      <c r="I4187" s="14">
        <f t="shared" si="451"/>
        <v>400</v>
      </c>
      <c r="J4187" s="12">
        <v>46128</v>
      </c>
    </row>
    <row r="4188" spans="2:10" x14ac:dyDescent="0.15">
      <c r="B4188" s="69" t="s">
        <v>189</v>
      </c>
      <c r="C4188" s="13">
        <v>1</v>
      </c>
      <c r="D4188" s="14">
        <f t="shared" si="450"/>
        <v>1</v>
      </c>
      <c r="E4188" s="5">
        <v>46069</v>
      </c>
      <c r="G4188" s="15"/>
      <c r="H4188" s="7"/>
      <c r="I4188" s="14">
        <f t="shared" si="451"/>
        <v>0</v>
      </c>
      <c r="J4188" s="12"/>
    </row>
    <row r="4189" spans="2:10" x14ac:dyDescent="0.15">
      <c r="B4189" s="69" t="s">
        <v>18</v>
      </c>
      <c r="C4189" s="13">
        <v>3</v>
      </c>
      <c r="D4189" s="14">
        <f t="shared" si="450"/>
        <v>3</v>
      </c>
      <c r="E4189" s="5">
        <v>46072</v>
      </c>
      <c r="G4189" s="15"/>
      <c r="H4189" s="7"/>
      <c r="I4189" s="14">
        <f t="shared" si="451"/>
        <v>0</v>
      </c>
      <c r="J4189" s="12"/>
    </row>
    <row r="4190" spans="2:10" x14ac:dyDescent="0.15">
      <c r="B4190" s="69" t="s">
        <v>189</v>
      </c>
      <c r="C4190" s="13">
        <v>4</v>
      </c>
      <c r="D4190" s="14">
        <f t="shared" si="450"/>
        <v>4</v>
      </c>
      <c r="E4190" s="5">
        <v>46071</v>
      </c>
      <c r="G4190" s="15"/>
      <c r="H4190" s="7"/>
      <c r="I4190" s="14">
        <f t="shared" si="451"/>
        <v>0</v>
      </c>
      <c r="J4190" s="12"/>
    </row>
    <row r="4191" spans="2:10" x14ac:dyDescent="0.15">
      <c r="B4191" s="69" t="s">
        <v>18</v>
      </c>
      <c r="C4191" s="13">
        <v>7</v>
      </c>
      <c r="D4191" s="14">
        <f t="shared" si="450"/>
        <v>7</v>
      </c>
      <c r="E4191" s="5">
        <v>46073</v>
      </c>
      <c r="G4191" s="15"/>
      <c r="H4191" s="7"/>
      <c r="I4191" s="14">
        <f t="shared" si="451"/>
        <v>0</v>
      </c>
      <c r="J4191" s="12"/>
    </row>
    <row r="4192" spans="2:10" x14ac:dyDescent="0.15">
      <c r="B4192" s="69" t="s">
        <v>18</v>
      </c>
      <c r="C4192" s="13">
        <v>2</v>
      </c>
      <c r="D4192" s="14">
        <f t="shared" si="450"/>
        <v>2</v>
      </c>
      <c r="E4192" s="5">
        <v>46077</v>
      </c>
      <c r="G4192" s="15"/>
      <c r="H4192" s="7"/>
      <c r="I4192" s="14">
        <f t="shared" si="451"/>
        <v>0</v>
      </c>
      <c r="J4192" s="12"/>
    </row>
    <row r="4193" spans="2:11" x14ac:dyDescent="0.15">
      <c r="B4193" s="69" t="s">
        <v>189</v>
      </c>
      <c r="C4193" s="13">
        <v>2</v>
      </c>
      <c r="D4193" s="14">
        <f t="shared" si="450"/>
        <v>2</v>
      </c>
      <c r="E4193" s="5">
        <v>46073</v>
      </c>
      <c r="G4193" s="15"/>
      <c r="H4193" s="7"/>
      <c r="I4193" s="14">
        <f t="shared" si="451"/>
        <v>0</v>
      </c>
      <c r="J4193" s="12"/>
    </row>
    <row r="4194" spans="2:11" x14ac:dyDescent="0.15">
      <c r="B4194" s="69" t="s">
        <v>18</v>
      </c>
      <c r="C4194" s="13">
        <v>3</v>
      </c>
      <c r="D4194" s="14">
        <f t="shared" si="450"/>
        <v>3</v>
      </c>
      <c r="E4194" s="5">
        <v>46079</v>
      </c>
      <c r="G4194" s="15"/>
      <c r="H4194" s="7"/>
      <c r="I4194" s="14">
        <f t="shared" si="451"/>
        <v>0</v>
      </c>
      <c r="J4194" s="12"/>
    </row>
    <row r="4195" spans="2:11" x14ac:dyDescent="0.15">
      <c r="B4195" s="69" t="s">
        <v>18</v>
      </c>
      <c r="C4195" s="13">
        <v>22</v>
      </c>
      <c r="D4195" s="14">
        <f t="shared" si="450"/>
        <v>22</v>
      </c>
      <c r="E4195" s="5">
        <v>46080</v>
      </c>
      <c r="G4195" s="15"/>
      <c r="H4195" s="7"/>
      <c r="I4195" s="14">
        <f t="shared" si="451"/>
        <v>0</v>
      </c>
      <c r="J4195" s="12"/>
    </row>
    <row r="4196" spans="2:11" x14ac:dyDescent="0.15">
      <c r="B4196" s="69" t="s">
        <v>189</v>
      </c>
      <c r="C4196" s="13">
        <v>1</v>
      </c>
      <c r="D4196" s="14">
        <f t="shared" si="450"/>
        <v>1</v>
      </c>
      <c r="E4196" s="5">
        <v>46083</v>
      </c>
      <c r="G4196" s="15"/>
      <c r="H4196" s="7"/>
      <c r="I4196" s="14">
        <f t="shared" si="451"/>
        <v>0</v>
      </c>
      <c r="J4196" s="12"/>
    </row>
    <row r="4197" spans="2:11" x14ac:dyDescent="0.15">
      <c r="B4197" s="69" t="s">
        <v>189</v>
      </c>
      <c r="C4197" s="13">
        <v>1</v>
      </c>
      <c r="D4197" s="14">
        <f t="shared" si="450"/>
        <v>1</v>
      </c>
      <c r="E4197" s="5">
        <v>46085</v>
      </c>
      <c r="G4197" s="15"/>
      <c r="H4197" s="7"/>
      <c r="I4197" s="14">
        <f t="shared" si="451"/>
        <v>0</v>
      </c>
      <c r="J4197" s="12"/>
    </row>
    <row r="4198" spans="2:11" x14ac:dyDescent="0.15">
      <c r="B4198" s="69" t="s">
        <v>18</v>
      </c>
      <c r="C4198" s="13">
        <v>7</v>
      </c>
      <c r="D4198" s="14">
        <f t="shared" si="450"/>
        <v>7</v>
      </c>
      <c r="E4198" s="5">
        <v>46090</v>
      </c>
      <c r="G4198" s="15"/>
      <c r="H4198" s="7"/>
      <c r="I4198" s="14">
        <f t="shared" si="451"/>
        <v>0</v>
      </c>
      <c r="J4198" s="12"/>
    </row>
    <row r="4199" spans="2:11" x14ac:dyDescent="0.15">
      <c r="B4199" s="69" t="s">
        <v>18</v>
      </c>
      <c r="C4199" s="13">
        <v>5</v>
      </c>
      <c r="D4199" s="14">
        <f t="shared" si="450"/>
        <v>5</v>
      </c>
      <c r="E4199" s="5">
        <v>46091</v>
      </c>
      <c r="G4199" s="15"/>
      <c r="H4199" s="7"/>
      <c r="I4199" s="14">
        <f t="shared" si="451"/>
        <v>0</v>
      </c>
      <c r="J4199" s="12"/>
    </row>
    <row r="4200" spans="2:11" x14ac:dyDescent="0.15">
      <c r="B4200" s="69" t="s">
        <v>18</v>
      </c>
      <c r="C4200" s="13">
        <v>3</v>
      </c>
      <c r="D4200" s="14">
        <f t="shared" si="450"/>
        <v>3</v>
      </c>
      <c r="E4200" s="5">
        <v>46093</v>
      </c>
      <c r="G4200" s="15"/>
      <c r="H4200" s="7"/>
      <c r="I4200" s="14">
        <f t="shared" si="451"/>
        <v>0</v>
      </c>
      <c r="J4200" s="12"/>
    </row>
    <row r="4201" spans="2:11" x14ac:dyDescent="0.15">
      <c r="B4201" s="69" t="s">
        <v>18</v>
      </c>
      <c r="C4201" s="13">
        <v>4</v>
      </c>
      <c r="D4201" s="14">
        <f t="shared" si="450"/>
        <v>4</v>
      </c>
      <c r="E4201" s="5">
        <v>46094</v>
      </c>
      <c r="G4201" s="15"/>
      <c r="H4201" s="7"/>
      <c r="I4201" s="14">
        <f t="shared" si="451"/>
        <v>0</v>
      </c>
      <c r="J4201" s="12"/>
    </row>
    <row r="4202" spans="2:11" x14ac:dyDescent="0.15">
      <c r="B4202" s="69" t="s">
        <v>18</v>
      </c>
      <c r="C4202" s="13">
        <v>4</v>
      </c>
      <c r="D4202" s="14">
        <f t="shared" ref="D4202:D4209" si="453">SUM(C4202:C4202)</f>
        <v>4</v>
      </c>
      <c r="E4202" s="5">
        <v>46094</v>
      </c>
      <c r="G4202" s="15"/>
      <c r="H4202" s="7"/>
      <c r="I4202" s="14">
        <f t="shared" si="451"/>
        <v>0</v>
      </c>
      <c r="J4202" s="12"/>
    </row>
    <row r="4203" spans="2:11" x14ac:dyDescent="0.15">
      <c r="B4203" s="69" t="s">
        <v>189</v>
      </c>
      <c r="C4203" s="13">
        <v>2</v>
      </c>
      <c r="D4203" s="14">
        <f t="shared" si="453"/>
        <v>2</v>
      </c>
      <c r="E4203" s="5">
        <v>46093</v>
      </c>
      <c r="G4203" s="15"/>
      <c r="H4203" s="7"/>
      <c r="I4203" s="14">
        <f t="shared" si="451"/>
        <v>0</v>
      </c>
      <c r="J4203" s="12"/>
    </row>
    <row r="4204" spans="2:11" x14ac:dyDescent="0.15">
      <c r="B4204" s="69" t="s">
        <v>18</v>
      </c>
      <c r="C4204" s="13">
        <v>4</v>
      </c>
      <c r="D4204" s="14">
        <f t="shared" si="453"/>
        <v>4</v>
      </c>
      <c r="E4204" s="5">
        <v>46097</v>
      </c>
      <c r="G4204" s="15" t="s">
        <v>593</v>
      </c>
      <c r="H4204" s="7"/>
      <c r="I4204" s="14">
        <f t="shared" si="451"/>
        <v>0</v>
      </c>
      <c r="J4204" s="67" t="s">
        <v>594</v>
      </c>
    </row>
    <row r="4205" spans="2:11" x14ac:dyDescent="0.15">
      <c r="B4205" s="69" t="s">
        <v>18</v>
      </c>
      <c r="C4205" s="13">
        <v>4</v>
      </c>
      <c r="D4205" s="14">
        <f t="shared" si="453"/>
        <v>4</v>
      </c>
      <c r="E4205" s="5">
        <v>46099</v>
      </c>
      <c r="G4205" s="15" t="s">
        <v>1139</v>
      </c>
      <c r="H4205" s="7"/>
      <c r="I4205" s="14">
        <f t="shared" ref="I4205" si="454">SUM(H4205:H4205)</f>
        <v>0</v>
      </c>
      <c r="J4205" s="12" t="s">
        <v>594</v>
      </c>
    </row>
    <row r="4206" spans="2:11" x14ac:dyDescent="0.15">
      <c r="B4206" s="69" t="s">
        <v>18</v>
      </c>
      <c r="C4206" s="13">
        <v>4</v>
      </c>
      <c r="D4206" s="14">
        <f t="shared" si="453"/>
        <v>4</v>
      </c>
      <c r="E4206" s="5">
        <v>46100</v>
      </c>
      <c r="G4206" s="15" t="s">
        <v>1142</v>
      </c>
      <c r="H4206" s="7"/>
      <c r="I4206" s="14">
        <f t="shared" si="451"/>
        <v>0</v>
      </c>
      <c r="J4206" s="12" t="s">
        <v>1143</v>
      </c>
      <c r="K4206" s="86"/>
    </row>
    <row r="4207" spans="2:11" x14ac:dyDescent="0.15">
      <c r="B4207" s="69" t="s">
        <v>18</v>
      </c>
      <c r="C4207" s="13">
        <v>4</v>
      </c>
      <c r="D4207" s="14">
        <f t="shared" si="453"/>
        <v>4</v>
      </c>
      <c r="E4207" s="5">
        <v>46104</v>
      </c>
      <c r="G4207" s="4" t="s">
        <v>1133</v>
      </c>
      <c r="H4207" s="184"/>
      <c r="I4207" s="185">
        <f t="shared" si="451"/>
        <v>0</v>
      </c>
      <c r="J4207" s="197"/>
    </row>
    <row r="4208" spans="2:11" ht="14.25" thickBot="1" x14ac:dyDescent="0.2">
      <c r="B4208" s="69" t="s">
        <v>18</v>
      </c>
      <c r="C4208" s="7">
        <v>6</v>
      </c>
      <c r="D4208" s="14">
        <f t="shared" si="453"/>
        <v>6</v>
      </c>
      <c r="E4208" s="5">
        <v>46107</v>
      </c>
      <c r="G4208" s="15" t="s">
        <v>1132</v>
      </c>
      <c r="H4208" s="7"/>
      <c r="I4208" s="14">
        <f t="shared" si="451"/>
        <v>0</v>
      </c>
      <c r="J4208" s="12" t="s">
        <v>1134</v>
      </c>
    </row>
    <row r="4209" spans="2:11" ht="14.25" thickBot="1" x14ac:dyDescent="0.2">
      <c r="B4209" s="17" t="s">
        <v>2</v>
      </c>
      <c r="C4209" s="18">
        <f>SUM(C4185:C4208)</f>
        <v>137</v>
      </c>
      <c r="D4209" s="19">
        <f t="shared" si="453"/>
        <v>137</v>
      </c>
      <c r="E4209" s="20"/>
      <c r="G4209" s="17" t="s">
        <v>2</v>
      </c>
      <c r="H4209" s="18">
        <f>SUM(H4185:H4208)</f>
        <v>1300</v>
      </c>
      <c r="I4209" s="18">
        <f>SUM(I4185:I4208)</f>
        <v>1300</v>
      </c>
      <c r="J4209" s="20"/>
    </row>
    <row r="4210" spans="2:11" ht="14.25" thickBot="1" x14ac:dyDescent="0.2">
      <c r="B4210" s="46" t="s">
        <v>3</v>
      </c>
      <c r="C4210" s="52">
        <f>C4184-C4209</f>
        <v>167</v>
      </c>
      <c r="D4210" s="48">
        <f>D4184-D4209</f>
        <v>167</v>
      </c>
      <c r="E4210" s="49"/>
      <c r="G4210" s="46" t="s">
        <v>3</v>
      </c>
      <c r="H4210" s="52">
        <f>H4184-H4209</f>
        <v>293</v>
      </c>
      <c r="I4210" s="52">
        <f>I4184-I4209</f>
        <v>293</v>
      </c>
      <c r="J4210" s="49"/>
      <c r="K4210" s="193" t="s">
        <v>1140</v>
      </c>
    </row>
    <row r="4213" spans="2:11" ht="18.75" x14ac:dyDescent="0.2">
      <c r="B4213" s="26" t="s">
        <v>7</v>
      </c>
      <c r="G4213" s="26" t="s">
        <v>35</v>
      </c>
    </row>
    <row r="4214" spans="2:11" ht="14.25" thickBot="1" x14ac:dyDescent="0.2">
      <c r="J4214">
        <v>360</v>
      </c>
    </row>
    <row r="4215" spans="2:11" ht="14.25" thickBot="1" x14ac:dyDescent="0.2">
      <c r="B4215" s="1"/>
      <c r="C4215" s="1"/>
      <c r="D4215" s="53" t="s">
        <v>0</v>
      </c>
      <c r="E4215" s="1" t="s">
        <v>4</v>
      </c>
      <c r="G4215" s="1"/>
      <c r="H4215" s="1"/>
      <c r="I4215" s="53" t="s">
        <v>0</v>
      </c>
      <c r="J4215" s="1" t="s">
        <v>4</v>
      </c>
    </row>
    <row r="4216" spans="2:11" x14ac:dyDescent="0.15">
      <c r="B4216" s="42" t="s">
        <v>5</v>
      </c>
      <c r="C4216" s="43">
        <f>C4210</f>
        <v>167</v>
      </c>
      <c r="D4216" s="44">
        <f>SUM(C4216:C4216)</f>
        <v>167</v>
      </c>
      <c r="E4216" s="45"/>
      <c r="G4216" s="42" t="s">
        <v>5</v>
      </c>
      <c r="H4216" s="43">
        <f>H4210</f>
        <v>293</v>
      </c>
      <c r="I4216" s="44">
        <f>I4210</f>
        <v>293</v>
      </c>
      <c r="J4216" s="45"/>
    </row>
    <row r="4217" spans="2:11" x14ac:dyDescent="0.15">
      <c r="B4217" s="4" t="s">
        <v>6</v>
      </c>
      <c r="C4217" s="13"/>
      <c r="D4217" s="14">
        <f t="shared" ref="D4217:D4219" si="455">SUM(C4217:C4217)</f>
        <v>0</v>
      </c>
      <c r="E4217" s="12"/>
      <c r="G4217" s="192" t="s">
        <v>6</v>
      </c>
      <c r="H4217" s="94"/>
      <c r="I4217" s="96">
        <f>SUM(H4217:H4217)</f>
        <v>0</v>
      </c>
      <c r="J4217" s="189"/>
    </row>
    <row r="4218" spans="2:11" x14ac:dyDescent="0.15">
      <c r="B4218" s="4" t="s">
        <v>6</v>
      </c>
      <c r="C4218" s="13"/>
      <c r="D4218" s="14">
        <f t="shared" si="455"/>
        <v>0</v>
      </c>
      <c r="E4218" s="12"/>
      <c r="G4218" s="192" t="s">
        <v>6</v>
      </c>
      <c r="H4218" s="94"/>
      <c r="I4218" s="96">
        <f t="shared" ref="I4218:I4219" si="456">SUM(H4218:H4218)</f>
        <v>0</v>
      </c>
      <c r="J4218" s="189"/>
    </row>
    <row r="4219" spans="2:11" ht="14.25" thickBot="1" x14ac:dyDescent="0.2">
      <c r="B4219" s="4" t="s">
        <v>6</v>
      </c>
      <c r="C4219" s="13"/>
      <c r="D4219" s="14">
        <f t="shared" si="455"/>
        <v>0</v>
      </c>
      <c r="E4219" s="12"/>
      <c r="G4219" s="192" t="s">
        <v>6</v>
      </c>
      <c r="H4219" s="94"/>
      <c r="I4219" s="96">
        <f t="shared" si="456"/>
        <v>0</v>
      </c>
      <c r="J4219" s="189"/>
    </row>
    <row r="4220" spans="2:11" ht="14.25" thickBot="1" x14ac:dyDescent="0.2">
      <c r="B4220" s="46" t="s">
        <v>1</v>
      </c>
      <c r="C4220" s="48">
        <f>SUM(C4216:C4219)</f>
        <v>167</v>
      </c>
      <c r="D4220" s="48">
        <f>SUM(D4216:D4219)</f>
        <v>167</v>
      </c>
      <c r="E4220" s="51"/>
      <c r="G4220" s="46" t="s">
        <v>1</v>
      </c>
      <c r="H4220" s="48">
        <f>SUM(H4216:H4219)</f>
        <v>293</v>
      </c>
      <c r="I4220" s="50">
        <f>SUM(I4216:I4219)</f>
        <v>293</v>
      </c>
      <c r="J4220" s="51"/>
    </row>
    <row r="4221" spans="2:11" x14ac:dyDescent="0.15">
      <c r="B4221" s="69" t="s">
        <v>18</v>
      </c>
      <c r="C4221" s="13">
        <v>1</v>
      </c>
      <c r="D4221" s="14">
        <f t="shared" ref="D4221:D4245" si="457">SUM(C4221:C4221)</f>
        <v>1</v>
      </c>
      <c r="E4221" s="5">
        <v>46108</v>
      </c>
      <c r="G4221" s="15" t="s">
        <v>1151</v>
      </c>
      <c r="H4221" s="7">
        <v>293</v>
      </c>
      <c r="I4221" s="14">
        <f t="shared" ref="I4221:I4240" si="458">SUM(H4221:H4221)</f>
        <v>293</v>
      </c>
      <c r="J4221" s="12">
        <v>46153</v>
      </c>
    </row>
    <row r="4222" spans="2:11" x14ac:dyDescent="0.15">
      <c r="B4222" s="69" t="s">
        <v>18</v>
      </c>
      <c r="C4222" s="13">
        <v>1</v>
      </c>
      <c r="D4222" s="14">
        <f t="shared" si="457"/>
        <v>1</v>
      </c>
      <c r="E4222" s="5">
        <v>46108</v>
      </c>
      <c r="G4222" s="15"/>
      <c r="H4222" s="7"/>
      <c r="I4222" s="14">
        <f t="shared" si="458"/>
        <v>0</v>
      </c>
      <c r="J4222" s="12"/>
    </row>
    <row r="4223" spans="2:11" x14ac:dyDescent="0.15">
      <c r="B4223" s="69" t="s">
        <v>18</v>
      </c>
      <c r="C4223" s="13">
        <v>17</v>
      </c>
      <c r="D4223" s="14">
        <f t="shared" si="457"/>
        <v>17</v>
      </c>
      <c r="E4223" s="5">
        <v>46111</v>
      </c>
      <c r="G4223" s="15"/>
      <c r="H4223" s="7"/>
      <c r="I4223" s="14">
        <f t="shared" si="458"/>
        <v>0</v>
      </c>
      <c r="J4223" s="12"/>
    </row>
    <row r="4224" spans="2:11" x14ac:dyDescent="0.15">
      <c r="B4224" s="69" t="s">
        <v>189</v>
      </c>
      <c r="C4224" s="13">
        <v>3</v>
      </c>
      <c r="D4224" s="14">
        <f t="shared" si="457"/>
        <v>3</v>
      </c>
      <c r="E4224" s="5">
        <v>46111</v>
      </c>
      <c r="G4224" s="15"/>
      <c r="H4224" s="7"/>
      <c r="I4224" s="14">
        <f t="shared" si="458"/>
        <v>0</v>
      </c>
      <c r="J4224" s="12"/>
    </row>
    <row r="4225" spans="2:10" x14ac:dyDescent="0.15">
      <c r="B4225" s="69" t="s">
        <v>189</v>
      </c>
      <c r="C4225" s="13">
        <v>1</v>
      </c>
      <c r="D4225" s="14">
        <f t="shared" si="457"/>
        <v>1</v>
      </c>
      <c r="E4225" s="5">
        <v>46113</v>
      </c>
      <c r="G4225" s="15"/>
      <c r="H4225" s="7"/>
      <c r="I4225" s="14">
        <f t="shared" si="458"/>
        <v>0</v>
      </c>
      <c r="J4225" s="12"/>
    </row>
    <row r="4226" spans="2:10" x14ac:dyDescent="0.15">
      <c r="B4226" s="69" t="s">
        <v>18</v>
      </c>
      <c r="C4226" s="13">
        <v>2</v>
      </c>
      <c r="D4226" s="14">
        <f t="shared" si="457"/>
        <v>2</v>
      </c>
      <c r="E4226" s="5">
        <v>46115</v>
      </c>
      <c r="G4226" s="15"/>
      <c r="H4226" s="7"/>
      <c r="I4226" s="14">
        <f t="shared" si="458"/>
        <v>0</v>
      </c>
      <c r="J4226" s="12"/>
    </row>
    <row r="4227" spans="2:10" x14ac:dyDescent="0.15">
      <c r="B4227" s="69" t="s">
        <v>189</v>
      </c>
      <c r="C4227" s="13">
        <v>1</v>
      </c>
      <c r="D4227" s="14">
        <f t="shared" si="457"/>
        <v>1</v>
      </c>
      <c r="E4227" s="5">
        <v>46114</v>
      </c>
      <c r="G4227" s="15"/>
      <c r="H4227" s="7"/>
      <c r="I4227" s="14">
        <f t="shared" si="458"/>
        <v>0</v>
      </c>
      <c r="J4227" s="12"/>
    </row>
    <row r="4228" spans="2:10" x14ac:dyDescent="0.15">
      <c r="B4228" s="69" t="s">
        <v>18</v>
      </c>
      <c r="C4228" s="13">
        <v>3</v>
      </c>
      <c r="D4228" s="14">
        <f t="shared" si="457"/>
        <v>3</v>
      </c>
      <c r="E4228" s="5">
        <v>46118</v>
      </c>
      <c r="G4228" s="15"/>
      <c r="H4228" s="7"/>
      <c r="I4228" s="14">
        <f t="shared" si="458"/>
        <v>0</v>
      </c>
      <c r="J4228" s="12"/>
    </row>
    <row r="4229" spans="2:10" x14ac:dyDescent="0.15">
      <c r="B4229" s="69" t="s">
        <v>189</v>
      </c>
      <c r="C4229" s="13">
        <v>5</v>
      </c>
      <c r="D4229" s="14">
        <f t="shared" si="457"/>
        <v>5</v>
      </c>
      <c r="E4229" s="5">
        <v>46115</v>
      </c>
      <c r="G4229" s="15"/>
      <c r="H4229" s="7"/>
      <c r="I4229" s="14">
        <f t="shared" si="458"/>
        <v>0</v>
      </c>
      <c r="J4229" s="12"/>
    </row>
    <row r="4230" spans="2:10" x14ac:dyDescent="0.15">
      <c r="B4230" s="69" t="s">
        <v>18</v>
      </c>
      <c r="C4230" s="13">
        <v>2</v>
      </c>
      <c r="D4230" s="14">
        <f t="shared" si="457"/>
        <v>2</v>
      </c>
      <c r="E4230" s="5">
        <v>46120</v>
      </c>
      <c r="G4230" s="15"/>
      <c r="H4230" s="7"/>
      <c r="I4230" s="14">
        <f t="shared" si="458"/>
        <v>0</v>
      </c>
      <c r="J4230" s="12"/>
    </row>
    <row r="4231" spans="2:10" x14ac:dyDescent="0.15">
      <c r="B4231" s="69" t="s">
        <v>189</v>
      </c>
      <c r="C4231" s="13">
        <v>4</v>
      </c>
      <c r="D4231" s="14">
        <f t="shared" si="457"/>
        <v>4</v>
      </c>
      <c r="E4231" s="5">
        <v>46118</v>
      </c>
      <c r="G4231" s="15"/>
      <c r="H4231" s="7"/>
      <c r="I4231" s="14">
        <f t="shared" si="458"/>
        <v>0</v>
      </c>
      <c r="J4231" s="12"/>
    </row>
    <row r="4232" spans="2:10" x14ac:dyDescent="0.15">
      <c r="B4232" s="69" t="s">
        <v>18</v>
      </c>
      <c r="C4232" s="13">
        <v>2</v>
      </c>
      <c r="D4232" s="14">
        <f t="shared" si="457"/>
        <v>2</v>
      </c>
      <c r="E4232" s="5">
        <v>46122</v>
      </c>
      <c r="G4232" s="15"/>
      <c r="H4232" s="7"/>
      <c r="I4232" s="14">
        <f t="shared" si="458"/>
        <v>0</v>
      </c>
      <c r="J4232" s="12"/>
    </row>
    <row r="4233" spans="2:10" x14ac:dyDescent="0.15">
      <c r="B4233" s="69" t="s">
        <v>18</v>
      </c>
      <c r="C4233" s="13">
        <v>6</v>
      </c>
      <c r="D4233" s="14">
        <f t="shared" si="457"/>
        <v>6</v>
      </c>
      <c r="E4233" s="5">
        <v>46122</v>
      </c>
      <c r="G4233" s="15"/>
      <c r="H4233" s="7"/>
      <c r="I4233" s="14">
        <f t="shared" si="458"/>
        <v>0</v>
      </c>
      <c r="J4233" s="12"/>
    </row>
    <row r="4234" spans="2:10" x14ac:dyDescent="0.15">
      <c r="B4234" s="69" t="s">
        <v>18</v>
      </c>
      <c r="C4234" s="13">
        <v>5</v>
      </c>
      <c r="D4234" s="14">
        <f t="shared" si="457"/>
        <v>5</v>
      </c>
      <c r="E4234" s="5">
        <v>46127</v>
      </c>
      <c r="G4234" s="15"/>
      <c r="H4234" s="7"/>
      <c r="I4234" s="14">
        <f t="shared" si="458"/>
        <v>0</v>
      </c>
      <c r="J4234" s="12"/>
    </row>
    <row r="4235" spans="2:10" x14ac:dyDescent="0.15">
      <c r="B4235" s="69" t="s">
        <v>189</v>
      </c>
      <c r="C4235" s="13">
        <v>2</v>
      </c>
      <c r="D4235" s="14">
        <f t="shared" si="457"/>
        <v>2</v>
      </c>
      <c r="E4235" s="5">
        <v>46125</v>
      </c>
      <c r="G4235" s="15"/>
      <c r="H4235" s="7"/>
      <c r="I4235" s="14">
        <f t="shared" si="458"/>
        <v>0</v>
      </c>
      <c r="J4235" s="12"/>
    </row>
    <row r="4236" spans="2:10" x14ac:dyDescent="0.15">
      <c r="B4236" s="69" t="s">
        <v>18</v>
      </c>
      <c r="C4236" s="13">
        <v>9</v>
      </c>
      <c r="D4236" s="14">
        <f t="shared" si="457"/>
        <v>9</v>
      </c>
      <c r="E4236" s="5">
        <v>46128</v>
      </c>
      <c r="G4236" s="15"/>
      <c r="H4236" s="7"/>
      <c r="I4236" s="14">
        <f t="shared" si="458"/>
        <v>0</v>
      </c>
      <c r="J4236" s="12"/>
    </row>
    <row r="4237" spans="2:10" x14ac:dyDescent="0.15">
      <c r="B4237" s="69" t="s">
        <v>189</v>
      </c>
      <c r="C4237" s="13">
        <v>2</v>
      </c>
      <c r="D4237" s="14">
        <f t="shared" si="457"/>
        <v>2</v>
      </c>
      <c r="E4237" s="5">
        <v>46126</v>
      </c>
      <c r="G4237" s="15"/>
      <c r="H4237" s="7"/>
      <c r="I4237" s="14">
        <f t="shared" si="458"/>
        <v>0</v>
      </c>
      <c r="J4237" s="12"/>
    </row>
    <row r="4238" spans="2:10" x14ac:dyDescent="0.15">
      <c r="B4238" s="69" t="s">
        <v>18</v>
      </c>
      <c r="C4238" s="13">
        <v>2</v>
      </c>
      <c r="D4238" s="14">
        <f t="shared" si="457"/>
        <v>2</v>
      </c>
      <c r="E4238" s="5">
        <v>46129</v>
      </c>
      <c r="G4238" s="15"/>
      <c r="H4238" s="7"/>
      <c r="I4238" s="14">
        <f t="shared" si="458"/>
        <v>0</v>
      </c>
      <c r="J4238" s="12"/>
    </row>
    <row r="4239" spans="2:10" x14ac:dyDescent="0.15">
      <c r="B4239" s="69" t="s">
        <v>18</v>
      </c>
      <c r="C4239" s="13">
        <v>5</v>
      </c>
      <c r="D4239" s="14">
        <f t="shared" si="457"/>
        <v>5</v>
      </c>
      <c r="E4239" s="5">
        <v>46129</v>
      </c>
      <c r="G4239" s="15"/>
      <c r="H4239" s="7"/>
      <c r="I4239" s="14">
        <f t="shared" si="458"/>
        <v>0</v>
      </c>
      <c r="J4239" s="12"/>
    </row>
    <row r="4240" spans="2:10" x14ac:dyDescent="0.15">
      <c r="B4240" s="69" t="s">
        <v>18</v>
      </c>
      <c r="C4240" s="13">
        <v>1</v>
      </c>
      <c r="D4240" s="14">
        <f t="shared" si="457"/>
        <v>1</v>
      </c>
      <c r="E4240" s="5">
        <v>46132</v>
      </c>
      <c r="G4240" s="15"/>
      <c r="H4240" s="7"/>
      <c r="I4240" s="14">
        <f t="shared" si="458"/>
        <v>0</v>
      </c>
      <c r="J4240" s="12"/>
    </row>
    <row r="4241" spans="2:10" x14ac:dyDescent="0.15">
      <c r="B4241" s="69" t="s">
        <v>18</v>
      </c>
      <c r="C4241" s="13">
        <v>4</v>
      </c>
      <c r="D4241" s="14">
        <f t="shared" si="457"/>
        <v>4</v>
      </c>
      <c r="E4241" s="5">
        <v>46134</v>
      </c>
      <c r="G4241" s="15"/>
      <c r="H4241" s="7"/>
      <c r="I4241" s="14">
        <f t="shared" ref="I4241:I4244" si="459">SUM(H4241:H4241)</f>
        <v>0</v>
      </c>
      <c r="J4241" s="12"/>
    </row>
    <row r="4242" spans="2:10" x14ac:dyDescent="0.15">
      <c r="B4242" s="69" t="s">
        <v>189</v>
      </c>
      <c r="C4242" s="13">
        <v>1</v>
      </c>
      <c r="D4242" s="14">
        <f t="shared" si="457"/>
        <v>1</v>
      </c>
      <c r="E4242" s="5">
        <v>46132</v>
      </c>
      <c r="G4242" s="15"/>
      <c r="H4242" s="7"/>
      <c r="I4242" s="14">
        <f t="shared" si="459"/>
        <v>0</v>
      </c>
      <c r="J4242" s="12"/>
    </row>
    <row r="4243" spans="2:10" x14ac:dyDescent="0.15">
      <c r="B4243" s="69" t="s">
        <v>18</v>
      </c>
      <c r="C4243" s="13">
        <v>7</v>
      </c>
      <c r="D4243" s="14">
        <f t="shared" si="457"/>
        <v>7</v>
      </c>
      <c r="E4243" s="5">
        <v>46135</v>
      </c>
      <c r="G4243" s="15"/>
      <c r="H4243" s="7"/>
      <c r="I4243" s="14">
        <f t="shared" si="459"/>
        <v>0</v>
      </c>
      <c r="J4243" s="12"/>
    </row>
    <row r="4244" spans="2:10" ht="14.25" thickBot="1" x14ac:dyDescent="0.2">
      <c r="B4244" s="69" t="s">
        <v>18</v>
      </c>
      <c r="C4244" s="7">
        <v>3</v>
      </c>
      <c r="D4244" s="14">
        <f t="shared" si="457"/>
        <v>3</v>
      </c>
      <c r="E4244" s="5">
        <v>46136</v>
      </c>
      <c r="G4244" s="15"/>
      <c r="H4244" s="7"/>
      <c r="I4244" s="14">
        <f t="shared" si="459"/>
        <v>0</v>
      </c>
      <c r="J4244" s="12"/>
    </row>
    <row r="4245" spans="2:10" ht="14.25" thickBot="1" x14ac:dyDescent="0.2">
      <c r="B4245" s="17" t="s">
        <v>2</v>
      </c>
      <c r="C4245" s="18">
        <f>SUM(C4221:C4244)</f>
        <v>89</v>
      </c>
      <c r="D4245" s="19">
        <f t="shared" si="457"/>
        <v>89</v>
      </c>
      <c r="E4245" s="20"/>
      <c r="G4245" s="17" t="s">
        <v>2</v>
      </c>
      <c r="H4245" s="18">
        <f>SUM(H4221:H4244)</f>
        <v>293</v>
      </c>
      <c r="I4245" s="18">
        <f>SUM(I4221:I4244)</f>
        <v>293</v>
      </c>
      <c r="J4245" s="20"/>
    </row>
    <row r="4246" spans="2:10" ht="14.25" thickBot="1" x14ac:dyDescent="0.2">
      <c r="B4246" s="46" t="s">
        <v>3</v>
      </c>
      <c r="C4246" s="52">
        <f>C4220-C4245</f>
        <v>78</v>
      </c>
      <c r="D4246" s="48">
        <f>D4220-D4245</f>
        <v>78</v>
      </c>
      <c r="E4246" s="49"/>
      <c r="G4246" s="46" t="s">
        <v>3</v>
      </c>
      <c r="H4246" s="52">
        <f>H4220-H4245</f>
        <v>0</v>
      </c>
      <c r="I4246" s="52">
        <f>I4220-I4245</f>
        <v>0</v>
      </c>
      <c r="J4246" s="49"/>
    </row>
    <row r="4249" spans="2:10" ht="18.75" x14ac:dyDescent="0.2">
      <c r="B4249" s="26" t="s">
        <v>7</v>
      </c>
      <c r="G4249" s="198" t="s">
        <v>1152</v>
      </c>
      <c r="H4249" s="199"/>
      <c r="I4249" s="199"/>
      <c r="J4249" s="199"/>
    </row>
    <row r="4250" spans="2:10" ht="14.25" thickBot="1" x14ac:dyDescent="0.2">
      <c r="J4250">
        <v>360</v>
      </c>
    </row>
    <row r="4251" spans="2:10" ht="14.25" thickBot="1" x14ac:dyDescent="0.2">
      <c r="B4251" s="1"/>
      <c r="C4251" s="1"/>
      <c r="D4251" s="53" t="s">
        <v>0</v>
      </c>
      <c r="E4251" s="1" t="s">
        <v>4</v>
      </c>
      <c r="G4251" s="1"/>
      <c r="H4251" s="1"/>
      <c r="I4251" s="53" t="s">
        <v>0</v>
      </c>
      <c r="J4251" s="1" t="s">
        <v>4</v>
      </c>
    </row>
    <row r="4252" spans="2:10" x14ac:dyDescent="0.15">
      <c r="B4252" s="42" t="s">
        <v>5</v>
      </c>
      <c r="C4252" s="43">
        <f>C4246</f>
        <v>78</v>
      </c>
      <c r="D4252" s="44">
        <f>SUM(C4252:C4252)</f>
        <v>78</v>
      </c>
      <c r="E4252" s="45"/>
      <c r="G4252" s="42" t="s">
        <v>5</v>
      </c>
      <c r="H4252" s="43">
        <f>H4246</f>
        <v>0</v>
      </c>
      <c r="I4252" s="44">
        <f>I4246</f>
        <v>0</v>
      </c>
      <c r="J4252" s="45"/>
    </row>
    <row r="4253" spans="2:10" x14ac:dyDescent="0.15">
      <c r="B4253" s="4" t="s">
        <v>6</v>
      </c>
      <c r="C4253" s="13">
        <v>293</v>
      </c>
      <c r="D4253" s="14">
        <f t="shared" ref="D4253:D4255" si="460">SUM(C4253:C4253)</f>
        <v>293</v>
      </c>
      <c r="E4253" s="12">
        <v>46153</v>
      </c>
      <c r="G4253" s="192" t="s">
        <v>6</v>
      </c>
      <c r="H4253" s="94"/>
      <c r="I4253" s="96">
        <f>SUM(H4253:H4253)</f>
        <v>0</v>
      </c>
      <c r="J4253" s="189"/>
    </row>
    <row r="4254" spans="2:10" x14ac:dyDescent="0.15">
      <c r="B4254" s="4" t="s">
        <v>105</v>
      </c>
      <c r="C4254" s="13">
        <v>3</v>
      </c>
      <c r="D4254" s="14">
        <f t="shared" si="460"/>
        <v>3</v>
      </c>
      <c r="E4254" s="12">
        <v>46168</v>
      </c>
      <c r="G4254" s="4" t="s">
        <v>6</v>
      </c>
      <c r="H4254" s="13">
        <v>1996</v>
      </c>
      <c r="I4254" s="14">
        <f>SUM(H4254:H4254)</f>
        <v>1996</v>
      </c>
      <c r="J4254" s="169" t="s">
        <v>1153</v>
      </c>
    </row>
    <row r="4255" spans="2:10" ht="14.25" thickBot="1" x14ac:dyDescent="0.2">
      <c r="B4255" s="4" t="s">
        <v>6</v>
      </c>
      <c r="C4255" s="13"/>
      <c r="D4255" s="14">
        <f t="shared" si="460"/>
        <v>0</v>
      </c>
      <c r="E4255" s="12"/>
      <c r="G4255" s="192" t="s">
        <v>6</v>
      </c>
      <c r="H4255" s="94"/>
      <c r="I4255" s="96">
        <f t="shared" ref="I4255" si="461">SUM(H4255:H4255)</f>
        <v>0</v>
      </c>
      <c r="J4255" s="189"/>
    </row>
    <row r="4256" spans="2:10" ht="14.25" thickBot="1" x14ac:dyDescent="0.2">
      <c r="B4256" s="46" t="s">
        <v>1</v>
      </c>
      <c r="C4256" s="48">
        <f>SUM(C4252:C4255)</f>
        <v>374</v>
      </c>
      <c r="D4256" s="48">
        <f>SUM(D4252:D4255)</f>
        <v>374</v>
      </c>
      <c r="E4256" s="51"/>
      <c r="G4256" s="46" t="s">
        <v>1</v>
      </c>
      <c r="H4256" s="48">
        <f>SUM(H4252:H4255)</f>
        <v>1996</v>
      </c>
      <c r="I4256" s="50">
        <f>SUM(I4252:I4255)</f>
        <v>1996</v>
      </c>
      <c r="J4256" s="51"/>
    </row>
    <row r="4257" spans="2:10" x14ac:dyDescent="0.15">
      <c r="B4257" s="69" t="s">
        <v>1150</v>
      </c>
      <c r="C4257" s="13">
        <v>11</v>
      </c>
      <c r="D4257" s="14">
        <f t="shared" ref="D4257:D4281" si="462">SUM(C4257:C4257)</f>
        <v>11</v>
      </c>
      <c r="E4257" s="5">
        <v>46137</v>
      </c>
      <c r="G4257" s="15"/>
      <c r="H4257" s="7"/>
      <c r="I4257" s="14">
        <f t="shared" ref="I4257:I4275" si="463">SUM(H4257:H4257)</f>
        <v>0</v>
      </c>
      <c r="J4257" s="12"/>
    </row>
    <row r="4258" spans="2:10" x14ac:dyDescent="0.15">
      <c r="B4258" s="69" t="s">
        <v>18</v>
      </c>
      <c r="C4258" s="13">
        <v>33</v>
      </c>
      <c r="D4258" s="14">
        <f t="shared" si="462"/>
        <v>33</v>
      </c>
      <c r="E4258" s="5">
        <v>46140</v>
      </c>
      <c r="G4258" s="15"/>
      <c r="H4258" s="7"/>
      <c r="I4258" s="14">
        <f t="shared" si="463"/>
        <v>0</v>
      </c>
      <c r="J4258" s="12"/>
    </row>
    <row r="4259" spans="2:10" x14ac:dyDescent="0.15">
      <c r="B4259" s="69" t="s">
        <v>18</v>
      </c>
      <c r="C4259" s="13">
        <v>10</v>
      </c>
      <c r="D4259" s="14">
        <f t="shared" si="462"/>
        <v>10</v>
      </c>
      <c r="E4259" s="5">
        <v>46150</v>
      </c>
      <c r="G4259" s="15"/>
      <c r="H4259" s="7"/>
      <c r="I4259" s="14">
        <f t="shared" si="463"/>
        <v>0</v>
      </c>
      <c r="J4259" s="12"/>
    </row>
    <row r="4260" spans="2:10" x14ac:dyDescent="0.15">
      <c r="B4260" s="69" t="s">
        <v>189</v>
      </c>
      <c r="C4260" s="13">
        <v>6</v>
      </c>
      <c r="D4260" s="14">
        <f t="shared" si="462"/>
        <v>6</v>
      </c>
      <c r="E4260" s="5">
        <v>46149</v>
      </c>
      <c r="G4260" s="15"/>
      <c r="H4260" s="7"/>
      <c r="I4260" s="14">
        <f t="shared" si="463"/>
        <v>0</v>
      </c>
      <c r="J4260" s="12"/>
    </row>
    <row r="4261" spans="2:10" x14ac:dyDescent="0.15">
      <c r="B4261" s="69" t="s">
        <v>189</v>
      </c>
      <c r="C4261" s="13">
        <v>4</v>
      </c>
      <c r="D4261" s="14">
        <f t="shared" si="462"/>
        <v>4</v>
      </c>
      <c r="E4261" s="5">
        <v>46150</v>
      </c>
      <c r="G4261" s="15"/>
      <c r="H4261" s="7"/>
      <c r="I4261" s="14">
        <f t="shared" si="463"/>
        <v>0</v>
      </c>
      <c r="J4261" s="12"/>
    </row>
    <row r="4262" spans="2:10" x14ac:dyDescent="0.15">
      <c r="B4262" s="69" t="s">
        <v>18</v>
      </c>
      <c r="C4262" s="13">
        <v>4</v>
      </c>
      <c r="D4262" s="14">
        <f t="shared" si="462"/>
        <v>4</v>
      </c>
      <c r="E4262" s="5">
        <v>46155</v>
      </c>
      <c r="G4262" s="15"/>
      <c r="H4262" s="7"/>
      <c r="I4262" s="14">
        <f t="shared" si="463"/>
        <v>0</v>
      </c>
      <c r="J4262" s="12"/>
    </row>
    <row r="4263" spans="2:10" x14ac:dyDescent="0.15">
      <c r="B4263" s="69" t="s">
        <v>189</v>
      </c>
      <c r="C4263" s="13">
        <v>1</v>
      </c>
      <c r="D4263" s="14">
        <f t="shared" si="462"/>
        <v>1</v>
      </c>
      <c r="E4263" s="5">
        <v>46153</v>
      </c>
      <c r="G4263" s="15"/>
      <c r="H4263" s="7"/>
      <c r="I4263" s="14">
        <f t="shared" si="463"/>
        <v>0</v>
      </c>
      <c r="J4263" s="12"/>
    </row>
    <row r="4264" spans="2:10" x14ac:dyDescent="0.15">
      <c r="B4264" s="69" t="s">
        <v>18</v>
      </c>
      <c r="C4264" s="13">
        <v>33</v>
      </c>
      <c r="D4264" s="14">
        <f t="shared" si="462"/>
        <v>33</v>
      </c>
      <c r="E4264" s="5">
        <v>46156</v>
      </c>
      <c r="G4264" s="15"/>
      <c r="H4264" s="7"/>
      <c r="I4264" s="14">
        <f t="shared" si="463"/>
        <v>0</v>
      </c>
      <c r="J4264" s="12"/>
    </row>
    <row r="4265" spans="2:10" x14ac:dyDescent="0.15">
      <c r="B4265" s="69" t="s">
        <v>18</v>
      </c>
      <c r="C4265" s="13">
        <v>6</v>
      </c>
      <c r="D4265" s="14">
        <f t="shared" si="462"/>
        <v>6</v>
      </c>
      <c r="E4265" s="5">
        <v>46157</v>
      </c>
      <c r="G4265" s="15"/>
      <c r="H4265" s="7"/>
      <c r="I4265" s="14">
        <f t="shared" si="463"/>
        <v>0</v>
      </c>
      <c r="J4265" s="12"/>
    </row>
    <row r="4266" spans="2:10" x14ac:dyDescent="0.15">
      <c r="B4266" s="69" t="s">
        <v>18</v>
      </c>
      <c r="C4266" s="13">
        <v>1</v>
      </c>
      <c r="D4266" s="14">
        <f t="shared" si="462"/>
        <v>1</v>
      </c>
      <c r="E4266" s="5">
        <v>46158</v>
      </c>
      <c r="G4266" s="15"/>
      <c r="H4266" s="7"/>
      <c r="I4266" s="14">
        <f t="shared" si="463"/>
        <v>0</v>
      </c>
      <c r="J4266" s="12"/>
    </row>
    <row r="4267" spans="2:10" x14ac:dyDescent="0.15">
      <c r="B4267" s="69" t="s">
        <v>189</v>
      </c>
      <c r="C4267" s="13">
        <v>1</v>
      </c>
      <c r="D4267" s="14">
        <f t="shared" si="462"/>
        <v>1</v>
      </c>
      <c r="E4267" s="5">
        <v>46156</v>
      </c>
      <c r="G4267" s="15"/>
      <c r="H4267" s="7"/>
      <c r="I4267" s="14">
        <f t="shared" si="463"/>
        <v>0</v>
      </c>
      <c r="J4267" s="12"/>
    </row>
    <row r="4268" spans="2:10" x14ac:dyDescent="0.15">
      <c r="B4268" s="69" t="s">
        <v>18</v>
      </c>
      <c r="C4268" s="13">
        <v>6</v>
      </c>
      <c r="D4268" s="14">
        <f t="shared" si="462"/>
        <v>6</v>
      </c>
      <c r="E4268" s="5">
        <v>46160</v>
      </c>
      <c r="G4268" s="15"/>
      <c r="H4268" s="7"/>
      <c r="I4268" s="14">
        <f t="shared" si="463"/>
        <v>0</v>
      </c>
      <c r="J4268" s="12"/>
    </row>
    <row r="4269" spans="2:10" x14ac:dyDescent="0.15">
      <c r="B4269" s="69" t="s">
        <v>18</v>
      </c>
      <c r="C4269" s="13">
        <v>1</v>
      </c>
      <c r="D4269" s="14">
        <f t="shared" si="462"/>
        <v>1</v>
      </c>
      <c r="E4269" s="5">
        <v>46162</v>
      </c>
      <c r="G4269" s="15"/>
      <c r="H4269" s="7"/>
      <c r="I4269" s="14">
        <f t="shared" si="463"/>
        <v>0</v>
      </c>
      <c r="J4269" s="12"/>
    </row>
    <row r="4270" spans="2:10" x14ac:dyDescent="0.15">
      <c r="B4270" s="69" t="s">
        <v>18</v>
      </c>
      <c r="C4270" s="13">
        <v>4</v>
      </c>
      <c r="D4270" s="14">
        <f t="shared" si="462"/>
        <v>4</v>
      </c>
      <c r="E4270" s="5">
        <v>46163</v>
      </c>
      <c r="G4270" s="15"/>
      <c r="H4270" s="7"/>
      <c r="I4270" s="14">
        <f t="shared" si="463"/>
        <v>0</v>
      </c>
      <c r="J4270" s="12"/>
    </row>
    <row r="4271" spans="2:10" x14ac:dyDescent="0.15">
      <c r="B4271" s="69" t="s">
        <v>18</v>
      </c>
      <c r="C4271" s="13">
        <v>3</v>
      </c>
      <c r="D4271" s="14">
        <f t="shared" si="462"/>
        <v>3</v>
      </c>
      <c r="E4271" s="5">
        <v>46164</v>
      </c>
      <c r="G4271" s="15"/>
      <c r="H4271" s="7"/>
      <c r="I4271" s="14">
        <f t="shared" si="463"/>
        <v>0</v>
      </c>
      <c r="J4271" s="12"/>
    </row>
    <row r="4272" spans="2:10" x14ac:dyDescent="0.15">
      <c r="B4272" s="69" t="s">
        <v>18</v>
      </c>
      <c r="C4272" s="13">
        <v>5</v>
      </c>
      <c r="D4272" s="14">
        <f t="shared" si="462"/>
        <v>5</v>
      </c>
      <c r="E4272" s="5">
        <v>46165</v>
      </c>
      <c r="G4272" s="15"/>
      <c r="H4272" s="7"/>
      <c r="I4272" s="14">
        <f t="shared" si="463"/>
        <v>0</v>
      </c>
      <c r="J4272" s="12"/>
    </row>
    <row r="4273" spans="2:10" x14ac:dyDescent="0.15">
      <c r="B4273" s="69" t="s">
        <v>18</v>
      </c>
      <c r="C4273" s="13">
        <v>1</v>
      </c>
      <c r="D4273" s="14">
        <f t="shared" si="462"/>
        <v>1</v>
      </c>
      <c r="E4273" s="5">
        <v>46167</v>
      </c>
      <c r="G4273" s="15"/>
      <c r="H4273" s="7"/>
      <c r="I4273" s="14">
        <f t="shared" si="463"/>
        <v>0</v>
      </c>
      <c r="J4273" s="12"/>
    </row>
    <row r="4274" spans="2:10" x14ac:dyDescent="0.15">
      <c r="B4274" s="69" t="s">
        <v>189</v>
      </c>
      <c r="C4274" s="13">
        <v>1</v>
      </c>
      <c r="D4274" s="14">
        <f t="shared" si="462"/>
        <v>1</v>
      </c>
      <c r="E4274" s="5">
        <v>46167</v>
      </c>
      <c r="G4274" s="15"/>
      <c r="H4274" s="7"/>
      <c r="I4274" s="14">
        <f t="shared" si="463"/>
        <v>0</v>
      </c>
      <c r="J4274" s="12"/>
    </row>
    <row r="4275" spans="2:10" x14ac:dyDescent="0.15">
      <c r="B4275" s="69" t="s">
        <v>18</v>
      </c>
      <c r="C4275" s="13">
        <v>4</v>
      </c>
      <c r="D4275" s="14">
        <f t="shared" si="462"/>
        <v>4</v>
      </c>
      <c r="E4275" s="5">
        <v>46170</v>
      </c>
      <c r="G4275" s="15"/>
      <c r="H4275" s="7"/>
      <c r="I4275" s="14">
        <f t="shared" si="463"/>
        <v>0</v>
      </c>
      <c r="J4275" s="12"/>
    </row>
    <row r="4276" spans="2:10" x14ac:dyDescent="0.15">
      <c r="B4276" s="69" t="s">
        <v>189</v>
      </c>
      <c r="C4276" s="13">
        <v>2</v>
      </c>
      <c r="D4276" s="14">
        <f t="shared" si="462"/>
        <v>2</v>
      </c>
      <c r="E4276" s="5">
        <v>46169</v>
      </c>
      <c r="G4276" s="15"/>
      <c r="H4276" s="7"/>
      <c r="I4276" s="14">
        <f t="shared" ref="I4276:I4280" si="464">SUM(H4276:H4276)</f>
        <v>0</v>
      </c>
      <c r="J4276" s="12"/>
    </row>
    <row r="4277" spans="2:10" x14ac:dyDescent="0.15">
      <c r="B4277" s="69" t="s">
        <v>18</v>
      </c>
      <c r="C4277" s="13">
        <v>1</v>
      </c>
      <c r="D4277" s="14">
        <f t="shared" si="462"/>
        <v>1</v>
      </c>
      <c r="E4277" s="5">
        <v>46172</v>
      </c>
      <c r="G4277" s="15"/>
      <c r="H4277" s="7"/>
      <c r="I4277" s="14">
        <f t="shared" si="464"/>
        <v>0</v>
      </c>
      <c r="J4277" s="12"/>
    </row>
    <row r="4278" spans="2:10" x14ac:dyDescent="0.15">
      <c r="B4278" s="69" t="s">
        <v>18</v>
      </c>
      <c r="C4278" s="13">
        <v>4</v>
      </c>
      <c r="D4278" s="14">
        <f t="shared" si="462"/>
        <v>4</v>
      </c>
      <c r="E4278" s="5">
        <v>46174</v>
      </c>
      <c r="G4278" s="15"/>
      <c r="H4278" s="7"/>
      <c r="I4278" s="14">
        <f t="shared" si="464"/>
        <v>0</v>
      </c>
      <c r="J4278" s="12"/>
    </row>
    <row r="4279" spans="2:10" x14ac:dyDescent="0.15">
      <c r="B4279" s="69" t="s">
        <v>189</v>
      </c>
      <c r="C4279" s="13">
        <v>2</v>
      </c>
      <c r="D4279" s="14">
        <f t="shared" si="462"/>
        <v>2</v>
      </c>
      <c r="E4279" s="5">
        <v>46174</v>
      </c>
      <c r="G4279" s="15"/>
      <c r="H4279" s="7"/>
      <c r="I4279" s="14">
        <f t="shared" si="464"/>
        <v>0</v>
      </c>
      <c r="J4279" s="12"/>
    </row>
    <row r="4280" spans="2:10" ht="14.25" thickBot="1" x14ac:dyDescent="0.2">
      <c r="B4280" s="69" t="s">
        <v>18</v>
      </c>
      <c r="C4280" s="7">
        <v>8</v>
      </c>
      <c r="D4280" s="14">
        <f t="shared" si="462"/>
        <v>8</v>
      </c>
      <c r="E4280" s="5">
        <v>46177</v>
      </c>
      <c r="G4280" s="15"/>
      <c r="H4280" s="7"/>
      <c r="I4280" s="14">
        <f t="shared" si="464"/>
        <v>0</v>
      </c>
      <c r="J4280" s="12"/>
    </row>
    <row r="4281" spans="2:10" ht="14.25" thickBot="1" x14ac:dyDescent="0.2">
      <c r="B4281" s="17" t="s">
        <v>2</v>
      </c>
      <c r="C4281" s="18">
        <f>SUM(C4257:C4280)</f>
        <v>152</v>
      </c>
      <c r="D4281" s="19">
        <f t="shared" si="462"/>
        <v>152</v>
      </c>
      <c r="E4281" s="20"/>
      <c r="G4281" s="17" t="s">
        <v>2</v>
      </c>
      <c r="H4281" s="18">
        <f>SUM(H4257:H4280)</f>
        <v>0</v>
      </c>
      <c r="I4281" s="18">
        <f>SUM(I4257:I4280)</f>
        <v>0</v>
      </c>
      <c r="J4281" s="20"/>
    </row>
    <row r="4282" spans="2:10" ht="14.25" thickBot="1" x14ac:dyDescent="0.2">
      <c r="B4282" s="46" t="s">
        <v>3</v>
      </c>
      <c r="C4282" s="52">
        <f>C4256-C4281</f>
        <v>222</v>
      </c>
      <c r="D4282" s="48">
        <f>D4256-D4281</f>
        <v>222</v>
      </c>
      <c r="E4282" s="49"/>
      <c r="G4282" s="46" t="s">
        <v>3</v>
      </c>
      <c r="H4282" s="52">
        <f>H4256-H4281</f>
        <v>1996</v>
      </c>
      <c r="I4282" s="52">
        <f>I4256-I4281</f>
        <v>1996</v>
      </c>
      <c r="J4282" s="49"/>
    </row>
    <row r="4285" spans="2:10" ht="18.75" x14ac:dyDescent="0.2">
      <c r="B4285" s="26" t="s">
        <v>7</v>
      </c>
      <c r="G4285" s="198" t="s">
        <v>1152</v>
      </c>
      <c r="H4285" s="199"/>
      <c r="I4285" s="199"/>
      <c r="J4285" s="199"/>
    </row>
    <row r="4286" spans="2:10" ht="14.25" thickBot="1" x14ac:dyDescent="0.2">
      <c r="J4286">
        <v>360</v>
      </c>
    </row>
    <row r="4287" spans="2:10" ht="14.25" thickBot="1" x14ac:dyDescent="0.2">
      <c r="B4287" s="1"/>
      <c r="C4287" s="1"/>
      <c r="D4287" s="53" t="s">
        <v>0</v>
      </c>
      <c r="E4287" s="1" t="s">
        <v>4</v>
      </c>
      <c r="G4287" s="1"/>
      <c r="H4287" s="1"/>
      <c r="I4287" s="53" t="s">
        <v>0</v>
      </c>
      <c r="J4287" s="1" t="s">
        <v>4</v>
      </c>
    </row>
    <row r="4288" spans="2:10" x14ac:dyDescent="0.15">
      <c r="B4288" s="42" t="s">
        <v>5</v>
      </c>
      <c r="C4288" s="43">
        <f>C4282</f>
        <v>222</v>
      </c>
      <c r="D4288" s="44">
        <f>SUM(C4288:C4288)</f>
        <v>222</v>
      </c>
      <c r="E4288" s="45"/>
      <c r="G4288" s="42" t="s">
        <v>5</v>
      </c>
      <c r="H4288" s="43">
        <f>H4282</f>
        <v>1996</v>
      </c>
      <c r="I4288" s="44">
        <f>I4282</f>
        <v>1996</v>
      </c>
      <c r="J4288" s="45"/>
    </row>
    <row r="4289" spans="2:10" x14ac:dyDescent="0.15">
      <c r="B4289" s="4" t="s">
        <v>6</v>
      </c>
      <c r="C4289" s="13"/>
      <c r="D4289" s="14">
        <f t="shared" ref="D4289" si="465">SUM(C4289:C4289)</f>
        <v>0</v>
      </c>
      <c r="E4289" s="12"/>
      <c r="G4289" s="4" t="s">
        <v>6</v>
      </c>
      <c r="H4289" s="13"/>
      <c r="I4289" s="14">
        <f>SUM(H4289:H4289)</f>
        <v>0</v>
      </c>
      <c r="J4289" s="169"/>
    </row>
    <row r="4290" spans="2:10" x14ac:dyDescent="0.15">
      <c r="B4290" s="4" t="s">
        <v>6</v>
      </c>
      <c r="C4290" s="13"/>
      <c r="D4290" s="14">
        <f t="shared" ref="D4290:D4291" si="466">SUM(C4290:C4290)</f>
        <v>0</v>
      </c>
      <c r="E4290" s="12"/>
      <c r="G4290" s="4" t="s">
        <v>6</v>
      </c>
      <c r="H4290" s="13"/>
      <c r="I4290" s="14">
        <f t="shared" ref="I4290:I4291" si="467">SUM(H4290:H4290)</f>
        <v>0</v>
      </c>
      <c r="J4290" s="169"/>
    </row>
    <row r="4291" spans="2:10" ht="14.25" thickBot="1" x14ac:dyDescent="0.2">
      <c r="B4291" s="4" t="s">
        <v>6</v>
      </c>
      <c r="C4291" s="13"/>
      <c r="D4291" s="14">
        <f t="shared" si="466"/>
        <v>0</v>
      </c>
      <c r="E4291" s="12"/>
      <c r="G4291" s="4" t="s">
        <v>6</v>
      </c>
      <c r="H4291" s="13"/>
      <c r="I4291" s="14">
        <f t="shared" si="467"/>
        <v>0</v>
      </c>
      <c r="J4291" s="169"/>
    </row>
    <row r="4292" spans="2:10" ht="14.25" thickBot="1" x14ac:dyDescent="0.2">
      <c r="B4292" s="46" t="s">
        <v>1</v>
      </c>
      <c r="C4292" s="48">
        <f>SUM(C4288:C4291)</f>
        <v>222</v>
      </c>
      <c r="D4292" s="48">
        <f>SUM(D4288:D4291)</f>
        <v>222</v>
      </c>
      <c r="E4292" s="51"/>
      <c r="G4292" s="46" t="s">
        <v>1</v>
      </c>
      <c r="H4292" s="48">
        <f>SUM(H4288:H4291)</f>
        <v>1996</v>
      </c>
      <c r="I4292" s="50">
        <f>SUM(I4288:I4291)</f>
        <v>1996</v>
      </c>
      <c r="J4292" s="51"/>
    </row>
    <row r="4293" spans="2:10" x14ac:dyDescent="0.15">
      <c r="B4293" s="69" t="s">
        <v>18</v>
      </c>
      <c r="C4293" s="13">
        <v>1</v>
      </c>
      <c r="D4293" s="14">
        <f t="shared" ref="D4293:D4299" si="468">SUM(C4293:C4293)</f>
        <v>1</v>
      </c>
      <c r="E4293" s="5">
        <v>46178</v>
      </c>
      <c r="G4293" s="15" t="s">
        <v>157</v>
      </c>
      <c r="H4293" s="7">
        <v>300</v>
      </c>
      <c r="I4293" s="14">
        <f t="shared" ref="I4293:I4316" si="469">SUM(H4293:H4293)</f>
        <v>300</v>
      </c>
      <c r="J4293" s="12">
        <v>46184</v>
      </c>
    </row>
    <row r="4294" spans="2:10" x14ac:dyDescent="0.15">
      <c r="B4294" s="69" t="s">
        <v>189</v>
      </c>
      <c r="C4294" s="13">
        <v>4</v>
      </c>
      <c r="D4294" s="14">
        <f t="shared" si="468"/>
        <v>4</v>
      </c>
      <c r="E4294" s="5">
        <v>46177</v>
      </c>
      <c r="G4294" s="15" t="s">
        <v>1157</v>
      </c>
      <c r="H4294" s="7">
        <v>600</v>
      </c>
      <c r="I4294" s="14">
        <f t="shared" si="469"/>
        <v>600</v>
      </c>
      <c r="J4294" s="12">
        <v>46189</v>
      </c>
    </row>
    <row r="4295" spans="2:10" x14ac:dyDescent="0.15">
      <c r="B4295" s="69" t="s">
        <v>189</v>
      </c>
      <c r="C4295" s="13">
        <v>1</v>
      </c>
      <c r="D4295" s="14">
        <f t="shared" si="468"/>
        <v>1</v>
      </c>
      <c r="E4295" s="5">
        <v>46178</v>
      </c>
      <c r="G4295" s="15"/>
      <c r="H4295" s="7"/>
      <c r="I4295" s="14">
        <f t="shared" si="469"/>
        <v>0</v>
      </c>
      <c r="J4295" s="12"/>
    </row>
    <row r="4296" spans="2:10" x14ac:dyDescent="0.15">
      <c r="B4296" s="69" t="s">
        <v>189</v>
      </c>
      <c r="C4296" s="13">
        <v>1</v>
      </c>
      <c r="D4296" s="14">
        <f t="shared" si="468"/>
        <v>1</v>
      </c>
      <c r="E4296" s="5">
        <v>46181</v>
      </c>
      <c r="G4296" s="15"/>
      <c r="H4296" s="7"/>
      <c r="I4296" s="14">
        <f t="shared" si="469"/>
        <v>0</v>
      </c>
      <c r="J4296" s="12"/>
    </row>
    <row r="4297" spans="2:10" x14ac:dyDescent="0.15">
      <c r="B4297" s="69" t="s">
        <v>18</v>
      </c>
      <c r="C4297" s="13">
        <v>1</v>
      </c>
      <c r="D4297" s="14">
        <f t="shared" si="468"/>
        <v>1</v>
      </c>
      <c r="E4297" s="5">
        <v>46184</v>
      </c>
      <c r="G4297" s="15"/>
      <c r="H4297" s="7"/>
      <c r="I4297" s="14">
        <f t="shared" si="469"/>
        <v>0</v>
      </c>
      <c r="J4297" s="12"/>
    </row>
    <row r="4298" spans="2:10" x14ac:dyDescent="0.15">
      <c r="B4298" s="69" t="s">
        <v>189</v>
      </c>
      <c r="C4298" s="13">
        <v>1</v>
      </c>
      <c r="D4298" s="14">
        <f t="shared" si="468"/>
        <v>1</v>
      </c>
      <c r="E4298" s="5">
        <v>46183</v>
      </c>
      <c r="G4298" s="15"/>
      <c r="H4298" s="7"/>
      <c r="I4298" s="14">
        <f t="shared" si="469"/>
        <v>0</v>
      </c>
      <c r="J4298" s="12"/>
    </row>
    <row r="4299" spans="2:10" x14ac:dyDescent="0.15">
      <c r="B4299" s="69" t="s">
        <v>18</v>
      </c>
      <c r="C4299" s="13">
        <v>1</v>
      </c>
      <c r="D4299" s="14">
        <f t="shared" si="468"/>
        <v>1</v>
      </c>
      <c r="E4299" s="5">
        <v>46185</v>
      </c>
      <c r="G4299" s="15"/>
      <c r="H4299" s="7"/>
      <c r="I4299" s="14">
        <f t="shared" si="469"/>
        <v>0</v>
      </c>
      <c r="J4299" s="12"/>
    </row>
    <row r="4300" spans="2:10" x14ac:dyDescent="0.15">
      <c r="B4300" s="69" t="s">
        <v>189</v>
      </c>
      <c r="C4300" s="13">
        <v>2</v>
      </c>
      <c r="D4300" s="14">
        <f t="shared" ref="D4300:D4317" si="470">SUM(C4300:C4300)</f>
        <v>2</v>
      </c>
      <c r="E4300" s="5">
        <v>46184</v>
      </c>
      <c r="G4300" s="15"/>
      <c r="H4300" s="7"/>
      <c r="I4300" s="14">
        <f t="shared" si="469"/>
        <v>0</v>
      </c>
      <c r="J4300" s="12"/>
    </row>
    <row r="4301" spans="2:10" x14ac:dyDescent="0.15">
      <c r="B4301" s="69" t="s">
        <v>18</v>
      </c>
      <c r="C4301" s="13">
        <v>2</v>
      </c>
      <c r="D4301" s="14">
        <f t="shared" si="470"/>
        <v>2</v>
      </c>
      <c r="E4301" s="5">
        <v>46188</v>
      </c>
      <c r="G4301" s="15"/>
      <c r="H4301" s="7"/>
      <c r="I4301" s="14">
        <f t="shared" si="469"/>
        <v>0</v>
      </c>
      <c r="J4301" s="12"/>
    </row>
    <row r="4302" spans="2:10" x14ac:dyDescent="0.15">
      <c r="B4302" s="69" t="s">
        <v>189</v>
      </c>
      <c r="C4302" s="13">
        <v>2</v>
      </c>
      <c r="D4302" s="14">
        <f t="shared" si="470"/>
        <v>2</v>
      </c>
      <c r="E4302" s="5">
        <v>46188</v>
      </c>
      <c r="G4302" s="15"/>
      <c r="H4302" s="7"/>
      <c r="I4302" s="14">
        <f t="shared" si="469"/>
        <v>0</v>
      </c>
      <c r="J4302" s="12"/>
    </row>
    <row r="4303" spans="2:10" x14ac:dyDescent="0.15">
      <c r="B4303" s="69" t="s">
        <v>18</v>
      </c>
      <c r="C4303" s="13">
        <v>2</v>
      </c>
      <c r="D4303" s="14">
        <f t="shared" si="470"/>
        <v>2</v>
      </c>
      <c r="E4303" s="5">
        <v>46192</v>
      </c>
      <c r="G4303" s="15"/>
      <c r="H4303" s="7"/>
      <c r="I4303" s="14">
        <f t="shared" si="469"/>
        <v>0</v>
      </c>
      <c r="J4303" s="12"/>
    </row>
    <row r="4304" spans="2:10" x14ac:dyDescent="0.15">
      <c r="B4304" s="69" t="s">
        <v>189</v>
      </c>
      <c r="C4304" s="13">
        <v>1</v>
      </c>
      <c r="D4304" s="14">
        <f t="shared" si="470"/>
        <v>1</v>
      </c>
      <c r="E4304" s="5">
        <v>46190</v>
      </c>
      <c r="G4304" s="15"/>
      <c r="H4304" s="7"/>
      <c r="I4304" s="14">
        <f t="shared" si="469"/>
        <v>0</v>
      </c>
      <c r="J4304" s="12"/>
    </row>
    <row r="4305" spans="2:11" x14ac:dyDescent="0.15">
      <c r="B4305" s="203" t="s">
        <v>189</v>
      </c>
      <c r="C4305" s="94">
        <v>1</v>
      </c>
      <c r="D4305" s="96">
        <f t="shared" si="470"/>
        <v>1</v>
      </c>
      <c r="E4305" s="104">
        <v>46192</v>
      </c>
      <c r="G4305" s="15"/>
      <c r="H4305" s="7"/>
      <c r="I4305" s="14">
        <f t="shared" si="469"/>
        <v>0</v>
      </c>
      <c r="J4305" s="12"/>
    </row>
    <row r="4306" spans="2:11" x14ac:dyDescent="0.15">
      <c r="B4306" s="69"/>
      <c r="C4306" s="13"/>
      <c r="D4306" s="14">
        <f t="shared" si="470"/>
        <v>0</v>
      </c>
      <c r="E4306" s="5"/>
      <c r="G4306" s="15"/>
      <c r="H4306" s="7"/>
      <c r="I4306" s="14">
        <f t="shared" si="469"/>
        <v>0</v>
      </c>
      <c r="J4306" s="12"/>
    </row>
    <row r="4307" spans="2:11" x14ac:dyDescent="0.15">
      <c r="B4307" s="69"/>
      <c r="C4307" s="13"/>
      <c r="D4307" s="14">
        <f t="shared" si="470"/>
        <v>0</v>
      </c>
      <c r="E4307" s="5"/>
      <c r="G4307" s="15"/>
      <c r="H4307" s="7"/>
      <c r="I4307" s="14">
        <f t="shared" si="469"/>
        <v>0</v>
      </c>
      <c r="J4307" s="12"/>
    </row>
    <row r="4308" spans="2:11" x14ac:dyDescent="0.15">
      <c r="B4308" s="69"/>
      <c r="C4308" s="13"/>
      <c r="D4308" s="14">
        <f t="shared" si="470"/>
        <v>0</v>
      </c>
      <c r="E4308" s="5"/>
      <c r="G4308" s="15"/>
      <c r="H4308" s="7"/>
      <c r="I4308" s="14">
        <f t="shared" si="469"/>
        <v>0</v>
      </c>
      <c r="J4308" s="12"/>
    </row>
    <row r="4309" spans="2:11" x14ac:dyDescent="0.15">
      <c r="B4309" s="69"/>
      <c r="C4309" s="13"/>
      <c r="D4309" s="14">
        <f t="shared" si="470"/>
        <v>0</v>
      </c>
      <c r="E4309" s="5"/>
      <c r="G4309" s="15"/>
      <c r="H4309" s="7"/>
      <c r="I4309" s="14">
        <f t="shared" si="469"/>
        <v>0</v>
      </c>
      <c r="J4309" s="12"/>
    </row>
    <row r="4310" spans="2:11" x14ac:dyDescent="0.15">
      <c r="B4310" s="69"/>
      <c r="C4310" s="13"/>
      <c r="D4310" s="14">
        <f t="shared" si="470"/>
        <v>0</v>
      </c>
      <c r="E4310" s="5"/>
      <c r="G4310" s="15"/>
      <c r="H4310" s="7"/>
      <c r="I4310" s="14">
        <f t="shared" si="469"/>
        <v>0</v>
      </c>
      <c r="J4310" s="12"/>
    </row>
    <row r="4311" spans="2:11" x14ac:dyDescent="0.15">
      <c r="B4311" s="69"/>
      <c r="C4311" s="13"/>
      <c r="D4311" s="14">
        <f t="shared" si="470"/>
        <v>0</v>
      </c>
      <c r="E4311" s="5"/>
      <c r="G4311" s="15"/>
      <c r="H4311" s="7"/>
      <c r="I4311" s="14">
        <f t="shared" si="469"/>
        <v>0</v>
      </c>
      <c r="J4311" s="12"/>
    </row>
    <row r="4312" spans="2:11" x14ac:dyDescent="0.15">
      <c r="B4312" s="69"/>
      <c r="C4312" s="13"/>
      <c r="D4312" s="14">
        <f t="shared" si="470"/>
        <v>0</v>
      </c>
      <c r="E4312" s="5"/>
      <c r="G4312" s="97" t="s">
        <v>1031</v>
      </c>
      <c r="H4312" s="95">
        <v>100</v>
      </c>
      <c r="I4312" s="96">
        <f t="shared" si="469"/>
        <v>100</v>
      </c>
      <c r="J4312" s="98" t="s">
        <v>1042</v>
      </c>
      <c r="K4312" s="86"/>
    </row>
    <row r="4313" spans="2:11" x14ac:dyDescent="0.15">
      <c r="B4313" s="69"/>
      <c r="C4313" s="13"/>
      <c r="D4313" s="14">
        <f t="shared" si="470"/>
        <v>0</v>
      </c>
      <c r="E4313" s="5"/>
      <c r="G4313" s="192" t="s">
        <v>955</v>
      </c>
      <c r="H4313" s="195">
        <v>-200</v>
      </c>
      <c r="I4313" s="183">
        <f t="shared" si="469"/>
        <v>-200</v>
      </c>
      <c r="J4313" s="196"/>
    </row>
    <row r="4314" spans="2:11" x14ac:dyDescent="0.15">
      <c r="B4314" s="69"/>
      <c r="C4314" s="13"/>
      <c r="D4314" s="14">
        <f t="shared" si="470"/>
        <v>0</v>
      </c>
      <c r="E4314" s="5"/>
      <c r="G4314" s="97" t="s">
        <v>879</v>
      </c>
      <c r="H4314" s="95">
        <f>700-300</f>
        <v>400</v>
      </c>
      <c r="I4314" s="96">
        <f t="shared" si="469"/>
        <v>400</v>
      </c>
      <c r="J4314" s="98" t="s">
        <v>1149</v>
      </c>
    </row>
    <row r="4315" spans="2:11" x14ac:dyDescent="0.15">
      <c r="B4315" s="69"/>
      <c r="C4315" s="13"/>
      <c r="D4315" s="14">
        <f t="shared" si="470"/>
        <v>0</v>
      </c>
      <c r="E4315" s="5"/>
      <c r="G4315" s="192" t="s">
        <v>1144</v>
      </c>
      <c r="H4315" s="195">
        <v>-300</v>
      </c>
      <c r="I4315" s="183">
        <f t="shared" si="469"/>
        <v>-300</v>
      </c>
      <c r="J4315" s="196"/>
    </row>
    <row r="4316" spans="2:11" ht="14.25" thickBot="1" x14ac:dyDescent="0.2">
      <c r="B4316" s="69"/>
      <c r="C4316" s="7"/>
      <c r="D4316" s="14">
        <f t="shared" si="470"/>
        <v>0</v>
      </c>
      <c r="E4316" s="5"/>
      <c r="G4316" s="97" t="s">
        <v>1145</v>
      </c>
      <c r="H4316" s="95">
        <f>1328-600</f>
        <v>728</v>
      </c>
      <c r="I4316" s="96">
        <f t="shared" si="469"/>
        <v>728</v>
      </c>
      <c r="J4316" s="98" t="s">
        <v>1141</v>
      </c>
    </row>
    <row r="4317" spans="2:11" ht="14.25" thickBot="1" x14ac:dyDescent="0.2">
      <c r="B4317" s="17" t="s">
        <v>2</v>
      </c>
      <c r="C4317" s="18">
        <f>SUM(C4293:C4316)</f>
        <v>20</v>
      </c>
      <c r="D4317" s="19">
        <f t="shared" si="470"/>
        <v>20</v>
      </c>
      <c r="E4317" s="20"/>
      <c r="G4317" s="17" t="s">
        <v>2</v>
      </c>
      <c r="H4317" s="18">
        <f>SUM(H4293:H4316)</f>
        <v>1628</v>
      </c>
      <c r="I4317" s="18">
        <f>SUM(I4293:I4316)</f>
        <v>1628</v>
      </c>
      <c r="J4317" s="20"/>
    </row>
    <row r="4318" spans="2:11" ht="14.25" thickBot="1" x14ac:dyDescent="0.2">
      <c r="B4318" s="46" t="s">
        <v>3</v>
      </c>
      <c r="C4318" s="52">
        <f>C4292-C4317</f>
        <v>202</v>
      </c>
      <c r="D4318" s="48">
        <f>D4292-D4317</f>
        <v>202</v>
      </c>
      <c r="E4318" s="49"/>
      <c r="G4318" s="46" t="s">
        <v>3</v>
      </c>
      <c r="H4318" s="52">
        <f>H4292-H4317</f>
        <v>368</v>
      </c>
      <c r="I4318" s="52">
        <f>I4292-I4317</f>
        <v>368</v>
      </c>
      <c r="J4318" s="49"/>
    </row>
    <row r="4321" spans="2:10" ht="18.75" x14ac:dyDescent="0.2">
      <c r="B4321" s="26" t="s">
        <v>7</v>
      </c>
      <c r="G4321" s="198" t="s">
        <v>1152</v>
      </c>
      <c r="H4321" s="199"/>
      <c r="I4321" s="199"/>
      <c r="J4321" s="199"/>
    </row>
    <row r="4322" spans="2:10" ht="14.25" thickBot="1" x14ac:dyDescent="0.2">
      <c r="J4322">
        <v>360</v>
      </c>
    </row>
    <row r="4323" spans="2:10" ht="14.25" thickBot="1" x14ac:dyDescent="0.2">
      <c r="B4323" s="1"/>
      <c r="C4323" s="1"/>
      <c r="D4323" s="53" t="s">
        <v>0</v>
      </c>
      <c r="E4323" s="1" t="s">
        <v>4</v>
      </c>
      <c r="G4323" s="1"/>
      <c r="H4323" s="1"/>
      <c r="I4323" s="53" t="s">
        <v>0</v>
      </c>
      <c r="J4323" s="1" t="s">
        <v>4</v>
      </c>
    </row>
    <row r="4324" spans="2:10" x14ac:dyDescent="0.15">
      <c r="B4324" s="42" t="s">
        <v>5</v>
      </c>
      <c r="C4324" s="43">
        <f>C4318</f>
        <v>202</v>
      </c>
      <c r="D4324" s="44">
        <f>SUM(C4324:C4324)</f>
        <v>202</v>
      </c>
      <c r="E4324" s="45"/>
      <c r="G4324" s="42" t="s">
        <v>5</v>
      </c>
      <c r="H4324" s="43">
        <f>H4318</f>
        <v>368</v>
      </c>
      <c r="I4324" s="44">
        <f>I4318</f>
        <v>368</v>
      </c>
      <c r="J4324" s="45"/>
    </row>
    <row r="4325" spans="2:10" x14ac:dyDescent="0.15">
      <c r="B4325" s="4" t="s">
        <v>6</v>
      </c>
      <c r="C4325" s="13"/>
      <c r="D4325" s="14">
        <f t="shared" ref="D4325:D4327" si="471">SUM(C4325:C4325)</f>
        <v>0</v>
      </c>
      <c r="E4325" s="12"/>
      <c r="G4325" s="4" t="s">
        <v>6</v>
      </c>
      <c r="H4325" s="13"/>
      <c r="I4325" s="14">
        <f>SUM(H4325:H4325)</f>
        <v>0</v>
      </c>
      <c r="J4325" s="169"/>
    </row>
    <row r="4326" spans="2:10" x14ac:dyDescent="0.15">
      <c r="B4326" s="4" t="s">
        <v>6</v>
      </c>
      <c r="C4326" s="13"/>
      <c r="D4326" s="14">
        <f t="shared" si="471"/>
        <v>0</v>
      </c>
      <c r="E4326" s="12"/>
      <c r="G4326" s="192" t="s">
        <v>6</v>
      </c>
      <c r="H4326" s="94">
        <v>1500</v>
      </c>
      <c r="I4326" s="96">
        <f>SUM(H4326:H4326)</f>
        <v>1500</v>
      </c>
      <c r="J4326" s="189">
        <v>46266</v>
      </c>
    </row>
    <row r="4327" spans="2:10" ht="14.25" thickBot="1" x14ac:dyDescent="0.2">
      <c r="B4327" s="4" t="s">
        <v>6</v>
      </c>
      <c r="C4327" s="13"/>
      <c r="D4327" s="14">
        <f t="shared" si="471"/>
        <v>0</v>
      </c>
      <c r="E4327" s="12"/>
      <c r="G4327" s="4" t="s">
        <v>6</v>
      </c>
      <c r="H4327" s="13"/>
      <c r="I4327" s="14">
        <f t="shared" ref="I4327" si="472">SUM(H4327:H4327)</f>
        <v>0</v>
      </c>
      <c r="J4327" s="169"/>
    </row>
    <row r="4328" spans="2:10" ht="14.25" thickBot="1" x14ac:dyDescent="0.2">
      <c r="B4328" s="46" t="s">
        <v>1</v>
      </c>
      <c r="C4328" s="48">
        <f>SUM(C4324:C4327)</f>
        <v>202</v>
      </c>
      <c r="D4328" s="48">
        <f>SUM(D4324:D4327)</f>
        <v>202</v>
      </c>
      <c r="E4328" s="51"/>
      <c r="G4328" s="46" t="s">
        <v>1</v>
      </c>
      <c r="H4328" s="48">
        <f>SUM(H4324:H4327)</f>
        <v>1868</v>
      </c>
      <c r="I4328" s="50">
        <f>SUM(I4324:I4327)</f>
        <v>1868</v>
      </c>
      <c r="J4328" s="51"/>
    </row>
    <row r="4329" spans="2:10" x14ac:dyDescent="0.15">
      <c r="B4329" s="69"/>
      <c r="C4329" s="13"/>
      <c r="D4329" s="14">
        <f t="shared" ref="D4329:D4353" si="473">SUM(C4329:C4329)</f>
        <v>0</v>
      </c>
      <c r="E4329" s="5"/>
      <c r="G4329" s="15"/>
      <c r="H4329" s="7"/>
      <c r="I4329" s="14">
        <f t="shared" ref="I4329:I4352" si="474">SUM(H4329:H4329)</f>
        <v>0</v>
      </c>
      <c r="J4329" s="12"/>
    </row>
    <row r="4330" spans="2:10" x14ac:dyDescent="0.15">
      <c r="B4330" s="69"/>
      <c r="C4330" s="13"/>
      <c r="D4330" s="14">
        <f t="shared" si="473"/>
        <v>0</v>
      </c>
      <c r="E4330" s="5"/>
      <c r="G4330" s="15"/>
      <c r="H4330" s="7"/>
      <c r="I4330" s="14">
        <f t="shared" si="474"/>
        <v>0</v>
      </c>
      <c r="J4330" s="12"/>
    </row>
    <row r="4331" spans="2:10" x14ac:dyDescent="0.15">
      <c r="B4331" s="69"/>
      <c r="C4331" s="13"/>
      <c r="D4331" s="14">
        <f t="shared" si="473"/>
        <v>0</v>
      </c>
      <c r="E4331" s="5"/>
      <c r="G4331" s="15"/>
      <c r="H4331" s="7"/>
      <c r="I4331" s="14">
        <f t="shared" si="474"/>
        <v>0</v>
      </c>
      <c r="J4331" s="12"/>
    </row>
    <row r="4332" spans="2:10" x14ac:dyDescent="0.15">
      <c r="B4332" s="69"/>
      <c r="C4332" s="13"/>
      <c r="D4332" s="14">
        <f t="shared" si="473"/>
        <v>0</v>
      </c>
      <c r="E4332" s="5"/>
      <c r="G4332" s="15"/>
      <c r="H4332" s="7"/>
      <c r="I4332" s="14">
        <f t="shared" si="474"/>
        <v>0</v>
      </c>
      <c r="J4332" s="12"/>
    </row>
    <row r="4333" spans="2:10" x14ac:dyDescent="0.15">
      <c r="B4333" s="69"/>
      <c r="C4333" s="13"/>
      <c r="D4333" s="14">
        <f t="shared" si="473"/>
        <v>0</v>
      </c>
      <c r="E4333" s="5"/>
      <c r="G4333" s="15"/>
      <c r="H4333" s="7"/>
      <c r="I4333" s="14">
        <f t="shared" si="474"/>
        <v>0</v>
      </c>
      <c r="J4333" s="12"/>
    </row>
    <row r="4334" spans="2:10" x14ac:dyDescent="0.15">
      <c r="B4334" s="69"/>
      <c r="C4334" s="13"/>
      <c r="D4334" s="14">
        <f t="shared" si="473"/>
        <v>0</v>
      </c>
      <c r="E4334" s="5"/>
      <c r="G4334" s="15"/>
      <c r="H4334" s="7"/>
      <c r="I4334" s="14">
        <f t="shared" si="474"/>
        <v>0</v>
      </c>
      <c r="J4334" s="12"/>
    </row>
    <row r="4335" spans="2:10" x14ac:dyDescent="0.15">
      <c r="B4335" s="69"/>
      <c r="C4335" s="13"/>
      <c r="D4335" s="14">
        <f t="shared" si="473"/>
        <v>0</v>
      </c>
      <c r="E4335" s="5"/>
      <c r="G4335" s="15"/>
      <c r="H4335" s="7"/>
      <c r="I4335" s="14">
        <f t="shared" si="474"/>
        <v>0</v>
      </c>
      <c r="J4335" s="12"/>
    </row>
    <row r="4336" spans="2:10" x14ac:dyDescent="0.15">
      <c r="B4336" s="69"/>
      <c r="C4336" s="13"/>
      <c r="D4336" s="14">
        <f t="shared" si="473"/>
        <v>0</v>
      </c>
      <c r="E4336" s="5"/>
      <c r="G4336" s="15"/>
      <c r="H4336" s="7"/>
      <c r="I4336" s="14">
        <f t="shared" si="474"/>
        <v>0</v>
      </c>
      <c r="J4336" s="12"/>
    </row>
    <row r="4337" spans="2:10" x14ac:dyDescent="0.15">
      <c r="B4337" s="69"/>
      <c r="C4337" s="13"/>
      <c r="D4337" s="14">
        <f t="shared" si="473"/>
        <v>0</v>
      </c>
      <c r="E4337" s="5"/>
      <c r="G4337" s="15"/>
      <c r="H4337" s="7"/>
      <c r="I4337" s="14">
        <f t="shared" si="474"/>
        <v>0</v>
      </c>
      <c r="J4337" s="12"/>
    </row>
    <row r="4338" spans="2:10" x14ac:dyDescent="0.15">
      <c r="B4338" s="69"/>
      <c r="C4338" s="13"/>
      <c r="D4338" s="14">
        <f t="shared" si="473"/>
        <v>0</v>
      </c>
      <c r="E4338" s="5"/>
      <c r="G4338" s="15"/>
      <c r="H4338" s="7"/>
      <c r="I4338" s="14">
        <f t="shared" si="474"/>
        <v>0</v>
      </c>
      <c r="J4338" s="12"/>
    </row>
    <row r="4339" spans="2:10" x14ac:dyDescent="0.15">
      <c r="B4339" s="69"/>
      <c r="C4339" s="13"/>
      <c r="D4339" s="14">
        <f t="shared" si="473"/>
        <v>0</v>
      </c>
      <c r="E4339" s="5"/>
      <c r="G4339" s="15"/>
      <c r="H4339" s="7"/>
      <c r="I4339" s="14">
        <f t="shared" si="474"/>
        <v>0</v>
      </c>
      <c r="J4339" s="12"/>
    </row>
    <row r="4340" spans="2:10" x14ac:dyDescent="0.15">
      <c r="B4340" s="69"/>
      <c r="C4340" s="13"/>
      <c r="D4340" s="14">
        <f t="shared" si="473"/>
        <v>0</v>
      </c>
      <c r="E4340" s="5"/>
      <c r="G4340" s="15"/>
      <c r="H4340" s="7"/>
      <c r="I4340" s="14">
        <f t="shared" si="474"/>
        <v>0</v>
      </c>
      <c r="J4340" s="12"/>
    </row>
    <row r="4341" spans="2:10" x14ac:dyDescent="0.15">
      <c r="B4341" s="69"/>
      <c r="C4341" s="13"/>
      <c r="D4341" s="14">
        <f t="shared" si="473"/>
        <v>0</v>
      </c>
      <c r="E4341" s="5"/>
      <c r="G4341" s="15"/>
      <c r="H4341" s="7"/>
      <c r="I4341" s="14">
        <f t="shared" si="474"/>
        <v>0</v>
      </c>
      <c r="J4341" s="12"/>
    </row>
    <row r="4342" spans="2:10" x14ac:dyDescent="0.15">
      <c r="B4342" s="69"/>
      <c r="C4342" s="13"/>
      <c r="D4342" s="14">
        <f t="shared" si="473"/>
        <v>0</v>
      </c>
      <c r="E4342" s="5"/>
      <c r="G4342" s="15"/>
      <c r="H4342" s="7"/>
      <c r="I4342" s="14">
        <f t="shared" si="474"/>
        <v>0</v>
      </c>
      <c r="J4342" s="12"/>
    </row>
    <row r="4343" spans="2:10" x14ac:dyDescent="0.15">
      <c r="B4343" s="69"/>
      <c r="C4343" s="13"/>
      <c r="D4343" s="14">
        <f t="shared" si="473"/>
        <v>0</v>
      </c>
      <c r="E4343" s="5"/>
      <c r="G4343" s="15"/>
      <c r="H4343" s="7"/>
      <c r="I4343" s="14">
        <f t="shared" si="474"/>
        <v>0</v>
      </c>
      <c r="J4343" s="12"/>
    </row>
    <row r="4344" spans="2:10" x14ac:dyDescent="0.15">
      <c r="B4344" s="69"/>
      <c r="C4344" s="13"/>
      <c r="D4344" s="14">
        <f t="shared" si="473"/>
        <v>0</v>
      </c>
      <c r="E4344" s="5"/>
      <c r="G4344" s="15"/>
      <c r="H4344" s="7"/>
      <c r="I4344" s="14">
        <f t="shared" si="474"/>
        <v>0</v>
      </c>
      <c r="J4344" s="12"/>
    </row>
    <row r="4345" spans="2:10" x14ac:dyDescent="0.15">
      <c r="B4345" s="69"/>
      <c r="C4345" s="13"/>
      <c r="D4345" s="14">
        <f t="shared" si="473"/>
        <v>0</v>
      </c>
      <c r="E4345" s="5"/>
      <c r="G4345" s="15"/>
      <c r="H4345" s="7"/>
      <c r="I4345" s="14">
        <f t="shared" si="474"/>
        <v>0</v>
      </c>
      <c r="J4345" s="12"/>
    </row>
    <row r="4346" spans="2:10" x14ac:dyDescent="0.15">
      <c r="B4346" s="69"/>
      <c r="C4346" s="13"/>
      <c r="D4346" s="14">
        <f t="shared" si="473"/>
        <v>0</v>
      </c>
      <c r="E4346" s="5"/>
      <c r="G4346" s="15"/>
      <c r="H4346" s="7"/>
      <c r="I4346" s="14">
        <f t="shared" si="474"/>
        <v>0</v>
      </c>
      <c r="J4346" s="12"/>
    </row>
    <row r="4347" spans="2:10" x14ac:dyDescent="0.15">
      <c r="B4347" s="69"/>
      <c r="C4347" s="13"/>
      <c r="D4347" s="14">
        <f t="shared" si="473"/>
        <v>0</v>
      </c>
      <c r="E4347" s="5"/>
      <c r="G4347" s="15"/>
      <c r="H4347" s="7"/>
      <c r="I4347" s="14">
        <f t="shared" si="474"/>
        <v>0</v>
      </c>
      <c r="J4347" s="12"/>
    </row>
    <row r="4348" spans="2:10" x14ac:dyDescent="0.15">
      <c r="B4348" s="69"/>
      <c r="C4348" s="13"/>
      <c r="D4348" s="14">
        <f t="shared" si="473"/>
        <v>0</v>
      </c>
      <c r="E4348" s="5"/>
      <c r="G4348" s="15"/>
      <c r="H4348" s="7"/>
      <c r="I4348" s="14">
        <f t="shared" si="474"/>
        <v>0</v>
      </c>
      <c r="J4348" s="12"/>
    </row>
    <row r="4349" spans="2:10" x14ac:dyDescent="0.15">
      <c r="B4349" s="69"/>
      <c r="C4349" s="13"/>
      <c r="D4349" s="14">
        <f t="shared" si="473"/>
        <v>0</v>
      </c>
      <c r="E4349" s="5"/>
      <c r="G4349" s="15"/>
      <c r="H4349" s="7"/>
      <c r="I4349" s="14">
        <f t="shared" si="474"/>
        <v>0</v>
      </c>
      <c r="J4349" s="12"/>
    </row>
    <row r="4350" spans="2:10" x14ac:dyDescent="0.15">
      <c r="B4350" s="69"/>
      <c r="C4350" s="13"/>
      <c r="D4350" s="14">
        <f t="shared" si="473"/>
        <v>0</v>
      </c>
      <c r="E4350" s="5"/>
      <c r="G4350" s="15"/>
      <c r="H4350" s="7"/>
      <c r="I4350" s="14">
        <f t="shared" si="474"/>
        <v>0</v>
      </c>
      <c r="J4350" s="12"/>
    </row>
    <row r="4351" spans="2:10" x14ac:dyDescent="0.15">
      <c r="B4351" s="69"/>
      <c r="C4351" s="13"/>
      <c r="D4351" s="14">
        <f t="shared" si="473"/>
        <v>0</v>
      </c>
      <c r="E4351" s="5"/>
      <c r="G4351" s="192" t="s">
        <v>1154</v>
      </c>
      <c r="H4351" s="195">
        <v>-400</v>
      </c>
      <c r="I4351" s="183">
        <f t="shared" si="474"/>
        <v>-400</v>
      </c>
      <c r="J4351" s="196"/>
    </row>
    <row r="4352" spans="2:10" ht="14.25" thickBot="1" x14ac:dyDescent="0.2">
      <c r="B4352" s="69"/>
      <c r="C4352" s="7"/>
      <c r="D4352" s="14">
        <f t="shared" si="473"/>
        <v>0</v>
      </c>
      <c r="E4352" s="5"/>
      <c r="G4352" s="97" t="s">
        <v>1155</v>
      </c>
      <c r="H4352" s="95">
        <v>1834</v>
      </c>
      <c r="I4352" s="96">
        <f t="shared" si="474"/>
        <v>1834</v>
      </c>
      <c r="J4352" s="98" t="s">
        <v>1156</v>
      </c>
    </row>
    <row r="4353" spans="2:10" ht="14.25" thickBot="1" x14ac:dyDescent="0.2">
      <c r="B4353" s="17" t="s">
        <v>2</v>
      </c>
      <c r="C4353" s="18">
        <f>SUM(C4329:C4352)</f>
        <v>0</v>
      </c>
      <c r="D4353" s="19">
        <f t="shared" si="473"/>
        <v>0</v>
      </c>
      <c r="E4353" s="20"/>
      <c r="G4353" s="17" t="s">
        <v>2</v>
      </c>
      <c r="H4353" s="18">
        <f>SUM(H4329:H4352)</f>
        <v>1434</v>
      </c>
      <c r="I4353" s="18">
        <f>SUM(I4329:I4352)</f>
        <v>1434</v>
      </c>
      <c r="J4353" s="20"/>
    </row>
    <row r="4354" spans="2:10" ht="14.25" thickBot="1" x14ac:dyDescent="0.2">
      <c r="B4354" s="46" t="s">
        <v>3</v>
      </c>
      <c r="C4354" s="52">
        <f>C4328-C4353</f>
        <v>202</v>
      </c>
      <c r="D4354" s="48">
        <f>D4328-D4353</f>
        <v>202</v>
      </c>
      <c r="E4354" s="49"/>
      <c r="G4354" s="46" t="s">
        <v>3</v>
      </c>
      <c r="H4354" s="52">
        <f>H4328-H4353</f>
        <v>434</v>
      </c>
      <c r="I4354" s="52">
        <f>I4328-I4353</f>
        <v>434</v>
      </c>
      <c r="J4354" s="49"/>
    </row>
  </sheetData>
  <mergeCells count="5">
    <mergeCell ref="E3564:I3564"/>
    <mergeCell ref="B3888:J3888"/>
    <mergeCell ref="B3924:J3924"/>
    <mergeCell ref="B3960:J3960"/>
    <mergeCell ref="B3996:J3996"/>
  </mergeCells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46"/>
  <sheetViews>
    <sheetView topLeftCell="A1513" workbookViewId="0">
      <selection activeCell="K1535" sqref="K1535"/>
    </sheetView>
  </sheetViews>
  <sheetFormatPr defaultRowHeight="13.5" x14ac:dyDescent="0.15"/>
  <cols>
    <col min="1" max="1" width="5.25" customWidth="1"/>
    <col min="2" max="2" width="23.25" customWidth="1"/>
    <col min="3" max="4" width="12.125" customWidth="1"/>
    <col min="5" max="5" width="14.625" customWidth="1"/>
    <col min="6" max="6" width="9.25" bestFit="1" customWidth="1"/>
    <col min="7" max="7" width="22.625" customWidth="1"/>
    <col min="8" max="10" width="12.375" customWidth="1"/>
  </cols>
  <sheetData>
    <row r="1" spans="2:6" ht="18.75" x14ac:dyDescent="0.2">
      <c r="B1" s="26" t="s">
        <v>7</v>
      </c>
    </row>
    <row r="2" spans="2:6" ht="14.25" thickBot="1" x14ac:dyDescent="0.2"/>
    <row r="3" spans="2:6" ht="14.25" thickBot="1" x14ac:dyDescent="0.2">
      <c r="B3" s="1"/>
      <c r="C3" s="1"/>
      <c r="D3" s="53" t="s">
        <v>0</v>
      </c>
      <c r="E3" s="1" t="s">
        <v>4</v>
      </c>
    </row>
    <row r="4" spans="2:6" x14ac:dyDescent="0.15">
      <c r="B4" s="42" t="s">
        <v>9</v>
      </c>
      <c r="C4" s="43">
        <v>300</v>
      </c>
      <c r="D4" s="44">
        <f>SUM(C4:C4)</f>
        <v>300</v>
      </c>
      <c r="E4" s="45">
        <v>40984</v>
      </c>
    </row>
    <row r="5" spans="2:6" x14ac:dyDescent="0.15">
      <c r="B5" s="4" t="s">
        <v>6</v>
      </c>
      <c r="C5" s="39"/>
      <c r="D5" s="40">
        <f>SUM(C5:C5)</f>
        <v>0</v>
      </c>
      <c r="E5" s="41"/>
    </row>
    <row r="6" spans="2:6" x14ac:dyDescent="0.15">
      <c r="B6" s="4" t="s">
        <v>6</v>
      </c>
      <c r="C6" s="54">
        <v>336</v>
      </c>
      <c r="D6" s="33">
        <f>SUM(C6:C6)</f>
        <v>336</v>
      </c>
      <c r="E6" s="34">
        <v>41030</v>
      </c>
    </row>
    <row r="7" spans="2:6" ht="14.25" thickBot="1" x14ac:dyDescent="0.2">
      <c r="B7" s="6" t="s">
        <v>6</v>
      </c>
      <c r="C7" s="55">
        <v>336</v>
      </c>
      <c r="D7" s="8">
        <f>SUM(C7:C7)</f>
        <v>336</v>
      </c>
      <c r="E7" s="9">
        <v>41065</v>
      </c>
    </row>
    <row r="8" spans="2:6" ht="14.25" thickBot="1" x14ac:dyDescent="0.2">
      <c r="B8" s="46" t="s">
        <v>1</v>
      </c>
      <c r="C8" s="50">
        <f>SUM(C4:C7)</f>
        <v>972</v>
      </c>
      <c r="D8" s="48">
        <f>SUM(D4:D7)</f>
        <v>972</v>
      </c>
      <c r="E8" s="51"/>
    </row>
    <row r="9" spans="2:6" x14ac:dyDescent="0.15">
      <c r="B9" s="27" t="s">
        <v>8</v>
      </c>
      <c r="C9" s="35">
        <v>40</v>
      </c>
      <c r="D9" s="36">
        <f t="shared" ref="D9:D33" si="0">SUM(C9:C9)</f>
        <v>40</v>
      </c>
      <c r="E9" s="38">
        <v>40995</v>
      </c>
    </row>
    <row r="10" spans="2:6" x14ac:dyDescent="0.15">
      <c r="B10" s="10" t="s">
        <v>10</v>
      </c>
      <c r="C10" s="13">
        <v>20</v>
      </c>
      <c r="D10" s="14">
        <f t="shared" si="0"/>
        <v>20</v>
      </c>
      <c r="E10" s="5">
        <v>41005</v>
      </c>
      <c r="F10" s="25"/>
    </row>
    <row r="11" spans="2:6" x14ac:dyDescent="0.15">
      <c r="B11" s="10" t="s">
        <v>12</v>
      </c>
      <c r="C11" s="13">
        <v>50</v>
      </c>
      <c r="D11" s="14">
        <f t="shared" si="0"/>
        <v>50</v>
      </c>
      <c r="E11" s="5">
        <v>41015</v>
      </c>
      <c r="F11" s="25"/>
    </row>
    <row r="12" spans="2:6" x14ac:dyDescent="0.15">
      <c r="B12" s="27" t="s">
        <v>10</v>
      </c>
      <c r="C12" s="22">
        <v>30</v>
      </c>
      <c r="D12" s="23">
        <f t="shared" si="0"/>
        <v>30</v>
      </c>
      <c r="E12" s="29">
        <v>41026</v>
      </c>
      <c r="F12" s="25"/>
    </row>
    <row r="13" spans="2:6" x14ac:dyDescent="0.15">
      <c r="B13" s="27" t="s">
        <v>14</v>
      </c>
      <c r="C13" s="22">
        <v>35</v>
      </c>
      <c r="D13" s="23">
        <f t="shared" si="0"/>
        <v>35</v>
      </c>
      <c r="E13" s="29">
        <v>41038</v>
      </c>
      <c r="F13" s="25"/>
    </row>
    <row r="14" spans="2:6" x14ac:dyDescent="0.15">
      <c r="B14" s="27" t="s">
        <v>10</v>
      </c>
      <c r="C14" s="22">
        <v>30</v>
      </c>
      <c r="D14" s="23">
        <f t="shared" si="0"/>
        <v>30</v>
      </c>
      <c r="E14" s="29">
        <v>41045</v>
      </c>
      <c r="F14" s="25"/>
    </row>
    <row r="15" spans="2:6" x14ac:dyDescent="0.15">
      <c r="B15" s="10" t="s">
        <v>8</v>
      </c>
      <c r="C15" s="13">
        <v>30</v>
      </c>
      <c r="D15" s="14">
        <f t="shared" si="0"/>
        <v>30</v>
      </c>
      <c r="E15" s="5">
        <v>41054</v>
      </c>
      <c r="F15" s="25"/>
    </row>
    <row r="16" spans="2:6" x14ac:dyDescent="0.15">
      <c r="B16" s="27" t="s">
        <v>15</v>
      </c>
      <c r="C16" s="22">
        <v>20</v>
      </c>
      <c r="D16" s="23">
        <f t="shared" si="0"/>
        <v>20</v>
      </c>
      <c r="E16" s="29">
        <v>41047</v>
      </c>
      <c r="F16" s="25"/>
    </row>
    <row r="17" spans="2:6" x14ac:dyDescent="0.15">
      <c r="B17" s="10" t="s">
        <v>16</v>
      </c>
      <c r="C17" s="13">
        <v>30</v>
      </c>
      <c r="D17" s="14">
        <f t="shared" si="0"/>
        <v>30</v>
      </c>
      <c r="E17" s="5">
        <v>41050</v>
      </c>
      <c r="F17" s="25"/>
    </row>
    <row r="18" spans="2:6" x14ac:dyDescent="0.15">
      <c r="B18" s="27" t="s">
        <v>10</v>
      </c>
      <c r="C18" s="22">
        <v>50</v>
      </c>
      <c r="D18" s="23">
        <f t="shared" si="0"/>
        <v>50</v>
      </c>
      <c r="E18" s="29">
        <v>41058</v>
      </c>
      <c r="F18" s="25"/>
    </row>
    <row r="19" spans="2:6" x14ac:dyDescent="0.15">
      <c r="B19" s="27" t="s">
        <v>12</v>
      </c>
      <c r="C19" s="22">
        <v>1</v>
      </c>
      <c r="D19" s="23">
        <f t="shared" si="0"/>
        <v>1</v>
      </c>
      <c r="E19" s="29">
        <v>41053</v>
      </c>
      <c r="F19" s="28"/>
    </row>
    <row r="20" spans="2:6" x14ac:dyDescent="0.15">
      <c r="B20" s="27" t="s">
        <v>10</v>
      </c>
      <c r="C20" s="22">
        <v>100</v>
      </c>
      <c r="D20" s="23">
        <f t="shared" si="0"/>
        <v>100</v>
      </c>
      <c r="E20" s="29">
        <v>41061</v>
      </c>
      <c r="F20" s="28"/>
    </row>
    <row r="21" spans="2:6" x14ac:dyDescent="0.15">
      <c r="B21" s="21" t="s">
        <v>10</v>
      </c>
      <c r="C21" s="22">
        <v>40</v>
      </c>
      <c r="D21" s="23">
        <f t="shared" si="0"/>
        <v>40</v>
      </c>
      <c r="E21" s="29">
        <v>41067</v>
      </c>
      <c r="F21" s="25"/>
    </row>
    <row r="22" spans="2:6" x14ac:dyDescent="0.15">
      <c r="B22" s="27" t="s">
        <v>15</v>
      </c>
      <c r="C22" s="13">
        <v>40</v>
      </c>
      <c r="D22" s="14">
        <f t="shared" si="0"/>
        <v>40</v>
      </c>
      <c r="E22" s="5">
        <v>41071</v>
      </c>
      <c r="F22" s="25"/>
    </row>
    <row r="23" spans="2:6" x14ac:dyDescent="0.15">
      <c r="B23" s="27" t="s">
        <v>10</v>
      </c>
      <c r="C23" s="22">
        <v>60</v>
      </c>
      <c r="D23" s="23">
        <f t="shared" si="0"/>
        <v>60</v>
      </c>
      <c r="E23" s="29">
        <v>41078</v>
      </c>
      <c r="F23" s="25"/>
    </row>
    <row r="24" spans="2:6" x14ac:dyDescent="0.15">
      <c r="B24" s="10" t="s">
        <v>12</v>
      </c>
      <c r="C24" s="22">
        <v>40</v>
      </c>
      <c r="D24" s="23">
        <f t="shared" si="0"/>
        <v>40</v>
      </c>
      <c r="E24" s="5">
        <v>41076</v>
      </c>
      <c r="F24" s="25"/>
    </row>
    <row r="25" spans="2:6" x14ac:dyDescent="0.15">
      <c r="B25" s="27" t="s">
        <v>10</v>
      </c>
      <c r="C25" s="22">
        <v>30</v>
      </c>
      <c r="D25" s="23">
        <f t="shared" si="0"/>
        <v>30</v>
      </c>
      <c r="E25" s="29">
        <v>41082</v>
      </c>
      <c r="F25" s="28"/>
    </row>
    <row r="26" spans="2:6" x14ac:dyDescent="0.15">
      <c r="B26" s="27" t="s">
        <v>10</v>
      </c>
      <c r="C26" s="22">
        <v>60</v>
      </c>
      <c r="D26" s="23">
        <f t="shared" si="0"/>
        <v>60</v>
      </c>
      <c r="E26" s="29">
        <v>41088</v>
      </c>
      <c r="F26" s="25"/>
    </row>
    <row r="27" spans="2:6" x14ac:dyDescent="0.15">
      <c r="B27" s="27" t="s">
        <v>8</v>
      </c>
      <c r="C27" s="22">
        <v>40</v>
      </c>
      <c r="D27" s="23">
        <f t="shared" si="0"/>
        <v>40</v>
      </c>
      <c r="E27" s="29">
        <v>41094</v>
      </c>
      <c r="F27" s="25"/>
    </row>
    <row r="28" spans="2:6" x14ac:dyDescent="0.15">
      <c r="B28" s="27" t="s">
        <v>10</v>
      </c>
      <c r="C28" s="22">
        <v>60</v>
      </c>
      <c r="D28" s="23">
        <f t="shared" si="0"/>
        <v>60</v>
      </c>
      <c r="E28" s="29">
        <v>41096</v>
      </c>
      <c r="F28" s="25"/>
    </row>
    <row r="29" spans="2:6" x14ac:dyDescent="0.15">
      <c r="B29" s="27" t="s">
        <v>12</v>
      </c>
      <c r="C29" s="13">
        <v>50</v>
      </c>
      <c r="D29" s="14">
        <f t="shared" si="0"/>
        <v>50</v>
      </c>
      <c r="E29" s="5">
        <v>41100</v>
      </c>
      <c r="F29" s="25"/>
    </row>
    <row r="30" spans="2:6" x14ac:dyDescent="0.15">
      <c r="B30" s="27"/>
      <c r="C30" s="22"/>
      <c r="D30" s="23">
        <f t="shared" si="0"/>
        <v>0</v>
      </c>
      <c r="E30" s="29"/>
      <c r="F30" s="28"/>
    </row>
    <row r="31" spans="2:6" x14ac:dyDescent="0.15">
      <c r="B31" s="10"/>
      <c r="C31" s="13"/>
      <c r="D31" s="14">
        <f t="shared" si="0"/>
        <v>0</v>
      </c>
      <c r="E31" s="5"/>
      <c r="F31" s="25"/>
    </row>
    <row r="32" spans="2:6" ht="14.25" thickBot="1" x14ac:dyDescent="0.2">
      <c r="B32" s="21" t="s">
        <v>11</v>
      </c>
      <c r="C32" s="54">
        <v>20</v>
      </c>
      <c r="D32" s="23">
        <f t="shared" si="0"/>
        <v>20</v>
      </c>
      <c r="E32" s="31">
        <v>41075</v>
      </c>
      <c r="F32" s="25"/>
    </row>
    <row r="33" spans="2:6" ht="14.25" thickBot="1" x14ac:dyDescent="0.2">
      <c r="B33" s="17" t="s">
        <v>2</v>
      </c>
      <c r="C33" s="18">
        <f>SUM(C9:C32)</f>
        <v>876</v>
      </c>
      <c r="D33" s="19">
        <f t="shared" si="0"/>
        <v>876</v>
      </c>
      <c r="E33" s="20"/>
    </row>
    <row r="34" spans="2:6" ht="14.25" thickBot="1" x14ac:dyDescent="0.2">
      <c r="B34" s="46" t="s">
        <v>3</v>
      </c>
      <c r="C34" s="52">
        <f>C8-C33</f>
        <v>96</v>
      </c>
      <c r="D34" s="48">
        <f>D8-D33</f>
        <v>96</v>
      </c>
      <c r="E34" s="49"/>
    </row>
    <row r="37" spans="2:6" ht="18.75" x14ac:dyDescent="0.2">
      <c r="B37" s="26" t="s">
        <v>7</v>
      </c>
    </row>
    <row r="38" spans="2:6" ht="14.25" thickBot="1" x14ac:dyDescent="0.2"/>
    <row r="39" spans="2:6" ht="14.25" thickBot="1" x14ac:dyDescent="0.2">
      <c r="B39" s="1"/>
      <c r="C39" s="58"/>
      <c r="D39" s="53" t="s">
        <v>0</v>
      </c>
      <c r="E39" s="58" t="s">
        <v>4</v>
      </c>
    </row>
    <row r="40" spans="2:6" x14ac:dyDescent="0.15">
      <c r="B40" s="56" t="s">
        <v>5</v>
      </c>
      <c r="C40" s="59">
        <f>C34</f>
        <v>96</v>
      </c>
      <c r="D40" s="61">
        <f>SUM(C40:C40)</f>
        <v>96</v>
      </c>
      <c r="E40" s="45"/>
    </row>
    <row r="41" spans="2:6" x14ac:dyDescent="0.15">
      <c r="B41" s="57" t="s">
        <v>6</v>
      </c>
      <c r="C41" s="60">
        <v>336</v>
      </c>
      <c r="D41" s="62">
        <f>SUM(C41:C41)</f>
        <v>336</v>
      </c>
      <c r="E41" s="29">
        <v>41096</v>
      </c>
    </row>
    <row r="42" spans="2:6" x14ac:dyDescent="0.15">
      <c r="B42" s="63" t="s">
        <v>6</v>
      </c>
      <c r="C42" s="60">
        <v>672</v>
      </c>
      <c r="D42" s="62">
        <f>SUM(C42:C42)</f>
        <v>672</v>
      </c>
      <c r="E42" s="29">
        <v>41125</v>
      </c>
    </row>
    <row r="43" spans="2:6" ht="14.25" thickBot="1" x14ac:dyDescent="0.2">
      <c r="B43" s="63" t="s">
        <v>6</v>
      </c>
      <c r="C43" s="64">
        <v>329</v>
      </c>
      <c r="D43" s="62">
        <f>SUM(C43:C43)</f>
        <v>329</v>
      </c>
      <c r="E43" s="31">
        <v>41145</v>
      </c>
      <c r="F43" s="37"/>
    </row>
    <row r="44" spans="2:6" ht="14.25" thickBot="1" x14ac:dyDescent="0.2">
      <c r="B44" s="46" t="s">
        <v>1</v>
      </c>
      <c r="C44" s="47">
        <f>SUM(C40:C43)</f>
        <v>1433</v>
      </c>
      <c r="D44" s="48">
        <f>SUM(D40:D43)</f>
        <v>1433</v>
      </c>
      <c r="E44" s="49"/>
    </row>
    <row r="45" spans="2:6" x14ac:dyDescent="0.15">
      <c r="B45" s="66" t="s">
        <v>10</v>
      </c>
      <c r="C45" s="35">
        <v>60</v>
      </c>
      <c r="D45" s="36">
        <f t="shared" ref="D45:D69" si="1">SUM(C45:C45)</f>
        <v>60</v>
      </c>
      <c r="E45" s="24">
        <v>41101</v>
      </c>
    </row>
    <row r="46" spans="2:6" x14ac:dyDescent="0.15">
      <c r="B46" s="27" t="s">
        <v>10</v>
      </c>
      <c r="C46" s="22">
        <v>120</v>
      </c>
      <c r="D46" s="23">
        <f t="shared" si="1"/>
        <v>120</v>
      </c>
      <c r="E46" s="24">
        <v>41108</v>
      </c>
    </row>
    <row r="47" spans="2:6" x14ac:dyDescent="0.15">
      <c r="B47" s="10" t="s">
        <v>16</v>
      </c>
      <c r="C47" s="13">
        <v>50</v>
      </c>
      <c r="D47" s="14">
        <f t="shared" si="1"/>
        <v>50</v>
      </c>
      <c r="E47" s="12">
        <v>41108</v>
      </c>
    </row>
    <row r="48" spans="2:6" x14ac:dyDescent="0.15">
      <c r="B48" s="10" t="s">
        <v>18</v>
      </c>
      <c r="C48" s="13">
        <v>24</v>
      </c>
      <c r="D48" s="14">
        <f t="shared" si="1"/>
        <v>24</v>
      </c>
      <c r="E48" s="12">
        <v>41111</v>
      </c>
    </row>
    <row r="49" spans="2:5" x14ac:dyDescent="0.15">
      <c r="B49" s="27" t="s">
        <v>10</v>
      </c>
      <c r="C49" s="22">
        <v>90</v>
      </c>
      <c r="D49" s="23">
        <f t="shared" si="1"/>
        <v>90</v>
      </c>
      <c r="E49" s="24">
        <v>41117</v>
      </c>
    </row>
    <row r="50" spans="2:5" x14ac:dyDescent="0.15">
      <c r="B50" s="27" t="s">
        <v>8</v>
      </c>
      <c r="C50" s="22">
        <v>30</v>
      </c>
      <c r="D50" s="23">
        <f t="shared" si="1"/>
        <v>30</v>
      </c>
      <c r="E50" s="24">
        <v>41120</v>
      </c>
    </row>
    <row r="51" spans="2:5" x14ac:dyDescent="0.15">
      <c r="B51" s="27" t="s">
        <v>18</v>
      </c>
      <c r="C51" s="22">
        <v>44</v>
      </c>
      <c r="D51" s="23">
        <f t="shared" si="1"/>
        <v>44</v>
      </c>
      <c r="E51" s="24">
        <v>41117</v>
      </c>
    </row>
    <row r="52" spans="2:5" x14ac:dyDescent="0.15">
      <c r="B52" s="10" t="s">
        <v>12</v>
      </c>
      <c r="C52" s="13">
        <v>14</v>
      </c>
      <c r="D52" s="14">
        <f t="shared" si="1"/>
        <v>14</v>
      </c>
      <c r="E52" s="12">
        <v>41118</v>
      </c>
    </row>
    <row r="53" spans="2:5" x14ac:dyDescent="0.15">
      <c r="B53" s="27" t="s">
        <v>10</v>
      </c>
      <c r="C53" s="22">
        <v>150</v>
      </c>
      <c r="D53" s="23">
        <f t="shared" si="1"/>
        <v>150</v>
      </c>
      <c r="E53" s="24">
        <v>41128</v>
      </c>
    </row>
    <row r="54" spans="2:5" x14ac:dyDescent="0.15">
      <c r="B54" s="67"/>
      <c r="C54" s="54">
        <v>200</v>
      </c>
      <c r="D54" s="23">
        <f>SUM(C54:C54)</f>
        <v>200</v>
      </c>
      <c r="E54" s="29">
        <v>41125</v>
      </c>
    </row>
    <row r="55" spans="2:5" x14ac:dyDescent="0.15">
      <c r="B55" s="10" t="s">
        <v>22</v>
      </c>
      <c r="C55" s="22">
        <v>30</v>
      </c>
      <c r="D55" s="23">
        <f t="shared" si="1"/>
        <v>30</v>
      </c>
      <c r="E55" s="24">
        <v>41131</v>
      </c>
    </row>
    <row r="56" spans="2:5" x14ac:dyDescent="0.15">
      <c r="B56" s="27" t="s">
        <v>23</v>
      </c>
      <c r="C56" s="22">
        <v>13</v>
      </c>
      <c r="D56" s="23">
        <f t="shared" si="1"/>
        <v>13</v>
      </c>
      <c r="E56" s="24">
        <v>41138</v>
      </c>
    </row>
    <row r="57" spans="2:5" x14ac:dyDescent="0.15">
      <c r="B57" s="27" t="s">
        <v>18</v>
      </c>
      <c r="C57" s="22">
        <v>29</v>
      </c>
      <c r="D57" s="23">
        <f t="shared" si="1"/>
        <v>29</v>
      </c>
      <c r="E57" s="24">
        <v>41139</v>
      </c>
    </row>
    <row r="58" spans="2:5" x14ac:dyDescent="0.15">
      <c r="B58" s="27" t="s">
        <v>18</v>
      </c>
      <c r="C58" s="22">
        <v>60</v>
      </c>
      <c r="D58" s="23">
        <f t="shared" si="1"/>
        <v>60</v>
      </c>
      <c r="E58" s="24">
        <v>41142</v>
      </c>
    </row>
    <row r="59" spans="2:5" x14ac:dyDescent="0.15">
      <c r="B59" s="15" t="s">
        <v>12</v>
      </c>
      <c r="C59" s="13">
        <v>50</v>
      </c>
      <c r="D59" s="14">
        <f t="shared" si="1"/>
        <v>50</v>
      </c>
      <c r="E59" s="12">
        <v>41141</v>
      </c>
    </row>
    <row r="60" spans="2:5" x14ac:dyDescent="0.15">
      <c r="B60" s="27" t="s">
        <v>8</v>
      </c>
      <c r="C60" s="22">
        <v>19</v>
      </c>
      <c r="D60" s="23">
        <f t="shared" si="1"/>
        <v>19</v>
      </c>
      <c r="E60" s="24">
        <v>41149</v>
      </c>
    </row>
    <row r="61" spans="2:5" x14ac:dyDescent="0.15">
      <c r="B61" s="27" t="s">
        <v>18</v>
      </c>
      <c r="C61" s="22">
        <v>25</v>
      </c>
      <c r="D61" s="23">
        <f t="shared" si="1"/>
        <v>25</v>
      </c>
      <c r="E61" s="24">
        <v>41144</v>
      </c>
    </row>
    <row r="62" spans="2:5" x14ac:dyDescent="0.15">
      <c r="B62" s="10" t="s">
        <v>10</v>
      </c>
      <c r="C62" s="13">
        <v>60</v>
      </c>
      <c r="D62" s="14">
        <f t="shared" si="1"/>
        <v>60</v>
      </c>
      <c r="E62" s="12">
        <v>41159</v>
      </c>
    </row>
    <row r="63" spans="2:5" x14ac:dyDescent="0.15">
      <c r="B63" s="27" t="s">
        <v>18</v>
      </c>
      <c r="C63" s="22">
        <v>2</v>
      </c>
      <c r="D63" s="23">
        <f t="shared" si="1"/>
        <v>2</v>
      </c>
      <c r="E63" s="24">
        <v>41157</v>
      </c>
    </row>
    <row r="64" spans="2:5" x14ac:dyDescent="0.15">
      <c r="B64" s="21" t="s">
        <v>22</v>
      </c>
      <c r="C64" s="22">
        <v>50</v>
      </c>
      <c r="D64" s="23">
        <f t="shared" si="1"/>
        <v>50</v>
      </c>
      <c r="E64" s="29">
        <v>41158</v>
      </c>
    </row>
    <row r="65" spans="2:10" x14ac:dyDescent="0.15">
      <c r="B65" s="27" t="s">
        <v>23</v>
      </c>
      <c r="C65" s="22">
        <v>48</v>
      </c>
      <c r="D65" s="23">
        <f t="shared" si="1"/>
        <v>48</v>
      </c>
      <c r="E65" s="29">
        <v>41165</v>
      </c>
    </row>
    <row r="66" spans="2:10" x14ac:dyDescent="0.15">
      <c r="B66" s="21" t="s">
        <v>10</v>
      </c>
      <c r="C66" s="22">
        <v>90</v>
      </c>
      <c r="D66" s="23">
        <f t="shared" si="1"/>
        <v>90</v>
      </c>
      <c r="E66" s="29">
        <v>41171</v>
      </c>
    </row>
    <row r="67" spans="2:10" x14ac:dyDescent="0.15">
      <c r="B67" s="21" t="s">
        <v>22</v>
      </c>
      <c r="C67" s="13">
        <v>10</v>
      </c>
      <c r="D67" s="14">
        <f t="shared" si="1"/>
        <v>10</v>
      </c>
      <c r="E67" s="5">
        <v>41165</v>
      </c>
    </row>
    <row r="68" spans="2:10" ht="14.25" thickBot="1" x14ac:dyDescent="0.2">
      <c r="B68" s="68"/>
      <c r="C68" s="7"/>
      <c r="D68" s="14">
        <f t="shared" si="1"/>
        <v>0</v>
      </c>
      <c r="E68" s="16"/>
    </row>
    <row r="69" spans="2:10" ht="14.25" thickBot="1" x14ac:dyDescent="0.2">
      <c r="B69" s="17" t="s">
        <v>2</v>
      </c>
      <c r="C69" s="18">
        <f>SUM(C45:C68)</f>
        <v>1268</v>
      </c>
      <c r="D69" s="19">
        <f t="shared" si="1"/>
        <v>1268</v>
      </c>
      <c r="E69" s="20"/>
    </row>
    <row r="70" spans="2:10" ht="14.25" thickBot="1" x14ac:dyDescent="0.2">
      <c r="B70" s="46" t="s">
        <v>3</v>
      </c>
      <c r="C70" s="52">
        <f>C44-C69</f>
        <v>165</v>
      </c>
      <c r="D70" s="48">
        <f>D44-D69</f>
        <v>165</v>
      </c>
      <c r="E70" s="49"/>
    </row>
    <row r="73" spans="2:10" ht="18.75" x14ac:dyDescent="0.2">
      <c r="B73" s="26" t="s">
        <v>7</v>
      </c>
      <c r="G73" s="26" t="s">
        <v>35</v>
      </c>
    </row>
    <row r="74" spans="2:10" ht="14.25" thickBot="1" x14ac:dyDescent="0.2"/>
    <row r="75" spans="2:10" ht="14.25" thickBot="1" x14ac:dyDescent="0.2">
      <c r="B75" s="1"/>
      <c r="C75" s="2"/>
      <c r="D75" s="3" t="s">
        <v>0</v>
      </c>
      <c r="E75" s="1" t="s">
        <v>4</v>
      </c>
      <c r="G75" s="1"/>
      <c r="H75" s="2"/>
      <c r="I75" s="3" t="s">
        <v>0</v>
      </c>
      <c r="J75" s="1" t="s">
        <v>4</v>
      </c>
    </row>
    <row r="76" spans="2:10" x14ac:dyDescent="0.15">
      <c r="B76" s="42" t="s">
        <v>5</v>
      </c>
      <c r="C76" s="43">
        <f>C70</f>
        <v>165</v>
      </c>
      <c r="D76" s="44">
        <f>SUM(C76:C76)</f>
        <v>165</v>
      </c>
      <c r="E76" s="45"/>
      <c r="G76" s="42" t="s">
        <v>5</v>
      </c>
      <c r="H76" s="43">
        <f>H70</f>
        <v>0</v>
      </c>
      <c r="I76" s="44">
        <f>SUM(H76:H76)</f>
        <v>0</v>
      </c>
      <c r="J76" s="45"/>
    </row>
    <row r="77" spans="2:10" x14ac:dyDescent="0.15">
      <c r="B77" s="4" t="s">
        <v>6</v>
      </c>
      <c r="C77" s="13">
        <v>336</v>
      </c>
      <c r="D77" s="14">
        <f>SUM(C77:C77)</f>
        <v>336</v>
      </c>
      <c r="E77" s="5">
        <v>41208</v>
      </c>
      <c r="G77" s="4" t="s">
        <v>6</v>
      </c>
      <c r="H77" s="22">
        <v>336</v>
      </c>
      <c r="I77" s="23">
        <f>SUM(H77:H77)</f>
        <v>336</v>
      </c>
      <c r="J77" s="29">
        <v>41292</v>
      </c>
    </row>
    <row r="78" spans="2:10" x14ac:dyDescent="0.15">
      <c r="B78" s="4" t="s">
        <v>6</v>
      </c>
      <c r="C78" s="7">
        <v>11</v>
      </c>
      <c r="D78" s="8">
        <f>SUM(C78:C78)</f>
        <v>11</v>
      </c>
      <c r="E78" s="9">
        <v>41265</v>
      </c>
      <c r="G78" s="4" t="s">
        <v>6</v>
      </c>
      <c r="H78" s="54">
        <v>672</v>
      </c>
      <c r="I78" s="33">
        <f>SUM(H78:H78)</f>
        <v>672</v>
      </c>
      <c r="J78" s="34">
        <v>41306</v>
      </c>
    </row>
    <row r="79" spans="2:10" ht="14.25" thickBot="1" x14ac:dyDescent="0.2">
      <c r="B79" s="6" t="s">
        <v>6</v>
      </c>
      <c r="C79" s="30">
        <v>336</v>
      </c>
      <c r="D79" s="23">
        <f>SUM(C79:C79)</f>
        <v>336</v>
      </c>
      <c r="E79" s="31">
        <v>41292</v>
      </c>
      <c r="G79" s="6" t="s">
        <v>6</v>
      </c>
      <c r="H79" s="65"/>
      <c r="I79" s="14">
        <f>SUM(H79:H79)</f>
        <v>0</v>
      </c>
      <c r="J79" s="16"/>
    </row>
    <row r="80" spans="2:10" ht="14.25" thickBot="1" x14ac:dyDescent="0.2">
      <c r="B80" s="46" t="s">
        <v>1</v>
      </c>
      <c r="C80" s="47">
        <f>SUM(C76:C79)</f>
        <v>848</v>
      </c>
      <c r="D80" s="48">
        <f>SUM(D76:D79)</f>
        <v>848</v>
      </c>
      <c r="E80" s="49"/>
      <c r="G80" s="46" t="s">
        <v>1</v>
      </c>
      <c r="H80" s="47">
        <f>SUM(H76:H79)</f>
        <v>1008</v>
      </c>
      <c r="I80" s="48">
        <f>SUM(I76:I79)</f>
        <v>1008</v>
      </c>
      <c r="J80" s="49"/>
    </row>
    <row r="81" spans="2:10" x14ac:dyDescent="0.15">
      <c r="B81" s="10" t="s">
        <v>22</v>
      </c>
      <c r="C81" s="13">
        <v>50</v>
      </c>
      <c r="D81" s="11">
        <f t="shared" ref="D81:D105" si="2">SUM(C81:C81)</f>
        <v>50</v>
      </c>
      <c r="E81" s="12">
        <v>41172</v>
      </c>
      <c r="G81" s="27" t="s">
        <v>16</v>
      </c>
      <c r="H81" s="22">
        <v>336</v>
      </c>
      <c r="I81" s="36">
        <f t="shared" ref="I81:I105" si="3">SUM(H81:H81)</f>
        <v>336</v>
      </c>
      <c r="J81" s="24">
        <v>41292</v>
      </c>
    </row>
    <row r="82" spans="2:10" x14ac:dyDescent="0.15">
      <c r="B82" s="27" t="s">
        <v>18</v>
      </c>
      <c r="C82" s="22">
        <v>22</v>
      </c>
      <c r="D82" s="23">
        <f t="shared" si="2"/>
        <v>22</v>
      </c>
      <c r="E82" s="24">
        <v>41185</v>
      </c>
      <c r="G82" s="69" t="s">
        <v>46</v>
      </c>
      <c r="H82" s="22">
        <v>400</v>
      </c>
      <c r="I82" s="23">
        <f t="shared" si="3"/>
        <v>400</v>
      </c>
      <c r="J82" s="24">
        <v>41346</v>
      </c>
    </row>
    <row r="83" spans="2:10" x14ac:dyDescent="0.15">
      <c r="B83" s="10" t="s">
        <v>22</v>
      </c>
      <c r="C83" s="13">
        <v>50</v>
      </c>
      <c r="D83" s="14">
        <f t="shared" si="2"/>
        <v>50</v>
      </c>
      <c r="E83" s="12">
        <v>41197</v>
      </c>
      <c r="G83" s="27" t="s">
        <v>16</v>
      </c>
      <c r="H83" s="22">
        <v>272</v>
      </c>
      <c r="I83" s="23">
        <f t="shared" si="3"/>
        <v>272</v>
      </c>
      <c r="J83" s="24">
        <v>41355</v>
      </c>
    </row>
    <row r="84" spans="2:10" x14ac:dyDescent="0.15">
      <c r="B84" s="27" t="s">
        <v>18</v>
      </c>
      <c r="C84" s="22">
        <v>17</v>
      </c>
      <c r="D84" s="23">
        <f t="shared" si="2"/>
        <v>17</v>
      </c>
      <c r="E84" s="24">
        <v>41200</v>
      </c>
      <c r="G84" s="27"/>
      <c r="H84" s="22"/>
      <c r="I84" s="23">
        <f t="shared" si="3"/>
        <v>0</v>
      </c>
      <c r="J84" s="24"/>
    </row>
    <row r="85" spans="2:10" x14ac:dyDescent="0.15">
      <c r="B85" s="10" t="s">
        <v>31</v>
      </c>
      <c r="C85" s="13">
        <v>10</v>
      </c>
      <c r="D85" s="14">
        <f t="shared" si="2"/>
        <v>10</v>
      </c>
      <c r="E85" s="12">
        <v>41205</v>
      </c>
      <c r="G85" s="10"/>
      <c r="H85" s="13"/>
      <c r="I85" s="14">
        <f t="shared" si="3"/>
        <v>0</v>
      </c>
      <c r="J85" s="12"/>
    </row>
    <row r="86" spans="2:10" x14ac:dyDescent="0.15">
      <c r="B86" s="10" t="s">
        <v>22</v>
      </c>
      <c r="C86" s="13">
        <v>50</v>
      </c>
      <c r="D86" s="14">
        <f t="shared" si="2"/>
        <v>50</v>
      </c>
      <c r="E86" s="12">
        <v>41212</v>
      </c>
      <c r="G86" s="10"/>
      <c r="H86" s="13"/>
      <c r="I86" s="14">
        <f t="shared" si="3"/>
        <v>0</v>
      </c>
      <c r="J86" s="12"/>
    </row>
    <row r="87" spans="2:10" x14ac:dyDescent="0.15">
      <c r="B87" s="27" t="s">
        <v>18</v>
      </c>
      <c r="C87" s="22">
        <v>11</v>
      </c>
      <c r="D87" s="23">
        <f t="shared" si="2"/>
        <v>11</v>
      </c>
      <c r="E87" s="24">
        <v>41215</v>
      </c>
      <c r="G87" s="27"/>
      <c r="H87" s="22"/>
      <c r="I87" s="23">
        <f t="shared" si="3"/>
        <v>0</v>
      </c>
      <c r="J87" s="24"/>
    </row>
    <row r="88" spans="2:10" x14ac:dyDescent="0.15">
      <c r="B88" s="10" t="s">
        <v>14</v>
      </c>
      <c r="C88" s="13">
        <v>23</v>
      </c>
      <c r="D88" s="14">
        <f t="shared" si="2"/>
        <v>23</v>
      </c>
      <c r="E88" s="12">
        <v>41221</v>
      </c>
      <c r="G88" s="10"/>
      <c r="H88" s="13"/>
      <c r="I88" s="14">
        <f t="shared" si="3"/>
        <v>0</v>
      </c>
      <c r="J88" s="12"/>
    </row>
    <row r="89" spans="2:10" x14ac:dyDescent="0.15">
      <c r="B89" s="21" t="s">
        <v>10</v>
      </c>
      <c r="C89" s="22">
        <v>30</v>
      </c>
      <c r="D89" s="23">
        <f t="shared" si="2"/>
        <v>30</v>
      </c>
      <c r="E89" s="24">
        <v>41229</v>
      </c>
      <c r="G89" s="21"/>
      <c r="H89" s="22"/>
      <c r="I89" s="23">
        <f t="shared" si="3"/>
        <v>0</v>
      </c>
      <c r="J89" s="24"/>
    </row>
    <row r="90" spans="2:10" x14ac:dyDescent="0.15">
      <c r="B90" s="21" t="s">
        <v>11</v>
      </c>
      <c r="C90" s="22">
        <v>50</v>
      </c>
      <c r="D90" s="23">
        <f t="shared" si="2"/>
        <v>50</v>
      </c>
      <c r="E90" s="24">
        <v>41232</v>
      </c>
      <c r="G90" s="21"/>
      <c r="H90" s="22"/>
      <c r="I90" s="23">
        <f t="shared" si="3"/>
        <v>0</v>
      </c>
      <c r="J90" s="24"/>
    </row>
    <row r="91" spans="2:10" x14ac:dyDescent="0.15">
      <c r="B91" s="21" t="s">
        <v>10</v>
      </c>
      <c r="C91" s="22">
        <v>30</v>
      </c>
      <c r="D91" s="23">
        <f t="shared" si="2"/>
        <v>30</v>
      </c>
      <c r="E91" s="24">
        <v>41251</v>
      </c>
      <c r="G91" s="10"/>
      <c r="H91" s="22"/>
      <c r="I91" s="23">
        <f t="shared" si="3"/>
        <v>0</v>
      </c>
      <c r="J91" s="24"/>
    </row>
    <row r="92" spans="2:10" x14ac:dyDescent="0.15">
      <c r="B92" s="21" t="s">
        <v>10</v>
      </c>
      <c r="C92" s="22">
        <v>30</v>
      </c>
      <c r="D92" s="23">
        <f t="shared" si="2"/>
        <v>30</v>
      </c>
      <c r="E92" s="24">
        <v>41260</v>
      </c>
      <c r="G92" s="27"/>
      <c r="H92" s="22"/>
      <c r="I92" s="23">
        <f t="shared" si="3"/>
        <v>0</v>
      </c>
      <c r="J92" s="24"/>
    </row>
    <row r="93" spans="2:10" x14ac:dyDescent="0.15">
      <c r="B93" s="15" t="s">
        <v>12</v>
      </c>
      <c r="C93" s="13">
        <v>50</v>
      </c>
      <c r="D93" s="14">
        <f t="shared" si="2"/>
        <v>50</v>
      </c>
      <c r="E93" s="12">
        <v>41255</v>
      </c>
      <c r="G93" s="15"/>
      <c r="H93" s="13"/>
      <c r="I93" s="14">
        <f t="shared" si="3"/>
        <v>0</v>
      </c>
      <c r="J93" s="12"/>
    </row>
    <row r="94" spans="2:10" x14ac:dyDescent="0.15">
      <c r="B94" s="21" t="s">
        <v>11</v>
      </c>
      <c r="C94" s="22">
        <v>200</v>
      </c>
      <c r="D94" s="23">
        <f t="shared" si="2"/>
        <v>200</v>
      </c>
      <c r="E94" s="24">
        <v>41295</v>
      </c>
      <c r="G94" s="10"/>
      <c r="H94" s="13"/>
      <c r="I94" s="14">
        <f t="shared" si="3"/>
        <v>0</v>
      </c>
      <c r="J94" s="12"/>
    </row>
    <row r="95" spans="2:10" x14ac:dyDescent="0.15">
      <c r="B95" s="15" t="s">
        <v>12</v>
      </c>
      <c r="C95" s="13">
        <v>20</v>
      </c>
      <c r="D95" s="14">
        <f t="shared" si="2"/>
        <v>20</v>
      </c>
      <c r="E95" s="12">
        <v>41292</v>
      </c>
      <c r="G95" s="15"/>
      <c r="H95" s="13"/>
      <c r="I95" s="14">
        <f t="shared" si="3"/>
        <v>0</v>
      </c>
      <c r="J95" s="12"/>
    </row>
    <row r="96" spans="2:10" x14ac:dyDescent="0.15">
      <c r="B96" s="21" t="s">
        <v>39</v>
      </c>
      <c r="C96" s="22">
        <v>2</v>
      </c>
      <c r="D96" s="23">
        <f t="shared" si="2"/>
        <v>2</v>
      </c>
      <c r="E96" s="24">
        <v>41303</v>
      </c>
      <c r="G96" s="21"/>
      <c r="H96" s="22"/>
      <c r="I96" s="23">
        <f t="shared" si="3"/>
        <v>0</v>
      </c>
      <c r="J96" s="24"/>
    </row>
    <row r="97" spans="2:10" x14ac:dyDescent="0.15">
      <c r="B97" s="27" t="s">
        <v>18</v>
      </c>
      <c r="C97" s="22">
        <v>1</v>
      </c>
      <c r="D97" s="23">
        <f t="shared" si="2"/>
        <v>1</v>
      </c>
      <c r="E97" s="24">
        <v>41313</v>
      </c>
      <c r="G97" s="27"/>
      <c r="H97" s="22"/>
      <c r="I97" s="23">
        <f t="shared" si="3"/>
        <v>0</v>
      </c>
      <c r="J97" s="24"/>
    </row>
    <row r="98" spans="2:10" x14ac:dyDescent="0.15">
      <c r="B98" s="10" t="s">
        <v>40</v>
      </c>
      <c r="C98" s="13">
        <v>2</v>
      </c>
      <c r="D98" s="14">
        <f t="shared" si="2"/>
        <v>2</v>
      </c>
      <c r="E98" s="12">
        <v>41323</v>
      </c>
      <c r="G98" s="10"/>
      <c r="H98" s="13"/>
      <c r="I98" s="14">
        <f t="shared" si="3"/>
        <v>0</v>
      </c>
      <c r="J98" s="12"/>
    </row>
    <row r="99" spans="2:10" x14ac:dyDescent="0.15">
      <c r="B99" s="27" t="s">
        <v>18</v>
      </c>
      <c r="C99" s="22">
        <v>32</v>
      </c>
      <c r="D99" s="23">
        <f t="shared" si="2"/>
        <v>32</v>
      </c>
      <c r="E99" s="24">
        <v>41325</v>
      </c>
      <c r="G99" s="10"/>
      <c r="H99" s="13"/>
      <c r="I99" s="14">
        <f t="shared" si="3"/>
        <v>0</v>
      </c>
      <c r="J99" s="12"/>
    </row>
    <row r="100" spans="2:10" x14ac:dyDescent="0.15">
      <c r="B100" s="21" t="s">
        <v>42</v>
      </c>
      <c r="C100" s="22">
        <v>50</v>
      </c>
      <c r="D100" s="23">
        <f t="shared" si="2"/>
        <v>50</v>
      </c>
      <c r="E100" s="29">
        <v>41332</v>
      </c>
      <c r="G100" s="21"/>
      <c r="H100" s="22"/>
      <c r="I100" s="23">
        <f t="shared" si="3"/>
        <v>0</v>
      </c>
      <c r="J100" s="29"/>
    </row>
    <row r="101" spans="2:10" x14ac:dyDescent="0.15">
      <c r="B101" s="27" t="s">
        <v>18</v>
      </c>
      <c r="C101" s="22">
        <v>14</v>
      </c>
      <c r="D101" s="23">
        <f t="shared" si="2"/>
        <v>14</v>
      </c>
      <c r="E101" s="29">
        <v>41328</v>
      </c>
      <c r="G101" s="32"/>
      <c r="H101" s="22"/>
      <c r="I101" s="23">
        <f t="shared" si="3"/>
        <v>0</v>
      </c>
      <c r="J101" s="29"/>
    </row>
    <row r="102" spans="2:10" x14ac:dyDescent="0.15">
      <c r="B102" s="21" t="s">
        <v>10</v>
      </c>
      <c r="C102" s="22">
        <v>60</v>
      </c>
      <c r="D102" s="23">
        <f t="shared" si="2"/>
        <v>60</v>
      </c>
      <c r="E102" s="29">
        <v>41341</v>
      </c>
      <c r="G102" s="21"/>
      <c r="H102" s="13"/>
      <c r="I102" s="14">
        <f t="shared" si="3"/>
        <v>0</v>
      </c>
      <c r="J102" s="5"/>
    </row>
    <row r="103" spans="2:10" x14ac:dyDescent="0.15">
      <c r="B103" s="15" t="s">
        <v>12</v>
      </c>
      <c r="C103" s="13">
        <v>10</v>
      </c>
      <c r="D103" s="14">
        <f t="shared" si="2"/>
        <v>10</v>
      </c>
      <c r="E103" s="5">
        <v>41339</v>
      </c>
      <c r="G103" s="15"/>
      <c r="H103" s="13"/>
      <c r="I103" s="14">
        <f t="shared" si="3"/>
        <v>0</v>
      </c>
      <c r="J103" s="5"/>
    </row>
    <row r="104" spans="2:10" ht="14.25" thickBot="1" x14ac:dyDescent="0.2">
      <c r="B104" s="15" t="s">
        <v>12</v>
      </c>
      <c r="C104" s="7">
        <v>34</v>
      </c>
      <c r="D104" s="14">
        <f t="shared" si="2"/>
        <v>34</v>
      </c>
      <c r="E104" s="16">
        <v>41341</v>
      </c>
      <c r="G104" s="10"/>
      <c r="H104" s="13"/>
      <c r="I104" s="11">
        <f t="shared" si="3"/>
        <v>0</v>
      </c>
      <c r="J104" s="12"/>
    </row>
    <row r="105" spans="2:10" ht="14.25" thickBot="1" x14ac:dyDescent="0.2">
      <c r="B105" s="17" t="s">
        <v>2</v>
      </c>
      <c r="C105" s="18">
        <f>SUM(C81:C104)</f>
        <v>848</v>
      </c>
      <c r="D105" s="19">
        <f t="shared" si="2"/>
        <v>848</v>
      </c>
      <c r="E105" s="20"/>
      <c r="G105" s="17" t="s">
        <v>2</v>
      </c>
      <c r="H105" s="18">
        <f>SUM(H81:H104)</f>
        <v>1008</v>
      </c>
      <c r="I105" s="19">
        <f t="shared" si="3"/>
        <v>1008</v>
      </c>
      <c r="J105" s="20"/>
    </row>
    <row r="106" spans="2:10" ht="14.25" thickBot="1" x14ac:dyDescent="0.2">
      <c r="B106" s="46" t="s">
        <v>3</v>
      </c>
      <c r="C106" s="52">
        <f>C80-C105</f>
        <v>0</v>
      </c>
      <c r="D106" s="48">
        <f>D80-D105</f>
        <v>0</v>
      </c>
      <c r="E106" s="49"/>
      <c r="G106" s="46" t="s">
        <v>3</v>
      </c>
      <c r="H106" s="52">
        <f>H80-H105</f>
        <v>0</v>
      </c>
      <c r="I106" s="48">
        <f>I80-I105</f>
        <v>0</v>
      </c>
      <c r="J106" s="49"/>
    </row>
    <row r="109" spans="2:10" ht="18.75" x14ac:dyDescent="0.2">
      <c r="B109" s="26" t="s">
        <v>7</v>
      </c>
      <c r="G109" s="26" t="s">
        <v>35</v>
      </c>
    </row>
    <row r="110" spans="2:10" ht="14.25" thickBot="1" x14ac:dyDescent="0.2"/>
    <row r="111" spans="2:10" ht="14.25" thickBot="1" x14ac:dyDescent="0.2">
      <c r="B111" s="1"/>
      <c r="C111" s="2"/>
      <c r="D111" s="3" t="s">
        <v>0</v>
      </c>
      <c r="E111" s="1" t="s">
        <v>4</v>
      </c>
      <c r="G111" s="1"/>
      <c r="H111" s="2"/>
      <c r="I111" s="3" t="s">
        <v>0</v>
      </c>
      <c r="J111" s="1" t="s">
        <v>4</v>
      </c>
    </row>
    <row r="112" spans="2:10" x14ac:dyDescent="0.15">
      <c r="B112" s="42" t="s">
        <v>5</v>
      </c>
      <c r="C112" s="43">
        <f>C106</f>
        <v>0</v>
      </c>
      <c r="D112" s="44">
        <f>SUM(C112:C112)</f>
        <v>0</v>
      </c>
      <c r="E112" s="45"/>
      <c r="G112" s="42" t="s">
        <v>5</v>
      </c>
      <c r="H112" s="43">
        <f>H106</f>
        <v>0</v>
      </c>
      <c r="I112" s="44">
        <f>SUM(H112:H112)</f>
        <v>0</v>
      </c>
      <c r="J112" s="45"/>
    </row>
    <row r="113" spans="2:10" x14ac:dyDescent="0.15">
      <c r="B113" s="4" t="s">
        <v>6</v>
      </c>
      <c r="C113" s="22">
        <v>272</v>
      </c>
      <c r="D113" s="23">
        <f>SUM(C113:C113)</f>
        <v>272</v>
      </c>
      <c r="E113" s="29">
        <v>41355</v>
      </c>
      <c r="G113" s="4" t="s">
        <v>6</v>
      </c>
      <c r="H113" s="70">
        <v>2352</v>
      </c>
      <c r="I113" s="23">
        <f>SUM(H113:H113)</f>
        <v>2352</v>
      </c>
      <c r="J113" s="29">
        <v>41365</v>
      </c>
    </row>
    <row r="114" spans="2:10" x14ac:dyDescent="0.15">
      <c r="B114" s="4" t="s">
        <v>6</v>
      </c>
      <c r="C114" s="54">
        <v>336</v>
      </c>
      <c r="D114" s="33">
        <f>SUM(C114:C114)</f>
        <v>336</v>
      </c>
      <c r="E114" s="34">
        <v>41382</v>
      </c>
      <c r="F114" s="37"/>
      <c r="G114" s="71" t="s">
        <v>6</v>
      </c>
      <c r="H114" s="72">
        <v>2016</v>
      </c>
      <c r="I114" s="73">
        <f>SUM(H114:H114)</f>
        <v>2016</v>
      </c>
      <c r="J114" s="74">
        <v>41426</v>
      </c>
    </row>
    <row r="115" spans="2:10" ht="14.25" thickBot="1" x14ac:dyDescent="0.2">
      <c r="B115" s="6" t="s">
        <v>6</v>
      </c>
      <c r="C115" s="7">
        <v>336</v>
      </c>
      <c r="D115" s="14">
        <f>SUM(C115:C115)</f>
        <v>336</v>
      </c>
      <c r="E115" s="16">
        <v>41409</v>
      </c>
      <c r="G115" s="6" t="s">
        <v>6</v>
      </c>
      <c r="H115" s="65"/>
      <c r="I115" s="14">
        <f>SUM(H115:H115)</f>
        <v>0</v>
      </c>
      <c r="J115" s="16"/>
    </row>
    <row r="116" spans="2:10" ht="14.25" thickBot="1" x14ac:dyDescent="0.2">
      <c r="B116" s="46" t="s">
        <v>1</v>
      </c>
      <c r="C116" s="48">
        <f>SUM(C112:C115)</f>
        <v>944</v>
      </c>
      <c r="D116" s="48">
        <f>SUM(D112:D115)</f>
        <v>944</v>
      </c>
      <c r="E116" s="49"/>
      <c r="G116" s="46" t="s">
        <v>1</v>
      </c>
      <c r="H116" s="47">
        <f>SUM(H112:H115)</f>
        <v>4368</v>
      </c>
      <c r="I116" s="48">
        <f>SUM(I112:I115)</f>
        <v>4368</v>
      </c>
      <c r="J116" s="49"/>
    </row>
    <row r="117" spans="2:10" x14ac:dyDescent="0.15">
      <c r="B117" s="10" t="s">
        <v>45</v>
      </c>
      <c r="C117" s="35">
        <v>100</v>
      </c>
      <c r="D117" s="36">
        <f t="shared" ref="D117:D141" si="4">SUM(C117:C117)</f>
        <v>100</v>
      </c>
      <c r="E117" s="24">
        <v>41356</v>
      </c>
      <c r="G117" s="10" t="s">
        <v>16</v>
      </c>
      <c r="H117" s="13">
        <v>336</v>
      </c>
      <c r="I117" s="11">
        <f t="shared" ref="I117:I141" si="5">SUM(H117:H117)</f>
        <v>336</v>
      </c>
      <c r="J117" s="12">
        <v>41382</v>
      </c>
    </row>
    <row r="118" spans="2:10" x14ac:dyDescent="0.15">
      <c r="B118" s="21" t="s">
        <v>42</v>
      </c>
      <c r="C118" s="22">
        <v>20</v>
      </c>
      <c r="D118" s="23">
        <f t="shared" si="4"/>
        <v>20</v>
      </c>
      <c r="E118" s="24">
        <v>41358</v>
      </c>
      <c r="G118" s="10" t="s">
        <v>16</v>
      </c>
      <c r="H118" s="13">
        <v>336</v>
      </c>
      <c r="I118" s="11">
        <f t="shared" si="5"/>
        <v>336</v>
      </c>
      <c r="J118" s="12">
        <v>41409</v>
      </c>
    </row>
    <row r="119" spans="2:10" x14ac:dyDescent="0.15">
      <c r="B119" s="10" t="s">
        <v>12</v>
      </c>
      <c r="C119" s="13">
        <v>50</v>
      </c>
      <c r="D119" s="14">
        <f t="shared" si="4"/>
        <v>50</v>
      </c>
      <c r="E119" s="12">
        <v>41355</v>
      </c>
      <c r="G119" s="10" t="s">
        <v>16</v>
      </c>
      <c r="H119" s="13">
        <v>336</v>
      </c>
      <c r="I119" s="14">
        <f t="shared" si="5"/>
        <v>336</v>
      </c>
      <c r="J119" s="12">
        <v>41436</v>
      </c>
    </row>
    <row r="120" spans="2:10" x14ac:dyDescent="0.15">
      <c r="B120" s="27" t="s">
        <v>12</v>
      </c>
      <c r="C120" s="22">
        <v>50</v>
      </c>
      <c r="D120" s="23">
        <f t="shared" si="4"/>
        <v>50</v>
      </c>
      <c r="E120" s="24">
        <v>41376</v>
      </c>
      <c r="G120" s="10"/>
      <c r="H120" s="13"/>
      <c r="I120" s="14">
        <f t="shared" si="5"/>
        <v>0</v>
      </c>
      <c r="J120" s="12"/>
    </row>
    <row r="121" spans="2:10" x14ac:dyDescent="0.15">
      <c r="B121" s="27" t="s">
        <v>18</v>
      </c>
      <c r="C121" s="22">
        <v>55</v>
      </c>
      <c r="D121" s="23">
        <f t="shared" si="4"/>
        <v>55</v>
      </c>
      <c r="E121" s="24">
        <v>41384</v>
      </c>
      <c r="G121" s="10"/>
      <c r="H121" s="13"/>
      <c r="I121" s="14">
        <f t="shared" si="5"/>
        <v>0</v>
      </c>
      <c r="J121" s="12"/>
    </row>
    <row r="122" spans="2:10" x14ac:dyDescent="0.15">
      <c r="B122" s="27" t="s">
        <v>18</v>
      </c>
      <c r="C122" s="22">
        <v>50</v>
      </c>
      <c r="D122" s="23">
        <f t="shared" si="4"/>
        <v>50</v>
      </c>
      <c r="E122" s="24">
        <v>41388</v>
      </c>
      <c r="G122" s="10"/>
      <c r="H122" s="13"/>
      <c r="I122" s="14">
        <f t="shared" si="5"/>
        <v>0</v>
      </c>
      <c r="J122" s="12"/>
    </row>
    <row r="123" spans="2:10" x14ac:dyDescent="0.15">
      <c r="B123" s="27" t="s">
        <v>18</v>
      </c>
      <c r="C123" s="22">
        <v>46</v>
      </c>
      <c r="D123" s="23">
        <f t="shared" si="4"/>
        <v>46</v>
      </c>
      <c r="E123" s="24">
        <v>41396</v>
      </c>
      <c r="G123" s="10"/>
      <c r="H123" s="13"/>
      <c r="I123" s="14">
        <f t="shared" si="5"/>
        <v>0</v>
      </c>
      <c r="J123" s="12"/>
    </row>
    <row r="124" spans="2:10" x14ac:dyDescent="0.15">
      <c r="B124" s="21" t="s">
        <v>10</v>
      </c>
      <c r="C124" s="22">
        <v>60</v>
      </c>
      <c r="D124" s="23">
        <f t="shared" si="4"/>
        <v>60</v>
      </c>
      <c r="E124" s="24">
        <v>41401</v>
      </c>
      <c r="G124" s="10"/>
      <c r="H124" s="13"/>
      <c r="I124" s="14">
        <f t="shared" si="5"/>
        <v>0</v>
      </c>
      <c r="J124" s="12"/>
    </row>
    <row r="125" spans="2:10" x14ac:dyDescent="0.15">
      <c r="B125" s="27" t="s">
        <v>18</v>
      </c>
      <c r="C125" s="22">
        <v>91</v>
      </c>
      <c r="D125" s="23">
        <f t="shared" si="4"/>
        <v>91</v>
      </c>
      <c r="E125" s="24">
        <v>41403</v>
      </c>
      <c r="G125" s="21"/>
      <c r="H125" s="22"/>
      <c r="I125" s="23">
        <f t="shared" si="5"/>
        <v>0</v>
      </c>
      <c r="J125" s="24"/>
    </row>
    <row r="126" spans="2:10" x14ac:dyDescent="0.15">
      <c r="B126" s="27" t="s">
        <v>12</v>
      </c>
      <c r="C126" s="22">
        <v>50</v>
      </c>
      <c r="D126" s="23">
        <f t="shared" si="4"/>
        <v>50</v>
      </c>
      <c r="E126" s="24">
        <v>41405</v>
      </c>
      <c r="G126" s="21"/>
      <c r="H126" s="22"/>
      <c r="I126" s="23">
        <f t="shared" si="5"/>
        <v>0</v>
      </c>
      <c r="J126" s="24"/>
    </row>
    <row r="127" spans="2:10" x14ac:dyDescent="0.15">
      <c r="B127" s="27" t="s">
        <v>18</v>
      </c>
      <c r="C127" s="22">
        <v>72</v>
      </c>
      <c r="D127" s="23">
        <f t="shared" si="4"/>
        <v>72</v>
      </c>
      <c r="E127" s="24">
        <v>41410</v>
      </c>
      <c r="G127" s="10"/>
      <c r="H127" s="22"/>
      <c r="I127" s="23">
        <f t="shared" si="5"/>
        <v>0</v>
      </c>
      <c r="J127" s="24"/>
    </row>
    <row r="128" spans="2:10" x14ac:dyDescent="0.15">
      <c r="B128" s="27" t="s">
        <v>18</v>
      </c>
      <c r="C128" s="22">
        <v>54</v>
      </c>
      <c r="D128" s="23">
        <f t="shared" si="4"/>
        <v>54</v>
      </c>
      <c r="E128" s="24">
        <v>41415</v>
      </c>
      <c r="G128" s="27"/>
      <c r="H128" s="22"/>
      <c r="I128" s="23">
        <f t="shared" si="5"/>
        <v>0</v>
      </c>
      <c r="J128" s="24"/>
    </row>
    <row r="129" spans="2:10" x14ac:dyDescent="0.15">
      <c r="B129" s="27" t="s">
        <v>18</v>
      </c>
      <c r="C129" s="22">
        <v>26</v>
      </c>
      <c r="D129" s="23">
        <f t="shared" si="4"/>
        <v>26</v>
      </c>
      <c r="E129" s="24">
        <v>41419</v>
      </c>
      <c r="G129" s="15"/>
      <c r="H129" s="13"/>
      <c r="I129" s="14">
        <f t="shared" si="5"/>
        <v>0</v>
      </c>
      <c r="J129" s="12"/>
    </row>
    <row r="130" spans="2:10" x14ac:dyDescent="0.15">
      <c r="B130" s="27" t="s">
        <v>18</v>
      </c>
      <c r="C130" s="22">
        <v>20</v>
      </c>
      <c r="D130" s="23">
        <f t="shared" si="4"/>
        <v>20</v>
      </c>
      <c r="E130" s="24">
        <v>41424</v>
      </c>
      <c r="G130" s="10"/>
      <c r="H130" s="13"/>
      <c r="I130" s="14">
        <f t="shared" si="5"/>
        <v>0</v>
      </c>
      <c r="J130" s="12"/>
    </row>
    <row r="131" spans="2:10" x14ac:dyDescent="0.15">
      <c r="B131" s="21" t="s">
        <v>23</v>
      </c>
      <c r="C131" s="22">
        <v>17</v>
      </c>
      <c r="D131" s="23">
        <f t="shared" si="4"/>
        <v>17</v>
      </c>
      <c r="E131" s="24">
        <v>41425</v>
      </c>
      <c r="G131" s="15"/>
      <c r="H131" s="13"/>
      <c r="I131" s="14">
        <f t="shared" si="5"/>
        <v>0</v>
      </c>
      <c r="J131" s="12"/>
    </row>
    <row r="132" spans="2:10" x14ac:dyDescent="0.15">
      <c r="B132" s="10" t="s">
        <v>18</v>
      </c>
      <c r="C132" s="13">
        <v>15</v>
      </c>
      <c r="D132" s="14">
        <f t="shared" si="4"/>
        <v>15</v>
      </c>
      <c r="E132" s="12">
        <v>41426</v>
      </c>
      <c r="G132" s="21"/>
      <c r="H132" s="22"/>
      <c r="I132" s="23">
        <f t="shared" si="5"/>
        <v>0</v>
      </c>
      <c r="J132" s="24"/>
    </row>
    <row r="133" spans="2:10" x14ac:dyDescent="0.15">
      <c r="B133" s="15" t="s">
        <v>10</v>
      </c>
      <c r="C133" s="13">
        <v>60</v>
      </c>
      <c r="D133" s="14">
        <f t="shared" si="4"/>
        <v>60</v>
      </c>
      <c r="E133" s="12">
        <v>41431</v>
      </c>
      <c r="G133" s="27"/>
      <c r="H133" s="22"/>
      <c r="I133" s="23">
        <f t="shared" si="5"/>
        <v>0</v>
      </c>
      <c r="J133" s="24"/>
    </row>
    <row r="134" spans="2:10" x14ac:dyDescent="0.15">
      <c r="B134" s="10" t="s">
        <v>18</v>
      </c>
      <c r="C134" s="13">
        <v>7</v>
      </c>
      <c r="D134" s="14">
        <f t="shared" si="4"/>
        <v>7</v>
      </c>
      <c r="E134" s="12">
        <v>41431</v>
      </c>
      <c r="G134" s="10"/>
      <c r="H134" s="13"/>
      <c r="I134" s="14">
        <f t="shared" si="5"/>
        <v>0</v>
      </c>
      <c r="J134" s="12"/>
    </row>
    <row r="135" spans="2:10" x14ac:dyDescent="0.15">
      <c r="B135" s="27" t="s">
        <v>12</v>
      </c>
      <c r="C135" s="22">
        <v>20</v>
      </c>
      <c r="D135" s="23">
        <f t="shared" si="4"/>
        <v>20</v>
      </c>
      <c r="E135" s="24">
        <v>41430</v>
      </c>
      <c r="G135" s="10"/>
      <c r="H135" s="13"/>
      <c r="I135" s="14">
        <f t="shared" si="5"/>
        <v>0</v>
      </c>
      <c r="J135" s="12"/>
    </row>
    <row r="136" spans="2:10" x14ac:dyDescent="0.15">
      <c r="B136" s="15" t="s">
        <v>56</v>
      </c>
      <c r="C136" s="13">
        <v>50</v>
      </c>
      <c r="D136" s="14">
        <f t="shared" si="4"/>
        <v>50</v>
      </c>
      <c r="E136" s="5">
        <v>41437</v>
      </c>
      <c r="G136" s="21"/>
      <c r="H136" s="22"/>
      <c r="I136" s="23">
        <f t="shared" si="5"/>
        <v>0</v>
      </c>
      <c r="J136" s="29"/>
    </row>
    <row r="137" spans="2:10" x14ac:dyDescent="0.15">
      <c r="B137" s="75" t="s">
        <v>57</v>
      </c>
      <c r="C137" s="13">
        <v>30</v>
      </c>
      <c r="D137" s="14">
        <f t="shared" si="4"/>
        <v>30</v>
      </c>
      <c r="E137" s="5">
        <v>41437</v>
      </c>
      <c r="G137" s="75"/>
      <c r="H137" s="13"/>
      <c r="I137" s="14">
        <f t="shared" si="5"/>
        <v>0</v>
      </c>
      <c r="J137" s="5"/>
    </row>
    <row r="138" spans="2:10" x14ac:dyDescent="0.15">
      <c r="B138" s="15" t="s">
        <v>6</v>
      </c>
      <c r="C138" s="13">
        <v>-336</v>
      </c>
      <c r="D138" s="14">
        <f t="shared" si="4"/>
        <v>-336</v>
      </c>
      <c r="E138" s="5">
        <v>41436</v>
      </c>
      <c r="G138" s="15"/>
      <c r="H138" s="13"/>
      <c r="I138" s="14">
        <f t="shared" si="5"/>
        <v>0</v>
      </c>
      <c r="J138" s="5"/>
    </row>
    <row r="139" spans="2:10" x14ac:dyDescent="0.15">
      <c r="B139" s="10" t="s">
        <v>18</v>
      </c>
      <c r="C139" s="13">
        <v>9</v>
      </c>
      <c r="D139" s="14">
        <f t="shared" si="4"/>
        <v>9</v>
      </c>
      <c r="E139" s="5">
        <v>41436</v>
      </c>
      <c r="G139" s="15"/>
      <c r="H139" s="13"/>
      <c r="I139" s="14">
        <f t="shared" si="5"/>
        <v>0</v>
      </c>
      <c r="J139" s="5"/>
    </row>
    <row r="140" spans="2:10" ht="14.25" thickBot="1" x14ac:dyDescent="0.2">
      <c r="B140" s="15" t="s">
        <v>10</v>
      </c>
      <c r="C140" s="13">
        <v>60</v>
      </c>
      <c r="D140" s="11">
        <f t="shared" si="4"/>
        <v>60</v>
      </c>
      <c r="E140" s="12">
        <v>41440</v>
      </c>
      <c r="G140" s="15"/>
      <c r="H140" s="7"/>
      <c r="I140" s="14">
        <f t="shared" si="5"/>
        <v>0</v>
      </c>
      <c r="J140" s="16"/>
    </row>
    <row r="141" spans="2:10" ht="14.25" thickBot="1" x14ac:dyDescent="0.2">
      <c r="B141" s="17" t="s">
        <v>2</v>
      </c>
      <c r="C141" s="18">
        <f>SUM(C117:C140)</f>
        <v>676</v>
      </c>
      <c r="D141" s="19">
        <f t="shared" si="4"/>
        <v>676</v>
      </c>
      <c r="E141" s="20"/>
      <c r="G141" s="17" t="s">
        <v>2</v>
      </c>
      <c r="H141" s="18">
        <f>SUM(H117:H140)</f>
        <v>1008</v>
      </c>
      <c r="I141" s="19">
        <f t="shared" si="5"/>
        <v>1008</v>
      </c>
      <c r="J141" s="20"/>
    </row>
    <row r="142" spans="2:10" ht="14.25" thickBot="1" x14ac:dyDescent="0.2">
      <c r="B142" s="46" t="s">
        <v>3</v>
      </c>
      <c r="C142" s="52">
        <f>C116-C141</f>
        <v>268</v>
      </c>
      <c r="D142" s="48">
        <f>D116-D141</f>
        <v>268</v>
      </c>
      <c r="E142" s="49"/>
      <c r="G142" s="46" t="s">
        <v>3</v>
      </c>
      <c r="H142" s="52">
        <f>H116-H141</f>
        <v>3360</v>
      </c>
      <c r="I142" s="48">
        <f>I116-I141</f>
        <v>3360</v>
      </c>
      <c r="J142" s="49"/>
    </row>
    <row r="145" spans="2:10" ht="18.75" x14ac:dyDescent="0.2">
      <c r="B145" s="26" t="s">
        <v>7</v>
      </c>
      <c r="G145" s="26" t="s">
        <v>35</v>
      </c>
    </row>
    <row r="146" spans="2:10" ht="14.25" thickBot="1" x14ac:dyDescent="0.2"/>
    <row r="147" spans="2:10" ht="14.25" thickBot="1" x14ac:dyDescent="0.2">
      <c r="B147" s="1"/>
      <c r="C147" s="2"/>
      <c r="D147" s="3" t="s">
        <v>0</v>
      </c>
      <c r="E147" s="1" t="s">
        <v>4</v>
      </c>
      <c r="G147" s="1"/>
      <c r="H147" s="2"/>
      <c r="I147" s="3" t="s">
        <v>0</v>
      </c>
      <c r="J147" s="1" t="s">
        <v>4</v>
      </c>
    </row>
    <row r="148" spans="2:10" x14ac:dyDescent="0.15">
      <c r="B148" s="42" t="s">
        <v>5</v>
      </c>
      <c r="C148" s="43">
        <f>C142</f>
        <v>268</v>
      </c>
      <c r="D148" s="44">
        <f>SUM(C148:C148)</f>
        <v>268</v>
      </c>
      <c r="E148" s="45"/>
      <c r="G148" s="42" t="s">
        <v>5</v>
      </c>
      <c r="H148" s="43">
        <f>H142</f>
        <v>3360</v>
      </c>
      <c r="I148" s="44">
        <f>SUM(H148:H148)</f>
        <v>3360</v>
      </c>
      <c r="J148" s="45"/>
    </row>
    <row r="149" spans="2:10" x14ac:dyDescent="0.15">
      <c r="B149" s="4" t="s">
        <v>6</v>
      </c>
      <c r="C149" s="22">
        <v>336</v>
      </c>
      <c r="D149" s="23">
        <f>SUM(C149:C149)</f>
        <v>336</v>
      </c>
      <c r="E149" s="29">
        <v>41458</v>
      </c>
      <c r="G149" s="4" t="s">
        <v>6</v>
      </c>
      <c r="H149" s="13">
        <v>2016</v>
      </c>
      <c r="I149" s="14">
        <f>SUM(H149:H149)</f>
        <v>2016</v>
      </c>
      <c r="J149" s="5">
        <v>41456</v>
      </c>
    </row>
    <row r="150" spans="2:10" x14ac:dyDescent="0.15">
      <c r="B150" s="4" t="s">
        <v>6</v>
      </c>
      <c r="C150" s="7">
        <v>336</v>
      </c>
      <c r="D150" s="8">
        <f>SUM(C150:C150)</f>
        <v>336</v>
      </c>
      <c r="E150" s="9">
        <v>41467</v>
      </c>
      <c r="G150" s="71" t="s">
        <v>6</v>
      </c>
      <c r="H150" s="72">
        <v>2016</v>
      </c>
      <c r="I150" s="73">
        <f>SUM(H150:H150)</f>
        <v>2016</v>
      </c>
      <c r="J150" s="74">
        <v>41487</v>
      </c>
    </row>
    <row r="151" spans="2:10" ht="14.25" thickBot="1" x14ac:dyDescent="0.2">
      <c r="B151" s="6" t="s">
        <v>6</v>
      </c>
      <c r="C151" s="7">
        <v>336</v>
      </c>
      <c r="D151" s="14">
        <f>SUM(C151:C151)</f>
        <v>336</v>
      </c>
      <c r="E151" s="16">
        <v>41492</v>
      </c>
      <c r="G151" s="6" t="s">
        <v>6</v>
      </c>
      <c r="H151" s="65"/>
      <c r="I151" s="14">
        <f>SUM(H151:H151)</f>
        <v>0</v>
      </c>
      <c r="J151" s="16"/>
    </row>
    <row r="152" spans="2:10" ht="14.25" thickBot="1" x14ac:dyDescent="0.2">
      <c r="B152" s="46" t="s">
        <v>1</v>
      </c>
      <c r="C152" s="48">
        <f>SUM(C148:C151)</f>
        <v>1276</v>
      </c>
      <c r="D152" s="48">
        <f>SUM(D148:D151)</f>
        <v>1276</v>
      </c>
      <c r="E152" s="49"/>
      <c r="G152" s="46" t="s">
        <v>1</v>
      </c>
      <c r="H152" s="47">
        <f>SUM(H148:H151)</f>
        <v>7392</v>
      </c>
      <c r="I152" s="48">
        <f>SUM(I148:I151)</f>
        <v>7392</v>
      </c>
      <c r="J152" s="49"/>
    </row>
    <row r="153" spans="2:10" x14ac:dyDescent="0.15">
      <c r="B153" s="10" t="s">
        <v>18</v>
      </c>
      <c r="C153" s="77">
        <v>7</v>
      </c>
      <c r="D153" s="11">
        <f t="shared" ref="D153:D177" si="6">SUM(C153:C153)</f>
        <v>7</v>
      </c>
      <c r="E153" s="12">
        <v>41443</v>
      </c>
      <c r="F153" s="76"/>
      <c r="G153" s="27" t="s">
        <v>16</v>
      </c>
      <c r="H153" s="22">
        <v>336</v>
      </c>
      <c r="I153" s="36">
        <f t="shared" ref="I153:I177" si="7">SUM(H153:H153)</f>
        <v>336</v>
      </c>
      <c r="J153" s="24">
        <v>41458</v>
      </c>
    </row>
    <row r="154" spans="2:10" x14ac:dyDescent="0.15">
      <c r="B154" s="27" t="s">
        <v>12</v>
      </c>
      <c r="C154" s="22">
        <v>50</v>
      </c>
      <c r="D154" s="23">
        <f t="shared" si="6"/>
        <v>50</v>
      </c>
      <c r="E154" s="24">
        <v>41440</v>
      </c>
      <c r="G154" s="78" t="s">
        <v>61</v>
      </c>
      <c r="H154" s="13">
        <v>200</v>
      </c>
      <c r="I154" s="14">
        <f t="shared" si="7"/>
        <v>200</v>
      </c>
      <c r="J154" s="12">
        <v>41465</v>
      </c>
    </row>
    <row r="155" spans="2:10" x14ac:dyDescent="0.15">
      <c r="B155" s="10" t="s">
        <v>56</v>
      </c>
      <c r="C155" s="13">
        <v>10</v>
      </c>
      <c r="D155" s="14">
        <f t="shared" si="6"/>
        <v>10</v>
      </c>
      <c r="E155" s="12">
        <v>41445</v>
      </c>
      <c r="G155" s="10" t="s">
        <v>16</v>
      </c>
      <c r="H155" s="13">
        <v>336</v>
      </c>
      <c r="I155" s="14">
        <f t="shared" si="7"/>
        <v>336</v>
      </c>
      <c r="J155" s="12">
        <v>41467</v>
      </c>
    </row>
    <row r="156" spans="2:10" x14ac:dyDescent="0.15">
      <c r="B156" s="10" t="s">
        <v>18</v>
      </c>
      <c r="C156" s="13">
        <v>10</v>
      </c>
      <c r="D156" s="14">
        <f t="shared" si="6"/>
        <v>10</v>
      </c>
      <c r="E156" s="12">
        <v>41447</v>
      </c>
      <c r="G156" s="78" t="s">
        <v>62</v>
      </c>
      <c r="H156" s="13">
        <v>400</v>
      </c>
      <c r="I156" s="14">
        <f t="shared" si="7"/>
        <v>400</v>
      </c>
      <c r="J156" s="12">
        <v>41467</v>
      </c>
    </row>
    <row r="157" spans="2:10" x14ac:dyDescent="0.15">
      <c r="B157" s="27" t="s">
        <v>58</v>
      </c>
      <c r="C157" s="22">
        <v>25</v>
      </c>
      <c r="D157" s="23">
        <f t="shared" si="6"/>
        <v>25</v>
      </c>
      <c r="E157" s="24">
        <v>41453</v>
      </c>
      <c r="G157" s="78" t="s">
        <v>63</v>
      </c>
      <c r="H157" s="13">
        <v>400</v>
      </c>
      <c r="I157" s="14">
        <f t="shared" si="7"/>
        <v>400</v>
      </c>
      <c r="J157" s="12">
        <v>41468</v>
      </c>
    </row>
    <row r="158" spans="2:10" x14ac:dyDescent="0.15">
      <c r="B158" s="10" t="s">
        <v>56</v>
      </c>
      <c r="C158" s="13">
        <v>10</v>
      </c>
      <c r="D158" s="14">
        <f t="shared" si="6"/>
        <v>10</v>
      </c>
      <c r="E158" s="12">
        <v>41452</v>
      </c>
      <c r="G158" s="78" t="s">
        <v>64</v>
      </c>
      <c r="H158" s="13">
        <v>400</v>
      </c>
      <c r="I158" s="14">
        <f t="shared" si="7"/>
        <v>400</v>
      </c>
      <c r="J158" s="12">
        <v>41473</v>
      </c>
    </row>
    <row r="159" spans="2:10" x14ac:dyDescent="0.15">
      <c r="B159" s="27" t="s">
        <v>18</v>
      </c>
      <c r="C159" s="22">
        <v>11</v>
      </c>
      <c r="D159" s="23">
        <f t="shared" si="6"/>
        <v>11</v>
      </c>
      <c r="E159" s="24">
        <v>41452</v>
      </c>
      <c r="G159" s="78" t="s">
        <v>65</v>
      </c>
      <c r="H159" s="13">
        <v>1900</v>
      </c>
      <c r="I159" s="14">
        <f t="shared" si="7"/>
        <v>1900</v>
      </c>
      <c r="J159" s="12">
        <v>41475</v>
      </c>
    </row>
    <row r="160" spans="2:10" x14ac:dyDescent="0.15">
      <c r="B160" s="10" t="s">
        <v>18</v>
      </c>
      <c r="C160" s="13">
        <v>6</v>
      </c>
      <c r="D160" s="14">
        <f t="shared" si="6"/>
        <v>6</v>
      </c>
      <c r="E160" s="12">
        <v>41454</v>
      </c>
      <c r="G160" s="78" t="s">
        <v>67</v>
      </c>
      <c r="H160" s="13">
        <v>400</v>
      </c>
      <c r="I160" s="14">
        <f t="shared" si="7"/>
        <v>400</v>
      </c>
      <c r="J160" s="12">
        <v>41482</v>
      </c>
    </row>
    <row r="161" spans="2:10" x14ac:dyDescent="0.15">
      <c r="B161" s="10" t="s">
        <v>18</v>
      </c>
      <c r="C161" s="13">
        <v>3</v>
      </c>
      <c r="D161" s="14">
        <f t="shared" si="6"/>
        <v>3</v>
      </c>
      <c r="E161" s="12">
        <v>41459</v>
      </c>
      <c r="G161" s="10" t="s">
        <v>16</v>
      </c>
      <c r="H161" s="13">
        <v>336</v>
      </c>
      <c r="I161" s="14">
        <f t="shared" si="7"/>
        <v>336</v>
      </c>
      <c r="J161" s="12">
        <v>41492</v>
      </c>
    </row>
    <row r="162" spans="2:10" x14ac:dyDescent="0.15">
      <c r="B162" s="15" t="s">
        <v>60</v>
      </c>
      <c r="C162" s="13">
        <v>300</v>
      </c>
      <c r="D162" s="14">
        <f t="shared" si="6"/>
        <v>300</v>
      </c>
      <c r="E162" s="12">
        <v>41460</v>
      </c>
      <c r="G162" s="78" t="s">
        <v>69</v>
      </c>
      <c r="H162" s="13">
        <v>750</v>
      </c>
      <c r="I162" s="14">
        <f t="shared" si="7"/>
        <v>750</v>
      </c>
      <c r="J162" s="12">
        <v>41496</v>
      </c>
    </row>
    <row r="163" spans="2:10" x14ac:dyDescent="0.15">
      <c r="B163" s="10" t="s">
        <v>56</v>
      </c>
      <c r="C163" s="13">
        <v>15</v>
      </c>
      <c r="D163" s="14">
        <f t="shared" si="6"/>
        <v>15</v>
      </c>
      <c r="E163" s="12">
        <v>41460</v>
      </c>
      <c r="G163" s="78" t="s">
        <v>70</v>
      </c>
      <c r="H163" s="13">
        <v>50</v>
      </c>
      <c r="I163" s="14">
        <f t="shared" si="7"/>
        <v>50</v>
      </c>
      <c r="J163" s="12">
        <v>41496</v>
      </c>
    </row>
    <row r="164" spans="2:10" x14ac:dyDescent="0.15">
      <c r="B164" s="27" t="s">
        <v>22</v>
      </c>
      <c r="C164" s="22">
        <v>50</v>
      </c>
      <c r="D164" s="23">
        <f t="shared" si="6"/>
        <v>50</v>
      </c>
      <c r="E164" s="24">
        <v>41459</v>
      </c>
      <c r="G164" s="27"/>
      <c r="H164" s="22"/>
      <c r="I164" s="23">
        <f t="shared" si="7"/>
        <v>0</v>
      </c>
      <c r="J164" s="24"/>
    </row>
    <row r="165" spans="2:10" x14ac:dyDescent="0.15">
      <c r="B165" s="10" t="s">
        <v>58</v>
      </c>
      <c r="C165" s="13">
        <v>7</v>
      </c>
      <c r="D165" s="14">
        <f t="shared" si="6"/>
        <v>7</v>
      </c>
      <c r="E165" s="12">
        <v>41468</v>
      </c>
      <c r="G165" s="15"/>
      <c r="H165" s="13"/>
      <c r="I165" s="14">
        <f t="shared" si="7"/>
        <v>0</v>
      </c>
      <c r="J165" s="12"/>
    </row>
    <row r="166" spans="2:10" x14ac:dyDescent="0.15">
      <c r="B166" s="10" t="s">
        <v>18</v>
      </c>
      <c r="C166" s="13">
        <v>46</v>
      </c>
      <c r="D166" s="14">
        <f t="shared" si="6"/>
        <v>46</v>
      </c>
      <c r="E166" s="12">
        <v>41474</v>
      </c>
      <c r="G166" s="10"/>
      <c r="H166" s="13"/>
      <c r="I166" s="14">
        <f t="shared" si="7"/>
        <v>0</v>
      </c>
      <c r="J166" s="12"/>
    </row>
    <row r="167" spans="2:10" x14ac:dyDescent="0.15">
      <c r="B167" s="15" t="s">
        <v>66</v>
      </c>
      <c r="C167" s="13">
        <v>80</v>
      </c>
      <c r="D167" s="14">
        <f t="shared" si="6"/>
        <v>80</v>
      </c>
      <c r="E167" s="12">
        <v>41474</v>
      </c>
      <c r="G167" s="15"/>
      <c r="H167" s="13"/>
      <c r="I167" s="14">
        <f t="shared" si="7"/>
        <v>0</v>
      </c>
      <c r="J167" s="12"/>
    </row>
    <row r="168" spans="2:10" x14ac:dyDescent="0.15">
      <c r="B168" s="10" t="s">
        <v>18</v>
      </c>
      <c r="C168" s="13">
        <v>40</v>
      </c>
      <c r="D168" s="14">
        <f t="shared" si="6"/>
        <v>40</v>
      </c>
      <c r="E168" s="12">
        <v>41478</v>
      </c>
      <c r="G168" s="21"/>
      <c r="H168" s="22"/>
      <c r="I168" s="23">
        <f t="shared" si="7"/>
        <v>0</v>
      </c>
      <c r="J168" s="24"/>
    </row>
    <row r="169" spans="2:10" x14ac:dyDescent="0.15">
      <c r="B169" s="15" t="s">
        <v>22</v>
      </c>
      <c r="C169" s="13">
        <v>50</v>
      </c>
      <c r="D169" s="14">
        <f t="shared" si="6"/>
        <v>50</v>
      </c>
      <c r="E169" s="12">
        <v>41477</v>
      </c>
      <c r="G169" s="27"/>
      <c r="H169" s="22"/>
      <c r="I169" s="23">
        <f t="shared" si="7"/>
        <v>0</v>
      </c>
      <c r="J169" s="24"/>
    </row>
    <row r="170" spans="2:10" x14ac:dyDescent="0.15">
      <c r="B170" s="10" t="s">
        <v>18</v>
      </c>
      <c r="C170" s="13">
        <v>93</v>
      </c>
      <c r="D170" s="14">
        <f t="shared" si="6"/>
        <v>93</v>
      </c>
      <c r="E170" s="12">
        <v>41486</v>
      </c>
      <c r="G170" s="15"/>
      <c r="H170" s="13"/>
      <c r="I170" s="14">
        <f t="shared" si="7"/>
        <v>0</v>
      </c>
      <c r="J170" s="5"/>
    </row>
    <row r="171" spans="2:10" x14ac:dyDescent="0.15">
      <c r="B171" s="10" t="s">
        <v>16</v>
      </c>
      <c r="C171" s="22">
        <v>-3</v>
      </c>
      <c r="D171" s="23">
        <f t="shared" si="6"/>
        <v>-3</v>
      </c>
      <c r="E171" s="24">
        <v>41486</v>
      </c>
      <c r="G171" s="15"/>
      <c r="H171" s="13"/>
      <c r="I171" s="14">
        <f t="shared" si="7"/>
        <v>0</v>
      </c>
      <c r="J171" s="5"/>
    </row>
    <row r="172" spans="2:10" x14ac:dyDescent="0.15">
      <c r="B172" s="78" t="s">
        <v>68</v>
      </c>
      <c r="C172" s="13">
        <v>100</v>
      </c>
      <c r="D172" s="14">
        <f t="shared" si="6"/>
        <v>100</v>
      </c>
      <c r="E172" s="5">
        <v>41488</v>
      </c>
      <c r="G172" s="75"/>
      <c r="H172" s="13"/>
      <c r="I172" s="14">
        <f t="shared" si="7"/>
        <v>0</v>
      </c>
      <c r="J172" s="5"/>
    </row>
    <row r="173" spans="2:10" x14ac:dyDescent="0.15">
      <c r="B173" s="15" t="s">
        <v>22</v>
      </c>
      <c r="C173" s="22">
        <v>30</v>
      </c>
      <c r="D173" s="23">
        <f t="shared" si="6"/>
        <v>30</v>
      </c>
      <c r="E173" s="29">
        <v>41491</v>
      </c>
      <c r="G173" s="78"/>
      <c r="H173" s="13"/>
      <c r="I173" s="14">
        <f t="shared" si="7"/>
        <v>0</v>
      </c>
      <c r="J173" s="5"/>
    </row>
    <row r="174" spans="2:10" x14ac:dyDescent="0.15">
      <c r="B174" s="10" t="s">
        <v>18</v>
      </c>
      <c r="C174" s="13">
        <v>75</v>
      </c>
      <c r="D174" s="14">
        <f t="shared" si="6"/>
        <v>75</v>
      </c>
      <c r="E174" s="5">
        <v>41493</v>
      </c>
      <c r="G174" s="15"/>
      <c r="H174" s="13"/>
      <c r="I174" s="14">
        <f t="shared" si="7"/>
        <v>0</v>
      </c>
      <c r="J174" s="5"/>
    </row>
    <row r="175" spans="2:10" x14ac:dyDescent="0.15">
      <c r="B175" s="15" t="s">
        <v>11</v>
      </c>
      <c r="C175" s="13">
        <v>150</v>
      </c>
      <c r="D175" s="14">
        <f t="shared" si="6"/>
        <v>150</v>
      </c>
      <c r="E175" s="5">
        <v>41498</v>
      </c>
      <c r="G175" s="15"/>
      <c r="H175" s="7"/>
      <c r="I175" s="14">
        <f t="shared" si="7"/>
        <v>0</v>
      </c>
      <c r="J175" s="79"/>
    </row>
    <row r="176" spans="2:10" ht="14.25" thickBot="1" x14ac:dyDescent="0.2">
      <c r="B176" s="10" t="s">
        <v>18</v>
      </c>
      <c r="C176" s="13">
        <v>48</v>
      </c>
      <c r="D176" s="11">
        <f t="shared" si="6"/>
        <v>48</v>
      </c>
      <c r="E176" s="12">
        <v>41496</v>
      </c>
      <c r="G176" s="15"/>
      <c r="H176" s="7"/>
      <c r="I176" s="14">
        <f t="shared" si="7"/>
        <v>0</v>
      </c>
      <c r="J176" s="16"/>
    </row>
    <row r="177" spans="2:10" ht="14.25" thickBot="1" x14ac:dyDescent="0.2">
      <c r="B177" s="17" t="s">
        <v>2</v>
      </c>
      <c r="C177" s="18">
        <f>SUM(C153:C176)</f>
        <v>1213</v>
      </c>
      <c r="D177" s="19">
        <f t="shared" si="6"/>
        <v>1213</v>
      </c>
      <c r="E177" s="20"/>
      <c r="G177" s="17" t="s">
        <v>2</v>
      </c>
      <c r="H177" s="18">
        <f>SUM(H153:H176)</f>
        <v>5508</v>
      </c>
      <c r="I177" s="19">
        <f t="shared" si="7"/>
        <v>5508</v>
      </c>
      <c r="J177" s="20"/>
    </row>
    <row r="178" spans="2:10" ht="14.25" thickBot="1" x14ac:dyDescent="0.2">
      <c r="B178" s="46" t="s">
        <v>3</v>
      </c>
      <c r="C178" s="52">
        <f>C152-C177</f>
        <v>63</v>
      </c>
      <c r="D178" s="48">
        <f>D152-D177</f>
        <v>63</v>
      </c>
      <c r="E178" s="49"/>
      <c r="G178" s="46" t="s">
        <v>3</v>
      </c>
      <c r="H178" s="52">
        <f>H152-H177</f>
        <v>1884</v>
      </c>
      <c r="I178" s="48">
        <f>I152-I177</f>
        <v>1884</v>
      </c>
      <c r="J178" s="49"/>
    </row>
    <row r="181" spans="2:10" ht="18.75" x14ac:dyDescent="0.2">
      <c r="B181" s="26" t="s">
        <v>7</v>
      </c>
      <c r="G181" s="26" t="s">
        <v>35</v>
      </c>
    </row>
    <row r="182" spans="2:10" ht="14.25" thickBot="1" x14ac:dyDescent="0.2"/>
    <row r="183" spans="2:10" ht="14.25" thickBot="1" x14ac:dyDescent="0.2">
      <c r="B183" s="1"/>
      <c r="C183" s="2"/>
      <c r="D183" s="3" t="s">
        <v>0</v>
      </c>
      <c r="E183" s="1" t="s">
        <v>4</v>
      </c>
      <c r="G183" s="1"/>
      <c r="H183" s="2"/>
      <c r="I183" s="3" t="s">
        <v>0</v>
      </c>
      <c r="J183" s="1" t="s">
        <v>4</v>
      </c>
    </row>
    <row r="184" spans="2:10" x14ac:dyDescent="0.15">
      <c r="B184" s="42" t="s">
        <v>5</v>
      </c>
      <c r="C184" s="43">
        <f>C178</f>
        <v>63</v>
      </c>
      <c r="D184" s="44">
        <f>SUM(C184:C184)</f>
        <v>63</v>
      </c>
      <c r="E184" s="45"/>
      <c r="G184" s="42" t="s">
        <v>5</v>
      </c>
      <c r="H184" s="43">
        <f>H178</f>
        <v>1884</v>
      </c>
      <c r="I184" s="44">
        <f>SUM(H184:H184)</f>
        <v>1884</v>
      </c>
      <c r="J184" s="45"/>
    </row>
    <row r="185" spans="2:10" x14ac:dyDescent="0.15">
      <c r="B185" s="4" t="s">
        <v>6</v>
      </c>
      <c r="C185" s="13">
        <v>336</v>
      </c>
      <c r="D185" s="14">
        <f>SUM(C185:C185)</f>
        <v>336</v>
      </c>
      <c r="E185" s="5">
        <v>41506</v>
      </c>
      <c r="G185" s="4" t="s">
        <v>71</v>
      </c>
      <c r="H185" s="13">
        <v>-3</v>
      </c>
      <c r="I185" s="14">
        <f>SUM(H185:H185)</f>
        <v>-3</v>
      </c>
      <c r="J185" s="5">
        <v>41516</v>
      </c>
    </row>
    <row r="186" spans="2:10" x14ac:dyDescent="0.15">
      <c r="B186" s="4" t="s">
        <v>72</v>
      </c>
      <c r="C186" s="7">
        <v>230</v>
      </c>
      <c r="D186" s="8">
        <f>SUM(C186:C186)</f>
        <v>230</v>
      </c>
      <c r="E186" s="9">
        <v>41524</v>
      </c>
      <c r="G186" s="71" t="s">
        <v>6</v>
      </c>
      <c r="H186" s="72"/>
      <c r="I186" s="73">
        <f>SUM(H186:H186)</f>
        <v>0</v>
      </c>
      <c r="J186" s="74"/>
    </row>
    <row r="187" spans="2:10" ht="14.25" thickBot="1" x14ac:dyDescent="0.2">
      <c r="B187" s="6" t="s">
        <v>6</v>
      </c>
      <c r="C187" s="7"/>
      <c r="D187" s="14">
        <f>SUM(C187:C187)</f>
        <v>0</v>
      </c>
      <c r="E187" s="16"/>
      <c r="G187" s="6" t="s">
        <v>6</v>
      </c>
      <c r="H187" s="65"/>
      <c r="I187" s="14">
        <f>SUM(H187:H187)</f>
        <v>0</v>
      </c>
      <c r="J187" s="16"/>
    </row>
    <row r="188" spans="2:10" ht="14.25" thickBot="1" x14ac:dyDescent="0.2">
      <c r="B188" s="46" t="s">
        <v>1</v>
      </c>
      <c r="C188" s="48">
        <f>SUM(C184:C187)</f>
        <v>629</v>
      </c>
      <c r="D188" s="48">
        <f>SUM(D184:D187)</f>
        <v>629</v>
      </c>
      <c r="E188" s="49"/>
      <c r="G188" s="46" t="s">
        <v>1</v>
      </c>
      <c r="H188" s="47">
        <f>SUM(H184:H187)</f>
        <v>1881</v>
      </c>
      <c r="I188" s="48">
        <f>SUM(I184:I187)</f>
        <v>1881</v>
      </c>
      <c r="J188" s="49"/>
    </row>
    <row r="189" spans="2:10" x14ac:dyDescent="0.15">
      <c r="B189" s="10" t="s">
        <v>18</v>
      </c>
      <c r="C189" s="77">
        <v>44</v>
      </c>
      <c r="D189" s="11">
        <f t="shared" ref="D189:D213" si="8">SUM(C189:C189)</f>
        <v>44</v>
      </c>
      <c r="E189" s="12">
        <v>41505</v>
      </c>
      <c r="F189" s="76"/>
      <c r="G189" s="10" t="s">
        <v>16</v>
      </c>
      <c r="H189" s="13">
        <v>336</v>
      </c>
      <c r="I189" s="11">
        <f t="shared" ref="I189:I213" si="9">SUM(H189:H189)</f>
        <v>336</v>
      </c>
      <c r="J189" s="12">
        <v>41506</v>
      </c>
    </row>
    <row r="190" spans="2:10" x14ac:dyDescent="0.15">
      <c r="B190" s="15" t="s">
        <v>22</v>
      </c>
      <c r="C190" s="22">
        <v>19</v>
      </c>
      <c r="D190" s="23">
        <f t="shared" si="8"/>
        <v>19</v>
      </c>
      <c r="E190" s="24">
        <v>41502</v>
      </c>
      <c r="G190" s="78"/>
      <c r="H190" s="13"/>
      <c r="I190" s="14">
        <f t="shared" si="9"/>
        <v>0</v>
      </c>
      <c r="J190" s="12"/>
    </row>
    <row r="191" spans="2:10" x14ac:dyDescent="0.15">
      <c r="B191" s="10" t="s">
        <v>18</v>
      </c>
      <c r="C191" s="13">
        <v>63</v>
      </c>
      <c r="D191" s="14">
        <f t="shared" si="8"/>
        <v>63</v>
      </c>
      <c r="E191" s="12">
        <v>41513</v>
      </c>
      <c r="G191" s="10"/>
      <c r="H191" s="13"/>
      <c r="I191" s="14">
        <f t="shared" si="9"/>
        <v>0</v>
      </c>
      <c r="J191" s="12"/>
    </row>
    <row r="192" spans="2:10" x14ac:dyDescent="0.15">
      <c r="B192" s="15" t="s">
        <v>10</v>
      </c>
      <c r="C192" s="13">
        <v>30</v>
      </c>
      <c r="D192" s="14">
        <f t="shared" si="8"/>
        <v>30</v>
      </c>
      <c r="E192" s="12">
        <v>41516</v>
      </c>
      <c r="G192" s="78"/>
      <c r="H192" s="13"/>
      <c r="I192" s="14">
        <f t="shared" si="9"/>
        <v>0</v>
      </c>
      <c r="J192" s="12"/>
    </row>
    <row r="193" spans="2:10" x14ac:dyDescent="0.15">
      <c r="B193" s="10" t="s">
        <v>22</v>
      </c>
      <c r="C193" s="22">
        <v>30</v>
      </c>
      <c r="D193" s="23">
        <f t="shared" si="8"/>
        <v>30</v>
      </c>
      <c r="E193" s="24">
        <v>41512</v>
      </c>
      <c r="G193" s="78"/>
      <c r="H193" s="13"/>
      <c r="I193" s="14">
        <f t="shared" si="9"/>
        <v>0</v>
      </c>
      <c r="J193" s="12"/>
    </row>
    <row r="194" spans="2:10" x14ac:dyDescent="0.15">
      <c r="B194" s="10" t="s">
        <v>18</v>
      </c>
      <c r="C194" s="13">
        <v>35</v>
      </c>
      <c r="D194" s="14">
        <f t="shared" si="8"/>
        <v>35</v>
      </c>
      <c r="E194" s="12">
        <v>41517</v>
      </c>
      <c r="G194" s="78"/>
      <c r="H194" s="13"/>
      <c r="I194" s="14">
        <f t="shared" si="9"/>
        <v>0</v>
      </c>
      <c r="J194" s="12"/>
    </row>
    <row r="195" spans="2:10" x14ac:dyDescent="0.15">
      <c r="B195" s="10" t="s">
        <v>18</v>
      </c>
      <c r="C195" s="13">
        <v>8</v>
      </c>
      <c r="D195" s="14">
        <f t="shared" si="8"/>
        <v>8</v>
      </c>
      <c r="E195" s="12">
        <v>41522</v>
      </c>
      <c r="G195" s="78"/>
      <c r="H195" s="13"/>
      <c r="I195" s="14">
        <f t="shared" si="9"/>
        <v>0</v>
      </c>
      <c r="J195" s="12"/>
    </row>
    <row r="196" spans="2:10" x14ac:dyDescent="0.15">
      <c r="B196" s="10" t="s">
        <v>18</v>
      </c>
      <c r="C196" s="13">
        <v>7</v>
      </c>
      <c r="D196" s="14">
        <f t="shared" si="8"/>
        <v>7</v>
      </c>
      <c r="E196" s="12">
        <v>41524</v>
      </c>
      <c r="G196" s="78"/>
      <c r="H196" s="13"/>
      <c r="I196" s="14">
        <f t="shared" si="9"/>
        <v>0</v>
      </c>
      <c r="J196" s="12"/>
    </row>
    <row r="197" spans="2:10" x14ac:dyDescent="0.15">
      <c r="B197" s="10" t="s">
        <v>58</v>
      </c>
      <c r="C197" s="13">
        <v>10</v>
      </c>
      <c r="D197" s="14">
        <f t="shared" si="8"/>
        <v>10</v>
      </c>
      <c r="E197" s="12">
        <v>41529</v>
      </c>
      <c r="G197" s="10"/>
      <c r="H197" s="13"/>
      <c r="I197" s="14">
        <f t="shared" si="9"/>
        <v>0</v>
      </c>
      <c r="J197" s="12"/>
    </row>
    <row r="198" spans="2:10" x14ac:dyDescent="0.15">
      <c r="B198" s="10" t="s">
        <v>58</v>
      </c>
      <c r="C198" s="13">
        <v>10</v>
      </c>
      <c r="D198" s="14">
        <f t="shared" si="8"/>
        <v>10</v>
      </c>
      <c r="E198" s="12">
        <v>41529</v>
      </c>
      <c r="G198" s="78"/>
      <c r="H198" s="13"/>
      <c r="I198" s="14">
        <f t="shared" si="9"/>
        <v>0</v>
      </c>
      <c r="J198" s="12"/>
    </row>
    <row r="199" spans="2:10" x14ac:dyDescent="0.15">
      <c r="B199" s="10" t="s">
        <v>18</v>
      </c>
      <c r="C199" s="13">
        <v>9</v>
      </c>
      <c r="D199" s="14">
        <f t="shared" si="8"/>
        <v>9</v>
      </c>
      <c r="E199" s="12">
        <v>41529</v>
      </c>
      <c r="G199" s="10"/>
      <c r="H199" s="22"/>
      <c r="I199" s="23">
        <f t="shared" si="9"/>
        <v>0</v>
      </c>
      <c r="J199" s="24"/>
    </row>
    <row r="200" spans="2:10" x14ac:dyDescent="0.15">
      <c r="B200" s="10" t="s">
        <v>58</v>
      </c>
      <c r="C200" s="13">
        <v>10</v>
      </c>
      <c r="D200" s="14">
        <f t="shared" si="8"/>
        <v>10</v>
      </c>
      <c r="E200" s="12">
        <v>41530</v>
      </c>
      <c r="G200" s="27"/>
      <c r="H200" s="22"/>
      <c r="I200" s="23">
        <f t="shared" si="9"/>
        <v>0</v>
      </c>
      <c r="J200" s="24"/>
    </row>
    <row r="201" spans="2:10" x14ac:dyDescent="0.15">
      <c r="B201" s="10" t="s">
        <v>22</v>
      </c>
      <c r="C201" s="13">
        <v>10</v>
      </c>
      <c r="D201" s="14">
        <f t="shared" si="8"/>
        <v>10</v>
      </c>
      <c r="E201" s="12">
        <v>41532</v>
      </c>
      <c r="G201" s="15"/>
      <c r="H201" s="13"/>
      <c r="I201" s="14">
        <f t="shared" si="9"/>
        <v>0</v>
      </c>
      <c r="J201" s="12"/>
    </row>
    <row r="202" spans="2:10" x14ac:dyDescent="0.15">
      <c r="B202" s="10" t="s">
        <v>18</v>
      </c>
      <c r="C202" s="13">
        <v>11</v>
      </c>
      <c r="D202" s="14">
        <f t="shared" si="8"/>
        <v>11</v>
      </c>
      <c r="E202" s="12">
        <v>41535</v>
      </c>
      <c r="G202" s="10"/>
      <c r="H202" s="13"/>
      <c r="I202" s="14">
        <f t="shared" si="9"/>
        <v>0</v>
      </c>
      <c r="J202" s="12"/>
    </row>
    <row r="203" spans="2:10" x14ac:dyDescent="0.15">
      <c r="B203" s="15" t="s">
        <v>22</v>
      </c>
      <c r="C203" s="13">
        <v>20</v>
      </c>
      <c r="D203" s="14">
        <f t="shared" si="8"/>
        <v>20</v>
      </c>
      <c r="E203" s="12">
        <v>41537</v>
      </c>
      <c r="G203" s="15"/>
      <c r="H203" s="13"/>
      <c r="I203" s="14">
        <f t="shared" si="9"/>
        <v>0</v>
      </c>
      <c r="J203" s="12"/>
    </row>
    <row r="204" spans="2:10" x14ac:dyDescent="0.15">
      <c r="B204" s="10" t="s">
        <v>58</v>
      </c>
      <c r="C204" s="13">
        <v>10</v>
      </c>
      <c r="D204" s="14">
        <f t="shared" si="8"/>
        <v>10</v>
      </c>
      <c r="E204" s="12">
        <v>41543</v>
      </c>
      <c r="G204" s="21"/>
      <c r="H204" s="22"/>
      <c r="I204" s="23">
        <f t="shared" si="9"/>
        <v>0</v>
      </c>
      <c r="J204" s="24"/>
    </row>
    <row r="205" spans="2:10" x14ac:dyDescent="0.15">
      <c r="B205" s="10" t="s">
        <v>18</v>
      </c>
      <c r="C205" s="13">
        <v>5</v>
      </c>
      <c r="D205" s="14">
        <f t="shared" si="8"/>
        <v>5</v>
      </c>
      <c r="E205" s="12">
        <v>41543</v>
      </c>
      <c r="G205" s="27"/>
      <c r="H205" s="22"/>
      <c r="I205" s="23">
        <f t="shared" si="9"/>
        <v>0</v>
      </c>
      <c r="J205" s="24"/>
    </row>
    <row r="206" spans="2:10" x14ac:dyDescent="0.15">
      <c r="B206" s="10" t="s">
        <v>58</v>
      </c>
      <c r="C206" s="13">
        <v>10</v>
      </c>
      <c r="D206" s="14">
        <f t="shared" si="8"/>
        <v>10</v>
      </c>
      <c r="E206" s="12">
        <v>41551</v>
      </c>
      <c r="G206" s="15"/>
      <c r="H206" s="13"/>
      <c r="I206" s="14">
        <f t="shared" si="9"/>
        <v>0</v>
      </c>
      <c r="J206" s="5"/>
    </row>
    <row r="207" spans="2:10" x14ac:dyDescent="0.15">
      <c r="B207" s="10" t="s">
        <v>58</v>
      </c>
      <c r="C207" s="13">
        <v>10</v>
      </c>
      <c r="D207" s="14">
        <f t="shared" si="8"/>
        <v>10</v>
      </c>
      <c r="E207" s="12">
        <v>41556</v>
      </c>
      <c r="G207" s="15"/>
      <c r="H207" s="13"/>
      <c r="I207" s="14">
        <f t="shared" si="9"/>
        <v>0</v>
      </c>
      <c r="J207" s="5"/>
    </row>
    <row r="208" spans="2:10" x14ac:dyDescent="0.15">
      <c r="B208" s="78" t="s">
        <v>73</v>
      </c>
      <c r="C208" s="13">
        <v>15</v>
      </c>
      <c r="D208" s="14">
        <f t="shared" si="8"/>
        <v>15</v>
      </c>
      <c r="E208" s="5">
        <v>41552</v>
      </c>
      <c r="G208" s="75"/>
      <c r="H208" s="13"/>
      <c r="I208" s="14">
        <f t="shared" si="9"/>
        <v>0</v>
      </c>
      <c r="J208" s="5"/>
    </row>
    <row r="209" spans="2:10" x14ac:dyDescent="0.15">
      <c r="B209" s="15" t="s">
        <v>12</v>
      </c>
      <c r="C209" s="13">
        <v>1</v>
      </c>
      <c r="D209" s="14">
        <f t="shared" si="8"/>
        <v>1</v>
      </c>
      <c r="E209" s="5">
        <v>41554</v>
      </c>
      <c r="G209" s="78"/>
      <c r="H209" s="13"/>
      <c r="I209" s="14">
        <f t="shared" si="9"/>
        <v>0</v>
      </c>
      <c r="J209" s="5"/>
    </row>
    <row r="210" spans="2:10" x14ac:dyDescent="0.15">
      <c r="B210" s="10" t="s">
        <v>18</v>
      </c>
      <c r="C210" s="13">
        <v>2</v>
      </c>
      <c r="D210" s="14">
        <f t="shared" si="8"/>
        <v>2</v>
      </c>
      <c r="E210" s="5">
        <v>41557</v>
      </c>
      <c r="G210" s="15"/>
      <c r="H210" s="13"/>
      <c r="I210" s="14">
        <f t="shared" si="9"/>
        <v>0</v>
      </c>
      <c r="J210" s="5"/>
    </row>
    <row r="211" spans="2:10" x14ac:dyDescent="0.15">
      <c r="B211" s="15" t="s">
        <v>12</v>
      </c>
      <c r="C211" s="13">
        <v>1</v>
      </c>
      <c r="D211" s="14">
        <f t="shared" si="8"/>
        <v>1</v>
      </c>
      <c r="E211" s="5">
        <v>41556</v>
      </c>
      <c r="G211" s="15"/>
      <c r="H211" s="7"/>
      <c r="I211" s="14">
        <f t="shared" si="9"/>
        <v>0</v>
      </c>
      <c r="J211" s="79"/>
    </row>
    <row r="212" spans="2:10" ht="14.25" thickBot="1" x14ac:dyDescent="0.2">
      <c r="B212" s="15" t="s">
        <v>12</v>
      </c>
      <c r="C212" s="13">
        <v>2</v>
      </c>
      <c r="D212" s="11">
        <f t="shared" si="8"/>
        <v>2</v>
      </c>
      <c r="E212" s="12">
        <v>41557</v>
      </c>
      <c r="G212" s="15"/>
      <c r="H212" s="7"/>
      <c r="I212" s="14">
        <f t="shared" si="9"/>
        <v>0</v>
      </c>
      <c r="J212" s="16"/>
    </row>
    <row r="213" spans="2:10" ht="14.25" thickBot="1" x14ac:dyDescent="0.2">
      <c r="B213" s="17" t="s">
        <v>2</v>
      </c>
      <c r="C213" s="18">
        <f>SUM(C189:C212)</f>
        <v>372</v>
      </c>
      <c r="D213" s="19">
        <f t="shared" si="8"/>
        <v>372</v>
      </c>
      <c r="E213" s="20"/>
      <c r="G213" s="17" t="s">
        <v>2</v>
      </c>
      <c r="H213" s="18">
        <f>SUM(H189:H212)</f>
        <v>336</v>
      </c>
      <c r="I213" s="19">
        <f t="shared" si="9"/>
        <v>336</v>
      </c>
      <c r="J213" s="20"/>
    </row>
    <row r="214" spans="2:10" ht="14.25" thickBot="1" x14ac:dyDescent="0.2">
      <c r="B214" s="46" t="s">
        <v>3</v>
      </c>
      <c r="C214" s="52">
        <f>C188-C213</f>
        <v>257</v>
      </c>
      <c r="D214" s="48">
        <f>D188-D213</f>
        <v>257</v>
      </c>
      <c r="E214" s="49"/>
      <c r="G214" s="46" t="s">
        <v>3</v>
      </c>
      <c r="H214" s="52">
        <f>H188-H213</f>
        <v>1545</v>
      </c>
      <c r="I214" s="48">
        <f>I188-I213</f>
        <v>1545</v>
      </c>
      <c r="J214" s="49"/>
    </row>
    <row r="217" spans="2:10" ht="18.75" x14ac:dyDescent="0.2">
      <c r="B217" s="26" t="s">
        <v>7</v>
      </c>
      <c r="G217" s="26" t="s">
        <v>35</v>
      </c>
    </row>
    <row r="218" spans="2:10" ht="14.25" thickBot="1" x14ac:dyDescent="0.2"/>
    <row r="219" spans="2:10" ht="14.25" thickBot="1" x14ac:dyDescent="0.2">
      <c r="B219" s="1"/>
      <c r="C219" s="2"/>
      <c r="D219" s="3" t="s">
        <v>0</v>
      </c>
      <c r="E219" s="1" t="s">
        <v>4</v>
      </c>
      <c r="G219" s="1"/>
      <c r="H219" s="2"/>
      <c r="I219" s="3" t="s">
        <v>0</v>
      </c>
      <c r="J219" s="1" t="s">
        <v>4</v>
      </c>
    </row>
    <row r="220" spans="2:10" x14ac:dyDescent="0.15">
      <c r="B220" s="42" t="s">
        <v>5</v>
      </c>
      <c r="C220" s="43">
        <f>C214</f>
        <v>257</v>
      </c>
      <c r="D220" s="44">
        <f>SUM(C220:C220)</f>
        <v>257</v>
      </c>
      <c r="E220" s="45"/>
      <c r="G220" s="42" t="s">
        <v>5</v>
      </c>
      <c r="H220" s="43">
        <f>H214</f>
        <v>1545</v>
      </c>
      <c r="I220" s="44">
        <f>SUM(H220:H220)</f>
        <v>1545</v>
      </c>
      <c r="J220" s="45"/>
    </row>
    <row r="221" spans="2:10" x14ac:dyDescent="0.15">
      <c r="B221" s="4" t="s">
        <v>6</v>
      </c>
      <c r="C221" s="13">
        <v>23</v>
      </c>
      <c r="D221" s="14">
        <f>SUM(C221:C221)</f>
        <v>23</v>
      </c>
      <c r="E221" s="5">
        <v>41575</v>
      </c>
      <c r="F221" t="s">
        <v>76</v>
      </c>
      <c r="G221" s="71" t="s">
        <v>6</v>
      </c>
      <c r="H221" s="13"/>
      <c r="I221" s="14">
        <f>SUM(H221:H221)</f>
        <v>0</v>
      </c>
      <c r="J221" s="5"/>
    </row>
    <row r="222" spans="2:10" x14ac:dyDescent="0.15">
      <c r="B222" s="4" t="s">
        <v>6</v>
      </c>
      <c r="C222" s="7"/>
      <c r="D222" s="8">
        <f>SUM(C222:C222)</f>
        <v>0</v>
      </c>
      <c r="E222" s="9"/>
      <c r="G222" s="71" t="s">
        <v>6</v>
      </c>
      <c r="H222" s="72"/>
      <c r="I222" s="73">
        <f>SUM(H222:H222)</f>
        <v>0</v>
      </c>
      <c r="J222" s="74"/>
    </row>
    <row r="223" spans="2:10" ht="14.25" thickBot="1" x14ac:dyDescent="0.2">
      <c r="B223" s="6" t="s">
        <v>6</v>
      </c>
      <c r="C223" s="7"/>
      <c r="D223" s="14">
        <f>SUM(C223:C223)</f>
        <v>0</v>
      </c>
      <c r="E223" s="16"/>
      <c r="G223" s="6" t="s">
        <v>6</v>
      </c>
      <c r="H223" s="65"/>
      <c r="I223" s="14">
        <f>SUM(H223:H223)</f>
        <v>0</v>
      </c>
      <c r="J223" s="16"/>
    </row>
    <row r="224" spans="2:10" ht="14.25" thickBot="1" x14ac:dyDescent="0.2">
      <c r="B224" s="46" t="s">
        <v>1</v>
      </c>
      <c r="C224" s="48">
        <f>SUM(C220:C223)</f>
        <v>280</v>
      </c>
      <c r="D224" s="48">
        <f>SUM(D220:D223)</f>
        <v>280</v>
      </c>
      <c r="E224" s="49"/>
      <c r="G224" s="46" t="s">
        <v>1</v>
      </c>
      <c r="H224" s="47">
        <f>SUM(H220:H223)</f>
        <v>1545</v>
      </c>
      <c r="I224" s="48">
        <f>SUM(I220:I223)</f>
        <v>1545</v>
      </c>
      <c r="J224" s="49"/>
    </row>
    <row r="225" spans="2:10" x14ac:dyDescent="0.15">
      <c r="B225" s="10" t="s">
        <v>22</v>
      </c>
      <c r="C225" s="77">
        <v>1</v>
      </c>
      <c r="D225" s="11">
        <f t="shared" ref="D225:D249" si="10">SUM(C225:C225)</f>
        <v>1</v>
      </c>
      <c r="E225" s="12">
        <v>41558</v>
      </c>
      <c r="G225" s="10" t="s">
        <v>16</v>
      </c>
      <c r="H225" s="13">
        <v>336</v>
      </c>
      <c r="I225" s="11">
        <f t="shared" ref="I225:I249" si="11">SUM(H225:H225)</f>
        <v>336</v>
      </c>
      <c r="J225" s="12">
        <v>41682</v>
      </c>
    </row>
    <row r="226" spans="2:10" x14ac:dyDescent="0.15">
      <c r="B226" s="15" t="s">
        <v>22</v>
      </c>
      <c r="C226" s="13">
        <v>5</v>
      </c>
      <c r="D226" s="14">
        <f t="shared" si="10"/>
        <v>5</v>
      </c>
      <c r="E226" s="12">
        <v>41562</v>
      </c>
      <c r="G226" s="78"/>
      <c r="H226" s="13"/>
      <c r="I226" s="14">
        <f t="shared" si="11"/>
        <v>0</v>
      </c>
      <c r="J226" s="12"/>
    </row>
    <row r="227" spans="2:10" x14ac:dyDescent="0.15">
      <c r="B227" s="10" t="s">
        <v>58</v>
      </c>
      <c r="C227" s="13">
        <v>10</v>
      </c>
      <c r="D227" s="14">
        <f t="shared" si="10"/>
        <v>10</v>
      </c>
      <c r="E227" s="12">
        <v>41568</v>
      </c>
      <c r="G227" s="10"/>
      <c r="H227" s="13"/>
      <c r="I227" s="14">
        <f t="shared" si="11"/>
        <v>0</v>
      </c>
      <c r="J227" s="12"/>
    </row>
    <row r="228" spans="2:10" x14ac:dyDescent="0.15">
      <c r="B228" s="15" t="s">
        <v>10</v>
      </c>
      <c r="C228" s="13">
        <v>30</v>
      </c>
      <c r="D228" s="14">
        <f t="shared" si="10"/>
        <v>30</v>
      </c>
      <c r="E228" s="12">
        <v>41571</v>
      </c>
      <c r="G228" s="78"/>
      <c r="H228" s="13"/>
      <c r="I228" s="14">
        <f t="shared" si="11"/>
        <v>0</v>
      </c>
      <c r="J228" s="12"/>
    </row>
    <row r="229" spans="2:10" x14ac:dyDescent="0.15">
      <c r="B229" s="10" t="s">
        <v>22</v>
      </c>
      <c r="C229" s="22">
        <v>1</v>
      </c>
      <c r="D229" s="23">
        <f t="shared" si="10"/>
        <v>1</v>
      </c>
      <c r="E229" s="24">
        <v>41566</v>
      </c>
      <c r="G229" s="78"/>
      <c r="H229" s="13"/>
      <c r="I229" s="14">
        <f t="shared" si="11"/>
        <v>0</v>
      </c>
      <c r="J229" s="12"/>
    </row>
    <row r="230" spans="2:10" x14ac:dyDescent="0.15">
      <c r="B230" s="10" t="s">
        <v>18</v>
      </c>
      <c r="C230" s="13">
        <v>4</v>
      </c>
      <c r="D230" s="14">
        <f t="shared" si="10"/>
        <v>4</v>
      </c>
      <c r="E230" s="12">
        <v>41570</v>
      </c>
      <c r="G230" s="78"/>
      <c r="H230" s="13"/>
      <c r="I230" s="14">
        <f t="shared" si="11"/>
        <v>0</v>
      </c>
      <c r="J230" s="12"/>
    </row>
    <row r="231" spans="2:10" x14ac:dyDescent="0.15">
      <c r="B231" s="10" t="s">
        <v>22</v>
      </c>
      <c r="C231" s="13">
        <v>6</v>
      </c>
      <c r="D231" s="14">
        <f t="shared" si="10"/>
        <v>6</v>
      </c>
      <c r="E231" s="12">
        <v>41568</v>
      </c>
      <c r="G231" s="78"/>
      <c r="H231" s="13"/>
      <c r="I231" s="14">
        <f t="shared" si="11"/>
        <v>0</v>
      </c>
      <c r="J231" s="12"/>
    </row>
    <row r="232" spans="2:10" x14ac:dyDescent="0.15">
      <c r="B232" s="10" t="s">
        <v>22</v>
      </c>
      <c r="C232" s="13">
        <v>3</v>
      </c>
      <c r="D232" s="14">
        <f t="shared" si="10"/>
        <v>3</v>
      </c>
      <c r="E232" s="12">
        <v>41569</v>
      </c>
      <c r="G232" s="78"/>
      <c r="H232" s="13"/>
      <c r="I232" s="14">
        <f t="shared" si="11"/>
        <v>0</v>
      </c>
      <c r="J232" s="12"/>
    </row>
    <row r="233" spans="2:10" x14ac:dyDescent="0.15">
      <c r="B233" s="10" t="s">
        <v>18</v>
      </c>
      <c r="C233" s="13">
        <v>1</v>
      </c>
      <c r="D233" s="14">
        <f t="shared" si="10"/>
        <v>1</v>
      </c>
      <c r="E233" s="12">
        <v>41570</v>
      </c>
      <c r="G233" s="10"/>
      <c r="H233" s="13"/>
      <c r="I233" s="14">
        <f t="shared" si="11"/>
        <v>0</v>
      </c>
      <c r="J233" s="12"/>
    </row>
    <row r="234" spans="2:10" x14ac:dyDescent="0.15">
      <c r="B234" s="10" t="s">
        <v>18</v>
      </c>
      <c r="C234" s="13">
        <v>1</v>
      </c>
      <c r="D234" s="14">
        <f t="shared" si="10"/>
        <v>1</v>
      </c>
      <c r="E234" s="12">
        <v>41572</v>
      </c>
      <c r="G234" s="78"/>
      <c r="H234" s="13"/>
      <c r="I234" s="14">
        <f t="shared" si="11"/>
        <v>0</v>
      </c>
      <c r="J234" s="12"/>
    </row>
    <row r="235" spans="2:10" x14ac:dyDescent="0.15">
      <c r="B235" s="10" t="s">
        <v>58</v>
      </c>
      <c r="C235" s="13">
        <v>5</v>
      </c>
      <c r="D235" s="14">
        <f t="shared" si="10"/>
        <v>5</v>
      </c>
      <c r="E235" s="12">
        <v>41576</v>
      </c>
      <c r="G235" s="10"/>
      <c r="H235" s="22"/>
      <c r="I235" s="23">
        <f t="shared" si="11"/>
        <v>0</v>
      </c>
      <c r="J235" s="24"/>
    </row>
    <row r="236" spans="2:10" x14ac:dyDescent="0.15">
      <c r="B236" s="10" t="s">
        <v>18</v>
      </c>
      <c r="C236" s="13">
        <v>6</v>
      </c>
      <c r="D236" s="14">
        <f t="shared" si="10"/>
        <v>6</v>
      </c>
      <c r="E236" s="12">
        <v>41578</v>
      </c>
      <c r="G236" s="27"/>
      <c r="H236" s="22"/>
      <c r="I236" s="23">
        <f t="shared" si="11"/>
        <v>0</v>
      </c>
      <c r="J236" s="24"/>
    </row>
    <row r="237" spans="2:10" x14ac:dyDescent="0.15">
      <c r="B237" s="10" t="s">
        <v>58</v>
      </c>
      <c r="C237" s="13">
        <v>5</v>
      </c>
      <c r="D237" s="14">
        <f t="shared" si="10"/>
        <v>5</v>
      </c>
      <c r="E237" s="12">
        <v>41578</v>
      </c>
      <c r="G237" s="15"/>
      <c r="H237" s="13"/>
      <c r="I237" s="14">
        <f t="shared" si="11"/>
        <v>0</v>
      </c>
      <c r="J237" s="12"/>
    </row>
    <row r="238" spans="2:10" x14ac:dyDescent="0.15">
      <c r="B238" s="10" t="s">
        <v>22</v>
      </c>
      <c r="C238" s="13">
        <v>1</v>
      </c>
      <c r="D238" s="14">
        <f t="shared" si="10"/>
        <v>1</v>
      </c>
      <c r="E238" s="12">
        <v>41576</v>
      </c>
      <c r="G238" s="10"/>
      <c r="H238" s="13"/>
      <c r="I238" s="14">
        <f t="shared" si="11"/>
        <v>0</v>
      </c>
      <c r="J238" s="12"/>
    </row>
    <row r="239" spans="2:10" x14ac:dyDescent="0.15">
      <c r="B239" s="10" t="s">
        <v>18</v>
      </c>
      <c r="C239" s="13">
        <v>2</v>
      </c>
      <c r="D239" s="14">
        <f t="shared" si="10"/>
        <v>2</v>
      </c>
      <c r="E239" s="12">
        <v>41582</v>
      </c>
      <c r="G239" s="15"/>
      <c r="H239" s="13"/>
      <c r="I239" s="14">
        <f t="shared" si="11"/>
        <v>0</v>
      </c>
      <c r="J239" s="12"/>
    </row>
    <row r="240" spans="2:10" x14ac:dyDescent="0.15">
      <c r="B240" s="10" t="s">
        <v>22</v>
      </c>
      <c r="C240" s="13">
        <v>1</v>
      </c>
      <c r="D240" s="14">
        <f t="shared" si="10"/>
        <v>1</v>
      </c>
      <c r="E240" s="12">
        <v>41582</v>
      </c>
      <c r="G240" s="21"/>
      <c r="H240" s="22"/>
      <c r="I240" s="23">
        <f t="shared" si="11"/>
        <v>0</v>
      </c>
      <c r="J240" s="24"/>
    </row>
    <row r="241" spans="2:10" x14ac:dyDescent="0.15">
      <c r="B241" s="10" t="s">
        <v>58</v>
      </c>
      <c r="C241" s="13">
        <v>5</v>
      </c>
      <c r="D241" s="14">
        <f t="shared" si="10"/>
        <v>5</v>
      </c>
      <c r="E241" s="12">
        <v>41587</v>
      </c>
      <c r="G241" s="27"/>
      <c r="H241" s="22"/>
      <c r="I241" s="23">
        <f t="shared" si="11"/>
        <v>0</v>
      </c>
      <c r="J241" s="24"/>
    </row>
    <row r="242" spans="2:10" x14ac:dyDescent="0.15">
      <c r="B242" s="10" t="s">
        <v>22</v>
      </c>
      <c r="C242" s="13">
        <v>1</v>
      </c>
      <c r="D242" s="14">
        <f t="shared" si="10"/>
        <v>1</v>
      </c>
      <c r="E242" s="12">
        <v>41583</v>
      </c>
      <c r="G242" s="15"/>
      <c r="H242" s="13"/>
      <c r="I242" s="14">
        <f t="shared" si="11"/>
        <v>0</v>
      </c>
      <c r="J242" s="5"/>
    </row>
    <row r="243" spans="2:10" x14ac:dyDescent="0.15">
      <c r="B243" s="10" t="s">
        <v>22</v>
      </c>
      <c r="C243" s="13">
        <v>1</v>
      </c>
      <c r="D243" s="14">
        <f t="shared" si="10"/>
        <v>1</v>
      </c>
      <c r="E243" s="12">
        <v>41584</v>
      </c>
      <c r="G243" s="15"/>
      <c r="H243" s="13"/>
      <c r="I243" s="14">
        <f t="shared" si="11"/>
        <v>0</v>
      </c>
      <c r="J243" s="5"/>
    </row>
    <row r="244" spans="2:10" x14ac:dyDescent="0.15">
      <c r="B244" s="10" t="s">
        <v>58</v>
      </c>
      <c r="C244" s="13">
        <v>5</v>
      </c>
      <c r="D244" s="14">
        <f t="shared" si="10"/>
        <v>5</v>
      </c>
      <c r="E244" s="5">
        <v>41587</v>
      </c>
      <c r="G244" s="75"/>
      <c r="H244" s="13"/>
      <c r="I244" s="14">
        <f t="shared" si="11"/>
        <v>0</v>
      </c>
      <c r="J244" s="5"/>
    </row>
    <row r="245" spans="2:10" x14ac:dyDescent="0.15">
      <c r="B245" s="15" t="s">
        <v>22</v>
      </c>
      <c r="C245" s="13">
        <v>1</v>
      </c>
      <c r="D245" s="14">
        <f t="shared" si="10"/>
        <v>1</v>
      </c>
      <c r="E245" s="5">
        <v>41586</v>
      </c>
      <c r="G245" s="78"/>
      <c r="H245" s="13"/>
      <c r="I245" s="14">
        <f t="shared" si="11"/>
        <v>0</v>
      </c>
      <c r="J245" s="5"/>
    </row>
    <row r="246" spans="2:10" x14ac:dyDescent="0.15">
      <c r="B246" s="10" t="s">
        <v>58</v>
      </c>
      <c r="C246" s="13">
        <v>1</v>
      </c>
      <c r="D246" s="14">
        <f t="shared" si="10"/>
        <v>1</v>
      </c>
      <c r="E246" s="5">
        <v>41593</v>
      </c>
      <c r="G246" s="15"/>
      <c r="H246" s="7"/>
      <c r="I246" s="14">
        <f t="shared" si="11"/>
        <v>0</v>
      </c>
      <c r="J246" s="5"/>
    </row>
    <row r="247" spans="2:10" x14ac:dyDescent="0.15">
      <c r="B247" s="15" t="s">
        <v>22</v>
      </c>
      <c r="C247" s="13">
        <v>1</v>
      </c>
      <c r="D247" s="14">
        <f t="shared" si="10"/>
        <v>1</v>
      </c>
      <c r="E247" s="5">
        <v>41592</v>
      </c>
      <c r="G247" s="15"/>
      <c r="H247" s="7"/>
      <c r="I247" s="14">
        <f t="shared" si="11"/>
        <v>0</v>
      </c>
      <c r="J247" s="9"/>
    </row>
    <row r="248" spans="2:10" ht="14.25" thickBot="1" x14ac:dyDescent="0.2">
      <c r="B248" s="15" t="s">
        <v>22</v>
      </c>
      <c r="C248" s="13">
        <v>2</v>
      </c>
      <c r="D248" s="11">
        <f t="shared" si="10"/>
        <v>2</v>
      </c>
      <c r="E248" s="12">
        <v>41594</v>
      </c>
      <c r="G248" s="15"/>
      <c r="H248" s="7"/>
      <c r="I248" s="14">
        <f t="shared" si="11"/>
        <v>0</v>
      </c>
      <c r="J248" s="16"/>
    </row>
    <row r="249" spans="2:10" ht="14.25" thickBot="1" x14ac:dyDescent="0.2">
      <c r="B249" s="17" t="s">
        <v>2</v>
      </c>
      <c r="C249" s="18">
        <f>SUM(C225:C248)</f>
        <v>99</v>
      </c>
      <c r="D249" s="19">
        <f t="shared" si="10"/>
        <v>99</v>
      </c>
      <c r="E249" s="20"/>
      <c r="G249" s="17" t="s">
        <v>2</v>
      </c>
      <c r="H249" s="18">
        <f>SUM(H225:H248)</f>
        <v>336</v>
      </c>
      <c r="I249" s="19">
        <f t="shared" si="11"/>
        <v>336</v>
      </c>
      <c r="J249" s="20"/>
    </row>
    <row r="250" spans="2:10" ht="14.25" thickBot="1" x14ac:dyDescent="0.2">
      <c r="B250" s="46" t="s">
        <v>3</v>
      </c>
      <c r="C250" s="52">
        <f>C224-C249</f>
        <v>181</v>
      </c>
      <c r="D250" s="48">
        <f>D224-D249</f>
        <v>181</v>
      </c>
      <c r="E250" s="49"/>
      <c r="G250" s="46" t="s">
        <v>3</v>
      </c>
      <c r="H250" s="52">
        <f>H224-H249</f>
        <v>1209</v>
      </c>
      <c r="I250" s="48">
        <f>I224-I249</f>
        <v>1209</v>
      </c>
      <c r="J250" s="49"/>
    </row>
    <row r="253" spans="2:10" ht="18.75" x14ac:dyDescent="0.2">
      <c r="B253" s="26" t="s">
        <v>7</v>
      </c>
      <c r="G253" s="26" t="s">
        <v>35</v>
      </c>
    </row>
    <row r="254" spans="2:10" ht="14.25" thickBot="1" x14ac:dyDescent="0.2"/>
    <row r="255" spans="2:10" ht="14.25" thickBot="1" x14ac:dyDescent="0.2">
      <c r="B255" s="1"/>
      <c r="C255" s="2"/>
      <c r="D255" s="3" t="s">
        <v>0</v>
      </c>
      <c r="E255" s="1" t="s">
        <v>4</v>
      </c>
      <c r="G255" s="1"/>
      <c r="H255" s="2"/>
      <c r="I255" s="3" t="s">
        <v>0</v>
      </c>
      <c r="J255" s="1" t="s">
        <v>4</v>
      </c>
    </row>
    <row r="256" spans="2:10" x14ac:dyDescent="0.15">
      <c r="B256" s="42" t="s">
        <v>5</v>
      </c>
      <c r="C256" s="43">
        <f>C250</f>
        <v>181</v>
      </c>
      <c r="D256" s="44">
        <f>SUM(C256:C256)</f>
        <v>181</v>
      </c>
      <c r="E256" s="45"/>
      <c r="G256" s="42" t="s">
        <v>5</v>
      </c>
      <c r="H256" s="43">
        <f>H250</f>
        <v>1209</v>
      </c>
      <c r="I256" s="44">
        <f>SUM(H256:H256)</f>
        <v>1209</v>
      </c>
      <c r="J256" s="45"/>
    </row>
    <row r="257" spans="2:10" x14ac:dyDescent="0.15">
      <c r="B257" s="4" t="s">
        <v>6</v>
      </c>
      <c r="C257" s="13"/>
      <c r="D257" s="14">
        <f>SUM(C257:C257)</f>
        <v>0</v>
      </c>
      <c r="E257" s="5"/>
      <c r="G257" s="71" t="s">
        <v>6</v>
      </c>
      <c r="H257" s="13"/>
      <c r="I257" s="14">
        <f>SUM(H257:H257)</f>
        <v>0</v>
      </c>
      <c r="J257" s="5"/>
    </row>
    <row r="258" spans="2:10" x14ac:dyDescent="0.15">
      <c r="B258" s="4" t="s">
        <v>6</v>
      </c>
      <c r="C258" s="7"/>
      <c r="D258" s="8">
        <f>SUM(C258:C258)</f>
        <v>0</v>
      </c>
      <c r="E258" s="9"/>
      <c r="G258" s="71" t="s">
        <v>6</v>
      </c>
      <c r="H258" s="13"/>
      <c r="I258" s="14">
        <f>SUM(H258:H258)</f>
        <v>0</v>
      </c>
      <c r="J258" s="5"/>
    </row>
    <row r="259" spans="2:10" ht="14.25" thickBot="1" x14ac:dyDescent="0.2">
      <c r="B259" s="6" t="s">
        <v>6</v>
      </c>
      <c r="C259" s="7"/>
      <c r="D259" s="14">
        <f>SUM(C259:C259)</f>
        <v>0</v>
      </c>
      <c r="E259" s="16"/>
      <c r="G259" s="6" t="s">
        <v>6</v>
      </c>
      <c r="H259" s="65"/>
      <c r="I259" s="14">
        <f>SUM(H259:H259)</f>
        <v>0</v>
      </c>
      <c r="J259" s="16"/>
    </row>
    <row r="260" spans="2:10" ht="14.25" thickBot="1" x14ac:dyDescent="0.2">
      <c r="B260" s="46" t="s">
        <v>1</v>
      </c>
      <c r="C260" s="48">
        <f>SUM(C256:C259)</f>
        <v>181</v>
      </c>
      <c r="D260" s="48">
        <f>SUM(D256:D259)</f>
        <v>181</v>
      </c>
      <c r="E260" s="49"/>
      <c r="G260" s="46" t="s">
        <v>1</v>
      </c>
      <c r="H260" s="47">
        <f>SUM(H256:H259)</f>
        <v>1209</v>
      </c>
      <c r="I260" s="48">
        <f>SUM(I256:I259)</f>
        <v>1209</v>
      </c>
      <c r="J260" s="49"/>
    </row>
    <row r="261" spans="2:10" x14ac:dyDescent="0.15">
      <c r="B261" s="10" t="s">
        <v>22</v>
      </c>
      <c r="C261" s="77">
        <v>2</v>
      </c>
      <c r="D261" s="11">
        <f t="shared" ref="D261:D285" si="12">SUM(C261:C261)</f>
        <v>2</v>
      </c>
      <c r="E261" s="12">
        <v>41596</v>
      </c>
      <c r="G261" s="10"/>
      <c r="H261" s="13"/>
      <c r="I261" s="11">
        <f t="shared" ref="I261:I285" si="13">SUM(H261:H261)</f>
        <v>0</v>
      </c>
      <c r="J261" s="12"/>
    </row>
    <row r="262" spans="2:10" x14ac:dyDescent="0.15">
      <c r="B262" s="10" t="s">
        <v>58</v>
      </c>
      <c r="C262" s="13">
        <v>2</v>
      </c>
      <c r="D262" s="14">
        <f t="shared" si="12"/>
        <v>2</v>
      </c>
      <c r="E262" s="12">
        <v>41603</v>
      </c>
      <c r="G262" s="78"/>
      <c r="H262" s="13"/>
      <c r="I262" s="14">
        <f t="shared" si="13"/>
        <v>0</v>
      </c>
      <c r="J262" s="12"/>
    </row>
    <row r="263" spans="2:10" x14ac:dyDescent="0.15">
      <c r="B263" s="10" t="s">
        <v>58</v>
      </c>
      <c r="C263" s="13">
        <v>1</v>
      </c>
      <c r="D263" s="14">
        <f t="shared" si="12"/>
        <v>1</v>
      </c>
      <c r="E263" s="12">
        <v>41603</v>
      </c>
      <c r="G263" s="10"/>
      <c r="H263" s="13"/>
      <c r="I263" s="14">
        <f t="shared" si="13"/>
        <v>0</v>
      </c>
      <c r="J263" s="12"/>
    </row>
    <row r="264" spans="2:10" x14ac:dyDescent="0.15">
      <c r="B264" s="15" t="s">
        <v>12</v>
      </c>
      <c r="C264" s="13">
        <v>1</v>
      </c>
      <c r="D264" s="14">
        <f t="shared" si="12"/>
        <v>1</v>
      </c>
      <c r="E264" s="12">
        <v>41597</v>
      </c>
      <c r="G264" s="78"/>
      <c r="H264" s="13"/>
      <c r="I264" s="14">
        <f t="shared" si="13"/>
        <v>0</v>
      </c>
      <c r="J264" s="12"/>
    </row>
    <row r="265" spans="2:10" x14ac:dyDescent="0.15">
      <c r="B265" s="10" t="s">
        <v>58</v>
      </c>
      <c r="C265" s="13">
        <v>5</v>
      </c>
      <c r="D265" s="14">
        <f t="shared" si="12"/>
        <v>5</v>
      </c>
      <c r="E265" s="12">
        <v>41604</v>
      </c>
      <c r="G265" s="78"/>
      <c r="H265" s="13"/>
      <c r="I265" s="14">
        <f t="shared" si="13"/>
        <v>0</v>
      </c>
      <c r="J265" s="12"/>
    </row>
    <row r="266" spans="2:10" x14ac:dyDescent="0.15">
      <c r="B266" s="10" t="s">
        <v>57</v>
      </c>
      <c r="C266" s="13">
        <v>10</v>
      </c>
      <c r="D266" s="14">
        <f t="shared" si="12"/>
        <v>10</v>
      </c>
      <c r="E266" s="12">
        <v>41607</v>
      </c>
      <c r="G266" s="78"/>
      <c r="H266" s="13"/>
      <c r="I266" s="14">
        <f t="shared" si="13"/>
        <v>0</v>
      </c>
      <c r="J266" s="12"/>
    </row>
    <row r="267" spans="2:10" x14ac:dyDescent="0.15">
      <c r="B267" s="10" t="s">
        <v>12</v>
      </c>
      <c r="C267" s="13">
        <v>2</v>
      </c>
      <c r="D267" s="14">
        <f t="shared" si="12"/>
        <v>2</v>
      </c>
      <c r="E267" s="12">
        <v>41603</v>
      </c>
      <c r="G267" s="78"/>
      <c r="H267" s="13"/>
      <c r="I267" s="14">
        <f t="shared" si="13"/>
        <v>0</v>
      </c>
      <c r="J267" s="12"/>
    </row>
    <row r="268" spans="2:10" x14ac:dyDescent="0.15">
      <c r="B268" s="10" t="s">
        <v>18</v>
      </c>
      <c r="C268" s="13">
        <v>2</v>
      </c>
      <c r="D268" s="14">
        <f t="shared" si="12"/>
        <v>2</v>
      </c>
      <c r="E268" s="12">
        <v>41606</v>
      </c>
      <c r="G268" s="78"/>
      <c r="H268" s="13"/>
      <c r="I268" s="14">
        <f t="shared" si="13"/>
        <v>0</v>
      </c>
      <c r="J268" s="12"/>
    </row>
    <row r="269" spans="2:10" x14ac:dyDescent="0.15">
      <c r="B269" s="10" t="s">
        <v>83</v>
      </c>
      <c r="C269" s="13">
        <v>10</v>
      </c>
      <c r="D269" s="14">
        <f t="shared" si="12"/>
        <v>10</v>
      </c>
      <c r="E269" s="12">
        <v>41607</v>
      </c>
      <c r="G269" s="10"/>
      <c r="H269" s="13"/>
      <c r="I269" s="14">
        <f t="shared" si="13"/>
        <v>0</v>
      </c>
      <c r="J269" s="12"/>
    </row>
    <row r="270" spans="2:10" x14ac:dyDescent="0.15">
      <c r="B270" s="10" t="s">
        <v>22</v>
      </c>
      <c r="C270" s="13">
        <v>1</v>
      </c>
      <c r="D270" s="14">
        <f t="shared" si="12"/>
        <v>1</v>
      </c>
      <c r="E270" s="12">
        <v>41606</v>
      </c>
      <c r="G270" s="78"/>
      <c r="H270" s="13"/>
      <c r="I270" s="14">
        <f t="shared" si="13"/>
        <v>0</v>
      </c>
      <c r="J270" s="12"/>
    </row>
    <row r="271" spans="2:10" x14ac:dyDescent="0.15">
      <c r="B271" s="10" t="s">
        <v>22</v>
      </c>
      <c r="C271" s="13">
        <v>3</v>
      </c>
      <c r="D271" s="14">
        <f t="shared" si="12"/>
        <v>3</v>
      </c>
      <c r="E271" s="12">
        <v>41606</v>
      </c>
      <c r="G271" s="10"/>
      <c r="H271" s="22"/>
      <c r="I271" s="23">
        <f t="shared" si="13"/>
        <v>0</v>
      </c>
      <c r="J271" s="24"/>
    </row>
    <row r="272" spans="2:10" x14ac:dyDescent="0.15">
      <c r="B272" s="10" t="s">
        <v>18</v>
      </c>
      <c r="C272" s="13">
        <v>1</v>
      </c>
      <c r="D272" s="14">
        <f t="shared" si="12"/>
        <v>1</v>
      </c>
      <c r="E272" s="12">
        <v>41608</v>
      </c>
      <c r="G272" s="27"/>
      <c r="H272" s="22"/>
      <c r="I272" s="23">
        <f t="shared" si="13"/>
        <v>0</v>
      </c>
      <c r="J272" s="24"/>
    </row>
    <row r="273" spans="2:10" x14ac:dyDescent="0.15">
      <c r="B273" s="10" t="s">
        <v>22</v>
      </c>
      <c r="C273" s="13">
        <v>1</v>
      </c>
      <c r="D273" s="14">
        <f t="shared" si="12"/>
        <v>1</v>
      </c>
      <c r="E273" s="12">
        <v>41608</v>
      </c>
      <c r="G273" s="15"/>
      <c r="H273" s="13"/>
      <c r="I273" s="14">
        <f t="shared" si="13"/>
        <v>0</v>
      </c>
      <c r="J273" s="12"/>
    </row>
    <row r="274" spans="2:10" x14ac:dyDescent="0.15">
      <c r="B274" s="10" t="s">
        <v>22</v>
      </c>
      <c r="C274" s="13">
        <v>4</v>
      </c>
      <c r="D274" s="14">
        <f t="shared" si="12"/>
        <v>4</v>
      </c>
      <c r="E274" s="12">
        <v>41610</v>
      </c>
      <c r="G274" s="10"/>
      <c r="H274" s="13"/>
      <c r="I274" s="14">
        <f t="shared" si="13"/>
        <v>0</v>
      </c>
      <c r="J274" s="12"/>
    </row>
    <row r="275" spans="2:10" x14ac:dyDescent="0.15">
      <c r="B275" s="10" t="s">
        <v>57</v>
      </c>
      <c r="C275" s="13">
        <v>5</v>
      </c>
      <c r="D275" s="14">
        <f t="shared" si="12"/>
        <v>5</v>
      </c>
      <c r="E275" s="12">
        <v>41617</v>
      </c>
      <c r="G275" s="15"/>
      <c r="H275" s="13"/>
      <c r="I275" s="14">
        <f t="shared" si="13"/>
        <v>0</v>
      </c>
      <c r="J275" s="12"/>
    </row>
    <row r="276" spans="2:10" x14ac:dyDescent="0.15">
      <c r="B276" s="10" t="s">
        <v>18</v>
      </c>
      <c r="C276" s="13">
        <v>2</v>
      </c>
      <c r="D276" s="14">
        <f t="shared" si="12"/>
        <v>2</v>
      </c>
      <c r="E276" s="12">
        <v>41615</v>
      </c>
      <c r="G276" s="21"/>
      <c r="H276" s="22"/>
      <c r="I276" s="23">
        <f t="shared" si="13"/>
        <v>0</v>
      </c>
      <c r="J276" s="24"/>
    </row>
    <row r="277" spans="2:10" x14ac:dyDescent="0.15">
      <c r="B277" s="10" t="s">
        <v>22</v>
      </c>
      <c r="C277" s="13">
        <v>3</v>
      </c>
      <c r="D277" s="14">
        <f t="shared" si="12"/>
        <v>3</v>
      </c>
      <c r="E277" s="12">
        <v>41611</v>
      </c>
      <c r="G277" s="27"/>
      <c r="H277" s="22"/>
      <c r="I277" s="23">
        <f t="shared" si="13"/>
        <v>0</v>
      </c>
      <c r="J277" s="24"/>
    </row>
    <row r="278" spans="2:10" x14ac:dyDescent="0.15">
      <c r="B278" s="10" t="s">
        <v>22</v>
      </c>
      <c r="C278" s="13">
        <v>4</v>
      </c>
      <c r="D278" s="14">
        <f t="shared" si="12"/>
        <v>4</v>
      </c>
      <c r="E278" s="12">
        <v>41612</v>
      </c>
      <c r="G278" s="15"/>
      <c r="H278" s="13"/>
      <c r="I278" s="14">
        <f t="shared" si="13"/>
        <v>0</v>
      </c>
      <c r="J278" s="5"/>
    </row>
    <row r="279" spans="2:10" x14ac:dyDescent="0.15">
      <c r="B279" s="10" t="s">
        <v>22</v>
      </c>
      <c r="C279" s="13">
        <v>1</v>
      </c>
      <c r="D279" s="14">
        <f t="shared" si="12"/>
        <v>1</v>
      </c>
      <c r="E279" s="12">
        <v>41613</v>
      </c>
      <c r="G279" s="15"/>
      <c r="H279" s="13"/>
      <c r="I279" s="14">
        <f t="shared" si="13"/>
        <v>0</v>
      </c>
      <c r="J279" s="5"/>
    </row>
    <row r="280" spans="2:10" x14ac:dyDescent="0.15">
      <c r="B280" s="10" t="s">
        <v>22</v>
      </c>
      <c r="C280" s="13">
        <v>1</v>
      </c>
      <c r="D280" s="14">
        <f t="shared" si="12"/>
        <v>1</v>
      </c>
      <c r="E280" s="5">
        <v>41615</v>
      </c>
      <c r="G280" s="78"/>
      <c r="H280" s="13"/>
      <c r="I280" s="14">
        <f>SUM(H280:H280)</f>
        <v>0</v>
      </c>
      <c r="J280" s="5"/>
    </row>
    <row r="281" spans="2:10" x14ac:dyDescent="0.15">
      <c r="B281" s="10" t="s">
        <v>57</v>
      </c>
      <c r="C281" s="13">
        <v>5</v>
      </c>
      <c r="D281" s="14">
        <f t="shared" si="12"/>
        <v>5</v>
      </c>
      <c r="E281" s="5">
        <v>41619</v>
      </c>
      <c r="G281" s="78"/>
      <c r="H281" s="13"/>
      <c r="I281" s="14">
        <f>SUM(H281:H281)</f>
        <v>0</v>
      </c>
      <c r="J281" s="5"/>
    </row>
    <row r="282" spans="2:10" x14ac:dyDescent="0.15">
      <c r="B282" s="10" t="s">
        <v>12</v>
      </c>
      <c r="C282" s="13">
        <v>4</v>
      </c>
      <c r="D282" s="14">
        <f t="shared" si="12"/>
        <v>4</v>
      </c>
      <c r="E282" s="5">
        <v>41617</v>
      </c>
      <c r="G282" s="78"/>
      <c r="H282" s="13"/>
      <c r="I282" s="14">
        <f>SUM(H282:H282)</f>
        <v>0</v>
      </c>
      <c r="J282" s="5"/>
    </row>
    <row r="283" spans="2:10" x14ac:dyDescent="0.15">
      <c r="B283" s="10" t="s">
        <v>57</v>
      </c>
      <c r="C283" s="13">
        <v>5</v>
      </c>
      <c r="D283" s="14">
        <f t="shared" si="12"/>
        <v>5</v>
      </c>
      <c r="E283" s="5">
        <v>41624</v>
      </c>
      <c r="G283" s="78"/>
      <c r="H283" s="13"/>
      <c r="I283" s="14">
        <f>SUM(H283:H283)</f>
        <v>0</v>
      </c>
      <c r="J283" s="5"/>
    </row>
    <row r="284" spans="2:10" ht="14.25" thickBot="1" x14ac:dyDescent="0.2">
      <c r="B284" s="15" t="s">
        <v>22</v>
      </c>
      <c r="C284" s="13">
        <v>1</v>
      </c>
      <c r="D284" s="11">
        <f t="shared" si="12"/>
        <v>1</v>
      </c>
      <c r="E284" s="12">
        <v>41620</v>
      </c>
      <c r="G284" s="81"/>
      <c r="H284" s="7"/>
      <c r="I284" s="14">
        <f>SUM(H284:H284)</f>
        <v>0</v>
      </c>
      <c r="J284" s="5"/>
    </row>
    <row r="285" spans="2:10" ht="14.25" thickBot="1" x14ac:dyDescent="0.2">
      <c r="B285" s="17" t="s">
        <v>2</v>
      </c>
      <c r="C285" s="18">
        <f>SUM(C261:C284)</f>
        <v>76</v>
      </c>
      <c r="D285" s="19">
        <f t="shared" si="12"/>
        <v>76</v>
      </c>
      <c r="E285" s="20"/>
      <c r="G285" s="17" t="s">
        <v>2</v>
      </c>
      <c r="H285" s="18">
        <f>SUM(H261:H284)</f>
        <v>0</v>
      </c>
      <c r="I285" s="19">
        <f t="shared" si="13"/>
        <v>0</v>
      </c>
      <c r="J285" s="20"/>
    </row>
    <row r="286" spans="2:10" ht="14.25" thickBot="1" x14ac:dyDescent="0.2">
      <c r="B286" s="46" t="s">
        <v>3</v>
      </c>
      <c r="C286" s="52">
        <f>C260-C285</f>
        <v>105</v>
      </c>
      <c r="D286" s="48">
        <f>D260-D285</f>
        <v>105</v>
      </c>
      <c r="E286" s="49"/>
      <c r="G286" s="46" t="s">
        <v>3</v>
      </c>
      <c r="H286" s="52">
        <f>H260-H285</f>
        <v>1209</v>
      </c>
      <c r="I286" s="48">
        <f>I260-I285</f>
        <v>1209</v>
      </c>
      <c r="J286" s="49"/>
    </row>
    <row r="289" spans="2:10" ht="18.75" x14ac:dyDescent="0.2">
      <c r="B289" s="26" t="s">
        <v>7</v>
      </c>
      <c r="G289" s="26" t="s">
        <v>35</v>
      </c>
    </row>
    <row r="290" spans="2:10" ht="14.25" thickBot="1" x14ac:dyDescent="0.2"/>
    <row r="291" spans="2:10" ht="14.25" thickBot="1" x14ac:dyDescent="0.2">
      <c r="B291" s="1"/>
      <c r="C291" s="2"/>
      <c r="D291" s="3" t="s">
        <v>0</v>
      </c>
      <c r="E291" s="1" t="s">
        <v>4</v>
      </c>
      <c r="G291" s="1"/>
      <c r="H291" s="2"/>
      <c r="I291" s="3" t="s">
        <v>0</v>
      </c>
      <c r="J291" s="1" t="s">
        <v>4</v>
      </c>
    </row>
    <row r="292" spans="2:10" x14ac:dyDescent="0.15">
      <c r="B292" s="42" t="s">
        <v>5</v>
      </c>
      <c r="C292" s="43">
        <f>C286</f>
        <v>105</v>
      </c>
      <c r="D292" s="44">
        <f>SUM(C292:C292)</f>
        <v>105</v>
      </c>
      <c r="E292" s="45"/>
      <c r="G292" s="42" t="s">
        <v>5</v>
      </c>
      <c r="H292" s="43">
        <f>H286</f>
        <v>1209</v>
      </c>
      <c r="I292" s="44">
        <f>SUM(H292:H292)</f>
        <v>1209</v>
      </c>
      <c r="J292" s="45"/>
    </row>
    <row r="293" spans="2:10" x14ac:dyDescent="0.15">
      <c r="B293" s="4" t="s">
        <v>76</v>
      </c>
      <c r="C293" s="13">
        <v>2</v>
      </c>
      <c r="D293" s="14">
        <f>SUM(C293:C293)</f>
        <v>2</v>
      </c>
      <c r="E293" s="5">
        <v>41634</v>
      </c>
      <c r="G293" s="71" t="s">
        <v>6</v>
      </c>
      <c r="H293" s="13"/>
      <c r="I293" s="14">
        <f>SUM(H293:H293)</f>
        <v>0</v>
      </c>
      <c r="J293" s="5"/>
    </row>
    <row r="294" spans="2:10" x14ac:dyDescent="0.15">
      <c r="B294" s="4" t="s">
        <v>87</v>
      </c>
      <c r="C294" s="7">
        <v>1</v>
      </c>
      <c r="D294" s="8">
        <f>SUM(C294:C294)</f>
        <v>1</v>
      </c>
      <c r="E294" s="9">
        <v>41652</v>
      </c>
      <c r="G294" s="71" t="s">
        <v>6</v>
      </c>
      <c r="H294" s="13"/>
      <c r="I294" s="14">
        <f>SUM(H294:H294)</f>
        <v>0</v>
      </c>
      <c r="J294" s="5"/>
    </row>
    <row r="295" spans="2:10" ht="14.25" thickBot="1" x14ac:dyDescent="0.2">
      <c r="B295" s="6" t="s">
        <v>6</v>
      </c>
      <c r="C295" s="7"/>
      <c r="D295" s="14">
        <f>SUM(C295:C295)</f>
        <v>0</v>
      </c>
      <c r="E295" s="16"/>
      <c r="G295" s="6" t="s">
        <v>6</v>
      </c>
      <c r="H295" s="65"/>
      <c r="I295" s="14">
        <f>SUM(H295:H295)</f>
        <v>0</v>
      </c>
      <c r="J295" s="16"/>
    </row>
    <row r="296" spans="2:10" ht="14.25" thickBot="1" x14ac:dyDescent="0.2">
      <c r="B296" s="46" t="s">
        <v>1</v>
      </c>
      <c r="C296" s="48">
        <f>SUM(C292:C295)</f>
        <v>108</v>
      </c>
      <c r="D296" s="48">
        <f>SUM(D292:D295)</f>
        <v>108</v>
      </c>
      <c r="E296" s="49"/>
      <c r="G296" s="46" t="s">
        <v>1</v>
      </c>
      <c r="H296" s="47">
        <f>SUM(H292:H295)</f>
        <v>1209</v>
      </c>
      <c r="I296" s="48">
        <f>SUM(I292:I295)</f>
        <v>1209</v>
      </c>
      <c r="J296" s="49"/>
    </row>
    <row r="297" spans="2:10" x14ac:dyDescent="0.15">
      <c r="B297" s="10" t="s">
        <v>22</v>
      </c>
      <c r="C297" s="77">
        <v>1</v>
      </c>
      <c r="D297" s="11">
        <f t="shared" ref="D297:D321" si="14">SUM(C297:C297)</f>
        <v>1</v>
      </c>
      <c r="E297" s="12">
        <v>41622</v>
      </c>
      <c r="G297" s="10"/>
      <c r="H297" s="13"/>
      <c r="I297" s="11">
        <f t="shared" ref="I297:I321" si="15">SUM(H297:H297)</f>
        <v>0</v>
      </c>
      <c r="J297" s="12"/>
    </row>
    <row r="298" spans="2:10" x14ac:dyDescent="0.15">
      <c r="B298" s="10" t="s">
        <v>83</v>
      </c>
      <c r="C298" s="13">
        <v>20</v>
      </c>
      <c r="D298" s="14">
        <f t="shared" si="14"/>
        <v>20</v>
      </c>
      <c r="E298" s="12">
        <v>41627</v>
      </c>
      <c r="G298" s="78"/>
      <c r="H298" s="13"/>
      <c r="I298" s="14">
        <f t="shared" si="15"/>
        <v>0</v>
      </c>
      <c r="J298" s="12"/>
    </row>
    <row r="299" spans="2:10" x14ac:dyDescent="0.15">
      <c r="B299" s="10" t="s">
        <v>12</v>
      </c>
      <c r="C299" s="13">
        <v>3</v>
      </c>
      <c r="D299" s="14">
        <f t="shared" si="14"/>
        <v>3</v>
      </c>
      <c r="E299" s="12">
        <v>41624</v>
      </c>
      <c r="G299" s="10"/>
      <c r="H299" s="13"/>
      <c r="I299" s="14">
        <f t="shared" si="15"/>
        <v>0</v>
      </c>
      <c r="J299" s="12"/>
    </row>
    <row r="300" spans="2:10" x14ac:dyDescent="0.15">
      <c r="B300" s="10" t="s">
        <v>12</v>
      </c>
      <c r="C300" s="13">
        <v>2</v>
      </c>
      <c r="D300" s="14">
        <f t="shared" si="14"/>
        <v>2</v>
      </c>
      <c r="E300" s="12">
        <v>41625</v>
      </c>
      <c r="G300" s="78"/>
      <c r="H300" s="13"/>
      <c r="I300" s="14">
        <f t="shared" si="15"/>
        <v>0</v>
      </c>
      <c r="J300" s="12"/>
    </row>
    <row r="301" spans="2:10" x14ac:dyDescent="0.15">
      <c r="B301" s="10" t="s">
        <v>12</v>
      </c>
      <c r="C301" s="13">
        <v>1</v>
      </c>
      <c r="D301" s="14">
        <f t="shared" si="14"/>
        <v>1</v>
      </c>
      <c r="E301" s="12">
        <v>41628</v>
      </c>
      <c r="G301" s="78"/>
      <c r="H301" s="13"/>
      <c r="I301" s="14">
        <f t="shared" si="15"/>
        <v>0</v>
      </c>
      <c r="J301" s="12"/>
    </row>
    <row r="302" spans="2:10" x14ac:dyDescent="0.15">
      <c r="B302" s="10" t="s">
        <v>12</v>
      </c>
      <c r="C302" s="13">
        <v>8</v>
      </c>
      <c r="D302" s="14">
        <f t="shared" si="14"/>
        <v>8</v>
      </c>
      <c r="E302" s="12">
        <v>41632</v>
      </c>
      <c r="G302" s="78"/>
      <c r="H302" s="13"/>
      <c r="I302" s="14">
        <f t="shared" si="15"/>
        <v>0</v>
      </c>
      <c r="J302" s="12"/>
    </row>
    <row r="303" spans="2:10" x14ac:dyDescent="0.15">
      <c r="B303" s="10" t="s">
        <v>12</v>
      </c>
      <c r="C303" s="13">
        <v>1</v>
      </c>
      <c r="D303" s="14">
        <f t="shared" si="14"/>
        <v>1</v>
      </c>
      <c r="E303" s="12">
        <v>41635</v>
      </c>
      <c r="G303" s="78"/>
      <c r="H303" s="13"/>
      <c r="I303" s="14">
        <f t="shared" si="15"/>
        <v>0</v>
      </c>
      <c r="J303" s="12"/>
    </row>
    <row r="304" spans="2:10" x14ac:dyDescent="0.15">
      <c r="B304" s="10" t="s">
        <v>12</v>
      </c>
      <c r="C304" s="13">
        <v>3</v>
      </c>
      <c r="D304" s="14">
        <f t="shared" si="14"/>
        <v>3</v>
      </c>
      <c r="E304" s="12">
        <v>41639</v>
      </c>
      <c r="G304" s="78"/>
      <c r="H304" s="13"/>
      <c r="I304" s="14">
        <f t="shared" si="15"/>
        <v>0</v>
      </c>
      <c r="J304" s="12"/>
    </row>
    <row r="305" spans="2:11" x14ac:dyDescent="0.15">
      <c r="B305" s="10" t="s">
        <v>12</v>
      </c>
      <c r="C305" s="13">
        <v>1</v>
      </c>
      <c r="D305" s="14">
        <f t="shared" si="14"/>
        <v>1</v>
      </c>
      <c r="E305" s="12">
        <v>41643</v>
      </c>
      <c r="G305" s="10"/>
      <c r="H305" s="13"/>
      <c r="I305" s="14">
        <f t="shared" si="15"/>
        <v>0</v>
      </c>
      <c r="J305" s="12"/>
    </row>
    <row r="306" spans="2:11" x14ac:dyDescent="0.15">
      <c r="B306" s="10" t="s">
        <v>12</v>
      </c>
      <c r="C306" s="13">
        <v>6</v>
      </c>
      <c r="D306" s="14">
        <f t="shared" si="14"/>
        <v>6</v>
      </c>
      <c r="E306" s="12">
        <v>41646</v>
      </c>
      <c r="G306" s="78"/>
      <c r="H306" s="13"/>
      <c r="I306" s="14">
        <f t="shared" si="15"/>
        <v>0</v>
      </c>
      <c r="J306" s="12"/>
    </row>
    <row r="307" spans="2:11" x14ac:dyDescent="0.15">
      <c r="B307" s="10" t="s">
        <v>12</v>
      </c>
      <c r="C307" s="13">
        <v>2</v>
      </c>
      <c r="D307" s="14">
        <f t="shared" si="14"/>
        <v>2</v>
      </c>
      <c r="E307" s="12">
        <v>41647</v>
      </c>
      <c r="G307" s="10"/>
      <c r="H307" s="13"/>
      <c r="I307" s="14">
        <f t="shared" si="15"/>
        <v>0</v>
      </c>
      <c r="J307" s="12"/>
    </row>
    <row r="308" spans="2:11" x14ac:dyDescent="0.15">
      <c r="B308" s="10" t="s">
        <v>12</v>
      </c>
      <c r="C308" s="13">
        <v>1</v>
      </c>
      <c r="D308" s="14">
        <f t="shared" si="14"/>
        <v>1</v>
      </c>
      <c r="E308" s="12">
        <v>41648</v>
      </c>
      <c r="G308" s="78"/>
      <c r="H308" s="13"/>
      <c r="I308" s="14">
        <f>SUM(H308:H308)</f>
        <v>0</v>
      </c>
      <c r="J308" s="5"/>
    </row>
    <row r="309" spans="2:11" x14ac:dyDescent="0.15">
      <c r="B309" s="10" t="s">
        <v>57</v>
      </c>
      <c r="C309" s="13">
        <v>3</v>
      </c>
      <c r="D309" s="14">
        <f t="shared" si="14"/>
        <v>3</v>
      </c>
      <c r="E309" s="12">
        <v>41655</v>
      </c>
      <c r="G309" s="78"/>
      <c r="H309" s="13"/>
      <c r="I309" s="14">
        <f>SUM(H309:H309)</f>
        <v>0</v>
      </c>
      <c r="J309" s="5"/>
    </row>
    <row r="310" spans="2:11" x14ac:dyDescent="0.15">
      <c r="B310" s="10" t="s">
        <v>22</v>
      </c>
      <c r="C310" s="13">
        <v>4</v>
      </c>
      <c r="D310" s="14">
        <f t="shared" si="14"/>
        <v>4</v>
      </c>
      <c r="E310" s="12">
        <v>41653</v>
      </c>
      <c r="G310" s="81"/>
      <c r="H310" s="7"/>
      <c r="I310" s="14">
        <f>SUM(H310:H310)</f>
        <v>0</v>
      </c>
      <c r="J310" s="5"/>
    </row>
    <row r="311" spans="2:11" x14ac:dyDescent="0.15">
      <c r="B311" s="10" t="s">
        <v>22</v>
      </c>
      <c r="C311" s="13">
        <v>2</v>
      </c>
      <c r="D311" s="14">
        <f t="shared" si="14"/>
        <v>2</v>
      </c>
      <c r="E311" s="12">
        <v>41659</v>
      </c>
      <c r="G311" s="15"/>
      <c r="H311" s="13"/>
      <c r="I311" s="14">
        <f t="shared" si="15"/>
        <v>0</v>
      </c>
      <c r="J311" s="12"/>
    </row>
    <row r="312" spans="2:11" x14ac:dyDescent="0.15">
      <c r="B312" s="10" t="s">
        <v>57</v>
      </c>
      <c r="C312" s="13">
        <v>5</v>
      </c>
      <c r="D312" s="14">
        <f t="shared" si="14"/>
        <v>5</v>
      </c>
      <c r="E312" s="12">
        <v>41663</v>
      </c>
      <c r="G312" s="78"/>
      <c r="H312" s="13"/>
      <c r="I312" s="14">
        <f t="shared" si="15"/>
        <v>0</v>
      </c>
      <c r="J312" s="5"/>
    </row>
    <row r="313" spans="2:11" x14ac:dyDescent="0.15">
      <c r="B313" s="10" t="s">
        <v>22</v>
      </c>
      <c r="C313" s="13">
        <v>4</v>
      </c>
      <c r="D313" s="14">
        <f t="shared" si="14"/>
        <v>4</v>
      </c>
      <c r="E313" s="12">
        <v>41666</v>
      </c>
      <c r="G313" s="78"/>
      <c r="H313" s="13"/>
      <c r="I313" s="14">
        <f t="shared" si="15"/>
        <v>0</v>
      </c>
      <c r="J313" s="5"/>
    </row>
    <row r="314" spans="2:11" x14ac:dyDescent="0.15">
      <c r="B314" s="10" t="s">
        <v>22</v>
      </c>
      <c r="C314" s="13">
        <v>3</v>
      </c>
      <c r="D314" s="14">
        <f t="shared" si="14"/>
        <v>3</v>
      </c>
      <c r="E314" s="12">
        <v>41667</v>
      </c>
      <c r="G314" s="81"/>
      <c r="H314" s="7"/>
      <c r="I314" s="14">
        <f t="shared" si="15"/>
        <v>0</v>
      </c>
      <c r="J314" s="5"/>
    </row>
    <row r="315" spans="2:11" x14ac:dyDescent="0.15">
      <c r="B315" s="10" t="s">
        <v>22</v>
      </c>
      <c r="C315" s="13">
        <v>2</v>
      </c>
      <c r="D315" s="14">
        <f t="shared" si="14"/>
        <v>2</v>
      </c>
      <c r="E315" s="12">
        <v>41668</v>
      </c>
      <c r="G315" s="15"/>
      <c r="H315" s="7"/>
      <c r="I315" s="14">
        <f t="shared" si="15"/>
        <v>0</v>
      </c>
      <c r="J315" s="5"/>
    </row>
    <row r="316" spans="2:11" x14ac:dyDescent="0.15">
      <c r="B316" s="10" t="s">
        <v>22</v>
      </c>
      <c r="C316" s="13">
        <v>3</v>
      </c>
      <c r="D316" s="14">
        <f t="shared" si="14"/>
        <v>3</v>
      </c>
      <c r="E316" s="5">
        <v>41669</v>
      </c>
      <c r="G316" s="78"/>
      <c r="H316" s="7"/>
      <c r="I316" s="14">
        <f t="shared" si="15"/>
        <v>0</v>
      </c>
      <c r="J316" s="12"/>
    </row>
    <row r="317" spans="2:11" x14ac:dyDescent="0.15">
      <c r="B317" s="10" t="s">
        <v>22</v>
      </c>
      <c r="C317" s="13">
        <v>2</v>
      </c>
      <c r="D317" s="14">
        <f t="shared" si="14"/>
        <v>2</v>
      </c>
      <c r="E317" s="5">
        <v>41673</v>
      </c>
      <c r="G317" s="78"/>
      <c r="H317" s="13"/>
      <c r="I317" s="14">
        <f t="shared" si="15"/>
        <v>0</v>
      </c>
      <c r="J317" s="5"/>
    </row>
    <row r="318" spans="2:11" x14ac:dyDescent="0.15">
      <c r="B318" s="10" t="s">
        <v>18</v>
      </c>
      <c r="C318" s="13">
        <v>7</v>
      </c>
      <c r="D318" s="14">
        <f t="shared" si="14"/>
        <v>7</v>
      </c>
      <c r="E318" s="5">
        <v>41677</v>
      </c>
      <c r="G318" s="10"/>
      <c r="H318" s="7"/>
      <c r="I318" s="14">
        <f t="shared" si="15"/>
        <v>0</v>
      </c>
      <c r="J318" s="5"/>
    </row>
    <row r="319" spans="2:11" x14ac:dyDescent="0.15">
      <c r="B319" s="10" t="s">
        <v>22</v>
      </c>
      <c r="C319" s="13">
        <v>3</v>
      </c>
      <c r="D319" s="14">
        <f t="shared" si="14"/>
        <v>3</v>
      </c>
      <c r="E319" s="5">
        <v>41676</v>
      </c>
      <c r="G319" s="78"/>
      <c r="H319" s="7"/>
      <c r="I319" s="14">
        <f t="shared" si="15"/>
        <v>0</v>
      </c>
      <c r="J319" s="5"/>
      <c r="K319" s="86"/>
    </row>
    <row r="320" spans="2:11" ht="14.25" thickBot="1" x14ac:dyDescent="0.2">
      <c r="B320" s="10" t="s">
        <v>18</v>
      </c>
      <c r="C320" s="13">
        <v>18</v>
      </c>
      <c r="D320" s="11">
        <f t="shared" si="14"/>
        <v>18</v>
      </c>
      <c r="E320" s="12">
        <v>41682</v>
      </c>
      <c r="G320" s="15"/>
      <c r="H320" s="7"/>
      <c r="I320" s="14">
        <f t="shared" si="15"/>
        <v>0</v>
      </c>
      <c r="J320" s="85"/>
      <c r="K320" s="83"/>
    </row>
    <row r="321" spans="2:10" ht="14.25" thickBot="1" x14ac:dyDescent="0.2">
      <c r="B321" s="17" t="s">
        <v>2</v>
      </c>
      <c r="C321" s="18">
        <f>SUM(C297:C320)</f>
        <v>105</v>
      </c>
      <c r="D321" s="19">
        <f t="shared" si="14"/>
        <v>105</v>
      </c>
      <c r="E321" s="20"/>
      <c r="G321" s="17" t="s">
        <v>2</v>
      </c>
      <c r="H321" s="18">
        <f>SUM(H297:H320)</f>
        <v>0</v>
      </c>
      <c r="I321" s="19">
        <f t="shared" si="15"/>
        <v>0</v>
      </c>
      <c r="J321" s="20"/>
    </row>
    <row r="322" spans="2:10" ht="14.25" thickBot="1" x14ac:dyDescent="0.2">
      <c r="B322" s="46" t="s">
        <v>3</v>
      </c>
      <c r="C322" s="52">
        <f>C296-C321</f>
        <v>3</v>
      </c>
      <c r="D322" s="48">
        <f>D296-D321</f>
        <v>3</v>
      </c>
      <c r="E322" s="49"/>
      <c r="G322" s="46" t="s">
        <v>3</v>
      </c>
      <c r="H322" s="52">
        <f>H296-H321</f>
        <v>1209</v>
      </c>
      <c r="I322" s="48">
        <f>I296-I321</f>
        <v>1209</v>
      </c>
      <c r="J322" s="49"/>
    </row>
    <row r="325" spans="2:10" ht="18.75" x14ac:dyDescent="0.2">
      <c r="B325" s="26" t="s">
        <v>7</v>
      </c>
      <c r="G325" s="26" t="s">
        <v>35</v>
      </c>
    </row>
    <row r="326" spans="2:10" ht="14.25" thickBot="1" x14ac:dyDescent="0.2"/>
    <row r="327" spans="2:10" ht="14.25" thickBot="1" x14ac:dyDescent="0.2">
      <c r="B327" s="1"/>
      <c r="C327" s="2"/>
      <c r="D327" s="3" t="s">
        <v>0</v>
      </c>
      <c r="E327" s="1" t="s">
        <v>4</v>
      </c>
      <c r="G327" s="1"/>
      <c r="H327" s="2"/>
      <c r="I327" s="3" t="s">
        <v>0</v>
      </c>
      <c r="J327" s="1" t="s">
        <v>4</v>
      </c>
    </row>
    <row r="328" spans="2:10" x14ac:dyDescent="0.15">
      <c r="B328" s="42" t="s">
        <v>5</v>
      </c>
      <c r="C328" s="43">
        <f>C322</f>
        <v>3</v>
      </c>
      <c r="D328" s="44">
        <f>SUM(C328:C328)</f>
        <v>3</v>
      </c>
      <c r="E328" s="45"/>
      <c r="G328" s="42" t="s">
        <v>5</v>
      </c>
      <c r="H328" s="43">
        <f>H322</f>
        <v>1209</v>
      </c>
      <c r="I328" s="44">
        <f>SUM(H328:H328)</f>
        <v>1209</v>
      </c>
      <c r="J328" s="45"/>
    </row>
    <row r="329" spans="2:10" x14ac:dyDescent="0.15">
      <c r="B329" s="6" t="s">
        <v>6</v>
      </c>
      <c r="C329" s="13">
        <v>336</v>
      </c>
      <c r="D329" s="14">
        <f>SUM(C329:C329)</f>
        <v>336</v>
      </c>
      <c r="E329" s="5">
        <v>41682</v>
      </c>
      <c r="G329" s="71" t="s">
        <v>6</v>
      </c>
      <c r="H329" s="13"/>
      <c r="I329" s="14">
        <f>SUM(H329:H329)</f>
        <v>0</v>
      </c>
      <c r="J329" s="5"/>
    </row>
    <row r="330" spans="2:10" x14ac:dyDescent="0.15">
      <c r="B330" s="6" t="s">
        <v>6</v>
      </c>
      <c r="C330" s="7"/>
      <c r="D330" s="8">
        <f>SUM(C330:C330)</f>
        <v>0</v>
      </c>
      <c r="E330" s="9"/>
      <c r="G330" s="71" t="s">
        <v>6</v>
      </c>
      <c r="H330" s="13"/>
      <c r="I330" s="14">
        <f>SUM(H330:H330)</f>
        <v>0</v>
      </c>
      <c r="J330" s="5"/>
    </row>
    <row r="331" spans="2:10" ht="14.25" thickBot="1" x14ac:dyDescent="0.2">
      <c r="B331" s="6" t="s">
        <v>6</v>
      </c>
      <c r="C331" s="7"/>
      <c r="D331" s="14">
        <f>SUM(C331:C331)</f>
        <v>0</v>
      </c>
      <c r="E331" s="16"/>
      <c r="G331" s="6" t="s">
        <v>6</v>
      </c>
      <c r="H331" s="65"/>
      <c r="I331" s="14">
        <f>SUM(H331:H331)</f>
        <v>0</v>
      </c>
      <c r="J331" s="16"/>
    </row>
    <row r="332" spans="2:10" ht="14.25" thickBot="1" x14ac:dyDescent="0.2">
      <c r="B332" s="46" t="s">
        <v>1</v>
      </c>
      <c r="C332" s="48">
        <f>SUM(C328:C331)</f>
        <v>339</v>
      </c>
      <c r="D332" s="48">
        <f>SUM(D328:D331)</f>
        <v>339</v>
      </c>
      <c r="E332" s="49"/>
      <c r="G332" s="46" t="s">
        <v>1</v>
      </c>
      <c r="H332" s="47">
        <f>SUM(H328:H331)</f>
        <v>1209</v>
      </c>
      <c r="I332" s="48">
        <f>SUM(I328:I331)</f>
        <v>1209</v>
      </c>
      <c r="J332" s="49"/>
    </row>
    <row r="333" spans="2:10" x14ac:dyDescent="0.15">
      <c r="B333" s="10" t="s">
        <v>12</v>
      </c>
      <c r="C333" s="77">
        <v>1</v>
      </c>
      <c r="D333" s="11">
        <f t="shared" ref="D333:D357" si="16">SUM(C333:C333)</f>
        <v>1</v>
      </c>
      <c r="E333" s="12">
        <v>41680</v>
      </c>
      <c r="G333" s="10" t="s">
        <v>16</v>
      </c>
      <c r="H333" s="13">
        <v>336</v>
      </c>
      <c r="I333" s="11">
        <f t="shared" ref="I333:I357" si="17">SUM(H333:H333)</f>
        <v>336</v>
      </c>
      <c r="J333" s="12">
        <v>41713</v>
      </c>
    </row>
    <row r="334" spans="2:10" x14ac:dyDescent="0.15">
      <c r="B334" s="10" t="s">
        <v>10</v>
      </c>
      <c r="C334" s="13">
        <v>30</v>
      </c>
      <c r="D334" s="14">
        <f t="shared" si="16"/>
        <v>30</v>
      </c>
      <c r="E334" s="12">
        <v>41684</v>
      </c>
      <c r="G334" s="10" t="s">
        <v>16</v>
      </c>
      <c r="H334" s="13">
        <v>336</v>
      </c>
      <c r="I334" s="14">
        <f t="shared" si="17"/>
        <v>336</v>
      </c>
      <c r="J334" s="12">
        <v>41718</v>
      </c>
    </row>
    <row r="335" spans="2:10" x14ac:dyDescent="0.15">
      <c r="B335" s="10" t="s">
        <v>83</v>
      </c>
      <c r="C335" s="13">
        <v>10</v>
      </c>
      <c r="D335" s="14">
        <f t="shared" si="16"/>
        <v>10</v>
      </c>
      <c r="E335" s="12">
        <v>41683</v>
      </c>
      <c r="G335" s="81"/>
      <c r="H335" s="13"/>
      <c r="I335" s="14">
        <f t="shared" si="17"/>
        <v>0</v>
      </c>
      <c r="J335" s="12"/>
    </row>
    <row r="336" spans="2:10" x14ac:dyDescent="0.15">
      <c r="B336" s="10" t="s">
        <v>57</v>
      </c>
      <c r="C336" s="13">
        <v>2</v>
      </c>
      <c r="D336" s="14">
        <f t="shared" si="16"/>
        <v>2</v>
      </c>
      <c r="E336" s="12">
        <v>41684</v>
      </c>
      <c r="G336" s="78"/>
      <c r="H336" s="13"/>
      <c r="I336" s="14">
        <f t="shared" si="17"/>
        <v>0</v>
      </c>
      <c r="J336" s="12"/>
    </row>
    <row r="337" spans="2:10" x14ac:dyDescent="0.15">
      <c r="B337" s="10" t="s">
        <v>22</v>
      </c>
      <c r="C337" s="13">
        <v>5</v>
      </c>
      <c r="D337" s="14">
        <f t="shared" si="16"/>
        <v>5</v>
      </c>
      <c r="E337" s="12">
        <v>41682</v>
      </c>
      <c r="G337" s="78"/>
      <c r="H337" s="13"/>
      <c r="I337" s="14">
        <f t="shared" si="17"/>
        <v>0</v>
      </c>
      <c r="J337" s="12"/>
    </row>
    <row r="338" spans="2:10" x14ac:dyDescent="0.15">
      <c r="B338" s="10" t="s">
        <v>18</v>
      </c>
      <c r="C338" s="13">
        <v>50</v>
      </c>
      <c r="D338" s="14">
        <f t="shared" si="16"/>
        <v>50</v>
      </c>
      <c r="E338" s="12">
        <v>41684</v>
      </c>
      <c r="G338" s="78"/>
      <c r="H338" s="13"/>
      <c r="I338" s="14">
        <f t="shared" si="17"/>
        <v>0</v>
      </c>
      <c r="J338" s="12"/>
    </row>
    <row r="339" spans="2:10" x14ac:dyDescent="0.15">
      <c r="B339" s="10" t="s">
        <v>22</v>
      </c>
      <c r="C339" s="13">
        <v>1</v>
      </c>
      <c r="D339" s="14">
        <f t="shared" si="16"/>
        <v>1</v>
      </c>
      <c r="E339" s="12">
        <v>41684</v>
      </c>
      <c r="G339" s="78"/>
      <c r="H339" s="13"/>
      <c r="I339" s="14">
        <f t="shared" si="17"/>
        <v>0</v>
      </c>
      <c r="J339" s="12"/>
    </row>
    <row r="340" spans="2:10" x14ac:dyDescent="0.15">
      <c r="B340" s="10" t="s">
        <v>18</v>
      </c>
      <c r="C340" s="13">
        <v>17</v>
      </c>
      <c r="D340" s="14">
        <f t="shared" si="16"/>
        <v>17</v>
      </c>
      <c r="E340" s="12">
        <v>41688</v>
      </c>
      <c r="G340" s="78"/>
      <c r="H340" s="13"/>
      <c r="I340" s="14">
        <f t="shared" si="17"/>
        <v>0</v>
      </c>
      <c r="J340" s="12"/>
    </row>
    <row r="341" spans="2:10" x14ac:dyDescent="0.15">
      <c r="B341" s="10" t="s">
        <v>57</v>
      </c>
      <c r="C341" s="13">
        <v>5</v>
      </c>
      <c r="D341" s="14">
        <f t="shared" si="16"/>
        <v>5</v>
      </c>
      <c r="E341" s="12">
        <v>41690</v>
      </c>
      <c r="G341" s="10"/>
      <c r="H341" s="13"/>
      <c r="I341" s="14">
        <f t="shared" si="17"/>
        <v>0</v>
      </c>
      <c r="J341" s="12"/>
    </row>
    <row r="342" spans="2:10" x14ac:dyDescent="0.15">
      <c r="B342" s="10" t="s">
        <v>18</v>
      </c>
      <c r="C342" s="13">
        <v>13</v>
      </c>
      <c r="D342" s="14">
        <f t="shared" si="16"/>
        <v>13</v>
      </c>
      <c r="E342" s="12">
        <v>41690</v>
      </c>
      <c r="G342" s="78"/>
      <c r="H342" s="13"/>
      <c r="I342" s="14">
        <f t="shared" si="17"/>
        <v>0</v>
      </c>
      <c r="J342" s="12"/>
    </row>
    <row r="343" spans="2:10" x14ac:dyDescent="0.15">
      <c r="B343" s="10" t="s">
        <v>22</v>
      </c>
      <c r="C343" s="13">
        <v>1</v>
      </c>
      <c r="D343" s="14">
        <f t="shared" si="16"/>
        <v>1</v>
      </c>
      <c r="E343" s="12">
        <v>41690</v>
      </c>
      <c r="G343" s="10"/>
      <c r="H343" s="22"/>
      <c r="I343" s="23">
        <f t="shared" si="17"/>
        <v>0</v>
      </c>
      <c r="J343" s="24"/>
    </row>
    <row r="344" spans="2:10" x14ac:dyDescent="0.15">
      <c r="B344" s="10" t="s">
        <v>18</v>
      </c>
      <c r="C344" s="13">
        <v>7</v>
      </c>
      <c r="D344" s="14">
        <f t="shared" si="16"/>
        <v>7</v>
      </c>
      <c r="E344" s="12">
        <v>41692</v>
      </c>
      <c r="G344" s="78"/>
      <c r="H344" s="13"/>
      <c r="I344" s="14">
        <f t="shared" si="17"/>
        <v>0</v>
      </c>
      <c r="J344" s="5"/>
    </row>
    <row r="345" spans="2:10" x14ac:dyDescent="0.15">
      <c r="B345" s="10" t="s">
        <v>22</v>
      </c>
      <c r="C345" s="13">
        <v>1</v>
      </c>
      <c r="D345" s="14">
        <f t="shared" si="16"/>
        <v>1</v>
      </c>
      <c r="E345" s="12">
        <v>41692</v>
      </c>
      <c r="G345" s="78"/>
      <c r="H345" s="13"/>
      <c r="I345" s="14">
        <f t="shared" si="17"/>
        <v>0</v>
      </c>
      <c r="J345" s="5"/>
    </row>
    <row r="346" spans="2:10" x14ac:dyDescent="0.15">
      <c r="B346" s="10" t="s">
        <v>18</v>
      </c>
      <c r="C346" s="13">
        <v>4</v>
      </c>
      <c r="D346" s="14">
        <f t="shared" si="16"/>
        <v>4</v>
      </c>
      <c r="E346" s="12">
        <v>41695</v>
      </c>
      <c r="G346" s="81"/>
      <c r="H346" s="7"/>
      <c r="I346" s="14">
        <f t="shared" si="17"/>
        <v>0</v>
      </c>
      <c r="J346" s="5"/>
    </row>
    <row r="347" spans="2:10" x14ac:dyDescent="0.15">
      <c r="B347" s="10" t="s">
        <v>22</v>
      </c>
      <c r="C347" s="13">
        <v>2</v>
      </c>
      <c r="D347" s="14">
        <f t="shared" si="16"/>
        <v>2</v>
      </c>
      <c r="E347" s="12">
        <v>41694</v>
      </c>
      <c r="G347" s="15"/>
      <c r="H347" s="13"/>
      <c r="I347" s="14">
        <f t="shared" si="17"/>
        <v>0</v>
      </c>
      <c r="J347" s="12"/>
    </row>
    <row r="348" spans="2:10" x14ac:dyDescent="0.15">
      <c r="B348" s="10" t="s">
        <v>18</v>
      </c>
      <c r="C348" s="13">
        <v>28</v>
      </c>
      <c r="D348" s="14">
        <f t="shared" si="16"/>
        <v>28</v>
      </c>
      <c r="E348" s="12">
        <v>41697</v>
      </c>
      <c r="G348" s="78"/>
      <c r="H348" s="13"/>
      <c r="I348" s="14">
        <f t="shared" si="17"/>
        <v>0</v>
      </c>
      <c r="J348" s="5"/>
    </row>
    <row r="349" spans="2:10" x14ac:dyDescent="0.15">
      <c r="B349" s="10" t="s">
        <v>57</v>
      </c>
      <c r="C349" s="13">
        <v>5</v>
      </c>
      <c r="D349" s="14">
        <f t="shared" si="16"/>
        <v>5</v>
      </c>
      <c r="E349" s="12">
        <v>41698</v>
      </c>
      <c r="G349" s="78"/>
      <c r="H349" s="13"/>
      <c r="I349" s="14">
        <f t="shared" si="17"/>
        <v>0</v>
      </c>
      <c r="J349" s="5"/>
    </row>
    <row r="350" spans="2:10" x14ac:dyDescent="0.15">
      <c r="B350" s="10" t="s">
        <v>22</v>
      </c>
      <c r="C350" s="13">
        <v>1</v>
      </c>
      <c r="D350" s="14">
        <f t="shared" si="16"/>
        <v>1</v>
      </c>
      <c r="E350" s="12">
        <v>41696</v>
      </c>
      <c r="G350" s="81"/>
      <c r="H350" s="7"/>
      <c r="I350" s="14">
        <f t="shared" si="17"/>
        <v>0</v>
      </c>
      <c r="J350" s="5"/>
    </row>
    <row r="351" spans="2:10" x14ac:dyDescent="0.15">
      <c r="B351" s="10" t="s">
        <v>39</v>
      </c>
      <c r="C351" s="13">
        <v>1</v>
      </c>
      <c r="D351" s="14">
        <f t="shared" si="16"/>
        <v>1</v>
      </c>
      <c r="E351" s="12">
        <v>41702</v>
      </c>
      <c r="G351" s="15"/>
      <c r="H351" s="7"/>
      <c r="I351" s="14">
        <f t="shared" si="17"/>
        <v>0</v>
      </c>
      <c r="J351" s="5"/>
    </row>
    <row r="352" spans="2:10" x14ac:dyDescent="0.15">
      <c r="B352" s="10" t="s">
        <v>22</v>
      </c>
      <c r="C352" s="13">
        <v>4</v>
      </c>
      <c r="D352" s="14">
        <f t="shared" si="16"/>
        <v>4</v>
      </c>
      <c r="E352" s="5">
        <v>41701</v>
      </c>
      <c r="G352" s="78"/>
      <c r="H352" s="7"/>
      <c r="I352" s="14">
        <f t="shared" si="17"/>
        <v>0</v>
      </c>
      <c r="J352" s="12"/>
    </row>
    <row r="353" spans="2:11" x14ac:dyDescent="0.15">
      <c r="B353" s="10" t="s">
        <v>18</v>
      </c>
      <c r="C353" s="13">
        <v>7</v>
      </c>
      <c r="D353" s="14">
        <f t="shared" si="16"/>
        <v>7</v>
      </c>
      <c r="E353" s="5">
        <v>41703</v>
      </c>
      <c r="G353" s="78"/>
      <c r="H353" s="13"/>
      <c r="I353" s="14">
        <f t="shared" si="17"/>
        <v>0</v>
      </c>
      <c r="J353" s="5"/>
    </row>
    <row r="354" spans="2:11" x14ac:dyDescent="0.15">
      <c r="B354" s="10" t="s">
        <v>57</v>
      </c>
      <c r="C354" s="13">
        <v>3</v>
      </c>
      <c r="D354" s="14">
        <f t="shared" si="16"/>
        <v>3</v>
      </c>
      <c r="E354" s="5">
        <v>41709</v>
      </c>
      <c r="G354" s="10"/>
      <c r="H354" s="7"/>
      <c r="I354" s="14">
        <f t="shared" si="17"/>
        <v>0</v>
      </c>
      <c r="J354" s="5"/>
    </row>
    <row r="355" spans="2:11" x14ac:dyDescent="0.15">
      <c r="B355" s="10" t="s">
        <v>18</v>
      </c>
      <c r="C355" s="13">
        <v>31</v>
      </c>
      <c r="D355" s="14">
        <f t="shared" si="16"/>
        <v>31</v>
      </c>
      <c r="E355" s="5">
        <v>41706</v>
      </c>
      <c r="G355" s="78"/>
      <c r="H355" s="7"/>
      <c r="I355" s="14">
        <f t="shared" si="17"/>
        <v>0</v>
      </c>
      <c r="J355" s="5"/>
    </row>
    <row r="356" spans="2:11" ht="14.25" thickBot="1" x14ac:dyDescent="0.2">
      <c r="B356" s="15" t="s">
        <v>22</v>
      </c>
      <c r="C356" s="13">
        <v>2</v>
      </c>
      <c r="D356" s="11">
        <f t="shared" si="16"/>
        <v>2</v>
      </c>
      <c r="E356" s="12">
        <v>41704</v>
      </c>
      <c r="G356" s="15"/>
      <c r="H356" s="7"/>
      <c r="I356" s="14">
        <f t="shared" si="17"/>
        <v>0</v>
      </c>
      <c r="J356" s="85"/>
      <c r="K356" s="82"/>
    </row>
    <row r="357" spans="2:11" ht="14.25" thickBot="1" x14ac:dyDescent="0.2">
      <c r="B357" s="17" t="s">
        <v>2</v>
      </c>
      <c r="C357" s="18">
        <f>SUM(C333:C356)</f>
        <v>231</v>
      </c>
      <c r="D357" s="19">
        <f t="shared" si="16"/>
        <v>231</v>
      </c>
      <c r="E357" s="20"/>
      <c r="G357" s="17" t="s">
        <v>2</v>
      </c>
      <c r="H357" s="18">
        <f>SUM(H333:H356)</f>
        <v>672</v>
      </c>
      <c r="I357" s="19">
        <f t="shared" si="17"/>
        <v>672</v>
      </c>
      <c r="J357" s="20"/>
    </row>
    <row r="358" spans="2:11" ht="14.25" thickBot="1" x14ac:dyDescent="0.2">
      <c r="B358" s="46" t="s">
        <v>3</v>
      </c>
      <c r="C358" s="52">
        <f>C332-C357</f>
        <v>108</v>
      </c>
      <c r="D358" s="48">
        <f>D332-D357</f>
        <v>108</v>
      </c>
      <c r="E358" s="49"/>
      <c r="G358" s="46" t="s">
        <v>3</v>
      </c>
      <c r="H358" s="52">
        <f>H332-H357</f>
        <v>537</v>
      </c>
      <c r="I358" s="48">
        <f>I332-I357</f>
        <v>537</v>
      </c>
      <c r="J358" s="49"/>
    </row>
    <row r="361" spans="2:11" ht="18.75" x14ac:dyDescent="0.2">
      <c r="B361" s="26" t="s">
        <v>7</v>
      </c>
      <c r="G361" s="26" t="s">
        <v>35</v>
      </c>
    </row>
    <row r="362" spans="2:11" ht="14.25" thickBot="1" x14ac:dyDescent="0.2"/>
    <row r="363" spans="2:11" ht="14.25" thickBot="1" x14ac:dyDescent="0.2">
      <c r="B363" s="1"/>
      <c r="C363" s="2"/>
      <c r="D363" s="3" t="s">
        <v>0</v>
      </c>
      <c r="E363" s="1" t="s">
        <v>4</v>
      </c>
      <c r="G363" s="1"/>
      <c r="H363" s="2"/>
      <c r="I363" s="3" t="s">
        <v>0</v>
      </c>
      <c r="J363" s="1" t="s">
        <v>4</v>
      </c>
    </row>
    <row r="364" spans="2:11" x14ac:dyDescent="0.15">
      <c r="B364" s="42" t="s">
        <v>5</v>
      </c>
      <c r="C364" s="43">
        <f>C358</f>
        <v>108</v>
      </c>
      <c r="D364" s="44">
        <f>SUM(C364:C364)</f>
        <v>108</v>
      </c>
      <c r="E364" s="45"/>
      <c r="G364" s="42" t="s">
        <v>5</v>
      </c>
      <c r="H364" s="43">
        <f>H358</f>
        <v>537</v>
      </c>
      <c r="I364" s="44">
        <f>SUM(H364:H364)</f>
        <v>537</v>
      </c>
      <c r="J364" s="45"/>
    </row>
    <row r="365" spans="2:11" x14ac:dyDescent="0.15">
      <c r="B365" s="6" t="s">
        <v>6</v>
      </c>
      <c r="C365" s="13">
        <v>336</v>
      </c>
      <c r="D365" s="14">
        <f>SUM(C365:C365)</f>
        <v>336</v>
      </c>
      <c r="E365" s="5">
        <v>41713</v>
      </c>
      <c r="G365" s="71" t="s">
        <v>6</v>
      </c>
      <c r="H365" s="13"/>
      <c r="I365" s="14">
        <f>SUM(H365:H365)</f>
        <v>0</v>
      </c>
      <c r="J365" s="5"/>
    </row>
    <row r="366" spans="2:11" x14ac:dyDescent="0.15">
      <c r="B366" s="6" t="s">
        <v>6</v>
      </c>
      <c r="C366" s="7">
        <v>336</v>
      </c>
      <c r="D366" s="8">
        <f>SUM(C366:C366)</f>
        <v>336</v>
      </c>
      <c r="E366" s="9">
        <v>41718</v>
      </c>
      <c r="G366" s="71" t="s">
        <v>6</v>
      </c>
      <c r="H366" s="13"/>
      <c r="I366" s="14">
        <f>SUM(H366:H366)</f>
        <v>0</v>
      </c>
      <c r="J366" s="5"/>
    </row>
    <row r="367" spans="2:11" ht="14.25" thickBot="1" x14ac:dyDescent="0.2">
      <c r="B367" s="6" t="s">
        <v>105</v>
      </c>
      <c r="C367" s="7">
        <v>4</v>
      </c>
      <c r="D367" s="14">
        <f>SUM(C367:C367)</f>
        <v>4</v>
      </c>
      <c r="E367" s="16">
        <v>41725</v>
      </c>
      <c r="G367" s="6" t="s">
        <v>6</v>
      </c>
      <c r="H367" s="65"/>
      <c r="I367" s="14">
        <f>SUM(H367:H367)</f>
        <v>0</v>
      </c>
      <c r="J367" s="16"/>
    </row>
    <row r="368" spans="2:11" ht="14.25" thickBot="1" x14ac:dyDescent="0.2">
      <c r="B368" s="46" t="s">
        <v>1</v>
      </c>
      <c r="C368" s="48">
        <f>SUM(C364:C367)</f>
        <v>784</v>
      </c>
      <c r="D368" s="48">
        <f>SUM(D364:D367)</f>
        <v>784</v>
      </c>
      <c r="E368" s="49"/>
      <c r="G368" s="46" t="s">
        <v>1</v>
      </c>
      <c r="H368" s="47">
        <f>SUM(H364:H367)</f>
        <v>537</v>
      </c>
      <c r="I368" s="48">
        <f>SUM(I364:I367)</f>
        <v>537</v>
      </c>
      <c r="J368" s="49"/>
    </row>
    <row r="369" spans="2:10" x14ac:dyDescent="0.15">
      <c r="B369" s="10" t="s">
        <v>12</v>
      </c>
      <c r="C369" s="77">
        <v>2</v>
      </c>
      <c r="D369" s="11">
        <f t="shared" ref="D369:D393" si="18">SUM(C369:C369)</f>
        <v>2</v>
      </c>
      <c r="E369" s="12">
        <v>41708</v>
      </c>
      <c r="G369" s="81" t="s">
        <v>107</v>
      </c>
      <c r="H369" s="13">
        <v>200</v>
      </c>
      <c r="I369" s="14">
        <f>SUM(H369:H369)</f>
        <v>200</v>
      </c>
      <c r="J369" s="12">
        <v>41725</v>
      </c>
    </row>
    <row r="370" spans="2:10" x14ac:dyDescent="0.15">
      <c r="B370" s="10" t="s">
        <v>18</v>
      </c>
      <c r="C370" s="13">
        <v>45</v>
      </c>
      <c r="D370" s="14">
        <f t="shared" si="18"/>
        <v>45</v>
      </c>
      <c r="E370" s="12">
        <v>41710</v>
      </c>
      <c r="G370" s="78"/>
      <c r="H370" s="13"/>
      <c r="I370" s="14">
        <f t="shared" ref="I370:I393" si="19">SUM(H370:H370)</f>
        <v>0</v>
      </c>
      <c r="J370" s="12"/>
    </row>
    <row r="371" spans="2:10" x14ac:dyDescent="0.15">
      <c r="B371" s="10" t="s">
        <v>58</v>
      </c>
      <c r="C371" s="13">
        <v>2</v>
      </c>
      <c r="D371" s="14">
        <f t="shared" si="18"/>
        <v>2</v>
      </c>
      <c r="E371" s="12">
        <v>41715</v>
      </c>
      <c r="G371" s="10"/>
      <c r="H371" s="13"/>
      <c r="I371" s="14">
        <f t="shared" si="19"/>
        <v>0</v>
      </c>
      <c r="J371" s="12"/>
    </row>
    <row r="372" spans="2:10" x14ac:dyDescent="0.15">
      <c r="B372" s="10" t="s">
        <v>39</v>
      </c>
      <c r="C372" s="13">
        <v>4</v>
      </c>
      <c r="D372" s="14">
        <f t="shared" si="18"/>
        <v>4</v>
      </c>
      <c r="E372" s="12">
        <v>41715</v>
      </c>
      <c r="G372" s="78"/>
      <c r="H372" s="13"/>
      <c r="I372" s="14">
        <f t="shared" si="19"/>
        <v>0</v>
      </c>
      <c r="J372" s="12"/>
    </row>
    <row r="373" spans="2:10" x14ac:dyDescent="0.15">
      <c r="B373" s="10" t="s">
        <v>12</v>
      </c>
      <c r="C373" s="13">
        <v>2</v>
      </c>
      <c r="D373" s="14">
        <f t="shared" si="18"/>
        <v>2</v>
      </c>
      <c r="E373" s="12">
        <v>41710</v>
      </c>
      <c r="G373" s="78"/>
      <c r="H373" s="13"/>
      <c r="I373" s="14">
        <f t="shared" si="19"/>
        <v>0</v>
      </c>
      <c r="J373" s="12"/>
    </row>
    <row r="374" spans="2:10" x14ac:dyDescent="0.15">
      <c r="B374" s="10" t="s">
        <v>18</v>
      </c>
      <c r="C374" s="13">
        <v>43</v>
      </c>
      <c r="D374" s="14">
        <f t="shared" si="18"/>
        <v>43</v>
      </c>
      <c r="E374" s="12">
        <v>41713</v>
      </c>
      <c r="G374" s="78"/>
      <c r="H374" s="13"/>
      <c r="I374" s="14">
        <f t="shared" si="19"/>
        <v>0</v>
      </c>
      <c r="J374" s="12"/>
    </row>
    <row r="375" spans="2:10" x14ac:dyDescent="0.15">
      <c r="B375" s="10" t="s">
        <v>12</v>
      </c>
      <c r="C375" s="13">
        <v>1</v>
      </c>
      <c r="D375" s="14">
        <f t="shared" si="18"/>
        <v>1</v>
      </c>
      <c r="E375" s="12">
        <v>41712</v>
      </c>
      <c r="G375" s="78"/>
      <c r="H375" s="13"/>
      <c r="I375" s="14">
        <f t="shared" si="19"/>
        <v>0</v>
      </c>
      <c r="J375" s="12"/>
    </row>
    <row r="376" spans="2:10" x14ac:dyDescent="0.15">
      <c r="B376" s="10" t="s">
        <v>12</v>
      </c>
      <c r="C376" s="13">
        <v>6</v>
      </c>
      <c r="D376" s="14">
        <f t="shared" si="18"/>
        <v>6</v>
      </c>
      <c r="E376" s="12">
        <v>41715</v>
      </c>
      <c r="G376" s="78"/>
      <c r="H376" s="13"/>
      <c r="I376" s="14">
        <f t="shared" si="19"/>
        <v>0</v>
      </c>
      <c r="J376" s="12"/>
    </row>
    <row r="377" spans="2:10" x14ac:dyDescent="0.15">
      <c r="B377" s="10" t="s">
        <v>101</v>
      </c>
      <c r="C377" s="13">
        <v>100</v>
      </c>
      <c r="D377" s="14">
        <f t="shared" si="18"/>
        <v>100</v>
      </c>
      <c r="E377" s="12">
        <v>41717</v>
      </c>
      <c r="G377" s="10"/>
      <c r="H377" s="13"/>
      <c r="I377" s="14">
        <f t="shared" si="19"/>
        <v>0</v>
      </c>
      <c r="J377" s="12"/>
    </row>
    <row r="378" spans="2:10" x14ac:dyDescent="0.15">
      <c r="B378" s="10" t="s">
        <v>58</v>
      </c>
      <c r="C378" s="13">
        <v>2</v>
      </c>
      <c r="D378" s="14">
        <f t="shared" si="18"/>
        <v>2</v>
      </c>
      <c r="E378" s="12">
        <v>41718</v>
      </c>
      <c r="G378" s="78"/>
      <c r="H378" s="13"/>
      <c r="I378" s="14">
        <f t="shared" si="19"/>
        <v>0</v>
      </c>
      <c r="J378" s="12"/>
    </row>
    <row r="379" spans="2:10" x14ac:dyDescent="0.15">
      <c r="B379" s="10" t="s">
        <v>12</v>
      </c>
      <c r="C379" s="13">
        <v>3</v>
      </c>
      <c r="D379" s="14">
        <f t="shared" si="18"/>
        <v>3</v>
      </c>
      <c r="E379" s="12">
        <v>41716</v>
      </c>
      <c r="G379" s="10"/>
      <c r="H379" s="22"/>
      <c r="I379" s="23">
        <f t="shared" si="19"/>
        <v>0</v>
      </c>
      <c r="J379" s="24"/>
    </row>
    <row r="380" spans="2:10" x14ac:dyDescent="0.15">
      <c r="B380" s="10" t="s">
        <v>18</v>
      </c>
      <c r="C380" s="13">
        <v>32</v>
      </c>
      <c r="D380" s="14">
        <f t="shared" si="18"/>
        <v>32</v>
      </c>
      <c r="E380" s="12">
        <v>41718</v>
      </c>
      <c r="G380" s="78"/>
      <c r="H380" s="13"/>
      <c r="I380" s="14">
        <f t="shared" si="19"/>
        <v>0</v>
      </c>
      <c r="J380" s="5"/>
    </row>
    <row r="381" spans="2:10" x14ac:dyDescent="0.15">
      <c r="B381" s="10" t="s">
        <v>102</v>
      </c>
      <c r="C381" s="13">
        <v>150</v>
      </c>
      <c r="D381" s="14">
        <f t="shared" si="18"/>
        <v>150</v>
      </c>
      <c r="E381" s="12">
        <v>41718</v>
      </c>
      <c r="G381" s="78"/>
      <c r="H381" s="13"/>
      <c r="I381" s="14">
        <f t="shared" si="19"/>
        <v>0</v>
      </c>
      <c r="J381" s="5"/>
    </row>
    <row r="382" spans="2:10" x14ac:dyDescent="0.15">
      <c r="B382" s="10" t="s">
        <v>22</v>
      </c>
      <c r="C382" s="13">
        <v>1</v>
      </c>
      <c r="D382" s="14">
        <f t="shared" si="18"/>
        <v>1</v>
      </c>
      <c r="E382" s="12">
        <v>41718</v>
      </c>
      <c r="G382" s="81"/>
      <c r="H382" s="7"/>
      <c r="I382" s="14">
        <f t="shared" si="19"/>
        <v>0</v>
      </c>
      <c r="J382" s="5"/>
    </row>
    <row r="383" spans="2:10" x14ac:dyDescent="0.15">
      <c r="B383" s="10" t="s">
        <v>22</v>
      </c>
      <c r="C383" s="13">
        <v>1</v>
      </c>
      <c r="D383" s="14">
        <f t="shared" si="18"/>
        <v>1</v>
      </c>
      <c r="E383" s="12">
        <v>41718</v>
      </c>
      <c r="G383" s="15"/>
      <c r="H383" s="13"/>
      <c r="I383" s="14">
        <f t="shared" si="19"/>
        <v>0</v>
      </c>
      <c r="J383" s="12"/>
    </row>
    <row r="384" spans="2:10" x14ac:dyDescent="0.15">
      <c r="B384" s="10" t="s">
        <v>22</v>
      </c>
      <c r="C384" s="13">
        <v>2</v>
      </c>
      <c r="D384" s="14">
        <f t="shared" si="18"/>
        <v>2</v>
      </c>
      <c r="E384" s="12">
        <v>41720</v>
      </c>
      <c r="G384" s="78"/>
      <c r="H384" s="13"/>
      <c r="I384" s="14">
        <f t="shared" si="19"/>
        <v>0</v>
      </c>
      <c r="J384" s="5"/>
    </row>
    <row r="385" spans="2:11" x14ac:dyDescent="0.15">
      <c r="B385" s="10" t="s">
        <v>18</v>
      </c>
      <c r="C385" s="13">
        <v>16</v>
      </c>
      <c r="D385" s="14">
        <f t="shared" si="18"/>
        <v>16</v>
      </c>
      <c r="E385" s="12">
        <v>41724</v>
      </c>
      <c r="G385" s="78"/>
      <c r="H385" s="13"/>
      <c r="I385" s="14">
        <f t="shared" si="19"/>
        <v>0</v>
      </c>
      <c r="J385" s="5"/>
    </row>
    <row r="386" spans="2:11" x14ac:dyDescent="0.15">
      <c r="B386" s="10" t="s">
        <v>103</v>
      </c>
      <c r="C386" s="13">
        <v>100</v>
      </c>
      <c r="D386" s="14">
        <f t="shared" si="18"/>
        <v>100</v>
      </c>
      <c r="E386" s="12">
        <v>41723</v>
      </c>
      <c r="G386" s="81"/>
      <c r="H386" s="7"/>
      <c r="I386" s="14">
        <f t="shared" si="19"/>
        <v>0</v>
      </c>
      <c r="J386" s="5"/>
    </row>
    <row r="387" spans="2:11" x14ac:dyDescent="0.15">
      <c r="B387" s="10" t="s">
        <v>39</v>
      </c>
      <c r="C387" s="13">
        <v>4</v>
      </c>
      <c r="D387" s="14">
        <f t="shared" si="18"/>
        <v>4</v>
      </c>
      <c r="E387" s="12">
        <v>41724</v>
      </c>
      <c r="G387" s="15"/>
      <c r="H387" s="7"/>
      <c r="I387" s="14">
        <f t="shared" si="19"/>
        <v>0</v>
      </c>
      <c r="J387" s="5"/>
    </row>
    <row r="388" spans="2:11" x14ac:dyDescent="0.15">
      <c r="B388" s="10" t="s">
        <v>22</v>
      </c>
      <c r="C388" s="13">
        <v>2</v>
      </c>
      <c r="D388" s="14">
        <f t="shared" si="18"/>
        <v>2</v>
      </c>
      <c r="E388" s="5">
        <v>41722</v>
      </c>
      <c r="G388" s="78"/>
      <c r="H388" s="7"/>
      <c r="I388" s="14">
        <f t="shared" si="19"/>
        <v>0</v>
      </c>
      <c r="J388" s="12"/>
    </row>
    <row r="389" spans="2:11" x14ac:dyDescent="0.15">
      <c r="B389" s="10"/>
      <c r="C389" s="13"/>
      <c r="D389" s="14">
        <f t="shared" si="18"/>
        <v>0</v>
      </c>
      <c r="E389" s="5"/>
      <c r="G389" s="78"/>
      <c r="H389" s="13"/>
      <c r="I389" s="14">
        <f t="shared" si="19"/>
        <v>0</v>
      </c>
      <c r="J389" s="5"/>
    </row>
    <row r="390" spans="2:11" x14ac:dyDescent="0.15">
      <c r="B390" s="10" t="s">
        <v>22</v>
      </c>
      <c r="C390" s="13">
        <v>2</v>
      </c>
      <c r="D390" s="14">
        <f t="shared" si="18"/>
        <v>2</v>
      </c>
      <c r="E390" s="5">
        <v>41724</v>
      </c>
      <c r="G390" s="10"/>
      <c r="H390" s="7"/>
      <c r="I390" s="14">
        <f t="shared" si="19"/>
        <v>0</v>
      </c>
      <c r="J390" s="5"/>
    </row>
    <row r="391" spans="2:11" ht="13.5" customHeight="1" x14ac:dyDescent="0.15">
      <c r="B391" s="10" t="s">
        <v>18</v>
      </c>
      <c r="C391" s="13">
        <v>22</v>
      </c>
      <c r="D391" s="14">
        <f t="shared" si="18"/>
        <v>22</v>
      </c>
      <c r="E391" s="5">
        <v>41726</v>
      </c>
      <c r="G391" s="78"/>
      <c r="H391" s="7"/>
      <c r="I391" s="14">
        <f t="shared" si="19"/>
        <v>0</v>
      </c>
      <c r="J391" s="5"/>
    </row>
    <row r="392" spans="2:11" ht="13.5" customHeight="1" thickBot="1" x14ac:dyDescent="0.2">
      <c r="B392" s="15" t="s">
        <v>12</v>
      </c>
      <c r="C392" s="13">
        <v>2</v>
      </c>
      <c r="D392" s="11">
        <f t="shared" si="18"/>
        <v>2</v>
      </c>
      <c r="E392" s="12">
        <v>41726</v>
      </c>
      <c r="G392" s="15"/>
      <c r="H392" s="7"/>
      <c r="I392" s="14">
        <f t="shared" si="19"/>
        <v>0</v>
      </c>
      <c r="J392" s="85"/>
      <c r="K392" s="84"/>
    </row>
    <row r="393" spans="2:11" ht="14.25" thickBot="1" x14ac:dyDescent="0.2">
      <c r="B393" s="17" t="s">
        <v>2</v>
      </c>
      <c r="C393" s="18">
        <f>SUM(C369:C392)</f>
        <v>544</v>
      </c>
      <c r="D393" s="19">
        <f t="shared" si="18"/>
        <v>544</v>
      </c>
      <c r="E393" s="20"/>
      <c r="G393" s="17" t="s">
        <v>2</v>
      </c>
      <c r="H393" s="18">
        <f>SUM(H369:H392)</f>
        <v>200</v>
      </c>
      <c r="I393" s="19">
        <f t="shared" si="19"/>
        <v>200</v>
      </c>
      <c r="J393" s="20"/>
    </row>
    <row r="394" spans="2:11" ht="14.25" thickBot="1" x14ac:dyDescent="0.2">
      <c r="B394" s="46" t="s">
        <v>3</v>
      </c>
      <c r="C394" s="52">
        <f>C368-C393</f>
        <v>240</v>
      </c>
      <c r="D394" s="48">
        <f>D368-D393</f>
        <v>240</v>
      </c>
      <c r="E394" s="49"/>
      <c r="G394" s="46" t="s">
        <v>3</v>
      </c>
      <c r="H394" s="52">
        <f>H368-H393</f>
        <v>337</v>
      </c>
      <c r="I394" s="48">
        <f>I368-I393</f>
        <v>337</v>
      </c>
      <c r="J394" s="49"/>
    </row>
    <row r="397" spans="2:11" ht="18.75" x14ac:dyDescent="0.2">
      <c r="B397" s="26" t="s">
        <v>7</v>
      </c>
      <c r="G397" s="26" t="s">
        <v>35</v>
      </c>
    </row>
    <row r="398" spans="2:11" ht="14.25" thickBot="1" x14ac:dyDescent="0.2"/>
    <row r="399" spans="2:11" ht="14.25" thickBot="1" x14ac:dyDescent="0.2">
      <c r="B399" s="1"/>
      <c r="C399" s="2"/>
      <c r="D399" s="3" t="s">
        <v>0</v>
      </c>
      <c r="E399" s="1" t="s">
        <v>4</v>
      </c>
      <c r="G399" s="1"/>
      <c r="H399" s="2"/>
      <c r="I399" s="3" t="s">
        <v>0</v>
      </c>
      <c r="J399" s="1" t="s">
        <v>4</v>
      </c>
    </row>
    <row r="400" spans="2:11" x14ac:dyDescent="0.15">
      <c r="B400" s="42" t="s">
        <v>5</v>
      </c>
      <c r="C400" s="43">
        <f>C394</f>
        <v>240</v>
      </c>
      <c r="D400" s="44">
        <f>SUM(C400:C400)</f>
        <v>240</v>
      </c>
      <c r="E400" s="45"/>
      <c r="G400" s="42" t="s">
        <v>5</v>
      </c>
      <c r="H400" s="43">
        <f>H394</f>
        <v>337</v>
      </c>
      <c r="I400" s="44">
        <f>SUM(H400:H400)</f>
        <v>337</v>
      </c>
      <c r="J400" s="45"/>
    </row>
    <row r="401" spans="2:10" x14ac:dyDescent="0.15">
      <c r="B401" s="6" t="s">
        <v>6</v>
      </c>
      <c r="C401" s="13">
        <v>336</v>
      </c>
      <c r="D401" s="14">
        <f>SUM(C401:C401)</f>
        <v>336</v>
      </c>
      <c r="E401" s="5">
        <v>41733</v>
      </c>
      <c r="G401" s="71" t="s">
        <v>6</v>
      </c>
      <c r="H401" s="13">
        <v>2016</v>
      </c>
      <c r="I401" s="14">
        <f>SUM(H401:H401)</f>
        <v>2016</v>
      </c>
      <c r="J401" s="5">
        <v>41365</v>
      </c>
    </row>
    <row r="402" spans="2:10" x14ac:dyDescent="0.15">
      <c r="B402" s="6" t="s">
        <v>6</v>
      </c>
      <c r="C402" s="7"/>
      <c r="D402" s="8">
        <f>SUM(C402:C402)</f>
        <v>0</v>
      </c>
      <c r="E402" s="9"/>
      <c r="G402" s="71" t="s">
        <v>6</v>
      </c>
      <c r="H402" s="13">
        <v>1680</v>
      </c>
      <c r="I402" s="14">
        <f>SUM(H402:H402)</f>
        <v>1680</v>
      </c>
      <c r="J402" s="5">
        <v>41730</v>
      </c>
    </row>
    <row r="403" spans="2:10" ht="14.25" thickBot="1" x14ac:dyDescent="0.2">
      <c r="B403" s="6" t="s">
        <v>6</v>
      </c>
      <c r="C403" s="7"/>
      <c r="D403" s="14">
        <f>SUM(C403:C403)</f>
        <v>0</v>
      </c>
      <c r="E403" s="16"/>
      <c r="G403" s="6" t="s">
        <v>6</v>
      </c>
      <c r="H403" s="65">
        <v>672</v>
      </c>
      <c r="I403" s="14">
        <f>SUM(H403:H403)</f>
        <v>672</v>
      </c>
      <c r="J403" s="16">
        <v>41750</v>
      </c>
    </row>
    <row r="404" spans="2:10" ht="14.25" thickBot="1" x14ac:dyDescent="0.2">
      <c r="B404" s="46" t="s">
        <v>1</v>
      </c>
      <c r="C404" s="48">
        <f>SUM(C400:C403)</f>
        <v>576</v>
      </c>
      <c r="D404" s="48">
        <f>SUM(D400:D403)</f>
        <v>576</v>
      </c>
      <c r="E404" s="49"/>
      <c r="G404" s="46" t="s">
        <v>1</v>
      </c>
      <c r="H404" s="47">
        <f>SUM(H400:H403)</f>
        <v>4705</v>
      </c>
      <c r="I404" s="48">
        <f>SUM(I400:I403)</f>
        <v>4705</v>
      </c>
      <c r="J404" s="49"/>
    </row>
    <row r="405" spans="2:10" x14ac:dyDescent="0.15">
      <c r="B405" s="10" t="s">
        <v>106</v>
      </c>
      <c r="C405" s="77">
        <v>1</v>
      </c>
      <c r="D405" s="11">
        <f t="shared" ref="D405:D429" si="20">SUM(C405:C405)</f>
        <v>1</v>
      </c>
      <c r="E405" s="12">
        <v>41727</v>
      </c>
      <c r="G405" s="10" t="s">
        <v>12</v>
      </c>
      <c r="H405" s="13">
        <v>336</v>
      </c>
      <c r="I405" s="11">
        <f t="shared" ref="I405:I429" si="21">SUM(H405:H405)</f>
        <v>336</v>
      </c>
      <c r="J405" s="12">
        <v>41733</v>
      </c>
    </row>
    <row r="406" spans="2:10" x14ac:dyDescent="0.15">
      <c r="B406" s="10" t="s">
        <v>18</v>
      </c>
      <c r="C406" s="13">
        <v>6</v>
      </c>
      <c r="D406" s="14">
        <f t="shared" si="20"/>
        <v>6</v>
      </c>
      <c r="E406" s="12">
        <v>41730</v>
      </c>
      <c r="G406" s="78" t="s">
        <v>114</v>
      </c>
      <c r="H406" s="13">
        <v>300</v>
      </c>
      <c r="I406" s="14">
        <f t="shared" si="21"/>
        <v>300</v>
      </c>
      <c r="J406" s="12">
        <v>41738</v>
      </c>
    </row>
    <row r="407" spans="2:10" x14ac:dyDescent="0.15">
      <c r="B407" s="10" t="s">
        <v>10</v>
      </c>
      <c r="C407" s="13">
        <v>60</v>
      </c>
      <c r="D407" s="14">
        <f t="shared" si="20"/>
        <v>60</v>
      </c>
      <c r="E407" s="5">
        <v>41733</v>
      </c>
      <c r="G407" s="15" t="s">
        <v>113</v>
      </c>
      <c r="H407" s="13">
        <v>200</v>
      </c>
      <c r="I407" s="14">
        <f t="shared" si="21"/>
        <v>200</v>
      </c>
      <c r="J407" s="12">
        <v>41740</v>
      </c>
    </row>
    <row r="408" spans="2:10" x14ac:dyDescent="0.15">
      <c r="B408" s="10" t="s">
        <v>12</v>
      </c>
      <c r="C408" s="13">
        <v>3</v>
      </c>
      <c r="D408" s="14">
        <f t="shared" si="20"/>
        <v>3</v>
      </c>
      <c r="E408" s="12">
        <v>41729</v>
      </c>
      <c r="G408" s="78" t="s">
        <v>114</v>
      </c>
      <c r="H408" s="13">
        <v>200</v>
      </c>
      <c r="I408" s="14">
        <f t="shared" si="21"/>
        <v>200</v>
      </c>
      <c r="J408" s="12">
        <v>41745</v>
      </c>
    </row>
    <row r="409" spans="2:10" x14ac:dyDescent="0.15">
      <c r="B409" s="81" t="s">
        <v>108</v>
      </c>
      <c r="C409" s="13">
        <v>41</v>
      </c>
      <c r="D409" s="14">
        <f t="shared" si="20"/>
        <v>41</v>
      </c>
      <c r="E409" s="12">
        <v>41733</v>
      </c>
      <c r="G409" s="15" t="s">
        <v>119</v>
      </c>
      <c r="H409" s="13">
        <v>600</v>
      </c>
      <c r="I409" s="14">
        <f t="shared" si="21"/>
        <v>600</v>
      </c>
      <c r="J409" s="12">
        <v>41746</v>
      </c>
    </row>
    <row r="410" spans="2:10" x14ac:dyDescent="0.15">
      <c r="B410" s="10" t="s">
        <v>22</v>
      </c>
      <c r="C410" s="13">
        <v>1</v>
      </c>
      <c r="D410" s="14">
        <f t="shared" si="20"/>
        <v>1</v>
      </c>
      <c r="E410" s="12">
        <v>41731</v>
      </c>
      <c r="G410" s="15" t="s">
        <v>120</v>
      </c>
      <c r="H410" s="13">
        <v>800</v>
      </c>
      <c r="I410" s="14">
        <f t="shared" si="21"/>
        <v>800</v>
      </c>
      <c r="J410" s="12">
        <v>41747</v>
      </c>
    </row>
    <row r="411" spans="2:10" x14ac:dyDescent="0.15">
      <c r="B411" s="81" t="s">
        <v>109</v>
      </c>
      <c r="C411" s="13">
        <v>85</v>
      </c>
      <c r="D411" s="14">
        <f t="shared" si="20"/>
        <v>85</v>
      </c>
      <c r="E411" s="12">
        <v>41734</v>
      </c>
      <c r="G411" s="15" t="s">
        <v>123</v>
      </c>
      <c r="H411" s="13">
        <v>300</v>
      </c>
      <c r="I411" s="14">
        <f t="shared" si="21"/>
        <v>300</v>
      </c>
      <c r="J411" s="12">
        <v>41754</v>
      </c>
    </row>
    <row r="412" spans="2:10" x14ac:dyDescent="0.15">
      <c r="B412" s="10" t="s">
        <v>18</v>
      </c>
      <c r="C412" s="13">
        <v>9</v>
      </c>
      <c r="D412" s="14">
        <f t="shared" si="20"/>
        <v>9</v>
      </c>
      <c r="E412" s="12">
        <v>41734</v>
      </c>
      <c r="G412" s="80"/>
      <c r="H412" s="13"/>
      <c r="I412" s="14">
        <f t="shared" si="21"/>
        <v>0</v>
      </c>
      <c r="J412" s="12"/>
    </row>
    <row r="413" spans="2:10" x14ac:dyDescent="0.15">
      <c r="B413" s="81" t="s">
        <v>110</v>
      </c>
      <c r="C413" s="13">
        <v>86</v>
      </c>
      <c r="D413" s="14">
        <f t="shared" si="20"/>
        <v>86</v>
      </c>
      <c r="E413" s="12">
        <v>41736</v>
      </c>
      <c r="G413" s="10"/>
      <c r="H413" s="13"/>
      <c r="I413" s="14">
        <f t="shared" si="21"/>
        <v>0</v>
      </c>
      <c r="J413" s="12"/>
    </row>
    <row r="414" spans="2:10" x14ac:dyDescent="0.15">
      <c r="B414" s="10" t="s">
        <v>22</v>
      </c>
      <c r="C414" s="13">
        <v>3</v>
      </c>
      <c r="D414" s="14">
        <f t="shared" si="20"/>
        <v>3</v>
      </c>
      <c r="E414" s="12">
        <v>41733</v>
      </c>
      <c r="G414" s="78"/>
      <c r="H414" s="13"/>
      <c r="I414" s="14">
        <f t="shared" si="21"/>
        <v>0</v>
      </c>
      <c r="J414" s="12"/>
    </row>
    <row r="415" spans="2:10" x14ac:dyDescent="0.15">
      <c r="B415" s="10" t="s">
        <v>22</v>
      </c>
      <c r="C415" s="13">
        <v>2</v>
      </c>
      <c r="D415" s="14">
        <f>SUM(C415:C415)</f>
        <v>2</v>
      </c>
      <c r="E415" s="12">
        <v>41736</v>
      </c>
      <c r="G415" s="10"/>
      <c r="H415" s="22"/>
      <c r="I415" s="23">
        <f t="shared" si="21"/>
        <v>0</v>
      </c>
      <c r="J415" s="24"/>
    </row>
    <row r="416" spans="2:10" x14ac:dyDescent="0.15">
      <c r="B416" s="10" t="s">
        <v>18</v>
      </c>
      <c r="C416" s="13">
        <v>36</v>
      </c>
      <c r="D416" s="14">
        <f t="shared" si="20"/>
        <v>36</v>
      </c>
      <c r="E416" s="12">
        <v>41738</v>
      </c>
      <c r="G416" s="78"/>
      <c r="H416" s="13"/>
      <c r="I416" s="14">
        <f t="shared" si="21"/>
        <v>0</v>
      </c>
      <c r="J416" s="5"/>
    </row>
    <row r="417" spans="2:11" x14ac:dyDescent="0.15">
      <c r="B417" s="10" t="s">
        <v>22</v>
      </c>
      <c r="C417" s="13">
        <v>1</v>
      </c>
      <c r="D417" s="14">
        <f t="shared" si="20"/>
        <v>1</v>
      </c>
      <c r="E417" s="12">
        <v>41738</v>
      </c>
      <c r="G417" s="78"/>
      <c r="H417" s="13"/>
      <c r="I417" s="14">
        <f t="shared" si="21"/>
        <v>0</v>
      </c>
      <c r="J417" s="5"/>
    </row>
    <row r="418" spans="2:11" x14ac:dyDescent="0.15">
      <c r="B418" s="78" t="s">
        <v>114</v>
      </c>
      <c r="C418" s="13">
        <v>40</v>
      </c>
      <c r="D418" s="14">
        <f t="shared" si="20"/>
        <v>40</v>
      </c>
      <c r="E418" s="12">
        <v>41741</v>
      </c>
      <c r="G418" s="81"/>
      <c r="H418" s="7"/>
      <c r="I418" s="14">
        <f t="shared" si="21"/>
        <v>0</v>
      </c>
      <c r="J418" s="5"/>
    </row>
    <row r="419" spans="2:11" x14ac:dyDescent="0.15">
      <c r="B419" s="10" t="s">
        <v>22</v>
      </c>
      <c r="C419" s="13">
        <v>3</v>
      </c>
      <c r="D419" s="14">
        <f t="shared" si="20"/>
        <v>3</v>
      </c>
      <c r="E419" s="12">
        <v>41740</v>
      </c>
      <c r="G419" s="15"/>
      <c r="H419" s="13"/>
      <c r="I419" s="14">
        <f t="shared" si="21"/>
        <v>0</v>
      </c>
      <c r="J419" s="12"/>
    </row>
    <row r="420" spans="2:11" x14ac:dyDescent="0.15">
      <c r="B420" s="10" t="s">
        <v>18</v>
      </c>
      <c r="C420" s="13">
        <v>21</v>
      </c>
      <c r="D420" s="14">
        <f t="shared" si="20"/>
        <v>21</v>
      </c>
      <c r="E420" s="12">
        <v>41744</v>
      </c>
      <c r="G420" s="78"/>
      <c r="H420" s="13"/>
      <c r="I420" s="14">
        <f t="shared" si="21"/>
        <v>0</v>
      </c>
      <c r="J420" s="5"/>
    </row>
    <row r="421" spans="2:11" x14ac:dyDescent="0.15">
      <c r="B421" s="10" t="s">
        <v>22</v>
      </c>
      <c r="C421" s="13">
        <v>2</v>
      </c>
      <c r="D421" s="14">
        <f t="shared" si="20"/>
        <v>2</v>
      </c>
      <c r="E421" s="12">
        <v>41743</v>
      </c>
      <c r="G421" s="78"/>
      <c r="H421" s="13"/>
      <c r="I421" s="14">
        <f t="shared" si="21"/>
        <v>0</v>
      </c>
      <c r="J421" s="5"/>
      <c r="K421" s="86"/>
    </row>
    <row r="422" spans="2:11" x14ac:dyDescent="0.15">
      <c r="B422" s="10" t="s">
        <v>22</v>
      </c>
      <c r="C422" s="13">
        <v>1</v>
      </c>
      <c r="D422" s="14">
        <f t="shared" si="20"/>
        <v>1</v>
      </c>
      <c r="E422" s="12">
        <v>41744</v>
      </c>
      <c r="G422" s="81"/>
      <c r="H422" s="7"/>
      <c r="I422" s="14">
        <f t="shared" si="21"/>
        <v>0</v>
      </c>
      <c r="J422" s="5"/>
    </row>
    <row r="423" spans="2:11" x14ac:dyDescent="0.15">
      <c r="B423" s="10" t="s">
        <v>18</v>
      </c>
      <c r="C423" s="13">
        <v>39</v>
      </c>
      <c r="D423" s="14">
        <f t="shared" si="20"/>
        <v>39</v>
      </c>
      <c r="E423" s="12">
        <v>41747</v>
      </c>
      <c r="G423" s="15"/>
      <c r="H423" s="7"/>
      <c r="I423" s="14">
        <f t="shared" si="21"/>
        <v>0</v>
      </c>
      <c r="J423" s="5"/>
    </row>
    <row r="424" spans="2:11" x14ac:dyDescent="0.15">
      <c r="B424" s="10" t="s">
        <v>22</v>
      </c>
      <c r="C424" s="13">
        <v>1</v>
      </c>
      <c r="D424" s="14">
        <f t="shared" si="20"/>
        <v>1</v>
      </c>
      <c r="E424" s="5">
        <v>41744</v>
      </c>
      <c r="G424" s="15"/>
      <c r="H424" s="7"/>
      <c r="I424" s="14">
        <f>SUM(H424:H424)</f>
        <v>0</v>
      </c>
      <c r="J424" s="5"/>
    </row>
    <row r="425" spans="2:11" x14ac:dyDescent="0.15">
      <c r="B425" s="10" t="s">
        <v>22</v>
      </c>
      <c r="C425" s="13">
        <v>3</v>
      </c>
      <c r="D425" s="14">
        <f t="shared" si="20"/>
        <v>3</v>
      </c>
      <c r="E425" s="5">
        <v>41745</v>
      </c>
      <c r="G425" s="15"/>
      <c r="H425" s="7"/>
      <c r="I425" s="14">
        <f>SUM(H425:H425)</f>
        <v>0</v>
      </c>
      <c r="J425" s="5"/>
    </row>
    <row r="426" spans="2:11" x14ac:dyDescent="0.15">
      <c r="B426" s="10" t="s">
        <v>22</v>
      </c>
      <c r="C426" s="13">
        <v>4</v>
      </c>
      <c r="D426" s="14">
        <f t="shared" si="20"/>
        <v>4</v>
      </c>
      <c r="E426" s="5">
        <v>41746</v>
      </c>
      <c r="G426" s="10"/>
      <c r="H426" s="7"/>
      <c r="I426" s="14">
        <f t="shared" si="21"/>
        <v>0</v>
      </c>
      <c r="J426" s="5"/>
    </row>
    <row r="427" spans="2:11" x14ac:dyDescent="0.15">
      <c r="B427" s="10" t="s">
        <v>18</v>
      </c>
      <c r="C427" s="13">
        <v>21</v>
      </c>
      <c r="D427" s="14">
        <f t="shared" si="20"/>
        <v>21</v>
      </c>
      <c r="E427" s="5">
        <v>41751</v>
      </c>
      <c r="G427" s="78"/>
      <c r="H427" s="7"/>
      <c r="I427" s="14">
        <f t="shared" si="21"/>
        <v>0</v>
      </c>
      <c r="J427" s="5"/>
    </row>
    <row r="428" spans="2:11" ht="14.25" thickBot="1" x14ac:dyDescent="0.2">
      <c r="B428" s="15" t="s">
        <v>22</v>
      </c>
      <c r="C428" s="13">
        <v>4</v>
      </c>
      <c r="D428" s="11">
        <f t="shared" si="20"/>
        <v>4</v>
      </c>
      <c r="E428" s="12">
        <v>41750</v>
      </c>
      <c r="G428" s="81"/>
      <c r="H428" s="7"/>
      <c r="I428" s="14">
        <f>SUM(H428:H428)</f>
        <v>0</v>
      </c>
      <c r="J428" s="5"/>
      <c r="K428" s="84"/>
    </row>
    <row r="429" spans="2:11" ht="14.25" thickBot="1" x14ac:dyDescent="0.2">
      <c r="B429" s="17" t="s">
        <v>2</v>
      </c>
      <c r="C429" s="18">
        <f>SUM(C405:C428)</f>
        <v>473</v>
      </c>
      <c r="D429" s="19">
        <f t="shared" si="20"/>
        <v>473</v>
      </c>
      <c r="E429" s="20"/>
      <c r="G429" s="17" t="s">
        <v>2</v>
      </c>
      <c r="H429" s="18">
        <f>SUM(H405:H428)</f>
        <v>2736</v>
      </c>
      <c r="I429" s="19">
        <f t="shared" si="21"/>
        <v>2736</v>
      </c>
      <c r="J429" s="20"/>
    </row>
    <row r="430" spans="2:11" ht="14.25" thickBot="1" x14ac:dyDescent="0.2">
      <c r="B430" s="46" t="s">
        <v>3</v>
      </c>
      <c r="C430" s="52">
        <f>C404-C429</f>
        <v>103</v>
      </c>
      <c r="D430" s="48">
        <f>D404-D429</f>
        <v>103</v>
      </c>
      <c r="E430" s="49"/>
      <c r="G430" s="46" t="s">
        <v>3</v>
      </c>
      <c r="H430" s="52">
        <f>H404-H429</f>
        <v>1969</v>
      </c>
      <c r="I430" s="48">
        <f>I404-I429</f>
        <v>1969</v>
      </c>
      <c r="J430" s="49"/>
    </row>
    <row r="433" spans="2:10" ht="18.75" x14ac:dyDescent="0.2">
      <c r="B433" s="26" t="s">
        <v>7</v>
      </c>
      <c r="G433" s="26" t="s">
        <v>35</v>
      </c>
    </row>
    <row r="434" spans="2:10" ht="14.25" thickBot="1" x14ac:dyDescent="0.2"/>
    <row r="435" spans="2:10" ht="14.25" thickBot="1" x14ac:dyDescent="0.2">
      <c r="B435" s="1"/>
      <c r="C435" s="2"/>
      <c r="D435" s="3" t="s">
        <v>0</v>
      </c>
      <c r="E435" s="1" t="s">
        <v>4</v>
      </c>
      <c r="G435" s="1"/>
      <c r="H435" s="2"/>
      <c r="I435" s="3" t="s">
        <v>0</v>
      </c>
      <c r="J435" s="1" t="s">
        <v>4</v>
      </c>
    </row>
    <row r="436" spans="2:10" x14ac:dyDescent="0.15">
      <c r="B436" s="42" t="s">
        <v>5</v>
      </c>
      <c r="C436" s="43">
        <f>C430</f>
        <v>103</v>
      </c>
      <c r="D436" s="44">
        <f>SUM(C436:C436)</f>
        <v>103</v>
      </c>
      <c r="E436" s="45"/>
      <c r="G436" s="42" t="s">
        <v>5</v>
      </c>
      <c r="H436" s="43">
        <f>H430</f>
        <v>1969</v>
      </c>
      <c r="I436" s="44">
        <f>SUM(H436:H436)</f>
        <v>1969</v>
      </c>
      <c r="J436" s="45"/>
    </row>
    <row r="437" spans="2:10" x14ac:dyDescent="0.15">
      <c r="B437" s="6" t="s">
        <v>6</v>
      </c>
      <c r="C437" s="13">
        <v>2</v>
      </c>
      <c r="D437" s="14">
        <f>SUM(C437:C437)</f>
        <v>2</v>
      </c>
      <c r="E437" s="5">
        <v>41757</v>
      </c>
      <c r="G437" s="71" t="s">
        <v>6</v>
      </c>
      <c r="H437" s="13"/>
      <c r="I437" s="14">
        <f>SUM(H437:H437)</f>
        <v>0</v>
      </c>
      <c r="J437" s="5"/>
    </row>
    <row r="438" spans="2:10" x14ac:dyDescent="0.15">
      <c r="B438" s="6" t="s">
        <v>126</v>
      </c>
      <c r="C438" s="7">
        <v>1</v>
      </c>
      <c r="D438" s="8">
        <f>SUM(C438:C438)</f>
        <v>1</v>
      </c>
      <c r="E438" s="9">
        <v>41754</v>
      </c>
      <c r="G438" s="6" t="s">
        <v>6</v>
      </c>
      <c r="H438" s="67">
        <v>1008</v>
      </c>
      <c r="I438" s="14">
        <f>SUM(H438:H438)</f>
        <v>1008</v>
      </c>
      <c r="J438" s="5">
        <v>41760</v>
      </c>
    </row>
    <row r="439" spans="2:10" ht="14.25" thickBot="1" x14ac:dyDescent="0.2">
      <c r="B439" s="6" t="s">
        <v>76</v>
      </c>
      <c r="C439" s="7">
        <v>29</v>
      </c>
      <c r="D439" s="14">
        <f>SUM(C439:C439)</f>
        <v>29</v>
      </c>
      <c r="E439" s="16">
        <v>41760</v>
      </c>
      <c r="G439" s="6" t="s">
        <v>6</v>
      </c>
      <c r="H439" s="88"/>
      <c r="I439" s="14">
        <f>SUM(H439:H439)</f>
        <v>0</v>
      </c>
      <c r="J439" s="85"/>
    </row>
    <row r="440" spans="2:10" ht="14.25" thickBot="1" x14ac:dyDescent="0.2">
      <c r="B440" s="46" t="s">
        <v>1</v>
      </c>
      <c r="C440" s="48">
        <f>SUM(C436:C439)</f>
        <v>135</v>
      </c>
      <c r="D440" s="48">
        <f>SUM(D436:D439)</f>
        <v>135</v>
      </c>
      <c r="E440" s="49"/>
      <c r="G440" s="46" t="s">
        <v>1</v>
      </c>
      <c r="H440" s="47">
        <f>SUM(H436:H439)</f>
        <v>2977</v>
      </c>
      <c r="I440" s="48">
        <f>SUM(I436:I439)</f>
        <v>2977</v>
      </c>
      <c r="J440" s="49"/>
    </row>
    <row r="441" spans="2:10" x14ac:dyDescent="0.15">
      <c r="B441" s="10" t="s">
        <v>22</v>
      </c>
      <c r="C441" s="77">
        <v>1</v>
      </c>
      <c r="D441" s="11">
        <f t="shared" ref="D441:D465" si="22">SUM(C441:C441)</f>
        <v>1</v>
      </c>
      <c r="E441" s="12">
        <v>41751</v>
      </c>
      <c r="G441" s="10" t="s">
        <v>12</v>
      </c>
      <c r="H441" s="13">
        <v>336</v>
      </c>
      <c r="I441" s="11">
        <f t="shared" ref="I441:I465" si="23">SUM(H441:H441)</f>
        <v>336</v>
      </c>
      <c r="J441" s="12">
        <v>41772</v>
      </c>
    </row>
    <row r="442" spans="2:10" x14ac:dyDescent="0.15">
      <c r="B442" s="10" t="s">
        <v>18</v>
      </c>
      <c r="C442" s="13">
        <v>13</v>
      </c>
      <c r="D442" s="14">
        <f t="shared" si="22"/>
        <v>13</v>
      </c>
      <c r="E442" s="12">
        <v>41753</v>
      </c>
      <c r="G442" s="89" t="s">
        <v>114</v>
      </c>
      <c r="H442" s="13">
        <v>200</v>
      </c>
      <c r="I442" s="14">
        <f t="shared" si="23"/>
        <v>200</v>
      </c>
      <c r="J442" s="12">
        <v>41775</v>
      </c>
    </row>
    <row r="443" spans="2:10" x14ac:dyDescent="0.15">
      <c r="B443" s="10" t="s">
        <v>22</v>
      </c>
      <c r="C443" s="13">
        <v>1</v>
      </c>
      <c r="D443" s="14">
        <f t="shared" si="22"/>
        <v>1</v>
      </c>
      <c r="E443" s="12">
        <v>41752</v>
      </c>
      <c r="G443" s="10" t="s">
        <v>12</v>
      </c>
      <c r="H443" s="13">
        <v>336</v>
      </c>
      <c r="I443" s="14">
        <f t="shared" si="23"/>
        <v>336</v>
      </c>
      <c r="J443" s="12">
        <v>41781</v>
      </c>
    </row>
    <row r="444" spans="2:10" x14ac:dyDescent="0.15">
      <c r="B444" s="10" t="s">
        <v>22</v>
      </c>
      <c r="C444" s="13">
        <v>6</v>
      </c>
      <c r="D444" s="14">
        <f t="shared" si="22"/>
        <v>6</v>
      </c>
      <c r="E444" s="12">
        <v>41753</v>
      </c>
      <c r="G444" s="10"/>
      <c r="H444" s="13"/>
      <c r="I444" s="14">
        <f t="shared" si="23"/>
        <v>0</v>
      </c>
      <c r="J444" s="12"/>
    </row>
    <row r="445" spans="2:10" x14ac:dyDescent="0.15">
      <c r="B445" s="10" t="s">
        <v>22</v>
      </c>
      <c r="C445" s="13">
        <v>3</v>
      </c>
      <c r="D445" s="14">
        <f t="shared" si="22"/>
        <v>3</v>
      </c>
      <c r="E445" s="12">
        <v>41754</v>
      </c>
      <c r="G445" s="78"/>
      <c r="H445" s="13"/>
      <c r="I445" s="14">
        <f t="shared" si="23"/>
        <v>0</v>
      </c>
      <c r="J445" s="12"/>
    </row>
    <row r="446" spans="2:10" x14ac:dyDescent="0.15">
      <c r="B446" s="10" t="s">
        <v>39</v>
      </c>
      <c r="C446" s="13">
        <v>2</v>
      </c>
      <c r="D446" s="14">
        <f t="shared" si="22"/>
        <v>2</v>
      </c>
      <c r="E446" s="12">
        <v>41761</v>
      </c>
      <c r="G446" s="78"/>
      <c r="H446" s="13"/>
      <c r="I446" s="14">
        <f t="shared" si="23"/>
        <v>0</v>
      </c>
      <c r="J446" s="12"/>
    </row>
    <row r="447" spans="2:10" x14ac:dyDescent="0.15">
      <c r="B447" s="10" t="s">
        <v>22</v>
      </c>
      <c r="C447" s="13">
        <v>7</v>
      </c>
      <c r="D447" s="14">
        <f t="shared" si="22"/>
        <v>7</v>
      </c>
      <c r="E447" s="12">
        <v>41757</v>
      </c>
      <c r="G447" s="78"/>
      <c r="H447" s="13"/>
      <c r="I447" s="14">
        <f t="shared" si="23"/>
        <v>0</v>
      </c>
      <c r="J447" s="12"/>
    </row>
    <row r="448" spans="2:10" x14ac:dyDescent="0.15">
      <c r="B448" s="10" t="s">
        <v>22</v>
      </c>
      <c r="C448" s="13">
        <v>3</v>
      </c>
      <c r="D448" s="14">
        <f t="shared" si="22"/>
        <v>3</v>
      </c>
      <c r="E448" s="12">
        <v>41760</v>
      </c>
      <c r="G448" s="78"/>
      <c r="H448" s="13"/>
      <c r="I448" s="14">
        <f t="shared" si="23"/>
        <v>0</v>
      </c>
      <c r="J448" s="12"/>
    </row>
    <row r="449" spans="2:11" x14ac:dyDescent="0.15">
      <c r="B449" s="10" t="s">
        <v>22</v>
      </c>
      <c r="C449" s="13">
        <v>2</v>
      </c>
      <c r="D449" s="14">
        <f t="shared" si="22"/>
        <v>2</v>
      </c>
      <c r="E449" s="12">
        <v>41761</v>
      </c>
      <c r="G449" s="10"/>
      <c r="H449" s="13"/>
      <c r="I449" s="14">
        <f t="shared" si="23"/>
        <v>0</v>
      </c>
      <c r="J449" s="12"/>
    </row>
    <row r="450" spans="2:11" x14ac:dyDescent="0.15">
      <c r="B450" s="10" t="s">
        <v>83</v>
      </c>
      <c r="C450" s="13">
        <v>20</v>
      </c>
      <c r="D450" s="14">
        <f t="shared" si="22"/>
        <v>20</v>
      </c>
      <c r="E450" s="12">
        <v>41767</v>
      </c>
      <c r="G450" s="78"/>
      <c r="H450" s="13"/>
      <c r="I450" s="14">
        <f t="shared" si="23"/>
        <v>0</v>
      </c>
      <c r="J450" s="12"/>
    </row>
    <row r="451" spans="2:11" x14ac:dyDescent="0.15">
      <c r="B451" s="10" t="s">
        <v>22</v>
      </c>
      <c r="C451" s="13">
        <v>3</v>
      </c>
      <c r="D451" s="14">
        <f t="shared" si="22"/>
        <v>3</v>
      </c>
      <c r="E451" s="12">
        <v>41764</v>
      </c>
      <c r="G451" s="10"/>
      <c r="H451" s="22"/>
      <c r="I451" s="23">
        <f t="shared" si="23"/>
        <v>0</v>
      </c>
      <c r="J451" s="24"/>
    </row>
    <row r="452" spans="2:11" x14ac:dyDescent="0.15">
      <c r="B452" s="10" t="s">
        <v>22</v>
      </c>
      <c r="C452" s="13">
        <v>2</v>
      </c>
      <c r="D452" s="14">
        <f t="shared" si="22"/>
        <v>2</v>
      </c>
      <c r="E452" s="12">
        <v>41766</v>
      </c>
      <c r="G452" s="27"/>
      <c r="H452" s="22"/>
      <c r="I452" s="23">
        <f t="shared" si="23"/>
        <v>0</v>
      </c>
      <c r="J452" s="24"/>
    </row>
    <row r="453" spans="2:11" x14ac:dyDescent="0.15">
      <c r="B453" s="10" t="s">
        <v>18</v>
      </c>
      <c r="C453" s="13">
        <v>11</v>
      </c>
      <c r="D453" s="14">
        <f t="shared" si="22"/>
        <v>11</v>
      </c>
      <c r="E453" s="12">
        <v>41768</v>
      </c>
      <c r="G453" s="15"/>
      <c r="H453" s="13"/>
      <c r="I453" s="14">
        <f t="shared" si="23"/>
        <v>0</v>
      </c>
      <c r="J453" s="12"/>
    </row>
    <row r="454" spans="2:11" x14ac:dyDescent="0.15">
      <c r="B454" s="10" t="s">
        <v>22</v>
      </c>
      <c r="C454" s="13">
        <v>2</v>
      </c>
      <c r="D454" s="14">
        <f t="shared" si="22"/>
        <v>2</v>
      </c>
      <c r="E454" s="12">
        <v>41767</v>
      </c>
      <c r="G454" s="10"/>
      <c r="H454" s="13"/>
      <c r="I454" s="14">
        <f t="shared" si="23"/>
        <v>0</v>
      </c>
      <c r="J454" s="12"/>
    </row>
    <row r="455" spans="2:11" x14ac:dyDescent="0.15">
      <c r="B455" s="10" t="s">
        <v>22</v>
      </c>
      <c r="C455" s="13">
        <v>5</v>
      </c>
      <c r="D455" s="14">
        <f t="shared" si="22"/>
        <v>5</v>
      </c>
      <c r="E455" s="12">
        <v>41768</v>
      </c>
      <c r="G455" s="15"/>
      <c r="H455" s="13"/>
      <c r="I455" s="14">
        <f t="shared" si="23"/>
        <v>0</v>
      </c>
      <c r="J455" s="12"/>
    </row>
    <row r="456" spans="2:11" x14ac:dyDescent="0.15">
      <c r="B456" s="10" t="s">
        <v>8</v>
      </c>
      <c r="C456" s="13">
        <v>10</v>
      </c>
      <c r="D456" s="14">
        <f t="shared" si="22"/>
        <v>10</v>
      </c>
      <c r="E456" s="12">
        <v>41771</v>
      </c>
      <c r="G456" s="21"/>
      <c r="H456" s="22"/>
      <c r="I456" s="23">
        <f t="shared" si="23"/>
        <v>0</v>
      </c>
      <c r="J456" s="24"/>
    </row>
    <row r="457" spans="2:11" x14ac:dyDescent="0.15">
      <c r="B457" s="10" t="s">
        <v>18</v>
      </c>
      <c r="C457" s="13">
        <v>12</v>
      </c>
      <c r="D457" s="14">
        <f t="shared" si="22"/>
        <v>12</v>
      </c>
      <c r="E457" s="12">
        <v>41771</v>
      </c>
      <c r="G457" s="15"/>
      <c r="H457" s="13"/>
      <c r="I457" s="14">
        <f t="shared" si="23"/>
        <v>0</v>
      </c>
      <c r="J457" s="5"/>
    </row>
    <row r="458" spans="2:11" x14ac:dyDescent="0.15">
      <c r="B458" s="10" t="s">
        <v>22</v>
      </c>
      <c r="C458" s="13">
        <v>4</v>
      </c>
      <c r="D458" s="14">
        <f t="shared" si="22"/>
        <v>4</v>
      </c>
      <c r="E458" s="12">
        <v>41769</v>
      </c>
      <c r="G458" s="89"/>
      <c r="H458" s="7"/>
      <c r="I458" s="14">
        <f t="shared" si="23"/>
        <v>0</v>
      </c>
      <c r="J458" s="5"/>
    </row>
    <row r="459" spans="2:11" x14ac:dyDescent="0.15">
      <c r="B459" s="10" t="s">
        <v>22</v>
      </c>
      <c r="C459" s="13">
        <v>5</v>
      </c>
      <c r="D459" s="14">
        <f t="shared" si="22"/>
        <v>5</v>
      </c>
      <c r="E459" s="12">
        <v>41771</v>
      </c>
      <c r="G459" s="78"/>
      <c r="H459" s="13"/>
      <c r="I459" s="14">
        <f t="shared" si="23"/>
        <v>0</v>
      </c>
      <c r="J459" s="12"/>
    </row>
    <row r="460" spans="2:11" x14ac:dyDescent="0.15">
      <c r="B460" s="10"/>
      <c r="C460" s="13"/>
      <c r="D460" s="14">
        <f t="shared" si="22"/>
        <v>0</v>
      </c>
      <c r="E460" s="5"/>
      <c r="G460" s="10"/>
      <c r="H460" s="7"/>
      <c r="I460" s="14">
        <f t="shared" si="23"/>
        <v>0</v>
      </c>
      <c r="J460" s="5"/>
    </row>
    <row r="461" spans="2:11" x14ac:dyDescent="0.15">
      <c r="B461" s="10"/>
      <c r="C461" s="13"/>
      <c r="D461" s="14">
        <f t="shared" si="22"/>
        <v>0</v>
      </c>
      <c r="E461" s="5"/>
      <c r="G461" s="15"/>
      <c r="H461" s="13"/>
      <c r="I461" s="14">
        <f t="shared" si="23"/>
        <v>0</v>
      </c>
      <c r="J461" s="5"/>
    </row>
    <row r="462" spans="2:11" x14ac:dyDescent="0.15">
      <c r="B462" s="10"/>
      <c r="C462" s="13"/>
      <c r="D462" s="14">
        <f t="shared" si="22"/>
        <v>0</v>
      </c>
      <c r="E462" s="5"/>
      <c r="G462" s="89"/>
      <c r="H462" s="7"/>
      <c r="I462" s="14">
        <f t="shared" si="23"/>
        <v>0</v>
      </c>
      <c r="J462" s="5"/>
      <c r="K462" s="83"/>
    </row>
    <row r="463" spans="2:11" x14ac:dyDescent="0.15">
      <c r="B463" s="10"/>
      <c r="C463" s="13"/>
      <c r="D463" s="14">
        <f t="shared" si="22"/>
        <v>0</v>
      </c>
      <c r="E463" s="5"/>
      <c r="G463" s="78"/>
      <c r="H463" s="13"/>
      <c r="I463" s="14">
        <f>SUM(H463:H463)</f>
        <v>0</v>
      </c>
      <c r="J463" s="12"/>
      <c r="K463" s="83"/>
    </row>
    <row r="464" spans="2:11" ht="14.25" thickBot="1" x14ac:dyDescent="0.2">
      <c r="B464" s="15"/>
      <c r="C464" s="13"/>
      <c r="D464" s="11">
        <f t="shared" si="22"/>
        <v>0</v>
      </c>
      <c r="E464" s="12"/>
      <c r="G464" s="78"/>
      <c r="H464" s="13"/>
      <c r="I464" s="14">
        <f t="shared" si="23"/>
        <v>0</v>
      </c>
      <c r="J464" s="5"/>
      <c r="K464" s="87"/>
    </row>
    <row r="465" spans="2:10" ht="14.25" thickBot="1" x14ac:dyDescent="0.2">
      <c r="B465" s="17" t="s">
        <v>2</v>
      </c>
      <c r="C465" s="18">
        <f>SUM(C441:C464)</f>
        <v>112</v>
      </c>
      <c r="D465" s="19">
        <f t="shared" si="22"/>
        <v>112</v>
      </c>
      <c r="E465" s="20"/>
      <c r="G465" s="17" t="s">
        <v>2</v>
      </c>
      <c r="H465" s="18">
        <f>SUM(H441:H464)</f>
        <v>872</v>
      </c>
      <c r="I465" s="19">
        <f t="shared" si="23"/>
        <v>872</v>
      </c>
      <c r="J465" s="20"/>
    </row>
    <row r="466" spans="2:10" ht="14.25" thickBot="1" x14ac:dyDescent="0.2">
      <c r="B466" s="46" t="s">
        <v>3</v>
      </c>
      <c r="C466" s="52">
        <f>C440-C465</f>
        <v>23</v>
      </c>
      <c r="D466" s="48">
        <f>D440-D465</f>
        <v>23</v>
      </c>
      <c r="E466" s="49"/>
      <c r="G466" s="46" t="s">
        <v>3</v>
      </c>
      <c r="H466" s="52">
        <f>H440-H465</f>
        <v>2105</v>
      </c>
      <c r="I466" s="48">
        <f>I440-I465</f>
        <v>2105</v>
      </c>
      <c r="J466" s="49"/>
    </row>
    <row r="469" spans="2:10" ht="18.75" x14ac:dyDescent="0.2">
      <c r="B469" s="26" t="s">
        <v>7</v>
      </c>
      <c r="G469" s="26" t="s">
        <v>35</v>
      </c>
    </row>
    <row r="470" spans="2:10" ht="14.25" thickBot="1" x14ac:dyDescent="0.2"/>
    <row r="471" spans="2:10" ht="14.25" thickBot="1" x14ac:dyDescent="0.2">
      <c r="B471" s="1"/>
      <c r="C471" s="2"/>
      <c r="D471" s="3" t="s">
        <v>0</v>
      </c>
      <c r="E471" s="1" t="s">
        <v>4</v>
      </c>
      <c r="G471" s="1"/>
      <c r="H471" s="2"/>
      <c r="I471" s="3" t="s">
        <v>0</v>
      </c>
      <c r="J471" s="1" t="s">
        <v>4</v>
      </c>
    </row>
    <row r="472" spans="2:10" x14ac:dyDescent="0.15">
      <c r="B472" s="42" t="s">
        <v>5</v>
      </c>
      <c r="C472" s="43">
        <f>C466</f>
        <v>23</v>
      </c>
      <c r="D472" s="44">
        <f>SUM(C472:C472)</f>
        <v>23</v>
      </c>
      <c r="E472" s="45"/>
      <c r="G472" s="42" t="s">
        <v>5</v>
      </c>
      <c r="H472" s="43">
        <f>H466</f>
        <v>2105</v>
      </c>
      <c r="I472" s="44">
        <f>SUM(H472:H472)</f>
        <v>2105</v>
      </c>
      <c r="J472" s="45"/>
    </row>
    <row r="473" spans="2:10" x14ac:dyDescent="0.15">
      <c r="B473" s="6" t="s">
        <v>6</v>
      </c>
      <c r="C473" s="13">
        <v>336</v>
      </c>
      <c r="D473" s="14">
        <f>SUM(C473:C473)</f>
        <v>336</v>
      </c>
      <c r="E473" s="5">
        <v>41772</v>
      </c>
      <c r="G473" s="71" t="s">
        <v>6</v>
      </c>
      <c r="H473" s="13"/>
      <c r="I473" s="14">
        <f>SUM(H473:H473)</f>
        <v>0</v>
      </c>
      <c r="J473" s="5"/>
    </row>
    <row r="474" spans="2:10" x14ac:dyDescent="0.15">
      <c r="B474" s="6" t="s">
        <v>6</v>
      </c>
      <c r="C474" s="7">
        <v>336</v>
      </c>
      <c r="D474" s="8">
        <f>SUM(C474:C474)</f>
        <v>336</v>
      </c>
      <c r="E474" s="9">
        <v>41781</v>
      </c>
      <c r="G474" s="6" t="s">
        <v>6</v>
      </c>
      <c r="H474" s="67"/>
      <c r="I474" s="14">
        <f>SUM(H474:H474)</f>
        <v>0</v>
      </c>
      <c r="J474" s="5"/>
    </row>
    <row r="475" spans="2:10" ht="14.25" thickBot="1" x14ac:dyDescent="0.2">
      <c r="B475" s="6" t="s">
        <v>6</v>
      </c>
      <c r="C475" s="7"/>
      <c r="D475" s="14">
        <f>SUM(C475:C475)</f>
        <v>0</v>
      </c>
      <c r="E475" s="16"/>
      <c r="G475" s="6" t="s">
        <v>6</v>
      </c>
      <c r="H475" s="88"/>
      <c r="I475" s="14">
        <f>SUM(H475:H475)</f>
        <v>0</v>
      </c>
      <c r="J475" s="85"/>
    </row>
    <row r="476" spans="2:10" ht="14.25" thickBot="1" x14ac:dyDescent="0.2">
      <c r="B476" s="46" t="s">
        <v>1</v>
      </c>
      <c r="C476" s="48">
        <f>SUM(C472:C475)</f>
        <v>695</v>
      </c>
      <c r="D476" s="48">
        <f>SUM(D472:D475)</f>
        <v>695</v>
      </c>
      <c r="E476" s="49"/>
      <c r="G476" s="46" t="s">
        <v>1</v>
      </c>
      <c r="H476" s="47">
        <f>SUM(H472:H475)</f>
        <v>2105</v>
      </c>
      <c r="I476" s="48">
        <f>SUM(I472:I475)</f>
        <v>2105</v>
      </c>
      <c r="J476" s="49"/>
    </row>
    <row r="477" spans="2:10" x14ac:dyDescent="0.15">
      <c r="B477" s="10" t="s">
        <v>57</v>
      </c>
      <c r="C477" s="77">
        <v>10</v>
      </c>
      <c r="D477" s="11">
        <f t="shared" ref="D477:D501" si="24">SUM(C477:C477)</f>
        <v>10</v>
      </c>
      <c r="E477" s="12">
        <v>41775</v>
      </c>
      <c r="G477" s="10"/>
      <c r="H477" s="13"/>
      <c r="I477" s="11">
        <f t="shared" ref="I477:I498" si="25">SUM(H477:H477)</f>
        <v>0</v>
      </c>
      <c r="J477" s="12"/>
    </row>
    <row r="478" spans="2:10" x14ac:dyDescent="0.15">
      <c r="B478" s="10" t="s">
        <v>18</v>
      </c>
      <c r="C478" s="13">
        <v>5</v>
      </c>
      <c r="D478" s="14">
        <f t="shared" si="24"/>
        <v>5</v>
      </c>
      <c r="E478" s="12">
        <v>41774</v>
      </c>
      <c r="G478" s="89"/>
      <c r="H478" s="13"/>
      <c r="I478" s="14">
        <f t="shared" si="25"/>
        <v>0</v>
      </c>
      <c r="J478" s="12"/>
    </row>
    <row r="479" spans="2:10" x14ac:dyDescent="0.15">
      <c r="B479" s="10" t="s">
        <v>114</v>
      </c>
      <c r="C479" s="13">
        <v>100</v>
      </c>
      <c r="D479" s="14">
        <f t="shared" si="24"/>
        <v>100</v>
      </c>
      <c r="E479" s="12">
        <v>41773</v>
      </c>
      <c r="G479" s="10"/>
      <c r="H479" s="13"/>
      <c r="I479" s="14">
        <f t="shared" si="25"/>
        <v>0</v>
      </c>
      <c r="J479" s="12"/>
    </row>
    <row r="480" spans="2:10" x14ac:dyDescent="0.15">
      <c r="B480" s="10" t="s">
        <v>106</v>
      </c>
      <c r="C480" s="13">
        <v>1</v>
      </c>
      <c r="D480" s="14">
        <f t="shared" si="24"/>
        <v>1</v>
      </c>
      <c r="E480" s="12">
        <v>41773</v>
      </c>
      <c r="G480" s="78"/>
      <c r="H480" s="13"/>
      <c r="I480" s="14">
        <f t="shared" si="25"/>
        <v>0</v>
      </c>
      <c r="J480" s="12"/>
    </row>
    <row r="481" spans="2:10" x14ac:dyDescent="0.15">
      <c r="B481" s="10" t="s">
        <v>22</v>
      </c>
      <c r="C481" s="13">
        <v>5</v>
      </c>
      <c r="D481" s="14">
        <f t="shared" si="24"/>
        <v>5</v>
      </c>
      <c r="E481" s="12">
        <v>41773</v>
      </c>
      <c r="G481" s="78"/>
      <c r="H481" s="13"/>
      <c r="I481" s="14">
        <f t="shared" si="25"/>
        <v>0</v>
      </c>
      <c r="J481" s="12"/>
    </row>
    <row r="482" spans="2:10" x14ac:dyDescent="0.15">
      <c r="B482" s="10" t="s">
        <v>57</v>
      </c>
      <c r="C482" s="13">
        <v>20</v>
      </c>
      <c r="D482" s="14">
        <f t="shared" si="24"/>
        <v>20</v>
      </c>
      <c r="E482" s="12">
        <v>41780</v>
      </c>
      <c r="G482" s="78"/>
      <c r="H482" s="13"/>
      <c r="I482" s="14">
        <f t="shared" si="25"/>
        <v>0</v>
      </c>
      <c r="J482" s="12"/>
    </row>
    <row r="483" spans="2:10" x14ac:dyDescent="0.15">
      <c r="B483" s="10" t="s">
        <v>22</v>
      </c>
      <c r="C483" s="13">
        <v>2</v>
      </c>
      <c r="D483" s="14">
        <f t="shared" si="24"/>
        <v>2</v>
      </c>
      <c r="E483" s="12">
        <v>41774</v>
      </c>
      <c r="G483" s="78"/>
      <c r="H483" s="13"/>
      <c r="I483" s="14">
        <f t="shared" si="25"/>
        <v>0</v>
      </c>
      <c r="J483" s="12"/>
    </row>
    <row r="484" spans="2:10" x14ac:dyDescent="0.15">
      <c r="B484" s="10" t="s">
        <v>134</v>
      </c>
      <c r="C484" s="13">
        <v>100</v>
      </c>
      <c r="D484" s="14">
        <f t="shared" si="24"/>
        <v>100</v>
      </c>
      <c r="E484" s="12">
        <v>41776</v>
      </c>
      <c r="G484" s="78"/>
      <c r="H484" s="13"/>
      <c r="I484" s="14">
        <f t="shared" si="25"/>
        <v>0</v>
      </c>
      <c r="J484" s="12"/>
    </row>
    <row r="485" spans="2:10" x14ac:dyDescent="0.15">
      <c r="B485" s="10" t="s">
        <v>22</v>
      </c>
      <c r="C485" s="13">
        <v>3</v>
      </c>
      <c r="D485" s="14">
        <f t="shared" si="24"/>
        <v>3</v>
      </c>
      <c r="E485" s="12">
        <v>41776</v>
      </c>
      <c r="G485" s="10"/>
      <c r="H485" s="13"/>
      <c r="I485" s="14">
        <f t="shared" si="25"/>
        <v>0</v>
      </c>
      <c r="J485" s="12"/>
    </row>
    <row r="486" spans="2:10" x14ac:dyDescent="0.15">
      <c r="B486" s="10" t="s">
        <v>18</v>
      </c>
      <c r="C486" s="13">
        <v>21</v>
      </c>
      <c r="D486" s="14">
        <f t="shared" si="24"/>
        <v>21</v>
      </c>
      <c r="E486" s="12">
        <v>41779</v>
      </c>
      <c r="G486" s="78"/>
      <c r="H486" s="13"/>
      <c r="I486" s="14">
        <f t="shared" si="25"/>
        <v>0</v>
      </c>
      <c r="J486" s="12"/>
    </row>
    <row r="487" spans="2:10" x14ac:dyDescent="0.15">
      <c r="B487" s="10" t="s">
        <v>22</v>
      </c>
      <c r="C487" s="13">
        <v>7</v>
      </c>
      <c r="D487" s="14">
        <f t="shared" si="24"/>
        <v>7</v>
      </c>
      <c r="E487" s="12">
        <v>41778</v>
      </c>
      <c r="G487" s="10"/>
      <c r="H487" s="13"/>
      <c r="I487" s="14">
        <f t="shared" si="25"/>
        <v>0</v>
      </c>
      <c r="J487" s="12"/>
    </row>
    <row r="488" spans="2:10" x14ac:dyDescent="0.15">
      <c r="B488" s="10" t="s">
        <v>57</v>
      </c>
      <c r="C488" s="13">
        <v>20</v>
      </c>
      <c r="D488" s="14">
        <f t="shared" si="24"/>
        <v>20</v>
      </c>
      <c r="E488" s="12">
        <v>41780</v>
      </c>
      <c r="G488" s="10"/>
      <c r="H488" s="13"/>
      <c r="I488" s="14">
        <f t="shared" si="25"/>
        <v>0</v>
      </c>
      <c r="J488" s="12"/>
    </row>
    <row r="489" spans="2:10" x14ac:dyDescent="0.15">
      <c r="B489" s="10" t="s">
        <v>114</v>
      </c>
      <c r="C489" s="13">
        <v>50</v>
      </c>
      <c r="D489" s="14">
        <f t="shared" si="24"/>
        <v>50</v>
      </c>
      <c r="E489" s="12">
        <v>41780</v>
      </c>
      <c r="G489" s="15"/>
      <c r="H489" s="13"/>
      <c r="I489" s="14">
        <f t="shared" si="25"/>
        <v>0</v>
      </c>
      <c r="J489" s="12"/>
    </row>
    <row r="490" spans="2:10" x14ac:dyDescent="0.15">
      <c r="B490" s="10" t="s">
        <v>10</v>
      </c>
      <c r="C490" s="13">
        <v>30</v>
      </c>
      <c r="D490" s="14">
        <f t="shared" si="24"/>
        <v>30</v>
      </c>
      <c r="E490" s="12">
        <v>41785</v>
      </c>
      <c r="G490" s="10"/>
      <c r="H490" s="13"/>
      <c r="I490" s="14">
        <f t="shared" si="25"/>
        <v>0</v>
      </c>
      <c r="J490" s="12"/>
    </row>
    <row r="491" spans="2:10" x14ac:dyDescent="0.15">
      <c r="B491" s="10" t="s">
        <v>18</v>
      </c>
      <c r="C491" s="13">
        <v>8</v>
      </c>
      <c r="D491" s="14">
        <f t="shared" si="24"/>
        <v>8</v>
      </c>
      <c r="E491" s="12">
        <v>41782</v>
      </c>
      <c r="G491" s="15"/>
      <c r="H491" s="13"/>
      <c r="I491" s="14">
        <f t="shared" si="25"/>
        <v>0</v>
      </c>
      <c r="J491" s="12"/>
    </row>
    <row r="492" spans="2:10" x14ac:dyDescent="0.15">
      <c r="B492" s="10" t="s">
        <v>22</v>
      </c>
      <c r="C492" s="13">
        <v>1</v>
      </c>
      <c r="D492" s="14">
        <f t="shared" si="24"/>
        <v>1</v>
      </c>
      <c r="E492" s="12">
        <v>41781</v>
      </c>
      <c r="G492" s="15"/>
      <c r="H492" s="13"/>
      <c r="I492" s="14">
        <f t="shared" si="25"/>
        <v>0</v>
      </c>
      <c r="J492" s="12"/>
    </row>
    <row r="493" spans="2:10" x14ac:dyDescent="0.15">
      <c r="B493" s="10" t="s">
        <v>114</v>
      </c>
      <c r="C493" s="13">
        <v>50</v>
      </c>
      <c r="D493" s="14">
        <f t="shared" si="24"/>
        <v>50</v>
      </c>
      <c r="E493" s="12">
        <v>41782</v>
      </c>
      <c r="G493" s="15"/>
      <c r="H493" s="13"/>
      <c r="I493" s="14">
        <f t="shared" si="25"/>
        <v>0</v>
      </c>
      <c r="J493" s="5"/>
    </row>
    <row r="494" spans="2:10" x14ac:dyDescent="0.15">
      <c r="B494" s="10" t="s">
        <v>137</v>
      </c>
      <c r="C494" s="13">
        <v>100</v>
      </c>
      <c r="D494" s="14">
        <f t="shared" si="24"/>
        <v>100</v>
      </c>
      <c r="E494" s="12">
        <v>41785</v>
      </c>
      <c r="G494" s="89"/>
      <c r="H494" s="7"/>
      <c r="I494" s="14">
        <f t="shared" si="25"/>
        <v>0</v>
      </c>
      <c r="J494" s="5"/>
    </row>
    <row r="495" spans="2:10" x14ac:dyDescent="0.15">
      <c r="B495" s="10" t="s">
        <v>12</v>
      </c>
      <c r="C495" s="13">
        <v>1</v>
      </c>
      <c r="D495" s="14">
        <f t="shared" si="24"/>
        <v>1</v>
      </c>
      <c r="E495" s="12">
        <v>41784</v>
      </c>
      <c r="G495" s="15"/>
      <c r="H495" s="13"/>
      <c r="I495" s="14">
        <f t="shared" si="25"/>
        <v>0</v>
      </c>
      <c r="J495" s="12"/>
    </row>
    <row r="496" spans="2:10" x14ac:dyDescent="0.15">
      <c r="B496" s="10" t="s">
        <v>22</v>
      </c>
      <c r="C496" s="13">
        <v>2</v>
      </c>
      <c r="D496" s="14">
        <f t="shared" si="24"/>
        <v>2</v>
      </c>
      <c r="E496" s="5">
        <v>41785</v>
      </c>
      <c r="G496" s="78"/>
      <c r="H496" s="13"/>
      <c r="I496" s="14">
        <f t="shared" si="25"/>
        <v>0</v>
      </c>
      <c r="J496" s="5"/>
    </row>
    <row r="497" spans="2:11" x14ac:dyDescent="0.15">
      <c r="B497" s="10" t="s">
        <v>18</v>
      </c>
      <c r="C497" s="13">
        <v>45</v>
      </c>
      <c r="D497" s="14">
        <f t="shared" si="24"/>
        <v>45</v>
      </c>
      <c r="E497" s="5">
        <v>41787</v>
      </c>
      <c r="G497" s="90"/>
      <c r="H497" s="7"/>
      <c r="I497" s="14">
        <f t="shared" si="25"/>
        <v>0</v>
      </c>
      <c r="J497" s="5"/>
    </row>
    <row r="498" spans="2:11" x14ac:dyDescent="0.15">
      <c r="B498" s="10" t="s">
        <v>57</v>
      </c>
      <c r="C498" s="13">
        <v>5</v>
      </c>
      <c r="D498" s="14">
        <f t="shared" si="24"/>
        <v>5</v>
      </c>
      <c r="E498" s="5">
        <v>41789</v>
      </c>
      <c r="G498" s="15"/>
      <c r="H498" s="7"/>
      <c r="I498" s="14">
        <f t="shared" si="25"/>
        <v>0</v>
      </c>
      <c r="J498" s="5"/>
      <c r="K498" s="83"/>
    </row>
    <row r="499" spans="2:11" x14ac:dyDescent="0.15">
      <c r="B499" s="10" t="s">
        <v>22</v>
      </c>
      <c r="C499" s="13">
        <v>2</v>
      </c>
      <c r="D499" s="14">
        <f t="shared" si="24"/>
        <v>2</v>
      </c>
      <c r="E499" s="5">
        <v>41786</v>
      </c>
      <c r="G499" s="89"/>
      <c r="H499" s="7"/>
      <c r="I499" s="14">
        <f>SUM(H499:H499)</f>
        <v>0</v>
      </c>
      <c r="J499" s="5"/>
      <c r="K499" s="83"/>
    </row>
    <row r="500" spans="2:11" ht="14.25" thickBot="1" x14ac:dyDescent="0.2">
      <c r="B500" s="15" t="s">
        <v>22</v>
      </c>
      <c r="C500" s="13">
        <v>5</v>
      </c>
      <c r="D500" s="11">
        <f t="shared" si="24"/>
        <v>5</v>
      </c>
      <c r="E500" s="12">
        <v>41787</v>
      </c>
      <c r="G500" s="89"/>
      <c r="H500" s="7"/>
      <c r="I500" s="14">
        <f>SUM(H500:H500)</f>
        <v>0</v>
      </c>
      <c r="J500" s="85"/>
      <c r="K500" s="83"/>
    </row>
    <row r="501" spans="2:11" ht="14.25" thickBot="1" x14ac:dyDescent="0.2">
      <c r="B501" s="17" t="s">
        <v>2</v>
      </c>
      <c r="C501" s="18">
        <f>SUM(C477:C500)</f>
        <v>593</v>
      </c>
      <c r="D501" s="19">
        <f t="shared" si="24"/>
        <v>593</v>
      </c>
      <c r="E501" s="20"/>
      <c r="G501" s="17" t="s">
        <v>2</v>
      </c>
      <c r="H501" s="18">
        <f>SUM(H477:H500)</f>
        <v>0</v>
      </c>
      <c r="I501" s="19">
        <f>SUM(H501:H501)</f>
        <v>0</v>
      </c>
      <c r="J501" s="20"/>
    </row>
    <row r="502" spans="2:11" ht="14.25" thickBot="1" x14ac:dyDescent="0.2">
      <c r="B502" s="46" t="s">
        <v>3</v>
      </c>
      <c r="C502" s="52">
        <f>C476-C501</f>
        <v>102</v>
      </c>
      <c r="D502" s="48">
        <f>D476-D501</f>
        <v>102</v>
      </c>
      <c r="E502" s="49"/>
      <c r="G502" s="46" t="s">
        <v>3</v>
      </c>
      <c r="H502" s="52">
        <f>H476-H501</f>
        <v>2105</v>
      </c>
      <c r="I502" s="48">
        <f>I476-I501</f>
        <v>2105</v>
      </c>
      <c r="J502" s="49"/>
    </row>
    <row r="505" spans="2:11" ht="18.75" x14ac:dyDescent="0.2">
      <c r="B505" s="26" t="s">
        <v>7</v>
      </c>
      <c r="G505" s="26" t="s">
        <v>35</v>
      </c>
    </row>
    <row r="506" spans="2:11" ht="14.25" thickBot="1" x14ac:dyDescent="0.2"/>
    <row r="507" spans="2:11" ht="14.25" thickBot="1" x14ac:dyDescent="0.2">
      <c r="B507" s="1"/>
      <c r="C507" s="2"/>
      <c r="D507" s="3" t="s">
        <v>0</v>
      </c>
      <c r="E507" s="1" t="s">
        <v>4</v>
      </c>
      <c r="G507" s="1"/>
      <c r="H507" s="2"/>
      <c r="I507" s="3" t="s">
        <v>0</v>
      </c>
      <c r="J507" s="1" t="s">
        <v>4</v>
      </c>
    </row>
    <row r="508" spans="2:11" x14ac:dyDescent="0.15">
      <c r="B508" s="42" t="s">
        <v>5</v>
      </c>
      <c r="C508" s="43">
        <f>C502</f>
        <v>102</v>
      </c>
      <c r="D508" s="44">
        <f>SUM(C508:C508)</f>
        <v>102</v>
      </c>
      <c r="E508" s="45"/>
      <c r="G508" s="42" t="s">
        <v>5</v>
      </c>
      <c r="H508" s="43">
        <f>H502</f>
        <v>2105</v>
      </c>
      <c r="I508" s="44">
        <f>SUM(H508:H508)</f>
        <v>2105</v>
      </c>
      <c r="J508" s="45"/>
    </row>
    <row r="509" spans="2:11" x14ac:dyDescent="0.15">
      <c r="B509" s="6" t="s">
        <v>6</v>
      </c>
      <c r="C509" s="13">
        <v>336</v>
      </c>
      <c r="D509" s="14">
        <f>SUM(C509:C509)</f>
        <v>336</v>
      </c>
      <c r="E509" s="5">
        <v>41794</v>
      </c>
      <c r="G509" s="71" t="s">
        <v>6</v>
      </c>
      <c r="H509" s="13"/>
      <c r="I509" s="14">
        <f>SUM(H509:H509)</f>
        <v>0</v>
      </c>
      <c r="J509" s="5"/>
    </row>
    <row r="510" spans="2:11" x14ac:dyDescent="0.15">
      <c r="B510" s="6" t="s">
        <v>6</v>
      </c>
      <c r="C510" s="7">
        <v>336</v>
      </c>
      <c r="D510" s="8">
        <f>SUM(C510:C510)</f>
        <v>336</v>
      </c>
      <c r="E510" s="9">
        <v>41806</v>
      </c>
      <c r="G510" s="6" t="s">
        <v>6</v>
      </c>
      <c r="H510" s="67">
        <v>2016</v>
      </c>
      <c r="I510" s="14">
        <f>SUM(H510:H510)</f>
        <v>2016</v>
      </c>
      <c r="J510" s="5">
        <v>41791</v>
      </c>
    </row>
    <row r="511" spans="2:11" ht="14.25" thickBot="1" x14ac:dyDescent="0.2">
      <c r="B511" s="6" t="s">
        <v>6</v>
      </c>
      <c r="C511" s="7"/>
      <c r="D511" s="14">
        <f>SUM(C511:C511)</f>
        <v>0</v>
      </c>
      <c r="E511" s="16"/>
      <c r="G511" s="6" t="s">
        <v>6</v>
      </c>
      <c r="H511" s="88">
        <v>2016</v>
      </c>
      <c r="I511" s="14">
        <f>SUM(H511:H511)</f>
        <v>2016</v>
      </c>
      <c r="J511" s="85">
        <v>41800</v>
      </c>
    </row>
    <row r="512" spans="2:11" ht="14.25" thickBot="1" x14ac:dyDescent="0.2">
      <c r="B512" s="46" t="s">
        <v>1</v>
      </c>
      <c r="C512" s="48">
        <f>SUM(C508:C511)</f>
        <v>774</v>
      </c>
      <c r="D512" s="48">
        <f>SUM(D508:D511)</f>
        <v>774</v>
      </c>
      <c r="E512" s="49"/>
      <c r="G512" s="46" t="s">
        <v>1</v>
      </c>
      <c r="H512" s="47">
        <f>SUM(H508:H511)</f>
        <v>6137</v>
      </c>
      <c r="I512" s="48">
        <f>SUM(I508:I511)</f>
        <v>6137</v>
      </c>
      <c r="J512" s="49"/>
    </row>
    <row r="513" spans="2:10" x14ac:dyDescent="0.15">
      <c r="B513" s="10" t="s">
        <v>22</v>
      </c>
      <c r="C513" s="77">
        <v>1</v>
      </c>
      <c r="D513" s="11">
        <f t="shared" ref="D513:D537" si="26">SUM(C513:C513)</f>
        <v>1</v>
      </c>
      <c r="E513" s="12">
        <v>41788</v>
      </c>
      <c r="G513" s="10" t="s">
        <v>12</v>
      </c>
      <c r="H513" s="13">
        <v>336</v>
      </c>
      <c r="I513" s="11">
        <f t="shared" ref="I513:I534" si="27">SUM(H513:H513)</f>
        <v>336</v>
      </c>
      <c r="J513" s="12">
        <v>41794</v>
      </c>
    </row>
    <row r="514" spans="2:10" x14ac:dyDescent="0.15">
      <c r="B514" s="10" t="s">
        <v>39</v>
      </c>
      <c r="C514" s="13">
        <v>4</v>
      </c>
      <c r="D514" s="14">
        <f t="shared" si="26"/>
        <v>4</v>
      </c>
      <c r="E514" s="12">
        <v>41794</v>
      </c>
      <c r="G514" s="89" t="s">
        <v>157</v>
      </c>
      <c r="H514" s="13">
        <v>250</v>
      </c>
      <c r="I514" s="14">
        <f t="shared" si="27"/>
        <v>250</v>
      </c>
      <c r="J514" s="12">
        <v>41807</v>
      </c>
    </row>
    <row r="515" spans="2:10" x14ac:dyDescent="0.15">
      <c r="B515" s="10" t="s">
        <v>22</v>
      </c>
      <c r="C515" s="13">
        <v>3</v>
      </c>
      <c r="D515" s="14">
        <f t="shared" si="26"/>
        <v>3</v>
      </c>
      <c r="E515" s="12">
        <v>41790</v>
      </c>
      <c r="G515" s="10" t="s">
        <v>12</v>
      </c>
      <c r="H515" s="13">
        <v>336</v>
      </c>
      <c r="I515" s="14">
        <f t="shared" si="27"/>
        <v>336</v>
      </c>
      <c r="J515" s="12">
        <v>41806</v>
      </c>
    </row>
    <row r="516" spans="2:10" x14ac:dyDescent="0.15">
      <c r="B516" s="10" t="s">
        <v>18</v>
      </c>
      <c r="C516" s="13">
        <v>24</v>
      </c>
      <c r="D516" s="14">
        <f t="shared" si="26"/>
        <v>24</v>
      </c>
      <c r="E516" s="12">
        <v>41793</v>
      </c>
      <c r="G516" s="78" t="s">
        <v>114</v>
      </c>
      <c r="H516" s="13">
        <v>100</v>
      </c>
      <c r="I516" s="14">
        <f t="shared" si="27"/>
        <v>100</v>
      </c>
      <c r="J516" s="12">
        <v>41802</v>
      </c>
    </row>
    <row r="517" spans="2:10" x14ac:dyDescent="0.15">
      <c r="B517" s="10" t="s">
        <v>22</v>
      </c>
      <c r="C517" s="13">
        <v>11</v>
      </c>
      <c r="D517" s="14">
        <f t="shared" si="26"/>
        <v>11</v>
      </c>
      <c r="E517" s="12">
        <v>41792</v>
      </c>
      <c r="G517" s="78" t="s">
        <v>148</v>
      </c>
      <c r="H517" s="13">
        <v>900</v>
      </c>
      <c r="I517" s="14">
        <f t="shared" si="27"/>
        <v>900</v>
      </c>
      <c r="J517" s="12">
        <v>41803</v>
      </c>
    </row>
    <row r="518" spans="2:10" x14ac:dyDescent="0.15">
      <c r="B518" s="10" t="s">
        <v>23</v>
      </c>
      <c r="C518" s="13">
        <v>13</v>
      </c>
      <c r="D518" s="14">
        <f t="shared" si="26"/>
        <v>13</v>
      </c>
      <c r="E518" s="12">
        <v>41795</v>
      </c>
      <c r="G518" s="15" t="s">
        <v>153</v>
      </c>
      <c r="H518" s="13">
        <v>400</v>
      </c>
      <c r="I518" s="14">
        <f t="shared" si="27"/>
        <v>400</v>
      </c>
      <c r="J518" s="12">
        <v>41809</v>
      </c>
    </row>
    <row r="519" spans="2:10" x14ac:dyDescent="0.15">
      <c r="B519" s="10" t="s">
        <v>22</v>
      </c>
      <c r="C519" s="13">
        <v>2</v>
      </c>
      <c r="D519" s="14">
        <f t="shared" si="26"/>
        <v>2</v>
      </c>
      <c r="E519" s="12">
        <v>41793</v>
      </c>
      <c r="G519" s="15" t="s">
        <v>155</v>
      </c>
      <c r="H519" s="13">
        <v>300</v>
      </c>
      <c r="I519" s="14">
        <f t="shared" si="27"/>
        <v>300</v>
      </c>
      <c r="J519" s="12">
        <v>41810</v>
      </c>
    </row>
    <row r="520" spans="2:10" x14ac:dyDescent="0.15">
      <c r="B520" s="10" t="s">
        <v>18</v>
      </c>
      <c r="C520" s="13">
        <v>23</v>
      </c>
      <c r="D520" s="14">
        <f t="shared" si="26"/>
        <v>23</v>
      </c>
      <c r="E520" s="12">
        <v>41795</v>
      </c>
      <c r="G520" s="15" t="s">
        <v>156</v>
      </c>
      <c r="H520" s="13">
        <v>200</v>
      </c>
      <c r="I520" s="14">
        <f t="shared" si="27"/>
        <v>200</v>
      </c>
      <c r="J520" s="12">
        <v>41810</v>
      </c>
    </row>
    <row r="521" spans="2:10" x14ac:dyDescent="0.15">
      <c r="B521" s="10" t="s">
        <v>22</v>
      </c>
      <c r="C521" s="13">
        <v>2</v>
      </c>
      <c r="D521" s="14">
        <f t="shared" si="26"/>
        <v>2</v>
      </c>
      <c r="E521" s="12">
        <v>41794</v>
      </c>
      <c r="G521" s="10" t="s">
        <v>12</v>
      </c>
      <c r="H521" s="13">
        <v>336</v>
      </c>
      <c r="I521" s="14">
        <f t="shared" si="27"/>
        <v>336</v>
      </c>
      <c r="J521" s="12">
        <v>41811</v>
      </c>
    </row>
    <row r="522" spans="2:10" x14ac:dyDescent="0.15">
      <c r="B522" s="10" t="s">
        <v>22</v>
      </c>
      <c r="C522" s="13">
        <v>2</v>
      </c>
      <c r="D522" s="14">
        <f t="shared" si="26"/>
        <v>2</v>
      </c>
      <c r="E522" s="12">
        <v>41795</v>
      </c>
      <c r="G522" s="89" t="s">
        <v>162</v>
      </c>
      <c r="H522" s="13">
        <v>740</v>
      </c>
      <c r="I522" s="14">
        <f t="shared" si="27"/>
        <v>740</v>
      </c>
      <c r="J522" s="12">
        <v>41816</v>
      </c>
    </row>
    <row r="523" spans="2:10" x14ac:dyDescent="0.15">
      <c r="B523" s="10" t="s">
        <v>18</v>
      </c>
      <c r="C523" s="13">
        <v>25</v>
      </c>
      <c r="D523" s="14">
        <f t="shared" si="26"/>
        <v>25</v>
      </c>
      <c r="E523" s="12">
        <v>41797</v>
      </c>
      <c r="G523" s="15" t="s">
        <v>164</v>
      </c>
      <c r="H523" s="13">
        <v>1000</v>
      </c>
      <c r="I523" s="14">
        <f t="shared" si="27"/>
        <v>1000</v>
      </c>
      <c r="J523" s="12">
        <v>41817</v>
      </c>
    </row>
    <row r="524" spans="2:10" x14ac:dyDescent="0.15">
      <c r="B524" s="10" t="s">
        <v>22</v>
      </c>
      <c r="C524" s="13">
        <v>3</v>
      </c>
      <c r="D524" s="14">
        <f t="shared" si="26"/>
        <v>3</v>
      </c>
      <c r="E524" s="12">
        <v>41796</v>
      </c>
      <c r="G524" s="10" t="s">
        <v>165</v>
      </c>
      <c r="H524" s="13">
        <v>100</v>
      </c>
      <c r="I524" s="14">
        <f t="shared" si="27"/>
        <v>100</v>
      </c>
      <c r="J524" s="12">
        <v>41817</v>
      </c>
    </row>
    <row r="525" spans="2:10" x14ac:dyDescent="0.15">
      <c r="B525" s="10" t="s">
        <v>22</v>
      </c>
      <c r="C525" s="13">
        <v>4</v>
      </c>
      <c r="D525" s="14">
        <f t="shared" si="26"/>
        <v>4</v>
      </c>
      <c r="E525" s="12">
        <v>41797</v>
      </c>
      <c r="G525" s="15" t="s">
        <v>16</v>
      </c>
      <c r="H525" s="13">
        <v>336</v>
      </c>
      <c r="I525" s="14">
        <f t="shared" si="27"/>
        <v>336</v>
      </c>
      <c r="J525" s="12">
        <v>41817</v>
      </c>
    </row>
    <row r="526" spans="2:10" x14ac:dyDescent="0.15">
      <c r="B526" s="10" t="s">
        <v>22</v>
      </c>
      <c r="C526" s="13">
        <v>1</v>
      </c>
      <c r="D526" s="14">
        <f t="shared" si="26"/>
        <v>1</v>
      </c>
      <c r="E526" s="12">
        <v>41799</v>
      </c>
      <c r="G526" s="10"/>
      <c r="H526" s="13"/>
      <c r="I526" s="14">
        <f t="shared" si="27"/>
        <v>0</v>
      </c>
      <c r="J526" s="12"/>
    </row>
    <row r="527" spans="2:10" x14ac:dyDescent="0.15">
      <c r="B527" s="10" t="s">
        <v>57</v>
      </c>
      <c r="C527" s="13">
        <v>10</v>
      </c>
      <c r="D527" s="14">
        <f t="shared" si="26"/>
        <v>10</v>
      </c>
      <c r="E527" s="12">
        <v>41802</v>
      </c>
      <c r="G527" s="15"/>
      <c r="H527" s="13"/>
      <c r="I527" s="14">
        <f t="shared" si="27"/>
        <v>0</v>
      </c>
      <c r="J527" s="12"/>
    </row>
    <row r="528" spans="2:10" x14ac:dyDescent="0.15">
      <c r="B528" s="10" t="s">
        <v>18</v>
      </c>
      <c r="C528" s="13">
        <v>43</v>
      </c>
      <c r="D528" s="14">
        <f t="shared" si="26"/>
        <v>43</v>
      </c>
      <c r="E528" s="12">
        <v>41801</v>
      </c>
      <c r="G528" s="21"/>
      <c r="H528" s="22"/>
      <c r="I528" s="23">
        <f t="shared" si="27"/>
        <v>0</v>
      </c>
      <c r="J528" s="24"/>
    </row>
    <row r="529" spans="2:11" x14ac:dyDescent="0.15">
      <c r="B529" s="10" t="s">
        <v>114</v>
      </c>
      <c r="C529" s="13">
        <v>100</v>
      </c>
      <c r="D529" s="14">
        <f t="shared" si="26"/>
        <v>100</v>
      </c>
      <c r="E529" s="12">
        <v>41801</v>
      </c>
      <c r="G529" s="15"/>
      <c r="H529" s="13"/>
      <c r="I529" s="14">
        <f t="shared" si="27"/>
        <v>0</v>
      </c>
      <c r="J529" s="5"/>
    </row>
    <row r="530" spans="2:11" x14ac:dyDescent="0.15">
      <c r="B530" s="10" t="s">
        <v>22</v>
      </c>
      <c r="C530" s="13">
        <v>1</v>
      </c>
      <c r="D530" s="14">
        <f t="shared" si="26"/>
        <v>1</v>
      </c>
      <c r="E530" s="12">
        <v>41800</v>
      </c>
      <c r="G530" s="89"/>
      <c r="H530" s="7"/>
      <c r="I530" s="14">
        <f t="shared" si="27"/>
        <v>0</v>
      </c>
      <c r="J530" s="5"/>
    </row>
    <row r="531" spans="2:11" x14ac:dyDescent="0.15">
      <c r="B531" s="10" t="s">
        <v>147</v>
      </c>
      <c r="C531" s="13">
        <v>100</v>
      </c>
      <c r="D531" s="14">
        <f t="shared" si="26"/>
        <v>100</v>
      </c>
      <c r="E531" s="12">
        <v>41802</v>
      </c>
      <c r="G531" s="15"/>
      <c r="H531" s="13"/>
      <c r="I531" s="14">
        <f t="shared" si="27"/>
        <v>0</v>
      </c>
      <c r="J531" s="12"/>
    </row>
    <row r="532" spans="2:11" x14ac:dyDescent="0.15">
      <c r="B532" s="10" t="s">
        <v>18</v>
      </c>
      <c r="C532" s="13">
        <v>13</v>
      </c>
      <c r="D532" s="14">
        <f t="shared" si="26"/>
        <v>13</v>
      </c>
      <c r="E532" s="5">
        <v>41803</v>
      </c>
      <c r="G532" s="78"/>
      <c r="H532" s="13"/>
      <c r="I532" s="14">
        <f t="shared" si="27"/>
        <v>0</v>
      </c>
      <c r="J532" s="5"/>
    </row>
    <row r="533" spans="2:11" x14ac:dyDescent="0.15">
      <c r="B533" s="10" t="s">
        <v>149</v>
      </c>
      <c r="C533" s="13">
        <v>1</v>
      </c>
      <c r="D533" s="14">
        <f t="shared" si="26"/>
        <v>1</v>
      </c>
      <c r="E533" s="5">
        <v>41807</v>
      </c>
      <c r="G533" s="90"/>
      <c r="H533" s="7"/>
      <c r="I533" s="14">
        <f t="shared" si="27"/>
        <v>0</v>
      </c>
      <c r="J533" s="5"/>
    </row>
    <row r="534" spans="2:11" x14ac:dyDescent="0.15">
      <c r="B534" s="10" t="s">
        <v>22</v>
      </c>
      <c r="C534" s="13">
        <v>2</v>
      </c>
      <c r="D534" s="14">
        <f t="shared" si="26"/>
        <v>2</v>
      </c>
      <c r="E534" s="5">
        <v>41803</v>
      </c>
      <c r="G534" s="15"/>
      <c r="H534" s="7"/>
      <c r="I534" s="14">
        <f t="shared" si="27"/>
        <v>0</v>
      </c>
      <c r="J534" s="5"/>
      <c r="K534" s="83"/>
    </row>
    <row r="535" spans="2:11" x14ac:dyDescent="0.15">
      <c r="B535" s="10" t="s">
        <v>18</v>
      </c>
      <c r="C535" s="13">
        <v>44</v>
      </c>
      <c r="D535" s="14">
        <f t="shared" si="26"/>
        <v>44</v>
      </c>
      <c r="E535" s="5">
        <v>41807</v>
      </c>
      <c r="G535" s="89"/>
      <c r="H535" s="7"/>
      <c r="I535" s="14">
        <f>SUM(H535:H535)</f>
        <v>0</v>
      </c>
      <c r="J535" s="5"/>
      <c r="K535" s="83"/>
    </row>
    <row r="536" spans="2:11" ht="14.25" thickBot="1" x14ac:dyDescent="0.2">
      <c r="B536" s="15" t="s">
        <v>22</v>
      </c>
      <c r="C536" s="13">
        <v>2</v>
      </c>
      <c r="D536" s="11">
        <f t="shared" si="26"/>
        <v>2</v>
      </c>
      <c r="E536" s="12">
        <v>41806</v>
      </c>
      <c r="G536" s="89"/>
      <c r="H536" s="7"/>
      <c r="I536" s="14">
        <f>SUM(H536:H536)</f>
        <v>0</v>
      </c>
      <c r="J536" s="85"/>
      <c r="K536" s="83"/>
    </row>
    <row r="537" spans="2:11" ht="14.25" thickBot="1" x14ac:dyDescent="0.2">
      <c r="B537" s="17" t="s">
        <v>2</v>
      </c>
      <c r="C537" s="18">
        <f>SUM(C513:C536)</f>
        <v>434</v>
      </c>
      <c r="D537" s="19">
        <f t="shared" si="26"/>
        <v>434</v>
      </c>
      <c r="E537" s="20"/>
      <c r="G537" s="17" t="s">
        <v>2</v>
      </c>
      <c r="H537" s="18">
        <f>SUM(H513:H536)</f>
        <v>5334</v>
      </c>
      <c r="I537" s="19">
        <f>SUM(H537:H537)</f>
        <v>5334</v>
      </c>
      <c r="J537" s="20"/>
    </row>
    <row r="538" spans="2:11" ht="14.25" thickBot="1" x14ac:dyDescent="0.2">
      <c r="B538" s="46" t="s">
        <v>3</v>
      </c>
      <c r="C538" s="52">
        <f>C512-C537</f>
        <v>340</v>
      </c>
      <c r="D538" s="48">
        <f>D512-D537</f>
        <v>340</v>
      </c>
      <c r="E538" s="49"/>
      <c r="G538" s="46" t="s">
        <v>3</v>
      </c>
      <c r="H538" s="52">
        <f>H512-H537</f>
        <v>803</v>
      </c>
      <c r="I538" s="48">
        <f>I512-I537</f>
        <v>803</v>
      </c>
      <c r="J538" s="49"/>
    </row>
    <row r="541" spans="2:11" ht="18.75" x14ac:dyDescent="0.2">
      <c r="B541" s="26" t="s">
        <v>7</v>
      </c>
      <c r="G541" s="26" t="s">
        <v>35</v>
      </c>
    </row>
    <row r="542" spans="2:11" ht="14.25" thickBot="1" x14ac:dyDescent="0.2"/>
    <row r="543" spans="2:11" ht="14.25" thickBot="1" x14ac:dyDescent="0.2">
      <c r="B543" s="1"/>
      <c r="C543" s="2"/>
      <c r="D543" s="3" t="s">
        <v>0</v>
      </c>
      <c r="E543" s="1" t="s">
        <v>4</v>
      </c>
      <c r="G543" s="1"/>
      <c r="H543" s="2"/>
      <c r="I543" s="3" t="s">
        <v>0</v>
      </c>
      <c r="J543" s="1" t="s">
        <v>4</v>
      </c>
    </row>
    <row r="544" spans="2:11" x14ac:dyDescent="0.15">
      <c r="B544" s="42" t="s">
        <v>5</v>
      </c>
      <c r="C544" s="43">
        <f>C538</f>
        <v>340</v>
      </c>
      <c r="D544" s="44">
        <f>SUM(C544:C544)</f>
        <v>340</v>
      </c>
      <c r="E544" s="45"/>
      <c r="G544" s="42" t="s">
        <v>5</v>
      </c>
      <c r="H544" s="43">
        <f>H538</f>
        <v>803</v>
      </c>
      <c r="I544" s="44">
        <f>SUM(H544:H544)</f>
        <v>803</v>
      </c>
      <c r="J544" s="45"/>
    </row>
    <row r="545" spans="2:10" x14ac:dyDescent="0.15">
      <c r="B545" s="6" t="s">
        <v>6</v>
      </c>
      <c r="C545" s="13">
        <v>336</v>
      </c>
      <c r="D545" s="14">
        <f>SUM(C545:C545)</f>
        <v>336</v>
      </c>
      <c r="E545" s="5">
        <v>41811</v>
      </c>
      <c r="G545" s="71" t="s">
        <v>6</v>
      </c>
      <c r="H545" s="13"/>
      <c r="I545" s="14">
        <f>SUM(H545:H545)</f>
        <v>0</v>
      </c>
      <c r="J545" s="5"/>
    </row>
    <row r="546" spans="2:10" x14ac:dyDescent="0.15">
      <c r="B546" s="6" t="s">
        <v>6</v>
      </c>
      <c r="C546" s="7">
        <v>336</v>
      </c>
      <c r="D546" s="8">
        <f>SUM(C546:C546)</f>
        <v>336</v>
      </c>
      <c r="E546" s="9">
        <v>41817</v>
      </c>
      <c r="G546" s="71" t="s">
        <v>6</v>
      </c>
      <c r="H546" s="72">
        <v>2016</v>
      </c>
      <c r="I546" s="73">
        <f>SUM(H546:H546)</f>
        <v>2016</v>
      </c>
      <c r="J546" s="74">
        <v>41821</v>
      </c>
    </row>
    <row r="547" spans="2:10" ht="14.25" thickBot="1" x14ac:dyDescent="0.2">
      <c r="B547" s="6" t="s">
        <v>6</v>
      </c>
      <c r="C547" s="7">
        <v>1</v>
      </c>
      <c r="D547" s="14">
        <f>SUM(C547:C547)</f>
        <v>1</v>
      </c>
      <c r="E547" s="16"/>
      <c r="G547" s="71" t="s">
        <v>6</v>
      </c>
      <c r="H547" s="91">
        <v>1008</v>
      </c>
      <c r="I547" s="14">
        <f>SUM(H547:H547)</f>
        <v>1008</v>
      </c>
      <c r="J547" s="16">
        <v>41830</v>
      </c>
    </row>
    <row r="548" spans="2:10" ht="14.25" thickBot="1" x14ac:dyDescent="0.2">
      <c r="B548" s="46" t="s">
        <v>1</v>
      </c>
      <c r="C548" s="48">
        <f>SUM(C544:C547)</f>
        <v>1013</v>
      </c>
      <c r="D548" s="48">
        <f>SUM(D544:D547)</f>
        <v>1013</v>
      </c>
      <c r="E548" s="49"/>
      <c r="G548" s="46" t="s">
        <v>1</v>
      </c>
      <c r="H548" s="47">
        <f>SUM(H544:H547)</f>
        <v>3827</v>
      </c>
      <c r="I548" s="48">
        <f>SUM(I544:I547)</f>
        <v>3827</v>
      </c>
      <c r="J548" s="49"/>
    </row>
    <row r="549" spans="2:10" x14ac:dyDescent="0.15">
      <c r="B549" s="10" t="s">
        <v>22</v>
      </c>
      <c r="C549" s="77">
        <v>2</v>
      </c>
      <c r="D549" s="11">
        <f t="shared" ref="D549:D573" si="28">SUM(C549:C549)</f>
        <v>2</v>
      </c>
      <c r="E549" s="12">
        <v>41806</v>
      </c>
      <c r="G549" s="15" t="s">
        <v>16</v>
      </c>
      <c r="H549" s="13">
        <v>336</v>
      </c>
      <c r="I549" s="11">
        <f t="shared" ref="I549:I573" si="29">SUM(H549:H549)</f>
        <v>336</v>
      </c>
      <c r="J549" s="12">
        <v>41823</v>
      </c>
    </row>
    <row r="550" spans="2:10" x14ac:dyDescent="0.15">
      <c r="B550" s="10" t="s">
        <v>18</v>
      </c>
      <c r="C550" s="13">
        <v>42</v>
      </c>
      <c r="D550" s="14">
        <f t="shared" si="28"/>
        <v>42</v>
      </c>
      <c r="E550" s="12">
        <v>41809</v>
      </c>
      <c r="G550" s="15" t="s">
        <v>174</v>
      </c>
      <c r="H550" s="13">
        <v>500</v>
      </c>
      <c r="I550" s="14">
        <f t="shared" si="29"/>
        <v>500</v>
      </c>
      <c r="J550" s="12">
        <v>41824</v>
      </c>
    </row>
    <row r="551" spans="2:10" x14ac:dyDescent="0.15">
      <c r="B551" s="15" t="s">
        <v>154</v>
      </c>
      <c r="C551" s="13">
        <v>100</v>
      </c>
      <c r="D551" s="14">
        <f t="shared" si="28"/>
        <v>100</v>
      </c>
      <c r="E551" s="12">
        <v>41810</v>
      </c>
      <c r="G551" s="15" t="s">
        <v>177</v>
      </c>
      <c r="H551" s="13">
        <v>336</v>
      </c>
      <c r="I551" s="14">
        <f t="shared" si="29"/>
        <v>336</v>
      </c>
      <c r="J551" s="12">
        <v>41824</v>
      </c>
    </row>
    <row r="552" spans="2:10" x14ac:dyDescent="0.15">
      <c r="B552" s="10" t="s">
        <v>83</v>
      </c>
      <c r="C552" s="13">
        <v>10</v>
      </c>
      <c r="D552" s="14">
        <f t="shared" si="28"/>
        <v>10</v>
      </c>
      <c r="E552" s="12">
        <v>41813</v>
      </c>
      <c r="G552" s="78" t="s">
        <v>114</v>
      </c>
      <c r="H552" s="13">
        <v>150</v>
      </c>
      <c r="I552" s="14">
        <f t="shared" si="29"/>
        <v>150</v>
      </c>
      <c r="J552" s="12">
        <v>41829</v>
      </c>
    </row>
    <row r="553" spans="2:10" x14ac:dyDescent="0.15">
      <c r="B553" s="10" t="s">
        <v>18</v>
      </c>
      <c r="C553" s="13">
        <v>52</v>
      </c>
      <c r="D553" s="14">
        <f t="shared" si="28"/>
        <v>52</v>
      </c>
      <c r="E553" s="12">
        <v>41811</v>
      </c>
      <c r="G553" s="15" t="s">
        <v>192</v>
      </c>
      <c r="H553" s="13">
        <v>300</v>
      </c>
      <c r="I553" s="14">
        <f t="shared" si="29"/>
        <v>300</v>
      </c>
      <c r="J553" s="12">
        <v>41832</v>
      </c>
    </row>
    <row r="554" spans="2:10" x14ac:dyDescent="0.15">
      <c r="B554" s="15" t="s">
        <v>158</v>
      </c>
      <c r="C554" s="13">
        <v>100</v>
      </c>
      <c r="D554" s="14">
        <f t="shared" si="28"/>
        <v>100</v>
      </c>
      <c r="E554" s="12">
        <v>41814</v>
      </c>
      <c r="G554" s="78" t="s">
        <v>101</v>
      </c>
      <c r="H554" s="13">
        <v>100</v>
      </c>
      <c r="I554" s="14">
        <f t="shared" si="29"/>
        <v>100</v>
      </c>
      <c r="J554" s="12">
        <v>41831</v>
      </c>
    </row>
    <row r="555" spans="2:10" x14ac:dyDescent="0.15">
      <c r="B555" s="10" t="s">
        <v>57</v>
      </c>
      <c r="C555" s="13">
        <v>5</v>
      </c>
      <c r="D555" s="14">
        <f t="shared" si="28"/>
        <v>5</v>
      </c>
      <c r="E555" s="12">
        <v>41815</v>
      </c>
      <c r="G555" s="15" t="s">
        <v>12</v>
      </c>
      <c r="H555" s="13">
        <v>336</v>
      </c>
      <c r="I555" s="14">
        <f t="shared" si="29"/>
        <v>336</v>
      </c>
      <c r="J555" s="12">
        <v>41837</v>
      </c>
    </row>
    <row r="556" spans="2:10" x14ac:dyDescent="0.15">
      <c r="B556" s="10" t="s">
        <v>22</v>
      </c>
      <c r="C556" s="13">
        <v>2</v>
      </c>
      <c r="D556" s="14">
        <f t="shared" si="28"/>
        <v>2</v>
      </c>
      <c r="E556" s="12">
        <v>41810</v>
      </c>
      <c r="G556" s="78" t="s">
        <v>101</v>
      </c>
      <c r="H556" s="13">
        <v>200</v>
      </c>
      <c r="I556" s="14">
        <f t="shared" si="29"/>
        <v>200</v>
      </c>
      <c r="J556" s="12">
        <v>41838</v>
      </c>
    </row>
    <row r="557" spans="2:10" x14ac:dyDescent="0.15">
      <c r="B557" s="10" t="s">
        <v>159</v>
      </c>
      <c r="C557" s="13">
        <v>1</v>
      </c>
      <c r="D557" s="14">
        <f t="shared" si="28"/>
        <v>1</v>
      </c>
      <c r="E557" s="12">
        <v>41811</v>
      </c>
      <c r="G557" s="10"/>
      <c r="H557" s="13"/>
      <c r="I557" s="14">
        <f t="shared" si="29"/>
        <v>0</v>
      </c>
      <c r="J557" s="12"/>
    </row>
    <row r="558" spans="2:10" x14ac:dyDescent="0.15">
      <c r="B558" s="10" t="s">
        <v>18</v>
      </c>
      <c r="C558" s="13">
        <v>28</v>
      </c>
      <c r="D558" s="14">
        <f t="shared" si="28"/>
        <v>28</v>
      </c>
      <c r="E558" s="12">
        <v>41814</v>
      </c>
      <c r="G558" s="78"/>
      <c r="H558" s="13"/>
      <c r="I558" s="14">
        <f t="shared" si="29"/>
        <v>0</v>
      </c>
      <c r="J558" s="12"/>
    </row>
    <row r="559" spans="2:10" x14ac:dyDescent="0.15">
      <c r="B559" s="15" t="s">
        <v>160</v>
      </c>
      <c r="C559" s="13">
        <v>200</v>
      </c>
      <c r="D559" s="14">
        <f t="shared" si="28"/>
        <v>200</v>
      </c>
      <c r="E559" s="12">
        <v>41817</v>
      </c>
      <c r="G559" s="10"/>
      <c r="H559" s="22"/>
      <c r="I559" s="23">
        <f t="shared" si="29"/>
        <v>0</v>
      </c>
      <c r="J559" s="24"/>
    </row>
    <row r="560" spans="2:10" x14ac:dyDescent="0.15">
      <c r="B560" s="10" t="s">
        <v>22</v>
      </c>
      <c r="C560" s="13">
        <v>4</v>
      </c>
      <c r="D560" s="14">
        <f t="shared" si="28"/>
        <v>4</v>
      </c>
      <c r="E560" s="12">
        <v>41813</v>
      </c>
      <c r="G560" s="27"/>
      <c r="H560" s="22"/>
      <c r="I560" s="23">
        <f t="shared" si="29"/>
        <v>0</v>
      </c>
      <c r="J560" s="24"/>
    </row>
    <row r="561" spans="2:10" x14ac:dyDescent="0.15">
      <c r="B561" s="10" t="s">
        <v>22</v>
      </c>
      <c r="C561" s="13">
        <v>1</v>
      </c>
      <c r="D561" s="14">
        <f t="shared" si="28"/>
        <v>1</v>
      </c>
      <c r="E561" s="12">
        <v>41814</v>
      </c>
      <c r="G561" s="15"/>
      <c r="H561" s="13"/>
      <c r="I561" s="14">
        <f t="shared" si="29"/>
        <v>0</v>
      </c>
      <c r="J561" s="12"/>
    </row>
    <row r="562" spans="2:10" x14ac:dyDescent="0.15">
      <c r="B562" s="10" t="s">
        <v>57</v>
      </c>
      <c r="C562" s="13">
        <v>5</v>
      </c>
      <c r="D562" s="14">
        <f t="shared" si="28"/>
        <v>5</v>
      </c>
      <c r="E562" s="12">
        <v>41820</v>
      </c>
      <c r="G562" s="10"/>
      <c r="H562" s="13"/>
      <c r="I562" s="14">
        <f t="shared" si="29"/>
        <v>0</v>
      </c>
      <c r="J562" s="12"/>
    </row>
    <row r="563" spans="2:10" x14ac:dyDescent="0.15">
      <c r="B563" s="10" t="s">
        <v>18</v>
      </c>
      <c r="C563" s="13">
        <v>36</v>
      </c>
      <c r="D563" s="14">
        <f t="shared" si="28"/>
        <v>36</v>
      </c>
      <c r="E563" s="12">
        <v>41816</v>
      </c>
      <c r="G563" s="15"/>
      <c r="H563" s="13"/>
      <c r="I563" s="14">
        <f t="shared" si="29"/>
        <v>0</v>
      </c>
      <c r="J563" s="12"/>
    </row>
    <row r="564" spans="2:10" x14ac:dyDescent="0.15">
      <c r="B564" s="10" t="s">
        <v>22</v>
      </c>
      <c r="C564" s="13">
        <v>1</v>
      </c>
      <c r="D564" s="14">
        <f t="shared" si="28"/>
        <v>1</v>
      </c>
      <c r="E564" s="12">
        <v>41815</v>
      </c>
      <c r="G564" s="21"/>
      <c r="H564" s="22"/>
      <c r="I564" s="23">
        <f t="shared" si="29"/>
        <v>0</v>
      </c>
      <c r="J564" s="24"/>
    </row>
    <row r="565" spans="2:10" x14ac:dyDescent="0.15">
      <c r="B565" s="10" t="s">
        <v>166</v>
      </c>
      <c r="C565" s="13">
        <v>10</v>
      </c>
      <c r="D565" s="14">
        <f t="shared" si="28"/>
        <v>10</v>
      </c>
      <c r="E565" s="12">
        <v>41817</v>
      </c>
      <c r="G565" s="27"/>
      <c r="H565" s="22"/>
      <c r="I565" s="23">
        <f t="shared" si="29"/>
        <v>0</v>
      </c>
      <c r="J565" s="24"/>
    </row>
    <row r="566" spans="2:10" x14ac:dyDescent="0.15">
      <c r="B566" s="10" t="s">
        <v>22</v>
      </c>
      <c r="C566" s="13">
        <v>6</v>
      </c>
      <c r="D566" s="14">
        <f t="shared" si="28"/>
        <v>6</v>
      </c>
      <c r="E566" s="12">
        <v>41816</v>
      </c>
      <c r="G566" s="15"/>
      <c r="H566" s="13"/>
      <c r="I566" s="14">
        <f t="shared" si="29"/>
        <v>0</v>
      </c>
      <c r="J566" s="5"/>
    </row>
    <row r="567" spans="2:10" x14ac:dyDescent="0.15">
      <c r="B567" s="10" t="s">
        <v>18</v>
      </c>
      <c r="C567" s="13">
        <v>44</v>
      </c>
      <c r="D567" s="14">
        <f t="shared" si="28"/>
        <v>44</v>
      </c>
      <c r="E567" s="12">
        <v>41818</v>
      </c>
      <c r="G567" s="15"/>
      <c r="H567" s="13"/>
      <c r="I567" s="14">
        <f t="shared" si="29"/>
        <v>0</v>
      </c>
      <c r="J567" s="5"/>
    </row>
    <row r="568" spans="2:10" x14ac:dyDescent="0.15">
      <c r="B568" s="10" t="s">
        <v>22</v>
      </c>
      <c r="C568" s="13">
        <v>3</v>
      </c>
      <c r="D568" s="14">
        <f t="shared" si="28"/>
        <v>3</v>
      </c>
      <c r="E568" s="5">
        <v>41817</v>
      </c>
      <c r="G568" s="15"/>
      <c r="H568" s="13"/>
      <c r="I568" s="14">
        <f t="shared" si="29"/>
        <v>0</v>
      </c>
      <c r="J568" s="5"/>
    </row>
    <row r="569" spans="2:10" x14ac:dyDescent="0.15">
      <c r="B569" s="10" t="s">
        <v>22</v>
      </c>
      <c r="C569" s="13">
        <v>1</v>
      </c>
      <c r="D569" s="14">
        <f t="shared" si="28"/>
        <v>1</v>
      </c>
      <c r="E569" s="5">
        <v>41818</v>
      </c>
      <c r="G569" s="78"/>
      <c r="H569" s="13"/>
      <c r="I569" s="14">
        <f t="shared" si="29"/>
        <v>0</v>
      </c>
      <c r="J569" s="5"/>
    </row>
    <row r="570" spans="2:10" x14ac:dyDescent="0.15">
      <c r="B570" s="15" t="s">
        <v>169</v>
      </c>
      <c r="C570" s="13">
        <v>200</v>
      </c>
      <c r="D570" s="14">
        <f t="shared" si="28"/>
        <v>200</v>
      </c>
      <c r="E570" s="5">
        <v>41822</v>
      </c>
      <c r="G570" s="15"/>
      <c r="H570" s="13"/>
      <c r="I570" s="14">
        <f t="shared" si="29"/>
        <v>0</v>
      </c>
      <c r="J570" s="5"/>
    </row>
    <row r="571" spans="2:10" x14ac:dyDescent="0.15">
      <c r="B571" s="10" t="s">
        <v>22</v>
      </c>
      <c r="C571" s="13">
        <v>3</v>
      </c>
      <c r="D571" s="14">
        <f t="shared" si="28"/>
        <v>3</v>
      </c>
      <c r="E571" s="5">
        <v>41820</v>
      </c>
      <c r="G571" s="81"/>
      <c r="H571" s="7"/>
      <c r="I571" s="14">
        <f t="shared" si="29"/>
        <v>0</v>
      </c>
      <c r="J571" s="5"/>
    </row>
    <row r="572" spans="2:10" ht="14.25" thickBot="1" x14ac:dyDescent="0.2">
      <c r="B572" s="15" t="s">
        <v>39</v>
      </c>
      <c r="C572" s="13">
        <v>10</v>
      </c>
      <c r="D572" s="11">
        <f t="shared" si="28"/>
        <v>10</v>
      </c>
      <c r="E572" s="12">
        <v>41823</v>
      </c>
      <c r="G572" s="15"/>
      <c r="H572" s="7"/>
      <c r="I572" s="14">
        <f t="shared" si="29"/>
        <v>0</v>
      </c>
      <c r="J572" s="85"/>
    </row>
    <row r="573" spans="2:10" ht="14.25" thickBot="1" x14ac:dyDescent="0.2">
      <c r="B573" s="17" t="s">
        <v>2</v>
      </c>
      <c r="C573" s="18">
        <f>SUM(C549:C572)</f>
        <v>866</v>
      </c>
      <c r="D573" s="19">
        <f t="shared" si="28"/>
        <v>866</v>
      </c>
      <c r="E573" s="20"/>
      <c r="G573" s="17" t="s">
        <v>2</v>
      </c>
      <c r="H573" s="18">
        <f>SUM(H549:H572)</f>
        <v>2258</v>
      </c>
      <c r="I573" s="19">
        <f t="shared" si="29"/>
        <v>2258</v>
      </c>
      <c r="J573" s="20"/>
    </row>
    <row r="574" spans="2:10" ht="14.25" thickBot="1" x14ac:dyDescent="0.2">
      <c r="B574" s="46" t="s">
        <v>3</v>
      </c>
      <c r="C574" s="52">
        <f>C548-C573</f>
        <v>147</v>
      </c>
      <c r="D574" s="48">
        <f>D548-D573</f>
        <v>147</v>
      </c>
      <c r="E574" s="49"/>
      <c r="G574" s="46" t="s">
        <v>3</v>
      </c>
      <c r="H574" s="52">
        <f>H548-H573</f>
        <v>1569</v>
      </c>
      <c r="I574" s="48">
        <f>I548-I573</f>
        <v>1569</v>
      </c>
      <c r="J574" s="49"/>
    </row>
    <row r="577" spans="2:10" ht="18.75" x14ac:dyDescent="0.2">
      <c r="B577" s="26" t="s">
        <v>7</v>
      </c>
      <c r="G577" s="26" t="s">
        <v>35</v>
      </c>
    </row>
    <row r="578" spans="2:10" ht="14.25" thickBot="1" x14ac:dyDescent="0.2"/>
    <row r="579" spans="2:10" ht="14.25" thickBot="1" x14ac:dyDescent="0.2">
      <c r="B579" s="1"/>
      <c r="C579" s="2"/>
      <c r="D579" s="3" t="s">
        <v>0</v>
      </c>
      <c r="E579" s="1" t="s">
        <v>4</v>
      </c>
      <c r="G579" s="1"/>
      <c r="H579" s="2"/>
      <c r="I579" s="3" t="s">
        <v>0</v>
      </c>
      <c r="J579" s="1" t="s">
        <v>4</v>
      </c>
    </row>
    <row r="580" spans="2:10" x14ac:dyDescent="0.15">
      <c r="B580" s="42" t="s">
        <v>5</v>
      </c>
      <c r="C580" s="43">
        <f>C574</f>
        <v>147</v>
      </c>
      <c r="D580" s="44">
        <f>SUM(C580:C580)</f>
        <v>147</v>
      </c>
      <c r="E580" s="45"/>
      <c r="G580" s="42" t="s">
        <v>5</v>
      </c>
      <c r="H580" s="43">
        <f>H574</f>
        <v>1569</v>
      </c>
      <c r="I580" s="44">
        <f>SUM(H580:H580)</f>
        <v>1569</v>
      </c>
      <c r="J580" s="45"/>
    </row>
    <row r="581" spans="2:10" x14ac:dyDescent="0.15">
      <c r="B581" s="6" t="s">
        <v>6</v>
      </c>
      <c r="C581" s="13">
        <v>336</v>
      </c>
      <c r="D581" s="14">
        <f>SUM(C581:C581)</f>
        <v>336</v>
      </c>
      <c r="E581" s="5">
        <v>41823</v>
      </c>
      <c r="G581" s="71" t="s">
        <v>6</v>
      </c>
      <c r="H581" s="13"/>
      <c r="I581" s="14">
        <f>SUM(H581:H581)</f>
        <v>0</v>
      </c>
      <c r="J581" s="5"/>
    </row>
    <row r="582" spans="2:10" x14ac:dyDescent="0.15">
      <c r="B582" s="6" t="s">
        <v>6</v>
      </c>
      <c r="C582" s="7">
        <v>336</v>
      </c>
      <c r="D582" s="8">
        <f>SUM(C582:C582)</f>
        <v>336</v>
      </c>
      <c r="E582" s="9">
        <v>41824</v>
      </c>
      <c r="G582" s="71" t="s">
        <v>6</v>
      </c>
      <c r="H582" s="67"/>
      <c r="I582" s="14">
        <f>SUM(H582:H582)</f>
        <v>0</v>
      </c>
      <c r="J582" s="5"/>
    </row>
    <row r="583" spans="2:10" ht="14.25" thickBot="1" x14ac:dyDescent="0.2">
      <c r="B583" s="6" t="s">
        <v>6</v>
      </c>
      <c r="C583" s="7">
        <v>336</v>
      </c>
      <c r="D583" s="14">
        <f>SUM(C583:C583)</f>
        <v>336</v>
      </c>
      <c r="E583" s="16">
        <v>41837</v>
      </c>
      <c r="G583" s="6" t="s">
        <v>6</v>
      </c>
      <c r="H583" s="88"/>
      <c r="I583" s="11">
        <f>SUM(H583:H583)</f>
        <v>0</v>
      </c>
      <c r="J583" s="85"/>
    </row>
    <row r="584" spans="2:10" ht="14.25" thickBot="1" x14ac:dyDescent="0.2">
      <c r="B584" s="46" t="s">
        <v>1</v>
      </c>
      <c r="C584" s="48">
        <f>SUM(C580:C583)</f>
        <v>1155</v>
      </c>
      <c r="D584" s="48">
        <f>SUM(D580:D583)</f>
        <v>1155</v>
      </c>
      <c r="E584" s="49"/>
      <c r="G584" s="46" t="s">
        <v>1</v>
      </c>
      <c r="H584" s="47">
        <f>SUM(H580:H583)</f>
        <v>1569</v>
      </c>
      <c r="I584" s="48">
        <f>SUM(I580:I583)</f>
        <v>1569</v>
      </c>
      <c r="J584" s="49"/>
    </row>
    <row r="585" spans="2:10" x14ac:dyDescent="0.15">
      <c r="B585" s="10" t="s">
        <v>22</v>
      </c>
      <c r="C585" s="77">
        <v>1</v>
      </c>
      <c r="D585" s="11">
        <f t="shared" ref="D585:D609" si="30">SUM(C585:C585)</f>
        <v>1</v>
      </c>
      <c r="E585" s="12">
        <v>41821</v>
      </c>
      <c r="G585" s="10" t="s">
        <v>12</v>
      </c>
      <c r="H585" s="13">
        <v>336</v>
      </c>
      <c r="I585" s="11">
        <f t="shared" ref="I585:I609" si="31">SUM(H585:H585)</f>
        <v>336</v>
      </c>
      <c r="J585" s="12">
        <v>41844</v>
      </c>
    </row>
    <row r="586" spans="2:10" x14ac:dyDescent="0.15">
      <c r="B586" s="10" t="s">
        <v>18</v>
      </c>
      <c r="C586" s="13">
        <v>40</v>
      </c>
      <c r="D586" s="14">
        <f t="shared" si="30"/>
        <v>40</v>
      </c>
      <c r="E586" s="12">
        <v>41823</v>
      </c>
      <c r="G586" s="15" t="s">
        <v>191</v>
      </c>
      <c r="H586" s="13">
        <v>300</v>
      </c>
      <c r="I586" s="14">
        <f t="shared" si="31"/>
        <v>300</v>
      </c>
      <c r="J586" s="12">
        <v>41844</v>
      </c>
    </row>
    <row r="587" spans="2:10" x14ac:dyDescent="0.15">
      <c r="B587" s="15" t="s">
        <v>173</v>
      </c>
      <c r="C587" s="13">
        <v>100</v>
      </c>
      <c r="D587" s="14">
        <f t="shared" si="30"/>
        <v>100</v>
      </c>
      <c r="E587" s="12">
        <v>41824</v>
      </c>
      <c r="G587" s="15" t="s">
        <v>193</v>
      </c>
      <c r="H587" s="13">
        <v>300</v>
      </c>
      <c r="I587" s="14">
        <f t="shared" si="31"/>
        <v>300</v>
      </c>
      <c r="J587" s="12">
        <v>41845</v>
      </c>
    </row>
    <row r="588" spans="2:10" x14ac:dyDescent="0.15">
      <c r="B588" s="10" t="s">
        <v>22</v>
      </c>
      <c r="C588" s="13">
        <v>2</v>
      </c>
      <c r="D588" s="14">
        <f t="shared" si="30"/>
        <v>2</v>
      </c>
      <c r="E588" s="12">
        <v>41822</v>
      </c>
      <c r="G588" s="78"/>
      <c r="H588" s="13"/>
      <c r="I588" s="14">
        <f t="shared" si="31"/>
        <v>0</v>
      </c>
      <c r="J588" s="12"/>
    </row>
    <row r="589" spans="2:10" x14ac:dyDescent="0.15">
      <c r="B589" s="10" t="s">
        <v>176</v>
      </c>
      <c r="C589" s="13">
        <v>400</v>
      </c>
      <c r="D589" s="14">
        <f t="shared" si="30"/>
        <v>400</v>
      </c>
      <c r="E589" s="12">
        <v>41825</v>
      </c>
      <c r="G589" s="78"/>
      <c r="H589" s="13"/>
      <c r="I589" s="14">
        <f t="shared" si="31"/>
        <v>0</v>
      </c>
      <c r="J589" s="12"/>
    </row>
    <row r="590" spans="2:10" x14ac:dyDescent="0.15">
      <c r="B590" s="10" t="s">
        <v>22</v>
      </c>
      <c r="C590" s="13">
        <v>3</v>
      </c>
      <c r="D590" s="14">
        <f t="shared" si="30"/>
        <v>3</v>
      </c>
      <c r="E590" s="12">
        <v>41823</v>
      </c>
      <c r="G590" s="78"/>
      <c r="H590" s="13"/>
      <c r="I590" s="14">
        <f t="shared" si="31"/>
        <v>0</v>
      </c>
      <c r="J590" s="12"/>
    </row>
    <row r="591" spans="2:10" x14ac:dyDescent="0.15">
      <c r="B591" s="10" t="s">
        <v>22</v>
      </c>
      <c r="C591" s="13">
        <v>1</v>
      </c>
      <c r="D591" s="14">
        <f t="shared" si="30"/>
        <v>1</v>
      </c>
      <c r="E591" s="12">
        <v>41824</v>
      </c>
      <c r="G591" s="78"/>
      <c r="H591" s="13"/>
      <c r="I591" s="14">
        <f t="shared" si="31"/>
        <v>0</v>
      </c>
      <c r="J591" s="12"/>
    </row>
    <row r="592" spans="2:10" x14ac:dyDescent="0.15">
      <c r="B592" s="10" t="s">
        <v>18</v>
      </c>
      <c r="C592" s="13">
        <v>49</v>
      </c>
      <c r="D592" s="14">
        <f t="shared" si="30"/>
        <v>49</v>
      </c>
      <c r="E592" s="12">
        <v>41827</v>
      </c>
      <c r="G592" s="78"/>
      <c r="H592" s="13"/>
      <c r="I592" s="14">
        <f t="shared" si="31"/>
        <v>0</v>
      </c>
      <c r="J592" s="12"/>
    </row>
    <row r="593" spans="2:11" x14ac:dyDescent="0.15">
      <c r="B593" s="10" t="s">
        <v>22</v>
      </c>
      <c r="C593" s="13">
        <v>2</v>
      </c>
      <c r="D593" s="14">
        <f t="shared" si="30"/>
        <v>2</v>
      </c>
      <c r="E593" s="12">
        <v>41825</v>
      </c>
      <c r="G593" s="10"/>
      <c r="H593" s="13"/>
      <c r="I593" s="14">
        <f t="shared" si="31"/>
        <v>0</v>
      </c>
      <c r="J593" s="12"/>
    </row>
    <row r="594" spans="2:11" x14ac:dyDescent="0.15">
      <c r="B594" s="10" t="s">
        <v>10</v>
      </c>
      <c r="C594" s="13">
        <v>30</v>
      </c>
      <c r="D594" s="14">
        <f t="shared" si="30"/>
        <v>30</v>
      </c>
      <c r="E594" s="12">
        <v>41831</v>
      </c>
      <c r="G594" s="78"/>
      <c r="H594" s="13"/>
      <c r="I594" s="14">
        <f t="shared" si="31"/>
        <v>0</v>
      </c>
      <c r="J594" s="12"/>
    </row>
    <row r="595" spans="2:11" x14ac:dyDescent="0.15">
      <c r="B595" s="10" t="s">
        <v>22</v>
      </c>
      <c r="C595" s="13">
        <v>2</v>
      </c>
      <c r="D595" s="14">
        <f t="shared" si="30"/>
        <v>2</v>
      </c>
      <c r="E595" s="12">
        <v>41827</v>
      </c>
      <c r="G595" s="10"/>
      <c r="H595" s="22"/>
      <c r="I595" s="23">
        <f t="shared" si="31"/>
        <v>0</v>
      </c>
      <c r="J595" s="24"/>
    </row>
    <row r="596" spans="2:11" x14ac:dyDescent="0.15">
      <c r="B596" s="10" t="s">
        <v>22</v>
      </c>
      <c r="C596" s="13">
        <v>1</v>
      </c>
      <c r="D596" s="14">
        <f t="shared" si="30"/>
        <v>1</v>
      </c>
      <c r="E596" s="12">
        <v>41829</v>
      </c>
      <c r="G596" s="27"/>
      <c r="H596" s="22"/>
      <c r="I596" s="23">
        <f t="shared" si="31"/>
        <v>0</v>
      </c>
      <c r="J596" s="24"/>
    </row>
    <row r="597" spans="2:11" x14ac:dyDescent="0.15">
      <c r="B597" s="10" t="s">
        <v>57</v>
      </c>
      <c r="C597" s="13">
        <v>20</v>
      </c>
      <c r="D597" s="14">
        <f t="shared" si="30"/>
        <v>20</v>
      </c>
      <c r="E597" s="12">
        <v>41831</v>
      </c>
      <c r="G597" s="15"/>
      <c r="H597" s="13"/>
      <c r="I597" s="14">
        <f t="shared" si="31"/>
        <v>0</v>
      </c>
      <c r="J597" s="12"/>
    </row>
    <row r="598" spans="2:11" x14ac:dyDescent="0.15">
      <c r="B598" s="10" t="s">
        <v>18</v>
      </c>
      <c r="C598" s="13">
        <v>30</v>
      </c>
      <c r="D598" s="14">
        <f t="shared" si="30"/>
        <v>30</v>
      </c>
      <c r="E598" s="12">
        <v>41831</v>
      </c>
      <c r="G598" s="10"/>
      <c r="H598" s="13"/>
      <c r="I598" s="14">
        <f t="shared" si="31"/>
        <v>0</v>
      </c>
      <c r="J598" s="12"/>
    </row>
    <row r="599" spans="2:11" x14ac:dyDescent="0.15">
      <c r="B599" s="10" t="s">
        <v>22</v>
      </c>
      <c r="C599" s="13">
        <v>2</v>
      </c>
      <c r="D599" s="14">
        <f t="shared" si="30"/>
        <v>2</v>
      </c>
      <c r="E599" s="12">
        <v>41830</v>
      </c>
      <c r="G599" s="15"/>
      <c r="H599" s="13"/>
      <c r="I599" s="14">
        <f t="shared" si="31"/>
        <v>0</v>
      </c>
      <c r="J599" s="12"/>
    </row>
    <row r="600" spans="2:11" x14ac:dyDescent="0.15">
      <c r="B600" s="10" t="s">
        <v>18</v>
      </c>
      <c r="C600" s="13">
        <v>43</v>
      </c>
      <c r="D600" s="14">
        <f t="shared" si="30"/>
        <v>43</v>
      </c>
      <c r="E600" s="12">
        <v>41835</v>
      </c>
      <c r="G600" s="21"/>
      <c r="H600" s="22"/>
      <c r="I600" s="23">
        <f t="shared" si="31"/>
        <v>0</v>
      </c>
      <c r="J600" s="24"/>
    </row>
    <row r="601" spans="2:11" x14ac:dyDescent="0.15">
      <c r="B601" s="10" t="s">
        <v>22</v>
      </c>
      <c r="C601" s="13">
        <v>7</v>
      </c>
      <c r="D601" s="14">
        <f t="shared" si="30"/>
        <v>7</v>
      </c>
      <c r="E601" s="12">
        <v>41834</v>
      </c>
      <c r="G601" s="27"/>
      <c r="H601" s="22"/>
      <c r="I601" s="23">
        <f t="shared" si="31"/>
        <v>0</v>
      </c>
      <c r="J601" s="24"/>
    </row>
    <row r="602" spans="2:11" x14ac:dyDescent="0.15">
      <c r="B602" s="10" t="s">
        <v>22</v>
      </c>
      <c r="C602" s="13">
        <v>4</v>
      </c>
      <c r="D602" s="14">
        <f t="shared" si="30"/>
        <v>4</v>
      </c>
      <c r="E602" s="12">
        <v>41835</v>
      </c>
      <c r="G602" s="15"/>
      <c r="H602" s="13"/>
      <c r="I602" s="14">
        <f t="shared" si="31"/>
        <v>0</v>
      </c>
      <c r="J602" s="5"/>
    </row>
    <row r="603" spans="2:11" x14ac:dyDescent="0.15">
      <c r="B603" s="10" t="s">
        <v>22</v>
      </c>
      <c r="C603" s="13">
        <v>3</v>
      </c>
      <c r="D603" s="14">
        <f t="shared" si="30"/>
        <v>3</v>
      </c>
      <c r="E603" s="12">
        <v>41836</v>
      </c>
      <c r="G603" s="15"/>
      <c r="H603" s="13"/>
      <c r="I603" s="14">
        <f t="shared" si="31"/>
        <v>0</v>
      </c>
      <c r="J603" s="5"/>
    </row>
    <row r="604" spans="2:11" x14ac:dyDescent="0.15">
      <c r="B604" s="10" t="s">
        <v>18</v>
      </c>
      <c r="C604" s="13">
        <v>153</v>
      </c>
      <c r="D604" s="14">
        <f t="shared" si="30"/>
        <v>153</v>
      </c>
      <c r="E604" s="5">
        <v>41838</v>
      </c>
      <c r="G604" s="75"/>
      <c r="H604" s="13"/>
      <c r="I604" s="14">
        <f t="shared" si="31"/>
        <v>0</v>
      </c>
      <c r="J604" s="5"/>
    </row>
    <row r="605" spans="2:11" x14ac:dyDescent="0.15">
      <c r="B605" s="10" t="s">
        <v>18</v>
      </c>
      <c r="C605" s="13">
        <v>70</v>
      </c>
      <c r="D605" s="14">
        <f t="shared" si="30"/>
        <v>70</v>
      </c>
      <c r="E605" s="5">
        <v>41841</v>
      </c>
      <c r="G605" s="78"/>
      <c r="H605" s="13"/>
      <c r="I605" s="14">
        <f t="shared" si="31"/>
        <v>0</v>
      </c>
      <c r="J605" s="5"/>
    </row>
    <row r="606" spans="2:11" x14ac:dyDescent="0.15">
      <c r="B606" s="10" t="s">
        <v>22</v>
      </c>
      <c r="C606" s="13">
        <v>1</v>
      </c>
      <c r="D606" s="14">
        <f t="shared" si="30"/>
        <v>1</v>
      </c>
      <c r="E606" s="5">
        <v>41838</v>
      </c>
      <c r="G606" s="15"/>
      <c r="H606" s="13"/>
      <c r="I606" s="14">
        <f t="shared" si="31"/>
        <v>0</v>
      </c>
      <c r="J606" s="5"/>
    </row>
    <row r="607" spans="2:11" x14ac:dyDescent="0.15">
      <c r="B607" s="10" t="s">
        <v>22</v>
      </c>
      <c r="C607" s="13">
        <v>3</v>
      </c>
      <c r="D607" s="14">
        <f t="shared" si="30"/>
        <v>3</v>
      </c>
      <c r="E607" s="5">
        <v>41839</v>
      </c>
      <c r="G607" s="81"/>
      <c r="H607" s="7"/>
      <c r="I607" s="14">
        <f t="shared" si="31"/>
        <v>0</v>
      </c>
      <c r="J607" s="5"/>
    </row>
    <row r="608" spans="2:11" ht="14.25" thickBot="1" x14ac:dyDescent="0.2">
      <c r="B608" s="15" t="s">
        <v>76</v>
      </c>
      <c r="C608" s="13">
        <v>-3</v>
      </c>
      <c r="D608" s="11">
        <f t="shared" si="30"/>
        <v>-3</v>
      </c>
      <c r="E608" s="12">
        <v>41842</v>
      </c>
      <c r="G608" s="15"/>
      <c r="H608" s="7"/>
      <c r="I608" s="14">
        <f t="shared" si="31"/>
        <v>0</v>
      </c>
      <c r="J608" s="85"/>
      <c r="K608" s="84"/>
    </row>
    <row r="609" spans="2:10" ht="14.25" thickBot="1" x14ac:dyDescent="0.2">
      <c r="B609" s="17" t="s">
        <v>2</v>
      </c>
      <c r="C609" s="18">
        <f>SUM(C585:C608)</f>
        <v>964</v>
      </c>
      <c r="D609" s="19">
        <f t="shared" si="30"/>
        <v>964</v>
      </c>
      <c r="E609" s="20"/>
      <c r="G609" s="17" t="s">
        <v>2</v>
      </c>
      <c r="H609" s="18">
        <f>SUM(H585:H608)</f>
        <v>936</v>
      </c>
      <c r="I609" s="19">
        <f t="shared" si="31"/>
        <v>936</v>
      </c>
      <c r="J609" s="20"/>
    </row>
    <row r="610" spans="2:10" ht="14.25" thickBot="1" x14ac:dyDescent="0.2">
      <c r="B610" s="46" t="s">
        <v>3</v>
      </c>
      <c r="C610" s="52">
        <f>C584-C609</f>
        <v>191</v>
      </c>
      <c r="D610" s="48">
        <f>D584-D609</f>
        <v>191</v>
      </c>
      <c r="E610" s="49"/>
      <c r="G610" s="46" t="s">
        <v>3</v>
      </c>
      <c r="H610" s="52">
        <f>H584-H609</f>
        <v>633</v>
      </c>
      <c r="I610" s="48">
        <f>I584-I609</f>
        <v>633</v>
      </c>
      <c r="J610" s="49"/>
    </row>
    <row r="613" spans="2:10" ht="18.75" x14ac:dyDescent="0.2">
      <c r="B613" s="26" t="s">
        <v>7</v>
      </c>
      <c r="G613" s="26" t="s">
        <v>35</v>
      </c>
    </row>
    <row r="614" spans="2:10" ht="14.25" thickBot="1" x14ac:dyDescent="0.2"/>
    <row r="615" spans="2:10" ht="14.25" thickBot="1" x14ac:dyDescent="0.2">
      <c r="B615" s="1"/>
      <c r="C615" s="2"/>
      <c r="D615" s="3" t="s">
        <v>0</v>
      </c>
      <c r="E615" s="1" t="s">
        <v>4</v>
      </c>
      <c r="G615" s="1"/>
      <c r="H615" s="2"/>
      <c r="I615" s="3" t="s">
        <v>0</v>
      </c>
      <c r="J615" s="1" t="s">
        <v>4</v>
      </c>
    </row>
    <row r="616" spans="2:10" x14ac:dyDescent="0.15">
      <c r="B616" s="42" t="s">
        <v>5</v>
      </c>
      <c r="C616" s="43">
        <f>C610</f>
        <v>191</v>
      </c>
      <c r="D616" s="44">
        <f>SUM(C616:C616)</f>
        <v>191</v>
      </c>
      <c r="E616" s="45"/>
      <c r="G616" s="42" t="s">
        <v>5</v>
      </c>
      <c r="H616" s="43">
        <f>H610</f>
        <v>633</v>
      </c>
      <c r="I616" s="44">
        <f>SUM(H616:H616)</f>
        <v>633</v>
      </c>
      <c r="J616" s="45"/>
    </row>
    <row r="617" spans="2:10" x14ac:dyDescent="0.15">
      <c r="B617" s="6" t="s">
        <v>6</v>
      </c>
      <c r="C617" s="13">
        <v>336</v>
      </c>
      <c r="D617" s="14">
        <f>SUM(C617:C617)</f>
        <v>336</v>
      </c>
      <c r="E617" s="5">
        <v>41844</v>
      </c>
      <c r="G617" s="71" t="s">
        <v>6</v>
      </c>
      <c r="H617" s="67">
        <v>1008</v>
      </c>
      <c r="I617" s="14">
        <f>SUM(H617:H617)</f>
        <v>1008</v>
      </c>
      <c r="J617" s="5">
        <v>41852</v>
      </c>
    </row>
    <row r="618" spans="2:10" x14ac:dyDescent="0.15">
      <c r="B618" s="6" t="s">
        <v>76</v>
      </c>
      <c r="C618" s="7">
        <v>69</v>
      </c>
      <c r="D618" s="8">
        <f>SUM(C618:C618)</f>
        <v>69</v>
      </c>
      <c r="E618" s="9">
        <v>41852</v>
      </c>
      <c r="G618" s="4" t="s">
        <v>6</v>
      </c>
      <c r="H618" s="93">
        <v>1008</v>
      </c>
      <c r="I618" s="14">
        <f>SUM(H618:H618)</f>
        <v>1008</v>
      </c>
      <c r="J618" s="5">
        <v>41853</v>
      </c>
    </row>
    <row r="619" spans="2:10" ht="14.25" thickBot="1" x14ac:dyDescent="0.2">
      <c r="B619" s="6" t="s">
        <v>18</v>
      </c>
      <c r="C619" s="7">
        <v>1</v>
      </c>
      <c r="D619" s="14">
        <f>SUM(C619:C619)</f>
        <v>1</v>
      </c>
      <c r="E619" s="16">
        <v>41859</v>
      </c>
      <c r="G619" s="92" t="s">
        <v>6</v>
      </c>
      <c r="H619" s="88"/>
      <c r="I619" s="11">
        <f>SUM(H619:H619)</f>
        <v>0</v>
      </c>
      <c r="J619" s="85"/>
    </row>
    <row r="620" spans="2:10" ht="14.25" thickBot="1" x14ac:dyDescent="0.2">
      <c r="B620" s="46" t="s">
        <v>1</v>
      </c>
      <c r="C620" s="48">
        <f>SUM(C616:C619)</f>
        <v>597</v>
      </c>
      <c r="D620" s="48">
        <f>SUM(D616:D619)</f>
        <v>597</v>
      </c>
      <c r="E620" s="49"/>
      <c r="G620" s="46" t="s">
        <v>1</v>
      </c>
      <c r="H620" s="47">
        <f>SUM(H616:H619)</f>
        <v>2649</v>
      </c>
      <c r="I620" s="48">
        <f>SUM(I616:I619)</f>
        <v>2649</v>
      </c>
      <c r="J620" s="49"/>
    </row>
    <row r="621" spans="2:10" x14ac:dyDescent="0.15">
      <c r="B621" s="10" t="s">
        <v>189</v>
      </c>
      <c r="C621" s="77">
        <v>2</v>
      </c>
      <c r="D621" s="11">
        <f t="shared" ref="D621:D645" si="32">SUM(C621:C621)</f>
        <v>2</v>
      </c>
      <c r="E621" s="12">
        <v>41839</v>
      </c>
      <c r="G621" s="10"/>
      <c r="H621" s="13"/>
      <c r="I621" s="11">
        <f t="shared" ref="I621:I645" si="33">SUM(H621:H621)</f>
        <v>0</v>
      </c>
      <c r="J621" s="12"/>
    </row>
    <row r="622" spans="2:10" x14ac:dyDescent="0.15">
      <c r="B622" s="10" t="s">
        <v>189</v>
      </c>
      <c r="C622" s="13">
        <v>6</v>
      </c>
      <c r="D622" s="14">
        <f t="shared" si="32"/>
        <v>6</v>
      </c>
      <c r="E622" s="12">
        <v>41842</v>
      </c>
      <c r="G622" s="78"/>
      <c r="H622" s="13"/>
      <c r="I622" s="14">
        <f t="shared" si="33"/>
        <v>0</v>
      </c>
      <c r="J622" s="12"/>
    </row>
    <row r="623" spans="2:10" x14ac:dyDescent="0.15">
      <c r="B623" s="10" t="s">
        <v>18</v>
      </c>
      <c r="C623" s="13">
        <v>74</v>
      </c>
      <c r="D623" s="14">
        <f t="shared" si="32"/>
        <v>74</v>
      </c>
      <c r="E623" s="12">
        <v>41844</v>
      </c>
      <c r="G623" s="10"/>
      <c r="H623" s="13"/>
      <c r="I623" s="14">
        <f t="shared" si="33"/>
        <v>0</v>
      </c>
      <c r="J623" s="12"/>
    </row>
    <row r="624" spans="2:10" x14ac:dyDescent="0.15">
      <c r="B624" s="10" t="s">
        <v>189</v>
      </c>
      <c r="C624" s="13">
        <v>1</v>
      </c>
      <c r="D624" s="14">
        <f t="shared" si="32"/>
        <v>1</v>
      </c>
      <c r="E624" s="12">
        <v>41843</v>
      </c>
      <c r="G624" s="78"/>
      <c r="H624" s="13"/>
      <c r="I624" s="14">
        <f t="shared" si="33"/>
        <v>0</v>
      </c>
      <c r="J624" s="12"/>
    </row>
    <row r="625" spans="2:10" x14ac:dyDescent="0.15">
      <c r="B625" s="10" t="s">
        <v>194</v>
      </c>
      <c r="C625" s="13">
        <v>100</v>
      </c>
      <c r="D625" s="14">
        <f t="shared" si="32"/>
        <v>100</v>
      </c>
      <c r="E625" s="12">
        <v>41845</v>
      </c>
      <c r="G625" s="78"/>
      <c r="H625" s="13"/>
      <c r="I625" s="14">
        <f t="shared" si="33"/>
        <v>0</v>
      </c>
      <c r="J625" s="12"/>
    </row>
    <row r="626" spans="2:10" x14ac:dyDescent="0.15">
      <c r="B626" s="10" t="s">
        <v>189</v>
      </c>
      <c r="C626" s="13">
        <v>1</v>
      </c>
      <c r="D626" s="14">
        <f t="shared" si="32"/>
        <v>1</v>
      </c>
      <c r="E626" s="12">
        <v>41844</v>
      </c>
      <c r="G626" s="78"/>
      <c r="H626" s="13"/>
      <c r="I626" s="14">
        <f t="shared" si="33"/>
        <v>0</v>
      </c>
      <c r="J626" s="12"/>
    </row>
    <row r="627" spans="2:10" x14ac:dyDescent="0.15">
      <c r="B627" s="10" t="s">
        <v>18</v>
      </c>
      <c r="C627" s="13">
        <v>60</v>
      </c>
      <c r="D627" s="14">
        <f t="shared" si="32"/>
        <v>60</v>
      </c>
      <c r="E627" s="12">
        <v>41846</v>
      </c>
      <c r="G627" s="78"/>
      <c r="H627" s="13"/>
      <c r="I627" s="14">
        <f t="shared" si="33"/>
        <v>0</v>
      </c>
      <c r="J627" s="12"/>
    </row>
    <row r="628" spans="2:10" x14ac:dyDescent="0.15">
      <c r="B628" s="10" t="s">
        <v>18</v>
      </c>
      <c r="C628" s="13">
        <v>1</v>
      </c>
      <c r="D628" s="14">
        <f t="shared" si="32"/>
        <v>1</v>
      </c>
      <c r="E628" s="12">
        <v>41846</v>
      </c>
      <c r="G628" s="78"/>
      <c r="H628" s="13"/>
      <c r="I628" s="14">
        <f t="shared" si="33"/>
        <v>0</v>
      </c>
      <c r="J628" s="12"/>
    </row>
    <row r="629" spans="2:10" x14ac:dyDescent="0.15">
      <c r="B629" s="10" t="s">
        <v>196</v>
      </c>
      <c r="C629" s="13">
        <v>40</v>
      </c>
      <c r="D629" s="14">
        <f t="shared" si="32"/>
        <v>40</v>
      </c>
      <c r="E629" s="12">
        <v>41848</v>
      </c>
      <c r="G629" s="10"/>
      <c r="H629" s="13"/>
      <c r="I629" s="14">
        <f t="shared" si="33"/>
        <v>0</v>
      </c>
      <c r="J629" s="12"/>
    </row>
    <row r="630" spans="2:10" x14ac:dyDescent="0.15">
      <c r="B630" s="10" t="s">
        <v>189</v>
      </c>
      <c r="C630" s="13">
        <v>1</v>
      </c>
      <c r="D630" s="14">
        <f t="shared" si="32"/>
        <v>1</v>
      </c>
      <c r="E630" s="12">
        <v>41845</v>
      </c>
      <c r="G630" s="78"/>
      <c r="H630" s="13"/>
      <c r="I630" s="14">
        <f t="shared" si="33"/>
        <v>0</v>
      </c>
      <c r="J630" s="12"/>
    </row>
    <row r="631" spans="2:10" x14ac:dyDescent="0.15">
      <c r="B631" s="10" t="s">
        <v>189</v>
      </c>
      <c r="C631" s="13">
        <v>1</v>
      </c>
      <c r="D631" s="14">
        <f t="shared" si="32"/>
        <v>1</v>
      </c>
      <c r="E631" s="12">
        <v>41846</v>
      </c>
      <c r="G631" s="10"/>
      <c r="H631" s="22"/>
      <c r="I631" s="23">
        <f t="shared" si="33"/>
        <v>0</v>
      </c>
      <c r="J631" s="24"/>
    </row>
    <row r="632" spans="2:10" x14ac:dyDescent="0.15">
      <c r="B632" s="10" t="s">
        <v>18</v>
      </c>
      <c r="C632" s="13">
        <v>32</v>
      </c>
      <c r="D632" s="14">
        <f t="shared" si="32"/>
        <v>32</v>
      </c>
      <c r="E632" s="12">
        <v>41849</v>
      </c>
      <c r="G632" s="27"/>
      <c r="H632" s="22"/>
      <c r="I632" s="23">
        <f t="shared" si="33"/>
        <v>0</v>
      </c>
      <c r="J632" s="24"/>
    </row>
    <row r="633" spans="2:10" x14ac:dyDescent="0.15">
      <c r="B633" s="10" t="s">
        <v>196</v>
      </c>
      <c r="C633" s="13">
        <v>40</v>
      </c>
      <c r="D633" s="14">
        <f t="shared" si="32"/>
        <v>40</v>
      </c>
      <c r="E633" s="12">
        <v>41849</v>
      </c>
      <c r="G633" s="15"/>
      <c r="H633" s="13"/>
      <c r="I633" s="14">
        <f t="shared" si="33"/>
        <v>0</v>
      </c>
      <c r="J633" s="12"/>
    </row>
    <row r="634" spans="2:10" x14ac:dyDescent="0.15">
      <c r="B634" s="10" t="s">
        <v>189</v>
      </c>
      <c r="C634" s="13">
        <v>3</v>
      </c>
      <c r="D634" s="14">
        <f t="shared" si="32"/>
        <v>3</v>
      </c>
      <c r="E634" s="12">
        <v>41848</v>
      </c>
      <c r="G634" s="10"/>
      <c r="H634" s="13"/>
      <c r="I634" s="14">
        <f t="shared" si="33"/>
        <v>0</v>
      </c>
      <c r="J634" s="12"/>
    </row>
    <row r="635" spans="2:10" x14ac:dyDescent="0.15">
      <c r="B635" s="10" t="s">
        <v>189</v>
      </c>
      <c r="C635" s="13">
        <v>1</v>
      </c>
      <c r="D635" s="14">
        <f t="shared" si="32"/>
        <v>1</v>
      </c>
      <c r="E635" s="12">
        <v>41849</v>
      </c>
      <c r="G635" s="15"/>
      <c r="H635" s="13"/>
      <c r="I635" s="14">
        <f t="shared" si="33"/>
        <v>0</v>
      </c>
      <c r="J635" s="12"/>
    </row>
    <row r="636" spans="2:10" x14ac:dyDescent="0.15">
      <c r="B636" s="10" t="s">
        <v>18</v>
      </c>
      <c r="C636" s="13">
        <v>8</v>
      </c>
      <c r="D636" s="14">
        <f t="shared" si="32"/>
        <v>8</v>
      </c>
      <c r="E636" s="12">
        <v>41851</v>
      </c>
      <c r="G636" s="21"/>
      <c r="H636" s="22"/>
      <c r="I636" s="23">
        <f t="shared" si="33"/>
        <v>0</v>
      </c>
      <c r="J636" s="24"/>
    </row>
    <row r="637" spans="2:10" x14ac:dyDescent="0.15">
      <c r="B637" s="10" t="s">
        <v>189</v>
      </c>
      <c r="C637" s="13">
        <v>1</v>
      </c>
      <c r="D637" s="14">
        <f t="shared" si="32"/>
        <v>1</v>
      </c>
      <c r="E637" s="12">
        <v>41850</v>
      </c>
      <c r="G637" s="27"/>
      <c r="H637" s="22"/>
      <c r="I637" s="23">
        <f t="shared" si="33"/>
        <v>0</v>
      </c>
      <c r="J637" s="24"/>
    </row>
    <row r="638" spans="2:10" x14ac:dyDescent="0.15">
      <c r="B638" s="10" t="s">
        <v>198</v>
      </c>
      <c r="C638" s="13">
        <v>1</v>
      </c>
      <c r="D638" s="14">
        <f t="shared" si="32"/>
        <v>1</v>
      </c>
      <c r="E638" s="12">
        <v>41852</v>
      </c>
      <c r="G638" s="15"/>
      <c r="H638" s="13"/>
      <c r="I638" s="14">
        <f t="shared" si="33"/>
        <v>0</v>
      </c>
      <c r="J638" s="5"/>
    </row>
    <row r="639" spans="2:10" x14ac:dyDescent="0.15">
      <c r="B639" s="10" t="s">
        <v>189</v>
      </c>
      <c r="C639" s="13">
        <v>2</v>
      </c>
      <c r="D639" s="14">
        <f t="shared" si="32"/>
        <v>2</v>
      </c>
      <c r="E639" s="12">
        <v>41851</v>
      </c>
      <c r="G639" s="15"/>
      <c r="H639" s="13"/>
      <c r="I639" s="14">
        <f t="shared" si="33"/>
        <v>0</v>
      </c>
      <c r="J639" s="5"/>
    </row>
    <row r="640" spans="2:10" x14ac:dyDescent="0.15">
      <c r="B640" s="10" t="s">
        <v>18</v>
      </c>
      <c r="C640" s="13">
        <v>20</v>
      </c>
      <c r="D640" s="14">
        <f t="shared" si="32"/>
        <v>20</v>
      </c>
      <c r="E640" s="5">
        <v>41853</v>
      </c>
      <c r="G640" s="15"/>
      <c r="H640" s="13"/>
      <c r="I640" s="14">
        <f>SUM(H640:H640)</f>
        <v>0</v>
      </c>
      <c r="J640" s="5"/>
    </row>
    <row r="641" spans="2:10" x14ac:dyDescent="0.15">
      <c r="B641" s="10" t="s">
        <v>200</v>
      </c>
      <c r="C641" s="13">
        <v>1</v>
      </c>
      <c r="D641" s="14">
        <f t="shared" si="32"/>
        <v>1</v>
      </c>
      <c r="E641" s="5">
        <v>41857</v>
      </c>
      <c r="G641" s="15"/>
      <c r="H641" s="13"/>
      <c r="I641" s="14">
        <f>SUM(H641:H641)</f>
        <v>0</v>
      </c>
      <c r="J641" s="5"/>
    </row>
    <row r="642" spans="2:10" x14ac:dyDescent="0.15">
      <c r="B642" s="10" t="s">
        <v>200</v>
      </c>
      <c r="C642" s="13">
        <v>1</v>
      </c>
      <c r="D642" s="14">
        <f t="shared" si="32"/>
        <v>1</v>
      </c>
      <c r="E642" s="5">
        <v>41857</v>
      </c>
      <c r="G642" s="81"/>
      <c r="H642" s="7"/>
      <c r="I642" s="14">
        <f>SUM(H642:H642)</f>
        <v>0</v>
      </c>
      <c r="J642" s="5"/>
    </row>
    <row r="643" spans="2:10" x14ac:dyDescent="0.15">
      <c r="B643" s="10" t="s">
        <v>189</v>
      </c>
      <c r="C643" s="13">
        <v>9</v>
      </c>
      <c r="D643" s="14">
        <f t="shared" si="32"/>
        <v>9</v>
      </c>
      <c r="E643" s="5">
        <v>41852</v>
      </c>
      <c r="G643" s="81"/>
      <c r="H643" s="7"/>
      <c r="I643" s="14">
        <f>SUM(H643:H643)</f>
        <v>0</v>
      </c>
      <c r="J643" s="74"/>
    </row>
    <row r="644" spans="2:10" ht="14.25" thickBot="1" x14ac:dyDescent="0.2">
      <c r="B644" s="10" t="s">
        <v>189</v>
      </c>
      <c r="C644" s="13">
        <v>3</v>
      </c>
      <c r="D644" s="11">
        <f t="shared" si="32"/>
        <v>3</v>
      </c>
      <c r="E644" s="12">
        <v>41853</v>
      </c>
      <c r="G644" s="81"/>
      <c r="H644" s="7"/>
      <c r="I644" s="14">
        <f t="shared" si="33"/>
        <v>0</v>
      </c>
      <c r="J644" s="16"/>
    </row>
    <row r="645" spans="2:10" ht="14.25" thickBot="1" x14ac:dyDescent="0.2">
      <c r="B645" s="17" t="s">
        <v>2</v>
      </c>
      <c r="C645" s="18">
        <f>SUM(C621:C644)</f>
        <v>409</v>
      </c>
      <c r="D645" s="19">
        <f t="shared" si="32"/>
        <v>409</v>
      </c>
      <c r="E645" s="20"/>
      <c r="G645" s="17" t="s">
        <v>2</v>
      </c>
      <c r="H645" s="18">
        <f>SUM(H621:H644)</f>
        <v>0</v>
      </c>
      <c r="I645" s="19">
        <f t="shared" si="33"/>
        <v>0</v>
      </c>
      <c r="J645" s="20"/>
    </row>
    <row r="646" spans="2:10" ht="14.25" thickBot="1" x14ac:dyDescent="0.2">
      <c r="B646" s="46" t="s">
        <v>3</v>
      </c>
      <c r="C646" s="52">
        <f>C620-C645</f>
        <v>188</v>
      </c>
      <c r="D646" s="48">
        <f>D620-D645</f>
        <v>188</v>
      </c>
      <c r="E646" s="49"/>
      <c r="G646" s="46" t="s">
        <v>3</v>
      </c>
      <c r="H646" s="52">
        <f>H620-H645</f>
        <v>2649</v>
      </c>
      <c r="I646" s="48">
        <f>I620-I645</f>
        <v>2649</v>
      </c>
      <c r="J646" s="49"/>
    </row>
    <row r="649" spans="2:10" ht="18.75" x14ac:dyDescent="0.2">
      <c r="B649" s="26" t="s">
        <v>7</v>
      </c>
      <c r="G649" s="26" t="s">
        <v>35</v>
      </c>
    </row>
    <row r="650" spans="2:10" ht="14.25" thickBot="1" x14ac:dyDescent="0.2"/>
    <row r="651" spans="2:10" ht="14.25" thickBot="1" x14ac:dyDescent="0.2">
      <c r="B651" s="1"/>
      <c r="C651" s="2"/>
      <c r="D651" s="3" t="s">
        <v>0</v>
      </c>
      <c r="E651" s="1" t="s">
        <v>4</v>
      </c>
      <c r="G651" s="1"/>
      <c r="H651" s="2"/>
      <c r="I651" s="3" t="s">
        <v>0</v>
      </c>
      <c r="J651" s="1" t="s">
        <v>4</v>
      </c>
    </row>
    <row r="652" spans="2:10" x14ac:dyDescent="0.15">
      <c r="B652" s="42" t="s">
        <v>5</v>
      </c>
      <c r="C652" s="43">
        <f>C646</f>
        <v>188</v>
      </c>
      <c r="D652" s="44">
        <f>SUM(C652:C652)</f>
        <v>188</v>
      </c>
      <c r="E652" s="45"/>
      <c r="G652" s="42" t="s">
        <v>5</v>
      </c>
      <c r="H652" s="43">
        <f>H646</f>
        <v>2649</v>
      </c>
      <c r="I652" s="44">
        <f>SUM(H652:H652)</f>
        <v>2649</v>
      </c>
      <c r="J652" s="45"/>
    </row>
    <row r="653" spans="2:10" x14ac:dyDescent="0.15">
      <c r="B653" s="6" t="s">
        <v>6</v>
      </c>
      <c r="C653" s="13">
        <v>336</v>
      </c>
      <c r="D653" s="14">
        <f>SUM(C653:C653)</f>
        <v>336</v>
      </c>
      <c r="E653" s="5">
        <v>41862</v>
      </c>
      <c r="G653" s="71" t="s">
        <v>6</v>
      </c>
      <c r="H653" s="13"/>
      <c r="I653" s="14">
        <f>SUM(H653:H653)</f>
        <v>0</v>
      </c>
      <c r="J653" s="5"/>
    </row>
    <row r="654" spans="2:10" x14ac:dyDescent="0.15">
      <c r="B654" s="6" t="s">
        <v>105</v>
      </c>
      <c r="C654" s="7">
        <v>3</v>
      </c>
      <c r="D654" s="8">
        <f>SUM(C654:C654)</f>
        <v>3</v>
      </c>
      <c r="E654" s="9">
        <v>41874</v>
      </c>
      <c r="G654" s="71" t="s">
        <v>6</v>
      </c>
      <c r="H654" s="67"/>
      <c r="I654" s="14">
        <f>SUM(H654:H654)</f>
        <v>0</v>
      </c>
      <c r="J654" s="5"/>
    </row>
    <row r="655" spans="2:10" ht="14.25" thickBot="1" x14ac:dyDescent="0.2">
      <c r="B655" s="6" t="s">
        <v>6</v>
      </c>
      <c r="C655" s="7">
        <v>336</v>
      </c>
      <c r="D655" s="14">
        <f>SUM(C655:C655)</f>
        <v>336</v>
      </c>
      <c r="E655" s="16">
        <v>41877</v>
      </c>
      <c r="G655" s="6" t="s">
        <v>6</v>
      </c>
      <c r="H655" s="88"/>
      <c r="I655" s="11">
        <f>SUM(H655:H655)</f>
        <v>0</v>
      </c>
      <c r="J655" s="85"/>
    </row>
    <row r="656" spans="2:10" ht="14.25" thickBot="1" x14ac:dyDescent="0.2">
      <c r="B656" s="46" t="s">
        <v>1</v>
      </c>
      <c r="C656" s="48">
        <f>SUM(C652:C655)</f>
        <v>863</v>
      </c>
      <c r="D656" s="48">
        <f>SUM(D652:D655)</f>
        <v>863</v>
      </c>
      <c r="E656" s="49"/>
      <c r="G656" s="46" t="s">
        <v>1</v>
      </c>
      <c r="H656" s="47">
        <f>SUM(H652:H655)</f>
        <v>2649</v>
      </c>
      <c r="I656" s="48">
        <f>SUM(I652:I655)</f>
        <v>2649</v>
      </c>
      <c r="J656" s="49"/>
    </row>
    <row r="657" spans="2:10" x14ac:dyDescent="0.15">
      <c r="B657" s="10" t="s">
        <v>101</v>
      </c>
      <c r="C657" s="77">
        <v>20</v>
      </c>
      <c r="D657" s="11">
        <f t="shared" ref="D657:D681" si="34">SUM(C657:C657)</f>
        <v>20</v>
      </c>
      <c r="E657" s="12">
        <v>41856</v>
      </c>
      <c r="G657" s="10" t="s">
        <v>114</v>
      </c>
      <c r="H657" s="13">
        <v>213</v>
      </c>
      <c r="I657" s="11">
        <f t="shared" ref="I657:I681" si="35">SUM(H657:H657)</f>
        <v>213</v>
      </c>
      <c r="J657" s="12">
        <v>41857</v>
      </c>
    </row>
    <row r="658" spans="2:10" x14ac:dyDescent="0.15">
      <c r="B658" s="10" t="s">
        <v>189</v>
      </c>
      <c r="C658" s="13">
        <v>1</v>
      </c>
      <c r="D658" s="14">
        <f t="shared" si="34"/>
        <v>1</v>
      </c>
      <c r="E658" s="12">
        <v>41855</v>
      </c>
      <c r="G658" s="15" t="s">
        <v>12</v>
      </c>
      <c r="H658" s="13">
        <v>336</v>
      </c>
      <c r="I658" s="14">
        <f t="shared" si="35"/>
        <v>336</v>
      </c>
      <c r="J658" s="12">
        <v>41862</v>
      </c>
    </row>
    <row r="659" spans="2:10" x14ac:dyDescent="0.15">
      <c r="B659" s="10" t="s">
        <v>18</v>
      </c>
      <c r="C659" s="13">
        <v>39</v>
      </c>
      <c r="D659" s="14">
        <f t="shared" si="34"/>
        <v>39</v>
      </c>
      <c r="E659" s="12">
        <v>41857</v>
      </c>
      <c r="G659" s="15" t="s">
        <v>12</v>
      </c>
      <c r="H659" s="13">
        <v>336</v>
      </c>
      <c r="I659" s="14">
        <f t="shared" si="35"/>
        <v>336</v>
      </c>
      <c r="J659" s="12">
        <v>41877</v>
      </c>
    </row>
    <row r="660" spans="2:10" x14ac:dyDescent="0.15">
      <c r="B660" s="10" t="s">
        <v>189</v>
      </c>
      <c r="C660" s="13">
        <v>3</v>
      </c>
      <c r="D660" s="14">
        <f t="shared" si="34"/>
        <v>3</v>
      </c>
      <c r="E660" s="12">
        <v>41856</v>
      </c>
      <c r="G660" s="78"/>
      <c r="H660" s="13"/>
      <c r="I660" s="14">
        <f t="shared" si="35"/>
        <v>0</v>
      </c>
      <c r="J660" s="12"/>
    </row>
    <row r="661" spans="2:10" x14ac:dyDescent="0.15">
      <c r="B661" s="10" t="s">
        <v>10</v>
      </c>
      <c r="C661" s="13">
        <v>10</v>
      </c>
      <c r="D661" s="14">
        <f t="shared" si="34"/>
        <v>10</v>
      </c>
      <c r="E661" s="12">
        <v>41871</v>
      </c>
      <c r="G661" s="78"/>
      <c r="H661" s="13"/>
      <c r="I661" s="14">
        <f t="shared" si="35"/>
        <v>0</v>
      </c>
      <c r="J661" s="12"/>
    </row>
    <row r="662" spans="2:10" x14ac:dyDescent="0.15">
      <c r="B662" s="10" t="s">
        <v>189</v>
      </c>
      <c r="C662" s="13">
        <v>3</v>
      </c>
      <c r="D662" s="14">
        <f t="shared" si="34"/>
        <v>3</v>
      </c>
      <c r="E662" s="12">
        <v>41857</v>
      </c>
      <c r="G662" s="78"/>
      <c r="H662" s="13"/>
      <c r="I662" s="14">
        <f t="shared" si="35"/>
        <v>0</v>
      </c>
      <c r="J662" s="12"/>
    </row>
    <row r="663" spans="2:10" x14ac:dyDescent="0.15">
      <c r="B663" s="10" t="s">
        <v>189</v>
      </c>
      <c r="C663" s="13">
        <v>1</v>
      </c>
      <c r="D663" s="14">
        <f t="shared" si="34"/>
        <v>1</v>
      </c>
      <c r="E663" s="12">
        <v>41858</v>
      </c>
      <c r="G663" s="78"/>
      <c r="H663" s="13"/>
      <c r="I663" s="14">
        <f t="shared" si="35"/>
        <v>0</v>
      </c>
      <c r="J663" s="12"/>
    </row>
    <row r="664" spans="2:10" x14ac:dyDescent="0.15">
      <c r="B664" s="10" t="s">
        <v>200</v>
      </c>
      <c r="C664" s="13">
        <v>1</v>
      </c>
      <c r="D664" s="14">
        <f t="shared" si="34"/>
        <v>1</v>
      </c>
      <c r="E664" s="12">
        <v>41860</v>
      </c>
      <c r="G664" s="78"/>
      <c r="H664" s="13"/>
      <c r="I664" s="14">
        <f t="shared" si="35"/>
        <v>0</v>
      </c>
      <c r="J664" s="12"/>
    </row>
    <row r="665" spans="2:10" x14ac:dyDescent="0.15">
      <c r="B665" s="10" t="s">
        <v>114</v>
      </c>
      <c r="C665" s="13">
        <v>50</v>
      </c>
      <c r="D665" s="14">
        <f t="shared" si="34"/>
        <v>50</v>
      </c>
      <c r="E665" s="12">
        <v>41862</v>
      </c>
      <c r="G665" s="10"/>
      <c r="H665" s="13"/>
      <c r="I665" s="14">
        <f t="shared" si="35"/>
        <v>0</v>
      </c>
      <c r="J665" s="12"/>
    </row>
    <row r="666" spans="2:10" x14ac:dyDescent="0.15">
      <c r="B666" s="10" t="s">
        <v>189</v>
      </c>
      <c r="C666" s="13">
        <v>2</v>
      </c>
      <c r="D666" s="14">
        <f t="shared" si="34"/>
        <v>2</v>
      </c>
      <c r="E666" s="12">
        <v>41862</v>
      </c>
      <c r="G666" s="78"/>
      <c r="H666" s="13"/>
      <c r="I666" s="14">
        <f t="shared" si="35"/>
        <v>0</v>
      </c>
      <c r="J666" s="12"/>
    </row>
    <row r="667" spans="2:10" x14ac:dyDescent="0.15">
      <c r="B667" s="10" t="s">
        <v>18</v>
      </c>
      <c r="C667" s="13">
        <v>59</v>
      </c>
      <c r="D667" s="14">
        <f t="shared" si="34"/>
        <v>59</v>
      </c>
      <c r="E667" s="12">
        <v>41869</v>
      </c>
      <c r="G667" s="10"/>
      <c r="H667" s="22"/>
      <c r="I667" s="23">
        <f t="shared" si="35"/>
        <v>0</v>
      </c>
      <c r="J667" s="24"/>
    </row>
    <row r="668" spans="2:10" x14ac:dyDescent="0.15">
      <c r="B668" s="10" t="s">
        <v>39</v>
      </c>
      <c r="C668" s="13">
        <v>2</v>
      </c>
      <c r="D668" s="14">
        <f t="shared" si="34"/>
        <v>2</v>
      </c>
      <c r="E668" s="12">
        <v>41870</v>
      </c>
      <c r="G668" s="27"/>
      <c r="H668" s="22"/>
      <c r="I668" s="23">
        <f t="shared" si="35"/>
        <v>0</v>
      </c>
      <c r="J668" s="24"/>
    </row>
    <row r="669" spans="2:10" x14ac:dyDescent="0.15">
      <c r="B669" s="10" t="s">
        <v>189</v>
      </c>
      <c r="C669" s="13">
        <v>1</v>
      </c>
      <c r="D669" s="14">
        <f t="shared" si="34"/>
        <v>1</v>
      </c>
      <c r="E669" s="12">
        <v>41863</v>
      </c>
      <c r="G669" s="15"/>
      <c r="H669" s="13"/>
      <c r="I669" s="14">
        <f t="shared" si="35"/>
        <v>0</v>
      </c>
      <c r="J669" s="12"/>
    </row>
    <row r="670" spans="2:10" x14ac:dyDescent="0.15">
      <c r="B670" s="10" t="s">
        <v>189</v>
      </c>
      <c r="C670" s="13">
        <v>4</v>
      </c>
      <c r="D670" s="14">
        <f t="shared" si="34"/>
        <v>4</v>
      </c>
      <c r="E670" s="12">
        <v>41866</v>
      </c>
      <c r="G670" s="10"/>
      <c r="H670" s="13"/>
      <c r="I670" s="14">
        <f t="shared" si="35"/>
        <v>0</v>
      </c>
      <c r="J670" s="12"/>
    </row>
    <row r="671" spans="2:10" x14ac:dyDescent="0.15">
      <c r="B671" s="10" t="s">
        <v>189</v>
      </c>
      <c r="C671" s="13">
        <v>4</v>
      </c>
      <c r="D671" s="14">
        <f t="shared" si="34"/>
        <v>4</v>
      </c>
      <c r="E671" s="12">
        <v>41869</v>
      </c>
      <c r="G671" s="15"/>
      <c r="H671" s="13"/>
      <c r="I671" s="14">
        <f t="shared" si="35"/>
        <v>0</v>
      </c>
      <c r="J671" s="12"/>
    </row>
    <row r="672" spans="2:10" x14ac:dyDescent="0.15">
      <c r="B672" s="10" t="s">
        <v>18</v>
      </c>
      <c r="C672" s="13">
        <v>50</v>
      </c>
      <c r="D672" s="14">
        <f t="shared" si="34"/>
        <v>50</v>
      </c>
      <c r="E672" s="12">
        <v>41871</v>
      </c>
      <c r="G672" s="21"/>
      <c r="H672" s="22"/>
      <c r="I672" s="23">
        <f t="shared" si="35"/>
        <v>0</v>
      </c>
      <c r="J672" s="24"/>
    </row>
    <row r="673" spans="2:10" x14ac:dyDescent="0.15">
      <c r="B673" s="10" t="s">
        <v>210</v>
      </c>
      <c r="C673" s="13">
        <v>20</v>
      </c>
      <c r="D673" s="14">
        <f t="shared" si="34"/>
        <v>20</v>
      </c>
      <c r="E673" s="12">
        <v>41876</v>
      </c>
      <c r="G673" s="27"/>
      <c r="H673" s="22"/>
      <c r="I673" s="23">
        <f t="shared" si="35"/>
        <v>0</v>
      </c>
      <c r="J673" s="24"/>
    </row>
    <row r="674" spans="2:10" x14ac:dyDescent="0.15">
      <c r="B674" s="10" t="s">
        <v>189</v>
      </c>
      <c r="C674" s="13">
        <v>2</v>
      </c>
      <c r="D674" s="14">
        <f t="shared" si="34"/>
        <v>2</v>
      </c>
      <c r="E674" s="12">
        <v>41871</v>
      </c>
      <c r="G674" s="15"/>
      <c r="H674" s="13"/>
      <c r="I674" s="14">
        <f t="shared" si="35"/>
        <v>0</v>
      </c>
      <c r="J674" s="5"/>
    </row>
    <row r="675" spans="2:10" x14ac:dyDescent="0.15">
      <c r="B675" s="10" t="s">
        <v>18</v>
      </c>
      <c r="C675" s="13">
        <v>54</v>
      </c>
      <c r="D675" s="14">
        <f t="shared" si="34"/>
        <v>54</v>
      </c>
      <c r="E675" s="12">
        <v>41873</v>
      </c>
      <c r="G675" s="15"/>
      <c r="H675" s="13"/>
      <c r="I675" s="14">
        <f t="shared" si="35"/>
        <v>0</v>
      </c>
      <c r="J675" s="5"/>
    </row>
    <row r="676" spans="2:10" x14ac:dyDescent="0.15">
      <c r="B676" s="10" t="s">
        <v>18</v>
      </c>
      <c r="C676" s="13">
        <v>4</v>
      </c>
      <c r="D676" s="14">
        <f t="shared" si="34"/>
        <v>4</v>
      </c>
      <c r="E676" s="5">
        <v>41873</v>
      </c>
      <c r="G676" s="15"/>
      <c r="H676" s="13"/>
      <c r="I676" s="14">
        <f>SUM(H676:H676)</f>
        <v>0</v>
      </c>
      <c r="J676" s="5"/>
    </row>
    <row r="677" spans="2:10" x14ac:dyDescent="0.15">
      <c r="B677" s="10" t="s">
        <v>73</v>
      </c>
      <c r="C677" s="13">
        <v>10</v>
      </c>
      <c r="D677" s="14">
        <f t="shared" si="34"/>
        <v>10</v>
      </c>
      <c r="E677" s="5">
        <v>41874</v>
      </c>
      <c r="G677" s="15"/>
      <c r="H677" s="13"/>
      <c r="I677" s="14">
        <f>SUM(H677:H677)</f>
        <v>0</v>
      </c>
      <c r="J677" s="5"/>
    </row>
    <row r="678" spans="2:10" x14ac:dyDescent="0.15">
      <c r="B678" s="10" t="s">
        <v>189</v>
      </c>
      <c r="C678" s="13">
        <v>1</v>
      </c>
      <c r="D678" s="14">
        <f t="shared" si="34"/>
        <v>1</v>
      </c>
      <c r="E678" s="5">
        <v>41872</v>
      </c>
      <c r="G678" s="81"/>
      <c r="H678" s="7"/>
      <c r="I678" s="14">
        <f>SUM(H678:H678)</f>
        <v>0</v>
      </c>
      <c r="J678" s="5"/>
    </row>
    <row r="679" spans="2:10" x14ac:dyDescent="0.15">
      <c r="B679" s="10" t="s">
        <v>189</v>
      </c>
      <c r="C679" s="13">
        <v>3</v>
      </c>
      <c r="D679" s="14">
        <f t="shared" si="34"/>
        <v>3</v>
      </c>
      <c r="E679" s="5">
        <v>41873</v>
      </c>
      <c r="G679" s="81"/>
      <c r="H679" s="7"/>
      <c r="I679" s="14">
        <f>SUM(H679:H679)</f>
        <v>0</v>
      </c>
      <c r="J679" s="74"/>
    </row>
    <row r="680" spans="2:10" ht="14.25" thickBot="1" x14ac:dyDescent="0.2">
      <c r="B680" s="10" t="s">
        <v>189</v>
      </c>
      <c r="C680" s="13">
        <v>3</v>
      </c>
      <c r="D680" s="11">
        <f t="shared" si="34"/>
        <v>3</v>
      </c>
      <c r="E680" s="12">
        <v>41872</v>
      </c>
      <c r="G680" s="81"/>
      <c r="H680" s="7"/>
      <c r="I680" s="14">
        <f>SUM(H680:H680)</f>
        <v>0</v>
      </c>
      <c r="J680" s="16"/>
    </row>
    <row r="681" spans="2:10" ht="14.25" thickBot="1" x14ac:dyDescent="0.2">
      <c r="B681" s="17" t="s">
        <v>2</v>
      </c>
      <c r="C681" s="18">
        <f>SUM(C657:C680)</f>
        <v>347</v>
      </c>
      <c r="D681" s="19">
        <f t="shared" si="34"/>
        <v>347</v>
      </c>
      <c r="E681" s="20"/>
      <c r="G681" s="17" t="s">
        <v>2</v>
      </c>
      <c r="H681" s="18">
        <f>SUM(H657:H680)</f>
        <v>885</v>
      </c>
      <c r="I681" s="19">
        <f t="shared" si="35"/>
        <v>885</v>
      </c>
      <c r="J681" s="20"/>
    </row>
    <row r="682" spans="2:10" ht="14.25" thickBot="1" x14ac:dyDescent="0.2">
      <c r="B682" s="46" t="s">
        <v>3</v>
      </c>
      <c r="C682" s="52">
        <f>C656-C681</f>
        <v>516</v>
      </c>
      <c r="D682" s="48">
        <f>D656-D681</f>
        <v>516</v>
      </c>
      <c r="E682" s="49"/>
      <c r="G682" s="46" t="s">
        <v>3</v>
      </c>
      <c r="H682" s="52">
        <f>H656-H681</f>
        <v>1764</v>
      </c>
      <c r="I682" s="48">
        <f>I656-I681</f>
        <v>1764</v>
      </c>
      <c r="J682" s="49"/>
    </row>
    <row r="685" spans="2:10" ht="18.75" x14ac:dyDescent="0.2">
      <c r="B685" s="26" t="s">
        <v>7</v>
      </c>
      <c r="G685" s="26" t="s">
        <v>35</v>
      </c>
    </row>
    <row r="686" spans="2:10" ht="14.25" thickBot="1" x14ac:dyDescent="0.2"/>
    <row r="687" spans="2:10" ht="14.25" thickBot="1" x14ac:dyDescent="0.2">
      <c r="B687" s="1"/>
      <c r="C687" s="2"/>
      <c r="D687" s="3" t="s">
        <v>0</v>
      </c>
      <c r="E687" s="1" t="s">
        <v>4</v>
      </c>
      <c r="G687" s="1"/>
      <c r="H687" s="2"/>
      <c r="I687" s="3" t="s">
        <v>0</v>
      </c>
      <c r="J687" s="1" t="s">
        <v>4</v>
      </c>
    </row>
    <row r="688" spans="2:10" x14ac:dyDescent="0.15">
      <c r="B688" s="42" t="s">
        <v>5</v>
      </c>
      <c r="C688" s="43">
        <f>C682</f>
        <v>516</v>
      </c>
      <c r="D688" s="44">
        <f>SUM(C688:C688)</f>
        <v>516</v>
      </c>
      <c r="E688" s="45"/>
      <c r="G688" s="42" t="s">
        <v>5</v>
      </c>
      <c r="H688" s="43">
        <f>H682</f>
        <v>1764</v>
      </c>
      <c r="I688" s="44">
        <f>SUM(H688:H688)</f>
        <v>1764</v>
      </c>
      <c r="J688" s="45"/>
    </row>
    <row r="689" spans="2:10" x14ac:dyDescent="0.15">
      <c r="B689" s="6" t="s">
        <v>76</v>
      </c>
      <c r="C689" s="13">
        <v>2</v>
      </c>
      <c r="D689" s="14">
        <f>SUM(C689:C689)</f>
        <v>2</v>
      </c>
      <c r="E689" s="5">
        <v>41883</v>
      </c>
      <c r="G689" s="71" t="s">
        <v>6</v>
      </c>
      <c r="H689" s="13"/>
      <c r="I689" s="14">
        <f>SUM(H689:H689)</f>
        <v>0</v>
      </c>
      <c r="J689" s="5"/>
    </row>
    <row r="690" spans="2:10" x14ac:dyDescent="0.15">
      <c r="B690" s="6" t="s">
        <v>76</v>
      </c>
      <c r="C690" s="7">
        <v>42</v>
      </c>
      <c r="D690" s="8">
        <f>SUM(C690:C690)</f>
        <v>42</v>
      </c>
      <c r="E690" s="9">
        <v>41902</v>
      </c>
      <c r="G690" s="71" t="s">
        <v>6</v>
      </c>
      <c r="H690" s="67">
        <v>1680</v>
      </c>
      <c r="I690" s="14">
        <f>SUM(H690:H690)</f>
        <v>1680</v>
      </c>
      <c r="J690" s="5">
        <v>41883</v>
      </c>
    </row>
    <row r="691" spans="2:10" ht="14.25" thickBot="1" x14ac:dyDescent="0.2">
      <c r="B691" s="6" t="s">
        <v>6</v>
      </c>
      <c r="C691" s="7"/>
      <c r="D691" s="14">
        <f>SUM(C691:C691)</f>
        <v>0</v>
      </c>
      <c r="E691" s="16"/>
      <c r="G691" s="6" t="s">
        <v>6</v>
      </c>
      <c r="H691" s="88"/>
      <c r="I691" s="11">
        <f>SUM(H691:H691)</f>
        <v>0</v>
      </c>
      <c r="J691" s="85"/>
    </row>
    <row r="692" spans="2:10" ht="14.25" thickBot="1" x14ac:dyDescent="0.2">
      <c r="B692" s="46" t="s">
        <v>1</v>
      </c>
      <c r="C692" s="48">
        <f>SUM(C688:C691)</f>
        <v>560</v>
      </c>
      <c r="D692" s="48">
        <f>SUM(D688:D691)</f>
        <v>560</v>
      </c>
      <c r="E692" s="49"/>
      <c r="G692" s="46" t="s">
        <v>1</v>
      </c>
      <c r="H692" s="47">
        <f>SUM(H688:H691)</f>
        <v>3444</v>
      </c>
      <c r="I692" s="48">
        <f>SUM(I688:I691)</f>
        <v>3444</v>
      </c>
      <c r="J692" s="49"/>
    </row>
    <row r="693" spans="2:10" x14ac:dyDescent="0.15">
      <c r="B693" s="10" t="s">
        <v>57</v>
      </c>
      <c r="C693" s="77">
        <v>5</v>
      </c>
      <c r="D693" s="11">
        <f t="shared" ref="D693:D717" si="36">SUM(C693:C693)</f>
        <v>5</v>
      </c>
      <c r="E693" s="12">
        <v>41878</v>
      </c>
      <c r="G693" s="15"/>
      <c r="H693" s="13"/>
      <c r="I693" s="11">
        <f t="shared" ref="I693:I717" si="37">SUM(H693:H693)</f>
        <v>0</v>
      </c>
      <c r="J693" s="12"/>
    </row>
    <row r="694" spans="2:10" x14ac:dyDescent="0.15">
      <c r="B694" s="10" t="s">
        <v>189</v>
      </c>
      <c r="C694" s="13">
        <v>7</v>
      </c>
      <c r="D694" s="14">
        <f t="shared" si="36"/>
        <v>7</v>
      </c>
      <c r="E694" s="12">
        <v>41876</v>
      </c>
      <c r="G694" s="78"/>
      <c r="H694" s="13"/>
      <c r="I694" s="14">
        <f t="shared" si="37"/>
        <v>0</v>
      </c>
      <c r="J694" s="12"/>
    </row>
    <row r="695" spans="2:10" x14ac:dyDescent="0.15">
      <c r="B695" s="10" t="s">
        <v>18</v>
      </c>
      <c r="C695" s="13">
        <v>8</v>
      </c>
      <c r="D695" s="14">
        <f t="shared" si="36"/>
        <v>8</v>
      </c>
      <c r="E695" s="12">
        <v>41878</v>
      </c>
      <c r="G695" s="10"/>
      <c r="H695" s="13"/>
      <c r="I695" s="14">
        <f t="shared" si="37"/>
        <v>0</v>
      </c>
      <c r="J695" s="12"/>
    </row>
    <row r="696" spans="2:10" x14ac:dyDescent="0.15">
      <c r="B696" s="81" t="s">
        <v>218</v>
      </c>
      <c r="C696" s="13">
        <v>100</v>
      </c>
      <c r="D696" s="14">
        <f t="shared" si="36"/>
        <v>100</v>
      </c>
      <c r="E696" s="12">
        <v>41879</v>
      </c>
      <c r="F696" t="s">
        <v>214</v>
      </c>
      <c r="G696" s="78"/>
      <c r="H696" s="13"/>
      <c r="I696" s="14">
        <f t="shared" si="37"/>
        <v>0</v>
      </c>
      <c r="J696" s="12"/>
    </row>
    <row r="697" spans="2:10" x14ac:dyDescent="0.15">
      <c r="B697" s="10" t="s">
        <v>189</v>
      </c>
      <c r="C697" s="13">
        <v>5</v>
      </c>
      <c r="D697" s="14">
        <f t="shared" si="36"/>
        <v>5</v>
      </c>
      <c r="E697" s="12">
        <v>41877</v>
      </c>
      <c r="G697" s="78"/>
      <c r="H697" s="13"/>
      <c r="I697" s="14">
        <f t="shared" si="37"/>
        <v>0</v>
      </c>
      <c r="J697" s="12"/>
    </row>
    <row r="698" spans="2:10" x14ac:dyDescent="0.15">
      <c r="B698" s="10" t="s">
        <v>200</v>
      </c>
      <c r="C698" s="13">
        <v>2</v>
      </c>
      <c r="D698" s="14">
        <f t="shared" si="36"/>
        <v>2</v>
      </c>
      <c r="E698" s="12">
        <v>41881</v>
      </c>
      <c r="G698" s="78"/>
      <c r="H698" s="13"/>
      <c r="I698" s="14">
        <f t="shared" si="37"/>
        <v>0</v>
      </c>
      <c r="J698" s="12"/>
    </row>
    <row r="699" spans="2:10" x14ac:dyDescent="0.15">
      <c r="B699" s="10" t="s">
        <v>189</v>
      </c>
      <c r="C699" s="13">
        <v>2</v>
      </c>
      <c r="D699" s="14">
        <f t="shared" si="36"/>
        <v>2</v>
      </c>
      <c r="E699" s="12">
        <v>41880</v>
      </c>
      <c r="G699" s="78"/>
      <c r="H699" s="13"/>
      <c r="I699" s="14">
        <f t="shared" si="37"/>
        <v>0</v>
      </c>
      <c r="J699" s="12"/>
    </row>
    <row r="700" spans="2:10" x14ac:dyDescent="0.15">
      <c r="B700" s="10" t="s">
        <v>18</v>
      </c>
      <c r="C700" s="13">
        <v>1</v>
      </c>
      <c r="D700" s="14">
        <f t="shared" si="36"/>
        <v>1</v>
      </c>
      <c r="E700" s="12">
        <v>41884</v>
      </c>
      <c r="G700" s="78"/>
      <c r="H700" s="13"/>
      <c r="I700" s="14">
        <f t="shared" si="37"/>
        <v>0</v>
      </c>
      <c r="J700" s="12"/>
    </row>
    <row r="701" spans="2:10" x14ac:dyDescent="0.15">
      <c r="B701" s="10" t="s">
        <v>189</v>
      </c>
      <c r="C701" s="13">
        <v>4</v>
      </c>
      <c r="D701" s="14">
        <f t="shared" si="36"/>
        <v>4</v>
      </c>
      <c r="E701" s="12">
        <v>41883</v>
      </c>
      <c r="G701" s="10"/>
      <c r="H701" s="13"/>
      <c r="I701" s="14">
        <f t="shared" si="37"/>
        <v>0</v>
      </c>
      <c r="J701" s="12"/>
    </row>
    <row r="702" spans="2:10" x14ac:dyDescent="0.15">
      <c r="B702" s="10" t="s">
        <v>114</v>
      </c>
      <c r="C702" s="13">
        <v>100</v>
      </c>
      <c r="D702" s="14">
        <f t="shared" si="36"/>
        <v>100</v>
      </c>
      <c r="E702" s="12">
        <v>41885</v>
      </c>
      <c r="G702" s="78"/>
      <c r="H702" s="13"/>
      <c r="I702" s="14">
        <f t="shared" si="37"/>
        <v>0</v>
      </c>
      <c r="J702" s="12"/>
    </row>
    <row r="703" spans="2:10" x14ac:dyDescent="0.15">
      <c r="B703" s="10" t="s">
        <v>189</v>
      </c>
      <c r="C703" s="13">
        <v>2</v>
      </c>
      <c r="D703" s="14">
        <f t="shared" si="36"/>
        <v>2</v>
      </c>
      <c r="E703" s="12">
        <v>41884</v>
      </c>
      <c r="G703" s="10"/>
      <c r="H703" s="22"/>
      <c r="I703" s="23">
        <f t="shared" si="37"/>
        <v>0</v>
      </c>
      <c r="J703" s="24"/>
    </row>
    <row r="704" spans="2:10" x14ac:dyDescent="0.15">
      <c r="B704" s="10" t="s">
        <v>18</v>
      </c>
      <c r="C704" s="13">
        <v>1</v>
      </c>
      <c r="D704" s="14">
        <f t="shared" si="36"/>
        <v>1</v>
      </c>
      <c r="E704" s="12">
        <v>41886</v>
      </c>
      <c r="G704" s="27"/>
      <c r="H704" s="22"/>
      <c r="I704" s="23">
        <f t="shared" si="37"/>
        <v>0</v>
      </c>
      <c r="J704" s="24"/>
    </row>
    <row r="705" spans="2:10" x14ac:dyDescent="0.15">
      <c r="B705" s="10" t="s">
        <v>23</v>
      </c>
      <c r="C705" s="13">
        <v>8</v>
      </c>
      <c r="D705" s="14">
        <f t="shared" si="36"/>
        <v>8</v>
      </c>
      <c r="E705" s="12">
        <v>41886</v>
      </c>
      <c r="G705" s="15"/>
      <c r="H705" s="13"/>
      <c r="I705" s="14">
        <f t="shared" si="37"/>
        <v>0</v>
      </c>
      <c r="J705" s="12"/>
    </row>
    <row r="706" spans="2:10" x14ac:dyDescent="0.15">
      <c r="B706" s="10" t="s">
        <v>189</v>
      </c>
      <c r="C706" s="13">
        <v>1</v>
      </c>
      <c r="D706" s="14">
        <f t="shared" si="36"/>
        <v>1</v>
      </c>
      <c r="E706" s="12">
        <v>41886</v>
      </c>
      <c r="G706" s="10"/>
      <c r="H706" s="13"/>
      <c r="I706" s="14">
        <f t="shared" si="37"/>
        <v>0</v>
      </c>
      <c r="J706" s="12"/>
    </row>
    <row r="707" spans="2:10" x14ac:dyDescent="0.15">
      <c r="B707" s="10" t="s">
        <v>18</v>
      </c>
      <c r="C707" s="13">
        <v>11</v>
      </c>
      <c r="D707" s="14">
        <f t="shared" si="36"/>
        <v>11</v>
      </c>
      <c r="E707" s="12">
        <v>41891</v>
      </c>
      <c r="G707" s="15"/>
      <c r="H707" s="13"/>
      <c r="I707" s="14">
        <f t="shared" si="37"/>
        <v>0</v>
      </c>
      <c r="J707" s="12"/>
    </row>
    <row r="708" spans="2:10" x14ac:dyDescent="0.15">
      <c r="B708" s="81" t="s">
        <v>220</v>
      </c>
      <c r="C708" s="13">
        <v>44</v>
      </c>
      <c r="D708" s="14">
        <f t="shared" si="36"/>
        <v>44</v>
      </c>
      <c r="E708" s="12">
        <v>41892</v>
      </c>
      <c r="F708" t="s">
        <v>214</v>
      </c>
      <c r="G708" s="21"/>
      <c r="H708" s="22"/>
      <c r="I708" s="23">
        <f t="shared" si="37"/>
        <v>0</v>
      </c>
      <c r="J708" s="24"/>
    </row>
    <row r="709" spans="2:10" x14ac:dyDescent="0.15">
      <c r="B709" s="10" t="s">
        <v>10</v>
      </c>
      <c r="C709" s="13">
        <v>10</v>
      </c>
      <c r="D709" s="14">
        <f t="shared" si="36"/>
        <v>10</v>
      </c>
      <c r="E709" s="12">
        <v>41900</v>
      </c>
      <c r="G709" s="27"/>
      <c r="H709" s="22"/>
      <c r="I709" s="23">
        <f t="shared" si="37"/>
        <v>0</v>
      </c>
      <c r="J709" s="24"/>
    </row>
    <row r="710" spans="2:10" x14ac:dyDescent="0.15">
      <c r="B710" s="10" t="s">
        <v>222</v>
      </c>
      <c r="C710" s="13">
        <v>2</v>
      </c>
      <c r="D710" s="14">
        <f t="shared" si="36"/>
        <v>2</v>
      </c>
      <c r="E710" s="12">
        <v>41891</v>
      </c>
      <c r="G710" s="15"/>
      <c r="H710" s="13"/>
      <c r="I710" s="14">
        <f t="shared" si="37"/>
        <v>0</v>
      </c>
      <c r="J710" s="5"/>
    </row>
    <row r="711" spans="2:10" x14ac:dyDescent="0.15">
      <c r="B711" s="10" t="s">
        <v>189</v>
      </c>
      <c r="C711" s="13">
        <v>2</v>
      </c>
      <c r="D711" s="14">
        <f t="shared" si="36"/>
        <v>2</v>
      </c>
      <c r="E711" s="12">
        <v>41892</v>
      </c>
      <c r="G711" s="15"/>
      <c r="H711" s="13"/>
      <c r="I711" s="14">
        <f t="shared" si="37"/>
        <v>0</v>
      </c>
      <c r="J711" s="5"/>
    </row>
    <row r="712" spans="2:10" x14ac:dyDescent="0.15">
      <c r="B712" s="10" t="s">
        <v>18</v>
      </c>
      <c r="C712" s="13">
        <v>8</v>
      </c>
      <c r="D712" s="14">
        <f t="shared" si="36"/>
        <v>8</v>
      </c>
      <c r="E712" s="5">
        <v>41894</v>
      </c>
      <c r="G712" s="75"/>
      <c r="H712" s="13"/>
      <c r="I712" s="14">
        <f t="shared" si="37"/>
        <v>0</v>
      </c>
      <c r="J712" s="5"/>
    </row>
    <row r="713" spans="2:10" x14ac:dyDescent="0.15">
      <c r="B713" s="10" t="s">
        <v>189</v>
      </c>
      <c r="C713" s="13">
        <v>2</v>
      </c>
      <c r="D713" s="14">
        <f t="shared" si="36"/>
        <v>2</v>
      </c>
      <c r="E713" s="5">
        <v>41893</v>
      </c>
      <c r="G713" s="78"/>
      <c r="H713" s="13"/>
      <c r="I713" s="14">
        <f t="shared" si="37"/>
        <v>0</v>
      </c>
      <c r="J713" s="5"/>
    </row>
    <row r="714" spans="2:10" x14ac:dyDescent="0.15">
      <c r="B714" s="10" t="s">
        <v>200</v>
      </c>
      <c r="C714" s="13">
        <v>1</v>
      </c>
      <c r="D714" s="14">
        <f t="shared" si="36"/>
        <v>1</v>
      </c>
      <c r="E714" s="5">
        <v>41899</v>
      </c>
      <c r="G714" s="81"/>
      <c r="H714" s="7"/>
      <c r="I714" s="14">
        <f>SUM(H714:H714)</f>
        <v>0</v>
      </c>
      <c r="J714" s="5"/>
    </row>
    <row r="715" spans="2:10" x14ac:dyDescent="0.15">
      <c r="B715" s="10" t="s">
        <v>18</v>
      </c>
      <c r="C715" s="13">
        <v>4</v>
      </c>
      <c r="D715" s="14">
        <f t="shared" si="36"/>
        <v>4</v>
      </c>
      <c r="E715" s="5">
        <v>41899</v>
      </c>
      <c r="G715" s="15"/>
      <c r="H715" s="7"/>
      <c r="I715" s="14">
        <f>SUM(H715:H715)</f>
        <v>0</v>
      </c>
      <c r="J715" s="12"/>
    </row>
    <row r="716" spans="2:10" ht="14.25" thickBot="1" x14ac:dyDescent="0.2">
      <c r="B716" s="15" t="s">
        <v>189</v>
      </c>
      <c r="C716" s="13">
        <v>9</v>
      </c>
      <c r="D716" s="11">
        <f t="shared" si="36"/>
        <v>9</v>
      </c>
      <c r="E716" s="12">
        <v>41898</v>
      </c>
      <c r="G716" s="78"/>
      <c r="H716" s="7"/>
      <c r="I716" s="14">
        <f>SUM(H716:H716)</f>
        <v>0</v>
      </c>
      <c r="J716" s="85"/>
    </row>
    <row r="717" spans="2:10" ht="14.25" thickBot="1" x14ac:dyDescent="0.2">
      <c r="B717" s="17" t="s">
        <v>2</v>
      </c>
      <c r="C717" s="18">
        <f>SUM(C693:C716)</f>
        <v>339</v>
      </c>
      <c r="D717" s="19">
        <f t="shared" si="36"/>
        <v>339</v>
      </c>
      <c r="E717" s="20"/>
      <c r="G717" s="17" t="s">
        <v>2</v>
      </c>
      <c r="H717" s="18">
        <f>SUM(H693:H716)</f>
        <v>0</v>
      </c>
      <c r="I717" s="19">
        <f t="shared" si="37"/>
        <v>0</v>
      </c>
      <c r="J717" s="20"/>
    </row>
    <row r="718" spans="2:10" ht="14.25" thickBot="1" x14ac:dyDescent="0.2">
      <c r="B718" s="46" t="s">
        <v>3</v>
      </c>
      <c r="C718" s="52">
        <f>C692-C717</f>
        <v>221</v>
      </c>
      <c r="D718" s="48">
        <f>D692-D717</f>
        <v>221</v>
      </c>
      <c r="E718" s="49"/>
      <c r="G718" s="46" t="s">
        <v>3</v>
      </c>
      <c r="H718" s="52">
        <f>H692-H717</f>
        <v>3444</v>
      </c>
      <c r="I718" s="48">
        <f>I692-I717</f>
        <v>3444</v>
      </c>
      <c r="J718" s="49"/>
    </row>
    <row r="721" spans="2:10" ht="18.75" x14ac:dyDescent="0.2">
      <c r="B721" s="26" t="s">
        <v>7</v>
      </c>
      <c r="G721" s="26" t="s">
        <v>35</v>
      </c>
    </row>
    <row r="722" spans="2:10" ht="14.25" thickBot="1" x14ac:dyDescent="0.2"/>
    <row r="723" spans="2:10" ht="14.25" thickBot="1" x14ac:dyDescent="0.2">
      <c r="B723" s="1"/>
      <c r="C723" s="2"/>
      <c r="D723" s="3" t="s">
        <v>0</v>
      </c>
      <c r="E723" s="1" t="s">
        <v>4</v>
      </c>
      <c r="G723" s="1"/>
      <c r="H723" s="2"/>
      <c r="I723" s="3" t="s">
        <v>0</v>
      </c>
      <c r="J723" s="1" t="s">
        <v>4</v>
      </c>
    </row>
    <row r="724" spans="2:10" x14ac:dyDescent="0.15">
      <c r="B724" s="42" t="s">
        <v>5</v>
      </c>
      <c r="C724" s="43">
        <f>C718</f>
        <v>221</v>
      </c>
      <c r="D724" s="44">
        <f>SUM(C724:C724)</f>
        <v>221</v>
      </c>
      <c r="E724" s="45"/>
      <c r="G724" s="42" t="s">
        <v>5</v>
      </c>
      <c r="H724" s="43">
        <f>H718</f>
        <v>3444</v>
      </c>
      <c r="I724" s="44">
        <f>SUM(H724:H724)</f>
        <v>3444</v>
      </c>
      <c r="J724" s="45"/>
    </row>
    <row r="725" spans="2:10" x14ac:dyDescent="0.15">
      <c r="B725" s="6" t="s">
        <v>225</v>
      </c>
      <c r="C725" s="13">
        <v>24</v>
      </c>
      <c r="D725" s="14">
        <f>SUM(C725:C725)</f>
        <v>24</v>
      </c>
      <c r="E725" s="5">
        <v>41912</v>
      </c>
      <c r="G725" s="71" t="s">
        <v>6</v>
      </c>
      <c r="H725" s="13"/>
      <c r="I725" s="14">
        <f>SUM(H725:H725)</f>
        <v>0</v>
      </c>
      <c r="J725" s="5"/>
    </row>
    <row r="726" spans="2:10" x14ac:dyDescent="0.15">
      <c r="B726" s="6" t="s">
        <v>6</v>
      </c>
      <c r="C726" s="7">
        <v>336</v>
      </c>
      <c r="D726" s="8">
        <f>SUM(C726:C726)</f>
        <v>336</v>
      </c>
      <c r="E726" s="9">
        <v>41923</v>
      </c>
      <c r="G726" s="71" t="s">
        <v>6</v>
      </c>
      <c r="H726" s="67"/>
      <c r="I726" s="14">
        <f>SUM(H726:H726)</f>
        <v>0</v>
      </c>
      <c r="J726" s="5"/>
    </row>
    <row r="727" spans="2:10" ht="14.25" thickBot="1" x14ac:dyDescent="0.2">
      <c r="B727" s="6" t="s">
        <v>6</v>
      </c>
      <c r="C727" s="7"/>
      <c r="D727" s="14">
        <f>SUM(C727:C727)</f>
        <v>0</v>
      </c>
      <c r="E727" s="16"/>
      <c r="G727" s="6" t="s">
        <v>6</v>
      </c>
      <c r="H727" s="88"/>
      <c r="I727" s="11">
        <f>SUM(H727:H727)</f>
        <v>0</v>
      </c>
      <c r="J727" s="85"/>
    </row>
    <row r="728" spans="2:10" ht="14.25" thickBot="1" x14ac:dyDescent="0.2">
      <c r="B728" s="46" t="s">
        <v>1</v>
      </c>
      <c r="C728" s="48">
        <f>SUM(C724:C727)</f>
        <v>581</v>
      </c>
      <c r="D728" s="48">
        <f>SUM(D724:D727)</f>
        <v>581</v>
      </c>
      <c r="E728" s="49"/>
      <c r="G728" s="46" t="s">
        <v>1</v>
      </c>
      <c r="H728" s="47">
        <f>SUM(H724:H727)</f>
        <v>3444</v>
      </c>
      <c r="I728" s="48">
        <f>SUM(I724:I727)</f>
        <v>3444</v>
      </c>
      <c r="J728" s="49"/>
    </row>
    <row r="729" spans="2:10" x14ac:dyDescent="0.15">
      <c r="B729" s="10" t="s">
        <v>73</v>
      </c>
      <c r="C729" s="77">
        <v>10</v>
      </c>
      <c r="D729" s="11">
        <f t="shared" ref="D729:D753" si="38">SUM(C729:C729)</f>
        <v>10</v>
      </c>
      <c r="E729" s="12">
        <v>41901</v>
      </c>
      <c r="G729" s="15" t="s">
        <v>232</v>
      </c>
      <c r="H729" s="13">
        <v>200</v>
      </c>
      <c r="I729" s="11">
        <f>SUM(H729:H729)</f>
        <v>200</v>
      </c>
      <c r="J729" s="12">
        <v>41921</v>
      </c>
    </row>
    <row r="730" spans="2:10" x14ac:dyDescent="0.15">
      <c r="B730" s="10" t="s">
        <v>189</v>
      </c>
      <c r="C730" s="13">
        <v>2</v>
      </c>
      <c r="D730" s="14">
        <f t="shared" si="38"/>
        <v>2</v>
      </c>
      <c r="E730" s="12">
        <v>41899</v>
      </c>
      <c r="G730" s="15" t="s">
        <v>16</v>
      </c>
      <c r="H730" s="13">
        <v>336</v>
      </c>
      <c r="I730" s="14">
        <f>SUM(H730:H730)</f>
        <v>336</v>
      </c>
      <c r="J730" s="12">
        <v>41923</v>
      </c>
    </row>
    <row r="731" spans="2:10" x14ac:dyDescent="0.15">
      <c r="B731" s="10" t="s">
        <v>18</v>
      </c>
      <c r="C731" s="13">
        <v>5</v>
      </c>
      <c r="D731" s="14">
        <f t="shared" si="38"/>
        <v>5</v>
      </c>
      <c r="E731" s="12">
        <v>41902</v>
      </c>
      <c r="G731" s="15"/>
      <c r="H731" s="13"/>
      <c r="I731" s="14">
        <f t="shared" ref="I731:I749" si="39">SUM(H731:H731)</f>
        <v>0</v>
      </c>
      <c r="J731" s="12"/>
    </row>
    <row r="732" spans="2:10" x14ac:dyDescent="0.15">
      <c r="B732" s="81" t="s">
        <v>189</v>
      </c>
      <c r="C732" s="13">
        <v>1</v>
      </c>
      <c r="D732" s="14">
        <f t="shared" si="38"/>
        <v>1</v>
      </c>
      <c r="E732" s="12">
        <v>41901</v>
      </c>
      <c r="G732" s="78"/>
      <c r="H732" s="13"/>
      <c r="I732" s="14">
        <f t="shared" si="39"/>
        <v>0</v>
      </c>
      <c r="J732" s="12"/>
    </row>
    <row r="733" spans="2:10" x14ac:dyDescent="0.15">
      <c r="B733" s="81" t="s">
        <v>189</v>
      </c>
      <c r="C733" s="13">
        <v>2</v>
      </c>
      <c r="D733" s="14">
        <f t="shared" si="38"/>
        <v>2</v>
      </c>
      <c r="E733" s="12">
        <v>41902</v>
      </c>
      <c r="G733" s="78"/>
      <c r="H733" s="13"/>
      <c r="I733" s="14">
        <f t="shared" si="39"/>
        <v>0</v>
      </c>
      <c r="J733" s="12"/>
    </row>
    <row r="734" spans="2:10" x14ac:dyDescent="0.15">
      <c r="B734" s="10" t="s">
        <v>189</v>
      </c>
      <c r="C734" s="13">
        <v>2</v>
      </c>
      <c r="D734" s="14">
        <f t="shared" si="38"/>
        <v>2</v>
      </c>
      <c r="E734" s="12">
        <v>41904</v>
      </c>
      <c r="G734" s="78"/>
      <c r="H734" s="13"/>
      <c r="I734" s="14">
        <f t="shared" si="39"/>
        <v>0</v>
      </c>
      <c r="J734" s="12"/>
    </row>
    <row r="735" spans="2:10" x14ac:dyDescent="0.15">
      <c r="B735" s="10" t="s">
        <v>189</v>
      </c>
      <c r="C735" s="13">
        <v>2</v>
      </c>
      <c r="D735" s="14">
        <f t="shared" si="38"/>
        <v>2</v>
      </c>
      <c r="E735" s="12">
        <v>41905</v>
      </c>
      <c r="G735" s="78"/>
      <c r="H735" s="13"/>
      <c r="I735" s="14">
        <f t="shared" si="39"/>
        <v>0</v>
      </c>
      <c r="J735" s="12"/>
    </row>
    <row r="736" spans="2:10" x14ac:dyDescent="0.15">
      <c r="B736" s="10" t="s">
        <v>57</v>
      </c>
      <c r="C736" s="13">
        <v>3</v>
      </c>
      <c r="D736" s="14">
        <f t="shared" si="38"/>
        <v>3</v>
      </c>
      <c r="E736" s="12">
        <v>41908</v>
      </c>
      <c r="G736" s="78"/>
      <c r="H736" s="13"/>
      <c r="I736" s="14">
        <f t="shared" si="39"/>
        <v>0</v>
      </c>
      <c r="J736" s="12"/>
    </row>
    <row r="737" spans="2:10" x14ac:dyDescent="0.15">
      <c r="B737" s="10" t="s">
        <v>18</v>
      </c>
      <c r="C737" s="13">
        <v>4</v>
      </c>
      <c r="D737" s="14">
        <f t="shared" si="38"/>
        <v>4</v>
      </c>
      <c r="E737" s="12">
        <v>41908</v>
      </c>
      <c r="G737" s="10"/>
      <c r="H737" s="13"/>
      <c r="I737" s="14">
        <f t="shared" si="39"/>
        <v>0</v>
      </c>
      <c r="J737" s="12"/>
    </row>
    <row r="738" spans="2:10" x14ac:dyDescent="0.15">
      <c r="B738" s="10" t="s">
        <v>189</v>
      </c>
      <c r="C738" s="13">
        <v>2</v>
      </c>
      <c r="D738" s="14">
        <f t="shared" si="38"/>
        <v>2</v>
      </c>
      <c r="E738" s="12">
        <v>41908</v>
      </c>
      <c r="G738" s="78"/>
      <c r="H738" s="13"/>
      <c r="I738" s="14">
        <f t="shared" si="39"/>
        <v>0</v>
      </c>
      <c r="J738" s="12"/>
    </row>
    <row r="739" spans="2:10" x14ac:dyDescent="0.15">
      <c r="B739" s="10" t="s">
        <v>18</v>
      </c>
      <c r="C739" s="13">
        <v>9</v>
      </c>
      <c r="D739" s="14">
        <f t="shared" si="38"/>
        <v>9</v>
      </c>
      <c r="E739" s="12">
        <v>41912</v>
      </c>
      <c r="G739" s="10"/>
      <c r="H739" s="22"/>
      <c r="I739" s="23">
        <f t="shared" si="39"/>
        <v>0</v>
      </c>
      <c r="J739" s="24"/>
    </row>
    <row r="740" spans="2:10" x14ac:dyDescent="0.15">
      <c r="B740" s="10" t="s">
        <v>10</v>
      </c>
      <c r="C740" s="13">
        <v>10</v>
      </c>
      <c r="D740" s="14">
        <f t="shared" si="38"/>
        <v>10</v>
      </c>
      <c r="E740" s="12">
        <v>41920</v>
      </c>
      <c r="G740" s="27"/>
      <c r="H740" s="22"/>
      <c r="I740" s="23">
        <f t="shared" si="39"/>
        <v>0</v>
      </c>
      <c r="J740" s="24"/>
    </row>
    <row r="741" spans="2:10" x14ac:dyDescent="0.15">
      <c r="B741" s="10" t="s">
        <v>189</v>
      </c>
      <c r="C741" s="13">
        <v>1</v>
      </c>
      <c r="D741" s="14">
        <f t="shared" si="38"/>
        <v>1</v>
      </c>
      <c r="E741" s="12">
        <v>41913</v>
      </c>
      <c r="G741" s="15"/>
      <c r="H741" s="13"/>
      <c r="I741" s="14">
        <f t="shared" si="39"/>
        <v>0</v>
      </c>
      <c r="J741" s="12"/>
    </row>
    <row r="742" spans="2:10" x14ac:dyDescent="0.15">
      <c r="B742" s="10" t="s">
        <v>18</v>
      </c>
      <c r="C742" s="13">
        <v>3</v>
      </c>
      <c r="D742" s="14">
        <f t="shared" si="38"/>
        <v>3</v>
      </c>
      <c r="E742" s="12">
        <v>41915</v>
      </c>
      <c r="G742" s="10"/>
      <c r="H742" s="13"/>
      <c r="I742" s="14">
        <f t="shared" si="39"/>
        <v>0</v>
      </c>
      <c r="J742" s="12"/>
    </row>
    <row r="743" spans="2:10" x14ac:dyDescent="0.15">
      <c r="B743" s="10" t="s">
        <v>189</v>
      </c>
      <c r="C743" s="13">
        <v>1</v>
      </c>
      <c r="D743" s="14">
        <f t="shared" si="38"/>
        <v>1</v>
      </c>
      <c r="E743" s="12">
        <v>41914</v>
      </c>
      <c r="G743" s="15"/>
      <c r="H743" s="13"/>
      <c r="I743" s="14">
        <f t="shared" si="39"/>
        <v>0</v>
      </c>
      <c r="J743" s="12"/>
    </row>
    <row r="744" spans="2:10" x14ac:dyDescent="0.15">
      <c r="B744" s="10" t="s">
        <v>189</v>
      </c>
      <c r="C744" s="13">
        <v>1</v>
      </c>
      <c r="D744" s="14">
        <f t="shared" si="38"/>
        <v>1</v>
      </c>
      <c r="E744" s="12">
        <v>41915</v>
      </c>
      <c r="G744" s="21"/>
      <c r="H744" s="22"/>
      <c r="I744" s="23">
        <f t="shared" si="39"/>
        <v>0</v>
      </c>
      <c r="J744" s="24"/>
    </row>
    <row r="745" spans="2:10" x14ac:dyDescent="0.15">
      <c r="B745" s="10" t="s">
        <v>18</v>
      </c>
      <c r="C745" s="13">
        <v>1</v>
      </c>
      <c r="D745" s="14">
        <f t="shared" si="38"/>
        <v>1</v>
      </c>
      <c r="E745" s="12">
        <v>41920</v>
      </c>
      <c r="G745" s="27"/>
      <c r="H745" s="22"/>
      <c r="I745" s="23">
        <f t="shared" si="39"/>
        <v>0</v>
      </c>
      <c r="J745" s="24"/>
    </row>
    <row r="746" spans="2:10" x14ac:dyDescent="0.15">
      <c r="B746" s="10" t="s">
        <v>228</v>
      </c>
      <c r="C746" s="13">
        <v>1</v>
      </c>
      <c r="D746" s="14">
        <f t="shared" si="38"/>
        <v>1</v>
      </c>
      <c r="E746" s="12">
        <v>41920</v>
      </c>
      <c r="G746" s="15"/>
      <c r="H746" s="13"/>
      <c r="I746" s="14">
        <f t="shared" si="39"/>
        <v>0</v>
      </c>
      <c r="J746" s="5"/>
    </row>
    <row r="747" spans="2:10" x14ac:dyDescent="0.15">
      <c r="B747" s="10" t="s">
        <v>189</v>
      </c>
      <c r="C747" s="13">
        <v>1</v>
      </c>
      <c r="D747" s="14">
        <f t="shared" si="38"/>
        <v>1</v>
      </c>
      <c r="E747" s="12">
        <v>41919</v>
      </c>
      <c r="G747" s="15"/>
      <c r="H747" s="13"/>
      <c r="I747" s="14">
        <f t="shared" si="39"/>
        <v>0</v>
      </c>
      <c r="J747" s="5"/>
    </row>
    <row r="748" spans="2:10" x14ac:dyDescent="0.15">
      <c r="B748" s="10" t="s">
        <v>231</v>
      </c>
      <c r="C748" s="13">
        <v>185</v>
      </c>
      <c r="D748" s="14">
        <f t="shared" si="38"/>
        <v>185</v>
      </c>
      <c r="E748" s="5">
        <v>41925</v>
      </c>
      <c r="G748" s="75"/>
      <c r="H748" s="13"/>
      <c r="I748" s="14">
        <f t="shared" si="39"/>
        <v>0</v>
      </c>
      <c r="J748" s="5"/>
    </row>
    <row r="749" spans="2:10" x14ac:dyDescent="0.15">
      <c r="B749" s="15" t="s">
        <v>233</v>
      </c>
      <c r="C749" s="13">
        <v>197</v>
      </c>
      <c r="D749" s="14">
        <f t="shared" si="38"/>
        <v>197</v>
      </c>
      <c r="E749" s="5">
        <v>41927</v>
      </c>
      <c r="G749" s="78"/>
      <c r="H749" s="13"/>
      <c r="I749" s="14">
        <f t="shared" si="39"/>
        <v>0</v>
      </c>
      <c r="J749" s="5"/>
    </row>
    <row r="750" spans="2:10" x14ac:dyDescent="0.15">
      <c r="B750" s="10" t="s">
        <v>189</v>
      </c>
      <c r="C750" s="13">
        <v>1</v>
      </c>
      <c r="D750" s="14">
        <f t="shared" si="38"/>
        <v>1</v>
      </c>
      <c r="E750" s="5">
        <v>41926</v>
      </c>
      <c r="G750" s="81"/>
      <c r="H750" s="7"/>
      <c r="I750" s="14">
        <f>SUM(H750:H750)</f>
        <v>0</v>
      </c>
      <c r="J750" s="5"/>
    </row>
    <row r="751" spans="2:10" x14ac:dyDescent="0.15">
      <c r="B751" s="10" t="s">
        <v>18</v>
      </c>
      <c r="C751" s="13">
        <v>4</v>
      </c>
      <c r="D751" s="14">
        <f t="shared" si="38"/>
        <v>4</v>
      </c>
      <c r="E751" s="5">
        <v>41927</v>
      </c>
      <c r="G751" s="15"/>
      <c r="H751" s="7"/>
      <c r="I751" s="14">
        <f>SUM(H751:H751)</f>
        <v>0</v>
      </c>
      <c r="J751" s="12"/>
    </row>
    <row r="752" spans="2:10" ht="14.25" thickBot="1" x14ac:dyDescent="0.2">
      <c r="B752" s="15" t="s">
        <v>39</v>
      </c>
      <c r="C752" s="13">
        <v>2</v>
      </c>
      <c r="D752" s="11">
        <f t="shared" si="38"/>
        <v>2</v>
      </c>
      <c r="E752" s="12">
        <v>41933</v>
      </c>
      <c r="G752" s="78"/>
      <c r="H752" s="7"/>
      <c r="I752" s="14">
        <f>SUM(H752:H752)</f>
        <v>0</v>
      </c>
      <c r="J752" s="85"/>
    </row>
    <row r="753" spans="2:10" ht="14.25" thickBot="1" x14ac:dyDescent="0.2">
      <c r="B753" s="17" t="s">
        <v>2</v>
      </c>
      <c r="C753" s="18">
        <f>SUM(C729:C752)</f>
        <v>450</v>
      </c>
      <c r="D753" s="19">
        <f t="shared" si="38"/>
        <v>450</v>
      </c>
      <c r="E753" s="20"/>
      <c r="G753" s="17" t="s">
        <v>2</v>
      </c>
      <c r="H753" s="18">
        <f>SUM(H729:H752)</f>
        <v>536</v>
      </c>
      <c r="I753" s="19">
        <f>SUM(H753:H753)</f>
        <v>536</v>
      </c>
      <c r="J753" s="20"/>
    </row>
    <row r="754" spans="2:10" ht="14.25" thickBot="1" x14ac:dyDescent="0.2">
      <c r="B754" s="46" t="s">
        <v>3</v>
      </c>
      <c r="C754" s="52">
        <f>C728-C753</f>
        <v>131</v>
      </c>
      <c r="D754" s="48">
        <f>D728-D753</f>
        <v>131</v>
      </c>
      <c r="E754" s="49"/>
      <c r="G754" s="46" t="s">
        <v>3</v>
      </c>
      <c r="H754" s="52">
        <f>H728-H753</f>
        <v>2908</v>
      </c>
      <c r="I754" s="48">
        <f>I728-I753</f>
        <v>2908</v>
      </c>
      <c r="J754" s="49"/>
    </row>
    <row r="757" spans="2:10" ht="18.75" x14ac:dyDescent="0.2">
      <c r="B757" s="26" t="s">
        <v>7</v>
      </c>
      <c r="G757" s="26" t="s">
        <v>35</v>
      </c>
    </row>
    <row r="758" spans="2:10" ht="14.25" thickBot="1" x14ac:dyDescent="0.2"/>
    <row r="759" spans="2:10" ht="14.25" thickBot="1" x14ac:dyDescent="0.2">
      <c r="B759" s="1"/>
      <c r="C759" s="2"/>
      <c r="D759" s="3" t="s">
        <v>0</v>
      </c>
      <c r="E759" s="1" t="s">
        <v>4</v>
      </c>
      <c r="G759" s="1"/>
      <c r="H759" s="2"/>
      <c r="I759" s="3" t="s">
        <v>0</v>
      </c>
      <c r="J759" s="1" t="s">
        <v>4</v>
      </c>
    </row>
    <row r="760" spans="2:10" x14ac:dyDescent="0.15">
      <c r="B760" s="42" t="s">
        <v>5</v>
      </c>
      <c r="C760" s="43">
        <f>C754</f>
        <v>131</v>
      </c>
      <c r="D760" s="44">
        <f>SUM(C760:C760)</f>
        <v>131</v>
      </c>
      <c r="E760" s="45"/>
      <c r="G760" s="42" t="s">
        <v>5</v>
      </c>
      <c r="H760" s="43">
        <f>H754</f>
        <v>2908</v>
      </c>
      <c r="I760" s="44">
        <f>SUM(H760:H760)</f>
        <v>2908</v>
      </c>
      <c r="J760" s="45"/>
    </row>
    <row r="761" spans="2:10" x14ac:dyDescent="0.15">
      <c r="B761" s="6" t="s">
        <v>76</v>
      </c>
      <c r="C761" s="13">
        <v>23</v>
      </c>
      <c r="D761" s="14">
        <f>SUM(C761:C761)</f>
        <v>23</v>
      </c>
      <c r="E761" s="5">
        <v>41948</v>
      </c>
      <c r="G761" s="71" t="s">
        <v>6</v>
      </c>
      <c r="H761" s="13"/>
      <c r="I761" s="14">
        <f>SUM(H761:H761)</f>
        <v>0</v>
      </c>
      <c r="J761" s="5"/>
    </row>
    <row r="762" spans="2:10" x14ac:dyDescent="0.15">
      <c r="B762" s="6" t="s">
        <v>6</v>
      </c>
      <c r="C762" s="7"/>
      <c r="D762" s="8">
        <f>SUM(C762:C762)</f>
        <v>0</v>
      </c>
      <c r="E762" s="9"/>
      <c r="G762" s="71" t="s">
        <v>6</v>
      </c>
      <c r="H762" s="67"/>
      <c r="I762" s="14">
        <f>SUM(H762:H762)</f>
        <v>0</v>
      </c>
      <c r="J762" s="5"/>
    </row>
    <row r="763" spans="2:10" ht="14.25" thickBot="1" x14ac:dyDescent="0.2">
      <c r="B763" s="6" t="s">
        <v>6</v>
      </c>
      <c r="C763" s="7"/>
      <c r="D763" s="14">
        <f>SUM(C763:C763)</f>
        <v>0</v>
      </c>
      <c r="E763" s="16"/>
      <c r="G763" s="6" t="s">
        <v>6</v>
      </c>
      <c r="H763" s="88"/>
      <c r="I763" s="11">
        <f>SUM(H763:H763)</f>
        <v>0</v>
      </c>
      <c r="J763" s="85"/>
    </row>
    <row r="764" spans="2:10" ht="14.25" thickBot="1" x14ac:dyDescent="0.2">
      <c r="B764" s="46" t="s">
        <v>1</v>
      </c>
      <c r="C764" s="48">
        <f>SUM(C760:C763)</f>
        <v>154</v>
      </c>
      <c r="D764" s="48">
        <f>SUM(D760:D763)</f>
        <v>154</v>
      </c>
      <c r="E764" s="49"/>
      <c r="G764" s="46" t="s">
        <v>1</v>
      </c>
      <c r="H764" s="47">
        <f>SUM(H760:H763)</f>
        <v>2908</v>
      </c>
      <c r="I764" s="48">
        <f>SUM(I760:I763)</f>
        <v>2908</v>
      </c>
      <c r="J764" s="49"/>
    </row>
    <row r="765" spans="2:10" x14ac:dyDescent="0.15">
      <c r="B765" s="10" t="s">
        <v>18</v>
      </c>
      <c r="C765" s="77">
        <v>4</v>
      </c>
      <c r="D765" s="11">
        <f t="shared" ref="D765:D789" si="40">SUM(C765:C765)</f>
        <v>4</v>
      </c>
      <c r="E765" s="12">
        <v>41930</v>
      </c>
      <c r="G765" s="15"/>
      <c r="H765" s="13"/>
      <c r="I765" s="11">
        <f>SUM(H765:H765)</f>
        <v>0</v>
      </c>
      <c r="J765" s="12"/>
    </row>
    <row r="766" spans="2:10" x14ac:dyDescent="0.15">
      <c r="B766" s="10" t="s">
        <v>189</v>
      </c>
      <c r="C766" s="13">
        <v>1</v>
      </c>
      <c r="D766" s="14">
        <f t="shared" si="40"/>
        <v>1</v>
      </c>
      <c r="E766" s="12">
        <v>41929</v>
      </c>
      <c r="G766" s="78"/>
      <c r="H766" s="13"/>
      <c r="I766" s="14">
        <f>SUM(H766:H766)</f>
        <v>0</v>
      </c>
      <c r="J766" s="12"/>
    </row>
    <row r="767" spans="2:10" x14ac:dyDescent="0.15">
      <c r="B767" s="10" t="s">
        <v>189</v>
      </c>
      <c r="C767" s="13">
        <v>1</v>
      </c>
      <c r="D767" s="14">
        <f t="shared" si="40"/>
        <v>1</v>
      </c>
      <c r="E767" s="12">
        <v>41930</v>
      </c>
      <c r="G767" s="10"/>
      <c r="H767" s="13"/>
      <c r="I767" s="14">
        <f t="shared" ref="I767:I785" si="41">SUM(H767:H767)</f>
        <v>0</v>
      </c>
      <c r="J767" s="12"/>
    </row>
    <row r="768" spans="2:10" x14ac:dyDescent="0.15">
      <c r="B768" s="10" t="s">
        <v>189</v>
      </c>
      <c r="C768" s="13">
        <v>7</v>
      </c>
      <c r="D768" s="14">
        <f t="shared" si="40"/>
        <v>7</v>
      </c>
      <c r="E768" s="12">
        <v>41932</v>
      </c>
      <c r="G768" s="78"/>
      <c r="H768" s="13"/>
      <c r="I768" s="14">
        <f t="shared" si="41"/>
        <v>0</v>
      </c>
      <c r="J768" s="12"/>
    </row>
    <row r="769" spans="2:10" x14ac:dyDescent="0.15">
      <c r="B769" s="81" t="s">
        <v>57</v>
      </c>
      <c r="C769" s="13">
        <v>3</v>
      </c>
      <c r="D769" s="14">
        <f t="shared" si="40"/>
        <v>3</v>
      </c>
      <c r="E769" s="12">
        <v>41936</v>
      </c>
      <c r="G769" s="78"/>
      <c r="H769" s="13"/>
      <c r="I769" s="14">
        <f t="shared" si="41"/>
        <v>0</v>
      </c>
      <c r="J769" s="12"/>
    </row>
    <row r="770" spans="2:10" x14ac:dyDescent="0.15">
      <c r="B770" s="10" t="s">
        <v>189</v>
      </c>
      <c r="C770" s="13">
        <v>1</v>
      </c>
      <c r="D770" s="14">
        <f t="shared" si="40"/>
        <v>1</v>
      </c>
      <c r="E770" s="12">
        <v>41934</v>
      </c>
      <c r="G770" s="78"/>
      <c r="H770" s="13"/>
      <c r="I770" s="14">
        <f t="shared" si="41"/>
        <v>0</v>
      </c>
      <c r="J770" s="12"/>
    </row>
    <row r="771" spans="2:10" x14ac:dyDescent="0.15">
      <c r="B771" s="10" t="s">
        <v>189</v>
      </c>
      <c r="C771" s="13">
        <v>1</v>
      </c>
      <c r="D771" s="14">
        <f t="shared" si="40"/>
        <v>1</v>
      </c>
      <c r="E771" s="12">
        <v>41936</v>
      </c>
      <c r="G771" s="78"/>
      <c r="H771" s="13"/>
      <c r="I771" s="14">
        <f t="shared" si="41"/>
        <v>0</v>
      </c>
      <c r="J771" s="12"/>
    </row>
    <row r="772" spans="2:10" x14ac:dyDescent="0.15">
      <c r="B772" s="10" t="s">
        <v>18</v>
      </c>
      <c r="C772" s="13">
        <v>2</v>
      </c>
      <c r="D772" s="14">
        <f t="shared" si="40"/>
        <v>2</v>
      </c>
      <c r="E772" s="12">
        <v>41940</v>
      </c>
      <c r="G772" s="78"/>
      <c r="H772" s="13"/>
      <c r="I772" s="14">
        <f t="shared" si="41"/>
        <v>0</v>
      </c>
      <c r="J772" s="12"/>
    </row>
    <row r="773" spans="2:10" x14ac:dyDescent="0.15">
      <c r="B773" s="10" t="s">
        <v>189</v>
      </c>
      <c r="C773" s="13">
        <v>3</v>
      </c>
      <c r="D773" s="14">
        <f t="shared" si="40"/>
        <v>3</v>
      </c>
      <c r="E773" s="12">
        <v>41939</v>
      </c>
      <c r="G773" s="10"/>
      <c r="H773" s="13"/>
      <c r="I773" s="14">
        <f t="shared" si="41"/>
        <v>0</v>
      </c>
      <c r="J773" s="12"/>
    </row>
    <row r="774" spans="2:10" x14ac:dyDescent="0.15">
      <c r="B774" s="10" t="s">
        <v>238</v>
      </c>
      <c r="C774" s="13">
        <v>1</v>
      </c>
      <c r="D774" s="14">
        <f t="shared" si="40"/>
        <v>1</v>
      </c>
      <c r="E774" s="12">
        <v>41943</v>
      </c>
      <c r="G774" s="78"/>
      <c r="H774" s="13"/>
      <c r="I774" s="14">
        <f t="shared" si="41"/>
        <v>0</v>
      </c>
      <c r="J774" s="12"/>
    </row>
    <row r="775" spans="2:10" x14ac:dyDescent="0.15">
      <c r="B775" s="10" t="s">
        <v>18</v>
      </c>
      <c r="C775" s="13">
        <v>3</v>
      </c>
      <c r="D775" s="14">
        <f t="shared" si="40"/>
        <v>3</v>
      </c>
      <c r="E775" s="12">
        <v>41944</v>
      </c>
      <c r="G775" s="10"/>
      <c r="H775" s="22"/>
      <c r="I775" s="23">
        <f t="shared" si="41"/>
        <v>0</v>
      </c>
      <c r="J775" s="24"/>
    </row>
    <row r="776" spans="2:10" x14ac:dyDescent="0.15">
      <c r="B776" s="10" t="s">
        <v>18</v>
      </c>
      <c r="C776" s="13">
        <v>3</v>
      </c>
      <c r="D776" s="14">
        <f t="shared" si="40"/>
        <v>3</v>
      </c>
      <c r="E776" s="12">
        <v>41949</v>
      </c>
      <c r="G776" s="27"/>
      <c r="H776" s="22"/>
      <c r="I776" s="23">
        <f t="shared" si="41"/>
        <v>0</v>
      </c>
      <c r="J776" s="24"/>
    </row>
    <row r="777" spans="2:10" x14ac:dyDescent="0.15">
      <c r="B777" s="10" t="s">
        <v>189</v>
      </c>
      <c r="C777" s="13">
        <v>1</v>
      </c>
      <c r="D777" s="14">
        <f t="shared" si="40"/>
        <v>1</v>
      </c>
      <c r="E777" s="12">
        <v>41948</v>
      </c>
      <c r="G777" s="15"/>
      <c r="H777" s="13"/>
      <c r="I777" s="14">
        <f t="shared" si="41"/>
        <v>0</v>
      </c>
      <c r="J777" s="12"/>
    </row>
    <row r="778" spans="2:10" x14ac:dyDescent="0.15">
      <c r="B778" s="10" t="s">
        <v>189</v>
      </c>
      <c r="C778" s="13">
        <v>1</v>
      </c>
      <c r="D778" s="14">
        <f t="shared" si="40"/>
        <v>1</v>
      </c>
      <c r="E778" s="12">
        <v>41949</v>
      </c>
      <c r="G778" s="10"/>
      <c r="H778" s="13"/>
      <c r="I778" s="14">
        <f t="shared" si="41"/>
        <v>0</v>
      </c>
      <c r="J778" s="12"/>
    </row>
    <row r="779" spans="2:10" x14ac:dyDescent="0.15">
      <c r="B779" s="10" t="s">
        <v>189</v>
      </c>
      <c r="C779" s="13">
        <v>1</v>
      </c>
      <c r="D779" s="14">
        <f t="shared" si="40"/>
        <v>1</v>
      </c>
      <c r="E779" s="12">
        <v>41950</v>
      </c>
      <c r="G779" s="15"/>
      <c r="H779" s="13"/>
      <c r="I779" s="14">
        <f t="shared" si="41"/>
        <v>0</v>
      </c>
      <c r="J779" s="12"/>
    </row>
    <row r="780" spans="2:10" x14ac:dyDescent="0.15">
      <c r="B780" s="10" t="s">
        <v>189</v>
      </c>
      <c r="C780" s="13">
        <v>1</v>
      </c>
      <c r="D780" s="14">
        <f t="shared" si="40"/>
        <v>1</v>
      </c>
      <c r="E780" s="12">
        <v>41951</v>
      </c>
      <c r="G780" s="21"/>
      <c r="H780" s="22"/>
      <c r="I780" s="23">
        <f t="shared" si="41"/>
        <v>0</v>
      </c>
      <c r="J780" s="24"/>
    </row>
    <row r="781" spans="2:10" x14ac:dyDescent="0.15">
      <c r="B781" s="10" t="s">
        <v>18</v>
      </c>
      <c r="C781" s="13">
        <v>2</v>
      </c>
      <c r="D781" s="14">
        <f t="shared" si="40"/>
        <v>2</v>
      </c>
      <c r="E781" s="12">
        <v>41954</v>
      </c>
      <c r="G781" s="27"/>
      <c r="H781" s="22"/>
      <c r="I781" s="23">
        <f t="shared" si="41"/>
        <v>0</v>
      </c>
      <c r="J781" s="24"/>
    </row>
    <row r="782" spans="2:10" x14ac:dyDescent="0.15">
      <c r="B782" s="10" t="s">
        <v>189</v>
      </c>
      <c r="C782" s="13">
        <v>1</v>
      </c>
      <c r="D782" s="14">
        <f t="shared" si="40"/>
        <v>1</v>
      </c>
      <c r="E782" s="12">
        <v>41956</v>
      </c>
      <c r="G782" s="15"/>
      <c r="H782" s="13"/>
      <c r="I782" s="14">
        <f t="shared" si="41"/>
        <v>0</v>
      </c>
      <c r="J782" s="5"/>
    </row>
    <row r="783" spans="2:10" x14ac:dyDescent="0.15">
      <c r="B783" s="10" t="s">
        <v>18</v>
      </c>
      <c r="C783" s="13">
        <v>2</v>
      </c>
      <c r="D783" s="14">
        <f t="shared" si="40"/>
        <v>2</v>
      </c>
      <c r="E783" s="12">
        <v>41958</v>
      </c>
      <c r="G783" s="15"/>
      <c r="H783" s="13"/>
      <c r="I783" s="14">
        <f t="shared" si="41"/>
        <v>0</v>
      </c>
      <c r="J783" s="5"/>
    </row>
    <row r="784" spans="2:10" x14ac:dyDescent="0.15">
      <c r="B784" s="10" t="s">
        <v>189</v>
      </c>
      <c r="C784" s="13">
        <v>1</v>
      </c>
      <c r="D784" s="14">
        <f t="shared" si="40"/>
        <v>1</v>
      </c>
      <c r="E784" s="5">
        <v>41957</v>
      </c>
      <c r="G784" s="75"/>
      <c r="H784" s="13"/>
      <c r="I784" s="14">
        <f t="shared" si="41"/>
        <v>0</v>
      </c>
      <c r="J784" s="5"/>
    </row>
    <row r="785" spans="2:10" x14ac:dyDescent="0.15">
      <c r="B785" s="10" t="s">
        <v>189</v>
      </c>
      <c r="C785" s="13">
        <v>1</v>
      </c>
      <c r="D785" s="14">
        <f t="shared" si="40"/>
        <v>1</v>
      </c>
      <c r="E785" s="5">
        <v>41960</v>
      </c>
      <c r="G785" s="78"/>
      <c r="H785" s="13"/>
      <c r="I785" s="14">
        <f t="shared" si="41"/>
        <v>0</v>
      </c>
      <c r="J785" s="5"/>
    </row>
    <row r="786" spans="2:10" x14ac:dyDescent="0.15">
      <c r="B786" s="10" t="s">
        <v>18</v>
      </c>
      <c r="C786" s="13">
        <v>2</v>
      </c>
      <c r="D786" s="14">
        <f t="shared" si="40"/>
        <v>2</v>
      </c>
      <c r="E786" s="5">
        <v>41962</v>
      </c>
      <c r="G786" s="81"/>
      <c r="H786" s="7"/>
      <c r="I786" s="14">
        <f>SUM(H786:H786)</f>
        <v>0</v>
      </c>
      <c r="J786" s="5"/>
    </row>
    <row r="787" spans="2:10" x14ac:dyDescent="0.15">
      <c r="B787" s="10" t="s">
        <v>189</v>
      </c>
      <c r="C787" s="13">
        <v>1</v>
      </c>
      <c r="D787" s="14">
        <f t="shared" si="40"/>
        <v>1</v>
      </c>
      <c r="E787" s="5">
        <v>41962</v>
      </c>
      <c r="G787" s="15"/>
      <c r="H787" s="7"/>
      <c r="I787" s="14">
        <f>SUM(H787:H787)</f>
        <v>0</v>
      </c>
      <c r="J787" s="12"/>
    </row>
    <row r="788" spans="2:10" ht="14.25" thickBot="1" x14ac:dyDescent="0.2">
      <c r="B788" s="15" t="s">
        <v>189</v>
      </c>
      <c r="C788" s="13">
        <v>1</v>
      </c>
      <c r="D788" s="11">
        <f t="shared" si="40"/>
        <v>1</v>
      </c>
      <c r="E788" s="12">
        <v>41965</v>
      </c>
      <c r="G788" s="78"/>
      <c r="H788" s="7"/>
      <c r="I788" s="14">
        <f>SUM(H788:H788)</f>
        <v>0</v>
      </c>
      <c r="J788" s="85"/>
    </row>
    <row r="789" spans="2:10" ht="14.25" thickBot="1" x14ac:dyDescent="0.2">
      <c r="B789" s="17" t="s">
        <v>2</v>
      </c>
      <c r="C789" s="18">
        <f>SUM(C765:C788)</f>
        <v>45</v>
      </c>
      <c r="D789" s="19">
        <f t="shared" si="40"/>
        <v>45</v>
      </c>
      <c r="E789" s="20"/>
      <c r="G789" s="17" t="s">
        <v>2</v>
      </c>
      <c r="H789" s="18">
        <f>SUM(H765:H788)</f>
        <v>0</v>
      </c>
      <c r="I789" s="19">
        <f>SUM(H789:H789)</f>
        <v>0</v>
      </c>
      <c r="J789" s="20"/>
    </row>
    <row r="790" spans="2:10" ht="14.25" thickBot="1" x14ac:dyDescent="0.2">
      <c r="B790" s="46" t="s">
        <v>3</v>
      </c>
      <c r="C790" s="52">
        <f>C764-C789</f>
        <v>109</v>
      </c>
      <c r="D790" s="48">
        <f>D764-D789</f>
        <v>109</v>
      </c>
      <c r="E790" s="49"/>
      <c r="G790" s="46" t="s">
        <v>3</v>
      </c>
      <c r="H790" s="52">
        <f>H764-H789</f>
        <v>2908</v>
      </c>
      <c r="I790" s="48">
        <f>I764-I789</f>
        <v>2908</v>
      </c>
      <c r="J790" s="49"/>
    </row>
    <row r="793" spans="2:10" ht="18.75" x14ac:dyDescent="0.2">
      <c r="B793" s="26" t="s">
        <v>7</v>
      </c>
      <c r="G793" s="26" t="s">
        <v>35</v>
      </c>
    </row>
    <row r="794" spans="2:10" ht="14.25" thickBot="1" x14ac:dyDescent="0.2"/>
    <row r="795" spans="2:10" ht="14.25" thickBot="1" x14ac:dyDescent="0.2">
      <c r="B795" s="1"/>
      <c r="C795" s="2"/>
      <c r="D795" s="3" t="s">
        <v>0</v>
      </c>
      <c r="E795" s="1" t="s">
        <v>4</v>
      </c>
      <c r="G795" s="1"/>
      <c r="H795" s="2"/>
      <c r="I795" s="3" t="s">
        <v>0</v>
      </c>
      <c r="J795" s="1" t="s">
        <v>4</v>
      </c>
    </row>
    <row r="796" spans="2:10" x14ac:dyDescent="0.15">
      <c r="B796" s="42" t="s">
        <v>5</v>
      </c>
      <c r="C796" s="43">
        <f>C790</f>
        <v>109</v>
      </c>
      <c r="D796" s="44">
        <f>SUM(C796:C796)</f>
        <v>109</v>
      </c>
      <c r="E796" s="45"/>
      <c r="G796" s="42" t="s">
        <v>5</v>
      </c>
      <c r="H796" s="43">
        <f>H790</f>
        <v>2908</v>
      </c>
      <c r="I796" s="44">
        <f>SUM(H796:H796)</f>
        <v>2908</v>
      </c>
      <c r="J796" s="45"/>
    </row>
    <row r="797" spans="2:10" x14ac:dyDescent="0.15">
      <c r="B797" s="6" t="s">
        <v>242</v>
      </c>
      <c r="C797" s="13">
        <v>3</v>
      </c>
      <c r="D797" s="14">
        <f>SUM(C797:C797)</f>
        <v>3</v>
      </c>
      <c r="E797" s="5">
        <v>41983</v>
      </c>
      <c r="G797" s="71" t="s">
        <v>6</v>
      </c>
      <c r="H797" s="13"/>
      <c r="I797" s="14">
        <f>SUM(H797:H797)</f>
        <v>0</v>
      </c>
      <c r="J797" s="5"/>
    </row>
    <row r="798" spans="2:10" x14ac:dyDescent="0.15">
      <c r="B798" s="6" t="s">
        <v>225</v>
      </c>
      <c r="C798" s="7">
        <v>1</v>
      </c>
      <c r="D798" s="8">
        <f>SUM(C798:C798)</f>
        <v>1</v>
      </c>
      <c r="E798" s="9">
        <v>41999</v>
      </c>
      <c r="G798" s="71" t="s">
        <v>6</v>
      </c>
      <c r="H798" s="67"/>
      <c r="I798" s="14">
        <f>SUM(H798:H798)</f>
        <v>0</v>
      </c>
      <c r="J798" s="5"/>
    </row>
    <row r="799" spans="2:10" ht="14.25" thickBot="1" x14ac:dyDescent="0.2">
      <c r="B799" s="6" t="s">
        <v>6</v>
      </c>
      <c r="C799" s="7">
        <v>336</v>
      </c>
      <c r="D799" s="14">
        <f>SUM(C799:C799)</f>
        <v>336</v>
      </c>
      <c r="E799" s="16">
        <v>42018</v>
      </c>
      <c r="G799" s="6" t="s">
        <v>6</v>
      </c>
      <c r="H799" s="88"/>
      <c r="I799" s="11">
        <f>SUM(H799:H799)</f>
        <v>0</v>
      </c>
      <c r="J799" s="85"/>
    </row>
    <row r="800" spans="2:10" ht="14.25" thickBot="1" x14ac:dyDescent="0.2">
      <c r="B800" s="46" t="s">
        <v>1</v>
      </c>
      <c r="C800" s="48">
        <f>SUM(C796:C799)</f>
        <v>449</v>
      </c>
      <c r="D800" s="48">
        <f>SUM(D796:D799)</f>
        <v>449</v>
      </c>
      <c r="E800" s="49"/>
      <c r="G800" s="46" t="s">
        <v>1</v>
      </c>
      <c r="H800" s="47">
        <f>SUM(H796:H799)</f>
        <v>2908</v>
      </c>
      <c r="I800" s="48">
        <f>SUM(I796:I799)</f>
        <v>2908</v>
      </c>
      <c r="J800" s="49"/>
    </row>
    <row r="801" spans="2:10" x14ac:dyDescent="0.15">
      <c r="B801" s="10" t="s">
        <v>189</v>
      </c>
      <c r="C801" s="77">
        <v>1</v>
      </c>
      <c r="D801" s="11">
        <f t="shared" ref="D801:D825" si="42">SUM(C801:C801)</f>
        <v>1</v>
      </c>
      <c r="E801" s="12">
        <v>41968</v>
      </c>
      <c r="G801" s="15" t="s">
        <v>16</v>
      </c>
      <c r="H801" s="13">
        <v>336</v>
      </c>
      <c r="I801" s="14">
        <f>SUM(H801:H801)</f>
        <v>336</v>
      </c>
      <c r="J801" s="12">
        <v>42018</v>
      </c>
    </row>
    <row r="802" spans="2:10" x14ac:dyDescent="0.15">
      <c r="B802" s="10" t="s">
        <v>189</v>
      </c>
      <c r="C802" s="13">
        <v>1</v>
      </c>
      <c r="D802" s="14">
        <f t="shared" si="42"/>
        <v>1</v>
      </c>
      <c r="E802" s="12">
        <v>41969</v>
      </c>
      <c r="G802" s="15" t="s">
        <v>16</v>
      </c>
      <c r="H802" s="13">
        <v>1008</v>
      </c>
      <c r="I802" s="14">
        <f>SUM(H802:H802)</f>
        <v>1008</v>
      </c>
      <c r="J802" s="12">
        <v>42055</v>
      </c>
    </row>
    <row r="803" spans="2:10" x14ac:dyDescent="0.15">
      <c r="B803" s="10" t="s">
        <v>189</v>
      </c>
      <c r="C803" s="13">
        <v>5</v>
      </c>
      <c r="D803" s="14">
        <f t="shared" si="42"/>
        <v>5</v>
      </c>
      <c r="E803" s="12">
        <v>41970</v>
      </c>
      <c r="G803" s="10"/>
      <c r="H803" s="13"/>
      <c r="I803" s="14">
        <f t="shared" ref="I803:I821" si="43">SUM(H803:H803)</f>
        <v>0</v>
      </c>
      <c r="J803" s="12"/>
    </row>
    <row r="804" spans="2:10" x14ac:dyDescent="0.15">
      <c r="B804" s="10" t="s">
        <v>189</v>
      </c>
      <c r="C804" s="13">
        <v>4</v>
      </c>
      <c r="D804" s="14">
        <f t="shared" si="42"/>
        <v>4</v>
      </c>
      <c r="E804" s="12">
        <v>41974</v>
      </c>
      <c r="G804" s="78"/>
      <c r="H804" s="13"/>
      <c r="I804" s="14">
        <f t="shared" si="43"/>
        <v>0</v>
      </c>
      <c r="J804" s="12"/>
    </row>
    <row r="805" spans="2:10" x14ac:dyDescent="0.15">
      <c r="B805" s="10" t="s">
        <v>189</v>
      </c>
      <c r="C805" s="13">
        <v>1</v>
      </c>
      <c r="D805" s="14">
        <f t="shared" si="42"/>
        <v>1</v>
      </c>
      <c r="E805" s="12">
        <v>41976</v>
      </c>
      <c r="G805" s="78"/>
      <c r="H805" s="13"/>
      <c r="I805" s="14">
        <f t="shared" si="43"/>
        <v>0</v>
      </c>
      <c r="J805" s="12"/>
    </row>
    <row r="806" spans="2:10" x14ac:dyDescent="0.15">
      <c r="B806" s="10" t="s">
        <v>189</v>
      </c>
      <c r="C806" s="13">
        <v>2</v>
      </c>
      <c r="D806" s="14">
        <f t="shared" si="42"/>
        <v>2</v>
      </c>
      <c r="E806" s="12">
        <v>41979</v>
      </c>
      <c r="G806" s="78"/>
      <c r="H806" s="13"/>
      <c r="I806" s="14">
        <f t="shared" si="43"/>
        <v>0</v>
      </c>
      <c r="J806" s="12"/>
    </row>
    <row r="807" spans="2:10" x14ac:dyDescent="0.15">
      <c r="B807" s="10" t="s">
        <v>189</v>
      </c>
      <c r="C807" s="13">
        <v>2</v>
      </c>
      <c r="D807" s="14">
        <f t="shared" si="42"/>
        <v>2</v>
      </c>
      <c r="E807" s="12">
        <v>41981</v>
      </c>
      <c r="G807" s="78"/>
      <c r="H807" s="13"/>
      <c r="I807" s="14">
        <f t="shared" si="43"/>
        <v>0</v>
      </c>
      <c r="J807" s="12"/>
    </row>
    <row r="808" spans="2:10" x14ac:dyDescent="0.15">
      <c r="B808" s="10" t="s">
        <v>189</v>
      </c>
      <c r="C808" s="13">
        <v>1</v>
      </c>
      <c r="D808" s="14">
        <f t="shared" si="42"/>
        <v>1</v>
      </c>
      <c r="E808" s="12">
        <v>41982</v>
      </c>
      <c r="G808" s="78"/>
      <c r="H808" s="13"/>
      <c r="I808" s="14">
        <f t="shared" si="43"/>
        <v>0</v>
      </c>
      <c r="J808" s="12"/>
    </row>
    <row r="809" spans="2:10" x14ac:dyDescent="0.15">
      <c r="B809" s="10" t="s">
        <v>18</v>
      </c>
      <c r="C809" s="13">
        <v>2</v>
      </c>
      <c r="D809" s="14">
        <f t="shared" si="42"/>
        <v>2</v>
      </c>
      <c r="E809" s="12">
        <v>41985</v>
      </c>
      <c r="G809" s="10"/>
      <c r="H809" s="13"/>
      <c r="I809" s="14">
        <f t="shared" si="43"/>
        <v>0</v>
      </c>
      <c r="J809" s="12"/>
    </row>
    <row r="810" spans="2:10" x14ac:dyDescent="0.15">
      <c r="B810" s="10" t="s">
        <v>83</v>
      </c>
      <c r="C810" s="13">
        <v>15</v>
      </c>
      <c r="D810" s="14">
        <f t="shared" si="42"/>
        <v>15</v>
      </c>
      <c r="E810" s="12">
        <v>41989</v>
      </c>
      <c r="G810" s="78"/>
      <c r="H810" s="13"/>
      <c r="I810" s="14">
        <f t="shared" si="43"/>
        <v>0</v>
      </c>
      <c r="J810" s="12"/>
    </row>
    <row r="811" spans="2:10" x14ac:dyDescent="0.15">
      <c r="B811" s="10" t="s">
        <v>18</v>
      </c>
      <c r="C811" s="13">
        <v>1</v>
      </c>
      <c r="D811" s="14">
        <f t="shared" si="42"/>
        <v>1</v>
      </c>
      <c r="E811" s="12">
        <v>41992</v>
      </c>
      <c r="G811" s="10"/>
      <c r="H811" s="22"/>
      <c r="I811" s="23">
        <f t="shared" si="43"/>
        <v>0</v>
      </c>
      <c r="J811" s="24"/>
    </row>
    <row r="812" spans="2:10" x14ac:dyDescent="0.15">
      <c r="B812" s="10" t="s">
        <v>189</v>
      </c>
      <c r="C812" s="13">
        <v>1</v>
      </c>
      <c r="D812" s="14">
        <f t="shared" si="42"/>
        <v>1</v>
      </c>
      <c r="E812" s="12">
        <v>41992</v>
      </c>
      <c r="G812" s="27"/>
      <c r="H812" s="22"/>
      <c r="I812" s="23">
        <f t="shared" si="43"/>
        <v>0</v>
      </c>
      <c r="J812" s="24"/>
    </row>
    <row r="813" spans="2:10" x14ac:dyDescent="0.15">
      <c r="B813" s="10" t="s">
        <v>39</v>
      </c>
      <c r="C813" s="13">
        <v>10</v>
      </c>
      <c r="D813" s="14">
        <f t="shared" si="42"/>
        <v>10</v>
      </c>
      <c r="E813" s="12">
        <v>41998</v>
      </c>
      <c r="G813" s="15"/>
      <c r="H813" s="13"/>
      <c r="I813" s="14">
        <f t="shared" si="43"/>
        <v>0</v>
      </c>
      <c r="J813" s="12"/>
    </row>
    <row r="814" spans="2:10" x14ac:dyDescent="0.15">
      <c r="B814" s="10" t="s">
        <v>189</v>
      </c>
      <c r="C814" s="13">
        <v>2</v>
      </c>
      <c r="D814" s="14">
        <f t="shared" si="42"/>
        <v>2</v>
      </c>
      <c r="E814" s="12">
        <v>41997</v>
      </c>
      <c r="G814" s="10"/>
      <c r="H814" s="13"/>
      <c r="I814" s="14">
        <f t="shared" si="43"/>
        <v>0</v>
      </c>
      <c r="J814" s="12"/>
    </row>
    <row r="815" spans="2:10" x14ac:dyDescent="0.15">
      <c r="B815" s="10" t="s">
        <v>189</v>
      </c>
      <c r="C815" s="13">
        <v>1</v>
      </c>
      <c r="D815" s="14">
        <f t="shared" si="42"/>
        <v>1</v>
      </c>
      <c r="E815" s="12">
        <v>42003</v>
      </c>
      <c r="G815" s="15"/>
      <c r="H815" s="13"/>
      <c r="I815" s="14">
        <f t="shared" si="43"/>
        <v>0</v>
      </c>
      <c r="J815" s="12"/>
    </row>
    <row r="816" spans="2:10" x14ac:dyDescent="0.15">
      <c r="B816" s="81" t="s">
        <v>57</v>
      </c>
      <c r="C816" s="13">
        <v>1</v>
      </c>
      <c r="D816" s="14">
        <f t="shared" si="42"/>
        <v>1</v>
      </c>
      <c r="E816" s="12">
        <v>42011</v>
      </c>
      <c r="G816" s="21"/>
      <c r="H816" s="22"/>
      <c r="I816" s="23">
        <f t="shared" si="43"/>
        <v>0</v>
      </c>
      <c r="J816" s="24"/>
    </row>
    <row r="817" spans="2:10" x14ac:dyDescent="0.15">
      <c r="B817" s="10" t="s">
        <v>11</v>
      </c>
      <c r="C817" s="13">
        <v>107</v>
      </c>
      <c r="D817" s="14">
        <f t="shared" si="42"/>
        <v>107</v>
      </c>
      <c r="E817" s="12">
        <v>42030</v>
      </c>
      <c r="G817" s="27"/>
      <c r="H817" s="22"/>
      <c r="I817" s="23">
        <f t="shared" si="43"/>
        <v>0</v>
      </c>
      <c r="J817" s="24"/>
    </row>
    <row r="818" spans="2:10" x14ac:dyDescent="0.15">
      <c r="B818" s="10" t="s">
        <v>189</v>
      </c>
      <c r="C818" s="13">
        <v>1</v>
      </c>
      <c r="D818" s="14">
        <f t="shared" si="42"/>
        <v>1</v>
      </c>
      <c r="E818" s="12">
        <v>42012</v>
      </c>
      <c r="G818" s="15"/>
      <c r="H818" s="13"/>
      <c r="I818" s="14">
        <f t="shared" si="43"/>
        <v>0</v>
      </c>
      <c r="J818" s="5"/>
    </row>
    <row r="819" spans="2:10" x14ac:dyDescent="0.15">
      <c r="B819" s="10" t="s">
        <v>189</v>
      </c>
      <c r="C819" s="13">
        <v>2</v>
      </c>
      <c r="D819" s="14">
        <f t="shared" si="42"/>
        <v>2</v>
      </c>
      <c r="E819" s="12">
        <v>42017</v>
      </c>
      <c r="G819" s="15"/>
      <c r="H819" s="13"/>
      <c r="I819" s="14">
        <f t="shared" si="43"/>
        <v>0</v>
      </c>
      <c r="J819" s="5"/>
    </row>
    <row r="820" spans="2:10" x14ac:dyDescent="0.15">
      <c r="B820" s="10" t="s">
        <v>189</v>
      </c>
      <c r="C820" s="13">
        <v>1</v>
      </c>
      <c r="D820" s="14">
        <f t="shared" si="42"/>
        <v>1</v>
      </c>
      <c r="E820" s="5">
        <v>42023</v>
      </c>
      <c r="G820" s="75"/>
      <c r="H820" s="13"/>
      <c r="I820" s="14">
        <f t="shared" si="43"/>
        <v>0</v>
      </c>
      <c r="J820" s="5"/>
    </row>
    <row r="821" spans="2:10" x14ac:dyDescent="0.15">
      <c r="B821" s="10" t="s">
        <v>247</v>
      </c>
      <c r="C821" s="13">
        <v>2</v>
      </c>
      <c r="D821" s="14">
        <f t="shared" si="42"/>
        <v>2</v>
      </c>
      <c r="E821" s="5">
        <v>42025</v>
      </c>
      <c r="G821" s="78"/>
      <c r="H821" s="13"/>
      <c r="I821" s="14">
        <f t="shared" si="43"/>
        <v>0</v>
      </c>
      <c r="J821" s="5"/>
    </row>
    <row r="822" spans="2:10" x14ac:dyDescent="0.15">
      <c r="B822" s="10" t="s">
        <v>189</v>
      </c>
      <c r="C822" s="13">
        <v>2</v>
      </c>
      <c r="D822" s="14">
        <f t="shared" si="42"/>
        <v>2</v>
      </c>
      <c r="E822" s="5">
        <v>42024</v>
      </c>
      <c r="G822" s="81"/>
      <c r="H822" s="7"/>
      <c r="I822" s="14">
        <f>SUM(H822:H822)</f>
        <v>0</v>
      </c>
      <c r="J822" s="5"/>
    </row>
    <row r="823" spans="2:10" x14ac:dyDescent="0.15">
      <c r="B823" s="10" t="s">
        <v>189</v>
      </c>
      <c r="C823" s="13">
        <v>1</v>
      </c>
      <c r="D823" s="14">
        <f t="shared" si="42"/>
        <v>1</v>
      </c>
      <c r="E823" s="5">
        <v>42025</v>
      </c>
      <c r="G823" s="15"/>
      <c r="H823" s="7"/>
      <c r="I823" s="14">
        <f>SUM(H823:H823)</f>
        <v>0</v>
      </c>
      <c r="J823" s="12"/>
    </row>
    <row r="824" spans="2:10" ht="14.25" thickBot="1" x14ac:dyDescent="0.2">
      <c r="B824" s="10" t="s">
        <v>189</v>
      </c>
      <c r="C824" s="13">
        <v>3</v>
      </c>
      <c r="D824" s="11">
        <f t="shared" si="42"/>
        <v>3</v>
      </c>
      <c r="E824" s="12">
        <v>42026</v>
      </c>
      <c r="G824" s="15"/>
      <c r="H824" s="13"/>
      <c r="I824" s="11">
        <f>SUM(H824:H824)</f>
        <v>0</v>
      </c>
      <c r="J824" s="12"/>
    </row>
    <row r="825" spans="2:10" ht="14.25" thickBot="1" x14ac:dyDescent="0.2">
      <c r="B825" s="17" t="s">
        <v>2</v>
      </c>
      <c r="C825" s="18">
        <f>SUM(C801:C824)</f>
        <v>169</v>
      </c>
      <c r="D825" s="19">
        <f t="shared" si="42"/>
        <v>169</v>
      </c>
      <c r="E825" s="20"/>
      <c r="G825" s="17" t="s">
        <v>2</v>
      </c>
      <c r="H825" s="18">
        <f>SUM(H801:H824)</f>
        <v>1344</v>
      </c>
      <c r="I825" s="19">
        <f>SUM(H825:H825)</f>
        <v>1344</v>
      </c>
      <c r="J825" s="20"/>
    </row>
    <row r="826" spans="2:10" ht="14.25" thickBot="1" x14ac:dyDescent="0.2">
      <c r="B826" s="46" t="s">
        <v>3</v>
      </c>
      <c r="C826" s="52">
        <f>C800-C825</f>
        <v>280</v>
      </c>
      <c r="D826" s="48">
        <f>D800-D825</f>
        <v>280</v>
      </c>
      <c r="E826" s="49"/>
      <c r="G826" s="46" t="s">
        <v>3</v>
      </c>
      <c r="H826" s="52">
        <f>H800-H825</f>
        <v>1564</v>
      </c>
      <c r="I826" s="48">
        <f>I800-I825</f>
        <v>1564</v>
      </c>
      <c r="J826" s="49"/>
    </row>
    <row r="829" spans="2:10" ht="18.75" x14ac:dyDescent="0.2">
      <c r="B829" s="26" t="s">
        <v>7</v>
      </c>
      <c r="G829" s="26" t="s">
        <v>35</v>
      </c>
    </row>
    <row r="830" spans="2:10" ht="14.25" thickBot="1" x14ac:dyDescent="0.2"/>
    <row r="831" spans="2:10" ht="14.25" thickBot="1" x14ac:dyDescent="0.2">
      <c r="B831" s="1"/>
      <c r="C831" s="2"/>
      <c r="D831" s="3" t="s">
        <v>0</v>
      </c>
      <c r="E831" s="1" t="s">
        <v>4</v>
      </c>
      <c r="G831" s="1"/>
      <c r="H831" s="2"/>
      <c r="I831" s="3" t="s">
        <v>0</v>
      </c>
      <c r="J831" s="1" t="s">
        <v>4</v>
      </c>
    </row>
    <row r="832" spans="2:10" x14ac:dyDescent="0.15">
      <c r="B832" s="42" t="s">
        <v>5</v>
      </c>
      <c r="C832" s="43">
        <f>C826</f>
        <v>280</v>
      </c>
      <c r="D832" s="44">
        <f>SUM(C832:C832)</f>
        <v>280</v>
      </c>
      <c r="E832" s="45"/>
      <c r="G832" s="42" t="s">
        <v>5</v>
      </c>
      <c r="H832" s="43">
        <f>H826</f>
        <v>1564</v>
      </c>
      <c r="I832" s="44">
        <f>SUM(H832:H832)</f>
        <v>1564</v>
      </c>
      <c r="J832" s="45"/>
    </row>
    <row r="833" spans="2:10" x14ac:dyDescent="0.15">
      <c r="B833" s="6" t="s">
        <v>6</v>
      </c>
      <c r="C833" s="13">
        <v>1008</v>
      </c>
      <c r="D833" s="14">
        <f>SUM(C833:C833)</f>
        <v>1008</v>
      </c>
      <c r="E833" s="5">
        <v>42055</v>
      </c>
      <c r="G833" s="71" t="s">
        <v>6</v>
      </c>
      <c r="H833" s="13"/>
      <c r="I833" s="14">
        <f>SUM(H833:H833)</f>
        <v>0</v>
      </c>
      <c r="J833" s="5"/>
    </row>
    <row r="834" spans="2:10" x14ac:dyDescent="0.15">
      <c r="B834" s="6" t="s">
        <v>6</v>
      </c>
      <c r="C834" s="13">
        <v>1008</v>
      </c>
      <c r="D834" s="8">
        <f>SUM(C834:C834)</f>
        <v>1008</v>
      </c>
      <c r="E834" s="9">
        <v>42073</v>
      </c>
      <c r="G834" s="71" t="s">
        <v>6</v>
      </c>
      <c r="H834" s="67">
        <v>2500</v>
      </c>
      <c r="I834" s="14">
        <f>SUM(H834:H834)</f>
        <v>2500</v>
      </c>
      <c r="J834" s="5">
        <v>41699</v>
      </c>
    </row>
    <row r="835" spans="2:10" ht="14.25" thickBot="1" x14ac:dyDescent="0.2">
      <c r="B835" s="6" t="s">
        <v>6</v>
      </c>
      <c r="C835" s="7"/>
      <c r="D835" s="14">
        <f>SUM(C835:C835)</f>
        <v>0</v>
      </c>
      <c r="E835" s="16"/>
      <c r="G835" s="6" t="s">
        <v>6</v>
      </c>
      <c r="H835" s="88"/>
      <c r="I835" s="11">
        <f>SUM(H835:H835)</f>
        <v>0</v>
      </c>
      <c r="J835" s="85"/>
    </row>
    <row r="836" spans="2:10" ht="14.25" thickBot="1" x14ac:dyDescent="0.2">
      <c r="B836" s="46" t="s">
        <v>1</v>
      </c>
      <c r="C836" s="48">
        <f>SUM(C832:C835)</f>
        <v>2296</v>
      </c>
      <c r="D836" s="48">
        <f>SUM(D832:D835)</f>
        <v>2296</v>
      </c>
      <c r="E836" s="49"/>
      <c r="G836" s="46" t="s">
        <v>1</v>
      </c>
      <c r="H836" s="47">
        <f>SUM(H832:H835)</f>
        <v>4064</v>
      </c>
      <c r="I836" s="48">
        <f>SUM(I832:I835)</f>
        <v>4064</v>
      </c>
      <c r="J836" s="49"/>
    </row>
    <row r="837" spans="2:10" x14ac:dyDescent="0.15">
      <c r="B837" s="10" t="s">
        <v>189</v>
      </c>
      <c r="C837" s="77">
        <v>2</v>
      </c>
      <c r="D837" s="11">
        <f t="shared" ref="D837:D861" si="44">SUM(C837:C837)</f>
        <v>2</v>
      </c>
      <c r="E837" s="12">
        <v>42027</v>
      </c>
      <c r="G837" s="15" t="s">
        <v>16</v>
      </c>
      <c r="H837" s="13">
        <v>1008</v>
      </c>
      <c r="I837" s="11">
        <f>SUM(H837:H837)</f>
        <v>1008</v>
      </c>
      <c r="J837" s="12">
        <v>42073</v>
      </c>
    </row>
    <row r="838" spans="2:10" x14ac:dyDescent="0.15">
      <c r="B838" s="10" t="s">
        <v>189</v>
      </c>
      <c r="C838" s="13">
        <v>1</v>
      </c>
      <c r="D838" s="14">
        <f t="shared" si="44"/>
        <v>1</v>
      </c>
      <c r="E838" s="12">
        <v>42030</v>
      </c>
      <c r="G838" s="15" t="s">
        <v>16</v>
      </c>
      <c r="H838" s="13">
        <v>1008</v>
      </c>
      <c r="I838" s="14">
        <f>SUM(H838:H838)</f>
        <v>1008</v>
      </c>
      <c r="J838" s="12">
        <v>42091</v>
      </c>
    </row>
    <row r="839" spans="2:10" x14ac:dyDescent="0.15">
      <c r="B839" s="10" t="s">
        <v>189</v>
      </c>
      <c r="C839" s="13">
        <v>1</v>
      </c>
      <c r="D839" s="14">
        <f t="shared" si="44"/>
        <v>1</v>
      </c>
      <c r="E839" s="12">
        <v>42032</v>
      </c>
      <c r="G839" s="10"/>
      <c r="H839" s="13"/>
      <c r="I839" s="14">
        <f t="shared" ref="I839:I857" si="45">SUM(H839:H839)</f>
        <v>0</v>
      </c>
      <c r="J839" s="12"/>
    </row>
    <row r="840" spans="2:10" x14ac:dyDescent="0.15">
      <c r="B840" s="10" t="s">
        <v>189</v>
      </c>
      <c r="C840" s="13">
        <v>1</v>
      </c>
      <c r="D840" s="14">
        <f t="shared" si="44"/>
        <v>1</v>
      </c>
      <c r="E840" s="12">
        <v>42038</v>
      </c>
      <c r="G840" s="78"/>
      <c r="H840" s="13"/>
      <c r="I840" s="14">
        <f t="shared" si="45"/>
        <v>0</v>
      </c>
      <c r="J840" s="12"/>
    </row>
    <row r="841" spans="2:10" x14ac:dyDescent="0.15">
      <c r="B841" s="10" t="s">
        <v>189</v>
      </c>
      <c r="C841" s="13">
        <v>3</v>
      </c>
      <c r="D841" s="14">
        <f t="shared" si="44"/>
        <v>3</v>
      </c>
      <c r="E841" s="12">
        <v>42040</v>
      </c>
      <c r="G841" s="78"/>
      <c r="H841" s="13"/>
      <c r="I841" s="14">
        <f t="shared" si="45"/>
        <v>0</v>
      </c>
      <c r="J841" s="12"/>
    </row>
    <row r="842" spans="2:10" x14ac:dyDescent="0.15">
      <c r="B842" s="10" t="s">
        <v>189</v>
      </c>
      <c r="C842" s="13">
        <v>1</v>
      </c>
      <c r="D842" s="14">
        <f t="shared" si="44"/>
        <v>1</v>
      </c>
      <c r="E842" s="12">
        <v>42042</v>
      </c>
      <c r="G842" s="78"/>
      <c r="H842" s="13"/>
      <c r="I842" s="14">
        <f t="shared" si="45"/>
        <v>0</v>
      </c>
      <c r="J842" s="12"/>
    </row>
    <row r="843" spans="2:10" x14ac:dyDescent="0.15">
      <c r="B843" s="10" t="s">
        <v>57</v>
      </c>
      <c r="C843" s="13">
        <v>1</v>
      </c>
      <c r="D843" s="14">
        <f t="shared" si="44"/>
        <v>1</v>
      </c>
      <c r="E843" s="12">
        <v>42048</v>
      </c>
      <c r="G843" s="78"/>
      <c r="H843" s="13"/>
      <c r="I843" s="14">
        <f t="shared" si="45"/>
        <v>0</v>
      </c>
      <c r="J843" s="12"/>
    </row>
    <row r="844" spans="2:10" x14ac:dyDescent="0.15">
      <c r="B844" s="10" t="s">
        <v>189</v>
      </c>
      <c r="C844" s="13">
        <v>2</v>
      </c>
      <c r="D844" s="14">
        <f t="shared" si="44"/>
        <v>2</v>
      </c>
      <c r="E844" s="12">
        <v>42047</v>
      </c>
      <c r="G844" s="78"/>
      <c r="H844" s="13"/>
      <c r="I844" s="14">
        <f t="shared" si="45"/>
        <v>0</v>
      </c>
      <c r="J844" s="12"/>
    </row>
    <row r="845" spans="2:10" x14ac:dyDescent="0.15">
      <c r="B845" s="10" t="s">
        <v>189</v>
      </c>
      <c r="C845" s="13">
        <v>6</v>
      </c>
      <c r="D845" s="14">
        <f t="shared" si="44"/>
        <v>6</v>
      </c>
      <c r="E845" s="12">
        <v>42051</v>
      </c>
      <c r="G845" s="10"/>
      <c r="H845" s="13"/>
      <c r="I845" s="14">
        <f t="shared" si="45"/>
        <v>0</v>
      </c>
      <c r="J845" s="12"/>
    </row>
    <row r="846" spans="2:10" x14ac:dyDescent="0.15">
      <c r="B846" s="10" t="s">
        <v>189</v>
      </c>
      <c r="C846" s="13">
        <v>1</v>
      </c>
      <c r="D846" s="14">
        <f t="shared" si="44"/>
        <v>1</v>
      </c>
      <c r="E846" s="12">
        <v>42052</v>
      </c>
      <c r="G846" s="78"/>
      <c r="H846" s="13"/>
      <c r="I846" s="14">
        <f t="shared" si="45"/>
        <v>0</v>
      </c>
      <c r="J846" s="12"/>
    </row>
    <row r="847" spans="2:10" x14ac:dyDescent="0.15">
      <c r="B847" s="10" t="s">
        <v>18</v>
      </c>
      <c r="C847" s="13">
        <v>26</v>
      </c>
      <c r="D847" s="14">
        <f t="shared" si="44"/>
        <v>26</v>
      </c>
      <c r="E847" s="12">
        <v>42055</v>
      </c>
      <c r="G847" s="10"/>
      <c r="H847" s="22"/>
      <c r="I847" s="23">
        <f t="shared" si="45"/>
        <v>0</v>
      </c>
      <c r="J847" s="24"/>
    </row>
    <row r="848" spans="2:10" x14ac:dyDescent="0.15">
      <c r="B848" s="10" t="s">
        <v>189</v>
      </c>
      <c r="C848" s="13">
        <v>2</v>
      </c>
      <c r="D848" s="14">
        <f t="shared" si="44"/>
        <v>2</v>
      </c>
      <c r="E848" s="12">
        <v>42053</v>
      </c>
      <c r="G848" s="27"/>
      <c r="H848" s="22"/>
      <c r="I848" s="23">
        <f t="shared" si="45"/>
        <v>0</v>
      </c>
      <c r="J848" s="24"/>
    </row>
    <row r="849" spans="2:10" x14ac:dyDescent="0.15">
      <c r="B849" s="10" t="s">
        <v>189</v>
      </c>
      <c r="C849" s="13">
        <v>3</v>
      </c>
      <c r="D849" s="14">
        <f t="shared" si="44"/>
        <v>3</v>
      </c>
      <c r="E849" s="12">
        <v>42054</v>
      </c>
      <c r="G849" s="15"/>
      <c r="H849" s="13"/>
      <c r="I849" s="14">
        <f t="shared" si="45"/>
        <v>0</v>
      </c>
      <c r="J849" s="12"/>
    </row>
    <row r="850" spans="2:10" x14ac:dyDescent="0.15">
      <c r="B850" s="10" t="s">
        <v>189</v>
      </c>
      <c r="C850" s="13">
        <v>1</v>
      </c>
      <c r="D850" s="14">
        <f t="shared" si="44"/>
        <v>1</v>
      </c>
      <c r="E850" s="12">
        <v>42056</v>
      </c>
      <c r="G850" s="10"/>
      <c r="H850" s="13"/>
      <c r="I850" s="14">
        <f t="shared" si="45"/>
        <v>0</v>
      </c>
      <c r="J850" s="12"/>
    </row>
    <row r="851" spans="2:10" x14ac:dyDescent="0.15">
      <c r="B851" s="10" t="s">
        <v>189</v>
      </c>
      <c r="C851" s="13">
        <v>3</v>
      </c>
      <c r="D851" s="14">
        <f t="shared" si="44"/>
        <v>3</v>
      </c>
      <c r="E851" s="12">
        <v>42058</v>
      </c>
      <c r="G851" s="15"/>
      <c r="H851" s="13"/>
      <c r="I851" s="14">
        <f t="shared" si="45"/>
        <v>0</v>
      </c>
      <c r="J851" s="12"/>
    </row>
    <row r="852" spans="2:10" x14ac:dyDescent="0.15">
      <c r="B852" s="10" t="s">
        <v>189</v>
      </c>
      <c r="C852" s="13">
        <v>1</v>
      </c>
      <c r="D852" s="14">
        <f t="shared" si="44"/>
        <v>1</v>
      </c>
      <c r="E852" s="12">
        <v>42062</v>
      </c>
      <c r="G852" s="21"/>
      <c r="H852" s="22"/>
      <c r="I852" s="23">
        <f t="shared" si="45"/>
        <v>0</v>
      </c>
      <c r="J852" s="24"/>
    </row>
    <row r="853" spans="2:10" x14ac:dyDescent="0.15">
      <c r="B853" s="10" t="s">
        <v>189</v>
      </c>
      <c r="C853" s="13">
        <v>1</v>
      </c>
      <c r="D853" s="14">
        <f t="shared" si="44"/>
        <v>1</v>
      </c>
      <c r="E853" s="12">
        <v>42061</v>
      </c>
      <c r="G853" s="27"/>
      <c r="H853" s="22"/>
      <c r="I853" s="23">
        <f t="shared" si="45"/>
        <v>0</v>
      </c>
      <c r="J853" s="24"/>
    </row>
    <row r="854" spans="2:10" x14ac:dyDescent="0.15">
      <c r="B854" s="10" t="s">
        <v>18</v>
      </c>
      <c r="C854" s="13">
        <v>12</v>
      </c>
      <c r="D854" s="14">
        <f t="shared" si="44"/>
        <v>12</v>
      </c>
      <c r="E854" s="12">
        <v>42066</v>
      </c>
      <c r="G854" s="15"/>
      <c r="H854" s="13"/>
      <c r="I854" s="14">
        <f t="shared" si="45"/>
        <v>0</v>
      </c>
      <c r="J854" s="5"/>
    </row>
    <row r="855" spans="2:10" x14ac:dyDescent="0.15">
      <c r="B855" s="10" t="s">
        <v>83</v>
      </c>
      <c r="C855" s="13">
        <v>10</v>
      </c>
      <c r="D855" s="14">
        <f t="shared" si="44"/>
        <v>10</v>
      </c>
      <c r="E855" s="12">
        <v>42068</v>
      </c>
      <c r="G855" s="15"/>
      <c r="H855" s="13"/>
      <c r="I855" s="14">
        <f t="shared" si="45"/>
        <v>0</v>
      </c>
      <c r="J855" s="5"/>
    </row>
    <row r="856" spans="2:10" x14ac:dyDescent="0.15">
      <c r="B856" s="10" t="s">
        <v>18</v>
      </c>
      <c r="C856" s="13">
        <v>48</v>
      </c>
      <c r="D856" s="14">
        <f t="shared" si="44"/>
        <v>48</v>
      </c>
      <c r="E856" s="5">
        <v>42069</v>
      </c>
      <c r="G856" s="75"/>
      <c r="H856" s="13"/>
      <c r="I856" s="14">
        <f t="shared" si="45"/>
        <v>0</v>
      </c>
      <c r="J856" s="5"/>
    </row>
    <row r="857" spans="2:10" x14ac:dyDescent="0.15">
      <c r="B857" s="10" t="s">
        <v>253</v>
      </c>
      <c r="C857" s="13">
        <v>50</v>
      </c>
      <c r="D857" s="14">
        <f t="shared" si="44"/>
        <v>50</v>
      </c>
      <c r="E857" s="5">
        <v>42074</v>
      </c>
      <c r="G857" s="78"/>
      <c r="H857" s="13"/>
      <c r="I857" s="14">
        <f t="shared" si="45"/>
        <v>0</v>
      </c>
      <c r="J857" s="5"/>
    </row>
    <row r="858" spans="2:10" x14ac:dyDescent="0.15">
      <c r="B858" s="10" t="s">
        <v>189</v>
      </c>
      <c r="C858" s="13">
        <v>1</v>
      </c>
      <c r="D858" s="14">
        <f t="shared" si="44"/>
        <v>1</v>
      </c>
      <c r="E858" s="5">
        <v>42070</v>
      </c>
      <c r="G858" s="15"/>
      <c r="H858" s="7"/>
      <c r="I858" s="14">
        <f>SUM(H858:H858)</f>
        <v>0</v>
      </c>
      <c r="J858" s="5"/>
    </row>
    <row r="859" spans="2:10" x14ac:dyDescent="0.15">
      <c r="B859" s="10" t="s">
        <v>18</v>
      </c>
      <c r="C859" s="13">
        <v>10</v>
      </c>
      <c r="D859" s="14">
        <f t="shared" si="44"/>
        <v>10</v>
      </c>
      <c r="E859" s="5">
        <v>42080</v>
      </c>
      <c r="G859" s="81"/>
      <c r="H859" s="7"/>
      <c r="I859" s="14">
        <f>SUM(H859:H859)</f>
        <v>0</v>
      </c>
      <c r="J859" s="5"/>
    </row>
    <row r="860" spans="2:10" ht="14.25" thickBot="1" x14ac:dyDescent="0.2">
      <c r="B860" s="15" t="s">
        <v>189</v>
      </c>
      <c r="C860" s="13">
        <v>1</v>
      </c>
      <c r="D860" s="11">
        <f t="shared" si="44"/>
        <v>1</v>
      </c>
      <c r="E860" s="12">
        <v>42079</v>
      </c>
      <c r="G860" s="15"/>
      <c r="H860" s="7"/>
      <c r="I860" s="14">
        <f>SUM(H860:H860)</f>
        <v>0</v>
      </c>
      <c r="J860" s="12"/>
    </row>
    <row r="861" spans="2:10" ht="14.25" thickBot="1" x14ac:dyDescent="0.2">
      <c r="B861" s="17" t="s">
        <v>2</v>
      </c>
      <c r="C861" s="18">
        <f>SUM(C837:C860)</f>
        <v>188</v>
      </c>
      <c r="D861" s="19">
        <f t="shared" si="44"/>
        <v>188</v>
      </c>
      <c r="E861" s="20"/>
      <c r="G861" s="17" t="s">
        <v>2</v>
      </c>
      <c r="H861" s="18">
        <f>SUM(H837:H860)</f>
        <v>2016</v>
      </c>
      <c r="I861" s="19">
        <f>SUM(H861:H861)</f>
        <v>2016</v>
      </c>
      <c r="J861" s="20"/>
    </row>
    <row r="862" spans="2:10" ht="14.25" thickBot="1" x14ac:dyDescent="0.2">
      <c r="B862" s="46" t="s">
        <v>3</v>
      </c>
      <c r="C862" s="52">
        <f>C836-C861</f>
        <v>2108</v>
      </c>
      <c r="D862" s="48">
        <f>D836-D861</f>
        <v>2108</v>
      </c>
      <c r="E862" s="49"/>
      <c r="G862" s="46" t="s">
        <v>3</v>
      </c>
      <c r="H862" s="52">
        <f>H836-H861</f>
        <v>2048</v>
      </c>
      <c r="I862" s="48">
        <f>I836-I861</f>
        <v>2048</v>
      </c>
      <c r="J862" s="49"/>
    </row>
    <row r="865" spans="2:10" ht="18.75" x14ac:dyDescent="0.2">
      <c r="B865" s="26" t="s">
        <v>7</v>
      </c>
      <c r="G865" s="26" t="s">
        <v>35</v>
      </c>
    </row>
    <row r="866" spans="2:10" ht="14.25" thickBot="1" x14ac:dyDescent="0.2"/>
    <row r="867" spans="2:10" ht="14.25" thickBot="1" x14ac:dyDescent="0.2">
      <c r="B867" s="1"/>
      <c r="C867" s="2"/>
      <c r="D867" s="3" t="s">
        <v>0</v>
      </c>
      <c r="E867" s="1" t="s">
        <v>4</v>
      </c>
      <c r="G867" s="1"/>
      <c r="H867" s="2"/>
      <c r="I867" s="3" t="s">
        <v>0</v>
      </c>
      <c r="J867" s="1" t="s">
        <v>4</v>
      </c>
    </row>
    <row r="868" spans="2:10" x14ac:dyDescent="0.15">
      <c r="B868" s="42" t="s">
        <v>5</v>
      </c>
      <c r="C868" s="43">
        <f>C862</f>
        <v>2108</v>
      </c>
      <c r="D868" s="44">
        <f>SUM(C868:C868)</f>
        <v>2108</v>
      </c>
      <c r="E868" s="45"/>
      <c r="G868" s="42" t="s">
        <v>5</v>
      </c>
      <c r="H868" s="43">
        <f>H862</f>
        <v>2048</v>
      </c>
      <c r="I868" s="44">
        <f>SUM(H868:H868)</f>
        <v>2048</v>
      </c>
      <c r="J868" s="45"/>
    </row>
    <row r="869" spans="2:10" x14ac:dyDescent="0.15">
      <c r="B869" s="6" t="s">
        <v>6</v>
      </c>
      <c r="C869" s="13">
        <v>1008</v>
      </c>
      <c r="D869" s="14">
        <f>SUM(C869:C869)</f>
        <v>1008</v>
      </c>
      <c r="E869" s="5">
        <v>42091</v>
      </c>
      <c r="G869" s="71" t="s">
        <v>6</v>
      </c>
      <c r="H869" s="13"/>
      <c r="I869" s="14">
        <f>SUM(H869:H869)</f>
        <v>0</v>
      </c>
      <c r="J869" s="5"/>
    </row>
    <row r="870" spans="2:10" x14ac:dyDescent="0.15">
      <c r="B870" s="6" t="s">
        <v>6</v>
      </c>
      <c r="C870" s="7">
        <v>672</v>
      </c>
      <c r="D870" s="8">
        <f>SUM(C870:C870)</f>
        <v>672</v>
      </c>
      <c r="E870" s="9">
        <v>42103</v>
      </c>
      <c r="G870" s="71" t="s">
        <v>6</v>
      </c>
      <c r="H870" s="67">
        <v>2500</v>
      </c>
      <c r="I870" s="14">
        <f>SUM(H870:H870)</f>
        <v>2500</v>
      </c>
      <c r="J870" s="5">
        <v>41730</v>
      </c>
    </row>
    <row r="871" spans="2:10" ht="14.25" thickBot="1" x14ac:dyDescent="0.2">
      <c r="B871" s="6" t="s">
        <v>105</v>
      </c>
      <c r="C871" s="7">
        <v>1</v>
      </c>
      <c r="D871" s="14">
        <f>SUM(C871:C871)</f>
        <v>1</v>
      </c>
      <c r="E871" s="16">
        <v>42102</v>
      </c>
      <c r="G871" s="6" t="s">
        <v>6</v>
      </c>
      <c r="H871" s="88"/>
      <c r="I871" s="11">
        <f>SUM(H871:H871)</f>
        <v>0</v>
      </c>
      <c r="J871" s="85"/>
    </row>
    <row r="872" spans="2:10" ht="14.25" thickBot="1" x14ac:dyDescent="0.2">
      <c r="B872" s="46" t="s">
        <v>1</v>
      </c>
      <c r="C872" s="48">
        <f>SUM(C868:C871)</f>
        <v>3789</v>
      </c>
      <c r="D872" s="48">
        <f>SUM(D868:D871)</f>
        <v>3789</v>
      </c>
      <c r="E872" s="49"/>
      <c r="G872" s="46" t="s">
        <v>1</v>
      </c>
      <c r="H872" s="47">
        <f>SUM(H868:H871)</f>
        <v>4548</v>
      </c>
      <c r="I872" s="48">
        <f>SUM(I868:I871)</f>
        <v>4548</v>
      </c>
      <c r="J872" s="49"/>
    </row>
    <row r="873" spans="2:10" x14ac:dyDescent="0.15">
      <c r="B873" s="10" t="s">
        <v>254</v>
      </c>
      <c r="C873" s="77">
        <v>30</v>
      </c>
      <c r="D873" s="11">
        <f t="shared" ref="D873:D897" si="46">SUM(C873:C873)</f>
        <v>30</v>
      </c>
      <c r="E873" s="12">
        <v>42083</v>
      </c>
      <c r="G873" s="15" t="s">
        <v>16</v>
      </c>
      <c r="H873" s="13">
        <v>672</v>
      </c>
      <c r="I873" s="11">
        <f>SUM(H873:H873)</f>
        <v>672</v>
      </c>
      <c r="J873" s="12">
        <v>42103</v>
      </c>
    </row>
    <row r="874" spans="2:10" x14ac:dyDescent="0.15">
      <c r="B874" s="10" t="s">
        <v>18</v>
      </c>
      <c r="C874" s="13">
        <v>33</v>
      </c>
      <c r="D874" s="14">
        <f t="shared" si="46"/>
        <v>33</v>
      </c>
      <c r="E874" s="12">
        <v>42083</v>
      </c>
      <c r="G874" s="15"/>
      <c r="H874" s="13"/>
      <c r="I874" s="14">
        <f>SUM(H874:H874)</f>
        <v>0</v>
      </c>
      <c r="J874" s="12"/>
    </row>
    <row r="875" spans="2:10" x14ac:dyDescent="0.15">
      <c r="B875" s="81" t="s">
        <v>255</v>
      </c>
      <c r="C875" s="13">
        <v>100</v>
      </c>
      <c r="D875" s="14">
        <f t="shared" si="46"/>
        <v>100</v>
      </c>
      <c r="E875" s="12">
        <v>42090</v>
      </c>
      <c r="G875" s="10"/>
      <c r="H875" s="13"/>
      <c r="I875" s="14">
        <f t="shared" ref="I875:I897" si="47">SUM(H875:H875)</f>
        <v>0</v>
      </c>
      <c r="J875" s="12"/>
    </row>
    <row r="876" spans="2:10" x14ac:dyDescent="0.15">
      <c r="B876" s="10" t="s">
        <v>189</v>
      </c>
      <c r="C876" s="13">
        <v>2</v>
      </c>
      <c r="D876" s="14">
        <f t="shared" si="46"/>
        <v>2</v>
      </c>
      <c r="E876" s="12">
        <v>42082</v>
      </c>
      <c r="G876" s="78"/>
      <c r="H876" s="13"/>
      <c r="I876" s="14">
        <f t="shared" si="47"/>
        <v>0</v>
      </c>
      <c r="J876" s="12"/>
    </row>
    <row r="877" spans="2:10" x14ac:dyDescent="0.15">
      <c r="B877" s="10" t="s">
        <v>18</v>
      </c>
      <c r="C877" s="13">
        <v>19</v>
      </c>
      <c r="D877" s="14">
        <f t="shared" si="46"/>
        <v>19</v>
      </c>
      <c r="E877" s="12">
        <v>42089</v>
      </c>
      <c r="G877" s="78"/>
      <c r="H877" s="13"/>
      <c r="I877" s="14">
        <f t="shared" si="47"/>
        <v>0</v>
      </c>
      <c r="J877" s="12"/>
    </row>
    <row r="878" spans="2:10" x14ac:dyDescent="0.15">
      <c r="B878" s="10" t="s">
        <v>256</v>
      </c>
      <c r="C878" s="13">
        <v>1</v>
      </c>
      <c r="D878" s="14">
        <f t="shared" si="46"/>
        <v>1</v>
      </c>
      <c r="E878" s="12">
        <v>42088</v>
      </c>
      <c r="G878" s="78"/>
      <c r="H878" s="13"/>
      <c r="I878" s="14">
        <f t="shared" si="47"/>
        <v>0</v>
      </c>
      <c r="J878" s="12"/>
    </row>
    <row r="879" spans="2:10" x14ac:dyDescent="0.15">
      <c r="B879" s="10" t="s">
        <v>11</v>
      </c>
      <c r="C879" s="13">
        <v>130</v>
      </c>
      <c r="D879" s="14">
        <f t="shared" si="46"/>
        <v>130</v>
      </c>
      <c r="E879" s="12">
        <v>42101</v>
      </c>
      <c r="G879" s="78"/>
      <c r="H879" s="13"/>
      <c r="I879" s="14">
        <f t="shared" si="47"/>
        <v>0</v>
      </c>
      <c r="J879" s="12"/>
    </row>
    <row r="880" spans="2:10" x14ac:dyDescent="0.15">
      <c r="B880" s="10" t="s">
        <v>189</v>
      </c>
      <c r="C880" s="13">
        <v>1</v>
      </c>
      <c r="D880" s="14">
        <f t="shared" si="46"/>
        <v>1</v>
      </c>
      <c r="E880" s="12">
        <v>42088</v>
      </c>
      <c r="G880" s="78"/>
      <c r="H880" s="13"/>
      <c r="I880" s="14">
        <f t="shared" si="47"/>
        <v>0</v>
      </c>
      <c r="J880" s="12"/>
    </row>
    <row r="881" spans="2:10" x14ac:dyDescent="0.15">
      <c r="B881" s="10" t="s">
        <v>189</v>
      </c>
      <c r="C881" s="13">
        <v>1</v>
      </c>
      <c r="D881" s="14">
        <f t="shared" si="46"/>
        <v>1</v>
      </c>
      <c r="E881" s="12">
        <v>42089</v>
      </c>
      <c r="G881" s="10"/>
      <c r="H881" s="13"/>
      <c r="I881" s="14">
        <f t="shared" si="47"/>
        <v>0</v>
      </c>
      <c r="J881" s="12"/>
    </row>
    <row r="882" spans="2:10" x14ac:dyDescent="0.15">
      <c r="B882" s="15" t="s">
        <v>257</v>
      </c>
      <c r="C882" s="13">
        <v>100</v>
      </c>
      <c r="D882" s="14">
        <f t="shared" si="46"/>
        <v>100</v>
      </c>
      <c r="E882" s="12">
        <v>42097</v>
      </c>
      <c r="G882" s="78"/>
      <c r="H882" s="13"/>
      <c r="I882" s="14">
        <f t="shared" si="47"/>
        <v>0</v>
      </c>
      <c r="J882" s="12"/>
    </row>
    <row r="883" spans="2:10" x14ac:dyDescent="0.15">
      <c r="B883" s="10" t="s">
        <v>189</v>
      </c>
      <c r="C883" s="13">
        <v>1</v>
      </c>
      <c r="D883" s="14">
        <f t="shared" si="46"/>
        <v>1</v>
      </c>
      <c r="E883" s="12">
        <v>42091</v>
      </c>
      <c r="G883" s="10"/>
      <c r="H883" s="22"/>
      <c r="I883" s="23">
        <f t="shared" si="47"/>
        <v>0</v>
      </c>
      <c r="J883" s="24"/>
    </row>
    <row r="884" spans="2:10" x14ac:dyDescent="0.15">
      <c r="B884" s="10" t="s">
        <v>18</v>
      </c>
      <c r="C884" s="13">
        <v>13</v>
      </c>
      <c r="D884" s="14">
        <f t="shared" si="46"/>
        <v>13</v>
      </c>
      <c r="E884" s="12">
        <v>42094</v>
      </c>
      <c r="G884" s="27"/>
      <c r="H884" s="22"/>
      <c r="I884" s="23">
        <f t="shared" si="47"/>
        <v>0</v>
      </c>
      <c r="J884" s="24"/>
    </row>
    <row r="885" spans="2:10" x14ac:dyDescent="0.15">
      <c r="B885" s="10" t="s">
        <v>189</v>
      </c>
      <c r="C885" s="13">
        <v>1</v>
      </c>
      <c r="D885" s="14">
        <f t="shared" si="46"/>
        <v>1</v>
      </c>
      <c r="E885" s="12">
        <v>42093</v>
      </c>
      <c r="G885" s="15"/>
      <c r="H885" s="13"/>
      <c r="I885" s="14">
        <f t="shared" si="47"/>
        <v>0</v>
      </c>
      <c r="J885" s="12"/>
    </row>
    <row r="886" spans="2:10" x14ac:dyDescent="0.15">
      <c r="B886" s="10" t="s">
        <v>18</v>
      </c>
      <c r="C886" s="13">
        <v>77</v>
      </c>
      <c r="D886" s="14">
        <f t="shared" si="46"/>
        <v>77</v>
      </c>
      <c r="E886" s="12">
        <v>42096</v>
      </c>
      <c r="G886" s="10"/>
      <c r="H886" s="13"/>
      <c r="I886" s="14">
        <f t="shared" si="47"/>
        <v>0</v>
      </c>
      <c r="J886" s="12"/>
    </row>
    <row r="887" spans="2:10" x14ac:dyDescent="0.15">
      <c r="B887" s="10" t="s">
        <v>189</v>
      </c>
      <c r="C887" s="13">
        <v>1</v>
      </c>
      <c r="D887" s="14">
        <f t="shared" si="46"/>
        <v>1</v>
      </c>
      <c r="E887" s="12">
        <v>42095</v>
      </c>
      <c r="G887" s="15"/>
      <c r="H887" s="13"/>
      <c r="I887" s="14">
        <f t="shared" si="47"/>
        <v>0</v>
      </c>
      <c r="J887" s="12"/>
    </row>
    <row r="888" spans="2:10" x14ac:dyDescent="0.15">
      <c r="B888" s="10" t="s">
        <v>189</v>
      </c>
      <c r="C888" s="13">
        <v>1</v>
      </c>
      <c r="D888" s="14">
        <f t="shared" si="46"/>
        <v>1</v>
      </c>
      <c r="E888" s="12">
        <v>42094</v>
      </c>
      <c r="G888" s="21"/>
      <c r="H888" s="22"/>
      <c r="I888" s="23">
        <f t="shared" si="47"/>
        <v>0</v>
      </c>
      <c r="J888" s="24"/>
    </row>
    <row r="889" spans="2:10" x14ac:dyDescent="0.15">
      <c r="B889" s="10" t="s">
        <v>262</v>
      </c>
      <c r="C889" s="13">
        <v>400</v>
      </c>
      <c r="D889" s="14">
        <f t="shared" si="46"/>
        <v>400</v>
      </c>
      <c r="E889" s="12">
        <v>42100</v>
      </c>
      <c r="G889" s="27"/>
      <c r="H889" s="22"/>
      <c r="I889" s="23">
        <f t="shared" si="47"/>
        <v>0</v>
      </c>
      <c r="J889" s="24"/>
    </row>
    <row r="890" spans="2:10" x14ac:dyDescent="0.15">
      <c r="B890" s="10" t="s">
        <v>189</v>
      </c>
      <c r="C890" s="13">
        <v>3</v>
      </c>
      <c r="D890" s="14">
        <f t="shared" si="46"/>
        <v>3</v>
      </c>
      <c r="E890" s="12">
        <v>42098</v>
      </c>
      <c r="G890" s="15"/>
      <c r="H890" s="13"/>
      <c r="I890" s="14">
        <f t="shared" si="47"/>
        <v>0</v>
      </c>
      <c r="J890" s="5"/>
    </row>
    <row r="891" spans="2:10" x14ac:dyDescent="0.15">
      <c r="B891" s="10" t="s">
        <v>18</v>
      </c>
      <c r="C891" s="13">
        <v>38</v>
      </c>
      <c r="D891" s="14">
        <f t="shared" si="46"/>
        <v>38</v>
      </c>
      <c r="E891" s="12">
        <v>42101</v>
      </c>
      <c r="G891" s="81"/>
      <c r="H891" s="13"/>
      <c r="I891" s="14">
        <f t="shared" si="47"/>
        <v>0</v>
      </c>
      <c r="J891" s="5"/>
    </row>
    <row r="892" spans="2:10" x14ac:dyDescent="0.15">
      <c r="B892" s="10" t="s">
        <v>189</v>
      </c>
      <c r="C892" s="13">
        <v>3</v>
      </c>
      <c r="D892" s="14">
        <f t="shared" si="46"/>
        <v>3</v>
      </c>
      <c r="E892" s="5">
        <v>42100</v>
      </c>
      <c r="G892" s="15"/>
      <c r="H892" s="13"/>
      <c r="I892" s="14">
        <f t="shared" si="47"/>
        <v>0</v>
      </c>
      <c r="J892" s="5"/>
    </row>
    <row r="893" spans="2:10" x14ac:dyDescent="0.15">
      <c r="B893" s="10" t="s">
        <v>264</v>
      </c>
      <c r="C893" s="13">
        <v>400</v>
      </c>
      <c r="D893" s="14">
        <f t="shared" si="46"/>
        <v>400</v>
      </c>
      <c r="E893" s="5">
        <v>42103</v>
      </c>
      <c r="G893" s="81"/>
      <c r="H893" s="13"/>
      <c r="I893" s="14">
        <f>SUM(H893:H893)</f>
        <v>0</v>
      </c>
      <c r="J893" s="5"/>
    </row>
    <row r="894" spans="2:10" x14ac:dyDescent="0.15">
      <c r="B894" s="10" t="s">
        <v>18</v>
      </c>
      <c r="C894" s="13">
        <v>34</v>
      </c>
      <c r="D894" s="14">
        <f t="shared" si="46"/>
        <v>34</v>
      </c>
      <c r="E894" s="5">
        <v>42103</v>
      </c>
      <c r="G894" s="99"/>
      <c r="H894" s="13"/>
      <c r="I894" s="14">
        <f t="shared" si="47"/>
        <v>0</v>
      </c>
      <c r="J894" s="5"/>
    </row>
    <row r="895" spans="2:10" x14ac:dyDescent="0.15">
      <c r="B895" s="10"/>
      <c r="C895" s="13"/>
      <c r="D895" s="14">
        <f t="shared" si="46"/>
        <v>0</v>
      </c>
      <c r="E895" s="5"/>
      <c r="G895" s="15"/>
      <c r="H895" s="7"/>
      <c r="I895" s="14">
        <f t="shared" si="47"/>
        <v>0</v>
      </c>
      <c r="J895" s="5"/>
    </row>
    <row r="896" spans="2:10" ht="14.25" thickBot="1" x14ac:dyDescent="0.2">
      <c r="B896" s="15" t="s">
        <v>189</v>
      </c>
      <c r="C896" s="13">
        <v>1</v>
      </c>
      <c r="D896" s="11">
        <f t="shared" si="46"/>
        <v>1</v>
      </c>
      <c r="E896" s="12">
        <v>42086</v>
      </c>
      <c r="G896" s="15"/>
      <c r="H896" s="7"/>
      <c r="I896" s="14">
        <f t="shared" si="47"/>
        <v>0</v>
      </c>
      <c r="J896" s="85"/>
    </row>
    <row r="897" spans="2:10" ht="14.25" thickBot="1" x14ac:dyDescent="0.2">
      <c r="B897" s="17" t="s">
        <v>2</v>
      </c>
      <c r="C897" s="18">
        <f>SUM(C873:C896)</f>
        <v>1390</v>
      </c>
      <c r="D897" s="19">
        <f t="shared" si="46"/>
        <v>1390</v>
      </c>
      <c r="E897" s="20"/>
      <c r="G897" s="17" t="s">
        <v>2</v>
      </c>
      <c r="H897" s="18">
        <f>SUM(H873:H896)</f>
        <v>672</v>
      </c>
      <c r="I897" s="19">
        <f t="shared" si="47"/>
        <v>672</v>
      </c>
      <c r="J897" s="20"/>
    </row>
    <row r="898" spans="2:10" ht="14.25" thickBot="1" x14ac:dyDescent="0.2">
      <c r="B898" s="46" t="s">
        <v>3</v>
      </c>
      <c r="C898" s="52">
        <f>C872-C897</f>
        <v>2399</v>
      </c>
      <c r="D898" s="48">
        <f>D872-D897</f>
        <v>2399</v>
      </c>
      <c r="E898" s="49"/>
      <c r="G898" s="46" t="s">
        <v>3</v>
      </c>
      <c r="H898" s="52">
        <f>H872-H897</f>
        <v>3876</v>
      </c>
      <c r="I898" s="48">
        <f>I872-I897</f>
        <v>3876</v>
      </c>
      <c r="J898" s="49"/>
    </row>
    <row r="901" spans="2:10" ht="18.75" x14ac:dyDescent="0.2">
      <c r="B901" s="26" t="s">
        <v>7</v>
      </c>
      <c r="G901" s="26" t="s">
        <v>35</v>
      </c>
    </row>
    <row r="902" spans="2:10" ht="14.25" thickBot="1" x14ac:dyDescent="0.2"/>
    <row r="903" spans="2:10" ht="14.25" thickBot="1" x14ac:dyDescent="0.2">
      <c r="B903" s="1"/>
      <c r="C903" s="2"/>
      <c r="D903" s="3" t="s">
        <v>0</v>
      </c>
      <c r="E903" s="1" t="s">
        <v>4</v>
      </c>
      <c r="G903" s="1"/>
      <c r="H903" s="2"/>
      <c r="I903" s="3" t="s">
        <v>0</v>
      </c>
      <c r="J903" s="1" t="s">
        <v>4</v>
      </c>
    </row>
    <row r="904" spans="2:10" x14ac:dyDescent="0.15">
      <c r="B904" s="42" t="s">
        <v>5</v>
      </c>
      <c r="C904" s="43">
        <f>C898</f>
        <v>2399</v>
      </c>
      <c r="D904" s="44">
        <f>SUM(C904:C904)</f>
        <v>2399</v>
      </c>
      <c r="E904" s="45"/>
      <c r="G904" s="42" t="s">
        <v>5</v>
      </c>
      <c r="H904" s="43">
        <f>H898</f>
        <v>3876</v>
      </c>
      <c r="I904" s="44">
        <f>SUM(H904:H904)</f>
        <v>3876</v>
      </c>
      <c r="J904" s="45"/>
    </row>
    <row r="905" spans="2:10" x14ac:dyDescent="0.15">
      <c r="B905" s="6" t="s">
        <v>6</v>
      </c>
      <c r="C905" s="13">
        <v>672</v>
      </c>
      <c r="D905" s="14">
        <f>SUM(C905:C905)</f>
        <v>672</v>
      </c>
      <c r="E905" s="5">
        <v>42109</v>
      </c>
      <c r="G905" s="71" t="s">
        <v>6</v>
      </c>
      <c r="H905" s="13"/>
      <c r="I905" s="14">
        <f>SUM(H905:H905)</f>
        <v>0</v>
      </c>
      <c r="J905" s="5"/>
    </row>
    <row r="906" spans="2:10" x14ac:dyDescent="0.15">
      <c r="B906" s="6" t="s">
        <v>6</v>
      </c>
      <c r="C906" s="7">
        <v>336</v>
      </c>
      <c r="D906" s="8">
        <f>SUM(C906:C906)</f>
        <v>336</v>
      </c>
      <c r="E906" s="9">
        <v>42119</v>
      </c>
      <c r="G906" s="71" t="s">
        <v>6</v>
      </c>
      <c r="H906" s="67"/>
      <c r="I906" s="14">
        <f>SUM(H906:H906)</f>
        <v>0</v>
      </c>
      <c r="J906" s="5"/>
    </row>
    <row r="907" spans="2:10" ht="14.25" thickBot="1" x14ac:dyDescent="0.2">
      <c r="B907" s="100" t="s">
        <v>270</v>
      </c>
      <c r="C907" s="7">
        <v>1</v>
      </c>
      <c r="D907" s="14">
        <f>SUM(C907:C907)</f>
        <v>1</v>
      </c>
      <c r="E907" s="16">
        <v>42121</v>
      </c>
      <c r="G907" s="6" t="s">
        <v>6</v>
      </c>
      <c r="H907" s="88"/>
      <c r="I907" s="11">
        <f>SUM(H907:H907)</f>
        <v>0</v>
      </c>
      <c r="J907" s="85"/>
    </row>
    <row r="908" spans="2:10" ht="14.25" thickBot="1" x14ac:dyDescent="0.2">
      <c r="B908" s="46" t="s">
        <v>1</v>
      </c>
      <c r="C908" s="48">
        <f>SUM(C904:C907)</f>
        <v>3408</v>
      </c>
      <c r="D908" s="48">
        <f>SUM(D904:D907)</f>
        <v>3408</v>
      </c>
      <c r="E908" s="49"/>
      <c r="G908" s="46" t="s">
        <v>1</v>
      </c>
      <c r="H908" s="47">
        <f>SUM(H904:H907)</f>
        <v>3876</v>
      </c>
      <c r="I908" s="48">
        <f>SUM(I904:I907)</f>
        <v>3876</v>
      </c>
      <c r="J908" s="49"/>
    </row>
    <row r="909" spans="2:10" x14ac:dyDescent="0.15">
      <c r="B909" s="10" t="s">
        <v>18</v>
      </c>
      <c r="C909" s="77">
        <v>30</v>
      </c>
      <c r="D909" s="11">
        <f t="shared" ref="D909:D933" si="48">SUM(C909:C909)</f>
        <v>30</v>
      </c>
      <c r="E909" s="12">
        <v>42105</v>
      </c>
      <c r="G909" s="15" t="s">
        <v>16</v>
      </c>
      <c r="H909" s="13">
        <v>672</v>
      </c>
      <c r="I909" s="14">
        <f>SUM(H909:H909)</f>
        <v>672</v>
      </c>
      <c r="J909" s="12">
        <v>42109</v>
      </c>
    </row>
    <row r="910" spans="2:10" x14ac:dyDescent="0.15">
      <c r="B910" s="10" t="s">
        <v>266</v>
      </c>
      <c r="C910" s="13">
        <v>100</v>
      </c>
      <c r="D910" s="14">
        <f t="shared" si="48"/>
        <v>100</v>
      </c>
      <c r="E910" s="12">
        <v>42105</v>
      </c>
      <c r="G910" s="15" t="s">
        <v>16</v>
      </c>
      <c r="H910" s="13">
        <v>336</v>
      </c>
      <c r="I910" s="14">
        <f>SUM(H910:H910)</f>
        <v>336</v>
      </c>
      <c r="J910" s="12">
        <v>42119</v>
      </c>
    </row>
    <row r="911" spans="2:10" x14ac:dyDescent="0.15">
      <c r="B911" s="10" t="s">
        <v>18</v>
      </c>
      <c r="C911" s="13">
        <v>4</v>
      </c>
      <c r="D911" s="14">
        <f t="shared" si="48"/>
        <v>4</v>
      </c>
      <c r="E911" s="12">
        <v>42107</v>
      </c>
      <c r="G911" s="15" t="s">
        <v>16</v>
      </c>
      <c r="H911" s="13">
        <v>336</v>
      </c>
      <c r="I911" s="14">
        <f t="shared" ref="I911:I933" si="49">SUM(H911:H911)</f>
        <v>336</v>
      </c>
      <c r="J911" s="12">
        <v>42137</v>
      </c>
    </row>
    <row r="912" spans="2:10" x14ac:dyDescent="0.15">
      <c r="B912" s="10" t="s">
        <v>189</v>
      </c>
      <c r="C912" s="13">
        <v>4</v>
      </c>
      <c r="D912" s="14">
        <f t="shared" si="48"/>
        <v>4</v>
      </c>
      <c r="E912" s="12">
        <v>42107</v>
      </c>
      <c r="G912" s="78"/>
      <c r="H912" s="13"/>
      <c r="I912" s="14">
        <f t="shared" si="49"/>
        <v>0</v>
      </c>
      <c r="J912" s="12"/>
    </row>
    <row r="913" spans="2:10" x14ac:dyDescent="0.15">
      <c r="B913" s="10" t="s">
        <v>11</v>
      </c>
      <c r="C913" s="13">
        <v>250</v>
      </c>
      <c r="D913" s="14">
        <f t="shared" si="48"/>
        <v>250</v>
      </c>
      <c r="E913" s="5">
        <v>42110</v>
      </c>
      <c r="G913" s="78"/>
      <c r="H913" s="13"/>
      <c r="I913" s="14">
        <f t="shared" si="49"/>
        <v>0</v>
      </c>
      <c r="J913" s="12"/>
    </row>
    <row r="914" spans="2:10" x14ac:dyDescent="0.15">
      <c r="B914" s="10" t="s">
        <v>189</v>
      </c>
      <c r="C914" s="13">
        <v>1</v>
      </c>
      <c r="D914" s="14">
        <f t="shared" si="48"/>
        <v>1</v>
      </c>
      <c r="E914" s="12">
        <v>42109</v>
      </c>
      <c r="G914" s="78"/>
      <c r="H914" s="13"/>
      <c r="I914" s="14">
        <f t="shared" si="49"/>
        <v>0</v>
      </c>
      <c r="J914" s="12"/>
    </row>
    <row r="915" spans="2:10" x14ac:dyDescent="0.15">
      <c r="B915" s="10" t="s">
        <v>189</v>
      </c>
      <c r="C915" s="13">
        <v>1</v>
      </c>
      <c r="D915" s="14">
        <f t="shared" si="48"/>
        <v>1</v>
      </c>
      <c r="E915" s="12">
        <v>42110</v>
      </c>
      <c r="G915" s="78"/>
      <c r="H915" s="13"/>
      <c r="I915" s="14">
        <f t="shared" si="49"/>
        <v>0</v>
      </c>
      <c r="J915" s="12"/>
    </row>
    <row r="916" spans="2:10" x14ac:dyDescent="0.15">
      <c r="B916" s="10" t="s">
        <v>18</v>
      </c>
      <c r="C916" s="13">
        <v>2</v>
      </c>
      <c r="D916" s="14">
        <f t="shared" si="48"/>
        <v>2</v>
      </c>
      <c r="E916" s="12">
        <v>42112</v>
      </c>
      <c r="G916" s="78"/>
      <c r="H916" s="13"/>
      <c r="I916" s="14">
        <f t="shared" si="49"/>
        <v>0</v>
      </c>
      <c r="J916" s="12"/>
    </row>
    <row r="917" spans="2:10" x14ac:dyDescent="0.15">
      <c r="B917" s="10" t="s">
        <v>189</v>
      </c>
      <c r="C917" s="13">
        <v>4</v>
      </c>
      <c r="D917" s="14">
        <f t="shared" si="48"/>
        <v>4</v>
      </c>
      <c r="E917" s="12">
        <v>42112</v>
      </c>
      <c r="G917" s="10"/>
      <c r="H917" s="13"/>
      <c r="I917" s="14">
        <f t="shared" si="49"/>
        <v>0</v>
      </c>
      <c r="J917" s="12"/>
    </row>
    <row r="918" spans="2:10" x14ac:dyDescent="0.15">
      <c r="B918" s="10" t="s">
        <v>18</v>
      </c>
      <c r="C918" s="13">
        <v>2</v>
      </c>
      <c r="D918" s="14">
        <f t="shared" si="48"/>
        <v>2</v>
      </c>
      <c r="E918" s="12">
        <v>42116</v>
      </c>
      <c r="G918" s="78"/>
      <c r="H918" s="13"/>
      <c r="I918" s="14">
        <f t="shared" si="49"/>
        <v>0</v>
      </c>
      <c r="J918" s="12"/>
    </row>
    <row r="919" spans="2:10" x14ac:dyDescent="0.15">
      <c r="B919" s="10" t="s">
        <v>18</v>
      </c>
      <c r="C919" s="13">
        <v>11</v>
      </c>
      <c r="D919" s="14">
        <f t="shared" si="48"/>
        <v>11</v>
      </c>
      <c r="E919" s="12">
        <v>42117</v>
      </c>
      <c r="G919" s="10"/>
      <c r="H919" s="22"/>
      <c r="I919" s="23">
        <f t="shared" si="49"/>
        <v>0</v>
      </c>
      <c r="J919" s="24"/>
    </row>
    <row r="920" spans="2:10" x14ac:dyDescent="0.15">
      <c r="B920" s="10"/>
      <c r="C920" s="13"/>
      <c r="D920" s="14">
        <f t="shared" si="48"/>
        <v>0</v>
      </c>
      <c r="E920" s="12"/>
      <c r="G920" s="15"/>
      <c r="H920" s="13"/>
      <c r="I920" s="14">
        <f t="shared" si="49"/>
        <v>0</v>
      </c>
      <c r="J920" s="5"/>
    </row>
    <row r="921" spans="2:10" x14ac:dyDescent="0.15">
      <c r="B921" s="10" t="s">
        <v>189</v>
      </c>
      <c r="C921" s="13">
        <v>4</v>
      </c>
      <c r="D921" s="14">
        <f t="shared" si="48"/>
        <v>4</v>
      </c>
      <c r="E921" s="12">
        <v>42116</v>
      </c>
      <c r="G921" s="81"/>
      <c r="H921" s="13"/>
      <c r="I921" s="14">
        <f>SUM(H921:H921)</f>
        <v>0</v>
      </c>
      <c r="J921" s="5"/>
    </row>
    <row r="922" spans="2:10" x14ac:dyDescent="0.15">
      <c r="B922" s="10" t="s">
        <v>189</v>
      </c>
      <c r="C922" s="13">
        <v>2</v>
      </c>
      <c r="D922" s="14">
        <f t="shared" si="48"/>
        <v>2</v>
      </c>
      <c r="E922" s="12">
        <v>42117</v>
      </c>
      <c r="G922" s="99"/>
      <c r="H922" s="13"/>
      <c r="I922" s="14">
        <f>SUM(H922:H922)</f>
        <v>0</v>
      </c>
      <c r="J922" s="5"/>
    </row>
    <row r="923" spans="2:10" x14ac:dyDescent="0.15">
      <c r="B923" s="10" t="s">
        <v>18</v>
      </c>
      <c r="C923" s="13">
        <v>12</v>
      </c>
      <c r="D923" s="14">
        <f t="shared" si="48"/>
        <v>12</v>
      </c>
      <c r="E923" s="12">
        <v>42119</v>
      </c>
      <c r="G923" s="15"/>
      <c r="H923" s="7"/>
      <c r="I923" s="14">
        <f>SUM(H923:H923)</f>
        <v>0</v>
      </c>
      <c r="J923" s="5"/>
    </row>
    <row r="924" spans="2:10" x14ac:dyDescent="0.15">
      <c r="B924" s="10" t="s">
        <v>189</v>
      </c>
      <c r="C924" s="13">
        <v>1</v>
      </c>
      <c r="D924" s="14">
        <f t="shared" si="48"/>
        <v>1</v>
      </c>
      <c r="E924" s="12">
        <v>42118</v>
      </c>
      <c r="G924" s="15"/>
      <c r="H924" s="7"/>
      <c r="I924" s="14">
        <f>SUM(H924:H924)</f>
        <v>0</v>
      </c>
      <c r="J924" s="5"/>
    </row>
    <row r="925" spans="2:10" x14ac:dyDescent="0.15">
      <c r="B925" s="10" t="s">
        <v>83</v>
      </c>
      <c r="C925" s="13">
        <v>30</v>
      </c>
      <c r="D925" s="14">
        <f t="shared" si="48"/>
        <v>30</v>
      </c>
      <c r="E925" s="12">
        <v>42122</v>
      </c>
      <c r="G925" s="10"/>
      <c r="H925" s="13"/>
      <c r="I925" s="14">
        <f t="shared" si="49"/>
        <v>0</v>
      </c>
      <c r="J925" s="12"/>
    </row>
    <row r="926" spans="2:10" x14ac:dyDescent="0.15">
      <c r="B926" s="10" t="s">
        <v>189</v>
      </c>
      <c r="C926" s="13">
        <v>1</v>
      </c>
      <c r="D926" s="14">
        <f t="shared" si="48"/>
        <v>1</v>
      </c>
      <c r="E926" s="12">
        <v>42119</v>
      </c>
      <c r="G926" s="15"/>
      <c r="H926" s="13"/>
      <c r="I926" s="14">
        <f t="shared" si="49"/>
        <v>0</v>
      </c>
      <c r="J926" s="5"/>
    </row>
    <row r="927" spans="2:10" x14ac:dyDescent="0.15">
      <c r="B927" s="10" t="s">
        <v>18</v>
      </c>
      <c r="C927" s="13">
        <v>27</v>
      </c>
      <c r="D927" s="14">
        <f t="shared" si="48"/>
        <v>27</v>
      </c>
      <c r="E927" s="12">
        <v>42122</v>
      </c>
      <c r="G927" s="15"/>
      <c r="H927" s="13"/>
      <c r="I927" s="14">
        <f t="shared" si="49"/>
        <v>0</v>
      </c>
      <c r="J927" s="5"/>
    </row>
    <row r="928" spans="2:10" x14ac:dyDescent="0.15">
      <c r="B928" s="10" t="s">
        <v>189</v>
      </c>
      <c r="C928" s="13">
        <v>2</v>
      </c>
      <c r="D928" s="14">
        <f t="shared" si="48"/>
        <v>2</v>
      </c>
      <c r="E928" s="5">
        <v>42121</v>
      </c>
      <c r="G928" s="15"/>
      <c r="H928" s="13"/>
      <c r="I928" s="14">
        <f t="shared" si="49"/>
        <v>0</v>
      </c>
      <c r="J928" s="5"/>
    </row>
    <row r="929" spans="2:10" x14ac:dyDescent="0.15">
      <c r="B929" s="10" t="s">
        <v>272</v>
      </c>
      <c r="C929" s="13">
        <v>160</v>
      </c>
      <c r="D929" s="14">
        <f t="shared" si="48"/>
        <v>160</v>
      </c>
      <c r="E929" s="5">
        <v>42125</v>
      </c>
      <c r="G929" s="15"/>
      <c r="H929" s="13"/>
      <c r="I929" s="14">
        <f t="shared" si="49"/>
        <v>0</v>
      </c>
      <c r="J929" s="5"/>
    </row>
    <row r="930" spans="2:10" x14ac:dyDescent="0.15">
      <c r="B930" s="10" t="s">
        <v>18</v>
      </c>
      <c r="C930" s="13">
        <v>31</v>
      </c>
      <c r="D930" s="14">
        <f t="shared" si="48"/>
        <v>31</v>
      </c>
      <c r="E930" s="5">
        <v>42125</v>
      </c>
      <c r="G930" s="81"/>
      <c r="H930" s="13"/>
      <c r="I930" s="14">
        <f t="shared" si="49"/>
        <v>0</v>
      </c>
      <c r="J930" s="5"/>
    </row>
    <row r="931" spans="2:10" x14ac:dyDescent="0.15">
      <c r="B931" s="10" t="s">
        <v>189</v>
      </c>
      <c r="C931" s="13">
        <v>1</v>
      </c>
      <c r="D931" s="14">
        <f t="shared" si="48"/>
        <v>1</v>
      </c>
      <c r="E931" s="5">
        <v>42124</v>
      </c>
      <c r="G931" s="99"/>
      <c r="H931" s="13"/>
      <c r="I931" s="14">
        <f t="shared" si="49"/>
        <v>0</v>
      </c>
      <c r="J931" s="5"/>
    </row>
    <row r="932" spans="2:10" ht="14.25" thickBot="1" x14ac:dyDescent="0.2">
      <c r="B932" s="10" t="s">
        <v>189</v>
      </c>
      <c r="C932" s="13">
        <v>2</v>
      </c>
      <c r="D932" s="11">
        <f t="shared" si="48"/>
        <v>2</v>
      </c>
      <c r="E932" s="12">
        <v>42125</v>
      </c>
      <c r="G932" s="15"/>
      <c r="H932" s="7"/>
      <c r="I932" s="14">
        <f t="shared" si="49"/>
        <v>0</v>
      </c>
      <c r="J932" s="5"/>
    </row>
    <row r="933" spans="2:10" ht="14.25" thickBot="1" x14ac:dyDescent="0.2">
      <c r="B933" s="17" t="s">
        <v>2</v>
      </c>
      <c r="C933" s="18">
        <f>SUM(C909:C932)</f>
        <v>682</v>
      </c>
      <c r="D933" s="19">
        <f t="shared" si="48"/>
        <v>682</v>
      </c>
      <c r="E933" s="20"/>
      <c r="G933" s="17" t="s">
        <v>2</v>
      </c>
      <c r="H933" s="18">
        <f>SUM(H909:H932)</f>
        <v>1344</v>
      </c>
      <c r="I933" s="19">
        <f t="shared" si="49"/>
        <v>1344</v>
      </c>
      <c r="J933" s="20"/>
    </row>
    <row r="934" spans="2:10" ht="14.25" thickBot="1" x14ac:dyDescent="0.2">
      <c r="B934" s="46" t="s">
        <v>3</v>
      </c>
      <c r="C934" s="52">
        <f>C908-C933</f>
        <v>2726</v>
      </c>
      <c r="D934" s="48">
        <f>D908-D933</f>
        <v>2726</v>
      </c>
      <c r="E934" s="49"/>
      <c r="G934" s="46" t="s">
        <v>3</v>
      </c>
      <c r="H934" s="52">
        <f>H908-H933</f>
        <v>2532</v>
      </c>
      <c r="I934" s="48">
        <f>I908-I933</f>
        <v>2532</v>
      </c>
      <c r="J934" s="49"/>
    </row>
    <row r="937" spans="2:10" ht="18.75" x14ac:dyDescent="0.2">
      <c r="B937" s="26" t="s">
        <v>7</v>
      </c>
      <c r="G937" s="26" t="s">
        <v>35</v>
      </c>
    </row>
    <row r="938" spans="2:10" ht="14.25" thickBot="1" x14ac:dyDescent="0.2"/>
    <row r="939" spans="2:10" ht="14.25" thickBot="1" x14ac:dyDescent="0.2">
      <c r="B939" s="1"/>
      <c r="C939" s="2"/>
      <c r="D939" s="3" t="s">
        <v>0</v>
      </c>
      <c r="E939" s="1" t="s">
        <v>4</v>
      </c>
      <c r="G939" s="1"/>
      <c r="H939" s="2"/>
      <c r="I939" s="3" t="s">
        <v>0</v>
      </c>
      <c r="J939" s="1" t="s">
        <v>4</v>
      </c>
    </row>
    <row r="940" spans="2:10" x14ac:dyDescent="0.15">
      <c r="B940" s="42" t="s">
        <v>5</v>
      </c>
      <c r="C940" s="43">
        <f>C934</f>
        <v>2726</v>
      </c>
      <c r="D940" s="44">
        <f>SUM(C940:C940)</f>
        <v>2726</v>
      </c>
      <c r="E940" s="45"/>
      <c r="G940" s="42" t="s">
        <v>5</v>
      </c>
      <c r="H940" s="43">
        <f>H934</f>
        <v>2532</v>
      </c>
      <c r="I940" s="44">
        <f>SUM(H940:H940)</f>
        <v>2532</v>
      </c>
      <c r="J940" s="45"/>
    </row>
    <row r="941" spans="2:10" x14ac:dyDescent="0.15">
      <c r="B941" s="6" t="s">
        <v>6</v>
      </c>
      <c r="C941" s="13">
        <v>336</v>
      </c>
      <c r="D941" s="14">
        <f>SUM(C941:C941)</f>
        <v>336</v>
      </c>
      <c r="E941" s="5">
        <v>42137</v>
      </c>
      <c r="G941" s="71" t="s">
        <v>6</v>
      </c>
      <c r="H941" s="13"/>
      <c r="I941" s="14">
        <f>SUM(H941:H941)</f>
        <v>0</v>
      </c>
      <c r="J941" s="5"/>
    </row>
    <row r="942" spans="2:10" x14ac:dyDescent="0.15">
      <c r="B942" s="6" t="s">
        <v>6</v>
      </c>
      <c r="C942" s="7"/>
      <c r="D942" s="8">
        <f>SUM(C942:C942)</f>
        <v>0</v>
      </c>
      <c r="E942" s="9"/>
      <c r="G942" s="71" t="s">
        <v>6</v>
      </c>
      <c r="H942" s="67"/>
      <c r="I942" s="14">
        <f>SUM(H942:H942)</f>
        <v>0</v>
      </c>
      <c r="J942" s="5"/>
    </row>
    <row r="943" spans="2:10" ht="14.25" thickBot="1" x14ac:dyDescent="0.2">
      <c r="B943" s="6" t="s">
        <v>6</v>
      </c>
      <c r="C943" s="7"/>
      <c r="D943" s="14">
        <f>SUM(C943:C943)</f>
        <v>0</v>
      </c>
      <c r="E943" s="16"/>
      <c r="G943" s="6" t="s">
        <v>6</v>
      </c>
      <c r="H943" s="88"/>
      <c r="I943" s="11">
        <f>SUM(H943:H943)</f>
        <v>0</v>
      </c>
      <c r="J943" s="85"/>
    </row>
    <row r="944" spans="2:10" ht="14.25" thickBot="1" x14ac:dyDescent="0.2">
      <c r="B944" s="46" t="s">
        <v>1</v>
      </c>
      <c r="C944" s="48">
        <f>SUM(C940:C943)</f>
        <v>3062</v>
      </c>
      <c r="D944" s="48">
        <f>SUM(D940:D943)</f>
        <v>3062</v>
      </c>
      <c r="E944" s="49"/>
      <c r="G944" s="46" t="s">
        <v>1</v>
      </c>
      <c r="H944" s="47">
        <f>SUM(H940:H943)</f>
        <v>2532</v>
      </c>
      <c r="I944" s="48">
        <f>SUM(I940:I943)</f>
        <v>2532</v>
      </c>
      <c r="J944" s="49"/>
    </row>
    <row r="945" spans="2:10" x14ac:dyDescent="0.15">
      <c r="B945" s="81" t="s">
        <v>273</v>
      </c>
      <c r="C945" s="77">
        <v>100</v>
      </c>
      <c r="D945" s="11">
        <f t="shared" ref="D945:D969" si="50">SUM(C945:C945)</f>
        <v>100</v>
      </c>
      <c r="E945" s="12">
        <v>42132</v>
      </c>
      <c r="G945" s="15" t="s">
        <v>16</v>
      </c>
      <c r="H945" s="13">
        <v>336</v>
      </c>
      <c r="I945" s="11">
        <f>SUM(H945:H945)</f>
        <v>336</v>
      </c>
      <c r="J945" s="12">
        <v>42150</v>
      </c>
    </row>
    <row r="946" spans="2:10" x14ac:dyDescent="0.15">
      <c r="B946" s="10" t="s">
        <v>18</v>
      </c>
      <c r="C946" s="13">
        <v>36</v>
      </c>
      <c r="D946" s="14">
        <f t="shared" si="50"/>
        <v>36</v>
      </c>
      <c r="E946" s="12">
        <v>42128</v>
      </c>
      <c r="G946" s="78"/>
      <c r="H946" s="13"/>
      <c r="I946" s="14">
        <f>SUM(H946:H946)</f>
        <v>0</v>
      </c>
      <c r="J946" s="12"/>
    </row>
    <row r="947" spans="2:10" x14ac:dyDescent="0.15">
      <c r="B947" s="10" t="s">
        <v>11</v>
      </c>
      <c r="C947" s="13">
        <v>470</v>
      </c>
      <c r="D947" s="14">
        <f t="shared" si="50"/>
        <v>470</v>
      </c>
      <c r="E947" s="12">
        <v>42130</v>
      </c>
      <c r="G947" s="10"/>
      <c r="H947" s="13"/>
      <c r="I947" s="14">
        <f t="shared" ref="I947:I956" si="51">SUM(H947:H947)</f>
        <v>0</v>
      </c>
      <c r="J947" s="12"/>
    </row>
    <row r="948" spans="2:10" x14ac:dyDescent="0.15">
      <c r="B948" s="10" t="s">
        <v>189</v>
      </c>
      <c r="C948" s="13">
        <v>3</v>
      </c>
      <c r="D948" s="14">
        <f t="shared" si="50"/>
        <v>3</v>
      </c>
      <c r="E948" s="12">
        <v>42128</v>
      </c>
      <c r="G948" s="78"/>
      <c r="H948" s="13"/>
      <c r="I948" s="14">
        <f t="shared" si="51"/>
        <v>0</v>
      </c>
      <c r="J948" s="12"/>
    </row>
    <row r="949" spans="2:10" x14ac:dyDescent="0.15">
      <c r="B949" s="81" t="s">
        <v>189</v>
      </c>
      <c r="C949" s="13">
        <v>1</v>
      </c>
      <c r="D949" s="14">
        <f t="shared" si="50"/>
        <v>1</v>
      </c>
      <c r="E949" s="12">
        <v>42131</v>
      </c>
      <c r="G949" s="78"/>
      <c r="H949" s="13"/>
      <c r="I949" s="14">
        <f t="shared" si="51"/>
        <v>0</v>
      </c>
      <c r="J949" s="12"/>
    </row>
    <row r="950" spans="2:10" x14ac:dyDescent="0.15">
      <c r="B950" s="10" t="s">
        <v>18</v>
      </c>
      <c r="C950" s="13">
        <v>23</v>
      </c>
      <c r="D950" s="14">
        <f t="shared" si="50"/>
        <v>23</v>
      </c>
      <c r="E950" s="12">
        <v>42133</v>
      </c>
      <c r="G950" s="78"/>
      <c r="H950" s="13"/>
      <c r="I950" s="14">
        <f t="shared" si="51"/>
        <v>0</v>
      </c>
      <c r="J950" s="12"/>
    </row>
    <row r="951" spans="2:10" x14ac:dyDescent="0.15">
      <c r="B951" s="67" t="s">
        <v>277</v>
      </c>
      <c r="C951" s="13">
        <v>100</v>
      </c>
      <c r="D951" s="14">
        <f t="shared" si="50"/>
        <v>100</v>
      </c>
      <c r="E951" s="12">
        <v>42139</v>
      </c>
      <c r="G951" s="78"/>
      <c r="H951" s="13"/>
      <c r="I951" s="14">
        <f t="shared" si="51"/>
        <v>0</v>
      </c>
      <c r="J951" s="12"/>
    </row>
    <row r="952" spans="2:10" x14ac:dyDescent="0.15">
      <c r="B952" s="10" t="s">
        <v>189</v>
      </c>
      <c r="C952" s="13">
        <v>1</v>
      </c>
      <c r="D952" s="14">
        <f t="shared" si="50"/>
        <v>1</v>
      </c>
      <c r="E952" s="12">
        <v>42132</v>
      </c>
      <c r="G952" s="78"/>
      <c r="H952" s="13"/>
      <c r="I952" s="14">
        <f t="shared" si="51"/>
        <v>0</v>
      </c>
      <c r="J952" s="12"/>
    </row>
    <row r="953" spans="2:10" x14ac:dyDescent="0.15">
      <c r="B953" s="10" t="s">
        <v>189</v>
      </c>
      <c r="C953" s="13">
        <v>1</v>
      </c>
      <c r="D953" s="14">
        <f t="shared" si="50"/>
        <v>1</v>
      </c>
      <c r="E953" s="12">
        <v>42133</v>
      </c>
      <c r="G953" s="10"/>
      <c r="H953" s="13"/>
      <c r="I953" s="14">
        <f t="shared" si="51"/>
        <v>0</v>
      </c>
      <c r="J953" s="12"/>
    </row>
    <row r="954" spans="2:10" x14ac:dyDescent="0.15">
      <c r="B954" s="10" t="s">
        <v>189</v>
      </c>
      <c r="C954" s="13">
        <v>2</v>
      </c>
      <c r="D954" s="14">
        <f t="shared" si="50"/>
        <v>2</v>
      </c>
      <c r="E954" s="12">
        <v>42135</v>
      </c>
      <c r="G954" s="78"/>
      <c r="H954" s="13"/>
      <c r="I954" s="14">
        <f t="shared" si="51"/>
        <v>0</v>
      </c>
      <c r="J954" s="12"/>
    </row>
    <row r="955" spans="2:10" x14ac:dyDescent="0.15">
      <c r="B955" s="10" t="s">
        <v>18</v>
      </c>
      <c r="C955" s="13">
        <v>55</v>
      </c>
      <c r="D955" s="14">
        <f t="shared" si="50"/>
        <v>55</v>
      </c>
      <c r="E955" s="12">
        <v>42137</v>
      </c>
      <c r="G955" s="10"/>
      <c r="H955" s="22"/>
      <c r="I955" s="23">
        <f t="shared" si="51"/>
        <v>0</v>
      </c>
      <c r="J955" s="24"/>
    </row>
    <row r="956" spans="2:10" x14ac:dyDescent="0.15">
      <c r="B956" s="10" t="s">
        <v>11</v>
      </c>
      <c r="C956" s="13">
        <v>140</v>
      </c>
      <c r="D956" s="14">
        <f t="shared" si="50"/>
        <v>140</v>
      </c>
      <c r="E956" s="12">
        <v>42145</v>
      </c>
      <c r="G956" s="15"/>
      <c r="H956" s="13"/>
      <c r="I956" s="14">
        <f t="shared" si="51"/>
        <v>0</v>
      </c>
      <c r="J956" s="5"/>
    </row>
    <row r="957" spans="2:10" x14ac:dyDescent="0.15">
      <c r="B957" s="10" t="s">
        <v>189</v>
      </c>
      <c r="C957" s="13">
        <v>1</v>
      </c>
      <c r="D957" s="14">
        <f t="shared" si="50"/>
        <v>1</v>
      </c>
      <c r="E957" s="12">
        <v>42137</v>
      </c>
      <c r="G957" s="81"/>
      <c r="H957" s="13"/>
      <c r="I957" s="14">
        <f>SUM(H957:H957)</f>
        <v>0</v>
      </c>
      <c r="J957" s="5"/>
    </row>
    <row r="958" spans="2:10" x14ac:dyDescent="0.15">
      <c r="B958" s="10" t="s">
        <v>189</v>
      </c>
      <c r="C958" s="13">
        <v>2</v>
      </c>
      <c r="D958" s="14">
        <f t="shared" si="50"/>
        <v>2</v>
      </c>
      <c r="E958" s="12">
        <v>42138</v>
      </c>
      <c r="G958" s="99"/>
      <c r="H958" s="13"/>
      <c r="I958" s="14">
        <f t="shared" ref="I958:I964" si="52">SUM(H958:H958)</f>
        <v>0</v>
      </c>
      <c r="J958" s="5"/>
    </row>
    <row r="959" spans="2:10" x14ac:dyDescent="0.15">
      <c r="B959" s="10" t="s">
        <v>83</v>
      </c>
      <c r="C959" s="13">
        <v>10</v>
      </c>
      <c r="D959" s="14">
        <f t="shared" si="50"/>
        <v>10</v>
      </c>
      <c r="E959" s="12">
        <v>42139</v>
      </c>
      <c r="G959" s="15"/>
      <c r="H959" s="7"/>
      <c r="I959" s="14">
        <f t="shared" si="52"/>
        <v>0</v>
      </c>
      <c r="J959" s="5"/>
    </row>
    <row r="960" spans="2:10" x14ac:dyDescent="0.15">
      <c r="B960" s="10" t="s">
        <v>18</v>
      </c>
      <c r="C960" s="13">
        <v>40</v>
      </c>
      <c r="D960" s="14">
        <f t="shared" si="50"/>
        <v>40</v>
      </c>
      <c r="E960" s="12">
        <v>42140</v>
      </c>
      <c r="G960" s="67"/>
      <c r="H960" s="7"/>
      <c r="I960" s="14">
        <f>SUM(H960:H960)</f>
        <v>0</v>
      </c>
      <c r="J960" s="12"/>
    </row>
    <row r="961" spans="2:10" x14ac:dyDescent="0.15">
      <c r="B961" s="10" t="s">
        <v>279</v>
      </c>
      <c r="C961" s="13">
        <v>35</v>
      </c>
      <c r="D961" s="14">
        <f t="shared" si="50"/>
        <v>35</v>
      </c>
      <c r="E961" s="12">
        <v>42142</v>
      </c>
      <c r="G961" s="15"/>
      <c r="H961" s="13"/>
      <c r="I961" s="14">
        <f>SUM(H961:H961)</f>
        <v>0</v>
      </c>
      <c r="J961" s="5"/>
    </row>
    <row r="962" spans="2:10" x14ac:dyDescent="0.15">
      <c r="B962" s="10" t="s">
        <v>189</v>
      </c>
      <c r="C962" s="13">
        <v>3</v>
      </c>
      <c r="D962" s="14">
        <f t="shared" si="50"/>
        <v>3</v>
      </c>
      <c r="E962" s="12">
        <v>42140</v>
      </c>
      <c r="G962" s="15"/>
      <c r="H962" s="13"/>
      <c r="I962" s="14">
        <f t="shared" si="52"/>
        <v>0</v>
      </c>
      <c r="J962" s="5"/>
    </row>
    <row r="963" spans="2:10" x14ac:dyDescent="0.15">
      <c r="B963" s="10" t="s">
        <v>18</v>
      </c>
      <c r="C963" s="13">
        <v>11</v>
      </c>
      <c r="D963" s="14">
        <f t="shared" si="50"/>
        <v>11</v>
      </c>
      <c r="E963" s="12">
        <v>42143</v>
      </c>
      <c r="G963" s="15"/>
      <c r="H963" s="13"/>
      <c r="I963" s="14">
        <f>SUM(H963:H963)</f>
        <v>0</v>
      </c>
      <c r="J963" s="5"/>
    </row>
    <row r="964" spans="2:10" x14ac:dyDescent="0.15">
      <c r="B964" s="10" t="s">
        <v>83</v>
      </c>
      <c r="C964" s="13">
        <v>10</v>
      </c>
      <c r="D964" s="14">
        <f t="shared" si="50"/>
        <v>10</v>
      </c>
      <c r="E964" s="5">
        <v>42143</v>
      </c>
      <c r="G964" s="15"/>
      <c r="H964" s="67"/>
      <c r="I964" s="14">
        <f t="shared" si="52"/>
        <v>0</v>
      </c>
      <c r="J964" s="5"/>
    </row>
    <row r="965" spans="2:10" x14ac:dyDescent="0.15">
      <c r="B965" s="10" t="s">
        <v>189</v>
      </c>
      <c r="C965" s="13">
        <v>1</v>
      </c>
      <c r="D965" s="14">
        <f t="shared" si="50"/>
        <v>1</v>
      </c>
      <c r="E965" s="5">
        <v>42142</v>
      </c>
      <c r="G965" s="75"/>
      <c r="H965" s="77"/>
      <c r="I965" s="14">
        <f>SUM(H965:H965)</f>
        <v>0</v>
      </c>
      <c r="J965" s="5"/>
    </row>
    <row r="966" spans="2:10" x14ac:dyDescent="0.15">
      <c r="B966" s="10" t="s">
        <v>189</v>
      </c>
      <c r="C966" s="13">
        <v>1</v>
      </c>
      <c r="D966" s="14">
        <f t="shared" si="50"/>
        <v>1</v>
      </c>
      <c r="E966" s="5">
        <v>42143</v>
      </c>
      <c r="G966" s="15"/>
      <c r="H966" s="13"/>
      <c r="I966" s="14">
        <f>SUM(H966:H966)</f>
        <v>0</v>
      </c>
      <c r="J966" s="5"/>
    </row>
    <row r="967" spans="2:10" x14ac:dyDescent="0.15">
      <c r="B967" s="81" t="s">
        <v>281</v>
      </c>
      <c r="C967" s="13">
        <v>600</v>
      </c>
      <c r="D967" s="14">
        <f t="shared" si="50"/>
        <v>600</v>
      </c>
      <c r="E967" s="5">
        <v>42145</v>
      </c>
      <c r="G967" s="67"/>
      <c r="H967" s="7"/>
      <c r="I967" s="14">
        <f>SUM(H967:H967)</f>
        <v>0</v>
      </c>
      <c r="J967" s="12"/>
    </row>
    <row r="968" spans="2:10" ht="14.25" thickBot="1" x14ac:dyDescent="0.2">
      <c r="B968" s="15" t="s">
        <v>189</v>
      </c>
      <c r="C968" s="13">
        <v>1</v>
      </c>
      <c r="D968" s="11">
        <f t="shared" si="50"/>
        <v>1</v>
      </c>
      <c r="E968" s="12">
        <v>42144</v>
      </c>
      <c r="G968" s="102"/>
      <c r="H968" s="7"/>
      <c r="I968" s="14">
        <f>SUM(H968:H968)</f>
        <v>0</v>
      </c>
      <c r="J968" s="12"/>
    </row>
    <row r="969" spans="2:10" ht="14.25" thickBot="1" x14ac:dyDescent="0.2">
      <c r="B969" s="17" t="s">
        <v>2</v>
      </c>
      <c r="C969" s="18">
        <f>SUM(C945:C968)</f>
        <v>1647</v>
      </c>
      <c r="D969" s="19">
        <f t="shared" si="50"/>
        <v>1647</v>
      </c>
      <c r="E969" s="20"/>
      <c r="G969" s="17" t="s">
        <v>2</v>
      </c>
      <c r="H969" s="18">
        <f>SUM(H945:H968)</f>
        <v>336</v>
      </c>
      <c r="I969" s="19">
        <f>SUM(H969:H969)</f>
        <v>336</v>
      </c>
      <c r="J969" s="20"/>
    </row>
    <row r="970" spans="2:10" ht="14.25" thickBot="1" x14ac:dyDescent="0.2">
      <c r="B970" s="46" t="s">
        <v>3</v>
      </c>
      <c r="C970" s="52">
        <f>C944-C969</f>
        <v>1415</v>
      </c>
      <c r="D970" s="48">
        <f>D944-D969</f>
        <v>1415</v>
      </c>
      <c r="E970" s="49"/>
      <c r="G970" s="46" t="s">
        <v>3</v>
      </c>
      <c r="H970" s="52">
        <f>H944-H969</f>
        <v>2196</v>
      </c>
      <c r="I970" s="48">
        <f>I944-I969</f>
        <v>2196</v>
      </c>
      <c r="J970" s="49"/>
    </row>
    <row r="973" spans="2:10" ht="18.75" x14ac:dyDescent="0.2">
      <c r="B973" s="26" t="s">
        <v>7</v>
      </c>
      <c r="G973" s="26" t="s">
        <v>35</v>
      </c>
    </row>
    <row r="974" spans="2:10" ht="14.25" thickBot="1" x14ac:dyDescent="0.2"/>
    <row r="975" spans="2:10" ht="14.25" thickBot="1" x14ac:dyDescent="0.2">
      <c r="B975" s="1"/>
      <c r="C975" s="2"/>
      <c r="D975" s="3" t="s">
        <v>0</v>
      </c>
      <c r="E975" s="1" t="s">
        <v>4</v>
      </c>
      <c r="G975" s="1"/>
      <c r="H975" s="2"/>
      <c r="I975" s="3" t="s">
        <v>0</v>
      </c>
      <c r="J975" s="1" t="s">
        <v>4</v>
      </c>
    </row>
    <row r="976" spans="2:10" x14ac:dyDescent="0.15">
      <c r="B976" s="42" t="s">
        <v>5</v>
      </c>
      <c r="C976" s="43">
        <f>C970</f>
        <v>1415</v>
      </c>
      <c r="D976" s="44">
        <f>SUM(C976:C976)</f>
        <v>1415</v>
      </c>
      <c r="E976" s="45"/>
      <c r="G976" s="42" t="s">
        <v>5</v>
      </c>
      <c r="H976" s="43">
        <f>H970</f>
        <v>2196</v>
      </c>
      <c r="I976" s="44">
        <f>SUM(H976:H976)</f>
        <v>2196</v>
      </c>
      <c r="J976" s="45"/>
    </row>
    <row r="977" spans="2:10" x14ac:dyDescent="0.15">
      <c r="B977" s="6" t="s">
        <v>6</v>
      </c>
      <c r="C977" s="13">
        <v>336</v>
      </c>
      <c r="D977" s="14">
        <f>SUM(C977:C977)</f>
        <v>336</v>
      </c>
      <c r="E977" s="5">
        <v>42150</v>
      </c>
      <c r="G977" s="71" t="s">
        <v>6</v>
      </c>
      <c r="H977" s="13"/>
      <c r="I977" s="14">
        <f>SUM(H977:H977)</f>
        <v>0</v>
      </c>
      <c r="J977" s="5"/>
    </row>
    <row r="978" spans="2:10" x14ac:dyDescent="0.15">
      <c r="B978" s="6" t="s">
        <v>76</v>
      </c>
      <c r="C978" s="7">
        <v>22</v>
      </c>
      <c r="D978" s="8">
        <f>SUM(C978:C978)</f>
        <v>22</v>
      </c>
      <c r="E978" s="9">
        <v>42147</v>
      </c>
      <c r="G978" s="71" t="s">
        <v>6</v>
      </c>
      <c r="H978" s="13"/>
      <c r="I978" s="14">
        <f>SUM(H978:H978)</f>
        <v>0</v>
      </c>
      <c r="J978" s="5"/>
    </row>
    <row r="979" spans="2:10" ht="14.25" thickBot="1" x14ac:dyDescent="0.2">
      <c r="B979" s="6" t="s">
        <v>6</v>
      </c>
      <c r="C979" s="7">
        <v>336</v>
      </c>
      <c r="D979" s="14">
        <f>SUM(C979:C979)</f>
        <v>336</v>
      </c>
      <c r="E979" s="16">
        <v>42154</v>
      </c>
      <c r="G979" s="6" t="s">
        <v>6</v>
      </c>
      <c r="H979" s="88"/>
      <c r="I979" s="11">
        <f>SUM(H979:H979)</f>
        <v>0</v>
      </c>
      <c r="J979" s="85"/>
    </row>
    <row r="980" spans="2:10" ht="14.25" thickBot="1" x14ac:dyDescent="0.2">
      <c r="B980" s="46" t="s">
        <v>1</v>
      </c>
      <c r="C980" s="48">
        <f>SUM(C976:C979)</f>
        <v>2109</v>
      </c>
      <c r="D980" s="48">
        <f>SUM(D976:D979)</f>
        <v>2109</v>
      </c>
      <c r="E980" s="49"/>
      <c r="G980" s="46" t="s">
        <v>1</v>
      </c>
      <c r="H980" s="47">
        <f>SUM(H976:H979)</f>
        <v>2196</v>
      </c>
      <c r="I980" s="48">
        <f>SUM(I976:I979)</f>
        <v>2196</v>
      </c>
      <c r="J980" s="49"/>
    </row>
    <row r="981" spans="2:10" x14ac:dyDescent="0.15">
      <c r="B981" s="10" t="s">
        <v>18</v>
      </c>
      <c r="C981" s="77">
        <v>18</v>
      </c>
      <c r="D981" s="11">
        <f t="shared" ref="D981:D1005" si="53">SUM(C981:C981)</f>
        <v>18</v>
      </c>
      <c r="E981" s="12">
        <v>42146</v>
      </c>
      <c r="G981" s="15"/>
      <c r="H981" s="13"/>
      <c r="I981" s="11">
        <f>SUM(H981:H981)</f>
        <v>0</v>
      </c>
      <c r="J981" s="12"/>
    </row>
    <row r="982" spans="2:10" x14ac:dyDescent="0.15">
      <c r="B982" s="101" t="s">
        <v>103</v>
      </c>
      <c r="C982" s="13">
        <v>56</v>
      </c>
      <c r="D982" s="14">
        <f t="shared" si="53"/>
        <v>56</v>
      </c>
      <c r="E982" s="12">
        <v>42149</v>
      </c>
      <c r="G982" s="15"/>
      <c r="H982" s="13"/>
      <c r="I982" s="14">
        <f>SUM(H982:H982)</f>
        <v>0</v>
      </c>
      <c r="J982" s="12"/>
    </row>
    <row r="983" spans="2:10" x14ac:dyDescent="0.15">
      <c r="B983" s="15" t="s">
        <v>283</v>
      </c>
      <c r="C983" s="13">
        <v>200</v>
      </c>
      <c r="D983" s="14">
        <f t="shared" si="53"/>
        <v>200</v>
      </c>
      <c r="E983" s="12">
        <v>42156</v>
      </c>
      <c r="G983" s="15"/>
      <c r="H983" s="13"/>
      <c r="I983" s="14">
        <f t="shared" ref="I983:I1000" si="54">SUM(H983:H983)</f>
        <v>0</v>
      </c>
      <c r="J983" s="12"/>
    </row>
    <row r="984" spans="2:10" x14ac:dyDescent="0.15">
      <c r="B984" s="15" t="s">
        <v>189</v>
      </c>
      <c r="C984" s="13">
        <v>1</v>
      </c>
      <c r="D984" s="14">
        <f t="shared" si="53"/>
        <v>1</v>
      </c>
      <c r="E984" s="12">
        <v>42146</v>
      </c>
      <c r="G984" s="15"/>
      <c r="H984" s="13"/>
      <c r="I984" s="14">
        <f t="shared" si="54"/>
        <v>0</v>
      </c>
      <c r="J984" s="12"/>
    </row>
    <row r="985" spans="2:10" x14ac:dyDescent="0.15">
      <c r="B985" s="15" t="s">
        <v>189</v>
      </c>
      <c r="C985" s="13">
        <v>2</v>
      </c>
      <c r="D985" s="14">
        <f t="shared" si="53"/>
        <v>2</v>
      </c>
      <c r="E985" s="12">
        <v>42147</v>
      </c>
      <c r="G985" s="97"/>
      <c r="H985" s="94"/>
      <c r="I985" s="96">
        <f t="shared" si="54"/>
        <v>0</v>
      </c>
      <c r="J985" s="98"/>
    </row>
    <row r="986" spans="2:10" x14ac:dyDescent="0.15">
      <c r="B986" s="10" t="s">
        <v>18</v>
      </c>
      <c r="C986" s="13">
        <v>13</v>
      </c>
      <c r="D986" s="14">
        <f t="shared" si="53"/>
        <v>13</v>
      </c>
      <c r="E986" s="12">
        <v>42150</v>
      </c>
      <c r="G986" s="97"/>
      <c r="H986" s="94"/>
      <c r="I986" s="96">
        <f t="shared" si="54"/>
        <v>0</v>
      </c>
      <c r="J986" s="98"/>
    </row>
    <row r="987" spans="2:10" x14ac:dyDescent="0.15">
      <c r="B987" s="10" t="s">
        <v>284</v>
      </c>
      <c r="C987" s="13">
        <v>4</v>
      </c>
      <c r="D987" s="14">
        <f t="shared" si="53"/>
        <v>4</v>
      </c>
      <c r="E987" s="12">
        <v>42151</v>
      </c>
      <c r="G987" s="78"/>
      <c r="H987" s="13"/>
      <c r="I987" s="14">
        <f t="shared" si="54"/>
        <v>0</v>
      </c>
      <c r="J987" s="12"/>
    </row>
    <row r="988" spans="2:10" x14ac:dyDescent="0.15">
      <c r="B988" s="10" t="s">
        <v>189</v>
      </c>
      <c r="C988" s="13">
        <v>1</v>
      </c>
      <c r="D988" s="14">
        <f t="shared" si="53"/>
        <v>1</v>
      </c>
      <c r="E988" s="12">
        <v>42149</v>
      </c>
      <c r="G988" s="78"/>
      <c r="H988" s="13"/>
      <c r="I988" s="14">
        <f t="shared" si="54"/>
        <v>0</v>
      </c>
      <c r="J988" s="12"/>
    </row>
    <row r="989" spans="2:10" x14ac:dyDescent="0.15">
      <c r="B989" s="10" t="s">
        <v>284</v>
      </c>
      <c r="C989" s="13">
        <v>10</v>
      </c>
      <c r="D989" s="14">
        <f t="shared" si="53"/>
        <v>10</v>
      </c>
      <c r="E989" s="12">
        <v>42151</v>
      </c>
      <c r="G989" s="10"/>
      <c r="H989" s="13"/>
      <c r="I989" s="14">
        <f t="shared" si="54"/>
        <v>0</v>
      </c>
      <c r="J989" s="12"/>
    </row>
    <row r="990" spans="2:10" x14ac:dyDescent="0.15">
      <c r="B990" s="10" t="s">
        <v>23</v>
      </c>
      <c r="C990" s="13">
        <v>14</v>
      </c>
      <c r="D990" s="14">
        <f t="shared" si="53"/>
        <v>14</v>
      </c>
      <c r="E990" s="12">
        <v>42152</v>
      </c>
      <c r="G990" s="78"/>
      <c r="H990" s="13"/>
      <c r="I990" s="14">
        <f t="shared" si="54"/>
        <v>0</v>
      </c>
      <c r="J990" s="12"/>
    </row>
    <row r="991" spans="2:10" x14ac:dyDescent="0.15">
      <c r="B991" s="10" t="s">
        <v>18</v>
      </c>
      <c r="C991" s="13">
        <v>17</v>
      </c>
      <c r="D991" s="14">
        <f t="shared" si="53"/>
        <v>17</v>
      </c>
      <c r="E991" s="12">
        <v>42152</v>
      </c>
      <c r="G991" s="10"/>
      <c r="H991" s="22"/>
      <c r="I991" s="23">
        <f t="shared" si="54"/>
        <v>0</v>
      </c>
      <c r="J991" s="24"/>
    </row>
    <row r="992" spans="2:10" x14ac:dyDescent="0.15">
      <c r="B992" s="67" t="s">
        <v>286</v>
      </c>
      <c r="C992" s="13">
        <v>200</v>
      </c>
      <c r="D992" s="14">
        <f t="shared" si="53"/>
        <v>200</v>
      </c>
      <c r="E992" s="12">
        <v>42152</v>
      </c>
      <c r="G992" s="27"/>
      <c r="H992" s="22"/>
      <c r="I992" s="23">
        <f t="shared" si="54"/>
        <v>0</v>
      </c>
      <c r="J992" s="24"/>
    </row>
    <row r="993" spans="2:10" x14ac:dyDescent="0.15">
      <c r="B993" s="10" t="s">
        <v>11</v>
      </c>
      <c r="C993" s="13">
        <v>100</v>
      </c>
      <c r="D993" s="14">
        <f t="shared" si="53"/>
        <v>100</v>
      </c>
      <c r="E993" s="12">
        <v>42160</v>
      </c>
      <c r="G993" s="15"/>
      <c r="H993" s="13"/>
      <c r="I993" s="14">
        <f t="shared" si="54"/>
        <v>0</v>
      </c>
      <c r="J993" s="12"/>
    </row>
    <row r="994" spans="2:10" x14ac:dyDescent="0.15">
      <c r="B994" s="10" t="s">
        <v>284</v>
      </c>
      <c r="C994" s="13">
        <v>6</v>
      </c>
      <c r="D994" s="14">
        <f t="shared" si="53"/>
        <v>6</v>
      </c>
      <c r="E994" s="12">
        <v>42154</v>
      </c>
      <c r="G994" s="10"/>
      <c r="H994" s="13"/>
      <c r="I994" s="14">
        <f t="shared" si="54"/>
        <v>0</v>
      </c>
      <c r="J994" s="12"/>
    </row>
    <row r="995" spans="2:10" x14ac:dyDescent="0.15">
      <c r="B995" s="10" t="s">
        <v>189</v>
      </c>
      <c r="C995" s="13">
        <v>3</v>
      </c>
      <c r="D995" s="14">
        <f t="shared" si="53"/>
        <v>3</v>
      </c>
      <c r="E995" s="12">
        <v>42152</v>
      </c>
      <c r="G995" s="15"/>
      <c r="H995" s="13"/>
      <c r="I995" s="14">
        <f t="shared" si="54"/>
        <v>0</v>
      </c>
      <c r="J995" s="12"/>
    </row>
    <row r="996" spans="2:10" x14ac:dyDescent="0.15">
      <c r="B996" s="10" t="s">
        <v>18</v>
      </c>
      <c r="C996" s="13">
        <v>44</v>
      </c>
      <c r="D996" s="14">
        <f t="shared" si="53"/>
        <v>44</v>
      </c>
      <c r="E996" s="12">
        <v>42154</v>
      </c>
      <c r="G996" s="21"/>
      <c r="H996" s="22"/>
      <c r="I996" s="23">
        <f t="shared" si="54"/>
        <v>0</v>
      </c>
      <c r="J996" s="24"/>
    </row>
    <row r="997" spans="2:10" x14ac:dyDescent="0.15">
      <c r="B997" s="101" t="s">
        <v>103</v>
      </c>
      <c r="C997" s="13">
        <v>80</v>
      </c>
      <c r="D997" s="14">
        <f t="shared" si="53"/>
        <v>80</v>
      </c>
      <c r="E997" s="12">
        <v>42156</v>
      </c>
      <c r="G997" s="27"/>
      <c r="H997" s="22"/>
      <c r="I997" s="23">
        <f t="shared" si="54"/>
        <v>0</v>
      </c>
      <c r="J997" s="24"/>
    </row>
    <row r="998" spans="2:10" x14ac:dyDescent="0.15">
      <c r="B998" s="10" t="s">
        <v>284</v>
      </c>
      <c r="C998" s="13">
        <v>10</v>
      </c>
      <c r="D998" s="14">
        <f t="shared" si="53"/>
        <v>10</v>
      </c>
      <c r="E998" s="12">
        <v>42157</v>
      </c>
      <c r="G998" s="15"/>
      <c r="H998" s="13"/>
      <c r="I998" s="14">
        <f t="shared" si="54"/>
        <v>0</v>
      </c>
      <c r="J998" s="5"/>
    </row>
    <row r="999" spans="2:10" x14ac:dyDescent="0.15">
      <c r="B999" s="10" t="s">
        <v>189</v>
      </c>
      <c r="C999" s="13">
        <v>1</v>
      </c>
      <c r="D999" s="14">
        <f t="shared" si="53"/>
        <v>1</v>
      </c>
      <c r="E999" s="12">
        <v>42154</v>
      </c>
      <c r="G999" s="15"/>
      <c r="H999" s="13"/>
      <c r="I999" s="14">
        <f t="shared" si="54"/>
        <v>0</v>
      </c>
      <c r="J999" s="5"/>
    </row>
    <row r="1000" spans="2:10" x14ac:dyDescent="0.15">
      <c r="B1000" s="10" t="s">
        <v>18</v>
      </c>
      <c r="C1000" s="13">
        <v>32</v>
      </c>
      <c r="D1000" s="14">
        <f t="shared" si="53"/>
        <v>32</v>
      </c>
      <c r="E1000" s="5">
        <v>42157</v>
      </c>
      <c r="G1000" s="75"/>
      <c r="H1000" s="13"/>
      <c r="I1000" s="14">
        <f t="shared" si="54"/>
        <v>0</v>
      </c>
      <c r="J1000" s="5"/>
    </row>
    <row r="1001" spans="2:10" x14ac:dyDescent="0.15">
      <c r="B1001" s="10" t="s">
        <v>284</v>
      </c>
      <c r="C1001" s="13">
        <v>10</v>
      </c>
      <c r="D1001" s="14">
        <f t="shared" si="53"/>
        <v>10</v>
      </c>
      <c r="E1001" s="5">
        <v>42157</v>
      </c>
      <c r="G1001" s="67"/>
      <c r="H1001" s="7"/>
      <c r="I1001" s="14">
        <f>SUM(H1001:H1001)</f>
        <v>0</v>
      </c>
      <c r="J1001" s="12"/>
    </row>
    <row r="1002" spans="2:10" x14ac:dyDescent="0.15">
      <c r="B1002" s="10" t="s">
        <v>73</v>
      </c>
      <c r="C1002" s="13">
        <v>20</v>
      </c>
      <c r="D1002" s="14">
        <f t="shared" si="53"/>
        <v>20</v>
      </c>
      <c r="E1002" s="5">
        <v>42158</v>
      </c>
      <c r="G1002" s="102"/>
      <c r="H1002" s="7"/>
      <c r="I1002" s="14">
        <f>SUM(H1002:H1002)</f>
        <v>0</v>
      </c>
      <c r="J1002" s="12"/>
    </row>
    <row r="1003" spans="2:10" x14ac:dyDescent="0.15">
      <c r="B1003" s="10" t="s">
        <v>189</v>
      </c>
      <c r="C1003" s="13">
        <v>3</v>
      </c>
      <c r="D1003" s="14">
        <f t="shared" si="53"/>
        <v>3</v>
      </c>
      <c r="E1003" s="5">
        <v>42156</v>
      </c>
      <c r="G1003" s="15"/>
      <c r="H1003" s="7"/>
      <c r="I1003" s="14">
        <f>SUM(H1003:H1003)</f>
        <v>0</v>
      </c>
      <c r="J1003" s="5"/>
    </row>
    <row r="1004" spans="2:10" ht="14.25" thickBot="1" x14ac:dyDescent="0.2">
      <c r="B1004" s="10" t="s">
        <v>189</v>
      </c>
      <c r="C1004" s="13">
        <v>3</v>
      </c>
      <c r="D1004" s="11">
        <f t="shared" si="53"/>
        <v>3</v>
      </c>
      <c r="E1004" s="12">
        <v>42157</v>
      </c>
      <c r="G1004" s="15"/>
      <c r="H1004" s="7"/>
      <c r="I1004" s="14">
        <f>SUM(H1004:H1004)</f>
        <v>0</v>
      </c>
      <c r="J1004" s="5"/>
    </row>
    <row r="1005" spans="2:10" ht="14.25" thickBot="1" x14ac:dyDescent="0.2">
      <c r="B1005" s="17" t="s">
        <v>2</v>
      </c>
      <c r="C1005" s="18">
        <f>SUM(C981:C1004)</f>
        <v>848</v>
      </c>
      <c r="D1005" s="19">
        <f t="shared" si="53"/>
        <v>848</v>
      </c>
      <c r="E1005" s="20"/>
      <c r="G1005" s="17" t="s">
        <v>2</v>
      </c>
      <c r="H1005" s="18">
        <f>SUM(H981:H1004)</f>
        <v>0</v>
      </c>
      <c r="I1005" s="19">
        <f>SUM(H1005:H1005)</f>
        <v>0</v>
      </c>
      <c r="J1005" s="20"/>
    </row>
    <row r="1006" spans="2:10" ht="14.25" thickBot="1" x14ac:dyDescent="0.2">
      <c r="B1006" s="46" t="s">
        <v>3</v>
      </c>
      <c r="C1006" s="52">
        <f>C980-C1005</f>
        <v>1261</v>
      </c>
      <c r="D1006" s="48">
        <f>D980-D1005</f>
        <v>1261</v>
      </c>
      <c r="E1006" s="49"/>
      <c r="G1006" s="46" t="s">
        <v>3</v>
      </c>
      <c r="H1006" s="52">
        <f>H980-H1005</f>
        <v>2196</v>
      </c>
      <c r="I1006" s="48">
        <f>I980-I1005</f>
        <v>2196</v>
      </c>
      <c r="J1006" s="49"/>
    </row>
    <row r="1009" spans="2:10" ht="18.75" x14ac:dyDescent="0.2">
      <c r="B1009" s="26" t="s">
        <v>7</v>
      </c>
      <c r="G1009" s="26" t="s">
        <v>35</v>
      </c>
    </row>
    <row r="1010" spans="2:10" ht="14.25" thickBot="1" x14ac:dyDescent="0.2"/>
    <row r="1011" spans="2:10" ht="14.25" thickBot="1" x14ac:dyDescent="0.2">
      <c r="B1011" s="1"/>
      <c r="C1011" s="2"/>
      <c r="D1011" s="3" t="s">
        <v>0</v>
      </c>
      <c r="E1011" s="1" t="s">
        <v>4</v>
      </c>
      <c r="G1011" s="1"/>
      <c r="H1011" s="2"/>
      <c r="I1011" s="3" t="s">
        <v>0</v>
      </c>
      <c r="J1011" s="1" t="s">
        <v>4</v>
      </c>
    </row>
    <row r="1012" spans="2:10" x14ac:dyDescent="0.15">
      <c r="B1012" s="42" t="s">
        <v>5</v>
      </c>
      <c r="C1012" s="43">
        <f>C1006</f>
        <v>1261</v>
      </c>
      <c r="D1012" s="44">
        <f>SUM(C1012:C1012)</f>
        <v>1261</v>
      </c>
      <c r="E1012" s="45"/>
      <c r="G1012" s="42" t="s">
        <v>5</v>
      </c>
      <c r="H1012" s="43">
        <f>H1006</f>
        <v>2196</v>
      </c>
      <c r="I1012" s="44">
        <f>SUM(H1012:H1012)</f>
        <v>2196</v>
      </c>
      <c r="J1012" s="45"/>
    </row>
    <row r="1013" spans="2:10" x14ac:dyDescent="0.15">
      <c r="B1013" s="6" t="s">
        <v>6</v>
      </c>
      <c r="C1013" s="13"/>
      <c r="D1013" s="14">
        <f>SUM(C1013:C1013)</f>
        <v>0</v>
      </c>
      <c r="E1013" s="5"/>
      <c r="G1013" s="71" t="s">
        <v>6</v>
      </c>
      <c r="H1013" s="13"/>
      <c r="I1013" s="14">
        <f>SUM(H1013:H1013)</f>
        <v>0</v>
      </c>
      <c r="J1013" s="5"/>
    </row>
    <row r="1014" spans="2:10" x14ac:dyDescent="0.15">
      <c r="B1014" s="6" t="s">
        <v>6</v>
      </c>
      <c r="C1014" s="7"/>
      <c r="D1014" s="8">
        <f>SUM(C1014:C1014)</f>
        <v>0</v>
      </c>
      <c r="E1014" s="9"/>
      <c r="G1014" s="71" t="s">
        <v>6</v>
      </c>
      <c r="H1014" s="13">
        <v>2500</v>
      </c>
      <c r="I1014" s="14">
        <f>SUM(H1014:H1014)</f>
        <v>2500</v>
      </c>
      <c r="J1014" s="5">
        <v>42156</v>
      </c>
    </row>
    <row r="1015" spans="2:10" ht="14.25" thickBot="1" x14ac:dyDescent="0.2">
      <c r="B1015" s="6" t="s">
        <v>6</v>
      </c>
      <c r="C1015" s="7"/>
      <c r="D1015" s="14">
        <f>SUM(C1015:C1015)</f>
        <v>0</v>
      </c>
      <c r="E1015" s="16"/>
      <c r="G1015" s="6" t="s">
        <v>6</v>
      </c>
      <c r="H1015" s="88">
        <v>1000</v>
      </c>
      <c r="I1015" s="11">
        <f>SUM(H1015:H1015)</f>
        <v>1000</v>
      </c>
      <c r="J1015" s="85">
        <v>42157</v>
      </c>
    </row>
    <row r="1016" spans="2:10" ht="14.25" thickBot="1" x14ac:dyDescent="0.2">
      <c r="B1016" s="46" t="s">
        <v>1</v>
      </c>
      <c r="C1016" s="48">
        <f>SUM(C1012:C1015)</f>
        <v>1261</v>
      </c>
      <c r="D1016" s="48">
        <f>SUM(D1012:D1015)</f>
        <v>1261</v>
      </c>
      <c r="E1016" s="49"/>
      <c r="G1016" s="46" t="s">
        <v>1</v>
      </c>
      <c r="H1016" s="47">
        <f>SUM(H1012:H1015)</f>
        <v>5696</v>
      </c>
      <c r="I1016" s="48">
        <f>SUM(I1012:I1015)</f>
        <v>5696</v>
      </c>
      <c r="J1016" s="49"/>
    </row>
    <row r="1017" spans="2:10" x14ac:dyDescent="0.15">
      <c r="B1017" s="10" t="s">
        <v>189</v>
      </c>
      <c r="C1017" s="77">
        <v>3</v>
      </c>
      <c r="D1017" s="11">
        <f t="shared" ref="D1017:D1041" si="55">SUM(C1017:C1017)</f>
        <v>3</v>
      </c>
      <c r="E1017" s="12">
        <v>42158</v>
      </c>
      <c r="G1017" s="15" t="s">
        <v>22</v>
      </c>
      <c r="H1017" s="13">
        <v>336</v>
      </c>
      <c r="I1017" s="11">
        <f>SUM(H1017:H1017)</f>
        <v>336</v>
      </c>
      <c r="J1017" s="12">
        <v>42154</v>
      </c>
    </row>
    <row r="1018" spans="2:10" x14ac:dyDescent="0.15">
      <c r="B1018" s="10" t="s">
        <v>18</v>
      </c>
      <c r="C1018" s="13">
        <v>13</v>
      </c>
      <c r="D1018" s="14">
        <f t="shared" si="55"/>
        <v>13</v>
      </c>
      <c r="E1018" s="12">
        <v>42160</v>
      </c>
      <c r="G1018" s="15" t="s">
        <v>293</v>
      </c>
      <c r="H1018" s="13">
        <v>400</v>
      </c>
      <c r="I1018" s="14">
        <f>SUM(H1018:H1018)</f>
        <v>400</v>
      </c>
      <c r="J1018" s="12">
        <v>42167</v>
      </c>
    </row>
    <row r="1019" spans="2:10" x14ac:dyDescent="0.15">
      <c r="B1019" s="15" t="s">
        <v>291</v>
      </c>
      <c r="C1019" s="13">
        <v>200</v>
      </c>
      <c r="D1019" s="14">
        <f>SUM(C1019:C1019)</f>
        <v>200</v>
      </c>
      <c r="E1019" s="12">
        <v>42163</v>
      </c>
      <c r="G1019" s="15" t="s">
        <v>294</v>
      </c>
      <c r="H1019" s="13">
        <v>500</v>
      </c>
      <c r="I1019" s="14">
        <f t="shared" ref="I1019:I1036" si="56">SUM(H1019:H1019)</f>
        <v>500</v>
      </c>
      <c r="J1019" s="12">
        <v>42168</v>
      </c>
    </row>
    <row r="1020" spans="2:10" x14ac:dyDescent="0.15">
      <c r="B1020" s="10" t="s">
        <v>189</v>
      </c>
      <c r="C1020" s="13">
        <v>2</v>
      </c>
      <c r="D1020" s="14">
        <f t="shared" si="55"/>
        <v>2</v>
      </c>
      <c r="E1020" s="12">
        <v>42159</v>
      </c>
      <c r="G1020" s="15" t="s">
        <v>296</v>
      </c>
      <c r="H1020" s="13">
        <v>400</v>
      </c>
      <c r="I1020" s="14">
        <f t="shared" si="56"/>
        <v>400</v>
      </c>
      <c r="J1020" s="12">
        <v>42172</v>
      </c>
    </row>
    <row r="1021" spans="2:10" x14ac:dyDescent="0.15">
      <c r="B1021" s="10" t="s">
        <v>284</v>
      </c>
      <c r="C1021" s="13">
        <v>20</v>
      </c>
      <c r="D1021" s="14">
        <f t="shared" si="55"/>
        <v>20</v>
      </c>
      <c r="E1021" s="12">
        <v>42164</v>
      </c>
      <c r="G1021" s="15" t="s">
        <v>298</v>
      </c>
      <c r="H1021" s="13">
        <v>400</v>
      </c>
      <c r="I1021" s="14">
        <f t="shared" si="56"/>
        <v>400</v>
      </c>
      <c r="J1021" s="12">
        <v>42174</v>
      </c>
    </row>
    <row r="1022" spans="2:10" x14ac:dyDescent="0.15">
      <c r="B1022" s="10" t="s">
        <v>18</v>
      </c>
      <c r="C1022" s="13">
        <v>49</v>
      </c>
      <c r="D1022" s="14">
        <f t="shared" si="55"/>
        <v>49</v>
      </c>
      <c r="E1022" s="12">
        <v>42164</v>
      </c>
      <c r="G1022" s="15" t="s">
        <v>301</v>
      </c>
      <c r="H1022" s="13">
        <v>300</v>
      </c>
      <c r="I1022" s="14">
        <f t="shared" si="56"/>
        <v>300</v>
      </c>
      <c r="J1022" s="12">
        <v>42174</v>
      </c>
    </row>
    <row r="1023" spans="2:10" x14ac:dyDescent="0.15">
      <c r="B1023" s="10" t="s">
        <v>189</v>
      </c>
      <c r="C1023" s="13">
        <v>1</v>
      </c>
      <c r="D1023" s="14">
        <f t="shared" si="55"/>
        <v>1</v>
      </c>
      <c r="E1023" s="12">
        <v>42161</v>
      </c>
      <c r="G1023" s="15" t="s">
        <v>22</v>
      </c>
      <c r="H1023" s="13">
        <v>336</v>
      </c>
      <c r="I1023" s="14">
        <f t="shared" si="56"/>
        <v>336</v>
      </c>
      <c r="J1023" s="12">
        <v>42175</v>
      </c>
    </row>
    <row r="1024" spans="2:10" x14ac:dyDescent="0.15">
      <c r="B1024" s="10" t="s">
        <v>189</v>
      </c>
      <c r="C1024" s="13">
        <v>1</v>
      </c>
      <c r="D1024" s="14">
        <f t="shared" si="55"/>
        <v>1</v>
      </c>
      <c r="E1024" s="12">
        <v>42163</v>
      </c>
      <c r="G1024" s="78"/>
      <c r="H1024" s="13"/>
      <c r="I1024" s="14">
        <f t="shared" si="56"/>
        <v>0</v>
      </c>
      <c r="J1024" s="12"/>
    </row>
    <row r="1025" spans="2:10" x14ac:dyDescent="0.15">
      <c r="B1025" s="10" t="s">
        <v>18</v>
      </c>
      <c r="C1025" s="13">
        <v>17</v>
      </c>
      <c r="D1025" s="14">
        <f t="shared" si="55"/>
        <v>17</v>
      </c>
      <c r="E1025" s="12">
        <v>42167</v>
      </c>
      <c r="G1025" s="10"/>
      <c r="H1025" s="13"/>
      <c r="I1025" s="14">
        <f t="shared" si="56"/>
        <v>0</v>
      </c>
      <c r="J1025" s="12"/>
    </row>
    <row r="1026" spans="2:10" x14ac:dyDescent="0.15">
      <c r="B1026" s="10" t="s">
        <v>189</v>
      </c>
      <c r="C1026" s="13">
        <v>2</v>
      </c>
      <c r="D1026" s="14">
        <f t="shared" si="55"/>
        <v>2</v>
      </c>
      <c r="E1026" s="12">
        <v>42164</v>
      </c>
      <c r="G1026" s="78"/>
      <c r="H1026" s="13"/>
      <c r="I1026" s="14">
        <f t="shared" si="56"/>
        <v>0</v>
      </c>
      <c r="J1026" s="12"/>
    </row>
    <row r="1027" spans="2:10" x14ac:dyDescent="0.15">
      <c r="B1027" s="10" t="s">
        <v>189</v>
      </c>
      <c r="C1027" s="13">
        <v>3</v>
      </c>
      <c r="D1027" s="14">
        <f t="shared" si="55"/>
        <v>3</v>
      </c>
      <c r="E1027" s="12">
        <v>42166</v>
      </c>
      <c r="G1027" s="10"/>
      <c r="H1027" s="22"/>
      <c r="I1027" s="23">
        <f t="shared" si="56"/>
        <v>0</v>
      </c>
      <c r="J1027" s="24"/>
    </row>
    <row r="1028" spans="2:10" x14ac:dyDescent="0.15">
      <c r="B1028" s="10" t="s">
        <v>18</v>
      </c>
      <c r="C1028" s="13">
        <v>9</v>
      </c>
      <c r="D1028" s="14">
        <f t="shared" si="55"/>
        <v>9</v>
      </c>
      <c r="E1028" s="12">
        <v>42171</v>
      </c>
      <c r="G1028" s="27"/>
      <c r="H1028" s="22"/>
      <c r="I1028" s="23">
        <f t="shared" si="56"/>
        <v>0</v>
      </c>
      <c r="J1028" s="24"/>
    </row>
    <row r="1029" spans="2:10" x14ac:dyDescent="0.15">
      <c r="B1029" s="10" t="s">
        <v>284</v>
      </c>
      <c r="C1029" s="13">
        <v>10</v>
      </c>
      <c r="D1029" s="14">
        <f t="shared" si="55"/>
        <v>10</v>
      </c>
      <c r="E1029" s="12">
        <v>42172</v>
      </c>
      <c r="G1029" s="15"/>
      <c r="H1029" s="13"/>
      <c r="I1029" s="14">
        <f t="shared" si="56"/>
        <v>0</v>
      </c>
      <c r="J1029" s="12"/>
    </row>
    <row r="1030" spans="2:10" x14ac:dyDescent="0.15">
      <c r="B1030" s="10" t="s">
        <v>189</v>
      </c>
      <c r="C1030" s="13">
        <v>7</v>
      </c>
      <c r="D1030" s="14">
        <f t="shared" si="55"/>
        <v>7</v>
      </c>
      <c r="E1030" s="12">
        <v>42170</v>
      </c>
      <c r="G1030" s="10"/>
      <c r="H1030" s="13"/>
      <c r="I1030" s="14">
        <f t="shared" si="56"/>
        <v>0</v>
      </c>
      <c r="J1030" s="12"/>
    </row>
    <row r="1031" spans="2:10" x14ac:dyDescent="0.15">
      <c r="B1031" s="10" t="s">
        <v>189</v>
      </c>
      <c r="C1031" s="13">
        <v>1</v>
      </c>
      <c r="D1031" s="14">
        <f t="shared" si="55"/>
        <v>1</v>
      </c>
      <c r="E1031" s="12">
        <v>42171</v>
      </c>
      <c r="G1031" s="15"/>
      <c r="H1031" s="13"/>
      <c r="I1031" s="14">
        <f t="shared" si="56"/>
        <v>0</v>
      </c>
      <c r="J1031" s="12"/>
    </row>
    <row r="1032" spans="2:10" x14ac:dyDescent="0.15">
      <c r="B1032" s="15" t="s">
        <v>297</v>
      </c>
      <c r="C1032" s="13">
        <v>100</v>
      </c>
      <c r="D1032" s="14">
        <f t="shared" si="55"/>
        <v>100</v>
      </c>
      <c r="E1032" s="12">
        <v>42174</v>
      </c>
      <c r="G1032" s="21"/>
      <c r="H1032" s="22"/>
      <c r="I1032" s="23">
        <f t="shared" si="56"/>
        <v>0</v>
      </c>
      <c r="J1032" s="24"/>
    </row>
    <row r="1033" spans="2:10" x14ac:dyDescent="0.15">
      <c r="B1033" s="10" t="s">
        <v>18</v>
      </c>
      <c r="C1033" s="13">
        <v>23</v>
      </c>
      <c r="D1033" s="14">
        <f t="shared" si="55"/>
        <v>23</v>
      </c>
      <c r="E1033" s="12">
        <v>42174</v>
      </c>
      <c r="G1033" s="27"/>
      <c r="H1033" s="22"/>
      <c r="I1033" s="23">
        <f t="shared" si="56"/>
        <v>0</v>
      </c>
      <c r="J1033" s="24"/>
    </row>
    <row r="1034" spans="2:10" x14ac:dyDescent="0.15">
      <c r="B1034" s="10" t="s">
        <v>189</v>
      </c>
      <c r="C1034" s="13">
        <v>1</v>
      </c>
      <c r="D1034" s="14">
        <f t="shared" si="55"/>
        <v>1</v>
      </c>
      <c r="E1034" s="12">
        <v>42172</v>
      </c>
      <c r="G1034" s="15"/>
      <c r="H1034" s="13"/>
      <c r="I1034" s="14">
        <f t="shared" si="56"/>
        <v>0</v>
      </c>
      <c r="J1034" s="5"/>
    </row>
    <row r="1035" spans="2:10" x14ac:dyDescent="0.15">
      <c r="B1035" s="10" t="s">
        <v>303</v>
      </c>
      <c r="C1035" s="13">
        <v>200</v>
      </c>
      <c r="D1035" s="14">
        <f t="shared" si="55"/>
        <v>200</v>
      </c>
      <c r="E1035" s="12">
        <v>42175</v>
      </c>
      <c r="G1035" s="15"/>
      <c r="H1035" s="13"/>
      <c r="I1035" s="14">
        <f t="shared" si="56"/>
        <v>0</v>
      </c>
      <c r="J1035" s="5"/>
    </row>
    <row r="1036" spans="2:10" x14ac:dyDescent="0.15">
      <c r="B1036" s="10" t="s">
        <v>309</v>
      </c>
      <c r="C1036" s="13">
        <v>30</v>
      </c>
      <c r="D1036" s="14">
        <f t="shared" si="55"/>
        <v>30</v>
      </c>
      <c r="E1036" s="5">
        <v>42177</v>
      </c>
      <c r="G1036" s="75"/>
      <c r="H1036" s="13"/>
      <c r="I1036" s="14">
        <f t="shared" si="56"/>
        <v>0</v>
      </c>
      <c r="J1036" s="5"/>
    </row>
    <row r="1037" spans="2:10" x14ac:dyDescent="0.15">
      <c r="B1037" s="10" t="s">
        <v>189</v>
      </c>
      <c r="C1037" s="13">
        <v>3</v>
      </c>
      <c r="D1037" s="14">
        <f t="shared" si="55"/>
        <v>3</v>
      </c>
      <c r="E1037" s="5">
        <v>42173</v>
      </c>
      <c r="G1037" s="67"/>
      <c r="H1037" s="7"/>
      <c r="I1037" s="14">
        <f>SUM(H1037:H1037)</f>
        <v>0</v>
      </c>
      <c r="J1037" s="12"/>
    </row>
    <row r="1038" spans="2:10" x14ac:dyDescent="0.15">
      <c r="B1038" s="10" t="s">
        <v>304</v>
      </c>
      <c r="C1038" s="13">
        <v>100</v>
      </c>
      <c r="D1038" s="14">
        <f t="shared" si="55"/>
        <v>100</v>
      </c>
      <c r="E1038" s="5">
        <v>42180</v>
      </c>
      <c r="G1038" s="102"/>
      <c r="H1038" s="7"/>
      <c r="I1038" s="14">
        <f>SUM(H1038:H1038)</f>
        <v>0</v>
      </c>
      <c r="J1038" s="12"/>
    </row>
    <row r="1039" spans="2:10" x14ac:dyDescent="0.15">
      <c r="B1039" s="10" t="s">
        <v>284</v>
      </c>
      <c r="C1039" s="13">
        <v>10</v>
      </c>
      <c r="D1039" s="14">
        <f t="shared" si="55"/>
        <v>10</v>
      </c>
      <c r="E1039" s="5">
        <v>42178</v>
      </c>
      <c r="G1039" s="15"/>
      <c r="H1039" s="7"/>
      <c r="I1039" s="14">
        <f>SUM(H1039:H1039)</f>
        <v>0</v>
      </c>
      <c r="J1039" s="5"/>
    </row>
    <row r="1040" spans="2:10" ht="14.25" thickBot="1" x14ac:dyDescent="0.2">
      <c r="B1040" s="15" t="s">
        <v>231</v>
      </c>
      <c r="C1040" s="13">
        <v>160</v>
      </c>
      <c r="D1040" s="11">
        <f t="shared" si="55"/>
        <v>160</v>
      </c>
      <c r="E1040" s="12">
        <v>42177</v>
      </c>
      <c r="G1040" s="15"/>
      <c r="H1040" s="7"/>
      <c r="I1040" s="14">
        <f>SUM(H1040:H1040)</f>
        <v>0</v>
      </c>
      <c r="J1040" s="5"/>
    </row>
    <row r="1041" spans="2:10" ht="14.25" thickBot="1" x14ac:dyDescent="0.2">
      <c r="B1041" s="17" t="s">
        <v>2</v>
      </c>
      <c r="C1041" s="18">
        <f>SUM(C1017:C1040)</f>
        <v>965</v>
      </c>
      <c r="D1041" s="19">
        <f t="shared" si="55"/>
        <v>965</v>
      </c>
      <c r="E1041" s="20"/>
      <c r="G1041" s="17" t="s">
        <v>2</v>
      </c>
      <c r="H1041" s="18">
        <f>SUM(H1017:H1040)</f>
        <v>2672</v>
      </c>
      <c r="I1041" s="19">
        <f>SUM(H1041:H1041)</f>
        <v>2672</v>
      </c>
      <c r="J1041" s="20"/>
    </row>
    <row r="1042" spans="2:10" ht="14.25" thickBot="1" x14ac:dyDescent="0.2">
      <c r="B1042" s="46" t="s">
        <v>3</v>
      </c>
      <c r="C1042" s="52">
        <f>C1016-C1041</f>
        <v>296</v>
      </c>
      <c r="D1042" s="48">
        <f>D1016-D1041</f>
        <v>296</v>
      </c>
      <c r="E1042" s="49"/>
      <c r="G1042" s="46" t="s">
        <v>3</v>
      </c>
      <c r="H1042" s="52">
        <f>H1016-H1041</f>
        <v>3024</v>
      </c>
      <c r="I1042" s="48">
        <f>I1016-I1041</f>
        <v>3024</v>
      </c>
      <c r="J1042" s="49"/>
    </row>
    <row r="1045" spans="2:10" ht="18.75" x14ac:dyDescent="0.2">
      <c r="B1045" s="26" t="s">
        <v>7</v>
      </c>
      <c r="G1045" s="26" t="s">
        <v>35</v>
      </c>
    </row>
    <row r="1046" spans="2:10" ht="14.25" thickBot="1" x14ac:dyDescent="0.2"/>
    <row r="1047" spans="2:10" ht="14.25" thickBot="1" x14ac:dyDescent="0.2">
      <c r="B1047" s="1"/>
      <c r="C1047" s="2"/>
      <c r="D1047" s="3" t="s">
        <v>0</v>
      </c>
      <c r="E1047" s="1" t="s">
        <v>4</v>
      </c>
      <c r="G1047" s="1"/>
      <c r="H1047" s="2"/>
      <c r="I1047" s="3" t="s">
        <v>0</v>
      </c>
      <c r="J1047" s="1" t="s">
        <v>4</v>
      </c>
    </row>
    <row r="1048" spans="2:10" x14ac:dyDescent="0.15">
      <c r="B1048" s="42" t="s">
        <v>5</v>
      </c>
      <c r="C1048" s="43">
        <f>C1042</f>
        <v>296</v>
      </c>
      <c r="D1048" s="44">
        <f>SUM(C1048:C1048)</f>
        <v>296</v>
      </c>
      <c r="E1048" s="45"/>
      <c r="G1048" s="42" t="s">
        <v>5</v>
      </c>
      <c r="H1048" s="43">
        <f>H1042</f>
        <v>3024</v>
      </c>
      <c r="I1048" s="44">
        <f>SUM(H1048:H1048)</f>
        <v>3024</v>
      </c>
      <c r="J1048" s="45"/>
    </row>
    <row r="1049" spans="2:10" x14ac:dyDescent="0.15">
      <c r="B1049" s="6" t="s">
        <v>6</v>
      </c>
      <c r="C1049" s="13">
        <v>336</v>
      </c>
      <c r="D1049" s="14">
        <f>SUM(C1049:C1049)</f>
        <v>336</v>
      </c>
      <c r="E1049" s="5">
        <v>42175</v>
      </c>
      <c r="G1049" s="71" t="s">
        <v>6</v>
      </c>
      <c r="H1049" s="13">
        <v>1000</v>
      </c>
      <c r="I1049" s="14">
        <f>SUM(H1049:H1049)</f>
        <v>1000</v>
      </c>
      <c r="J1049" s="5">
        <v>42186</v>
      </c>
    </row>
    <row r="1050" spans="2:10" x14ac:dyDescent="0.15">
      <c r="B1050" s="6" t="s">
        <v>105</v>
      </c>
      <c r="C1050" s="7">
        <v>3</v>
      </c>
      <c r="D1050" s="8">
        <f>SUM(C1050:C1050)</f>
        <v>3</v>
      </c>
      <c r="E1050" s="9">
        <v>42180</v>
      </c>
      <c r="G1050" s="71" t="s">
        <v>6</v>
      </c>
      <c r="H1050" s="67">
        <v>2500</v>
      </c>
      <c r="I1050" s="14">
        <f>SUM(H1050:H1050)</f>
        <v>2500</v>
      </c>
      <c r="J1050" s="5">
        <v>42186</v>
      </c>
    </row>
    <row r="1051" spans="2:10" ht="14.25" thickBot="1" x14ac:dyDescent="0.2">
      <c r="B1051" s="6" t="s">
        <v>76</v>
      </c>
      <c r="C1051" s="7">
        <v>17</v>
      </c>
      <c r="D1051" s="14">
        <f>SUM(C1051:C1051)</f>
        <v>17</v>
      </c>
      <c r="E1051" s="16">
        <v>42180</v>
      </c>
      <c r="G1051" s="6" t="s">
        <v>6</v>
      </c>
      <c r="H1051" s="88">
        <v>1000</v>
      </c>
      <c r="I1051" s="11">
        <f>SUM(H1051:H1051)</f>
        <v>1000</v>
      </c>
      <c r="J1051" s="85">
        <v>42186</v>
      </c>
    </row>
    <row r="1052" spans="2:10" ht="14.25" thickBot="1" x14ac:dyDescent="0.2">
      <c r="B1052" s="46" t="s">
        <v>1</v>
      </c>
      <c r="C1052" s="48">
        <f>SUM(C1048:C1051)</f>
        <v>652</v>
      </c>
      <c r="D1052" s="48">
        <f>SUM(D1048:D1051)</f>
        <v>652</v>
      </c>
      <c r="E1052" s="49"/>
      <c r="G1052" s="46" t="s">
        <v>1</v>
      </c>
      <c r="H1052" s="47">
        <f>SUM(H1048:H1051)</f>
        <v>7524</v>
      </c>
      <c r="I1052" s="48">
        <f>SUM(I1048:I1051)</f>
        <v>7524</v>
      </c>
      <c r="J1052" s="49"/>
    </row>
    <row r="1053" spans="2:10" x14ac:dyDescent="0.15">
      <c r="B1053" s="10" t="s">
        <v>189</v>
      </c>
      <c r="C1053" s="77">
        <v>8</v>
      </c>
      <c r="D1053" s="11">
        <f>SUM(C1053:C1053)</f>
        <v>8</v>
      </c>
      <c r="E1053" s="12">
        <v>42174</v>
      </c>
      <c r="G1053" s="15"/>
      <c r="H1053" s="13"/>
      <c r="I1053" s="11">
        <f>SUM(H1053:H1053)</f>
        <v>0</v>
      </c>
      <c r="J1053" s="12"/>
    </row>
    <row r="1054" spans="2:10" x14ac:dyDescent="0.15">
      <c r="B1054" s="10" t="s">
        <v>189</v>
      </c>
      <c r="C1054" s="13">
        <v>2</v>
      </c>
      <c r="D1054" s="14">
        <f>SUM(C1054:C1054)</f>
        <v>2</v>
      </c>
      <c r="E1054" s="12">
        <v>42175</v>
      </c>
      <c r="G1054" s="78"/>
      <c r="H1054" s="13"/>
      <c r="I1054" s="14">
        <f>SUM(H1054:H1054)</f>
        <v>0</v>
      </c>
      <c r="J1054" s="12"/>
    </row>
    <row r="1055" spans="2:10" x14ac:dyDescent="0.15">
      <c r="B1055" s="10" t="s">
        <v>18</v>
      </c>
      <c r="C1055" s="13">
        <v>10</v>
      </c>
      <c r="D1055" s="14">
        <f>SUM(C1055:C1055)</f>
        <v>10</v>
      </c>
      <c r="E1055" s="12">
        <v>42178</v>
      </c>
      <c r="G1055" s="10"/>
      <c r="H1055" s="13"/>
      <c r="I1055" s="14">
        <f t="shared" ref="I1055:I1077" si="57">SUM(H1055:H1055)</f>
        <v>0</v>
      </c>
      <c r="J1055" s="12"/>
    </row>
    <row r="1056" spans="2:10" x14ac:dyDescent="0.15">
      <c r="B1056" s="10" t="s">
        <v>101</v>
      </c>
      <c r="C1056" s="13">
        <v>2</v>
      </c>
      <c r="D1056" s="14">
        <f t="shared" ref="D1056:D1077" si="58">SUM(C1056:C1056)</f>
        <v>2</v>
      </c>
      <c r="E1056" s="12">
        <v>42180</v>
      </c>
      <c r="G1056" s="78"/>
      <c r="H1056" s="13"/>
      <c r="I1056" s="14">
        <f t="shared" si="57"/>
        <v>0</v>
      </c>
      <c r="J1056" s="12"/>
    </row>
    <row r="1057" spans="2:10" x14ac:dyDescent="0.15">
      <c r="B1057" s="10" t="s">
        <v>310</v>
      </c>
      <c r="C1057" s="13">
        <v>100</v>
      </c>
      <c r="D1057" s="14">
        <f t="shared" si="58"/>
        <v>100</v>
      </c>
      <c r="E1057" s="12">
        <v>42179</v>
      </c>
      <c r="G1057" s="78"/>
      <c r="H1057" s="13"/>
      <c r="I1057" s="14">
        <f t="shared" si="57"/>
        <v>0</v>
      </c>
      <c r="J1057" s="12"/>
    </row>
    <row r="1058" spans="2:10" x14ac:dyDescent="0.15">
      <c r="B1058" s="10" t="s">
        <v>189</v>
      </c>
      <c r="C1058" s="13">
        <v>1</v>
      </c>
      <c r="D1058" s="14">
        <f t="shared" si="58"/>
        <v>1</v>
      </c>
      <c r="E1058" s="12">
        <v>42177</v>
      </c>
      <c r="G1058" s="78"/>
      <c r="H1058" s="13"/>
      <c r="I1058" s="14">
        <f t="shared" si="57"/>
        <v>0</v>
      </c>
      <c r="J1058" s="12"/>
    </row>
    <row r="1059" spans="2:10" x14ac:dyDescent="0.15">
      <c r="B1059" s="10" t="s">
        <v>18</v>
      </c>
      <c r="C1059" s="13">
        <v>17</v>
      </c>
      <c r="D1059" s="14">
        <f t="shared" si="58"/>
        <v>17</v>
      </c>
      <c r="E1059" s="12">
        <v>42180</v>
      </c>
      <c r="G1059" s="78"/>
      <c r="H1059" s="13"/>
      <c r="I1059" s="14">
        <f t="shared" si="57"/>
        <v>0</v>
      </c>
      <c r="J1059" s="12"/>
    </row>
    <row r="1060" spans="2:10" x14ac:dyDescent="0.15">
      <c r="B1060" s="10" t="s">
        <v>189</v>
      </c>
      <c r="C1060" s="13">
        <v>2</v>
      </c>
      <c r="D1060" s="14">
        <f t="shared" si="58"/>
        <v>2</v>
      </c>
      <c r="E1060" s="12">
        <v>42178</v>
      </c>
      <c r="G1060" s="78"/>
      <c r="H1060" s="13"/>
      <c r="I1060" s="14">
        <f t="shared" si="57"/>
        <v>0</v>
      </c>
      <c r="J1060" s="12"/>
    </row>
    <row r="1061" spans="2:10" x14ac:dyDescent="0.15">
      <c r="B1061" s="10" t="s">
        <v>11</v>
      </c>
      <c r="C1061" s="13">
        <v>60</v>
      </c>
      <c r="D1061" s="14">
        <f t="shared" si="58"/>
        <v>60</v>
      </c>
      <c r="E1061" s="12">
        <v>42187</v>
      </c>
      <c r="G1061" s="10"/>
      <c r="H1061" s="13"/>
      <c r="I1061" s="14">
        <f t="shared" si="57"/>
        <v>0</v>
      </c>
      <c r="J1061" s="12"/>
    </row>
    <row r="1062" spans="2:10" x14ac:dyDescent="0.15">
      <c r="B1062" s="10" t="s">
        <v>284</v>
      </c>
      <c r="C1062" s="13">
        <v>4</v>
      </c>
      <c r="D1062" s="14">
        <f t="shared" si="58"/>
        <v>4</v>
      </c>
      <c r="E1062" s="12">
        <v>42182</v>
      </c>
      <c r="G1062" s="78"/>
      <c r="H1062" s="13"/>
      <c r="I1062" s="14">
        <f t="shared" si="57"/>
        <v>0</v>
      </c>
      <c r="J1062" s="12"/>
    </row>
    <row r="1063" spans="2:10" x14ac:dyDescent="0.15">
      <c r="B1063" s="10" t="s">
        <v>189</v>
      </c>
      <c r="C1063" s="13">
        <v>2</v>
      </c>
      <c r="D1063" s="14">
        <f t="shared" si="58"/>
        <v>2</v>
      </c>
      <c r="E1063" s="12">
        <v>42179</v>
      </c>
      <c r="G1063" s="15"/>
      <c r="H1063" s="13"/>
      <c r="I1063" s="14">
        <f t="shared" si="57"/>
        <v>0</v>
      </c>
      <c r="J1063" s="5"/>
    </row>
    <row r="1064" spans="2:10" x14ac:dyDescent="0.15">
      <c r="B1064" s="10" t="s">
        <v>18</v>
      </c>
      <c r="C1064" s="13">
        <v>7</v>
      </c>
      <c r="D1064" s="14">
        <f t="shared" si="58"/>
        <v>7</v>
      </c>
      <c r="E1064" s="12">
        <v>42182</v>
      </c>
      <c r="G1064" s="97"/>
      <c r="H1064" s="95"/>
      <c r="I1064" s="96">
        <f t="shared" si="57"/>
        <v>0</v>
      </c>
      <c r="J1064" s="98"/>
    </row>
    <row r="1065" spans="2:10" x14ac:dyDescent="0.15">
      <c r="B1065" s="10" t="s">
        <v>284</v>
      </c>
      <c r="C1065" s="13">
        <v>8</v>
      </c>
      <c r="D1065" s="14">
        <f t="shared" si="58"/>
        <v>8</v>
      </c>
      <c r="E1065" s="12">
        <v>42186</v>
      </c>
      <c r="G1065" s="10"/>
      <c r="H1065" s="13"/>
      <c r="I1065" s="14">
        <f t="shared" si="57"/>
        <v>0</v>
      </c>
      <c r="J1065" s="12"/>
    </row>
    <row r="1066" spans="2:10" x14ac:dyDescent="0.15">
      <c r="B1066" s="10" t="s">
        <v>189</v>
      </c>
      <c r="C1066" s="13">
        <v>1</v>
      </c>
      <c r="D1066" s="14">
        <f t="shared" si="58"/>
        <v>1</v>
      </c>
      <c r="E1066" s="12">
        <v>42181</v>
      </c>
      <c r="G1066" s="15"/>
      <c r="H1066" s="13"/>
      <c r="I1066" s="14">
        <f t="shared" si="57"/>
        <v>0</v>
      </c>
      <c r="J1066" s="12"/>
    </row>
    <row r="1067" spans="2:10" x14ac:dyDescent="0.15">
      <c r="B1067" s="10" t="s">
        <v>18</v>
      </c>
      <c r="C1067" s="13">
        <v>4</v>
      </c>
      <c r="D1067" s="14">
        <f t="shared" si="58"/>
        <v>4</v>
      </c>
      <c r="E1067" s="12">
        <v>42185</v>
      </c>
      <c r="G1067" s="15"/>
      <c r="H1067" s="13"/>
      <c r="I1067" s="14">
        <f t="shared" si="57"/>
        <v>0</v>
      </c>
      <c r="J1067" s="5"/>
    </row>
    <row r="1068" spans="2:10" x14ac:dyDescent="0.15">
      <c r="B1068" s="15" t="s">
        <v>189</v>
      </c>
      <c r="C1068" s="13">
        <v>1</v>
      </c>
      <c r="D1068" s="14">
        <f t="shared" si="58"/>
        <v>1</v>
      </c>
      <c r="E1068" s="12">
        <v>42184</v>
      </c>
      <c r="G1068" s="15"/>
      <c r="H1068" s="7"/>
      <c r="I1068" s="14">
        <f t="shared" si="57"/>
        <v>0</v>
      </c>
      <c r="J1068" s="12"/>
    </row>
    <row r="1069" spans="2:10" x14ac:dyDescent="0.15">
      <c r="B1069" s="10" t="s">
        <v>18</v>
      </c>
      <c r="C1069" s="13">
        <v>9</v>
      </c>
      <c r="D1069" s="14">
        <f t="shared" si="58"/>
        <v>9</v>
      </c>
      <c r="E1069" s="12">
        <v>42187</v>
      </c>
      <c r="G1069" s="15"/>
      <c r="H1069" s="13"/>
      <c r="I1069" s="14">
        <f t="shared" si="57"/>
        <v>0</v>
      </c>
      <c r="J1069" s="5"/>
    </row>
    <row r="1070" spans="2:10" x14ac:dyDescent="0.15">
      <c r="B1070" s="10" t="s">
        <v>189</v>
      </c>
      <c r="C1070" s="13">
        <v>1</v>
      </c>
      <c r="D1070" s="14">
        <f t="shared" si="58"/>
        <v>1</v>
      </c>
      <c r="E1070" s="12">
        <v>42185</v>
      </c>
      <c r="G1070" s="15"/>
      <c r="H1070" s="7"/>
      <c r="I1070" s="14">
        <f t="shared" si="57"/>
        <v>0</v>
      </c>
      <c r="J1070" s="12"/>
    </row>
    <row r="1071" spans="2:10" x14ac:dyDescent="0.15">
      <c r="B1071" s="10" t="s">
        <v>189</v>
      </c>
      <c r="C1071" s="13">
        <v>1</v>
      </c>
      <c r="D1071" s="14">
        <f t="shared" si="58"/>
        <v>1</v>
      </c>
      <c r="E1071" s="12">
        <v>42186</v>
      </c>
      <c r="G1071" s="10"/>
      <c r="H1071" s="13"/>
      <c r="I1071" s="14">
        <f t="shared" si="57"/>
        <v>0</v>
      </c>
      <c r="J1071" s="12"/>
    </row>
    <row r="1072" spans="2:10" x14ac:dyDescent="0.15">
      <c r="B1072" s="10" t="s">
        <v>284</v>
      </c>
      <c r="C1072" s="13">
        <v>6</v>
      </c>
      <c r="D1072" s="14">
        <f t="shared" si="58"/>
        <v>6</v>
      </c>
      <c r="E1072" s="5">
        <v>42189</v>
      </c>
      <c r="G1072" s="15"/>
      <c r="H1072" s="13"/>
      <c r="I1072" s="14">
        <f t="shared" si="57"/>
        <v>0</v>
      </c>
      <c r="J1072" s="12"/>
    </row>
    <row r="1073" spans="2:10" x14ac:dyDescent="0.15">
      <c r="B1073" s="10" t="s">
        <v>11</v>
      </c>
      <c r="C1073" s="13">
        <v>50</v>
      </c>
      <c r="D1073" s="14">
        <f t="shared" si="58"/>
        <v>50</v>
      </c>
      <c r="E1073" s="5">
        <v>42193</v>
      </c>
      <c r="G1073" s="15"/>
      <c r="H1073" s="13"/>
      <c r="I1073" s="14">
        <f t="shared" si="57"/>
        <v>0</v>
      </c>
      <c r="J1073" s="5"/>
    </row>
    <row r="1074" spans="2:10" x14ac:dyDescent="0.15">
      <c r="B1074" s="10" t="s">
        <v>189</v>
      </c>
      <c r="C1074" s="13">
        <v>1</v>
      </c>
      <c r="D1074" s="14">
        <f t="shared" si="58"/>
        <v>1</v>
      </c>
      <c r="E1074" s="5">
        <v>42187</v>
      </c>
      <c r="G1074" s="81"/>
      <c r="H1074" s="7"/>
      <c r="I1074" s="14">
        <f t="shared" si="57"/>
        <v>0</v>
      </c>
      <c r="J1074" s="12"/>
    </row>
    <row r="1075" spans="2:10" x14ac:dyDescent="0.15">
      <c r="B1075" s="10" t="s">
        <v>18</v>
      </c>
      <c r="C1075" s="13">
        <v>40</v>
      </c>
      <c r="D1075" s="14">
        <f t="shared" si="58"/>
        <v>40</v>
      </c>
      <c r="E1075" s="5">
        <v>42189</v>
      </c>
      <c r="G1075" s="15"/>
      <c r="H1075" s="7"/>
      <c r="I1075" s="14">
        <f t="shared" si="57"/>
        <v>0</v>
      </c>
      <c r="J1075" s="12"/>
    </row>
    <row r="1076" spans="2:10" ht="14.25" thickBot="1" x14ac:dyDescent="0.2">
      <c r="B1076" s="10" t="s">
        <v>284</v>
      </c>
      <c r="C1076" s="13">
        <v>10</v>
      </c>
      <c r="D1076" s="11">
        <f t="shared" si="58"/>
        <v>10</v>
      </c>
      <c r="E1076" s="12">
        <v>42189</v>
      </c>
      <c r="G1076" s="15"/>
      <c r="H1076" s="7"/>
      <c r="I1076" s="14">
        <f t="shared" si="57"/>
        <v>0</v>
      </c>
      <c r="J1076" s="74"/>
    </row>
    <row r="1077" spans="2:10" ht="14.25" thickBot="1" x14ac:dyDescent="0.2">
      <c r="B1077" s="17" t="s">
        <v>2</v>
      </c>
      <c r="C1077" s="18">
        <f>SUM(C1053:C1076)</f>
        <v>347</v>
      </c>
      <c r="D1077" s="19">
        <f t="shared" si="58"/>
        <v>347</v>
      </c>
      <c r="E1077" s="20"/>
      <c r="G1077" s="17" t="s">
        <v>2</v>
      </c>
      <c r="H1077" s="18">
        <f>SUM(H1053:H1076)</f>
        <v>0</v>
      </c>
      <c r="I1077" s="19">
        <f t="shared" si="57"/>
        <v>0</v>
      </c>
      <c r="J1077" s="20"/>
    </row>
    <row r="1078" spans="2:10" ht="14.25" thickBot="1" x14ac:dyDescent="0.2">
      <c r="B1078" s="46" t="s">
        <v>3</v>
      </c>
      <c r="C1078" s="52">
        <f>C1052-C1077</f>
        <v>305</v>
      </c>
      <c r="D1078" s="48">
        <f>D1052-D1077</f>
        <v>305</v>
      </c>
      <c r="E1078" s="49"/>
      <c r="G1078" s="46" t="s">
        <v>3</v>
      </c>
      <c r="H1078" s="52">
        <f>H1052-H1077</f>
        <v>7524</v>
      </c>
      <c r="I1078" s="48">
        <f>I1052-I1077</f>
        <v>7524</v>
      </c>
      <c r="J1078" s="49"/>
    </row>
    <row r="1081" spans="2:10" ht="18.75" x14ac:dyDescent="0.2">
      <c r="B1081" s="26" t="s">
        <v>7</v>
      </c>
      <c r="G1081" s="26" t="s">
        <v>35</v>
      </c>
    </row>
    <row r="1082" spans="2:10" ht="14.25" thickBot="1" x14ac:dyDescent="0.2"/>
    <row r="1083" spans="2:10" ht="14.25" thickBot="1" x14ac:dyDescent="0.2">
      <c r="B1083" s="1"/>
      <c r="C1083" s="2"/>
      <c r="D1083" s="3" t="s">
        <v>0</v>
      </c>
      <c r="E1083" s="1" t="s">
        <v>4</v>
      </c>
      <c r="G1083" s="1"/>
      <c r="H1083" s="2"/>
      <c r="I1083" s="3" t="s">
        <v>0</v>
      </c>
      <c r="J1083" s="1" t="s">
        <v>4</v>
      </c>
    </row>
    <row r="1084" spans="2:10" x14ac:dyDescent="0.15">
      <c r="B1084" s="42" t="s">
        <v>5</v>
      </c>
      <c r="C1084" s="43">
        <f>C1078</f>
        <v>305</v>
      </c>
      <c r="D1084" s="44">
        <f>SUM(C1084:C1084)</f>
        <v>305</v>
      </c>
      <c r="E1084" s="45"/>
      <c r="G1084" s="42" t="s">
        <v>5</v>
      </c>
      <c r="H1084" s="43">
        <f>H1078</f>
        <v>7524</v>
      </c>
      <c r="I1084" s="44">
        <f>SUM(H1084:H1084)</f>
        <v>7524</v>
      </c>
      <c r="J1084" s="45"/>
    </row>
    <row r="1085" spans="2:10" x14ac:dyDescent="0.15">
      <c r="B1085" s="6" t="s">
        <v>6</v>
      </c>
      <c r="C1085" s="13">
        <v>336</v>
      </c>
      <c r="D1085" s="14">
        <f>SUM(C1085:C1085)</f>
        <v>336</v>
      </c>
      <c r="E1085" s="5">
        <v>42199</v>
      </c>
      <c r="G1085" s="71" t="s">
        <v>6</v>
      </c>
      <c r="H1085" s="13"/>
      <c r="I1085" s="14">
        <f>SUM(H1085:H1085)</f>
        <v>0</v>
      </c>
      <c r="J1085" s="5"/>
    </row>
    <row r="1086" spans="2:10" x14ac:dyDescent="0.15">
      <c r="B1086" s="6" t="s">
        <v>6</v>
      </c>
      <c r="C1086" s="7">
        <v>336</v>
      </c>
      <c r="D1086" s="8">
        <f>SUM(C1086:C1086)</f>
        <v>336</v>
      </c>
      <c r="E1086" s="9">
        <v>42209</v>
      </c>
      <c r="G1086" s="71" t="s">
        <v>6</v>
      </c>
      <c r="H1086" s="67"/>
      <c r="I1086" s="14">
        <f>SUM(H1086:H1086)</f>
        <v>0</v>
      </c>
      <c r="J1086" s="5"/>
    </row>
    <row r="1087" spans="2:10" ht="14.25" thickBot="1" x14ac:dyDescent="0.2">
      <c r="B1087" s="6" t="s">
        <v>6</v>
      </c>
      <c r="C1087" s="7"/>
      <c r="D1087" s="14">
        <f>SUM(C1087:C1087)</f>
        <v>0</v>
      </c>
      <c r="E1087" s="16"/>
      <c r="G1087" s="6" t="s">
        <v>6</v>
      </c>
      <c r="H1087" s="88"/>
      <c r="I1087" s="11">
        <f>SUM(H1087:H1087)</f>
        <v>0</v>
      </c>
      <c r="J1087" s="85"/>
    </row>
    <row r="1088" spans="2:10" ht="14.25" thickBot="1" x14ac:dyDescent="0.2">
      <c r="B1088" s="46" t="s">
        <v>1</v>
      </c>
      <c r="C1088" s="48">
        <f>SUM(C1084:C1087)</f>
        <v>977</v>
      </c>
      <c r="D1088" s="48">
        <f>SUM(D1084:D1087)</f>
        <v>977</v>
      </c>
      <c r="E1088" s="49"/>
      <c r="G1088" s="46" t="s">
        <v>1</v>
      </c>
      <c r="H1088" s="47">
        <f>SUM(H1084:H1087)</f>
        <v>7524</v>
      </c>
      <c r="I1088" s="48">
        <f>SUM(I1084:I1087)</f>
        <v>7524</v>
      </c>
      <c r="J1088" s="49"/>
    </row>
    <row r="1089" spans="2:10" x14ac:dyDescent="0.15">
      <c r="B1089" s="10" t="s">
        <v>189</v>
      </c>
      <c r="C1089" s="77">
        <v>2</v>
      </c>
      <c r="D1089" s="11">
        <f>SUM(C1089:C1089)</f>
        <v>2</v>
      </c>
      <c r="E1089" s="12">
        <v>42188</v>
      </c>
      <c r="G1089" s="81" t="s">
        <v>323</v>
      </c>
      <c r="H1089" s="13">
        <v>500</v>
      </c>
      <c r="I1089" s="11">
        <f>SUM(H1089:H1089)</f>
        <v>500</v>
      </c>
      <c r="J1089" s="12">
        <v>42194</v>
      </c>
    </row>
    <row r="1090" spans="2:10" x14ac:dyDescent="0.15">
      <c r="B1090" s="10" t="s">
        <v>189</v>
      </c>
      <c r="C1090" s="13">
        <v>1</v>
      </c>
      <c r="D1090" s="14">
        <f>SUM(C1090:C1090)</f>
        <v>1</v>
      </c>
      <c r="E1090" s="12">
        <v>42189</v>
      </c>
      <c r="G1090" s="78" t="s">
        <v>321</v>
      </c>
      <c r="H1090" s="13">
        <v>200</v>
      </c>
      <c r="I1090" s="14">
        <f>SUM(H1090:H1090)</f>
        <v>200</v>
      </c>
      <c r="J1090" s="12">
        <v>42198</v>
      </c>
    </row>
    <row r="1091" spans="2:10" x14ac:dyDescent="0.15">
      <c r="B1091" s="10" t="s">
        <v>18</v>
      </c>
      <c r="C1091" s="13">
        <v>18</v>
      </c>
      <c r="D1091" s="14">
        <f>SUM(C1091:C1091)</f>
        <v>18</v>
      </c>
      <c r="E1091" s="12">
        <v>42192</v>
      </c>
      <c r="G1091" s="10" t="s">
        <v>16</v>
      </c>
      <c r="H1091" s="13">
        <v>336</v>
      </c>
      <c r="I1091" s="14">
        <f t="shared" ref="I1091:I1113" si="59">SUM(H1091:H1091)</f>
        <v>336</v>
      </c>
      <c r="J1091" s="12">
        <v>42199</v>
      </c>
    </row>
    <row r="1092" spans="2:10" x14ac:dyDescent="0.15">
      <c r="B1092" s="10" t="s">
        <v>200</v>
      </c>
      <c r="C1092" s="13">
        <v>1</v>
      </c>
      <c r="D1092" s="14">
        <f t="shared" ref="D1092:D1113" si="60">SUM(C1092:C1092)</f>
        <v>1</v>
      </c>
      <c r="E1092" s="12">
        <v>42198</v>
      </c>
      <c r="G1092" s="10" t="s">
        <v>16</v>
      </c>
      <c r="H1092" s="13">
        <v>336</v>
      </c>
      <c r="I1092" s="14">
        <f t="shared" si="59"/>
        <v>336</v>
      </c>
      <c r="J1092" s="12">
        <v>42209</v>
      </c>
    </row>
    <row r="1093" spans="2:10" x14ac:dyDescent="0.15">
      <c r="B1093" s="10" t="s">
        <v>18</v>
      </c>
      <c r="C1093" s="13">
        <v>33</v>
      </c>
      <c r="D1093" s="14">
        <f t="shared" si="60"/>
        <v>33</v>
      </c>
      <c r="E1093" s="12">
        <v>42194</v>
      </c>
      <c r="G1093" s="15"/>
      <c r="H1093" s="13"/>
      <c r="I1093" s="14">
        <f t="shared" si="59"/>
        <v>0</v>
      </c>
      <c r="J1093" s="12"/>
    </row>
    <row r="1094" spans="2:10" x14ac:dyDescent="0.15">
      <c r="B1094" s="10" t="s">
        <v>189</v>
      </c>
      <c r="C1094" s="13">
        <v>1</v>
      </c>
      <c r="D1094" s="14">
        <f t="shared" si="60"/>
        <v>1</v>
      </c>
      <c r="E1094" s="12">
        <v>42194</v>
      </c>
      <c r="G1094" s="78"/>
      <c r="H1094" s="13"/>
      <c r="I1094" s="14">
        <f t="shared" si="59"/>
        <v>0</v>
      </c>
      <c r="J1094" s="12"/>
    </row>
    <row r="1095" spans="2:10" x14ac:dyDescent="0.15">
      <c r="B1095" s="81" t="s">
        <v>324</v>
      </c>
      <c r="C1095" s="13">
        <v>50</v>
      </c>
      <c r="D1095" s="14">
        <f t="shared" si="60"/>
        <v>50</v>
      </c>
      <c r="E1095" s="12">
        <v>42196</v>
      </c>
      <c r="G1095" s="78"/>
      <c r="H1095" s="13"/>
      <c r="I1095" s="14">
        <f t="shared" si="59"/>
        <v>0</v>
      </c>
      <c r="J1095" s="12"/>
    </row>
    <row r="1096" spans="2:10" x14ac:dyDescent="0.15">
      <c r="B1096" s="10" t="s">
        <v>18</v>
      </c>
      <c r="C1096" s="13">
        <v>58</v>
      </c>
      <c r="D1096" s="14">
        <f t="shared" si="60"/>
        <v>58</v>
      </c>
      <c r="E1096" s="12">
        <v>42199</v>
      </c>
      <c r="G1096" s="78"/>
      <c r="H1096" s="13"/>
      <c r="I1096" s="14">
        <f t="shared" si="59"/>
        <v>0</v>
      </c>
      <c r="J1096" s="12"/>
    </row>
    <row r="1097" spans="2:10" x14ac:dyDescent="0.15">
      <c r="B1097" s="10" t="s">
        <v>284</v>
      </c>
      <c r="C1097" s="13">
        <v>10</v>
      </c>
      <c r="D1097" s="14">
        <f t="shared" si="60"/>
        <v>10</v>
      </c>
      <c r="E1097" s="12">
        <v>42200</v>
      </c>
      <c r="G1097" s="10"/>
      <c r="H1097" s="13"/>
      <c r="I1097" s="14">
        <f t="shared" si="59"/>
        <v>0</v>
      </c>
      <c r="J1097" s="12"/>
    </row>
    <row r="1098" spans="2:10" x14ac:dyDescent="0.15">
      <c r="B1098" s="10" t="s">
        <v>189</v>
      </c>
      <c r="C1098" s="13">
        <v>1</v>
      </c>
      <c r="D1098" s="14">
        <f t="shared" si="60"/>
        <v>1</v>
      </c>
      <c r="E1098" s="12">
        <v>42198</v>
      </c>
      <c r="G1098" s="78"/>
      <c r="H1098" s="13"/>
      <c r="I1098" s="14">
        <f t="shared" si="59"/>
        <v>0</v>
      </c>
      <c r="J1098" s="12"/>
    </row>
    <row r="1099" spans="2:10" x14ac:dyDescent="0.15">
      <c r="B1099" s="10" t="s">
        <v>189</v>
      </c>
      <c r="C1099" s="13">
        <v>2</v>
      </c>
      <c r="D1099" s="14">
        <f t="shared" si="60"/>
        <v>2</v>
      </c>
      <c r="E1099" s="12">
        <v>42199</v>
      </c>
      <c r="G1099" s="15"/>
      <c r="H1099" s="13"/>
      <c r="I1099" s="14">
        <f t="shared" si="59"/>
        <v>0</v>
      </c>
      <c r="J1099" s="5"/>
    </row>
    <row r="1100" spans="2:10" x14ac:dyDescent="0.15">
      <c r="B1100" s="10" t="s">
        <v>18</v>
      </c>
      <c r="C1100" s="13">
        <v>128</v>
      </c>
      <c r="D1100" s="14">
        <f t="shared" si="60"/>
        <v>128</v>
      </c>
      <c r="E1100" s="12">
        <v>42202</v>
      </c>
      <c r="G1100" s="15"/>
      <c r="H1100" s="7"/>
      <c r="I1100" s="14">
        <f t="shared" si="59"/>
        <v>0</v>
      </c>
      <c r="J1100" s="12"/>
    </row>
    <row r="1101" spans="2:10" x14ac:dyDescent="0.15">
      <c r="B1101" s="10" t="s">
        <v>189</v>
      </c>
      <c r="C1101" s="13">
        <v>1</v>
      </c>
      <c r="D1101" s="14">
        <f t="shared" si="60"/>
        <v>1</v>
      </c>
      <c r="E1101" s="12">
        <v>42201</v>
      </c>
      <c r="G1101" s="10"/>
      <c r="H1101" s="13"/>
      <c r="I1101" s="14">
        <f t="shared" si="59"/>
        <v>0</v>
      </c>
      <c r="J1101" s="12"/>
    </row>
    <row r="1102" spans="2:10" x14ac:dyDescent="0.15">
      <c r="B1102" s="10" t="s">
        <v>18</v>
      </c>
      <c r="C1102" s="13">
        <v>81</v>
      </c>
      <c r="D1102" s="14">
        <f t="shared" si="60"/>
        <v>81</v>
      </c>
      <c r="E1102" s="12">
        <v>42207</v>
      </c>
      <c r="G1102" s="15"/>
      <c r="H1102" s="13"/>
      <c r="I1102" s="14">
        <f t="shared" si="59"/>
        <v>0</v>
      </c>
      <c r="J1102" s="12"/>
    </row>
    <row r="1103" spans="2:10" x14ac:dyDescent="0.15">
      <c r="B1103" s="10" t="s">
        <v>189</v>
      </c>
      <c r="C1103" s="13">
        <v>11</v>
      </c>
      <c r="D1103" s="14">
        <f t="shared" si="60"/>
        <v>11</v>
      </c>
      <c r="E1103" s="12">
        <v>42206</v>
      </c>
      <c r="G1103" s="15"/>
      <c r="H1103" s="13"/>
      <c r="I1103" s="14">
        <f t="shared" si="59"/>
        <v>0</v>
      </c>
      <c r="J1103" s="5"/>
    </row>
    <row r="1104" spans="2:10" x14ac:dyDescent="0.15">
      <c r="B1104" s="10" t="s">
        <v>284</v>
      </c>
      <c r="C1104" s="13">
        <v>10</v>
      </c>
      <c r="D1104" s="14">
        <f t="shared" si="60"/>
        <v>10</v>
      </c>
      <c r="E1104" s="12">
        <v>42209</v>
      </c>
      <c r="G1104" s="15"/>
      <c r="H1104" s="7"/>
      <c r="I1104" s="14">
        <f t="shared" si="59"/>
        <v>0</v>
      </c>
      <c r="J1104" s="12"/>
    </row>
    <row r="1105" spans="2:10" x14ac:dyDescent="0.15">
      <c r="B1105" s="10" t="s">
        <v>18</v>
      </c>
      <c r="C1105" s="13">
        <v>115</v>
      </c>
      <c r="D1105" s="14">
        <f t="shared" si="60"/>
        <v>115</v>
      </c>
      <c r="E1105" s="12">
        <v>42209</v>
      </c>
      <c r="G1105" s="15"/>
      <c r="H1105" s="7"/>
      <c r="I1105" s="14">
        <f>SUM(H1105:H1105)</f>
        <v>0</v>
      </c>
      <c r="J1105" s="12"/>
    </row>
    <row r="1106" spans="2:10" x14ac:dyDescent="0.15">
      <c r="B1106" s="10" t="s">
        <v>189</v>
      </c>
      <c r="C1106" s="13">
        <v>1</v>
      </c>
      <c r="D1106" s="14">
        <f t="shared" si="60"/>
        <v>1</v>
      </c>
      <c r="E1106" s="12">
        <v>42207</v>
      </c>
      <c r="G1106" s="15"/>
      <c r="H1106" s="7"/>
      <c r="I1106" s="14">
        <f>SUM(H1106:H1106)</f>
        <v>0</v>
      </c>
      <c r="J1106" s="12"/>
    </row>
    <row r="1107" spans="2:10" x14ac:dyDescent="0.15">
      <c r="B1107" s="10" t="s">
        <v>284</v>
      </c>
      <c r="C1107" s="13">
        <v>6</v>
      </c>
      <c r="D1107" s="14">
        <f t="shared" si="60"/>
        <v>6</v>
      </c>
      <c r="E1107" s="12">
        <v>42212</v>
      </c>
      <c r="G1107" s="10"/>
      <c r="H1107" s="13"/>
      <c r="I1107" s="14">
        <f t="shared" si="59"/>
        <v>0</v>
      </c>
      <c r="J1107" s="12"/>
    </row>
    <row r="1108" spans="2:10" x14ac:dyDescent="0.15">
      <c r="B1108" s="10" t="s">
        <v>189</v>
      </c>
      <c r="C1108" s="13">
        <v>5</v>
      </c>
      <c r="D1108" s="14">
        <f t="shared" si="60"/>
        <v>5</v>
      </c>
      <c r="E1108" s="5">
        <v>42208</v>
      </c>
      <c r="G1108" s="15"/>
      <c r="H1108" s="13"/>
      <c r="I1108" s="14">
        <f t="shared" si="59"/>
        <v>0</v>
      </c>
      <c r="J1108" s="12"/>
    </row>
    <row r="1109" spans="2:10" x14ac:dyDescent="0.15">
      <c r="B1109" s="10" t="s">
        <v>284</v>
      </c>
      <c r="C1109" s="13">
        <v>14</v>
      </c>
      <c r="D1109" s="14">
        <f t="shared" si="60"/>
        <v>14</v>
      </c>
      <c r="E1109" s="5">
        <v>42213</v>
      </c>
      <c r="G1109" s="15"/>
      <c r="H1109" s="13"/>
      <c r="I1109" s="14">
        <f t="shared" si="59"/>
        <v>0</v>
      </c>
      <c r="J1109" s="5"/>
    </row>
    <row r="1110" spans="2:10" x14ac:dyDescent="0.15">
      <c r="B1110" s="10" t="s">
        <v>189</v>
      </c>
      <c r="C1110" s="13">
        <v>3</v>
      </c>
      <c r="D1110" s="14">
        <f t="shared" si="60"/>
        <v>3</v>
      </c>
      <c r="E1110" s="5">
        <v>42209</v>
      </c>
      <c r="G1110" s="15"/>
      <c r="H1110" s="13"/>
      <c r="I1110" s="14">
        <f>SUM(H1110:H1110)</f>
        <v>0</v>
      </c>
      <c r="J1110" s="5"/>
    </row>
    <row r="1111" spans="2:10" x14ac:dyDescent="0.15">
      <c r="B1111" s="10" t="s">
        <v>189</v>
      </c>
      <c r="C1111" s="13">
        <v>7</v>
      </c>
      <c r="D1111" s="14">
        <f t="shared" si="60"/>
        <v>7</v>
      </c>
      <c r="E1111" s="5">
        <v>42210</v>
      </c>
      <c r="G1111" s="15"/>
      <c r="H1111" s="7"/>
      <c r="I1111" s="14">
        <f t="shared" si="59"/>
        <v>0</v>
      </c>
      <c r="J1111" s="12"/>
    </row>
    <row r="1112" spans="2:10" ht="14.25" thickBot="1" x14ac:dyDescent="0.2">
      <c r="B1112" s="15" t="s">
        <v>311</v>
      </c>
      <c r="C1112" s="13">
        <v>186</v>
      </c>
      <c r="D1112" s="11">
        <f t="shared" si="60"/>
        <v>186</v>
      </c>
      <c r="E1112" s="12">
        <v>42213</v>
      </c>
      <c r="G1112" s="15"/>
      <c r="H1112" s="7"/>
      <c r="I1112" s="14">
        <f t="shared" si="59"/>
        <v>0</v>
      </c>
      <c r="J1112" s="74"/>
    </row>
    <row r="1113" spans="2:10" ht="14.25" thickBot="1" x14ac:dyDescent="0.2">
      <c r="B1113" s="17" t="s">
        <v>2</v>
      </c>
      <c r="C1113" s="18">
        <f>SUM(C1089:C1112)</f>
        <v>745</v>
      </c>
      <c r="D1113" s="19">
        <f t="shared" si="60"/>
        <v>745</v>
      </c>
      <c r="E1113" s="20"/>
      <c r="G1113" s="17" t="s">
        <v>2</v>
      </c>
      <c r="H1113" s="18">
        <f>SUM(H1089:H1112)</f>
        <v>1372</v>
      </c>
      <c r="I1113" s="19">
        <f t="shared" si="59"/>
        <v>1372</v>
      </c>
      <c r="J1113" s="20"/>
    </row>
    <row r="1114" spans="2:10" ht="14.25" thickBot="1" x14ac:dyDescent="0.2">
      <c r="B1114" s="46" t="s">
        <v>3</v>
      </c>
      <c r="C1114" s="52">
        <f>C1088-C1113</f>
        <v>232</v>
      </c>
      <c r="D1114" s="48">
        <f>D1088-D1113</f>
        <v>232</v>
      </c>
      <c r="E1114" s="49"/>
      <c r="G1114" s="46" t="s">
        <v>3</v>
      </c>
      <c r="H1114" s="52">
        <f>H1088-H1113</f>
        <v>6152</v>
      </c>
      <c r="I1114" s="48">
        <f>I1088-I1113</f>
        <v>6152</v>
      </c>
      <c r="J1114" s="49"/>
    </row>
    <row r="1117" spans="2:10" ht="18.75" x14ac:dyDescent="0.2">
      <c r="B1117" s="26" t="s">
        <v>7</v>
      </c>
      <c r="G1117" s="26" t="s">
        <v>35</v>
      </c>
    </row>
    <row r="1118" spans="2:10" ht="14.25" thickBot="1" x14ac:dyDescent="0.2"/>
    <row r="1119" spans="2:10" ht="14.25" thickBot="1" x14ac:dyDescent="0.2">
      <c r="B1119" s="1"/>
      <c r="C1119" s="2"/>
      <c r="D1119" s="3" t="s">
        <v>0</v>
      </c>
      <c r="E1119" s="1" t="s">
        <v>4</v>
      </c>
      <c r="G1119" s="1"/>
      <c r="H1119" s="2"/>
      <c r="I1119" s="3" t="s">
        <v>0</v>
      </c>
      <c r="J1119" s="1" t="s">
        <v>4</v>
      </c>
    </row>
    <row r="1120" spans="2:10" x14ac:dyDescent="0.15">
      <c r="B1120" s="42" t="s">
        <v>5</v>
      </c>
      <c r="C1120" s="43">
        <f>C1114</f>
        <v>232</v>
      </c>
      <c r="D1120" s="44">
        <f>SUM(C1120:C1120)</f>
        <v>232</v>
      </c>
      <c r="E1120" s="45"/>
      <c r="G1120" s="42" t="s">
        <v>5</v>
      </c>
      <c r="H1120" s="43">
        <f>H1114</f>
        <v>6152</v>
      </c>
      <c r="I1120" s="44">
        <f>SUM(H1120:H1120)</f>
        <v>6152</v>
      </c>
      <c r="J1120" s="45"/>
    </row>
    <row r="1121" spans="2:10" x14ac:dyDescent="0.15">
      <c r="B1121" s="6" t="s">
        <v>6</v>
      </c>
      <c r="C1121" s="13">
        <v>336</v>
      </c>
      <c r="D1121" s="14">
        <f>SUM(C1121:C1121)</f>
        <v>336</v>
      </c>
      <c r="E1121" s="5">
        <v>42214</v>
      </c>
      <c r="G1121" s="71" t="s">
        <v>6</v>
      </c>
      <c r="H1121" s="13"/>
      <c r="I1121" s="14">
        <f>SUM(H1121:H1121)</f>
        <v>0</v>
      </c>
      <c r="J1121" s="5"/>
    </row>
    <row r="1122" spans="2:10" x14ac:dyDescent="0.15">
      <c r="B1122" s="6" t="s">
        <v>6</v>
      </c>
      <c r="C1122" s="7">
        <v>200</v>
      </c>
      <c r="D1122" s="8">
        <f>SUM(C1122:C1122)</f>
        <v>200</v>
      </c>
      <c r="E1122" s="9">
        <v>42216</v>
      </c>
      <c r="F1122" t="s">
        <v>338</v>
      </c>
      <c r="G1122" s="71" t="s">
        <v>6</v>
      </c>
      <c r="H1122" s="67"/>
      <c r="I1122" s="14">
        <f>SUM(H1122:H1122)</f>
        <v>0</v>
      </c>
      <c r="J1122" s="5"/>
    </row>
    <row r="1123" spans="2:10" ht="14.25" thickBot="1" x14ac:dyDescent="0.2">
      <c r="B1123" s="6" t="s">
        <v>6</v>
      </c>
      <c r="C1123" s="7">
        <v>200</v>
      </c>
      <c r="D1123" s="14">
        <f>SUM(C1123:C1123)</f>
        <v>200</v>
      </c>
      <c r="E1123" s="16">
        <v>42219</v>
      </c>
      <c r="F1123" t="s">
        <v>338</v>
      </c>
      <c r="G1123" s="6" t="s">
        <v>6</v>
      </c>
      <c r="H1123" s="88"/>
      <c r="I1123" s="11">
        <f>SUM(H1123:H1123)</f>
        <v>0</v>
      </c>
      <c r="J1123" s="85"/>
    </row>
    <row r="1124" spans="2:10" ht="14.25" thickBot="1" x14ac:dyDescent="0.2">
      <c r="B1124" s="46" t="s">
        <v>1</v>
      </c>
      <c r="C1124" s="48">
        <f>SUM(C1120:C1123)</f>
        <v>968</v>
      </c>
      <c r="D1124" s="48">
        <f>SUM(D1120:D1123)</f>
        <v>968</v>
      </c>
      <c r="E1124" s="49"/>
      <c r="G1124" s="46" t="s">
        <v>1</v>
      </c>
      <c r="H1124" s="47">
        <f>SUM(H1120:H1123)</f>
        <v>6152</v>
      </c>
      <c r="I1124" s="48">
        <f>SUM(I1120:I1123)</f>
        <v>6152</v>
      </c>
      <c r="J1124" s="49"/>
    </row>
    <row r="1125" spans="2:10" x14ac:dyDescent="0.15">
      <c r="B1125" s="10" t="s">
        <v>189</v>
      </c>
      <c r="C1125" s="77">
        <v>8</v>
      </c>
      <c r="D1125" s="11">
        <f>SUM(C1125:C1125)</f>
        <v>8</v>
      </c>
      <c r="E1125" s="12">
        <v>42212</v>
      </c>
      <c r="G1125" s="81" t="s">
        <v>16</v>
      </c>
      <c r="H1125" s="13">
        <v>336</v>
      </c>
      <c r="I1125" s="11">
        <f>SUM(H1125:H1125)</f>
        <v>336</v>
      </c>
      <c r="J1125" s="12">
        <v>42214</v>
      </c>
    </row>
    <row r="1126" spans="2:10" x14ac:dyDescent="0.15">
      <c r="B1126" s="10" t="s">
        <v>18</v>
      </c>
      <c r="C1126" s="13">
        <v>49</v>
      </c>
      <c r="D1126" s="14">
        <f>SUM(C1126:C1126)</f>
        <v>49</v>
      </c>
      <c r="E1126" s="12">
        <v>42214</v>
      </c>
      <c r="G1126" s="15" t="s">
        <v>334</v>
      </c>
      <c r="H1126" s="13">
        <v>800</v>
      </c>
      <c r="I1126" s="14">
        <f>SUM(H1126:H1126)</f>
        <v>800</v>
      </c>
      <c r="J1126" s="12">
        <v>42216</v>
      </c>
    </row>
    <row r="1127" spans="2:10" x14ac:dyDescent="0.15">
      <c r="B1127" s="10" t="s">
        <v>189</v>
      </c>
      <c r="C1127" s="13">
        <v>2</v>
      </c>
      <c r="D1127" s="14">
        <f>SUM(C1127:C1127)</f>
        <v>2</v>
      </c>
      <c r="E1127" s="12">
        <v>42213</v>
      </c>
      <c r="G1127" s="15" t="s">
        <v>336</v>
      </c>
      <c r="H1127" s="13">
        <v>200</v>
      </c>
      <c r="I1127" s="14">
        <f t="shared" ref="I1127:I1149" si="61">SUM(H1127:H1127)</f>
        <v>200</v>
      </c>
      <c r="J1127" s="12">
        <v>42216</v>
      </c>
    </row>
    <row r="1128" spans="2:10" x14ac:dyDescent="0.15">
      <c r="B1128" s="10" t="s">
        <v>11</v>
      </c>
      <c r="C1128" s="13">
        <v>35</v>
      </c>
      <c r="D1128" s="14">
        <f t="shared" ref="D1128:D1149" si="62">SUM(C1128:C1128)</f>
        <v>35</v>
      </c>
      <c r="E1128" s="12">
        <v>42222</v>
      </c>
      <c r="G1128" s="81" t="s">
        <v>337</v>
      </c>
      <c r="H1128" s="13">
        <v>200</v>
      </c>
      <c r="I1128" s="14">
        <f t="shared" si="61"/>
        <v>200</v>
      </c>
      <c r="J1128" s="12">
        <v>42216</v>
      </c>
    </row>
    <row r="1129" spans="2:10" x14ac:dyDescent="0.15">
      <c r="B1129" s="15" t="s">
        <v>335</v>
      </c>
      <c r="C1129" s="13">
        <v>100</v>
      </c>
      <c r="D1129" s="14">
        <f t="shared" si="62"/>
        <v>100</v>
      </c>
      <c r="E1129" s="12">
        <v>42216</v>
      </c>
      <c r="G1129" s="81" t="s">
        <v>337</v>
      </c>
      <c r="H1129" s="13">
        <v>200</v>
      </c>
      <c r="I1129" s="14">
        <f t="shared" si="61"/>
        <v>200</v>
      </c>
      <c r="J1129" s="12">
        <v>42219</v>
      </c>
    </row>
    <row r="1130" spans="2:10" x14ac:dyDescent="0.15">
      <c r="B1130" s="10" t="s">
        <v>189</v>
      </c>
      <c r="C1130" s="13">
        <v>2</v>
      </c>
      <c r="D1130" s="14">
        <f t="shared" si="62"/>
        <v>2</v>
      </c>
      <c r="E1130" s="12">
        <v>42214</v>
      </c>
      <c r="G1130" s="78"/>
      <c r="H1130" s="13"/>
      <c r="I1130" s="14">
        <f t="shared" si="61"/>
        <v>0</v>
      </c>
      <c r="J1130" s="12"/>
    </row>
    <row r="1131" spans="2:10" x14ac:dyDescent="0.15">
      <c r="B1131" s="10" t="s">
        <v>18</v>
      </c>
      <c r="C1131" s="13">
        <v>30</v>
      </c>
      <c r="D1131" s="14">
        <f t="shared" si="62"/>
        <v>30</v>
      </c>
      <c r="E1131" s="12">
        <v>42216</v>
      </c>
      <c r="G1131" s="78"/>
      <c r="H1131" s="13"/>
      <c r="I1131" s="14">
        <f t="shared" si="61"/>
        <v>0</v>
      </c>
      <c r="J1131" s="12"/>
    </row>
    <row r="1132" spans="2:10" x14ac:dyDescent="0.15">
      <c r="B1132" s="15" t="s">
        <v>340</v>
      </c>
      <c r="C1132" s="13">
        <v>100</v>
      </c>
      <c r="D1132" s="14">
        <f t="shared" si="62"/>
        <v>100</v>
      </c>
      <c r="E1132" s="12">
        <v>42217</v>
      </c>
      <c r="G1132" s="78"/>
      <c r="H1132" s="13"/>
      <c r="I1132" s="14">
        <f t="shared" si="61"/>
        <v>0</v>
      </c>
      <c r="J1132" s="12"/>
    </row>
    <row r="1133" spans="2:10" x14ac:dyDescent="0.15">
      <c r="B1133" s="10" t="s">
        <v>189</v>
      </c>
      <c r="C1133" s="13">
        <v>6</v>
      </c>
      <c r="D1133" s="14">
        <f t="shared" si="62"/>
        <v>6</v>
      </c>
      <c r="E1133" s="12">
        <v>42215</v>
      </c>
      <c r="G1133" s="10"/>
      <c r="H1133" s="13"/>
      <c r="I1133" s="14">
        <f t="shared" si="61"/>
        <v>0</v>
      </c>
      <c r="J1133" s="12"/>
    </row>
    <row r="1134" spans="2:10" x14ac:dyDescent="0.15">
      <c r="B1134" s="15" t="s">
        <v>342</v>
      </c>
      <c r="C1134" s="13">
        <v>100</v>
      </c>
      <c r="D1134" s="14">
        <f t="shared" si="62"/>
        <v>100</v>
      </c>
      <c r="E1134" s="12">
        <v>42219</v>
      </c>
      <c r="G1134" s="78"/>
      <c r="H1134" s="13"/>
      <c r="I1134" s="14">
        <f t="shared" si="61"/>
        <v>0</v>
      </c>
      <c r="J1134" s="12"/>
    </row>
    <row r="1135" spans="2:10" x14ac:dyDescent="0.15">
      <c r="B1135" s="10" t="s">
        <v>284</v>
      </c>
      <c r="C1135" s="13">
        <v>10</v>
      </c>
      <c r="D1135" s="14">
        <f t="shared" si="62"/>
        <v>10</v>
      </c>
      <c r="E1135" s="12">
        <v>42221</v>
      </c>
      <c r="G1135" s="15"/>
      <c r="H1135" s="13"/>
      <c r="I1135" s="14">
        <f t="shared" si="61"/>
        <v>0</v>
      </c>
      <c r="J1135" s="5"/>
    </row>
    <row r="1136" spans="2:10" x14ac:dyDescent="0.15">
      <c r="B1136" s="10" t="s">
        <v>189</v>
      </c>
      <c r="C1136" s="13">
        <v>6</v>
      </c>
      <c r="D1136" s="14">
        <f t="shared" si="62"/>
        <v>6</v>
      </c>
      <c r="E1136" s="12">
        <v>42219</v>
      </c>
      <c r="G1136" s="15"/>
      <c r="H1136" s="7"/>
      <c r="I1136" s="14">
        <f t="shared" si="61"/>
        <v>0</v>
      </c>
      <c r="J1136" s="12"/>
    </row>
    <row r="1137" spans="2:10" x14ac:dyDescent="0.15">
      <c r="B1137" s="10" t="s">
        <v>18</v>
      </c>
      <c r="C1137" s="13">
        <v>37</v>
      </c>
      <c r="D1137" s="14">
        <f t="shared" si="62"/>
        <v>37</v>
      </c>
      <c r="E1137" s="12">
        <v>42221</v>
      </c>
      <c r="G1137" s="10"/>
      <c r="H1137" s="13"/>
      <c r="I1137" s="14">
        <f t="shared" si="61"/>
        <v>0</v>
      </c>
      <c r="J1137" s="12"/>
    </row>
    <row r="1138" spans="2:10" x14ac:dyDescent="0.15">
      <c r="B1138" s="10" t="s">
        <v>76</v>
      </c>
      <c r="C1138" s="13">
        <v>-23</v>
      </c>
      <c r="D1138" s="14">
        <f t="shared" si="62"/>
        <v>-23</v>
      </c>
      <c r="E1138" s="12">
        <v>42220</v>
      </c>
      <c r="G1138" s="15"/>
      <c r="H1138" s="13"/>
      <c r="I1138" s="14">
        <f t="shared" si="61"/>
        <v>0</v>
      </c>
      <c r="J1138" s="12"/>
    </row>
    <row r="1139" spans="2:10" x14ac:dyDescent="0.15">
      <c r="B1139" s="10" t="s">
        <v>189</v>
      </c>
      <c r="C1139" s="13">
        <v>2</v>
      </c>
      <c r="D1139" s="14">
        <f t="shared" si="62"/>
        <v>2</v>
      </c>
      <c r="E1139" s="12">
        <v>42220</v>
      </c>
      <c r="G1139" s="15"/>
      <c r="H1139" s="13"/>
      <c r="I1139" s="14">
        <f t="shared" si="61"/>
        <v>0</v>
      </c>
      <c r="J1139" s="5"/>
    </row>
    <row r="1140" spans="2:10" x14ac:dyDescent="0.15">
      <c r="B1140" s="10" t="s">
        <v>76</v>
      </c>
      <c r="C1140" s="13">
        <v>-11</v>
      </c>
      <c r="D1140" s="14">
        <f t="shared" si="62"/>
        <v>-11</v>
      </c>
      <c r="E1140" s="12">
        <v>42220</v>
      </c>
      <c r="G1140" s="15"/>
      <c r="H1140" s="7"/>
      <c r="I1140" s="14">
        <f t="shared" si="61"/>
        <v>0</v>
      </c>
      <c r="J1140" s="12"/>
    </row>
    <row r="1141" spans="2:10" x14ac:dyDescent="0.15">
      <c r="B1141" s="10" t="s">
        <v>189</v>
      </c>
      <c r="C1141" s="13">
        <v>1</v>
      </c>
      <c r="D1141" s="14">
        <f t="shared" si="62"/>
        <v>1</v>
      </c>
      <c r="E1141" s="12">
        <v>42221</v>
      </c>
      <c r="G1141" s="15"/>
      <c r="H1141" s="7"/>
      <c r="I1141" s="14">
        <f t="shared" si="61"/>
        <v>0</v>
      </c>
      <c r="J1141" s="12"/>
    </row>
    <row r="1142" spans="2:10" x14ac:dyDescent="0.15">
      <c r="B1142" s="10" t="s">
        <v>18</v>
      </c>
      <c r="C1142" s="13">
        <v>73</v>
      </c>
      <c r="D1142" s="14">
        <f t="shared" si="62"/>
        <v>73</v>
      </c>
      <c r="E1142" s="12">
        <v>42224</v>
      </c>
      <c r="G1142" s="15"/>
      <c r="H1142" s="7"/>
      <c r="I1142" s="14">
        <f t="shared" si="61"/>
        <v>0</v>
      </c>
      <c r="J1142" s="12"/>
    </row>
    <row r="1143" spans="2:10" x14ac:dyDescent="0.15">
      <c r="B1143" s="10" t="s">
        <v>105</v>
      </c>
      <c r="C1143" s="13">
        <v>-2</v>
      </c>
      <c r="D1143" s="14">
        <f t="shared" si="62"/>
        <v>-2</v>
      </c>
      <c r="E1143" s="12">
        <v>42224</v>
      </c>
      <c r="G1143" s="10"/>
      <c r="H1143" s="13"/>
      <c r="I1143" s="14">
        <f t="shared" si="61"/>
        <v>0</v>
      </c>
      <c r="J1143" s="12"/>
    </row>
    <row r="1144" spans="2:10" x14ac:dyDescent="0.15">
      <c r="B1144" s="10" t="s">
        <v>189</v>
      </c>
      <c r="C1144" s="13">
        <v>5</v>
      </c>
      <c r="D1144" s="14">
        <f t="shared" si="62"/>
        <v>5</v>
      </c>
      <c r="E1144" s="5">
        <v>42224</v>
      </c>
      <c r="G1144" s="10"/>
      <c r="H1144" s="13"/>
      <c r="I1144" s="14">
        <f>SUM(H1144:H1144)</f>
        <v>0</v>
      </c>
      <c r="J1144" s="12"/>
    </row>
    <row r="1145" spans="2:10" x14ac:dyDescent="0.15">
      <c r="B1145" s="10" t="s">
        <v>189</v>
      </c>
      <c r="C1145" s="13">
        <v>5</v>
      </c>
      <c r="D1145" s="14">
        <f t="shared" si="62"/>
        <v>5</v>
      </c>
      <c r="E1145" s="5">
        <v>42226</v>
      </c>
      <c r="G1145" s="15"/>
      <c r="H1145" s="13"/>
      <c r="I1145" s="14">
        <f t="shared" si="61"/>
        <v>0</v>
      </c>
      <c r="J1145" s="5"/>
    </row>
    <row r="1146" spans="2:10" x14ac:dyDescent="0.15">
      <c r="B1146" s="10" t="s">
        <v>18</v>
      </c>
      <c r="C1146" s="13">
        <v>68</v>
      </c>
      <c r="D1146" s="14">
        <f t="shared" si="62"/>
        <v>68</v>
      </c>
      <c r="E1146" s="5">
        <v>42228</v>
      </c>
      <c r="G1146" s="15"/>
      <c r="H1146" s="13"/>
      <c r="I1146" s="14">
        <f t="shared" si="61"/>
        <v>0</v>
      </c>
      <c r="J1146" s="5"/>
    </row>
    <row r="1147" spans="2:10" x14ac:dyDescent="0.15">
      <c r="B1147" s="10" t="s">
        <v>189</v>
      </c>
      <c r="C1147" s="13">
        <v>12</v>
      </c>
      <c r="D1147" s="14">
        <f t="shared" si="62"/>
        <v>12</v>
      </c>
      <c r="E1147" s="5">
        <v>42230</v>
      </c>
      <c r="G1147" s="15"/>
      <c r="H1147" s="7"/>
      <c r="I1147" s="14">
        <f t="shared" si="61"/>
        <v>0</v>
      </c>
      <c r="J1147" s="12"/>
    </row>
    <row r="1148" spans="2:10" ht="14.25" thickBot="1" x14ac:dyDescent="0.2">
      <c r="B1148" s="10" t="s">
        <v>18</v>
      </c>
      <c r="C1148" s="13">
        <v>50</v>
      </c>
      <c r="D1148" s="11">
        <f t="shared" si="62"/>
        <v>50</v>
      </c>
      <c r="E1148" s="12">
        <v>42234</v>
      </c>
      <c r="G1148" s="15"/>
      <c r="H1148" s="7"/>
      <c r="I1148" s="14">
        <f t="shared" si="61"/>
        <v>0</v>
      </c>
      <c r="J1148" s="74"/>
    </row>
    <row r="1149" spans="2:10" ht="14.25" thickBot="1" x14ac:dyDescent="0.2">
      <c r="B1149" s="17" t="s">
        <v>2</v>
      </c>
      <c r="C1149" s="18">
        <f>SUM(C1125:C1148)</f>
        <v>665</v>
      </c>
      <c r="D1149" s="19">
        <f t="shared" si="62"/>
        <v>665</v>
      </c>
      <c r="E1149" s="20"/>
      <c r="G1149" s="17" t="s">
        <v>2</v>
      </c>
      <c r="H1149" s="18">
        <f>SUM(H1125:H1148)</f>
        <v>1736</v>
      </c>
      <c r="I1149" s="19">
        <f t="shared" si="61"/>
        <v>1736</v>
      </c>
      <c r="J1149" s="20"/>
    </row>
    <row r="1150" spans="2:10" ht="14.25" thickBot="1" x14ac:dyDescent="0.2">
      <c r="B1150" s="46" t="s">
        <v>3</v>
      </c>
      <c r="C1150" s="52">
        <f>C1124-C1149</f>
        <v>303</v>
      </c>
      <c r="D1150" s="48">
        <f>D1124-D1149</f>
        <v>303</v>
      </c>
      <c r="E1150" s="49"/>
      <c r="G1150" s="46" t="s">
        <v>3</v>
      </c>
      <c r="H1150" s="52">
        <f>H1124-H1149</f>
        <v>4416</v>
      </c>
      <c r="I1150" s="48">
        <f>I1124-I1149</f>
        <v>4416</v>
      </c>
      <c r="J1150" s="49"/>
    </row>
    <row r="1153" spans="2:11" ht="18.75" x14ac:dyDescent="0.2">
      <c r="B1153" s="26" t="s">
        <v>7</v>
      </c>
      <c r="G1153" s="26" t="s">
        <v>35</v>
      </c>
    </row>
    <row r="1154" spans="2:11" ht="14.25" thickBot="1" x14ac:dyDescent="0.2"/>
    <row r="1155" spans="2:11" ht="14.25" thickBot="1" x14ac:dyDescent="0.2">
      <c r="B1155" s="1"/>
      <c r="C1155" s="2"/>
      <c r="D1155" s="3" t="s">
        <v>0</v>
      </c>
      <c r="E1155" s="1" t="s">
        <v>4</v>
      </c>
      <c r="G1155" s="1"/>
      <c r="H1155" s="2"/>
      <c r="I1155" s="3" t="s">
        <v>0</v>
      </c>
      <c r="J1155" s="1" t="s">
        <v>4</v>
      </c>
    </row>
    <row r="1156" spans="2:11" x14ac:dyDescent="0.15">
      <c r="B1156" s="42" t="s">
        <v>5</v>
      </c>
      <c r="C1156" s="43">
        <f>C1150</f>
        <v>303</v>
      </c>
      <c r="D1156" s="44">
        <f>SUM(C1156:C1156)</f>
        <v>303</v>
      </c>
      <c r="E1156" s="45"/>
      <c r="G1156" s="42" t="s">
        <v>5</v>
      </c>
      <c r="H1156" s="43">
        <f>H1150</f>
        <v>4416</v>
      </c>
      <c r="I1156" s="44">
        <f>SUM(H1156:H1156)</f>
        <v>4416</v>
      </c>
      <c r="J1156" s="45"/>
      <c r="K1156" s="103" t="s">
        <v>353</v>
      </c>
    </row>
    <row r="1157" spans="2:11" x14ac:dyDescent="0.15">
      <c r="B1157" s="6" t="s">
        <v>6</v>
      </c>
      <c r="C1157" s="13">
        <v>336</v>
      </c>
      <c r="D1157" s="14">
        <f>SUM(C1157:C1157)</f>
        <v>336</v>
      </c>
      <c r="E1157" s="5">
        <v>42235</v>
      </c>
      <c r="G1157" s="71" t="s">
        <v>6</v>
      </c>
      <c r="H1157" s="13"/>
      <c r="I1157" s="14">
        <f>SUM(H1157:H1157)</f>
        <v>0</v>
      </c>
      <c r="J1157" s="5"/>
    </row>
    <row r="1158" spans="2:11" x14ac:dyDescent="0.15">
      <c r="B1158" s="6" t="s">
        <v>105</v>
      </c>
      <c r="C1158" s="7">
        <v>2</v>
      </c>
      <c r="D1158" s="8">
        <f>SUM(C1158:C1158)</f>
        <v>2</v>
      </c>
      <c r="E1158" s="9">
        <v>42243</v>
      </c>
      <c r="G1158" s="71" t="s">
        <v>6</v>
      </c>
      <c r="H1158" s="67"/>
      <c r="I1158" s="14">
        <f>SUM(H1158:H1158)</f>
        <v>0</v>
      </c>
      <c r="J1158" s="5"/>
    </row>
    <row r="1159" spans="2:11" ht="14.25" thickBot="1" x14ac:dyDescent="0.2">
      <c r="B1159" s="6" t="s">
        <v>76</v>
      </c>
      <c r="C1159" s="7">
        <v>31</v>
      </c>
      <c r="D1159" s="14">
        <f>SUM(C1159:C1159)</f>
        <v>31</v>
      </c>
      <c r="E1159" s="16">
        <v>42251</v>
      </c>
      <c r="G1159" s="6" t="s">
        <v>6</v>
      </c>
      <c r="H1159" s="88"/>
      <c r="I1159" s="11">
        <f>SUM(H1159:H1159)</f>
        <v>0</v>
      </c>
      <c r="J1159" s="85"/>
    </row>
    <row r="1160" spans="2:11" ht="14.25" thickBot="1" x14ac:dyDescent="0.2">
      <c r="B1160" s="46" t="s">
        <v>1</v>
      </c>
      <c r="C1160" s="48">
        <f>SUM(C1156:C1159)</f>
        <v>672</v>
      </c>
      <c r="D1160" s="48">
        <f>SUM(D1156:D1159)</f>
        <v>672</v>
      </c>
      <c r="E1160" s="49"/>
      <c r="G1160" s="46" t="s">
        <v>1</v>
      </c>
      <c r="H1160" s="47">
        <f>SUM(H1156:H1159)</f>
        <v>4416</v>
      </c>
      <c r="I1160" s="48">
        <f>SUM(I1156:I1159)</f>
        <v>4416</v>
      </c>
      <c r="J1160" s="49"/>
    </row>
    <row r="1161" spans="2:11" x14ac:dyDescent="0.15">
      <c r="B1161" s="10" t="s">
        <v>189</v>
      </c>
      <c r="C1161" s="77">
        <v>2</v>
      </c>
      <c r="D1161" s="11">
        <f>SUM(C1161:C1161)</f>
        <v>2</v>
      </c>
      <c r="E1161" s="12">
        <v>42233</v>
      </c>
      <c r="G1161" s="81" t="s">
        <v>16</v>
      </c>
      <c r="H1161" s="13">
        <v>336</v>
      </c>
      <c r="I1161" s="11">
        <f>SUM(H1161:H1161)</f>
        <v>336</v>
      </c>
      <c r="J1161" s="12">
        <v>42235</v>
      </c>
    </row>
    <row r="1162" spans="2:11" x14ac:dyDescent="0.15">
      <c r="B1162" s="10" t="s">
        <v>222</v>
      </c>
      <c r="C1162" s="13">
        <v>1</v>
      </c>
      <c r="D1162" s="14">
        <f>SUM(C1162:C1162)</f>
        <v>1</v>
      </c>
      <c r="E1162" s="12">
        <v>42234</v>
      </c>
      <c r="G1162" s="15"/>
      <c r="H1162" s="13"/>
      <c r="I1162" s="14">
        <f>SUM(H1162:H1162)</f>
        <v>0</v>
      </c>
      <c r="J1162" s="12"/>
    </row>
    <row r="1163" spans="2:11" x14ac:dyDescent="0.15">
      <c r="B1163" s="10" t="s">
        <v>11</v>
      </c>
      <c r="C1163" s="13">
        <v>30</v>
      </c>
      <c r="D1163" s="14">
        <f>SUM(C1163:C1163)</f>
        <v>30</v>
      </c>
      <c r="E1163" s="12">
        <v>42240</v>
      </c>
      <c r="G1163" s="15"/>
      <c r="H1163" s="13"/>
      <c r="I1163" s="14">
        <f t="shared" ref="I1163:I1185" si="63">SUM(H1163:H1163)</f>
        <v>0</v>
      </c>
      <c r="J1163" s="12"/>
    </row>
    <row r="1164" spans="2:11" x14ac:dyDescent="0.15">
      <c r="B1164" s="10" t="s">
        <v>189</v>
      </c>
      <c r="C1164" s="13">
        <v>1</v>
      </c>
      <c r="D1164" s="14">
        <f t="shared" ref="D1164:D1185" si="64">SUM(C1164:C1164)</f>
        <v>1</v>
      </c>
      <c r="E1164" s="12">
        <v>42235</v>
      </c>
      <c r="G1164" s="81"/>
      <c r="H1164" s="13"/>
      <c r="I1164" s="14">
        <f t="shared" si="63"/>
        <v>0</v>
      </c>
      <c r="J1164" s="12"/>
    </row>
    <row r="1165" spans="2:11" x14ac:dyDescent="0.15">
      <c r="B1165" s="10" t="s">
        <v>18</v>
      </c>
      <c r="C1165" s="13">
        <v>42</v>
      </c>
      <c r="D1165" s="14">
        <f t="shared" si="64"/>
        <v>42</v>
      </c>
      <c r="E1165" s="12">
        <v>42237</v>
      </c>
      <c r="G1165" s="15"/>
      <c r="H1165" s="13"/>
      <c r="I1165" s="14">
        <f t="shared" si="63"/>
        <v>0</v>
      </c>
      <c r="J1165" s="12"/>
    </row>
    <row r="1166" spans="2:11" x14ac:dyDescent="0.15">
      <c r="B1166" s="10" t="s">
        <v>189</v>
      </c>
      <c r="C1166" s="13">
        <v>2</v>
      </c>
      <c r="D1166" s="14">
        <f t="shared" si="64"/>
        <v>2</v>
      </c>
      <c r="E1166" s="12">
        <v>42236</v>
      </c>
      <c r="G1166" s="78"/>
      <c r="H1166" s="13"/>
      <c r="I1166" s="14">
        <f t="shared" si="63"/>
        <v>0</v>
      </c>
      <c r="J1166" s="12"/>
    </row>
    <row r="1167" spans="2:11" x14ac:dyDescent="0.15">
      <c r="B1167" s="10" t="s">
        <v>189</v>
      </c>
      <c r="C1167" s="13">
        <v>2</v>
      </c>
      <c r="D1167" s="14">
        <f t="shared" si="64"/>
        <v>2</v>
      </c>
      <c r="E1167" s="12">
        <v>42237</v>
      </c>
      <c r="G1167" s="78"/>
      <c r="H1167" s="13"/>
      <c r="I1167" s="14">
        <f t="shared" si="63"/>
        <v>0</v>
      </c>
      <c r="J1167" s="12"/>
    </row>
    <row r="1168" spans="2:11" x14ac:dyDescent="0.15">
      <c r="B1168" s="10" t="s">
        <v>189</v>
      </c>
      <c r="C1168" s="13">
        <v>1</v>
      </c>
      <c r="D1168" s="14">
        <f t="shared" si="64"/>
        <v>1</v>
      </c>
      <c r="E1168" s="12">
        <v>42238</v>
      </c>
      <c r="G1168" s="78"/>
      <c r="H1168" s="13"/>
      <c r="I1168" s="14">
        <f t="shared" si="63"/>
        <v>0</v>
      </c>
      <c r="J1168" s="12"/>
    </row>
    <row r="1169" spans="2:10" x14ac:dyDescent="0.15">
      <c r="B1169" s="10" t="s">
        <v>18</v>
      </c>
      <c r="C1169" s="13">
        <v>46</v>
      </c>
      <c r="D1169" s="14">
        <f t="shared" si="64"/>
        <v>46</v>
      </c>
      <c r="E1169" s="12">
        <v>42241</v>
      </c>
      <c r="G1169" s="10"/>
      <c r="H1169" s="13"/>
      <c r="I1169" s="14">
        <f t="shared" si="63"/>
        <v>0</v>
      </c>
      <c r="J1169" s="12"/>
    </row>
    <row r="1170" spans="2:10" x14ac:dyDescent="0.15">
      <c r="B1170" s="15" t="s">
        <v>189</v>
      </c>
      <c r="C1170" s="13">
        <v>1</v>
      </c>
      <c r="D1170" s="14">
        <f t="shared" si="64"/>
        <v>1</v>
      </c>
      <c r="E1170" s="12">
        <v>42240</v>
      </c>
      <c r="G1170" s="78"/>
      <c r="H1170" s="13"/>
      <c r="I1170" s="14">
        <f t="shared" si="63"/>
        <v>0</v>
      </c>
      <c r="J1170" s="12"/>
    </row>
    <row r="1171" spans="2:10" x14ac:dyDescent="0.15">
      <c r="B1171" s="15" t="s">
        <v>189</v>
      </c>
      <c r="C1171" s="13">
        <v>1</v>
      </c>
      <c r="D1171" s="14">
        <f t="shared" si="64"/>
        <v>1</v>
      </c>
      <c r="E1171" s="12">
        <v>42241</v>
      </c>
      <c r="G1171" s="15"/>
      <c r="H1171" s="13"/>
      <c r="I1171" s="14">
        <f t="shared" si="63"/>
        <v>0</v>
      </c>
      <c r="J1171" s="5"/>
    </row>
    <row r="1172" spans="2:10" x14ac:dyDescent="0.15">
      <c r="B1172" s="10" t="s">
        <v>11</v>
      </c>
      <c r="C1172" s="13">
        <v>15</v>
      </c>
      <c r="D1172" s="14">
        <f t="shared" si="64"/>
        <v>15</v>
      </c>
      <c r="E1172" s="12">
        <v>42252</v>
      </c>
      <c r="G1172" s="15"/>
      <c r="H1172" s="7"/>
      <c r="I1172" s="14">
        <f t="shared" si="63"/>
        <v>0</v>
      </c>
      <c r="J1172" s="12"/>
    </row>
    <row r="1173" spans="2:10" x14ac:dyDescent="0.15">
      <c r="B1173" s="15" t="s">
        <v>352</v>
      </c>
      <c r="C1173" s="13">
        <v>165</v>
      </c>
      <c r="D1173" s="14">
        <f t="shared" si="64"/>
        <v>165</v>
      </c>
      <c r="E1173" s="12">
        <v>42244</v>
      </c>
      <c r="G1173" s="10"/>
      <c r="H1173" s="13"/>
      <c r="I1173" s="14">
        <f t="shared" si="63"/>
        <v>0</v>
      </c>
      <c r="J1173" s="12"/>
    </row>
    <row r="1174" spans="2:10" x14ac:dyDescent="0.15">
      <c r="B1174" s="10" t="s">
        <v>189</v>
      </c>
      <c r="C1174" s="13">
        <v>1</v>
      </c>
      <c r="D1174" s="14">
        <f t="shared" si="64"/>
        <v>1</v>
      </c>
      <c r="E1174" s="12">
        <v>42243</v>
      </c>
      <c r="G1174" s="15"/>
      <c r="H1174" s="13"/>
      <c r="I1174" s="14">
        <f t="shared" si="63"/>
        <v>0</v>
      </c>
      <c r="J1174" s="12"/>
    </row>
    <row r="1175" spans="2:10" x14ac:dyDescent="0.15">
      <c r="B1175" s="15" t="s">
        <v>332</v>
      </c>
      <c r="C1175" s="13">
        <v>67</v>
      </c>
      <c r="D1175" s="14">
        <f t="shared" si="64"/>
        <v>67</v>
      </c>
      <c r="E1175" s="12">
        <v>42247</v>
      </c>
      <c r="G1175" s="15"/>
      <c r="H1175" s="13"/>
      <c r="I1175" s="14">
        <f t="shared" si="63"/>
        <v>0</v>
      </c>
      <c r="J1175" s="5"/>
    </row>
    <row r="1176" spans="2:10" x14ac:dyDescent="0.15">
      <c r="B1176" s="10" t="s">
        <v>189</v>
      </c>
      <c r="C1176" s="13">
        <v>1</v>
      </c>
      <c r="D1176" s="14">
        <f t="shared" si="64"/>
        <v>1</v>
      </c>
      <c r="E1176" s="12">
        <v>42244</v>
      </c>
      <c r="G1176" s="15"/>
      <c r="H1176" s="7"/>
      <c r="I1176" s="14">
        <f t="shared" si="63"/>
        <v>0</v>
      </c>
      <c r="J1176" s="12"/>
    </row>
    <row r="1177" spans="2:10" x14ac:dyDescent="0.15">
      <c r="B1177" s="10" t="s">
        <v>189</v>
      </c>
      <c r="C1177" s="13">
        <v>1</v>
      </c>
      <c r="D1177" s="14">
        <f t="shared" si="64"/>
        <v>1</v>
      </c>
      <c r="E1177" s="12">
        <v>42245</v>
      </c>
      <c r="G1177" s="15"/>
      <c r="H1177" s="7"/>
      <c r="I1177" s="14">
        <f t="shared" si="63"/>
        <v>0</v>
      </c>
      <c r="J1177" s="12"/>
    </row>
    <row r="1178" spans="2:10" x14ac:dyDescent="0.15">
      <c r="B1178" s="10" t="s">
        <v>18</v>
      </c>
      <c r="C1178" s="13">
        <v>55</v>
      </c>
      <c r="D1178" s="14">
        <f t="shared" si="64"/>
        <v>55</v>
      </c>
      <c r="E1178" s="12">
        <v>42249</v>
      </c>
      <c r="G1178" s="15"/>
      <c r="H1178" s="7"/>
      <c r="I1178" s="14">
        <f t="shared" si="63"/>
        <v>0</v>
      </c>
      <c r="J1178" s="12"/>
    </row>
    <row r="1179" spans="2:10" x14ac:dyDescent="0.15">
      <c r="B1179" s="10" t="s">
        <v>189</v>
      </c>
      <c r="C1179" s="13">
        <v>1</v>
      </c>
      <c r="D1179" s="14">
        <f t="shared" si="64"/>
        <v>1</v>
      </c>
      <c r="E1179" s="12">
        <v>42247</v>
      </c>
      <c r="G1179" s="10"/>
      <c r="H1179" s="13"/>
      <c r="I1179" s="14">
        <f t="shared" si="63"/>
        <v>0</v>
      </c>
      <c r="J1179" s="12"/>
    </row>
    <row r="1180" spans="2:10" x14ac:dyDescent="0.15">
      <c r="B1180" s="15" t="s">
        <v>332</v>
      </c>
      <c r="C1180" s="13">
        <v>18</v>
      </c>
      <c r="D1180" s="14">
        <f t="shared" si="64"/>
        <v>18</v>
      </c>
      <c r="E1180" s="5">
        <v>42249</v>
      </c>
      <c r="G1180" s="15"/>
      <c r="H1180" s="7"/>
      <c r="I1180" s="14">
        <f t="shared" si="63"/>
        <v>0</v>
      </c>
      <c r="J1180" s="74"/>
    </row>
    <row r="1181" spans="2:10" x14ac:dyDescent="0.15">
      <c r="B1181" s="10" t="s">
        <v>18</v>
      </c>
      <c r="C1181" s="13">
        <v>34</v>
      </c>
      <c r="D1181" s="14">
        <f t="shared" si="64"/>
        <v>34</v>
      </c>
      <c r="E1181" s="5">
        <v>42251</v>
      </c>
      <c r="G1181" s="15"/>
      <c r="H1181" s="13"/>
      <c r="I1181" s="14">
        <f t="shared" si="63"/>
        <v>0</v>
      </c>
      <c r="J1181" s="5"/>
    </row>
    <row r="1182" spans="2:10" x14ac:dyDescent="0.15">
      <c r="B1182" s="10" t="s">
        <v>18</v>
      </c>
      <c r="C1182" s="13">
        <v>22</v>
      </c>
      <c r="D1182" s="14">
        <f t="shared" si="64"/>
        <v>22</v>
      </c>
      <c r="E1182" s="5">
        <v>42255</v>
      </c>
      <c r="G1182" s="15"/>
      <c r="H1182" s="13"/>
      <c r="I1182" s="14">
        <f t="shared" si="63"/>
        <v>0</v>
      </c>
      <c r="J1182" s="5"/>
    </row>
    <row r="1183" spans="2:10" x14ac:dyDescent="0.15">
      <c r="B1183" s="10" t="s">
        <v>284</v>
      </c>
      <c r="C1183" s="13">
        <v>2</v>
      </c>
      <c r="D1183" s="14">
        <f t="shared" si="64"/>
        <v>2</v>
      </c>
      <c r="E1183" s="5">
        <v>42257</v>
      </c>
      <c r="G1183" s="15"/>
      <c r="H1183" s="7"/>
      <c r="I1183" s="14">
        <f t="shared" si="63"/>
        <v>0</v>
      </c>
      <c r="J1183" s="12"/>
    </row>
    <row r="1184" spans="2:10" ht="14.25" thickBot="1" x14ac:dyDescent="0.2">
      <c r="B1184" s="15" t="s">
        <v>189</v>
      </c>
      <c r="C1184" s="13">
        <v>1</v>
      </c>
      <c r="D1184" s="11">
        <f t="shared" si="64"/>
        <v>1</v>
      </c>
      <c r="E1184" s="12">
        <v>42254</v>
      </c>
      <c r="G1184" s="15"/>
      <c r="H1184" s="7"/>
      <c r="I1184" s="14">
        <f t="shared" si="63"/>
        <v>0</v>
      </c>
      <c r="J1184" s="74"/>
    </row>
    <row r="1185" spans="2:11" ht="14.25" thickBot="1" x14ac:dyDescent="0.2">
      <c r="B1185" s="17" t="s">
        <v>2</v>
      </c>
      <c r="C1185" s="18">
        <f>SUM(C1161:C1184)</f>
        <v>512</v>
      </c>
      <c r="D1185" s="19">
        <f t="shared" si="64"/>
        <v>512</v>
      </c>
      <c r="E1185" s="20"/>
      <c r="G1185" s="17" t="s">
        <v>2</v>
      </c>
      <c r="H1185" s="18">
        <f>SUM(H1161:H1184)</f>
        <v>336</v>
      </c>
      <c r="I1185" s="19">
        <f t="shared" si="63"/>
        <v>336</v>
      </c>
      <c r="J1185" s="20"/>
    </row>
    <row r="1186" spans="2:11" ht="14.25" thickBot="1" x14ac:dyDescent="0.2">
      <c r="B1186" s="46" t="s">
        <v>3</v>
      </c>
      <c r="C1186" s="52">
        <f>C1160-C1185</f>
        <v>160</v>
      </c>
      <c r="D1186" s="48">
        <f>D1160-D1185</f>
        <v>160</v>
      </c>
      <c r="E1186" s="49"/>
      <c r="G1186" s="46" t="s">
        <v>3</v>
      </c>
      <c r="H1186" s="52">
        <f>H1160-H1185</f>
        <v>4080</v>
      </c>
      <c r="I1186" s="48">
        <f>I1160-I1185</f>
        <v>4080</v>
      </c>
      <c r="J1186" s="49"/>
    </row>
    <row r="1189" spans="2:11" ht="18.75" x14ac:dyDescent="0.2">
      <c r="B1189" s="26" t="s">
        <v>7</v>
      </c>
      <c r="G1189" s="26" t="s">
        <v>35</v>
      </c>
    </row>
    <row r="1190" spans="2:11" ht="14.25" thickBot="1" x14ac:dyDescent="0.2"/>
    <row r="1191" spans="2:11" ht="14.25" thickBot="1" x14ac:dyDescent="0.2">
      <c r="B1191" s="1"/>
      <c r="C1191" s="2"/>
      <c r="D1191" s="3" t="s">
        <v>0</v>
      </c>
      <c r="E1191" s="1" t="s">
        <v>4</v>
      </c>
      <c r="G1191" s="1"/>
      <c r="H1191" s="2"/>
      <c r="I1191" s="3" t="s">
        <v>0</v>
      </c>
      <c r="J1191" s="1" t="s">
        <v>4</v>
      </c>
    </row>
    <row r="1192" spans="2:11" x14ac:dyDescent="0.15">
      <c r="B1192" s="42" t="s">
        <v>5</v>
      </c>
      <c r="C1192" s="43">
        <f>C1186</f>
        <v>160</v>
      </c>
      <c r="D1192" s="44">
        <f>SUM(C1192:C1192)</f>
        <v>160</v>
      </c>
      <c r="E1192" s="45"/>
      <c r="G1192" s="42" t="s">
        <v>5</v>
      </c>
      <c r="H1192" s="43">
        <f>H1186</f>
        <v>4080</v>
      </c>
      <c r="I1192" s="44">
        <f>SUM(H1192:H1192)</f>
        <v>4080</v>
      </c>
      <c r="J1192" s="45"/>
      <c r="K1192" s="103"/>
    </row>
    <row r="1193" spans="2:11" x14ac:dyDescent="0.15">
      <c r="B1193" s="6" t="s">
        <v>105</v>
      </c>
      <c r="C1193" s="13">
        <v>3</v>
      </c>
      <c r="D1193" s="14">
        <f>SUM(C1193:C1193)</f>
        <v>3</v>
      </c>
      <c r="E1193" s="5">
        <v>42255</v>
      </c>
      <c r="G1193" s="71" t="s">
        <v>6</v>
      </c>
      <c r="H1193" s="13"/>
      <c r="I1193" s="14">
        <f>SUM(H1193:H1193)</f>
        <v>0</v>
      </c>
      <c r="J1193" s="5"/>
    </row>
    <row r="1194" spans="2:11" x14ac:dyDescent="0.15">
      <c r="B1194" s="6" t="s">
        <v>6</v>
      </c>
      <c r="C1194" s="7">
        <v>336</v>
      </c>
      <c r="D1194" s="8">
        <f>SUM(C1194:C1194)</f>
        <v>336</v>
      </c>
      <c r="E1194" s="9">
        <v>42261</v>
      </c>
      <c r="G1194" s="71" t="s">
        <v>6</v>
      </c>
      <c r="H1194" s="67"/>
      <c r="I1194" s="14">
        <f>SUM(H1194:H1194)</f>
        <v>0</v>
      </c>
      <c r="J1194" s="5"/>
    </row>
    <row r="1195" spans="2:11" ht="14.25" thickBot="1" x14ac:dyDescent="0.2">
      <c r="B1195" s="6" t="s">
        <v>225</v>
      </c>
      <c r="C1195" s="7">
        <v>2</v>
      </c>
      <c r="D1195" s="14">
        <f>SUM(C1195:C1195)</f>
        <v>2</v>
      </c>
      <c r="E1195" s="16">
        <v>42275</v>
      </c>
      <c r="G1195" s="6" t="s">
        <v>6</v>
      </c>
      <c r="H1195" s="88"/>
      <c r="I1195" s="11">
        <f>SUM(H1195:H1195)</f>
        <v>0</v>
      </c>
      <c r="J1195" s="85"/>
    </row>
    <row r="1196" spans="2:11" ht="14.25" thickBot="1" x14ac:dyDescent="0.2">
      <c r="B1196" s="46" t="s">
        <v>1</v>
      </c>
      <c r="C1196" s="48">
        <f>SUM(C1192:C1195)</f>
        <v>501</v>
      </c>
      <c r="D1196" s="48">
        <f>SUM(D1192:D1195)</f>
        <v>501</v>
      </c>
      <c r="E1196" s="49"/>
      <c r="G1196" s="46" t="s">
        <v>1</v>
      </c>
      <c r="H1196" s="47">
        <f>SUM(H1192:H1195)</f>
        <v>4080</v>
      </c>
      <c r="I1196" s="48">
        <f>SUM(I1192:I1195)</f>
        <v>4080</v>
      </c>
      <c r="J1196" s="49"/>
    </row>
    <row r="1197" spans="2:11" x14ac:dyDescent="0.15">
      <c r="B1197" s="10" t="s">
        <v>189</v>
      </c>
      <c r="C1197" s="77">
        <v>1</v>
      </c>
      <c r="D1197" s="11">
        <f>SUM(C1197:C1197)</f>
        <v>1</v>
      </c>
      <c r="E1197" s="12">
        <v>42255</v>
      </c>
      <c r="G1197" s="81" t="s">
        <v>16</v>
      </c>
      <c r="H1197" s="13">
        <v>336</v>
      </c>
      <c r="I1197" s="11">
        <f>SUM(H1197:H1197)</f>
        <v>336</v>
      </c>
      <c r="J1197" s="12">
        <v>42261</v>
      </c>
    </row>
    <row r="1198" spans="2:11" x14ac:dyDescent="0.15">
      <c r="B1198" s="10" t="s">
        <v>284</v>
      </c>
      <c r="C1198" s="13">
        <v>2</v>
      </c>
      <c r="D1198" s="14">
        <f>SUM(C1198:C1198)</f>
        <v>2</v>
      </c>
      <c r="E1198" s="12">
        <v>42258</v>
      </c>
      <c r="G1198" s="15"/>
      <c r="H1198" s="13"/>
      <c r="I1198" s="14">
        <f>SUM(H1198:H1198)</f>
        <v>0</v>
      </c>
      <c r="J1198" s="12"/>
    </row>
    <row r="1199" spans="2:11" x14ac:dyDescent="0.15">
      <c r="B1199" s="10" t="s">
        <v>189</v>
      </c>
      <c r="C1199" s="13">
        <v>1</v>
      </c>
      <c r="D1199" s="14">
        <f>SUM(C1199:C1199)</f>
        <v>1</v>
      </c>
      <c r="E1199" s="12">
        <v>42257</v>
      </c>
      <c r="G1199" s="15"/>
      <c r="H1199" s="13"/>
      <c r="I1199" s="14">
        <f t="shared" ref="I1199:I1221" si="65">SUM(H1199:H1199)</f>
        <v>0</v>
      </c>
      <c r="J1199" s="12"/>
    </row>
    <row r="1200" spans="2:11" x14ac:dyDescent="0.15">
      <c r="B1200" s="10" t="s">
        <v>18</v>
      </c>
      <c r="C1200" s="13">
        <v>58</v>
      </c>
      <c r="D1200" s="14">
        <f t="shared" ref="D1200:D1221" si="66">SUM(C1200:C1200)</f>
        <v>58</v>
      </c>
      <c r="E1200" s="12">
        <v>42259</v>
      </c>
      <c r="G1200" s="81"/>
      <c r="H1200" s="13"/>
      <c r="I1200" s="14">
        <f t="shared" si="65"/>
        <v>0</v>
      </c>
      <c r="J1200" s="12"/>
    </row>
    <row r="1201" spans="2:10" x14ac:dyDescent="0.15">
      <c r="B1201" s="10" t="s">
        <v>284</v>
      </c>
      <c r="C1201" s="13">
        <v>6</v>
      </c>
      <c r="D1201" s="14">
        <f t="shared" si="66"/>
        <v>6</v>
      </c>
      <c r="E1201" s="12">
        <v>42263</v>
      </c>
      <c r="G1201" s="15"/>
      <c r="H1201" s="13"/>
      <c r="I1201" s="14">
        <f t="shared" si="65"/>
        <v>0</v>
      </c>
      <c r="J1201" s="12"/>
    </row>
    <row r="1202" spans="2:10" x14ac:dyDescent="0.15">
      <c r="B1202" s="10" t="s">
        <v>189</v>
      </c>
      <c r="C1202" s="13">
        <v>3</v>
      </c>
      <c r="D1202" s="14">
        <f t="shared" si="66"/>
        <v>3</v>
      </c>
      <c r="E1202" s="12">
        <v>42261</v>
      </c>
      <c r="G1202" s="78"/>
      <c r="H1202" s="13"/>
      <c r="I1202" s="14">
        <f t="shared" si="65"/>
        <v>0</v>
      </c>
      <c r="J1202" s="12"/>
    </row>
    <row r="1203" spans="2:10" x14ac:dyDescent="0.15">
      <c r="B1203" s="10" t="s">
        <v>18</v>
      </c>
      <c r="C1203" s="13">
        <v>15</v>
      </c>
      <c r="D1203" s="14">
        <f t="shared" si="66"/>
        <v>15</v>
      </c>
      <c r="E1203" s="12">
        <v>42263</v>
      </c>
      <c r="G1203" s="78"/>
      <c r="H1203" s="13"/>
      <c r="I1203" s="14">
        <f t="shared" si="65"/>
        <v>0</v>
      </c>
      <c r="J1203" s="12"/>
    </row>
    <row r="1204" spans="2:10" x14ac:dyDescent="0.15">
      <c r="B1204" s="10" t="s">
        <v>284</v>
      </c>
      <c r="C1204" s="13">
        <v>6</v>
      </c>
      <c r="D1204" s="14">
        <f t="shared" si="66"/>
        <v>6</v>
      </c>
      <c r="E1204" s="12">
        <v>42265</v>
      </c>
      <c r="G1204" s="78"/>
      <c r="H1204" s="13"/>
      <c r="I1204" s="14">
        <f t="shared" si="65"/>
        <v>0</v>
      </c>
      <c r="J1204" s="12"/>
    </row>
    <row r="1205" spans="2:10" x14ac:dyDescent="0.15">
      <c r="B1205" s="10" t="s">
        <v>18</v>
      </c>
      <c r="C1205" s="13">
        <v>15</v>
      </c>
      <c r="D1205" s="14">
        <f t="shared" si="66"/>
        <v>15</v>
      </c>
      <c r="E1205" s="12">
        <v>42266</v>
      </c>
      <c r="G1205" s="10"/>
      <c r="H1205" s="13"/>
      <c r="I1205" s="14">
        <f t="shared" si="65"/>
        <v>0</v>
      </c>
      <c r="J1205" s="12"/>
    </row>
    <row r="1206" spans="2:10" x14ac:dyDescent="0.15">
      <c r="B1206" s="10" t="s">
        <v>11</v>
      </c>
      <c r="C1206" s="13">
        <v>10</v>
      </c>
      <c r="D1206" s="14">
        <f t="shared" si="66"/>
        <v>10</v>
      </c>
      <c r="E1206" s="12">
        <v>42268</v>
      </c>
      <c r="G1206" s="78"/>
      <c r="H1206" s="13"/>
      <c r="I1206" s="14">
        <f t="shared" si="65"/>
        <v>0</v>
      </c>
      <c r="J1206" s="12"/>
    </row>
    <row r="1207" spans="2:10" x14ac:dyDescent="0.15">
      <c r="B1207" s="15" t="s">
        <v>189</v>
      </c>
      <c r="C1207" s="13">
        <v>2</v>
      </c>
      <c r="D1207" s="14">
        <f t="shared" si="66"/>
        <v>2</v>
      </c>
      <c r="E1207" s="12">
        <v>42271</v>
      </c>
      <c r="G1207" s="15"/>
      <c r="H1207" s="13"/>
      <c r="I1207" s="14">
        <f t="shared" si="65"/>
        <v>0</v>
      </c>
      <c r="J1207" s="5"/>
    </row>
    <row r="1208" spans="2:10" x14ac:dyDescent="0.15">
      <c r="B1208" s="10" t="s">
        <v>18</v>
      </c>
      <c r="C1208" s="13">
        <v>10</v>
      </c>
      <c r="D1208" s="14">
        <f t="shared" si="66"/>
        <v>10</v>
      </c>
      <c r="E1208" s="12">
        <v>42273</v>
      </c>
      <c r="G1208" s="15"/>
      <c r="H1208" s="7"/>
      <c r="I1208" s="14">
        <f t="shared" si="65"/>
        <v>0</v>
      </c>
      <c r="J1208" s="12"/>
    </row>
    <row r="1209" spans="2:10" x14ac:dyDescent="0.15">
      <c r="B1209" s="15" t="s">
        <v>189</v>
      </c>
      <c r="C1209" s="13">
        <v>1</v>
      </c>
      <c r="D1209" s="14">
        <f t="shared" si="66"/>
        <v>1</v>
      </c>
      <c r="E1209" s="12">
        <v>42273</v>
      </c>
      <c r="G1209" s="10"/>
      <c r="H1209" s="13"/>
      <c r="I1209" s="14">
        <f t="shared" si="65"/>
        <v>0</v>
      </c>
      <c r="J1209" s="12"/>
    </row>
    <row r="1210" spans="2:10" x14ac:dyDescent="0.15">
      <c r="B1210" s="10" t="s">
        <v>284</v>
      </c>
      <c r="C1210" s="13">
        <v>6</v>
      </c>
      <c r="D1210" s="14">
        <f t="shared" si="66"/>
        <v>6</v>
      </c>
      <c r="E1210" s="12">
        <v>42277</v>
      </c>
      <c r="G1210" s="15"/>
      <c r="H1210" s="13"/>
      <c r="I1210" s="14">
        <f t="shared" si="65"/>
        <v>0</v>
      </c>
      <c r="J1210" s="12"/>
    </row>
    <row r="1211" spans="2:10" x14ac:dyDescent="0.15">
      <c r="B1211" s="10" t="s">
        <v>18</v>
      </c>
      <c r="C1211" s="13">
        <v>7</v>
      </c>
      <c r="D1211" s="14">
        <f t="shared" si="66"/>
        <v>7</v>
      </c>
      <c r="E1211" s="12">
        <v>42277</v>
      </c>
      <c r="G1211" s="15"/>
      <c r="H1211" s="13"/>
      <c r="I1211" s="14">
        <f t="shared" si="65"/>
        <v>0</v>
      </c>
      <c r="J1211" s="5"/>
    </row>
    <row r="1212" spans="2:10" x14ac:dyDescent="0.15">
      <c r="B1212" s="10" t="s">
        <v>189</v>
      </c>
      <c r="C1212" s="13">
        <v>1</v>
      </c>
      <c r="D1212" s="14">
        <f t="shared" si="66"/>
        <v>1</v>
      </c>
      <c r="E1212" s="12">
        <v>42276</v>
      </c>
      <c r="G1212" s="15"/>
      <c r="H1212" s="7"/>
      <c r="I1212" s="14">
        <f t="shared" si="65"/>
        <v>0</v>
      </c>
      <c r="J1212" s="12"/>
    </row>
    <row r="1213" spans="2:10" x14ac:dyDescent="0.15">
      <c r="B1213" s="10" t="s">
        <v>189</v>
      </c>
      <c r="C1213" s="13">
        <v>2</v>
      </c>
      <c r="D1213" s="14">
        <f t="shared" si="66"/>
        <v>2</v>
      </c>
      <c r="E1213" s="12">
        <v>42277</v>
      </c>
      <c r="G1213" s="15"/>
      <c r="H1213" s="7"/>
      <c r="I1213" s="14">
        <f t="shared" si="65"/>
        <v>0</v>
      </c>
      <c r="J1213" s="12"/>
    </row>
    <row r="1214" spans="2:10" x14ac:dyDescent="0.15">
      <c r="B1214" s="10" t="s">
        <v>18</v>
      </c>
      <c r="C1214" s="13">
        <v>2</v>
      </c>
      <c r="D1214" s="14">
        <f t="shared" si="66"/>
        <v>2</v>
      </c>
      <c r="E1214" s="12">
        <v>42280</v>
      </c>
      <c r="G1214" s="15"/>
      <c r="H1214" s="7"/>
      <c r="I1214" s="14">
        <f t="shared" si="65"/>
        <v>0</v>
      </c>
      <c r="J1214" s="12"/>
    </row>
    <row r="1215" spans="2:10" x14ac:dyDescent="0.15">
      <c r="B1215" s="10" t="s">
        <v>189</v>
      </c>
      <c r="C1215" s="13">
        <v>1</v>
      </c>
      <c r="D1215" s="14">
        <f t="shared" si="66"/>
        <v>1</v>
      </c>
      <c r="E1215" s="12">
        <v>42279</v>
      </c>
      <c r="G1215" s="10"/>
      <c r="H1215" s="13"/>
      <c r="I1215" s="14">
        <f t="shared" si="65"/>
        <v>0</v>
      </c>
      <c r="J1215" s="12"/>
    </row>
    <row r="1216" spans="2:10" x14ac:dyDescent="0.15">
      <c r="B1216" s="15" t="s">
        <v>11</v>
      </c>
      <c r="C1216" s="13">
        <v>20</v>
      </c>
      <c r="D1216" s="14">
        <f t="shared" si="66"/>
        <v>20</v>
      </c>
      <c r="E1216" s="5">
        <v>42290</v>
      </c>
      <c r="G1216" s="15"/>
      <c r="H1216" s="7"/>
      <c r="I1216" s="14">
        <f t="shared" si="65"/>
        <v>0</v>
      </c>
      <c r="J1216" s="74"/>
    </row>
    <row r="1217" spans="2:11" x14ac:dyDescent="0.15">
      <c r="B1217" s="10" t="s">
        <v>18</v>
      </c>
      <c r="C1217" s="13">
        <v>14</v>
      </c>
      <c r="D1217" s="14">
        <f t="shared" si="66"/>
        <v>14</v>
      </c>
      <c r="E1217" s="5">
        <v>42286</v>
      </c>
      <c r="G1217" s="15"/>
      <c r="H1217" s="13"/>
      <c r="I1217" s="14">
        <f t="shared" si="65"/>
        <v>0</v>
      </c>
      <c r="J1217" s="5"/>
    </row>
    <row r="1218" spans="2:11" x14ac:dyDescent="0.15">
      <c r="B1218" s="10" t="s">
        <v>189</v>
      </c>
      <c r="C1218" s="13">
        <v>3</v>
      </c>
      <c r="D1218" s="14">
        <f t="shared" si="66"/>
        <v>3</v>
      </c>
      <c r="E1218" s="5">
        <v>42284</v>
      </c>
      <c r="G1218" s="15"/>
      <c r="H1218" s="13"/>
      <c r="I1218" s="14">
        <f t="shared" si="65"/>
        <v>0</v>
      </c>
      <c r="J1218" s="5"/>
    </row>
    <row r="1219" spans="2:11" x14ac:dyDescent="0.15">
      <c r="B1219" s="10" t="s">
        <v>189</v>
      </c>
      <c r="C1219" s="13">
        <v>6</v>
      </c>
      <c r="D1219" s="14">
        <f t="shared" si="66"/>
        <v>6</v>
      </c>
      <c r="E1219" s="5">
        <v>42285</v>
      </c>
      <c r="G1219" s="15"/>
      <c r="H1219" s="7"/>
      <c r="I1219" s="14">
        <f t="shared" si="65"/>
        <v>0</v>
      </c>
      <c r="J1219" s="12"/>
    </row>
    <row r="1220" spans="2:11" ht="14.25" thickBot="1" x14ac:dyDescent="0.2">
      <c r="B1220" s="10" t="s">
        <v>189</v>
      </c>
      <c r="C1220" s="13">
        <v>1</v>
      </c>
      <c r="D1220" s="11">
        <f t="shared" si="66"/>
        <v>1</v>
      </c>
      <c r="E1220" s="12">
        <v>42286</v>
      </c>
      <c r="G1220" s="15"/>
      <c r="H1220" s="7"/>
      <c r="I1220" s="14">
        <f t="shared" si="65"/>
        <v>0</v>
      </c>
      <c r="J1220" s="74"/>
    </row>
    <row r="1221" spans="2:11" ht="14.25" thickBot="1" x14ac:dyDescent="0.2">
      <c r="B1221" s="17" t="s">
        <v>2</v>
      </c>
      <c r="C1221" s="18">
        <f>SUM(C1197:C1220)</f>
        <v>193</v>
      </c>
      <c r="D1221" s="19">
        <f t="shared" si="66"/>
        <v>193</v>
      </c>
      <c r="E1221" s="20"/>
      <c r="G1221" s="17" t="s">
        <v>2</v>
      </c>
      <c r="H1221" s="18">
        <f>SUM(H1197:H1220)</f>
        <v>336</v>
      </c>
      <c r="I1221" s="19">
        <f t="shared" si="65"/>
        <v>336</v>
      </c>
      <c r="J1221" s="20"/>
    </row>
    <row r="1222" spans="2:11" ht="14.25" thickBot="1" x14ac:dyDescent="0.2">
      <c r="B1222" s="46" t="s">
        <v>3</v>
      </c>
      <c r="C1222" s="52">
        <f>C1196-C1221</f>
        <v>308</v>
      </c>
      <c r="D1222" s="48">
        <f>D1196-D1221</f>
        <v>308</v>
      </c>
      <c r="E1222" s="49"/>
      <c r="G1222" s="46" t="s">
        <v>3</v>
      </c>
      <c r="H1222" s="52">
        <f>H1196-H1221</f>
        <v>3744</v>
      </c>
      <c r="I1222" s="48">
        <f>I1196-I1221</f>
        <v>3744</v>
      </c>
      <c r="J1222" s="49"/>
    </row>
    <row r="1225" spans="2:11" ht="18.75" x14ac:dyDescent="0.2">
      <c r="B1225" s="26" t="s">
        <v>7</v>
      </c>
      <c r="G1225" s="26" t="s">
        <v>35</v>
      </c>
    </row>
    <row r="1226" spans="2:11" ht="14.25" thickBot="1" x14ac:dyDescent="0.2"/>
    <row r="1227" spans="2:11" ht="14.25" thickBot="1" x14ac:dyDescent="0.2">
      <c r="B1227" s="1"/>
      <c r="C1227" s="2"/>
      <c r="D1227" s="3" t="s">
        <v>0</v>
      </c>
      <c r="E1227" s="1" t="s">
        <v>4</v>
      </c>
      <c r="G1227" s="1"/>
      <c r="H1227" s="2"/>
      <c r="I1227" s="3" t="s">
        <v>0</v>
      </c>
      <c r="J1227" s="1" t="s">
        <v>4</v>
      </c>
    </row>
    <row r="1228" spans="2:11" x14ac:dyDescent="0.15">
      <c r="B1228" s="42" t="s">
        <v>5</v>
      </c>
      <c r="C1228" s="43">
        <f>C1222</f>
        <v>308</v>
      </c>
      <c r="D1228" s="44">
        <f>SUM(C1228:C1228)</f>
        <v>308</v>
      </c>
      <c r="E1228" s="45"/>
      <c r="G1228" s="42" t="s">
        <v>5</v>
      </c>
      <c r="H1228" s="43">
        <f>H1222</f>
        <v>3744</v>
      </c>
      <c r="I1228" s="44">
        <f>SUM(H1228:H1228)</f>
        <v>3744</v>
      </c>
      <c r="J1228" s="45"/>
      <c r="K1228" s="103" t="s">
        <v>353</v>
      </c>
    </row>
    <row r="1229" spans="2:11" x14ac:dyDescent="0.15">
      <c r="B1229" s="6" t="s">
        <v>76</v>
      </c>
      <c r="C1229" s="13">
        <v>3</v>
      </c>
      <c r="D1229" s="14">
        <f>SUM(C1229:C1229)</f>
        <v>3</v>
      </c>
      <c r="E1229" s="5">
        <v>42282</v>
      </c>
      <c r="G1229" s="71" t="s">
        <v>6</v>
      </c>
      <c r="H1229" s="13"/>
      <c r="I1229" s="14">
        <f>SUM(H1229:H1229)</f>
        <v>0</v>
      </c>
      <c r="J1229" s="5"/>
    </row>
    <row r="1230" spans="2:11" x14ac:dyDescent="0.15">
      <c r="B1230" s="6" t="s">
        <v>225</v>
      </c>
      <c r="C1230" s="7">
        <v>2</v>
      </c>
      <c r="D1230" s="8">
        <f>SUM(C1230:C1230)</f>
        <v>2</v>
      </c>
      <c r="E1230" s="9">
        <v>42303</v>
      </c>
      <c r="G1230" s="71" t="s">
        <v>6</v>
      </c>
      <c r="H1230" s="67"/>
      <c r="I1230" s="14">
        <f>SUM(H1230:H1230)</f>
        <v>0</v>
      </c>
      <c r="J1230" s="5"/>
    </row>
    <row r="1231" spans="2:11" ht="14.25" thickBot="1" x14ac:dyDescent="0.2">
      <c r="B1231" s="6" t="s">
        <v>76</v>
      </c>
      <c r="C1231" s="7">
        <v>13</v>
      </c>
      <c r="D1231" s="14">
        <f>SUM(C1231:C1231)</f>
        <v>13</v>
      </c>
      <c r="E1231" s="16">
        <v>42315</v>
      </c>
      <c r="G1231" s="6" t="s">
        <v>6</v>
      </c>
      <c r="H1231" s="88"/>
      <c r="I1231" s="11">
        <f>SUM(H1231:H1231)</f>
        <v>0</v>
      </c>
      <c r="J1231" s="85"/>
    </row>
    <row r="1232" spans="2:11" ht="14.25" thickBot="1" x14ac:dyDescent="0.2">
      <c r="B1232" s="46" t="s">
        <v>1</v>
      </c>
      <c r="C1232" s="48">
        <f>SUM(C1228:C1231)</f>
        <v>326</v>
      </c>
      <c r="D1232" s="48">
        <f>SUM(D1228:D1231)</f>
        <v>326</v>
      </c>
      <c r="E1232" s="49"/>
      <c r="G1232" s="46" t="s">
        <v>1</v>
      </c>
      <c r="H1232" s="47">
        <f>SUM(H1228:H1231)</f>
        <v>3744</v>
      </c>
      <c r="I1232" s="48">
        <f>SUM(I1228:I1231)</f>
        <v>3744</v>
      </c>
      <c r="J1232" s="49"/>
    </row>
    <row r="1233" spans="2:10" x14ac:dyDescent="0.15">
      <c r="B1233" s="10" t="s">
        <v>18</v>
      </c>
      <c r="C1233" s="77">
        <v>6</v>
      </c>
      <c r="D1233" s="11">
        <f>SUM(C1233:C1233)</f>
        <v>6</v>
      </c>
      <c r="E1233" s="12">
        <v>42291</v>
      </c>
      <c r="G1233" s="81"/>
      <c r="H1233" s="13"/>
      <c r="I1233" s="11">
        <f>SUM(H1233:H1233)</f>
        <v>0</v>
      </c>
      <c r="J1233" s="12"/>
    </row>
    <row r="1234" spans="2:10" x14ac:dyDescent="0.15">
      <c r="B1234" s="10" t="s">
        <v>284</v>
      </c>
      <c r="C1234" s="13">
        <v>2</v>
      </c>
      <c r="D1234" s="14">
        <f>SUM(C1234:C1234)</f>
        <v>2</v>
      </c>
      <c r="E1234" s="12">
        <v>42292</v>
      </c>
      <c r="G1234" s="15"/>
      <c r="H1234" s="13"/>
      <c r="I1234" s="14">
        <f>SUM(H1234:H1234)</f>
        <v>0</v>
      </c>
      <c r="J1234" s="12"/>
    </row>
    <row r="1235" spans="2:10" x14ac:dyDescent="0.15">
      <c r="B1235" s="10" t="s">
        <v>189</v>
      </c>
      <c r="C1235" s="13">
        <v>4</v>
      </c>
      <c r="D1235" s="14">
        <f>SUM(C1235:C1235)</f>
        <v>4</v>
      </c>
      <c r="E1235" s="12">
        <v>42290</v>
      </c>
      <c r="G1235" s="15"/>
      <c r="H1235" s="13"/>
      <c r="I1235" s="14">
        <f t="shared" ref="I1235:I1257" si="67">SUM(H1235:H1235)</f>
        <v>0</v>
      </c>
      <c r="J1235" s="12"/>
    </row>
    <row r="1236" spans="2:10" x14ac:dyDescent="0.15">
      <c r="B1236" s="10" t="s">
        <v>18</v>
      </c>
      <c r="C1236" s="13">
        <v>9</v>
      </c>
      <c r="D1236" s="14">
        <f t="shared" ref="D1236:D1257" si="68">SUM(C1236:C1236)</f>
        <v>9</v>
      </c>
      <c r="E1236" s="12">
        <v>42294</v>
      </c>
      <c r="G1236" s="81"/>
      <c r="H1236" s="13"/>
      <c r="I1236" s="14">
        <f t="shared" si="67"/>
        <v>0</v>
      </c>
      <c r="J1236" s="12"/>
    </row>
    <row r="1237" spans="2:10" x14ac:dyDescent="0.15">
      <c r="B1237" s="10" t="s">
        <v>189</v>
      </c>
      <c r="C1237" s="13">
        <v>2</v>
      </c>
      <c r="D1237" s="14">
        <f t="shared" si="68"/>
        <v>2</v>
      </c>
      <c r="E1237" s="12">
        <v>42293</v>
      </c>
      <c r="G1237" s="15"/>
      <c r="H1237" s="13"/>
      <c r="I1237" s="14">
        <f t="shared" si="67"/>
        <v>0</v>
      </c>
      <c r="J1237" s="12"/>
    </row>
    <row r="1238" spans="2:10" x14ac:dyDescent="0.15">
      <c r="B1238" s="10" t="s">
        <v>189</v>
      </c>
      <c r="C1238" s="13">
        <v>1</v>
      </c>
      <c r="D1238" s="14">
        <f t="shared" si="68"/>
        <v>1</v>
      </c>
      <c r="E1238" s="12">
        <v>42294</v>
      </c>
      <c r="G1238" s="78"/>
      <c r="H1238" s="13"/>
      <c r="I1238" s="14">
        <f t="shared" si="67"/>
        <v>0</v>
      </c>
      <c r="J1238" s="12"/>
    </row>
    <row r="1239" spans="2:10" x14ac:dyDescent="0.15">
      <c r="B1239" s="10" t="s">
        <v>18</v>
      </c>
      <c r="C1239" s="13">
        <v>5</v>
      </c>
      <c r="D1239" s="14">
        <f t="shared" si="68"/>
        <v>5</v>
      </c>
      <c r="E1239" s="12">
        <v>42298</v>
      </c>
      <c r="G1239" s="78"/>
      <c r="H1239" s="13"/>
      <c r="I1239" s="14">
        <f t="shared" si="67"/>
        <v>0</v>
      </c>
      <c r="J1239" s="12"/>
    </row>
    <row r="1240" spans="2:10" x14ac:dyDescent="0.15">
      <c r="B1240" s="10" t="s">
        <v>189</v>
      </c>
      <c r="C1240" s="13">
        <v>1</v>
      </c>
      <c r="D1240" s="14">
        <f t="shared" si="68"/>
        <v>1</v>
      </c>
      <c r="E1240" s="12">
        <v>42299</v>
      </c>
      <c r="G1240" s="78"/>
      <c r="H1240" s="13"/>
      <c r="I1240" s="14">
        <f t="shared" si="67"/>
        <v>0</v>
      </c>
      <c r="J1240" s="12"/>
    </row>
    <row r="1241" spans="2:10" x14ac:dyDescent="0.15">
      <c r="B1241" s="10" t="s">
        <v>189</v>
      </c>
      <c r="C1241" s="13">
        <v>1</v>
      </c>
      <c r="D1241" s="14">
        <f t="shared" si="68"/>
        <v>1</v>
      </c>
      <c r="E1241" s="12">
        <v>42298</v>
      </c>
      <c r="G1241" s="10"/>
      <c r="H1241" s="13"/>
      <c r="I1241" s="14">
        <f t="shared" si="67"/>
        <v>0</v>
      </c>
      <c r="J1241" s="12"/>
    </row>
    <row r="1242" spans="2:10" x14ac:dyDescent="0.15">
      <c r="B1242" s="15" t="s">
        <v>11</v>
      </c>
      <c r="C1242" s="13">
        <v>2</v>
      </c>
      <c r="D1242" s="14">
        <f t="shared" si="68"/>
        <v>2</v>
      </c>
      <c r="E1242" s="12">
        <v>42311</v>
      </c>
      <c r="G1242" s="78"/>
      <c r="H1242" s="13"/>
      <c r="I1242" s="14">
        <f t="shared" si="67"/>
        <v>0</v>
      </c>
      <c r="J1242" s="12"/>
    </row>
    <row r="1243" spans="2:10" x14ac:dyDescent="0.15">
      <c r="B1243" s="15" t="s">
        <v>189</v>
      </c>
      <c r="C1243" s="13">
        <v>1</v>
      </c>
      <c r="D1243" s="14">
        <f t="shared" si="68"/>
        <v>1</v>
      </c>
      <c r="E1243" s="12">
        <v>42304</v>
      </c>
      <c r="G1243" s="15"/>
      <c r="H1243" s="13"/>
      <c r="I1243" s="14">
        <f t="shared" si="67"/>
        <v>0</v>
      </c>
      <c r="J1243" s="5"/>
    </row>
    <row r="1244" spans="2:10" x14ac:dyDescent="0.15">
      <c r="B1244" s="10" t="s">
        <v>284</v>
      </c>
      <c r="C1244" s="13">
        <v>2</v>
      </c>
      <c r="D1244" s="14">
        <f t="shared" si="68"/>
        <v>2</v>
      </c>
      <c r="E1244" s="12">
        <v>42308</v>
      </c>
      <c r="G1244" s="15"/>
      <c r="H1244" s="7"/>
      <c r="I1244" s="14">
        <f t="shared" si="67"/>
        <v>0</v>
      </c>
      <c r="J1244" s="12"/>
    </row>
    <row r="1245" spans="2:10" x14ac:dyDescent="0.15">
      <c r="B1245" s="15" t="s">
        <v>189</v>
      </c>
      <c r="C1245" s="13">
        <v>2</v>
      </c>
      <c r="D1245" s="14">
        <f t="shared" si="68"/>
        <v>2</v>
      </c>
      <c r="E1245" s="12">
        <v>42306</v>
      </c>
      <c r="G1245" s="10"/>
      <c r="H1245" s="13"/>
      <c r="I1245" s="14">
        <f t="shared" si="67"/>
        <v>0</v>
      </c>
      <c r="J1245" s="12"/>
    </row>
    <row r="1246" spans="2:10" x14ac:dyDescent="0.15">
      <c r="B1246" s="10" t="s">
        <v>367</v>
      </c>
      <c r="C1246" s="13">
        <v>1</v>
      </c>
      <c r="D1246" s="14">
        <f t="shared" si="68"/>
        <v>1</v>
      </c>
      <c r="E1246" s="12">
        <v>42306</v>
      </c>
      <c r="G1246" s="15"/>
      <c r="H1246" s="13"/>
      <c r="I1246" s="14">
        <f t="shared" si="67"/>
        <v>0</v>
      </c>
      <c r="J1246" s="12"/>
    </row>
    <row r="1247" spans="2:10" x14ac:dyDescent="0.15">
      <c r="B1247" s="10" t="s">
        <v>189</v>
      </c>
      <c r="C1247" s="13">
        <v>1</v>
      </c>
      <c r="D1247" s="14">
        <f t="shared" si="68"/>
        <v>1</v>
      </c>
      <c r="E1247" s="12">
        <v>42307</v>
      </c>
      <c r="G1247" s="15"/>
      <c r="H1247" s="13"/>
      <c r="I1247" s="14">
        <f t="shared" si="67"/>
        <v>0</v>
      </c>
      <c r="J1247" s="5"/>
    </row>
    <row r="1248" spans="2:10" x14ac:dyDescent="0.15">
      <c r="B1248" s="10" t="s">
        <v>18</v>
      </c>
      <c r="C1248" s="13">
        <v>2</v>
      </c>
      <c r="D1248" s="14">
        <f t="shared" si="68"/>
        <v>2</v>
      </c>
      <c r="E1248" s="12">
        <v>42312</v>
      </c>
      <c r="G1248" s="15"/>
      <c r="H1248" s="7"/>
      <c r="I1248" s="14">
        <f t="shared" si="67"/>
        <v>0</v>
      </c>
      <c r="J1248" s="12"/>
    </row>
    <row r="1249" spans="2:11" x14ac:dyDescent="0.15">
      <c r="B1249" s="10" t="s">
        <v>189</v>
      </c>
      <c r="C1249" s="13">
        <v>4</v>
      </c>
      <c r="D1249" s="14">
        <f t="shared" si="68"/>
        <v>4</v>
      </c>
      <c r="E1249" s="12">
        <v>42310</v>
      </c>
      <c r="G1249" s="15"/>
      <c r="H1249" s="7"/>
      <c r="I1249" s="14">
        <f t="shared" si="67"/>
        <v>0</v>
      </c>
      <c r="J1249" s="12"/>
    </row>
    <row r="1250" spans="2:11" x14ac:dyDescent="0.15">
      <c r="B1250" s="10" t="s">
        <v>284</v>
      </c>
      <c r="C1250" s="13">
        <v>6</v>
      </c>
      <c r="D1250" s="14">
        <f t="shared" si="68"/>
        <v>6</v>
      </c>
      <c r="E1250" s="12">
        <v>42314</v>
      </c>
      <c r="G1250" s="15"/>
      <c r="H1250" s="7"/>
      <c r="I1250" s="14">
        <f t="shared" si="67"/>
        <v>0</v>
      </c>
      <c r="J1250" s="12"/>
    </row>
    <row r="1251" spans="2:11" x14ac:dyDescent="0.15">
      <c r="B1251" s="10" t="s">
        <v>284</v>
      </c>
      <c r="C1251" s="13">
        <v>6</v>
      </c>
      <c r="D1251" s="14">
        <f t="shared" si="68"/>
        <v>6</v>
      </c>
      <c r="E1251" s="12">
        <v>42318</v>
      </c>
      <c r="G1251" s="10"/>
      <c r="H1251" s="13"/>
      <c r="I1251" s="14">
        <f t="shared" si="67"/>
        <v>0</v>
      </c>
      <c r="J1251" s="12"/>
    </row>
    <row r="1252" spans="2:11" x14ac:dyDescent="0.15">
      <c r="B1252" s="15" t="s">
        <v>189</v>
      </c>
      <c r="C1252" s="13">
        <v>2</v>
      </c>
      <c r="D1252" s="14">
        <f t="shared" si="68"/>
        <v>2</v>
      </c>
      <c r="E1252" s="5">
        <v>42313</v>
      </c>
      <c r="G1252" s="15"/>
      <c r="H1252" s="7"/>
      <c r="I1252" s="14">
        <f t="shared" si="67"/>
        <v>0</v>
      </c>
      <c r="J1252" s="74"/>
    </row>
    <row r="1253" spans="2:11" x14ac:dyDescent="0.15">
      <c r="B1253" s="15" t="s">
        <v>189</v>
      </c>
      <c r="C1253" s="13">
        <v>1</v>
      </c>
      <c r="D1253" s="14">
        <f t="shared" si="68"/>
        <v>1</v>
      </c>
      <c r="E1253" s="5">
        <v>42314</v>
      </c>
      <c r="G1253" s="15"/>
      <c r="H1253" s="13"/>
      <c r="I1253" s="14">
        <f t="shared" si="67"/>
        <v>0</v>
      </c>
      <c r="J1253" s="5"/>
    </row>
    <row r="1254" spans="2:11" x14ac:dyDescent="0.15">
      <c r="B1254" s="15" t="s">
        <v>189</v>
      </c>
      <c r="C1254" s="13">
        <v>3</v>
      </c>
      <c r="D1254" s="14">
        <f t="shared" si="68"/>
        <v>3</v>
      </c>
      <c r="E1254" s="5">
        <v>42315</v>
      </c>
      <c r="G1254" s="15"/>
      <c r="H1254" s="13"/>
      <c r="I1254" s="14">
        <f t="shared" si="67"/>
        <v>0</v>
      </c>
      <c r="J1254" s="5"/>
    </row>
    <row r="1255" spans="2:11" x14ac:dyDescent="0.15">
      <c r="B1255" s="10" t="s">
        <v>18</v>
      </c>
      <c r="C1255" s="13">
        <v>4</v>
      </c>
      <c r="D1255" s="14">
        <f t="shared" si="68"/>
        <v>4</v>
      </c>
      <c r="E1255" s="5">
        <v>42318</v>
      </c>
      <c r="G1255" s="15"/>
      <c r="H1255" s="7"/>
      <c r="I1255" s="14">
        <f t="shared" si="67"/>
        <v>0</v>
      </c>
      <c r="J1255" s="12"/>
    </row>
    <row r="1256" spans="2:11" ht="14.25" thickBot="1" x14ac:dyDescent="0.2">
      <c r="B1256" s="15" t="s">
        <v>189</v>
      </c>
      <c r="C1256" s="13">
        <v>2</v>
      </c>
      <c r="D1256" s="11">
        <f t="shared" si="68"/>
        <v>2</v>
      </c>
      <c r="E1256" s="12">
        <v>42317</v>
      </c>
      <c r="G1256" s="15"/>
      <c r="H1256" s="7"/>
      <c r="I1256" s="14">
        <f t="shared" si="67"/>
        <v>0</v>
      </c>
      <c r="J1256" s="74"/>
    </row>
    <row r="1257" spans="2:11" ht="14.25" thickBot="1" x14ac:dyDescent="0.2">
      <c r="B1257" s="17" t="s">
        <v>2</v>
      </c>
      <c r="C1257" s="18">
        <f>SUM(C1233:C1256)</f>
        <v>70</v>
      </c>
      <c r="D1257" s="19">
        <f t="shared" si="68"/>
        <v>70</v>
      </c>
      <c r="E1257" s="20"/>
      <c r="G1257" s="17" t="s">
        <v>2</v>
      </c>
      <c r="H1257" s="18">
        <f>SUM(H1233:H1256)</f>
        <v>0</v>
      </c>
      <c r="I1257" s="19">
        <f t="shared" si="67"/>
        <v>0</v>
      </c>
      <c r="J1257" s="20"/>
    </row>
    <row r="1258" spans="2:11" ht="14.25" thickBot="1" x14ac:dyDescent="0.2">
      <c r="B1258" s="46" t="s">
        <v>3</v>
      </c>
      <c r="C1258" s="52">
        <f>C1232-C1257</f>
        <v>256</v>
      </c>
      <c r="D1258" s="48">
        <f>D1232-D1257</f>
        <v>256</v>
      </c>
      <c r="E1258" s="49"/>
      <c r="G1258" s="46" t="s">
        <v>3</v>
      </c>
      <c r="H1258" s="52">
        <f>H1232-H1257</f>
        <v>3744</v>
      </c>
      <c r="I1258" s="48">
        <f>I1232-I1257</f>
        <v>3744</v>
      </c>
      <c r="J1258" s="49"/>
    </row>
    <row r="1261" spans="2:11" ht="18.75" x14ac:dyDescent="0.2">
      <c r="B1261" s="26" t="s">
        <v>7</v>
      </c>
      <c r="G1261" s="26" t="s">
        <v>35</v>
      </c>
    </row>
    <row r="1262" spans="2:11" ht="14.25" thickBot="1" x14ac:dyDescent="0.2"/>
    <row r="1263" spans="2:11" ht="14.25" thickBot="1" x14ac:dyDescent="0.2">
      <c r="B1263" s="1"/>
      <c r="C1263" s="2"/>
      <c r="D1263" s="3" t="s">
        <v>0</v>
      </c>
      <c r="E1263" s="1" t="s">
        <v>4</v>
      </c>
      <c r="G1263" s="1"/>
      <c r="H1263" s="2"/>
      <c r="I1263" s="3" t="s">
        <v>0</v>
      </c>
      <c r="J1263" s="1" t="s">
        <v>4</v>
      </c>
    </row>
    <row r="1264" spans="2:11" x14ac:dyDescent="0.15">
      <c r="B1264" s="42" t="s">
        <v>5</v>
      </c>
      <c r="C1264" s="43">
        <f>C1258</f>
        <v>256</v>
      </c>
      <c r="D1264" s="44">
        <f>SUM(C1264:C1264)</f>
        <v>256</v>
      </c>
      <c r="E1264" s="45"/>
      <c r="G1264" s="42" t="s">
        <v>5</v>
      </c>
      <c r="H1264" s="43">
        <f>H1258</f>
        <v>3744</v>
      </c>
      <c r="I1264" s="44">
        <f>SUM(H1264:H1264)</f>
        <v>3744</v>
      </c>
      <c r="J1264" s="45"/>
      <c r="K1264" s="103" t="s">
        <v>353</v>
      </c>
    </row>
    <row r="1265" spans="2:10" x14ac:dyDescent="0.15">
      <c r="B1265" s="6" t="s">
        <v>6</v>
      </c>
      <c r="C1265" s="13"/>
      <c r="D1265" s="14">
        <f>SUM(C1265:C1265)</f>
        <v>0</v>
      </c>
      <c r="E1265" s="5"/>
      <c r="G1265" s="71" t="s">
        <v>6</v>
      </c>
      <c r="H1265" s="13"/>
      <c r="I1265" s="14">
        <f>SUM(H1265:H1265)</f>
        <v>0</v>
      </c>
      <c r="J1265" s="5"/>
    </row>
    <row r="1266" spans="2:10" x14ac:dyDescent="0.15">
      <c r="B1266" s="6" t="s">
        <v>6</v>
      </c>
      <c r="C1266" s="7"/>
      <c r="D1266" s="8">
        <f>SUM(C1266:C1266)</f>
        <v>0</v>
      </c>
      <c r="E1266" s="9"/>
      <c r="G1266" s="71" t="s">
        <v>6</v>
      </c>
      <c r="H1266" s="67"/>
      <c r="I1266" s="14">
        <f>SUM(H1266:H1266)</f>
        <v>0</v>
      </c>
      <c r="J1266" s="5"/>
    </row>
    <row r="1267" spans="2:10" ht="14.25" thickBot="1" x14ac:dyDescent="0.2">
      <c r="B1267" s="6" t="s">
        <v>6</v>
      </c>
      <c r="C1267" s="7"/>
      <c r="D1267" s="14">
        <f>SUM(C1267:C1267)</f>
        <v>0</v>
      </c>
      <c r="E1267" s="16"/>
      <c r="G1267" s="6" t="s">
        <v>6</v>
      </c>
      <c r="H1267" s="88"/>
      <c r="I1267" s="11">
        <f>SUM(H1267:H1267)</f>
        <v>0</v>
      </c>
      <c r="J1267" s="85"/>
    </row>
    <row r="1268" spans="2:10" ht="14.25" thickBot="1" x14ac:dyDescent="0.2">
      <c r="B1268" s="46" t="s">
        <v>1</v>
      </c>
      <c r="C1268" s="48">
        <f>SUM(C1264:C1267)</f>
        <v>256</v>
      </c>
      <c r="D1268" s="48">
        <f>SUM(D1264:D1267)</f>
        <v>256</v>
      </c>
      <c r="E1268" s="49"/>
      <c r="G1268" s="46" t="s">
        <v>1</v>
      </c>
      <c r="H1268" s="47">
        <f>SUM(H1264:H1267)</f>
        <v>3744</v>
      </c>
      <c r="I1268" s="48">
        <f>SUM(I1264:I1267)</f>
        <v>3744</v>
      </c>
      <c r="J1268" s="49"/>
    </row>
    <row r="1269" spans="2:10" x14ac:dyDescent="0.15">
      <c r="B1269" s="10" t="s">
        <v>189</v>
      </c>
      <c r="C1269" s="77">
        <v>1</v>
      </c>
      <c r="D1269" s="11">
        <f>SUM(C1269:C1269)</f>
        <v>1</v>
      </c>
      <c r="E1269" s="12">
        <v>42318</v>
      </c>
      <c r="G1269" s="81"/>
      <c r="H1269" s="13"/>
      <c r="I1269" s="11">
        <f>SUM(H1269:H1269)</f>
        <v>0</v>
      </c>
      <c r="J1269" s="12"/>
    </row>
    <row r="1270" spans="2:10" x14ac:dyDescent="0.15">
      <c r="B1270" s="10" t="s">
        <v>189</v>
      </c>
      <c r="C1270" s="13">
        <v>2</v>
      </c>
      <c r="D1270" s="14">
        <f>SUM(C1270:C1270)</f>
        <v>2</v>
      </c>
      <c r="E1270" s="12">
        <v>42320</v>
      </c>
      <c r="G1270" s="15"/>
      <c r="H1270" s="13"/>
      <c r="I1270" s="14">
        <f>SUM(H1270:H1270)</f>
        <v>0</v>
      </c>
      <c r="J1270" s="12"/>
    </row>
    <row r="1271" spans="2:10" x14ac:dyDescent="0.15">
      <c r="B1271" s="10" t="s">
        <v>83</v>
      </c>
      <c r="C1271" s="13">
        <v>10</v>
      </c>
      <c r="D1271" s="14">
        <f>SUM(C1271:C1271)</f>
        <v>10</v>
      </c>
      <c r="E1271" s="12">
        <v>42326</v>
      </c>
      <c r="G1271" s="15"/>
      <c r="H1271" s="13"/>
      <c r="I1271" s="14">
        <f t="shared" ref="I1271:I1293" si="69">SUM(H1271:H1271)</f>
        <v>0</v>
      </c>
      <c r="J1271" s="12"/>
    </row>
    <row r="1272" spans="2:10" x14ac:dyDescent="0.15">
      <c r="B1272" s="10" t="s">
        <v>189</v>
      </c>
      <c r="C1272" s="13">
        <v>5</v>
      </c>
      <c r="D1272" s="14">
        <f t="shared" ref="D1272:D1293" si="70">SUM(C1272:C1272)</f>
        <v>5</v>
      </c>
      <c r="E1272" s="12">
        <v>42324</v>
      </c>
      <c r="G1272" s="81"/>
      <c r="H1272" s="13"/>
      <c r="I1272" s="14">
        <f t="shared" si="69"/>
        <v>0</v>
      </c>
      <c r="J1272" s="12"/>
    </row>
    <row r="1273" spans="2:10" x14ac:dyDescent="0.15">
      <c r="B1273" s="10" t="s">
        <v>189</v>
      </c>
      <c r="C1273" s="13">
        <v>1</v>
      </c>
      <c r="D1273" s="14">
        <f t="shared" si="70"/>
        <v>1</v>
      </c>
      <c r="E1273" s="12">
        <v>42326</v>
      </c>
      <c r="G1273" s="15"/>
      <c r="H1273" s="13"/>
      <c r="I1273" s="14">
        <f t="shared" si="69"/>
        <v>0</v>
      </c>
      <c r="J1273" s="12"/>
    </row>
    <row r="1274" spans="2:10" x14ac:dyDescent="0.15">
      <c r="B1274" s="10" t="s">
        <v>189</v>
      </c>
      <c r="C1274" s="13">
        <v>2</v>
      </c>
      <c r="D1274" s="14">
        <f t="shared" si="70"/>
        <v>2</v>
      </c>
      <c r="E1274" s="12">
        <v>42327</v>
      </c>
      <c r="G1274" s="78"/>
      <c r="H1274" s="13"/>
      <c r="I1274" s="14">
        <f t="shared" si="69"/>
        <v>0</v>
      </c>
      <c r="J1274" s="12"/>
    </row>
    <row r="1275" spans="2:10" x14ac:dyDescent="0.15">
      <c r="B1275" s="10" t="s">
        <v>18</v>
      </c>
      <c r="C1275" s="13">
        <v>1</v>
      </c>
      <c r="D1275" s="14">
        <f t="shared" si="70"/>
        <v>1</v>
      </c>
      <c r="E1275" s="12">
        <v>42329</v>
      </c>
      <c r="G1275" s="78"/>
      <c r="H1275" s="13"/>
      <c r="I1275" s="14">
        <f t="shared" si="69"/>
        <v>0</v>
      </c>
      <c r="J1275" s="12"/>
    </row>
    <row r="1276" spans="2:10" x14ac:dyDescent="0.15">
      <c r="B1276" s="10" t="s">
        <v>189</v>
      </c>
      <c r="C1276" s="13">
        <v>1</v>
      </c>
      <c r="D1276" s="14">
        <f t="shared" si="70"/>
        <v>1</v>
      </c>
      <c r="E1276" s="12">
        <v>42332</v>
      </c>
      <c r="G1276" s="78"/>
      <c r="H1276" s="13"/>
      <c r="I1276" s="14">
        <f t="shared" si="69"/>
        <v>0</v>
      </c>
      <c r="J1276" s="12"/>
    </row>
    <row r="1277" spans="2:10" x14ac:dyDescent="0.15">
      <c r="B1277" s="10" t="s">
        <v>18</v>
      </c>
      <c r="C1277" s="13">
        <v>2</v>
      </c>
      <c r="D1277" s="14">
        <f t="shared" si="70"/>
        <v>2</v>
      </c>
      <c r="E1277" s="12">
        <v>42335</v>
      </c>
      <c r="G1277" s="10"/>
      <c r="H1277" s="13"/>
      <c r="I1277" s="14">
        <f t="shared" si="69"/>
        <v>0</v>
      </c>
      <c r="J1277" s="12"/>
    </row>
    <row r="1278" spans="2:10" x14ac:dyDescent="0.15">
      <c r="B1278" s="15" t="s">
        <v>189</v>
      </c>
      <c r="C1278" s="13">
        <v>1</v>
      </c>
      <c r="D1278" s="14">
        <f t="shared" si="70"/>
        <v>1</v>
      </c>
      <c r="E1278" s="12">
        <v>42334</v>
      </c>
      <c r="G1278" s="78"/>
      <c r="H1278" s="13"/>
      <c r="I1278" s="14">
        <f t="shared" si="69"/>
        <v>0</v>
      </c>
      <c r="J1278" s="12"/>
    </row>
    <row r="1279" spans="2:10" x14ac:dyDescent="0.15">
      <c r="B1279" s="15" t="s">
        <v>189</v>
      </c>
      <c r="C1279" s="13">
        <v>1</v>
      </c>
      <c r="D1279" s="14">
        <f t="shared" si="70"/>
        <v>1</v>
      </c>
      <c r="E1279" s="12">
        <v>42338</v>
      </c>
      <c r="G1279" s="15"/>
      <c r="H1279" s="13"/>
      <c r="I1279" s="14">
        <f t="shared" si="69"/>
        <v>0</v>
      </c>
      <c r="J1279" s="5"/>
    </row>
    <row r="1280" spans="2:10" x14ac:dyDescent="0.15">
      <c r="B1280" s="15" t="s">
        <v>189</v>
      </c>
      <c r="C1280" s="13">
        <v>1</v>
      </c>
      <c r="D1280" s="14">
        <f t="shared" si="70"/>
        <v>1</v>
      </c>
      <c r="E1280" s="12">
        <v>42339</v>
      </c>
      <c r="G1280" s="15"/>
      <c r="H1280" s="7"/>
      <c r="I1280" s="14">
        <f t="shared" si="69"/>
        <v>0</v>
      </c>
      <c r="J1280" s="12"/>
    </row>
    <row r="1281" spans="2:10" x14ac:dyDescent="0.15">
      <c r="B1281" s="10" t="s">
        <v>18</v>
      </c>
      <c r="C1281" s="13">
        <v>1</v>
      </c>
      <c r="D1281" s="14">
        <f t="shared" si="70"/>
        <v>1</v>
      </c>
      <c r="E1281" s="12">
        <v>42342</v>
      </c>
      <c r="G1281" s="10"/>
      <c r="H1281" s="13"/>
      <c r="I1281" s="14">
        <f t="shared" si="69"/>
        <v>0</v>
      </c>
      <c r="J1281" s="12"/>
    </row>
    <row r="1282" spans="2:10" x14ac:dyDescent="0.15">
      <c r="B1282" s="10" t="s">
        <v>189</v>
      </c>
      <c r="C1282" s="13">
        <v>1</v>
      </c>
      <c r="D1282" s="14">
        <f t="shared" si="70"/>
        <v>1</v>
      </c>
      <c r="E1282" s="12">
        <v>42348</v>
      </c>
      <c r="G1282" s="15"/>
      <c r="H1282" s="13"/>
      <c r="I1282" s="14">
        <f t="shared" si="69"/>
        <v>0</v>
      </c>
      <c r="J1282" s="12"/>
    </row>
    <row r="1283" spans="2:10" x14ac:dyDescent="0.15">
      <c r="B1283" s="10" t="s">
        <v>189</v>
      </c>
      <c r="C1283" s="13">
        <v>2</v>
      </c>
      <c r="D1283" s="14">
        <f t="shared" si="70"/>
        <v>2</v>
      </c>
      <c r="E1283" s="12">
        <v>42349</v>
      </c>
      <c r="G1283" s="15"/>
      <c r="H1283" s="13"/>
      <c r="I1283" s="14">
        <f t="shared" si="69"/>
        <v>0</v>
      </c>
      <c r="J1283" s="5"/>
    </row>
    <row r="1284" spans="2:10" x14ac:dyDescent="0.15">
      <c r="B1284" s="10" t="s">
        <v>189</v>
      </c>
      <c r="C1284" s="13">
        <v>1</v>
      </c>
      <c r="D1284" s="14">
        <f t="shared" si="70"/>
        <v>1</v>
      </c>
      <c r="E1284" s="12">
        <v>42349</v>
      </c>
      <c r="G1284" s="15"/>
      <c r="H1284" s="7"/>
      <c r="I1284" s="14">
        <f t="shared" si="69"/>
        <v>0</v>
      </c>
      <c r="J1284" s="12"/>
    </row>
    <row r="1285" spans="2:10" x14ac:dyDescent="0.15">
      <c r="B1285" s="10" t="s">
        <v>18</v>
      </c>
      <c r="C1285" s="13">
        <v>1</v>
      </c>
      <c r="D1285" s="14">
        <f t="shared" si="70"/>
        <v>1</v>
      </c>
      <c r="E1285" s="12">
        <v>42357</v>
      </c>
      <c r="G1285" s="15"/>
      <c r="H1285" s="7"/>
      <c r="I1285" s="14">
        <f t="shared" si="69"/>
        <v>0</v>
      </c>
      <c r="J1285" s="12"/>
    </row>
    <row r="1286" spans="2:10" x14ac:dyDescent="0.15">
      <c r="B1286" s="10" t="s">
        <v>189</v>
      </c>
      <c r="C1286" s="13">
        <v>1</v>
      </c>
      <c r="D1286" s="14">
        <f t="shared" si="70"/>
        <v>1</v>
      </c>
      <c r="E1286" s="12">
        <v>42356</v>
      </c>
      <c r="G1286" s="15"/>
      <c r="H1286" s="7"/>
      <c r="I1286" s="14">
        <f t="shared" si="69"/>
        <v>0</v>
      </c>
      <c r="J1286" s="12"/>
    </row>
    <row r="1287" spans="2:10" x14ac:dyDescent="0.15">
      <c r="B1287" s="10" t="s">
        <v>189</v>
      </c>
      <c r="C1287" s="13">
        <v>2</v>
      </c>
      <c r="D1287" s="14">
        <f t="shared" si="70"/>
        <v>2</v>
      </c>
      <c r="E1287" s="12">
        <v>42360</v>
      </c>
      <c r="G1287" s="10"/>
      <c r="H1287" s="13"/>
      <c r="I1287" s="14">
        <f t="shared" si="69"/>
        <v>0</v>
      </c>
      <c r="J1287" s="12"/>
    </row>
    <row r="1288" spans="2:10" x14ac:dyDescent="0.15">
      <c r="B1288" s="10" t="s">
        <v>189</v>
      </c>
      <c r="C1288" s="13">
        <v>3</v>
      </c>
      <c r="D1288" s="14">
        <f t="shared" si="70"/>
        <v>3</v>
      </c>
      <c r="E1288" s="5">
        <v>42362</v>
      </c>
      <c r="G1288" s="15"/>
      <c r="H1288" s="7"/>
      <c r="I1288" s="14">
        <f t="shared" si="69"/>
        <v>0</v>
      </c>
      <c r="J1288" s="74"/>
    </row>
    <row r="1289" spans="2:10" x14ac:dyDescent="0.15">
      <c r="B1289" s="10" t="s">
        <v>18</v>
      </c>
      <c r="C1289" s="13">
        <v>45</v>
      </c>
      <c r="D1289" s="14">
        <f t="shared" si="70"/>
        <v>45</v>
      </c>
      <c r="E1289" s="5">
        <v>42364</v>
      </c>
      <c r="G1289" s="15"/>
      <c r="H1289" s="13"/>
      <c r="I1289" s="14">
        <f t="shared" si="69"/>
        <v>0</v>
      </c>
      <c r="J1289" s="5"/>
    </row>
    <row r="1290" spans="2:10" x14ac:dyDescent="0.15">
      <c r="B1290" s="10" t="s">
        <v>83</v>
      </c>
      <c r="C1290" s="13">
        <v>20</v>
      </c>
      <c r="D1290" s="14">
        <f t="shared" si="70"/>
        <v>20</v>
      </c>
      <c r="E1290" s="5">
        <v>42364</v>
      </c>
      <c r="G1290" s="15"/>
      <c r="H1290" s="13"/>
      <c r="I1290" s="14">
        <f t="shared" si="69"/>
        <v>0</v>
      </c>
      <c r="J1290" s="5"/>
    </row>
    <row r="1291" spans="2:10" x14ac:dyDescent="0.15">
      <c r="B1291" s="10" t="s">
        <v>189</v>
      </c>
      <c r="C1291" s="13">
        <v>3</v>
      </c>
      <c r="D1291" s="14">
        <f t="shared" si="70"/>
        <v>3</v>
      </c>
      <c r="E1291" s="5">
        <v>42369</v>
      </c>
      <c r="G1291" s="15"/>
      <c r="H1291" s="7"/>
      <c r="I1291" s="14">
        <f t="shared" si="69"/>
        <v>0</v>
      </c>
      <c r="J1291" s="12"/>
    </row>
    <row r="1292" spans="2:10" ht="14.25" thickBot="1" x14ac:dyDescent="0.2">
      <c r="B1292" s="10" t="s">
        <v>189</v>
      </c>
      <c r="C1292" s="13">
        <v>2</v>
      </c>
      <c r="D1292" s="11">
        <f t="shared" si="70"/>
        <v>2</v>
      </c>
      <c r="E1292" s="12">
        <v>42374</v>
      </c>
      <c r="G1292" s="15"/>
      <c r="H1292" s="7"/>
      <c r="I1292" s="14">
        <f t="shared" si="69"/>
        <v>0</v>
      </c>
      <c r="J1292" s="74"/>
    </row>
    <row r="1293" spans="2:10" ht="14.25" thickBot="1" x14ac:dyDescent="0.2">
      <c r="B1293" s="17" t="s">
        <v>2</v>
      </c>
      <c r="C1293" s="18">
        <f>SUM(C1269:C1292)</f>
        <v>110</v>
      </c>
      <c r="D1293" s="19">
        <f t="shared" si="70"/>
        <v>110</v>
      </c>
      <c r="E1293" s="20"/>
      <c r="G1293" s="17" t="s">
        <v>2</v>
      </c>
      <c r="H1293" s="18">
        <f>SUM(H1269:H1292)</f>
        <v>0</v>
      </c>
      <c r="I1293" s="19">
        <f t="shared" si="69"/>
        <v>0</v>
      </c>
      <c r="J1293" s="20"/>
    </row>
    <row r="1294" spans="2:10" ht="14.25" thickBot="1" x14ac:dyDescent="0.2">
      <c r="B1294" s="46" t="s">
        <v>3</v>
      </c>
      <c r="C1294" s="52">
        <f>C1268-C1293</f>
        <v>146</v>
      </c>
      <c r="D1294" s="48">
        <f>D1268-D1293</f>
        <v>146</v>
      </c>
      <c r="E1294" s="49"/>
      <c r="G1294" s="46" t="s">
        <v>3</v>
      </c>
      <c r="H1294" s="52">
        <f>H1268-H1293</f>
        <v>3744</v>
      </c>
      <c r="I1294" s="48">
        <f>I1268-I1293</f>
        <v>3744</v>
      </c>
      <c r="J1294" s="49"/>
    </row>
    <row r="1297" spans="2:11" ht="18.75" x14ac:dyDescent="0.2">
      <c r="B1297" s="26" t="s">
        <v>7</v>
      </c>
      <c r="G1297" s="26" t="s">
        <v>35</v>
      </c>
    </row>
    <row r="1298" spans="2:11" ht="14.25" thickBot="1" x14ac:dyDescent="0.2"/>
    <row r="1299" spans="2:11" ht="14.25" thickBot="1" x14ac:dyDescent="0.2">
      <c r="B1299" s="1"/>
      <c r="C1299" s="2"/>
      <c r="D1299" s="3" t="s">
        <v>0</v>
      </c>
      <c r="E1299" s="1" t="s">
        <v>4</v>
      </c>
      <c r="G1299" s="1"/>
      <c r="H1299" s="2"/>
      <c r="I1299" s="3" t="s">
        <v>0</v>
      </c>
      <c r="J1299" s="1" t="s">
        <v>4</v>
      </c>
    </row>
    <row r="1300" spans="2:11" x14ac:dyDescent="0.15">
      <c r="B1300" s="42" t="s">
        <v>5</v>
      </c>
      <c r="C1300" s="43">
        <f>C1294</f>
        <v>146</v>
      </c>
      <c r="D1300" s="44">
        <f>SUM(C1300:C1300)</f>
        <v>146</v>
      </c>
      <c r="E1300" s="45"/>
      <c r="G1300" s="42" t="s">
        <v>5</v>
      </c>
      <c r="H1300" s="43">
        <f>H1294</f>
        <v>3744</v>
      </c>
      <c r="I1300" s="44">
        <f>SUM(H1300:H1300)</f>
        <v>3744</v>
      </c>
      <c r="J1300" s="45"/>
      <c r="K1300" s="103" t="s">
        <v>353</v>
      </c>
    </row>
    <row r="1301" spans="2:11" x14ac:dyDescent="0.15">
      <c r="B1301" s="6" t="s">
        <v>6</v>
      </c>
      <c r="C1301" s="13">
        <v>336</v>
      </c>
      <c r="D1301" s="14">
        <f>SUM(C1301:C1301)</f>
        <v>336</v>
      </c>
      <c r="E1301" s="5">
        <v>42397</v>
      </c>
      <c r="G1301" s="71" t="s">
        <v>6</v>
      </c>
      <c r="H1301" s="13"/>
      <c r="I1301" s="14">
        <f>SUM(H1301:H1301)</f>
        <v>0</v>
      </c>
      <c r="J1301" s="5"/>
    </row>
    <row r="1302" spans="2:11" x14ac:dyDescent="0.15">
      <c r="B1302" s="6" t="s">
        <v>6</v>
      </c>
      <c r="C1302" s="7"/>
      <c r="D1302" s="8">
        <f>SUM(C1302:C1302)</f>
        <v>0</v>
      </c>
      <c r="E1302" s="9"/>
      <c r="G1302" s="71" t="s">
        <v>6</v>
      </c>
      <c r="H1302" s="67"/>
      <c r="I1302" s="14">
        <f>SUM(H1302:H1302)</f>
        <v>0</v>
      </c>
      <c r="J1302" s="5"/>
    </row>
    <row r="1303" spans="2:11" ht="14.25" thickBot="1" x14ac:dyDescent="0.2">
      <c r="B1303" s="6" t="s">
        <v>6</v>
      </c>
      <c r="C1303" s="7"/>
      <c r="D1303" s="14">
        <f>SUM(C1303:C1303)</f>
        <v>0</v>
      </c>
      <c r="E1303" s="16"/>
      <c r="G1303" s="6" t="s">
        <v>6</v>
      </c>
      <c r="H1303" s="88"/>
      <c r="I1303" s="11">
        <f>SUM(H1303:H1303)</f>
        <v>0</v>
      </c>
      <c r="J1303" s="85"/>
    </row>
    <row r="1304" spans="2:11" ht="14.25" thickBot="1" x14ac:dyDescent="0.2">
      <c r="B1304" s="46" t="s">
        <v>1</v>
      </c>
      <c r="C1304" s="48">
        <f>SUM(C1300:C1303)</f>
        <v>482</v>
      </c>
      <c r="D1304" s="48">
        <f>SUM(D1300:D1303)</f>
        <v>482</v>
      </c>
      <c r="E1304" s="49"/>
      <c r="G1304" s="46" t="s">
        <v>1</v>
      </c>
      <c r="H1304" s="47">
        <f>SUM(H1300:H1303)</f>
        <v>3744</v>
      </c>
      <c r="I1304" s="48">
        <f>SUM(I1300:I1303)</f>
        <v>3744</v>
      </c>
      <c r="J1304" s="49"/>
    </row>
    <row r="1305" spans="2:11" x14ac:dyDescent="0.15">
      <c r="B1305" s="10" t="s">
        <v>189</v>
      </c>
      <c r="C1305" s="77">
        <v>1</v>
      </c>
      <c r="D1305" s="11">
        <f>SUM(C1305:C1305)</f>
        <v>1</v>
      </c>
      <c r="E1305" s="12">
        <v>42375</v>
      </c>
      <c r="G1305" s="81"/>
      <c r="H1305" s="13"/>
      <c r="I1305" s="11">
        <f>SUM(H1305:H1305)</f>
        <v>0</v>
      </c>
      <c r="J1305" s="12"/>
    </row>
    <row r="1306" spans="2:11" x14ac:dyDescent="0.15">
      <c r="B1306" s="10" t="s">
        <v>18</v>
      </c>
      <c r="C1306" s="13">
        <v>19</v>
      </c>
      <c r="D1306" s="14">
        <f>SUM(C1306:C1306)</f>
        <v>19</v>
      </c>
      <c r="E1306" s="12">
        <v>42382</v>
      </c>
      <c r="G1306" s="15"/>
      <c r="H1306" s="13"/>
      <c r="I1306" s="14">
        <f>SUM(H1306:H1306)</f>
        <v>0</v>
      </c>
      <c r="J1306" s="12"/>
    </row>
    <row r="1307" spans="2:11" x14ac:dyDescent="0.15">
      <c r="B1307" s="10" t="s">
        <v>189</v>
      </c>
      <c r="C1307" s="13">
        <v>2</v>
      </c>
      <c r="D1307" s="14">
        <f>SUM(C1307:C1307)</f>
        <v>2</v>
      </c>
      <c r="E1307" s="12">
        <v>42381</v>
      </c>
      <c r="G1307" s="15"/>
      <c r="H1307" s="13"/>
      <c r="I1307" s="14">
        <f t="shared" ref="I1307:I1329" si="71">SUM(H1307:H1307)</f>
        <v>0</v>
      </c>
      <c r="J1307" s="12"/>
    </row>
    <row r="1308" spans="2:11" x14ac:dyDescent="0.15">
      <c r="B1308" s="10" t="s">
        <v>18</v>
      </c>
      <c r="C1308" s="13">
        <v>37</v>
      </c>
      <c r="D1308" s="14">
        <f t="shared" ref="D1308:D1329" si="72">SUM(C1308:C1308)</f>
        <v>37</v>
      </c>
      <c r="E1308" s="12">
        <v>42384</v>
      </c>
      <c r="G1308" s="81"/>
      <c r="H1308" s="13"/>
      <c r="I1308" s="14">
        <f t="shared" si="71"/>
        <v>0</v>
      </c>
      <c r="J1308" s="12"/>
    </row>
    <row r="1309" spans="2:11" x14ac:dyDescent="0.15">
      <c r="B1309" s="10" t="s">
        <v>189</v>
      </c>
      <c r="C1309" s="13">
        <v>3</v>
      </c>
      <c r="D1309" s="14">
        <f t="shared" si="72"/>
        <v>3</v>
      </c>
      <c r="E1309" s="12">
        <v>42384</v>
      </c>
      <c r="G1309" s="15"/>
      <c r="H1309" s="13"/>
      <c r="I1309" s="14">
        <f t="shared" si="71"/>
        <v>0</v>
      </c>
      <c r="J1309" s="12"/>
    </row>
    <row r="1310" spans="2:11" x14ac:dyDescent="0.15">
      <c r="B1310" s="10" t="s">
        <v>18</v>
      </c>
      <c r="C1310" s="13">
        <v>17</v>
      </c>
      <c r="D1310" s="14">
        <f t="shared" si="72"/>
        <v>17</v>
      </c>
      <c r="E1310" s="12">
        <v>42387</v>
      </c>
      <c r="G1310" s="78"/>
      <c r="H1310" s="13"/>
      <c r="I1310" s="14">
        <f t="shared" si="71"/>
        <v>0</v>
      </c>
      <c r="J1310" s="12"/>
    </row>
    <row r="1311" spans="2:11" x14ac:dyDescent="0.15">
      <c r="B1311" s="10" t="s">
        <v>189</v>
      </c>
      <c r="C1311" s="13">
        <v>1</v>
      </c>
      <c r="D1311" s="14">
        <f t="shared" si="72"/>
        <v>1</v>
      </c>
      <c r="E1311" s="12">
        <v>42385</v>
      </c>
      <c r="G1311" s="78"/>
      <c r="H1311" s="13"/>
      <c r="I1311" s="14">
        <f t="shared" si="71"/>
        <v>0</v>
      </c>
      <c r="J1311" s="12"/>
    </row>
    <row r="1312" spans="2:11" x14ac:dyDescent="0.15">
      <c r="B1312" s="10" t="s">
        <v>18</v>
      </c>
      <c r="C1312" s="13">
        <v>5</v>
      </c>
      <c r="D1312" s="14">
        <f t="shared" si="72"/>
        <v>5</v>
      </c>
      <c r="E1312" s="12">
        <v>42395</v>
      </c>
      <c r="G1312" s="78"/>
      <c r="H1312" s="13"/>
      <c r="I1312" s="14">
        <f t="shared" si="71"/>
        <v>0</v>
      </c>
      <c r="J1312" s="12"/>
    </row>
    <row r="1313" spans="2:10" x14ac:dyDescent="0.15">
      <c r="B1313" s="10" t="s">
        <v>189</v>
      </c>
      <c r="C1313" s="13">
        <v>2</v>
      </c>
      <c r="D1313" s="14">
        <f t="shared" si="72"/>
        <v>2</v>
      </c>
      <c r="E1313" s="12">
        <v>42394</v>
      </c>
      <c r="G1313" s="10"/>
      <c r="H1313" s="13"/>
      <c r="I1313" s="14">
        <f t="shared" si="71"/>
        <v>0</v>
      </c>
      <c r="J1313" s="12"/>
    </row>
    <row r="1314" spans="2:10" x14ac:dyDescent="0.15">
      <c r="B1314" s="10" t="s">
        <v>18</v>
      </c>
      <c r="C1314" s="13">
        <v>32</v>
      </c>
      <c r="D1314" s="14">
        <f t="shared" si="72"/>
        <v>32</v>
      </c>
      <c r="E1314" s="12">
        <v>42397</v>
      </c>
      <c r="G1314" s="78"/>
      <c r="H1314" s="13"/>
      <c r="I1314" s="14">
        <f t="shared" si="71"/>
        <v>0</v>
      </c>
      <c r="J1314" s="12"/>
    </row>
    <row r="1315" spans="2:10" x14ac:dyDescent="0.15">
      <c r="B1315" s="15" t="s">
        <v>189</v>
      </c>
      <c r="C1315" s="13">
        <v>1</v>
      </c>
      <c r="D1315" s="14">
        <f t="shared" si="72"/>
        <v>1</v>
      </c>
      <c r="E1315" s="12">
        <v>42396</v>
      </c>
      <c r="G1315" s="15"/>
      <c r="H1315" s="13"/>
      <c r="I1315" s="14">
        <f t="shared" si="71"/>
        <v>0</v>
      </c>
      <c r="J1315" s="5"/>
    </row>
    <row r="1316" spans="2:10" x14ac:dyDescent="0.15">
      <c r="B1316" s="15" t="s">
        <v>189</v>
      </c>
      <c r="C1316" s="13">
        <v>1</v>
      </c>
      <c r="D1316" s="14">
        <f t="shared" si="72"/>
        <v>1</v>
      </c>
      <c r="E1316" s="12">
        <v>42397</v>
      </c>
      <c r="G1316" s="15"/>
      <c r="H1316" s="7"/>
      <c r="I1316" s="14">
        <f t="shared" si="71"/>
        <v>0</v>
      </c>
      <c r="J1316" s="12"/>
    </row>
    <row r="1317" spans="2:10" x14ac:dyDescent="0.15">
      <c r="B1317" s="10" t="s">
        <v>18</v>
      </c>
      <c r="C1317" s="13">
        <v>5</v>
      </c>
      <c r="D1317" s="14">
        <f t="shared" si="72"/>
        <v>5</v>
      </c>
      <c r="E1317" s="12">
        <v>42403</v>
      </c>
      <c r="G1317" s="10"/>
      <c r="H1317" s="13"/>
      <c r="I1317" s="14">
        <f t="shared" si="71"/>
        <v>0</v>
      </c>
      <c r="J1317" s="12"/>
    </row>
    <row r="1318" spans="2:10" x14ac:dyDescent="0.15">
      <c r="B1318" s="10" t="s">
        <v>18</v>
      </c>
      <c r="C1318" s="13">
        <v>17</v>
      </c>
      <c r="D1318" s="14">
        <f t="shared" si="72"/>
        <v>17</v>
      </c>
      <c r="E1318" s="12">
        <v>42406</v>
      </c>
      <c r="G1318" s="15"/>
      <c r="H1318" s="13"/>
      <c r="I1318" s="14">
        <f t="shared" si="71"/>
        <v>0</v>
      </c>
      <c r="J1318" s="12"/>
    </row>
    <row r="1319" spans="2:10" x14ac:dyDescent="0.15">
      <c r="B1319" s="10" t="s">
        <v>18</v>
      </c>
      <c r="C1319" s="13">
        <v>21</v>
      </c>
      <c r="D1319" s="14">
        <f t="shared" si="72"/>
        <v>21</v>
      </c>
      <c r="E1319" s="12">
        <v>42410</v>
      </c>
      <c r="G1319" s="15"/>
      <c r="H1319" s="13"/>
      <c r="I1319" s="14">
        <f t="shared" si="71"/>
        <v>0</v>
      </c>
      <c r="J1319" s="5"/>
    </row>
    <row r="1320" spans="2:10" x14ac:dyDescent="0.15">
      <c r="B1320" s="10" t="s">
        <v>18</v>
      </c>
      <c r="C1320" s="13">
        <v>47</v>
      </c>
      <c r="D1320" s="14">
        <f t="shared" si="72"/>
        <v>47</v>
      </c>
      <c r="E1320" s="12">
        <v>42416</v>
      </c>
      <c r="G1320" s="15"/>
      <c r="H1320" s="7"/>
      <c r="I1320" s="14">
        <f t="shared" si="71"/>
        <v>0</v>
      </c>
      <c r="J1320" s="12"/>
    </row>
    <row r="1321" spans="2:10" x14ac:dyDescent="0.15">
      <c r="B1321" s="10" t="s">
        <v>189</v>
      </c>
      <c r="C1321" s="13">
        <v>1</v>
      </c>
      <c r="D1321" s="14">
        <f t="shared" si="72"/>
        <v>1</v>
      </c>
      <c r="E1321" s="12">
        <v>42416</v>
      </c>
      <c r="G1321" s="15"/>
      <c r="H1321" s="7"/>
      <c r="I1321" s="14">
        <f t="shared" si="71"/>
        <v>0</v>
      </c>
      <c r="J1321" s="12"/>
    </row>
    <row r="1322" spans="2:10" x14ac:dyDescent="0.15">
      <c r="B1322" s="10" t="s">
        <v>18</v>
      </c>
      <c r="C1322" s="13">
        <v>1</v>
      </c>
      <c r="D1322" s="14">
        <f t="shared" si="72"/>
        <v>1</v>
      </c>
      <c r="E1322" s="12">
        <v>42420</v>
      </c>
      <c r="G1322" s="15"/>
      <c r="H1322" s="7"/>
      <c r="I1322" s="14">
        <f t="shared" si="71"/>
        <v>0</v>
      </c>
      <c r="J1322" s="12"/>
    </row>
    <row r="1323" spans="2:10" x14ac:dyDescent="0.15">
      <c r="B1323" s="10" t="s">
        <v>18</v>
      </c>
      <c r="C1323" s="13">
        <v>22</v>
      </c>
      <c r="D1323" s="14">
        <f t="shared" si="72"/>
        <v>22</v>
      </c>
      <c r="E1323" s="12">
        <v>42429</v>
      </c>
      <c r="G1323" s="10"/>
      <c r="H1323" s="13"/>
      <c r="I1323" s="14">
        <f t="shared" si="71"/>
        <v>0</v>
      </c>
      <c r="J1323" s="12"/>
    </row>
    <row r="1324" spans="2:10" x14ac:dyDescent="0.15">
      <c r="B1324" s="15" t="s">
        <v>189</v>
      </c>
      <c r="C1324" s="13">
        <v>1</v>
      </c>
      <c r="D1324" s="14">
        <f t="shared" si="72"/>
        <v>1</v>
      </c>
      <c r="E1324" s="5">
        <v>42427</v>
      </c>
      <c r="G1324" s="15"/>
      <c r="H1324" s="13"/>
      <c r="I1324" s="14">
        <f>SUM(H1324:H1324)</f>
        <v>0</v>
      </c>
      <c r="J1324" s="5"/>
    </row>
    <row r="1325" spans="2:10" x14ac:dyDescent="0.15">
      <c r="B1325" s="15" t="s">
        <v>189</v>
      </c>
      <c r="C1325" s="13">
        <v>2</v>
      </c>
      <c r="D1325" s="14">
        <f t="shared" si="72"/>
        <v>2</v>
      </c>
      <c r="E1325" s="5">
        <v>42429</v>
      </c>
      <c r="G1325" s="15"/>
      <c r="H1325" s="13"/>
      <c r="I1325" s="14">
        <f>SUM(H1325:H1325)</f>
        <v>0</v>
      </c>
      <c r="J1325" s="5"/>
    </row>
    <row r="1326" spans="2:10" x14ac:dyDescent="0.15">
      <c r="B1326" s="10" t="s">
        <v>18</v>
      </c>
      <c r="C1326" s="13">
        <v>37</v>
      </c>
      <c r="D1326" s="14">
        <f t="shared" si="72"/>
        <v>37</v>
      </c>
      <c r="E1326" s="5">
        <v>42431</v>
      </c>
      <c r="G1326" s="15"/>
      <c r="H1326" s="7"/>
      <c r="I1326" s="14">
        <f>SUM(H1326:H1326)</f>
        <v>0</v>
      </c>
      <c r="J1326" s="12"/>
    </row>
    <row r="1327" spans="2:10" x14ac:dyDescent="0.15">
      <c r="B1327" s="10" t="s">
        <v>189</v>
      </c>
      <c r="C1327" s="13">
        <v>1</v>
      </c>
      <c r="D1327" s="14">
        <f t="shared" si="72"/>
        <v>1</v>
      </c>
      <c r="E1327" s="5">
        <v>42431</v>
      </c>
      <c r="G1327" s="15"/>
      <c r="H1327" s="7"/>
      <c r="I1327" s="14">
        <f t="shared" si="71"/>
        <v>0</v>
      </c>
      <c r="J1327" s="12"/>
    </row>
    <row r="1328" spans="2:10" ht="14.25" thickBot="1" x14ac:dyDescent="0.2">
      <c r="B1328" s="10" t="s">
        <v>189</v>
      </c>
      <c r="C1328" s="13">
        <v>1</v>
      </c>
      <c r="D1328" s="11">
        <f t="shared" si="72"/>
        <v>1</v>
      </c>
      <c r="E1328" s="12"/>
      <c r="G1328" s="15"/>
      <c r="H1328" s="7"/>
      <c r="I1328" s="14">
        <f t="shared" si="71"/>
        <v>0</v>
      </c>
      <c r="J1328" s="74"/>
    </row>
    <row r="1329" spans="2:11" ht="14.25" thickBot="1" x14ac:dyDescent="0.2">
      <c r="B1329" s="17" t="s">
        <v>2</v>
      </c>
      <c r="C1329" s="18">
        <f>SUM(C1305:C1328)</f>
        <v>277</v>
      </c>
      <c r="D1329" s="19">
        <f t="shared" si="72"/>
        <v>277</v>
      </c>
      <c r="E1329" s="20"/>
      <c r="G1329" s="17" t="s">
        <v>2</v>
      </c>
      <c r="H1329" s="18">
        <f>SUM(H1305:H1328)</f>
        <v>0</v>
      </c>
      <c r="I1329" s="19">
        <f t="shared" si="71"/>
        <v>0</v>
      </c>
      <c r="J1329" s="20"/>
    </row>
    <row r="1330" spans="2:11" ht="14.25" thickBot="1" x14ac:dyDescent="0.2">
      <c r="B1330" s="46" t="s">
        <v>3</v>
      </c>
      <c r="C1330" s="52">
        <f>C1304-C1329</f>
        <v>205</v>
      </c>
      <c r="D1330" s="48">
        <f>D1304-D1329</f>
        <v>205</v>
      </c>
      <c r="E1330" s="49"/>
      <c r="G1330" s="46" t="s">
        <v>3</v>
      </c>
      <c r="H1330" s="52">
        <f>H1304-H1329</f>
        <v>3744</v>
      </c>
      <c r="I1330" s="48">
        <f>I1304-I1329</f>
        <v>3744</v>
      </c>
      <c r="J1330" s="49"/>
    </row>
    <row r="1333" spans="2:11" ht="18.75" x14ac:dyDescent="0.2">
      <c r="B1333" s="26" t="s">
        <v>7</v>
      </c>
      <c r="G1333" s="26" t="s">
        <v>35</v>
      </c>
    </row>
    <row r="1334" spans="2:11" ht="14.25" thickBot="1" x14ac:dyDescent="0.2"/>
    <row r="1335" spans="2:11" ht="14.25" thickBot="1" x14ac:dyDescent="0.2">
      <c r="B1335" s="1"/>
      <c r="C1335" s="2"/>
      <c r="D1335" s="3" t="s">
        <v>0</v>
      </c>
      <c r="E1335" s="1" t="s">
        <v>4</v>
      </c>
      <c r="G1335" s="1"/>
      <c r="H1335" s="2"/>
      <c r="I1335" s="3" t="s">
        <v>0</v>
      </c>
      <c r="J1335" s="1" t="s">
        <v>4</v>
      </c>
    </row>
    <row r="1336" spans="2:11" x14ac:dyDescent="0.15">
      <c r="B1336" s="42" t="s">
        <v>5</v>
      </c>
      <c r="C1336" s="43">
        <f>C1330</f>
        <v>205</v>
      </c>
      <c r="D1336" s="44">
        <f>SUM(C1336:C1336)</f>
        <v>205</v>
      </c>
      <c r="E1336" s="45"/>
      <c r="G1336" s="42" t="s">
        <v>5</v>
      </c>
      <c r="H1336" s="43">
        <f>H1330</f>
        <v>3744</v>
      </c>
      <c r="I1336" s="44">
        <f>SUM(H1336:H1336)</f>
        <v>3744</v>
      </c>
      <c r="J1336" s="45"/>
      <c r="K1336" s="103" t="s">
        <v>353</v>
      </c>
    </row>
    <row r="1337" spans="2:11" x14ac:dyDescent="0.15">
      <c r="B1337" s="81" t="s">
        <v>16</v>
      </c>
      <c r="C1337" s="13">
        <v>508</v>
      </c>
      <c r="D1337" s="14">
        <f>SUM(C1337:C1337)</f>
        <v>508</v>
      </c>
      <c r="E1337" s="12">
        <v>42438</v>
      </c>
      <c r="G1337" s="71" t="s">
        <v>6</v>
      </c>
      <c r="H1337" s="13"/>
      <c r="I1337" s="14">
        <f>SUM(H1337:H1337)</f>
        <v>0</v>
      </c>
      <c r="J1337" s="5"/>
    </row>
    <row r="1338" spans="2:11" x14ac:dyDescent="0.15">
      <c r="B1338" s="6" t="s">
        <v>6</v>
      </c>
      <c r="C1338" s="7"/>
      <c r="D1338" s="8">
        <f>SUM(C1338:C1338)</f>
        <v>0</v>
      </c>
      <c r="E1338" s="9"/>
      <c r="G1338" s="71" t="s">
        <v>6</v>
      </c>
      <c r="H1338" s="67"/>
      <c r="I1338" s="14">
        <f>SUM(H1338:H1338)</f>
        <v>0</v>
      </c>
      <c r="J1338" s="5"/>
    </row>
    <row r="1339" spans="2:11" ht="14.25" thickBot="1" x14ac:dyDescent="0.2">
      <c r="B1339" s="6" t="s">
        <v>6</v>
      </c>
      <c r="C1339" s="7"/>
      <c r="D1339" s="14">
        <f>SUM(C1339:C1339)</f>
        <v>0</v>
      </c>
      <c r="E1339" s="16"/>
      <c r="G1339" s="71" t="s">
        <v>6</v>
      </c>
      <c r="H1339" s="88"/>
      <c r="I1339" s="11">
        <f>SUM(H1339:H1339)</f>
        <v>0</v>
      </c>
      <c r="J1339" s="85"/>
      <c r="K1339" s="86"/>
    </row>
    <row r="1340" spans="2:11" ht="14.25" thickBot="1" x14ac:dyDescent="0.2">
      <c r="B1340" s="46" t="s">
        <v>1</v>
      </c>
      <c r="C1340" s="48">
        <f>SUM(C1336:C1339)</f>
        <v>713</v>
      </c>
      <c r="D1340" s="48">
        <f>SUM(D1336:D1339)</f>
        <v>713</v>
      </c>
      <c r="E1340" s="49"/>
      <c r="G1340" s="46" t="s">
        <v>1</v>
      </c>
      <c r="H1340" s="47">
        <f>SUM(H1336:H1339)</f>
        <v>3744</v>
      </c>
      <c r="I1340" s="48">
        <f>SUM(I1336:I1339)</f>
        <v>3744</v>
      </c>
      <c r="J1340" s="49"/>
    </row>
    <row r="1341" spans="2:11" x14ac:dyDescent="0.15">
      <c r="B1341" s="10" t="s">
        <v>18</v>
      </c>
      <c r="C1341" s="77">
        <v>37</v>
      </c>
      <c r="D1341" s="11">
        <f>SUM(C1341:C1341)</f>
        <v>37</v>
      </c>
      <c r="E1341" s="12">
        <v>42436</v>
      </c>
      <c r="G1341" s="81"/>
      <c r="H1341" s="13"/>
      <c r="I1341" s="11">
        <f>SUM(H1341:H1341)</f>
        <v>0</v>
      </c>
      <c r="J1341" s="12"/>
    </row>
    <row r="1342" spans="2:11" x14ac:dyDescent="0.15">
      <c r="B1342" s="10" t="s">
        <v>18</v>
      </c>
      <c r="C1342" s="13">
        <v>11</v>
      </c>
      <c r="D1342" s="14">
        <f>SUM(C1342:C1342)</f>
        <v>11</v>
      </c>
      <c r="E1342" s="12">
        <v>42439</v>
      </c>
      <c r="G1342" s="81"/>
      <c r="H1342" s="13"/>
      <c r="I1342" s="14">
        <f>SUM(H1342:H1342)</f>
        <v>0</v>
      </c>
      <c r="J1342" s="12"/>
    </row>
    <row r="1343" spans="2:11" x14ac:dyDescent="0.15">
      <c r="B1343" s="10" t="s">
        <v>18</v>
      </c>
      <c r="C1343" s="13">
        <v>5</v>
      </c>
      <c r="D1343" s="14">
        <f>SUM(C1343:C1343)</f>
        <v>5</v>
      </c>
      <c r="E1343" s="12">
        <v>42445</v>
      </c>
      <c r="G1343" s="15"/>
      <c r="H1343" s="13"/>
      <c r="I1343" s="14">
        <f t="shared" ref="I1343:I1358" si="73">SUM(H1343:H1343)</f>
        <v>0</v>
      </c>
      <c r="J1343" s="12"/>
    </row>
    <row r="1344" spans="2:11" x14ac:dyDescent="0.15">
      <c r="B1344" s="10" t="s">
        <v>189</v>
      </c>
      <c r="C1344" s="13">
        <v>1</v>
      </c>
      <c r="D1344" s="14">
        <f t="shared" ref="D1344:D1365" si="74">SUM(C1344:C1344)</f>
        <v>1</v>
      </c>
      <c r="E1344" s="12">
        <v>42444</v>
      </c>
      <c r="G1344" s="15"/>
      <c r="H1344" s="13"/>
      <c r="I1344" s="14">
        <f t="shared" si="73"/>
        <v>0</v>
      </c>
      <c r="J1344" s="12"/>
    </row>
    <row r="1345" spans="2:10" x14ac:dyDescent="0.15">
      <c r="B1345" s="10" t="s">
        <v>189</v>
      </c>
      <c r="C1345" s="13">
        <v>1</v>
      </c>
      <c r="D1345" s="14">
        <f t="shared" si="74"/>
        <v>1</v>
      </c>
      <c r="E1345" s="12">
        <v>42443</v>
      </c>
      <c r="G1345" s="15"/>
      <c r="H1345" s="13"/>
      <c r="I1345" s="14">
        <f t="shared" si="73"/>
        <v>0</v>
      </c>
      <c r="J1345" s="12"/>
    </row>
    <row r="1346" spans="2:10" x14ac:dyDescent="0.15">
      <c r="B1346" s="10" t="s">
        <v>18</v>
      </c>
      <c r="C1346" s="13">
        <v>43</v>
      </c>
      <c r="D1346" s="14">
        <f t="shared" si="74"/>
        <v>43</v>
      </c>
      <c r="E1346" s="12">
        <v>42447</v>
      </c>
      <c r="G1346" s="15"/>
      <c r="H1346" s="13"/>
      <c r="I1346" s="14">
        <f t="shared" si="73"/>
        <v>0</v>
      </c>
      <c r="J1346" s="12"/>
    </row>
    <row r="1347" spans="2:10" x14ac:dyDescent="0.15">
      <c r="B1347" s="10" t="s">
        <v>189</v>
      </c>
      <c r="C1347" s="13">
        <v>2</v>
      </c>
      <c r="D1347" s="14">
        <f t="shared" si="74"/>
        <v>2</v>
      </c>
      <c r="E1347" s="12">
        <v>42448</v>
      </c>
      <c r="G1347" s="15"/>
      <c r="H1347" s="13"/>
      <c r="I1347" s="14">
        <f t="shared" si="73"/>
        <v>0</v>
      </c>
      <c r="J1347" s="12"/>
    </row>
    <row r="1348" spans="2:10" x14ac:dyDescent="0.15">
      <c r="B1348" s="10" t="s">
        <v>189</v>
      </c>
      <c r="C1348" s="13">
        <v>3</v>
      </c>
      <c r="D1348" s="14">
        <f t="shared" si="74"/>
        <v>3</v>
      </c>
      <c r="E1348" s="12">
        <v>42451</v>
      </c>
      <c r="G1348" s="15"/>
      <c r="H1348" s="13"/>
      <c r="I1348" s="14">
        <f t="shared" si="73"/>
        <v>0</v>
      </c>
      <c r="J1348" s="12"/>
    </row>
    <row r="1349" spans="2:10" x14ac:dyDescent="0.15">
      <c r="B1349" s="10" t="s">
        <v>18</v>
      </c>
      <c r="C1349" s="13">
        <v>19</v>
      </c>
      <c r="D1349" s="14">
        <f t="shared" si="74"/>
        <v>19</v>
      </c>
      <c r="E1349" s="12">
        <v>42454</v>
      </c>
      <c r="G1349" s="15"/>
      <c r="H1349" s="13"/>
      <c r="I1349" s="14">
        <f t="shared" si="73"/>
        <v>0</v>
      </c>
      <c r="J1349" s="12"/>
    </row>
    <row r="1350" spans="2:10" x14ac:dyDescent="0.15">
      <c r="B1350" s="10" t="s">
        <v>189</v>
      </c>
      <c r="C1350" s="13">
        <v>1</v>
      </c>
      <c r="D1350" s="14">
        <f t="shared" si="74"/>
        <v>1</v>
      </c>
      <c r="E1350" s="12">
        <v>42455</v>
      </c>
      <c r="G1350" s="78"/>
      <c r="H1350" s="13"/>
      <c r="I1350" s="14">
        <f t="shared" si="73"/>
        <v>0</v>
      </c>
      <c r="J1350" s="12"/>
    </row>
    <row r="1351" spans="2:10" x14ac:dyDescent="0.15">
      <c r="B1351" s="10" t="s">
        <v>18</v>
      </c>
      <c r="C1351" s="13">
        <v>6</v>
      </c>
      <c r="D1351" s="14">
        <f t="shared" si="74"/>
        <v>6</v>
      </c>
      <c r="E1351" s="12">
        <v>42458</v>
      </c>
      <c r="G1351" s="15"/>
      <c r="H1351" s="13"/>
      <c r="I1351" s="14">
        <f t="shared" si="73"/>
        <v>0</v>
      </c>
      <c r="J1351" s="5"/>
    </row>
    <row r="1352" spans="2:10" x14ac:dyDescent="0.15">
      <c r="B1352" s="15" t="s">
        <v>189</v>
      </c>
      <c r="C1352" s="13">
        <v>1</v>
      </c>
      <c r="D1352" s="14">
        <f t="shared" si="74"/>
        <v>1</v>
      </c>
      <c r="E1352" s="12">
        <v>42457</v>
      </c>
      <c r="G1352" s="15"/>
      <c r="H1352" s="7"/>
      <c r="I1352" s="14">
        <f t="shared" si="73"/>
        <v>0</v>
      </c>
      <c r="J1352" s="12"/>
    </row>
    <row r="1353" spans="2:10" x14ac:dyDescent="0.15">
      <c r="B1353" s="15" t="s">
        <v>189</v>
      </c>
      <c r="C1353" s="13">
        <v>10</v>
      </c>
      <c r="D1353" s="14">
        <f t="shared" si="74"/>
        <v>10</v>
      </c>
      <c r="E1353" s="12">
        <v>42458</v>
      </c>
      <c r="G1353" s="10"/>
      <c r="H1353" s="13"/>
      <c r="I1353" s="14">
        <f t="shared" si="73"/>
        <v>0</v>
      </c>
      <c r="J1353" s="12"/>
    </row>
    <row r="1354" spans="2:10" x14ac:dyDescent="0.15">
      <c r="B1354" s="10" t="s">
        <v>18</v>
      </c>
      <c r="C1354" s="13">
        <v>13</v>
      </c>
      <c r="D1354" s="14">
        <f t="shared" si="74"/>
        <v>13</v>
      </c>
      <c r="E1354" s="12">
        <v>42461</v>
      </c>
      <c r="G1354" s="15"/>
      <c r="H1354" s="13"/>
      <c r="I1354" s="14">
        <f t="shared" si="73"/>
        <v>0</v>
      </c>
      <c r="J1354" s="12"/>
    </row>
    <row r="1355" spans="2:10" x14ac:dyDescent="0.15">
      <c r="B1355" s="10" t="s">
        <v>189</v>
      </c>
      <c r="C1355" s="13">
        <v>1</v>
      </c>
      <c r="D1355" s="14">
        <f t="shared" si="74"/>
        <v>1</v>
      </c>
      <c r="E1355" s="12">
        <v>42460</v>
      </c>
      <c r="G1355" s="15"/>
      <c r="H1355" s="13"/>
      <c r="I1355" s="14">
        <f t="shared" si="73"/>
        <v>0</v>
      </c>
      <c r="J1355" s="5"/>
    </row>
    <row r="1356" spans="2:10" x14ac:dyDescent="0.15">
      <c r="B1356" s="10" t="s">
        <v>18</v>
      </c>
      <c r="C1356" s="13">
        <v>12</v>
      </c>
      <c r="D1356" s="14">
        <f t="shared" si="74"/>
        <v>12</v>
      </c>
      <c r="E1356" s="12">
        <v>42465</v>
      </c>
      <c r="G1356" s="15"/>
      <c r="H1356" s="7"/>
      <c r="I1356" s="14">
        <f t="shared" si="73"/>
        <v>0</v>
      </c>
      <c r="J1356" s="12"/>
    </row>
    <row r="1357" spans="2:10" x14ac:dyDescent="0.15">
      <c r="B1357" s="10" t="s">
        <v>83</v>
      </c>
      <c r="C1357" s="13">
        <v>10</v>
      </c>
      <c r="D1357" s="14">
        <f t="shared" si="74"/>
        <v>10</v>
      </c>
      <c r="E1357" s="12">
        <v>42468</v>
      </c>
      <c r="G1357" s="15"/>
      <c r="H1357" s="13"/>
      <c r="I1357" s="14">
        <f t="shared" si="73"/>
        <v>0</v>
      </c>
      <c r="J1357" s="5"/>
    </row>
    <row r="1358" spans="2:10" x14ac:dyDescent="0.15">
      <c r="B1358" s="10" t="s">
        <v>189</v>
      </c>
      <c r="C1358" s="13">
        <v>1</v>
      </c>
      <c r="D1358" s="14">
        <f t="shared" si="74"/>
        <v>1</v>
      </c>
      <c r="E1358" s="12">
        <v>42466</v>
      </c>
      <c r="G1358" s="15"/>
      <c r="H1358" s="13"/>
      <c r="I1358" s="14">
        <f t="shared" si="73"/>
        <v>0</v>
      </c>
      <c r="J1358" s="12"/>
    </row>
    <row r="1359" spans="2:10" x14ac:dyDescent="0.15">
      <c r="B1359" s="10" t="s">
        <v>18</v>
      </c>
      <c r="C1359" s="13">
        <v>3</v>
      </c>
      <c r="D1359" s="14">
        <f t="shared" si="74"/>
        <v>3</v>
      </c>
      <c r="E1359" s="12">
        <v>42468</v>
      </c>
      <c r="G1359" s="15"/>
      <c r="H1359" s="13"/>
      <c r="I1359" s="14">
        <f>SUM(H1359:H1359)</f>
        <v>0</v>
      </c>
      <c r="J1359" s="12"/>
    </row>
    <row r="1360" spans="2:10" x14ac:dyDescent="0.15">
      <c r="B1360" s="15" t="s">
        <v>189</v>
      </c>
      <c r="C1360" s="13">
        <v>1</v>
      </c>
      <c r="D1360" s="14">
        <f t="shared" si="74"/>
        <v>1</v>
      </c>
      <c r="E1360" s="5">
        <v>42471</v>
      </c>
      <c r="G1360" s="15"/>
      <c r="H1360" s="13"/>
      <c r="I1360" s="14">
        <f t="shared" ref="I1360:I1365" si="75">SUM(H1360:H1360)</f>
        <v>0</v>
      </c>
      <c r="J1360" s="5"/>
    </row>
    <row r="1361" spans="2:11" x14ac:dyDescent="0.15">
      <c r="B1361" s="10" t="s">
        <v>18</v>
      </c>
      <c r="C1361" s="13">
        <v>20</v>
      </c>
      <c r="D1361" s="14">
        <f t="shared" si="74"/>
        <v>20</v>
      </c>
      <c r="E1361" s="5">
        <v>42473</v>
      </c>
      <c r="G1361" s="15"/>
      <c r="H1361" s="13"/>
      <c r="I1361" s="14">
        <f t="shared" si="75"/>
        <v>0</v>
      </c>
      <c r="J1361" s="5"/>
    </row>
    <row r="1362" spans="2:11" x14ac:dyDescent="0.15">
      <c r="B1362" s="10" t="s">
        <v>18</v>
      </c>
      <c r="C1362" s="13">
        <v>15</v>
      </c>
      <c r="D1362" s="14">
        <f t="shared" si="74"/>
        <v>15</v>
      </c>
      <c r="E1362" s="5">
        <v>42475</v>
      </c>
      <c r="G1362" s="15"/>
      <c r="H1362" s="13"/>
      <c r="I1362" s="14">
        <f>SUM(H1362:H1362)</f>
        <v>0</v>
      </c>
      <c r="J1362" s="12"/>
    </row>
    <row r="1363" spans="2:11" x14ac:dyDescent="0.15">
      <c r="B1363" s="10" t="s">
        <v>189</v>
      </c>
      <c r="C1363" s="13">
        <v>2</v>
      </c>
      <c r="D1363" s="14">
        <f t="shared" si="74"/>
        <v>2</v>
      </c>
      <c r="E1363" s="5">
        <v>42476</v>
      </c>
      <c r="G1363" s="10"/>
      <c r="H1363" s="13"/>
      <c r="I1363" s="14">
        <f>SUM(H1363:H1363)</f>
        <v>0</v>
      </c>
      <c r="J1363" s="12"/>
    </row>
    <row r="1364" spans="2:11" ht="14.25" thickBot="1" x14ac:dyDescent="0.2">
      <c r="B1364" s="10" t="s">
        <v>18</v>
      </c>
      <c r="C1364" s="13">
        <v>23</v>
      </c>
      <c r="D1364" s="11">
        <f t="shared" si="74"/>
        <v>23</v>
      </c>
      <c r="E1364" s="12">
        <v>42479</v>
      </c>
      <c r="G1364" s="15"/>
      <c r="H1364" s="7"/>
      <c r="I1364" s="14">
        <f>SUM(H1364:H1364)</f>
        <v>0</v>
      </c>
      <c r="J1364" s="12"/>
    </row>
    <row r="1365" spans="2:11" ht="14.25" thickBot="1" x14ac:dyDescent="0.2">
      <c r="B1365" s="17" t="s">
        <v>2</v>
      </c>
      <c r="C1365" s="18">
        <f>SUM(C1341:C1364)</f>
        <v>241</v>
      </c>
      <c r="D1365" s="19">
        <f t="shared" si="74"/>
        <v>241</v>
      </c>
      <c r="E1365" s="20"/>
      <c r="G1365" s="17" t="s">
        <v>2</v>
      </c>
      <c r="H1365" s="18">
        <f>SUM(H1341:H1364)</f>
        <v>0</v>
      </c>
      <c r="I1365" s="19">
        <f t="shared" si="75"/>
        <v>0</v>
      </c>
      <c r="J1365" s="20"/>
    </row>
    <row r="1366" spans="2:11" ht="14.25" thickBot="1" x14ac:dyDescent="0.2">
      <c r="B1366" s="46" t="s">
        <v>3</v>
      </c>
      <c r="C1366" s="52">
        <f>C1340-C1365</f>
        <v>472</v>
      </c>
      <c r="D1366" s="48">
        <f>D1340-D1365</f>
        <v>472</v>
      </c>
      <c r="E1366" s="49"/>
      <c r="G1366" s="46" t="s">
        <v>3</v>
      </c>
      <c r="H1366" s="52">
        <f>H1340-H1365</f>
        <v>3744</v>
      </c>
      <c r="I1366" s="48">
        <f>I1340-I1365</f>
        <v>3744</v>
      </c>
      <c r="J1366" s="49"/>
    </row>
    <row r="1369" spans="2:11" ht="18.75" x14ac:dyDescent="0.2">
      <c r="B1369" s="26" t="s">
        <v>7</v>
      </c>
      <c r="G1369" s="26" t="s">
        <v>35</v>
      </c>
    </row>
    <row r="1370" spans="2:11" ht="14.25" thickBot="1" x14ac:dyDescent="0.2"/>
    <row r="1371" spans="2:11" ht="14.25" thickBot="1" x14ac:dyDescent="0.2">
      <c r="B1371" s="1"/>
      <c r="C1371" s="2"/>
      <c r="D1371" s="3" t="s">
        <v>0</v>
      </c>
      <c r="E1371" s="1" t="s">
        <v>4</v>
      </c>
      <c r="G1371" s="1"/>
      <c r="H1371" s="2"/>
      <c r="I1371" s="3" t="s">
        <v>0</v>
      </c>
      <c r="J1371" s="1" t="s">
        <v>4</v>
      </c>
    </row>
    <row r="1372" spans="2:11" x14ac:dyDescent="0.15">
      <c r="B1372" s="42" t="s">
        <v>5</v>
      </c>
      <c r="C1372" s="43">
        <f>C1366</f>
        <v>472</v>
      </c>
      <c r="D1372" s="44">
        <f>SUM(C1372:C1372)</f>
        <v>472</v>
      </c>
      <c r="E1372" s="45"/>
      <c r="G1372" s="42" t="s">
        <v>5</v>
      </c>
      <c r="H1372" s="43">
        <f>H1366</f>
        <v>3744</v>
      </c>
      <c r="I1372" s="44">
        <f>SUM(H1372:H1372)</f>
        <v>3744</v>
      </c>
      <c r="J1372" s="45"/>
      <c r="K1372" s="103" t="s">
        <v>353</v>
      </c>
    </row>
    <row r="1373" spans="2:11" x14ac:dyDescent="0.15">
      <c r="B1373" s="6" t="s">
        <v>6</v>
      </c>
      <c r="C1373" s="13"/>
      <c r="D1373" s="14">
        <f>SUM(C1373:C1373)</f>
        <v>0</v>
      </c>
      <c r="E1373" s="12"/>
      <c r="G1373" s="71" t="s">
        <v>6</v>
      </c>
      <c r="H1373" s="13"/>
      <c r="I1373" s="14">
        <f>SUM(H1373:H1373)</f>
        <v>0</v>
      </c>
      <c r="J1373" s="5"/>
    </row>
    <row r="1374" spans="2:11" x14ac:dyDescent="0.15">
      <c r="B1374" s="6" t="s">
        <v>6</v>
      </c>
      <c r="C1374" s="7"/>
      <c r="D1374" s="8">
        <f>SUM(C1374:C1374)</f>
        <v>0</v>
      </c>
      <c r="E1374" s="9"/>
      <c r="G1374" s="71" t="s">
        <v>6</v>
      </c>
      <c r="H1374" s="67">
        <v>3360</v>
      </c>
      <c r="I1374" s="14">
        <f>SUM(H1374:H1374)</f>
        <v>3360</v>
      </c>
      <c r="J1374" s="5">
        <v>42491</v>
      </c>
      <c r="K1374" t="s">
        <v>390</v>
      </c>
    </row>
    <row r="1375" spans="2:11" ht="14.25" thickBot="1" x14ac:dyDescent="0.2">
      <c r="B1375" s="6" t="s">
        <v>6</v>
      </c>
      <c r="C1375" s="7"/>
      <c r="D1375" s="14">
        <f>SUM(C1375:C1375)</f>
        <v>0</v>
      </c>
      <c r="E1375" s="16"/>
      <c r="G1375" s="71" t="s">
        <v>6</v>
      </c>
      <c r="H1375" s="88"/>
      <c r="I1375" s="11">
        <f>SUM(H1375:H1375)</f>
        <v>0</v>
      </c>
      <c r="J1375" s="85"/>
      <c r="K1375" s="86"/>
    </row>
    <row r="1376" spans="2:11" ht="14.25" thickBot="1" x14ac:dyDescent="0.2">
      <c r="B1376" s="46" t="s">
        <v>1</v>
      </c>
      <c r="C1376" s="48">
        <f>SUM(C1372:C1375)</f>
        <v>472</v>
      </c>
      <c r="D1376" s="48">
        <f>SUM(D1372:D1375)</f>
        <v>472</v>
      </c>
      <c r="E1376" s="49"/>
      <c r="G1376" s="46" t="s">
        <v>1</v>
      </c>
      <c r="H1376" s="47">
        <f>SUM(H1372:H1375)</f>
        <v>7104</v>
      </c>
      <c r="I1376" s="48">
        <f>SUM(I1372:I1375)</f>
        <v>7104</v>
      </c>
      <c r="J1376" s="49"/>
    </row>
    <row r="1377" spans="2:10" x14ac:dyDescent="0.15">
      <c r="B1377" s="10" t="s">
        <v>189</v>
      </c>
      <c r="C1377" s="77">
        <v>1</v>
      </c>
      <c r="D1377" s="11">
        <f>SUM(C1377:C1377)</f>
        <v>1</v>
      </c>
      <c r="E1377" s="12">
        <v>42478</v>
      </c>
      <c r="G1377" s="81" t="s">
        <v>16</v>
      </c>
      <c r="H1377" s="13">
        <v>336</v>
      </c>
      <c r="I1377" s="11">
        <f>SUM(H1377:H1377)</f>
        <v>336</v>
      </c>
      <c r="J1377" s="12">
        <v>42397</v>
      </c>
    </row>
    <row r="1378" spans="2:10" x14ac:dyDescent="0.15">
      <c r="B1378" s="10" t="s">
        <v>189</v>
      </c>
      <c r="C1378" s="13">
        <v>10</v>
      </c>
      <c r="D1378" s="14">
        <f>SUM(C1378:C1378)</f>
        <v>10</v>
      </c>
      <c r="E1378" s="12">
        <v>42479</v>
      </c>
      <c r="G1378" s="81" t="s">
        <v>16</v>
      </c>
      <c r="H1378" s="13">
        <v>508</v>
      </c>
      <c r="I1378" s="14">
        <f>SUM(H1378:H1378)</f>
        <v>508</v>
      </c>
      <c r="J1378" s="12">
        <v>42438</v>
      </c>
    </row>
    <row r="1379" spans="2:10" x14ac:dyDescent="0.15">
      <c r="B1379" s="10" t="s">
        <v>18</v>
      </c>
      <c r="C1379" s="13">
        <v>36</v>
      </c>
      <c r="D1379" s="14">
        <f>SUM(C1379:C1379)</f>
        <v>36</v>
      </c>
      <c r="E1379" s="12">
        <v>42483</v>
      </c>
      <c r="G1379" s="15" t="s">
        <v>255</v>
      </c>
      <c r="H1379" s="13">
        <v>200</v>
      </c>
      <c r="I1379" s="14">
        <f t="shared" ref="I1379:I1401" si="76">SUM(H1379:H1379)</f>
        <v>200</v>
      </c>
      <c r="J1379" s="12">
        <v>42454</v>
      </c>
    </row>
    <row r="1380" spans="2:10" x14ac:dyDescent="0.15">
      <c r="B1380" s="10" t="s">
        <v>18</v>
      </c>
      <c r="C1380" s="13">
        <v>18</v>
      </c>
      <c r="D1380" s="14">
        <f t="shared" ref="D1380:D1401" si="77">SUM(C1380:C1380)</f>
        <v>18</v>
      </c>
      <c r="E1380" s="12">
        <v>42486</v>
      </c>
      <c r="G1380" s="15" t="s">
        <v>400</v>
      </c>
      <c r="H1380" s="13">
        <v>300</v>
      </c>
      <c r="I1380" s="14">
        <f t="shared" si="76"/>
        <v>300</v>
      </c>
      <c r="J1380" s="12">
        <v>42467</v>
      </c>
    </row>
    <row r="1381" spans="2:10" x14ac:dyDescent="0.15">
      <c r="B1381" s="10" t="s">
        <v>18</v>
      </c>
      <c r="C1381" s="13">
        <v>58</v>
      </c>
      <c r="D1381" s="14">
        <f t="shared" si="77"/>
        <v>58</v>
      </c>
      <c r="E1381" s="12">
        <v>42489</v>
      </c>
      <c r="G1381" s="15" t="s">
        <v>402</v>
      </c>
      <c r="H1381" s="13">
        <v>100</v>
      </c>
      <c r="I1381" s="14">
        <f t="shared" si="76"/>
        <v>100</v>
      </c>
      <c r="J1381" s="12">
        <v>42468</v>
      </c>
    </row>
    <row r="1382" spans="2:10" x14ac:dyDescent="0.15">
      <c r="B1382" s="10" t="s">
        <v>18</v>
      </c>
      <c r="C1382" s="13">
        <v>41</v>
      </c>
      <c r="D1382" s="14">
        <f t="shared" si="77"/>
        <v>41</v>
      </c>
      <c r="E1382" s="12">
        <v>42497</v>
      </c>
      <c r="G1382" s="15" t="s">
        <v>403</v>
      </c>
      <c r="H1382" s="13">
        <v>400</v>
      </c>
      <c r="I1382" s="14">
        <f t="shared" si="76"/>
        <v>400</v>
      </c>
      <c r="J1382" s="12">
        <v>42472</v>
      </c>
    </row>
    <row r="1383" spans="2:10" x14ac:dyDescent="0.15">
      <c r="B1383" s="10" t="s">
        <v>18</v>
      </c>
      <c r="C1383" s="13">
        <v>18</v>
      </c>
      <c r="D1383" s="14">
        <f t="shared" si="77"/>
        <v>18</v>
      </c>
      <c r="E1383" s="12">
        <v>42501</v>
      </c>
      <c r="G1383" s="15" t="s">
        <v>417</v>
      </c>
      <c r="H1383" s="13">
        <v>100</v>
      </c>
      <c r="I1383" s="14">
        <f t="shared" si="76"/>
        <v>100</v>
      </c>
      <c r="J1383" s="12">
        <v>42492</v>
      </c>
    </row>
    <row r="1384" spans="2:10" x14ac:dyDescent="0.15">
      <c r="B1384" s="10" t="s">
        <v>18</v>
      </c>
      <c r="C1384" s="13">
        <v>7</v>
      </c>
      <c r="D1384" s="14">
        <f t="shared" si="77"/>
        <v>7</v>
      </c>
      <c r="E1384" s="12">
        <v>42503</v>
      </c>
      <c r="G1384" s="15" t="s">
        <v>418</v>
      </c>
      <c r="H1384" s="13">
        <v>200</v>
      </c>
      <c r="I1384" s="14">
        <f t="shared" si="76"/>
        <v>200</v>
      </c>
      <c r="J1384" s="12">
        <v>42487</v>
      </c>
    </row>
    <row r="1385" spans="2:10" x14ac:dyDescent="0.15">
      <c r="B1385" s="15" t="s">
        <v>432</v>
      </c>
      <c r="C1385" s="13">
        <v>80</v>
      </c>
      <c r="D1385" s="14">
        <f t="shared" si="77"/>
        <v>80</v>
      </c>
      <c r="E1385" s="12">
        <v>42503</v>
      </c>
      <c r="G1385" s="15" t="s">
        <v>421</v>
      </c>
      <c r="H1385" s="13">
        <v>200</v>
      </c>
      <c r="I1385" s="14">
        <f t="shared" si="76"/>
        <v>200</v>
      </c>
      <c r="J1385" s="12">
        <v>42489</v>
      </c>
    </row>
    <row r="1386" spans="2:10" x14ac:dyDescent="0.15">
      <c r="B1386" s="10" t="s">
        <v>189</v>
      </c>
      <c r="C1386" s="13">
        <v>3</v>
      </c>
      <c r="D1386" s="14">
        <f t="shared" si="77"/>
        <v>3</v>
      </c>
      <c r="E1386" s="12">
        <v>42504</v>
      </c>
      <c r="G1386" s="15" t="s">
        <v>424</v>
      </c>
      <c r="H1386" s="13">
        <v>100</v>
      </c>
      <c r="I1386" s="14">
        <f t="shared" si="76"/>
        <v>100</v>
      </c>
      <c r="J1386" s="12">
        <v>42493</v>
      </c>
    </row>
    <row r="1387" spans="2:10" x14ac:dyDescent="0.15">
      <c r="B1387" s="105" t="s">
        <v>18</v>
      </c>
      <c r="C1387" s="94">
        <v>17</v>
      </c>
      <c r="D1387" s="96">
        <f t="shared" si="77"/>
        <v>17</v>
      </c>
      <c r="E1387" s="98">
        <v>42507</v>
      </c>
      <c r="G1387" s="10" t="s">
        <v>427</v>
      </c>
      <c r="H1387" s="13">
        <v>100</v>
      </c>
      <c r="I1387" s="14">
        <f t="shared" si="76"/>
        <v>100</v>
      </c>
      <c r="J1387" s="5">
        <v>42500</v>
      </c>
    </row>
    <row r="1388" spans="2:10" x14ac:dyDescent="0.15">
      <c r="B1388" s="15"/>
      <c r="C1388" s="13"/>
      <c r="D1388" s="14">
        <f t="shared" si="77"/>
        <v>0</v>
      </c>
      <c r="E1388" s="12"/>
      <c r="G1388" s="15" t="s">
        <v>431</v>
      </c>
      <c r="H1388" s="7">
        <v>250</v>
      </c>
      <c r="I1388" s="14">
        <f t="shared" si="76"/>
        <v>250</v>
      </c>
      <c r="J1388" s="12">
        <v>42502</v>
      </c>
    </row>
    <row r="1389" spans="2:10" x14ac:dyDescent="0.15">
      <c r="B1389" s="15"/>
      <c r="C1389" s="13"/>
      <c r="D1389" s="14">
        <f t="shared" si="77"/>
        <v>0</v>
      </c>
      <c r="E1389" s="12"/>
      <c r="G1389" s="10"/>
      <c r="H1389" s="13"/>
      <c r="I1389" s="14">
        <f t="shared" si="76"/>
        <v>0</v>
      </c>
      <c r="J1389" s="12"/>
    </row>
    <row r="1390" spans="2:10" x14ac:dyDescent="0.15">
      <c r="B1390" s="10"/>
      <c r="C1390" s="13"/>
      <c r="D1390" s="14">
        <f t="shared" si="77"/>
        <v>0</v>
      </c>
      <c r="E1390" s="12"/>
      <c r="G1390" s="15"/>
      <c r="H1390" s="13"/>
      <c r="I1390" s="14">
        <f t="shared" si="76"/>
        <v>0</v>
      </c>
      <c r="J1390" s="12"/>
    </row>
    <row r="1391" spans="2:10" x14ac:dyDescent="0.15">
      <c r="B1391" s="10"/>
      <c r="C1391" s="13"/>
      <c r="D1391" s="14">
        <f t="shared" si="77"/>
        <v>0</v>
      </c>
      <c r="E1391" s="12"/>
      <c r="G1391" s="15"/>
      <c r="H1391" s="13"/>
      <c r="I1391" s="14">
        <f t="shared" si="76"/>
        <v>0</v>
      </c>
      <c r="J1391" s="5"/>
    </row>
    <row r="1392" spans="2:10" x14ac:dyDescent="0.15">
      <c r="B1392" s="10"/>
      <c r="C1392" s="13"/>
      <c r="D1392" s="14">
        <f t="shared" si="77"/>
        <v>0</v>
      </c>
      <c r="E1392" s="12"/>
      <c r="G1392" s="15"/>
      <c r="H1392" s="7"/>
      <c r="I1392" s="14">
        <f t="shared" si="76"/>
        <v>0</v>
      </c>
      <c r="J1392" s="12"/>
    </row>
    <row r="1393" spans="2:11" x14ac:dyDescent="0.15">
      <c r="B1393" s="10"/>
      <c r="C1393" s="13"/>
      <c r="D1393" s="14">
        <f t="shared" si="77"/>
        <v>0</v>
      </c>
      <c r="E1393" s="12"/>
      <c r="G1393" s="15"/>
      <c r="H1393" s="13"/>
      <c r="I1393" s="14">
        <f t="shared" si="76"/>
        <v>0</v>
      </c>
      <c r="J1393" s="5"/>
    </row>
    <row r="1394" spans="2:11" x14ac:dyDescent="0.15">
      <c r="B1394" s="10"/>
      <c r="C1394" s="13"/>
      <c r="D1394" s="14">
        <f t="shared" si="77"/>
        <v>0</v>
      </c>
      <c r="E1394" s="12"/>
      <c r="G1394" s="15"/>
      <c r="H1394" s="13"/>
      <c r="I1394" s="14">
        <f t="shared" si="76"/>
        <v>0</v>
      </c>
      <c r="J1394" s="12"/>
    </row>
    <row r="1395" spans="2:11" x14ac:dyDescent="0.15">
      <c r="B1395" s="10"/>
      <c r="C1395" s="13"/>
      <c r="D1395" s="14">
        <f t="shared" si="77"/>
        <v>0</v>
      </c>
      <c r="E1395" s="12"/>
      <c r="G1395" s="15"/>
      <c r="H1395" s="13"/>
      <c r="I1395" s="14">
        <f t="shared" si="76"/>
        <v>0</v>
      </c>
      <c r="J1395" s="12"/>
    </row>
    <row r="1396" spans="2:11" x14ac:dyDescent="0.15">
      <c r="B1396" s="15"/>
      <c r="C1396" s="13"/>
      <c r="D1396" s="14">
        <f t="shared" si="77"/>
        <v>0</v>
      </c>
      <c r="E1396" s="5"/>
      <c r="G1396" s="15"/>
      <c r="H1396" s="13"/>
      <c r="I1396" s="14">
        <f t="shared" si="76"/>
        <v>0</v>
      </c>
      <c r="J1396" s="5"/>
    </row>
    <row r="1397" spans="2:11" x14ac:dyDescent="0.15">
      <c r="B1397" s="15"/>
      <c r="C1397" s="13"/>
      <c r="D1397" s="14">
        <f t="shared" si="77"/>
        <v>0</v>
      </c>
      <c r="E1397" s="5"/>
      <c r="G1397" s="97" t="s">
        <v>413</v>
      </c>
      <c r="H1397" s="94">
        <v>60</v>
      </c>
      <c r="I1397" s="96">
        <f>SUM(H1397:H1397)</f>
        <v>60</v>
      </c>
      <c r="J1397" s="98">
        <v>42503</v>
      </c>
    </row>
    <row r="1398" spans="2:11" x14ac:dyDescent="0.15">
      <c r="B1398" s="10"/>
      <c r="C1398" s="13"/>
      <c r="D1398" s="14">
        <f t="shared" si="77"/>
        <v>0</v>
      </c>
      <c r="E1398" s="5"/>
      <c r="G1398" s="97" t="s">
        <v>416</v>
      </c>
      <c r="H1398" s="94">
        <v>60</v>
      </c>
      <c r="I1398" s="96">
        <f>SUM(H1398:H1398)</f>
        <v>60</v>
      </c>
      <c r="J1398" s="104">
        <v>42506</v>
      </c>
    </row>
    <row r="1399" spans="2:11" x14ac:dyDescent="0.15">
      <c r="B1399" s="10"/>
      <c r="C1399" s="13"/>
      <c r="D1399" s="14">
        <f t="shared" si="77"/>
        <v>0</v>
      </c>
      <c r="E1399" s="5"/>
      <c r="G1399" s="105" t="s">
        <v>384</v>
      </c>
      <c r="H1399" s="94">
        <v>300</v>
      </c>
      <c r="I1399" s="96">
        <f t="shared" si="76"/>
        <v>300</v>
      </c>
      <c r="J1399" s="98" t="s">
        <v>389</v>
      </c>
    </row>
    <row r="1400" spans="2:11" ht="14.25" thickBot="1" x14ac:dyDescent="0.2">
      <c r="B1400" s="10"/>
      <c r="C1400" s="13"/>
      <c r="D1400" s="11">
        <f t="shared" si="77"/>
        <v>0</v>
      </c>
      <c r="E1400" s="12"/>
      <c r="G1400" s="97" t="s">
        <v>391</v>
      </c>
      <c r="H1400" s="95">
        <v>500</v>
      </c>
      <c r="I1400" s="96">
        <f t="shared" si="76"/>
        <v>500</v>
      </c>
      <c r="J1400" s="98">
        <v>42512</v>
      </c>
    </row>
    <row r="1401" spans="2:11" ht="14.25" thickBot="1" x14ac:dyDescent="0.2">
      <c r="B1401" s="17" t="s">
        <v>2</v>
      </c>
      <c r="C1401" s="18">
        <f>SUM(C1377:C1400)</f>
        <v>289</v>
      </c>
      <c r="D1401" s="19">
        <f t="shared" si="77"/>
        <v>289</v>
      </c>
      <c r="E1401" s="20"/>
      <c r="G1401" s="17" t="s">
        <v>2</v>
      </c>
      <c r="H1401" s="18">
        <f>SUM(H1377:H1400)</f>
        <v>3714</v>
      </c>
      <c r="I1401" s="19">
        <f t="shared" si="76"/>
        <v>3714</v>
      </c>
      <c r="J1401" s="20"/>
    </row>
    <row r="1402" spans="2:11" ht="14.25" thickBot="1" x14ac:dyDescent="0.2">
      <c r="B1402" s="46" t="s">
        <v>3</v>
      </c>
      <c r="C1402" s="52">
        <f>C1376-C1401</f>
        <v>183</v>
      </c>
      <c r="D1402" s="48">
        <f>D1376-D1401</f>
        <v>183</v>
      </c>
      <c r="E1402" s="49"/>
      <c r="G1402" s="46" t="s">
        <v>3</v>
      </c>
      <c r="H1402" s="52">
        <f>H1376-H1401</f>
        <v>3390</v>
      </c>
      <c r="I1402" s="48">
        <f>I1376-I1401</f>
        <v>3390</v>
      </c>
      <c r="J1402" s="49"/>
    </row>
    <row r="1405" spans="2:11" ht="18.75" x14ac:dyDescent="0.2">
      <c r="B1405" s="26" t="s">
        <v>7</v>
      </c>
      <c r="G1405" s="26" t="s">
        <v>35</v>
      </c>
    </row>
    <row r="1406" spans="2:11" ht="14.25" thickBot="1" x14ac:dyDescent="0.2"/>
    <row r="1407" spans="2:11" ht="14.25" thickBot="1" x14ac:dyDescent="0.2">
      <c r="B1407" s="1"/>
      <c r="C1407" s="2"/>
      <c r="D1407" s="3" t="s">
        <v>0</v>
      </c>
      <c r="E1407" s="1" t="s">
        <v>4</v>
      </c>
      <c r="G1407" s="1"/>
      <c r="H1407" s="2"/>
      <c r="I1407" s="3" t="s">
        <v>0</v>
      </c>
      <c r="J1407" s="1" t="s">
        <v>4</v>
      </c>
    </row>
    <row r="1408" spans="2:11" x14ac:dyDescent="0.15">
      <c r="B1408" s="42" t="s">
        <v>5</v>
      </c>
      <c r="C1408" s="43">
        <f>C1402</f>
        <v>183</v>
      </c>
      <c r="D1408" s="44">
        <f>SUM(C1408:C1408)</f>
        <v>183</v>
      </c>
      <c r="E1408" s="45"/>
      <c r="G1408" s="42" t="s">
        <v>5</v>
      </c>
      <c r="H1408" s="43">
        <f>H1402</f>
        <v>3390</v>
      </c>
      <c r="I1408" s="44">
        <f>SUM(H1408:H1408)</f>
        <v>3390</v>
      </c>
      <c r="J1408" s="45"/>
      <c r="K1408" s="103"/>
    </row>
    <row r="1409" spans="2:10" x14ac:dyDescent="0.15">
      <c r="B1409" s="6" t="s">
        <v>6</v>
      </c>
      <c r="C1409" s="13"/>
      <c r="D1409" s="14">
        <f>SUM(C1409:C1409)</f>
        <v>0</v>
      </c>
      <c r="E1409" s="12"/>
      <c r="G1409" s="6" t="s">
        <v>6</v>
      </c>
      <c r="H1409" s="67"/>
      <c r="I1409" s="11">
        <f>SUM(H1409:H1409)</f>
        <v>0</v>
      </c>
      <c r="J1409" s="5"/>
    </row>
    <row r="1410" spans="2:10" x14ac:dyDescent="0.15">
      <c r="B1410" s="6" t="s">
        <v>6</v>
      </c>
      <c r="C1410" s="7"/>
      <c r="D1410" s="8">
        <f>SUM(C1410:C1410)</f>
        <v>0</v>
      </c>
      <c r="E1410" s="9"/>
      <c r="G1410" s="6" t="s">
        <v>6</v>
      </c>
      <c r="H1410" s="13"/>
      <c r="I1410" s="14">
        <f>SUM(H1410:H1410)</f>
        <v>0</v>
      </c>
      <c r="J1410" s="5"/>
    </row>
    <row r="1411" spans="2:10" ht="14.25" thickBot="1" x14ac:dyDescent="0.2">
      <c r="B1411" s="6" t="s">
        <v>6</v>
      </c>
      <c r="C1411" s="7"/>
      <c r="D1411" s="14">
        <f>SUM(C1411:C1411)</f>
        <v>0</v>
      </c>
      <c r="E1411" s="16"/>
      <c r="G1411" s="6" t="s">
        <v>6</v>
      </c>
      <c r="H1411" s="88"/>
      <c r="I1411" s="11">
        <f>SUM(H1411:H1411)</f>
        <v>0</v>
      </c>
      <c r="J1411" s="85"/>
    </row>
    <row r="1412" spans="2:10" ht="14.25" thickBot="1" x14ac:dyDescent="0.2">
      <c r="B1412" s="46" t="s">
        <v>1</v>
      </c>
      <c r="C1412" s="48">
        <f>SUM(C1408:C1411)</f>
        <v>183</v>
      </c>
      <c r="D1412" s="48">
        <f>SUM(D1408:D1411)</f>
        <v>183</v>
      </c>
      <c r="E1412" s="49"/>
      <c r="G1412" s="46" t="s">
        <v>1</v>
      </c>
      <c r="H1412" s="47">
        <f>SUM(H1408:H1411)</f>
        <v>3390</v>
      </c>
      <c r="I1412" s="48">
        <f>SUM(I1408:I1411)</f>
        <v>3390</v>
      </c>
      <c r="J1412" s="49"/>
    </row>
    <row r="1413" spans="2:10" x14ac:dyDescent="0.15">
      <c r="B1413" s="10"/>
      <c r="C1413" s="77"/>
      <c r="D1413" s="11">
        <f>SUM(C1413:C1413)</f>
        <v>0</v>
      </c>
      <c r="E1413" s="12"/>
      <c r="G1413" s="81"/>
      <c r="H1413" s="13"/>
      <c r="I1413" s="11">
        <f t="shared" ref="I1413:I1437" si="78">SUM(H1413:H1413)</f>
        <v>0</v>
      </c>
      <c r="J1413" s="12"/>
    </row>
    <row r="1414" spans="2:10" x14ac:dyDescent="0.15">
      <c r="B1414" s="10"/>
      <c r="C1414" s="13"/>
      <c r="D1414" s="14">
        <f>SUM(C1414:C1414)</f>
        <v>0</v>
      </c>
      <c r="E1414" s="12"/>
      <c r="G1414" s="81"/>
      <c r="H1414" s="13"/>
      <c r="I1414" s="14">
        <f t="shared" si="78"/>
        <v>0</v>
      </c>
      <c r="J1414" s="12"/>
    </row>
    <row r="1415" spans="2:10" x14ac:dyDescent="0.15">
      <c r="B1415" s="10"/>
      <c r="C1415" s="13"/>
      <c r="D1415" s="14">
        <f>SUM(C1415:C1415)</f>
        <v>0</v>
      </c>
      <c r="E1415" s="12"/>
      <c r="G1415" s="15"/>
      <c r="H1415" s="13"/>
      <c r="I1415" s="14">
        <f t="shared" si="78"/>
        <v>0</v>
      </c>
      <c r="J1415" s="12"/>
    </row>
    <row r="1416" spans="2:10" x14ac:dyDescent="0.15">
      <c r="B1416" s="10"/>
      <c r="C1416" s="13"/>
      <c r="D1416" s="14">
        <f t="shared" ref="D1416:D1437" si="79">SUM(C1416:C1416)</f>
        <v>0</v>
      </c>
      <c r="E1416" s="12"/>
      <c r="G1416" s="97"/>
      <c r="H1416" s="94"/>
      <c r="I1416" s="96">
        <f t="shared" si="78"/>
        <v>0</v>
      </c>
      <c r="J1416" s="98"/>
    </row>
    <row r="1417" spans="2:10" x14ac:dyDescent="0.15">
      <c r="B1417" s="10"/>
      <c r="C1417" s="13"/>
      <c r="D1417" s="14">
        <f t="shared" si="79"/>
        <v>0</v>
      </c>
      <c r="E1417" s="12"/>
      <c r="G1417" s="15"/>
      <c r="H1417" s="13"/>
      <c r="I1417" s="14">
        <f t="shared" si="78"/>
        <v>0</v>
      </c>
      <c r="J1417" s="12"/>
    </row>
    <row r="1418" spans="2:10" x14ac:dyDescent="0.15">
      <c r="B1418" s="10"/>
      <c r="C1418" s="13"/>
      <c r="D1418" s="14">
        <f t="shared" si="79"/>
        <v>0</v>
      </c>
      <c r="E1418" s="12"/>
      <c r="G1418" s="78"/>
      <c r="H1418" s="13"/>
      <c r="I1418" s="14">
        <f t="shared" si="78"/>
        <v>0</v>
      </c>
      <c r="J1418" s="12"/>
    </row>
    <row r="1419" spans="2:10" x14ac:dyDescent="0.15">
      <c r="B1419" s="10"/>
      <c r="C1419" s="13"/>
      <c r="D1419" s="14">
        <f t="shared" si="79"/>
        <v>0</v>
      </c>
      <c r="E1419" s="12"/>
      <c r="G1419" s="78"/>
      <c r="H1419" s="13"/>
      <c r="I1419" s="14">
        <f t="shared" si="78"/>
        <v>0</v>
      </c>
      <c r="J1419" s="12"/>
    </row>
    <row r="1420" spans="2:10" x14ac:dyDescent="0.15">
      <c r="B1420" s="10"/>
      <c r="C1420" s="13"/>
      <c r="D1420" s="14">
        <f t="shared" si="79"/>
        <v>0</v>
      </c>
      <c r="E1420" s="12"/>
      <c r="G1420" s="78"/>
      <c r="H1420" s="13"/>
      <c r="I1420" s="14">
        <f t="shared" si="78"/>
        <v>0</v>
      </c>
      <c r="J1420" s="12"/>
    </row>
    <row r="1421" spans="2:10" x14ac:dyDescent="0.15">
      <c r="B1421" s="10"/>
      <c r="C1421" s="13"/>
      <c r="D1421" s="14">
        <f t="shared" si="79"/>
        <v>0</v>
      </c>
      <c r="E1421" s="12"/>
      <c r="G1421" s="10"/>
      <c r="H1421" s="13"/>
      <c r="I1421" s="14">
        <f t="shared" si="78"/>
        <v>0</v>
      </c>
      <c r="J1421" s="12"/>
    </row>
    <row r="1422" spans="2:10" x14ac:dyDescent="0.15">
      <c r="B1422" s="10"/>
      <c r="C1422" s="13"/>
      <c r="D1422" s="14">
        <f t="shared" si="79"/>
        <v>0</v>
      </c>
      <c r="E1422" s="12"/>
      <c r="G1422" s="78"/>
      <c r="H1422" s="13"/>
      <c r="I1422" s="14">
        <f t="shared" si="78"/>
        <v>0</v>
      </c>
      <c r="J1422" s="12"/>
    </row>
    <row r="1423" spans="2:10" x14ac:dyDescent="0.15">
      <c r="B1423" s="10"/>
      <c r="C1423" s="13"/>
      <c r="D1423" s="14">
        <f t="shared" si="79"/>
        <v>0</v>
      </c>
      <c r="E1423" s="12"/>
      <c r="G1423" s="15"/>
      <c r="H1423" s="13"/>
      <c r="I1423" s="14">
        <f t="shared" si="78"/>
        <v>0</v>
      </c>
      <c r="J1423" s="5"/>
    </row>
    <row r="1424" spans="2:10" x14ac:dyDescent="0.15">
      <c r="B1424" s="15"/>
      <c r="C1424" s="13"/>
      <c r="D1424" s="14">
        <f t="shared" si="79"/>
        <v>0</v>
      </c>
      <c r="E1424" s="12"/>
      <c r="G1424" s="15"/>
      <c r="H1424" s="7"/>
      <c r="I1424" s="14">
        <f t="shared" si="78"/>
        <v>0</v>
      </c>
      <c r="J1424" s="12"/>
    </row>
    <row r="1425" spans="2:10" x14ac:dyDescent="0.15">
      <c r="B1425" s="15"/>
      <c r="C1425" s="13"/>
      <c r="D1425" s="14">
        <f t="shared" si="79"/>
        <v>0</v>
      </c>
      <c r="E1425" s="12"/>
      <c r="G1425" s="10"/>
      <c r="H1425" s="13"/>
      <c r="I1425" s="14">
        <f t="shared" si="78"/>
        <v>0</v>
      </c>
      <c r="J1425" s="12"/>
    </row>
    <row r="1426" spans="2:10" x14ac:dyDescent="0.15">
      <c r="B1426" s="10"/>
      <c r="C1426" s="13"/>
      <c r="D1426" s="14">
        <f t="shared" si="79"/>
        <v>0</v>
      </c>
      <c r="E1426" s="12"/>
      <c r="G1426" s="15"/>
      <c r="H1426" s="13"/>
      <c r="I1426" s="14">
        <f t="shared" si="78"/>
        <v>0</v>
      </c>
      <c r="J1426" s="12"/>
    </row>
    <row r="1427" spans="2:10" x14ac:dyDescent="0.15">
      <c r="B1427" s="10"/>
      <c r="C1427" s="13"/>
      <c r="D1427" s="14">
        <f t="shared" si="79"/>
        <v>0</v>
      </c>
      <c r="E1427" s="12"/>
      <c r="G1427" s="15"/>
      <c r="H1427" s="13"/>
      <c r="I1427" s="14">
        <f t="shared" si="78"/>
        <v>0</v>
      </c>
      <c r="J1427" s="5"/>
    </row>
    <row r="1428" spans="2:10" x14ac:dyDescent="0.15">
      <c r="B1428" s="10"/>
      <c r="C1428" s="13"/>
      <c r="D1428" s="14">
        <f t="shared" si="79"/>
        <v>0</v>
      </c>
      <c r="E1428" s="12"/>
      <c r="G1428" s="15"/>
      <c r="H1428" s="7"/>
      <c r="I1428" s="14">
        <f t="shared" si="78"/>
        <v>0</v>
      </c>
      <c r="J1428" s="12"/>
    </row>
    <row r="1429" spans="2:10" x14ac:dyDescent="0.15">
      <c r="B1429" s="10"/>
      <c r="C1429" s="13"/>
      <c r="D1429" s="14">
        <f t="shared" si="79"/>
        <v>0</v>
      </c>
      <c r="E1429" s="12"/>
      <c r="G1429" s="15"/>
      <c r="H1429" s="13"/>
      <c r="I1429" s="14">
        <f t="shared" si="78"/>
        <v>0</v>
      </c>
      <c r="J1429" s="5"/>
    </row>
    <row r="1430" spans="2:10" x14ac:dyDescent="0.15">
      <c r="B1430" s="10"/>
      <c r="C1430" s="13"/>
      <c r="D1430" s="14">
        <f t="shared" si="79"/>
        <v>0</v>
      </c>
      <c r="E1430" s="12"/>
      <c r="G1430" s="15"/>
      <c r="H1430" s="13"/>
      <c r="I1430" s="14">
        <f t="shared" si="78"/>
        <v>0</v>
      </c>
      <c r="J1430" s="12"/>
    </row>
    <row r="1431" spans="2:10" x14ac:dyDescent="0.15">
      <c r="B1431" s="10"/>
      <c r="C1431" s="13"/>
      <c r="D1431" s="14">
        <f t="shared" si="79"/>
        <v>0</v>
      </c>
      <c r="E1431" s="12"/>
      <c r="G1431" s="15"/>
      <c r="H1431" s="13"/>
      <c r="I1431" s="14">
        <f t="shared" si="78"/>
        <v>0</v>
      </c>
      <c r="J1431" s="12"/>
    </row>
    <row r="1432" spans="2:10" x14ac:dyDescent="0.15">
      <c r="B1432" s="15"/>
      <c r="C1432" s="13"/>
      <c r="D1432" s="14">
        <f t="shared" si="79"/>
        <v>0</v>
      </c>
      <c r="E1432" s="5"/>
      <c r="G1432" s="15"/>
      <c r="H1432" s="13"/>
      <c r="I1432" s="14">
        <f t="shared" si="78"/>
        <v>0</v>
      </c>
      <c r="J1432" s="12"/>
    </row>
    <row r="1433" spans="2:10" x14ac:dyDescent="0.15">
      <c r="B1433" s="15"/>
      <c r="C1433" s="13"/>
      <c r="D1433" s="14">
        <f t="shared" si="79"/>
        <v>0</v>
      </c>
      <c r="E1433" s="5"/>
      <c r="G1433" s="15"/>
      <c r="H1433" s="13"/>
      <c r="I1433" s="14">
        <f t="shared" si="78"/>
        <v>0</v>
      </c>
      <c r="J1433" s="12"/>
    </row>
    <row r="1434" spans="2:10" x14ac:dyDescent="0.15">
      <c r="B1434" s="10"/>
      <c r="C1434" s="13"/>
      <c r="D1434" s="14">
        <f t="shared" si="79"/>
        <v>0</v>
      </c>
      <c r="E1434" s="5"/>
      <c r="G1434" s="10"/>
      <c r="H1434" s="13"/>
      <c r="I1434" s="14">
        <f t="shared" si="78"/>
        <v>0</v>
      </c>
      <c r="J1434" s="12"/>
    </row>
    <row r="1435" spans="2:10" x14ac:dyDescent="0.15">
      <c r="B1435" s="10"/>
      <c r="C1435" s="13"/>
      <c r="D1435" s="14">
        <f t="shared" si="79"/>
        <v>0</v>
      </c>
      <c r="E1435" s="5"/>
      <c r="G1435" s="15"/>
      <c r="H1435" s="7"/>
      <c r="I1435" s="14">
        <f t="shared" si="78"/>
        <v>0</v>
      </c>
      <c r="J1435" s="12"/>
    </row>
    <row r="1436" spans="2:10" ht="14.25" thickBot="1" x14ac:dyDescent="0.2">
      <c r="B1436" s="10"/>
      <c r="C1436" s="13"/>
      <c r="D1436" s="11">
        <f t="shared" si="79"/>
        <v>0</v>
      </c>
      <c r="E1436" s="12"/>
      <c r="G1436" s="15"/>
      <c r="H1436" s="7"/>
      <c r="I1436" s="14">
        <f t="shared" si="78"/>
        <v>0</v>
      </c>
      <c r="J1436" s="12"/>
    </row>
    <row r="1437" spans="2:10" ht="14.25" thickBot="1" x14ac:dyDescent="0.2">
      <c r="B1437" s="17" t="s">
        <v>2</v>
      </c>
      <c r="C1437" s="18">
        <f>SUM(C1413:C1436)</f>
        <v>0</v>
      </c>
      <c r="D1437" s="19">
        <f t="shared" si="79"/>
        <v>0</v>
      </c>
      <c r="E1437" s="20"/>
      <c r="G1437" s="17" t="s">
        <v>2</v>
      </c>
      <c r="H1437" s="18">
        <f>SUM(H1413:H1436)</f>
        <v>0</v>
      </c>
      <c r="I1437" s="19">
        <f t="shared" si="78"/>
        <v>0</v>
      </c>
      <c r="J1437" s="20"/>
    </row>
    <row r="1438" spans="2:10" ht="14.25" thickBot="1" x14ac:dyDescent="0.2">
      <c r="B1438" s="46" t="s">
        <v>3</v>
      </c>
      <c r="C1438" s="52">
        <f>C1412-C1437</f>
        <v>183</v>
      </c>
      <c r="D1438" s="48">
        <f>D1412-D1437</f>
        <v>183</v>
      </c>
      <c r="E1438" s="49"/>
      <c r="G1438" s="46" t="s">
        <v>3</v>
      </c>
      <c r="H1438" s="52">
        <f>H1412-H1437</f>
        <v>3390</v>
      </c>
      <c r="I1438" s="48">
        <f>I1412-I1437</f>
        <v>3390</v>
      </c>
      <c r="J1438" s="49"/>
    </row>
    <row r="1441" spans="1:12" ht="18.75" x14ac:dyDescent="0.2">
      <c r="A1441" s="107"/>
      <c r="B1441" s="108" t="s">
        <v>7</v>
      </c>
      <c r="C1441" s="107"/>
      <c r="D1441" s="107"/>
      <c r="E1441" s="107"/>
      <c r="F1441" s="107"/>
      <c r="G1441" s="108" t="s">
        <v>35</v>
      </c>
      <c r="H1441" s="107"/>
      <c r="I1441" s="107"/>
      <c r="J1441" s="107"/>
      <c r="K1441" s="107"/>
      <c r="L1441" s="107"/>
    </row>
    <row r="1442" spans="1:12" ht="14.25" thickBot="1" x14ac:dyDescent="0.2">
      <c r="A1442" s="107"/>
      <c r="B1442" s="107"/>
      <c r="C1442" s="107"/>
      <c r="D1442" s="107"/>
      <c r="E1442" s="107"/>
      <c r="F1442" s="107"/>
      <c r="G1442" s="107"/>
      <c r="H1442" s="107"/>
      <c r="I1442" s="107"/>
      <c r="J1442" s="107"/>
      <c r="K1442" s="107"/>
      <c r="L1442" s="107"/>
    </row>
    <row r="1443" spans="1:12" ht="14.25" thickBot="1" x14ac:dyDescent="0.2">
      <c r="A1443" s="107"/>
      <c r="B1443" s="109"/>
      <c r="C1443" s="110"/>
      <c r="D1443" s="111" t="s">
        <v>0</v>
      </c>
      <c r="E1443" s="109" t="s">
        <v>4</v>
      </c>
      <c r="F1443" s="107"/>
      <c r="G1443" s="109"/>
      <c r="H1443" s="110"/>
      <c r="I1443" s="111" t="s">
        <v>0</v>
      </c>
      <c r="J1443" s="109" t="s">
        <v>4</v>
      </c>
      <c r="K1443" s="107"/>
      <c r="L1443" s="107"/>
    </row>
    <row r="1444" spans="1:12" x14ac:dyDescent="0.15">
      <c r="A1444" s="107"/>
      <c r="B1444" s="112" t="s">
        <v>5</v>
      </c>
      <c r="C1444" s="113">
        <f>C1438</f>
        <v>183</v>
      </c>
      <c r="D1444" s="114">
        <f>SUM(C1444:C1444)</f>
        <v>183</v>
      </c>
      <c r="E1444" s="115"/>
      <c r="F1444" s="107"/>
      <c r="G1444" s="112" t="s">
        <v>5</v>
      </c>
      <c r="H1444" s="113">
        <f>H1438</f>
        <v>3390</v>
      </c>
      <c r="I1444" s="114">
        <f>SUM(H1444:H1444)</f>
        <v>3390</v>
      </c>
      <c r="J1444" s="115"/>
      <c r="K1444" s="116"/>
      <c r="L1444" s="107"/>
    </row>
    <row r="1445" spans="1:12" x14ac:dyDescent="0.15">
      <c r="A1445" s="107"/>
      <c r="B1445" s="117" t="s">
        <v>6</v>
      </c>
      <c r="C1445" s="118"/>
      <c r="D1445" s="119">
        <f>SUM(C1445:C1445)</f>
        <v>0</v>
      </c>
      <c r="E1445" s="120"/>
      <c r="F1445" s="107"/>
      <c r="G1445" s="125" t="s">
        <v>6</v>
      </c>
      <c r="H1445" s="126">
        <v>1680</v>
      </c>
      <c r="I1445" s="127">
        <f>SUM(H1445:H1445)</f>
        <v>1680</v>
      </c>
      <c r="J1445" s="128">
        <v>42522</v>
      </c>
      <c r="K1445" s="129" t="s">
        <v>390</v>
      </c>
      <c r="L1445" s="107"/>
    </row>
    <row r="1446" spans="1:12" x14ac:dyDescent="0.15">
      <c r="A1446" s="107"/>
      <c r="B1446" s="117" t="s">
        <v>6</v>
      </c>
      <c r="C1446" s="122"/>
      <c r="D1446" s="123">
        <f>SUM(C1446:C1446)</f>
        <v>0</v>
      </c>
      <c r="E1446" s="124"/>
      <c r="F1446" s="107"/>
      <c r="G1446" s="125" t="s">
        <v>6</v>
      </c>
      <c r="H1446" s="141">
        <v>1680</v>
      </c>
      <c r="I1446" s="126">
        <f>SUM(H1446:H1446)</f>
        <v>1680</v>
      </c>
      <c r="J1446" s="128">
        <v>42522</v>
      </c>
      <c r="K1446" s="129" t="s">
        <v>390</v>
      </c>
      <c r="L1446" s="107"/>
    </row>
    <row r="1447" spans="1:12" ht="14.25" thickBot="1" x14ac:dyDescent="0.2">
      <c r="A1447" s="107"/>
      <c r="B1447" s="117" t="s">
        <v>6</v>
      </c>
      <c r="C1447" s="122"/>
      <c r="D1447" s="119">
        <f>SUM(C1447:C1447)</f>
        <v>0</v>
      </c>
      <c r="E1447" s="130"/>
      <c r="F1447" s="107"/>
      <c r="G1447" s="117" t="s">
        <v>6</v>
      </c>
      <c r="H1447" s="151"/>
      <c r="I1447" s="137">
        <f>SUM(H1447:H1447)</f>
        <v>0</v>
      </c>
      <c r="J1447" s="152"/>
      <c r="K1447" s="107"/>
      <c r="L1447" s="107"/>
    </row>
    <row r="1448" spans="1:12" ht="14.25" thickBot="1" x14ac:dyDescent="0.2">
      <c r="A1448" s="107"/>
      <c r="B1448" s="131" t="s">
        <v>1</v>
      </c>
      <c r="C1448" s="132">
        <f>SUM(C1444:C1447)</f>
        <v>183</v>
      </c>
      <c r="D1448" s="132">
        <f>SUM(D1444:D1447)</f>
        <v>183</v>
      </c>
      <c r="E1448" s="133"/>
      <c r="F1448" s="107"/>
      <c r="G1448" s="131" t="s">
        <v>1</v>
      </c>
      <c r="H1448" s="134">
        <f>SUM(H1444:H1447)</f>
        <v>6750</v>
      </c>
      <c r="I1448" s="132">
        <f>SUM(I1444:I1447)</f>
        <v>6750</v>
      </c>
      <c r="J1448" s="133"/>
      <c r="K1448" s="107"/>
      <c r="L1448" s="107"/>
    </row>
    <row r="1449" spans="1:12" x14ac:dyDescent="0.15">
      <c r="A1449" s="107"/>
      <c r="B1449" s="135"/>
      <c r="C1449" s="136"/>
      <c r="D1449" s="137">
        <f>SUM(C1449:C1449)</f>
        <v>0</v>
      </c>
      <c r="E1449" s="120"/>
      <c r="F1449" s="107"/>
      <c r="G1449" s="138"/>
      <c r="H1449" s="118"/>
      <c r="I1449" s="137">
        <f t="shared" ref="I1449:I1473" si="80">SUM(H1449:H1449)</f>
        <v>0</v>
      </c>
      <c r="J1449" s="120"/>
      <c r="K1449" s="107"/>
      <c r="L1449" s="107"/>
    </row>
    <row r="1450" spans="1:12" x14ac:dyDescent="0.15">
      <c r="A1450" s="107"/>
      <c r="B1450" s="135"/>
      <c r="C1450" s="118"/>
      <c r="D1450" s="119">
        <f>SUM(C1450:C1450)</f>
        <v>0</v>
      </c>
      <c r="E1450" s="120"/>
      <c r="F1450" s="107"/>
      <c r="G1450" s="138"/>
      <c r="H1450" s="118"/>
      <c r="I1450" s="119">
        <f t="shared" si="80"/>
        <v>0</v>
      </c>
      <c r="J1450" s="120"/>
      <c r="K1450" s="107"/>
      <c r="L1450" s="107"/>
    </row>
    <row r="1451" spans="1:12" x14ac:dyDescent="0.15">
      <c r="A1451" s="107"/>
      <c r="B1451" s="135"/>
      <c r="C1451" s="118"/>
      <c r="D1451" s="119">
        <f>SUM(C1451:C1451)</f>
        <v>0</v>
      </c>
      <c r="E1451" s="120"/>
      <c r="F1451" s="107"/>
      <c r="G1451" s="139"/>
      <c r="H1451" s="118"/>
      <c r="I1451" s="119">
        <f t="shared" si="80"/>
        <v>0</v>
      </c>
      <c r="J1451" s="120"/>
      <c r="K1451" s="107"/>
      <c r="L1451" s="107"/>
    </row>
    <row r="1452" spans="1:12" x14ac:dyDescent="0.15">
      <c r="A1452" s="107"/>
      <c r="B1452" s="135"/>
      <c r="C1452" s="118"/>
      <c r="D1452" s="119">
        <f t="shared" ref="D1452:D1473" si="81">SUM(C1452:C1452)</f>
        <v>0</v>
      </c>
      <c r="E1452" s="120"/>
      <c r="F1452" s="107"/>
      <c r="G1452" s="140"/>
      <c r="H1452" s="141"/>
      <c r="I1452" s="126">
        <f t="shared" si="80"/>
        <v>0</v>
      </c>
      <c r="J1452" s="142"/>
      <c r="K1452" s="107"/>
      <c r="L1452" s="107"/>
    </row>
    <row r="1453" spans="1:12" x14ac:dyDescent="0.15">
      <c r="A1453" s="107"/>
      <c r="B1453" s="135"/>
      <c r="C1453" s="118"/>
      <c r="D1453" s="119">
        <f t="shared" si="81"/>
        <v>0</v>
      </c>
      <c r="E1453" s="120"/>
      <c r="F1453" s="107"/>
      <c r="G1453" s="139"/>
      <c r="H1453" s="118"/>
      <c r="I1453" s="119">
        <f t="shared" si="80"/>
        <v>0</v>
      </c>
      <c r="J1453" s="120"/>
      <c r="K1453" s="107"/>
      <c r="L1453" s="107"/>
    </row>
    <row r="1454" spans="1:12" x14ac:dyDescent="0.15">
      <c r="A1454" s="107"/>
      <c r="B1454" s="135"/>
      <c r="C1454" s="118"/>
      <c r="D1454" s="119">
        <f t="shared" si="81"/>
        <v>0</v>
      </c>
      <c r="E1454" s="120"/>
      <c r="F1454" s="107"/>
      <c r="G1454" s="143"/>
      <c r="H1454" s="118"/>
      <c r="I1454" s="119">
        <f t="shared" si="80"/>
        <v>0</v>
      </c>
      <c r="J1454" s="120"/>
      <c r="K1454" s="107"/>
      <c r="L1454" s="107"/>
    </row>
    <row r="1455" spans="1:12" x14ac:dyDescent="0.15">
      <c r="A1455" s="107"/>
      <c r="B1455" s="135"/>
      <c r="C1455" s="118"/>
      <c r="D1455" s="119">
        <f t="shared" si="81"/>
        <v>0</v>
      </c>
      <c r="E1455" s="120"/>
      <c r="F1455" s="107"/>
      <c r="G1455" s="143"/>
      <c r="H1455" s="118"/>
      <c r="I1455" s="119">
        <f t="shared" si="80"/>
        <v>0</v>
      </c>
      <c r="J1455" s="120"/>
      <c r="K1455" s="107"/>
      <c r="L1455" s="107"/>
    </row>
    <row r="1456" spans="1:12" x14ac:dyDescent="0.15">
      <c r="A1456" s="107"/>
      <c r="B1456" s="135"/>
      <c r="C1456" s="118"/>
      <c r="D1456" s="119">
        <f t="shared" si="81"/>
        <v>0</v>
      </c>
      <c r="E1456" s="120"/>
      <c r="F1456" s="107"/>
      <c r="G1456" s="143"/>
      <c r="H1456" s="118"/>
      <c r="I1456" s="119">
        <f t="shared" si="80"/>
        <v>0</v>
      </c>
      <c r="J1456" s="120"/>
      <c r="K1456" s="107"/>
      <c r="L1456" s="107"/>
    </row>
    <row r="1457" spans="1:12" x14ac:dyDescent="0.15">
      <c r="A1457" s="107"/>
      <c r="B1457" s="135"/>
      <c r="C1457" s="118"/>
      <c r="D1457" s="119">
        <f t="shared" si="81"/>
        <v>0</v>
      </c>
      <c r="E1457" s="120"/>
      <c r="F1457" s="107"/>
      <c r="G1457" s="135"/>
      <c r="H1457" s="118"/>
      <c r="I1457" s="119">
        <f t="shared" si="80"/>
        <v>0</v>
      </c>
      <c r="J1457" s="120"/>
      <c r="K1457" s="107"/>
      <c r="L1457" s="107"/>
    </row>
    <row r="1458" spans="1:12" x14ac:dyDescent="0.15">
      <c r="A1458" s="107"/>
      <c r="B1458" s="135"/>
      <c r="C1458" s="118"/>
      <c r="D1458" s="119">
        <f t="shared" si="81"/>
        <v>0</v>
      </c>
      <c r="E1458" s="120"/>
      <c r="F1458" s="107"/>
      <c r="G1458" s="143"/>
      <c r="H1458" s="118"/>
      <c r="I1458" s="119">
        <f t="shared" si="80"/>
        <v>0</v>
      </c>
      <c r="J1458" s="120"/>
      <c r="K1458" s="107"/>
      <c r="L1458" s="107"/>
    </row>
    <row r="1459" spans="1:12" x14ac:dyDescent="0.15">
      <c r="A1459" s="107"/>
      <c r="B1459" s="135"/>
      <c r="C1459" s="118"/>
      <c r="D1459" s="119">
        <f t="shared" si="81"/>
        <v>0</v>
      </c>
      <c r="E1459" s="120"/>
      <c r="F1459" s="107"/>
      <c r="G1459" s="139"/>
      <c r="H1459" s="118"/>
      <c r="I1459" s="119">
        <f t="shared" si="80"/>
        <v>0</v>
      </c>
      <c r="J1459" s="121"/>
      <c r="K1459" s="107"/>
      <c r="L1459" s="107"/>
    </row>
    <row r="1460" spans="1:12" x14ac:dyDescent="0.15">
      <c r="A1460" s="107"/>
      <c r="B1460" s="139"/>
      <c r="C1460" s="118"/>
      <c r="D1460" s="119">
        <f t="shared" si="81"/>
        <v>0</v>
      </c>
      <c r="E1460" s="120"/>
      <c r="F1460" s="107"/>
      <c r="G1460" s="139"/>
      <c r="H1460" s="122"/>
      <c r="I1460" s="119">
        <f t="shared" si="80"/>
        <v>0</v>
      </c>
      <c r="J1460" s="120"/>
      <c r="K1460" s="107"/>
      <c r="L1460" s="107"/>
    </row>
    <row r="1461" spans="1:12" x14ac:dyDescent="0.15">
      <c r="A1461" s="107"/>
      <c r="B1461" s="139"/>
      <c r="C1461" s="118"/>
      <c r="D1461" s="119">
        <f t="shared" si="81"/>
        <v>0</v>
      </c>
      <c r="E1461" s="120"/>
      <c r="F1461" s="107"/>
      <c r="G1461" s="135"/>
      <c r="H1461" s="118"/>
      <c r="I1461" s="119">
        <f t="shared" si="80"/>
        <v>0</v>
      </c>
      <c r="J1461" s="120"/>
      <c r="K1461" s="107"/>
      <c r="L1461" s="107"/>
    </row>
    <row r="1462" spans="1:12" x14ac:dyDescent="0.15">
      <c r="A1462" s="107"/>
      <c r="B1462" s="135"/>
      <c r="C1462" s="118"/>
      <c r="D1462" s="119">
        <f t="shared" si="81"/>
        <v>0</v>
      </c>
      <c r="E1462" s="120"/>
      <c r="F1462" s="107"/>
      <c r="G1462" s="139"/>
      <c r="H1462" s="118"/>
      <c r="I1462" s="119">
        <f t="shared" si="80"/>
        <v>0</v>
      </c>
      <c r="J1462" s="120"/>
      <c r="K1462" s="107"/>
      <c r="L1462" s="107"/>
    </row>
    <row r="1463" spans="1:12" x14ac:dyDescent="0.15">
      <c r="A1463" s="107"/>
      <c r="B1463" s="135"/>
      <c r="C1463" s="118"/>
      <c r="D1463" s="119">
        <f t="shared" si="81"/>
        <v>0</v>
      </c>
      <c r="E1463" s="120"/>
      <c r="F1463" s="107"/>
      <c r="G1463" s="139"/>
      <c r="H1463" s="118"/>
      <c r="I1463" s="119">
        <f t="shared" si="80"/>
        <v>0</v>
      </c>
      <c r="J1463" s="121"/>
      <c r="K1463" s="107"/>
      <c r="L1463" s="107"/>
    </row>
    <row r="1464" spans="1:12" x14ac:dyDescent="0.15">
      <c r="A1464" s="107"/>
      <c r="B1464" s="135"/>
      <c r="C1464" s="118"/>
      <c r="D1464" s="119">
        <f t="shared" si="81"/>
        <v>0</v>
      </c>
      <c r="E1464" s="120"/>
      <c r="F1464" s="107"/>
      <c r="G1464" s="139"/>
      <c r="H1464" s="122"/>
      <c r="I1464" s="119">
        <f t="shared" si="80"/>
        <v>0</v>
      </c>
      <c r="J1464" s="120"/>
      <c r="K1464" s="107"/>
      <c r="L1464" s="107"/>
    </row>
    <row r="1465" spans="1:12" x14ac:dyDescent="0.15">
      <c r="A1465" s="107"/>
      <c r="B1465" s="135"/>
      <c r="C1465" s="118"/>
      <c r="D1465" s="119">
        <f t="shared" si="81"/>
        <v>0</v>
      </c>
      <c r="E1465" s="120"/>
      <c r="F1465" s="107"/>
      <c r="G1465" s="140" t="s">
        <v>425</v>
      </c>
      <c r="H1465" s="141">
        <v>50</v>
      </c>
      <c r="I1465" s="126">
        <f t="shared" si="80"/>
        <v>50</v>
      </c>
      <c r="J1465" s="128" t="s">
        <v>426</v>
      </c>
      <c r="K1465" s="107"/>
      <c r="L1465" s="107"/>
    </row>
    <row r="1466" spans="1:12" x14ac:dyDescent="0.15">
      <c r="A1466" s="107"/>
      <c r="B1466" s="135"/>
      <c r="C1466" s="118"/>
      <c r="D1466" s="119">
        <f t="shared" si="81"/>
        <v>0</v>
      </c>
      <c r="E1466" s="120"/>
      <c r="F1466" s="107"/>
      <c r="G1466" s="140" t="s">
        <v>422</v>
      </c>
      <c r="H1466" s="141">
        <v>50</v>
      </c>
      <c r="I1466" s="126">
        <f t="shared" si="80"/>
        <v>50</v>
      </c>
      <c r="J1466" s="142" t="s">
        <v>423</v>
      </c>
      <c r="K1466" s="107"/>
      <c r="L1466" s="107"/>
    </row>
    <row r="1467" spans="1:12" x14ac:dyDescent="0.15">
      <c r="A1467" s="107"/>
      <c r="B1467" s="135"/>
      <c r="C1467" s="118"/>
      <c r="D1467" s="119">
        <f t="shared" si="81"/>
        <v>0</v>
      </c>
      <c r="E1467" s="120"/>
      <c r="F1467" s="107"/>
      <c r="G1467" s="140" t="s">
        <v>419</v>
      </c>
      <c r="H1467" s="141">
        <v>50</v>
      </c>
      <c r="I1467" s="126">
        <f t="shared" si="80"/>
        <v>50</v>
      </c>
      <c r="J1467" s="142" t="s">
        <v>420</v>
      </c>
      <c r="K1467" s="107"/>
      <c r="L1467" s="107"/>
    </row>
    <row r="1468" spans="1:12" x14ac:dyDescent="0.15">
      <c r="A1468" s="107"/>
      <c r="B1468" s="139"/>
      <c r="C1468" s="118"/>
      <c r="D1468" s="119">
        <f t="shared" si="81"/>
        <v>0</v>
      </c>
      <c r="E1468" s="121"/>
      <c r="F1468" s="107"/>
      <c r="G1468" s="140" t="s">
        <v>414</v>
      </c>
      <c r="H1468" s="141">
        <v>50</v>
      </c>
      <c r="I1468" s="126">
        <f t="shared" si="80"/>
        <v>50</v>
      </c>
      <c r="J1468" s="142" t="s">
        <v>410</v>
      </c>
      <c r="K1468" s="107"/>
      <c r="L1468" s="107"/>
    </row>
    <row r="1469" spans="1:12" x14ac:dyDescent="0.15">
      <c r="A1469" s="107"/>
      <c r="B1469" s="139"/>
      <c r="C1469" s="118"/>
      <c r="D1469" s="119">
        <f t="shared" si="81"/>
        <v>0</v>
      </c>
      <c r="E1469" s="121"/>
      <c r="F1469" s="107"/>
      <c r="G1469" s="140" t="s">
        <v>406</v>
      </c>
      <c r="H1469" s="141">
        <v>700</v>
      </c>
      <c r="I1469" s="126">
        <f t="shared" si="80"/>
        <v>700</v>
      </c>
      <c r="J1469" s="142" t="s">
        <v>407</v>
      </c>
      <c r="K1469" s="107"/>
      <c r="L1469" s="107"/>
    </row>
    <row r="1470" spans="1:12" x14ac:dyDescent="0.15">
      <c r="A1470" s="107"/>
      <c r="B1470" s="135"/>
      <c r="C1470" s="118"/>
      <c r="D1470" s="119">
        <f t="shared" si="81"/>
        <v>0</v>
      </c>
      <c r="E1470" s="121"/>
      <c r="F1470" s="107"/>
      <c r="G1470" s="144" t="s">
        <v>408</v>
      </c>
      <c r="H1470" s="141">
        <v>100</v>
      </c>
      <c r="I1470" s="126">
        <f t="shared" si="80"/>
        <v>100</v>
      </c>
      <c r="J1470" s="142" t="s">
        <v>405</v>
      </c>
      <c r="K1470" s="107"/>
      <c r="L1470" s="107"/>
    </row>
    <row r="1471" spans="1:12" x14ac:dyDescent="0.15">
      <c r="A1471" s="107"/>
      <c r="B1471" s="135"/>
      <c r="C1471" s="118"/>
      <c r="D1471" s="119">
        <f t="shared" si="81"/>
        <v>0</v>
      </c>
      <c r="E1471" s="121"/>
      <c r="F1471" s="107"/>
      <c r="G1471" s="140" t="s">
        <v>401</v>
      </c>
      <c r="H1471" s="145">
        <v>400</v>
      </c>
      <c r="I1471" s="126">
        <f t="shared" si="80"/>
        <v>400</v>
      </c>
      <c r="J1471" s="142" t="s">
        <v>409</v>
      </c>
      <c r="K1471" s="107"/>
      <c r="L1471" s="107"/>
    </row>
    <row r="1472" spans="1:12" ht="14.25" thickBot="1" x14ac:dyDescent="0.2">
      <c r="A1472" s="107"/>
      <c r="B1472" s="135"/>
      <c r="C1472" s="118"/>
      <c r="D1472" s="137">
        <f t="shared" si="81"/>
        <v>0</v>
      </c>
      <c r="E1472" s="120"/>
      <c r="F1472" s="107"/>
      <c r="G1472" s="140" t="s">
        <v>382</v>
      </c>
      <c r="H1472" s="145">
        <v>1800</v>
      </c>
      <c r="I1472" s="126">
        <f t="shared" si="80"/>
        <v>1800</v>
      </c>
      <c r="J1472" s="142" t="s">
        <v>388</v>
      </c>
      <c r="K1472" s="107"/>
      <c r="L1472" s="107"/>
    </row>
    <row r="1473" spans="1:12" ht="14.25" thickBot="1" x14ac:dyDescent="0.2">
      <c r="A1473" s="107"/>
      <c r="B1473" s="147" t="s">
        <v>2</v>
      </c>
      <c r="C1473" s="148">
        <f>SUM(C1449:C1472)</f>
        <v>0</v>
      </c>
      <c r="D1473" s="149">
        <f t="shared" si="81"/>
        <v>0</v>
      </c>
      <c r="E1473" s="149"/>
      <c r="F1473" s="107"/>
      <c r="G1473" s="147" t="s">
        <v>2</v>
      </c>
      <c r="H1473" s="148">
        <f>SUM(H1449:H1472)</f>
        <v>3200</v>
      </c>
      <c r="I1473" s="149">
        <f t="shared" si="80"/>
        <v>3200</v>
      </c>
      <c r="J1473" s="149"/>
      <c r="K1473" s="107"/>
      <c r="L1473" s="107"/>
    </row>
    <row r="1474" spans="1:12" ht="14.25" thickBot="1" x14ac:dyDescent="0.2">
      <c r="A1474" s="107"/>
      <c r="B1474" s="131" t="s">
        <v>3</v>
      </c>
      <c r="C1474" s="150">
        <f>C1448-C1473</f>
        <v>183</v>
      </c>
      <c r="D1474" s="132">
        <f>D1448-D1473</f>
        <v>183</v>
      </c>
      <c r="E1474" s="133"/>
      <c r="F1474" s="107"/>
      <c r="G1474" s="131" t="s">
        <v>3</v>
      </c>
      <c r="H1474" s="150">
        <f>H1448-H1473</f>
        <v>3550</v>
      </c>
      <c r="I1474" s="132">
        <f>I1448-I1473</f>
        <v>3550</v>
      </c>
      <c r="J1474" s="133"/>
      <c r="K1474" s="107"/>
      <c r="L1474" s="107"/>
    </row>
    <row r="1475" spans="1:12" x14ac:dyDescent="0.15">
      <c r="A1475" s="107"/>
      <c r="B1475" s="107"/>
      <c r="C1475" s="107"/>
      <c r="D1475" s="107"/>
      <c r="E1475" s="107"/>
      <c r="F1475" s="107"/>
      <c r="G1475" s="107"/>
      <c r="H1475" s="107"/>
      <c r="I1475" s="107"/>
      <c r="J1475" s="107"/>
      <c r="K1475" s="107"/>
      <c r="L1475" s="107"/>
    </row>
    <row r="1476" spans="1:12" x14ac:dyDescent="0.15">
      <c r="A1476" s="107"/>
      <c r="B1476" s="107"/>
      <c r="C1476" s="107"/>
      <c r="D1476" s="107"/>
      <c r="E1476" s="107"/>
      <c r="F1476" s="107"/>
      <c r="G1476" s="107"/>
      <c r="H1476" s="107"/>
      <c r="I1476" s="107"/>
      <c r="J1476" s="107"/>
      <c r="K1476" s="107"/>
      <c r="L1476" s="107"/>
    </row>
    <row r="1477" spans="1:12" ht="18.75" x14ac:dyDescent="0.2">
      <c r="A1477" s="107"/>
      <c r="B1477" s="108" t="s">
        <v>7</v>
      </c>
      <c r="C1477" s="107"/>
      <c r="D1477" s="107"/>
      <c r="E1477" s="107"/>
      <c r="F1477" s="107"/>
      <c r="G1477" s="108" t="s">
        <v>35</v>
      </c>
      <c r="H1477" s="107"/>
      <c r="I1477" s="107"/>
      <c r="J1477" s="107"/>
      <c r="K1477" s="107"/>
      <c r="L1477" s="107"/>
    </row>
    <row r="1478" spans="1:12" ht="14.25" thickBot="1" x14ac:dyDescent="0.2">
      <c r="A1478" s="107"/>
      <c r="B1478" s="107"/>
      <c r="C1478" s="107"/>
      <c r="D1478" s="107"/>
      <c r="E1478" s="107"/>
      <c r="F1478" s="107"/>
      <c r="G1478" s="107"/>
      <c r="H1478" s="107"/>
      <c r="I1478" s="107"/>
      <c r="J1478" s="107"/>
      <c r="K1478" s="107"/>
      <c r="L1478" s="107"/>
    </row>
    <row r="1479" spans="1:12" ht="14.25" thickBot="1" x14ac:dyDescent="0.2">
      <c r="A1479" s="107"/>
      <c r="B1479" s="109"/>
      <c r="C1479" s="110"/>
      <c r="D1479" s="111" t="s">
        <v>0</v>
      </c>
      <c r="E1479" s="109" t="s">
        <v>4</v>
      </c>
      <c r="F1479" s="107"/>
      <c r="G1479" s="109"/>
      <c r="H1479" s="110"/>
      <c r="I1479" s="111" t="s">
        <v>0</v>
      </c>
      <c r="J1479" s="109" t="s">
        <v>4</v>
      </c>
      <c r="K1479" s="107"/>
      <c r="L1479" s="107"/>
    </row>
    <row r="1480" spans="1:12" x14ac:dyDescent="0.15">
      <c r="A1480" s="107"/>
      <c r="B1480" s="112" t="s">
        <v>5</v>
      </c>
      <c r="C1480" s="113">
        <f>C1474</f>
        <v>183</v>
      </c>
      <c r="D1480" s="114">
        <f>SUM(C1480:C1480)</f>
        <v>183</v>
      </c>
      <c r="E1480" s="115"/>
      <c r="F1480" s="107"/>
      <c r="G1480" s="112" t="s">
        <v>5</v>
      </c>
      <c r="H1480" s="113">
        <f>H1474</f>
        <v>3550</v>
      </c>
      <c r="I1480" s="114">
        <f>SUM(H1480:H1480)</f>
        <v>3550</v>
      </c>
      <c r="J1480" s="115"/>
      <c r="K1480" s="116"/>
      <c r="L1480" s="107"/>
    </row>
    <row r="1481" spans="1:12" x14ac:dyDescent="0.15">
      <c r="A1481" s="107"/>
      <c r="B1481" s="117" t="s">
        <v>6</v>
      </c>
      <c r="C1481" s="118"/>
      <c r="D1481" s="119">
        <f>SUM(C1481:C1481)</f>
        <v>0</v>
      </c>
      <c r="E1481" s="120"/>
      <c r="F1481" s="107"/>
      <c r="G1481" s="125" t="s">
        <v>6</v>
      </c>
      <c r="H1481" s="141">
        <v>1680</v>
      </c>
      <c r="I1481" s="126">
        <f>SUM(H1481:H1481)</f>
        <v>1680</v>
      </c>
      <c r="J1481" s="128">
        <v>42552</v>
      </c>
      <c r="K1481" s="129" t="s">
        <v>390</v>
      </c>
      <c r="L1481" s="107"/>
    </row>
    <row r="1482" spans="1:12" x14ac:dyDescent="0.15">
      <c r="A1482" s="107"/>
      <c r="B1482" s="117" t="s">
        <v>6</v>
      </c>
      <c r="C1482" s="122"/>
      <c r="D1482" s="123">
        <f>SUM(C1482:C1482)</f>
        <v>0</v>
      </c>
      <c r="E1482" s="124"/>
      <c r="F1482" s="107"/>
      <c r="G1482" s="125" t="s">
        <v>430</v>
      </c>
      <c r="H1482" s="141"/>
      <c r="I1482" s="126">
        <f>SUM(H1482:H1482)</f>
        <v>0</v>
      </c>
      <c r="J1482" s="128">
        <v>42552</v>
      </c>
      <c r="K1482" s="129" t="s">
        <v>390</v>
      </c>
      <c r="L1482" s="107"/>
    </row>
    <row r="1483" spans="1:12" ht="14.25" thickBot="1" x14ac:dyDescent="0.2">
      <c r="A1483" s="107"/>
      <c r="B1483" s="117" t="s">
        <v>6</v>
      </c>
      <c r="C1483" s="122"/>
      <c r="D1483" s="119">
        <f>SUM(C1483:C1483)</f>
        <v>0</v>
      </c>
      <c r="E1483" s="130"/>
      <c r="F1483" s="107"/>
      <c r="G1483" s="117" t="s">
        <v>6</v>
      </c>
      <c r="H1483" s="151"/>
      <c r="I1483" s="137">
        <f>SUM(H1483:H1483)</f>
        <v>0</v>
      </c>
      <c r="J1483" s="152"/>
      <c r="K1483" s="129"/>
      <c r="L1483" s="107"/>
    </row>
    <row r="1484" spans="1:12" ht="14.25" thickBot="1" x14ac:dyDescent="0.2">
      <c r="A1484" s="107"/>
      <c r="B1484" s="131" t="s">
        <v>1</v>
      </c>
      <c r="C1484" s="132">
        <f>SUM(C1480:C1483)</f>
        <v>183</v>
      </c>
      <c r="D1484" s="132">
        <f>SUM(D1480:D1483)</f>
        <v>183</v>
      </c>
      <c r="E1484" s="133"/>
      <c r="F1484" s="107"/>
      <c r="G1484" s="131" t="s">
        <v>1</v>
      </c>
      <c r="H1484" s="134">
        <f>SUM(H1480:H1483)</f>
        <v>5230</v>
      </c>
      <c r="I1484" s="132">
        <f>SUM(I1480:I1483)</f>
        <v>5230</v>
      </c>
      <c r="J1484" s="133"/>
      <c r="K1484" s="107"/>
      <c r="L1484" s="107"/>
    </row>
    <row r="1485" spans="1:12" x14ac:dyDescent="0.15">
      <c r="A1485" s="107"/>
      <c r="B1485" s="135"/>
      <c r="C1485" s="136"/>
      <c r="D1485" s="137">
        <f>SUM(C1485:C1485)</f>
        <v>0</v>
      </c>
      <c r="E1485" s="120"/>
      <c r="F1485" s="107"/>
      <c r="G1485" s="138"/>
      <c r="H1485" s="118"/>
      <c r="I1485" s="137">
        <f>SUM(H1485:H1485)</f>
        <v>0</v>
      </c>
      <c r="J1485" s="120"/>
      <c r="K1485" s="107"/>
      <c r="L1485" s="107"/>
    </row>
    <row r="1486" spans="1:12" x14ac:dyDescent="0.15">
      <c r="A1486" s="107"/>
      <c r="B1486" s="135"/>
      <c r="C1486" s="118"/>
      <c r="D1486" s="119">
        <f>SUM(C1486:C1486)</f>
        <v>0</v>
      </c>
      <c r="E1486" s="120"/>
      <c r="F1486" s="107"/>
      <c r="G1486" s="138"/>
      <c r="H1486" s="118"/>
      <c r="I1486" s="119">
        <f>SUM(H1486:H1486)</f>
        <v>0</v>
      </c>
      <c r="J1486" s="120"/>
      <c r="K1486" s="107"/>
      <c r="L1486" s="107"/>
    </row>
    <row r="1487" spans="1:12" x14ac:dyDescent="0.15">
      <c r="A1487" s="107"/>
      <c r="B1487" s="135"/>
      <c r="C1487" s="118"/>
      <c r="D1487" s="119">
        <f>SUM(C1487:C1487)</f>
        <v>0</v>
      </c>
      <c r="E1487" s="120"/>
      <c r="F1487" s="107"/>
      <c r="G1487" s="139"/>
      <c r="H1487" s="118"/>
      <c r="I1487" s="119">
        <f t="shared" ref="I1487:I1509" si="82">SUM(H1487:H1487)</f>
        <v>0</v>
      </c>
      <c r="J1487" s="120"/>
      <c r="K1487" s="107"/>
      <c r="L1487" s="107"/>
    </row>
    <row r="1488" spans="1:12" x14ac:dyDescent="0.15">
      <c r="A1488" s="107"/>
      <c r="B1488" s="135"/>
      <c r="C1488" s="118"/>
      <c r="D1488" s="119">
        <f t="shared" ref="D1488:D1509" si="83">SUM(C1488:C1488)</f>
        <v>0</v>
      </c>
      <c r="E1488" s="120"/>
      <c r="F1488" s="107"/>
      <c r="G1488" s="140"/>
      <c r="H1488" s="141"/>
      <c r="I1488" s="126">
        <f t="shared" si="82"/>
        <v>0</v>
      </c>
      <c r="J1488" s="142"/>
      <c r="K1488" s="107"/>
      <c r="L1488" s="107"/>
    </row>
    <row r="1489" spans="1:12" x14ac:dyDescent="0.15">
      <c r="A1489" s="107"/>
      <c r="B1489" s="135"/>
      <c r="C1489" s="118"/>
      <c r="D1489" s="119">
        <f t="shared" si="83"/>
        <v>0</v>
      </c>
      <c r="E1489" s="120"/>
      <c r="F1489" s="107"/>
      <c r="G1489" s="139"/>
      <c r="H1489" s="118"/>
      <c r="I1489" s="119">
        <f t="shared" si="82"/>
        <v>0</v>
      </c>
      <c r="J1489" s="120"/>
      <c r="K1489" s="107"/>
      <c r="L1489" s="107"/>
    </row>
    <row r="1490" spans="1:12" x14ac:dyDescent="0.15">
      <c r="A1490" s="107"/>
      <c r="B1490" s="135"/>
      <c r="C1490" s="118"/>
      <c r="D1490" s="119">
        <f t="shared" si="83"/>
        <v>0</v>
      </c>
      <c r="E1490" s="120"/>
      <c r="F1490" s="107"/>
      <c r="G1490" s="143"/>
      <c r="H1490" s="118"/>
      <c r="I1490" s="119">
        <f t="shared" si="82"/>
        <v>0</v>
      </c>
      <c r="J1490" s="120"/>
      <c r="K1490" s="107"/>
      <c r="L1490" s="107"/>
    </row>
    <row r="1491" spans="1:12" x14ac:dyDescent="0.15">
      <c r="A1491" s="107"/>
      <c r="B1491" s="135"/>
      <c r="C1491" s="118"/>
      <c r="D1491" s="119">
        <f t="shared" si="83"/>
        <v>0</v>
      </c>
      <c r="E1491" s="120"/>
      <c r="F1491" s="107"/>
      <c r="G1491" s="143"/>
      <c r="H1491" s="118"/>
      <c r="I1491" s="119">
        <f t="shared" si="82"/>
        <v>0</v>
      </c>
      <c r="J1491" s="120"/>
      <c r="K1491" s="107"/>
      <c r="L1491" s="107"/>
    </row>
    <row r="1492" spans="1:12" x14ac:dyDescent="0.15">
      <c r="A1492" s="107"/>
      <c r="B1492" s="135"/>
      <c r="C1492" s="118"/>
      <c r="D1492" s="119">
        <f t="shared" si="83"/>
        <v>0</v>
      </c>
      <c r="E1492" s="120"/>
      <c r="F1492" s="107"/>
      <c r="G1492" s="143"/>
      <c r="H1492" s="118"/>
      <c r="I1492" s="119">
        <f t="shared" si="82"/>
        <v>0</v>
      </c>
      <c r="J1492" s="120"/>
      <c r="K1492" s="107"/>
      <c r="L1492" s="107"/>
    </row>
    <row r="1493" spans="1:12" x14ac:dyDescent="0.15">
      <c r="A1493" s="107"/>
      <c r="B1493" s="135"/>
      <c r="C1493" s="118"/>
      <c r="D1493" s="119">
        <f t="shared" si="83"/>
        <v>0</v>
      </c>
      <c r="E1493" s="120"/>
      <c r="F1493" s="107"/>
      <c r="G1493" s="135"/>
      <c r="H1493" s="118"/>
      <c r="I1493" s="119">
        <f t="shared" si="82"/>
        <v>0</v>
      </c>
      <c r="J1493" s="120"/>
      <c r="K1493" s="107"/>
      <c r="L1493" s="107"/>
    </row>
    <row r="1494" spans="1:12" x14ac:dyDescent="0.15">
      <c r="A1494" s="107"/>
      <c r="B1494" s="135"/>
      <c r="C1494" s="118"/>
      <c r="D1494" s="119">
        <f t="shared" si="83"/>
        <v>0</v>
      </c>
      <c r="E1494" s="120"/>
      <c r="F1494" s="107"/>
      <c r="G1494" s="143"/>
      <c r="H1494" s="118"/>
      <c r="I1494" s="119">
        <f t="shared" si="82"/>
        <v>0</v>
      </c>
      <c r="J1494" s="120"/>
      <c r="K1494" s="107"/>
      <c r="L1494" s="107"/>
    </row>
    <row r="1495" spans="1:12" x14ac:dyDescent="0.15">
      <c r="A1495" s="107"/>
      <c r="B1495" s="135"/>
      <c r="C1495" s="118"/>
      <c r="D1495" s="119">
        <f t="shared" si="83"/>
        <v>0</v>
      </c>
      <c r="E1495" s="120"/>
      <c r="F1495" s="107"/>
      <c r="G1495" s="139"/>
      <c r="H1495" s="118"/>
      <c r="I1495" s="119">
        <f t="shared" si="82"/>
        <v>0</v>
      </c>
      <c r="J1495" s="121"/>
      <c r="K1495" s="107"/>
      <c r="L1495" s="107"/>
    </row>
    <row r="1496" spans="1:12" x14ac:dyDescent="0.15">
      <c r="A1496" s="107"/>
      <c r="B1496" s="139"/>
      <c r="C1496" s="118"/>
      <c r="D1496" s="119">
        <f t="shared" si="83"/>
        <v>0</v>
      </c>
      <c r="E1496" s="120"/>
      <c r="F1496" s="107"/>
      <c r="G1496" s="139"/>
      <c r="H1496" s="122"/>
      <c r="I1496" s="119">
        <f t="shared" si="82"/>
        <v>0</v>
      </c>
      <c r="J1496" s="120"/>
      <c r="K1496" s="107"/>
      <c r="L1496" s="107"/>
    </row>
    <row r="1497" spans="1:12" x14ac:dyDescent="0.15">
      <c r="A1497" s="107"/>
      <c r="B1497" s="139"/>
      <c r="C1497" s="118"/>
      <c r="D1497" s="119">
        <f t="shared" si="83"/>
        <v>0</v>
      </c>
      <c r="E1497" s="120"/>
      <c r="F1497" s="107"/>
      <c r="G1497" s="135"/>
      <c r="H1497" s="118"/>
      <c r="I1497" s="119">
        <f t="shared" si="82"/>
        <v>0</v>
      </c>
      <c r="J1497" s="120"/>
      <c r="K1497" s="107"/>
      <c r="L1497" s="107"/>
    </row>
    <row r="1498" spans="1:12" x14ac:dyDescent="0.15">
      <c r="A1498" s="107"/>
      <c r="B1498" s="135"/>
      <c r="C1498" s="118"/>
      <c r="D1498" s="119">
        <f t="shared" si="83"/>
        <v>0</v>
      </c>
      <c r="E1498" s="120"/>
      <c r="F1498" s="107"/>
      <c r="G1498" s="139"/>
      <c r="H1498" s="118"/>
      <c r="I1498" s="119">
        <f t="shared" si="82"/>
        <v>0</v>
      </c>
      <c r="J1498" s="120"/>
      <c r="K1498" s="107"/>
      <c r="L1498" s="107"/>
    </row>
    <row r="1499" spans="1:12" x14ac:dyDescent="0.15">
      <c r="A1499" s="107"/>
      <c r="B1499" s="135"/>
      <c r="C1499" s="118"/>
      <c r="D1499" s="119">
        <f t="shared" si="83"/>
        <v>0</v>
      </c>
      <c r="E1499" s="120"/>
      <c r="F1499" s="107"/>
      <c r="G1499" s="139"/>
      <c r="H1499" s="118"/>
      <c r="I1499" s="119">
        <f t="shared" si="82"/>
        <v>0</v>
      </c>
      <c r="J1499" s="121"/>
      <c r="K1499" s="107"/>
      <c r="L1499" s="107"/>
    </row>
    <row r="1500" spans="1:12" x14ac:dyDescent="0.15">
      <c r="A1500" s="107"/>
      <c r="B1500" s="135"/>
      <c r="C1500" s="118"/>
      <c r="D1500" s="119">
        <f t="shared" si="83"/>
        <v>0</v>
      </c>
      <c r="E1500" s="120"/>
      <c r="F1500" s="107"/>
      <c r="G1500" s="139"/>
      <c r="H1500" s="122"/>
      <c r="I1500" s="119">
        <f t="shared" si="82"/>
        <v>0</v>
      </c>
      <c r="J1500" s="120"/>
      <c r="K1500" s="107"/>
      <c r="L1500" s="107"/>
    </row>
    <row r="1501" spans="1:12" x14ac:dyDescent="0.15">
      <c r="A1501" s="107"/>
      <c r="B1501" s="135"/>
      <c r="C1501" s="118"/>
      <c r="D1501" s="119">
        <f t="shared" si="83"/>
        <v>0</v>
      </c>
      <c r="E1501" s="120"/>
      <c r="F1501" s="107"/>
      <c r="G1501" s="139"/>
      <c r="H1501" s="118"/>
      <c r="I1501" s="119">
        <f t="shared" si="82"/>
        <v>0</v>
      </c>
      <c r="J1501" s="121"/>
      <c r="K1501" s="107"/>
      <c r="L1501" s="107"/>
    </row>
    <row r="1502" spans="1:12" x14ac:dyDescent="0.15">
      <c r="A1502" s="107"/>
      <c r="B1502" s="135"/>
      <c r="C1502" s="118"/>
      <c r="D1502" s="119">
        <f t="shared" si="83"/>
        <v>0</v>
      </c>
      <c r="E1502" s="120"/>
      <c r="F1502" s="107"/>
      <c r="G1502" s="139"/>
      <c r="H1502" s="118"/>
      <c r="I1502" s="119">
        <f t="shared" si="82"/>
        <v>0</v>
      </c>
      <c r="J1502" s="120"/>
      <c r="K1502" s="107"/>
      <c r="L1502" s="107"/>
    </row>
    <row r="1503" spans="1:12" x14ac:dyDescent="0.15">
      <c r="A1503" s="107"/>
      <c r="B1503" s="135"/>
      <c r="C1503" s="118"/>
      <c r="D1503" s="119">
        <f t="shared" si="83"/>
        <v>0</v>
      </c>
      <c r="E1503" s="120"/>
      <c r="F1503" s="107"/>
      <c r="G1503" s="139"/>
      <c r="H1503" s="118"/>
      <c r="I1503" s="119">
        <f t="shared" si="82"/>
        <v>0</v>
      </c>
      <c r="J1503" s="120"/>
      <c r="K1503" s="107"/>
      <c r="L1503" s="107"/>
    </row>
    <row r="1504" spans="1:12" x14ac:dyDescent="0.15">
      <c r="A1504" s="107"/>
      <c r="B1504" s="139"/>
      <c r="C1504" s="118"/>
      <c r="D1504" s="119">
        <f t="shared" si="83"/>
        <v>0</v>
      </c>
      <c r="E1504" s="121"/>
      <c r="F1504" s="107"/>
      <c r="G1504" s="144" t="s">
        <v>434</v>
      </c>
      <c r="H1504" s="141">
        <v>450</v>
      </c>
      <c r="I1504" s="126">
        <f t="shared" si="82"/>
        <v>450</v>
      </c>
      <c r="J1504" s="142" t="s">
        <v>435</v>
      </c>
      <c r="K1504" s="107"/>
      <c r="L1504" s="107"/>
    </row>
    <row r="1505" spans="1:12" x14ac:dyDescent="0.15">
      <c r="A1505" s="107"/>
      <c r="B1505" s="139"/>
      <c r="C1505" s="118"/>
      <c r="D1505" s="119">
        <f t="shared" si="83"/>
        <v>0</v>
      </c>
      <c r="E1505" s="121"/>
      <c r="F1505" s="107"/>
      <c r="G1505" s="140" t="s">
        <v>428</v>
      </c>
      <c r="H1505" s="145">
        <v>350</v>
      </c>
      <c r="I1505" s="126">
        <f t="shared" si="82"/>
        <v>350</v>
      </c>
      <c r="J1505" s="142" t="s">
        <v>429</v>
      </c>
      <c r="K1505" s="107"/>
      <c r="L1505" s="107"/>
    </row>
    <row r="1506" spans="1:12" x14ac:dyDescent="0.15">
      <c r="A1506" s="107"/>
      <c r="B1506" s="135"/>
      <c r="C1506" s="118"/>
      <c r="D1506" s="119">
        <f t="shared" si="83"/>
        <v>0</v>
      </c>
      <c r="E1506" s="121"/>
      <c r="F1506" s="107"/>
      <c r="G1506" s="140" t="s">
        <v>412</v>
      </c>
      <c r="H1506" s="145">
        <v>300</v>
      </c>
      <c r="I1506" s="126">
        <f t="shared" si="82"/>
        <v>300</v>
      </c>
      <c r="J1506" s="142">
        <v>42543</v>
      </c>
      <c r="K1506" s="107"/>
      <c r="L1506" s="107"/>
    </row>
    <row r="1507" spans="1:12" x14ac:dyDescent="0.15">
      <c r="A1507" s="107"/>
      <c r="B1507" s="135"/>
      <c r="C1507" s="118"/>
      <c r="D1507" s="119">
        <f t="shared" si="83"/>
        <v>0</v>
      </c>
      <c r="E1507" s="121"/>
      <c r="F1507" s="107"/>
      <c r="G1507" s="140" t="s">
        <v>385</v>
      </c>
      <c r="H1507" s="145">
        <v>1200</v>
      </c>
      <c r="I1507" s="126">
        <f t="shared" si="82"/>
        <v>1200</v>
      </c>
      <c r="J1507" s="142" t="s">
        <v>387</v>
      </c>
      <c r="K1507" s="107"/>
      <c r="L1507" s="107"/>
    </row>
    <row r="1508" spans="1:12" ht="14.25" thickBot="1" x14ac:dyDescent="0.2">
      <c r="A1508" s="107"/>
      <c r="B1508" s="135"/>
      <c r="C1508" s="118"/>
      <c r="D1508" s="137">
        <f t="shared" si="83"/>
        <v>0</v>
      </c>
      <c r="E1508" s="120"/>
      <c r="F1508" s="107"/>
      <c r="G1508" s="140" t="s">
        <v>395</v>
      </c>
      <c r="H1508" s="145">
        <v>1500</v>
      </c>
      <c r="I1508" s="126">
        <f t="shared" si="82"/>
        <v>1500</v>
      </c>
      <c r="J1508" s="146" t="s">
        <v>396</v>
      </c>
      <c r="K1508" s="107"/>
      <c r="L1508" s="107"/>
    </row>
    <row r="1509" spans="1:12" ht="14.25" thickBot="1" x14ac:dyDescent="0.2">
      <c r="A1509" s="107"/>
      <c r="B1509" s="147" t="s">
        <v>2</v>
      </c>
      <c r="C1509" s="148">
        <f>SUM(C1485:C1508)</f>
        <v>0</v>
      </c>
      <c r="D1509" s="149">
        <f t="shared" si="83"/>
        <v>0</v>
      </c>
      <c r="E1509" s="149"/>
      <c r="F1509" s="107"/>
      <c r="G1509" s="147" t="s">
        <v>2</v>
      </c>
      <c r="H1509" s="148">
        <f>SUM(H1485:H1508)</f>
        <v>3800</v>
      </c>
      <c r="I1509" s="149">
        <f t="shared" si="82"/>
        <v>3800</v>
      </c>
      <c r="J1509" s="149"/>
      <c r="K1509" s="107"/>
      <c r="L1509" s="107"/>
    </row>
    <row r="1510" spans="1:12" ht="14.25" thickBot="1" x14ac:dyDescent="0.2">
      <c r="A1510" s="107"/>
      <c r="B1510" s="131" t="s">
        <v>3</v>
      </c>
      <c r="C1510" s="150">
        <f>C1484-C1509</f>
        <v>183</v>
      </c>
      <c r="D1510" s="132">
        <f>D1484-D1509</f>
        <v>183</v>
      </c>
      <c r="E1510" s="133"/>
      <c r="F1510" s="107"/>
      <c r="G1510" s="131" t="s">
        <v>3</v>
      </c>
      <c r="H1510" s="150">
        <f>H1484-H1509</f>
        <v>1430</v>
      </c>
      <c r="I1510" s="132">
        <f>I1484-I1509</f>
        <v>1430</v>
      </c>
      <c r="J1510" s="133"/>
      <c r="K1510" s="107"/>
      <c r="L1510" s="107"/>
    </row>
    <row r="1511" spans="1:12" x14ac:dyDescent="0.15">
      <c r="A1511" s="107"/>
      <c r="B1511" s="107"/>
      <c r="C1511" s="107"/>
      <c r="D1511" s="107"/>
      <c r="E1511" s="107"/>
      <c r="F1511" s="107"/>
      <c r="G1511" s="107"/>
      <c r="H1511" s="107"/>
      <c r="I1511" s="107"/>
      <c r="J1511" s="107"/>
      <c r="K1511" s="107"/>
      <c r="L1511" s="107"/>
    </row>
    <row r="1512" spans="1:12" x14ac:dyDescent="0.15">
      <c r="A1512" s="107"/>
      <c r="B1512" s="107"/>
      <c r="C1512" s="107"/>
      <c r="D1512" s="107"/>
      <c r="E1512" s="107"/>
      <c r="F1512" s="107"/>
      <c r="G1512" s="107"/>
      <c r="H1512" s="107"/>
      <c r="I1512" s="107"/>
      <c r="J1512" s="107"/>
      <c r="K1512" s="107"/>
      <c r="L1512" s="107"/>
    </row>
    <row r="1513" spans="1:12" ht="18.75" x14ac:dyDescent="0.2">
      <c r="A1513" s="107"/>
      <c r="B1513" s="108" t="s">
        <v>7</v>
      </c>
      <c r="C1513" s="107"/>
      <c r="D1513" s="107"/>
      <c r="E1513" s="107"/>
      <c r="F1513" s="107"/>
      <c r="G1513" s="108" t="s">
        <v>35</v>
      </c>
      <c r="H1513" s="107"/>
      <c r="I1513" s="107"/>
      <c r="J1513" s="107"/>
      <c r="K1513" s="107"/>
      <c r="L1513" s="107"/>
    </row>
    <row r="1514" spans="1:12" ht="14.25" thickBot="1" x14ac:dyDescent="0.2">
      <c r="A1514" s="107"/>
      <c r="B1514" s="107"/>
      <c r="C1514" s="107"/>
      <c r="D1514" s="107"/>
      <c r="E1514" s="107"/>
      <c r="F1514" s="107"/>
      <c r="G1514" s="107"/>
      <c r="H1514" s="107"/>
      <c r="I1514" s="107"/>
      <c r="J1514" s="107"/>
      <c r="K1514" s="107"/>
      <c r="L1514" s="107"/>
    </row>
    <row r="1515" spans="1:12" ht="14.25" thickBot="1" x14ac:dyDescent="0.2">
      <c r="A1515" s="107"/>
      <c r="B1515" s="109"/>
      <c r="C1515" s="110"/>
      <c r="D1515" s="111" t="s">
        <v>0</v>
      </c>
      <c r="E1515" s="109" t="s">
        <v>4</v>
      </c>
      <c r="F1515" s="107"/>
      <c r="G1515" s="109"/>
      <c r="H1515" s="110"/>
      <c r="I1515" s="111" t="s">
        <v>0</v>
      </c>
      <c r="J1515" s="109" t="s">
        <v>4</v>
      </c>
      <c r="K1515" s="107"/>
      <c r="L1515" s="107"/>
    </row>
    <row r="1516" spans="1:12" x14ac:dyDescent="0.15">
      <c r="A1516" s="107"/>
      <c r="B1516" s="112" t="s">
        <v>5</v>
      </c>
      <c r="C1516" s="113">
        <f>C1510</f>
        <v>183</v>
      </c>
      <c r="D1516" s="114">
        <f>SUM(C1516:C1516)</f>
        <v>183</v>
      </c>
      <c r="E1516" s="115"/>
      <c r="F1516" s="107"/>
      <c r="G1516" s="112" t="s">
        <v>5</v>
      </c>
      <c r="H1516" s="113">
        <f>H1510</f>
        <v>1430</v>
      </c>
      <c r="I1516" s="114">
        <f>SUM(H1516:H1516)</f>
        <v>1430</v>
      </c>
      <c r="J1516" s="115"/>
      <c r="K1516" s="107"/>
      <c r="L1516" s="107"/>
    </row>
    <row r="1517" spans="1:12" x14ac:dyDescent="0.15">
      <c r="A1517" s="107"/>
      <c r="B1517" s="117" t="s">
        <v>6</v>
      </c>
      <c r="C1517" s="118"/>
      <c r="D1517" s="119">
        <f>SUM(C1517:C1517)</f>
        <v>0</v>
      </c>
      <c r="E1517" s="120"/>
      <c r="F1517" s="107"/>
      <c r="G1517" s="117" t="s">
        <v>6</v>
      </c>
      <c r="H1517" s="118"/>
      <c r="I1517" s="119">
        <f>SUM(H1517:H1517)</f>
        <v>0</v>
      </c>
      <c r="J1517" s="121"/>
      <c r="K1517" s="107"/>
      <c r="L1517" s="107"/>
    </row>
    <row r="1518" spans="1:12" x14ac:dyDescent="0.15">
      <c r="A1518" s="107"/>
      <c r="B1518" s="117" t="s">
        <v>6</v>
      </c>
      <c r="C1518" s="122"/>
      <c r="D1518" s="123">
        <f>SUM(C1518:C1518)</f>
        <v>0</v>
      </c>
      <c r="E1518" s="124"/>
      <c r="F1518" s="107"/>
      <c r="G1518" s="117" t="s">
        <v>6</v>
      </c>
      <c r="H1518" s="118"/>
      <c r="I1518" s="119">
        <f>SUM(H1518:H1518)</f>
        <v>0</v>
      </c>
      <c r="J1518" s="121"/>
      <c r="K1518" s="107"/>
      <c r="L1518" s="107"/>
    </row>
    <row r="1519" spans="1:12" ht="14.25" thickBot="1" x14ac:dyDescent="0.2">
      <c r="A1519" s="107"/>
      <c r="B1519" s="117" t="s">
        <v>6</v>
      </c>
      <c r="C1519" s="122"/>
      <c r="D1519" s="119">
        <f>SUM(C1519:C1519)</f>
        <v>0</v>
      </c>
      <c r="E1519" s="130"/>
      <c r="F1519" s="107"/>
      <c r="G1519" s="117" t="s">
        <v>6</v>
      </c>
      <c r="H1519" s="151"/>
      <c r="I1519" s="137">
        <f>SUM(H1519:H1519)</f>
        <v>0</v>
      </c>
      <c r="J1519" s="152"/>
      <c r="K1519" s="107"/>
      <c r="L1519" s="107"/>
    </row>
    <row r="1520" spans="1:12" ht="14.25" thickBot="1" x14ac:dyDescent="0.2">
      <c r="A1520" s="107"/>
      <c r="B1520" s="131" t="s">
        <v>1</v>
      </c>
      <c r="C1520" s="132">
        <f>SUM(C1516:C1519)</f>
        <v>183</v>
      </c>
      <c r="D1520" s="132">
        <f>SUM(D1516:D1519)</f>
        <v>183</v>
      </c>
      <c r="E1520" s="133"/>
      <c r="F1520" s="107"/>
      <c r="G1520" s="131" t="s">
        <v>1</v>
      </c>
      <c r="H1520" s="134">
        <f>SUM(H1516:H1519)</f>
        <v>1430</v>
      </c>
      <c r="I1520" s="132">
        <f>SUM(I1516:I1519)</f>
        <v>1430</v>
      </c>
      <c r="J1520" s="133"/>
      <c r="K1520" s="107"/>
      <c r="L1520" s="107"/>
    </row>
    <row r="1521" spans="1:12" x14ac:dyDescent="0.15">
      <c r="A1521" s="107"/>
      <c r="B1521" s="135"/>
      <c r="C1521" s="136"/>
      <c r="D1521" s="137">
        <f>SUM(C1521:C1521)</f>
        <v>0</v>
      </c>
      <c r="E1521" s="120"/>
      <c r="F1521" s="107"/>
      <c r="G1521" s="138"/>
      <c r="H1521" s="118"/>
      <c r="I1521" s="137">
        <f>SUM(H1521:H1521)</f>
        <v>0</v>
      </c>
      <c r="J1521" s="120"/>
      <c r="K1521" s="107"/>
      <c r="L1521" s="107"/>
    </row>
    <row r="1522" spans="1:12" x14ac:dyDescent="0.15">
      <c r="A1522" s="107"/>
      <c r="B1522" s="135"/>
      <c r="C1522" s="118"/>
      <c r="D1522" s="119">
        <f>SUM(C1522:C1522)</f>
        <v>0</v>
      </c>
      <c r="E1522" s="120"/>
      <c r="F1522" s="107"/>
      <c r="G1522" s="138"/>
      <c r="H1522" s="118"/>
      <c r="I1522" s="119">
        <f>SUM(H1522:H1522)</f>
        <v>0</v>
      </c>
      <c r="J1522" s="120"/>
      <c r="K1522" s="107"/>
      <c r="L1522" s="107"/>
    </row>
    <row r="1523" spans="1:12" x14ac:dyDescent="0.15">
      <c r="A1523" s="107"/>
      <c r="B1523" s="135"/>
      <c r="C1523" s="118"/>
      <c r="D1523" s="119">
        <f>SUM(C1523:C1523)</f>
        <v>0</v>
      </c>
      <c r="E1523" s="120"/>
      <c r="F1523" s="107"/>
      <c r="G1523" s="139"/>
      <c r="H1523" s="118"/>
      <c r="I1523" s="119">
        <f t="shared" ref="I1523:I1545" si="84">SUM(H1523:H1523)</f>
        <v>0</v>
      </c>
      <c r="J1523" s="120"/>
      <c r="K1523" s="107"/>
      <c r="L1523" s="107"/>
    </row>
    <row r="1524" spans="1:12" x14ac:dyDescent="0.15">
      <c r="A1524" s="107"/>
      <c r="B1524" s="135"/>
      <c r="C1524" s="118"/>
      <c r="D1524" s="119">
        <f t="shared" ref="D1524:D1545" si="85">SUM(C1524:C1524)</f>
        <v>0</v>
      </c>
      <c r="E1524" s="120"/>
      <c r="F1524" s="107"/>
      <c r="G1524" s="140"/>
      <c r="H1524" s="141"/>
      <c r="I1524" s="126">
        <f t="shared" si="84"/>
        <v>0</v>
      </c>
      <c r="J1524" s="142"/>
      <c r="K1524" s="107"/>
      <c r="L1524" s="107"/>
    </row>
    <row r="1525" spans="1:12" x14ac:dyDescent="0.15">
      <c r="A1525" s="107"/>
      <c r="B1525" s="135"/>
      <c r="C1525" s="118"/>
      <c r="D1525" s="119">
        <f t="shared" si="85"/>
        <v>0</v>
      </c>
      <c r="E1525" s="120"/>
      <c r="F1525" s="107"/>
      <c r="G1525" s="139"/>
      <c r="H1525" s="118"/>
      <c r="I1525" s="119">
        <f t="shared" si="84"/>
        <v>0</v>
      </c>
      <c r="J1525" s="120"/>
      <c r="K1525" s="107"/>
      <c r="L1525" s="107"/>
    </row>
    <row r="1526" spans="1:12" x14ac:dyDescent="0.15">
      <c r="A1526" s="107"/>
      <c r="B1526" s="135"/>
      <c r="C1526" s="118"/>
      <c r="D1526" s="119">
        <f t="shared" si="85"/>
        <v>0</v>
      </c>
      <c r="E1526" s="120"/>
      <c r="F1526" s="107"/>
      <c r="G1526" s="143"/>
      <c r="H1526" s="118"/>
      <c r="I1526" s="119">
        <f t="shared" si="84"/>
        <v>0</v>
      </c>
      <c r="J1526" s="120"/>
      <c r="K1526" s="107"/>
      <c r="L1526" s="107"/>
    </row>
    <row r="1527" spans="1:12" x14ac:dyDescent="0.15">
      <c r="A1527" s="107"/>
      <c r="B1527" s="135"/>
      <c r="C1527" s="118"/>
      <c r="D1527" s="119">
        <f t="shared" si="85"/>
        <v>0</v>
      </c>
      <c r="E1527" s="120"/>
      <c r="F1527" s="107"/>
      <c r="G1527" s="143"/>
      <c r="H1527" s="118"/>
      <c r="I1527" s="119">
        <f t="shared" si="84"/>
        <v>0</v>
      </c>
      <c r="J1527" s="120"/>
      <c r="K1527" s="107"/>
      <c r="L1527" s="107"/>
    </row>
    <row r="1528" spans="1:12" x14ac:dyDescent="0.15">
      <c r="A1528" s="107"/>
      <c r="B1528" s="135"/>
      <c r="C1528" s="118"/>
      <c r="D1528" s="119">
        <f t="shared" si="85"/>
        <v>0</v>
      </c>
      <c r="E1528" s="120"/>
      <c r="F1528" s="107"/>
      <c r="G1528" s="143"/>
      <c r="H1528" s="118"/>
      <c r="I1528" s="119">
        <f t="shared" si="84"/>
        <v>0</v>
      </c>
      <c r="J1528" s="120"/>
      <c r="K1528" s="107"/>
      <c r="L1528" s="107"/>
    </row>
    <row r="1529" spans="1:12" x14ac:dyDescent="0.15">
      <c r="A1529" s="107"/>
      <c r="B1529" s="135"/>
      <c r="C1529" s="118"/>
      <c r="D1529" s="119">
        <f t="shared" si="85"/>
        <v>0</v>
      </c>
      <c r="E1529" s="120"/>
      <c r="F1529" s="107"/>
      <c r="G1529" s="135"/>
      <c r="H1529" s="118"/>
      <c r="I1529" s="119">
        <f t="shared" si="84"/>
        <v>0</v>
      </c>
      <c r="J1529" s="120"/>
      <c r="K1529" s="107"/>
      <c r="L1529" s="107"/>
    </row>
    <row r="1530" spans="1:12" x14ac:dyDescent="0.15">
      <c r="A1530" s="107"/>
      <c r="B1530" s="135"/>
      <c r="C1530" s="118"/>
      <c r="D1530" s="119">
        <f t="shared" si="85"/>
        <v>0</v>
      </c>
      <c r="E1530" s="120"/>
      <c r="F1530" s="107"/>
      <c r="G1530" s="143"/>
      <c r="H1530" s="118"/>
      <c r="I1530" s="119">
        <f t="shared" si="84"/>
        <v>0</v>
      </c>
      <c r="J1530" s="120"/>
      <c r="K1530" s="107"/>
      <c r="L1530" s="107"/>
    </row>
    <row r="1531" spans="1:12" x14ac:dyDescent="0.15">
      <c r="A1531" s="107"/>
      <c r="B1531" s="135"/>
      <c r="C1531" s="118"/>
      <c r="D1531" s="119">
        <f t="shared" si="85"/>
        <v>0</v>
      </c>
      <c r="E1531" s="120"/>
      <c r="F1531" s="107"/>
      <c r="G1531" s="139"/>
      <c r="H1531" s="118"/>
      <c r="I1531" s="119">
        <f t="shared" si="84"/>
        <v>0</v>
      </c>
      <c r="J1531" s="121"/>
      <c r="K1531" s="107"/>
      <c r="L1531" s="107"/>
    </row>
    <row r="1532" spans="1:12" x14ac:dyDescent="0.15">
      <c r="A1532" s="107"/>
      <c r="B1532" s="139"/>
      <c r="C1532" s="118"/>
      <c r="D1532" s="119">
        <f t="shared" si="85"/>
        <v>0</v>
      </c>
      <c r="E1532" s="120"/>
      <c r="F1532" s="107"/>
      <c r="G1532" s="139"/>
      <c r="H1532" s="122"/>
      <c r="I1532" s="119">
        <f t="shared" si="84"/>
        <v>0</v>
      </c>
      <c r="J1532" s="120"/>
      <c r="K1532" s="107"/>
      <c r="L1532" s="107"/>
    </row>
    <row r="1533" spans="1:12" x14ac:dyDescent="0.15">
      <c r="A1533" s="107"/>
      <c r="B1533" s="139"/>
      <c r="C1533" s="118"/>
      <c r="D1533" s="119">
        <f t="shared" si="85"/>
        <v>0</v>
      </c>
      <c r="E1533" s="120"/>
      <c r="F1533" s="107"/>
      <c r="G1533" s="135"/>
      <c r="H1533" s="118"/>
      <c r="I1533" s="119">
        <f t="shared" si="84"/>
        <v>0</v>
      </c>
      <c r="J1533" s="120"/>
      <c r="K1533" s="107"/>
      <c r="L1533" s="107"/>
    </row>
    <row r="1534" spans="1:12" x14ac:dyDescent="0.15">
      <c r="A1534" s="107"/>
      <c r="B1534" s="135"/>
      <c r="C1534" s="118"/>
      <c r="D1534" s="119">
        <f t="shared" si="85"/>
        <v>0</v>
      </c>
      <c r="E1534" s="120"/>
      <c r="F1534" s="107"/>
      <c r="G1534" s="139"/>
      <c r="H1534" s="118"/>
      <c r="I1534" s="119">
        <f t="shared" si="84"/>
        <v>0</v>
      </c>
      <c r="J1534" s="120"/>
      <c r="K1534" s="107"/>
      <c r="L1534" s="107"/>
    </row>
    <row r="1535" spans="1:12" x14ac:dyDescent="0.15">
      <c r="A1535" s="107"/>
      <c r="B1535" s="135"/>
      <c r="C1535" s="118"/>
      <c r="D1535" s="119">
        <f t="shared" si="85"/>
        <v>0</v>
      </c>
      <c r="E1535" s="120"/>
      <c r="F1535" s="107"/>
      <c r="G1535" s="139"/>
      <c r="H1535" s="118"/>
      <c r="I1535" s="119">
        <f t="shared" si="84"/>
        <v>0</v>
      </c>
      <c r="J1535" s="121"/>
      <c r="K1535" s="107"/>
      <c r="L1535" s="107"/>
    </row>
    <row r="1536" spans="1:12" x14ac:dyDescent="0.15">
      <c r="A1536" s="107"/>
      <c r="B1536" s="135"/>
      <c r="C1536" s="118"/>
      <c r="D1536" s="119">
        <f t="shared" si="85"/>
        <v>0</v>
      </c>
      <c r="E1536" s="120"/>
      <c r="F1536" s="107"/>
      <c r="G1536" s="139"/>
      <c r="H1536" s="122"/>
      <c r="I1536" s="119">
        <f t="shared" si="84"/>
        <v>0</v>
      </c>
      <c r="J1536" s="120"/>
      <c r="K1536" s="107"/>
      <c r="L1536" s="107"/>
    </row>
    <row r="1537" spans="1:12" x14ac:dyDescent="0.15">
      <c r="A1537" s="107"/>
      <c r="B1537" s="135"/>
      <c r="C1537" s="118"/>
      <c r="D1537" s="119">
        <f t="shared" si="85"/>
        <v>0</v>
      </c>
      <c r="E1537" s="120"/>
      <c r="F1537" s="107"/>
      <c r="G1537" s="139"/>
      <c r="H1537" s="118"/>
      <c r="I1537" s="119">
        <f t="shared" si="84"/>
        <v>0</v>
      </c>
      <c r="J1537" s="121"/>
      <c r="K1537" s="107"/>
      <c r="L1537" s="107"/>
    </row>
    <row r="1538" spans="1:12" x14ac:dyDescent="0.15">
      <c r="A1538" s="107"/>
      <c r="B1538" s="135"/>
      <c r="C1538" s="118"/>
      <c r="D1538" s="119">
        <f t="shared" si="85"/>
        <v>0</v>
      </c>
      <c r="E1538" s="120"/>
      <c r="F1538" s="107"/>
      <c r="G1538" s="139"/>
      <c r="H1538" s="118"/>
      <c r="I1538" s="119">
        <f t="shared" si="84"/>
        <v>0</v>
      </c>
      <c r="J1538" s="120"/>
      <c r="K1538" s="107"/>
      <c r="L1538" s="107"/>
    </row>
    <row r="1539" spans="1:12" x14ac:dyDescent="0.15">
      <c r="A1539" s="107"/>
      <c r="B1539" s="135"/>
      <c r="C1539" s="118"/>
      <c r="D1539" s="119">
        <f t="shared" si="85"/>
        <v>0</v>
      </c>
      <c r="E1539" s="120"/>
      <c r="F1539" s="107"/>
      <c r="G1539" s="139"/>
      <c r="H1539" s="118"/>
      <c r="I1539" s="119">
        <f t="shared" si="84"/>
        <v>0</v>
      </c>
      <c r="J1539" s="120"/>
      <c r="K1539" s="107"/>
      <c r="L1539" s="107"/>
    </row>
    <row r="1540" spans="1:12" x14ac:dyDescent="0.15">
      <c r="A1540" s="107"/>
      <c r="B1540" s="139"/>
      <c r="C1540" s="118"/>
      <c r="D1540" s="119">
        <f t="shared" si="85"/>
        <v>0</v>
      </c>
      <c r="E1540" s="121"/>
      <c r="F1540" s="107"/>
      <c r="G1540" s="135"/>
      <c r="H1540" s="118"/>
      <c r="I1540" s="119">
        <f t="shared" si="84"/>
        <v>0</v>
      </c>
      <c r="J1540" s="120"/>
      <c r="K1540" s="107"/>
      <c r="L1540" s="107"/>
    </row>
    <row r="1541" spans="1:12" x14ac:dyDescent="0.15">
      <c r="A1541" s="107"/>
      <c r="B1541" s="139"/>
      <c r="C1541" s="118"/>
      <c r="D1541" s="119">
        <f t="shared" si="85"/>
        <v>0</v>
      </c>
      <c r="E1541" s="121"/>
      <c r="F1541" s="107"/>
      <c r="G1541" s="139"/>
      <c r="H1541" s="122"/>
      <c r="I1541" s="119">
        <f t="shared" si="84"/>
        <v>0</v>
      </c>
      <c r="J1541" s="120"/>
      <c r="K1541" s="107"/>
      <c r="L1541" s="107"/>
    </row>
    <row r="1542" spans="1:12" x14ac:dyDescent="0.15">
      <c r="A1542" s="107"/>
      <c r="B1542" s="135"/>
      <c r="C1542" s="118"/>
      <c r="D1542" s="119">
        <f t="shared" si="85"/>
        <v>0</v>
      </c>
      <c r="E1542" s="121"/>
      <c r="F1542" s="107"/>
      <c r="G1542" s="139"/>
      <c r="H1542" s="122"/>
      <c r="I1542" s="119">
        <f t="shared" si="84"/>
        <v>0</v>
      </c>
      <c r="J1542" s="120"/>
      <c r="K1542" s="107"/>
      <c r="L1542" s="107"/>
    </row>
    <row r="1543" spans="1:12" x14ac:dyDescent="0.15">
      <c r="A1543" s="107"/>
      <c r="B1543" s="135"/>
      <c r="C1543" s="118"/>
      <c r="D1543" s="119">
        <f t="shared" si="85"/>
        <v>0</v>
      </c>
      <c r="E1543" s="121"/>
      <c r="F1543" s="107"/>
      <c r="G1543" s="139"/>
      <c r="H1543" s="122"/>
      <c r="I1543" s="119">
        <f t="shared" si="84"/>
        <v>0</v>
      </c>
      <c r="J1543" s="120"/>
      <c r="K1543" s="107"/>
      <c r="L1543" s="107"/>
    </row>
    <row r="1544" spans="1:12" ht="14.25" thickBot="1" x14ac:dyDescent="0.2">
      <c r="A1544" s="107"/>
      <c r="B1544" s="135"/>
      <c r="C1544" s="118"/>
      <c r="D1544" s="137">
        <f t="shared" si="85"/>
        <v>0</v>
      </c>
      <c r="E1544" s="120"/>
      <c r="F1544" s="107"/>
      <c r="G1544" s="140" t="s">
        <v>436</v>
      </c>
      <c r="H1544" s="145">
        <v>800</v>
      </c>
      <c r="I1544" s="126">
        <f t="shared" si="84"/>
        <v>800</v>
      </c>
      <c r="J1544" s="153" t="s">
        <v>437</v>
      </c>
      <c r="K1544" s="107"/>
      <c r="L1544" s="107"/>
    </row>
    <row r="1545" spans="1:12" ht="14.25" thickBot="1" x14ac:dyDescent="0.2">
      <c r="A1545" s="107"/>
      <c r="B1545" s="147" t="s">
        <v>2</v>
      </c>
      <c r="C1545" s="148">
        <f>SUM(C1521:C1544)</f>
        <v>0</v>
      </c>
      <c r="D1545" s="149">
        <f t="shared" si="85"/>
        <v>0</v>
      </c>
      <c r="E1545" s="149"/>
      <c r="F1545" s="107"/>
      <c r="G1545" s="147" t="s">
        <v>2</v>
      </c>
      <c r="H1545" s="148">
        <f>SUM(H1521:H1544)</f>
        <v>800</v>
      </c>
      <c r="I1545" s="149">
        <f t="shared" si="84"/>
        <v>800</v>
      </c>
      <c r="J1545" s="149"/>
      <c r="K1545" s="107"/>
      <c r="L1545" s="107"/>
    </row>
    <row r="1546" spans="1:12" ht="14.25" thickBot="1" x14ac:dyDescent="0.2">
      <c r="A1546" s="107"/>
      <c r="B1546" s="131" t="s">
        <v>3</v>
      </c>
      <c r="C1546" s="150">
        <f>C1520-C1545</f>
        <v>183</v>
      </c>
      <c r="D1546" s="132">
        <f>D1520-D1545</f>
        <v>183</v>
      </c>
      <c r="E1546" s="133"/>
      <c r="F1546" s="107"/>
      <c r="G1546" s="131" t="s">
        <v>3</v>
      </c>
      <c r="H1546" s="150">
        <f>H1520-H1545</f>
        <v>630</v>
      </c>
      <c r="I1546" s="132">
        <f>I1520-I1545</f>
        <v>630</v>
      </c>
      <c r="J1546" s="133"/>
      <c r="K1546" s="107"/>
      <c r="L1546" s="107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 MR</cp:lastModifiedBy>
  <cp:lastPrinted>2020-08-02T23:43:48Z</cp:lastPrinted>
  <dcterms:created xsi:type="dcterms:W3CDTF">1997-01-08T22:48:59Z</dcterms:created>
  <dcterms:modified xsi:type="dcterms:W3CDTF">2026-06-18T05:30:17Z</dcterms:modified>
</cp:coreProperties>
</file>